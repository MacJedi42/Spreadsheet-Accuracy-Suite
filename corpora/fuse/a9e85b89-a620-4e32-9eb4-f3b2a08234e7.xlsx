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11640"/>
  </bookViews>
  <sheets>
    <sheet name="Oct10 Final Sped Enr." sheetId="1" r:id="rId1"/>
    <sheet name="Sheet2" sheetId="2" r:id="rId2"/>
    <sheet name="Sheet3" sheetId="3" r:id="rId3"/>
  </sheets>
  <definedNames>
    <definedName name="_xlnm.Print_Area" localSheetId="0">'Oct10 Final Sped Enr.'!$A$6:$AF$381</definedName>
    <definedName name="_xlnm.Print_Titles" localSheetId="0">'Oct10 Final Sped Enr.'!$1:$5</definedName>
  </definedNames>
  <calcPr calcId="125725"/>
</workbook>
</file>

<file path=xl/calcChain.xml><?xml version="1.0" encoding="utf-8"?>
<calcChain xmlns="http://schemas.openxmlformats.org/spreadsheetml/2006/main">
  <c r="T379" i="1"/>
  <c r="AA378"/>
  <c r="AA379" s="1"/>
  <c r="Z378"/>
  <c r="Z379" s="1"/>
  <c r="Y378"/>
  <c r="Y379" s="1"/>
  <c r="X378"/>
  <c r="X379" s="1"/>
  <c r="W378"/>
  <c r="W379" s="1"/>
  <c r="V378"/>
  <c r="V379" s="1"/>
  <c r="U378"/>
  <c r="U379" s="1"/>
  <c r="T378"/>
  <c r="S378"/>
  <c r="S379" s="1"/>
  <c r="R378"/>
  <c r="R379" s="1"/>
  <c r="Q378"/>
  <c r="Q379" s="1"/>
  <c r="P378"/>
  <c r="P379" s="1"/>
  <c r="O378"/>
  <c r="O379" s="1"/>
  <c r="N378"/>
  <c r="N379" s="1"/>
  <c r="M378"/>
  <c r="M379" s="1"/>
  <c r="K378"/>
  <c r="K379" s="1"/>
  <c r="J378"/>
  <c r="J379" s="1"/>
  <c r="I378"/>
  <c r="H378"/>
  <c r="H379" s="1"/>
  <c r="G378"/>
  <c r="G379" s="1"/>
  <c r="F378"/>
  <c r="F379" s="1"/>
  <c r="E379"/>
  <c r="E378"/>
  <c r="AF376"/>
  <c r="AE402"/>
  <c r="AE401"/>
  <c r="AE400"/>
  <c r="AE399"/>
  <c r="AE398"/>
  <c r="AE397"/>
  <c r="AE396"/>
  <c r="AD404"/>
  <c r="AD403"/>
  <c r="AD402"/>
  <c r="AD401"/>
  <c r="AD400"/>
  <c r="AD399"/>
  <c r="AD398"/>
  <c r="AD397"/>
  <c r="AD396"/>
  <c r="AD406" l="1"/>
  <c r="AC372" l="1"/>
  <c r="AC371"/>
  <c r="AC370"/>
  <c r="AC369"/>
  <c r="AC368"/>
  <c r="AC367"/>
  <c r="AC366"/>
  <c r="AC365"/>
  <c r="AC364"/>
  <c r="AC363"/>
  <c r="AC362"/>
  <c r="AC361"/>
  <c r="AC360"/>
  <c r="AC359"/>
  <c r="AC358"/>
  <c r="AC357"/>
  <c r="AC356"/>
  <c r="AC355"/>
  <c r="AC354"/>
  <c r="AC353"/>
  <c r="AC352"/>
  <c r="AC351"/>
  <c r="AC350"/>
  <c r="AC349"/>
  <c r="AC348"/>
  <c r="AC347"/>
  <c r="AC346"/>
  <c r="AC345"/>
  <c r="AC344"/>
  <c r="AC343"/>
  <c r="AC342"/>
  <c r="AC341"/>
  <c r="AC340"/>
  <c r="AC339"/>
  <c r="AC338"/>
  <c r="AC337"/>
  <c r="AC336"/>
  <c r="AC335"/>
  <c r="AC334"/>
  <c r="AC333"/>
  <c r="AC332"/>
  <c r="AC331"/>
  <c r="AC330"/>
  <c r="AC329"/>
  <c r="AC328"/>
  <c r="AC327"/>
  <c r="AC326"/>
  <c r="AC325"/>
  <c r="AC324"/>
  <c r="AC323"/>
  <c r="AC322"/>
  <c r="AC321"/>
  <c r="AC320"/>
  <c r="AC319"/>
  <c r="AC318"/>
  <c r="AC317"/>
  <c r="AC316"/>
  <c r="AC315"/>
  <c r="AC314"/>
  <c r="AC313"/>
  <c r="AC312"/>
  <c r="AC311"/>
  <c r="AC310"/>
  <c r="AC309"/>
  <c r="AC308"/>
  <c r="AC307"/>
  <c r="AC306"/>
  <c r="AC305"/>
  <c r="AC304"/>
  <c r="AC303"/>
  <c r="AC302"/>
  <c r="AC301"/>
  <c r="AC300"/>
  <c r="AC299"/>
  <c r="AC298"/>
  <c r="AC297"/>
  <c r="AC296"/>
  <c r="AC295"/>
  <c r="AC294"/>
  <c r="AC293"/>
  <c r="AC292"/>
  <c r="AC291"/>
  <c r="AC290"/>
  <c r="AC289"/>
  <c r="AC288"/>
  <c r="AC287"/>
  <c r="AC286"/>
  <c r="AC285"/>
  <c r="AC284"/>
  <c r="AC283"/>
  <c r="AC282"/>
  <c r="AC281"/>
  <c r="AC280"/>
  <c r="AC279"/>
  <c r="AC278"/>
  <c r="AC277"/>
  <c r="AC276"/>
  <c r="AC275"/>
  <c r="AC274"/>
  <c r="AC273"/>
  <c r="AC272"/>
  <c r="AC271"/>
  <c r="AC270"/>
  <c r="AC269"/>
  <c r="AC268"/>
  <c r="AC267"/>
  <c r="AC266"/>
  <c r="AC265"/>
  <c r="AC264"/>
  <c r="AC263"/>
  <c r="AC262"/>
  <c r="AC261"/>
  <c r="AC260"/>
  <c r="AC259"/>
  <c r="AC258"/>
  <c r="AC257"/>
  <c r="AC256"/>
  <c r="AC255"/>
  <c r="AC254"/>
  <c r="AC253"/>
  <c r="AC252"/>
  <c r="AC251"/>
  <c r="AC250"/>
  <c r="AC249"/>
  <c r="AC248"/>
  <c r="AC247"/>
  <c r="AC246"/>
  <c r="AC245"/>
  <c r="AC244"/>
  <c r="AC243"/>
  <c r="AC242"/>
  <c r="AC241"/>
  <c r="AC240"/>
  <c r="AC239"/>
  <c r="AC238"/>
  <c r="AC237"/>
  <c r="AC236"/>
  <c r="AC235"/>
  <c r="AC234"/>
  <c r="AC233"/>
  <c r="AC232"/>
  <c r="AC231"/>
  <c r="AC230"/>
  <c r="AC229"/>
  <c r="AC228"/>
  <c r="AC227"/>
  <c r="AC226"/>
  <c r="AC225"/>
  <c r="AC224"/>
  <c r="AC223"/>
  <c r="AC222"/>
  <c r="AC221"/>
  <c r="AC220"/>
  <c r="AC219"/>
  <c r="AC218"/>
  <c r="AC217"/>
  <c r="AC216"/>
  <c r="AC215"/>
  <c r="AC214"/>
  <c r="AC213"/>
  <c r="AC212"/>
  <c r="AC211"/>
  <c r="AC210"/>
  <c r="AC209"/>
  <c r="AC208"/>
  <c r="AC207"/>
  <c r="AC206"/>
  <c r="AC205"/>
  <c r="AC204"/>
  <c r="AC203"/>
  <c r="AC202"/>
  <c r="AC201"/>
  <c r="AC200"/>
  <c r="AC199"/>
  <c r="AC198"/>
  <c r="AC197"/>
  <c r="AC196"/>
  <c r="AC195"/>
  <c r="AC194"/>
  <c r="AC193"/>
  <c r="AC192"/>
  <c r="AC191"/>
  <c r="AC190"/>
  <c r="AC189"/>
  <c r="AC188"/>
  <c r="AC187"/>
  <c r="AC186"/>
  <c r="AC185"/>
  <c r="AC184"/>
  <c r="AC183"/>
  <c r="AC182"/>
  <c r="AC181"/>
  <c r="AC180"/>
  <c r="AC179"/>
  <c r="AC178"/>
  <c r="AC177"/>
  <c r="AC176"/>
  <c r="AC175"/>
  <c r="AC174"/>
  <c r="AC173"/>
  <c r="AC172"/>
  <c r="AC171"/>
  <c r="AC170"/>
  <c r="AC169"/>
  <c r="AC168"/>
  <c r="AC167"/>
  <c r="AC166"/>
  <c r="AC165"/>
  <c r="AC164"/>
  <c r="AC163"/>
  <c r="AC162"/>
  <c r="AC161"/>
  <c r="AC160"/>
  <c r="AC159"/>
  <c r="AC158"/>
  <c r="AC157"/>
  <c r="AC156"/>
  <c r="AC155"/>
  <c r="AC154"/>
  <c r="AC153"/>
  <c r="AC152"/>
  <c r="AC151"/>
  <c r="AC150"/>
  <c r="AC149"/>
  <c r="AC148"/>
  <c r="AC147"/>
  <c r="AC146"/>
  <c r="AC145"/>
  <c r="AC144"/>
  <c r="AC143"/>
  <c r="AC142"/>
  <c r="AC141"/>
  <c r="AC140"/>
  <c r="AC139"/>
  <c r="AC138"/>
  <c r="AC137"/>
  <c r="AC136"/>
  <c r="AC135"/>
  <c r="AC134"/>
  <c r="AC133"/>
  <c r="AC132"/>
  <c r="AC131"/>
  <c r="AC130"/>
  <c r="AC129"/>
  <c r="AC128"/>
  <c r="AC127"/>
  <c r="AC126"/>
  <c r="AC125"/>
  <c r="AC124"/>
  <c r="AC123"/>
  <c r="AC122"/>
  <c r="AC121"/>
  <c r="AC120"/>
  <c r="AC119"/>
  <c r="AC118"/>
  <c r="AC117"/>
  <c r="AC116"/>
  <c r="AC115"/>
  <c r="AC114"/>
  <c r="AC113"/>
  <c r="AC112"/>
  <c r="AC111"/>
  <c r="AC110"/>
  <c r="AC109"/>
  <c r="AC108"/>
  <c r="AC107"/>
  <c r="AC106"/>
  <c r="AC105"/>
  <c r="AC104"/>
  <c r="AC103"/>
  <c r="AC102"/>
  <c r="AC101"/>
  <c r="AC100"/>
  <c r="AC99"/>
  <c r="AC98"/>
  <c r="AC97"/>
  <c r="AC96"/>
  <c r="AC95"/>
  <c r="AC94"/>
  <c r="AC93"/>
  <c r="AC92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V337"/>
  <c r="AU337"/>
  <c r="AV336"/>
  <c r="AU336"/>
  <c r="AV335"/>
  <c r="AU335"/>
  <c r="AV334"/>
  <c r="AU334"/>
  <c r="AV333"/>
  <c r="AU333"/>
  <c r="AV332"/>
  <c r="AU332"/>
  <c r="AV331"/>
  <c r="AU331"/>
  <c r="AV330"/>
  <c r="AU330"/>
  <c r="AV329"/>
  <c r="AU329"/>
  <c r="AV328"/>
  <c r="AU328"/>
  <c r="AV327"/>
  <c r="AU327"/>
  <c r="AV326"/>
  <c r="AU326"/>
  <c r="AV325"/>
  <c r="AU325"/>
  <c r="AV324"/>
  <c r="AU324"/>
  <c r="AV323"/>
  <c r="AU323"/>
  <c r="AV322"/>
  <c r="AU322"/>
  <c r="AV321"/>
  <c r="AU321"/>
  <c r="AV320"/>
  <c r="AU320"/>
  <c r="AV319"/>
  <c r="AU319"/>
  <c r="AV318"/>
  <c r="AU318"/>
  <c r="AV317"/>
  <c r="AU317"/>
  <c r="AV316"/>
  <c r="AU316"/>
  <c r="AV315"/>
  <c r="AU315"/>
  <c r="AV314"/>
  <c r="AU314"/>
  <c r="AV313"/>
  <c r="AU313"/>
  <c r="AV312"/>
  <c r="AU312"/>
  <c r="AV311"/>
  <c r="AU311"/>
  <c r="AV310"/>
  <c r="AU310"/>
  <c r="AV309"/>
  <c r="AU309"/>
  <c r="AV308"/>
  <c r="AU308"/>
  <c r="AV307"/>
  <c r="AU307"/>
  <c r="AV306"/>
  <c r="AU306"/>
  <c r="AV305"/>
  <c r="AU305"/>
  <c r="AV304"/>
  <c r="AU304"/>
  <c r="AV303"/>
  <c r="AU303"/>
  <c r="AV302"/>
  <c r="AU302"/>
  <c r="AV301"/>
  <c r="AU301"/>
  <c r="AV300"/>
  <c r="AU300"/>
  <c r="AV299"/>
  <c r="AU299"/>
  <c r="AV298"/>
  <c r="AU298"/>
  <c r="AV297"/>
  <c r="AU297"/>
  <c r="AV296"/>
  <c r="AU296"/>
  <c r="AV295"/>
  <c r="AU295"/>
  <c r="AV294"/>
  <c r="AU294"/>
  <c r="AV293"/>
  <c r="AU293"/>
  <c r="AV292"/>
  <c r="AU292"/>
  <c r="AV291"/>
  <c r="AU291"/>
  <c r="AV290"/>
  <c r="AU290"/>
  <c r="AV289"/>
  <c r="AU289"/>
  <c r="AV288"/>
  <c r="AU288"/>
  <c r="AV287"/>
  <c r="AU287"/>
  <c r="AV372"/>
  <c r="AU372"/>
  <c r="AV371"/>
  <c r="AU371"/>
  <c r="AV370"/>
  <c r="AU370"/>
  <c r="AV369"/>
  <c r="AU369"/>
  <c r="AV368"/>
  <c r="AU368"/>
  <c r="AV367"/>
  <c r="AU367"/>
  <c r="AV366"/>
  <c r="AU366"/>
  <c r="AV365"/>
  <c r="AU365"/>
  <c r="AV364"/>
  <c r="AU364"/>
  <c r="AV363"/>
  <c r="AU363"/>
  <c r="AV362"/>
  <c r="AU362"/>
  <c r="AV361"/>
  <c r="AU361"/>
  <c r="AV360"/>
  <c r="AU360"/>
  <c r="AV359"/>
  <c r="AU359"/>
  <c r="AV358"/>
  <c r="AU358"/>
  <c r="AV357"/>
  <c r="AU357"/>
  <c r="AV356"/>
  <c r="AU356"/>
  <c r="AV355"/>
  <c r="AU355"/>
  <c r="AV354"/>
  <c r="AU354"/>
  <c r="AV353"/>
  <c r="AU353"/>
  <c r="AV352"/>
  <c r="AU352"/>
  <c r="AV351"/>
  <c r="AU351"/>
  <c r="AV350"/>
  <c r="AU350"/>
  <c r="AV349"/>
  <c r="AU349"/>
  <c r="AV348"/>
  <c r="AU348"/>
  <c r="AV347"/>
  <c r="AU347"/>
  <c r="AV346"/>
  <c r="AU346"/>
  <c r="AV345"/>
  <c r="AU345"/>
  <c r="AV344"/>
  <c r="AU344"/>
  <c r="AV343"/>
  <c r="AU343"/>
  <c r="AV342"/>
  <c r="AU342"/>
  <c r="AV341"/>
  <c r="AU341"/>
  <c r="AV340"/>
  <c r="AU340"/>
  <c r="AV339"/>
  <c r="AU339"/>
  <c r="AV338"/>
  <c r="AU338"/>
  <c r="AV286"/>
  <c r="AU286"/>
  <c r="AV285"/>
  <c r="AU285"/>
  <c r="AV284"/>
  <c r="AU284"/>
  <c r="AV283"/>
  <c r="AU283"/>
  <c r="AV282"/>
  <c r="AU282"/>
  <c r="AV281"/>
  <c r="AU281"/>
  <c r="AV280"/>
  <c r="AU280"/>
  <c r="AV279"/>
  <c r="AU279"/>
  <c r="AV278"/>
  <c r="AU278"/>
  <c r="AV277"/>
  <c r="AU277"/>
  <c r="AV276"/>
  <c r="AU276"/>
  <c r="AV275"/>
  <c r="AU275"/>
  <c r="AV274"/>
  <c r="AU274"/>
  <c r="AV273"/>
  <c r="AU273"/>
  <c r="AV272"/>
  <c r="AU272"/>
  <c r="AV271"/>
  <c r="AU271"/>
  <c r="AV270"/>
  <c r="AU270"/>
  <c r="AV269"/>
  <c r="AU269"/>
  <c r="AV268"/>
  <c r="AU268"/>
  <c r="AV267"/>
  <c r="AU267"/>
  <c r="AV266"/>
  <c r="AU266"/>
  <c r="AV265"/>
  <c r="AU265"/>
  <c r="AV264"/>
  <c r="AU264"/>
  <c r="AV263"/>
  <c r="AU263"/>
  <c r="AV262"/>
  <c r="AU262"/>
  <c r="AV261"/>
  <c r="AU261"/>
  <c r="AV260"/>
  <c r="AU260"/>
  <c r="AV259"/>
  <c r="AU259"/>
  <c r="AV258"/>
  <c r="AU258"/>
  <c r="AV257"/>
  <c r="AU257"/>
  <c r="AV256"/>
  <c r="AU256"/>
  <c r="AV255"/>
  <c r="AU255"/>
  <c r="AV254"/>
  <c r="AU254"/>
  <c r="AV253"/>
  <c r="AU253"/>
  <c r="AV252"/>
  <c r="AU252"/>
  <c r="AV251"/>
  <c r="AU251"/>
  <c r="AV250"/>
  <c r="AU250"/>
  <c r="AV249"/>
  <c r="AU249"/>
  <c r="AV248"/>
  <c r="AU248"/>
  <c r="AV247"/>
  <c r="AU247"/>
  <c r="AV246"/>
  <c r="AU246"/>
  <c r="AV245"/>
  <c r="AU245"/>
  <c r="AV244"/>
  <c r="AU244"/>
  <c r="AV243"/>
  <c r="AU243"/>
  <c r="AV242"/>
  <c r="AU242"/>
  <c r="AV241"/>
  <c r="AU241"/>
  <c r="AV240"/>
  <c r="AU240"/>
  <c r="AV239"/>
  <c r="AU239"/>
  <c r="AV238"/>
  <c r="AU238"/>
  <c r="AV237"/>
  <c r="AU237"/>
  <c r="AV236"/>
  <c r="AU236"/>
  <c r="AV235"/>
  <c r="AU235"/>
  <c r="AV234"/>
  <c r="AU234"/>
  <c r="AV233"/>
  <c r="AU233"/>
  <c r="AV232"/>
  <c r="AU232"/>
  <c r="AV231"/>
  <c r="AU231"/>
  <c r="AV230"/>
  <c r="AU230"/>
  <c r="AV229"/>
  <c r="AU229"/>
  <c r="AV228"/>
  <c r="AU228"/>
  <c r="AV227"/>
  <c r="AU227"/>
  <c r="AV226"/>
  <c r="AU226"/>
  <c r="AV225"/>
  <c r="AU225"/>
  <c r="AV224"/>
  <c r="AU224"/>
  <c r="AV223"/>
  <c r="AU223"/>
  <c r="AV222"/>
  <c r="AU222"/>
  <c r="AV221"/>
  <c r="AU221"/>
  <c r="AV220"/>
  <c r="AU220"/>
  <c r="AV219"/>
  <c r="AU219"/>
  <c r="AV218"/>
  <c r="AU218"/>
  <c r="AV217"/>
  <c r="AU217"/>
  <c r="AV216"/>
  <c r="AU216"/>
  <c r="AV215"/>
  <c r="AU215"/>
  <c r="AV214"/>
  <c r="AU214"/>
  <c r="AV213"/>
  <c r="AU213"/>
  <c r="AV212"/>
  <c r="AU212"/>
  <c r="AV211"/>
  <c r="AU211"/>
  <c r="AV210"/>
  <c r="AU210"/>
  <c r="AV209"/>
  <c r="AU209"/>
  <c r="AV208"/>
  <c r="AU208"/>
  <c r="AV207"/>
  <c r="AU207"/>
  <c r="AV206"/>
  <c r="AU206"/>
  <c r="AV205"/>
  <c r="AU205"/>
  <c r="AV204"/>
  <c r="AU204"/>
  <c r="AV203"/>
  <c r="AU203"/>
  <c r="AV202"/>
  <c r="AU202"/>
  <c r="AV201"/>
  <c r="AU201"/>
  <c r="AV200"/>
  <c r="AU200"/>
  <c r="AV199"/>
  <c r="AU199"/>
  <c r="AV198"/>
  <c r="AU198"/>
  <c r="AV197"/>
  <c r="AU197"/>
  <c r="AV196"/>
  <c r="AU196"/>
  <c r="AV195"/>
  <c r="AU195"/>
  <c r="AV194"/>
  <c r="AU194"/>
  <c r="AV193"/>
  <c r="AU193"/>
  <c r="AV192"/>
  <c r="AU192"/>
  <c r="AV191"/>
  <c r="AU191"/>
  <c r="AV190"/>
  <c r="AU190"/>
  <c r="AV189"/>
  <c r="AU189"/>
  <c r="AV188"/>
  <c r="AU188"/>
  <c r="AV187"/>
  <c r="AU187"/>
  <c r="AV186"/>
  <c r="AU186"/>
  <c r="AV185"/>
  <c r="AU185"/>
  <c r="AV184"/>
  <c r="AU184"/>
  <c r="AV183"/>
  <c r="AU183"/>
  <c r="AV182"/>
  <c r="AU182"/>
  <c r="AV181"/>
  <c r="AU181"/>
  <c r="AV180"/>
  <c r="AU180"/>
  <c r="AV179"/>
  <c r="AU179"/>
  <c r="AV178"/>
  <c r="AU178"/>
  <c r="AV177"/>
  <c r="AU177"/>
  <c r="AV176"/>
  <c r="AU176"/>
  <c r="AV175"/>
  <c r="AU175"/>
  <c r="AV174"/>
  <c r="AU174"/>
  <c r="AV173"/>
  <c r="AU173"/>
  <c r="AV172"/>
  <c r="AU172"/>
  <c r="AV171"/>
  <c r="AU171"/>
  <c r="AV170"/>
  <c r="AU170"/>
  <c r="AV169"/>
  <c r="AU169"/>
  <c r="AV168"/>
  <c r="AU168"/>
  <c r="AV167"/>
  <c r="AU167"/>
  <c r="AV166"/>
  <c r="AU166"/>
  <c r="AV165"/>
  <c r="AU165"/>
  <c r="AV164"/>
  <c r="AU164"/>
  <c r="AV163"/>
  <c r="AU163"/>
  <c r="AV162"/>
  <c r="AU162"/>
  <c r="AV161"/>
  <c r="AU161"/>
  <c r="AV160"/>
  <c r="AU160"/>
  <c r="AV159"/>
  <c r="AU159"/>
  <c r="AV158"/>
  <c r="AU158"/>
  <c r="AV157"/>
  <c r="AU157"/>
  <c r="AV156"/>
  <c r="AU156"/>
  <c r="AV155"/>
  <c r="AU155"/>
  <c r="AV154"/>
  <c r="AU154"/>
  <c r="AV153"/>
  <c r="AU153"/>
  <c r="AV152"/>
  <c r="AU152"/>
  <c r="AV151"/>
  <c r="AU151"/>
  <c r="AV150"/>
  <c r="AU150"/>
  <c r="AV149"/>
  <c r="AU149"/>
  <c r="AV148"/>
  <c r="AU148"/>
  <c r="AV147"/>
  <c r="AU147"/>
  <c r="AV146"/>
  <c r="AU146"/>
  <c r="AV145"/>
  <c r="AU145"/>
  <c r="AV144"/>
  <c r="AU144"/>
  <c r="AV143"/>
  <c r="AU143"/>
  <c r="AV142"/>
  <c r="AU142"/>
  <c r="AV141"/>
  <c r="AU141"/>
  <c r="AV140"/>
  <c r="AU140"/>
  <c r="AV139"/>
  <c r="AU139"/>
  <c r="AV138"/>
  <c r="AU138"/>
  <c r="AV137"/>
  <c r="AU137"/>
  <c r="AV136"/>
  <c r="AU136"/>
  <c r="AV135"/>
  <c r="AU135"/>
  <c r="AV134"/>
  <c r="AU134"/>
  <c r="AV133"/>
  <c r="AU133"/>
  <c r="AV132"/>
  <c r="AU132"/>
  <c r="AV131"/>
  <c r="AU131"/>
  <c r="AV130"/>
  <c r="AU130"/>
  <c r="AV129"/>
  <c r="AU129"/>
  <c r="AV128"/>
  <c r="AU128"/>
  <c r="AV127"/>
  <c r="AU127"/>
  <c r="AV126"/>
  <c r="AU126"/>
  <c r="AV125"/>
  <c r="AU125"/>
  <c r="AV124"/>
  <c r="AU124"/>
  <c r="AV123"/>
  <c r="AU123"/>
  <c r="AV122"/>
  <c r="AU122"/>
  <c r="AV121"/>
  <c r="AU121"/>
  <c r="AV120"/>
  <c r="AU120"/>
  <c r="AV119"/>
  <c r="AU119"/>
  <c r="AV118"/>
  <c r="AU118"/>
  <c r="AV117"/>
  <c r="AU117"/>
  <c r="AV116"/>
  <c r="AU116"/>
  <c r="AV115"/>
  <c r="AU115"/>
  <c r="AV114"/>
  <c r="AU114"/>
  <c r="AV113"/>
  <c r="AU113"/>
  <c r="AV112"/>
  <c r="AU112"/>
  <c r="AV111"/>
  <c r="AU111"/>
  <c r="AV110"/>
  <c r="AU110"/>
  <c r="AV109"/>
  <c r="AU109"/>
  <c r="AV108"/>
  <c r="AU108"/>
  <c r="AV107"/>
  <c r="AU107"/>
  <c r="AV106"/>
  <c r="AU106"/>
  <c r="AV105"/>
  <c r="AU105"/>
  <c r="AV104"/>
  <c r="AU104"/>
  <c r="AV103"/>
  <c r="AU103"/>
  <c r="AV102"/>
  <c r="AU102"/>
  <c r="AV101"/>
  <c r="AU101"/>
  <c r="AV100"/>
  <c r="AU100"/>
  <c r="AV99"/>
  <c r="AU99"/>
  <c r="AV98"/>
  <c r="AU98"/>
  <c r="AV97"/>
  <c r="AU97"/>
  <c r="AV96"/>
  <c r="AU96"/>
  <c r="AV95"/>
  <c r="AU95"/>
  <c r="AV94"/>
  <c r="AU94"/>
  <c r="AV93"/>
  <c r="AU93"/>
  <c r="AV92"/>
  <c r="AU92"/>
  <c r="AV91"/>
  <c r="AU91"/>
  <c r="AV90"/>
  <c r="AU90"/>
  <c r="AV89"/>
  <c r="AU89"/>
  <c r="AV88"/>
  <c r="AU88"/>
  <c r="AV87"/>
  <c r="AU87"/>
  <c r="AV86"/>
  <c r="AU86"/>
  <c r="AV85"/>
  <c r="AU85"/>
  <c r="AV84"/>
  <c r="AU84"/>
  <c r="AV83"/>
  <c r="AU83"/>
  <c r="AV82"/>
  <c r="AU82"/>
  <c r="AV81"/>
  <c r="AU81"/>
  <c r="AV80"/>
  <c r="AU80"/>
  <c r="AV79"/>
  <c r="AU79"/>
  <c r="AV78"/>
  <c r="AU78"/>
  <c r="AV77"/>
  <c r="AU77"/>
  <c r="AV76"/>
  <c r="AU76"/>
  <c r="AV75"/>
  <c r="AU75"/>
  <c r="AV74"/>
  <c r="AU74"/>
  <c r="AV73"/>
  <c r="AU73"/>
  <c r="AV72"/>
  <c r="AU72"/>
  <c r="AV71"/>
  <c r="AU71"/>
  <c r="AV70"/>
  <c r="AU70"/>
  <c r="AV69"/>
  <c r="AU69"/>
  <c r="AV68"/>
  <c r="AU68"/>
  <c r="AV67"/>
  <c r="AU67"/>
  <c r="AV66"/>
  <c r="AU66"/>
  <c r="AV65"/>
  <c r="AU65"/>
  <c r="AV64"/>
  <c r="AU64"/>
  <c r="AV63"/>
  <c r="AU63"/>
  <c r="AV62"/>
  <c r="AU62"/>
  <c r="AV61"/>
  <c r="AU61"/>
  <c r="AV60"/>
  <c r="AU60"/>
  <c r="AV59"/>
  <c r="AU59"/>
  <c r="AV58"/>
  <c r="AU58"/>
  <c r="AV57"/>
  <c r="AU57"/>
  <c r="AV56"/>
  <c r="AU56"/>
  <c r="AV55"/>
  <c r="AU55"/>
  <c r="AV54"/>
  <c r="AU54"/>
  <c r="AV53"/>
  <c r="AU53"/>
  <c r="AV52"/>
  <c r="AU52"/>
  <c r="AV51"/>
  <c r="AU51"/>
  <c r="AV50"/>
  <c r="AU50"/>
  <c r="AV49"/>
  <c r="AU49"/>
  <c r="AV48"/>
  <c r="AU48"/>
  <c r="AV47"/>
  <c r="AU47"/>
  <c r="AV46"/>
  <c r="AU46"/>
  <c r="AV45"/>
  <c r="AU45"/>
  <c r="AV44"/>
  <c r="AU44"/>
  <c r="AV43"/>
  <c r="AU43"/>
  <c r="AV42"/>
  <c r="AU42"/>
  <c r="AV41"/>
  <c r="AU41"/>
  <c r="AV40"/>
  <c r="AU40"/>
  <c r="AV39"/>
  <c r="AU39"/>
  <c r="AV38"/>
  <c r="AU38"/>
  <c r="AV37"/>
  <c r="AU37"/>
  <c r="AV36"/>
  <c r="AU36"/>
  <c r="AV35"/>
  <c r="AU35"/>
  <c r="AV34"/>
  <c r="AU34"/>
  <c r="AV33"/>
  <c r="AU33"/>
  <c r="AV32"/>
  <c r="AU32"/>
  <c r="AV31"/>
  <c r="AU31"/>
  <c r="AV29"/>
  <c r="AU29"/>
  <c r="AV28"/>
  <c r="AU28"/>
  <c r="AV27"/>
  <c r="AU27"/>
  <c r="AV26"/>
  <c r="AU26"/>
  <c r="AV25"/>
  <c r="AU25"/>
  <c r="AV24"/>
  <c r="AU24"/>
  <c r="AV23"/>
  <c r="AU23"/>
  <c r="AV22"/>
  <c r="AU22"/>
  <c r="AV21"/>
  <c r="AU21"/>
  <c r="AV20"/>
  <c r="AU20"/>
  <c r="AV19"/>
  <c r="AU19"/>
  <c r="AV18"/>
  <c r="AU18"/>
  <c r="AV17"/>
  <c r="AU17"/>
  <c r="AV16"/>
  <c r="AU16"/>
  <c r="AV15"/>
  <c r="AU15"/>
  <c r="AV14"/>
  <c r="AU14"/>
  <c r="AV13"/>
  <c r="AU13"/>
  <c r="AV12"/>
  <c r="AU12"/>
  <c r="AV11"/>
  <c r="AU11"/>
  <c r="AV10"/>
  <c r="AU10"/>
  <c r="AV9"/>
  <c r="AU9"/>
  <c r="AV8"/>
  <c r="AU8"/>
  <c r="AV7"/>
  <c r="AU7"/>
  <c r="AV6"/>
  <c r="AU6"/>
  <c r="AE309" l="1"/>
  <c r="AE276"/>
  <c r="AE243"/>
  <c r="AE211"/>
  <c r="AD156"/>
  <c r="AD135"/>
  <c r="AD131"/>
  <c r="AD123"/>
  <c r="AD103"/>
  <c r="AD99"/>
  <c r="AD90"/>
  <c r="AD78"/>
  <c r="AD74"/>
  <c r="AD70"/>
  <c r="AD66"/>
  <c r="AD58"/>
  <c r="AD46"/>
  <c r="AD42"/>
  <c r="AD38"/>
  <c r="AD34"/>
  <c r="X406"/>
  <c r="W406"/>
  <c r="V406"/>
  <c r="U406"/>
  <c r="T406"/>
  <c r="Q406"/>
  <c r="P406"/>
  <c r="O406"/>
  <c r="N406"/>
  <c r="M406"/>
  <c r="J406"/>
  <c r="I406"/>
  <c r="H406"/>
  <c r="G406"/>
  <c r="F406"/>
  <c r="E406"/>
  <c r="Z404"/>
  <c r="Y404"/>
  <c r="S404"/>
  <c r="R404"/>
  <c r="K404"/>
  <c r="Z403"/>
  <c r="Y403"/>
  <c r="S403"/>
  <c r="R403"/>
  <c r="K403"/>
  <c r="AA403" s="1"/>
  <c r="Z402"/>
  <c r="Y402"/>
  <c r="S402"/>
  <c r="R402"/>
  <c r="L402"/>
  <c r="AB402" s="1"/>
  <c r="K402"/>
  <c r="Z401"/>
  <c r="Y401"/>
  <c r="S401"/>
  <c r="R401"/>
  <c r="K401"/>
  <c r="Z400"/>
  <c r="Y400"/>
  <c r="S400"/>
  <c r="R400"/>
  <c r="K400"/>
  <c r="L400" s="1"/>
  <c r="Z399"/>
  <c r="Y399"/>
  <c r="S399"/>
  <c r="R399"/>
  <c r="L399"/>
  <c r="AB399" s="1"/>
  <c r="K399"/>
  <c r="Z398"/>
  <c r="Y398"/>
  <c r="S398"/>
  <c r="R398"/>
  <c r="L398"/>
  <c r="AB398" s="1"/>
  <c r="K398"/>
  <c r="Z397"/>
  <c r="Y397"/>
  <c r="S397"/>
  <c r="R397"/>
  <c r="K397"/>
  <c r="Z396"/>
  <c r="Z406" s="1"/>
  <c r="Y396"/>
  <c r="S396"/>
  <c r="R396"/>
  <c r="K396"/>
  <c r="L396" s="1"/>
  <c r="X373"/>
  <c r="W373"/>
  <c r="V373"/>
  <c r="U373"/>
  <c r="T373"/>
  <c r="Q373"/>
  <c r="P373"/>
  <c r="O373"/>
  <c r="N373"/>
  <c r="M373"/>
  <c r="J373"/>
  <c r="I373"/>
  <c r="H373"/>
  <c r="G373"/>
  <c r="F373"/>
  <c r="E373"/>
  <c r="Z372"/>
  <c r="Y372"/>
  <c r="S372"/>
  <c r="R372"/>
  <c r="K372"/>
  <c r="Z371"/>
  <c r="Y371"/>
  <c r="S371"/>
  <c r="R371"/>
  <c r="L371"/>
  <c r="K371"/>
  <c r="Z370"/>
  <c r="Y370"/>
  <c r="S370"/>
  <c r="R370"/>
  <c r="L370"/>
  <c r="K370"/>
  <c r="Z369"/>
  <c r="Y369"/>
  <c r="S369"/>
  <c r="R369"/>
  <c r="K369"/>
  <c r="Z368"/>
  <c r="Y368"/>
  <c r="S368"/>
  <c r="R368"/>
  <c r="K368"/>
  <c r="AA368" s="1"/>
  <c r="AD368" s="1"/>
  <c r="Z367"/>
  <c r="Y367"/>
  <c r="S367"/>
  <c r="R367"/>
  <c r="L367"/>
  <c r="K367"/>
  <c r="Z366"/>
  <c r="Y366"/>
  <c r="S366"/>
  <c r="R366"/>
  <c r="L366"/>
  <c r="AB366" s="1"/>
  <c r="AE366" s="1"/>
  <c r="K366"/>
  <c r="Z365"/>
  <c r="Y365"/>
  <c r="S365"/>
  <c r="R365"/>
  <c r="K365"/>
  <c r="Z364"/>
  <c r="Y364"/>
  <c r="S364"/>
  <c r="R364"/>
  <c r="L364"/>
  <c r="K364"/>
  <c r="AA364" s="1"/>
  <c r="AD364" s="1"/>
  <c r="Z363"/>
  <c r="Y363"/>
  <c r="S363"/>
  <c r="R363"/>
  <c r="L363"/>
  <c r="K363"/>
  <c r="Z362"/>
  <c r="Y362"/>
  <c r="S362"/>
  <c r="R362"/>
  <c r="L362"/>
  <c r="AB362" s="1"/>
  <c r="AE362" s="1"/>
  <c r="K362"/>
  <c r="Z361"/>
  <c r="Y361"/>
  <c r="S361"/>
  <c r="R361"/>
  <c r="K361"/>
  <c r="Z360"/>
  <c r="Y360"/>
  <c r="S360"/>
  <c r="R360"/>
  <c r="L360"/>
  <c r="AB360" s="1"/>
  <c r="AE360" s="1"/>
  <c r="K360"/>
  <c r="AA360" s="1"/>
  <c r="AD360" s="1"/>
  <c r="Z359"/>
  <c r="Y359"/>
  <c r="S359"/>
  <c r="R359"/>
  <c r="L359"/>
  <c r="K359"/>
  <c r="Z358"/>
  <c r="Y358"/>
  <c r="S358"/>
  <c r="R358"/>
  <c r="L358"/>
  <c r="K358"/>
  <c r="Z357"/>
  <c r="Y357"/>
  <c r="S357"/>
  <c r="R357"/>
  <c r="K357"/>
  <c r="Z356"/>
  <c r="Y356"/>
  <c r="S356"/>
  <c r="R356"/>
  <c r="K356"/>
  <c r="AA356" s="1"/>
  <c r="AD356" s="1"/>
  <c r="Z355"/>
  <c r="Y355"/>
  <c r="S355"/>
  <c r="R355"/>
  <c r="L355"/>
  <c r="K355"/>
  <c r="Z354"/>
  <c r="Y354"/>
  <c r="S354"/>
  <c r="R354"/>
  <c r="L354"/>
  <c r="AB354" s="1"/>
  <c r="AE354" s="1"/>
  <c r="K354"/>
  <c r="Z353"/>
  <c r="Y353"/>
  <c r="S353"/>
  <c r="R353"/>
  <c r="K353"/>
  <c r="Z352"/>
  <c r="Y352"/>
  <c r="S352"/>
  <c r="R352"/>
  <c r="L352"/>
  <c r="AB352" s="1"/>
  <c r="AE352" s="1"/>
  <c r="K352"/>
  <c r="AA352" s="1"/>
  <c r="AD352" s="1"/>
  <c r="Z351"/>
  <c r="Y351"/>
  <c r="S351"/>
  <c r="R351"/>
  <c r="L351"/>
  <c r="K351"/>
  <c r="Z350"/>
  <c r="Y350"/>
  <c r="S350"/>
  <c r="R350"/>
  <c r="L350"/>
  <c r="K350"/>
  <c r="Z349"/>
  <c r="Y349"/>
  <c r="S349"/>
  <c r="R349"/>
  <c r="K349"/>
  <c r="Z348"/>
  <c r="Y348"/>
  <c r="S348"/>
  <c r="R348"/>
  <c r="L348"/>
  <c r="AB348" s="1"/>
  <c r="AE348" s="1"/>
  <c r="AF348" s="1"/>
  <c r="K348"/>
  <c r="AA348" s="1"/>
  <c r="AD348" s="1"/>
  <c r="Z347"/>
  <c r="Y347"/>
  <c r="S347"/>
  <c r="R347"/>
  <c r="L347"/>
  <c r="K347"/>
  <c r="Z346"/>
  <c r="Y346"/>
  <c r="S346"/>
  <c r="R346"/>
  <c r="L346"/>
  <c r="K346"/>
  <c r="Z345"/>
  <c r="Y345"/>
  <c r="S345"/>
  <c r="R345"/>
  <c r="K345"/>
  <c r="Z344"/>
  <c r="Y344"/>
  <c r="S344"/>
  <c r="R344"/>
  <c r="K344"/>
  <c r="AA344" s="1"/>
  <c r="AD344" s="1"/>
  <c r="Z343"/>
  <c r="Y343"/>
  <c r="S343"/>
  <c r="R343"/>
  <c r="L343"/>
  <c r="K343"/>
  <c r="Z342"/>
  <c r="Y342"/>
  <c r="S342"/>
  <c r="R342"/>
  <c r="L342"/>
  <c r="AB342" s="1"/>
  <c r="AE342" s="1"/>
  <c r="K342"/>
  <c r="Z341"/>
  <c r="Y341"/>
  <c r="S341"/>
  <c r="R341"/>
  <c r="K341"/>
  <c r="Z340"/>
  <c r="Y340"/>
  <c r="S340"/>
  <c r="R340"/>
  <c r="L340"/>
  <c r="AB340" s="1"/>
  <c r="AE340" s="1"/>
  <c r="AF340" s="1"/>
  <c r="K340"/>
  <c r="AA340" s="1"/>
  <c r="AD340" s="1"/>
  <c r="Z339"/>
  <c r="Y339"/>
  <c r="S339"/>
  <c r="R339"/>
  <c r="L339"/>
  <c r="K339"/>
  <c r="Z338"/>
  <c r="Y338"/>
  <c r="S338"/>
  <c r="R338"/>
  <c r="L338"/>
  <c r="K338"/>
  <c r="X337"/>
  <c r="W337"/>
  <c r="V337"/>
  <c r="U337"/>
  <c r="T337"/>
  <c r="Q337"/>
  <c r="P337"/>
  <c r="O337"/>
  <c r="N337"/>
  <c r="M337"/>
  <c r="J337"/>
  <c r="I337"/>
  <c r="H337"/>
  <c r="G337"/>
  <c r="F337"/>
  <c r="E337"/>
  <c r="Z336"/>
  <c r="Y336"/>
  <c r="S336"/>
  <c r="R336"/>
  <c r="K336"/>
  <c r="Z335"/>
  <c r="Y335"/>
  <c r="S335"/>
  <c r="R335"/>
  <c r="K335"/>
  <c r="AA335" s="1"/>
  <c r="AD335" s="1"/>
  <c r="Z334"/>
  <c r="Y334"/>
  <c r="S334"/>
  <c r="R334"/>
  <c r="L334"/>
  <c r="K334"/>
  <c r="Z333"/>
  <c r="Y333"/>
  <c r="S333"/>
  <c r="R333"/>
  <c r="L333"/>
  <c r="AB333" s="1"/>
  <c r="AE333" s="1"/>
  <c r="K333"/>
  <c r="Z332"/>
  <c r="Y332"/>
  <c r="S332"/>
  <c r="R332"/>
  <c r="K332"/>
  <c r="Z331"/>
  <c r="Y331"/>
  <c r="S331"/>
  <c r="R331"/>
  <c r="L331"/>
  <c r="K331"/>
  <c r="AA331" s="1"/>
  <c r="AD331" s="1"/>
  <c r="Z330"/>
  <c r="Y330"/>
  <c r="S330"/>
  <c r="R330"/>
  <c r="L330"/>
  <c r="K330"/>
  <c r="Z329"/>
  <c r="Y329"/>
  <c r="S329"/>
  <c r="R329"/>
  <c r="L329"/>
  <c r="AB329" s="1"/>
  <c r="AE329" s="1"/>
  <c r="K329"/>
  <c r="Z328"/>
  <c r="Y328"/>
  <c r="S328"/>
  <c r="R328"/>
  <c r="K328"/>
  <c r="Z327"/>
  <c r="Y327"/>
  <c r="S327"/>
  <c r="R327"/>
  <c r="L327"/>
  <c r="AB327" s="1"/>
  <c r="AE327" s="1"/>
  <c r="K327"/>
  <c r="AA327" s="1"/>
  <c r="AD327" s="1"/>
  <c r="Z326"/>
  <c r="Y326"/>
  <c r="S326"/>
  <c r="R326"/>
  <c r="L326"/>
  <c r="K326"/>
  <c r="Z325"/>
  <c r="Y325"/>
  <c r="S325"/>
  <c r="R325"/>
  <c r="L325"/>
  <c r="K325"/>
  <c r="Z324"/>
  <c r="Y324"/>
  <c r="S324"/>
  <c r="R324"/>
  <c r="K324"/>
  <c r="Z323"/>
  <c r="Y323"/>
  <c r="S323"/>
  <c r="R323"/>
  <c r="K323"/>
  <c r="AA323" s="1"/>
  <c r="AD323" s="1"/>
  <c r="Z322"/>
  <c r="Y322"/>
  <c r="S322"/>
  <c r="R322"/>
  <c r="L322"/>
  <c r="K322"/>
  <c r="Z321"/>
  <c r="Y321"/>
  <c r="S321"/>
  <c r="R321"/>
  <c r="L321"/>
  <c r="AB321" s="1"/>
  <c r="AE321" s="1"/>
  <c r="K321"/>
  <c r="Z320"/>
  <c r="Y320"/>
  <c r="S320"/>
  <c r="R320"/>
  <c r="K320"/>
  <c r="Z319"/>
  <c r="Y319"/>
  <c r="S319"/>
  <c r="R319"/>
  <c r="L319"/>
  <c r="AB319" s="1"/>
  <c r="AE319" s="1"/>
  <c r="K319"/>
  <c r="AA319" s="1"/>
  <c r="AD319" s="1"/>
  <c r="Z318"/>
  <c r="Y318"/>
  <c r="S318"/>
  <c r="R318"/>
  <c r="L318"/>
  <c r="K318"/>
  <c r="Z317"/>
  <c r="Y317"/>
  <c r="S317"/>
  <c r="R317"/>
  <c r="L317"/>
  <c r="K317"/>
  <c r="Z316"/>
  <c r="Y316"/>
  <c r="S316"/>
  <c r="R316"/>
  <c r="K316"/>
  <c r="Z315"/>
  <c r="Y315"/>
  <c r="S315"/>
  <c r="R315"/>
  <c r="L315"/>
  <c r="AB315" s="1"/>
  <c r="AE315" s="1"/>
  <c r="K315"/>
  <c r="AA315" s="1"/>
  <c r="AD315" s="1"/>
  <c r="Z314"/>
  <c r="Y314"/>
  <c r="S314"/>
  <c r="R314"/>
  <c r="L314"/>
  <c r="K314"/>
  <c r="Z313"/>
  <c r="Y313"/>
  <c r="S313"/>
  <c r="R313"/>
  <c r="L313"/>
  <c r="K313"/>
  <c r="Z312"/>
  <c r="Y312"/>
  <c r="S312"/>
  <c r="R312"/>
  <c r="K312"/>
  <c r="Z311"/>
  <c r="Y311"/>
  <c r="S311"/>
  <c r="R311"/>
  <c r="K311"/>
  <c r="AA311" s="1"/>
  <c r="AD311" s="1"/>
  <c r="Z310"/>
  <c r="Y310"/>
  <c r="S310"/>
  <c r="R310"/>
  <c r="L310"/>
  <c r="K310"/>
  <c r="Z309"/>
  <c r="Y309"/>
  <c r="S309"/>
  <c r="R309"/>
  <c r="L309"/>
  <c r="AB309" s="1"/>
  <c r="K309"/>
  <c r="Z308"/>
  <c r="Y308"/>
  <c r="S308"/>
  <c r="R308"/>
  <c r="K308"/>
  <c r="Z307"/>
  <c r="Y307"/>
  <c r="S307"/>
  <c r="R307"/>
  <c r="L307"/>
  <c r="AB307" s="1"/>
  <c r="AE307" s="1"/>
  <c r="K307"/>
  <c r="AA307" s="1"/>
  <c r="AD307" s="1"/>
  <c r="Z306"/>
  <c r="Y306"/>
  <c r="S306"/>
  <c r="R306"/>
  <c r="L306"/>
  <c r="K306"/>
  <c r="Z305"/>
  <c r="Y305"/>
  <c r="S305"/>
  <c r="R305"/>
  <c r="L305"/>
  <c r="K305"/>
  <c r="Z304"/>
  <c r="Y304"/>
  <c r="S304"/>
  <c r="R304"/>
  <c r="K304"/>
  <c r="Z303"/>
  <c r="Y303"/>
  <c r="S303"/>
  <c r="R303"/>
  <c r="K303"/>
  <c r="AA303" s="1"/>
  <c r="AD303" s="1"/>
  <c r="Z302"/>
  <c r="Y302"/>
  <c r="S302"/>
  <c r="R302"/>
  <c r="L302"/>
  <c r="K302"/>
  <c r="Z301"/>
  <c r="Y301"/>
  <c r="S301"/>
  <c r="R301"/>
  <c r="L301"/>
  <c r="AB301" s="1"/>
  <c r="AE301" s="1"/>
  <c r="K301"/>
  <c r="Z300"/>
  <c r="Y300"/>
  <c r="S300"/>
  <c r="R300"/>
  <c r="K300"/>
  <c r="Z299"/>
  <c r="Y299"/>
  <c r="S299"/>
  <c r="R299"/>
  <c r="L299"/>
  <c r="K299"/>
  <c r="AA299" s="1"/>
  <c r="AD299" s="1"/>
  <c r="Z298"/>
  <c r="Y298"/>
  <c r="S298"/>
  <c r="R298"/>
  <c r="L298"/>
  <c r="K298"/>
  <c r="Z297"/>
  <c r="Y297"/>
  <c r="S297"/>
  <c r="R297"/>
  <c r="L297"/>
  <c r="AB297" s="1"/>
  <c r="AE297" s="1"/>
  <c r="K297"/>
  <c r="Z296"/>
  <c r="Y296"/>
  <c r="S296"/>
  <c r="R296"/>
  <c r="K296"/>
  <c r="Z295"/>
  <c r="Y295"/>
  <c r="S295"/>
  <c r="R295"/>
  <c r="L295"/>
  <c r="AB295" s="1"/>
  <c r="AE295" s="1"/>
  <c r="K295"/>
  <c r="AA295" s="1"/>
  <c r="AD295" s="1"/>
  <c r="Z294"/>
  <c r="Y294"/>
  <c r="S294"/>
  <c r="R294"/>
  <c r="L294"/>
  <c r="K294"/>
  <c r="Z293"/>
  <c r="Y293"/>
  <c r="S293"/>
  <c r="R293"/>
  <c r="L293"/>
  <c r="K293"/>
  <c r="Z292"/>
  <c r="Y292"/>
  <c r="S292"/>
  <c r="R292"/>
  <c r="K292"/>
  <c r="Z291"/>
  <c r="Y291"/>
  <c r="S291"/>
  <c r="R291"/>
  <c r="K291"/>
  <c r="AA291" s="1"/>
  <c r="AD291" s="1"/>
  <c r="Z290"/>
  <c r="Y290"/>
  <c r="S290"/>
  <c r="R290"/>
  <c r="L290"/>
  <c r="K290"/>
  <c r="Z289"/>
  <c r="Y289"/>
  <c r="S289"/>
  <c r="R289"/>
  <c r="L289"/>
  <c r="AB289" s="1"/>
  <c r="AE289" s="1"/>
  <c r="K289"/>
  <c r="Z288"/>
  <c r="Y288"/>
  <c r="S288"/>
  <c r="R288"/>
  <c r="K288"/>
  <c r="Z287"/>
  <c r="Y287"/>
  <c r="S287"/>
  <c r="R287"/>
  <c r="L287"/>
  <c r="K287"/>
  <c r="X286"/>
  <c r="W286"/>
  <c r="V286"/>
  <c r="U286"/>
  <c r="T286"/>
  <c r="Q286"/>
  <c r="P286"/>
  <c r="O286"/>
  <c r="N286"/>
  <c r="M286"/>
  <c r="J286"/>
  <c r="I286"/>
  <c r="H286"/>
  <c r="G286"/>
  <c r="F286"/>
  <c r="E286"/>
  <c r="Z285"/>
  <c r="Y285"/>
  <c r="S285"/>
  <c r="R285"/>
  <c r="L285"/>
  <c r="K285"/>
  <c r="Z284"/>
  <c r="Y284"/>
  <c r="S284"/>
  <c r="R284"/>
  <c r="L284"/>
  <c r="K284"/>
  <c r="Z283"/>
  <c r="Y283"/>
  <c r="S283"/>
  <c r="R283"/>
  <c r="K283"/>
  <c r="Z282"/>
  <c r="Y282"/>
  <c r="S282"/>
  <c r="R282"/>
  <c r="L282"/>
  <c r="AB282" s="1"/>
  <c r="AE282" s="1"/>
  <c r="AF282" s="1"/>
  <c r="K282"/>
  <c r="AA282" s="1"/>
  <c r="AD282" s="1"/>
  <c r="Z281"/>
  <c r="Y281"/>
  <c r="S281"/>
  <c r="R281"/>
  <c r="L281"/>
  <c r="K281"/>
  <c r="Z280"/>
  <c r="Y280"/>
  <c r="S280"/>
  <c r="R280"/>
  <c r="L280"/>
  <c r="K280"/>
  <c r="Z279"/>
  <c r="Y279"/>
  <c r="S279"/>
  <c r="R279"/>
  <c r="K279"/>
  <c r="Z278"/>
  <c r="Y278"/>
  <c r="S278"/>
  <c r="R278"/>
  <c r="K278"/>
  <c r="AA278" s="1"/>
  <c r="AD278" s="1"/>
  <c r="Z277"/>
  <c r="Y277"/>
  <c r="S277"/>
  <c r="R277"/>
  <c r="L277"/>
  <c r="K277"/>
  <c r="Z276"/>
  <c r="Y276"/>
  <c r="S276"/>
  <c r="R276"/>
  <c r="L276"/>
  <c r="AB276" s="1"/>
  <c r="K276"/>
  <c r="Z275"/>
  <c r="Y275"/>
  <c r="S275"/>
  <c r="R275"/>
  <c r="K275"/>
  <c r="Z274"/>
  <c r="Y274"/>
  <c r="S274"/>
  <c r="R274"/>
  <c r="L274"/>
  <c r="AB274" s="1"/>
  <c r="AE274" s="1"/>
  <c r="AF274" s="1"/>
  <c r="K274"/>
  <c r="AA274" s="1"/>
  <c r="AD274" s="1"/>
  <c r="Z273"/>
  <c r="Y273"/>
  <c r="S273"/>
  <c r="R273"/>
  <c r="L273"/>
  <c r="K273"/>
  <c r="Z272"/>
  <c r="Y272"/>
  <c r="S272"/>
  <c r="R272"/>
  <c r="L272"/>
  <c r="K272"/>
  <c r="Z271"/>
  <c r="Y271"/>
  <c r="S271"/>
  <c r="R271"/>
  <c r="K271"/>
  <c r="Z270"/>
  <c r="Y270"/>
  <c r="S270"/>
  <c r="R270"/>
  <c r="K270"/>
  <c r="AA270" s="1"/>
  <c r="AD270" s="1"/>
  <c r="Z269"/>
  <c r="Y269"/>
  <c r="S269"/>
  <c r="R269"/>
  <c r="L269"/>
  <c r="K269"/>
  <c r="Z268"/>
  <c r="Y268"/>
  <c r="S268"/>
  <c r="R268"/>
  <c r="L268"/>
  <c r="AB268" s="1"/>
  <c r="AE268" s="1"/>
  <c r="K268"/>
  <c r="Z267"/>
  <c r="Y267"/>
  <c r="S267"/>
  <c r="R267"/>
  <c r="K267"/>
  <c r="Z266"/>
  <c r="Y266"/>
  <c r="S266"/>
  <c r="R266"/>
  <c r="L266"/>
  <c r="K266"/>
  <c r="AA266" s="1"/>
  <c r="AD266" s="1"/>
  <c r="Z265"/>
  <c r="Y265"/>
  <c r="S265"/>
  <c r="R265"/>
  <c r="L265"/>
  <c r="K265"/>
  <c r="Z264"/>
  <c r="Y264"/>
  <c r="S264"/>
  <c r="R264"/>
  <c r="L264"/>
  <c r="AB264" s="1"/>
  <c r="AE264" s="1"/>
  <c r="K264"/>
  <c r="Z263"/>
  <c r="Y263"/>
  <c r="S263"/>
  <c r="R263"/>
  <c r="K263"/>
  <c r="Z262"/>
  <c r="Y262"/>
  <c r="S262"/>
  <c r="R262"/>
  <c r="L262"/>
  <c r="AB262" s="1"/>
  <c r="AE262" s="1"/>
  <c r="AF262" s="1"/>
  <c r="K262"/>
  <c r="AA262" s="1"/>
  <c r="AD262" s="1"/>
  <c r="Z261"/>
  <c r="Y261"/>
  <c r="S261"/>
  <c r="R261"/>
  <c r="L261"/>
  <c r="K261"/>
  <c r="Z260"/>
  <c r="Y260"/>
  <c r="S260"/>
  <c r="R260"/>
  <c r="L260"/>
  <c r="K260"/>
  <c r="Z259"/>
  <c r="Y259"/>
  <c r="S259"/>
  <c r="R259"/>
  <c r="K259"/>
  <c r="Z258"/>
  <c r="Y258"/>
  <c r="S258"/>
  <c r="R258"/>
  <c r="K258"/>
  <c r="AA258" s="1"/>
  <c r="AD258" s="1"/>
  <c r="Z257"/>
  <c r="Y257"/>
  <c r="S257"/>
  <c r="R257"/>
  <c r="L257"/>
  <c r="K257"/>
  <c r="Z256"/>
  <c r="Y256"/>
  <c r="S256"/>
  <c r="R256"/>
  <c r="L256"/>
  <c r="AB256" s="1"/>
  <c r="AE256" s="1"/>
  <c r="K256"/>
  <c r="Z255"/>
  <c r="Y255"/>
  <c r="S255"/>
  <c r="R255"/>
  <c r="K255"/>
  <c r="Z254"/>
  <c r="Y254"/>
  <c r="S254"/>
  <c r="R254"/>
  <c r="L254"/>
  <c r="AB254" s="1"/>
  <c r="AE254" s="1"/>
  <c r="AF254" s="1"/>
  <c r="K254"/>
  <c r="AA254" s="1"/>
  <c r="AD254" s="1"/>
  <c r="Z253"/>
  <c r="Y253"/>
  <c r="S253"/>
  <c r="R253"/>
  <c r="L253"/>
  <c r="K253"/>
  <c r="Z252"/>
  <c r="Y252"/>
  <c r="S252"/>
  <c r="R252"/>
  <c r="L252"/>
  <c r="K252"/>
  <c r="Z251"/>
  <c r="Y251"/>
  <c r="S251"/>
  <c r="R251"/>
  <c r="K251"/>
  <c r="Z250"/>
  <c r="Y250"/>
  <c r="S250"/>
  <c r="R250"/>
  <c r="L250"/>
  <c r="K250"/>
  <c r="X249"/>
  <c r="W249"/>
  <c r="V249"/>
  <c r="U249"/>
  <c r="T249"/>
  <c r="Q249"/>
  <c r="P249"/>
  <c r="O249"/>
  <c r="N249"/>
  <c r="M249"/>
  <c r="J249"/>
  <c r="I249"/>
  <c r="H249"/>
  <c r="G249"/>
  <c r="F249"/>
  <c r="E249"/>
  <c r="Z248"/>
  <c r="Y248"/>
  <c r="S248"/>
  <c r="R248"/>
  <c r="L248"/>
  <c r="K248"/>
  <c r="Z247"/>
  <c r="Y247"/>
  <c r="S247"/>
  <c r="R247"/>
  <c r="L247"/>
  <c r="K247"/>
  <c r="Z246"/>
  <c r="Y246"/>
  <c r="S246"/>
  <c r="R246"/>
  <c r="K246"/>
  <c r="Z245"/>
  <c r="Y245"/>
  <c r="S245"/>
  <c r="R245"/>
  <c r="K245"/>
  <c r="AA245" s="1"/>
  <c r="AD245" s="1"/>
  <c r="Z244"/>
  <c r="Y244"/>
  <c r="S244"/>
  <c r="R244"/>
  <c r="L244"/>
  <c r="K244"/>
  <c r="Z243"/>
  <c r="Y243"/>
  <c r="S243"/>
  <c r="R243"/>
  <c r="L243"/>
  <c r="AB243" s="1"/>
  <c r="K243"/>
  <c r="Z242"/>
  <c r="Y242"/>
  <c r="S242"/>
  <c r="R242"/>
  <c r="K242"/>
  <c r="Z241"/>
  <c r="Y241"/>
  <c r="S241"/>
  <c r="R241"/>
  <c r="L241"/>
  <c r="AB241" s="1"/>
  <c r="AE241" s="1"/>
  <c r="K241"/>
  <c r="AA241" s="1"/>
  <c r="AD241" s="1"/>
  <c r="Z240"/>
  <c r="Y240"/>
  <c r="S240"/>
  <c r="R240"/>
  <c r="L240"/>
  <c r="K240"/>
  <c r="Z239"/>
  <c r="Y239"/>
  <c r="S239"/>
  <c r="R239"/>
  <c r="L239"/>
  <c r="K239"/>
  <c r="Z238"/>
  <c r="Y238"/>
  <c r="S238"/>
  <c r="R238"/>
  <c r="K238"/>
  <c r="Z237"/>
  <c r="Y237"/>
  <c r="S237"/>
  <c r="R237"/>
  <c r="K237"/>
  <c r="AA237" s="1"/>
  <c r="AD237" s="1"/>
  <c r="Z236"/>
  <c r="Y236"/>
  <c r="S236"/>
  <c r="R236"/>
  <c r="L236"/>
  <c r="K236"/>
  <c r="Z235"/>
  <c r="Y235"/>
  <c r="S235"/>
  <c r="R235"/>
  <c r="L235"/>
  <c r="AB235" s="1"/>
  <c r="AE235" s="1"/>
  <c r="K235"/>
  <c r="Z234"/>
  <c r="Y234"/>
  <c r="S234"/>
  <c r="R234"/>
  <c r="K234"/>
  <c r="Z233"/>
  <c r="Y233"/>
  <c r="S233"/>
  <c r="R233"/>
  <c r="L233"/>
  <c r="K233"/>
  <c r="AA233" s="1"/>
  <c r="AD233" s="1"/>
  <c r="Z232"/>
  <c r="Y232"/>
  <c r="S232"/>
  <c r="R232"/>
  <c r="L232"/>
  <c r="K232"/>
  <c r="Z231"/>
  <c r="Y231"/>
  <c r="S231"/>
  <c r="R231"/>
  <c r="L231"/>
  <c r="AB231" s="1"/>
  <c r="AE231" s="1"/>
  <c r="K231"/>
  <c r="Z230"/>
  <c r="Y230"/>
  <c r="S230"/>
  <c r="R230"/>
  <c r="K230"/>
  <c r="Z229"/>
  <c r="Y229"/>
  <c r="S229"/>
  <c r="R229"/>
  <c r="L229"/>
  <c r="AB229" s="1"/>
  <c r="AE229" s="1"/>
  <c r="K229"/>
  <c r="AA229" s="1"/>
  <c r="AD229" s="1"/>
  <c r="Z228"/>
  <c r="Y228"/>
  <c r="S228"/>
  <c r="R228"/>
  <c r="L228"/>
  <c r="K228"/>
  <c r="Z227"/>
  <c r="Y227"/>
  <c r="S227"/>
  <c r="R227"/>
  <c r="L227"/>
  <c r="K227"/>
  <c r="Z226"/>
  <c r="Y226"/>
  <c r="S226"/>
  <c r="R226"/>
  <c r="K226"/>
  <c r="Z225"/>
  <c r="Y225"/>
  <c r="S225"/>
  <c r="R225"/>
  <c r="K225"/>
  <c r="AA225" s="1"/>
  <c r="AD225" s="1"/>
  <c r="Z224"/>
  <c r="Y224"/>
  <c r="S224"/>
  <c r="R224"/>
  <c r="L224"/>
  <c r="K224"/>
  <c r="Z223"/>
  <c r="Y223"/>
  <c r="S223"/>
  <c r="R223"/>
  <c r="L223"/>
  <c r="AB223" s="1"/>
  <c r="AE223" s="1"/>
  <c r="K223"/>
  <c r="Z222"/>
  <c r="Y222"/>
  <c r="S222"/>
  <c r="R222"/>
  <c r="K222"/>
  <c r="Z221"/>
  <c r="Y221"/>
  <c r="S221"/>
  <c r="R221"/>
  <c r="L221"/>
  <c r="AB221" s="1"/>
  <c r="AE221" s="1"/>
  <c r="K221"/>
  <c r="AA221" s="1"/>
  <c r="AD221" s="1"/>
  <c r="Z220"/>
  <c r="Y220"/>
  <c r="S220"/>
  <c r="R220"/>
  <c r="L220"/>
  <c r="K220"/>
  <c r="Z219"/>
  <c r="Y219"/>
  <c r="S219"/>
  <c r="R219"/>
  <c r="L219"/>
  <c r="K219"/>
  <c r="Z218"/>
  <c r="Y218"/>
  <c r="S218"/>
  <c r="R218"/>
  <c r="K218"/>
  <c r="Z217"/>
  <c r="Y217"/>
  <c r="S217"/>
  <c r="R217"/>
  <c r="L217"/>
  <c r="AB217" s="1"/>
  <c r="AE217" s="1"/>
  <c r="K217"/>
  <c r="AA217" s="1"/>
  <c r="AD217" s="1"/>
  <c r="Z216"/>
  <c r="Y216"/>
  <c r="S216"/>
  <c r="R216"/>
  <c r="L216"/>
  <c r="K216"/>
  <c r="Z215"/>
  <c r="Y215"/>
  <c r="S215"/>
  <c r="R215"/>
  <c r="L215"/>
  <c r="K215"/>
  <c r="Z214"/>
  <c r="Y214"/>
  <c r="S214"/>
  <c r="R214"/>
  <c r="K214"/>
  <c r="Z213"/>
  <c r="Y213"/>
  <c r="S213"/>
  <c r="R213"/>
  <c r="K213"/>
  <c r="AA213" s="1"/>
  <c r="AD213" s="1"/>
  <c r="Z212"/>
  <c r="Y212"/>
  <c r="S212"/>
  <c r="R212"/>
  <c r="L212"/>
  <c r="K212"/>
  <c r="Z211"/>
  <c r="Y211"/>
  <c r="S211"/>
  <c r="R211"/>
  <c r="L211"/>
  <c r="AB211" s="1"/>
  <c r="K211"/>
  <c r="Z210"/>
  <c r="Y210"/>
  <c r="S210"/>
  <c r="R210"/>
  <c r="K210"/>
  <c r="Z209"/>
  <c r="Y209"/>
  <c r="S209"/>
  <c r="R209"/>
  <c r="L209"/>
  <c r="AB209" s="1"/>
  <c r="AE209" s="1"/>
  <c r="K209"/>
  <c r="AA209" s="1"/>
  <c r="AD209" s="1"/>
  <c r="Z208"/>
  <c r="Y208"/>
  <c r="S208"/>
  <c r="R208"/>
  <c r="L208"/>
  <c r="K208"/>
  <c r="Z207"/>
  <c r="Y207"/>
  <c r="S207"/>
  <c r="R207"/>
  <c r="L207"/>
  <c r="K207"/>
  <c r="Z206"/>
  <c r="Y206"/>
  <c r="S206"/>
  <c r="R206"/>
  <c r="K206"/>
  <c r="Z205"/>
  <c r="Y205"/>
  <c r="S205"/>
  <c r="R205"/>
  <c r="K205"/>
  <c r="AA205" s="1"/>
  <c r="AD205" s="1"/>
  <c r="Z204"/>
  <c r="Y204"/>
  <c r="S204"/>
  <c r="R204"/>
  <c r="L204"/>
  <c r="K204"/>
  <c r="Z203"/>
  <c r="Y203"/>
  <c r="S203"/>
  <c r="R203"/>
  <c r="L203"/>
  <c r="AB203" s="1"/>
  <c r="AE203" s="1"/>
  <c r="K203"/>
  <c r="Z202"/>
  <c r="Y202"/>
  <c r="S202"/>
  <c r="R202"/>
  <c r="K202"/>
  <c r="Z201"/>
  <c r="Y201"/>
  <c r="S201"/>
  <c r="R201"/>
  <c r="L201"/>
  <c r="K201"/>
  <c r="AA201" s="1"/>
  <c r="AD201" s="1"/>
  <c r="Z200"/>
  <c r="Y200"/>
  <c r="S200"/>
  <c r="R200"/>
  <c r="L200"/>
  <c r="K200"/>
  <c r="Z199"/>
  <c r="Y199"/>
  <c r="S199"/>
  <c r="R199"/>
  <c r="L199"/>
  <c r="AB199" s="1"/>
  <c r="AE199" s="1"/>
  <c r="K199"/>
  <c r="Z198"/>
  <c r="Y198"/>
  <c r="S198"/>
  <c r="R198"/>
  <c r="K198"/>
  <c r="Z197"/>
  <c r="Y197"/>
  <c r="S197"/>
  <c r="R197"/>
  <c r="L197"/>
  <c r="AB197" s="1"/>
  <c r="AE197" s="1"/>
  <c r="K197"/>
  <c r="AA197" s="1"/>
  <c r="AD197" s="1"/>
  <c r="Z196"/>
  <c r="Y196"/>
  <c r="S196"/>
  <c r="R196"/>
  <c r="L196"/>
  <c r="K196"/>
  <c r="Z195"/>
  <c r="Y195"/>
  <c r="S195"/>
  <c r="R195"/>
  <c r="L195"/>
  <c r="K195"/>
  <c r="X194"/>
  <c r="W194"/>
  <c r="V194"/>
  <c r="U194"/>
  <c r="T194"/>
  <c r="Q194"/>
  <c r="P194"/>
  <c r="O194"/>
  <c r="N194"/>
  <c r="M194"/>
  <c r="J194"/>
  <c r="I194"/>
  <c r="H194"/>
  <c r="G194"/>
  <c r="F194"/>
  <c r="E194"/>
  <c r="Z193"/>
  <c r="Y193"/>
  <c r="S193"/>
  <c r="R193"/>
  <c r="K193"/>
  <c r="Z192"/>
  <c r="Y192"/>
  <c r="S192"/>
  <c r="R192"/>
  <c r="K192"/>
  <c r="AA192" s="1"/>
  <c r="AD192" s="1"/>
  <c r="Z191"/>
  <c r="Y191"/>
  <c r="S191"/>
  <c r="R191"/>
  <c r="L191"/>
  <c r="K191"/>
  <c r="Z190"/>
  <c r="Y190"/>
  <c r="S190"/>
  <c r="R190"/>
  <c r="L190"/>
  <c r="AB190" s="1"/>
  <c r="AE190" s="1"/>
  <c r="K190"/>
  <c r="Z189"/>
  <c r="Y189"/>
  <c r="S189"/>
  <c r="R189"/>
  <c r="K189"/>
  <c r="Z188"/>
  <c r="Y188"/>
  <c r="S188"/>
  <c r="R188"/>
  <c r="L188"/>
  <c r="AB188" s="1"/>
  <c r="AE188" s="1"/>
  <c r="K188"/>
  <c r="Z187"/>
  <c r="Y187"/>
  <c r="S187"/>
  <c r="R187"/>
  <c r="K187"/>
  <c r="AB186"/>
  <c r="AE186" s="1"/>
  <c r="Z186"/>
  <c r="Y186"/>
  <c r="S186"/>
  <c r="R186"/>
  <c r="L186"/>
  <c r="K186"/>
  <c r="Z185"/>
  <c r="Y185"/>
  <c r="S185"/>
  <c r="R185"/>
  <c r="L185"/>
  <c r="K185"/>
  <c r="Z184"/>
  <c r="Y184"/>
  <c r="S184"/>
  <c r="R184"/>
  <c r="K184"/>
  <c r="AA184" s="1"/>
  <c r="AD184" s="1"/>
  <c r="Z183"/>
  <c r="Y183"/>
  <c r="S183"/>
  <c r="R183"/>
  <c r="L183"/>
  <c r="AB183" s="1"/>
  <c r="AE183" s="1"/>
  <c r="K183"/>
  <c r="Z182"/>
  <c r="Y182"/>
  <c r="S182"/>
  <c r="R182"/>
  <c r="K182"/>
  <c r="AA182" s="1"/>
  <c r="AD182" s="1"/>
  <c r="Z181"/>
  <c r="Y181"/>
  <c r="S181"/>
  <c r="R181"/>
  <c r="L181"/>
  <c r="K181"/>
  <c r="Z180"/>
  <c r="Y180"/>
  <c r="S180"/>
  <c r="R180"/>
  <c r="K180"/>
  <c r="L180" s="1"/>
  <c r="AB180" s="1"/>
  <c r="AE180" s="1"/>
  <c r="Z179"/>
  <c r="Y179"/>
  <c r="S179"/>
  <c r="R179"/>
  <c r="L179"/>
  <c r="AB179" s="1"/>
  <c r="AE179" s="1"/>
  <c r="K179"/>
  <c r="Z178"/>
  <c r="Y178"/>
  <c r="S178"/>
  <c r="R178"/>
  <c r="K178"/>
  <c r="Z177"/>
  <c r="Y177"/>
  <c r="S177"/>
  <c r="R177"/>
  <c r="L177"/>
  <c r="K177"/>
  <c r="AA177" s="1"/>
  <c r="AD177" s="1"/>
  <c r="Z176"/>
  <c r="Y176"/>
  <c r="S176"/>
  <c r="R176"/>
  <c r="K176"/>
  <c r="Z175"/>
  <c r="Y175"/>
  <c r="S175"/>
  <c r="R175"/>
  <c r="K175"/>
  <c r="L175" s="1"/>
  <c r="Z174"/>
  <c r="Y174"/>
  <c r="S174"/>
  <c r="R174"/>
  <c r="L174"/>
  <c r="K174"/>
  <c r="Z173"/>
  <c r="Y173"/>
  <c r="S173"/>
  <c r="R173"/>
  <c r="K173"/>
  <c r="Z172"/>
  <c r="Y172"/>
  <c r="S172"/>
  <c r="R172"/>
  <c r="L172"/>
  <c r="AB172" s="1"/>
  <c r="AE172" s="1"/>
  <c r="K172"/>
  <c r="Z171"/>
  <c r="Y171"/>
  <c r="S171"/>
  <c r="R171"/>
  <c r="K171"/>
  <c r="Z170"/>
  <c r="Y170"/>
  <c r="S170"/>
  <c r="AB170" s="1"/>
  <c r="AE170" s="1"/>
  <c r="R170"/>
  <c r="L170"/>
  <c r="K170"/>
  <c r="Z169"/>
  <c r="Y169"/>
  <c r="S169"/>
  <c r="R169"/>
  <c r="L169"/>
  <c r="K169"/>
  <c r="Z168"/>
  <c r="Y168"/>
  <c r="S168"/>
  <c r="R168"/>
  <c r="L168"/>
  <c r="AB168" s="1"/>
  <c r="AE168" s="1"/>
  <c r="AF168" s="1"/>
  <c r="K168"/>
  <c r="AA168" s="1"/>
  <c r="AD168" s="1"/>
  <c r="Z167"/>
  <c r="Y167"/>
  <c r="S167"/>
  <c r="R167"/>
  <c r="L167"/>
  <c r="AB167" s="1"/>
  <c r="AE167" s="1"/>
  <c r="K167"/>
  <c r="Z166"/>
  <c r="Y166"/>
  <c r="S166"/>
  <c r="R166"/>
  <c r="K166"/>
  <c r="AA166" s="1"/>
  <c r="AD166" s="1"/>
  <c r="Z165"/>
  <c r="Y165"/>
  <c r="S165"/>
  <c r="R165"/>
  <c r="L165"/>
  <c r="K165"/>
  <c r="Z164"/>
  <c r="Y164"/>
  <c r="S164"/>
  <c r="R164"/>
  <c r="K164"/>
  <c r="L164" s="1"/>
  <c r="AB164" s="1"/>
  <c r="AE164" s="1"/>
  <c r="Z163"/>
  <c r="Y163"/>
  <c r="S163"/>
  <c r="R163"/>
  <c r="K163"/>
  <c r="AA163" s="1"/>
  <c r="AD163" s="1"/>
  <c r="Z162"/>
  <c r="Y162"/>
  <c r="S162"/>
  <c r="R162"/>
  <c r="K162"/>
  <c r="X161"/>
  <c r="W161"/>
  <c r="V161"/>
  <c r="U161"/>
  <c r="T161"/>
  <c r="Q161"/>
  <c r="P161"/>
  <c r="O161"/>
  <c r="N161"/>
  <c r="M161"/>
  <c r="J161"/>
  <c r="I161"/>
  <c r="H161"/>
  <c r="G161"/>
  <c r="F161"/>
  <c r="E161"/>
  <c r="Z160"/>
  <c r="Y160"/>
  <c r="S160"/>
  <c r="R160"/>
  <c r="K160"/>
  <c r="AA160" s="1"/>
  <c r="AD160" s="1"/>
  <c r="Z159"/>
  <c r="Y159"/>
  <c r="S159"/>
  <c r="R159"/>
  <c r="L159"/>
  <c r="K159"/>
  <c r="Z158"/>
  <c r="Y158"/>
  <c r="S158"/>
  <c r="R158"/>
  <c r="L158"/>
  <c r="AB158" s="1"/>
  <c r="AE158" s="1"/>
  <c r="K158"/>
  <c r="Z157"/>
  <c r="Y157"/>
  <c r="S157"/>
  <c r="R157"/>
  <c r="K157"/>
  <c r="Z156"/>
  <c r="Y156"/>
  <c r="S156"/>
  <c r="R156"/>
  <c r="L156"/>
  <c r="AB156" s="1"/>
  <c r="AE156" s="1"/>
  <c r="AF156" s="1"/>
  <c r="K156"/>
  <c r="AA156" s="1"/>
  <c r="Z155"/>
  <c r="Y155"/>
  <c r="S155"/>
  <c r="R155"/>
  <c r="L155"/>
  <c r="K155"/>
  <c r="Z154"/>
  <c r="Y154"/>
  <c r="S154"/>
  <c r="R154"/>
  <c r="L154"/>
  <c r="K154"/>
  <c r="Z153"/>
  <c r="Y153"/>
  <c r="S153"/>
  <c r="R153"/>
  <c r="K153"/>
  <c r="Z152"/>
  <c r="Y152"/>
  <c r="S152"/>
  <c r="R152"/>
  <c r="L152"/>
  <c r="AB152" s="1"/>
  <c r="AE152" s="1"/>
  <c r="K152"/>
  <c r="AA152" s="1"/>
  <c r="AD152" s="1"/>
  <c r="Z151"/>
  <c r="Y151"/>
  <c r="S151"/>
  <c r="R151"/>
  <c r="L151"/>
  <c r="K151"/>
  <c r="Z150"/>
  <c r="Y150"/>
  <c r="S150"/>
  <c r="R150"/>
  <c r="L150"/>
  <c r="K150"/>
  <c r="Z149"/>
  <c r="Y149"/>
  <c r="S149"/>
  <c r="R149"/>
  <c r="K149"/>
  <c r="Z148"/>
  <c r="Y148"/>
  <c r="S148"/>
  <c r="R148"/>
  <c r="K148"/>
  <c r="AA148" s="1"/>
  <c r="AD148" s="1"/>
  <c r="Z147"/>
  <c r="Y147"/>
  <c r="S147"/>
  <c r="R147"/>
  <c r="L147"/>
  <c r="K147"/>
  <c r="Z146"/>
  <c r="Y146"/>
  <c r="S146"/>
  <c r="R146"/>
  <c r="L146"/>
  <c r="AB146" s="1"/>
  <c r="AE146" s="1"/>
  <c r="K146"/>
  <c r="Z145"/>
  <c r="Y145"/>
  <c r="S145"/>
  <c r="R145"/>
  <c r="K145"/>
  <c r="Z144"/>
  <c r="Y144"/>
  <c r="S144"/>
  <c r="R144"/>
  <c r="L144"/>
  <c r="AB144" s="1"/>
  <c r="AE144" s="1"/>
  <c r="K144"/>
  <c r="AA144" s="1"/>
  <c r="AD144" s="1"/>
  <c r="Z143"/>
  <c r="Y143"/>
  <c r="S143"/>
  <c r="R143"/>
  <c r="L143"/>
  <c r="K143"/>
  <c r="Z142"/>
  <c r="Y142"/>
  <c r="S142"/>
  <c r="R142"/>
  <c r="L142"/>
  <c r="K142"/>
  <c r="Z141"/>
  <c r="Y141"/>
  <c r="S141"/>
  <c r="R141"/>
  <c r="K141"/>
  <c r="Z140"/>
  <c r="Y140"/>
  <c r="S140"/>
  <c r="R140"/>
  <c r="K140"/>
  <c r="AA140" s="1"/>
  <c r="AD140" s="1"/>
  <c r="Z139"/>
  <c r="Y139"/>
  <c r="Y161" s="1"/>
  <c r="S139"/>
  <c r="R139"/>
  <c r="L139"/>
  <c r="K139"/>
  <c r="X138"/>
  <c r="W138"/>
  <c r="V138"/>
  <c r="U138"/>
  <c r="T138"/>
  <c r="Q138"/>
  <c r="P138"/>
  <c r="O138"/>
  <c r="N138"/>
  <c r="M138"/>
  <c r="J138"/>
  <c r="I138"/>
  <c r="H138"/>
  <c r="G138"/>
  <c r="F138"/>
  <c r="E138"/>
  <c r="Z137"/>
  <c r="Y137"/>
  <c r="S137"/>
  <c r="R137"/>
  <c r="L137"/>
  <c r="AB137" s="1"/>
  <c r="AE137" s="1"/>
  <c r="K137"/>
  <c r="Z136"/>
  <c r="Y136"/>
  <c r="S136"/>
  <c r="R136"/>
  <c r="K136"/>
  <c r="Z135"/>
  <c r="Y135"/>
  <c r="S135"/>
  <c r="R135"/>
  <c r="L135"/>
  <c r="K135"/>
  <c r="AA135" s="1"/>
  <c r="Z134"/>
  <c r="Y134"/>
  <c r="S134"/>
  <c r="R134"/>
  <c r="L134"/>
  <c r="K134"/>
  <c r="Z133"/>
  <c r="Y133"/>
  <c r="S133"/>
  <c r="R133"/>
  <c r="L133"/>
  <c r="AB133" s="1"/>
  <c r="AE133" s="1"/>
  <c r="K133"/>
  <c r="Z132"/>
  <c r="Y132"/>
  <c r="S132"/>
  <c r="R132"/>
  <c r="K132"/>
  <c r="Z131"/>
  <c r="Y131"/>
  <c r="S131"/>
  <c r="R131"/>
  <c r="L131"/>
  <c r="AB131" s="1"/>
  <c r="AE131" s="1"/>
  <c r="K131"/>
  <c r="AA131" s="1"/>
  <c r="Z130"/>
  <c r="Y130"/>
  <c r="S130"/>
  <c r="R130"/>
  <c r="L130"/>
  <c r="K130"/>
  <c r="Z129"/>
  <c r="Y129"/>
  <c r="S129"/>
  <c r="R129"/>
  <c r="L129"/>
  <c r="K129"/>
  <c r="Z128"/>
  <c r="Y128"/>
  <c r="S128"/>
  <c r="R128"/>
  <c r="K128"/>
  <c r="Z127"/>
  <c r="Y127"/>
  <c r="S127"/>
  <c r="R127"/>
  <c r="K127"/>
  <c r="AA127" s="1"/>
  <c r="AD127" s="1"/>
  <c r="Z126"/>
  <c r="Y126"/>
  <c r="S126"/>
  <c r="R126"/>
  <c r="L126"/>
  <c r="K126"/>
  <c r="Z125"/>
  <c r="Y125"/>
  <c r="S125"/>
  <c r="R125"/>
  <c r="L125"/>
  <c r="AB125" s="1"/>
  <c r="AE125" s="1"/>
  <c r="K125"/>
  <c r="Z124"/>
  <c r="Y124"/>
  <c r="S124"/>
  <c r="R124"/>
  <c r="K124"/>
  <c r="Z123"/>
  <c r="Y123"/>
  <c r="S123"/>
  <c r="R123"/>
  <c r="L123"/>
  <c r="AB123" s="1"/>
  <c r="AE123" s="1"/>
  <c r="K123"/>
  <c r="AA123" s="1"/>
  <c r="Z122"/>
  <c r="Y122"/>
  <c r="S122"/>
  <c r="R122"/>
  <c r="L122"/>
  <c r="K122"/>
  <c r="Z121"/>
  <c r="Y121"/>
  <c r="S121"/>
  <c r="R121"/>
  <c r="L121"/>
  <c r="K121"/>
  <c r="Z120"/>
  <c r="Y120"/>
  <c r="S120"/>
  <c r="R120"/>
  <c r="K120"/>
  <c r="Z119"/>
  <c r="Y119"/>
  <c r="S119"/>
  <c r="R119"/>
  <c r="L119"/>
  <c r="AB119" s="1"/>
  <c r="AE119" s="1"/>
  <c r="K119"/>
  <c r="AA119" s="1"/>
  <c r="AD119" s="1"/>
  <c r="Z118"/>
  <c r="Y118"/>
  <c r="S118"/>
  <c r="R118"/>
  <c r="L118"/>
  <c r="K118"/>
  <c r="Z117"/>
  <c r="Y117"/>
  <c r="S117"/>
  <c r="R117"/>
  <c r="L117"/>
  <c r="K117"/>
  <c r="Z116"/>
  <c r="Y116"/>
  <c r="S116"/>
  <c r="R116"/>
  <c r="K116"/>
  <c r="Z115"/>
  <c r="Y115"/>
  <c r="S115"/>
  <c r="R115"/>
  <c r="K115"/>
  <c r="AA115" s="1"/>
  <c r="AD115" s="1"/>
  <c r="Z114"/>
  <c r="Y114"/>
  <c r="S114"/>
  <c r="R114"/>
  <c r="L114"/>
  <c r="K114"/>
  <c r="Z113"/>
  <c r="Y113"/>
  <c r="S113"/>
  <c r="R113"/>
  <c r="L113"/>
  <c r="AB113" s="1"/>
  <c r="AE113" s="1"/>
  <c r="K113"/>
  <c r="Z112"/>
  <c r="Y112"/>
  <c r="S112"/>
  <c r="R112"/>
  <c r="K112"/>
  <c r="Z111"/>
  <c r="Y111"/>
  <c r="S111"/>
  <c r="R111"/>
  <c r="L111"/>
  <c r="AB111" s="1"/>
  <c r="AE111" s="1"/>
  <c r="K111"/>
  <c r="AA111" s="1"/>
  <c r="AD111" s="1"/>
  <c r="Z110"/>
  <c r="Y110"/>
  <c r="S110"/>
  <c r="R110"/>
  <c r="L110"/>
  <c r="K110"/>
  <c r="Z109"/>
  <c r="Y109"/>
  <c r="S109"/>
  <c r="R109"/>
  <c r="L109"/>
  <c r="K109"/>
  <c r="Z108"/>
  <c r="Y108"/>
  <c r="S108"/>
  <c r="R108"/>
  <c r="K108"/>
  <c r="Z107"/>
  <c r="Y107"/>
  <c r="S107"/>
  <c r="R107"/>
  <c r="K107"/>
  <c r="AA107" s="1"/>
  <c r="AD107" s="1"/>
  <c r="Z106"/>
  <c r="Y106"/>
  <c r="S106"/>
  <c r="R106"/>
  <c r="L106"/>
  <c r="K106"/>
  <c r="Z105"/>
  <c r="Y105"/>
  <c r="S105"/>
  <c r="R105"/>
  <c r="L105"/>
  <c r="AB105" s="1"/>
  <c r="AE105" s="1"/>
  <c r="K105"/>
  <c r="Z104"/>
  <c r="Y104"/>
  <c r="S104"/>
  <c r="R104"/>
  <c r="K104"/>
  <c r="Z103"/>
  <c r="Y103"/>
  <c r="S103"/>
  <c r="R103"/>
  <c r="L103"/>
  <c r="K103"/>
  <c r="AA103" s="1"/>
  <c r="Z102"/>
  <c r="Y102"/>
  <c r="S102"/>
  <c r="R102"/>
  <c r="L102"/>
  <c r="K102"/>
  <c r="Z101"/>
  <c r="Y101"/>
  <c r="S101"/>
  <c r="R101"/>
  <c r="L101"/>
  <c r="AB101" s="1"/>
  <c r="AE101" s="1"/>
  <c r="K101"/>
  <c r="Z100"/>
  <c r="Y100"/>
  <c r="S100"/>
  <c r="R100"/>
  <c r="K100"/>
  <c r="Z99"/>
  <c r="Y99"/>
  <c r="S99"/>
  <c r="R99"/>
  <c r="L99"/>
  <c r="AB99" s="1"/>
  <c r="AE99" s="1"/>
  <c r="K99"/>
  <c r="AA99" s="1"/>
  <c r="Z98"/>
  <c r="Y98"/>
  <c r="S98"/>
  <c r="R98"/>
  <c r="L98"/>
  <c r="K98"/>
  <c r="Z97"/>
  <c r="Y97"/>
  <c r="S97"/>
  <c r="R97"/>
  <c r="L97"/>
  <c r="K97"/>
  <c r="Z96"/>
  <c r="Y96"/>
  <c r="S96"/>
  <c r="R96"/>
  <c r="K96"/>
  <c r="Z95"/>
  <c r="Y95"/>
  <c r="S95"/>
  <c r="R95"/>
  <c r="K95"/>
  <c r="AA95" s="1"/>
  <c r="AD95" s="1"/>
  <c r="Z94"/>
  <c r="Y94"/>
  <c r="S94"/>
  <c r="R94"/>
  <c r="L94"/>
  <c r="K94"/>
  <c r="Z93"/>
  <c r="Y93"/>
  <c r="S93"/>
  <c r="R93"/>
  <c r="L93"/>
  <c r="AB93" s="1"/>
  <c r="AE93" s="1"/>
  <c r="K93"/>
  <c r="Z92"/>
  <c r="Y92"/>
  <c r="S92"/>
  <c r="R92"/>
  <c r="K92"/>
  <c r="X91"/>
  <c r="W91"/>
  <c r="V91"/>
  <c r="U91"/>
  <c r="T91"/>
  <c r="Q91"/>
  <c r="P91"/>
  <c r="O91"/>
  <c r="N91"/>
  <c r="M91"/>
  <c r="J91"/>
  <c r="I91"/>
  <c r="H91"/>
  <c r="G91"/>
  <c r="F91"/>
  <c r="E91"/>
  <c r="Z90"/>
  <c r="Y90"/>
  <c r="S90"/>
  <c r="R90"/>
  <c r="L90"/>
  <c r="AB90" s="1"/>
  <c r="AE90" s="1"/>
  <c r="K90"/>
  <c r="AA90" s="1"/>
  <c r="Z89"/>
  <c r="Y89"/>
  <c r="S89"/>
  <c r="R89"/>
  <c r="L89"/>
  <c r="K89"/>
  <c r="Z88"/>
  <c r="Y88"/>
  <c r="S88"/>
  <c r="R88"/>
  <c r="L88"/>
  <c r="K88"/>
  <c r="Z87"/>
  <c r="Y87"/>
  <c r="S87"/>
  <c r="R87"/>
  <c r="K87"/>
  <c r="Z86"/>
  <c r="Y86"/>
  <c r="S86"/>
  <c r="R86"/>
  <c r="L86"/>
  <c r="AB86" s="1"/>
  <c r="AE86" s="1"/>
  <c r="K86"/>
  <c r="AA86" s="1"/>
  <c r="AD86" s="1"/>
  <c r="Z85"/>
  <c r="Y85"/>
  <c r="S85"/>
  <c r="R85"/>
  <c r="L85"/>
  <c r="K85"/>
  <c r="Z84"/>
  <c r="Y84"/>
  <c r="S84"/>
  <c r="R84"/>
  <c r="L84"/>
  <c r="K84"/>
  <c r="Z83"/>
  <c r="Y83"/>
  <c r="S83"/>
  <c r="R83"/>
  <c r="K83"/>
  <c r="Z82"/>
  <c r="Y82"/>
  <c r="S82"/>
  <c r="R82"/>
  <c r="K82"/>
  <c r="AA82" s="1"/>
  <c r="AD82" s="1"/>
  <c r="Z81"/>
  <c r="Y81"/>
  <c r="S81"/>
  <c r="R81"/>
  <c r="L81"/>
  <c r="K81"/>
  <c r="Z80"/>
  <c r="Y80"/>
  <c r="S80"/>
  <c r="R80"/>
  <c r="L80"/>
  <c r="AB80" s="1"/>
  <c r="AE80" s="1"/>
  <c r="K80"/>
  <c r="Z79"/>
  <c r="Y79"/>
  <c r="S79"/>
  <c r="R79"/>
  <c r="K79"/>
  <c r="Z78"/>
  <c r="Y78"/>
  <c r="S78"/>
  <c r="R78"/>
  <c r="L78"/>
  <c r="AB78" s="1"/>
  <c r="AE78" s="1"/>
  <c r="K78"/>
  <c r="AA78" s="1"/>
  <c r="Z77"/>
  <c r="Y77"/>
  <c r="S77"/>
  <c r="R77"/>
  <c r="L77"/>
  <c r="K77"/>
  <c r="Z76"/>
  <c r="Y76"/>
  <c r="S76"/>
  <c r="R76"/>
  <c r="L76"/>
  <c r="AB76" s="1"/>
  <c r="AE76" s="1"/>
  <c r="K76"/>
  <c r="Z75"/>
  <c r="Y75"/>
  <c r="S75"/>
  <c r="R75"/>
  <c r="K75"/>
  <c r="Z74"/>
  <c r="Y74"/>
  <c r="S74"/>
  <c r="R74"/>
  <c r="K74"/>
  <c r="AA74" s="1"/>
  <c r="Z73"/>
  <c r="Y73"/>
  <c r="S73"/>
  <c r="R73"/>
  <c r="L73"/>
  <c r="K73"/>
  <c r="Z72"/>
  <c r="Y72"/>
  <c r="S72"/>
  <c r="R72"/>
  <c r="L72"/>
  <c r="AB72" s="1"/>
  <c r="AE72" s="1"/>
  <c r="K72"/>
  <c r="Z71"/>
  <c r="Y71"/>
  <c r="S71"/>
  <c r="R71"/>
  <c r="K71"/>
  <c r="Z70"/>
  <c r="Y70"/>
  <c r="S70"/>
  <c r="R70"/>
  <c r="L70"/>
  <c r="K70"/>
  <c r="AA70" s="1"/>
  <c r="Z69"/>
  <c r="Y69"/>
  <c r="S69"/>
  <c r="R69"/>
  <c r="L69"/>
  <c r="K69"/>
  <c r="Z68"/>
  <c r="Y68"/>
  <c r="S68"/>
  <c r="R68"/>
  <c r="L68"/>
  <c r="AB68" s="1"/>
  <c r="AE68" s="1"/>
  <c r="K68"/>
  <c r="Z67"/>
  <c r="Y67"/>
  <c r="S67"/>
  <c r="R67"/>
  <c r="K67"/>
  <c r="Z66"/>
  <c r="Y66"/>
  <c r="S66"/>
  <c r="R66"/>
  <c r="L66"/>
  <c r="AB66" s="1"/>
  <c r="AE66" s="1"/>
  <c r="K66"/>
  <c r="AA66" s="1"/>
  <c r="Z65"/>
  <c r="Y65"/>
  <c r="S65"/>
  <c r="R65"/>
  <c r="L65"/>
  <c r="K65"/>
  <c r="Z64"/>
  <c r="Y64"/>
  <c r="S64"/>
  <c r="R64"/>
  <c r="L64"/>
  <c r="K64"/>
  <c r="Z63"/>
  <c r="Y63"/>
  <c r="S63"/>
  <c r="R63"/>
  <c r="K63"/>
  <c r="Z62"/>
  <c r="Y62"/>
  <c r="S62"/>
  <c r="R62"/>
  <c r="K62"/>
  <c r="AA62" s="1"/>
  <c r="AD62" s="1"/>
  <c r="Z61"/>
  <c r="Y61"/>
  <c r="S61"/>
  <c r="R61"/>
  <c r="L61"/>
  <c r="K61"/>
  <c r="Z60"/>
  <c r="Y60"/>
  <c r="S60"/>
  <c r="R60"/>
  <c r="L60"/>
  <c r="AB60" s="1"/>
  <c r="AE60" s="1"/>
  <c r="K60"/>
  <c r="Z59"/>
  <c r="Y59"/>
  <c r="S59"/>
  <c r="R59"/>
  <c r="K59"/>
  <c r="Z58"/>
  <c r="Y58"/>
  <c r="S58"/>
  <c r="R58"/>
  <c r="L58"/>
  <c r="AB58" s="1"/>
  <c r="AE58" s="1"/>
  <c r="K58"/>
  <c r="AA58" s="1"/>
  <c r="Z57"/>
  <c r="Y57"/>
  <c r="S57"/>
  <c r="R57"/>
  <c r="L57"/>
  <c r="K57"/>
  <c r="Z56"/>
  <c r="Y56"/>
  <c r="S56"/>
  <c r="R56"/>
  <c r="L56"/>
  <c r="K56"/>
  <c r="Z55"/>
  <c r="Y55"/>
  <c r="S55"/>
  <c r="R55"/>
  <c r="K55"/>
  <c r="Z54"/>
  <c r="Y54"/>
  <c r="S54"/>
  <c r="R54"/>
  <c r="L54"/>
  <c r="AB54" s="1"/>
  <c r="AE54" s="1"/>
  <c r="K54"/>
  <c r="AA54" s="1"/>
  <c r="AD54" s="1"/>
  <c r="Z53"/>
  <c r="Y53"/>
  <c r="S53"/>
  <c r="R53"/>
  <c r="L53"/>
  <c r="K53"/>
  <c r="Z52"/>
  <c r="Y52"/>
  <c r="S52"/>
  <c r="R52"/>
  <c r="L52"/>
  <c r="K52"/>
  <c r="Z51"/>
  <c r="Y51"/>
  <c r="S51"/>
  <c r="R51"/>
  <c r="K51"/>
  <c r="Z50"/>
  <c r="Y50"/>
  <c r="S50"/>
  <c r="R50"/>
  <c r="K50"/>
  <c r="AA50" s="1"/>
  <c r="AD50" s="1"/>
  <c r="Z49"/>
  <c r="Y49"/>
  <c r="S49"/>
  <c r="R49"/>
  <c r="L49"/>
  <c r="K49"/>
  <c r="Z48"/>
  <c r="Y48"/>
  <c r="S48"/>
  <c r="R48"/>
  <c r="L48"/>
  <c r="AB48" s="1"/>
  <c r="AE48" s="1"/>
  <c r="K48"/>
  <c r="Z47"/>
  <c r="Y47"/>
  <c r="S47"/>
  <c r="R47"/>
  <c r="K47"/>
  <c r="Z46"/>
  <c r="Y46"/>
  <c r="S46"/>
  <c r="R46"/>
  <c r="L46"/>
  <c r="K46"/>
  <c r="AA46" s="1"/>
  <c r="Z45"/>
  <c r="Y45"/>
  <c r="S45"/>
  <c r="R45"/>
  <c r="L45"/>
  <c r="K45"/>
  <c r="Z44"/>
  <c r="Y44"/>
  <c r="S44"/>
  <c r="R44"/>
  <c r="L44"/>
  <c r="AB44" s="1"/>
  <c r="AE44" s="1"/>
  <c r="K44"/>
  <c r="Z43"/>
  <c r="Y43"/>
  <c r="S43"/>
  <c r="R43"/>
  <c r="K43"/>
  <c r="Z42"/>
  <c r="Y42"/>
  <c r="S42"/>
  <c r="R42"/>
  <c r="K42"/>
  <c r="AA42" s="1"/>
  <c r="Z41"/>
  <c r="Y41"/>
  <c r="S41"/>
  <c r="R41"/>
  <c r="L41"/>
  <c r="K41"/>
  <c r="Z40"/>
  <c r="Y40"/>
  <c r="S40"/>
  <c r="R40"/>
  <c r="L40"/>
  <c r="AB40" s="1"/>
  <c r="AE40" s="1"/>
  <c r="K40"/>
  <c r="Z39"/>
  <c r="Y39"/>
  <c r="S39"/>
  <c r="R39"/>
  <c r="K39"/>
  <c r="Z38"/>
  <c r="Y38"/>
  <c r="S38"/>
  <c r="R38"/>
  <c r="L38"/>
  <c r="K38"/>
  <c r="AA38" s="1"/>
  <c r="Z37"/>
  <c r="Y37"/>
  <c r="S37"/>
  <c r="R37"/>
  <c r="L37"/>
  <c r="K37"/>
  <c r="Z36"/>
  <c r="Y36"/>
  <c r="S36"/>
  <c r="R36"/>
  <c r="L36"/>
  <c r="AB36" s="1"/>
  <c r="AE36" s="1"/>
  <c r="K36"/>
  <c r="Z35"/>
  <c r="Y35"/>
  <c r="S35"/>
  <c r="R35"/>
  <c r="K35"/>
  <c r="Z34"/>
  <c r="Y34"/>
  <c r="S34"/>
  <c r="R34"/>
  <c r="L34"/>
  <c r="AB34" s="1"/>
  <c r="AE34" s="1"/>
  <c r="K34"/>
  <c r="AA34" s="1"/>
  <c r="Z33"/>
  <c r="Y33"/>
  <c r="S33"/>
  <c r="R33"/>
  <c r="L33"/>
  <c r="K33"/>
  <c r="Z32"/>
  <c r="Y32"/>
  <c r="S32"/>
  <c r="R32"/>
  <c r="L32"/>
  <c r="K32"/>
  <c r="Z31"/>
  <c r="Y31"/>
  <c r="S31"/>
  <c r="R31"/>
  <c r="K31"/>
  <c r="X30"/>
  <c r="W30"/>
  <c r="V30"/>
  <c r="U30"/>
  <c r="T30"/>
  <c r="Q30"/>
  <c r="P30"/>
  <c r="O30"/>
  <c r="N30"/>
  <c r="M30"/>
  <c r="J30"/>
  <c r="I30"/>
  <c r="H30"/>
  <c r="G30"/>
  <c r="F30"/>
  <c r="E30"/>
  <c r="Z29"/>
  <c r="Y29"/>
  <c r="S29"/>
  <c r="R29"/>
  <c r="L29"/>
  <c r="AB29" s="1"/>
  <c r="AE29" s="1"/>
  <c r="K29"/>
  <c r="AA29" s="1"/>
  <c r="AD29" s="1"/>
  <c r="Z28"/>
  <c r="Y28"/>
  <c r="S28"/>
  <c r="R28"/>
  <c r="K28"/>
  <c r="Z27"/>
  <c r="Y27"/>
  <c r="S27"/>
  <c r="R27"/>
  <c r="K27"/>
  <c r="L27" s="1"/>
  <c r="Z26"/>
  <c r="Y26"/>
  <c r="S26"/>
  <c r="R26"/>
  <c r="L26"/>
  <c r="AB26" s="1"/>
  <c r="AE26" s="1"/>
  <c r="K26"/>
  <c r="Z25"/>
  <c r="Y25"/>
  <c r="S25"/>
  <c r="R25"/>
  <c r="L25"/>
  <c r="AB25" s="1"/>
  <c r="AE25" s="1"/>
  <c r="K25"/>
  <c r="Z24"/>
  <c r="Y24"/>
  <c r="S24"/>
  <c r="R24"/>
  <c r="K24"/>
  <c r="Z23"/>
  <c r="Y23"/>
  <c r="S23"/>
  <c r="R23"/>
  <c r="K23"/>
  <c r="L23" s="1"/>
  <c r="Z22"/>
  <c r="Y22"/>
  <c r="S22"/>
  <c r="R22"/>
  <c r="L22"/>
  <c r="AB22" s="1"/>
  <c r="AE22" s="1"/>
  <c r="K22"/>
  <c r="Z21"/>
  <c r="Y21"/>
  <c r="S21"/>
  <c r="R21"/>
  <c r="K21"/>
  <c r="AA21" s="1"/>
  <c r="AD21" s="1"/>
  <c r="Z20"/>
  <c r="Y20"/>
  <c r="S20"/>
  <c r="R20"/>
  <c r="K20"/>
  <c r="Z19"/>
  <c r="Y19"/>
  <c r="S19"/>
  <c r="R19"/>
  <c r="K19"/>
  <c r="L19" s="1"/>
  <c r="Z18"/>
  <c r="Y18"/>
  <c r="S18"/>
  <c r="R18"/>
  <c r="K18"/>
  <c r="AA18" s="1"/>
  <c r="AD18" s="1"/>
  <c r="Z17"/>
  <c r="Y17"/>
  <c r="S17"/>
  <c r="R17"/>
  <c r="K17"/>
  <c r="L17" s="1"/>
  <c r="AB17" s="1"/>
  <c r="AE17" s="1"/>
  <c r="Z16"/>
  <c r="Y16"/>
  <c r="S16"/>
  <c r="R16"/>
  <c r="K16"/>
  <c r="Z15"/>
  <c r="Y15"/>
  <c r="S15"/>
  <c r="R15"/>
  <c r="K15"/>
  <c r="L15" s="1"/>
  <c r="AB15" s="1"/>
  <c r="AE15" s="1"/>
  <c r="Z14"/>
  <c r="Y14"/>
  <c r="S14"/>
  <c r="R14"/>
  <c r="K14"/>
  <c r="L14" s="1"/>
  <c r="AB14" s="1"/>
  <c r="AE14" s="1"/>
  <c r="Z13"/>
  <c r="Y13"/>
  <c r="S13"/>
  <c r="R13"/>
  <c r="L13"/>
  <c r="AB13" s="1"/>
  <c r="AE13" s="1"/>
  <c r="K13"/>
  <c r="AA13" s="1"/>
  <c r="AD13" s="1"/>
  <c r="Z12"/>
  <c r="Y12"/>
  <c r="S12"/>
  <c r="R12"/>
  <c r="K12"/>
  <c r="Z11"/>
  <c r="Y11"/>
  <c r="S11"/>
  <c r="R11"/>
  <c r="K11"/>
  <c r="L11" s="1"/>
  <c r="Z10"/>
  <c r="Y10"/>
  <c r="S10"/>
  <c r="R10"/>
  <c r="L10"/>
  <c r="AB10" s="1"/>
  <c r="AE10" s="1"/>
  <c r="K10"/>
  <c r="Z9"/>
  <c r="Y9"/>
  <c r="S9"/>
  <c r="R9"/>
  <c r="L9"/>
  <c r="AB9" s="1"/>
  <c r="AE9" s="1"/>
  <c r="K9"/>
  <c r="Z8"/>
  <c r="Y8"/>
  <c r="S8"/>
  <c r="R8"/>
  <c r="K8"/>
  <c r="Z7"/>
  <c r="Y7"/>
  <c r="S7"/>
  <c r="R7"/>
  <c r="K7"/>
  <c r="L7" s="1"/>
  <c r="Z6"/>
  <c r="Y6"/>
  <c r="S6"/>
  <c r="R6"/>
  <c r="R30" s="1"/>
  <c r="L6"/>
  <c r="K6"/>
  <c r="AF119" l="1"/>
  <c r="AF360"/>
  <c r="AF111"/>
  <c r="AF352"/>
  <c r="AF90"/>
  <c r="AF366"/>
  <c r="AF127"/>
  <c r="AF256"/>
  <c r="AF18"/>
  <c r="AF264"/>
  <c r="AA141"/>
  <c r="AD141" s="1"/>
  <c r="AF141" s="1"/>
  <c r="L141"/>
  <c r="AB141" s="1"/>
  <c r="AE141" s="1"/>
  <c r="AA304"/>
  <c r="AD304" s="1"/>
  <c r="L304"/>
  <c r="AB304" s="1"/>
  <c r="AE304" s="1"/>
  <c r="AA369"/>
  <c r="AD369" s="1"/>
  <c r="L369"/>
  <c r="AB369" s="1"/>
  <c r="AE369" s="1"/>
  <c r="AA12"/>
  <c r="AD12" s="1"/>
  <c r="L12"/>
  <c r="AB12" s="1"/>
  <c r="AE12" s="1"/>
  <c r="AA28"/>
  <c r="AD28" s="1"/>
  <c r="L28"/>
  <c r="AB28" s="1"/>
  <c r="AE28" s="1"/>
  <c r="AA47"/>
  <c r="AD47" s="1"/>
  <c r="AF47" s="1"/>
  <c r="L47"/>
  <c r="AB47" s="1"/>
  <c r="AE47" s="1"/>
  <c r="AA79"/>
  <c r="AD79" s="1"/>
  <c r="AF79" s="1"/>
  <c r="L79"/>
  <c r="AB79" s="1"/>
  <c r="AE79" s="1"/>
  <c r="AA112"/>
  <c r="AD112" s="1"/>
  <c r="L112"/>
  <c r="AB112" s="1"/>
  <c r="AE112" s="1"/>
  <c r="AA145"/>
  <c r="AD145" s="1"/>
  <c r="AF145" s="1"/>
  <c r="L145"/>
  <c r="AB145" s="1"/>
  <c r="AE145" s="1"/>
  <c r="AA210"/>
  <c r="AD210" s="1"/>
  <c r="L210"/>
  <c r="AB210" s="1"/>
  <c r="AE210" s="1"/>
  <c r="AA242"/>
  <c r="AD242" s="1"/>
  <c r="L242"/>
  <c r="AB242" s="1"/>
  <c r="AE242" s="1"/>
  <c r="AA275"/>
  <c r="AD275" s="1"/>
  <c r="L275"/>
  <c r="AB275" s="1"/>
  <c r="AE275" s="1"/>
  <c r="AA308"/>
  <c r="AD308" s="1"/>
  <c r="L308"/>
  <c r="AB308" s="1"/>
  <c r="AE308" s="1"/>
  <c r="AA341"/>
  <c r="AD341" s="1"/>
  <c r="L341"/>
  <c r="AB341" s="1"/>
  <c r="AE341" s="1"/>
  <c r="AA401"/>
  <c r="L401"/>
  <c r="AB401" s="1"/>
  <c r="AA51"/>
  <c r="AD51" s="1"/>
  <c r="L51"/>
  <c r="AB51" s="1"/>
  <c r="AE51" s="1"/>
  <c r="AA83"/>
  <c r="AD83" s="1"/>
  <c r="L83"/>
  <c r="AB83" s="1"/>
  <c r="AE83" s="1"/>
  <c r="AA116"/>
  <c r="AD116" s="1"/>
  <c r="L116"/>
  <c r="AB116" s="1"/>
  <c r="AE116" s="1"/>
  <c r="AA149"/>
  <c r="AD149" s="1"/>
  <c r="L149"/>
  <c r="AB149" s="1"/>
  <c r="AE149" s="1"/>
  <c r="AA173"/>
  <c r="AD173" s="1"/>
  <c r="L173"/>
  <c r="AB173" s="1"/>
  <c r="AE173" s="1"/>
  <c r="AA176"/>
  <c r="AD176" s="1"/>
  <c r="L176"/>
  <c r="AB176" s="1"/>
  <c r="AE176" s="1"/>
  <c r="AA214"/>
  <c r="AD214" s="1"/>
  <c r="L214"/>
  <c r="AB214" s="1"/>
  <c r="AE214" s="1"/>
  <c r="AA246"/>
  <c r="AD246" s="1"/>
  <c r="L246"/>
  <c r="AB246" s="1"/>
  <c r="AE246" s="1"/>
  <c r="AA279"/>
  <c r="AD279" s="1"/>
  <c r="L279"/>
  <c r="AB279" s="1"/>
  <c r="AE279" s="1"/>
  <c r="AA312"/>
  <c r="AD312" s="1"/>
  <c r="L312"/>
  <c r="AB312" s="1"/>
  <c r="AE312" s="1"/>
  <c r="AA345"/>
  <c r="AD345" s="1"/>
  <c r="L345"/>
  <c r="AB345" s="1"/>
  <c r="AE345" s="1"/>
  <c r="AF54"/>
  <c r="AF276"/>
  <c r="AF25"/>
  <c r="AF58"/>
  <c r="AF72"/>
  <c r="S161"/>
  <c r="AF217"/>
  <c r="K286"/>
  <c r="AF315"/>
  <c r="R373"/>
  <c r="AF123"/>
  <c r="K30"/>
  <c r="AA9"/>
  <c r="AD9" s="1"/>
  <c r="AF9" s="1"/>
  <c r="AB19"/>
  <c r="AE19" s="1"/>
  <c r="AA22"/>
  <c r="AD22" s="1"/>
  <c r="AF22" s="1"/>
  <c r="AA25"/>
  <c r="AD25" s="1"/>
  <c r="L62"/>
  <c r="AB62" s="1"/>
  <c r="AE62" s="1"/>
  <c r="AF62" s="1"/>
  <c r="S138"/>
  <c r="L95"/>
  <c r="AB95" s="1"/>
  <c r="AE95" s="1"/>
  <c r="AF95" s="1"/>
  <c r="AB109"/>
  <c r="AE109" s="1"/>
  <c r="L127"/>
  <c r="AB127" s="1"/>
  <c r="AE127" s="1"/>
  <c r="AB142"/>
  <c r="AE142" s="1"/>
  <c r="L160"/>
  <c r="AB160" s="1"/>
  <c r="AE160" s="1"/>
  <c r="AF160" s="1"/>
  <c r="AB169"/>
  <c r="AE169" s="1"/>
  <c r="AA179"/>
  <c r="AD179" s="1"/>
  <c r="AF179" s="1"/>
  <c r="L184"/>
  <c r="AB184" s="1"/>
  <c r="AE184" s="1"/>
  <c r="AF184" s="1"/>
  <c r="L192"/>
  <c r="AB192" s="1"/>
  <c r="AE192" s="1"/>
  <c r="AF192" s="1"/>
  <c r="AB207"/>
  <c r="AE207" s="1"/>
  <c r="AF221"/>
  <c r="L225"/>
  <c r="AB225" s="1"/>
  <c r="AE225" s="1"/>
  <c r="AF225" s="1"/>
  <c r="AB239"/>
  <c r="AE239" s="1"/>
  <c r="L258"/>
  <c r="AB258" s="1"/>
  <c r="AE258" s="1"/>
  <c r="AF258" s="1"/>
  <c r="AB272"/>
  <c r="AE272" s="1"/>
  <c r="K337"/>
  <c r="L291"/>
  <c r="AB291" s="1"/>
  <c r="AE291" s="1"/>
  <c r="AF291" s="1"/>
  <c r="AB305"/>
  <c r="AE305" s="1"/>
  <c r="AF319"/>
  <c r="L323"/>
  <c r="AB323" s="1"/>
  <c r="AE323" s="1"/>
  <c r="AF323" s="1"/>
  <c r="L356"/>
  <c r="AB356" s="1"/>
  <c r="AE356" s="1"/>
  <c r="AF356" s="1"/>
  <c r="AB370"/>
  <c r="AE370" s="1"/>
  <c r="S406"/>
  <c r="AA75"/>
  <c r="AD75" s="1"/>
  <c r="L75"/>
  <c r="AB75" s="1"/>
  <c r="AE75" s="1"/>
  <c r="AA206"/>
  <c r="AD206" s="1"/>
  <c r="L206"/>
  <c r="AB206" s="1"/>
  <c r="AE206" s="1"/>
  <c r="AA238"/>
  <c r="AD238" s="1"/>
  <c r="L238"/>
  <c r="AB238" s="1"/>
  <c r="AE238" s="1"/>
  <c r="AA271"/>
  <c r="AD271" s="1"/>
  <c r="AF271" s="1"/>
  <c r="L271"/>
  <c r="AB271" s="1"/>
  <c r="AE271" s="1"/>
  <c r="AA16"/>
  <c r="AD16" s="1"/>
  <c r="L16"/>
  <c r="AB16" s="1"/>
  <c r="AE16" s="1"/>
  <c r="AA120"/>
  <c r="AD120" s="1"/>
  <c r="L120"/>
  <c r="AB120" s="1"/>
  <c r="AE120" s="1"/>
  <c r="AA153"/>
  <c r="AD153" s="1"/>
  <c r="AF153" s="1"/>
  <c r="L153"/>
  <c r="AB153" s="1"/>
  <c r="AE153" s="1"/>
  <c r="K138"/>
  <c r="L92"/>
  <c r="AA189"/>
  <c r="AD189" s="1"/>
  <c r="L189"/>
  <c r="AB189" s="1"/>
  <c r="AE189" s="1"/>
  <c r="AA320"/>
  <c r="AD320" s="1"/>
  <c r="L320"/>
  <c r="AB320" s="1"/>
  <c r="AE320" s="1"/>
  <c r="AA20"/>
  <c r="AD20" s="1"/>
  <c r="AF20" s="1"/>
  <c r="L20"/>
  <c r="AB20" s="1"/>
  <c r="AE20" s="1"/>
  <c r="K91"/>
  <c r="L31"/>
  <c r="AA63"/>
  <c r="AD63" s="1"/>
  <c r="L63"/>
  <c r="AB63" s="1"/>
  <c r="AE63" s="1"/>
  <c r="AA96"/>
  <c r="AD96" s="1"/>
  <c r="L96"/>
  <c r="AB96" s="1"/>
  <c r="AE96" s="1"/>
  <c r="AA128"/>
  <c r="AD128" s="1"/>
  <c r="L128"/>
  <c r="AB128" s="1"/>
  <c r="AE128" s="1"/>
  <c r="K194"/>
  <c r="K374" s="1"/>
  <c r="L162"/>
  <c r="AB162" s="1"/>
  <c r="AE162" s="1"/>
  <c r="AA193"/>
  <c r="AD193" s="1"/>
  <c r="L193"/>
  <c r="AB193" s="1"/>
  <c r="AE193" s="1"/>
  <c r="AA226"/>
  <c r="AD226" s="1"/>
  <c r="L226"/>
  <c r="AB226" s="1"/>
  <c r="AE226" s="1"/>
  <c r="AA259"/>
  <c r="AD259" s="1"/>
  <c r="AF259" s="1"/>
  <c r="L259"/>
  <c r="AB259" s="1"/>
  <c r="AE259" s="1"/>
  <c r="AA292"/>
  <c r="AD292" s="1"/>
  <c r="L292"/>
  <c r="AB292" s="1"/>
  <c r="AE292" s="1"/>
  <c r="AA324"/>
  <c r="AD324" s="1"/>
  <c r="L324"/>
  <c r="AB324" s="1"/>
  <c r="AE324" s="1"/>
  <c r="AA357"/>
  <c r="AD357" s="1"/>
  <c r="L357"/>
  <c r="AB357" s="1"/>
  <c r="AE357" s="1"/>
  <c r="R406"/>
  <c r="AB38"/>
  <c r="AE38" s="1"/>
  <c r="AF38" s="1"/>
  <c r="AB52"/>
  <c r="AE52" s="1"/>
  <c r="AB70"/>
  <c r="AE70" s="1"/>
  <c r="AF70" s="1"/>
  <c r="AB150"/>
  <c r="AE150" s="1"/>
  <c r="R194"/>
  <c r="AB177"/>
  <c r="AE177" s="1"/>
  <c r="AF177" s="1"/>
  <c r="AB185"/>
  <c r="AE185" s="1"/>
  <c r="AF197"/>
  <c r="AB201"/>
  <c r="AE201" s="1"/>
  <c r="AB215"/>
  <c r="AE215" s="1"/>
  <c r="AF229"/>
  <c r="AB233"/>
  <c r="AE233" s="1"/>
  <c r="L42"/>
  <c r="AB42" s="1"/>
  <c r="AE42" s="1"/>
  <c r="AF42" s="1"/>
  <c r="AB56"/>
  <c r="AE56" s="1"/>
  <c r="L74"/>
  <c r="AB74" s="1"/>
  <c r="AE74" s="1"/>
  <c r="AF74" s="1"/>
  <c r="AB88"/>
  <c r="AE88" s="1"/>
  <c r="L107"/>
  <c r="AB107" s="1"/>
  <c r="AE107" s="1"/>
  <c r="AF107" s="1"/>
  <c r="AB121"/>
  <c r="AE121" s="1"/>
  <c r="L140"/>
  <c r="AB140" s="1"/>
  <c r="AE140" s="1"/>
  <c r="AF140" s="1"/>
  <c r="AB154"/>
  <c r="AE154" s="1"/>
  <c r="L166"/>
  <c r="AB166" s="1"/>
  <c r="AE166" s="1"/>
  <c r="AF166" s="1"/>
  <c r="AF201"/>
  <c r="L205"/>
  <c r="AB205" s="1"/>
  <c r="AE205" s="1"/>
  <c r="AF205" s="1"/>
  <c r="AB219"/>
  <c r="AE219" s="1"/>
  <c r="AF233"/>
  <c r="L237"/>
  <c r="AB237" s="1"/>
  <c r="AE237" s="1"/>
  <c r="AF237" s="1"/>
  <c r="AB252"/>
  <c r="AE252" s="1"/>
  <c r="L270"/>
  <c r="AB270" s="1"/>
  <c r="AE270" s="1"/>
  <c r="AF270" s="1"/>
  <c r="AB284"/>
  <c r="AE284" s="1"/>
  <c r="AF284" s="1"/>
  <c r="Z337"/>
  <c r="Z374" s="1"/>
  <c r="L303"/>
  <c r="AB303" s="1"/>
  <c r="AE303" s="1"/>
  <c r="AF303" s="1"/>
  <c r="AB317"/>
  <c r="AE317" s="1"/>
  <c r="L335"/>
  <c r="AB335" s="1"/>
  <c r="AE335" s="1"/>
  <c r="AF335" s="1"/>
  <c r="AB350"/>
  <c r="AE350" s="1"/>
  <c r="L368"/>
  <c r="AB368" s="1"/>
  <c r="AE368" s="1"/>
  <c r="AF368" s="1"/>
  <c r="L403"/>
  <c r="AB403" s="1"/>
  <c r="AA43"/>
  <c r="AD43" s="1"/>
  <c r="L43"/>
  <c r="AB43" s="1"/>
  <c r="AE43" s="1"/>
  <c r="AA187"/>
  <c r="AD187" s="1"/>
  <c r="L187"/>
  <c r="AB187" s="1"/>
  <c r="AE187" s="1"/>
  <c r="AA336"/>
  <c r="AD336" s="1"/>
  <c r="L336"/>
  <c r="AB336" s="1"/>
  <c r="AE336" s="1"/>
  <c r="AA55"/>
  <c r="AD55" s="1"/>
  <c r="L55"/>
  <c r="AB55" s="1"/>
  <c r="AE55" s="1"/>
  <c r="AA218"/>
  <c r="AD218" s="1"/>
  <c r="L218"/>
  <c r="AB218" s="1"/>
  <c r="AE218" s="1"/>
  <c r="AA283"/>
  <c r="AD283" s="1"/>
  <c r="L283"/>
  <c r="AB283" s="1"/>
  <c r="AE283" s="1"/>
  <c r="AA124"/>
  <c r="AD124" s="1"/>
  <c r="L124"/>
  <c r="AB124" s="1"/>
  <c r="AE124" s="1"/>
  <c r="AA157"/>
  <c r="AD157" s="1"/>
  <c r="AF157" s="1"/>
  <c r="L157"/>
  <c r="AB157" s="1"/>
  <c r="AE157" s="1"/>
  <c r="AA255"/>
  <c r="AD255" s="1"/>
  <c r="L255"/>
  <c r="AB255" s="1"/>
  <c r="AE255" s="1"/>
  <c r="AA288"/>
  <c r="AD288" s="1"/>
  <c r="L288"/>
  <c r="AB288" s="1"/>
  <c r="AE288" s="1"/>
  <c r="AA35"/>
  <c r="AD35" s="1"/>
  <c r="AF35" s="1"/>
  <c r="L35"/>
  <c r="AB35" s="1"/>
  <c r="AE35" s="1"/>
  <c r="AA100"/>
  <c r="AD100" s="1"/>
  <c r="L100"/>
  <c r="AB100" s="1"/>
  <c r="AE100" s="1"/>
  <c r="AA171"/>
  <c r="AD171" s="1"/>
  <c r="L171"/>
  <c r="AB171" s="1"/>
  <c r="AE171" s="1"/>
  <c r="AA198"/>
  <c r="AD198" s="1"/>
  <c r="L198"/>
  <c r="AB198" s="1"/>
  <c r="AE198" s="1"/>
  <c r="AA230"/>
  <c r="AD230" s="1"/>
  <c r="L230"/>
  <c r="AB230" s="1"/>
  <c r="AE230" s="1"/>
  <c r="AA263"/>
  <c r="AD263" s="1"/>
  <c r="AF263" s="1"/>
  <c r="L263"/>
  <c r="AB263" s="1"/>
  <c r="AE263" s="1"/>
  <c r="AA296"/>
  <c r="AD296" s="1"/>
  <c r="L296"/>
  <c r="AB296" s="1"/>
  <c r="AE296" s="1"/>
  <c r="AA328"/>
  <c r="AD328" s="1"/>
  <c r="L328"/>
  <c r="AB328" s="1"/>
  <c r="AE328" s="1"/>
  <c r="AA361"/>
  <c r="AD361" s="1"/>
  <c r="L361"/>
  <c r="AB361" s="1"/>
  <c r="AE361" s="1"/>
  <c r="AF86"/>
  <c r="AF152"/>
  <c r="AF13"/>
  <c r="AF34"/>
  <c r="R138"/>
  <c r="Z249"/>
  <c r="AF131"/>
  <c r="AB7"/>
  <c r="AE7" s="1"/>
  <c r="AF7" s="1"/>
  <c r="AA26"/>
  <c r="AD26" s="1"/>
  <c r="AF26" s="1"/>
  <c r="R91"/>
  <c r="AB103"/>
  <c r="AE103" s="1"/>
  <c r="AF103" s="1"/>
  <c r="AB135"/>
  <c r="AE135" s="1"/>
  <c r="AF135" s="1"/>
  <c r="AB266"/>
  <c r="AE266" s="1"/>
  <c r="AF266" s="1"/>
  <c r="AB313"/>
  <c r="AE313" s="1"/>
  <c r="AF327"/>
  <c r="AB331"/>
  <c r="AE331" s="1"/>
  <c r="AF331" s="1"/>
  <c r="AB346"/>
  <c r="AE346" s="1"/>
  <c r="AA399"/>
  <c r="AA14"/>
  <c r="AD14" s="1"/>
  <c r="AF14" s="1"/>
  <c r="AA17"/>
  <c r="AD17" s="1"/>
  <c r="AF17" s="1"/>
  <c r="AB27"/>
  <c r="AE27" s="1"/>
  <c r="AF78"/>
  <c r="AF144"/>
  <c r="Z373"/>
  <c r="AB400"/>
  <c r="AA108"/>
  <c r="AD108" s="1"/>
  <c r="L108"/>
  <c r="AB108" s="1"/>
  <c r="AE108" s="1"/>
  <c r="AA87"/>
  <c r="AD87" s="1"/>
  <c r="AF87" s="1"/>
  <c r="L87"/>
  <c r="AB87" s="1"/>
  <c r="AE87" s="1"/>
  <c r="AA251"/>
  <c r="AD251" s="1"/>
  <c r="L251"/>
  <c r="AB251" s="1"/>
  <c r="AE251" s="1"/>
  <c r="AA316"/>
  <c r="AD316" s="1"/>
  <c r="L316"/>
  <c r="AB316" s="1"/>
  <c r="AE316" s="1"/>
  <c r="AA349"/>
  <c r="AD349" s="1"/>
  <c r="L349"/>
  <c r="AB349" s="1"/>
  <c r="AE349" s="1"/>
  <c r="AA59"/>
  <c r="AD59" s="1"/>
  <c r="AF59" s="1"/>
  <c r="L59"/>
  <c r="AB59" s="1"/>
  <c r="AE59" s="1"/>
  <c r="AA222"/>
  <c r="AD222" s="1"/>
  <c r="L222"/>
  <c r="AB222" s="1"/>
  <c r="AE222" s="1"/>
  <c r="AA353"/>
  <c r="AD353" s="1"/>
  <c r="L353"/>
  <c r="AB353" s="1"/>
  <c r="AE353" s="1"/>
  <c r="AA67"/>
  <c r="AD67" s="1"/>
  <c r="L67"/>
  <c r="AB67" s="1"/>
  <c r="AE67" s="1"/>
  <c r="AA132"/>
  <c r="AD132" s="1"/>
  <c r="L132"/>
  <c r="AB132" s="1"/>
  <c r="AE132" s="1"/>
  <c r="AA8"/>
  <c r="AD8" s="1"/>
  <c r="L8"/>
  <c r="AB8" s="1"/>
  <c r="AE8" s="1"/>
  <c r="AA24"/>
  <c r="AD24" s="1"/>
  <c r="L24"/>
  <c r="AB24" s="1"/>
  <c r="AE24" s="1"/>
  <c r="AA39"/>
  <c r="AD39" s="1"/>
  <c r="L39"/>
  <c r="AB39" s="1"/>
  <c r="AE39" s="1"/>
  <c r="AA71"/>
  <c r="AD71" s="1"/>
  <c r="AF71" s="1"/>
  <c r="L71"/>
  <c r="AB71" s="1"/>
  <c r="AE71" s="1"/>
  <c r="AA104"/>
  <c r="AD104" s="1"/>
  <c r="L104"/>
  <c r="AB104" s="1"/>
  <c r="AE104" s="1"/>
  <c r="AA136"/>
  <c r="AD136" s="1"/>
  <c r="L136"/>
  <c r="AB136" s="1"/>
  <c r="AE136" s="1"/>
  <c r="AA178"/>
  <c r="AD178" s="1"/>
  <c r="L178"/>
  <c r="AB178" s="1"/>
  <c r="AE178" s="1"/>
  <c r="AA202"/>
  <c r="AD202" s="1"/>
  <c r="L202"/>
  <c r="AB202" s="1"/>
  <c r="AE202" s="1"/>
  <c r="AA234"/>
  <c r="AD234" s="1"/>
  <c r="L234"/>
  <c r="AB234" s="1"/>
  <c r="AE234" s="1"/>
  <c r="AA267"/>
  <c r="AD267" s="1"/>
  <c r="L267"/>
  <c r="AB267" s="1"/>
  <c r="AE267" s="1"/>
  <c r="AA300"/>
  <c r="AD300" s="1"/>
  <c r="L300"/>
  <c r="AB300" s="1"/>
  <c r="AE300" s="1"/>
  <c r="AA332"/>
  <c r="AD332" s="1"/>
  <c r="L332"/>
  <c r="AB332" s="1"/>
  <c r="AE332" s="1"/>
  <c r="AA365"/>
  <c r="AD365" s="1"/>
  <c r="L365"/>
  <c r="AB365" s="1"/>
  <c r="AE365" s="1"/>
  <c r="AA397"/>
  <c r="L397"/>
  <c r="AB397" s="1"/>
  <c r="AF29"/>
  <c r="S91"/>
  <c r="AF66"/>
  <c r="AF99"/>
  <c r="AA10"/>
  <c r="AD10" s="1"/>
  <c r="AF10" s="1"/>
  <c r="AB23"/>
  <c r="AE23" s="1"/>
  <c r="AB84"/>
  <c r="AE84" s="1"/>
  <c r="AB117"/>
  <c r="AE117" s="1"/>
  <c r="AB174"/>
  <c r="AE174" s="1"/>
  <c r="AF174" s="1"/>
  <c r="Y249"/>
  <c r="AB247"/>
  <c r="AE247" s="1"/>
  <c r="Z286"/>
  <c r="AB280"/>
  <c r="AE280" s="1"/>
  <c r="AF295"/>
  <c r="AB299"/>
  <c r="AE299" s="1"/>
  <c r="AF299" s="1"/>
  <c r="AB364"/>
  <c r="AE364" s="1"/>
  <c r="AF364" s="1"/>
  <c r="Y30"/>
  <c r="AB11"/>
  <c r="AE11" s="1"/>
  <c r="AB46"/>
  <c r="AE46" s="1"/>
  <c r="AF46" s="1"/>
  <c r="R249"/>
  <c r="S30"/>
  <c r="L18"/>
  <c r="AB18" s="1"/>
  <c r="AE18" s="1"/>
  <c r="L21"/>
  <c r="AB21" s="1"/>
  <c r="AE21" s="1"/>
  <c r="AF21" s="1"/>
  <c r="AB32"/>
  <c r="AE32" s="1"/>
  <c r="AF32" s="1"/>
  <c r="L50"/>
  <c r="AB50" s="1"/>
  <c r="AE50" s="1"/>
  <c r="AF50" s="1"/>
  <c r="AB64"/>
  <c r="AE64" s="1"/>
  <c r="AF64" s="1"/>
  <c r="L82"/>
  <c r="AB82" s="1"/>
  <c r="AE82" s="1"/>
  <c r="AF82" s="1"/>
  <c r="AB97"/>
  <c r="AE97" s="1"/>
  <c r="L115"/>
  <c r="AB115" s="1"/>
  <c r="AE115" s="1"/>
  <c r="AF115" s="1"/>
  <c r="AB129"/>
  <c r="AE129" s="1"/>
  <c r="L148"/>
  <c r="AB148" s="1"/>
  <c r="AE148" s="1"/>
  <c r="AF148" s="1"/>
  <c r="L163"/>
  <c r="AB163" s="1"/>
  <c r="AE163" s="1"/>
  <c r="AF163" s="1"/>
  <c r="AB175"/>
  <c r="AE175" s="1"/>
  <c r="L182"/>
  <c r="AB182" s="1"/>
  <c r="AE182" s="1"/>
  <c r="AF182" s="1"/>
  <c r="AF209"/>
  <c r="L213"/>
  <c r="AB213" s="1"/>
  <c r="AE213" s="1"/>
  <c r="AF213" s="1"/>
  <c r="AB227"/>
  <c r="AE227" s="1"/>
  <c r="AF241"/>
  <c r="L245"/>
  <c r="AB245" s="1"/>
  <c r="AE245" s="1"/>
  <c r="AF245" s="1"/>
  <c r="AB260"/>
  <c r="AE260" s="1"/>
  <c r="L278"/>
  <c r="AB278" s="1"/>
  <c r="AE278" s="1"/>
  <c r="AF278" s="1"/>
  <c r="AB293"/>
  <c r="AE293" s="1"/>
  <c r="AF307"/>
  <c r="L311"/>
  <c r="AB311" s="1"/>
  <c r="AE311" s="1"/>
  <c r="AF311" s="1"/>
  <c r="AB325"/>
  <c r="AE325" s="1"/>
  <c r="Y373"/>
  <c r="L344"/>
  <c r="AB344" s="1"/>
  <c r="AE344" s="1"/>
  <c r="AF344" s="1"/>
  <c r="AB358"/>
  <c r="AE358" s="1"/>
  <c r="AF358" s="1"/>
  <c r="AA372"/>
  <c r="AD372" s="1"/>
  <c r="Z161"/>
  <c r="AA167"/>
  <c r="AD167" s="1"/>
  <c r="AF167" s="1"/>
  <c r="AA172"/>
  <c r="AD172" s="1"/>
  <c r="AF172" s="1"/>
  <c r="AA183"/>
  <c r="AD183" s="1"/>
  <c r="AF183" s="1"/>
  <c r="AA188"/>
  <c r="AD188" s="1"/>
  <c r="AF188" s="1"/>
  <c r="S249"/>
  <c r="S373"/>
  <c r="Y406"/>
  <c r="AA398"/>
  <c r="AA402"/>
  <c r="AA32"/>
  <c r="AD32" s="1"/>
  <c r="AA36"/>
  <c r="AD36" s="1"/>
  <c r="AF36" s="1"/>
  <c r="AA40"/>
  <c r="AD40" s="1"/>
  <c r="AF40" s="1"/>
  <c r="AA44"/>
  <c r="AD44" s="1"/>
  <c r="AF44" s="1"/>
  <c r="AA48"/>
  <c r="AD48" s="1"/>
  <c r="AF48" s="1"/>
  <c r="AA52"/>
  <c r="AD52" s="1"/>
  <c r="AA56"/>
  <c r="AD56" s="1"/>
  <c r="AA60"/>
  <c r="AD60" s="1"/>
  <c r="AF60" s="1"/>
  <c r="AA64"/>
  <c r="AD64" s="1"/>
  <c r="AA68"/>
  <c r="AD68" s="1"/>
  <c r="AF68" s="1"/>
  <c r="AA72"/>
  <c r="AD72" s="1"/>
  <c r="AA76"/>
  <c r="AD76" s="1"/>
  <c r="AF76" s="1"/>
  <c r="AA80"/>
  <c r="AD80" s="1"/>
  <c r="AF80" s="1"/>
  <c r="AA84"/>
  <c r="AD84" s="1"/>
  <c r="AA88"/>
  <c r="AD88" s="1"/>
  <c r="AA93"/>
  <c r="AD93" s="1"/>
  <c r="AF93" s="1"/>
  <c r="AA97"/>
  <c r="AD97" s="1"/>
  <c r="AA101"/>
  <c r="AD101" s="1"/>
  <c r="AF101" s="1"/>
  <c r="AA105"/>
  <c r="AD105" s="1"/>
  <c r="AF105" s="1"/>
  <c r="AA109"/>
  <c r="AD109" s="1"/>
  <c r="AF109" s="1"/>
  <c r="AA113"/>
  <c r="AD113" s="1"/>
  <c r="AF113" s="1"/>
  <c r="AA117"/>
  <c r="AD117" s="1"/>
  <c r="AA121"/>
  <c r="AD121" s="1"/>
  <c r="AA125"/>
  <c r="AD125" s="1"/>
  <c r="AF125" s="1"/>
  <c r="AA129"/>
  <c r="AD129" s="1"/>
  <c r="AA133"/>
  <c r="AD133" s="1"/>
  <c r="AF133" s="1"/>
  <c r="AA137"/>
  <c r="AD137" s="1"/>
  <c r="AF137" s="1"/>
  <c r="R161"/>
  <c r="AA142"/>
  <c r="AD142" s="1"/>
  <c r="AA146"/>
  <c r="AD146" s="1"/>
  <c r="AF146" s="1"/>
  <c r="AA150"/>
  <c r="AD150" s="1"/>
  <c r="AA154"/>
  <c r="AD154" s="1"/>
  <c r="AA158"/>
  <c r="AD158" s="1"/>
  <c r="AF158" s="1"/>
  <c r="AA169"/>
  <c r="AD169" s="1"/>
  <c r="AF169" s="1"/>
  <c r="AA174"/>
  <c r="AD174" s="1"/>
  <c r="AA185"/>
  <c r="AD185" s="1"/>
  <c r="AF185" s="1"/>
  <c r="AA190"/>
  <c r="AD190" s="1"/>
  <c r="AF190" s="1"/>
  <c r="K249"/>
  <c r="AA199"/>
  <c r="AD199" s="1"/>
  <c r="AF199" s="1"/>
  <c r="AA203"/>
  <c r="AD203" s="1"/>
  <c r="AF203" s="1"/>
  <c r="AA207"/>
  <c r="AD207" s="1"/>
  <c r="AA211"/>
  <c r="AD211" s="1"/>
  <c r="AF211" s="1"/>
  <c r="AA215"/>
  <c r="AD215" s="1"/>
  <c r="AA219"/>
  <c r="AD219" s="1"/>
  <c r="AF219" s="1"/>
  <c r="AA223"/>
  <c r="AD223" s="1"/>
  <c r="AF223" s="1"/>
  <c r="AA227"/>
  <c r="AD227" s="1"/>
  <c r="AA231"/>
  <c r="AD231" s="1"/>
  <c r="AF231" s="1"/>
  <c r="AA235"/>
  <c r="AD235" s="1"/>
  <c r="AF235" s="1"/>
  <c r="AA239"/>
  <c r="AD239" s="1"/>
  <c r="AF239" s="1"/>
  <c r="AA243"/>
  <c r="AD243" s="1"/>
  <c r="AF243" s="1"/>
  <c r="AA247"/>
  <c r="AD247" s="1"/>
  <c r="Y286"/>
  <c r="Y374" s="1"/>
  <c r="AA252"/>
  <c r="AD252" s="1"/>
  <c r="AA256"/>
  <c r="AD256" s="1"/>
  <c r="AA260"/>
  <c r="AD260" s="1"/>
  <c r="AA264"/>
  <c r="AD264" s="1"/>
  <c r="AA268"/>
  <c r="AD268" s="1"/>
  <c r="AF268" s="1"/>
  <c r="AA272"/>
  <c r="AD272" s="1"/>
  <c r="AA276"/>
  <c r="AD276" s="1"/>
  <c r="AA280"/>
  <c r="AD280" s="1"/>
  <c r="AA284"/>
  <c r="AD284" s="1"/>
  <c r="Y337"/>
  <c r="AA289"/>
  <c r="AD289" s="1"/>
  <c r="AF289" s="1"/>
  <c r="AA293"/>
  <c r="AD293" s="1"/>
  <c r="AA297"/>
  <c r="AD297" s="1"/>
  <c r="AF297" s="1"/>
  <c r="AA301"/>
  <c r="AD301" s="1"/>
  <c r="AF301" s="1"/>
  <c r="AA305"/>
  <c r="AD305" s="1"/>
  <c r="AA309"/>
  <c r="AD309" s="1"/>
  <c r="AF309" s="1"/>
  <c r="AA313"/>
  <c r="AD313" s="1"/>
  <c r="AA317"/>
  <c r="AD317" s="1"/>
  <c r="AA321"/>
  <c r="AD321" s="1"/>
  <c r="AF321" s="1"/>
  <c r="AA325"/>
  <c r="AD325" s="1"/>
  <c r="AA329"/>
  <c r="AD329" s="1"/>
  <c r="AF329" s="1"/>
  <c r="AA333"/>
  <c r="AD333" s="1"/>
  <c r="AF333" s="1"/>
  <c r="K373"/>
  <c r="AA342"/>
  <c r="AD342" s="1"/>
  <c r="AF342" s="1"/>
  <c r="AA346"/>
  <c r="AD346" s="1"/>
  <c r="AA350"/>
  <c r="AD350" s="1"/>
  <c r="AA354"/>
  <c r="AD354" s="1"/>
  <c r="AF354" s="1"/>
  <c r="AA358"/>
  <c r="AD358" s="1"/>
  <c r="AA362"/>
  <c r="AD362" s="1"/>
  <c r="AF362" s="1"/>
  <c r="AA366"/>
  <c r="AD366" s="1"/>
  <c r="AA370"/>
  <c r="AD370" s="1"/>
  <c r="AA11"/>
  <c r="AD11" s="1"/>
  <c r="AA15"/>
  <c r="AD15" s="1"/>
  <c r="AF15" s="1"/>
  <c r="AA23"/>
  <c r="AD23" s="1"/>
  <c r="AA27"/>
  <c r="AD27" s="1"/>
  <c r="AB33"/>
  <c r="AE33" s="1"/>
  <c r="AB41"/>
  <c r="AE41" s="1"/>
  <c r="AB53"/>
  <c r="AE53" s="1"/>
  <c r="AB65"/>
  <c r="AE65" s="1"/>
  <c r="AB73"/>
  <c r="AE73" s="1"/>
  <c r="AB81"/>
  <c r="AE81" s="1"/>
  <c r="AB89"/>
  <c r="AE89" s="1"/>
  <c r="Z138"/>
  <c r="AB94"/>
  <c r="AE94" s="1"/>
  <c r="AB106"/>
  <c r="AE106" s="1"/>
  <c r="AB114"/>
  <c r="AE114" s="1"/>
  <c r="AB126"/>
  <c r="AE126" s="1"/>
  <c r="L161"/>
  <c r="AB143"/>
  <c r="AE143" s="1"/>
  <c r="AB151"/>
  <c r="AE151" s="1"/>
  <c r="AB159"/>
  <c r="AE159" s="1"/>
  <c r="AA175"/>
  <c r="AD175" s="1"/>
  <c r="AB191"/>
  <c r="AE191" s="1"/>
  <c r="AB196"/>
  <c r="AE196" s="1"/>
  <c r="AB200"/>
  <c r="AE200" s="1"/>
  <c r="AB204"/>
  <c r="AE204" s="1"/>
  <c r="AF204" s="1"/>
  <c r="AB208"/>
  <c r="AE208" s="1"/>
  <c r="AB212"/>
  <c r="AE212" s="1"/>
  <c r="AB216"/>
  <c r="AE216" s="1"/>
  <c r="AB220"/>
  <c r="AE220" s="1"/>
  <c r="AB224"/>
  <c r="AE224" s="1"/>
  <c r="AF224" s="1"/>
  <c r="AB228"/>
  <c r="AE228" s="1"/>
  <c r="AB232"/>
  <c r="AE232" s="1"/>
  <c r="AB236"/>
  <c r="AE236" s="1"/>
  <c r="AF236" s="1"/>
  <c r="AB240"/>
  <c r="AE240" s="1"/>
  <c r="AB244"/>
  <c r="AE244" s="1"/>
  <c r="AB248"/>
  <c r="AE248" s="1"/>
  <c r="S286"/>
  <c r="AB253"/>
  <c r="AE253" s="1"/>
  <c r="AB257"/>
  <c r="AE257" s="1"/>
  <c r="AB261"/>
  <c r="AE261" s="1"/>
  <c r="AB265"/>
  <c r="AE265" s="1"/>
  <c r="AB269"/>
  <c r="AE269" s="1"/>
  <c r="AB273"/>
  <c r="AE273" s="1"/>
  <c r="AB277"/>
  <c r="AE277" s="1"/>
  <c r="AB281"/>
  <c r="AE281" s="1"/>
  <c r="AB285"/>
  <c r="AE285" s="1"/>
  <c r="S337"/>
  <c r="AB290"/>
  <c r="AE290" s="1"/>
  <c r="AB294"/>
  <c r="AE294" s="1"/>
  <c r="AF294" s="1"/>
  <c r="AB298"/>
  <c r="AE298" s="1"/>
  <c r="AB302"/>
  <c r="AE302" s="1"/>
  <c r="AB306"/>
  <c r="AE306" s="1"/>
  <c r="AB310"/>
  <c r="AE310" s="1"/>
  <c r="AB314"/>
  <c r="AE314" s="1"/>
  <c r="AF314" s="1"/>
  <c r="AB318"/>
  <c r="AE318" s="1"/>
  <c r="AB322"/>
  <c r="AE322" s="1"/>
  <c r="AB326"/>
  <c r="AE326" s="1"/>
  <c r="AF326" s="1"/>
  <c r="AB330"/>
  <c r="AE330" s="1"/>
  <c r="AB334"/>
  <c r="AE334" s="1"/>
  <c r="AB339"/>
  <c r="AE339" s="1"/>
  <c r="AB343"/>
  <c r="AE343" s="1"/>
  <c r="AB347"/>
  <c r="AE347" s="1"/>
  <c r="AB351"/>
  <c r="AE351" s="1"/>
  <c r="AB355"/>
  <c r="AE355" s="1"/>
  <c r="AB359"/>
  <c r="AE359" s="1"/>
  <c r="AB363"/>
  <c r="AE363" s="1"/>
  <c r="AB367"/>
  <c r="AE367" s="1"/>
  <c r="AB371"/>
  <c r="AE371" s="1"/>
  <c r="K406"/>
  <c r="AA400"/>
  <c r="AA404"/>
  <c r="AA7"/>
  <c r="AD7" s="1"/>
  <c r="AA19"/>
  <c r="AD19" s="1"/>
  <c r="Z91"/>
  <c r="AB37"/>
  <c r="AE37" s="1"/>
  <c r="AB45"/>
  <c r="AE45" s="1"/>
  <c r="AB49"/>
  <c r="AE49" s="1"/>
  <c r="AB57"/>
  <c r="AE57" s="1"/>
  <c r="AB61"/>
  <c r="AE61" s="1"/>
  <c r="AB69"/>
  <c r="AE69" s="1"/>
  <c r="AB77"/>
  <c r="AE77" s="1"/>
  <c r="AB85"/>
  <c r="AE85" s="1"/>
  <c r="AB98"/>
  <c r="AE98" s="1"/>
  <c r="AB102"/>
  <c r="AE102" s="1"/>
  <c r="AB110"/>
  <c r="AE110" s="1"/>
  <c r="AB118"/>
  <c r="AE118" s="1"/>
  <c r="AF118" s="1"/>
  <c r="AB122"/>
  <c r="AE122" s="1"/>
  <c r="AB130"/>
  <c r="AE130" s="1"/>
  <c r="AB134"/>
  <c r="AE134" s="1"/>
  <c r="AF134" s="1"/>
  <c r="AB147"/>
  <c r="AE147" s="1"/>
  <c r="AB155"/>
  <c r="AE155" s="1"/>
  <c r="AA164"/>
  <c r="AD164" s="1"/>
  <c r="AF164" s="1"/>
  <c r="AB165"/>
  <c r="AE165" s="1"/>
  <c r="AA180"/>
  <c r="AD180" s="1"/>
  <c r="AF180" s="1"/>
  <c r="AB181"/>
  <c r="AE181" s="1"/>
  <c r="Z30"/>
  <c r="Y91"/>
  <c r="AA33"/>
  <c r="AD33" s="1"/>
  <c r="AF33" s="1"/>
  <c r="AA37"/>
  <c r="AD37" s="1"/>
  <c r="AF37" s="1"/>
  <c r="AA41"/>
  <c r="AD41" s="1"/>
  <c r="AF41" s="1"/>
  <c r="AA45"/>
  <c r="AD45" s="1"/>
  <c r="AA49"/>
  <c r="AD49" s="1"/>
  <c r="AA53"/>
  <c r="AD53" s="1"/>
  <c r="AF53" s="1"/>
  <c r="AA57"/>
  <c r="AD57" s="1"/>
  <c r="AA61"/>
  <c r="AD61" s="1"/>
  <c r="AF61" s="1"/>
  <c r="AA65"/>
  <c r="AD65" s="1"/>
  <c r="AF65" s="1"/>
  <c r="AA69"/>
  <c r="AD69" s="1"/>
  <c r="AF69" s="1"/>
  <c r="AA73"/>
  <c r="AD73" s="1"/>
  <c r="AA77"/>
  <c r="AD77" s="1"/>
  <c r="AA81"/>
  <c r="AD81" s="1"/>
  <c r="AA85"/>
  <c r="AD85" s="1"/>
  <c r="AA89"/>
  <c r="AD89" s="1"/>
  <c r="Y138"/>
  <c r="AA94"/>
  <c r="AD94" s="1"/>
  <c r="AA98"/>
  <c r="AD98" s="1"/>
  <c r="AA102"/>
  <c r="AD102" s="1"/>
  <c r="AA106"/>
  <c r="AD106" s="1"/>
  <c r="AA110"/>
  <c r="AD110" s="1"/>
  <c r="AA114"/>
  <c r="AD114" s="1"/>
  <c r="AA118"/>
  <c r="AD118" s="1"/>
  <c r="AA122"/>
  <c r="AD122" s="1"/>
  <c r="AA126"/>
  <c r="AD126" s="1"/>
  <c r="AA130"/>
  <c r="AD130" s="1"/>
  <c r="AA134"/>
  <c r="AD134" s="1"/>
  <c r="K161"/>
  <c r="AA143"/>
  <c r="AD143" s="1"/>
  <c r="AA147"/>
  <c r="AD147" s="1"/>
  <c r="AA151"/>
  <c r="AD151" s="1"/>
  <c r="AA155"/>
  <c r="AD155" s="1"/>
  <c r="AF155" s="1"/>
  <c r="AA159"/>
  <c r="AD159" s="1"/>
  <c r="AF159" s="1"/>
  <c r="Y194"/>
  <c r="AA165"/>
  <c r="AD165" s="1"/>
  <c r="AF165" s="1"/>
  <c r="AA170"/>
  <c r="AD170" s="1"/>
  <c r="AF170" s="1"/>
  <c r="AA181"/>
  <c r="AD181" s="1"/>
  <c r="AA186"/>
  <c r="AD186" s="1"/>
  <c r="AF186" s="1"/>
  <c r="AA191"/>
  <c r="AD191" s="1"/>
  <c r="AA196"/>
  <c r="AD196" s="1"/>
  <c r="AA200"/>
  <c r="AD200" s="1"/>
  <c r="AA204"/>
  <c r="AD204" s="1"/>
  <c r="AA208"/>
  <c r="AD208" s="1"/>
  <c r="AA212"/>
  <c r="AD212" s="1"/>
  <c r="AA216"/>
  <c r="AD216" s="1"/>
  <c r="AA220"/>
  <c r="AD220" s="1"/>
  <c r="AA224"/>
  <c r="AD224" s="1"/>
  <c r="AA228"/>
  <c r="AD228" s="1"/>
  <c r="AA232"/>
  <c r="AD232" s="1"/>
  <c r="AA236"/>
  <c r="AD236" s="1"/>
  <c r="AA240"/>
  <c r="AD240" s="1"/>
  <c r="AA244"/>
  <c r="AD244" s="1"/>
  <c r="AA248"/>
  <c r="AD248" s="1"/>
  <c r="R286"/>
  <c r="AA253"/>
  <c r="AD253" s="1"/>
  <c r="AA257"/>
  <c r="AD257" s="1"/>
  <c r="AA261"/>
  <c r="AD261" s="1"/>
  <c r="AF261" s="1"/>
  <c r="AA265"/>
  <c r="AD265" s="1"/>
  <c r="AA269"/>
  <c r="AD269" s="1"/>
  <c r="AA273"/>
  <c r="AD273" s="1"/>
  <c r="AA277"/>
  <c r="AD277" s="1"/>
  <c r="AA281"/>
  <c r="AD281" s="1"/>
  <c r="AA285"/>
  <c r="AD285" s="1"/>
  <c r="R337"/>
  <c r="R374" s="1"/>
  <c r="AA290"/>
  <c r="AD290" s="1"/>
  <c r="AA294"/>
  <c r="AD294" s="1"/>
  <c r="AA298"/>
  <c r="AD298" s="1"/>
  <c r="AA302"/>
  <c r="AD302" s="1"/>
  <c r="AA306"/>
  <c r="AD306" s="1"/>
  <c r="AA310"/>
  <c r="AD310" s="1"/>
  <c r="AA314"/>
  <c r="AD314" s="1"/>
  <c r="AA318"/>
  <c r="AD318" s="1"/>
  <c r="AA322"/>
  <c r="AD322" s="1"/>
  <c r="AA326"/>
  <c r="AD326" s="1"/>
  <c r="AA330"/>
  <c r="AD330" s="1"/>
  <c r="AA334"/>
  <c r="AD334" s="1"/>
  <c r="AA339"/>
  <c r="AD339" s="1"/>
  <c r="AA343"/>
  <c r="AD343" s="1"/>
  <c r="AA347"/>
  <c r="AD347" s="1"/>
  <c r="AA351"/>
  <c r="AD351" s="1"/>
  <c r="AA355"/>
  <c r="AD355" s="1"/>
  <c r="AA359"/>
  <c r="AD359" s="1"/>
  <c r="AA363"/>
  <c r="AD363" s="1"/>
  <c r="AA367"/>
  <c r="AD367" s="1"/>
  <c r="AA371"/>
  <c r="AD371" s="1"/>
  <c r="AA6"/>
  <c r="AA31"/>
  <c r="AA92"/>
  <c r="AA139"/>
  <c r="S194"/>
  <c r="Z194"/>
  <c r="E374"/>
  <c r="G374"/>
  <c r="I374"/>
  <c r="M374"/>
  <c r="O374"/>
  <c r="Q374"/>
  <c r="U374"/>
  <c r="W374"/>
  <c r="AB6"/>
  <c r="AB31"/>
  <c r="AB92"/>
  <c r="AB139"/>
  <c r="F374"/>
  <c r="H374"/>
  <c r="J374"/>
  <c r="N374"/>
  <c r="P374"/>
  <c r="T374"/>
  <c r="V374"/>
  <c r="X374"/>
  <c r="AB195"/>
  <c r="AB250"/>
  <c r="AB287"/>
  <c r="AB338"/>
  <c r="AE338" s="1"/>
  <c r="L372"/>
  <c r="AB372" s="1"/>
  <c r="AE372" s="1"/>
  <c r="AB396"/>
  <c r="L404"/>
  <c r="AB404" s="1"/>
  <c r="AA162"/>
  <c r="AA195"/>
  <c r="AA250"/>
  <c r="AA287"/>
  <c r="AA338"/>
  <c r="AA396"/>
  <c r="AE403" l="1"/>
  <c r="AE404"/>
  <c r="AF361"/>
  <c r="AF345"/>
  <c r="AF341"/>
  <c r="AF355"/>
  <c r="AF136"/>
  <c r="AF316"/>
  <c r="AF296"/>
  <c r="AF218"/>
  <c r="AF349"/>
  <c r="AF283"/>
  <c r="AF187"/>
  <c r="AF149"/>
  <c r="AF369"/>
  <c r="AF351"/>
  <c r="AF272"/>
  <c r="AF227"/>
  <c r="AF117"/>
  <c r="AF363"/>
  <c r="AF306"/>
  <c r="AF216"/>
  <c r="AF257"/>
  <c r="AF112"/>
  <c r="AF269"/>
  <c r="AF248"/>
  <c r="AF121"/>
  <c r="AF324"/>
  <c r="AF372"/>
  <c r="AF367"/>
  <c r="AF273"/>
  <c r="AF110"/>
  <c r="AF310"/>
  <c r="AF220"/>
  <c r="AF325"/>
  <c r="AF234"/>
  <c r="AF104"/>
  <c r="AF222"/>
  <c r="AF357"/>
  <c r="AF55"/>
  <c r="AF83"/>
  <c r="AF39"/>
  <c r="AF67"/>
  <c r="AF28"/>
  <c r="AB286"/>
  <c r="AE250"/>
  <c r="AB337"/>
  <c r="AE287"/>
  <c r="AE337" s="1"/>
  <c r="AA138"/>
  <c r="AD92"/>
  <c r="AD138" s="1"/>
  <c r="AE194"/>
  <c r="AA373"/>
  <c r="AD338"/>
  <c r="AD373" s="1"/>
  <c r="AE373"/>
  <c r="AB161"/>
  <c r="AE139"/>
  <c r="AE161" s="1"/>
  <c r="AA161"/>
  <c r="AD139"/>
  <c r="AF330"/>
  <c r="AF298"/>
  <c r="AF240"/>
  <c r="AF208"/>
  <c r="AF313"/>
  <c r="AF260"/>
  <c r="AF11"/>
  <c r="AF100"/>
  <c r="AF56"/>
  <c r="AF292"/>
  <c r="L91"/>
  <c r="L138"/>
  <c r="AF246"/>
  <c r="AF242"/>
  <c r="AF359"/>
  <c r="AF265"/>
  <c r="AF98"/>
  <c r="AF334"/>
  <c r="AF302"/>
  <c r="AF244"/>
  <c r="AF212"/>
  <c r="AF317"/>
  <c r="AF300"/>
  <c r="AF178"/>
  <c r="AF108"/>
  <c r="AF171"/>
  <c r="AF255"/>
  <c r="AF43"/>
  <c r="AF193"/>
  <c r="AF63"/>
  <c r="AF189"/>
  <c r="AF16"/>
  <c r="AF75"/>
  <c r="AF279"/>
  <c r="AF173"/>
  <c r="AF51"/>
  <c r="AF275"/>
  <c r="AF12"/>
  <c r="AA406"/>
  <c r="AF102"/>
  <c r="L249"/>
  <c r="AF77"/>
  <c r="AF175"/>
  <c r="AF280"/>
  <c r="L286"/>
  <c r="AF132"/>
  <c r="L30"/>
  <c r="AF371"/>
  <c r="AF339"/>
  <c r="AF277"/>
  <c r="AF181"/>
  <c r="AF143"/>
  <c r="AF81"/>
  <c r="AF49"/>
  <c r="AF106"/>
  <c r="AF207"/>
  <c r="AF129"/>
  <c r="AF97"/>
  <c r="AF23"/>
  <c r="AF365"/>
  <c r="AF8"/>
  <c r="AF251"/>
  <c r="AF328"/>
  <c r="AF198"/>
  <c r="AF288"/>
  <c r="AF52"/>
  <c r="AF226"/>
  <c r="AF96"/>
  <c r="AF320"/>
  <c r="AF120"/>
  <c r="AF206"/>
  <c r="AF142"/>
  <c r="L337"/>
  <c r="AF312"/>
  <c r="AF176"/>
  <c r="AF308"/>
  <c r="AA286"/>
  <c r="AD250"/>
  <c r="AD286" s="1"/>
  <c r="AB91"/>
  <c r="AE31"/>
  <c r="AE91" s="1"/>
  <c r="AA91"/>
  <c r="AD31"/>
  <c r="AB138"/>
  <c r="AE92"/>
  <c r="AA194"/>
  <c r="AD162"/>
  <c r="AD194" s="1"/>
  <c r="AB194"/>
  <c r="L194"/>
  <c r="AF73"/>
  <c r="AF346"/>
  <c r="AF88"/>
  <c r="S374"/>
  <c r="AF45"/>
  <c r="AF94"/>
  <c r="AF332"/>
  <c r="AF343"/>
  <c r="AF281"/>
  <c r="AF147"/>
  <c r="AF122"/>
  <c r="AF318"/>
  <c r="AF196"/>
  <c r="AF84"/>
  <c r="AF252"/>
  <c r="AA337"/>
  <c r="AD287"/>
  <c r="AA249"/>
  <c r="AD195"/>
  <c r="AB249"/>
  <c r="AE195"/>
  <c r="AE249" s="1"/>
  <c r="AB30"/>
  <c r="AE6"/>
  <c r="AA30"/>
  <c r="AD6"/>
  <c r="AD30" s="1"/>
  <c r="AF19"/>
  <c r="AF293"/>
  <c r="AF202"/>
  <c r="AF85"/>
  <c r="AF228"/>
  <c r="AF114"/>
  <c r="AF347"/>
  <c r="AF285"/>
  <c r="AF253"/>
  <c r="AF191"/>
  <c r="AF151"/>
  <c r="AF89"/>
  <c r="AF57"/>
  <c r="AF130"/>
  <c r="AF322"/>
  <c r="AF290"/>
  <c r="AF232"/>
  <c r="AF200"/>
  <c r="AF126"/>
  <c r="AF305"/>
  <c r="AF247"/>
  <c r="AF215"/>
  <c r="AF267"/>
  <c r="AF24"/>
  <c r="AF353"/>
  <c r="AF27"/>
  <c r="AF230"/>
  <c r="AF124"/>
  <c r="AF336"/>
  <c r="AF350"/>
  <c r="AF154"/>
  <c r="AF150"/>
  <c r="AF128"/>
  <c r="AF238"/>
  <c r="AF370"/>
  <c r="AF214"/>
  <c r="AF116"/>
  <c r="AF210"/>
  <c r="AF304"/>
  <c r="AA374"/>
  <c r="AB406"/>
  <c r="AB373"/>
  <c r="L406"/>
  <c r="L373"/>
  <c r="AF396" l="1"/>
  <c r="AE406"/>
  <c r="AF31"/>
  <c r="AD91"/>
  <c r="AF195"/>
  <c r="AD249"/>
  <c r="AF338"/>
  <c r="AF250"/>
  <c r="AE286"/>
  <c r="AF287"/>
  <c r="AF337" s="1"/>
  <c r="AD337"/>
  <c r="AF92"/>
  <c r="AE138"/>
  <c r="AE30"/>
  <c r="AF6"/>
  <c r="AF30" s="1"/>
  <c r="AF139"/>
  <c r="AD161"/>
  <c r="AB374"/>
  <c r="AB378" s="1"/>
  <c r="AB379" s="1"/>
  <c r="L374"/>
  <c r="L378" s="1"/>
  <c r="L379" s="1"/>
  <c r="AF162"/>
  <c r="AF403" l="1"/>
  <c r="AF286"/>
  <c r="AF402"/>
  <c r="AF249"/>
  <c r="AF401"/>
  <c r="AF194"/>
  <c r="AF400"/>
  <c r="AF161"/>
  <c r="AF399"/>
  <c r="AD374"/>
  <c r="AD378" s="1"/>
  <c r="AD379" s="1"/>
  <c r="AF138"/>
  <c r="AF398"/>
  <c r="AF91"/>
  <c r="AF397"/>
  <c r="AF373"/>
  <c r="AF404"/>
  <c r="AE374"/>
  <c r="AE378" s="1"/>
  <c r="AE379" s="1"/>
  <c r="AF374" l="1"/>
  <c r="AF378" s="1"/>
  <c r="AF379" s="1"/>
  <c r="AF406"/>
</calcChain>
</file>

<file path=xl/sharedStrings.xml><?xml version="1.0" encoding="utf-8"?>
<sst xmlns="http://schemas.openxmlformats.org/spreadsheetml/2006/main" count="2244" uniqueCount="1091">
  <si>
    <t>AEA</t>
  </si>
  <si>
    <t xml:space="preserve">District </t>
  </si>
  <si>
    <t>TOTAL</t>
  </si>
  <si>
    <t>Number</t>
  </si>
  <si>
    <t>District Name</t>
  </si>
  <si>
    <t>L1</t>
  </si>
  <si>
    <t>R1</t>
  </si>
  <si>
    <t>RC</t>
  </si>
  <si>
    <t>RM</t>
  </si>
  <si>
    <t>SI</t>
  </si>
  <si>
    <t>SM</t>
  </si>
  <si>
    <t>COUNT</t>
  </si>
  <si>
    <t>ADD WTG</t>
  </si>
  <si>
    <t>R2</t>
  </si>
  <si>
    <t>PS-P2</t>
  </si>
  <si>
    <t>PS-F2</t>
  </si>
  <si>
    <t>K12-P2</t>
  </si>
  <si>
    <t>K12-F2</t>
  </si>
  <si>
    <t>R3</t>
  </si>
  <si>
    <t>PS-P3</t>
  </si>
  <si>
    <t>PS-F3</t>
  </si>
  <si>
    <t>K12-P3</t>
  </si>
  <si>
    <t>K12-F3</t>
  </si>
  <si>
    <t>01</t>
  </si>
  <si>
    <t>0135</t>
  </si>
  <si>
    <t>Allamakee</t>
  </si>
  <si>
    <t>1080</t>
  </si>
  <si>
    <t>Central</t>
  </si>
  <si>
    <t>1638</t>
  </si>
  <si>
    <t>Decorah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</si>
  <si>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</si>
  <si>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</si>
  <si>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</si>
  <si>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</si>
  <si>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</si>
  <si>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</si>
  <si>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</si>
  <si>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</si>
  <si>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</si>
  <si>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</si>
  <si>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</si>
  <si>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</si>
  <si>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</si>
  <si>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</si>
  <si>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</si>
  <si>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MarMac</t>
  </si>
  <si>
    <t>4662</t>
  </si>
  <si>
    <t>New Hampton</t>
  </si>
  <si>
    <t>4774</t>
  </si>
  <si>
    <t>North Fayette</t>
  </si>
  <si>
    <t>4787</t>
  </si>
  <si>
    <t>North Winneshiek</t>
  </si>
  <si>
    <t>4869</t>
  </si>
  <si>
    <t xml:space="preserve">Oelwein                                        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</si>
  <si>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</si>
  <si>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</si>
  <si>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</si>
  <si>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</si>
  <si>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</si>
  <si>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</si>
  <si>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</si>
  <si>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</si>
  <si>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</si>
  <si>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</si>
  <si>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</si>
  <si>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</si>
  <si>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</si>
  <si>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</si>
  <si>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</si>
  <si>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6961</t>
  </si>
  <si>
    <t>Western Dubuque</t>
  </si>
  <si>
    <t>Total AEA 01</t>
  </si>
  <si>
    <t>07</t>
  </si>
  <si>
    <t>0009</t>
  </si>
  <si>
    <t>AGWSR</t>
  </si>
  <si>
    <t>0108</t>
  </si>
  <si>
    <t>Alden</t>
  </si>
  <si>
    <t>0153</t>
  </si>
  <si>
    <t>Allison-Bristow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</si>
  <si>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</si>
  <si>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</si>
  <si>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</si>
  <si>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</si>
  <si>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</si>
  <si>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</si>
  <si>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</si>
  <si>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</si>
  <si>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</si>
  <si>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</si>
  <si>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</si>
  <si>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</si>
  <si>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</si>
  <si>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</si>
  <si>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</si>
  <si>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</si>
  <si>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</si>
  <si>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</si>
  <si>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</si>
  <si>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</si>
  <si>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</si>
  <si>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</si>
  <si>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</si>
  <si>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</si>
  <si>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</si>
  <si>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</si>
  <si>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</si>
  <si>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>Dike-New Hartford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</si>
  <si>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</si>
  <si>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</si>
  <si>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</si>
  <si>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</si>
  <si>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</si>
  <si>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</si>
  <si>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</si>
  <si>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</si>
  <si>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</si>
  <si>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</si>
  <si>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</si>
  <si>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</si>
  <si>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</si>
  <si>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</si>
  <si>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</si>
  <si>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</si>
  <si>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2664</t>
  </si>
  <si>
    <t>Greene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</si>
  <si>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</si>
  <si>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</si>
  <si>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</si>
  <si>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</si>
  <si>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</si>
  <si>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</si>
  <si>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</si>
  <si>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</si>
  <si>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</si>
  <si>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</si>
  <si>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</si>
  <si>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</si>
  <si>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</si>
  <si>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</si>
  <si>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</si>
  <si>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</si>
  <si>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</si>
  <si>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 Consolidated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</si>
  <si>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</si>
  <si>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</si>
  <si>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</si>
  <si>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</si>
  <si>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</si>
  <si>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</si>
  <si>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</si>
  <si>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</si>
  <si>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4437</t>
  </si>
  <si>
    <t>Montezuma</t>
  </si>
  <si>
    <t>4599</t>
  </si>
  <si>
    <t>Nashua-Plainfield</t>
  </si>
  <si>
    <t>4761</t>
  </si>
  <si>
    <t>Nora Springs-Rock Falls</t>
  </si>
  <si>
    <t>4772</t>
  </si>
  <si>
    <t>North Central</t>
  </si>
  <si>
    <t>4785</t>
  </si>
  <si>
    <t>4788</t>
  </si>
  <si>
    <t>Northwood-Kensett</t>
  </si>
  <si>
    <t>4995</t>
  </si>
  <si>
    <t>Osage</t>
  </si>
  <si>
    <t>5616</t>
  </si>
  <si>
    <t>Rockwell-Swaledale</t>
  </si>
  <si>
    <t>5697</t>
  </si>
  <si>
    <t>5751</t>
  </si>
  <si>
    <t>St Ansgar</t>
  </si>
  <si>
    <t>5922</t>
  </si>
  <si>
    <t>Sheffield-Chapin-Meservey-Thornton</t>
  </si>
  <si>
    <t>6098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</si>
  <si>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</si>
  <si>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</si>
  <si>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</si>
  <si>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</si>
  <si>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</si>
  <si>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</si>
  <si>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</si>
  <si>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</si>
  <si>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</si>
  <si>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</si>
  <si>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</si>
  <si>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 xml:space="preserve">Waterloo                                      </t>
  </si>
  <si>
    <t>6840</t>
  </si>
  <si>
    <t>Waverly-Shell Rock</t>
  </si>
  <si>
    <t>6985</t>
  </si>
  <si>
    <t>West Marshall</t>
  </si>
  <si>
    <t>7083</t>
  </si>
  <si>
    <t>Woden-Crystal Lake</t>
  </si>
  <si>
    <t>Total AEA 07</t>
  </si>
  <si>
    <t>08</t>
  </si>
  <si>
    <t>0072</t>
  </si>
  <si>
    <t>Albert City-Truesdale</t>
  </si>
  <si>
    <t>0126</t>
  </si>
  <si>
    <t>Algona</t>
  </si>
  <si>
    <t>0171</t>
  </si>
  <si>
    <t xml:space="preserve">Alta                                               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</si>
  <si>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</si>
  <si>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</si>
  <si>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</si>
  <si>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</si>
  <si>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</si>
  <si>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</si>
  <si>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</si>
  <si>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</si>
  <si>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</si>
  <si>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</si>
  <si>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</si>
  <si>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</si>
  <si>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</si>
  <si>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 Lincoln</t>
  </si>
  <si>
    <t>2313</t>
  </si>
  <si>
    <t>Fort Dodge</t>
  </si>
  <si>
    <t>2493</t>
  </si>
  <si>
    <t>Gilmore City-Bradgate</t>
  </si>
  <si>
    <t>2556</t>
  </si>
  <si>
    <t>Graettinger - Terrill</t>
  </si>
  <si>
    <t>2846</t>
  </si>
  <si>
    <t>Harris-Lake Park</t>
  </si>
  <si>
    <t>3060</t>
  </si>
  <si>
    <t>Humboldt</t>
  </si>
  <si>
    <t>3195</t>
  </si>
  <si>
    <t>Jefferson-Scranton</t>
  </si>
  <si>
    <t>3537</t>
  </si>
  <si>
    <t>Laurens-Marathon</t>
  </si>
  <si>
    <t>3897</t>
  </si>
  <si>
    <t>LuVerne</t>
  </si>
  <si>
    <t>4023</t>
  </si>
  <si>
    <t>Manson Northwest Webster</t>
  </si>
  <si>
    <t>4644</t>
  </si>
  <si>
    <t>Newell-Fonda</t>
  </si>
  <si>
    <t>4775</t>
  </si>
  <si>
    <t>Northeast Hamilton</t>
  </si>
  <si>
    <t>4778</t>
  </si>
  <si>
    <t>North Kossuth</t>
  </si>
  <si>
    <t>4860</t>
  </si>
  <si>
    <t>Odebolt-Arthur</t>
  </si>
  <si>
    <t>4890</t>
  </si>
  <si>
    <t>Okoboji</t>
  </si>
  <si>
    <t>5139</t>
  </si>
  <si>
    <t>Paton-Churdan</t>
  </si>
  <si>
    <t>5283</t>
  </si>
  <si>
    <t>Pocahontas Area</t>
  </si>
  <si>
    <t>5301</t>
  </si>
  <si>
    <t>Pomeroy-Palmer</t>
  </si>
  <si>
    <t>5325</t>
  </si>
  <si>
    <t>Prairie Valley</t>
  </si>
  <si>
    <t>5625</t>
  </si>
  <si>
    <t>Rockwell City-Lytton</t>
  </si>
  <si>
    <t>5724</t>
  </si>
  <si>
    <t>Ruthven-Ayrshire</t>
  </si>
  <si>
    <t>5742</t>
  </si>
  <si>
    <t>Sac</t>
  </si>
  <si>
    <t>5823</t>
  </si>
  <si>
    <t>Schaller-Crestland</t>
  </si>
  <si>
    <t>5868</t>
  </si>
  <si>
    <t>Sentral</t>
  </si>
  <si>
    <t>6035</t>
  </si>
  <si>
    <t>Sioux Central</t>
  </si>
  <si>
    <t>6091</t>
  </si>
  <si>
    <t>Southern Cal</t>
  </si>
  <si>
    <t>6095</t>
  </si>
  <si>
    <t>South Hamilton</t>
  </si>
  <si>
    <t>6096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</si>
  <si>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</si>
  <si>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</si>
  <si>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</si>
  <si>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</si>
  <si>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</si>
  <si>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</si>
  <si>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</si>
  <si>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</si>
  <si>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6417</t>
  </si>
  <si>
    <t>6516</t>
  </si>
  <si>
    <t>Twin Rivers</t>
  </si>
  <si>
    <t>6741</t>
  </si>
  <si>
    <t>Wall Lake View Auburn</t>
  </si>
  <si>
    <t>6867</t>
  </si>
  <si>
    <t>Webster City</t>
  </si>
  <si>
    <t>6921</t>
  </si>
  <si>
    <t>West Bend-Mallard</t>
  </si>
  <si>
    <t>Total AEA 08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</si>
  <si>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</si>
  <si>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</si>
  <si>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</si>
  <si>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</si>
  <si>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</si>
  <si>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</si>
  <si>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</si>
  <si>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</si>
  <si>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</si>
  <si>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</si>
  <si>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Calamus-Wheatland</t>
  </si>
  <si>
    <t>0936</t>
  </si>
  <si>
    <t>Camanche</t>
  </si>
  <si>
    <t>1082</t>
  </si>
  <si>
    <t>Central Clinton</t>
  </si>
  <si>
    <t>1278</t>
  </si>
  <si>
    <t xml:space="preserve">Clinton                                         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</si>
  <si>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</si>
  <si>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</si>
  <si>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</si>
  <si>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</si>
  <si>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</si>
  <si>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</si>
  <si>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</si>
  <si>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</si>
  <si>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</si>
  <si>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</si>
  <si>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</si>
  <si>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</si>
  <si>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</si>
  <si>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</si>
  <si>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</si>
  <si>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</si>
  <si>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</si>
  <si>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</si>
  <si>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</si>
  <si>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</si>
  <si>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</si>
  <si>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</si>
  <si>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</si>
  <si>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</si>
  <si>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</si>
  <si>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</si>
  <si>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</si>
  <si>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</si>
  <si>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Total AEA 09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</si>
  <si>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</si>
  <si>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</si>
  <si>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</si>
  <si>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</si>
  <si>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</si>
  <si>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</si>
  <si>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</si>
  <si>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</si>
  <si>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</si>
  <si>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</si>
  <si>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</si>
  <si>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</si>
  <si>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</si>
  <si>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</si>
  <si>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</si>
  <si>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</si>
  <si>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>1337</t>
  </si>
  <si>
    <t>College</t>
  </si>
  <si>
    <t>2097</t>
  </si>
  <si>
    <t>English Valleys-Deep River-Millersburg</t>
  </si>
  <si>
    <t>2766</t>
  </si>
  <si>
    <t>H-L-V</t>
  </si>
  <si>
    <t>2977</t>
  </si>
  <si>
    <t>Highland</t>
  </si>
  <si>
    <t>3141</t>
  </si>
  <si>
    <t xml:space="preserve">Iowa City                                     </t>
  </si>
  <si>
    <t>3154</t>
  </si>
  <si>
    <t>Iowa Valley</t>
  </si>
  <si>
    <t>3691</t>
  </si>
  <si>
    <t>North Cedar</t>
  </si>
  <si>
    <t>3715</t>
  </si>
  <si>
    <t xml:space="preserve">Linn-Mar                                     </t>
  </si>
  <si>
    <t>3744</t>
  </si>
  <si>
    <t>Lisbon</t>
  </si>
  <si>
    <t>3816</t>
  </si>
  <si>
    <t>Lone Tree</t>
  </si>
  <si>
    <t>4086</t>
  </si>
  <si>
    <t xml:space="preserve">Marion Independent                  </t>
  </si>
  <si>
    <t>4269</t>
  </si>
  <si>
    <t xml:space="preserve">Midland                                        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</si>
  <si>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</si>
  <si>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</si>
  <si>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</si>
  <si>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</si>
  <si>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</si>
  <si>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</si>
  <si>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</si>
  <si>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</si>
  <si>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</si>
  <si>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 Consolidated</t>
  </si>
  <si>
    <t>6093</t>
  </si>
  <si>
    <t>Solon</t>
  </si>
  <si>
    <t>6138</t>
  </si>
  <si>
    <t>Springville</t>
  </si>
  <si>
    <t>6408</t>
  </si>
  <si>
    <t>Tipton</t>
  </si>
  <si>
    <t>6660</t>
  </si>
  <si>
    <t xml:space="preserve">Vinton-Shellsburg                    </t>
  </si>
  <si>
    <t>6768</t>
  </si>
  <si>
    <t>Washington</t>
  </si>
  <si>
    <t>6930</t>
  </si>
  <si>
    <t>West Branch</t>
  </si>
  <si>
    <t>7029</t>
  </si>
  <si>
    <t>Williamsburg</t>
  </si>
  <si>
    <t>Total AEA 10</t>
  </si>
  <si>
    <t>11</t>
  </si>
  <si>
    <t>0018</t>
  </si>
  <si>
    <t>Adair-Casey</t>
  </si>
  <si>
    <t>0027</t>
  </si>
  <si>
    <t>Adel-DeSoto-Minburn</t>
  </si>
  <si>
    <t>0225</t>
  </si>
  <si>
    <t>Ames</t>
  </si>
  <si>
    <t>0261</t>
  </si>
  <si>
    <t xml:space="preserve">Ankeny                                         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</si>
  <si>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</si>
  <si>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</si>
  <si>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</si>
  <si>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</si>
  <si>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</si>
  <si>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</si>
  <si>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</si>
  <si>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</si>
  <si>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</si>
  <si>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</si>
  <si>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</si>
  <si>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</si>
  <si>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</si>
  <si>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</si>
  <si>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</si>
  <si>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</si>
  <si>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</si>
  <si>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</si>
  <si>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</si>
  <si>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</si>
  <si>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1413</t>
  </si>
  <si>
    <t>Coon Rapids-Bayard</t>
  </si>
  <si>
    <t>1576</t>
  </si>
  <si>
    <t>Dallas Center-Grimes</t>
  </si>
  <si>
    <t>1737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</si>
  <si>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</si>
  <si>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</si>
  <si>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</si>
  <si>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</si>
  <si>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</si>
  <si>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</si>
  <si>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</si>
  <si>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</si>
  <si>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</si>
  <si>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</si>
  <si>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</si>
  <si>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</si>
  <si>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</si>
  <si>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</si>
  <si>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</si>
  <si>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 xml:space="preserve">Johnston                                      </t>
  </si>
  <si>
    <t>3375</t>
  </si>
  <si>
    <t>Knoxville</t>
  </si>
  <si>
    <t>3906</t>
  </si>
  <si>
    <t>Lynnville-Sully</t>
  </si>
  <si>
    <t>3942</t>
  </si>
  <si>
    <t>Madrid</t>
  </si>
  <si>
    <t>4014</t>
  </si>
  <si>
    <t>Manning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</si>
  <si>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</si>
  <si>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</si>
  <si>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</si>
  <si>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</si>
  <si>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</si>
  <si>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</si>
  <si>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</si>
  <si>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</si>
  <si>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</si>
  <si>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</si>
  <si>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</si>
  <si>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</si>
  <si>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</si>
  <si>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</si>
  <si>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</si>
  <si>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</si>
  <si>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</si>
  <si>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PCM</t>
  </si>
  <si>
    <t>5166</t>
  </si>
  <si>
    <t>Pella</t>
  </si>
  <si>
    <t>5184</t>
  </si>
  <si>
    <t>Perry</t>
  </si>
  <si>
    <t>5256</t>
  </si>
  <si>
    <t>Pleasantville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</si>
  <si>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</si>
  <si>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</si>
  <si>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</si>
  <si>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</si>
  <si>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</si>
  <si>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</si>
  <si>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</si>
  <si>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</si>
  <si>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</si>
  <si>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</si>
  <si>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</si>
  <si>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</si>
  <si>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</si>
  <si>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</si>
  <si>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</si>
  <si>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</si>
  <si>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</si>
  <si>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</si>
  <si>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</si>
  <si>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</si>
  <si>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</si>
  <si>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</si>
  <si>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</si>
  <si>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</si>
  <si>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</si>
  <si>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</si>
  <si>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Total AEA 11</t>
  </si>
  <si>
    <t>12</t>
  </si>
  <si>
    <t>0063</t>
  </si>
  <si>
    <t>0270</t>
  </si>
  <si>
    <t>Anthon-Oto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</si>
  <si>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</si>
  <si>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</si>
  <si>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</si>
  <si>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</si>
  <si>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</si>
  <si>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</si>
  <si>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</si>
  <si>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</si>
  <si>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</si>
  <si>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</si>
  <si>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</si>
  <si>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</si>
  <si>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</si>
  <si>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</si>
  <si>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</si>
  <si>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</si>
  <si>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</si>
  <si>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</si>
  <si>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</si>
  <si>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</si>
  <si>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</si>
  <si>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</si>
  <si>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</si>
  <si>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</si>
  <si>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</si>
  <si>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</si>
  <si>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</si>
  <si>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</si>
  <si>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</si>
  <si>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</si>
  <si>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</si>
  <si>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</si>
  <si>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</si>
  <si>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</t>
  </si>
  <si>
    <t>4068</t>
  </si>
  <si>
    <t>Marcus-Meriden-Cleghorn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</si>
  <si>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</si>
  <si>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</si>
  <si>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</si>
  <si>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</si>
  <si>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</si>
  <si>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</si>
  <si>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</si>
  <si>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</si>
  <si>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</si>
  <si>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</si>
  <si>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</si>
  <si>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</si>
  <si>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</si>
  <si>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</si>
  <si>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</si>
  <si>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</si>
  <si>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</si>
  <si>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</si>
  <si>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</si>
  <si>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</si>
  <si>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</si>
  <si>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</si>
  <si>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</si>
  <si>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</si>
  <si>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</si>
  <si>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</si>
  <si>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</si>
  <si>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</si>
  <si>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</si>
  <si>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</si>
  <si>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</si>
  <si>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</si>
  <si>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Total AEA 12</t>
  </si>
  <si>
    <t>13</t>
  </si>
  <si>
    <t>0252</t>
  </si>
  <si>
    <t>Anita</t>
  </si>
  <si>
    <t>0387</t>
  </si>
  <si>
    <t>Atlantic</t>
  </si>
  <si>
    <t>0441</t>
  </si>
  <si>
    <t>A-H-S-T</t>
  </si>
  <si>
    <t>0549</t>
  </si>
  <si>
    <t>Bedford</t>
  </si>
  <si>
    <t>0914</t>
  </si>
  <si>
    <t>C and M</t>
  </si>
  <si>
    <t>1093</t>
  </si>
  <si>
    <t>Central Decatur</t>
  </si>
  <si>
    <t>1197</t>
  </si>
  <si>
    <t>Clarinda</t>
  </si>
  <si>
    <t>1211</t>
  </si>
  <si>
    <t>Clarke</t>
  </si>
  <si>
    <t>1224</t>
  </si>
  <si>
    <t>Clearfield</t>
  </si>
  <si>
    <t>1431</t>
  </si>
  <si>
    <t>Corning</t>
  </si>
  <si>
    <t>1476</t>
  </si>
  <si>
    <t>Council Bluffs</t>
  </si>
  <si>
    <t>1503</t>
  </si>
  <si>
    <t>Creston</t>
  </si>
  <si>
    <t>1782</t>
  </si>
  <si>
    <t>Diagonal</t>
  </si>
  <si>
    <t>1917</t>
  </si>
  <si>
    <t>Boyer Valley</t>
  </si>
  <si>
    <t>1970</t>
  </si>
  <si>
    <t>East Union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</si>
  <si>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</si>
  <si>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</si>
  <si>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</si>
  <si>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</si>
  <si>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</si>
  <si>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</si>
  <si>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</si>
  <si>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</si>
  <si>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</si>
  <si>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</si>
  <si>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2673</t>
  </si>
  <si>
    <t>Nodaway Valley</t>
  </si>
  <si>
    <t>2718</t>
  </si>
  <si>
    <t>Griswold</t>
  </si>
  <si>
    <t>2772</t>
  </si>
  <si>
    <t>Hamburg</t>
  </si>
  <si>
    <t>2826</t>
  </si>
  <si>
    <t>Harlan</t>
  </si>
  <si>
    <t>3168</t>
  </si>
  <si>
    <t>IKM</t>
  </si>
  <si>
    <t>3465</t>
  </si>
  <si>
    <t>Lamoni</t>
  </si>
  <si>
    <t>3609</t>
  </si>
  <si>
    <t>Lenox</t>
  </si>
  <si>
    <t>3645</t>
  </si>
  <si>
    <t>Lewis Central</t>
  </si>
  <si>
    <t>3798</t>
  </si>
  <si>
    <t>Logan-Magnolia</t>
  </si>
  <si>
    <t>3978</t>
  </si>
  <si>
    <t>Malvern</t>
  </si>
  <si>
    <t>4356</t>
  </si>
  <si>
    <t>Missouri Valley</t>
  </si>
  <si>
    <t>4505</t>
  </si>
  <si>
    <t>Mormon Trail</t>
  </si>
  <si>
    <t>4527</t>
  </si>
  <si>
    <t>Mount Ayr</t>
  </si>
  <si>
    <t>4572</t>
  </si>
  <si>
    <t>Murray</t>
  </si>
  <si>
    <t>4751</t>
  </si>
  <si>
    <t xml:space="preserve">Nishna Valley                             </t>
  </si>
  <si>
    <t>4978</t>
  </si>
  <si>
    <t>Orient-Macksburg</t>
  </si>
  <si>
    <t>5328</t>
  </si>
  <si>
    <t>Prescott</t>
  </si>
  <si>
    <t>5463</t>
  </si>
  <si>
    <t>Red Oak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</si>
  <si>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</si>
  <si>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</si>
  <si>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</si>
  <si>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</si>
  <si>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</si>
  <si>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</si>
  <si>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</si>
  <si>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</si>
  <si>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6165</t>
  </si>
  <si>
    <t>Stanton</t>
  </si>
  <si>
    <t>6453</t>
  </si>
  <si>
    <t>Treynor</t>
  </si>
  <si>
    <t>6460</t>
  </si>
  <si>
    <t>Tri-Center</t>
  </si>
  <si>
    <t>6534</t>
  </si>
  <si>
    <t>Underwood</t>
  </si>
  <si>
    <t>6651</t>
  </si>
  <si>
    <t>Villisca</t>
  </si>
  <si>
    <t>6750</t>
  </si>
  <si>
    <t>Walnut</t>
  </si>
  <si>
    <t>6969</t>
  </si>
  <si>
    <t>West Harrison</t>
  </si>
  <si>
    <t>7092</t>
  </si>
  <si>
    <t>Woodbine</t>
  </si>
  <si>
    <t>Total AEA 13</t>
  </si>
  <si>
    <t>15</t>
  </si>
  <si>
    <t>0081</t>
  </si>
  <si>
    <t>Albia</t>
  </si>
  <si>
    <t>0657</t>
  </si>
  <si>
    <t>Eddyville-Blakesburg</t>
  </si>
  <si>
    <t>0882</t>
  </si>
  <si>
    <t>Burlington</t>
  </si>
  <si>
    <t>0977</t>
  </si>
  <si>
    <t>Cardinal</t>
  </si>
  <si>
    <t>1071</t>
  </si>
  <si>
    <t>Centerville</t>
  </si>
  <si>
    <t>1079</t>
  </si>
  <si>
    <t>Central Lee</t>
  </si>
  <si>
    <t>1107</t>
  </si>
  <si>
    <t>Chariton</t>
  </si>
  <si>
    <t>1602</t>
  </si>
  <si>
    <t>Danville</t>
  </si>
  <si>
    <t>1619</t>
  </si>
  <si>
    <t>Davis County</t>
  </si>
  <si>
    <t>2169</t>
  </si>
  <si>
    <t>Fairfield</t>
  </si>
  <si>
    <t>2322</t>
  </si>
  <si>
    <t>Fort Madison</t>
  </si>
  <si>
    <t>2367</t>
  </si>
  <si>
    <t>Fremont</t>
  </si>
  <si>
    <t>2834</t>
  </si>
  <si>
    <t>Harmony</t>
  </si>
  <si>
    <t>3312</t>
  </si>
  <si>
    <t>Keokuk</t>
  </si>
  <si>
    <t>3330</t>
  </si>
  <si>
    <t>Keota</t>
  </si>
  <si>
    <t>3705</t>
  </si>
  <si>
    <t>Lineville-Clio</t>
  </si>
  <si>
    <t>4203</t>
  </si>
  <si>
    <t>Mediapolis</t>
  </si>
  <si>
    <t>4491</t>
  </si>
  <si>
    <t>Moravia</t>
  </si>
  <si>
    <t>4509</t>
  </si>
  <si>
    <t>Morning Sun</t>
  </si>
  <si>
    <t>4518</t>
  </si>
  <si>
    <t>Moulton-Udell</t>
  </si>
  <si>
    <t>4536</t>
  </si>
  <si>
    <t>Mount Pleasant</t>
  </si>
  <si>
    <t>4689</t>
  </si>
  <si>
    <t>New London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</si>
  <si>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</si>
  <si>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</si>
  <si>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</si>
  <si>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</si>
  <si>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</si>
  <si>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</si>
  <si>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</si>
  <si>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</si>
  <si>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5895</t>
  </si>
  <si>
    <t>Seymour</t>
  </si>
  <si>
    <t>6012</t>
  </si>
  <si>
    <t>Sigourney</t>
  </si>
  <si>
    <t>6462</t>
  </si>
  <si>
    <t>Tri-County</t>
  </si>
  <si>
    <t>6592</t>
  </si>
  <si>
    <t>Van Buren</t>
  </si>
  <si>
    <t>6700</t>
  </si>
  <si>
    <t>Waco</t>
  </si>
  <si>
    <t>6759</t>
  </si>
  <si>
    <t>Wapello</t>
  </si>
  <si>
    <t>6854</t>
  </si>
  <si>
    <t>Wayne</t>
  </si>
  <si>
    <t>6937</t>
  </si>
  <si>
    <t>7047</t>
  </si>
  <si>
    <t>Winfield-Mt Union</t>
  </si>
  <si>
    <t>Total AEA 15</t>
  </si>
  <si>
    <t>State Total 2010 (for 2011-12)</t>
  </si>
  <si>
    <t>2011-12</t>
  </si>
  <si>
    <t>DCPP</t>
  </si>
  <si>
    <t>"1.0"</t>
  </si>
  <si>
    <t>ALLAMAKEE</t>
  </si>
  <si>
    <t>CENTRAL</t>
  </si>
  <si>
    <t>DECORAH</t>
  </si>
  <si>
    <t>DUBUQUE</t>
  </si>
  <si>
    <t>EASTERN ALLAMAKEE</t>
  </si>
  <si>
    <t>EDGEWOOD-COLESBURG</t>
  </si>
  <si>
    <t>FREDERICKSBURG</t>
  </si>
  <si>
    <t>CLAYTON RIDGE</t>
  </si>
  <si>
    <t>HOWARD-WINNESHIEK</t>
  </si>
  <si>
    <t>MAQUOKETA VALLEY</t>
  </si>
  <si>
    <t>NEW HAMPTON</t>
  </si>
  <si>
    <t>NORTH FAYETTE</t>
  </si>
  <si>
    <t>NORTH WINNESHIEK</t>
  </si>
  <si>
    <t>POSTVILLE</t>
  </si>
  <si>
    <t>RICEVILLE</t>
  </si>
  <si>
    <t>SOUTH WINNESHIEK</t>
  </si>
  <si>
    <t>STARMONT</t>
  </si>
  <si>
    <t>TURKEY VALLEY</t>
  </si>
  <si>
    <t>VALLEY</t>
  </si>
  <si>
    <t>WEST CENTRAL</t>
  </si>
  <si>
    <t>WEST DELAWARE CO</t>
  </si>
  <si>
    <t>WESTERN DUBUQUE</t>
  </si>
  <si>
    <t>ALDEN</t>
  </si>
  <si>
    <t>ALLISON-BRISTOW</t>
  </si>
  <si>
    <t>APLINGTON-PARKERSBURG</t>
  </si>
  <si>
    <t>BELMOND-KLEMME</t>
  </si>
  <si>
    <t>WEST HANCOCK</t>
  </si>
  <si>
    <t>BROOKLYN-GUERNSEY-MALCOM</t>
  </si>
  <si>
    <t>NORTH IOWA</t>
  </si>
  <si>
    <t>CEDAR FALLS</t>
  </si>
  <si>
    <t>CHARLES CITY</t>
  </si>
  <si>
    <t>CLARKSVILLE</t>
  </si>
  <si>
    <t>CLEAR LAKE</t>
  </si>
  <si>
    <t>CORWITH-WESLEY</t>
  </si>
  <si>
    <t>DENVER</t>
  </si>
  <si>
    <t>DOWS</t>
  </si>
  <si>
    <t>DUNKERTON</t>
  </si>
  <si>
    <t>EAST BUCHANAN</t>
  </si>
  <si>
    <t>EAST MARSHALL</t>
  </si>
  <si>
    <t>ELDORA-NEW PROVIDENCE</t>
  </si>
  <si>
    <t>FOREST CITY</t>
  </si>
  <si>
    <t>GARNER-HAYFIELD</t>
  </si>
  <si>
    <t>GLADBROOK-REINBECK</t>
  </si>
  <si>
    <t>GREENE</t>
  </si>
  <si>
    <t>GRINNELL-NEWBURG</t>
  </si>
  <si>
    <t>GRUNDY CENTER</t>
  </si>
  <si>
    <t>HAMPTON-DUMONT</t>
  </si>
  <si>
    <t>HUBBARD-RADCLIFFE</t>
  </si>
  <si>
    <t>HUDSON</t>
  </si>
  <si>
    <t>INDEPENDENCE</t>
  </si>
  <si>
    <t>IOWA FALLS</t>
  </si>
  <si>
    <t>JESUP</t>
  </si>
  <si>
    <t>LAKE MILLS</t>
  </si>
  <si>
    <t>MARSHALLTOWN</t>
  </si>
  <si>
    <t>MASON CITY</t>
  </si>
  <si>
    <t>MONTEZUMA</t>
  </si>
  <si>
    <t>NASHUA-PLAINFIELD</t>
  </si>
  <si>
    <t>NORA SPRINGS-ROCK FALLS</t>
  </si>
  <si>
    <t>NORTH CENTRAL</t>
  </si>
  <si>
    <t>NORTH TAMA</t>
  </si>
  <si>
    <t>NORTHWOOD-KENSETT</t>
  </si>
  <si>
    <t>OSAGE</t>
  </si>
  <si>
    <t>ROCKWELL-SWALEDALE</t>
  </si>
  <si>
    <t>RUDD-ROCKFORD-MARBLE ROCK</t>
  </si>
  <si>
    <t>ST ANSGAR</t>
  </si>
  <si>
    <t>SOUTH TAMA</t>
  </si>
  <si>
    <t>SUMNER</t>
  </si>
  <si>
    <t>TRIPOLI</t>
  </si>
  <si>
    <t>VENTURA</t>
  </si>
  <si>
    <t>WAPSIE VALLEY</t>
  </si>
  <si>
    <t>WAVERLY-SHELL ROCK</t>
  </si>
  <si>
    <t>WEST MARSHALL</t>
  </si>
  <si>
    <t>WODEN-CRYSTAL LAKE</t>
  </si>
  <si>
    <t>ALBERT CITY-TRUESDALE</t>
  </si>
  <si>
    <t>ALGONA</t>
  </si>
  <si>
    <t>ARMSTRONG-RINGSTED</t>
  </si>
  <si>
    <t>CLARION-GOLDFIELD</t>
  </si>
  <si>
    <t>CLAY CENTRAL-EVERLY</t>
  </si>
  <si>
    <t>EAGLE GROVE</t>
  </si>
  <si>
    <t>EAST GREENE</t>
  </si>
  <si>
    <t>EMMETSBURG</t>
  </si>
  <si>
    <t>FORT DODGE</t>
  </si>
  <si>
    <t>GILMORE CITY-BRADGATE</t>
  </si>
  <si>
    <t>HARRIS-LAKE PARK</t>
  </si>
  <si>
    <t>HUMBOLDT</t>
  </si>
  <si>
    <t>LAURENS-MARATHON</t>
  </si>
  <si>
    <t>NEWELL-FONDA</t>
  </si>
  <si>
    <t>NORTHEAST HAMILTON</t>
  </si>
  <si>
    <t>NORTH KOSSUTH</t>
  </si>
  <si>
    <t>ODEBOLT-ARTHUR</t>
  </si>
  <si>
    <t>OKOBOJI</t>
  </si>
  <si>
    <t>PATON-CHURDAN</t>
  </si>
  <si>
    <t>POCAHONTAS AREA</t>
  </si>
  <si>
    <t>POMEROY-PALMER</t>
  </si>
  <si>
    <t>PRAIRIE VALLEY</t>
  </si>
  <si>
    <t>ROCKWELL CITY-LYTTON</t>
  </si>
  <si>
    <t>RUTHVEN-AYRSHIRE</t>
  </si>
  <si>
    <t>SAC</t>
  </si>
  <si>
    <t>SCHALLER-CRESTLAND</t>
  </si>
  <si>
    <t>SENTRAL</t>
  </si>
  <si>
    <t>SIOUX CENTRAL</t>
  </si>
  <si>
    <t>SOUTH HAMILTON</t>
  </si>
  <si>
    <t>SPENCER</t>
  </si>
  <si>
    <t>SPIRIT LAKE</t>
  </si>
  <si>
    <t>STORM LAKE</t>
  </si>
  <si>
    <t>STRATFORD</t>
  </si>
  <si>
    <t>TITONKA</t>
  </si>
  <si>
    <t>TWIN RIVERS</t>
  </si>
  <si>
    <t>WALL LAKE VIEW AUBURN</t>
  </si>
  <si>
    <t>WEBSTER CITY</t>
  </si>
  <si>
    <t>WEST BEND-MALLARD</t>
  </si>
  <si>
    <t>ANDREW</t>
  </si>
  <si>
    <t>BELLEVUE</t>
  </si>
  <si>
    <t>BENNETT</t>
  </si>
  <si>
    <t>BETTENDORF</t>
  </si>
  <si>
    <t>CALAMUS-WHEATLAND</t>
  </si>
  <si>
    <t>CAMANCHE</t>
  </si>
  <si>
    <t>CENTRAL CLINTON</t>
  </si>
  <si>
    <t>COLUMBUS</t>
  </si>
  <si>
    <t>DAVENPORT</t>
  </si>
  <si>
    <t>DELWOOD</t>
  </si>
  <si>
    <t>DURANT</t>
  </si>
  <si>
    <t>EAST CENTRAL</t>
  </si>
  <si>
    <t>LOUISA-MUSCATINE</t>
  </si>
  <si>
    <t>MAQUOKETA</t>
  </si>
  <si>
    <t>MUSCATINE</t>
  </si>
  <si>
    <t>NORTHEAST</t>
  </si>
  <si>
    <t>NORTH SCOTT</t>
  </si>
  <si>
    <t>PLEASANT VALLEY</t>
  </si>
  <si>
    <t>PRESTON</t>
  </si>
  <si>
    <t>WEST LIBERTY</t>
  </si>
  <si>
    <t>WILTON</t>
  </si>
  <si>
    <t>ALBURNETT</t>
  </si>
  <si>
    <t>ANAMOSA</t>
  </si>
  <si>
    <t>BELLE PLAINE</t>
  </si>
  <si>
    <t>BENTON</t>
  </si>
  <si>
    <t>CEDAR RAPIDS</t>
  </si>
  <si>
    <t>CENTER POINT-URBANA</t>
  </si>
  <si>
    <t>CENTRAL CITY</t>
  </si>
  <si>
    <t>COLLEGE</t>
  </si>
  <si>
    <t>HIGHLAND</t>
  </si>
  <si>
    <t>IOWA VALLEY</t>
  </si>
  <si>
    <t>NORTH CEDAR</t>
  </si>
  <si>
    <t>LISBON</t>
  </si>
  <si>
    <t>LONE TREE</t>
  </si>
  <si>
    <t>MID-PRAIRIE</t>
  </si>
  <si>
    <t>MONTICELLO</t>
  </si>
  <si>
    <t>MOUNT VERNON</t>
  </si>
  <si>
    <t>NORTH LINN</t>
  </si>
  <si>
    <t>SOLON</t>
  </si>
  <si>
    <t>SPRINGVILLE</t>
  </si>
  <si>
    <t>TIPTON</t>
  </si>
  <si>
    <t>WASHINGTON</t>
  </si>
  <si>
    <t>WEST BRANCH</t>
  </si>
  <si>
    <t>WILLIAMSBURG</t>
  </si>
  <si>
    <t>ADAIR-CASEY</t>
  </si>
  <si>
    <t>ADEL-DESOTO-MINBURN</t>
  </si>
  <si>
    <t>AMES</t>
  </si>
  <si>
    <t>AUDUBON</t>
  </si>
  <si>
    <t>BALLARD</t>
  </si>
  <si>
    <t>BAXTER</t>
  </si>
  <si>
    <t>BONDURANT-FARRAR</t>
  </si>
  <si>
    <t>BOONE</t>
  </si>
  <si>
    <t>CARLISLE</t>
  </si>
  <si>
    <t>CARROLL</t>
  </si>
  <si>
    <t>COLFAX-MINGO</t>
  </si>
  <si>
    <t>COLLINS-MAXWELL</t>
  </si>
  <si>
    <t>COLO-NESCO</t>
  </si>
  <si>
    <t>COON RAPIDS-BAYARD</t>
  </si>
  <si>
    <t>DALLAS CENTER-GRIMES</t>
  </si>
  <si>
    <t>DES MOINES</t>
  </si>
  <si>
    <t>EARLHAM</t>
  </si>
  <si>
    <t>EXIRA</t>
  </si>
  <si>
    <t>GILBERT</t>
  </si>
  <si>
    <t>GLIDDEN-RALSTON</t>
  </si>
  <si>
    <t>GUTHRIE CENTER</t>
  </si>
  <si>
    <t>INDIANOLA</t>
  </si>
  <si>
    <t>INTERSTATE 35</t>
  </si>
  <si>
    <t>KNOXVILLE</t>
  </si>
  <si>
    <t>LYNNVILLE-SULLY</t>
  </si>
  <si>
    <t>MADRID</t>
  </si>
  <si>
    <t>MANNING</t>
  </si>
  <si>
    <t>MARTENSDALE-ST MARYS</t>
  </si>
  <si>
    <t>MELCHER-DALLAS</t>
  </si>
  <si>
    <t>NEVADA</t>
  </si>
  <si>
    <t>NEWTON</t>
  </si>
  <si>
    <t>NORTH POLK</t>
  </si>
  <si>
    <t>NORWALK</t>
  </si>
  <si>
    <t>OGDEN</t>
  </si>
  <si>
    <t>PANORAMA</t>
  </si>
  <si>
    <t>PELLA</t>
  </si>
  <si>
    <t>PERRY</t>
  </si>
  <si>
    <t>PLEASANTVILLE</t>
  </si>
  <si>
    <t>ROLAND-STORY</t>
  </si>
  <si>
    <t>SAYDEL</t>
  </si>
  <si>
    <t>SOUTHEAST WARREN</t>
  </si>
  <si>
    <t>SOUTHEAST POLK</t>
  </si>
  <si>
    <t>WEST CENTRAL VALLEY</t>
  </si>
  <si>
    <t>TWIN CEDARS</t>
  </si>
  <si>
    <t>UNITED</t>
  </si>
  <si>
    <t>URBANDALE</t>
  </si>
  <si>
    <t>VAN METER</t>
  </si>
  <si>
    <t>WEST DES MOINES</t>
  </si>
  <si>
    <t>WINTERSET</t>
  </si>
  <si>
    <t>WOODWARD-GRANGER</t>
  </si>
  <si>
    <t>AKRON-WESTFIELD</t>
  </si>
  <si>
    <t>ANTHON-OTO</t>
  </si>
  <si>
    <t>AR-WE-VA</t>
  </si>
  <si>
    <t>AURELIA</t>
  </si>
  <si>
    <t>BATTLE CREEK-IDA GROVE</t>
  </si>
  <si>
    <t>BOYDEN-HULL</t>
  </si>
  <si>
    <t>CENTRAL LYON</t>
  </si>
  <si>
    <t>CHARTER OAK-UTE</t>
  </si>
  <si>
    <t>CHEROKEE</t>
  </si>
  <si>
    <t>DENISON</t>
  </si>
  <si>
    <t>RIVER VALLEY</t>
  </si>
  <si>
    <t>GALVA-HOLSTEIN</t>
  </si>
  <si>
    <t>GEORGE-LITTLE ROCK</t>
  </si>
  <si>
    <t>HARTLEY-MELVIN-SANBORN</t>
  </si>
  <si>
    <t>HINTON</t>
  </si>
  <si>
    <t>KINGSLEY-PIERSON</t>
  </si>
  <si>
    <t>LAWTON-BRONSON</t>
  </si>
  <si>
    <t>LE MARS</t>
  </si>
  <si>
    <t>MAPLE VALLEY</t>
  </si>
  <si>
    <t>MOC-FLOYD VALLEY</t>
  </si>
  <si>
    <t>REMSEN-UNION</t>
  </si>
  <si>
    <t>ROCK VALLEY</t>
  </si>
  <si>
    <t>SCHLESWIG</t>
  </si>
  <si>
    <t>SERGEANT BLUFF-LUTON</t>
  </si>
  <si>
    <t>SHELDON</t>
  </si>
  <si>
    <t>SIBLEY-OCHEYEDAN</t>
  </si>
  <si>
    <t>SIOUX CENTER</t>
  </si>
  <si>
    <t>SIOUX CITY</t>
  </si>
  <si>
    <t>WEST LYON</t>
  </si>
  <si>
    <t>WEST MONONA</t>
  </si>
  <si>
    <t>WEST SIOUX</t>
  </si>
  <si>
    <t>WESTWOOD</t>
  </si>
  <si>
    <t>WHITING</t>
  </si>
  <si>
    <t>WOODBURY CENTRAL</t>
  </si>
  <si>
    <t>ANITA</t>
  </si>
  <si>
    <t>ATLANTIC</t>
  </si>
  <si>
    <t>C AND M</t>
  </si>
  <si>
    <t>CLARINDA</t>
  </si>
  <si>
    <t>COUNCIL BLUFFS</t>
  </si>
  <si>
    <t>BOYER VALLEY</t>
  </si>
  <si>
    <t>ELK HORN-KIMBALLTON</t>
  </si>
  <si>
    <t>ESSEX</t>
  </si>
  <si>
    <t>FARRAGUT</t>
  </si>
  <si>
    <t>FREMONT-MILLS</t>
  </si>
  <si>
    <t>GLENWOOD</t>
  </si>
  <si>
    <t>GRISWOLD</t>
  </si>
  <si>
    <t>HAMBURG</t>
  </si>
  <si>
    <t>HARLAN</t>
  </si>
  <si>
    <t>LEWIS CENTRAL</t>
  </si>
  <si>
    <t>LOGAN-MAGNOLIA</t>
  </si>
  <si>
    <t>MALVERN</t>
  </si>
  <si>
    <t>MISSOURI VALLEY</t>
  </si>
  <si>
    <t>SHENANDOAH</t>
  </si>
  <si>
    <t>SIDNEY</t>
  </si>
  <si>
    <t>SOUTH PAGE</t>
  </si>
  <si>
    <t>TREYNOR</t>
  </si>
  <si>
    <t>TRI-CENTER</t>
  </si>
  <si>
    <t>UNDERWOOD</t>
  </si>
  <si>
    <t>WALNUT</t>
  </si>
  <si>
    <t>WEST HARRISON</t>
  </si>
  <si>
    <t>WOODBINE</t>
  </si>
  <si>
    <t>BEDFORD</t>
  </si>
  <si>
    <t>CENTRAL DECATUR</t>
  </si>
  <si>
    <t>CLARKE</t>
  </si>
  <si>
    <t>CLEARFIELD</t>
  </si>
  <si>
    <t>CORNING</t>
  </si>
  <si>
    <t>CRESTON</t>
  </si>
  <si>
    <t>DIAGONAL</t>
  </si>
  <si>
    <t>EAST UNION</t>
  </si>
  <si>
    <t>LAMONI</t>
  </si>
  <si>
    <t>LENOX</t>
  </si>
  <si>
    <t>MORMON TRAIL</t>
  </si>
  <si>
    <t>MOUNT AYR</t>
  </si>
  <si>
    <t>MURRAY</t>
  </si>
  <si>
    <t>ORIENT-MACKSBURG</t>
  </si>
  <si>
    <t>PRESCOTT</t>
  </si>
  <si>
    <t>RED OAK</t>
  </si>
  <si>
    <t>STANTON</t>
  </si>
  <si>
    <t>VILLISCA</t>
  </si>
  <si>
    <t>ALBIA</t>
  </si>
  <si>
    <t>EDDYVILLE-BLAKESBURG</t>
  </si>
  <si>
    <t>BURLINGTON</t>
  </si>
  <si>
    <t>CARDINAL</t>
  </si>
  <si>
    <t>CENTERVILLE</t>
  </si>
  <si>
    <t>CENTRAL LEE</t>
  </si>
  <si>
    <t>CHARITON</t>
  </si>
  <si>
    <t>DANVILLE</t>
  </si>
  <si>
    <t>DAVIS COUNTY</t>
  </si>
  <si>
    <t>FAIRFIELD</t>
  </si>
  <si>
    <t>FORT MADISON</t>
  </si>
  <si>
    <t>FREMONT</t>
  </si>
  <si>
    <t>HARMONY</t>
  </si>
  <si>
    <t>KEOKUK</t>
  </si>
  <si>
    <t>KEOTA</t>
  </si>
  <si>
    <t>LINEVILLE-CLIO</t>
  </si>
  <si>
    <t>MEDIAPOLIS</t>
  </si>
  <si>
    <t>MORAVIA</t>
  </si>
  <si>
    <t>MORNING SUN</t>
  </si>
  <si>
    <t>MOULTON-UDELL</t>
  </si>
  <si>
    <t>MOUNT PLEASANT</t>
  </si>
  <si>
    <t>NEW LONDON</t>
  </si>
  <si>
    <t>NORTH MAHASKA</t>
  </si>
  <si>
    <t>OSKALOOSA</t>
  </si>
  <si>
    <t>OTTUMWA</t>
  </si>
  <si>
    <t>PEKIN</t>
  </si>
  <si>
    <t>SEYMOUR</t>
  </si>
  <si>
    <t>SIGOURNEY</t>
  </si>
  <si>
    <t>TRI-COUNTY</t>
  </si>
  <si>
    <t>WACO</t>
  </si>
  <si>
    <t>WAPELLO</t>
  </si>
  <si>
    <t>WAYNE</t>
  </si>
  <si>
    <t>WEST BURLINGTON</t>
  </si>
  <si>
    <t>WINFIELD-MT UNION</t>
  </si>
  <si>
    <t xml:space="preserve">State Total </t>
  </si>
  <si>
    <t>West Delaware Co</t>
  </si>
  <si>
    <t>North Tama</t>
  </si>
  <si>
    <t>Rudd-Rockford-Marble Rock</t>
  </si>
  <si>
    <t>South Tama</t>
  </si>
  <si>
    <t>Southeast Webster - Grand</t>
  </si>
  <si>
    <t>Titonka</t>
  </si>
  <si>
    <t>SOUTHEAST WEBSTER - GRAND</t>
  </si>
  <si>
    <t>Clear Creek - Amana</t>
  </si>
  <si>
    <t>CLEAR CREEK - AMANA</t>
  </si>
  <si>
    <t>Des Moines</t>
  </si>
  <si>
    <t>Akron-Westfield</t>
  </si>
  <si>
    <t>West Burlington</t>
  </si>
  <si>
    <t>State Total 2009 (for 2010-11)</t>
  </si>
  <si>
    <t>Change 2009 to 2010</t>
  </si>
  <si>
    <t>Percent of change 2009 to 2010</t>
  </si>
  <si>
    <t>ESTIMATES USE 10-11 DCPP; 0% ALLOWABLE GROWTH</t>
  </si>
  <si>
    <t>ESTIMATED RECEIPTS 11-12</t>
  </si>
  <si>
    <t>Oct 2010 Special Educ Enrollment</t>
  </si>
  <si>
    <t>3/31/11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</si>
</sst>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10">
    <font>
      <sz val="10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/>
    <xf numFmtId="0" fontId="2" fillId="0" borderId="4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 indent="1"/>
    </xf>
    <xf numFmtId="0" fontId="2" fillId="4" borderId="8" xfId="0" applyFont="1" applyFill="1" applyBorder="1"/>
    <xf numFmtId="0" fontId="5" fillId="3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 indent="1"/>
    </xf>
    <xf numFmtId="0" fontId="4" fillId="0" borderId="9" xfId="0" applyFont="1" applyBorder="1"/>
    <xf numFmtId="0" fontId="2" fillId="4" borderId="9" xfId="0" applyFont="1" applyFill="1" applyBorder="1" applyAlignment="1">
      <alignment horizontal="left" indent="1"/>
    </xf>
    <xf numFmtId="0" fontId="2" fillId="4" borderId="9" xfId="0" applyFont="1" applyFill="1" applyBorder="1"/>
    <xf numFmtId="0" fontId="5" fillId="3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left" indent="1"/>
    </xf>
    <xf numFmtId="0" fontId="4" fillId="0" borderId="10" xfId="0" applyFont="1" applyBorder="1"/>
    <xf numFmtId="0" fontId="5" fillId="3" borderId="11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3" fillId="0" borderId="12" xfId="0" applyFont="1" applyBorder="1"/>
    <xf numFmtId="0" fontId="2" fillId="4" borderId="10" xfId="0" applyFont="1" applyFill="1" applyBorder="1"/>
    <xf numFmtId="0" fontId="5" fillId="6" borderId="9" xfId="0" applyFont="1" applyFill="1" applyBorder="1" applyAlignment="1">
      <alignment horizontal="left"/>
    </xf>
    <xf numFmtId="0" fontId="6" fillId="5" borderId="9" xfId="0" applyFont="1" applyFill="1" applyBorder="1"/>
    <xf numFmtId="0" fontId="5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 indent="1"/>
    </xf>
    <xf numFmtId="0" fontId="2" fillId="4" borderId="6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" fillId="0" borderId="2" xfId="0" applyFont="1" applyBorder="1"/>
    <xf numFmtId="0" fontId="5" fillId="7" borderId="12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left"/>
    </xf>
    <xf numFmtId="0" fontId="3" fillId="7" borderId="13" xfId="0" applyFont="1" applyFill="1" applyBorder="1"/>
    <xf numFmtId="0" fontId="2" fillId="7" borderId="12" xfId="0" applyFont="1" applyFill="1" applyBorder="1"/>
    <xf numFmtId="0" fontId="4" fillId="0" borderId="0" xfId="0" applyFont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left"/>
    </xf>
    <xf numFmtId="0" fontId="3" fillId="7" borderId="15" xfId="0" applyFont="1" applyFill="1" applyBorder="1"/>
    <xf numFmtId="0" fontId="2" fillId="7" borderId="16" xfId="0" applyFont="1" applyFill="1" applyBorder="1"/>
    <xf numFmtId="0" fontId="2" fillId="7" borderId="9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164" fontId="4" fillId="4" borderId="8" xfId="1" applyNumberFormat="1" applyFont="1" applyFill="1" applyBorder="1"/>
    <xf numFmtId="164" fontId="4" fillId="0" borderId="9" xfId="1" applyNumberFormat="1" applyFont="1" applyBorder="1"/>
    <xf numFmtId="164" fontId="3" fillId="0" borderId="12" xfId="1" applyNumberFormat="1" applyFont="1" applyBorder="1"/>
    <xf numFmtId="164" fontId="4" fillId="4" borderId="9" xfId="1" applyNumberFormat="1" applyFont="1" applyFill="1" applyBorder="1"/>
    <xf numFmtId="164" fontId="4" fillId="0" borderId="10" xfId="1" applyNumberFormat="1" applyFont="1" applyBorder="1"/>
    <xf numFmtId="164" fontId="3" fillId="0" borderId="2" xfId="1" applyNumberFormat="1" applyFont="1" applyBorder="1"/>
    <xf numFmtId="164" fontId="2" fillId="7" borderId="12" xfId="1" applyNumberFormat="1" applyFont="1" applyFill="1" applyBorder="1"/>
    <xf numFmtId="0" fontId="2" fillId="8" borderId="12" xfId="0" applyFont="1" applyFill="1" applyBorder="1"/>
    <xf numFmtId="164" fontId="4" fillId="0" borderId="0" xfId="1" applyNumberFormat="1" applyFont="1"/>
    <xf numFmtId="164" fontId="3" fillId="8" borderId="12" xfId="1" applyNumberFormat="1" applyFont="1" applyFill="1" applyBorder="1"/>
    <xf numFmtId="0" fontId="3" fillId="7" borderId="0" xfId="0" applyFont="1" applyFill="1" applyBorder="1"/>
    <xf numFmtId="0" fontId="2" fillId="7" borderId="0" xfId="0" applyFont="1" applyFill="1" applyBorder="1"/>
    <xf numFmtId="0" fontId="5" fillId="5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left"/>
    </xf>
    <xf numFmtId="0" fontId="3" fillId="5" borderId="9" xfId="0" applyFont="1" applyFill="1" applyBorder="1"/>
    <xf numFmtId="0" fontId="2" fillId="5" borderId="9" xfId="0" applyFont="1" applyFill="1" applyBorder="1"/>
    <xf numFmtId="0" fontId="3" fillId="0" borderId="18" xfId="0" applyFont="1" applyBorder="1"/>
    <xf numFmtId="164" fontId="4" fillId="4" borderId="11" xfId="1" applyNumberFormat="1" applyFont="1" applyFill="1" applyBorder="1"/>
    <xf numFmtId="164" fontId="4" fillId="4" borderId="12" xfId="1" applyNumberFormat="1" applyFont="1" applyFill="1" applyBorder="1"/>
    <xf numFmtId="164" fontId="4" fillId="4" borderId="19" xfId="1" applyNumberFormat="1" applyFont="1" applyFill="1" applyBorder="1"/>
    <xf numFmtId="164" fontId="4" fillId="0" borderId="11" xfId="1" applyNumberFormat="1" applyFont="1" applyBorder="1"/>
    <xf numFmtId="164" fontId="4" fillId="0" borderId="12" xfId="1" applyNumberFormat="1" applyFont="1" applyBorder="1"/>
    <xf numFmtId="164" fontId="4" fillId="0" borderId="19" xfId="1" applyNumberFormat="1" applyFont="1" applyBorder="1"/>
    <xf numFmtId="0" fontId="2" fillId="5" borderId="0" xfId="0" applyFont="1" applyFill="1" applyBorder="1"/>
    <xf numFmtId="0" fontId="7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left"/>
    </xf>
    <xf numFmtId="0" fontId="3" fillId="9" borderId="17" xfId="0" applyFont="1" applyFill="1" applyBorder="1"/>
    <xf numFmtId="0" fontId="3" fillId="9" borderId="2" xfId="0" applyFont="1" applyFill="1" applyBorder="1"/>
    <xf numFmtId="2" fontId="3" fillId="9" borderId="2" xfId="0" applyNumberFormat="1" applyFont="1" applyFill="1" applyBorder="1"/>
    <xf numFmtId="0" fontId="2" fillId="9" borderId="2" xfId="0" applyFont="1" applyFill="1" applyBorder="1"/>
    <xf numFmtId="0" fontId="5" fillId="6" borderId="9" xfId="0" applyFont="1" applyFill="1" applyBorder="1" applyAlignment="1">
      <alignment horizontal="center"/>
    </xf>
    <xf numFmtId="0" fontId="3" fillId="6" borderId="9" xfId="0" applyFont="1" applyFill="1" applyBorder="1"/>
    <xf numFmtId="10" fontId="3" fillId="6" borderId="9" xfId="2" applyNumberFormat="1" applyFont="1" applyFill="1" applyBorder="1"/>
    <xf numFmtId="165" fontId="3" fillId="6" borderId="9" xfId="2" applyNumberFormat="1" applyFont="1" applyFill="1" applyBorder="1"/>
    <xf numFmtId="9" fontId="3" fillId="6" borderId="9" xfId="2" applyNumberFormat="1" applyFont="1" applyFill="1" applyBorder="1"/>
    <xf numFmtId="0" fontId="3" fillId="2" borderId="0" xfId="0" applyFont="1" applyFill="1" applyBorder="1" applyAlignment="1">
      <alignment horizontal="center"/>
    </xf>
    <xf numFmtId="164" fontId="4" fillId="4" borderId="0" xfId="1" applyNumberFormat="1" applyFont="1" applyFill="1" applyBorder="1"/>
    <xf numFmtId="0" fontId="4" fillId="0" borderId="0" xfId="0" applyFont="1" applyBorder="1"/>
    <xf numFmtId="0" fontId="4" fillId="4" borderId="0" xfId="0" applyFont="1" applyFill="1" applyBorder="1"/>
    <xf numFmtId="0" fontId="3" fillId="0" borderId="0" xfId="0" applyFont="1" applyBorder="1"/>
    <xf numFmtId="0" fontId="2" fillId="9" borderId="0" xfId="0" applyFont="1" applyFill="1" applyBorder="1"/>
    <xf numFmtId="164" fontId="3" fillId="10" borderId="8" xfId="1" applyNumberFormat="1" applyFont="1" applyFill="1" applyBorder="1"/>
    <xf numFmtId="164" fontId="3" fillId="5" borderId="9" xfId="1" applyNumberFormat="1" applyFont="1" applyFill="1" applyBorder="1"/>
    <xf numFmtId="164" fontId="3" fillId="10" borderId="9" xfId="1" applyNumberFormat="1" applyFont="1" applyFill="1" applyBorder="1"/>
    <xf numFmtId="0" fontId="8" fillId="6" borderId="0" xfId="0" applyFont="1" applyFill="1"/>
    <xf numFmtId="0" fontId="4" fillId="6" borderId="0" xfId="0" applyFont="1" applyFill="1"/>
    <xf numFmtId="0" fontId="2" fillId="11" borderId="2" xfId="0" applyFont="1" applyFill="1" applyBorder="1"/>
    <xf numFmtId="0" fontId="3" fillId="11" borderId="2" xfId="0" applyFont="1" applyFill="1" applyBorder="1"/>
    <xf numFmtId="0" fontId="2" fillId="11" borderId="12" xfId="0" applyFont="1" applyFill="1" applyBorder="1"/>
    <xf numFmtId="0" fontId="2" fillId="11" borderId="9" xfId="0" applyFont="1" applyFill="1" applyBorder="1"/>
    <xf numFmtId="0" fontId="3" fillId="2" borderId="21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2" fillId="4" borderId="20" xfId="0" applyFont="1" applyFill="1" applyBorder="1"/>
    <xf numFmtId="0" fontId="5" fillId="3" borderId="23" xfId="0" applyFont="1" applyFill="1" applyBorder="1" applyAlignment="1">
      <alignment horizontal="center"/>
    </xf>
    <xf numFmtId="0" fontId="3" fillId="7" borderId="12" xfId="0" applyFont="1" applyFill="1" applyBorder="1"/>
    <xf numFmtId="164" fontId="3" fillId="7" borderId="12" xfId="1" applyNumberFormat="1" applyFont="1" applyFill="1" applyBorder="1"/>
    <xf numFmtId="164" fontId="3" fillId="9" borderId="2" xfId="1" applyNumberFormat="1" applyFont="1" applyFill="1" applyBorder="1"/>
    <xf numFmtId="164" fontId="3" fillId="6" borderId="9" xfId="1" applyNumberFormat="1" applyFont="1" applyFill="1" applyBorder="1"/>
    <xf numFmtId="166" fontId="3" fillId="6" borderId="9" xfId="2" applyNumberFormat="1" applyFont="1" applyFill="1" applyBorder="1"/>
    <xf numFmtId="0" fontId="2" fillId="0" borderId="24" xfId="0" applyFont="1" applyBorder="1" applyAlignment="1">
      <alignment horizontal="center"/>
    </xf>
    <xf numFmtId="49" fontId="8" fillId="6" borderId="0" xfId="0" applyNumberFormat="1" applyFont="1" applyFill="1"/>
    <xf numFmtId="0" fontId="3" fillId="5" borderId="2" xfId="0" quotePrefix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49" fontId="2" fillId="5" borderId="5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49" fontId="3" fillId="6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79"/>
      <color rgb="FFFFF0C1"/>
      <color rgb="FFFFE07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06"/>
  <sheetViews>
    <sheetView tabSelected="1" zoomScaleNormal="100" zoomScaleSheetLayoutView="80" workbookViewId="0">
      <selection activeCell="C5" sqref="C5"/>
    </sheetView>
  </sheetViews>
  <sheetFormatPr defaultRowHeight="11.25"/>
  <cols>
    <col min="1" max="1" width="7.42578125" style="33" bestFit="1" customWidth="1"/>
    <col min="2" max="2" width="8.42578125" style="3" bestFit="1" customWidth="1"/>
    <col min="3" max="3" width="34" style="3" customWidth="1"/>
    <col min="4" max="4" width="2.28515625" style="3" customWidth="1"/>
    <col min="5" max="5" width="6.140625" style="3" hidden="1" customWidth="1"/>
    <col min="6" max="6" width="5.5703125" style="3" hidden="1" customWidth="1"/>
    <col min="7" max="7" width="6.7109375" style="3" hidden="1" customWidth="1"/>
    <col min="8" max="8" width="4.7109375" style="3" hidden="1" customWidth="1"/>
    <col min="9" max="9" width="4.42578125" style="3" hidden="1" customWidth="1"/>
    <col min="10" max="10" width="4.28515625" style="3" hidden="1" customWidth="1"/>
    <col min="11" max="11" width="9.7109375" style="3" customWidth="1"/>
    <col min="12" max="12" width="10.5703125" style="3" customWidth="1"/>
    <col min="13" max="14" width="5.7109375" style="3" hidden="1" customWidth="1"/>
    <col min="15" max="15" width="5.5703125" style="3" hidden="1" customWidth="1"/>
    <col min="16" max="16" width="6.42578125" style="3" hidden="1" customWidth="1"/>
    <col min="17" max="17" width="6.28515625" style="3" hidden="1" customWidth="1"/>
    <col min="18" max="18" width="8.85546875" style="3" customWidth="1"/>
    <col min="19" max="19" width="11.140625" style="3" customWidth="1"/>
    <col min="20" max="20" width="4.7109375" style="3" hidden="1" customWidth="1"/>
    <col min="21" max="21" width="5.7109375" style="3" hidden="1" customWidth="1"/>
    <col min="22" max="22" width="5.5703125" style="3" hidden="1" customWidth="1"/>
    <col min="23" max="23" width="6.42578125" style="3" hidden="1" customWidth="1"/>
    <col min="24" max="24" width="6.28515625" style="3" hidden="1" customWidth="1"/>
    <col min="25" max="25" width="9.42578125" style="3" customWidth="1"/>
    <col min="26" max="26" width="11" style="3" customWidth="1"/>
    <col min="27" max="27" width="9.140625" style="3" customWidth="1"/>
    <col min="28" max="28" width="11.28515625" style="3" customWidth="1"/>
    <col min="29" max="29" width="10" style="3" customWidth="1"/>
    <col min="30" max="31" width="17.140625" style="3" bestFit="1" customWidth="1"/>
    <col min="32" max="32" width="16.7109375" style="3" customWidth="1"/>
    <col min="33" max="43" width="9.140625" style="3" customWidth="1"/>
    <col min="44" max="44" width="9.140625" style="3"/>
    <col min="45" max="45" width="28.5703125" style="3" customWidth="1"/>
    <col min="46" max="16384" width="9.140625" style="3"/>
  </cols>
  <sheetData>
    <row r="1" spans="1:48" ht="12.75" thickBot="1">
      <c r="A1" s="1"/>
      <c r="B1" s="103" t="s">
        <v>1090</v>
      </c>
      <c r="C1" s="104" t="s">
        <v>1089</v>
      </c>
      <c r="D1" s="104"/>
      <c r="E1" s="105">
        <v>1.72</v>
      </c>
      <c r="F1" s="105">
        <v>1.72</v>
      </c>
      <c r="G1" s="105">
        <v>1.72</v>
      </c>
      <c r="H1" s="105">
        <v>1.72</v>
      </c>
      <c r="I1" s="105">
        <v>1.72</v>
      </c>
      <c r="J1" s="105">
        <v>1.72</v>
      </c>
      <c r="K1" s="105">
        <v>1.72</v>
      </c>
      <c r="L1" s="105">
        <v>1.72</v>
      </c>
      <c r="M1" s="105">
        <v>2.21</v>
      </c>
      <c r="N1" s="105">
        <v>2.21</v>
      </c>
      <c r="O1" s="105">
        <v>2.21</v>
      </c>
      <c r="P1" s="105">
        <v>2.21</v>
      </c>
      <c r="Q1" s="105">
        <v>2.21</v>
      </c>
      <c r="R1" s="105">
        <v>2.21</v>
      </c>
      <c r="S1" s="105">
        <v>2.21</v>
      </c>
      <c r="T1" s="105">
        <v>3.74</v>
      </c>
      <c r="U1" s="105">
        <v>3.74</v>
      </c>
      <c r="V1" s="105">
        <v>3.74</v>
      </c>
      <c r="W1" s="105">
        <v>3.74</v>
      </c>
      <c r="X1" s="105">
        <v>3.74</v>
      </c>
      <c r="Y1" s="105">
        <v>3.74</v>
      </c>
      <c r="Z1" s="105">
        <v>3.74</v>
      </c>
      <c r="AA1" s="105" t="s">
        <v>2</v>
      </c>
      <c r="AB1" s="106" t="s">
        <v>2</v>
      </c>
      <c r="AC1" s="106" t="s">
        <v>750</v>
      </c>
      <c r="AD1" s="106" t="s">
        <v>752</v>
      </c>
      <c r="AE1" s="106" t="s">
        <v>12</v>
      </c>
      <c r="AF1" s="106" t="s">
        <v>2</v>
      </c>
      <c r="AG1" s="2"/>
      <c r="AH1" s="2"/>
      <c r="AI1" s="76"/>
      <c r="AJ1" s="76"/>
      <c r="AK1" s="76"/>
      <c r="AL1" s="76"/>
      <c r="AM1" s="76"/>
      <c r="AN1" s="76"/>
      <c r="AO1" s="76"/>
      <c r="AP1" s="76"/>
    </row>
    <row r="2" spans="1:48" ht="16.5" thickBot="1">
      <c r="A2" s="1" t="s">
        <v>0</v>
      </c>
      <c r="B2" s="104" t="s">
        <v>1</v>
      </c>
      <c r="C2" s="107" t="s">
        <v>1088</v>
      </c>
      <c r="D2" s="107"/>
      <c r="E2" s="108" t="s">
        <v>5</v>
      </c>
      <c r="F2" s="108" t="s">
        <v>6</v>
      </c>
      <c r="G2" s="108" t="s">
        <v>7</v>
      </c>
      <c r="H2" s="108" t="s">
        <v>8</v>
      </c>
      <c r="I2" s="108" t="s">
        <v>9</v>
      </c>
      <c r="J2" s="108" t="s">
        <v>10</v>
      </c>
      <c r="K2" s="108" t="s">
        <v>11</v>
      </c>
      <c r="L2" s="108" t="s">
        <v>12</v>
      </c>
      <c r="M2" s="108" t="s">
        <v>13</v>
      </c>
      <c r="N2" s="108" t="s">
        <v>14</v>
      </c>
      <c r="O2" s="108" t="s">
        <v>15</v>
      </c>
      <c r="P2" s="108" t="s">
        <v>16</v>
      </c>
      <c r="Q2" s="108" t="s">
        <v>17</v>
      </c>
      <c r="R2" s="108" t="s">
        <v>11</v>
      </c>
      <c r="S2" s="108" t="s">
        <v>12</v>
      </c>
      <c r="T2" s="108" t="s">
        <v>18</v>
      </c>
      <c r="U2" s="108" t="s">
        <v>19</v>
      </c>
      <c r="V2" s="108" t="s">
        <v>20</v>
      </c>
      <c r="W2" s="108" t="s">
        <v>21</v>
      </c>
      <c r="X2" s="108" t="s">
        <v>22</v>
      </c>
      <c r="Y2" s="108" t="s">
        <v>11</v>
      </c>
      <c r="Z2" s="108" t="s">
        <v>12</v>
      </c>
      <c r="AA2" s="108" t="s">
        <v>11</v>
      </c>
      <c r="AB2" s="109" t="s">
        <v>12</v>
      </c>
      <c r="AC2" s="109" t="s">
        <v>751</v>
      </c>
      <c r="AD2" s="109" t="s">
        <v>750</v>
      </c>
      <c r="AE2" s="109" t="s">
        <v>750</v>
      </c>
      <c r="AF2" s="109" t="s">
        <v>750</v>
      </c>
      <c r="AG2" s="91"/>
      <c r="AH2" s="91"/>
      <c r="AI2" s="76"/>
      <c r="AJ2" s="76"/>
      <c r="AK2" s="76"/>
      <c r="AL2" s="76"/>
      <c r="AM2" s="76"/>
      <c r="AN2" s="76"/>
      <c r="AO2" s="76"/>
      <c r="AP2" s="76"/>
    </row>
    <row r="3" spans="1:48" ht="12.75" thickBot="1">
      <c r="A3" s="4" t="s">
        <v>3</v>
      </c>
      <c r="B3" s="110" t="s">
        <v>3</v>
      </c>
      <c r="C3" s="110" t="s">
        <v>4</v>
      </c>
      <c r="D3" s="110"/>
      <c r="E3" s="111"/>
      <c r="F3" s="111"/>
      <c r="G3" s="111"/>
      <c r="H3" s="111"/>
      <c r="I3" s="111"/>
      <c r="J3" s="111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9"/>
      <c r="AC3" s="109"/>
      <c r="AD3" s="109"/>
      <c r="AE3" s="109"/>
      <c r="AF3" s="109"/>
      <c r="AG3" s="91"/>
      <c r="AH3" s="91"/>
      <c r="AI3" s="76"/>
      <c r="AJ3" s="76"/>
      <c r="AK3" s="76"/>
      <c r="AL3" s="76"/>
      <c r="AM3" s="76"/>
      <c r="AN3" s="76"/>
      <c r="AO3" s="76"/>
      <c r="AP3" s="76"/>
    </row>
    <row r="4" spans="1:48" ht="16.5" thickBot="1">
      <c r="A4" s="101"/>
      <c r="B4" s="115" t="s">
        <v>1087</v>
      </c>
      <c r="C4" s="102"/>
      <c r="D4" s="112"/>
      <c r="E4" s="113"/>
      <c r="F4" s="113"/>
      <c r="G4" s="113"/>
      <c r="H4" s="113"/>
      <c r="I4" s="113"/>
      <c r="J4" s="113"/>
      <c r="K4" s="113"/>
      <c r="L4" s="113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  <c r="AC4" s="109"/>
      <c r="AD4" s="109"/>
      <c r="AE4" s="109"/>
      <c r="AF4" s="109"/>
      <c r="AG4" s="91"/>
      <c r="AH4" s="91"/>
      <c r="AI4" s="76"/>
      <c r="AJ4" s="76"/>
      <c r="AK4" s="76"/>
      <c r="AL4" s="76"/>
      <c r="AM4" s="76"/>
      <c r="AN4" s="76"/>
      <c r="AO4" s="76"/>
      <c r="AP4" s="76"/>
    </row>
    <row r="5" spans="1:48" ht="12" thickBot="1">
      <c r="A5" s="92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9"/>
      <c r="AC5" s="109"/>
      <c r="AD5" s="109"/>
      <c r="AE5" s="109"/>
      <c r="AF5" s="109"/>
      <c r="AG5" s="5"/>
      <c r="AH5" s="5"/>
      <c r="AI5" s="76"/>
      <c r="AJ5" s="76"/>
      <c r="AK5" s="76"/>
      <c r="AL5" s="76"/>
      <c r="AM5" s="76"/>
      <c r="AN5" s="76"/>
      <c r="AO5" s="76"/>
      <c r="AP5" s="76"/>
    </row>
    <row r="6" spans="1:48" ht="12">
      <c r="A6" s="6" t="s">
        <v>23</v>
      </c>
      <c r="B6" s="7" t="s">
        <v>24</v>
      </c>
      <c r="C6" s="8" t="s">
        <v>25</v>
      </c>
      <c r="D6" s="8"/>
      <c r="E6" s="39">
        <v>103</v>
      </c>
      <c r="F6" s="39"/>
      <c r="G6" s="39"/>
      <c r="H6" s="39"/>
      <c r="I6" s="39"/>
      <c r="J6" s="39"/>
      <c r="K6" s="39">
        <f>SUM(E6:J6)</f>
        <v>103</v>
      </c>
      <c r="L6" s="39">
        <f>+K6*0.72</f>
        <v>74.16</v>
      </c>
      <c r="M6" s="39"/>
      <c r="N6" s="39"/>
      <c r="O6" s="39">
        <v>4</v>
      </c>
      <c r="P6" s="39"/>
      <c r="Q6" s="39">
        <v>22</v>
      </c>
      <c r="R6" s="39">
        <f>SUM(M6:Q6)</f>
        <v>26</v>
      </c>
      <c r="S6" s="39">
        <f>((+N6+P6)*0.61)+((+M6+O6+Q6)*1.21)</f>
        <v>31.46</v>
      </c>
      <c r="T6" s="39"/>
      <c r="U6" s="39"/>
      <c r="V6" s="39">
        <v>1</v>
      </c>
      <c r="W6" s="39"/>
      <c r="X6" s="39">
        <v>18</v>
      </c>
      <c r="Y6" s="39">
        <f>SUM(T6:X6)</f>
        <v>19</v>
      </c>
      <c r="Z6" s="39">
        <f>((+U6+W6)*1.37)+((+T6+V6+X6)*2.74)</f>
        <v>52.06</v>
      </c>
      <c r="AA6" s="39">
        <f>+K6+R6+Y6</f>
        <v>148</v>
      </c>
      <c r="AB6" s="39">
        <f>+L6+S6+Z6</f>
        <v>157.68</v>
      </c>
      <c r="AC6" s="41">
        <f>+AT6</f>
        <v>5965</v>
      </c>
      <c r="AD6" s="82">
        <f>+AC6*AA6</f>
        <v>882820</v>
      </c>
      <c r="AE6" s="82">
        <f>+AC6*AB6</f>
        <v>940561.20000000007</v>
      </c>
      <c r="AF6" s="82">
        <f>+AE6+AD6</f>
        <v>1823381.2000000002</v>
      </c>
      <c r="AG6" s="41"/>
      <c r="AH6" s="41"/>
      <c r="AI6" s="77"/>
      <c r="AJ6" s="77"/>
      <c r="AK6" s="77"/>
      <c r="AL6" s="77"/>
      <c r="AM6" s="77"/>
      <c r="AN6" s="77"/>
      <c r="AO6" s="77"/>
      <c r="AP6" s="77"/>
      <c r="AQ6" s="3" t="s">
        <v>23</v>
      </c>
      <c r="AR6" s="3" t="s">
        <v>24</v>
      </c>
      <c r="AS6" s="3" t="s">
        <v>753</v>
      </c>
      <c r="AT6" s="49">
        <v>5965</v>
      </c>
      <c r="AU6" s="3" t="str">
        <f>IF(AR6=B6,"match","not")</f>
        <v>match</v>
      </c>
      <c r="AV6" s="3" t="str">
        <f>IF(AS6=C6,"match","not")</f>
        <v>match</v>
      </c>
    </row>
    <row r="7" spans="1:48" ht="12">
      <c r="A7" s="9" t="s">
        <v>23</v>
      </c>
      <c r="B7" s="10" t="s">
        <v>26</v>
      </c>
      <c r="C7" s="56" t="s">
        <v>27</v>
      </c>
      <c r="D7" s="56"/>
      <c r="E7" s="11">
        <v>51</v>
      </c>
      <c r="F7" s="11"/>
      <c r="G7" s="11"/>
      <c r="H7" s="11"/>
      <c r="I7" s="11"/>
      <c r="J7" s="11"/>
      <c r="K7" s="11">
        <f t="shared" ref="K7:K70" si="0">SUM(E7:J7)</f>
        <v>51</v>
      </c>
      <c r="L7" s="11">
        <f t="shared" ref="L7:L70" si="1">+K7*0.72</f>
        <v>36.72</v>
      </c>
      <c r="M7" s="11"/>
      <c r="N7" s="11">
        <v>2</v>
      </c>
      <c r="O7" s="11">
        <v>5</v>
      </c>
      <c r="P7" s="11"/>
      <c r="Q7" s="11">
        <v>7</v>
      </c>
      <c r="R7" s="11">
        <f t="shared" ref="R7:R70" si="2">SUM(M7:Q7)</f>
        <v>14</v>
      </c>
      <c r="S7" s="11">
        <f t="shared" ref="S7:S70" si="3">((+N7+P7)*0.61)+((+M7+O7+Q7)*1.21)</f>
        <v>15.74</v>
      </c>
      <c r="T7" s="11"/>
      <c r="U7" s="11">
        <v>1</v>
      </c>
      <c r="V7" s="11">
        <v>1</v>
      </c>
      <c r="W7" s="11"/>
      <c r="X7" s="11">
        <v>10</v>
      </c>
      <c r="Y7" s="11">
        <f t="shared" ref="Y7:Y70" si="4">SUM(T7:X7)</f>
        <v>12</v>
      </c>
      <c r="Z7" s="11">
        <f t="shared" ref="Z7:Z70" si="5">((+U7+W7)*1.37)+((+T7+V7+X7)*2.74)</f>
        <v>31.51</v>
      </c>
      <c r="AA7" s="11">
        <f t="shared" ref="AA7:AB70" si="6">+K7+R7+Y7</f>
        <v>77</v>
      </c>
      <c r="AB7" s="11">
        <f t="shared" si="6"/>
        <v>83.97</v>
      </c>
      <c r="AC7" s="42">
        <f t="shared" ref="AC7:AC29" si="7">+AT7</f>
        <v>5883</v>
      </c>
      <c r="AD7" s="83">
        <f t="shared" ref="AD7:AD29" si="8">+AC7*AA7</f>
        <v>452991</v>
      </c>
      <c r="AE7" s="83">
        <f t="shared" ref="AE7:AE29" si="9">+AC7*AB7</f>
        <v>493995.51</v>
      </c>
      <c r="AF7" s="83">
        <f t="shared" ref="AF7:AF29" si="10">+AE7+AD7</f>
        <v>946986.51</v>
      </c>
      <c r="AG7" s="11"/>
      <c r="AH7" s="11"/>
      <c r="AI7" s="78"/>
      <c r="AJ7" s="78"/>
      <c r="AK7" s="78"/>
      <c r="AL7" s="78"/>
      <c r="AM7" s="78"/>
      <c r="AN7" s="78"/>
      <c r="AO7" s="78"/>
      <c r="AP7" s="78"/>
      <c r="AQ7" s="3" t="s">
        <v>23</v>
      </c>
      <c r="AR7" s="3" t="s">
        <v>26</v>
      </c>
      <c r="AS7" s="3" t="s">
        <v>754</v>
      </c>
      <c r="AT7" s="49">
        <v>5883</v>
      </c>
      <c r="AU7" s="3" t="str">
        <f t="shared" ref="AU7:AU70" si="11">IF(AR7=B7,"match","not")</f>
        <v>match</v>
      </c>
      <c r="AV7" s="3" t="str">
        <f t="shared" ref="AV7:AV70" si="12">IF(AS7=C7,"match","not")</f>
        <v>match</v>
      </c>
    </row>
    <row r="8" spans="1:48" ht="12">
      <c r="A8" s="9" t="s">
        <v>23</v>
      </c>
      <c r="B8" s="12" t="s">
        <v>28</v>
      </c>
      <c r="C8" s="13" t="s">
        <v>29</v>
      </c>
      <c r="D8" s="8"/>
      <c r="E8" s="39">
        <v>88</v>
      </c>
      <c r="F8" s="39"/>
      <c r="G8" s="39"/>
      <c r="H8" s="39"/>
      <c r="I8" s="39"/>
      <c r="J8" s="39"/>
      <c r="K8" s="39">
        <f t="shared" si="0"/>
        <v>88</v>
      </c>
      <c r="L8" s="39">
        <f t="shared" si="1"/>
        <v>63.36</v>
      </c>
      <c r="M8" s="39"/>
      <c r="N8" s="39">
        <v>1</v>
      </c>
      <c r="O8" s="39">
        <v>11</v>
      </c>
      <c r="P8" s="39"/>
      <c r="Q8" s="39">
        <v>30</v>
      </c>
      <c r="R8" s="39">
        <f t="shared" si="2"/>
        <v>42</v>
      </c>
      <c r="S8" s="39">
        <f t="shared" si="3"/>
        <v>50.22</v>
      </c>
      <c r="T8" s="39"/>
      <c r="U8" s="39"/>
      <c r="V8" s="39"/>
      <c r="W8" s="39"/>
      <c r="X8" s="39">
        <v>15</v>
      </c>
      <c r="Y8" s="39">
        <f t="shared" si="4"/>
        <v>15</v>
      </c>
      <c r="Z8" s="39">
        <f t="shared" si="5"/>
        <v>41.1</v>
      </c>
      <c r="AA8" s="39">
        <f t="shared" si="6"/>
        <v>145</v>
      </c>
      <c r="AB8" s="39">
        <f t="shared" si="6"/>
        <v>154.68</v>
      </c>
      <c r="AC8" s="41">
        <f t="shared" si="7"/>
        <v>5897</v>
      </c>
      <c r="AD8" s="82">
        <f t="shared" si="8"/>
        <v>855065</v>
      </c>
      <c r="AE8" s="82">
        <f t="shared" si="9"/>
        <v>912147.96000000008</v>
      </c>
      <c r="AF8" s="82">
        <f t="shared" si="10"/>
        <v>1767212.96</v>
      </c>
      <c r="AG8" s="39"/>
      <c r="AH8" s="39"/>
      <c r="AI8" s="79"/>
      <c r="AJ8" s="79"/>
      <c r="AK8" s="79"/>
      <c r="AL8" s="79"/>
      <c r="AM8" s="79"/>
      <c r="AN8" s="79"/>
      <c r="AO8" s="79"/>
      <c r="AP8" s="79"/>
      <c r="AQ8" s="3" t="s">
        <v>23</v>
      </c>
      <c r="AR8" s="3" t="s">
        <v>28</v>
      </c>
      <c r="AS8" s="3" t="s">
        <v>755</v>
      </c>
      <c r="AT8" s="49">
        <v>5897</v>
      </c>
      <c r="AU8" s="3" t="str">
        <f t="shared" si="11"/>
        <v>match</v>
      </c>
      <c r="AV8" s="3" t="str">
        <f t="shared" si="12"/>
        <v>match</v>
      </c>
    </row>
    <row r="9" spans="1:48" ht="12">
      <c r="A9" s="9" t="s">
        <v>23</v>
      </c>
      <c r="B9" s="10" t="s">
        <v>30</v>
      </c>
      <c r="C9" s="56" t="s">
        <v>31</v>
      </c>
      <c r="D9" s="56"/>
      <c r="E9" s="11">
        <v>893</v>
      </c>
      <c r="F9" s="11">
        <v>2</v>
      </c>
      <c r="G9" s="11"/>
      <c r="H9" s="11"/>
      <c r="I9" s="11"/>
      <c r="J9" s="11"/>
      <c r="K9" s="11">
        <f t="shared" si="0"/>
        <v>895</v>
      </c>
      <c r="L9" s="11">
        <f t="shared" si="1"/>
        <v>644.4</v>
      </c>
      <c r="M9" s="11">
        <v>1</v>
      </c>
      <c r="N9" s="11">
        <v>1</v>
      </c>
      <c r="O9" s="11">
        <v>22</v>
      </c>
      <c r="P9" s="11"/>
      <c r="Q9" s="11">
        <v>457</v>
      </c>
      <c r="R9" s="11">
        <f t="shared" si="2"/>
        <v>481</v>
      </c>
      <c r="S9" s="11">
        <f t="shared" si="3"/>
        <v>581.41</v>
      </c>
      <c r="T9" s="11">
        <v>1</v>
      </c>
      <c r="U9" s="11"/>
      <c r="V9" s="11">
        <v>38</v>
      </c>
      <c r="W9" s="11"/>
      <c r="X9" s="11">
        <v>270</v>
      </c>
      <c r="Y9" s="11">
        <f t="shared" si="4"/>
        <v>309</v>
      </c>
      <c r="Z9" s="11">
        <f t="shared" si="5"/>
        <v>846.66000000000008</v>
      </c>
      <c r="AA9" s="11">
        <f t="shared" si="6"/>
        <v>1685</v>
      </c>
      <c r="AB9" s="11">
        <f t="shared" si="6"/>
        <v>2072.4700000000003</v>
      </c>
      <c r="AC9" s="42">
        <f t="shared" si="7"/>
        <v>5890</v>
      </c>
      <c r="AD9" s="83">
        <f t="shared" si="8"/>
        <v>9924650</v>
      </c>
      <c r="AE9" s="83">
        <f t="shared" si="9"/>
        <v>12206848.300000001</v>
      </c>
      <c r="AF9" s="83">
        <f t="shared" si="10"/>
        <v>22131498.300000001</v>
      </c>
      <c r="AG9" s="11"/>
      <c r="AH9" s="11"/>
      <c r="AI9" s="78"/>
      <c r="AJ9" s="78"/>
      <c r="AK9" s="78"/>
      <c r="AL9" s="78"/>
      <c r="AM9" s="78"/>
      <c r="AN9" s="78"/>
      <c r="AO9" s="78"/>
      <c r="AP9" s="78"/>
      <c r="AQ9" s="3" t="s">
        <v>23</v>
      </c>
      <c r="AR9" s="3" t="s">
        <v>30</v>
      </c>
      <c r="AS9" s="3" t="s">
        <v>756</v>
      </c>
      <c r="AT9" s="49">
        <v>5890</v>
      </c>
      <c r="AU9" s="3" t="str">
        <f t="shared" si="11"/>
        <v>match</v>
      </c>
      <c r="AV9" s="3" t="str">
        <f t="shared" si="12"/>
        <v>match</v>
      </c>
    </row>
    <row r="10" spans="1:48" ht="12">
      <c r="A10" s="9" t="s">
        <v>23</v>
      </c>
      <c r="B10" s="12" t="s">
        <v>32</v>
      </c>
      <c r="C10" s="13" t="s">
        <v>33</v>
      </c>
      <c r="D10" s="8"/>
      <c r="E10" s="39">
        <v>30</v>
      </c>
      <c r="F10" s="39"/>
      <c r="G10" s="39"/>
      <c r="H10" s="39"/>
      <c r="I10" s="39"/>
      <c r="J10" s="39"/>
      <c r="K10" s="39">
        <f t="shared" si="0"/>
        <v>30</v>
      </c>
      <c r="L10" s="39">
        <f t="shared" si="1"/>
        <v>21.599999999999998</v>
      </c>
      <c r="M10" s="39"/>
      <c r="N10" s="39">
        <v>1</v>
      </c>
      <c r="O10" s="39"/>
      <c r="P10" s="39"/>
      <c r="Q10" s="39">
        <v>3</v>
      </c>
      <c r="R10" s="39">
        <f t="shared" si="2"/>
        <v>4</v>
      </c>
      <c r="S10" s="39">
        <f t="shared" si="3"/>
        <v>4.24</v>
      </c>
      <c r="T10" s="39"/>
      <c r="U10" s="39"/>
      <c r="V10" s="39"/>
      <c r="W10" s="39"/>
      <c r="X10" s="39">
        <v>5</v>
      </c>
      <c r="Y10" s="39">
        <f t="shared" si="4"/>
        <v>5</v>
      </c>
      <c r="Z10" s="39">
        <f t="shared" si="5"/>
        <v>13.700000000000001</v>
      </c>
      <c r="AA10" s="39">
        <f t="shared" si="6"/>
        <v>39</v>
      </c>
      <c r="AB10" s="39">
        <f t="shared" si="6"/>
        <v>39.54</v>
      </c>
      <c r="AC10" s="41">
        <f t="shared" si="7"/>
        <v>5883</v>
      </c>
      <c r="AD10" s="82">
        <f t="shared" si="8"/>
        <v>229437</v>
      </c>
      <c r="AE10" s="82">
        <f t="shared" si="9"/>
        <v>232613.82</v>
      </c>
      <c r="AF10" s="82">
        <f t="shared" si="10"/>
        <v>462050.82</v>
      </c>
      <c r="AG10" s="39"/>
      <c r="AH10" s="39"/>
      <c r="AI10" s="79"/>
      <c r="AJ10" s="79"/>
      <c r="AK10" s="79"/>
      <c r="AL10" s="79"/>
      <c r="AM10" s="79"/>
      <c r="AN10" s="79"/>
      <c r="AO10" s="79"/>
      <c r="AP10" s="79"/>
      <c r="AQ10" s="3" t="s">
        <v>23</v>
      </c>
      <c r="AR10" s="3" t="s">
        <v>32</v>
      </c>
      <c r="AS10" s="3" t="s">
        <v>757</v>
      </c>
      <c r="AT10" s="49">
        <v>5883</v>
      </c>
      <c r="AU10" s="3" t="str">
        <f t="shared" si="11"/>
        <v>match</v>
      </c>
      <c r="AV10" s="3" t="str">
        <f t="shared" si="12"/>
        <v>match</v>
      </c>
    </row>
    <row r="11" spans="1:48" ht="12">
      <c r="A11" s="9" t="s">
        <v>23</v>
      </c>
      <c r="B11" s="10" t="s">
        <v>34</v>
      </c>
      <c r="C11" s="56" t="s">
        <v>35</v>
      </c>
      <c r="D11" s="56"/>
      <c r="E11" s="11">
        <v>23</v>
      </c>
      <c r="F11" s="11"/>
      <c r="G11" s="11"/>
      <c r="H11" s="11"/>
      <c r="I11" s="11"/>
      <c r="J11" s="11"/>
      <c r="K11" s="11">
        <f t="shared" si="0"/>
        <v>23</v>
      </c>
      <c r="L11" s="11">
        <f t="shared" si="1"/>
        <v>16.559999999999999</v>
      </c>
      <c r="M11" s="11"/>
      <c r="N11" s="11"/>
      <c r="O11" s="11">
        <v>2</v>
      </c>
      <c r="P11" s="11"/>
      <c r="Q11" s="11">
        <v>10</v>
      </c>
      <c r="R11" s="11">
        <f t="shared" si="2"/>
        <v>12</v>
      </c>
      <c r="S11" s="11">
        <f t="shared" si="3"/>
        <v>14.52</v>
      </c>
      <c r="T11" s="11"/>
      <c r="U11" s="11"/>
      <c r="V11" s="11">
        <v>1</v>
      </c>
      <c r="W11" s="11"/>
      <c r="X11" s="11">
        <v>5</v>
      </c>
      <c r="Y11" s="11">
        <f t="shared" si="4"/>
        <v>6</v>
      </c>
      <c r="Z11" s="11">
        <f t="shared" si="5"/>
        <v>16.440000000000001</v>
      </c>
      <c r="AA11" s="11">
        <f t="shared" si="6"/>
        <v>41</v>
      </c>
      <c r="AB11" s="11">
        <f t="shared" si="6"/>
        <v>47.519999999999996</v>
      </c>
      <c r="AC11" s="42">
        <f t="shared" si="7"/>
        <v>5883</v>
      </c>
      <c r="AD11" s="83">
        <f t="shared" si="8"/>
        <v>241203</v>
      </c>
      <c r="AE11" s="83">
        <f t="shared" si="9"/>
        <v>279560.15999999997</v>
      </c>
      <c r="AF11" s="83">
        <f t="shared" si="10"/>
        <v>520763.16</v>
      </c>
      <c r="AG11" s="11"/>
      <c r="AH11" s="11"/>
      <c r="AI11" s="78"/>
      <c r="AJ11" s="78"/>
      <c r="AK11" s="78"/>
      <c r="AL11" s="78"/>
      <c r="AM11" s="78"/>
      <c r="AN11" s="78"/>
      <c r="AO11" s="78"/>
      <c r="AP11" s="78"/>
      <c r="AQ11" s="3" t="s">
        <v>23</v>
      </c>
      <c r="AR11" s="3" t="s">
        <v>34</v>
      </c>
      <c r="AS11" s="3" t="s">
        <v>758</v>
      </c>
      <c r="AT11" s="49">
        <v>5883</v>
      </c>
      <c r="AU11" s="3" t="str">
        <f t="shared" si="11"/>
        <v>match</v>
      </c>
      <c r="AV11" s="3" t="str">
        <f t="shared" si="12"/>
        <v>match</v>
      </c>
    </row>
    <row r="12" spans="1:48" ht="12">
      <c r="A12" s="9" t="s">
        <v>23</v>
      </c>
      <c r="B12" s="12" t="s">
        <v>36</v>
      </c>
      <c r="C12" s="13" t="s">
        <v>37</v>
      </c>
      <c r="D12" s="8"/>
      <c r="E12" s="39">
        <v>36</v>
      </c>
      <c r="F12" s="39"/>
      <c r="G12" s="39"/>
      <c r="H12" s="39"/>
      <c r="I12" s="39"/>
      <c r="J12" s="39"/>
      <c r="K12" s="39">
        <f t="shared" si="0"/>
        <v>36</v>
      </c>
      <c r="L12" s="39">
        <f t="shared" si="1"/>
        <v>25.919999999999998</v>
      </c>
      <c r="M12" s="39"/>
      <c r="N12" s="39">
        <v>2</v>
      </c>
      <c r="O12" s="39">
        <v>1</v>
      </c>
      <c r="P12" s="39"/>
      <c r="Q12" s="39">
        <v>4</v>
      </c>
      <c r="R12" s="39">
        <f t="shared" si="2"/>
        <v>7</v>
      </c>
      <c r="S12" s="39">
        <f t="shared" si="3"/>
        <v>7.27</v>
      </c>
      <c r="T12" s="39"/>
      <c r="U12" s="39"/>
      <c r="V12" s="39"/>
      <c r="W12" s="39"/>
      <c r="X12" s="39">
        <v>2</v>
      </c>
      <c r="Y12" s="39">
        <f t="shared" si="4"/>
        <v>2</v>
      </c>
      <c r="Z12" s="39">
        <f t="shared" si="5"/>
        <v>5.48</v>
      </c>
      <c r="AA12" s="39">
        <f t="shared" si="6"/>
        <v>45</v>
      </c>
      <c r="AB12" s="39">
        <f t="shared" si="6"/>
        <v>38.67</v>
      </c>
      <c r="AC12" s="41">
        <f t="shared" si="7"/>
        <v>5883</v>
      </c>
      <c r="AD12" s="82">
        <f t="shared" si="8"/>
        <v>264735</v>
      </c>
      <c r="AE12" s="82">
        <f t="shared" si="9"/>
        <v>227495.61000000002</v>
      </c>
      <c r="AF12" s="82">
        <f t="shared" si="10"/>
        <v>492230.61</v>
      </c>
      <c r="AG12" s="39"/>
      <c r="AH12" s="39"/>
      <c r="AI12" s="79"/>
      <c r="AJ12" s="79"/>
      <c r="AK12" s="79"/>
      <c r="AL12" s="79"/>
      <c r="AM12" s="79"/>
      <c r="AN12" s="79"/>
      <c r="AO12" s="79"/>
      <c r="AP12" s="79"/>
      <c r="AQ12" s="3" t="s">
        <v>23</v>
      </c>
      <c r="AR12" s="3" t="s">
        <v>36</v>
      </c>
      <c r="AS12" s="3" t="s">
        <v>759</v>
      </c>
      <c r="AT12" s="49">
        <v>5883</v>
      </c>
      <c r="AU12" s="3" t="str">
        <f t="shared" si="11"/>
        <v>match</v>
      </c>
      <c r="AV12" s="3" t="str">
        <f t="shared" si="12"/>
        <v>match</v>
      </c>
    </row>
    <row r="13" spans="1:48" ht="12">
      <c r="A13" s="9" t="s">
        <v>23</v>
      </c>
      <c r="B13" s="10" t="s">
        <v>38</v>
      </c>
      <c r="C13" s="56" t="s">
        <v>39</v>
      </c>
      <c r="D13" s="56"/>
      <c r="E13" s="11">
        <v>68</v>
      </c>
      <c r="F13" s="11"/>
      <c r="G13" s="11"/>
      <c r="H13" s="11"/>
      <c r="I13" s="11"/>
      <c r="J13" s="11"/>
      <c r="K13" s="11">
        <f t="shared" si="0"/>
        <v>68</v>
      </c>
      <c r="L13" s="11">
        <f t="shared" si="1"/>
        <v>48.96</v>
      </c>
      <c r="M13" s="11"/>
      <c r="N13" s="11"/>
      <c r="O13" s="11">
        <v>3</v>
      </c>
      <c r="P13" s="11"/>
      <c r="Q13" s="11">
        <v>22</v>
      </c>
      <c r="R13" s="11">
        <f t="shared" si="2"/>
        <v>25</v>
      </c>
      <c r="S13" s="11">
        <f t="shared" si="3"/>
        <v>30.25</v>
      </c>
      <c r="T13" s="11"/>
      <c r="U13" s="11">
        <v>2</v>
      </c>
      <c r="V13" s="11">
        <v>4</v>
      </c>
      <c r="W13" s="11"/>
      <c r="X13" s="11">
        <v>5</v>
      </c>
      <c r="Y13" s="11">
        <f t="shared" si="4"/>
        <v>11</v>
      </c>
      <c r="Z13" s="11">
        <f t="shared" si="5"/>
        <v>27.400000000000006</v>
      </c>
      <c r="AA13" s="11">
        <f t="shared" si="6"/>
        <v>104</v>
      </c>
      <c r="AB13" s="11">
        <f t="shared" si="6"/>
        <v>106.61000000000001</v>
      </c>
      <c r="AC13" s="42">
        <f t="shared" si="7"/>
        <v>5975</v>
      </c>
      <c r="AD13" s="83">
        <f t="shared" si="8"/>
        <v>621400</v>
      </c>
      <c r="AE13" s="83">
        <f t="shared" si="9"/>
        <v>636994.75000000012</v>
      </c>
      <c r="AF13" s="83">
        <f t="shared" si="10"/>
        <v>1258394.75</v>
      </c>
      <c r="AG13" s="11"/>
      <c r="AH13" s="11"/>
      <c r="AI13" s="78"/>
      <c r="AJ13" s="78"/>
      <c r="AK13" s="78"/>
      <c r="AL13" s="78"/>
      <c r="AM13" s="78"/>
      <c r="AN13" s="78"/>
      <c r="AO13" s="78"/>
      <c r="AP13" s="78"/>
      <c r="AQ13" s="3" t="s">
        <v>23</v>
      </c>
      <c r="AR13" s="3" t="s">
        <v>38</v>
      </c>
      <c r="AS13" s="3" t="s">
        <v>760</v>
      </c>
      <c r="AT13" s="49">
        <v>5975</v>
      </c>
      <c r="AU13" s="3" t="str">
        <f t="shared" si="11"/>
        <v>match</v>
      </c>
      <c r="AV13" s="3" t="str">
        <f t="shared" si="12"/>
        <v>match</v>
      </c>
    </row>
    <row r="14" spans="1:48" ht="12">
      <c r="A14" s="9" t="s">
        <v>23</v>
      </c>
      <c r="B14" s="12" t="s">
        <v>40</v>
      </c>
      <c r="C14" s="13" t="s">
        <v>41</v>
      </c>
      <c r="D14" s="8"/>
      <c r="E14" s="39">
        <v>163</v>
      </c>
      <c r="F14" s="39"/>
      <c r="G14" s="39"/>
      <c r="H14" s="39"/>
      <c r="I14" s="39"/>
      <c r="J14" s="39"/>
      <c r="K14" s="39">
        <f t="shared" si="0"/>
        <v>163</v>
      </c>
      <c r="L14" s="39">
        <f t="shared" si="1"/>
        <v>117.36</v>
      </c>
      <c r="M14" s="39"/>
      <c r="N14" s="39"/>
      <c r="O14" s="39">
        <v>9</v>
      </c>
      <c r="P14" s="39"/>
      <c r="Q14" s="39">
        <v>30</v>
      </c>
      <c r="R14" s="39">
        <f t="shared" si="2"/>
        <v>39</v>
      </c>
      <c r="S14" s="39">
        <f t="shared" si="3"/>
        <v>47.19</v>
      </c>
      <c r="T14" s="39"/>
      <c r="U14" s="39">
        <v>1</v>
      </c>
      <c r="V14" s="39">
        <v>2</v>
      </c>
      <c r="W14" s="39"/>
      <c r="X14" s="39">
        <v>10</v>
      </c>
      <c r="Y14" s="39">
        <f t="shared" si="4"/>
        <v>13</v>
      </c>
      <c r="Z14" s="39">
        <f t="shared" si="5"/>
        <v>34.25</v>
      </c>
      <c r="AA14" s="39">
        <f t="shared" si="6"/>
        <v>215</v>
      </c>
      <c r="AB14" s="39">
        <f t="shared" si="6"/>
        <v>198.8</v>
      </c>
      <c r="AC14" s="41">
        <f t="shared" si="7"/>
        <v>6006</v>
      </c>
      <c r="AD14" s="82">
        <f t="shared" si="8"/>
        <v>1291290</v>
      </c>
      <c r="AE14" s="82">
        <f t="shared" si="9"/>
        <v>1193992.8</v>
      </c>
      <c r="AF14" s="82">
        <f t="shared" si="10"/>
        <v>2485282.7999999998</v>
      </c>
      <c r="AG14" s="39"/>
      <c r="AH14" s="39"/>
      <c r="AI14" s="79"/>
      <c r="AJ14" s="79"/>
      <c r="AK14" s="79"/>
      <c r="AL14" s="79"/>
      <c r="AM14" s="79"/>
      <c r="AN14" s="79"/>
      <c r="AO14" s="79"/>
      <c r="AP14" s="79"/>
      <c r="AQ14" s="3" t="s">
        <v>23</v>
      </c>
      <c r="AR14" s="3" t="s">
        <v>40</v>
      </c>
      <c r="AS14" s="3" t="s">
        <v>761</v>
      </c>
      <c r="AT14" s="49">
        <v>6006</v>
      </c>
      <c r="AU14" s="3" t="str">
        <f t="shared" si="11"/>
        <v>match</v>
      </c>
      <c r="AV14" s="3" t="str">
        <f t="shared" si="12"/>
        <v>match</v>
      </c>
    </row>
    <row r="15" spans="1:48" ht="12">
      <c r="A15" s="9" t="s">
        <v>23</v>
      </c>
      <c r="B15" s="10" t="s">
        <v>42</v>
      </c>
      <c r="C15" s="56" t="s">
        <v>43</v>
      </c>
      <c r="D15" s="56"/>
      <c r="E15" s="11">
        <v>37</v>
      </c>
      <c r="F15" s="11"/>
      <c r="G15" s="11"/>
      <c r="H15" s="11"/>
      <c r="I15" s="11"/>
      <c r="J15" s="11"/>
      <c r="K15" s="11">
        <f t="shared" si="0"/>
        <v>37</v>
      </c>
      <c r="L15" s="11">
        <f t="shared" si="1"/>
        <v>26.64</v>
      </c>
      <c r="M15" s="11"/>
      <c r="N15" s="11"/>
      <c r="O15" s="11">
        <v>4</v>
      </c>
      <c r="P15" s="11"/>
      <c r="Q15" s="11">
        <v>24</v>
      </c>
      <c r="R15" s="11">
        <f t="shared" si="2"/>
        <v>28</v>
      </c>
      <c r="S15" s="11">
        <f t="shared" si="3"/>
        <v>33.879999999999995</v>
      </c>
      <c r="T15" s="11"/>
      <c r="U15" s="11"/>
      <c r="V15" s="11">
        <v>1</v>
      </c>
      <c r="W15" s="11"/>
      <c r="X15" s="11">
        <v>5</v>
      </c>
      <c r="Y15" s="11">
        <f t="shared" si="4"/>
        <v>6</v>
      </c>
      <c r="Z15" s="11">
        <f t="shared" si="5"/>
        <v>16.440000000000001</v>
      </c>
      <c r="AA15" s="11">
        <f t="shared" si="6"/>
        <v>71</v>
      </c>
      <c r="AB15" s="11">
        <f t="shared" si="6"/>
        <v>76.959999999999994</v>
      </c>
      <c r="AC15" s="42">
        <f t="shared" si="7"/>
        <v>5915</v>
      </c>
      <c r="AD15" s="83">
        <f t="shared" si="8"/>
        <v>419965</v>
      </c>
      <c r="AE15" s="83">
        <f t="shared" si="9"/>
        <v>455218.39999999997</v>
      </c>
      <c r="AF15" s="83">
        <f t="shared" si="10"/>
        <v>875183.39999999991</v>
      </c>
      <c r="AG15" s="11"/>
      <c r="AH15" s="11"/>
      <c r="AI15" s="78"/>
      <c r="AJ15" s="78"/>
      <c r="AK15" s="78"/>
      <c r="AL15" s="78"/>
      <c r="AM15" s="78"/>
      <c r="AN15" s="78"/>
      <c r="AO15" s="78"/>
      <c r="AP15" s="78"/>
      <c r="AQ15" s="3" t="s">
        <v>23</v>
      </c>
      <c r="AR15" s="3" t="s">
        <v>42</v>
      </c>
      <c r="AS15" s="3" t="s">
        <v>762</v>
      </c>
      <c r="AT15" s="49">
        <v>5915</v>
      </c>
      <c r="AU15" s="3" t="str">
        <f t="shared" si="11"/>
        <v>match</v>
      </c>
      <c r="AV15" s="3" t="str">
        <f t="shared" si="12"/>
        <v>match</v>
      </c>
    </row>
    <row r="16" spans="1:48" ht="12">
      <c r="A16" s="9" t="s">
        <v>23</v>
      </c>
      <c r="B16" s="12" t="s">
        <v>44</v>
      </c>
      <c r="C16" s="13" t="s">
        <v>45</v>
      </c>
      <c r="D16" s="8"/>
      <c r="E16" s="39">
        <v>85</v>
      </c>
      <c r="F16" s="39"/>
      <c r="G16" s="39"/>
      <c r="H16" s="39"/>
      <c r="I16" s="39"/>
      <c r="J16" s="39"/>
      <c r="K16" s="39">
        <f t="shared" si="0"/>
        <v>85</v>
      </c>
      <c r="L16" s="39">
        <f t="shared" si="1"/>
        <v>61.199999999999996</v>
      </c>
      <c r="M16" s="39"/>
      <c r="N16" s="39"/>
      <c r="O16" s="39">
        <v>5</v>
      </c>
      <c r="P16" s="39"/>
      <c r="Q16" s="39">
        <v>5</v>
      </c>
      <c r="R16" s="39">
        <f t="shared" si="2"/>
        <v>10</v>
      </c>
      <c r="S16" s="39">
        <f t="shared" si="3"/>
        <v>12.1</v>
      </c>
      <c r="T16" s="39"/>
      <c r="U16" s="39">
        <v>2</v>
      </c>
      <c r="V16" s="39"/>
      <c r="W16" s="39"/>
      <c r="X16" s="39">
        <v>6</v>
      </c>
      <c r="Y16" s="39">
        <f t="shared" si="4"/>
        <v>8</v>
      </c>
      <c r="Z16" s="39">
        <f t="shared" si="5"/>
        <v>19.18</v>
      </c>
      <c r="AA16" s="39">
        <f t="shared" si="6"/>
        <v>103</v>
      </c>
      <c r="AB16" s="39">
        <f t="shared" si="6"/>
        <v>92.47999999999999</v>
      </c>
      <c r="AC16" s="41">
        <f t="shared" si="7"/>
        <v>5920</v>
      </c>
      <c r="AD16" s="82">
        <f t="shared" si="8"/>
        <v>609760</v>
      </c>
      <c r="AE16" s="82">
        <f t="shared" si="9"/>
        <v>547481.59999999998</v>
      </c>
      <c r="AF16" s="82">
        <f t="shared" si="10"/>
        <v>1157241.6000000001</v>
      </c>
      <c r="AG16" s="39"/>
      <c r="AH16" s="39"/>
      <c r="AI16" s="79"/>
      <c r="AJ16" s="79"/>
      <c r="AK16" s="79"/>
      <c r="AL16" s="79"/>
      <c r="AM16" s="79"/>
      <c r="AN16" s="79"/>
      <c r="AO16" s="79"/>
      <c r="AP16" s="79"/>
      <c r="AQ16" s="3" t="s">
        <v>23</v>
      </c>
      <c r="AR16" s="3" t="s">
        <v>44</v>
      </c>
      <c r="AS16" s="3" t="s">
        <v>45</v>
      </c>
      <c r="AT16" s="49">
        <v>5920</v>
      </c>
      <c r="AU16" s="3" t="str">
        <f t="shared" si="11"/>
        <v>match</v>
      </c>
      <c r="AV16" s="3" t="str">
        <f t="shared" si="12"/>
        <v>match</v>
      </c>
    </row>
    <row r="17" spans="1:48" ht="12">
      <c r="A17" s="9" t="s">
        <v>23</v>
      </c>
      <c r="B17" s="10" t="s">
        <v>46</v>
      </c>
      <c r="C17" s="56" t="s">
        <v>47</v>
      </c>
      <c r="D17" s="56"/>
      <c r="E17" s="11">
        <v>85</v>
      </c>
      <c r="F17" s="11">
        <v>1</v>
      </c>
      <c r="G17" s="11"/>
      <c r="H17" s="11"/>
      <c r="I17" s="11"/>
      <c r="J17" s="11"/>
      <c r="K17" s="11">
        <f t="shared" si="0"/>
        <v>86</v>
      </c>
      <c r="L17" s="11">
        <f t="shared" si="1"/>
        <v>61.919999999999995</v>
      </c>
      <c r="M17" s="11"/>
      <c r="N17" s="11">
        <v>2</v>
      </c>
      <c r="O17" s="11">
        <v>6</v>
      </c>
      <c r="P17" s="11"/>
      <c r="Q17" s="11">
        <v>23</v>
      </c>
      <c r="R17" s="11">
        <f t="shared" si="2"/>
        <v>31</v>
      </c>
      <c r="S17" s="11">
        <f t="shared" si="3"/>
        <v>36.309999999999995</v>
      </c>
      <c r="T17" s="11"/>
      <c r="U17" s="11"/>
      <c r="V17" s="11">
        <v>2</v>
      </c>
      <c r="W17" s="11"/>
      <c r="X17" s="11">
        <v>8</v>
      </c>
      <c r="Y17" s="11">
        <f t="shared" si="4"/>
        <v>10</v>
      </c>
      <c r="Z17" s="11">
        <f t="shared" si="5"/>
        <v>27.400000000000002</v>
      </c>
      <c r="AA17" s="11">
        <f t="shared" si="6"/>
        <v>127</v>
      </c>
      <c r="AB17" s="11">
        <f t="shared" si="6"/>
        <v>125.63</v>
      </c>
      <c r="AC17" s="42">
        <f t="shared" si="7"/>
        <v>5883</v>
      </c>
      <c r="AD17" s="83">
        <f t="shared" si="8"/>
        <v>747141</v>
      </c>
      <c r="AE17" s="83">
        <f t="shared" si="9"/>
        <v>739081.28999999992</v>
      </c>
      <c r="AF17" s="83">
        <f t="shared" si="10"/>
        <v>1486222.29</v>
      </c>
      <c r="AG17" s="11"/>
      <c r="AH17" s="11"/>
      <c r="AI17" s="78"/>
      <c r="AJ17" s="78"/>
      <c r="AK17" s="78"/>
      <c r="AL17" s="78"/>
      <c r="AM17" s="78"/>
      <c r="AN17" s="78"/>
      <c r="AO17" s="78"/>
      <c r="AP17" s="78"/>
      <c r="AQ17" s="3" t="s">
        <v>23</v>
      </c>
      <c r="AR17" s="3" t="s">
        <v>46</v>
      </c>
      <c r="AS17" s="3" t="s">
        <v>763</v>
      </c>
      <c r="AT17" s="49">
        <v>5883</v>
      </c>
      <c r="AU17" s="3" t="str">
        <f t="shared" si="11"/>
        <v>match</v>
      </c>
      <c r="AV17" s="3" t="str">
        <f t="shared" si="12"/>
        <v>match</v>
      </c>
    </row>
    <row r="18" spans="1:48" ht="12">
      <c r="A18" s="9" t="s">
        <v>23</v>
      </c>
      <c r="B18" s="12" t="s">
        <v>48</v>
      </c>
      <c r="C18" s="13" t="s">
        <v>49</v>
      </c>
      <c r="D18" s="8"/>
      <c r="E18" s="39">
        <v>74</v>
      </c>
      <c r="F18" s="39"/>
      <c r="G18" s="39"/>
      <c r="H18" s="39"/>
      <c r="I18" s="39"/>
      <c r="J18" s="39"/>
      <c r="K18" s="39">
        <f t="shared" si="0"/>
        <v>74</v>
      </c>
      <c r="L18" s="39">
        <f t="shared" si="1"/>
        <v>53.28</v>
      </c>
      <c r="M18" s="39"/>
      <c r="N18" s="39">
        <v>1</v>
      </c>
      <c r="O18" s="39">
        <v>5</v>
      </c>
      <c r="P18" s="39"/>
      <c r="Q18" s="39">
        <v>23</v>
      </c>
      <c r="R18" s="39">
        <f t="shared" si="2"/>
        <v>29</v>
      </c>
      <c r="S18" s="39">
        <f t="shared" si="3"/>
        <v>34.489999999999995</v>
      </c>
      <c r="T18" s="39"/>
      <c r="U18" s="39"/>
      <c r="V18" s="39"/>
      <c r="W18" s="39"/>
      <c r="X18" s="39">
        <v>8</v>
      </c>
      <c r="Y18" s="39">
        <f t="shared" si="4"/>
        <v>8</v>
      </c>
      <c r="Z18" s="39">
        <f t="shared" si="5"/>
        <v>21.92</v>
      </c>
      <c r="AA18" s="39">
        <f t="shared" si="6"/>
        <v>111</v>
      </c>
      <c r="AB18" s="39">
        <f t="shared" si="6"/>
        <v>109.69</v>
      </c>
      <c r="AC18" s="41">
        <f t="shared" si="7"/>
        <v>6005</v>
      </c>
      <c r="AD18" s="82">
        <f t="shared" si="8"/>
        <v>666555</v>
      </c>
      <c r="AE18" s="82">
        <f t="shared" si="9"/>
        <v>658688.44999999995</v>
      </c>
      <c r="AF18" s="82">
        <f t="shared" si="10"/>
        <v>1325243.45</v>
      </c>
      <c r="AG18" s="39"/>
      <c r="AH18" s="39"/>
      <c r="AI18" s="79"/>
      <c r="AJ18" s="79"/>
      <c r="AK18" s="79"/>
      <c r="AL18" s="79"/>
      <c r="AM18" s="79"/>
      <c r="AN18" s="79"/>
      <c r="AO18" s="79"/>
      <c r="AP18" s="79"/>
      <c r="AQ18" s="3" t="s">
        <v>23</v>
      </c>
      <c r="AR18" s="3" t="s">
        <v>48</v>
      </c>
      <c r="AS18" s="3" t="s">
        <v>764</v>
      </c>
      <c r="AT18" s="49">
        <v>6005</v>
      </c>
      <c r="AU18" s="3" t="str">
        <f t="shared" si="11"/>
        <v>match</v>
      </c>
      <c r="AV18" s="3" t="str">
        <f t="shared" si="12"/>
        <v>match</v>
      </c>
    </row>
    <row r="19" spans="1:48" ht="12">
      <c r="A19" s="9" t="s">
        <v>23</v>
      </c>
      <c r="B19" s="10" t="s">
        <v>50</v>
      </c>
      <c r="C19" s="56" t="s">
        <v>51</v>
      </c>
      <c r="D19" s="56"/>
      <c r="E19" s="11">
        <v>21</v>
      </c>
      <c r="F19" s="11"/>
      <c r="G19" s="11"/>
      <c r="H19" s="11"/>
      <c r="I19" s="11"/>
      <c r="J19" s="11"/>
      <c r="K19" s="11">
        <f t="shared" si="0"/>
        <v>21</v>
      </c>
      <c r="L19" s="11">
        <f t="shared" si="1"/>
        <v>15.12</v>
      </c>
      <c r="M19" s="11"/>
      <c r="N19" s="11"/>
      <c r="O19" s="11">
        <v>3</v>
      </c>
      <c r="P19" s="11"/>
      <c r="Q19" s="11">
        <v>6</v>
      </c>
      <c r="R19" s="11">
        <f t="shared" si="2"/>
        <v>9</v>
      </c>
      <c r="S19" s="11">
        <f t="shared" si="3"/>
        <v>10.89</v>
      </c>
      <c r="T19" s="11"/>
      <c r="U19" s="11"/>
      <c r="V19" s="11">
        <v>2</v>
      </c>
      <c r="W19" s="11"/>
      <c r="X19" s="11">
        <v>5</v>
      </c>
      <c r="Y19" s="11">
        <f t="shared" si="4"/>
        <v>7</v>
      </c>
      <c r="Z19" s="11">
        <f t="shared" si="5"/>
        <v>19.18</v>
      </c>
      <c r="AA19" s="11">
        <f t="shared" si="6"/>
        <v>37</v>
      </c>
      <c r="AB19" s="11">
        <f t="shared" si="6"/>
        <v>45.19</v>
      </c>
      <c r="AC19" s="42">
        <f t="shared" si="7"/>
        <v>5990</v>
      </c>
      <c r="AD19" s="83">
        <f t="shared" si="8"/>
        <v>221630</v>
      </c>
      <c r="AE19" s="83">
        <f t="shared" si="9"/>
        <v>270688.09999999998</v>
      </c>
      <c r="AF19" s="83">
        <f t="shared" si="10"/>
        <v>492318.1</v>
      </c>
      <c r="AG19" s="11"/>
      <c r="AH19" s="11"/>
      <c r="AI19" s="78"/>
      <c r="AJ19" s="78"/>
      <c r="AK19" s="78"/>
      <c r="AL19" s="78"/>
      <c r="AM19" s="78"/>
      <c r="AN19" s="78"/>
      <c r="AO19" s="78"/>
      <c r="AP19" s="78"/>
      <c r="AQ19" s="3" t="s">
        <v>23</v>
      </c>
      <c r="AR19" s="3" t="s">
        <v>50</v>
      </c>
      <c r="AS19" s="3" t="s">
        <v>765</v>
      </c>
      <c r="AT19" s="49">
        <v>5990</v>
      </c>
      <c r="AU19" s="3" t="str">
        <f t="shared" si="11"/>
        <v>match</v>
      </c>
      <c r="AV19" s="3" t="str">
        <f t="shared" si="12"/>
        <v>match</v>
      </c>
    </row>
    <row r="20" spans="1:48" ht="12">
      <c r="A20" s="9" t="s">
        <v>23</v>
      </c>
      <c r="B20" s="12" t="s">
        <v>52</v>
      </c>
      <c r="C20" s="13" t="s">
        <v>53</v>
      </c>
      <c r="D20" s="8"/>
      <c r="E20" s="39">
        <v>186</v>
      </c>
      <c r="F20" s="39"/>
      <c r="G20" s="39"/>
      <c r="H20" s="39"/>
      <c r="I20" s="39"/>
      <c r="J20" s="39"/>
      <c r="K20" s="39">
        <f t="shared" si="0"/>
        <v>186</v>
      </c>
      <c r="L20" s="39">
        <f t="shared" si="1"/>
        <v>133.91999999999999</v>
      </c>
      <c r="M20" s="39"/>
      <c r="N20" s="39">
        <v>3</v>
      </c>
      <c r="O20" s="39">
        <v>15</v>
      </c>
      <c r="P20" s="39"/>
      <c r="Q20" s="39">
        <v>41</v>
      </c>
      <c r="R20" s="39">
        <f t="shared" si="2"/>
        <v>59</v>
      </c>
      <c r="S20" s="39">
        <f t="shared" si="3"/>
        <v>69.589999999999989</v>
      </c>
      <c r="T20" s="39"/>
      <c r="U20" s="39">
        <v>1</v>
      </c>
      <c r="V20" s="39">
        <v>4</v>
      </c>
      <c r="W20" s="39">
        <v>1</v>
      </c>
      <c r="X20" s="39">
        <v>23</v>
      </c>
      <c r="Y20" s="39">
        <f t="shared" si="4"/>
        <v>29</v>
      </c>
      <c r="Z20" s="39">
        <f t="shared" si="5"/>
        <v>76.72</v>
      </c>
      <c r="AA20" s="39">
        <f t="shared" si="6"/>
        <v>274</v>
      </c>
      <c r="AB20" s="39">
        <f t="shared" si="6"/>
        <v>280.23</v>
      </c>
      <c r="AC20" s="41">
        <f t="shared" si="7"/>
        <v>5924</v>
      </c>
      <c r="AD20" s="82">
        <f t="shared" si="8"/>
        <v>1623176</v>
      </c>
      <c r="AE20" s="82">
        <f t="shared" si="9"/>
        <v>1660082.52</v>
      </c>
      <c r="AF20" s="82">
        <f t="shared" si="10"/>
        <v>3283258.52</v>
      </c>
      <c r="AG20" s="39"/>
      <c r="AH20" s="39"/>
      <c r="AI20" s="79"/>
      <c r="AJ20" s="79"/>
      <c r="AK20" s="79"/>
      <c r="AL20" s="79"/>
      <c r="AM20" s="79"/>
      <c r="AN20" s="79"/>
      <c r="AO20" s="79"/>
      <c r="AP20" s="79"/>
      <c r="AQ20" s="3" t="s">
        <v>23</v>
      </c>
      <c r="AR20" s="3" t="s">
        <v>52</v>
      </c>
      <c r="AS20" s="3" t="s">
        <v>53</v>
      </c>
      <c r="AT20" s="49">
        <v>5924</v>
      </c>
      <c r="AU20" s="3" t="str">
        <f t="shared" si="11"/>
        <v>match</v>
      </c>
      <c r="AV20" s="3" t="str">
        <f t="shared" si="12"/>
        <v>match</v>
      </c>
    </row>
    <row r="21" spans="1:48" ht="12">
      <c r="A21" s="9" t="s">
        <v>23</v>
      </c>
      <c r="B21" s="10" t="s">
        <v>54</v>
      </c>
      <c r="C21" s="56" t="s">
        <v>55</v>
      </c>
      <c r="D21" s="56"/>
      <c r="E21" s="11">
        <v>64</v>
      </c>
      <c r="F21" s="11"/>
      <c r="G21" s="11"/>
      <c r="H21" s="11"/>
      <c r="I21" s="11"/>
      <c r="J21" s="11"/>
      <c r="K21" s="11">
        <f t="shared" si="0"/>
        <v>64</v>
      </c>
      <c r="L21" s="11">
        <f t="shared" si="1"/>
        <v>46.08</v>
      </c>
      <c r="M21" s="11"/>
      <c r="N21" s="11">
        <v>2</v>
      </c>
      <c r="O21" s="11">
        <v>6</v>
      </c>
      <c r="P21" s="11"/>
      <c r="Q21" s="11">
        <v>4</v>
      </c>
      <c r="R21" s="11">
        <f t="shared" si="2"/>
        <v>12</v>
      </c>
      <c r="S21" s="11">
        <f t="shared" si="3"/>
        <v>13.32</v>
      </c>
      <c r="T21" s="11"/>
      <c r="U21" s="11"/>
      <c r="V21" s="11"/>
      <c r="W21" s="11"/>
      <c r="X21" s="11">
        <v>6</v>
      </c>
      <c r="Y21" s="11">
        <f t="shared" si="4"/>
        <v>6</v>
      </c>
      <c r="Z21" s="11">
        <f t="shared" si="5"/>
        <v>16.440000000000001</v>
      </c>
      <c r="AA21" s="11">
        <f t="shared" si="6"/>
        <v>82</v>
      </c>
      <c r="AB21" s="11">
        <f t="shared" si="6"/>
        <v>75.84</v>
      </c>
      <c r="AC21" s="42">
        <f t="shared" si="7"/>
        <v>5896</v>
      </c>
      <c r="AD21" s="83">
        <f t="shared" si="8"/>
        <v>483472</v>
      </c>
      <c r="AE21" s="83">
        <f t="shared" si="9"/>
        <v>447152.64000000001</v>
      </c>
      <c r="AF21" s="83">
        <f t="shared" si="10"/>
        <v>930624.64</v>
      </c>
      <c r="AG21" s="11"/>
      <c r="AH21" s="11"/>
      <c r="AI21" s="78"/>
      <c r="AJ21" s="78"/>
      <c r="AK21" s="78"/>
      <c r="AL21" s="78"/>
      <c r="AM21" s="78"/>
      <c r="AN21" s="78"/>
      <c r="AO21" s="78"/>
      <c r="AP21" s="78"/>
      <c r="AQ21" s="3" t="s">
        <v>23</v>
      </c>
      <c r="AR21" s="3" t="s">
        <v>54</v>
      </c>
      <c r="AS21" s="3" t="s">
        <v>766</v>
      </c>
      <c r="AT21" s="49">
        <v>5896</v>
      </c>
      <c r="AU21" s="3" t="str">
        <f t="shared" si="11"/>
        <v>match</v>
      </c>
      <c r="AV21" s="3" t="str">
        <f t="shared" si="12"/>
        <v>match</v>
      </c>
    </row>
    <row r="22" spans="1:48" ht="12">
      <c r="A22" s="9" t="s">
        <v>23</v>
      </c>
      <c r="B22" s="12" t="s">
        <v>56</v>
      </c>
      <c r="C22" s="13" t="s">
        <v>57</v>
      </c>
      <c r="D22" s="8"/>
      <c r="E22" s="39">
        <v>23</v>
      </c>
      <c r="F22" s="39"/>
      <c r="G22" s="39"/>
      <c r="H22" s="39"/>
      <c r="I22" s="39"/>
      <c r="J22" s="39"/>
      <c r="K22" s="39">
        <f t="shared" si="0"/>
        <v>23</v>
      </c>
      <c r="L22" s="39">
        <f t="shared" si="1"/>
        <v>16.559999999999999</v>
      </c>
      <c r="M22" s="39"/>
      <c r="N22" s="39"/>
      <c r="O22" s="39">
        <v>1</v>
      </c>
      <c r="P22" s="39"/>
      <c r="Q22" s="39">
        <v>7</v>
      </c>
      <c r="R22" s="39">
        <f t="shared" si="2"/>
        <v>8</v>
      </c>
      <c r="S22" s="39">
        <f t="shared" si="3"/>
        <v>9.68</v>
      </c>
      <c r="T22" s="39"/>
      <c r="U22" s="39"/>
      <c r="V22" s="39"/>
      <c r="W22" s="39"/>
      <c r="X22" s="39">
        <v>6</v>
      </c>
      <c r="Y22" s="39">
        <f t="shared" si="4"/>
        <v>6</v>
      </c>
      <c r="Z22" s="39">
        <f t="shared" si="5"/>
        <v>16.440000000000001</v>
      </c>
      <c r="AA22" s="39">
        <f t="shared" si="6"/>
        <v>37</v>
      </c>
      <c r="AB22" s="39">
        <f t="shared" si="6"/>
        <v>42.68</v>
      </c>
      <c r="AC22" s="41">
        <f t="shared" si="7"/>
        <v>5883</v>
      </c>
      <c r="AD22" s="82">
        <f t="shared" si="8"/>
        <v>217671</v>
      </c>
      <c r="AE22" s="82">
        <f t="shared" si="9"/>
        <v>251086.44</v>
      </c>
      <c r="AF22" s="82">
        <f t="shared" si="10"/>
        <v>468757.44</v>
      </c>
      <c r="AG22" s="39"/>
      <c r="AH22" s="39"/>
      <c r="AI22" s="79"/>
      <c r="AJ22" s="79"/>
      <c r="AK22" s="79"/>
      <c r="AL22" s="79"/>
      <c r="AM22" s="79"/>
      <c r="AN22" s="79"/>
      <c r="AO22" s="79"/>
      <c r="AP22" s="79"/>
      <c r="AQ22" s="3" t="s">
        <v>23</v>
      </c>
      <c r="AR22" s="3" t="s">
        <v>56</v>
      </c>
      <c r="AS22" s="3" t="s">
        <v>767</v>
      </c>
      <c r="AT22" s="49">
        <v>5883</v>
      </c>
      <c r="AU22" s="3" t="str">
        <f t="shared" si="11"/>
        <v>match</v>
      </c>
      <c r="AV22" s="3" t="str">
        <f t="shared" si="12"/>
        <v>match</v>
      </c>
    </row>
    <row r="23" spans="1:48" ht="12">
      <c r="A23" s="9" t="s">
        <v>23</v>
      </c>
      <c r="B23" s="10" t="s">
        <v>58</v>
      </c>
      <c r="C23" s="56" t="s">
        <v>59</v>
      </c>
      <c r="D23" s="56"/>
      <c r="E23" s="11">
        <v>57</v>
      </c>
      <c r="F23" s="11"/>
      <c r="G23" s="11"/>
      <c r="H23" s="11"/>
      <c r="I23" s="11"/>
      <c r="J23" s="11"/>
      <c r="K23" s="11">
        <f t="shared" si="0"/>
        <v>57</v>
      </c>
      <c r="L23" s="11">
        <f t="shared" si="1"/>
        <v>41.04</v>
      </c>
      <c r="M23" s="11"/>
      <c r="N23" s="11">
        <v>1</v>
      </c>
      <c r="O23" s="11">
        <v>6</v>
      </c>
      <c r="P23" s="11"/>
      <c r="Q23" s="11">
        <v>6</v>
      </c>
      <c r="R23" s="11">
        <f t="shared" si="2"/>
        <v>13</v>
      </c>
      <c r="S23" s="11">
        <f t="shared" si="3"/>
        <v>15.129999999999999</v>
      </c>
      <c r="T23" s="11"/>
      <c r="U23" s="11">
        <v>1</v>
      </c>
      <c r="V23" s="11">
        <v>1</v>
      </c>
      <c r="W23" s="11"/>
      <c r="X23" s="11">
        <v>6</v>
      </c>
      <c r="Y23" s="11">
        <f t="shared" si="4"/>
        <v>8</v>
      </c>
      <c r="Z23" s="11">
        <f t="shared" si="5"/>
        <v>20.55</v>
      </c>
      <c r="AA23" s="11">
        <f t="shared" si="6"/>
        <v>78</v>
      </c>
      <c r="AB23" s="11">
        <f t="shared" si="6"/>
        <v>76.72</v>
      </c>
      <c r="AC23" s="42">
        <f t="shared" si="7"/>
        <v>5883</v>
      </c>
      <c r="AD23" s="83">
        <f t="shared" si="8"/>
        <v>458874</v>
      </c>
      <c r="AE23" s="83">
        <f t="shared" si="9"/>
        <v>451343.76</v>
      </c>
      <c r="AF23" s="83">
        <f t="shared" si="10"/>
        <v>910217.76</v>
      </c>
      <c r="AG23" s="11"/>
      <c r="AH23" s="11"/>
      <c r="AI23" s="78"/>
      <c r="AJ23" s="78"/>
      <c r="AK23" s="78"/>
      <c r="AL23" s="78"/>
      <c r="AM23" s="78"/>
      <c r="AN23" s="78"/>
      <c r="AO23" s="78"/>
      <c r="AP23" s="78"/>
      <c r="AQ23" s="3" t="s">
        <v>23</v>
      </c>
      <c r="AR23" s="3" t="s">
        <v>58</v>
      </c>
      <c r="AS23" s="3" t="s">
        <v>768</v>
      </c>
      <c r="AT23" s="49">
        <v>5883</v>
      </c>
      <c r="AU23" s="3" t="str">
        <f t="shared" si="11"/>
        <v>match</v>
      </c>
      <c r="AV23" s="3" t="str">
        <f t="shared" si="12"/>
        <v>match</v>
      </c>
    </row>
    <row r="24" spans="1:48" ht="12">
      <c r="A24" s="9" t="s">
        <v>23</v>
      </c>
      <c r="B24" s="12" t="s">
        <v>60</v>
      </c>
      <c r="C24" s="13" t="s">
        <v>61</v>
      </c>
      <c r="D24" s="8"/>
      <c r="E24" s="39">
        <v>72</v>
      </c>
      <c r="F24" s="39"/>
      <c r="G24" s="39"/>
      <c r="H24" s="39"/>
      <c r="I24" s="39"/>
      <c r="J24" s="39"/>
      <c r="K24" s="39">
        <f t="shared" si="0"/>
        <v>72</v>
      </c>
      <c r="L24" s="39">
        <f t="shared" si="1"/>
        <v>51.839999999999996</v>
      </c>
      <c r="M24" s="39"/>
      <c r="N24" s="39"/>
      <c r="O24" s="39">
        <v>3</v>
      </c>
      <c r="P24" s="39"/>
      <c r="Q24" s="39">
        <v>19</v>
      </c>
      <c r="R24" s="39">
        <f t="shared" si="2"/>
        <v>22</v>
      </c>
      <c r="S24" s="39">
        <f t="shared" si="3"/>
        <v>26.619999999999997</v>
      </c>
      <c r="T24" s="39"/>
      <c r="U24" s="39"/>
      <c r="V24" s="39">
        <v>2</v>
      </c>
      <c r="W24" s="39"/>
      <c r="X24" s="39">
        <v>11</v>
      </c>
      <c r="Y24" s="39">
        <f t="shared" si="4"/>
        <v>13</v>
      </c>
      <c r="Z24" s="39">
        <f t="shared" si="5"/>
        <v>35.620000000000005</v>
      </c>
      <c r="AA24" s="39">
        <f t="shared" si="6"/>
        <v>107</v>
      </c>
      <c r="AB24" s="39">
        <f t="shared" si="6"/>
        <v>114.08</v>
      </c>
      <c r="AC24" s="41">
        <f t="shared" si="7"/>
        <v>5897</v>
      </c>
      <c r="AD24" s="82">
        <f t="shared" si="8"/>
        <v>630979</v>
      </c>
      <c r="AE24" s="82">
        <f t="shared" si="9"/>
        <v>672729.76</v>
      </c>
      <c r="AF24" s="82">
        <f t="shared" si="10"/>
        <v>1303708.76</v>
      </c>
      <c r="AG24" s="39"/>
      <c r="AH24" s="39"/>
      <c r="AI24" s="79"/>
      <c r="AJ24" s="79"/>
      <c r="AK24" s="79"/>
      <c r="AL24" s="79"/>
      <c r="AM24" s="79"/>
      <c r="AN24" s="79"/>
      <c r="AO24" s="79"/>
      <c r="AP24" s="79"/>
      <c r="AQ24" s="3" t="s">
        <v>23</v>
      </c>
      <c r="AR24" s="3" t="s">
        <v>60</v>
      </c>
      <c r="AS24" s="3" t="s">
        <v>769</v>
      </c>
      <c r="AT24" s="49">
        <v>5897</v>
      </c>
      <c r="AU24" s="3" t="str">
        <f t="shared" si="11"/>
        <v>match</v>
      </c>
      <c r="AV24" s="3" t="str">
        <f t="shared" si="12"/>
        <v>match</v>
      </c>
    </row>
    <row r="25" spans="1:48" ht="12">
      <c r="A25" s="9" t="s">
        <v>23</v>
      </c>
      <c r="B25" s="10" t="s">
        <v>62</v>
      </c>
      <c r="C25" s="56" t="s">
        <v>63</v>
      </c>
      <c r="D25" s="56"/>
      <c r="E25" s="11">
        <v>48</v>
      </c>
      <c r="F25" s="11"/>
      <c r="G25" s="11"/>
      <c r="H25" s="11"/>
      <c r="I25" s="11"/>
      <c r="J25" s="11"/>
      <c r="K25" s="11">
        <f t="shared" si="0"/>
        <v>48</v>
      </c>
      <c r="L25" s="11">
        <f t="shared" si="1"/>
        <v>34.56</v>
      </c>
      <c r="M25" s="11"/>
      <c r="N25" s="11">
        <v>2</v>
      </c>
      <c r="O25" s="11"/>
      <c r="P25" s="11"/>
      <c r="Q25" s="11">
        <v>7</v>
      </c>
      <c r="R25" s="11">
        <f t="shared" si="2"/>
        <v>9</v>
      </c>
      <c r="S25" s="11">
        <f t="shared" si="3"/>
        <v>9.69</v>
      </c>
      <c r="T25" s="11"/>
      <c r="U25" s="11">
        <v>1</v>
      </c>
      <c r="V25" s="11">
        <v>1</v>
      </c>
      <c r="W25" s="11"/>
      <c r="X25" s="11">
        <v>3</v>
      </c>
      <c r="Y25" s="11">
        <f t="shared" si="4"/>
        <v>5</v>
      </c>
      <c r="Z25" s="11">
        <f t="shared" si="5"/>
        <v>12.330000000000002</v>
      </c>
      <c r="AA25" s="11">
        <f t="shared" si="6"/>
        <v>62</v>
      </c>
      <c r="AB25" s="11">
        <f t="shared" si="6"/>
        <v>56.58</v>
      </c>
      <c r="AC25" s="42">
        <f t="shared" si="7"/>
        <v>6050</v>
      </c>
      <c r="AD25" s="83">
        <f t="shared" si="8"/>
        <v>375100</v>
      </c>
      <c r="AE25" s="83">
        <f t="shared" si="9"/>
        <v>342309</v>
      </c>
      <c r="AF25" s="83">
        <f t="shared" si="10"/>
        <v>717409</v>
      </c>
      <c r="AG25" s="11"/>
      <c r="AH25" s="11"/>
      <c r="AI25" s="78"/>
      <c r="AJ25" s="78"/>
      <c r="AK25" s="78"/>
      <c r="AL25" s="78"/>
      <c r="AM25" s="78"/>
      <c r="AN25" s="78"/>
      <c r="AO25" s="78"/>
      <c r="AP25" s="78"/>
      <c r="AQ25" s="3" t="s">
        <v>23</v>
      </c>
      <c r="AR25" s="3" t="s">
        <v>62</v>
      </c>
      <c r="AS25" s="3" t="s">
        <v>770</v>
      </c>
      <c r="AT25" s="49">
        <v>6050</v>
      </c>
      <c r="AU25" s="3" t="str">
        <f t="shared" si="11"/>
        <v>match</v>
      </c>
      <c r="AV25" s="3" t="str">
        <f t="shared" si="12"/>
        <v>match</v>
      </c>
    </row>
    <row r="26" spans="1:48" ht="12">
      <c r="A26" s="9" t="s">
        <v>23</v>
      </c>
      <c r="B26" s="12" t="s">
        <v>64</v>
      </c>
      <c r="C26" s="13" t="s">
        <v>65</v>
      </c>
      <c r="D26" s="8"/>
      <c r="E26" s="39">
        <v>41</v>
      </c>
      <c r="F26" s="39"/>
      <c r="G26" s="39"/>
      <c r="H26" s="39"/>
      <c r="I26" s="39"/>
      <c r="J26" s="39"/>
      <c r="K26" s="39">
        <f t="shared" si="0"/>
        <v>41</v>
      </c>
      <c r="L26" s="39">
        <f t="shared" si="1"/>
        <v>29.52</v>
      </c>
      <c r="M26" s="39"/>
      <c r="N26" s="39">
        <v>1</v>
      </c>
      <c r="O26" s="39"/>
      <c r="P26" s="39"/>
      <c r="Q26" s="39">
        <v>10</v>
      </c>
      <c r="R26" s="39">
        <f t="shared" si="2"/>
        <v>11</v>
      </c>
      <c r="S26" s="39">
        <f t="shared" si="3"/>
        <v>12.709999999999999</v>
      </c>
      <c r="T26" s="39"/>
      <c r="U26" s="39"/>
      <c r="V26" s="39"/>
      <c r="W26" s="39">
        <v>1</v>
      </c>
      <c r="X26" s="39">
        <v>3</v>
      </c>
      <c r="Y26" s="39">
        <f t="shared" si="4"/>
        <v>4</v>
      </c>
      <c r="Z26" s="39">
        <f t="shared" si="5"/>
        <v>9.59</v>
      </c>
      <c r="AA26" s="39">
        <f t="shared" si="6"/>
        <v>56</v>
      </c>
      <c r="AB26" s="39">
        <f t="shared" si="6"/>
        <v>51.819999999999993</v>
      </c>
      <c r="AC26" s="41">
        <f t="shared" si="7"/>
        <v>5906</v>
      </c>
      <c r="AD26" s="82">
        <f t="shared" si="8"/>
        <v>330736</v>
      </c>
      <c r="AE26" s="82">
        <f t="shared" si="9"/>
        <v>306048.92</v>
      </c>
      <c r="AF26" s="82">
        <f t="shared" si="10"/>
        <v>636784.91999999993</v>
      </c>
      <c r="AG26" s="39"/>
      <c r="AH26" s="39"/>
      <c r="AI26" s="79"/>
      <c r="AJ26" s="79"/>
      <c r="AK26" s="79"/>
      <c r="AL26" s="79"/>
      <c r="AM26" s="79"/>
      <c r="AN26" s="79"/>
      <c r="AO26" s="79"/>
      <c r="AP26" s="79"/>
      <c r="AQ26" s="3" t="s">
        <v>23</v>
      </c>
      <c r="AR26" s="3" t="s">
        <v>64</v>
      </c>
      <c r="AS26" s="3" t="s">
        <v>771</v>
      </c>
      <c r="AT26" s="49">
        <v>5906</v>
      </c>
      <c r="AU26" s="3" t="str">
        <f t="shared" si="11"/>
        <v>match</v>
      </c>
      <c r="AV26" s="3" t="str">
        <f t="shared" si="12"/>
        <v>match</v>
      </c>
    </row>
    <row r="27" spans="1:48" ht="12">
      <c r="A27" s="9" t="s">
        <v>23</v>
      </c>
      <c r="B27" s="10" t="s">
        <v>66</v>
      </c>
      <c r="C27" s="56" t="s">
        <v>67</v>
      </c>
      <c r="D27" s="56"/>
      <c r="E27" s="11">
        <v>22</v>
      </c>
      <c r="F27" s="11"/>
      <c r="G27" s="11"/>
      <c r="H27" s="11"/>
      <c r="I27" s="11"/>
      <c r="J27" s="11"/>
      <c r="K27" s="11">
        <f t="shared" si="0"/>
        <v>22</v>
      </c>
      <c r="L27" s="11">
        <f t="shared" si="1"/>
        <v>15.84</v>
      </c>
      <c r="M27" s="11"/>
      <c r="N27" s="11"/>
      <c r="O27" s="11"/>
      <c r="P27" s="11"/>
      <c r="Q27" s="11">
        <v>7</v>
      </c>
      <c r="R27" s="11">
        <f t="shared" si="2"/>
        <v>7</v>
      </c>
      <c r="S27" s="11">
        <f t="shared" si="3"/>
        <v>8.4699999999999989</v>
      </c>
      <c r="T27" s="11"/>
      <c r="U27" s="11"/>
      <c r="V27" s="11"/>
      <c r="W27" s="11"/>
      <c r="X27" s="11">
        <v>3</v>
      </c>
      <c r="Y27" s="11">
        <f t="shared" si="4"/>
        <v>3</v>
      </c>
      <c r="Z27" s="11">
        <f t="shared" si="5"/>
        <v>8.2200000000000006</v>
      </c>
      <c r="AA27" s="11">
        <f t="shared" si="6"/>
        <v>32</v>
      </c>
      <c r="AB27" s="11">
        <f t="shared" si="6"/>
        <v>32.53</v>
      </c>
      <c r="AC27" s="42">
        <f t="shared" si="7"/>
        <v>5883</v>
      </c>
      <c r="AD27" s="83">
        <f t="shared" si="8"/>
        <v>188256</v>
      </c>
      <c r="AE27" s="83">
        <f t="shared" si="9"/>
        <v>191373.99000000002</v>
      </c>
      <c r="AF27" s="83">
        <f t="shared" si="10"/>
        <v>379629.99</v>
      </c>
      <c r="AG27" s="11"/>
      <c r="AH27" s="11"/>
      <c r="AI27" s="78"/>
      <c r="AJ27" s="78"/>
      <c r="AK27" s="78"/>
      <c r="AL27" s="78"/>
      <c r="AM27" s="78"/>
      <c r="AN27" s="78"/>
      <c r="AO27" s="78"/>
      <c r="AP27" s="78"/>
      <c r="AQ27" s="3" t="s">
        <v>23</v>
      </c>
      <c r="AR27" s="3" t="s">
        <v>66</v>
      </c>
      <c r="AS27" s="3" t="s">
        <v>772</v>
      </c>
      <c r="AT27" s="49">
        <v>5883</v>
      </c>
      <c r="AU27" s="3" t="str">
        <f t="shared" si="11"/>
        <v>match</v>
      </c>
      <c r="AV27" s="3" t="str">
        <f t="shared" si="12"/>
        <v>match</v>
      </c>
    </row>
    <row r="28" spans="1:48" ht="12">
      <c r="A28" s="9" t="s">
        <v>23</v>
      </c>
      <c r="B28" s="12" t="s">
        <v>68</v>
      </c>
      <c r="C28" s="13" t="s">
        <v>1072</v>
      </c>
      <c r="D28" s="8"/>
      <c r="E28" s="39">
        <v>112</v>
      </c>
      <c r="F28" s="39"/>
      <c r="G28" s="39"/>
      <c r="H28" s="39"/>
      <c r="I28" s="39"/>
      <c r="J28" s="39"/>
      <c r="K28" s="39">
        <f t="shared" si="0"/>
        <v>112</v>
      </c>
      <c r="L28" s="39">
        <f t="shared" si="1"/>
        <v>80.64</v>
      </c>
      <c r="M28" s="39"/>
      <c r="N28" s="39">
        <v>1</v>
      </c>
      <c r="O28" s="39">
        <v>8</v>
      </c>
      <c r="P28" s="39"/>
      <c r="Q28" s="39">
        <v>48</v>
      </c>
      <c r="R28" s="39">
        <f t="shared" si="2"/>
        <v>57</v>
      </c>
      <c r="S28" s="39">
        <f t="shared" si="3"/>
        <v>68.36999999999999</v>
      </c>
      <c r="T28" s="39"/>
      <c r="U28" s="39"/>
      <c r="V28" s="39"/>
      <c r="W28" s="39"/>
      <c r="X28" s="39">
        <v>21</v>
      </c>
      <c r="Y28" s="39">
        <f t="shared" si="4"/>
        <v>21</v>
      </c>
      <c r="Z28" s="39">
        <f t="shared" si="5"/>
        <v>57.540000000000006</v>
      </c>
      <c r="AA28" s="39">
        <f t="shared" si="6"/>
        <v>190</v>
      </c>
      <c r="AB28" s="39">
        <f t="shared" si="6"/>
        <v>206.55</v>
      </c>
      <c r="AC28" s="41">
        <f t="shared" si="7"/>
        <v>5886</v>
      </c>
      <c r="AD28" s="82">
        <f t="shared" si="8"/>
        <v>1118340</v>
      </c>
      <c r="AE28" s="82">
        <f t="shared" si="9"/>
        <v>1215753.3</v>
      </c>
      <c r="AF28" s="82">
        <f t="shared" si="10"/>
        <v>2334093.2999999998</v>
      </c>
      <c r="AG28" s="39"/>
      <c r="AH28" s="39"/>
      <c r="AI28" s="79"/>
      <c r="AJ28" s="79"/>
      <c r="AK28" s="79"/>
      <c r="AL28" s="79"/>
      <c r="AM28" s="79"/>
      <c r="AN28" s="79"/>
      <c r="AO28" s="79"/>
      <c r="AP28" s="79"/>
      <c r="AQ28" s="3" t="s">
        <v>23</v>
      </c>
      <c r="AR28" s="3" t="s">
        <v>68</v>
      </c>
      <c r="AS28" s="3" t="s">
        <v>773</v>
      </c>
      <c r="AT28" s="49">
        <v>5886</v>
      </c>
      <c r="AU28" s="3" t="str">
        <f t="shared" si="11"/>
        <v>match</v>
      </c>
      <c r="AV28" s="3" t="str">
        <f t="shared" si="12"/>
        <v>match</v>
      </c>
    </row>
    <row r="29" spans="1:48" ht="12.75" thickBot="1">
      <c r="A29" s="14" t="s">
        <v>23</v>
      </c>
      <c r="B29" s="15" t="s">
        <v>69</v>
      </c>
      <c r="C29" s="56" t="s">
        <v>70</v>
      </c>
      <c r="D29" s="56"/>
      <c r="E29" s="16">
        <v>249</v>
      </c>
      <c r="F29" s="16">
        <v>4</v>
      </c>
      <c r="G29" s="16"/>
      <c r="H29" s="16"/>
      <c r="I29" s="16"/>
      <c r="J29" s="16"/>
      <c r="K29" s="16">
        <f t="shared" si="0"/>
        <v>253</v>
      </c>
      <c r="L29" s="16">
        <f t="shared" si="1"/>
        <v>182.16</v>
      </c>
      <c r="M29" s="16">
        <v>1</v>
      </c>
      <c r="N29" s="16"/>
      <c r="O29" s="16">
        <v>22</v>
      </c>
      <c r="P29" s="16"/>
      <c r="Q29" s="16">
        <v>80</v>
      </c>
      <c r="R29" s="16">
        <f t="shared" si="2"/>
        <v>103</v>
      </c>
      <c r="S29" s="16">
        <f t="shared" si="3"/>
        <v>124.63</v>
      </c>
      <c r="T29" s="16">
        <v>2</v>
      </c>
      <c r="U29" s="16"/>
      <c r="V29" s="16">
        <v>2</v>
      </c>
      <c r="W29" s="16"/>
      <c r="X29" s="16">
        <v>23</v>
      </c>
      <c r="Y29" s="16">
        <f t="shared" si="4"/>
        <v>27</v>
      </c>
      <c r="Z29" s="16">
        <f t="shared" si="5"/>
        <v>73.98</v>
      </c>
      <c r="AA29" s="16">
        <f t="shared" si="6"/>
        <v>383</v>
      </c>
      <c r="AB29" s="16">
        <f t="shared" si="6"/>
        <v>380.77</v>
      </c>
      <c r="AC29" s="45">
        <f t="shared" si="7"/>
        <v>5938</v>
      </c>
      <c r="AD29" s="83">
        <f t="shared" si="8"/>
        <v>2274254</v>
      </c>
      <c r="AE29" s="83">
        <f t="shared" si="9"/>
        <v>2261012.2599999998</v>
      </c>
      <c r="AF29" s="83">
        <f t="shared" si="10"/>
        <v>4535266.26</v>
      </c>
      <c r="AG29" s="16"/>
      <c r="AH29" s="16"/>
      <c r="AI29" s="78"/>
      <c r="AJ29" s="78"/>
      <c r="AK29" s="78"/>
      <c r="AL29" s="78"/>
      <c r="AM29" s="78"/>
      <c r="AN29" s="78"/>
      <c r="AO29" s="78"/>
      <c r="AP29" s="78"/>
      <c r="AQ29" s="3" t="s">
        <v>23</v>
      </c>
      <c r="AR29" s="3" t="s">
        <v>69</v>
      </c>
      <c r="AS29" s="3" t="s">
        <v>774</v>
      </c>
      <c r="AT29" s="49">
        <v>5938</v>
      </c>
      <c r="AU29" s="3" t="str">
        <f t="shared" si="11"/>
        <v>match</v>
      </c>
      <c r="AV29" s="3" t="str">
        <f t="shared" si="12"/>
        <v>match</v>
      </c>
    </row>
    <row r="30" spans="1:48" ht="12.75" thickBot="1">
      <c r="A30" s="17" t="s">
        <v>23</v>
      </c>
      <c r="B30" s="17">
        <v>9201</v>
      </c>
      <c r="C30" s="18" t="s">
        <v>71</v>
      </c>
      <c r="D30" s="93"/>
      <c r="E30" s="19">
        <f>SUM(E6:E29)</f>
        <v>2631</v>
      </c>
      <c r="F30" s="19">
        <f t="shared" ref="F30:AB30" si="13">SUM(F6:F29)</f>
        <v>7</v>
      </c>
      <c r="G30" s="19">
        <f t="shared" si="13"/>
        <v>0</v>
      </c>
      <c r="H30" s="19">
        <f t="shared" si="13"/>
        <v>0</v>
      </c>
      <c r="I30" s="19">
        <f t="shared" si="13"/>
        <v>0</v>
      </c>
      <c r="J30" s="19">
        <f t="shared" si="13"/>
        <v>0</v>
      </c>
      <c r="K30" s="19">
        <f t="shared" si="13"/>
        <v>2638</v>
      </c>
      <c r="L30" s="19">
        <f t="shared" si="13"/>
        <v>1899.36</v>
      </c>
      <c r="M30" s="19">
        <f t="shared" si="13"/>
        <v>2</v>
      </c>
      <c r="N30" s="19">
        <f t="shared" si="13"/>
        <v>20</v>
      </c>
      <c r="O30" s="19">
        <f t="shared" si="13"/>
        <v>141</v>
      </c>
      <c r="P30" s="19">
        <f t="shared" si="13"/>
        <v>0</v>
      </c>
      <c r="Q30" s="19">
        <f t="shared" si="13"/>
        <v>895</v>
      </c>
      <c r="R30" s="19">
        <f t="shared" si="13"/>
        <v>1058</v>
      </c>
      <c r="S30" s="19">
        <f t="shared" si="13"/>
        <v>1268.1799999999998</v>
      </c>
      <c r="T30" s="19">
        <f t="shared" si="13"/>
        <v>3</v>
      </c>
      <c r="U30" s="19">
        <f t="shared" si="13"/>
        <v>9</v>
      </c>
      <c r="V30" s="19">
        <f t="shared" si="13"/>
        <v>62</v>
      </c>
      <c r="W30" s="19">
        <f t="shared" si="13"/>
        <v>2</v>
      </c>
      <c r="X30" s="19">
        <f t="shared" si="13"/>
        <v>477</v>
      </c>
      <c r="Y30" s="19">
        <f t="shared" si="13"/>
        <v>553</v>
      </c>
      <c r="Z30" s="19">
        <f t="shared" si="13"/>
        <v>1500.1500000000005</v>
      </c>
      <c r="AA30" s="19">
        <f t="shared" si="13"/>
        <v>4249</v>
      </c>
      <c r="AB30" s="19">
        <f t="shared" si="13"/>
        <v>4667.6900000000005</v>
      </c>
      <c r="AC30" s="50"/>
      <c r="AD30" s="43">
        <f>SUM(AD6:AD29)</f>
        <v>25129500</v>
      </c>
      <c r="AE30" s="43">
        <f t="shared" ref="AE30:AF30" si="14">SUM(AE6:AE29)</f>
        <v>27594260.540000007</v>
      </c>
      <c r="AF30" s="43">
        <f t="shared" si="14"/>
        <v>52723760.539999999</v>
      </c>
      <c r="AG30" s="19"/>
      <c r="AH30" s="19"/>
      <c r="AI30" s="80"/>
      <c r="AJ30" s="80"/>
      <c r="AK30" s="80"/>
      <c r="AL30" s="80"/>
      <c r="AM30" s="80"/>
      <c r="AN30" s="80"/>
      <c r="AO30" s="80"/>
      <c r="AP30" s="80"/>
      <c r="AS30" s="3" t="s">
        <v>71</v>
      </c>
      <c r="AT30" s="49"/>
    </row>
    <row r="31" spans="1:48" ht="12">
      <c r="A31" s="6" t="s">
        <v>72</v>
      </c>
      <c r="B31" s="7" t="s">
        <v>73</v>
      </c>
      <c r="C31" s="8" t="s">
        <v>74</v>
      </c>
      <c r="D31" s="8"/>
      <c r="E31" s="39">
        <v>63</v>
      </c>
      <c r="F31" s="39"/>
      <c r="G31" s="39"/>
      <c r="H31" s="39"/>
      <c r="I31" s="39"/>
      <c r="J31" s="39"/>
      <c r="K31" s="39">
        <f t="shared" si="0"/>
        <v>63</v>
      </c>
      <c r="L31" s="39">
        <f t="shared" si="1"/>
        <v>45.36</v>
      </c>
      <c r="M31" s="39"/>
      <c r="N31" s="39"/>
      <c r="O31" s="39">
        <v>5</v>
      </c>
      <c r="P31" s="39"/>
      <c r="Q31" s="39">
        <v>20</v>
      </c>
      <c r="R31" s="39">
        <f t="shared" si="2"/>
        <v>25</v>
      </c>
      <c r="S31" s="39">
        <f t="shared" si="3"/>
        <v>30.25</v>
      </c>
      <c r="T31" s="39"/>
      <c r="U31" s="39"/>
      <c r="V31" s="39">
        <v>1</v>
      </c>
      <c r="W31" s="39"/>
      <c r="X31" s="39">
        <v>10</v>
      </c>
      <c r="Y31" s="39">
        <f t="shared" si="4"/>
        <v>11</v>
      </c>
      <c r="Z31" s="39">
        <f t="shared" si="5"/>
        <v>30.14</v>
      </c>
      <c r="AA31" s="39">
        <f t="shared" si="6"/>
        <v>99</v>
      </c>
      <c r="AB31" s="39">
        <f t="shared" si="6"/>
        <v>105.75</v>
      </c>
      <c r="AC31" s="41">
        <f t="shared" ref="AC31:AC90" si="15">+AT31</f>
        <v>5993</v>
      </c>
      <c r="AD31" s="82">
        <f t="shared" ref="AD31:AD90" si="16">+AC31*AA31</f>
        <v>593307</v>
      </c>
      <c r="AE31" s="82">
        <f t="shared" ref="AE31:AE90" si="17">+AC31*AB31</f>
        <v>633759.75</v>
      </c>
      <c r="AF31" s="82">
        <f t="shared" ref="AF31:AF90" si="18">+AE31+AD31</f>
        <v>1227066.75</v>
      </c>
      <c r="AG31" s="39"/>
      <c r="AH31" s="39"/>
      <c r="AI31" s="79"/>
      <c r="AJ31" s="79"/>
      <c r="AK31" s="79"/>
      <c r="AL31" s="79"/>
      <c r="AM31" s="79"/>
      <c r="AN31" s="79"/>
      <c r="AO31" s="79"/>
      <c r="AP31" s="79"/>
      <c r="AQ31" s="3" t="s">
        <v>72</v>
      </c>
      <c r="AR31" s="3" t="s">
        <v>73</v>
      </c>
      <c r="AS31" s="3" t="s">
        <v>74</v>
      </c>
      <c r="AT31" s="49">
        <v>5993</v>
      </c>
      <c r="AU31" s="3" t="str">
        <f t="shared" si="11"/>
        <v>match</v>
      </c>
      <c r="AV31" s="3" t="str">
        <f t="shared" si="12"/>
        <v>match</v>
      </c>
    </row>
    <row r="32" spans="1:48" ht="12">
      <c r="A32" s="9" t="s">
        <v>72</v>
      </c>
      <c r="B32" s="10" t="s">
        <v>75</v>
      </c>
      <c r="C32" s="56" t="s">
        <v>76</v>
      </c>
      <c r="D32" s="56"/>
      <c r="E32" s="11">
        <v>32</v>
      </c>
      <c r="F32" s="11"/>
      <c r="G32" s="11"/>
      <c r="H32" s="11"/>
      <c r="I32" s="11"/>
      <c r="J32" s="11"/>
      <c r="K32" s="11">
        <f t="shared" si="0"/>
        <v>32</v>
      </c>
      <c r="L32" s="11">
        <f t="shared" si="1"/>
        <v>23.04</v>
      </c>
      <c r="M32" s="11"/>
      <c r="N32" s="11">
        <v>1</v>
      </c>
      <c r="O32" s="11"/>
      <c r="P32" s="11"/>
      <c r="Q32" s="11">
        <v>5</v>
      </c>
      <c r="R32" s="11">
        <f t="shared" si="2"/>
        <v>6</v>
      </c>
      <c r="S32" s="11">
        <f t="shared" si="3"/>
        <v>6.66</v>
      </c>
      <c r="T32" s="11"/>
      <c r="U32" s="11"/>
      <c r="V32" s="11"/>
      <c r="W32" s="11"/>
      <c r="X32" s="11">
        <v>1</v>
      </c>
      <c r="Y32" s="11">
        <f t="shared" si="4"/>
        <v>1</v>
      </c>
      <c r="Z32" s="11">
        <f t="shared" si="5"/>
        <v>2.74</v>
      </c>
      <c r="AA32" s="11">
        <f t="shared" si="6"/>
        <v>39</v>
      </c>
      <c r="AB32" s="11">
        <f t="shared" si="6"/>
        <v>32.44</v>
      </c>
      <c r="AC32" s="42">
        <f t="shared" si="15"/>
        <v>5883</v>
      </c>
      <c r="AD32" s="83">
        <f t="shared" si="16"/>
        <v>229437</v>
      </c>
      <c r="AE32" s="83">
        <f t="shared" si="17"/>
        <v>190844.52</v>
      </c>
      <c r="AF32" s="83">
        <f t="shared" si="18"/>
        <v>420281.52</v>
      </c>
      <c r="AG32" s="11"/>
      <c r="AH32" s="11"/>
      <c r="AI32" s="78"/>
      <c r="AJ32" s="78"/>
      <c r="AK32" s="78"/>
      <c r="AL32" s="78"/>
      <c r="AM32" s="78"/>
      <c r="AN32" s="78"/>
      <c r="AO32" s="78"/>
      <c r="AP32" s="78"/>
      <c r="AQ32" s="3" t="s">
        <v>72</v>
      </c>
      <c r="AR32" s="3" t="s">
        <v>75</v>
      </c>
      <c r="AS32" s="3" t="s">
        <v>775</v>
      </c>
      <c r="AT32" s="49">
        <v>5883</v>
      </c>
      <c r="AU32" s="3" t="str">
        <f t="shared" si="11"/>
        <v>match</v>
      </c>
      <c r="AV32" s="3" t="str">
        <f t="shared" si="12"/>
        <v>match</v>
      </c>
    </row>
    <row r="33" spans="1:48" ht="12">
      <c r="A33" s="9" t="s">
        <v>72</v>
      </c>
      <c r="B33" s="12" t="s">
        <v>77</v>
      </c>
      <c r="C33" s="13" t="s">
        <v>78</v>
      </c>
      <c r="D33" s="8"/>
      <c r="E33" s="39">
        <v>35</v>
      </c>
      <c r="F33" s="39"/>
      <c r="G33" s="39"/>
      <c r="H33" s="39"/>
      <c r="I33" s="39"/>
      <c r="J33" s="39"/>
      <c r="K33" s="39">
        <f t="shared" si="0"/>
        <v>35</v>
      </c>
      <c r="L33" s="39">
        <f t="shared" si="1"/>
        <v>25.2</v>
      </c>
      <c r="M33" s="39"/>
      <c r="N33" s="39"/>
      <c r="O33" s="39">
        <v>3</v>
      </c>
      <c r="P33" s="39"/>
      <c r="Q33" s="39">
        <v>7</v>
      </c>
      <c r="R33" s="39">
        <f t="shared" si="2"/>
        <v>10</v>
      </c>
      <c r="S33" s="39">
        <f t="shared" si="3"/>
        <v>12.1</v>
      </c>
      <c r="T33" s="39"/>
      <c r="U33" s="39"/>
      <c r="V33" s="39"/>
      <c r="W33" s="39"/>
      <c r="X33" s="39">
        <v>4</v>
      </c>
      <c r="Y33" s="39">
        <f t="shared" si="4"/>
        <v>4</v>
      </c>
      <c r="Z33" s="39">
        <f t="shared" si="5"/>
        <v>10.96</v>
      </c>
      <c r="AA33" s="39">
        <f t="shared" si="6"/>
        <v>49</v>
      </c>
      <c r="AB33" s="39">
        <f t="shared" si="6"/>
        <v>48.26</v>
      </c>
      <c r="AC33" s="41">
        <f t="shared" si="15"/>
        <v>5890</v>
      </c>
      <c r="AD33" s="82">
        <f t="shared" si="16"/>
        <v>288610</v>
      </c>
      <c r="AE33" s="82">
        <f t="shared" si="17"/>
        <v>284251.39999999997</v>
      </c>
      <c r="AF33" s="82">
        <f t="shared" si="18"/>
        <v>572861.39999999991</v>
      </c>
      <c r="AG33" s="39"/>
      <c r="AH33" s="39"/>
      <c r="AI33" s="79"/>
      <c r="AJ33" s="79"/>
      <c r="AK33" s="79"/>
      <c r="AL33" s="79"/>
      <c r="AM33" s="79"/>
      <c r="AN33" s="79"/>
      <c r="AO33" s="79"/>
      <c r="AP33" s="79"/>
      <c r="AQ33" s="3" t="s">
        <v>72</v>
      </c>
      <c r="AR33" s="3" t="s">
        <v>77</v>
      </c>
      <c r="AS33" s="3" t="s">
        <v>776</v>
      </c>
      <c r="AT33" s="49">
        <v>5890</v>
      </c>
      <c r="AU33" s="3" t="str">
        <f t="shared" si="11"/>
        <v>match</v>
      </c>
      <c r="AV33" s="3" t="str">
        <f t="shared" si="12"/>
        <v>match</v>
      </c>
    </row>
    <row r="34" spans="1:48" ht="12">
      <c r="A34" s="9" t="s">
        <v>72</v>
      </c>
      <c r="B34" s="10" t="s">
        <v>79</v>
      </c>
      <c r="C34" s="56" t="s">
        <v>80</v>
      </c>
      <c r="D34" s="56"/>
      <c r="E34" s="11">
        <v>58</v>
      </c>
      <c r="F34" s="11"/>
      <c r="G34" s="11"/>
      <c r="H34" s="11"/>
      <c r="I34" s="11"/>
      <c r="J34" s="11"/>
      <c r="K34" s="11">
        <f t="shared" si="0"/>
        <v>58</v>
      </c>
      <c r="L34" s="11">
        <f t="shared" si="1"/>
        <v>41.76</v>
      </c>
      <c r="M34" s="11"/>
      <c r="N34" s="11"/>
      <c r="O34" s="11">
        <v>5</v>
      </c>
      <c r="P34" s="11"/>
      <c r="Q34" s="11">
        <v>18</v>
      </c>
      <c r="R34" s="11">
        <f t="shared" si="2"/>
        <v>23</v>
      </c>
      <c r="S34" s="11">
        <f t="shared" si="3"/>
        <v>27.83</v>
      </c>
      <c r="T34" s="11"/>
      <c r="U34" s="11"/>
      <c r="V34" s="11">
        <v>3</v>
      </c>
      <c r="W34" s="11"/>
      <c r="X34" s="11">
        <v>7</v>
      </c>
      <c r="Y34" s="11">
        <f t="shared" si="4"/>
        <v>10</v>
      </c>
      <c r="Z34" s="11">
        <f t="shared" si="5"/>
        <v>27.400000000000002</v>
      </c>
      <c r="AA34" s="11">
        <f t="shared" si="6"/>
        <v>91</v>
      </c>
      <c r="AB34" s="11">
        <f t="shared" si="6"/>
        <v>96.990000000000009</v>
      </c>
      <c r="AC34" s="42">
        <f t="shared" si="15"/>
        <v>5883</v>
      </c>
      <c r="AD34" s="83">
        <f t="shared" si="16"/>
        <v>535353</v>
      </c>
      <c r="AE34" s="83">
        <f t="shared" si="17"/>
        <v>570592.17000000004</v>
      </c>
      <c r="AF34" s="83">
        <f t="shared" si="18"/>
        <v>1105945.17</v>
      </c>
      <c r="AG34" s="11"/>
      <c r="AH34" s="11"/>
      <c r="AI34" s="78"/>
      <c r="AJ34" s="78"/>
      <c r="AK34" s="78"/>
      <c r="AL34" s="78"/>
      <c r="AM34" s="78"/>
      <c r="AN34" s="78"/>
      <c r="AO34" s="78"/>
      <c r="AP34" s="78"/>
      <c r="AQ34" s="3" t="s">
        <v>72</v>
      </c>
      <c r="AR34" s="3" t="s">
        <v>79</v>
      </c>
      <c r="AS34" s="3" t="s">
        <v>777</v>
      </c>
      <c r="AT34" s="49">
        <v>5883</v>
      </c>
      <c r="AU34" s="3" t="str">
        <f t="shared" si="11"/>
        <v>match</v>
      </c>
      <c r="AV34" s="3" t="str">
        <f t="shared" si="12"/>
        <v>match</v>
      </c>
    </row>
    <row r="35" spans="1:48" ht="12">
      <c r="A35" s="9" t="s">
        <v>72</v>
      </c>
      <c r="B35" s="12" t="s">
        <v>81</v>
      </c>
      <c r="C35" s="13" t="s">
        <v>82</v>
      </c>
      <c r="D35" s="8"/>
      <c r="E35" s="39">
        <v>39</v>
      </c>
      <c r="F35" s="39"/>
      <c r="G35" s="39"/>
      <c r="H35" s="39"/>
      <c r="I35" s="39"/>
      <c r="J35" s="39"/>
      <c r="K35" s="39">
        <f t="shared" si="0"/>
        <v>39</v>
      </c>
      <c r="L35" s="39">
        <f t="shared" si="1"/>
        <v>28.08</v>
      </c>
      <c r="M35" s="39"/>
      <c r="N35" s="39">
        <v>1</v>
      </c>
      <c r="O35" s="39">
        <v>2</v>
      </c>
      <c r="P35" s="39"/>
      <c r="Q35" s="39">
        <v>14</v>
      </c>
      <c r="R35" s="39">
        <f t="shared" si="2"/>
        <v>17</v>
      </c>
      <c r="S35" s="39">
        <f t="shared" si="3"/>
        <v>19.97</v>
      </c>
      <c r="T35" s="39"/>
      <c r="U35" s="39"/>
      <c r="V35" s="39"/>
      <c r="W35" s="39"/>
      <c r="X35" s="39">
        <v>13</v>
      </c>
      <c r="Y35" s="39">
        <f t="shared" si="4"/>
        <v>13</v>
      </c>
      <c r="Z35" s="39">
        <f t="shared" si="5"/>
        <v>35.620000000000005</v>
      </c>
      <c r="AA35" s="39">
        <f t="shared" si="6"/>
        <v>69</v>
      </c>
      <c r="AB35" s="39">
        <f t="shared" si="6"/>
        <v>83.67</v>
      </c>
      <c r="AC35" s="41">
        <f t="shared" si="15"/>
        <v>5964</v>
      </c>
      <c r="AD35" s="82">
        <f t="shared" si="16"/>
        <v>411516</v>
      </c>
      <c r="AE35" s="82">
        <f t="shared" si="17"/>
        <v>499007.88</v>
      </c>
      <c r="AF35" s="82">
        <f t="shared" si="18"/>
        <v>910523.88</v>
      </c>
      <c r="AG35" s="39"/>
      <c r="AH35" s="39"/>
      <c r="AI35" s="79"/>
      <c r="AJ35" s="79"/>
      <c r="AK35" s="79"/>
      <c r="AL35" s="79"/>
      <c r="AM35" s="79"/>
      <c r="AN35" s="79"/>
      <c r="AO35" s="79"/>
      <c r="AP35" s="79"/>
      <c r="AQ35" s="3" t="s">
        <v>72</v>
      </c>
      <c r="AR35" s="3" t="s">
        <v>81</v>
      </c>
      <c r="AS35" s="3" t="s">
        <v>82</v>
      </c>
      <c r="AT35" s="49">
        <v>5964</v>
      </c>
      <c r="AU35" s="3" t="str">
        <f t="shared" si="11"/>
        <v>match</v>
      </c>
      <c r="AV35" s="3" t="str">
        <f t="shared" si="12"/>
        <v>match</v>
      </c>
    </row>
    <row r="36" spans="1:48" ht="12">
      <c r="A36" s="9" t="s">
        <v>72</v>
      </c>
      <c r="B36" s="10" t="s">
        <v>83</v>
      </c>
      <c r="C36" s="56" t="s">
        <v>84</v>
      </c>
      <c r="D36" s="56"/>
      <c r="E36" s="11">
        <v>65</v>
      </c>
      <c r="F36" s="11"/>
      <c r="G36" s="11"/>
      <c r="H36" s="11"/>
      <c r="I36" s="11"/>
      <c r="J36" s="11"/>
      <c r="K36" s="11">
        <f t="shared" si="0"/>
        <v>65</v>
      </c>
      <c r="L36" s="11">
        <f t="shared" si="1"/>
        <v>46.8</v>
      </c>
      <c r="M36" s="11"/>
      <c r="N36" s="11">
        <v>4</v>
      </c>
      <c r="O36" s="11">
        <v>3</v>
      </c>
      <c r="P36" s="11"/>
      <c r="Q36" s="11">
        <v>22</v>
      </c>
      <c r="R36" s="11">
        <f t="shared" si="2"/>
        <v>29</v>
      </c>
      <c r="S36" s="11">
        <f t="shared" si="3"/>
        <v>32.69</v>
      </c>
      <c r="T36" s="11"/>
      <c r="U36" s="11">
        <v>2</v>
      </c>
      <c r="V36" s="11"/>
      <c r="W36" s="11"/>
      <c r="X36" s="11">
        <v>10</v>
      </c>
      <c r="Y36" s="11">
        <f t="shared" si="4"/>
        <v>12</v>
      </c>
      <c r="Z36" s="11">
        <f t="shared" si="5"/>
        <v>30.14</v>
      </c>
      <c r="AA36" s="11">
        <f t="shared" si="6"/>
        <v>106</v>
      </c>
      <c r="AB36" s="11">
        <f t="shared" si="6"/>
        <v>109.63</v>
      </c>
      <c r="AC36" s="42">
        <f t="shared" si="15"/>
        <v>5888</v>
      </c>
      <c r="AD36" s="83">
        <f t="shared" si="16"/>
        <v>624128</v>
      </c>
      <c r="AE36" s="83">
        <f t="shared" si="17"/>
        <v>645501.43999999994</v>
      </c>
      <c r="AF36" s="83">
        <f t="shared" si="18"/>
        <v>1269629.4399999999</v>
      </c>
      <c r="AG36" s="11"/>
      <c r="AH36" s="11"/>
      <c r="AI36" s="78"/>
      <c r="AJ36" s="78"/>
      <c r="AK36" s="78"/>
      <c r="AL36" s="78"/>
      <c r="AM36" s="78"/>
      <c r="AN36" s="78"/>
      <c r="AO36" s="78"/>
      <c r="AP36" s="78"/>
      <c r="AQ36" s="3" t="s">
        <v>72</v>
      </c>
      <c r="AR36" s="3" t="s">
        <v>83</v>
      </c>
      <c r="AS36" s="3" t="s">
        <v>778</v>
      </c>
      <c r="AT36" s="49">
        <v>5888</v>
      </c>
      <c r="AU36" s="3" t="str">
        <f t="shared" si="11"/>
        <v>match</v>
      </c>
      <c r="AV36" s="3" t="str">
        <f t="shared" si="12"/>
        <v>match</v>
      </c>
    </row>
    <row r="37" spans="1:48" ht="12">
      <c r="A37" s="9" t="s">
        <v>72</v>
      </c>
      <c r="B37" s="12" t="s">
        <v>85</v>
      </c>
      <c r="C37" s="13" t="s">
        <v>86</v>
      </c>
      <c r="D37" s="8"/>
      <c r="E37" s="39">
        <v>57</v>
      </c>
      <c r="F37" s="39"/>
      <c r="G37" s="39"/>
      <c r="H37" s="39"/>
      <c r="I37" s="39"/>
      <c r="J37" s="39"/>
      <c r="K37" s="39">
        <f t="shared" si="0"/>
        <v>57</v>
      </c>
      <c r="L37" s="39">
        <f t="shared" si="1"/>
        <v>41.04</v>
      </c>
      <c r="M37" s="39"/>
      <c r="N37" s="39"/>
      <c r="O37" s="39">
        <v>2</v>
      </c>
      <c r="P37" s="39"/>
      <c r="Q37" s="39">
        <v>5</v>
      </c>
      <c r="R37" s="39">
        <f t="shared" si="2"/>
        <v>7</v>
      </c>
      <c r="S37" s="39">
        <f t="shared" si="3"/>
        <v>8.4699999999999989</v>
      </c>
      <c r="T37" s="39"/>
      <c r="U37" s="39"/>
      <c r="V37" s="39"/>
      <c r="W37" s="39"/>
      <c r="X37" s="39">
        <v>4</v>
      </c>
      <c r="Y37" s="39">
        <f t="shared" si="4"/>
        <v>4</v>
      </c>
      <c r="Z37" s="39">
        <f t="shared" si="5"/>
        <v>10.96</v>
      </c>
      <c r="AA37" s="39">
        <f t="shared" si="6"/>
        <v>68</v>
      </c>
      <c r="AB37" s="39">
        <f t="shared" si="6"/>
        <v>60.47</v>
      </c>
      <c r="AC37" s="41">
        <f t="shared" si="15"/>
        <v>5901</v>
      </c>
      <c r="AD37" s="82">
        <f t="shared" si="16"/>
        <v>401268</v>
      </c>
      <c r="AE37" s="82">
        <f t="shared" si="17"/>
        <v>356833.47</v>
      </c>
      <c r="AF37" s="82">
        <f t="shared" si="18"/>
        <v>758101.47</v>
      </c>
      <c r="AG37" s="39"/>
      <c r="AH37" s="39"/>
      <c r="AI37" s="79"/>
      <c r="AJ37" s="79"/>
      <c r="AK37" s="79"/>
      <c r="AL37" s="79"/>
      <c r="AM37" s="79"/>
      <c r="AN37" s="79"/>
      <c r="AO37" s="79"/>
      <c r="AP37" s="79"/>
      <c r="AQ37" s="3" t="s">
        <v>72</v>
      </c>
      <c r="AR37" s="3" t="s">
        <v>85</v>
      </c>
      <c r="AS37" s="3" t="s">
        <v>779</v>
      </c>
      <c r="AT37" s="49">
        <v>5901</v>
      </c>
      <c r="AU37" s="3" t="str">
        <f t="shared" si="11"/>
        <v>match</v>
      </c>
      <c r="AV37" s="3" t="str">
        <f t="shared" si="12"/>
        <v>match</v>
      </c>
    </row>
    <row r="38" spans="1:48" ht="12">
      <c r="A38" s="9" t="s">
        <v>72</v>
      </c>
      <c r="B38" s="10" t="s">
        <v>87</v>
      </c>
      <c r="C38" s="56" t="s">
        <v>88</v>
      </c>
      <c r="D38" s="56"/>
      <c r="E38" s="11">
        <v>57</v>
      </c>
      <c r="F38" s="11"/>
      <c r="G38" s="11"/>
      <c r="H38" s="11"/>
      <c r="I38" s="11"/>
      <c r="J38" s="11"/>
      <c r="K38" s="11">
        <f t="shared" si="0"/>
        <v>57</v>
      </c>
      <c r="L38" s="11">
        <f t="shared" si="1"/>
        <v>41.04</v>
      </c>
      <c r="M38" s="11"/>
      <c r="N38" s="11"/>
      <c r="O38" s="11"/>
      <c r="P38" s="11"/>
      <c r="Q38" s="11">
        <v>17</v>
      </c>
      <c r="R38" s="11">
        <f t="shared" si="2"/>
        <v>17</v>
      </c>
      <c r="S38" s="11">
        <f t="shared" si="3"/>
        <v>20.57</v>
      </c>
      <c r="T38" s="11"/>
      <c r="U38" s="11">
        <v>1</v>
      </c>
      <c r="V38" s="11"/>
      <c r="W38" s="11"/>
      <c r="X38" s="11">
        <v>6</v>
      </c>
      <c r="Y38" s="11">
        <f t="shared" si="4"/>
        <v>7</v>
      </c>
      <c r="Z38" s="11">
        <f t="shared" si="5"/>
        <v>17.810000000000002</v>
      </c>
      <c r="AA38" s="11">
        <f t="shared" si="6"/>
        <v>81</v>
      </c>
      <c r="AB38" s="11">
        <f t="shared" si="6"/>
        <v>79.42</v>
      </c>
      <c r="AC38" s="42">
        <f t="shared" si="15"/>
        <v>5898</v>
      </c>
      <c r="AD38" s="83">
        <f t="shared" si="16"/>
        <v>477738</v>
      </c>
      <c r="AE38" s="83">
        <f t="shared" si="17"/>
        <v>468419.16000000003</v>
      </c>
      <c r="AF38" s="83">
        <f t="shared" si="18"/>
        <v>946157.16</v>
      </c>
      <c r="AG38" s="11"/>
      <c r="AH38" s="11"/>
      <c r="AI38" s="78"/>
      <c r="AJ38" s="78"/>
      <c r="AK38" s="78"/>
      <c r="AL38" s="78"/>
      <c r="AM38" s="78"/>
      <c r="AN38" s="78"/>
      <c r="AO38" s="78"/>
      <c r="AP38" s="78"/>
      <c r="AQ38" s="3" t="s">
        <v>72</v>
      </c>
      <c r="AR38" s="3" t="s">
        <v>87</v>
      </c>
      <c r="AS38" s="3" t="s">
        <v>780</v>
      </c>
      <c r="AT38" s="49">
        <v>5898</v>
      </c>
      <c r="AU38" s="3" t="str">
        <f t="shared" si="11"/>
        <v>match</v>
      </c>
      <c r="AV38" s="3" t="str">
        <f t="shared" si="12"/>
        <v>match</v>
      </c>
    </row>
    <row r="39" spans="1:48" ht="12">
      <c r="A39" s="9" t="s">
        <v>72</v>
      </c>
      <c r="B39" s="12" t="s">
        <v>89</v>
      </c>
      <c r="C39" s="13" t="s">
        <v>90</v>
      </c>
      <c r="D39" s="8"/>
      <c r="E39" s="39">
        <v>44</v>
      </c>
      <c r="F39" s="39"/>
      <c r="G39" s="39"/>
      <c r="H39" s="39"/>
      <c r="I39" s="39"/>
      <c r="J39" s="39"/>
      <c r="K39" s="39">
        <f t="shared" si="0"/>
        <v>44</v>
      </c>
      <c r="L39" s="39">
        <f t="shared" si="1"/>
        <v>31.68</v>
      </c>
      <c r="M39" s="39"/>
      <c r="N39" s="39"/>
      <c r="O39" s="39">
        <v>2</v>
      </c>
      <c r="P39" s="39"/>
      <c r="Q39" s="39">
        <v>14</v>
      </c>
      <c r="R39" s="39">
        <f t="shared" si="2"/>
        <v>16</v>
      </c>
      <c r="S39" s="39">
        <f t="shared" si="3"/>
        <v>19.36</v>
      </c>
      <c r="T39" s="39"/>
      <c r="U39" s="39"/>
      <c r="V39" s="39">
        <v>1</v>
      </c>
      <c r="W39" s="39"/>
      <c r="X39" s="39">
        <v>4</v>
      </c>
      <c r="Y39" s="39">
        <f t="shared" si="4"/>
        <v>5</v>
      </c>
      <c r="Z39" s="39">
        <f t="shared" si="5"/>
        <v>13.700000000000001</v>
      </c>
      <c r="AA39" s="39">
        <f t="shared" si="6"/>
        <v>65</v>
      </c>
      <c r="AB39" s="39">
        <f t="shared" si="6"/>
        <v>64.739999999999995</v>
      </c>
      <c r="AC39" s="41">
        <f t="shared" si="15"/>
        <v>5992</v>
      </c>
      <c r="AD39" s="82">
        <f t="shared" si="16"/>
        <v>389480</v>
      </c>
      <c r="AE39" s="82">
        <f t="shared" si="17"/>
        <v>387922.07999999996</v>
      </c>
      <c r="AF39" s="82">
        <f t="shared" si="18"/>
        <v>777402.08</v>
      </c>
      <c r="AG39" s="39"/>
      <c r="AH39" s="39"/>
      <c r="AI39" s="79"/>
      <c r="AJ39" s="79"/>
      <c r="AK39" s="79"/>
      <c r="AL39" s="79"/>
      <c r="AM39" s="79"/>
      <c r="AN39" s="79"/>
      <c r="AO39" s="79"/>
      <c r="AP39" s="79"/>
      <c r="AQ39" s="3" t="s">
        <v>72</v>
      </c>
      <c r="AR39" s="3" t="s">
        <v>89</v>
      </c>
      <c r="AS39" s="3" t="s">
        <v>781</v>
      </c>
      <c r="AT39" s="49">
        <v>5992</v>
      </c>
      <c r="AU39" s="3" t="str">
        <f t="shared" si="11"/>
        <v>match</v>
      </c>
      <c r="AV39" s="3" t="str">
        <f t="shared" si="12"/>
        <v>match</v>
      </c>
    </row>
    <row r="40" spans="1:48" ht="12">
      <c r="A40" s="9" t="s">
        <v>72</v>
      </c>
      <c r="B40" s="10" t="s">
        <v>91</v>
      </c>
      <c r="C40" s="56" t="s">
        <v>92</v>
      </c>
      <c r="D40" s="56"/>
      <c r="E40" s="11">
        <v>34</v>
      </c>
      <c r="F40" s="11"/>
      <c r="G40" s="11"/>
      <c r="H40" s="11"/>
      <c r="I40" s="11"/>
      <c r="J40" s="11"/>
      <c r="K40" s="11">
        <f t="shared" si="0"/>
        <v>34</v>
      </c>
      <c r="L40" s="11">
        <f t="shared" si="1"/>
        <v>24.48</v>
      </c>
      <c r="M40" s="11"/>
      <c r="N40" s="11">
        <v>1</v>
      </c>
      <c r="O40" s="11">
        <v>3</v>
      </c>
      <c r="P40" s="11"/>
      <c r="Q40" s="11">
        <v>11</v>
      </c>
      <c r="R40" s="11">
        <f t="shared" si="2"/>
        <v>15</v>
      </c>
      <c r="S40" s="11">
        <f t="shared" si="3"/>
        <v>17.549999999999997</v>
      </c>
      <c r="T40" s="11"/>
      <c r="U40" s="11"/>
      <c r="V40" s="11"/>
      <c r="W40" s="11"/>
      <c r="X40" s="11">
        <v>4</v>
      </c>
      <c r="Y40" s="11">
        <f t="shared" si="4"/>
        <v>4</v>
      </c>
      <c r="Z40" s="11">
        <f t="shared" si="5"/>
        <v>10.96</v>
      </c>
      <c r="AA40" s="11">
        <f t="shared" si="6"/>
        <v>53</v>
      </c>
      <c r="AB40" s="11">
        <f t="shared" si="6"/>
        <v>52.99</v>
      </c>
      <c r="AC40" s="42">
        <f t="shared" si="15"/>
        <v>6053</v>
      </c>
      <c r="AD40" s="83">
        <f t="shared" si="16"/>
        <v>320809</v>
      </c>
      <c r="AE40" s="83">
        <f t="shared" si="17"/>
        <v>320748.47000000003</v>
      </c>
      <c r="AF40" s="83">
        <f t="shared" si="18"/>
        <v>641557.47</v>
      </c>
      <c r="AG40" s="11"/>
      <c r="AH40" s="11"/>
      <c r="AI40" s="78"/>
      <c r="AJ40" s="78"/>
      <c r="AK40" s="78"/>
      <c r="AL40" s="78"/>
      <c r="AM40" s="78"/>
      <c r="AN40" s="78"/>
      <c r="AO40" s="78"/>
      <c r="AP40" s="78"/>
      <c r="AQ40" s="3" t="s">
        <v>72</v>
      </c>
      <c r="AR40" s="3" t="s">
        <v>91</v>
      </c>
      <c r="AS40" s="3" t="s">
        <v>92</v>
      </c>
      <c r="AT40" s="49">
        <v>6053</v>
      </c>
      <c r="AU40" s="3" t="str">
        <f t="shared" si="11"/>
        <v>match</v>
      </c>
      <c r="AV40" s="3" t="str">
        <f t="shared" si="12"/>
        <v>match</v>
      </c>
    </row>
    <row r="41" spans="1:48" ht="12">
      <c r="A41" s="9" t="s">
        <v>72</v>
      </c>
      <c r="B41" s="12" t="s">
        <v>93</v>
      </c>
      <c r="C41" s="13" t="s">
        <v>94</v>
      </c>
      <c r="D41" s="8"/>
      <c r="E41" s="39">
        <v>344</v>
      </c>
      <c r="F41" s="39">
        <v>3</v>
      </c>
      <c r="G41" s="39"/>
      <c r="H41" s="39"/>
      <c r="I41" s="39"/>
      <c r="J41" s="39"/>
      <c r="K41" s="39">
        <f t="shared" si="0"/>
        <v>347</v>
      </c>
      <c r="L41" s="39">
        <f t="shared" si="1"/>
        <v>249.84</v>
      </c>
      <c r="M41" s="39">
        <v>2</v>
      </c>
      <c r="N41" s="39">
        <v>11</v>
      </c>
      <c r="O41" s="39">
        <v>15</v>
      </c>
      <c r="P41" s="39"/>
      <c r="Q41" s="39">
        <v>107</v>
      </c>
      <c r="R41" s="39">
        <f t="shared" si="2"/>
        <v>135</v>
      </c>
      <c r="S41" s="39">
        <f t="shared" si="3"/>
        <v>156.75</v>
      </c>
      <c r="T41" s="39"/>
      <c r="U41" s="39">
        <v>2</v>
      </c>
      <c r="V41" s="39">
        <v>3</v>
      </c>
      <c r="W41" s="39"/>
      <c r="X41" s="39">
        <v>51</v>
      </c>
      <c r="Y41" s="39">
        <f t="shared" si="4"/>
        <v>56</v>
      </c>
      <c r="Z41" s="39">
        <f t="shared" si="5"/>
        <v>150.70000000000002</v>
      </c>
      <c r="AA41" s="39">
        <f t="shared" si="6"/>
        <v>538</v>
      </c>
      <c r="AB41" s="39">
        <f t="shared" si="6"/>
        <v>557.29000000000008</v>
      </c>
      <c r="AC41" s="41">
        <f t="shared" si="15"/>
        <v>5890</v>
      </c>
      <c r="AD41" s="82">
        <f t="shared" si="16"/>
        <v>3168820</v>
      </c>
      <c r="AE41" s="82">
        <f t="shared" si="17"/>
        <v>3282438.1000000006</v>
      </c>
      <c r="AF41" s="82">
        <f t="shared" si="18"/>
        <v>6451258.1000000006</v>
      </c>
      <c r="AG41" s="39"/>
      <c r="AH41" s="39"/>
      <c r="AI41" s="79"/>
      <c r="AJ41" s="79"/>
      <c r="AK41" s="79"/>
      <c r="AL41" s="79"/>
      <c r="AM41" s="79"/>
      <c r="AN41" s="79"/>
      <c r="AO41" s="79"/>
      <c r="AP41" s="79"/>
      <c r="AQ41" s="3" t="s">
        <v>72</v>
      </c>
      <c r="AR41" s="3" t="s">
        <v>93</v>
      </c>
      <c r="AS41" s="3" t="s">
        <v>782</v>
      </c>
      <c r="AT41" s="49">
        <v>5890</v>
      </c>
      <c r="AU41" s="3" t="str">
        <f t="shared" si="11"/>
        <v>match</v>
      </c>
      <c r="AV41" s="3" t="str">
        <f t="shared" si="12"/>
        <v>match</v>
      </c>
    </row>
    <row r="42" spans="1:48" ht="12">
      <c r="A42" s="9" t="s">
        <v>72</v>
      </c>
      <c r="B42" s="10" t="s">
        <v>95</v>
      </c>
      <c r="C42" s="56" t="s">
        <v>96</v>
      </c>
      <c r="D42" s="56"/>
      <c r="E42" s="11">
        <v>152</v>
      </c>
      <c r="F42" s="11"/>
      <c r="G42" s="11"/>
      <c r="H42" s="11"/>
      <c r="I42" s="11"/>
      <c r="J42" s="11"/>
      <c r="K42" s="11">
        <f t="shared" si="0"/>
        <v>152</v>
      </c>
      <c r="L42" s="11">
        <f t="shared" si="1"/>
        <v>109.44</v>
      </c>
      <c r="M42" s="11"/>
      <c r="N42" s="11"/>
      <c r="O42" s="11">
        <v>12</v>
      </c>
      <c r="P42" s="11"/>
      <c r="Q42" s="11">
        <v>56</v>
      </c>
      <c r="R42" s="11">
        <f t="shared" si="2"/>
        <v>68</v>
      </c>
      <c r="S42" s="11">
        <f t="shared" si="3"/>
        <v>82.28</v>
      </c>
      <c r="T42" s="11"/>
      <c r="U42" s="11"/>
      <c r="V42" s="11">
        <v>3</v>
      </c>
      <c r="W42" s="11"/>
      <c r="X42" s="11">
        <v>25</v>
      </c>
      <c r="Y42" s="11">
        <f t="shared" si="4"/>
        <v>28</v>
      </c>
      <c r="Z42" s="11">
        <f t="shared" si="5"/>
        <v>76.72</v>
      </c>
      <c r="AA42" s="11">
        <f t="shared" si="6"/>
        <v>248</v>
      </c>
      <c r="AB42" s="11">
        <f t="shared" si="6"/>
        <v>268.44</v>
      </c>
      <c r="AC42" s="42">
        <f t="shared" si="15"/>
        <v>5943</v>
      </c>
      <c r="AD42" s="83">
        <f t="shared" si="16"/>
        <v>1473864</v>
      </c>
      <c r="AE42" s="83">
        <f t="shared" si="17"/>
        <v>1595338.92</v>
      </c>
      <c r="AF42" s="83">
        <f t="shared" si="18"/>
        <v>3069202.92</v>
      </c>
      <c r="AG42" s="11"/>
      <c r="AH42" s="11"/>
      <c r="AI42" s="78"/>
      <c r="AJ42" s="78"/>
      <c r="AK42" s="78"/>
      <c r="AL42" s="78"/>
      <c r="AM42" s="78"/>
      <c r="AN42" s="78"/>
      <c r="AO42" s="78"/>
      <c r="AP42" s="78"/>
      <c r="AQ42" s="3" t="s">
        <v>72</v>
      </c>
      <c r="AR42" s="3" t="s">
        <v>95</v>
      </c>
      <c r="AS42" s="3" t="s">
        <v>783</v>
      </c>
      <c r="AT42" s="49">
        <v>5943</v>
      </c>
      <c r="AU42" s="3" t="str">
        <f t="shared" si="11"/>
        <v>match</v>
      </c>
      <c r="AV42" s="3" t="str">
        <f t="shared" si="12"/>
        <v>match</v>
      </c>
    </row>
    <row r="43" spans="1:48" ht="12">
      <c r="A43" s="9" t="s">
        <v>72</v>
      </c>
      <c r="B43" s="12" t="s">
        <v>97</v>
      </c>
      <c r="C43" s="13" t="s">
        <v>98</v>
      </c>
      <c r="D43" s="8"/>
      <c r="E43" s="39">
        <v>37</v>
      </c>
      <c r="F43" s="39"/>
      <c r="G43" s="39"/>
      <c r="H43" s="39"/>
      <c r="I43" s="39"/>
      <c r="J43" s="39"/>
      <c r="K43" s="39">
        <f t="shared" si="0"/>
        <v>37</v>
      </c>
      <c r="L43" s="39">
        <f t="shared" si="1"/>
        <v>26.64</v>
      </c>
      <c r="M43" s="39"/>
      <c r="N43" s="39">
        <v>1</v>
      </c>
      <c r="O43" s="39"/>
      <c r="P43" s="39"/>
      <c r="Q43" s="39">
        <v>5</v>
      </c>
      <c r="R43" s="39">
        <f t="shared" si="2"/>
        <v>6</v>
      </c>
      <c r="S43" s="39">
        <f t="shared" si="3"/>
        <v>6.66</v>
      </c>
      <c r="T43" s="39"/>
      <c r="U43" s="39">
        <v>2</v>
      </c>
      <c r="V43" s="39">
        <v>1</v>
      </c>
      <c r="W43" s="39"/>
      <c r="X43" s="39">
        <v>7</v>
      </c>
      <c r="Y43" s="39">
        <f t="shared" si="4"/>
        <v>10</v>
      </c>
      <c r="Z43" s="39">
        <f t="shared" si="5"/>
        <v>24.660000000000004</v>
      </c>
      <c r="AA43" s="39">
        <f t="shared" si="6"/>
        <v>53</v>
      </c>
      <c r="AB43" s="39">
        <f t="shared" si="6"/>
        <v>57.96</v>
      </c>
      <c r="AC43" s="41">
        <f t="shared" si="15"/>
        <v>5883</v>
      </c>
      <c r="AD43" s="82">
        <f t="shared" si="16"/>
        <v>311799</v>
      </c>
      <c r="AE43" s="82">
        <f t="shared" si="17"/>
        <v>340978.68</v>
      </c>
      <c r="AF43" s="82">
        <f t="shared" si="18"/>
        <v>652777.67999999993</v>
      </c>
      <c r="AG43" s="39"/>
      <c r="AH43" s="39"/>
      <c r="AI43" s="79"/>
      <c r="AJ43" s="79"/>
      <c r="AK43" s="79"/>
      <c r="AL43" s="79"/>
      <c r="AM43" s="79"/>
      <c r="AN43" s="79"/>
      <c r="AO43" s="79"/>
      <c r="AP43" s="79"/>
      <c r="AQ43" s="3" t="s">
        <v>72</v>
      </c>
      <c r="AR43" s="3" t="s">
        <v>97</v>
      </c>
      <c r="AS43" s="3" t="s">
        <v>784</v>
      </c>
      <c r="AT43" s="49">
        <v>5883</v>
      </c>
      <c r="AU43" s="3" t="str">
        <f t="shared" si="11"/>
        <v>match</v>
      </c>
      <c r="AV43" s="3" t="str">
        <f t="shared" si="12"/>
        <v>match</v>
      </c>
    </row>
    <row r="44" spans="1:48" ht="12">
      <c r="A44" s="9" t="s">
        <v>72</v>
      </c>
      <c r="B44" s="10" t="s">
        <v>99</v>
      </c>
      <c r="C44" s="56" t="s">
        <v>100</v>
      </c>
      <c r="D44" s="56"/>
      <c r="E44" s="11">
        <v>89</v>
      </c>
      <c r="F44" s="11">
        <v>1</v>
      </c>
      <c r="G44" s="11"/>
      <c r="H44" s="11"/>
      <c r="I44" s="11"/>
      <c r="J44" s="11"/>
      <c r="K44" s="11">
        <f t="shared" si="0"/>
        <v>90</v>
      </c>
      <c r="L44" s="11">
        <f t="shared" si="1"/>
        <v>64.8</v>
      </c>
      <c r="M44" s="11"/>
      <c r="N44" s="11"/>
      <c r="O44" s="11">
        <v>2</v>
      </c>
      <c r="P44" s="11"/>
      <c r="Q44" s="11">
        <v>47</v>
      </c>
      <c r="R44" s="11">
        <f t="shared" si="2"/>
        <v>49</v>
      </c>
      <c r="S44" s="11">
        <f t="shared" si="3"/>
        <v>59.29</v>
      </c>
      <c r="T44" s="11"/>
      <c r="U44" s="11"/>
      <c r="V44" s="11">
        <v>3</v>
      </c>
      <c r="W44" s="11"/>
      <c r="X44" s="11">
        <v>14</v>
      </c>
      <c r="Y44" s="11">
        <f t="shared" si="4"/>
        <v>17</v>
      </c>
      <c r="Z44" s="11">
        <f t="shared" si="5"/>
        <v>46.580000000000005</v>
      </c>
      <c r="AA44" s="11">
        <f t="shared" si="6"/>
        <v>156</v>
      </c>
      <c r="AB44" s="11">
        <f t="shared" si="6"/>
        <v>170.67000000000002</v>
      </c>
      <c r="AC44" s="42">
        <f t="shared" si="15"/>
        <v>5883</v>
      </c>
      <c r="AD44" s="83">
        <f t="shared" si="16"/>
        <v>917748</v>
      </c>
      <c r="AE44" s="83">
        <f t="shared" si="17"/>
        <v>1004051.6100000001</v>
      </c>
      <c r="AF44" s="83">
        <f t="shared" si="18"/>
        <v>1921799.61</v>
      </c>
      <c r="AG44" s="11"/>
      <c r="AH44" s="11"/>
      <c r="AI44" s="78"/>
      <c r="AJ44" s="78"/>
      <c r="AK44" s="78"/>
      <c r="AL44" s="78"/>
      <c r="AM44" s="78"/>
      <c r="AN44" s="78"/>
      <c r="AO44" s="78"/>
      <c r="AP44" s="78"/>
      <c r="AQ44" s="3" t="s">
        <v>72</v>
      </c>
      <c r="AR44" s="3" t="s">
        <v>99</v>
      </c>
      <c r="AS44" s="3" t="s">
        <v>785</v>
      </c>
      <c r="AT44" s="49">
        <v>5883</v>
      </c>
      <c r="AU44" s="3" t="str">
        <f t="shared" si="11"/>
        <v>match</v>
      </c>
      <c r="AV44" s="3" t="str">
        <f t="shared" si="12"/>
        <v>match</v>
      </c>
    </row>
    <row r="45" spans="1:48" ht="12">
      <c r="A45" s="9" t="s">
        <v>72</v>
      </c>
      <c r="B45" s="12" t="s">
        <v>101</v>
      </c>
      <c r="C45" s="13" t="s">
        <v>102</v>
      </c>
      <c r="D45" s="8"/>
      <c r="E45" s="39">
        <v>11</v>
      </c>
      <c r="F45" s="39"/>
      <c r="G45" s="39"/>
      <c r="H45" s="39"/>
      <c r="I45" s="39"/>
      <c r="J45" s="39"/>
      <c r="K45" s="39">
        <f t="shared" si="0"/>
        <v>11</v>
      </c>
      <c r="L45" s="39">
        <f t="shared" si="1"/>
        <v>7.92</v>
      </c>
      <c r="M45" s="39"/>
      <c r="N45" s="39"/>
      <c r="O45" s="39">
        <v>1</v>
      </c>
      <c r="P45" s="39"/>
      <c r="Q45" s="39">
        <v>3</v>
      </c>
      <c r="R45" s="39">
        <f t="shared" si="2"/>
        <v>4</v>
      </c>
      <c r="S45" s="39">
        <f t="shared" si="3"/>
        <v>4.84</v>
      </c>
      <c r="T45" s="39"/>
      <c r="U45" s="39"/>
      <c r="V45" s="39"/>
      <c r="W45" s="39"/>
      <c r="X45" s="39">
        <v>1</v>
      </c>
      <c r="Y45" s="39">
        <f t="shared" si="4"/>
        <v>1</v>
      </c>
      <c r="Z45" s="39">
        <f t="shared" si="5"/>
        <v>2.74</v>
      </c>
      <c r="AA45" s="39">
        <f t="shared" si="6"/>
        <v>16</v>
      </c>
      <c r="AB45" s="39">
        <f t="shared" si="6"/>
        <v>15.5</v>
      </c>
      <c r="AC45" s="41">
        <f t="shared" si="15"/>
        <v>6058</v>
      </c>
      <c r="AD45" s="82">
        <f t="shared" si="16"/>
        <v>96928</v>
      </c>
      <c r="AE45" s="82">
        <f t="shared" si="17"/>
        <v>93899</v>
      </c>
      <c r="AF45" s="82">
        <f t="shared" si="18"/>
        <v>190827</v>
      </c>
      <c r="AG45" s="39"/>
      <c r="AH45" s="39"/>
      <c r="AI45" s="79"/>
      <c r="AJ45" s="79"/>
      <c r="AK45" s="79"/>
      <c r="AL45" s="79"/>
      <c r="AM45" s="79"/>
      <c r="AN45" s="79"/>
      <c r="AO45" s="79"/>
      <c r="AP45" s="79"/>
      <c r="AQ45" s="3" t="s">
        <v>72</v>
      </c>
      <c r="AR45" s="3" t="s">
        <v>101</v>
      </c>
      <c r="AS45" s="3" t="s">
        <v>786</v>
      </c>
      <c r="AT45" s="49">
        <v>6058</v>
      </c>
      <c r="AU45" s="3" t="str">
        <f t="shared" si="11"/>
        <v>match</v>
      </c>
      <c r="AV45" s="3" t="str">
        <f t="shared" si="12"/>
        <v>match</v>
      </c>
    </row>
    <row r="46" spans="1:48" ht="12">
      <c r="A46" s="9" t="s">
        <v>72</v>
      </c>
      <c r="B46" s="10" t="s">
        <v>103</v>
      </c>
      <c r="C46" s="56" t="s">
        <v>104</v>
      </c>
      <c r="D46" s="56"/>
      <c r="E46" s="11">
        <v>44</v>
      </c>
      <c r="F46" s="11"/>
      <c r="G46" s="11"/>
      <c r="H46" s="11"/>
      <c r="I46" s="11"/>
      <c r="J46" s="11"/>
      <c r="K46" s="11">
        <f t="shared" si="0"/>
        <v>44</v>
      </c>
      <c r="L46" s="11">
        <f t="shared" si="1"/>
        <v>31.68</v>
      </c>
      <c r="M46" s="11">
        <v>1</v>
      </c>
      <c r="N46" s="11"/>
      <c r="O46" s="11"/>
      <c r="P46" s="11"/>
      <c r="Q46" s="11">
        <v>21</v>
      </c>
      <c r="R46" s="11">
        <f t="shared" si="2"/>
        <v>22</v>
      </c>
      <c r="S46" s="11">
        <f t="shared" si="3"/>
        <v>26.619999999999997</v>
      </c>
      <c r="T46" s="11">
        <v>1</v>
      </c>
      <c r="U46" s="11">
        <v>1</v>
      </c>
      <c r="V46" s="11"/>
      <c r="W46" s="11"/>
      <c r="X46" s="11">
        <v>8</v>
      </c>
      <c r="Y46" s="11">
        <f t="shared" si="4"/>
        <v>10</v>
      </c>
      <c r="Z46" s="11">
        <f t="shared" si="5"/>
        <v>26.030000000000005</v>
      </c>
      <c r="AA46" s="11">
        <f t="shared" si="6"/>
        <v>76</v>
      </c>
      <c r="AB46" s="11">
        <f t="shared" si="6"/>
        <v>84.33</v>
      </c>
      <c r="AC46" s="42">
        <f t="shared" si="15"/>
        <v>5883</v>
      </c>
      <c r="AD46" s="83">
        <f t="shared" si="16"/>
        <v>447108</v>
      </c>
      <c r="AE46" s="83">
        <f t="shared" si="17"/>
        <v>496113.39</v>
      </c>
      <c r="AF46" s="83">
        <f t="shared" si="18"/>
        <v>943221.39</v>
      </c>
      <c r="AG46" s="11"/>
      <c r="AH46" s="11"/>
      <c r="AI46" s="78"/>
      <c r="AJ46" s="78"/>
      <c r="AK46" s="78"/>
      <c r="AL46" s="78"/>
      <c r="AM46" s="78"/>
      <c r="AN46" s="78"/>
      <c r="AO46" s="78"/>
      <c r="AP46" s="78"/>
      <c r="AQ46" s="3" t="s">
        <v>72</v>
      </c>
      <c r="AR46" s="3" t="s">
        <v>103</v>
      </c>
      <c r="AS46" s="3" t="s">
        <v>787</v>
      </c>
      <c r="AT46" s="49">
        <v>5883</v>
      </c>
      <c r="AU46" s="3" t="str">
        <f t="shared" si="11"/>
        <v>match</v>
      </c>
      <c r="AV46" s="3" t="str">
        <f t="shared" si="12"/>
        <v>match</v>
      </c>
    </row>
    <row r="47" spans="1:48" ht="12">
      <c r="A47" s="9" t="s">
        <v>72</v>
      </c>
      <c r="B47" s="12" t="s">
        <v>105</v>
      </c>
      <c r="C47" s="13" t="s">
        <v>106</v>
      </c>
      <c r="D47" s="8"/>
      <c r="E47" s="39">
        <v>70</v>
      </c>
      <c r="F47" s="39"/>
      <c r="G47" s="39"/>
      <c r="H47" s="39"/>
      <c r="I47" s="39"/>
      <c r="J47" s="39"/>
      <c r="K47" s="39">
        <f t="shared" si="0"/>
        <v>70</v>
      </c>
      <c r="L47" s="39">
        <f t="shared" si="1"/>
        <v>50.4</v>
      </c>
      <c r="M47" s="39">
        <v>2</v>
      </c>
      <c r="N47" s="39"/>
      <c r="O47" s="39">
        <v>4</v>
      </c>
      <c r="P47" s="39"/>
      <c r="Q47" s="39">
        <v>10</v>
      </c>
      <c r="R47" s="39">
        <f t="shared" si="2"/>
        <v>16</v>
      </c>
      <c r="S47" s="39">
        <f t="shared" si="3"/>
        <v>19.36</v>
      </c>
      <c r="T47" s="39"/>
      <c r="U47" s="39"/>
      <c r="V47" s="39"/>
      <c r="W47" s="39"/>
      <c r="X47" s="39">
        <v>8</v>
      </c>
      <c r="Y47" s="39">
        <f t="shared" si="4"/>
        <v>8</v>
      </c>
      <c r="Z47" s="39">
        <f t="shared" si="5"/>
        <v>21.92</v>
      </c>
      <c r="AA47" s="39">
        <f t="shared" si="6"/>
        <v>94</v>
      </c>
      <c r="AB47" s="39">
        <f t="shared" si="6"/>
        <v>91.679999999999993</v>
      </c>
      <c r="AC47" s="41">
        <f t="shared" si="15"/>
        <v>5883</v>
      </c>
      <c r="AD47" s="82">
        <f t="shared" si="16"/>
        <v>553002</v>
      </c>
      <c r="AE47" s="82">
        <f t="shared" si="17"/>
        <v>539353.43999999994</v>
      </c>
      <c r="AF47" s="82">
        <f t="shared" si="18"/>
        <v>1092355.44</v>
      </c>
      <c r="AG47" s="39"/>
      <c r="AH47" s="39"/>
      <c r="AI47" s="79"/>
      <c r="AJ47" s="79"/>
      <c r="AK47" s="79"/>
      <c r="AL47" s="79"/>
      <c r="AM47" s="79"/>
      <c r="AN47" s="79"/>
      <c r="AO47" s="79"/>
      <c r="AP47" s="79"/>
      <c r="AQ47" s="3" t="s">
        <v>72</v>
      </c>
      <c r="AR47" s="3" t="s">
        <v>105</v>
      </c>
      <c r="AS47" s="13" t="s">
        <v>106</v>
      </c>
      <c r="AT47" s="49">
        <v>5883</v>
      </c>
      <c r="AU47" s="3" t="str">
        <f t="shared" si="11"/>
        <v>match</v>
      </c>
      <c r="AV47" s="3" t="str">
        <f t="shared" si="12"/>
        <v>match</v>
      </c>
    </row>
    <row r="48" spans="1:48" ht="12">
      <c r="A48" s="9" t="s">
        <v>72</v>
      </c>
      <c r="B48" s="10" t="s">
        <v>107</v>
      </c>
      <c r="C48" s="56" t="s">
        <v>108</v>
      </c>
      <c r="D48" s="56"/>
      <c r="E48" s="11">
        <v>14</v>
      </c>
      <c r="F48" s="11"/>
      <c r="G48" s="11"/>
      <c r="H48" s="11"/>
      <c r="I48" s="11"/>
      <c r="J48" s="11"/>
      <c r="K48" s="11">
        <f t="shared" si="0"/>
        <v>14</v>
      </c>
      <c r="L48" s="11">
        <f t="shared" si="1"/>
        <v>10.08</v>
      </c>
      <c r="M48" s="11"/>
      <c r="N48" s="11"/>
      <c r="O48" s="11"/>
      <c r="P48" s="11"/>
      <c r="Q48" s="11">
        <v>6</v>
      </c>
      <c r="R48" s="11">
        <f t="shared" si="2"/>
        <v>6</v>
      </c>
      <c r="S48" s="11">
        <f t="shared" si="3"/>
        <v>7.26</v>
      </c>
      <c r="T48" s="11"/>
      <c r="U48" s="11"/>
      <c r="V48" s="11"/>
      <c r="W48" s="11"/>
      <c r="X48" s="11"/>
      <c r="Y48" s="11">
        <f t="shared" si="4"/>
        <v>0</v>
      </c>
      <c r="Z48" s="11">
        <f t="shared" si="5"/>
        <v>0</v>
      </c>
      <c r="AA48" s="11">
        <f t="shared" si="6"/>
        <v>20</v>
      </c>
      <c r="AB48" s="11">
        <f t="shared" si="6"/>
        <v>17.34</v>
      </c>
      <c r="AC48" s="42">
        <f t="shared" si="15"/>
        <v>6050</v>
      </c>
      <c r="AD48" s="83">
        <f t="shared" si="16"/>
        <v>121000</v>
      </c>
      <c r="AE48" s="83">
        <f t="shared" si="17"/>
        <v>104907</v>
      </c>
      <c r="AF48" s="83">
        <f t="shared" si="18"/>
        <v>225907</v>
      </c>
      <c r="AG48" s="11"/>
      <c r="AH48" s="11"/>
      <c r="AI48" s="78"/>
      <c r="AJ48" s="78"/>
      <c r="AK48" s="78"/>
      <c r="AL48" s="78"/>
      <c r="AM48" s="78"/>
      <c r="AN48" s="78"/>
      <c r="AO48" s="78"/>
      <c r="AP48" s="78"/>
      <c r="AQ48" s="3" t="s">
        <v>72</v>
      </c>
      <c r="AR48" s="3" t="s">
        <v>107</v>
      </c>
      <c r="AS48" s="3" t="s">
        <v>788</v>
      </c>
      <c r="AT48" s="49">
        <v>6050</v>
      </c>
      <c r="AU48" s="3" t="str">
        <f t="shared" si="11"/>
        <v>match</v>
      </c>
      <c r="AV48" s="3" t="str">
        <f t="shared" si="12"/>
        <v>match</v>
      </c>
    </row>
    <row r="49" spans="1:48" ht="12">
      <c r="A49" s="9" t="s">
        <v>72</v>
      </c>
      <c r="B49" s="12" t="s">
        <v>109</v>
      </c>
      <c r="C49" s="13" t="s">
        <v>110</v>
      </c>
      <c r="D49" s="8"/>
      <c r="E49" s="39">
        <v>59</v>
      </c>
      <c r="F49" s="39"/>
      <c r="G49" s="39"/>
      <c r="H49" s="39"/>
      <c r="I49" s="39"/>
      <c r="J49" s="39"/>
      <c r="K49" s="39">
        <f t="shared" si="0"/>
        <v>59</v>
      </c>
      <c r="L49" s="39">
        <f t="shared" si="1"/>
        <v>42.48</v>
      </c>
      <c r="M49" s="39"/>
      <c r="N49" s="39">
        <v>2</v>
      </c>
      <c r="O49" s="39">
        <v>3</v>
      </c>
      <c r="P49" s="39"/>
      <c r="Q49" s="39">
        <v>12</v>
      </c>
      <c r="R49" s="39">
        <f t="shared" si="2"/>
        <v>17</v>
      </c>
      <c r="S49" s="39">
        <f t="shared" si="3"/>
        <v>19.369999999999997</v>
      </c>
      <c r="T49" s="39"/>
      <c r="U49" s="39"/>
      <c r="V49" s="39"/>
      <c r="W49" s="39"/>
      <c r="X49" s="39">
        <v>9</v>
      </c>
      <c r="Y49" s="39">
        <f t="shared" si="4"/>
        <v>9</v>
      </c>
      <c r="Z49" s="39">
        <f t="shared" si="5"/>
        <v>24.660000000000004</v>
      </c>
      <c r="AA49" s="39">
        <f t="shared" si="6"/>
        <v>85</v>
      </c>
      <c r="AB49" s="39">
        <f t="shared" si="6"/>
        <v>86.509999999999991</v>
      </c>
      <c r="AC49" s="41">
        <f t="shared" si="15"/>
        <v>5883</v>
      </c>
      <c r="AD49" s="82">
        <f t="shared" si="16"/>
        <v>500055</v>
      </c>
      <c r="AE49" s="82">
        <f t="shared" si="17"/>
        <v>508938.32999999996</v>
      </c>
      <c r="AF49" s="82">
        <f t="shared" si="18"/>
        <v>1008993.33</v>
      </c>
      <c r="AG49" s="39"/>
      <c r="AH49" s="39"/>
      <c r="AI49" s="79"/>
      <c r="AJ49" s="79"/>
      <c r="AK49" s="79"/>
      <c r="AL49" s="79"/>
      <c r="AM49" s="79"/>
      <c r="AN49" s="79"/>
      <c r="AO49" s="79"/>
      <c r="AP49" s="79"/>
      <c r="AQ49" s="3" t="s">
        <v>72</v>
      </c>
      <c r="AR49" s="3" t="s">
        <v>109</v>
      </c>
      <c r="AS49" s="3" t="s">
        <v>789</v>
      </c>
      <c r="AT49" s="49">
        <v>5883</v>
      </c>
      <c r="AU49" s="3" t="str">
        <f t="shared" si="11"/>
        <v>match</v>
      </c>
      <c r="AV49" s="3" t="str">
        <f t="shared" si="12"/>
        <v>match</v>
      </c>
    </row>
    <row r="50" spans="1:48" ht="12">
      <c r="A50" s="9" t="s">
        <v>72</v>
      </c>
      <c r="B50" s="10" t="s">
        <v>111</v>
      </c>
      <c r="C50" s="56" t="s">
        <v>112</v>
      </c>
      <c r="D50" s="56"/>
      <c r="E50" s="11">
        <v>55</v>
      </c>
      <c r="F50" s="11"/>
      <c r="G50" s="11"/>
      <c r="H50" s="11"/>
      <c r="I50" s="11"/>
      <c r="J50" s="11"/>
      <c r="K50" s="11">
        <f t="shared" si="0"/>
        <v>55</v>
      </c>
      <c r="L50" s="11">
        <f t="shared" si="1"/>
        <v>39.6</v>
      </c>
      <c r="M50" s="11"/>
      <c r="N50" s="11"/>
      <c r="O50" s="11"/>
      <c r="P50" s="11"/>
      <c r="Q50" s="11">
        <v>35</v>
      </c>
      <c r="R50" s="11">
        <f t="shared" si="2"/>
        <v>35</v>
      </c>
      <c r="S50" s="11">
        <f t="shared" si="3"/>
        <v>42.35</v>
      </c>
      <c r="T50" s="11"/>
      <c r="U50" s="11">
        <v>1</v>
      </c>
      <c r="V50" s="11">
        <v>1</v>
      </c>
      <c r="W50" s="11"/>
      <c r="X50" s="11">
        <v>13</v>
      </c>
      <c r="Y50" s="11">
        <f t="shared" si="4"/>
        <v>15</v>
      </c>
      <c r="Z50" s="11">
        <f t="shared" si="5"/>
        <v>39.729999999999997</v>
      </c>
      <c r="AA50" s="11">
        <f t="shared" si="6"/>
        <v>105</v>
      </c>
      <c r="AB50" s="11">
        <f t="shared" si="6"/>
        <v>121.68</v>
      </c>
      <c r="AC50" s="42">
        <f t="shared" si="15"/>
        <v>5883</v>
      </c>
      <c r="AD50" s="83">
        <f t="shared" si="16"/>
        <v>617715</v>
      </c>
      <c r="AE50" s="83">
        <f t="shared" si="17"/>
        <v>715843.44000000006</v>
      </c>
      <c r="AF50" s="83">
        <f t="shared" si="18"/>
        <v>1333558.44</v>
      </c>
      <c r="AG50" s="11"/>
      <c r="AH50" s="11"/>
      <c r="AI50" s="78"/>
      <c r="AJ50" s="78"/>
      <c r="AK50" s="78"/>
      <c r="AL50" s="78"/>
      <c r="AM50" s="78"/>
      <c r="AN50" s="78"/>
      <c r="AO50" s="78"/>
      <c r="AP50" s="78"/>
      <c r="AQ50" s="3" t="s">
        <v>72</v>
      </c>
      <c r="AR50" s="3" t="s">
        <v>111</v>
      </c>
      <c r="AS50" s="3" t="s">
        <v>790</v>
      </c>
      <c r="AT50" s="49">
        <v>5883</v>
      </c>
      <c r="AU50" s="3" t="str">
        <f t="shared" si="11"/>
        <v>match</v>
      </c>
      <c r="AV50" s="3" t="str">
        <f t="shared" si="12"/>
        <v>match</v>
      </c>
    </row>
    <row r="51" spans="1:48" ht="12">
      <c r="A51" s="9" t="s">
        <v>72</v>
      </c>
      <c r="B51" s="12" t="s">
        <v>113</v>
      </c>
      <c r="C51" s="13" t="s">
        <v>114</v>
      </c>
      <c r="D51" s="8"/>
      <c r="E51" s="39">
        <v>63</v>
      </c>
      <c r="F51" s="39"/>
      <c r="G51" s="39"/>
      <c r="H51" s="39"/>
      <c r="I51" s="39"/>
      <c r="J51" s="39"/>
      <c r="K51" s="39">
        <f t="shared" si="0"/>
        <v>63</v>
      </c>
      <c r="L51" s="39">
        <f t="shared" si="1"/>
        <v>45.36</v>
      </c>
      <c r="M51" s="39"/>
      <c r="N51" s="39"/>
      <c r="O51" s="39">
        <v>1</v>
      </c>
      <c r="P51" s="39"/>
      <c r="Q51" s="39">
        <v>32</v>
      </c>
      <c r="R51" s="39">
        <f t="shared" si="2"/>
        <v>33</v>
      </c>
      <c r="S51" s="39">
        <f t="shared" si="3"/>
        <v>39.93</v>
      </c>
      <c r="T51" s="39"/>
      <c r="U51" s="39"/>
      <c r="V51" s="39"/>
      <c r="W51" s="39"/>
      <c r="X51" s="39">
        <v>16</v>
      </c>
      <c r="Y51" s="39">
        <f t="shared" si="4"/>
        <v>16</v>
      </c>
      <c r="Z51" s="39">
        <f t="shared" si="5"/>
        <v>43.84</v>
      </c>
      <c r="AA51" s="39">
        <f t="shared" si="6"/>
        <v>112</v>
      </c>
      <c r="AB51" s="39">
        <f t="shared" si="6"/>
        <v>129.13</v>
      </c>
      <c r="AC51" s="41">
        <f t="shared" si="15"/>
        <v>5967</v>
      </c>
      <c r="AD51" s="82">
        <f t="shared" si="16"/>
        <v>668304</v>
      </c>
      <c r="AE51" s="82">
        <f t="shared" si="17"/>
        <v>770518.71</v>
      </c>
      <c r="AF51" s="82">
        <f t="shared" si="18"/>
        <v>1438822.71</v>
      </c>
      <c r="AG51" s="39"/>
      <c r="AH51" s="39"/>
      <c r="AI51" s="79"/>
      <c r="AJ51" s="79"/>
      <c r="AK51" s="79"/>
      <c r="AL51" s="79"/>
      <c r="AM51" s="79"/>
      <c r="AN51" s="79"/>
      <c r="AO51" s="79"/>
      <c r="AP51" s="79"/>
      <c r="AQ51" s="3" t="s">
        <v>72</v>
      </c>
      <c r="AR51" s="3" t="s">
        <v>113</v>
      </c>
      <c r="AS51" s="3" t="s">
        <v>791</v>
      </c>
      <c r="AT51" s="49">
        <v>5967</v>
      </c>
      <c r="AU51" s="3" t="str">
        <f t="shared" si="11"/>
        <v>match</v>
      </c>
      <c r="AV51" s="3" t="str">
        <f t="shared" si="12"/>
        <v>match</v>
      </c>
    </row>
    <row r="52" spans="1:48" ht="12">
      <c r="A52" s="9" t="s">
        <v>72</v>
      </c>
      <c r="B52" s="10" t="s">
        <v>115</v>
      </c>
      <c r="C52" s="56" t="s">
        <v>116</v>
      </c>
      <c r="D52" s="56"/>
      <c r="E52" s="11">
        <v>76</v>
      </c>
      <c r="F52" s="11"/>
      <c r="G52" s="11"/>
      <c r="H52" s="11"/>
      <c r="I52" s="11"/>
      <c r="J52" s="11"/>
      <c r="K52" s="11">
        <f t="shared" si="0"/>
        <v>76</v>
      </c>
      <c r="L52" s="11">
        <f t="shared" si="1"/>
        <v>54.72</v>
      </c>
      <c r="M52" s="11"/>
      <c r="N52" s="11">
        <v>1</v>
      </c>
      <c r="O52" s="11">
        <v>1</v>
      </c>
      <c r="P52" s="11"/>
      <c r="Q52" s="11">
        <v>30</v>
      </c>
      <c r="R52" s="11">
        <f t="shared" si="2"/>
        <v>32</v>
      </c>
      <c r="S52" s="11">
        <f t="shared" si="3"/>
        <v>38.119999999999997</v>
      </c>
      <c r="T52" s="11"/>
      <c r="U52" s="11"/>
      <c r="V52" s="11"/>
      <c r="W52" s="11"/>
      <c r="X52" s="11">
        <v>22</v>
      </c>
      <c r="Y52" s="11">
        <f t="shared" si="4"/>
        <v>22</v>
      </c>
      <c r="Z52" s="11">
        <f t="shared" si="5"/>
        <v>60.28</v>
      </c>
      <c r="AA52" s="11">
        <f t="shared" si="6"/>
        <v>130</v>
      </c>
      <c r="AB52" s="11">
        <f t="shared" si="6"/>
        <v>153.12</v>
      </c>
      <c r="AC52" s="42">
        <f t="shared" si="15"/>
        <v>5883</v>
      </c>
      <c r="AD52" s="83">
        <f t="shared" si="16"/>
        <v>764790</v>
      </c>
      <c r="AE52" s="83">
        <f t="shared" si="17"/>
        <v>900804.96000000008</v>
      </c>
      <c r="AF52" s="83">
        <f t="shared" si="18"/>
        <v>1665594.96</v>
      </c>
      <c r="AG52" s="11"/>
      <c r="AH52" s="11"/>
      <c r="AI52" s="78"/>
      <c r="AJ52" s="78"/>
      <c r="AK52" s="78"/>
      <c r="AL52" s="78"/>
      <c r="AM52" s="78"/>
      <c r="AN52" s="78"/>
      <c r="AO52" s="78"/>
      <c r="AP52" s="78"/>
      <c r="AQ52" s="3" t="s">
        <v>72</v>
      </c>
      <c r="AR52" s="3" t="s">
        <v>115</v>
      </c>
      <c r="AS52" s="3" t="s">
        <v>792</v>
      </c>
      <c r="AT52" s="49">
        <v>5883</v>
      </c>
      <c r="AU52" s="3" t="str">
        <f t="shared" si="11"/>
        <v>match</v>
      </c>
      <c r="AV52" s="3" t="str">
        <f t="shared" si="12"/>
        <v>match</v>
      </c>
    </row>
    <row r="53" spans="1:48" ht="12">
      <c r="A53" s="9" t="s">
        <v>72</v>
      </c>
      <c r="B53" s="12" t="s">
        <v>117</v>
      </c>
      <c r="C53" s="13" t="s">
        <v>118</v>
      </c>
      <c r="D53" s="8"/>
      <c r="E53" s="39">
        <v>143</v>
      </c>
      <c r="F53" s="39"/>
      <c r="G53" s="39"/>
      <c r="H53" s="39"/>
      <c r="I53" s="39"/>
      <c r="J53" s="39"/>
      <c r="K53" s="39">
        <f t="shared" si="0"/>
        <v>143</v>
      </c>
      <c r="L53" s="39">
        <f t="shared" si="1"/>
        <v>102.96</v>
      </c>
      <c r="M53" s="39"/>
      <c r="N53" s="39">
        <v>1</v>
      </c>
      <c r="O53" s="39">
        <v>8</v>
      </c>
      <c r="P53" s="39"/>
      <c r="Q53" s="39">
        <v>43</v>
      </c>
      <c r="R53" s="39">
        <f t="shared" si="2"/>
        <v>52</v>
      </c>
      <c r="S53" s="39">
        <f t="shared" si="3"/>
        <v>62.32</v>
      </c>
      <c r="T53" s="39"/>
      <c r="U53" s="39"/>
      <c r="V53" s="39">
        <v>1</v>
      </c>
      <c r="W53" s="39"/>
      <c r="X53" s="39">
        <v>15</v>
      </c>
      <c r="Y53" s="39">
        <f t="shared" si="4"/>
        <v>16</v>
      </c>
      <c r="Z53" s="39">
        <f t="shared" si="5"/>
        <v>43.84</v>
      </c>
      <c r="AA53" s="39">
        <f t="shared" si="6"/>
        <v>211</v>
      </c>
      <c r="AB53" s="39">
        <f t="shared" si="6"/>
        <v>209.12</v>
      </c>
      <c r="AC53" s="41">
        <f t="shared" si="15"/>
        <v>5883</v>
      </c>
      <c r="AD53" s="82">
        <f t="shared" si="16"/>
        <v>1241313</v>
      </c>
      <c r="AE53" s="82">
        <f t="shared" si="17"/>
        <v>1230252.96</v>
      </c>
      <c r="AF53" s="82">
        <f t="shared" si="18"/>
        <v>2471565.96</v>
      </c>
      <c r="AG53" s="39"/>
      <c r="AH53" s="39"/>
      <c r="AI53" s="79"/>
      <c r="AJ53" s="79"/>
      <c r="AK53" s="79"/>
      <c r="AL53" s="79"/>
      <c r="AM53" s="79"/>
      <c r="AN53" s="79"/>
      <c r="AO53" s="79"/>
      <c r="AP53" s="79"/>
      <c r="AQ53" s="3" t="s">
        <v>72</v>
      </c>
      <c r="AR53" s="3" t="s">
        <v>117</v>
      </c>
      <c r="AS53" s="3" t="s">
        <v>793</v>
      </c>
      <c r="AT53" s="49">
        <v>5883</v>
      </c>
      <c r="AU53" s="3" t="str">
        <f t="shared" si="11"/>
        <v>match</v>
      </c>
      <c r="AV53" s="3" t="str">
        <f t="shared" si="12"/>
        <v>match</v>
      </c>
    </row>
    <row r="54" spans="1:48" ht="12">
      <c r="A54" s="9" t="s">
        <v>72</v>
      </c>
      <c r="B54" s="10" t="s">
        <v>119</v>
      </c>
      <c r="C54" s="56" t="s">
        <v>120</v>
      </c>
      <c r="D54" s="56"/>
      <c r="E54" s="11">
        <v>54</v>
      </c>
      <c r="F54" s="11"/>
      <c r="G54" s="11"/>
      <c r="H54" s="11"/>
      <c r="I54" s="11"/>
      <c r="J54" s="11"/>
      <c r="K54" s="11">
        <f t="shared" si="0"/>
        <v>54</v>
      </c>
      <c r="L54" s="11">
        <f t="shared" si="1"/>
        <v>38.879999999999995</v>
      </c>
      <c r="M54" s="11"/>
      <c r="N54" s="11"/>
      <c r="O54" s="11">
        <v>4</v>
      </c>
      <c r="P54" s="11"/>
      <c r="Q54" s="11">
        <v>22</v>
      </c>
      <c r="R54" s="11">
        <f t="shared" si="2"/>
        <v>26</v>
      </c>
      <c r="S54" s="11">
        <f t="shared" si="3"/>
        <v>31.46</v>
      </c>
      <c r="T54" s="11"/>
      <c r="U54" s="11"/>
      <c r="V54" s="11">
        <v>1</v>
      </c>
      <c r="W54" s="11"/>
      <c r="X54" s="11">
        <v>8</v>
      </c>
      <c r="Y54" s="11">
        <f t="shared" si="4"/>
        <v>9</v>
      </c>
      <c r="Z54" s="11">
        <f t="shared" si="5"/>
        <v>24.660000000000004</v>
      </c>
      <c r="AA54" s="11">
        <f t="shared" si="6"/>
        <v>89</v>
      </c>
      <c r="AB54" s="11">
        <f t="shared" si="6"/>
        <v>95</v>
      </c>
      <c r="AC54" s="42">
        <f t="shared" si="15"/>
        <v>5883</v>
      </c>
      <c r="AD54" s="83">
        <f t="shared" si="16"/>
        <v>523587</v>
      </c>
      <c r="AE54" s="83">
        <f t="shared" si="17"/>
        <v>558885</v>
      </c>
      <c r="AF54" s="83">
        <f t="shared" si="18"/>
        <v>1082472</v>
      </c>
      <c r="AG54" s="11"/>
      <c r="AH54" s="11"/>
      <c r="AI54" s="78"/>
      <c r="AJ54" s="78"/>
      <c r="AK54" s="78"/>
      <c r="AL54" s="78"/>
      <c r="AM54" s="78"/>
      <c r="AN54" s="78"/>
      <c r="AO54" s="78"/>
      <c r="AP54" s="78"/>
      <c r="AQ54" s="3" t="s">
        <v>72</v>
      </c>
      <c r="AR54" s="3" t="s">
        <v>119</v>
      </c>
      <c r="AS54" s="3" t="s">
        <v>794</v>
      </c>
      <c r="AT54" s="49">
        <v>5883</v>
      </c>
      <c r="AU54" s="3" t="str">
        <f t="shared" si="11"/>
        <v>match</v>
      </c>
      <c r="AV54" s="3" t="str">
        <f t="shared" si="12"/>
        <v>match</v>
      </c>
    </row>
    <row r="55" spans="1:48" ht="12">
      <c r="A55" s="9" t="s">
        <v>72</v>
      </c>
      <c r="B55" s="12" t="s">
        <v>121</v>
      </c>
      <c r="C55" s="13" t="s">
        <v>122</v>
      </c>
      <c r="D55" s="8"/>
      <c r="E55" s="39">
        <v>47</v>
      </c>
      <c r="F55" s="39"/>
      <c r="G55" s="39"/>
      <c r="H55" s="39"/>
      <c r="I55" s="39"/>
      <c r="J55" s="39"/>
      <c r="K55" s="39">
        <f t="shared" si="0"/>
        <v>47</v>
      </c>
      <c r="L55" s="39">
        <f t="shared" si="1"/>
        <v>33.839999999999996</v>
      </c>
      <c r="M55" s="39"/>
      <c r="N55" s="39">
        <v>6</v>
      </c>
      <c r="O55" s="39">
        <v>2</v>
      </c>
      <c r="P55" s="39"/>
      <c r="Q55" s="39">
        <v>14</v>
      </c>
      <c r="R55" s="39">
        <f t="shared" si="2"/>
        <v>22</v>
      </c>
      <c r="S55" s="39">
        <f t="shared" si="3"/>
        <v>23.02</v>
      </c>
      <c r="T55" s="39"/>
      <c r="U55" s="39"/>
      <c r="V55" s="39">
        <v>1</v>
      </c>
      <c r="W55" s="39"/>
      <c r="X55" s="39">
        <v>5</v>
      </c>
      <c r="Y55" s="39">
        <f t="shared" si="4"/>
        <v>6</v>
      </c>
      <c r="Z55" s="39">
        <f t="shared" si="5"/>
        <v>16.440000000000001</v>
      </c>
      <c r="AA55" s="39">
        <f t="shared" si="6"/>
        <v>75</v>
      </c>
      <c r="AB55" s="39">
        <f t="shared" si="6"/>
        <v>73.3</v>
      </c>
      <c r="AC55" s="41">
        <f t="shared" si="15"/>
        <v>5983</v>
      </c>
      <c r="AD55" s="82">
        <f t="shared" si="16"/>
        <v>448725</v>
      </c>
      <c r="AE55" s="82">
        <f t="shared" si="17"/>
        <v>438553.89999999997</v>
      </c>
      <c r="AF55" s="82">
        <f t="shared" si="18"/>
        <v>887278.89999999991</v>
      </c>
      <c r="AG55" s="39"/>
      <c r="AH55" s="39"/>
      <c r="AI55" s="79"/>
      <c r="AJ55" s="79"/>
      <c r="AK55" s="79"/>
      <c r="AL55" s="79"/>
      <c r="AM55" s="79"/>
      <c r="AN55" s="79"/>
      <c r="AO55" s="79"/>
      <c r="AP55" s="79"/>
      <c r="AQ55" s="3" t="s">
        <v>72</v>
      </c>
      <c r="AR55" s="3" t="s">
        <v>121</v>
      </c>
      <c r="AS55" s="3" t="s">
        <v>795</v>
      </c>
      <c r="AT55" s="49">
        <v>5983</v>
      </c>
      <c r="AU55" s="3" t="str">
        <f t="shared" si="11"/>
        <v>match</v>
      </c>
      <c r="AV55" s="3" t="str">
        <f t="shared" si="12"/>
        <v>match</v>
      </c>
    </row>
    <row r="56" spans="1:48" ht="12">
      <c r="A56" s="9" t="s">
        <v>72</v>
      </c>
      <c r="B56" s="10" t="s">
        <v>123</v>
      </c>
      <c r="C56" s="56" t="s">
        <v>124</v>
      </c>
      <c r="D56" s="56"/>
      <c r="E56" s="11">
        <v>29</v>
      </c>
      <c r="F56" s="11"/>
      <c r="G56" s="11"/>
      <c r="H56" s="11"/>
      <c r="I56" s="11"/>
      <c r="J56" s="11"/>
      <c r="K56" s="11">
        <f t="shared" si="0"/>
        <v>29</v>
      </c>
      <c r="L56" s="11">
        <f t="shared" si="1"/>
        <v>20.88</v>
      </c>
      <c r="M56" s="11"/>
      <c r="N56" s="11"/>
      <c r="O56" s="11">
        <v>2</v>
      </c>
      <c r="P56" s="11"/>
      <c r="Q56" s="11">
        <v>6</v>
      </c>
      <c r="R56" s="11">
        <f t="shared" si="2"/>
        <v>8</v>
      </c>
      <c r="S56" s="11">
        <f t="shared" si="3"/>
        <v>9.68</v>
      </c>
      <c r="T56" s="11"/>
      <c r="U56" s="11">
        <v>1</v>
      </c>
      <c r="V56" s="11">
        <v>1</v>
      </c>
      <c r="W56" s="11"/>
      <c r="X56" s="11">
        <v>4</v>
      </c>
      <c r="Y56" s="11">
        <f t="shared" si="4"/>
        <v>6</v>
      </c>
      <c r="Z56" s="11">
        <f t="shared" si="5"/>
        <v>15.07</v>
      </c>
      <c r="AA56" s="11">
        <f t="shared" si="6"/>
        <v>43</v>
      </c>
      <c r="AB56" s="11">
        <f t="shared" si="6"/>
        <v>45.629999999999995</v>
      </c>
      <c r="AC56" s="42">
        <f t="shared" si="15"/>
        <v>6053</v>
      </c>
      <c r="AD56" s="83">
        <f t="shared" si="16"/>
        <v>260279</v>
      </c>
      <c r="AE56" s="83">
        <f t="shared" si="17"/>
        <v>276198.38999999996</v>
      </c>
      <c r="AF56" s="83">
        <f t="shared" si="18"/>
        <v>536477.3899999999</v>
      </c>
      <c r="AG56" s="11"/>
      <c r="AH56" s="11"/>
      <c r="AI56" s="78"/>
      <c r="AJ56" s="78"/>
      <c r="AK56" s="78"/>
      <c r="AL56" s="78"/>
      <c r="AM56" s="78"/>
      <c r="AN56" s="78"/>
      <c r="AO56" s="78"/>
      <c r="AP56" s="78"/>
      <c r="AQ56" s="3" t="s">
        <v>72</v>
      </c>
      <c r="AR56" s="3" t="s">
        <v>123</v>
      </c>
      <c r="AS56" s="3" t="s">
        <v>796</v>
      </c>
      <c r="AT56" s="49">
        <v>6053</v>
      </c>
      <c r="AU56" s="3" t="str">
        <f t="shared" si="11"/>
        <v>match</v>
      </c>
      <c r="AV56" s="3" t="str">
        <f t="shared" si="12"/>
        <v>match</v>
      </c>
    </row>
    <row r="57" spans="1:48" ht="12">
      <c r="A57" s="9" t="s">
        <v>72</v>
      </c>
      <c r="B57" s="12" t="s">
        <v>125</v>
      </c>
      <c r="C57" s="13" t="s">
        <v>126</v>
      </c>
      <c r="D57" s="8"/>
      <c r="E57" s="39">
        <v>21</v>
      </c>
      <c r="F57" s="39"/>
      <c r="G57" s="39"/>
      <c r="H57" s="39"/>
      <c r="I57" s="39"/>
      <c r="J57" s="39"/>
      <c r="K57" s="39">
        <f t="shared" si="0"/>
        <v>21</v>
      </c>
      <c r="L57" s="39">
        <f t="shared" si="1"/>
        <v>15.12</v>
      </c>
      <c r="M57" s="39"/>
      <c r="N57" s="39"/>
      <c r="O57" s="39">
        <v>1</v>
      </c>
      <c r="P57" s="39"/>
      <c r="Q57" s="39">
        <v>4</v>
      </c>
      <c r="R57" s="39">
        <f t="shared" si="2"/>
        <v>5</v>
      </c>
      <c r="S57" s="39">
        <f t="shared" si="3"/>
        <v>6.05</v>
      </c>
      <c r="T57" s="39"/>
      <c r="U57" s="39"/>
      <c r="V57" s="39"/>
      <c r="W57" s="39"/>
      <c r="X57" s="39">
        <v>7</v>
      </c>
      <c r="Y57" s="39">
        <f t="shared" si="4"/>
        <v>7</v>
      </c>
      <c r="Z57" s="39">
        <f t="shared" si="5"/>
        <v>19.18</v>
      </c>
      <c r="AA57" s="39">
        <f t="shared" si="6"/>
        <v>33</v>
      </c>
      <c r="AB57" s="39">
        <f t="shared" si="6"/>
        <v>40.349999999999994</v>
      </c>
      <c r="AC57" s="41">
        <f t="shared" si="15"/>
        <v>5883</v>
      </c>
      <c r="AD57" s="82">
        <f t="shared" si="16"/>
        <v>194139</v>
      </c>
      <c r="AE57" s="82">
        <f t="shared" si="17"/>
        <v>237379.04999999996</v>
      </c>
      <c r="AF57" s="82">
        <f t="shared" si="18"/>
        <v>431518.04999999993</v>
      </c>
      <c r="AG57" s="39"/>
      <c r="AH57" s="39"/>
      <c r="AI57" s="79"/>
      <c r="AJ57" s="79"/>
      <c r="AK57" s="79"/>
      <c r="AL57" s="79"/>
      <c r="AM57" s="79"/>
      <c r="AN57" s="79"/>
      <c r="AO57" s="79"/>
      <c r="AP57" s="79"/>
      <c r="AQ57" s="3" t="s">
        <v>72</v>
      </c>
      <c r="AR57" s="3" t="s">
        <v>125</v>
      </c>
      <c r="AS57" s="3" t="s">
        <v>126</v>
      </c>
      <c r="AT57" s="49">
        <v>5883</v>
      </c>
      <c r="AU57" s="3" t="str">
        <f t="shared" si="11"/>
        <v>match</v>
      </c>
      <c r="AV57" s="3" t="str">
        <f t="shared" si="12"/>
        <v>match</v>
      </c>
    </row>
    <row r="58" spans="1:48" ht="12">
      <c r="A58" s="9" t="s">
        <v>72</v>
      </c>
      <c r="B58" s="10" t="s">
        <v>127</v>
      </c>
      <c r="C58" s="56" t="s">
        <v>128</v>
      </c>
      <c r="D58" s="56"/>
      <c r="E58" s="11">
        <v>117</v>
      </c>
      <c r="F58" s="11"/>
      <c r="G58" s="11"/>
      <c r="H58" s="11"/>
      <c r="I58" s="11"/>
      <c r="J58" s="11"/>
      <c r="K58" s="11">
        <f t="shared" si="0"/>
        <v>117</v>
      </c>
      <c r="L58" s="11">
        <f t="shared" si="1"/>
        <v>84.24</v>
      </c>
      <c r="M58" s="11"/>
      <c r="N58" s="11">
        <v>6</v>
      </c>
      <c r="O58" s="11">
        <v>3</v>
      </c>
      <c r="P58" s="11"/>
      <c r="Q58" s="11">
        <v>59</v>
      </c>
      <c r="R58" s="11">
        <f t="shared" si="2"/>
        <v>68</v>
      </c>
      <c r="S58" s="11">
        <f t="shared" si="3"/>
        <v>78.679999999999993</v>
      </c>
      <c r="T58" s="11"/>
      <c r="U58" s="11">
        <v>5</v>
      </c>
      <c r="V58" s="11"/>
      <c r="W58" s="11"/>
      <c r="X58" s="11">
        <v>27</v>
      </c>
      <c r="Y58" s="11">
        <f t="shared" si="4"/>
        <v>32</v>
      </c>
      <c r="Z58" s="11">
        <f t="shared" si="5"/>
        <v>80.83</v>
      </c>
      <c r="AA58" s="11">
        <f t="shared" si="6"/>
        <v>217</v>
      </c>
      <c r="AB58" s="11">
        <f t="shared" si="6"/>
        <v>243.75</v>
      </c>
      <c r="AC58" s="42">
        <f t="shared" si="15"/>
        <v>5906</v>
      </c>
      <c r="AD58" s="83">
        <f t="shared" si="16"/>
        <v>1281602</v>
      </c>
      <c r="AE58" s="83">
        <f t="shared" si="17"/>
        <v>1439587.5</v>
      </c>
      <c r="AF58" s="83">
        <f t="shared" si="18"/>
        <v>2721189.5</v>
      </c>
      <c r="AG58" s="11"/>
      <c r="AH58" s="11"/>
      <c r="AI58" s="78"/>
      <c r="AJ58" s="78"/>
      <c r="AK58" s="78"/>
      <c r="AL58" s="78"/>
      <c r="AM58" s="78"/>
      <c r="AN58" s="78"/>
      <c r="AO58" s="78"/>
      <c r="AP58" s="78"/>
      <c r="AQ58" s="3" t="s">
        <v>72</v>
      </c>
      <c r="AR58" s="3" t="s">
        <v>127</v>
      </c>
      <c r="AS58" s="3" t="s">
        <v>797</v>
      </c>
      <c r="AT58" s="49">
        <v>5906</v>
      </c>
      <c r="AU58" s="3" t="str">
        <f t="shared" si="11"/>
        <v>match</v>
      </c>
      <c r="AV58" s="3" t="str">
        <f t="shared" si="12"/>
        <v>match</v>
      </c>
    </row>
    <row r="59" spans="1:48" ht="12">
      <c r="A59" s="9" t="s">
        <v>72</v>
      </c>
      <c r="B59" s="12" t="s">
        <v>129</v>
      </c>
      <c r="C59" s="13" t="s">
        <v>130</v>
      </c>
      <c r="D59" s="8"/>
      <c r="E59" s="39">
        <v>48</v>
      </c>
      <c r="F59" s="39"/>
      <c r="G59" s="39"/>
      <c r="H59" s="39"/>
      <c r="I59" s="39"/>
      <c r="J59" s="39"/>
      <c r="K59" s="39">
        <f t="shared" si="0"/>
        <v>48</v>
      </c>
      <c r="L59" s="39">
        <f t="shared" si="1"/>
        <v>34.56</v>
      </c>
      <c r="M59" s="39"/>
      <c r="N59" s="39">
        <v>1</v>
      </c>
      <c r="O59" s="39">
        <v>4</v>
      </c>
      <c r="P59" s="39"/>
      <c r="Q59" s="39">
        <v>11</v>
      </c>
      <c r="R59" s="39">
        <f t="shared" si="2"/>
        <v>16</v>
      </c>
      <c r="S59" s="39">
        <f t="shared" si="3"/>
        <v>18.759999999999998</v>
      </c>
      <c r="T59" s="39"/>
      <c r="U59" s="39">
        <v>1</v>
      </c>
      <c r="V59" s="39">
        <v>1</v>
      </c>
      <c r="W59" s="39"/>
      <c r="X59" s="39">
        <v>7</v>
      </c>
      <c r="Y59" s="39">
        <f t="shared" si="4"/>
        <v>9</v>
      </c>
      <c r="Z59" s="39">
        <f t="shared" si="5"/>
        <v>23.290000000000003</v>
      </c>
      <c r="AA59" s="39">
        <f t="shared" si="6"/>
        <v>73</v>
      </c>
      <c r="AB59" s="39">
        <f t="shared" si="6"/>
        <v>76.61</v>
      </c>
      <c r="AC59" s="41">
        <f t="shared" si="15"/>
        <v>5883</v>
      </c>
      <c r="AD59" s="82">
        <f t="shared" si="16"/>
        <v>429459</v>
      </c>
      <c r="AE59" s="82">
        <f t="shared" si="17"/>
        <v>450696.63</v>
      </c>
      <c r="AF59" s="82">
        <f t="shared" si="18"/>
        <v>880155.63</v>
      </c>
      <c r="AG59" s="39"/>
      <c r="AH59" s="39"/>
      <c r="AI59" s="79"/>
      <c r="AJ59" s="79"/>
      <c r="AK59" s="79"/>
      <c r="AL59" s="79"/>
      <c r="AM59" s="79"/>
      <c r="AN59" s="79"/>
      <c r="AO59" s="79"/>
      <c r="AP59" s="79"/>
      <c r="AQ59" s="3" t="s">
        <v>72</v>
      </c>
      <c r="AR59" s="3" t="s">
        <v>129</v>
      </c>
      <c r="AS59" s="3" t="s">
        <v>798</v>
      </c>
      <c r="AT59" s="49">
        <v>5883</v>
      </c>
      <c r="AU59" s="3" t="str">
        <f t="shared" si="11"/>
        <v>match</v>
      </c>
      <c r="AV59" s="3" t="str">
        <f t="shared" si="12"/>
        <v>match</v>
      </c>
    </row>
    <row r="60" spans="1:48" ht="12">
      <c r="A60" s="9" t="s">
        <v>72</v>
      </c>
      <c r="B60" s="10" t="s">
        <v>131</v>
      </c>
      <c r="C60" s="56" t="s">
        <v>132</v>
      </c>
      <c r="D60" s="56"/>
      <c r="E60" s="11">
        <v>124</v>
      </c>
      <c r="F60" s="11"/>
      <c r="G60" s="11"/>
      <c r="H60" s="11"/>
      <c r="I60" s="11"/>
      <c r="J60" s="11"/>
      <c r="K60" s="11">
        <f t="shared" si="0"/>
        <v>124</v>
      </c>
      <c r="L60" s="11">
        <f t="shared" si="1"/>
        <v>89.28</v>
      </c>
      <c r="M60" s="11"/>
      <c r="N60" s="11"/>
      <c r="O60" s="11">
        <v>12</v>
      </c>
      <c r="P60" s="11"/>
      <c r="Q60" s="11">
        <v>34</v>
      </c>
      <c r="R60" s="11">
        <f t="shared" si="2"/>
        <v>46</v>
      </c>
      <c r="S60" s="11">
        <f t="shared" si="3"/>
        <v>55.66</v>
      </c>
      <c r="T60" s="11"/>
      <c r="U60" s="11">
        <v>1</v>
      </c>
      <c r="V60" s="11">
        <v>7</v>
      </c>
      <c r="W60" s="11"/>
      <c r="X60" s="11">
        <v>22</v>
      </c>
      <c r="Y60" s="11">
        <f t="shared" si="4"/>
        <v>30</v>
      </c>
      <c r="Z60" s="11">
        <f t="shared" si="5"/>
        <v>80.830000000000013</v>
      </c>
      <c r="AA60" s="11">
        <f t="shared" si="6"/>
        <v>200</v>
      </c>
      <c r="AB60" s="11">
        <f t="shared" si="6"/>
        <v>225.77</v>
      </c>
      <c r="AC60" s="42">
        <f t="shared" si="15"/>
        <v>5883</v>
      </c>
      <c r="AD60" s="83">
        <f t="shared" si="16"/>
        <v>1176600</v>
      </c>
      <c r="AE60" s="83">
        <f t="shared" si="17"/>
        <v>1328204.9100000001</v>
      </c>
      <c r="AF60" s="83">
        <f t="shared" si="18"/>
        <v>2504804.91</v>
      </c>
      <c r="AG60" s="11"/>
      <c r="AH60" s="11"/>
      <c r="AI60" s="78"/>
      <c r="AJ60" s="78"/>
      <c r="AK60" s="78"/>
      <c r="AL60" s="78"/>
      <c r="AM60" s="78"/>
      <c r="AN60" s="78"/>
      <c r="AO60" s="78"/>
      <c r="AP60" s="78"/>
      <c r="AQ60" s="3" t="s">
        <v>72</v>
      </c>
      <c r="AR60" s="3" t="s">
        <v>131</v>
      </c>
      <c r="AS60" s="3" t="s">
        <v>799</v>
      </c>
      <c r="AT60" s="49">
        <v>5883</v>
      </c>
      <c r="AU60" s="3" t="str">
        <f t="shared" si="11"/>
        <v>match</v>
      </c>
      <c r="AV60" s="3" t="str">
        <f t="shared" si="12"/>
        <v>match</v>
      </c>
    </row>
    <row r="61" spans="1:48" ht="12">
      <c r="A61" s="9" t="s">
        <v>72</v>
      </c>
      <c r="B61" s="12" t="s">
        <v>133</v>
      </c>
      <c r="C61" s="13" t="s">
        <v>134</v>
      </c>
      <c r="D61" s="8"/>
      <c r="E61" s="39">
        <v>23</v>
      </c>
      <c r="F61" s="39"/>
      <c r="G61" s="39"/>
      <c r="H61" s="39"/>
      <c r="I61" s="39"/>
      <c r="J61" s="39"/>
      <c r="K61" s="39">
        <f t="shared" si="0"/>
        <v>23</v>
      </c>
      <c r="L61" s="39">
        <f t="shared" si="1"/>
        <v>16.559999999999999</v>
      </c>
      <c r="M61" s="39"/>
      <c r="N61" s="39">
        <v>2</v>
      </c>
      <c r="O61" s="39">
        <v>1</v>
      </c>
      <c r="P61" s="39"/>
      <c r="Q61" s="39">
        <v>14</v>
      </c>
      <c r="R61" s="39">
        <f t="shared" si="2"/>
        <v>17</v>
      </c>
      <c r="S61" s="39">
        <f t="shared" si="3"/>
        <v>19.369999999999997</v>
      </c>
      <c r="T61" s="39"/>
      <c r="U61" s="39"/>
      <c r="V61" s="39"/>
      <c r="W61" s="39"/>
      <c r="X61" s="39">
        <v>3</v>
      </c>
      <c r="Y61" s="39">
        <f t="shared" si="4"/>
        <v>3</v>
      </c>
      <c r="Z61" s="39">
        <f t="shared" si="5"/>
        <v>8.2200000000000006</v>
      </c>
      <c r="AA61" s="39">
        <f t="shared" si="6"/>
        <v>43</v>
      </c>
      <c r="AB61" s="39">
        <f t="shared" si="6"/>
        <v>44.149999999999991</v>
      </c>
      <c r="AC61" s="41">
        <f t="shared" si="15"/>
        <v>5995</v>
      </c>
      <c r="AD61" s="82">
        <f t="shared" si="16"/>
        <v>257785</v>
      </c>
      <c r="AE61" s="82">
        <f t="shared" si="17"/>
        <v>264679.24999999994</v>
      </c>
      <c r="AF61" s="82">
        <f t="shared" si="18"/>
        <v>522464.24999999994</v>
      </c>
      <c r="AG61" s="39"/>
      <c r="AH61" s="39"/>
      <c r="AI61" s="79"/>
      <c r="AJ61" s="79"/>
      <c r="AK61" s="79"/>
      <c r="AL61" s="79"/>
      <c r="AM61" s="79"/>
      <c r="AN61" s="79"/>
      <c r="AO61" s="79"/>
      <c r="AP61" s="79"/>
      <c r="AQ61" s="3" t="s">
        <v>72</v>
      </c>
      <c r="AR61" s="3" t="s">
        <v>133</v>
      </c>
      <c r="AS61" s="3" t="s">
        <v>800</v>
      </c>
      <c r="AT61" s="49">
        <v>5995</v>
      </c>
      <c r="AU61" s="3" t="str">
        <f t="shared" si="11"/>
        <v>match</v>
      </c>
      <c r="AV61" s="3" t="str">
        <f t="shared" si="12"/>
        <v>match</v>
      </c>
    </row>
    <row r="62" spans="1:48" ht="12">
      <c r="A62" s="9" t="s">
        <v>72</v>
      </c>
      <c r="B62" s="10" t="s">
        <v>135</v>
      </c>
      <c r="C62" s="56" t="s">
        <v>136</v>
      </c>
      <c r="D62" s="56"/>
      <c r="E62" s="11">
        <v>61</v>
      </c>
      <c r="F62" s="11"/>
      <c r="G62" s="11"/>
      <c r="H62" s="11"/>
      <c r="I62" s="11"/>
      <c r="J62" s="11"/>
      <c r="K62" s="11">
        <f t="shared" si="0"/>
        <v>61</v>
      </c>
      <c r="L62" s="11">
        <f t="shared" si="1"/>
        <v>43.92</v>
      </c>
      <c r="M62" s="11"/>
      <c r="N62" s="11"/>
      <c r="O62" s="11">
        <v>2</v>
      </c>
      <c r="P62" s="11"/>
      <c r="Q62" s="11">
        <v>8</v>
      </c>
      <c r="R62" s="11">
        <f t="shared" si="2"/>
        <v>10</v>
      </c>
      <c r="S62" s="11">
        <f t="shared" si="3"/>
        <v>12.1</v>
      </c>
      <c r="T62" s="11"/>
      <c r="U62" s="11"/>
      <c r="V62" s="11"/>
      <c r="W62" s="11"/>
      <c r="X62" s="11">
        <v>6</v>
      </c>
      <c r="Y62" s="11">
        <f t="shared" si="4"/>
        <v>6</v>
      </c>
      <c r="Z62" s="11">
        <f t="shared" si="5"/>
        <v>16.440000000000001</v>
      </c>
      <c r="AA62" s="11">
        <f t="shared" si="6"/>
        <v>77</v>
      </c>
      <c r="AB62" s="11">
        <f t="shared" si="6"/>
        <v>72.460000000000008</v>
      </c>
      <c r="AC62" s="42">
        <f t="shared" si="15"/>
        <v>6058</v>
      </c>
      <c r="AD62" s="83">
        <f t="shared" si="16"/>
        <v>466466</v>
      </c>
      <c r="AE62" s="83">
        <f t="shared" si="17"/>
        <v>438962.68000000005</v>
      </c>
      <c r="AF62" s="83">
        <f t="shared" si="18"/>
        <v>905428.68</v>
      </c>
      <c r="AG62" s="11"/>
      <c r="AH62" s="11"/>
      <c r="AI62" s="78"/>
      <c r="AJ62" s="78"/>
      <c r="AK62" s="78"/>
      <c r="AL62" s="78"/>
      <c r="AM62" s="78"/>
      <c r="AN62" s="78"/>
      <c r="AO62" s="78"/>
      <c r="AP62" s="78"/>
      <c r="AQ62" s="3" t="s">
        <v>72</v>
      </c>
      <c r="AR62" s="3" t="s">
        <v>135</v>
      </c>
      <c r="AS62" s="3" t="s">
        <v>801</v>
      </c>
      <c r="AT62" s="49">
        <v>6058</v>
      </c>
      <c r="AU62" s="3" t="str">
        <f t="shared" si="11"/>
        <v>match</v>
      </c>
      <c r="AV62" s="3" t="str">
        <f t="shared" si="12"/>
        <v>match</v>
      </c>
    </row>
    <row r="63" spans="1:48" ht="12">
      <c r="A63" s="9" t="s">
        <v>72</v>
      </c>
      <c r="B63" s="12" t="s">
        <v>137</v>
      </c>
      <c r="C63" s="13" t="s">
        <v>138</v>
      </c>
      <c r="D63" s="8"/>
      <c r="E63" s="39">
        <v>161</v>
      </c>
      <c r="F63" s="39"/>
      <c r="G63" s="39"/>
      <c r="H63" s="39"/>
      <c r="I63" s="39"/>
      <c r="J63" s="39"/>
      <c r="K63" s="39">
        <f t="shared" si="0"/>
        <v>161</v>
      </c>
      <c r="L63" s="39">
        <f t="shared" si="1"/>
        <v>115.92</v>
      </c>
      <c r="M63" s="39"/>
      <c r="N63" s="39">
        <v>1</v>
      </c>
      <c r="O63" s="39">
        <v>8</v>
      </c>
      <c r="P63" s="39"/>
      <c r="Q63" s="39">
        <v>35</v>
      </c>
      <c r="R63" s="39">
        <f t="shared" si="2"/>
        <v>44</v>
      </c>
      <c r="S63" s="39">
        <f t="shared" si="3"/>
        <v>52.64</v>
      </c>
      <c r="T63" s="39"/>
      <c r="U63" s="39">
        <v>1</v>
      </c>
      <c r="V63" s="39">
        <v>2</v>
      </c>
      <c r="W63" s="39"/>
      <c r="X63" s="39">
        <v>40</v>
      </c>
      <c r="Y63" s="39">
        <f t="shared" si="4"/>
        <v>43</v>
      </c>
      <c r="Z63" s="39">
        <f t="shared" si="5"/>
        <v>116.45000000000002</v>
      </c>
      <c r="AA63" s="39">
        <f t="shared" si="6"/>
        <v>248</v>
      </c>
      <c r="AB63" s="39">
        <f t="shared" si="6"/>
        <v>285.01</v>
      </c>
      <c r="AC63" s="41">
        <f t="shared" si="15"/>
        <v>5883</v>
      </c>
      <c r="AD63" s="82">
        <f t="shared" si="16"/>
        <v>1458984</v>
      </c>
      <c r="AE63" s="82">
        <f t="shared" si="17"/>
        <v>1676713.8299999998</v>
      </c>
      <c r="AF63" s="82">
        <f t="shared" si="18"/>
        <v>3135697.83</v>
      </c>
      <c r="AG63" s="39"/>
      <c r="AH63" s="39"/>
      <c r="AI63" s="79"/>
      <c r="AJ63" s="79"/>
      <c r="AK63" s="79"/>
      <c r="AL63" s="79"/>
      <c r="AM63" s="79"/>
      <c r="AN63" s="79"/>
      <c r="AO63" s="79"/>
      <c r="AP63" s="79"/>
      <c r="AQ63" s="3" t="s">
        <v>72</v>
      </c>
      <c r="AR63" s="3" t="s">
        <v>137</v>
      </c>
      <c r="AS63" s="3" t="s">
        <v>802</v>
      </c>
      <c r="AT63" s="49">
        <v>5883</v>
      </c>
      <c r="AU63" s="3" t="str">
        <f t="shared" si="11"/>
        <v>match</v>
      </c>
      <c r="AV63" s="3" t="str">
        <f t="shared" si="12"/>
        <v>match</v>
      </c>
    </row>
    <row r="64" spans="1:48" ht="12">
      <c r="A64" s="9" t="s">
        <v>72</v>
      </c>
      <c r="B64" s="10" t="s">
        <v>139</v>
      </c>
      <c r="C64" s="56" t="s">
        <v>140</v>
      </c>
      <c r="D64" s="56"/>
      <c r="E64" s="11">
        <v>93</v>
      </c>
      <c r="F64" s="11"/>
      <c r="G64" s="11"/>
      <c r="H64" s="11"/>
      <c r="I64" s="11"/>
      <c r="J64" s="11"/>
      <c r="K64" s="11">
        <f t="shared" si="0"/>
        <v>93</v>
      </c>
      <c r="L64" s="11">
        <f t="shared" si="1"/>
        <v>66.959999999999994</v>
      </c>
      <c r="M64" s="11"/>
      <c r="N64" s="11">
        <v>2</v>
      </c>
      <c r="O64" s="11">
        <v>8</v>
      </c>
      <c r="P64" s="11"/>
      <c r="Q64" s="11">
        <v>29</v>
      </c>
      <c r="R64" s="11">
        <f t="shared" si="2"/>
        <v>39</v>
      </c>
      <c r="S64" s="11">
        <f t="shared" si="3"/>
        <v>45.989999999999995</v>
      </c>
      <c r="T64" s="11"/>
      <c r="U64" s="11">
        <v>2</v>
      </c>
      <c r="V64" s="11">
        <v>1</v>
      </c>
      <c r="W64" s="11"/>
      <c r="X64" s="11">
        <v>7</v>
      </c>
      <c r="Y64" s="11">
        <f t="shared" si="4"/>
        <v>10</v>
      </c>
      <c r="Z64" s="11">
        <f t="shared" si="5"/>
        <v>24.660000000000004</v>
      </c>
      <c r="AA64" s="11">
        <f t="shared" si="6"/>
        <v>142</v>
      </c>
      <c r="AB64" s="11">
        <f t="shared" si="6"/>
        <v>137.60999999999999</v>
      </c>
      <c r="AC64" s="42">
        <f t="shared" si="15"/>
        <v>5888</v>
      </c>
      <c r="AD64" s="83">
        <f t="shared" si="16"/>
        <v>836096</v>
      </c>
      <c r="AE64" s="83">
        <f t="shared" si="17"/>
        <v>810247.67999999993</v>
      </c>
      <c r="AF64" s="83">
        <f t="shared" si="18"/>
        <v>1646343.68</v>
      </c>
      <c r="AG64" s="11"/>
      <c r="AH64" s="11"/>
      <c r="AI64" s="78"/>
      <c r="AJ64" s="78"/>
      <c r="AK64" s="78"/>
      <c r="AL64" s="78"/>
      <c r="AM64" s="78"/>
      <c r="AN64" s="78"/>
      <c r="AO64" s="78"/>
      <c r="AP64" s="78"/>
      <c r="AQ64" s="3" t="s">
        <v>72</v>
      </c>
      <c r="AR64" s="3" t="s">
        <v>139</v>
      </c>
      <c r="AS64" s="3" t="s">
        <v>803</v>
      </c>
      <c r="AT64" s="49">
        <v>5888</v>
      </c>
      <c r="AU64" s="3" t="str">
        <f t="shared" si="11"/>
        <v>match</v>
      </c>
      <c r="AV64" s="3" t="str">
        <f t="shared" si="12"/>
        <v>match</v>
      </c>
    </row>
    <row r="65" spans="1:48" ht="12">
      <c r="A65" s="9" t="s">
        <v>72</v>
      </c>
      <c r="B65" s="12" t="s">
        <v>141</v>
      </c>
      <c r="C65" s="13" t="s">
        <v>142</v>
      </c>
      <c r="D65" s="8"/>
      <c r="E65" s="39">
        <v>23</v>
      </c>
      <c r="F65" s="39">
        <v>1</v>
      </c>
      <c r="G65" s="39"/>
      <c r="H65" s="39"/>
      <c r="I65" s="39"/>
      <c r="J65" s="39"/>
      <c r="K65" s="39">
        <f t="shared" si="0"/>
        <v>24</v>
      </c>
      <c r="L65" s="39">
        <f t="shared" si="1"/>
        <v>17.28</v>
      </c>
      <c r="M65" s="39">
        <v>1</v>
      </c>
      <c r="N65" s="39"/>
      <c r="O65" s="39">
        <v>1</v>
      </c>
      <c r="P65" s="39"/>
      <c r="Q65" s="39">
        <v>12</v>
      </c>
      <c r="R65" s="39">
        <f t="shared" si="2"/>
        <v>14</v>
      </c>
      <c r="S65" s="39">
        <f t="shared" si="3"/>
        <v>16.939999999999998</v>
      </c>
      <c r="T65" s="39"/>
      <c r="U65" s="39">
        <v>1</v>
      </c>
      <c r="V65" s="39"/>
      <c r="W65" s="39"/>
      <c r="X65" s="39">
        <v>1</v>
      </c>
      <c r="Y65" s="39">
        <f t="shared" si="4"/>
        <v>2</v>
      </c>
      <c r="Z65" s="39">
        <f t="shared" si="5"/>
        <v>4.1100000000000003</v>
      </c>
      <c r="AA65" s="39">
        <f t="shared" si="6"/>
        <v>40</v>
      </c>
      <c r="AB65" s="39">
        <f t="shared" si="6"/>
        <v>38.33</v>
      </c>
      <c r="AC65" s="41">
        <f t="shared" si="15"/>
        <v>5958</v>
      </c>
      <c r="AD65" s="82">
        <f t="shared" si="16"/>
        <v>238320</v>
      </c>
      <c r="AE65" s="82">
        <f t="shared" si="17"/>
        <v>228370.13999999998</v>
      </c>
      <c r="AF65" s="82">
        <f t="shared" si="18"/>
        <v>466690.14</v>
      </c>
      <c r="AG65" s="39"/>
      <c r="AH65" s="39"/>
      <c r="AI65" s="79"/>
      <c r="AJ65" s="79"/>
      <c r="AK65" s="79"/>
      <c r="AL65" s="79"/>
      <c r="AM65" s="79"/>
      <c r="AN65" s="79"/>
      <c r="AO65" s="79"/>
      <c r="AP65" s="79"/>
      <c r="AQ65" s="3" t="s">
        <v>72</v>
      </c>
      <c r="AR65" s="3" t="s">
        <v>141</v>
      </c>
      <c r="AS65" s="3" t="s">
        <v>142</v>
      </c>
      <c r="AT65" s="49">
        <v>5958</v>
      </c>
      <c r="AU65" s="3" t="str">
        <f t="shared" si="11"/>
        <v>match</v>
      </c>
      <c r="AV65" s="3" t="str">
        <f t="shared" si="12"/>
        <v>match</v>
      </c>
    </row>
    <row r="66" spans="1:48" ht="12">
      <c r="A66" s="9" t="s">
        <v>72</v>
      </c>
      <c r="B66" s="10" t="s">
        <v>143</v>
      </c>
      <c r="C66" s="56" t="s">
        <v>144</v>
      </c>
      <c r="D66" s="56"/>
      <c r="E66" s="11">
        <v>57</v>
      </c>
      <c r="F66" s="11"/>
      <c r="G66" s="11"/>
      <c r="H66" s="11"/>
      <c r="I66" s="11"/>
      <c r="J66" s="11"/>
      <c r="K66" s="11">
        <f t="shared" si="0"/>
        <v>57</v>
      </c>
      <c r="L66" s="11">
        <f t="shared" si="1"/>
        <v>41.04</v>
      </c>
      <c r="M66" s="11"/>
      <c r="N66" s="11"/>
      <c r="O66" s="11">
        <v>2</v>
      </c>
      <c r="P66" s="11"/>
      <c r="Q66" s="11">
        <v>11</v>
      </c>
      <c r="R66" s="11">
        <f t="shared" si="2"/>
        <v>13</v>
      </c>
      <c r="S66" s="11">
        <f t="shared" si="3"/>
        <v>15.73</v>
      </c>
      <c r="T66" s="11"/>
      <c r="U66" s="11"/>
      <c r="V66" s="11">
        <v>1</v>
      </c>
      <c r="W66" s="11"/>
      <c r="X66" s="11">
        <v>18</v>
      </c>
      <c r="Y66" s="11">
        <f t="shared" si="4"/>
        <v>19</v>
      </c>
      <c r="Z66" s="11">
        <f t="shared" si="5"/>
        <v>52.06</v>
      </c>
      <c r="AA66" s="11">
        <f t="shared" si="6"/>
        <v>89</v>
      </c>
      <c r="AB66" s="11">
        <f t="shared" si="6"/>
        <v>108.83</v>
      </c>
      <c r="AC66" s="42">
        <f t="shared" si="15"/>
        <v>5883</v>
      </c>
      <c r="AD66" s="83">
        <f t="shared" si="16"/>
        <v>523587</v>
      </c>
      <c r="AE66" s="83">
        <f t="shared" si="17"/>
        <v>640246.89</v>
      </c>
      <c r="AF66" s="83">
        <f t="shared" si="18"/>
        <v>1163833.8900000001</v>
      </c>
      <c r="AG66" s="11"/>
      <c r="AH66" s="11"/>
      <c r="AI66" s="78"/>
      <c r="AJ66" s="78"/>
      <c r="AK66" s="78"/>
      <c r="AL66" s="78"/>
      <c r="AM66" s="78"/>
      <c r="AN66" s="78"/>
      <c r="AO66" s="78"/>
      <c r="AP66" s="78"/>
      <c r="AQ66" s="3" t="s">
        <v>72</v>
      </c>
      <c r="AR66" s="3" t="s">
        <v>143</v>
      </c>
      <c r="AS66" s="3" t="s">
        <v>804</v>
      </c>
      <c r="AT66" s="49">
        <v>5883</v>
      </c>
      <c r="AU66" s="3" t="str">
        <f t="shared" si="11"/>
        <v>match</v>
      </c>
      <c r="AV66" s="3" t="str">
        <f t="shared" si="12"/>
        <v>match</v>
      </c>
    </row>
    <row r="67" spans="1:48" ht="12">
      <c r="A67" s="9" t="s">
        <v>72</v>
      </c>
      <c r="B67" s="12" t="s">
        <v>145</v>
      </c>
      <c r="C67" s="13" t="s">
        <v>146</v>
      </c>
      <c r="D67" s="8"/>
      <c r="E67" s="39">
        <v>45</v>
      </c>
      <c r="F67" s="39"/>
      <c r="G67" s="39"/>
      <c r="H67" s="39"/>
      <c r="I67" s="39"/>
      <c r="J67" s="39"/>
      <c r="K67" s="39">
        <f t="shared" si="0"/>
        <v>45</v>
      </c>
      <c r="L67" s="39">
        <f t="shared" si="1"/>
        <v>32.4</v>
      </c>
      <c r="M67" s="39"/>
      <c r="N67" s="39"/>
      <c r="O67" s="39">
        <v>3</v>
      </c>
      <c r="P67" s="39"/>
      <c r="Q67" s="39">
        <v>7</v>
      </c>
      <c r="R67" s="39">
        <f t="shared" si="2"/>
        <v>10</v>
      </c>
      <c r="S67" s="39">
        <f t="shared" si="3"/>
        <v>12.1</v>
      </c>
      <c r="T67" s="39"/>
      <c r="U67" s="39"/>
      <c r="V67" s="39">
        <v>1</v>
      </c>
      <c r="W67" s="39"/>
      <c r="X67" s="39">
        <v>4</v>
      </c>
      <c r="Y67" s="39">
        <f t="shared" si="4"/>
        <v>5</v>
      </c>
      <c r="Z67" s="39">
        <f t="shared" si="5"/>
        <v>13.700000000000001</v>
      </c>
      <c r="AA67" s="39">
        <f t="shared" si="6"/>
        <v>60</v>
      </c>
      <c r="AB67" s="39">
        <f t="shared" si="6"/>
        <v>58.2</v>
      </c>
      <c r="AC67" s="41">
        <f t="shared" si="15"/>
        <v>5883</v>
      </c>
      <c r="AD67" s="82">
        <f t="shared" si="16"/>
        <v>352980</v>
      </c>
      <c r="AE67" s="82">
        <f t="shared" si="17"/>
        <v>342390.60000000003</v>
      </c>
      <c r="AF67" s="82">
        <f t="shared" si="18"/>
        <v>695370.60000000009</v>
      </c>
      <c r="AG67" s="39"/>
      <c r="AH67" s="39"/>
      <c r="AI67" s="79"/>
      <c r="AJ67" s="79"/>
      <c r="AK67" s="79"/>
      <c r="AL67" s="79"/>
      <c r="AM67" s="79"/>
      <c r="AN67" s="79"/>
      <c r="AO67" s="79"/>
      <c r="AP67" s="79"/>
      <c r="AQ67" s="3" t="s">
        <v>72</v>
      </c>
      <c r="AR67" s="3" t="s">
        <v>145</v>
      </c>
      <c r="AS67" s="3" t="s">
        <v>805</v>
      </c>
      <c r="AT67" s="49">
        <v>5883</v>
      </c>
      <c r="AU67" s="3" t="str">
        <f t="shared" si="11"/>
        <v>match</v>
      </c>
      <c r="AV67" s="3" t="str">
        <f t="shared" si="12"/>
        <v>match</v>
      </c>
    </row>
    <row r="68" spans="1:48" ht="12">
      <c r="A68" s="9" t="s">
        <v>72</v>
      </c>
      <c r="B68" s="10" t="s">
        <v>147</v>
      </c>
      <c r="C68" s="56" t="s">
        <v>148</v>
      </c>
      <c r="D68" s="56"/>
      <c r="E68" s="11">
        <v>444</v>
      </c>
      <c r="F68" s="11"/>
      <c r="G68" s="11"/>
      <c r="H68" s="11"/>
      <c r="I68" s="11"/>
      <c r="J68" s="11"/>
      <c r="K68" s="11">
        <f t="shared" si="0"/>
        <v>444</v>
      </c>
      <c r="L68" s="11">
        <f t="shared" si="1"/>
        <v>319.68</v>
      </c>
      <c r="M68" s="11"/>
      <c r="N68" s="11">
        <v>4</v>
      </c>
      <c r="O68" s="11">
        <v>31</v>
      </c>
      <c r="P68" s="11"/>
      <c r="Q68" s="11">
        <v>161</v>
      </c>
      <c r="R68" s="11">
        <f t="shared" si="2"/>
        <v>196</v>
      </c>
      <c r="S68" s="11">
        <f t="shared" si="3"/>
        <v>234.76</v>
      </c>
      <c r="T68" s="11"/>
      <c r="U68" s="11">
        <v>1</v>
      </c>
      <c r="V68" s="11">
        <v>5</v>
      </c>
      <c r="W68" s="11"/>
      <c r="X68" s="11">
        <v>78</v>
      </c>
      <c r="Y68" s="11">
        <f t="shared" si="4"/>
        <v>84</v>
      </c>
      <c r="Z68" s="11">
        <f t="shared" si="5"/>
        <v>228.79000000000002</v>
      </c>
      <c r="AA68" s="11">
        <f t="shared" si="6"/>
        <v>724</v>
      </c>
      <c r="AB68" s="11">
        <f t="shared" si="6"/>
        <v>783.23</v>
      </c>
      <c r="AC68" s="42">
        <f t="shared" si="15"/>
        <v>5924</v>
      </c>
      <c r="AD68" s="83">
        <f t="shared" si="16"/>
        <v>4288976</v>
      </c>
      <c r="AE68" s="83">
        <f t="shared" si="17"/>
        <v>4639854.5200000005</v>
      </c>
      <c r="AF68" s="83">
        <f t="shared" si="18"/>
        <v>8928830.5199999996</v>
      </c>
      <c r="AG68" s="11"/>
      <c r="AH68" s="11"/>
      <c r="AI68" s="78"/>
      <c r="AJ68" s="78"/>
      <c r="AK68" s="78"/>
      <c r="AL68" s="78"/>
      <c r="AM68" s="78"/>
      <c r="AN68" s="78"/>
      <c r="AO68" s="78"/>
      <c r="AP68" s="78"/>
      <c r="AQ68" s="3" t="s">
        <v>72</v>
      </c>
      <c r="AR68" s="3" t="s">
        <v>147</v>
      </c>
      <c r="AS68" s="3" t="s">
        <v>806</v>
      </c>
      <c r="AT68" s="49">
        <v>5924</v>
      </c>
      <c r="AU68" s="3" t="str">
        <f t="shared" si="11"/>
        <v>match</v>
      </c>
      <c r="AV68" s="3" t="str">
        <f t="shared" si="12"/>
        <v>match</v>
      </c>
    </row>
    <row r="69" spans="1:48" ht="12">
      <c r="A69" s="9" t="s">
        <v>72</v>
      </c>
      <c r="B69" s="12" t="s">
        <v>149</v>
      </c>
      <c r="C69" s="13" t="s">
        <v>150</v>
      </c>
      <c r="D69" s="8"/>
      <c r="E69" s="39">
        <v>376</v>
      </c>
      <c r="F69" s="39"/>
      <c r="G69" s="39"/>
      <c r="H69" s="39"/>
      <c r="I69" s="39"/>
      <c r="J69" s="39"/>
      <c r="K69" s="39">
        <f t="shared" si="0"/>
        <v>376</v>
      </c>
      <c r="L69" s="39">
        <f t="shared" si="1"/>
        <v>270.71999999999997</v>
      </c>
      <c r="M69" s="39"/>
      <c r="N69" s="39"/>
      <c r="O69" s="39">
        <v>38</v>
      </c>
      <c r="P69" s="39"/>
      <c r="Q69" s="39">
        <v>211</v>
      </c>
      <c r="R69" s="39">
        <f t="shared" si="2"/>
        <v>249</v>
      </c>
      <c r="S69" s="39">
        <f t="shared" si="3"/>
        <v>301.28999999999996</v>
      </c>
      <c r="T69" s="39"/>
      <c r="U69" s="39"/>
      <c r="V69" s="39">
        <v>8</v>
      </c>
      <c r="W69" s="39"/>
      <c r="X69" s="39">
        <v>74</v>
      </c>
      <c r="Y69" s="39">
        <f t="shared" si="4"/>
        <v>82</v>
      </c>
      <c r="Z69" s="39">
        <f t="shared" si="5"/>
        <v>224.68</v>
      </c>
      <c r="AA69" s="39">
        <f t="shared" si="6"/>
        <v>707</v>
      </c>
      <c r="AB69" s="39">
        <f t="shared" si="6"/>
        <v>796.69</v>
      </c>
      <c r="AC69" s="41">
        <f t="shared" si="15"/>
        <v>5955</v>
      </c>
      <c r="AD69" s="82">
        <f t="shared" si="16"/>
        <v>4210185</v>
      </c>
      <c r="AE69" s="82">
        <f t="shared" si="17"/>
        <v>4744288.95</v>
      </c>
      <c r="AF69" s="82">
        <f t="shared" si="18"/>
        <v>8954473.9499999993</v>
      </c>
      <c r="AG69" s="39"/>
      <c r="AH69" s="39"/>
      <c r="AI69" s="79"/>
      <c r="AJ69" s="79"/>
      <c r="AK69" s="79"/>
      <c r="AL69" s="79"/>
      <c r="AM69" s="79"/>
      <c r="AN69" s="79"/>
      <c r="AO69" s="79"/>
      <c r="AP69" s="79"/>
      <c r="AQ69" s="3" t="s">
        <v>72</v>
      </c>
      <c r="AR69" s="3" t="s">
        <v>149</v>
      </c>
      <c r="AS69" s="3" t="s">
        <v>807</v>
      </c>
      <c r="AT69" s="49">
        <v>5955</v>
      </c>
      <c r="AU69" s="3" t="str">
        <f t="shared" si="11"/>
        <v>match</v>
      </c>
      <c r="AV69" s="3" t="str">
        <f t="shared" si="12"/>
        <v>match</v>
      </c>
    </row>
    <row r="70" spans="1:48" ht="12">
      <c r="A70" s="9" t="s">
        <v>72</v>
      </c>
      <c r="B70" s="10" t="s">
        <v>151</v>
      </c>
      <c r="C70" s="56" t="s">
        <v>152</v>
      </c>
      <c r="D70" s="56"/>
      <c r="E70" s="11">
        <v>45</v>
      </c>
      <c r="F70" s="11"/>
      <c r="G70" s="11"/>
      <c r="H70" s="11"/>
      <c r="I70" s="11"/>
      <c r="J70" s="11"/>
      <c r="K70" s="11">
        <f t="shared" si="0"/>
        <v>45</v>
      </c>
      <c r="L70" s="11">
        <f t="shared" si="1"/>
        <v>32.4</v>
      </c>
      <c r="M70" s="11"/>
      <c r="N70" s="11"/>
      <c r="O70" s="11"/>
      <c r="P70" s="11"/>
      <c r="Q70" s="11">
        <v>8</v>
      </c>
      <c r="R70" s="11">
        <f t="shared" si="2"/>
        <v>8</v>
      </c>
      <c r="S70" s="11">
        <f t="shared" si="3"/>
        <v>9.68</v>
      </c>
      <c r="T70" s="11"/>
      <c r="U70" s="11">
        <v>2</v>
      </c>
      <c r="V70" s="11"/>
      <c r="W70" s="11"/>
      <c r="X70" s="11">
        <v>5</v>
      </c>
      <c r="Y70" s="11">
        <f t="shared" si="4"/>
        <v>7</v>
      </c>
      <c r="Z70" s="11">
        <f t="shared" si="5"/>
        <v>16.440000000000001</v>
      </c>
      <c r="AA70" s="11">
        <f t="shared" si="6"/>
        <v>60</v>
      </c>
      <c r="AB70" s="11">
        <f t="shared" si="6"/>
        <v>58.519999999999996</v>
      </c>
      <c r="AC70" s="42">
        <f t="shared" si="15"/>
        <v>5883</v>
      </c>
      <c r="AD70" s="83">
        <f t="shared" si="16"/>
        <v>352980</v>
      </c>
      <c r="AE70" s="83">
        <f t="shared" si="17"/>
        <v>344273.16</v>
      </c>
      <c r="AF70" s="83">
        <f t="shared" si="18"/>
        <v>697253.15999999992</v>
      </c>
      <c r="AG70" s="11"/>
      <c r="AH70" s="11"/>
      <c r="AI70" s="78"/>
      <c r="AJ70" s="78"/>
      <c r="AK70" s="78"/>
      <c r="AL70" s="78"/>
      <c r="AM70" s="78"/>
      <c r="AN70" s="78"/>
      <c r="AO70" s="78"/>
      <c r="AP70" s="78"/>
      <c r="AQ70" s="3" t="s">
        <v>72</v>
      </c>
      <c r="AR70" s="3" t="s">
        <v>151</v>
      </c>
      <c r="AS70" s="3" t="s">
        <v>808</v>
      </c>
      <c r="AT70" s="49">
        <v>5883</v>
      </c>
      <c r="AU70" s="3" t="str">
        <f t="shared" si="11"/>
        <v>match</v>
      </c>
      <c r="AV70" s="3" t="str">
        <f t="shared" si="12"/>
        <v>match</v>
      </c>
    </row>
    <row r="71" spans="1:48" ht="12">
      <c r="A71" s="9" t="s">
        <v>72</v>
      </c>
      <c r="B71" s="12" t="s">
        <v>153</v>
      </c>
      <c r="C71" s="13" t="s">
        <v>154</v>
      </c>
      <c r="D71" s="8"/>
      <c r="E71" s="39">
        <v>52</v>
      </c>
      <c r="F71" s="39"/>
      <c r="G71" s="39"/>
      <c r="H71" s="39"/>
      <c r="I71" s="39"/>
      <c r="J71" s="39"/>
      <c r="K71" s="39">
        <f t="shared" ref="K71:K134" si="19">SUM(E71:J71)</f>
        <v>52</v>
      </c>
      <c r="L71" s="39">
        <f t="shared" ref="L71:L134" si="20">+K71*0.72</f>
        <v>37.44</v>
      </c>
      <c r="M71" s="39"/>
      <c r="N71" s="39"/>
      <c r="O71" s="39"/>
      <c r="P71" s="39"/>
      <c r="Q71" s="39">
        <v>10</v>
      </c>
      <c r="R71" s="39">
        <f t="shared" ref="R71:R134" si="21">SUM(M71:Q71)</f>
        <v>10</v>
      </c>
      <c r="S71" s="39">
        <f t="shared" ref="S71:S134" si="22">((+N71+P71)*0.61)+((+M71+O71+Q71)*1.21)</f>
        <v>12.1</v>
      </c>
      <c r="T71" s="39"/>
      <c r="U71" s="39">
        <v>1</v>
      </c>
      <c r="V71" s="39"/>
      <c r="W71" s="39"/>
      <c r="X71" s="39">
        <v>5</v>
      </c>
      <c r="Y71" s="39">
        <f t="shared" ref="Y71:Y134" si="23">SUM(T71:X71)</f>
        <v>6</v>
      </c>
      <c r="Z71" s="39">
        <f t="shared" ref="Z71:Z134" si="24">((+U71+W71)*1.37)+((+T71+V71+X71)*2.74)</f>
        <v>15.07</v>
      </c>
      <c r="AA71" s="39">
        <f t="shared" ref="AA71:AB134" si="25">+K71+R71+Y71</f>
        <v>68</v>
      </c>
      <c r="AB71" s="39">
        <f t="shared" si="25"/>
        <v>64.61</v>
      </c>
      <c r="AC71" s="41">
        <f t="shared" si="15"/>
        <v>5995</v>
      </c>
      <c r="AD71" s="82">
        <f t="shared" si="16"/>
        <v>407660</v>
      </c>
      <c r="AE71" s="82">
        <f t="shared" si="17"/>
        <v>387336.95</v>
      </c>
      <c r="AF71" s="82">
        <f t="shared" si="18"/>
        <v>794996.95</v>
      </c>
      <c r="AG71" s="39"/>
      <c r="AH71" s="39"/>
      <c r="AI71" s="79"/>
      <c r="AJ71" s="79"/>
      <c r="AK71" s="79"/>
      <c r="AL71" s="79"/>
      <c r="AM71" s="79"/>
      <c r="AN71" s="79"/>
      <c r="AO71" s="79"/>
      <c r="AP71" s="79"/>
      <c r="AQ71" s="3" t="s">
        <v>72</v>
      </c>
      <c r="AR71" s="3" t="s">
        <v>153</v>
      </c>
      <c r="AS71" s="3" t="s">
        <v>809</v>
      </c>
      <c r="AT71" s="49">
        <v>5995</v>
      </c>
      <c r="AU71" s="3" t="str">
        <f t="shared" ref="AU71:AU134" si="26">IF(AR71=B71,"match","not")</f>
        <v>match</v>
      </c>
      <c r="AV71" s="3" t="str">
        <f t="shared" ref="AV71:AV134" si="27">IF(AS71=C71,"match","not")</f>
        <v>match</v>
      </c>
    </row>
    <row r="72" spans="1:48" ht="12">
      <c r="A72" s="9" t="s">
        <v>72</v>
      </c>
      <c r="B72" s="10" t="s">
        <v>155</v>
      </c>
      <c r="C72" s="56" t="s">
        <v>156</v>
      </c>
      <c r="D72" s="56"/>
      <c r="E72" s="11">
        <v>28</v>
      </c>
      <c r="F72" s="11"/>
      <c r="G72" s="11"/>
      <c r="H72" s="11"/>
      <c r="I72" s="11"/>
      <c r="J72" s="11"/>
      <c r="K72" s="11">
        <f t="shared" si="19"/>
        <v>28</v>
      </c>
      <c r="L72" s="11">
        <f t="shared" si="20"/>
        <v>20.16</v>
      </c>
      <c r="M72" s="11"/>
      <c r="N72" s="11"/>
      <c r="O72" s="11"/>
      <c r="P72" s="11"/>
      <c r="Q72" s="11">
        <v>5</v>
      </c>
      <c r="R72" s="11">
        <f t="shared" si="21"/>
        <v>5</v>
      </c>
      <c r="S72" s="11">
        <f t="shared" si="22"/>
        <v>6.05</v>
      </c>
      <c r="T72" s="11"/>
      <c r="U72" s="11"/>
      <c r="V72" s="11">
        <v>1</v>
      </c>
      <c r="W72" s="11"/>
      <c r="X72" s="11">
        <v>6</v>
      </c>
      <c r="Y72" s="11">
        <f t="shared" si="23"/>
        <v>7</v>
      </c>
      <c r="Z72" s="11">
        <f t="shared" si="24"/>
        <v>19.18</v>
      </c>
      <c r="AA72" s="11">
        <f t="shared" si="25"/>
        <v>40</v>
      </c>
      <c r="AB72" s="11">
        <f t="shared" si="25"/>
        <v>45.39</v>
      </c>
      <c r="AC72" s="42">
        <f t="shared" si="15"/>
        <v>5930</v>
      </c>
      <c r="AD72" s="83">
        <f t="shared" si="16"/>
        <v>237200</v>
      </c>
      <c r="AE72" s="83">
        <f t="shared" si="17"/>
        <v>269162.7</v>
      </c>
      <c r="AF72" s="83">
        <f t="shared" si="18"/>
        <v>506362.7</v>
      </c>
      <c r="AG72" s="11"/>
      <c r="AH72" s="11"/>
      <c r="AI72" s="78"/>
      <c r="AJ72" s="78"/>
      <c r="AK72" s="78"/>
      <c r="AL72" s="78"/>
      <c r="AM72" s="78"/>
      <c r="AN72" s="78"/>
      <c r="AO72" s="78"/>
      <c r="AP72" s="78"/>
      <c r="AQ72" s="3" t="s">
        <v>72</v>
      </c>
      <c r="AR72" s="3" t="s">
        <v>155</v>
      </c>
      <c r="AS72" s="3" t="s">
        <v>810</v>
      </c>
      <c r="AT72" s="49">
        <v>5930</v>
      </c>
      <c r="AU72" s="3" t="str">
        <f t="shared" si="26"/>
        <v>match</v>
      </c>
      <c r="AV72" s="3" t="str">
        <f t="shared" si="27"/>
        <v>match</v>
      </c>
    </row>
    <row r="73" spans="1:48" ht="12">
      <c r="A73" s="9" t="s">
        <v>72</v>
      </c>
      <c r="B73" s="12" t="s">
        <v>157</v>
      </c>
      <c r="C73" s="13" t="s">
        <v>158</v>
      </c>
      <c r="D73" s="8"/>
      <c r="E73" s="39">
        <v>46</v>
      </c>
      <c r="F73" s="39"/>
      <c r="G73" s="39"/>
      <c r="H73" s="39"/>
      <c r="I73" s="39"/>
      <c r="J73" s="39"/>
      <c r="K73" s="39">
        <f t="shared" si="19"/>
        <v>46</v>
      </c>
      <c r="L73" s="39">
        <f t="shared" si="20"/>
        <v>33.119999999999997</v>
      </c>
      <c r="M73" s="39"/>
      <c r="N73" s="39"/>
      <c r="O73" s="39">
        <v>4</v>
      </c>
      <c r="P73" s="39"/>
      <c r="Q73" s="39">
        <v>12</v>
      </c>
      <c r="R73" s="39">
        <f t="shared" si="21"/>
        <v>16</v>
      </c>
      <c r="S73" s="39">
        <f t="shared" si="22"/>
        <v>19.36</v>
      </c>
      <c r="T73" s="39"/>
      <c r="U73" s="39"/>
      <c r="V73" s="39"/>
      <c r="W73" s="39"/>
      <c r="X73" s="39">
        <v>7</v>
      </c>
      <c r="Y73" s="39">
        <f t="shared" si="23"/>
        <v>7</v>
      </c>
      <c r="Z73" s="39">
        <f t="shared" si="24"/>
        <v>19.18</v>
      </c>
      <c r="AA73" s="39">
        <f t="shared" si="25"/>
        <v>69</v>
      </c>
      <c r="AB73" s="39">
        <f t="shared" si="25"/>
        <v>71.66</v>
      </c>
      <c r="AC73" s="41">
        <f t="shared" si="15"/>
        <v>5891</v>
      </c>
      <c r="AD73" s="82">
        <f t="shared" si="16"/>
        <v>406479</v>
      </c>
      <c r="AE73" s="82">
        <f t="shared" si="17"/>
        <v>422149.06</v>
      </c>
      <c r="AF73" s="82">
        <f t="shared" si="18"/>
        <v>828628.06</v>
      </c>
      <c r="AG73" s="39"/>
      <c r="AH73" s="39"/>
      <c r="AI73" s="79"/>
      <c r="AJ73" s="79"/>
      <c r="AK73" s="79"/>
      <c r="AL73" s="79"/>
      <c r="AM73" s="79"/>
      <c r="AN73" s="79"/>
      <c r="AO73" s="79"/>
      <c r="AP73" s="79"/>
      <c r="AQ73" s="3" t="s">
        <v>72</v>
      </c>
      <c r="AR73" s="3" t="s">
        <v>157</v>
      </c>
      <c r="AS73" s="3" t="s">
        <v>811</v>
      </c>
      <c r="AT73" s="49">
        <v>5891</v>
      </c>
      <c r="AU73" s="3" t="str">
        <f t="shared" si="26"/>
        <v>match</v>
      </c>
      <c r="AV73" s="3" t="str">
        <f t="shared" si="27"/>
        <v>match</v>
      </c>
    </row>
    <row r="74" spans="1:48" ht="12">
      <c r="A74" s="9" t="s">
        <v>72</v>
      </c>
      <c r="B74" s="10" t="s">
        <v>159</v>
      </c>
      <c r="C74" s="56" t="s">
        <v>1073</v>
      </c>
      <c r="D74" s="56"/>
      <c r="E74" s="11">
        <v>43</v>
      </c>
      <c r="F74" s="11"/>
      <c r="G74" s="11"/>
      <c r="H74" s="11"/>
      <c r="I74" s="11"/>
      <c r="J74" s="11"/>
      <c r="K74" s="11">
        <f t="shared" si="19"/>
        <v>43</v>
      </c>
      <c r="L74" s="11">
        <f t="shared" si="20"/>
        <v>30.959999999999997</v>
      </c>
      <c r="M74" s="11"/>
      <c r="N74" s="11">
        <v>2</v>
      </c>
      <c r="O74" s="11"/>
      <c r="P74" s="11"/>
      <c r="Q74" s="11">
        <v>11</v>
      </c>
      <c r="R74" s="11">
        <f t="shared" si="21"/>
        <v>13</v>
      </c>
      <c r="S74" s="11">
        <f t="shared" si="22"/>
        <v>14.53</v>
      </c>
      <c r="T74" s="11"/>
      <c r="U74" s="11"/>
      <c r="V74" s="11"/>
      <c r="W74" s="11"/>
      <c r="X74" s="11">
        <v>7</v>
      </c>
      <c r="Y74" s="11">
        <f t="shared" si="23"/>
        <v>7</v>
      </c>
      <c r="Z74" s="11">
        <f t="shared" si="24"/>
        <v>19.18</v>
      </c>
      <c r="AA74" s="11">
        <f t="shared" si="25"/>
        <v>63</v>
      </c>
      <c r="AB74" s="11">
        <f t="shared" si="25"/>
        <v>64.669999999999987</v>
      </c>
      <c r="AC74" s="42">
        <f t="shared" si="15"/>
        <v>5883</v>
      </c>
      <c r="AD74" s="83">
        <f t="shared" si="16"/>
        <v>370629</v>
      </c>
      <c r="AE74" s="83">
        <f t="shared" si="17"/>
        <v>380453.60999999993</v>
      </c>
      <c r="AF74" s="83">
        <f t="shared" si="18"/>
        <v>751082.60999999987</v>
      </c>
      <c r="AG74" s="11"/>
      <c r="AH74" s="11"/>
      <c r="AI74" s="78"/>
      <c r="AJ74" s="78"/>
      <c r="AK74" s="78"/>
      <c r="AL74" s="78"/>
      <c r="AM74" s="78"/>
      <c r="AN74" s="78"/>
      <c r="AO74" s="78"/>
      <c r="AP74" s="78"/>
      <c r="AQ74" s="3" t="s">
        <v>72</v>
      </c>
      <c r="AR74" s="3" t="s">
        <v>159</v>
      </c>
      <c r="AS74" s="3" t="s">
        <v>812</v>
      </c>
      <c r="AT74" s="49">
        <v>5883</v>
      </c>
      <c r="AU74" s="3" t="str">
        <f t="shared" si="26"/>
        <v>match</v>
      </c>
      <c r="AV74" s="3" t="str">
        <f t="shared" si="27"/>
        <v>match</v>
      </c>
    </row>
    <row r="75" spans="1:48" ht="12">
      <c r="A75" s="9" t="s">
        <v>72</v>
      </c>
      <c r="B75" s="12" t="s">
        <v>160</v>
      </c>
      <c r="C75" s="13" t="s">
        <v>161</v>
      </c>
      <c r="D75" s="8"/>
      <c r="E75" s="39">
        <v>39</v>
      </c>
      <c r="F75" s="39"/>
      <c r="G75" s="39"/>
      <c r="H75" s="39"/>
      <c r="I75" s="39"/>
      <c r="J75" s="39"/>
      <c r="K75" s="39">
        <f t="shared" si="19"/>
        <v>39</v>
      </c>
      <c r="L75" s="39">
        <f t="shared" si="20"/>
        <v>28.08</v>
      </c>
      <c r="M75" s="39"/>
      <c r="N75" s="39"/>
      <c r="O75" s="39">
        <v>1</v>
      </c>
      <c r="P75" s="39"/>
      <c r="Q75" s="39">
        <v>8</v>
      </c>
      <c r="R75" s="39">
        <f t="shared" si="21"/>
        <v>9</v>
      </c>
      <c r="S75" s="39">
        <f t="shared" si="22"/>
        <v>10.89</v>
      </c>
      <c r="T75" s="39"/>
      <c r="U75" s="39"/>
      <c r="V75" s="39"/>
      <c r="W75" s="39"/>
      <c r="X75" s="39">
        <v>6</v>
      </c>
      <c r="Y75" s="39">
        <f t="shared" si="23"/>
        <v>6</v>
      </c>
      <c r="Z75" s="39">
        <f t="shared" si="24"/>
        <v>16.440000000000001</v>
      </c>
      <c r="AA75" s="39">
        <f t="shared" si="25"/>
        <v>54</v>
      </c>
      <c r="AB75" s="39">
        <f t="shared" si="25"/>
        <v>55.41</v>
      </c>
      <c r="AC75" s="41">
        <f t="shared" si="15"/>
        <v>6009</v>
      </c>
      <c r="AD75" s="82">
        <f t="shared" si="16"/>
        <v>324486</v>
      </c>
      <c r="AE75" s="82">
        <f t="shared" si="17"/>
        <v>332958.69</v>
      </c>
      <c r="AF75" s="82">
        <f t="shared" si="18"/>
        <v>657444.68999999994</v>
      </c>
      <c r="AG75" s="39"/>
      <c r="AH75" s="39"/>
      <c r="AI75" s="79"/>
      <c r="AJ75" s="79"/>
      <c r="AK75" s="79"/>
      <c r="AL75" s="79"/>
      <c r="AM75" s="79"/>
      <c r="AN75" s="79"/>
      <c r="AO75" s="79"/>
      <c r="AP75" s="79"/>
      <c r="AQ75" s="3" t="s">
        <v>72</v>
      </c>
      <c r="AR75" s="3" t="s">
        <v>160</v>
      </c>
      <c r="AS75" s="3" t="s">
        <v>813</v>
      </c>
      <c r="AT75" s="49">
        <v>6009</v>
      </c>
      <c r="AU75" s="3" t="str">
        <f t="shared" si="26"/>
        <v>match</v>
      </c>
      <c r="AV75" s="3" t="str">
        <f t="shared" si="27"/>
        <v>match</v>
      </c>
    </row>
    <row r="76" spans="1:48" ht="12">
      <c r="A76" s="9" t="s">
        <v>72</v>
      </c>
      <c r="B76" s="10" t="s">
        <v>162</v>
      </c>
      <c r="C76" s="56" t="s">
        <v>163</v>
      </c>
      <c r="D76" s="56"/>
      <c r="E76" s="11">
        <v>69</v>
      </c>
      <c r="F76" s="11"/>
      <c r="G76" s="11"/>
      <c r="H76" s="11"/>
      <c r="I76" s="11"/>
      <c r="J76" s="11"/>
      <c r="K76" s="11">
        <f t="shared" si="19"/>
        <v>69</v>
      </c>
      <c r="L76" s="11">
        <f t="shared" si="20"/>
        <v>49.68</v>
      </c>
      <c r="M76" s="11"/>
      <c r="N76" s="11"/>
      <c r="O76" s="11">
        <v>2</v>
      </c>
      <c r="P76" s="11"/>
      <c r="Q76" s="11">
        <v>17</v>
      </c>
      <c r="R76" s="11">
        <f t="shared" si="21"/>
        <v>19</v>
      </c>
      <c r="S76" s="11">
        <f t="shared" si="22"/>
        <v>22.99</v>
      </c>
      <c r="T76" s="11"/>
      <c r="U76" s="11"/>
      <c r="V76" s="11">
        <v>1</v>
      </c>
      <c r="W76" s="11"/>
      <c r="X76" s="11">
        <v>9</v>
      </c>
      <c r="Y76" s="11">
        <f t="shared" si="23"/>
        <v>10</v>
      </c>
      <c r="Z76" s="11">
        <f t="shared" si="24"/>
        <v>27.400000000000002</v>
      </c>
      <c r="AA76" s="11">
        <f t="shared" si="25"/>
        <v>98</v>
      </c>
      <c r="AB76" s="11">
        <f t="shared" si="25"/>
        <v>100.07000000000001</v>
      </c>
      <c r="AC76" s="42">
        <f t="shared" si="15"/>
        <v>5940</v>
      </c>
      <c r="AD76" s="83">
        <f t="shared" si="16"/>
        <v>582120</v>
      </c>
      <c r="AE76" s="83">
        <f t="shared" si="17"/>
        <v>594415.80000000005</v>
      </c>
      <c r="AF76" s="83">
        <f t="shared" si="18"/>
        <v>1176535.8</v>
      </c>
      <c r="AG76" s="11"/>
      <c r="AH76" s="11"/>
      <c r="AI76" s="78"/>
      <c r="AJ76" s="78"/>
      <c r="AK76" s="78"/>
      <c r="AL76" s="78"/>
      <c r="AM76" s="78"/>
      <c r="AN76" s="78"/>
      <c r="AO76" s="78"/>
      <c r="AP76" s="78"/>
      <c r="AQ76" s="3" t="s">
        <v>72</v>
      </c>
      <c r="AR76" s="3" t="s">
        <v>162</v>
      </c>
      <c r="AS76" s="3" t="s">
        <v>814</v>
      </c>
      <c r="AT76" s="49">
        <v>5940</v>
      </c>
      <c r="AU76" s="3" t="str">
        <f t="shared" si="26"/>
        <v>match</v>
      </c>
      <c r="AV76" s="3" t="str">
        <f t="shared" si="27"/>
        <v>match</v>
      </c>
    </row>
    <row r="77" spans="1:48" ht="12">
      <c r="A77" s="9" t="s">
        <v>72</v>
      </c>
      <c r="B77" s="12" t="s">
        <v>164</v>
      </c>
      <c r="C77" s="13" t="s">
        <v>165</v>
      </c>
      <c r="D77" s="8"/>
      <c r="E77" s="39">
        <v>29</v>
      </c>
      <c r="F77" s="39"/>
      <c r="G77" s="39"/>
      <c r="H77" s="39"/>
      <c r="I77" s="39"/>
      <c r="J77" s="39"/>
      <c r="K77" s="39">
        <f t="shared" si="19"/>
        <v>29</v>
      </c>
      <c r="L77" s="39">
        <f t="shared" si="20"/>
        <v>20.88</v>
      </c>
      <c r="M77" s="39"/>
      <c r="N77" s="39"/>
      <c r="O77" s="39"/>
      <c r="P77" s="39"/>
      <c r="Q77" s="39">
        <v>4</v>
      </c>
      <c r="R77" s="39">
        <f t="shared" si="21"/>
        <v>4</v>
      </c>
      <c r="S77" s="39">
        <f t="shared" si="22"/>
        <v>4.84</v>
      </c>
      <c r="T77" s="39"/>
      <c r="U77" s="39"/>
      <c r="V77" s="39">
        <v>1</v>
      </c>
      <c r="W77" s="39"/>
      <c r="X77" s="39">
        <v>4</v>
      </c>
      <c r="Y77" s="39">
        <f t="shared" si="23"/>
        <v>5</v>
      </c>
      <c r="Z77" s="39">
        <f t="shared" si="24"/>
        <v>13.700000000000001</v>
      </c>
      <c r="AA77" s="39">
        <f t="shared" si="25"/>
        <v>38</v>
      </c>
      <c r="AB77" s="39">
        <f t="shared" si="25"/>
        <v>39.42</v>
      </c>
      <c r="AC77" s="41">
        <f t="shared" si="15"/>
        <v>5925</v>
      </c>
      <c r="AD77" s="82">
        <f t="shared" si="16"/>
        <v>225150</v>
      </c>
      <c r="AE77" s="82">
        <f t="shared" si="17"/>
        <v>233563.5</v>
      </c>
      <c r="AF77" s="82">
        <f t="shared" si="18"/>
        <v>458713.5</v>
      </c>
      <c r="AG77" s="39"/>
      <c r="AH77" s="39"/>
      <c r="AI77" s="79"/>
      <c r="AJ77" s="79"/>
      <c r="AK77" s="79"/>
      <c r="AL77" s="79"/>
      <c r="AM77" s="79"/>
      <c r="AN77" s="79"/>
      <c r="AO77" s="79"/>
      <c r="AP77" s="79"/>
      <c r="AQ77" s="3" t="s">
        <v>72</v>
      </c>
      <c r="AR77" s="3" t="s">
        <v>164</v>
      </c>
      <c r="AS77" s="3" t="s">
        <v>815</v>
      </c>
      <c r="AT77" s="49">
        <v>5925</v>
      </c>
      <c r="AU77" s="3" t="str">
        <f t="shared" si="26"/>
        <v>match</v>
      </c>
      <c r="AV77" s="3" t="str">
        <f t="shared" si="27"/>
        <v>match</v>
      </c>
    </row>
    <row r="78" spans="1:48" ht="12">
      <c r="A78" s="9" t="s">
        <v>72</v>
      </c>
      <c r="B78" s="10" t="s">
        <v>166</v>
      </c>
      <c r="C78" s="56" t="s">
        <v>1074</v>
      </c>
      <c r="D78" s="56"/>
      <c r="E78" s="11">
        <v>39</v>
      </c>
      <c r="F78" s="11"/>
      <c r="G78" s="11"/>
      <c r="H78" s="11"/>
      <c r="I78" s="11"/>
      <c r="J78" s="11"/>
      <c r="K78" s="11">
        <f t="shared" si="19"/>
        <v>39</v>
      </c>
      <c r="L78" s="11">
        <f t="shared" si="20"/>
        <v>28.08</v>
      </c>
      <c r="M78" s="11"/>
      <c r="N78" s="11"/>
      <c r="O78" s="11">
        <v>2</v>
      </c>
      <c r="P78" s="11"/>
      <c r="Q78" s="11">
        <v>8</v>
      </c>
      <c r="R78" s="11">
        <f t="shared" si="21"/>
        <v>10</v>
      </c>
      <c r="S78" s="11">
        <f t="shared" si="22"/>
        <v>12.1</v>
      </c>
      <c r="T78" s="11"/>
      <c r="U78" s="11"/>
      <c r="V78" s="11">
        <v>1</v>
      </c>
      <c r="W78" s="11"/>
      <c r="X78" s="11">
        <v>8</v>
      </c>
      <c r="Y78" s="11">
        <f t="shared" si="23"/>
        <v>9</v>
      </c>
      <c r="Z78" s="11">
        <f t="shared" si="24"/>
        <v>24.660000000000004</v>
      </c>
      <c r="AA78" s="11">
        <f t="shared" si="25"/>
        <v>58</v>
      </c>
      <c r="AB78" s="11">
        <f t="shared" si="25"/>
        <v>64.84</v>
      </c>
      <c r="AC78" s="42">
        <f t="shared" si="15"/>
        <v>5883</v>
      </c>
      <c r="AD78" s="83">
        <f t="shared" si="16"/>
        <v>341214</v>
      </c>
      <c r="AE78" s="83">
        <f t="shared" si="17"/>
        <v>381453.72000000003</v>
      </c>
      <c r="AF78" s="83">
        <f t="shared" si="18"/>
        <v>722667.72</v>
      </c>
      <c r="AG78" s="11"/>
      <c r="AH78" s="11"/>
      <c r="AI78" s="78"/>
      <c r="AJ78" s="78"/>
      <c r="AK78" s="78"/>
      <c r="AL78" s="78"/>
      <c r="AM78" s="78"/>
      <c r="AN78" s="78"/>
      <c r="AO78" s="78"/>
      <c r="AP78" s="78"/>
      <c r="AQ78" s="3" t="s">
        <v>72</v>
      </c>
      <c r="AR78" s="3" t="s">
        <v>166</v>
      </c>
      <c r="AS78" s="3" t="s">
        <v>816</v>
      </c>
      <c r="AT78" s="49">
        <v>5883</v>
      </c>
      <c r="AU78" s="3" t="str">
        <f t="shared" si="26"/>
        <v>match</v>
      </c>
      <c r="AV78" s="3" t="str">
        <f t="shared" si="27"/>
        <v>match</v>
      </c>
    </row>
    <row r="79" spans="1:48" ht="12">
      <c r="A79" s="9" t="s">
        <v>72</v>
      </c>
      <c r="B79" s="12" t="s">
        <v>167</v>
      </c>
      <c r="C79" s="13" t="s">
        <v>168</v>
      </c>
      <c r="D79" s="8"/>
      <c r="E79" s="39">
        <v>39</v>
      </c>
      <c r="F79" s="39"/>
      <c r="G79" s="39"/>
      <c r="H79" s="39"/>
      <c r="I79" s="39"/>
      <c r="J79" s="39"/>
      <c r="K79" s="39">
        <f t="shared" si="19"/>
        <v>39</v>
      </c>
      <c r="L79" s="39">
        <f t="shared" si="20"/>
        <v>28.08</v>
      </c>
      <c r="M79" s="39"/>
      <c r="N79" s="39"/>
      <c r="O79" s="39">
        <v>2</v>
      </c>
      <c r="P79" s="39"/>
      <c r="Q79" s="39">
        <v>7</v>
      </c>
      <c r="R79" s="39">
        <f t="shared" si="21"/>
        <v>9</v>
      </c>
      <c r="S79" s="39">
        <f t="shared" si="22"/>
        <v>10.89</v>
      </c>
      <c r="T79" s="39"/>
      <c r="U79" s="39"/>
      <c r="V79" s="39">
        <v>1</v>
      </c>
      <c r="W79" s="39"/>
      <c r="X79" s="39">
        <v>7</v>
      </c>
      <c r="Y79" s="39">
        <f t="shared" si="23"/>
        <v>8</v>
      </c>
      <c r="Z79" s="39">
        <f t="shared" si="24"/>
        <v>21.92</v>
      </c>
      <c r="AA79" s="39">
        <f t="shared" si="25"/>
        <v>56</v>
      </c>
      <c r="AB79" s="39">
        <f t="shared" si="25"/>
        <v>60.89</v>
      </c>
      <c r="AC79" s="41">
        <f t="shared" si="15"/>
        <v>5909</v>
      </c>
      <c r="AD79" s="82">
        <f t="shared" si="16"/>
        <v>330904</v>
      </c>
      <c r="AE79" s="82">
        <f t="shared" si="17"/>
        <v>359799.01</v>
      </c>
      <c r="AF79" s="82">
        <f t="shared" si="18"/>
        <v>690703.01</v>
      </c>
      <c r="AG79" s="39"/>
      <c r="AH79" s="39"/>
      <c r="AI79" s="79"/>
      <c r="AJ79" s="79"/>
      <c r="AK79" s="79"/>
      <c r="AL79" s="79"/>
      <c r="AM79" s="79"/>
      <c r="AN79" s="79"/>
      <c r="AO79" s="79"/>
      <c r="AP79" s="79"/>
      <c r="AQ79" s="3" t="s">
        <v>72</v>
      </c>
      <c r="AR79" s="3" t="s">
        <v>167</v>
      </c>
      <c r="AS79" s="3" t="s">
        <v>817</v>
      </c>
      <c r="AT79" s="49">
        <v>5909</v>
      </c>
      <c r="AU79" s="3" t="str">
        <f t="shared" si="26"/>
        <v>match</v>
      </c>
      <c r="AV79" s="3" t="str">
        <f t="shared" si="27"/>
        <v>match</v>
      </c>
    </row>
    <row r="80" spans="1:48" ht="12">
      <c r="A80" s="9" t="s">
        <v>72</v>
      </c>
      <c r="B80" s="10" t="s">
        <v>169</v>
      </c>
      <c r="C80" s="56" t="s">
        <v>170</v>
      </c>
      <c r="D80" s="56"/>
      <c r="E80" s="11">
        <v>42</v>
      </c>
      <c r="F80" s="11"/>
      <c r="G80" s="11"/>
      <c r="H80" s="11"/>
      <c r="I80" s="11"/>
      <c r="J80" s="11"/>
      <c r="K80" s="11">
        <f t="shared" si="19"/>
        <v>42</v>
      </c>
      <c r="L80" s="11">
        <f t="shared" si="20"/>
        <v>30.24</v>
      </c>
      <c r="M80" s="11"/>
      <c r="N80" s="11"/>
      <c r="O80" s="11">
        <v>5</v>
      </c>
      <c r="P80" s="11"/>
      <c r="Q80" s="11">
        <v>12</v>
      </c>
      <c r="R80" s="11">
        <f t="shared" si="21"/>
        <v>17</v>
      </c>
      <c r="S80" s="11">
        <f t="shared" si="22"/>
        <v>20.57</v>
      </c>
      <c r="T80" s="11"/>
      <c r="U80" s="11"/>
      <c r="V80" s="11"/>
      <c r="W80" s="11"/>
      <c r="X80" s="11">
        <v>8</v>
      </c>
      <c r="Y80" s="11">
        <f t="shared" si="23"/>
        <v>8</v>
      </c>
      <c r="Z80" s="11">
        <f t="shared" si="24"/>
        <v>21.92</v>
      </c>
      <c r="AA80" s="11">
        <f t="shared" si="25"/>
        <v>67</v>
      </c>
      <c r="AB80" s="11">
        <f t="shared" si="25"/>
        <v>72.73</v>
      </c>
      <c r="AC80" s="42">
        <f t="shared" si="15"/>
        <v>5949</v>
      </c>
      <c r="AD80" s="83">
        <f t="shared" si="16"/>
        <v>398583</v>
      </c>
      <c r="AE80" s="83">
        <f t="shared" si="17"/>
        <v>432670.77</v>
      </c>
      <c r="AF80" s="83">
        <f t="shared" si="18"/>
        <v>831253.77</v>
      </c>
      <c r="AG80" s="11"/>
      <c r="AH80" s="11"/>
      <c r="AI80" s="78"/>
      <c r="AJ80" s="78"/>
      <c r="AK80" s="78"/>
      <c r="AL80" s="78"/>
      <c r="AM80" s="78"/>
      <c r="AN80" s="78"/>
      <c r="AO80" s="78"/>
      <c r="AP80" s="78"/>
      <c r="AQ80" s="3" t="s">
        <v>72</v>
      </c>
      <c r="AR80" s="3" t="s">
        <v>169</v>
      </c>
      <c r="AS80" s="3" t="s">
        <v>170</v>
      </c>
      <c r="AT80" s="49">
        <v>5949</v>
      </c>
      <c r="AU80" s="3" t="str">
        <f t="shared" si="26"/>
        <v>match</v>
      </c>
      <c r="AV80" s="3" t="str">
        <f t="shared" si="27"/>
        <v>match</v>
      </c>
    </row>
    <row r="81" spans="1:48" ht="12">
      <c r="A81" s="9" t="s">
        <v>72</v>
      </c>
      <c r="B81" s="12" t="s">
        <v>171</v>
      </c>
      <c r="C81" s="13" t="s">
        <v>1075</v>
      </c>
      <c r="D81" s="8"/>
      <c r="E81" s="39">
        <v>123</v>
      </c>
      <c r="F81" s="39"/>
      <c r="G81" s="39"/>
      <c r="H81" s="39"/>
      <c r="I81" s="39"/>
      <c r="J81" s="39"/>
      <c r="K81" s="39">
        <f t="shared" si="19"/>
        <v>123</v>
      </c>
      <c r="L81" s="39">
        <f t="shared" si="20"/>
        <v>88.56</v>
      </c>
      <c r="M81" s="39"/>
      <c r="N81" s="39">
        <v>1</v>
      </c>
      <c r="O81" s="39">
        <v>12</v>
      </c>
      <c r="P81" s="39"/>
      <c r="Q81" s="39">
        <v>80</v>
      </c>
      <c r="R81" s="39">
        <f t="shared" si="21"/>
        <v>93</v>
      </c>
      <c r="S81" s="39">
        <f t="shared" si="22"/>
        <v>111.92999999999999</v>
      </c>
      <c r="T81" s="39"/>
      <c r="U81" s="39">
        <v>1</v>
      </c>
      <c r="V81" s="39"/>
      <c r="W81" s="39"/>
      <c r="X81" s="39">
        <v>24</v>
      </c>
      <c r="Y81" s="39">
        <f t="shared" si="23"/>
        <v>25</v>
      </c>
      <c r="Z81" s="39">
        <f t="shared" si="24"/>
        <v>67.13000000000001</v>
      </c>
      <c r="AA81" s="39">
        <f t="shared" si="25"/>
        <v>241</v>
      </c>
      <c r="AB81" s="39">
        <f t="shared" si="25"/>
        <v>267.62</v>
      </c>
      <c r="AC81" s="41">
        <f t="shared" si="15"/>
        <v>5903</v>
      </c>
      <c r="AD81" s="82">
        <f t="shared" si="16"/>
        <v>1422623</v>
      </c>
      <c r="AE81" s="82">
        <f t="shared" si="17"/>
        <v>1579760.86</v>
      </c>
      <c r="AF81" s="82">
        <f t="shared" si="18"/>
        <v>3002383.8600000003</v>
      </c>
      <c r="AG81" s="39"/>
      <c r="AH81" s="39"/>
      <c r="AI81" s="79"/>
      <c r="AJ81" s="79"/>
      <c r="AK81" s="79"/>
      <c r="AL81" s="79"/>
      <c r="AM81" s="79"/>
      <c r="AN81" s="79"/>
      <c r="AO81" s="79"/>
      <c r="AP81" s="79"/>
      <c r="AQ81" s="3" t="s">
        <v>72</v>
      </c>
      <c r="AR81" s="3" t="s">
        <v>171</v>
      </c>
      <c r="AS81" s="3" t="s">
        <v>818</v>
      </c>
      <c r="AT81" s="49">
        <v>5903</v>
      </c>
      <c r="AU81" s="3" t="str">
        <f t="shared" si="26"/>
        <v>match</v>
      </c>
      <c r="AV81" s="3" t="str">
        <f t="shared" si="27"/>
        <v>match</v>
      </c>
    </row>
    <row r="82" spans="1:48" ht="12">
      <c r="A82" s="9" t="s">
        <v>72</v>
      </c>
      <c r="B82" s="10" t="s">
        <v>172</v>
      </c>
      <c r="C82" s="56" t="s">
        <v>173</v>
      </c>
      <c r="D82" s="56"/>
      <c r="E82" s="11">
        <v>51</v>
      </c>
      <c r="F82" s="11"/>
      <c r="G82" s="11"/>
      <c r="H82" s="11"/>
      <c r="I82" s="11"/>
      <c r="J82" s="11"/>
      <c r="K82" s="11">
        <f t="shared" si="19"/>
        <v>51</v>
      </c>
      <c r="L82" s="11">
        <f t="shared" si="20"/>
        <v>36.72</v>
      </c>
      <c r="M82" s="11"/>
      <c r="N82" s="11">
        <v>2</v>
      </c>
      <c r="O82" s="11">
        <v>6</v>
      </c>
      <c r="P82" s="11"/>
      <c r="Q82" s="11">
        <v>9</v>
      </c>
      <c r="R82" s="11">
        <f t="shared" si="21"/>
        <v>17</v>
      </c>
      <c r="S82" s="11">
        <f t="shared" si="22"/>
        <v>19.369999999999997</v>
      </c>
      <c r="T82" s="11"/>
      <c r="U82" s="11"/>
      <c r="V82" s="11"/>
      <c r="W82" s="11"/>
      <c r="X82" s="11">
        <v>6</v>
      </c>
      <c r="Y82" s="11">
        <f t="shared" si="23"/>
        <v>6</v>
      </c>
      <c r="Z82" s="11">
        <f t="shared" si="24"/>
        <v>16.440000000000001</v>
      </c>
      <c r="AA82" s="11">
        <f t="shared" si="25"/>
        <v>74</v>
      </c>
      <c r="AB82" s="11">
        <f t="shared" si="25"/>
        <v>72.53</v>
      </c>
      <c r="AC82" s="42">
        <f t="shared" si="15"/>
        <v>5883</v>
      </c>
      <c r="AD82" s="83">
        <f t="shared" si="16"/>
        <v>435342</v>
      </c>
      <c r="AE82" s="83">
        <f t="shared" si="17"/>
        <v>426693.99</v>
      </c>
      <c r="AF82" s="83">
        <f t="shared" si="18"/>
        <v>862035.99</v>
      </c>
      <c r="AG82" s="11"/>
      <c r="AH82" s="11"/>
      <c r="AI82" s="78"/>
      <c r="AJ82" s="78"/>
      <c r="AK82" s="78"/>
      <c r="AL82" s="78"/>
      <c r="AM82" s="78"/>
      <c r="AN82" s="78"/>
      <c r="AO82" s="78"/>
      <c r="AP82" s="78"/>
      <c r="AQ82" s="3" t="s">
        <v>72</v>
      </c>
      <c r="AR82" s="3" t="s">
        <v>172</v>
      </c>
      <c r="AS82" s="3" t="s">
        <v>819</v>
      </c>
      <c r="AT82" s="49">
        <v>5883</v>
      </c>
      <c r="AU82" s="3" t="str">
        <f t="shared" si="26"/>
        <v>match</v>
      </c>
      <c r="AV82" s="3" t="str">
        <f t="shared" si="27"/>
        <v>match</v>
      </c>
    </row>
    <row r="83" spans="1:48" ht="12">
      <c r="A83" s="9" t="s">
        <v>72</v>
      </c>
      <c r="B83" s="12" t="s">
        <v>174</v>
      </c>
      <c r="C83" s="13" t="s">
        <v>175</v>
      </c>
      <c r="D83" s="8"/>
      <c r="E83" s="39">
        <v>47</v>
      </c>
      <c r="F83" s="39"/>
      <c r="G83" s="39"/>
      <c r="H83" s="39"/>
      <c r="I83" s="39"/>
      <c r="J83" s="39"/>
      <c r="K83" s="39">
        <f t="shared" si="19"/>
        <v>47</v>
      </c>
      <c r="L83" s="39">
        <f t="shared" si="20"/>
        <v>33.839999999999996</v>
      </c>
      <c r="M83" s="39"/>
      <c r="N83" s="39">
        <v>1</v>
      </c>
      <c r="O83" s="39">
        <v>2</v>
      </c>
      <c r="P83" s="39"/>
      <c r="Q83" s="39">
        <v>6</v>
      </c>
      <c r="R83" s="39">
        <f t="shared" si="21"/>
        <v>9</v>
      </c>
      <c r="S83" s="39">
        <f t="shared" si="22"/>
        <v>10.29</v>
      </c>
      <c r="T83" s="39"/>
      <c r="U83" s="39"/>
      <c r="V83" s="39"/>
      <c r="W83" s="39"/>
      <c r="X83" s="39">
        <v>10</v>
      </c>
      <c r="Y83" s="39">
        <f t="shared" si="23"/>
        <v>10</v>
      </c>
      <c r="Z83" s="39">
        <f t="shared" si="24"/>
        <v>27.400000000000002</v>
      </c>
      <c r="AA83" s="39">
        <f t="shared" si="25"/>
        <v>66</v>
      </c>
      <c r="AB83" s="39">
        <f t="shared" si="25"/>
        <v>71.53</v>
      </c>
      <c r="AC83" s="41">
        <f t="shared" si="15"/>
        <v>5922</v>
      </c>
      <c r="AD83" s="82">
        <f t="shared" si="16"/>
        <v>390852</v>
      </c>
      <c r="AE83" s="82">
        <f t="shared" si="17"/>
        <v>423600.66000000003</v>
      </c>
      <c r="AF83" s="82">
        <f t="shared" si="18"/>
        <v>814452.66</v>
      </c>
      <c r="AG83" s="39"/>
      <c r="AH83" s="39"/>
      <c r="AI83" s="79"/>
      <c r="AJ83" s="79"/>
      <c r="AK83" s="79"/>
      <c r="AL83" s="79"/>
      <c r="AM83" s="79"/>
      <c r="AN83" s="79"/>
      <c r="AO83" s="79"/>
      <c r="AP83" s="79"/>
      <c r="AQ83" s="3" t="s">
        <v>72</v>
      </c>
      <c r="AR83" s="3" t="s">
        <v>174</v>
      </c>
      <c r="AS83" s="3" t="s">
        <v>820</v>
      </c>
      <c r="AT83" s="49">
        <v>5922</v>
      </c>
      <c r="AU83" s="3" t="str">
        <f t="shared" si="26"/>
        <v>match</v>
      </c>
      <c r="AV83" s="3" t="str">
        <f t="shared" si="27"/>
        <v>match</v>
      </c>
    </row>
    <row r="84" spans="1:48" ht="12">
      <c r="A84" s="9" t="s">
        <v>72</v>
      </c>
      <c r="B84" s="10" t="s">
        <v>176</v>
      </c>
      <c r="C84" s="56" t="s">
        <v>177</v>
      </c>
      <c r="D84" s="56"/>
      <c r="E84" s="11">
        <v>114</v>
      </c>
      <c r="F84" s="11"/>
      <c r="G84" s="11"/>
      <c r="H84" s="11"/>
      <c r="I84" s="11"/>
      <c r="J84" s="11"/>
      <c r="K84" s="11">
        <f t="shared" si="19"/>
        <v>114</v>
      </c>
      <c r="L84" s="11">
        <f t="shared" si="20"/>
        <v>82.08</v>
      </c>
      <c r="M84" s="11"/>
      <c r="N84" s="11">
        <v>7</v>
      </c>
      <c r="O84" s="11">
        <v>4</v>
      </c>
      <c r="P84" s="11"/>
      <c r="Q84" s="11">
        <v>28</v>
      </c>
      <c r="R84" s="11">
        <f t="shared" si="21"/>
        <v>39</v>
      </c>
      <c r="S84" s="11">
        <f t="shared" si="22"/>
        <v>42.989999999999995</v>
      </c>
      <c r="T84" s="11"/>
      <c r="U84" s="11"/>
      <c r="V84" s="11">
        <v>2</v>
      </c>
      <c r="W84" s="11"/>
      <c r="X84" s="11">
        <v>15</v>
      </c>
      <c r="Y84" s="11">
        <f t="shared" si="23"/>
        <v>17</v>
      </c>
      <c r="Z84" s="11">
        <f t="shared" si="24"/>
        <v>46.580000000000005</v>
      </c>
      <c r="AA84" s="11">
        <f t="shared" si="25"/>
        <v>170</v>
      </c>
      <c r="AB84" s="11">
        <f t="shared" si="25"/>
        <v>171.65</v>
      </c>
      <c r="AC84" s="42">
        <f t="shared" si="15"/>
        <v>5965</v>
      </c>
      <c r="AD84" s="83">
        <f t="shared" si="16"/>
        <v>1014050</v>
      </c>
      <c r="AE84" s="83">
        <f t="shared" si="17"/>
        <v>1023892.25</v>
      </c>
      <c r="AF84" s="83">
        <f t="shared" si="18"/>
        <v>2037942.25</v>
      </c>
      <c r="AG84" s="11"/>
      <c r="AH84" s="11"/>
      <c r="AI84" s="78"/>
      <c r="AJ84" s="78"/>
      <c r="AK84" s="78"/>
      <c r="AL84" s="78"/>
      <c r="AM84" s="78"/>
      <c r="AN84" s="78"/>
      <c r="AO84" s="78"/>
      <c r="AP84" s="78"/>
      <c r="AQ84" s="3" t="s">
        <v>72</v>
      </c>
      <c r="AR84" s="3" t="s">
        <v>176</v>
      </c>
      <c r="AS84" s="3" t="s">
        <v>177</v>
      </c>
      <c r="AT84" s="49">
        <v>5965</v>
      </c>
      <c r="AU84" s="3" t="str">
        <f t="shared" si="26"/>
        <v>match</v>
      </c>
      <c r="AV84" s="3" t="str">
        <f t="shared" si="27"/>
        <v>match</v>
      </c>
    </row>
    <row r="85" spans="1:48" ht="12">
      <c r="A85" s="9" t="s">
        <v>72</v>
      </c>
      <c r="B85" s="12" t="s">
        <v>178</v>
      </c>
      <c r="C85" s="13" t="s">
        <v>179</v>
      </c>
      <c r="D85" s="8"/>
      <c r="E85" s="39">
        <v>11</v>
      </c>
      <c r="F85" s="39"/>
      <c r="G85" s="39"/>
      <c r="H85" s="39"/>
      <c r="I85" s="39"/>
      <c r="J85" s="39"/>
      <c r="K85" s="39">
        <f t="shared" si="19"/>
        <v>11</v>
      </c>
      <c r="L85" s="39">
        <f t="shared" si="20"/>
        <v>7.92</v>
      </c>
      <c r="M85" s="39"/>
      <c r="N85" s="39"/>
      <c r="O85" s="39"/>
      <c r="P85" s="39"/>
      <c r="Q85" s="39">
        <v>3</v>
      </c>
      <c r="R85" s="39">
        <f t="shared" si="21"/>
        <v>3</v>
      </c>
      <c r="S85" s="39">
        <f t="shared" si="22"/>
        <v>3.63</v>
      </c>
      <c r="T85" s="39"/>
      <c r="U85" s="39"/>
      <c r="V85" s="39"/>
      <c r="W85" s="39"/>
      <c r="X85" s="39">
        <v>3</v>
      </c>
      <c r="Y85" s="39">
        <f t="shared" si="23"/>
        <v>3</v>
      </c>
      <c r="Z85" s="39">
        <f t="shared" si="24"/>
        <v>8.2200000000000006</v>
      </c>
      <c r="AA85" s="39">
        <f t="shared" si="25"/>
        <v>17</v>
      </c>
      <c r="AB85" s="39">
        <f t="shared" si="25"/>
        <v>19.770000000000003</v>
      </c>
      <c r="AC85" s="41">
        <f t="shared" si="15"/>
        <v>6012</v>
      </c>
      <c r="AD85" s="82">
        <f t="shared" si="16"/>
        <v>102204</v>
      </c>
      <c r="AE85" s="82">
        <f t="shared" si="17"/>
        <v>118857.24000000002</v>
      </c>
      <c r="AF85" s="82">
        <f t="shared" si="18"/>
        <v>221061.24000000002</v>
      </c>
      <c r="AG85" s="39"/>
      <c r="AH85" s="39"/>
      <c r="AI85" s="79"/>
      <c r="AJ85" s="79"/>
      <c r="AK85" s="79"/>
      <c r="AL85" s="79"/>
      <c r="AM85" s="79"/>
      <c r="AN85" s="79"/>
      <c r="AO85" s="79"/>
      <c r="AP85" s="79"/>
      <c r="AQ85" s="3" t="s">
        <v>72</v>
      </c>
      <c r="AR85" s="3" t="s">
        <v>178</v>
      </c>
      <c r="AS85" s="3" t="s">
        <v>821</v>
      </c>
      <c r="AT85" s="49">
        <v>6012</v>
      </c>
      <c r="AU85" s="3" t="str">
        <f t="shared" si="26"/>
        <v>match</v>
      </c>
      <c r="AV85" s="3" t="str">
        <f t="shared" si="27"/>
        <v>match</v>
      </c>
    </row>
    <row r="86" spans="1:48" ht="12">
      <c r="A86" s="9" t="s">
        <v>72</v>
      </c>
      <c r="B86" s="10" t="s">
        <v>180</v>
      </c>
      <c r="C86" s="56" t="s">
        <v>181</v>
      </c>
      <c r="D86" s="56"/>
      <c r="E86" s="11">
        <v>39</v>
      </c>
      <c r="F86" s="11"/>
      <c r="G86" s="11"/>
      <c r="H86" s="11"/>
      <c r="I86" s="11"/>
      <c r="J86" s="11"/>
      <c r="K86" s="11">
        <f t="shared" si="19"/>
        <v>39</v>
      </c>
      <c r="L86" s="11">
        <f t="shared" si="20"/>
        <v>28.08</v>
      </c>
      <c r="M86" s="11">
        <v>1</v>
      </c>
      <c r="N86" s="11">
        <v>5</v>
      </c>
      <c r="O86" s="11"/>
      <c r="P86" s="11"/>
      <c r="Q86" s="11">
        <v>12</v>
      </c>
      <c r="R86" s="11">
        <f t="shared" si="21"/>
        <v>18</v>
      </c>
      <c r="S86" s="11">
        <f t="shared" si="22"/>
        <v>18.78</v>
      </c>
      <c r="T86" s="11"/>
      <c r="U86" s="11">
        <v>1</v>
      </c>
      <c r="V86" s="11"/>
      <c r="W86" s="11"/>
      <c r="X86" s="11">
        <v>13</v>
      </c>
      <c r="Y86" s="11">
        <f t="shared" si="23"/>
        <v>14</v>
      </c>
      <c r="Z86" s="11">
        <f t="shared" si="24"/>
        <v>36.99</v>
      </c>
      <c r="AA86" s="11">
        <f t="shared" si="25"/>
        <v>71</v>
      </c>
      <c r="AB86" s="11">
        <f t="shared" si="25"/>
        <v>83.85</v>
      </c>
      <c r="AC86" s="42">
        <f t="shared" si="15"/>
        <v>5929</v>
      </c>
      <c r="AD86" s="83">
        <f t="shared" si="16"/>
        <v>420959</v>
      </c>
      <c r="AE86" s="83">
        <f t="shared" si="17"/>
        <v>497146.64999999997</v>
      </c>
      <c r="AF86" s="83">
        <f t="shared" si="18"/>
        <v>918105.64999999991</v>
      </c>
      <c r="AG86" s="11"/>
      <c r="AH86" s="11"/>
      <c r="AI86" s="78"/>
      <c r="AJ86" s="78"/>
      <c r="AK86" s="78"/>
      <c r="AL86" s="78"/>
      <c r="AM86" s="78"/>
      <c r="AN86" s="78"/>
      <c r="AO86" s="78"/>
      <c r="AP86" s="78"/>
      <c r="AQ86" s="3" t="s">
        <v>72</v>
      </c>
      <c r="AR86" s="3" t="s">
        <v>180</v>
      </c>
      <c r="AS86" s="3" t="s">
        <v>822</v>
      </c>
      <c r="AT86" s="49">
        <v>5929</v>
      </c>
      <c r="AU86" s="3" t="str">
        <f t="shared" si="26"/>
        <v>match</v>
      </c>
      <c r="AV86" s="3" t="str">
        <f t="shared" si="27"/>
        <v>match</v>
      </c>
    </row>
    <row r="87" spans="1:48" ht="12">
      <c r="A87" s="9" t="s">
        <v>72</v>
      </c>
      <c r="B87" s="12" t="s">
        <v>182</v>
      </c>
      <c r="C87" s="13" t="s">
        <v>183</v>
      </c>
      <c r="D87" s="8"/>
      <c r="E87" s="39">
        <v>767</v>
      </c>
      <c r="F87" s="39"/>
      <c r="G87" s="39"/>
      <c r="H87" s="39"/>
      <c r="I87" s="39"/>
      <c r="J87" s="39"/>
      <c r="K87" s="39">
        <f t="shared" si="19"/>
        <v>767</v>
      </c>
      <c r="L87" s="39">
        <f t="shared" si="20"/>
        <v>552.24</v>
      </c>
      <c r="M87" s="39">
        <v>3</v>
      </c>
      <c r="N87" s="39">
        <v>25</v>
      </c>
      <c r="O87" s="39">
        <v>84</v>
      </c>
      <c r="P87" s="39"/>
      <c r="Q87" s="39">
        <v>543</v>
      </c>
      <c r="R87" s="39">
        <f t="shared" si="21"/>
        <v>655</v>
      </c>
      <c r="S87" s="39">
        <f t="shared" si="22"/>
        <v>777.55</v>
      </c>
      <c r="T87" s="39">
        <v>3</v>
      </c>
      <c r="U87" s="39">
        <v>6</v>
      </c>
      <c r="V87" s="39">
        <v>27</v>
      </c>
      <c r="W87" s="39"/>
      <c r="X87" s="39">
        <v>385</v>
      </c>
      <c r="Y87" s="39">
        <f t="shared" si="23"/>
        <v>421</v>
      </c>
      <c r="Z87" s="39">
        <f t="shared" si="24"/>
        <v>1145.3200000000002</v>
      </c>
      <c r="AA87" s="39">
        <f t="shared" si="25"/>
        <v>1843</v>
      </c>
      <c r="AB87" s="39">
        <f t="shared" si="25"/>
        <v>2475.11</v>
      </c>
      <c r="AC87" s="41">
        <f t="shared" si="15"/>
        <v>5883</v>
      </c>
      <c r="AD87" s="82">
        <f t="shared" si="16"/>
        <v>10842369</v>
      </c>
      <c r="AE87" s="82">
        <f t="shared" si="17"/>
        <v>14561072.130000001</v>
      </c>
      <c r="AF87" s="82">
        <f t="shared" si="18"/>
        <v>25403441.130000003</v>
      </c>
      <c r="AG87" s="39"/>
      <c r="AH87" s="39"/>
      <c r="AI87" s="79"/>
      <c r="AJ87" s="79"/>
      <c r="AK87" s="79"/>
      <c r="AL87" s="79"/>
      <c r="AM87" s="79"/>
      <c r="AN87" s="79"/>
      <c r="AO87" s="79"/>
      <c r="AP87" s="79"/>
      <c r="AQ87" s="3" t="s">
        <v>72</v>
      </c>
      <c r="AR87" s="3" t="s">
        <v>182</v>
      </c>
      <c r="AS87" s="3" t="s">
        <v>183</v>
      </c>
      <c r="AT87" s="49">
        <v>5883</v>
      </c>
      <c r="AU87" s="3" t="str">
        <f t="shared" si="26"/>
        <v>match</v>
      </c>
      <c r="AV87" s="3" t="str">
        <f t="shared" si="27"/>
        <v>match</v>
      </c>
    </row>
    <row r="88" spans="1:48" ht="12">
      <c r="A88" s="9" t="s">
        <v>72</v>
      </c>
      <c r="B88" s="10" t="s">
        <v>184</v>
      </c>
      <c r="C88" s="56" t="s">
        <v>185</v>
      </c>
      <c r="D88" s="56"/>
      <c r="E88" s="11">
        <v>123</v>
      </c>
      <c r="F88" s="11"/>
      <c r="G88" s="11"/>
      <c r="H88" s="11"/>
      <c r="I88" s="11"/>
      <c r="J88" s="11"/>
      <c r="K88" s="11">
        <f t="shared" si="19"/>
        <v>123</v>
      </c>
      <c r="L88" s="11">
        <f t="shared" si="20"/>
        <v>88.56</v>
      </c>
      <c r="M88" s="11">
        <v>1</v>
      </c>
      <c r="N88" s="11">
        <v>7</v>
      </c>
      <c r="O88" s="11">
        <v>2</v>
      </c>
      <c r="P88" s="11"/>
      <c r="Q88" s="11">
        <v>77</v>
      </c>
      <c r="R88" s="11">
        <f t="shared" si="21"/>
        <v>87</v>
      </c>
      <c r="S88" s="11">
        <f t="shared" si="22"/>
        <v>101.07</v>
      </c>
      <c r="T88" s="11"/>
      <c r="U88" s="11">
        <v>5</v>
      </c>
      <c r="V88" s="11"/>
      <c r="W88" s="11"/>
      <c r="X88" s="11">
        <v>27</v>
      </c>
      <c r="Y88" s="11">
        <f t="shared" si="23"/>
        <v>32</v>
      </c>
      <c r="Z88" s="11">
        <f t="shared" si="24"/>
        <v>80.83</v>
      </c>
      <c r="AA88" s="11">
        <f t="shared" si="25"/>
        <v>242</v>
      </c>
      <c r="AB88" s="11">
        <f t="shared" si="25"/>
        <v>270.45999999999998</v>
      </c>
      <c r="AC88" s="42">
        <f t="shared" si="15"/>
        <v>5883</v>
      </c>
      <c r="AD88" s="83">
        <f t="shared" si="16"/>
        <v>1423686</v>
      </c>
      <c r="AE88" s="83">
        <f t="shared" si="17"/>
        <v>1591116.18</v>
      </c>
      <c r="AF88" s="83">
        <f t="shared" si="18"/>
        <v>3014802.1799999997</v>
      </c>
      <c r="AG88" s="11"/>
      <c r="AH88" s="11"/>
      <c r="AI88" s="78"/>
      <c r="AJ88" s="78"/>
      <c r="AK88" s="78"/>
      <c r="AL88" s="78"/>
      <c r="AM88" s="78"/>
      <c r="AN88" s="78"/>
      <c r="AO88" s="78"/>
      <c r="AP88" s="78"/>
      <c r="AQ88" s="3" t="s">
        <v>72</v>
      </c>
      <c r="AR88" s="3" t="s">
        <v>184</v>
      </c>
      <c r="AS88" s="3" t="s">
        <v>823</v>
      </c>
      <c r="AT88" s="49">
        <v>5883</v>
      </c>
      <c r="AU88" s="3" t="str">
        <f t="shared" si="26"/>
        <v>match</v>
      </c>
      <c r="AV88" s="3" t="str">
        <f t="shared" si="27"/>
        <v>match</v>
      </c>
    </row>
    <row r="89" spans="1:48" ht="12">
      <c r="A89" s="9" t="s">
        <v>72</v>
      </c>
      <c r="B89" s="12" t="s">
        <v>186</v>
      </c>
      <c r="C89" s="13" t="s">
        <v>187</v>
      </c>
      <c r="D89" s="8"/>
      <c r="E89" s="39">
        <v>55</v>
      </c>
      <c r="F89" s="39"/>
      <c r="G89" s="39"/>
      <c r="H89" s="39"/>
      <c r="I89" s="39"/>
      <c r="J89" s="39"/>
      <c r="K89" s="39">
        <f t="shared" si="19"/>
        <v>55</v>
      </c>
      <c r="L89" s="39">
        <f t="shared" si="20"/>
        <v>39.6</v>
      </c>
      <c r="M89" s="39"/>
      <c r="N89" s="39">
        <v>1</v>
      </c>
      <c r="O89" s="39">
        <v>6</v>
      </c>
      <c r="P89" s="39"/>
      <c r="Q89" s="39">
        <v>25</v>
      </c>
      <c r="R89" s="39">
        <f t="shared" si="21"/>
        <v>32</v>
      </c>
      <c r="S89" s="39">
        <f t="shared" si="22"/>
        <v>38.119999999999997</v>
      </c>
      <c r="T89" s="39"/>
      <c r="U89" s="39"/>
      <c r="V89" s="39"/>
      <c r="W89" s="39"/>
      <c r="X89" s="39">
        <v>7</v>
      </c>
      <c r="Y89" s="39">
        <f t="shared" si="23"/>
        <v>7</v>
      </c>
      <c r="Z89" s="39">
        <f t="shared" si="24"/>
        <v>19.18</v>
      </c>
      <c r="AA89" s="39">
        <f t="shared" si="25"/>
        <v>94</v>
      </c>
      <c r="AB89" s="39">
        <f t="shared" si="25"/>
        <v>96.9</v>
      </c>
      <c r="AC89" s="41">
        <f t="shared" si="15"/>
        <v>5890</v>
      </c>
      <c r="AD89" s="82">
        <f t="shared" si="16"/>
        <v>553660</v>
      </c>
      <c r="AE89" s="82">
        <f t="shared" si="17"/>
        <v>570741</v>
      </c>
      <c r="AF89" s="82">
        <f t="shared" si="18"/>
        <v>1124401</v>
      </c>
      <c r="AG89" s="39"/>
      <c r="AH89" s="39"/>
      <c r="AI89" s="79"/>
      <c r="AJ89" s="79"/>
      <c r="AK89" s="79"/>
      <c r="AL89" s="79"/>
      <c r="AM89" s="79"/>
      <c r="AN89" s="79"/>
      <c r="AO89" s="79"/>
      <c r="AP89" s="79"/>
      <c r="AQ89" s="3" t="s">
        <v>72</v>
      </c>
      <c r="AR89" s="3" t="s">
        <v>186</v>
      </c>
      <c r="AS89" s="3" t="s">
        <v>824</v>
      </c>
      <c r="AT89" s="49">
        <v>5890</v>
      </c>
      <c r="AU89" s="3" t="str">
        <f t="shared" si="26"/>
        <v>match</v>
      </c>
      <c r="AV89" s="3" t="str">
        <f t="shared" si="27"/>
        <v>match</v>
      </c>
    </row>
    <row r="90" spans="1:48" ht="12.75" thickBot="1">
      <c r="A90" s="9" t="s">
        <v>72</v>
      </c>
      <c r="B90" s="10" t="s">
        <v>188</v>
      </c>
      <c r="C90" s="56" t="s">
        <v>189</v>
      </c>
      <c r="D90" s="56"/>
      <c r="E90" s="11">
        <v>14</v>
      </c>
      <c r="F90" s="11"/>
      <c r="G90" s="11"/>
      <c r="H90" s="11"/>
      <c r="I90" s="11"/>
      <c r="J90" s="11"/>
      <c r="K90" s="11">
        <f t="shared" si="19"/>
        <v>14</v>
      </c>
      <c r="L90" s="11">
        <f t="shared" si="20"/>
        <v>10.08</v>
      </c>
      <c r="M90" s="11"/>
      <c r="N90" s="11"/>
      <c r="O90" s="11">
        <v>1</v>
      </c>
      <c r="P90" s="11"/>
      <c r="Q90" s="11">
        <v>3</v>
      </c>
      <c r="R90" s="11">
        <f t="shared" si="21"/>
        <v>4</v>
      </c>
      <c r="S90" s="11">
        <f t="shared" si="22"/>
        <v>4.84</v>
      </c>
      <c r="T90" s="11"/>
      <c r="U90" s="11"/>
      <c r="V90" s="11">
        <v>1</v>
      </c>
      <c r="W90" s="11"/>
      <c r="X90" s="11">
        <v>1</v>
      </c>
      <c r="Y90" s="11">
        <f t="shared" si="23"/>
        <v>2</v>
      </c>
      <c r="Z90" s="11">
        <f t="shared" si="24"/>
        <v>5.48</v>
      </c>
      <c r="AA90" s="11">
        <f t="shared" si="25"/>
        <v>20</v>
      </c>
      <c r="AB90" s="11">
        <f t="shared" si="25"/>
        <v>20.399999999999999</v>
      </c>
      <c r="AC90" s="42">
        <f t="shared" si="15"/>
        <v>5952</v>
      </c>
      <c r="AD90" s="83">
        <f t="shared" si="16"/>
        <v>119040</v>
      </c>
      <c r="AE90" s="83">
        <f t="shared" si="17"/>
        <v>121420.79999999999</v>
      </c>
      <c r="AF90" s="83">
        <f t="shared" si="18"/>
        <v>240460.79999999999</v>
      </c>
      <c r="AG90" s="11"/>
      <c r="AH90" s="11"/>
      <c r="AI90" s="78"/>
      <c r="AJ90" s="78"/>
      <c r="AK90" s="78"/>
      <c r="AL90" s="78"/>
      <c r="AM90" s="78"/>
      <c r="AN90" s="78"/>
      <c r="AO90" s="78"/>
      <c r="AP90" s="78"/>
      <c r="AQ90" s="3" t="s">
        <v>72</v>
      </c>
      <c r="AR90" s="3" t="s">
        <v>188</v>
      </c>
      <c r="AS90" s="3" t="s">
        <v>825</v>
      </c>
      <c r="AT90" s="49">
        <v>5952</v>
      </c>
      <c r="AU90" s="3" t="str">
        <f t="shared" si="26"/>
        <v>match</v>
      </c>
      <c r="AV90" s="3" t="str">
        <f t="shared" si="27"/>
        <v>match</v>
      </c>
    </row>
    <row r="91" spans="1:48" ht="12.75" thickBot="1">
      <c r="A91" s="17" t="s">
        <v>72</v>
      </c>
      <c r="B91" s="17">
        <v>9207</v>
      </c>
      <c r="C91" s="18" t="s">
        <v>190</v>
      </c>
      <c r="D91" s="93"/>
      <c r="E91" s="19">
        <f>SUM(E31:E90)</f>
        <v>5179</v>
      </c>
      <c r="F91" s="19">
        <f t="shared" ref="F91:AB91" si="28">SUM(F31:F90)</f>
        <v>5</v>
      </c>
      <c r="G91" s="19">
        <f t="shared" si="28"/>
        <v>0</v>
      </c>
      <c r="H91" s="19">
        <f t="shared" si="28"/>
        <v>0</v>
      </c>
      <c r="I91" s="19">
        <f t="shared" si="28"/>
        <v>0</v>
      </c>
      <c r="J91" s="19">
        <f t="shared" si="28"/>
        <v>0</v>
      </c>
      <c r="K91" s="19">
        <f t="shared" si="28"/>
        <v>5184</v>
      </c>
      <c r="L91" s="19">
        <f t="shared" si="28"/>
        <v>3732.4799999999987</v>
      </c>
      <c r="M91" s="19">
        <f t="shared" si="28"/>
        <v>11</v>
      </c>
      <c r="N91" s="19">
        <f t="shared" si="28"/>
        <v>96</v>
      </c>
      <c r="O91" s="19">
        <f t="shared" si="28"/>
        <v>327</v>
      </c>
      <c r="P91" s="19">
        <f t="shared" si="28"/>
        <v>0</v>
      </c>
      <c r="Q91" s="19">
        <f t="shared" si="28"/>
        <v>2066</v>
      </c>
      <c r="R91" s="19">
        <f t="shared" si="28"/>
        <v>2500</v>
      </c>
      <c r="S91" s="19">
        <f t="shared" si="28"/>
        <v>2967.4</v>
      </c>
      <c r="T91" s="19">
        <f t="shared" si="28"/>
        <v>4</v>
      </c>
      <c r="U91" s="19">
        <f t="shared" si="28"/>
        <v>38</v>
      </c>
      <c r="V91" s="19">
        <f t="shared" si="28"/>
        <v>81</v>
      </c>
      <c r="W91" s="19">
        <f t="shared" si="28"/>
        <v>0</v>
      </c>
      <c r="X91" s="19">
        <f t="shared" si="28"/>
        <v>1126</v>
      </c>
      <c r="Y91" s="19">
        <f t="shared" si="28"/>
        <v>1249</v>
      </c>
      <c r="Z91" s="19">
        <f t="shared" si="28"/>
        <v>3370.2000000000007</v>
      </c>
      <c r="AA91" s="19">
        <f t="shared" si="28"/>
        <v>8933</v>
      </c>
      <c r="AB91" s="19">
        <f t="shared" si="28"/>
        <v>10070.08</v>
      </c>
      <c r="AC91" s="50"/>
      <c r="AD91" s="43">
        <f t="shared" ref="AD91" si="29">SUM(AD31:AD90)</f>
        <v>52804052</v>
      </c>
      <c r="AE91" s="43">
        <f t="shared" ref="AE91" si="30">SUM(AE31:AE90)</f>
        <v>59509117.529999994</v>
      </c>
      <c r="AF91" s="43">
        <f t="shared" ref="AF91" si="31">SUM(AF31:AF90)</f>
        <v>112313169.53000002</v>
      </c>
      <c r="AG91" s="19"/>
      <c r="AH91" s="19"/>
      <c r="AI91" s="80"/>
      <c r="AJ91" s="80"/>
      <c r="AK91" s="80"/>
      <c r="AL91" s="80"/>
      <c r="AM91" s="80"/>
      <c r="AN91" s="80"/>
      <c r="AO91" s="80"/>
      <c r="AP91" s="80"/>
      <c r="AS91" s="3" t="s">
        <v>190</v>
      </c>
      <c r="AT91" s="49"/>
      <c r="AU91" s="3" t="str">
        <f t="shared" si="26"/>
        <v>not</v>
      </c>
      <c r="AV91" s="3" t="str">
        <f t="shared" si="27"/>
        <v>match</v>
      </c>
    </row>
    <row r="92" spans="1:48" ht="12">
      <c r="A92" s="9" t="s">
        <v>191</v>
      </c>
      <c r="B92" s="12" t="s">
        <v>192</v>
      </c>
      <c r="C92" s="13" t="s">
        <v>193</v>
      </c>
      <c r="D92" s="8"/>
      <c r="E92" s="39">
        <v>10</v>
      </c>
      <c r="F92" s="39"/>
      <c r="G92" s="39"/>
      <c r="H92" s="39"/>
      <c r="I92" s="39"/>
      <c r="J92" s="39"/>
      <c r="K92" s="39">
        <f t="shared" si="19"/>
        <v>10</v>
      </c>
      <c r="L92" s="39">
        <f t="shared" si="20"/>
        <v>7.1999999999999993</v>
      </c>
      <c r="M92" s="39"/>
      <c r="N92" s="39"/>
      <c r="O92" s="39"/>
      <c r="P92" s="39"/>
      <c r="Q92" s="39">
        <v>6</v>
      </c>
      <c r="R92" s="39">
        <f t="shared" si="21"/>
        <v>6</v>
      </c>
      <c r="S92" s="39">
        <f t="shared" si="22"/>
        <v>7.26</v>
      </c>
      <c r="T92" s="39"/>
      <c r="U92" s="39"/>
      <c r="V92" s="39">
        <v>1</v>
      </c>
      <c r="W92" s="39"/>
      <c r="X92" s="39"/>
      <c r="Y92" s="39">
        <f t="shared" si="23"/>
        <v>1</v>
      </c>
      <c r="Z92" s="39">
        <f t="shared" si="24"/>
        <v>2.74</v>
      </c>
      <c r="AA92" s="39">
        <f t="shared" si="25"/>
        <v>17</v>
      </c>
      <c r="AB92" s="39">
        <f t="shared" si="25"/>
        <v>17.2</v>
      </c>
      <c r="AC92" s="41">
        <f t="shared" ref="AC92:AC155" si="32">+AT92</f>
        <v>5964</v>
      </c>
      <c r="AD92" s="82">
        <f t="shared" ref="AD92:AD155" si="33">+AC92*AA92</f>
        <v>101388</v>
      </c>
      <c r="AE92" s="82">
        <f t="shared" ref="AE92:AE155" si="34">+AC92*AB92</f>
        <v>102580.8</v>
      </c>
      <c r="AF92" s="82">
        <f t="shared" ref="AF92:AF155" si="35">+AE92+AD92</f>
        <v>203968.8</v>
      </c>
      <c r="AG92" s="39"/>
      <c r="AH92" s="39"/>
      <c r="AI92" s="79"/>
      <c r="AJ92" s="79"/>
      <c r="AK92" s="79"/>
      <c r="AL92" s="79"/>
      <c r="AM92" s="79"/>
      <c r="AN92" s="79"/>
      <c r="AO92" s="79"/>
      <c r="AP92" s="79"/>
      <c r="AQ92" s="3" t="s">
        <v>191</v>
      </c>
      <c r="AR92" s="3" t="s">
        <v>192</v>
      </c>
      <c r="AS92" s="3" t="s">
        <v>826</v>
      </c>
      <c r="AT92" s="49">
        <v>5964</v>
      </c>
      <c r="AU92" s="3" t="str">
        <f t="shared" si="26"/>
        <v>match</v>
      </c>
      <c r="AV92" s="3" t="str">
        <f t="shared" si="27"/>
        <v>match</v>
      </c>
    </row>
    <row r="93" spans="1:48" ht="12">
      <c r="A93" s="9" t="s">
        <v>191</v>
      </c>
      <c r="B93" s="10" t="s">
        <v>194</v>
      </c>
      <c r="C93" s="56" t="s">
        <v>195</v>
      </c>
      <c r="D93" s="56"/>
      <c r="E93" s="11">
        <v>112</v>
      </c>
      <c r="F93" s="11"/>
      <c r="G93" s="11"/>
      <c r="H93" s="11"/>
      <c r="I93" s="11"/>
      <c r="J93" s="11"/>
      <c r="K93" s="11">
        <f t="shared" si="19"/>
        <v>112</v>
      </c>
      <c r="L93" s="11">
        <f t="shared" si="20"/>
        <v>80.64</v>
      </c>
      <c r="M93" s="11"/>
      <c r="N93" s="11">
        <v>12</v>
      </c>
      <c r="O93" s="11">
        <v>3</v>
      </c>
      <c r="P93" s="11"/>
      <c r="Q93" s="11">
        <v>58</v>
      </c>
      <c r="R93" s="11">
        <f t="shared" si="21"/>
        <v>73</v>
      </c>
      <c r="S93" s="11">
        <f t="shared" si="22"/>
        <v>81.13</v>
      </c>
      <c r="T93" s="11">
        <v>1</v>
      </c>
      <c r="U93" s="11">
        <v>5</v>
      </c>
      <c r="V93" s="11"/>
      <c r="W93" s="11"/>
      <c r="X93" s="11">
        <v>10</v>
      </c>
      <c r="Y93" s="11">
        <f t="shared" si="23"/>
        <v>16</v>
      </c>
      <c r="Z93" s="11">
        <f t="shared" si="24"/>
        <v>36.99</v>
      </c>
      <c r="AA93" s="11">
        <f t="shared" si="25"/>
        <v>201</v>
      </c>
      <c r="AB93" s="11">
        <f t="shared" si="25"/>
        <v>198.76</v>
      </c>
      <c r="AC93" s="42">
        <f t="shared" si="32"/>
        <v>5920</v>
      </c>
      <c r="AD93" s="83">
        <f t="shared" si="33"/>
        <v>1189920</v>
      </c>
      <c r="AE93" s="83">
        <f t="shared" si="34"/>
        <v>1176659.2</v>
      </c>
      <c r="AF93" s="83">
        <f t="shared" si="35"/>
        <v>2366579.2000000002</v>
      </c>
      <c r="AG93" s="11"/>
      <c r="AH93" s="11"/>
      <c r="AI93" s="78"/>
      <c r="AJ93" s="78"/>
      <c r="AK93" s="78"/>
      <c r="AL93" s="78"/>
      <c r="AM93" s="78"/>
      <c r="AN93" s="78"/>
      <c r="AO93" s="78"/>
      <c r="AP93" s="78"/>
      <c r="AQ93" s="3" t="s">
        <v>191</v>
      </c>
      <c r="AR93" s="3" t="s">
        <v>194</v>
      </c>
      <c r="AS93" s="3" t="s">
        <v>827</v>
      </c>
      <c r="AT93" s="49">
        <v>5920</v>
      </c>
      <c r="AU93" s="3" t="str">
        <f t="shared" si="26"/>
        <v>match</v>
      </c>
      <c r="AV93" s="3" t="str">
        <f t="shared" si="27"/>
        <v>match</v>
      </c>
    </row>
    <row r="94" spans="1:48" ht="12">
      <c r="A94" s="9" t="s">
        <v>191</v>
      </c>
      <c r="B94" s="12" t="s">
        <v>196</v>
      </c>
      <c r="C94" s="13" t="s">
        <v>197</v>
      </c>
      <c r="D94" s="8"/>
      <c r="E94" s="39">
        <v>21</v>
      </c>
      <c r="F94" s="39"/>
      <c r="G94" s="39"/>
      <c r="H94" s="39"/>
      <c r="I94" s="39"/>
      <c r="J94" s="39"/>
      <c r="K94" s="39">
        <f t="shared" si="19"/>
        <v>21</v>
      </c>
      <c r="L94" s="39">
        <f t="shared" si="20"/>
        <v>15.12</v>
      </c>
      <c r="M94" s="39"/>
      <c r="N94" s="39"/>
      <c r="O94" s="39">
        <v>7</v>
      </c>
      <c r="P94" s="39"/>
      <c r="Q94" s="39">
        <v>12</v>
      </c>
      <c r="R94" s="39">
        <f t="shared" si="21"/>
        <v>19</v>
      </c>
      <c r="S94" s="39">
        <f t="shared" si="22"/>
        <v>22.99</v>
      </c>
      <c r="T94" s="39"/>
      <c r="U94" s="39"/>
      <c r="V94" s="39">
        <v>1</v>
      </c>
      <c r="W94" s="39"/>
      <c r="X94" s="39">
        <v>4</v>
      </c>
      <c r="Y94" s="39">
        <f t="shared" si="23"/>
        <v>5</v>
      </c>
      <c r="Z94" s="39">
        <f t="shared" si="24"/>
        <v>13.700000000000001</v>
      </c>
      <c r="AA94" s="39">
        <f t="shared" si="25"/>
        <v>45</v>
      </c>
      <c r="AB94" s="39">
        <f t="shared" si="25"/>
        <v>51.81</v>
      </c>
      <c r="AC94" s="41">
        <f t="shared" si="32"/>
        <v>5883</v>
      </c>
      <c r="AD94" s="82">
        <f t="shared" si="33"/>
        <v>264735</v>
      </c>
      <c r="AE94" s="82">
        <f t="shared" si="34"/>
        <v>304798.23000000004</v>
      </c>
      <c r="AF94" s="82">
        <f t="shared" si="35"/>
        <v>569533.23</v>
      </c>
      <c r="AG94" s="39"/>
      <c r="AH94" s="39"/>
      <c r="AI94" s="79"/>
      <c r="AJ94" s="79"/>
      <c r="AK94" s="79"/>
      <c r="AL94" s="79"/>
      <c r="AM94" s="79"/>
      <c r="AN94" s="79"/>
      <c r="AO94" s="79"/>
      <c r="AP94" s="79"/>
      <c r="AQ94" s="3" t="s">
        <v>191</v>
      </c>
      <c r="AR94" s="3" t="s">
        <v>196</v>
      </c>
      <c r="AS94" s="3" t="s">
        <v>197</v>
      </c>
      <c r="AT94" s="49">
        <v>5883</v>
      </c>
      <c r="AU94" s="3" t="str">
        <f t="shared" si="26"/>
        <v>match</v>
      </c>
      <c r="AV94" s="3" t="str">
        <f t="shared" si="27"/>
        <v>match</v>
      </c>
    </row>
    <row r="95" spans="1:48" ht="12">
      <c r="A95" s="9" t="s">
        <v>191</v>
      </c>
      <c r="B95" s="10" t="s">
        <v>198</v>
      </c>
      <c r="C95" s="56" t="s">
        <v>199</v>
      </c>
      <c r="D95" s="56"/>
      <c r="E95" s="11">
        <v>17</v>
      </c>
      <c r="F95" s="11"/>
      <c r="G95" s="11"/>
      <c r="H95" s="11"/>
      <c r="I95" s="11"/>
      <c r="J95" s="11"/>
      <c r="K95" s="11">
        <f t="shared" si="19"/>
        <v>17</v>
      </c>
      <c r="L95" s="11">
        <f t="shared" si="20"/>
        <v>12.24</v>
      </c>
      <c r="M95" s="11"/>
      <c r="N95" s="11"/>
      <c r="O95" s="11">
        <v>2</v>
      </c>
      <c r="P95" s="11"/>
      <c r="Q95" s="11">
        <v>16</v>
      </c>
      <c r="R95" s="11">
        <f t="shared" si="21"/>
        <v>18</v>
      </c>
      <c r="S95" s="11">
        <f t="shared" si="22"/>
        <v>21.78</v>
      </c>
      <c r="T95" s="11"/>
      <c r="U95" s="11"/>
      <c r="V95" s="11"/>
      <c r="W95" s="11"/>
      <c r="X95" s="11">
        <v>5</v>
      </c>
      <c r="Y95" s="11">
        <f t="shared" si="23"/>
        <v>5</v>
      </c>
      <c r="Z95" s="11">
        <f t="shared" si="24"/>
        <v>13.700000000000001</v>
      </c>
      <c r="AA95" s="11">
        <f t="shared" si="25"/>
        <v>40</v>
      </c>
      <c r="AB95" s="11">
        <f t="shared" si="25"/>
        <v>47.720000000000006</v>
      </c>
      <c r="AC95" s="42">
        <f t="shared" si="32"/>
        <v>5927</v>
      </c>
      <c r="AD95" s="83">
        <f t="shared" si="33"/>
        <v>237080</v>
      </c>
      <c r="AE95" s="83">
        <f t="shared" si="34"/>
        <v>282836.44000000006</v>
      </c>
      <c r="AF95" s="83">
        <f t="shared" si="35"/>
        <v>519916.44000000006</v>
      </c>
      <c r="AG95" s="11"/>
      <c r="AH95" s="11"/>
      <c r="AI95" s="78"/>
      <c r="AJ95" s="78"/>
      <c r="AK95" s="78"/>
      <c r="AL95" s="78"/>
      <c r="AM95" s="78"/>
      <c r="AN95" s="78"/>
      <c r="AO95" s="78"/>
      <c r="AP95" s="78"/>
      <c r="AQ95" s="3" t="s">
        <v>191</v>
      </c>
      <c r="AR95" s="3" t="s">
        <v>198</v>
      </c>
      <c r="AS95" s="3" t="s">
        <v>828</v>
      </c>
      <c r="AT95" s="49">
        <v>5927</v>
      </c>
      <c r="AU95" s="3" t="str">
        <f t="shared" si="26"/>
        <v>match</v>
      </c>
      <c r="AV95" s="3" t="str">
        <f t="shared" si="27"/>
        <v>match</v>
      </c>
    </row>
    <row r="96" spans="1:48" ht="12">
      <c r="A96" s="9" t="s">
        <v>191</v>
      </c>
      <c r="B96" s="12" t="s">
        <v>200</v>
      </c>
      <c r="C96" s="13" t="s">
        <v>201</v>
      </c>
      <c r="D96" s="8"/>
      <c r="E96" s="39">
        <v>57</v>
      </c>
      <c r="F96" s="39"/>
      <c r="G96" s="39"/>
      <c r="H96" s="39"/>
      <c r="I96" s="39"/>
      <c r="J96" s="39"/>
      <c r="K96" s="39">
        <f t="shared" si="19"/>
        <v>57</v>
      </c>
      <c r="L96" s="39">
        <f t="shared" si="20"/>
        <v>41.04</v>
      </c>
      <c r="M96" s="39"/>
      <c r="N96" s="39"/>
      <c r="O96" s="39">
        <v>5</v>
      </c>
      <c r="P96" s="39"/>
      <c r="Q96" s="39">
        <v>13</v>
      </c>
      <c r="R96" s="39">
        <f t="shared" si="21"/>
        <v>18</v>
      </c>
      <c r="S96" s="39">
        <f t="shared" si="22"/>
        <v>21.78</v>
      </c>
      <c r="T96" s="39"/>
      <c r="U96" s="39"/>
      <c r="V96" s="39"/>
      <c r="W96" s="39"/>
      <c r="X96" s="39">
        <v>14</v>
      </c>
      <c r="Y96" s="39">
        <f t="shared" si="23"/>
        <v>14</v>
      </c>
      <c r="Z96" s="39">
        <f t="shared" si="24"/>
        <v>38.36</v>
      </c>
      <c r="AA96" s="39">
        <f t="shared" si="25"/>
        <v>89</v>
      </c>
      <c r="AB96" s="39">
        <f t="shared" si="25"/>
        <v>101.18</v>
      </c>
      <c r="AC96" s="41">
        <f t="shared" si="32"/>
        <v>5897</v>
      </c>
      <c r="AD96" s="82">
        <f t="shared" si="33"/>
        <v>524833</v>
      </c>
      <c r="AE96" s="82">
        <f t="shared" si="34"/>
        <v>596658.46000000008</v>
      </c>
      <c r="AF96" s="82">
        <f t="shared" si="35"/>
        <v>1121491.46</v>
      </c>
      <c r="AG96" s="39"/>
      <c r="AH96" s="39"/>
      <c r="AI96" s="79"/>
      <c r="AJ96" s="79"/>
      <c r="AK96" s="79"/>
      <c r="AL96" s="79"/>
      <c r="AM96" s="79"/>
      <c r="AN96" s="79"/>
      <c r="AO96" s="79"/>
      <c r="AP96" s="79"/>
      <c r="AQ96" s="3" t="s">
        <v>191</v>
      </c>
      <c r="AR96" s="3" t="s">
        <v>200</v>
      </c>
      <c r="AS96" s="3" t="s">
        <v>829</v>
      </c>
      <c r="AT96" s="49">
        <v>5897</v>
      </c>
      <c r="AU96" s="3" t="str">
        <f t="shared" si="26"/>
        <v>match</v>
      </c>
      <c r="AV96" s="3" t="str">
        <f t="shared" si="27"/>
        <v>match</v>
      </c>
    </row>
    <row r="97" spans="1:48" ht="12">
      <c r="A97" s="9" t="s">
        <v>191</v>
      </c>
      <c r="B97" s="10" t="s">
        <v>202</v>
      </c>
      <c r="C97" s="56" t="s">
        <v>203</v>
      </c>
      <c r="D97" s="56"/>
      <c r="E97" s="11">
        <v>32</v>
      </c>
      <c r="F97" s="11"/>
      <c r="G97" s="11"/>
      <c r="H97" s="11"/>
      <c r="I97" s="11"/>
      <c r="J97" s="11"/>
      <c r="K97" s="11">
        <f t="shared" si="19"/>
        <v>32</v>
      </c>
      <c r="L97" s="11">
        <f t="shared" si="20"/>
        <v>23.04</v>
      </c>
      <c r="M97" s="11"/>
      <c r="N97" s="11"/>
      <c r="O97" s="11">
        <v>3</v>
      </c>
      <c r="P97" s="11"/>
      <c r="Q97" s="11">
        <v>3</v>
      </c>
      <c r="R97" s="11">
        <f t="shared" si="21"/>
        <v>6</v>
      </c>
      <c r="S97" s="11">
        <f t="shared" si="22"/>
        <v>7.26</v>
      </c>
      <c r="T97" s="11"/>
      <c r="U97" s="11"/>
      <c r="V97" s="11"/>
      <c r="W97" s="11"/>
      <c r="X97" s="11">
        <v>4</v>
      </c>
      <c r="Y97" s="11">
        <f t="shared" si="23"/>
        <v>4</v>
      </c>
      <c r="Z97" s="11">
        <f t="shared" si="24"/>
        <v>10.96</v>
      </c>
      <c r="AA97" s="11">
        <f t="shared" si="25"/>
        <v>42</v>
      </c>
      <c r="AB97" s="11">
        <f t="shared" si="25"/>
        <v>41.26</v>
      </c>
      <c r="AC97" s="42">
        <f t="shared" si="32"/>
        <v>6011</v>
      </c>
      <c r="AD97" s="83">
        <f t="shared" si="33"/>
        <v>252462</v>
      </c>
      <c r="AE97" s="83">
        <f t="shared" si="34"/>
        <v>248013.86</v>
      </c>
      <c r="AF97" s="83">
        <f t="shared" si="35"/>
        <v>500475.86</v>
      </c>
      <c r="AG97" s="11"/>
      <c r="AH97" s="11"/>
      <c r="AI97" s="78"/>
      <c r="AJ97" s="78"/>
      <c r="AK97" s="78"/>
      <c r="AL97" s="78"/>
      <c r="AM97" s="78"/>
      <c r="AN97" s="78"/>
      <c r="AO97" s="78"/>
      <c r="AP97" s="78"/>
      <c r="AQ97" s="3" t="s">
        <v>191</v>
      </c>
      <c r="AR97" s="3" t="s">
        <v>202</v>
      </c>
      <c r="AS97" s="3" t="s">
        <v>830</v>
      </c>
      <c r="AT97" s="49">
        <v>6011</v>
      </c>
      <c r="AU97" s="3" t="str">
        <f t="shared" si="26"/>
        <v>match</v>
      </c>
      <c r="AV97" s="3" t="str">
        <f t="shared" si="27"/>
        <v>match</v>
      </c>
    </row>
    <row r="98" spans="1:48" ht="12">
      <c r="A98" s="9" t="s">
        <v>191</v>
      </c>
      <c r="B98" s="12" t="s">
        <v>204</v>
      </c>
      <c r="C98" s="13" t="s">
        <v>205</v>
      </c>
      <c r="D98" s="8"/>
      <c r="E98" s="39">
        <v>75</v>
      </c>
      <c r="F98" s="39"/>
      <c r="G98" s="39"/>
      <c r="H98" s="39"/>
      <c r="I98" s="39"/>
      <c r="J98" s="39"/>
      <c r="K98" s="39">
        <f t="shared" si="19"/>
        <v>75</v>
      </c>
      <c r="L98" s="39">
        <f t="shared" si="20"/>
        <v>54</v>
      </c>
      <c r="M98" s="39"/>
      <c r="N98" s="39">
        <v>1</v>
      </c>
      <c r="O98" s="39">
        <v>14</v>
      </c>
      <c r="P98" s="39"/>
      <c r="Q98" s="39">
        <v>32</v>
      </c>
      <c r="R98" s="39">
        <f t="shared" si="21"/>
        <v>47</v>
      </c>
      <c r="S98" s="39">
        <f t="shared" si="22"/>
        <v>56.269999999999996</v>
      </c>
      <c r="T98" s="39"/>
      <c r="U98" s="39"/>
      <c r="V98" s="39">
        <v>2</v>
      </c>
      <c r="W98" s="39"/>
      <c r="X98" s="39">
        <v>14</v>
      </c>
      <c r="Y98" s="39">
        <f t="shared" si="23"/>
        <v>16</v>
      </c>
      <c r="Z98" s="39">
        <f t="shared" si="24"/>
        <v>43.84</v>
      </c>
      <c r="AA98" s="39">
        <f t="shared" si="25"/>
        <v>138</v>
      </c>
      <c r="AB98" s="39">
        <f t="shared" si="25"/>
        <v>154.11000000000001</v>
      </c>
      <c r="AC98" s="41">
        <f t="shared" si="32"/>
        <v>6001</v>
      </c>
      <c r="AD98" s="82">
        <f t="shared" si="33"/>
        <v>828138</v>
      </c>
      <c r="AE98" s="82">
        <f t="shared" si="34"/>
        <v>924814.1100000001</v>
      </c>
      <c r="AF98" s="82">
        <f t="shared" si="35"/>
        <v>1752952.11</v>
      </c>
      <c r="AG98" s="39"/>
      <c r="AH98" s="39"/>
      <c r="AI98" s="79"/>
      <c r="AJ98" s="79"/>
      <c r="AK98" s="79"/>
      <c r="AL98" s="79"/>
      <c r="AM98" s="79"/>
      <c r="AN98" s="79"/>
      <c r="AO98" s="79"/>
      <c r="AP98" s="79"/>
      <c r="AQ98" s="3" t="s">
        <v>191</v>
      </c>
      <c r="AR98" s="3" t="s">
        <v>204</v>
      </c>
      <c r="AS98" s="3" t="s">
        <v>831</v>
      </c>
      <c r="AT98" s="49">
        <v>6001</v>
      </c>
      <c r="AU98" s="3" t="str">
        <f t="shared" si="26"/>
        <v>match</v>
      </c>
      <c r="AV98" s="3" t="str">
        <f t="shared" si="27"/>
        <v>match</v>
      </c>
    </row>
    <row r="99" spans="1:48" ht="12">
      <c r="A99" s="9" t="s">
        <v>191</v>
      </c>
      <c r="B99" s="10" t="s">
        <v>206</v>
      </c>
      <c r="C99" s="56" t="s">
        <v>207</v>
      </c>
      <c r="D99" s="56"/>
      <c r="E99" s="11">
        <v>34</v>
      </c>
      <c r="F99" s="11"/>
      <c r="G99" s="11"/>
      <c r="H99" s="11"/>
      <c r="I99" s="11"/>
      <c r="J99" s="11"/>
      <c r="K99" s="11">
        <f t="shared" si="19"/>
        <v>34</v>
      </c>
      <c r="L99" s="11">
        <f t="shared" si="20"/>
        <v>24.48</v>
      </c>
      <c r="M99" s="11"/>
      <c r="N99" s="11"/>
      <c r="O99" s="11"/>
      <c r="P99" s="11"/>
      <c r="Q99" s="11">
        <v>6</v>
      </c>
      <c r="R99" s="11">
        <f t="shared" si="21"/>
        <v>6</v>
      </c>
      <c r="S99" s="11">
        <f t="shared" si="22"/>
        <v>7.26</v>
      </c>
      <c r="T99" s="11"/>
      <c r="U99" s="11"/>
      <c r="V99" s="11"/>
      <c r="W99" s="11"/>
      <c r="X99" s="11">
        <v>4</v>
      </c>
      <c r="Y99" s="11">
        <f t="shared" si="23"/>
        <v>4</v>
      </c>
      <c r="Z99" s="11">
        <f t="shared" si="24"/>
        <v>10.96</v>
      </c>
      <c r="AA99" s="11">
        <f t="shared" si="25"/>
        <v>44</v>
      </c>
      <c r="AB99" s="11">
        <f t="shared" si="25"/>
        <v>42.7</v>
      </c>
      <c r="AC99" s="42">
        <f t="shared" si="32"/>
        <v>5932</v>
      </c>
      <c r="AD99" s="83">
        <f t="shared" si="33"/>
        <v>261008</v>
      </c>
      <c r="AE99" s="83">
        <f t="shared" si="34"/>
        <v>253296.40000000002</v>
      </c>
      <c r="AF99" s="83">
        <f t="shared" si="35"/>
        <v>514304.4</v>
      </c>
      <c r="AG99" s="11"/>
      <c r="AH99" s="11"/>
      <c r="AI99" s="78"/>
      <c r="AJ99" s="78"/>
      <c r="AK99" s="78"/>
      <c r="AL99" s="78"/>
      <c r="AM99" s="78"/>
      <c r="AN99" s="78"/>
      <c r="AO99" s="78"/>
      <c r="AP99" s="78"/>
      <c r="AQ99" s="3" t="s">
        <v>191</v>
      </c>
      <c r="AR99" s="3" t="s">
        <v>206</v>
      </c>
      <c r="AS99" s="3" t="s">
        <v>832</v>
      </c>
      <c r="AT99" s="49">
        <v>5932</v>
      </c>
      <c r="AU99" s="3" t="str">
        <f t="shared" si="26"/>
        <v>match</v>
      </c>
      <c r="AV99" s="3" t="str">
        <f t="shared" si="27"/>
        <v>match</v>
      </c>
    </row>
    <row r="100" spans="1:48" ht="12">
      <c r="A100" s="9" t="s">
        <v>191</v>
      </c>
      <c r="B100" s="12" t="s">
        <v>208</v>
      </c>
      <c r="C100" s="13" t="s">
        <v>209</v>
      </c>
      <c r="D100" s="8"/>
      <c r="E100" s="39">
        <v>82</v>
      </c>
      <c r="F100" s="39"/>
      <c r="G100" s="39"/>
      <c r="H100" s="39"/>
      <c r="I100" s="39"/>
      <c r="J100" s="39"/>
      <c r="K100" s="39">
        <f t="shared" si="19"/>
        <v>82</v>
      </c>
      <c r="L100" s="39">
        <f t="shared" si="20"/>
        <v>59.04</v>
      </c>
      <c r="M100" s="39"/>
      <c r="N100" s="39">
        <v>1</v>
      </c>
      <c r="O100" s="39">
        <v>9</v>
      </c>
      <c r="P100" s="39"/>
      <c r="Q100" s="39">
        <v>17</v>
      </c>
      <c r="R100" s="39">
        <f t="shared" si="21"/>
        <v>27</v>
      </c>
      <c r="S100" s="39">
        <f t="shared" si="22"/>
        <v>32.07</v>
      </c>
      <c r="T100" s="39"/>
      <c r="U100" s="39"/>
      <c r="V100" s="39">
        <v>1</v>
      </c>
      <c r="W100" s="39"/>
      <c r="X100" s="39">
        <v>3</v>
      </c>
      <c r="Y100" s="39">
        <f t="shared" si="23"/>
        <v>4</v>
      </c>
      <c r="Z100" s="39">
        <f t="shared" si="24"/>
        <v>10.96</v>
      </c>
      <c r="AA100" s="39">
        <f t="shared" si="25"/>
        <v>113</v>
      </c>
      <c r="AB100" s="39">
        <f t="shared" si="25"/>
        <v>102.07</v>
      </c>
      <c r="AC100" s="41">
        <f t="shared" si="32"/>
        <v>6006</v>
      </c>
      <c r="AD100" s="82">
        <f t="shared" si="33"/>
        <v>678678</v>
      </c>
      <c r="AE100" s="82">
        <f t="shared" si="34"/>
        <v>613032.41999999993</v>
      </c>
      <c r="AF100" s="82">
        <f t="shared" si="35"/>
        <v>1291710.42</v>
      </c>
      <c r="AG100" s="39"/>
      <c r="AH100" s="39"/>
      <c r="AI100" s="79"/>
      <c r="AJ100" s="79"/>
      <c r="AK100" s="79"/>
      <c r="AL100" s="79"/>
      <c r="AM100" s="79"/>
      <c r="AN100" s="79"/>
      <c r="AO100" s="79"/>
      <c r="AP100" s="79"/>
      <c r="AQ100" s="3" t="s">
        <v>191</v>
      </c>
      <c r="AR100" s="3" t="s">
        <v>208</v>
      </c>
      <c r="AS100" s="3" t="s">
        <v>833</v>
      </c>
      <c r="AT100" s="49">
        <v>6006</v>
      </c>
      <c r="AU100" s="3" t="str">
        <f t="shared" si="26"/>
        <v>match</v>
      </c>
      <c r="AV100" s="3" t="str">
        <f t="shared" si="27"/>
        <v>match</v>
      </c>
    </row>
    <row r="101" spans="1:48" ht="12">
      <c r="A101" s="9" t="s">
        <v>191</v>
      </c>
      <c r="B101" s="10" t="s">
        <v>210</v>
      </c>
      <c r="C101" s="56" t="s">
        <v>211</v>
      </c>
      <c r="D101" s="56"/>
      <c r="E101" s="11">
        <v>134</v>
      </c>
      <c r="F101" s="11"/>
      <c r="G101" s="11"/>
      <c r="H101" s="11"/>
      <c r="I101" s="11"/>
      <c r="J101" s="11"/>
      <c r="K101" s="11">
        <f t="shared" si="19"/>
        <v>134</v>
      </c>
      <c r="L101" s="11">
        <f t="shared" si="20"/>
        <v>96.47999999999999</v>
      </c>
      <c r="M101" s="11"/>
      <c r="N101" s="11">
        <v>3</v>
      </c>
      <c r="O101" s="11">
        <v>5</v>
      </c>
      <c r="P101" s="11"/>
      <c r="Q101" s="11">
        <v>40</v>
      </c>
      <c r="R101" s="11">
        <f t="shared" si="21"/>
        <v>48</v>
      </c>
      <c r="S101" s="11">
        <f t="shared" si="22"/>
        <v>56.279999999999994</v>
      </c>
      <c r="T101" s="11"/>
      <c r="U101" s="11"/>
      <c r="V101" s="11"/>
      <c r="W101" s="11"/>
      <c r="X101" s="11">
        <v>10</v>
      </c>
      <c r="Y101" s="11">
        <f t="shared" si="23"/>
        <v>10</v>
      </c>
      <c r="Z101" s="11">
        <f t="shared" si="24"/>
        <v>27.400000000000002</v>
      </c>
      <c r="AA101" s="11">
        <f t="shared" si="25"/>
        <v>192</v>
      </c>
      <c r="AB101" s="11">
        <f t="shared" si="25"/>
        <v>180.16</v>
      </c>
      <c r="AC101" s="42">
        <f t="shared" si="32"/>
        <v>5901</v>
      </c>
      <c r="AD101" s="83">
        <f t="shared" si="33"/>
        <v>1132992</v>
      </c>
      <c r="AE101" s="83">
        <f t="shared" si="34"/>
        <v>1063124.1599999999</v>
      </c>
      <c r="AF101" s="83">
        <f t="shared" si="35"/>
        <v>2196116.16</v>
      </c>
      <c r="AG101" s="11"/>
      <c r="AH101" s="11"/>
      <c r="AI101" s="78"/>
      <c r="AJ101" s="78"/>
      <c r="AK101" s="78"/>
      <c r="AL101" s="78"/>
      <c r="AM101" s="78"/>
      <c r="AN101" s="78"/>
      <c r="AO101" s="78"/>
      <c r="AP101" s="78"/>
      <c r="AQ101" s="3" t="s">
        <v>191</v>
      </c>
      <c r="AR101" s="3" t="s">
        <v>210</v>
      </c>
      <c r="AS101" s="3" t="s">
        <v>211</v>
      </c>
      <c r="AT101" s="49">
        <v>5901</v>
      </c>
      <c r="AU101" s="3" t="str">
        <f t="shared" si="26"/>
        <v>match</v>
      </c>
      <c r="AV101" s="3" t="str">
        <f t="shared" si="27"/>
        <v>match</v>
      </c>
    </row>
    <row r="102" spans="1:48" ht="12">
      <c r="A102" s="9" t="s">
        <v>191</v>
      </c>
      <c r="B102" s="12" t="s">
        <v>212</v>
      </c>
      <c r="C102" s="13" t="s">
        <v>213</v>
      </c>
      <c r="D102" s="8"/>
      <c r="E102" s="39">
        <v>402</v>
      </c>
      <c r="F102" s="39">
        <v>1</v>
      </c>
      <c r="G102" s="39"/>
      <c r="H102" s="39"/>
      <c r="I102" s="39"/>
      <c r="J102" s="39"/>
      <c r="K102" s="39">
        <f t="shared" si="19"/>
        <v>403</v>
      </c>
      <c r="L102" s="39">
        <f t="shared" si="20"/>
        <v>290.15999999999997</v>
      </c>
      <c r="M102" s="39"/>
      <c r="N102" s="39"/>
      <c r="O102" s="39">
        <v>29</v>
      </c>
      <c r="P102" s="39"/>
      <c r="Q102" s="39">
        <v>114</v>
      </c>
      <c r="R102" s="39">
        <f t="shared" si="21"/>
        <v>143</v>
      </c>
      <c r="S102" s="39">
        <f t="shared" si="22"/>
        <v>173.03</v>
      </c>
      <c r="T102" s="39"/>
      <c r="U102" s="39"/>
      <c r="V102" s="39">
        <v>5</v>
      </c>
      <c r="W102" s="39"/>
      <c r="X102" s="39">
        <v>48</v>
      </c>
      <c r="Y102" s="39">
        <f t="shared" si="23"/>
        <v>53</v>
      </c>
      <c r="Z102" s="39">
        <f t="shared" si="24"/>
        <v>145.22</v>
      </c>
      <c r="AA102" s="39">
        <f t="shared" si="25"/>
        <v>599</v>
      </c>
      <c r="AB102" s="39">
        <f t="shared" si="25"/>
        <v>608.41</v>
      </c>
      <c r="AC102" s="41">
        <f t="shared" si="32"/>
        <v>5910</v>
      </c>
      <c r="AD102" s="82">
        <f t="shared" si="33"/>
        <v>3540090</v>
      </c>
      <c r="AE102" s="82">
        <f t="shared" si="34"/>
        <v>3595703.0999999996</v>
      </c>
      <c r="AF102" s="82">
        <f t="shared" si="35"/>
        <v>7135793.0999999996</v>
      </c>
      <c r="AG102" s="39"/>
      <c r="AH102" s="39"/>
      <c r="AI102" s="79"/>
      <c r="AJ102" s="79"/>
      <c r="AK102" s="79"/>
      <c r="AL102" s="79"/>
      <c r="AM102" s="79"/>
      <c r="AN102" s="79"/>
      <c r="AO102" s="79"/>
      <c r="AP102" s="79"/>
      <c r="AQ102" s="3" t="s">
        <v>191</v>
      </c>
      <c r="AR102" s="3" t="s">
        <v>212</v>
      </c>
      <c r="AS102" s="3" t="s">
        <v>834</v>
      </c>
      <c r="AT102" s="49">
        <v>5910</v>
      </c>
      <c r="AU102" s="3" t="str">
        <f t="shared" si="26"/>
        <v>match</v>
      </c>
      <c r="AV102" s="3" t="str">
        <f t="shared" si="27"/>
        <v>match</v>
      </c>
    </row>
    <row r="103" spans="1:48" ht="12">
      <c r="A103" s="9" t="s">
        <v>191</v>
      </c>
      <c r="B103" s="10" t="s">
        <v>214</v>
      </c>
      <c r="C103" s="56" t="s">
        <v>215</v>
      </c>
      <c r="D103" s="56"/>
      <c r="E103" s="11">
        <v>7</v>
      </c>
      <c r="F103" s="11"/>
      <c r="G103" s="11"/>
      <c r="H103" s="11"/>
      <c r="I103" s="11"/>
      <c r="J103" s="11"/>
      <c r="K103" s="11">
        <f t="shared" si="19"/>
        <v>7</v>
      </c>
      <c r="L103" s="11">
        <f t="shared" si="20"/>
        <v>5.04</v>
      </c>
      <c r="M103" s="11"/>
      <c r="N103" s="11">
        <v>1</v>
      </c>
      <c r="O103" s="11"/>
      <c r="P103" s="11"/>
      <c r="Q103" s="11">
        <v>3</v>
      </c>
      <c r="R103" s="11">
        <f t="shared" si="21"/>
        <v>4</v>
      </c>
      <c r="S103" s="11">
        <f t="shared" si="22"/>
        <v>4.24</v>
      </c>
      <c r="T103" s="11"/>
      <c r="U103" s="11">
        <v>1</v>
      </c>
      <c r="V103" s="11"/>
      <c r="W103" s="11"/>
      <c r="X103" s="11"/>
      <c r="Y103" s="11">
        <f t="shared" si="23"/>
        <v>1</v>
      </c>
      <c r="Z103" s="11">
        <f t="shared" si="24"/>
        <v>1.37</v>
      </c>
      <c r="AA103" s="11">
        <f t="shared" si="25"/>
        <v>12</v>
      </c>
      <c r="AB103" s="11">
        <f t="shared" si="25"/>
        <v>10.650000000000002</v>
      </c>
      <c r="AC103" s="42">
        <f t="shared" si="32"/>
        <v>6050</v>
      </c>
      <c r="AD103" s="83">
        <f t="shared" si="33"/>
        <v>72600</v>
      </c>
      <c r="AE103" s="83">
        <f t="shared" si="34"/>
        <v>64432.500000000015</v>
      </c>
      <c r="AF103" s="83">
        <f t="shared" si="35"/>
        <v>137032.5</v>
      </c>
      <c r="AG103" s="11"/>
      <c r="AH103" s="11"/>
      <c r="AI103" s="78"/>
      <c r="AJ103" s="78"/>
      <c r="AK103" s="78"/>
      <c r="AL103" s="78"/>
      <c r="AM103" s="78"/>
      <c r="AN103" s="78"/>
      <c r="AO103" s="78"/>
      <c r="AP103" s="78"/>
      <c r="AQ103" s="3" t="s">
        <v>191</v>
      </c>
      <c r="AR103" s="3" t="s">
        <v>214</v>
      </c>
      <c r="AS103" s="3" t="s">
        <v>835</v>
      </c>
      <c r="AT103" s="49">
        <v>6050</v>
      </c>
      <c r="AU103" s="3" t="str">
        <f t="shared" si="26"/>
        <v>match</v>
      </c>
      <c r="AV103" s="3" t="str">
        <f t="shared" si="27"/>
        <v>match</v>
      </c>
    </row>
    <row r="104" spans="1:48" ht="12">
      <c r="A104" s="9" t="s">
        <v>191</v>
      </c>
      <c r="B104" s="12" t="s">
        <v>216</v>
      </c>
      <c r="C104" s="13" t="s">
        <v>217</v>
      </c>
      <c r="D104" s="8"/>
      <c r="E104" s="39">
        <v>11</v>
      </c>
      <c r="F104" s="39">
        <v>24</v>
      </c>
      <c r="G104" s="39"/>
      <c r="H104" s="39"/>
      <c r="I104" s="39"/>
      <c r="J104" s="39"/>
      <c r="K104" s="39">
        <f t="shared" si="19"/>
        <v>35</v>
      </c>
      <c r="L104" s="39">
        <f t="shared" si="20"/>
        <v>25.2</v>
      </c>
      <c r="M104" s="39">
        <v>7</v>
      </c>
      <c r="N104" s="39"/>
      <c r="O104" s="39"/>
      <c r="P104" s="39"/>
      <c r="Q104" s="39">
        <v>3</v>
      </c>
      <c r="R104" s="39">
        <f t="shared" si="21"/>
        <v>10</v>
      </c>
      <c r="S104" s="39">
        <f t="shared" si="22"/>
        <v>12.1</v>
      </c>
      <c r="T104" s="39"/>
      <c r="U104" s="39"/>
      <c r="V104" s="39"/>
      <c r="W104" s="39"/>
      <c r="X104" s="39">
        <v>3</v>
      </c>
      <c r="Y104" s="39">
        <f t="shared" si="23"/>
        <v>3</v>
      </c>
      <c r="Z104" s="39">
        <f t="shared" si="24"/>
        <v>8.2200000000000006</v>
      </c>
      <c r="AA104" s="39">
        <f t="shared" si="25"/>
        <v>48</v>
      </c>
      <c r="AB104" s="39">
        <f t="shared" si="25"/>
        <v>45.519999999999996</v>
      </c>
      <c r="AC104" s="41">
        <f t="shared" si="32"/>
        <v>5898</v>
      </c>
      <c r="AD104" s="82">
        <f t="shared" si="33"/>
        <v>283104</v>
      </c>
      <c r="AE104" s="82">
        <f t="shared" si="34"/>
        <v>268476.95999999996</v>
      </c>
      <c r="AF104" s="82">
        <f t="shared" si="35"/>
        <v>551580.96</v>
      </c>
      <c r="AG104" s="39"/>
      <c r="AH104" s="39"/>
      <c r="AI104" s="79"/>
      <c r="AJ104" s="79"/>
      <c r="AK104" s="79"/>
      <c r="AL104" s="79"/>
      <c r="AM104" s="79"/>
      <c r="AN104" s="79"/>
      <c r="AO104" s="79"/>
      <c r="AP104" s="79"/>
      <c r="AQ104" s="3" t="s">
        <v>191</v>
      </c>
      <c r="AR104" s="3" t="s">
        <v>216</v>
      </c>
      <c r="AS104" s="3" t="s">
        <v>217</v>
      </c>
      <c r="AT104" s="49">
        <v>5898</v>
      </c>
      <c r="AU104" s="3" t="str">
        <f t="shared" si="26"/>
        <v>match</v>
      </c>
      <c r="AV104" s="3" t="str">
        <f t="shared" si="27"/>
        <v>match</v>
      </c>
    </row>
    <row r="105" spans="1:48" ht="12">
      <c r="A105" s="9" t="s">
        <v>191</v>
      </c>
      <c r="B105" s="10" t="s">
        <v>218</v>
      </c>
      <c r="C105" s="56" t="s">
        <v>219</v>
      </c>
      <c r="D105" s="56"/>
      <c r="E105" s="11">
        <v>3</v>
      </c>
      <c r="F105" s="11">
        <v>17</v>
      </c>
      <c r="G105" s="11"/>
      <c r="H105" s="11"/>
      <c r="I105" s="11"/>
      <c r="J105" s="11"/>
      <c r="K105" s="11">
        <f t="shared" si="19"/>
        <v>20</v>
      </c>
      <c r="L105" s="11">
        <f t="shared" si="20"/>
        <v>14.399999999999999</v>
      </c>
      <c r="M105" s="11">
        <v>6</v>
      </c>
      <c r="N105" s="11"/>
      <c r="O105" s="11"/>
      <c r="P105" s="11"/>
      <c r="Q105" s="11">
        <v>1</v>
      </c>
      <c r="R105" s="11">
        <f t="shared" si="21"/>
        <v>7</v>
      </c>
      <c r="S105" s="11">
        <f t="shared" si="22"/>
        <v>8.4699999999999989</v>
      </c>
      <c r="T105" s="11">
        <v>1</v>
      </c>
      <c r="U105" s="11"/>
      <c r="V105" s="11"/>
      <c r="W105" s="11"/>
      <c r="X105" s="11"/>
      <c r="Y105" s="11">
        <f t="shared" si="23"/>
        <v>1</v>
      </c>
      <c r="Z105" s="11">
        <f t="shared" si="24"/>
        <v>2.74</v>
      </c>
      <c r="AA105" s="11">
        <f t="shared" si="25"/>
        <v>28</v>
      </c>
      <c r="AB105" s="11">
        <f t="shared" si="25"/>
        <v>25.61</v>
      </c>
      <c r="AC105" s="42">
        <f t="shared" si="32"/>
        <v>5954</v>
      </c>
      <c r="AD105" s="83">
        <f t="shared" si="33"/>
        <v>166712</v>
      </c>
      <c r="AE105" s="83">
        <f t="shared" si="34"/>
        <v>152481.94</v>
      </c>
      <c r="AF105" s="83">
        <f t="shared" si="35"/>
        <v>319193.94</v>
      </c>
      <c r="AG105" s="11"/>
      <c r="AH105" s="11"/>
      <c r="AI105" s="78"/>
      <c r="AJ105" s="78"/>
      <c r="AK105" s="78"/>
      <c r="AL105" s="78"/>
      <c r="AM105" s="78"/>
      <c r="AN105" s="78"/>
      <c r="AO105" s="78"/>
      <c r="AP105" s="78"/>
      <c r="AQ105" s="3" t="s">
        <v>191</v>
      </c>
      <c r="AR105" s="3" t="s">
        <v>218</v>
      </c>
      <c r="AS105" s="3" t="s">
        <v>836</v>
      </c>
      <c r="AT105" s="49">
        <v>5954</v>
      </c>
      <c r="AU105" s="3" t="str">
        <f t="shared" si="26"/>
        <v>match</v>
      </c>
      <c r="AV105" s="3" t="str">
        <f t="shared" si="27"/>
        <v>match</v>
      </c>
    </row>
    <row r="106" spans="1:48" ht="12">
      <c r="A106" s="9" t="s">
        <v>191</v>
      </c>
      <c r="B106" s="12" t="s">
        <v>220</v>
      </c>
      <c r="C106" s="13" t="s">
        <v>221</v>
      </c>
      <c r="D106" s="8"/>
      <c r="E106" s="39">
        <v>72</v>
      </c>
      <c r="F106" s="39"/>
      <c r="G106" s="39"/>
      <c r="H106" s="39"/>
      <c r="I106" s="39"/>
      <c r="J106" s="39"/>
      <c r="K106" s="39">
        <f t="shared" si="19"/>
        <v>72</v>
      </c>
      <c r="L106" s="39">
        <f t="shared" si="20"/>
        <v>51.839999999999996</v>
      </c>
      <c r="M106" s="39"/>
      <c r="N106" s="39">
        <v>6</v>
      </c>
      <c r="O106" s="39">
        <v>1</v>
      </c>
      <c r="P106" s="39"/>
      <c r="Q106" s="39">
        <v>8</v>
      </c>
      <c r="R106" s="39">
        <f t="shared" si="21"/>
        <v>15</v>
      </c>
      <c r="S106" s="39">
        <f t="shared" si="22"/>
        <v>14.55</v>
      </c>
      <c r="T106" s="39"/>
      <c r="U106" s="39"/>
      <c r="V106" s="39">
        <v>1</v>
      </c>
      <c r="W106" s="39"/>
      <c r="X106" s="39">
        <v>13</v>
      </c>
      <c r="Y106" s="39">
        <f t="shared" si="23"/>
        <v>14</v>
      </c>
      <c r="Z106" s="39">
        <f t="shared" si="24"/>
        <v>38.36</v>
      </c>
      <c r="AA106" s="39">
        <f t="shared" si="25"/>
        <v>101</v>
      </c>
      <c r="AB106" s="39">
        <f t="shared" si="25"/>
        <v>104.75</v>
      </c>
      <c r="AC106" s="41">
        <f t="shared" si="32"/>
        <v>5883</v>
      </c>
      <c r="AD106" s="82">
        <f t="shared" si="33"/>
        <v>594183</v>
      </c>
      <c r="AE106" s="82">
        <f t="shared" si="34"/>
        <v>616244.25</v>
      </c>
      <c r="AF106" s="82">
        <f t="shared" si="35"/>
        <v>1210427.25</v>
      </c>
      <c r="AG106" s="39"/>
      <c r="AH106" s="39"/>
      <c r="AI106" s="79"/>
      <c r="AJ106" s="79"/>
      <c r="AK106" s="79"/>
      <c r="AL106" s="79"/>
      <c r="AM106" s="79"/>
      <c r="AN106" s="79"/>
      <c r="AO106" s="79"/>
      <c r="AP106" s="79"/>
      <c r="AQ106" s="3" t="s">
        <v>191</v>
      </c>
      <c r="AR106" s="3" t="s">
        <v>220</v>
      </c>
      <c r="AS106" s="3" t="s">
        <v>837</v>
      </c>
      <c r="AT106" s="49">
        <v>5883</v>
      </c>
      <c r="AU106" s="3" t="str">
        <f t="shared" si="26"/>
        <v>match</v>
      </c>
      <c r="AV106" s="3" t="str">
        <f t="shared" si="27"/>
        <v>match</v>
      </c>
    </row>
    <row r="107" spans="1:48" ht="12">
      <c r="A107" s="9" t="s">
        <v>191</v>
      </c>
      <c r="B107" s="10" t="s">
        <v>222</v>
      </c>
      <c r="C107" s="56" t="s">
        <v>223</v>
      </c>
      <c r="D107" s="56"/>
      <c r="E107" s="11">
        <v>91</v>
      </c>
      <c r="F107" s="11"/>
      <c r="G107" s="11"/>
      <c r="H107" s="11">
        <v>2</v>
      </c>
      <c r="I107" s="11"/>
      <c r="J107" s="11"/>
      <c r="K107" s="11">
        <f t="shared" si="19"/>
        <v>93</v>
      </c>
      <c r="L107" s="11">
        <f t="shared" si="20"/>
        <v>66.959999999999994</v>
      </c>
      <c r="M107" s="11"/>
      <c r="N107" s="11"/>
      <c r="O107" s="11">
        <v>2</v>
      </c>
      <c r="P107" s="11"/>
      <c r="Q107" s="11">
        <v>19</v>
      </c>
      <c r="R107" s="11">
        <f t="shared" si="21"/>
        <v>21</v>
      </c>
      <c r="S107" s="11">
        <f t="shared" si="22"/>
        <v>25.41</v>
      </c>
      <c r="T107" s="11"/>
      <c r="U107" s="11"/>
      <c r="V107" s="11">
        <v>1</v>
      </c>
      <c r="W107" s="11"/>
      <c r="X107" s="11">
        <v>8</v>
      </c>
      <c r="Y107" s="11">
        <f t="shared" si="23"/>
        <v>9</v>
      </c>
      <c r="Z107" s="11">
        <f t="shared" si="24"/>
        <v>24.660000000000004</v>
      </c>
      <c r="AA107" s="11">
        <f t="shared" si="25"/>
        <v>123</v>
      </c>
      <c r="AB107" s="11">
        <f t="shared" si="25"/>
        <v>117.03</v>
      </c>
      <c r="AC107" s="42">
        <f t="shared" si="32"/>
        <v>5965</v>
      </c>
      <c r="AD107" s="83">
        <f t="shared" si="33"/>
        <v>733695</v>
      </c>
      <c r="AE107" s="83">
        <f t="shared" si="34"/>
        <v>698083.95</v>
      </c>
      <c r="AF107" s="83">
        <f t="shared" si="35"/>
        <v>1431778.95</v>
      </c>
      <c r="AG107" s="11"/>
      <c r="AH107" s="11"/>
      <c r="AI107" s="78"/>
      <c r="AJ107" s="78"/>
      <c r="AK107" s="78"/>
      <c r="AL107" s="78"/>
      <c r="AM107" s="78"/>
      <c r="AN107" s="78"/>
      <c r="AO107" s="78"/>
      <c r="AP107" s="78"/>
      <c r="AQ107" s="3" t="s">
        <v>191</v>
      </c>
      <c r="AR107" s="3" t="s">
        <v>222</v>
      </c>
      <c r="AS107" s="3" t="s">
        <v>223</v>
      </c>
      <c r="AT107" s="49">
        <v>5965</v>
      </c>
      <c r="AU107" s="3" t="str">
        <f t="shared" si="26"/>
        <v>match</v>
      </c>
      <c r="AV107" s="3" t="str">
        <f t="shared" si="27"/>
        <v>match</v>
      </c>
    </row>
    <row r="108" spans="1:48" ht="12">
      <c r="A108" s="9" t="s">
        <v>191</v>
      </c>
      <c r="B108" s="12" t="s">
        <v>224</v>
      </c>
      <c r="C108" s="13" t="s">
        <v>225</v>
      </c>
      <c r="D108" s="8"/>
      <c r="E108" s="39">
        <v>39</v>
      </c>
      <c r="F108" s="39"/>
      <c r="G108" s="39"/>
      <c r="H108" s="39"/>
      <c r="I108" s="39"/>
      <c r="J108" s="39"/>
      <c r="K108" s="39">
        <f t="shared" si="19"/>
        <v>39</v>
      </c>
      <c r="L108" s="39">
        <f t="shared" si="20"/>
        <v>28.08</v>
      </c>
      <c r="M108" s="39"/>
      <c r="N108" s="39">
        <v>1</v>
      </c>
      <c r="O108" s="39">
        <v>4</v>
      </c>
      <c r="P108" s="39"/>
      <c r="Q108" s="39">
        <v>7</v>
      </c>
      <c r="R108" s="39">
        <f t="shared" si="21"/>
        <v>12</v>
      </c>
      <c r="S108" s="39">
        <f t="shared" si="22"/>
        <v>13.919999999999998</v>
      </c>
      <c r="T108" s="39"/>
      <c r="U108" s="39"/>
      <c r="V108" s="39"/>
      <c r="W108" s="39"/>
      <c r="X108" s="39">
        <v>1</v>
      </c>
      <c r="Y108" s="39">
        <f t="shared" si="23"/>
        <v>1</v>
      </c>
      <c r="Z108" s="39">
        <f t="shared" si="24"/>
        <v>2.74</v>
      </c>
      <c r="AA108" s="39">
        <f t="shared" si="25"/>
        <v>52</v>
      </c>
      <c r="AB108" s="39">
        <f t="shared" si="25"/>
        <v>44.74</v>
      </c>
      <c r="AC108" s="41">
        <f t="shared" si="32"/>
        <v>5883</v>
      </c>
      <c r="AD108" s="82">
        <f t="shared" si="33"/>
        <v>305916</v>
      </c>
      <c r="AE108" s="82">
        <f t="shared" si="34"/>
        <v>263205.42</v>
      </c>
      <c r="AF108" s="82">
        <f t="shared" si="35"/>
        <v>569121.41999999993</v>
      </c>
      <c r="AG108" s="39"/>
      <c r="AH108" s="39"/>
      <c r="AI108" s="79"/>
      <c r="AJ108" s="79"/>
      <c r="AK108" s="79"/>
      <c r="AL108" s="79"/>
      <c r="AM108" s="79"/>
      <c r="AN108" s="79"/>
      <c r="AO108" s="79"/>
      <c r="AP108" s="79"/>
      <c r="AQ108" s="3" t="s">
        <v>191</v>
      </c>
      <c r="AR108" s="3" t="s">
        <v>224</v>
      </c>
      <c r="AS108" s="3" t="s">
        <v>838</v>
      </c>
      <c r="AT108" s="49">
        <v>5883</v>
      </c>
      <c r="AU108" s="3" t="str">
        <f t="shared" si="26"/>
        <v>match</v>
      </c>
      <c r="AV108" s="3" t="str">
        <f t="shared" si="27"/>
        <v>match</v>
      </c>
    </row>
    <row r="109" spans="1:48" ht="12">
      <c r="A109" s="9" t="s">
        <v>191</v>
      </c>
      <c r="B109" s="10" t="s">
        <v>226</v>
      </c>
      <c r="C109" s="56" t="s">
        <v>227</v>
      </c>
      <c r="D109" s="56"/>
      <c r="E109" s="11">
        <v>7</v>
      </c>
      <c r="F109" s="11"/>
      <c r="G109" s="11"/>
      <c r="H109" s="11"/>
      <c r="I109" s="11"/>
      <c r="J109" s="11"/>
      <c r="K109" s="11">
        <f t="shared" si="19"/>
        <v>7</v>
      </c>
      <c r="L109" s="11">
        <f t="shared" si="20"/>
        <v>5.04</v>
      </c>
      <c r="M109" s="11"/>
      <c r="N109" s="11"/>
      <c r="O109" s="11"/>
      <c r="P109" s="11"/>
      <c r="Q109" s="11">
        <v>2</v>
      </c>
      <c r="R109" s="11">
        <f t="shared" si="21"/>
        <v>2</v>
      </c>
      <c r="S109" s="11">
        <f t="shared" si="22"/>
        <v>2.42</v>
      </c>
      <c r="T109" s="11"/>
      <c r="U109" s="11"/>
      <c r="V109" s="11"/>
      <c r="W109" s="11"/>
      <c r="X109" s="11">
        <v>1</v>
      </c>
      <c r="Y109" s="11">
        <f t="shared" si="23"/>
        <v>1</v>
      </c>
      <c r="Z109" s="11">
        <f t="shared" si="24"/>
        <v>2.74</v>
      </c>
      <c r="AA109" s="11">
        <f t="shared" si="25"/>
        <v>10</v>
      </c>
      <c r="AB109" s="11">
        <f t="shared" si="25"/>
        <v>10.199999999999999</v>
      </c>
      <c r="AC109" s="42">
        <f t="shared" si="32"/>
        <v>6058</v>
      </c>
      <c r="AD109" s="83">
        <f t="shared" si="33"/>
        <v>60580</v>
      </c>
      <c r="AE109" s="83">
        <f t="shared" si="34"/>
        <v>61791.6</v>
      </c>
      <c r="AF109" s="83">
        <f t="shared" si="35"/>
        <v>122371.6</v>
      </c>
      <c r="AG109" s="11"/>
      <c r="AH109" s="11"/>
      <c r="AI109" s="78"/>
      <c r="AJ109" s="78"/>
      <c r="AK109" s="78"/>
      <c r="AL109" s="78"/>
      <c r="AM109" s="78"/>
      <c r="AN109" s="78"/>
      <c r="AO109" s="78"/>
      <c r="AP109" s="78"/>
      <c r="AQ109" s="3" t="s">
        <v>191</v>
      </c>
      <c r="AR109" s="3" t="s">
        <v>226</v>
      </c>
      <c r="AS109" s="3" t="s">
        <v>227</v>
      </c>
      <c r="AT109" s="49">
        <v>6058</v>
      </c>
      <c r="AU109" s="3" t="str">
        <f t="shared" si="26"/>
        <v>match</v>
      </c>
      <c r="AV109" s="3" t="str">
        <f t="shared" si="27"/>
        <v>match</v>
      </c>
    </row>
    <row r="110" spans="1:48" ht="12">
      <c r="A110" s="9" t="s">
        <v>191</v>
      </c>
      <c r="B110" s="12" t="s">
        <v>228</v>
      </c>
      <c r="C110" s="13" t="s">
        <v>229</v>
      </c>
      <c r="D110" s="8"/>
      <c r="E110" s="39">
        <v>27</v>
      </c>
      <c r="F110" s="39"/>
      <c r="G110" s="39"/>
      <c r="H110" s="39"/>
      <c r="I110" s="39"/>
      <c r="J110" s="39"/>
      <c r="K110" s="39">
        <f t="shared" si="19"/>
        <v>27</v>
      </c>
      <c r="L110" s="39">
        <f t="shared" si="20"/>
        <v>19.439999999999998</v>
      </c>
      <c r="M110" s="39"/>
      <c r="N110" s="39">
        <v>1</v>
      </c>
      <c r="O110" s="39">
        <v>5</v>
      </c>
      <c r="P110" s="39"/>
      <c r="Q110" s="39">
        <v>8</v>
      </c>
      <c r="R110" s="39">
        <f t="shared" si="21"/>
        <v>14</v>
      </c>
      <c r="S110" s="39">
        <f t="shared" si="22"/>
        <v>16.34</v>
      </c>
      <c r="T110" s="39"/>
      <c r="U110" s="39"/>
      <c r="V110" s="39">
        <v>2</v>
      </c>
      <c r="W110" s="39"/>
      <c r="X110" s="39">
        <v>2</v>
      </c>
      <c r="Y110" s="39">
        <f t="shared" si="23"/>
        <v>4</v>
      </c>
      <c r="Z110" s="39">
        <f t="shared" si="24"/>
        <v>10.96</v>
      </c>
      <c r="AA110" s="39">
        <f t="shared" si="25"/>
        <v>45</v>
      </c>
      <c r="AB110" s="39">
        <f t="shared" si="25"/>
        <v>46.74</v>
      </c>
      <c r="AC110" s="41">
        <f t="shared" si="32"/>
        <v>5943</v>
      </c>
      <c r="AD110" s="82">
        <f t="shared" si="33"/>
        <v>267435</v>
      </c>
      <c r="AE110" s="82">
        <f t="shared" si="34"/>
        <v>277775.82</v>
      </c>
      <c r="AF110" s="82">
        <f t="shared" si="35"/>
        <v>545210.82000000007</v>
      </c>
      <c r="AG110" s="39"/>
      <c r="AH110" s="39"/>
      <c r="AI110" s="79"/>
      <c r="AJ110" s="79"/>
      <c r="AK110" s="79"/>
      <c r="AL110" s="79"/>
      <c r="AM110" s="79"/>
      <c r="AN110" s="79"/>
      <c r="AO110" s="79"/>
      <c r="AP110" s="79"/>
      <c r="AQ110" s="3" t="s">
        <v>191</v>
      </c>
      <c r="AR110" s="3" t="s">
        <v>228</v>
      </c>
      <c r="AS110" s="3" t="s">
        <v>229</v>
      </c>
      <c r="AT110" s="49">
        <v>5943</v>
      </c>
      <c r="AU110" s="3" t="str">
        <f t="shared" si="26"/>
        <v>match</v>
      </c>
      <c r="AV110" s="3" t="str">
        <f t="shared" si="27"/>
        <v>match</v>
      </c>
    </row>
    <row r="111" spans="1:48" ht="12">
      <c r="A111" s="9" t="s">
        <v>191</v>
      </c>
      <c r="B111" s="10" t="s">
        <v>230</v>
      </c>
      <c r="C111" s="56" t="s">
        <v>231</v>
      </c>
      <c r="D111" s="56"/>
      <c r="E111" s="11">
        <v>29</v>
      </c>
      <c r="F111" s="11"/>
      <c r="G111" s="11"/>
      <c r="H111" s="11"/>
      <c r="I111" s="11"/>
      <c r="J111" s="11"/>
      <c r="K111" s="11">
        <f t="shared" si="19"/>
        <v>29</v>
      </c>
      <c r="L111" s="11">
        <f t="shared" si="20"/>
        <v>20.88</v>
      </c>
      <c r="M111" s="11"/>
      <c r="N111" s="11"/>
      <c r="O111" s="11">
        <v>3</v>
      </c>
      <c r="P111" s="11"/>
      <c r="Q111" s="11">
        <v>7</v>
      </c>
      <c r="R111" s="11">
        <f t="shared" si="21"/>
        <v>10</v>
      </c>
      <c r="S111" s="11">
        <f t="shared" si="22"/>
        <v>12.1</v>
      </c>
      <c r="T111" s="11"/>
      <c r="U111" s="11"/>
      <c r="V111" s="11"/>
      <c r="W111" s="11"/>
      <c r="X111" s="11">
        <v>3</v>
      </c>
      <c r="Y111" s="11">
        <f t="shared" si="23"/>
        <v>3</v>
      </c>
      <c r="Z111" s="11">
        <f t="shared" si="24"/>
        <v>8.2200000000000006</v>
      </c>
      <c r="AA111" s="11">
        <f t="shared" si="25"/>
        <v>42</v>
      </c>
      <c r="AB111" s="11">
        <f t="shared" si="25"/>
        <v>41.199999999999996</v>
      </c>
      <c r="AC111" s="42">
        <f t="shared" si="32"/>
        <v>5972</v>
      </c>
      <c r="AD111" s="83">
        <f t="shared" si="33"/>
        <v>250824</v>
      </c>
      <c r="AE111" s="83">
        <f t="shared" si="34"/>
        <v>246046.39999999997</v>
      </c>
      <c r="AF111" s="83">
        <f t="shared" si="35"/>
        <v>496870.39999999997</v>
      </c>
      <c r="AG111" s="11"/>
      <c r="AH111" s="11"/>
      <c r="AI111" s="78"/>
      <c r="AJ111" s="78"/>
      <c r="AK111" s="78"/>
      <c r="AL111" s="78"/>
      <c r="AM111" s="78"/>
      <c r="AN111" s="78"/>
      <c r="AO111" s="78"/>
      <c r="AP111" s="78"/>
      <c r="AQ111" s="3" t="s">
        <v>191</v>
      </c>
      <c r="AR111" s="3" t="s">
        <v>230</v>
      </c>
      <c r="AS111" s="3" t="s">
        <v>839</v>
      </c>
      <c r="AT111" s="49">
        <v>5972</v>
      </c>
      <c r="AU111" s="3" t="str">
        <f t="shared" si="26"/>
        <v>match</v>
      </c>
      <c r="AV111" s="3" t="str">
        <f t="shared" si="27"/>
        <v>match</v>
      </c>
    </row>
    <row r="112" spans="1:48" ht="12">
      <c r="A112" s="9" t="s">
        <v>191</v>
      </c>
      <c r="B112" s="12" t="s">
        <v>232</v>
      </c>
      <c r="C112" s="13" t="s">
        <v>233</v>
      </c>
      <c r="D112" s="8"/>
      <c r="E112" s="39">
        <v>14</v>
      </c>
      <c r="F112" s="39"/>
      <c r="G112" s="39"/>
      <c r="H112" s="39"/>
      <c r="I112" s="39"/>
      <c r="J112" s="39"/>
      <c r="K112" s="39">
        <f t="shared" si="19"/>
        <v>14</v>
      </c>
      <c r="L112" s="39">
        <f t="shared" si="20"/>
        <v>10.08</v>
      </c>
      <c r="M112" s="39"/>
      <c r="N112" s="39">
        <v>1</v>
      </c>
      <c r="O112" s="39">
        <v>3</v>
      </c>
      <c r="P112" s="39"/>
      <c r="Q112" s="39">
        <v>10</v>
      </c>
      <c r="R112" s="39">
        <f t="shared" si="21"/>
        <v>14</v>
      </c>
      <c r="S112" s="39">
        <f t="shared" si="22"/>
        <v>16.34</v>
      </c>
      <c r="T112" s="39"/>
      <c r="U112" s="39">
        <v>1</v>
      </c>
      <c r="V112" s="39"/>
      <c r="W112" s="39"/>
      <c r="X112" s="39">
        <v>4</v>
      </c>
      <c r="Y112" s="39">
        <f t="shared" si="23"/>
        <v>5</v>
      </c>
      <c r="Z112" s="39">
        <f t="shared" si="24"/>
        <v>12.330000000000002</v>
      </c>
      <c r="AA112" s="39">
        <f t="shared" si="25"/>
        <v>33</v>
      </c>
      <c r="AB112" s="39">
        <f t="shared" si="25"/>
        <v>38.75</v>
      </c>
      <c r="AC112" s="41">
        <f t="shared" si="32"/>
        <v>6053</v>
      </c>
      <c r="AD112" s="82">
        <f t="shared" si="33"/>
        <v>199749</v>
      </c>
      <c r="AE112" s="82">
        <f t="shared" si="34"/>
        <v>234553.75</v>
      </c>
      <c r="AF112" s="82">
        <f t="shared" si="35"/>
        <v>434302.75</v>
      </c>
      <c r="AG112" s="39"/>
      <c r="AH112" s="39"/>
      <c r="AI112" s="79"/>
      <c r="AJ112" s="79"/>
      <c r="AK112" s="79"/>
      <c r="AL112" s="79"/>
      <c r="AM112" s="79"/>
      <c r="AN112" s="79"/>
      <c r="AO112" s="79"/>
      <c r="AP112" s="79"/>
      <c r="AQ112" s="3" t="s">
        <v>191</v>
      </c>
      <c r="AR112" s="3" t="s">
        <v>232</v>
      </c>
      <c r="AS112" s="3" t="s">
        <v>840</v>
      </c>
      <c r="AT112" s="49">
        <v>6053</v>
      </c>
      <c r="AU112" s="3" t="str">
        <f t="shared" si="26"/>
        <v>match</v>
      </c>
      <c r="AV112" s="3" t="str">
        <f t="shared" si="27"/>
        <v>match</v>
      </c>
    </row>
    <row r="113" spans="1:48" ht="12">
      <c r="A113" s="9" t="s">
        <v>191</v>
      </c>
      <c r="B113" s="10" t="s">
        <v>234</v>
      </c>
      <c r="C113" s="56" t="s">
        <v>235</v>
      </c>
      <c r="D113" s="56"/>
      <c r="E113" s="11">
        <v>26</v>
      </c>
      <c r="F113" s="11"/>
      <c r="G113" s="11"/>
      <c r="H113" s="11"/>
      <c r="I113" s="11"/>
      <c r="J113" s="11"/>
      <c r="K113" s="11">
        <f t="shared" si="19"/>
        <v>26</v>
      </c>
      <c r="L113" s="11">
        <f t="shared" si="20"/>
        <v>18.72</v>
      </c>
      <c r="M113" s="11"/>
      <c r="N113" s="11">
        <v>1</v>
      </c>
      <c r="O113" s="11">
        <v>1</v>
      </c>
      <c r="P113" s="11"/>
      <c r="Q113" s="11">
        <v>12</v>
      </c>
      <c r="R113" s="11">
        <f t="shared" si="21"/>
        <v>14</v>
      </c>
      <c r="S113" s="11">
        <f t="shared" si="22"/>
        <v>16.34</v>
      </c>
      <c r="T113" s="11">
        <v>1</v>
      </c>
      <c r="U113" s="11"/>
      <c r="V113" s="11"/>
      <c r="W113" s="11"/>
      <c r="X113" s="11">
        <v>6</v>
      </c>
      <c r="Y113" s="11">
        <f t="shared" si="23"/>
        <v>7</v>
      </c>
      <c r="Z113" s="11">
        <f t="shared" si="24"/>
        <v>19.18</v>
      </c>
      <c r="AA113" s="11">
        <f t="shared" si="25"/>
        <v>47</v>
      </c>
      <c r="AB113" s="11">
        <f t="shared" si="25"/>
        <v>54.24</v>
      </c>
      <c r="AC113" s="42">
        <f t="shared" si="32"/>
        <v>5920</v>
      </c>
      <c r="AD113" s="83">
        <f t="shared" si="33"/>
        <v>278240</v>
      </c>
      <c r="AE113" s="83">
        <f t="shared" si="34"/>
        <v>321100.79999999999</v>
      </c>
      <c r="AF113" s="83">
        <f t="shared" si="35"/>
        <v>599340.80000000005</v>
      </c>
      <c r="AG113" s="11"/>
      <c r="AH113" s="11"/>
      <c r="AI113" s="78"/>
      <c r="AJ113" s="78"/>
      <c r="AK113" s="78"/>
      <c r="AL113" s="78"/>
      <c r="AM113" s="78"/>
      <c r="AN113" s="78"/>
      <c r="AO113" s="78"/>
      <c r="AP113" s="78"/>
      <c r="AQ113" s="3" t="s">
        <v>191</v>
      </c>
      <c r="AR113" s="3" t="s">
        <v>234</v>
      </c>
      <c r="AS113" s="3" t="s">
        <v>841</v>
      </c>
      <c r="AT113" s="49">
        <v>5920</v>
      </c>
      <c r="AU113" s="3" t="str">
        <f t="shared" si="26"/>
        <v>match</v>
      </c>
      <c r="AV113" s="3" t="str">
        <f t="shared" si="27"/>
        <v>match</v>
      </c>
    </row>
    <row r="114" spans="1:48" ht="12">
      <c r="A114" s="9" t="s">
        <v>191</v>
      </c>
      <c r="B114" s="12" t="s">
        <v>236</v>
      </c>
      <c r="C114" s="13" t="s">
        <v>237</v>
      </c>
      <c r="D114" s="8"/>
      <c r="E114" s="39">
        <v>13</v>
      </c>
      <c r="F114" s="39"/>
      <c r="G114" s="39"/>
      <c r="H114" s="39"/>
      <c r="I114" s="39"/>
      <c r="J114" s="39"/>
      <c r="K114" s="39">
        <f t="shared" si="19"/>
        <v>13</v>
      </c>
      <c r="L114" s="39">
        <f t="shared" si="20"/>
        <v>9.36</v>
      </c>
      <c r="M114" s="39"/>
      <c r="N114" s="39"/>
      <c r="O114" s="39">
        <v>1</v>
      </c>
      <c r="P114" s="39"/>
      <c r="Q114" s="39">
        <v>10</v>
      </c>
      <c r="R114" s="39">
        <f t="shared" si="21"/>
        <v>11</v>
      </c>
      <c r="S114" s="39">
        <f t="shared" si="22"/>
        <v>13.309999999999999</v>
      </c>
      <c r="T114" s="39"/>
      <c r="U114" s="39"/>
      <c r="V114" s="39"/>
      <c r="W114" s="39"/>
      <c r="X114" s="39"/>
      <c r="Y114" s="39">
        <f t="shared" si="23"/>
        <v>0</v>
      </c>
      <c r="Z114" s="39">
        <f t="shared" si="24"/>
        <v>0</v>
      </c>
      <c r="AA114" s="39">
        <f t="shared" si="25"/>
        <v>24</v>
      </c>
      <c r="AB114" s="39">
        <f t="shared" si="25"/>
        <v>22.669999999999998</v>
      </c>
      <c r="AC114" s="41">
        <f t="shared" si="32"/>
        <v>5883</v>
      </c>
      <c r="AD114" s="82">
        <f t="shared" si="33"/>
        <v>141192</v>
      </c>
      <c r="AE114" s="82">
        <f t="shared" si="34"/>
        <v>133367.60999999999</v>
      </c>
      <c r="AF114" s="82">
        <f t="shared" si="35"/>
        <v>274559.61</v>
      </c>
      <c r="AG114" s="39"/>
      <c r="AH114" s="39"/>
      <c r="AI114" s="79"/>
      <c r="AJ114" s="79"/>
      <c r="AK114" s="79"/>
      <c r="AL114" s="79"/>
      <c r="AM114" s="79"/>
      <c r="AN114" s="79"/>
      <c r="AO114" s="79"/>
      <c r="AP114" s="79"/>
      <c r="AQ114" s="3" t="s">
        <v>191</v>
      </c>
      <c r="AR114" s="3" t="s">
        <v>236</v>
      </c>
      <c r="AS114" s="3" t="s">
        <v>842</v>
      </c>
      <c r="AT114" s="49">
        <v>5883</v>
      </c>
      <c r="AU114" s="3" t="str">
        <f t="shared" si="26"/>
        <v>match</v>
      </c>
      <c r="AV114" s="3" t="str">
        <f t="shared" si="27"/>
        <v>match</v>
      </c>
    </row>
    <row r="115" spans="1:48" ht="12">
      <c r="A115" s="9" t="s">
        <v>191</v>
      </c>
      <c r="B115" s="10" t="s">
        <v>238</v>
      </c>
      <c r="C115" s="56" t="s">
        <v>239</v>
      </c>
      <c r="D115" s="56"/>
      <c r="E115" s="11">
        <v>93</v>
      </c>
      <c r="F115" s="11"/>
      <c r="G115" s="11"/>
      <c r="H115" s="11"/>
      <c r="I115" s="11"/>
      <c r="J115" s="11"/>
      <c r="K115" s="11">
        <f t="shared" si="19"/>
        <v>93</v>
      </c>
      <c r="L115" s="11">
        <f t="shared" si="20"/>
        <v>66.959999999999994</v>
      </c>
      <c r="M115" s="11"/>
      <c r="N115" s="11"/>
      <c r="O115" s="11">
        <v>2</v>
      </c>
      <c r="P115" s="11"/>
      <c r="Q115" s="11">
        <v>23</v>
      </c>
      <c r="R115" s="11">
        <f t="shared" si="21"/>
        <v>25</v>
      </c>
      <c r="S115" s="11">
        <f t="shared" si="22"/>
        <v>30.25</v>
      </c>
      <c r="T115" s="11"/>
      <c r="U115" s="11"/>
      <c r="V115" s="11">
        <v>4</v>
      </c>
      <c r="W115" s="11"/>
      <c r="X115" s="11">
        <v>9</v>
      </c>
      <c r="Y115" s="11">
        <f t="shared" si="23"/>
        <v>13</v>
      </c>
      <c r="Z115" s="11">
        <f t="shared" si="24"/>
        <v>35.620000000000005</v>
      </c>
      <c r="AA115" s="11">
        <f t="shared" si="25"/>
        <v>131</v>
      </c>
      <c r="AB115" s="11">
        <f t="shared" si="25"/>
        <v>132.82999999999998</v>
      </c>
      <c r="AC115" s="42">
        <f t="shared" si="32"/>
        <v>5897</v>
      </c>
      <c r="AD115" s="83">
        <f t="shared" si="33"/>
        <v>772507</v>
      </c>
      <c r="AE115" s="83">
        <f t="shared" si="34"/>
        <v>783298.50999999989</v>
      </c>
      <c r="AF115" s="83">
        <f t="shared" si="35"/>
        <v>1555805.5099999998</v>
      </c>
      <c r="AG115" s="11"/>
      <c r="AH115" s="11"/>
      <c r="AI115" s="78"/>
      <c r="AJ115" s="78"/>
      <c r="AK115" s="78"/>
      <c r="AL115" s="78"/>
      <c r="AM115" s="78"/>
      <c r="AN115" s="78"/>
      <c r="AO115" s="78"/>
      <c r="AP115" s="78"/>
      <c r="AQ115" s="3" t="s">
        <v>191</v>
      </c>
      <c r="AR115" s="3" t="s">
        <v>238</v>
      </c>
      <c r="AS115" s="3" t="s">
        <v>843</v>
      </c>
      <c r="AT115" s="49">
        <v>5897</v>
      </c>
      <c r="AU115" s="3" t="str">
        <f t="shared" si="26"/>
        <v>match</v>
      </c>
      <c r="AV115" s="3" t="str">
        <f t="shared" si="27"/>
        <v>match</v>
      </c>
    </row>
    <row r="116" spans="1:48" ht="12">
      <c r="A116" s="9" t="s">
        <v>191</v>
      </c>
      <c r="B116" s="12" t="s">
        <v>240</v>
      </c>
      <c r="C116" s="13" t="s">
        <v>241</v>
      </c>
      <c r="D116" s="8"/>
      <c r="E116" s="39">
        <v>14</v>
      </c>
      <c r="F116" s="39"/>
      <c r="G116" s="39"/>
      <c r="H116" s="39"/>
      <c r="I116" s="39"/>
      <c r="J116" s="39"/>
      <c r="K116" s="39">
        <f t="shared" si="19"/>
        <v>14</v>
      </c>
      <c r="L116" s="39">
        <f t="shared" si="20"/>
        <v>10.08</v>
      </c>
      <c r="M116" s="39"/>
      <c r="N116" s="39"/>
      <c r="O116" s="39"/>
      <c r="P116" s="39"/>
      <c r="Q116" s="39">
        <v>4</v>
      </c>
      <c r="R116" s="39">
        <f t="shared" si="21"/>
        <v>4</v>
      </c>
      <c r="S116" s="39">
        <f t="shared" si="22"/>
        <v>4.84</v>
      </c>
      <c r="T116" s="39"/>
      <c r="U116" s="39"/>
      <c r="V116" s="39"/>
      <c r="W116" s="39"/>
      <c r="X116" s="39"/>
      <c r="Y116" s="39">
        <f t="shared" si="23"/>
        <v>0</v>
      </c>
      <c r="Z116" s="39">
        <f t="shared" si="24"/>
        <v>0</v>
      </c>
      <c r="AA116" s="39">
        <f t="shared" si="25"/>
        <v>18</v>
      </c>
      <c r="AB116" s="39">
        <f t="shared" si="25"/>
        <v>14.92</v>
      </c>
      <c r="AC116" s="41">
        <f t="shared" si="32"/>
        <v>6050</v>
      </c>
      <c r="AD116" s="82">
        <f t="shared" si="33"/>
        <v>108900</v>
      </c>
      <c r="AE116" s="82">
        <f t="shared" si="34"/>
        <v>90266</v>
      </c>
      <c r="AF116" s="82">
        <f t="shared" si="35"/>
        <v>199166</v>
      </c>
      <c r="AG116" s="39"/>
      <c r="AH116" s="39"/>
      <c r="AI116" s="79"/>
      <c r="AJ116" s="79"/>
      <c r="AK116" s="79"/>
      <c r="AL116" s="79"/>
      <c r="AM116" s="79"/>
      <c r="AN116" s="79"/>
      <c r="AO116" s="79"/>
      <c r="AP116" s="79"/>
      <c r="AQ116" s="3" t="s">
        <v>191</v>
      </c>
      <c r="AR116" s="3" t="s">
        <v>240</v>
      </c>
      <c r="AS116" s="3" t="s">
        <v>844</v>
      </c>
      <c r="AT116" s="49">
        <v>6050</v>
      </c>
      <c r="AU116" s="3" t="str">
        <f t="shared" si="26"/>
        <v>match</v>
      </c>
      <c r="AV116" s="3" t="str">
        <f t="shared" si="27"/>
        <v>match</v>
      </c>
    </row>
    <row r="117" spans="1:48" ht="12">
      <c r="A117" s="9" t="s">
        <v>191</v>
      </c>
      <c r="B117" s="10" t="s">
        <v>242</v>
      </c>
      <c r="C117" s="56" t="s">
        <v>243</v>
      </c>
      <c r="D117" s="56"/>
      <c r="E117" s="11">
        <v>30</v>
      </c>
      <c r="F117" s="11"/>
      <c r="G117" s="11"/>
      <c r="H117" s="11"/>
      <c r="I117" s="11"/>
      <c r="J117" s="11"/>
      <c r="K117" s="11">
        <f t="shared" si="19"/>
        <v>30</v>
      </c>
      <c r="L117" s="11">
        <f t="shared" si="20"/>
        <v>21.599999999999998</v>
      </c>
      <c r="M117" s="11"/>
      <c r="N117" s="11"/>
      <c r="O117" s="11">
        <v>4</v>
      </c>
      <c r="P117" s="11"/>
      <c r="Q117" s="11">
        <v>12</v>
      </c>
      <c r="R117" s="11">
        <f t="shared" si="21"/>
        <v>16</v>
      </c>
      <c r="S117" s="11">
        <f t="shared" si="22"/>
        <v>19.36</v>
      </c>
      <c r="T117" s="11"/>
      <c r="U117" s="11"/>
      <c r="V117" s="11"/>
      <c r="W117" s="11"/>
      <c r="X117" s="11">
        <v>4</v>
      </c>
      <c r="Y117" s="11">
        <f t="shared" si="23"/>
        <v>4</v>
      </c>
      <c r="Z117" s="11">
        <f t="shared" si="24"/>
        <v>10.96</v>
      </c>
      <c r="AA117" s="11">
        <f t="shared" si="25"/>
        <v>50</v>
      </c>
      <c r="AB117" s="11">
        <f t="shared" si="25"/>
        <v>51.919999999999995</v>
      </c>
      <c r="AC117" s="42">
        <f t="shared" si="32"/>
        <v>6053</v>
      </c>
      <c r="AD117" s="83">
        <f t="shared" si="33"/>
        <v>302650</v>
      </c>
      <c r="AE117" s="83">
        <f t="shared" si="34"/>
        <v>314271.75999999995</v>
      </c>
      <c r="AF117" s="83">
        <f t="shared" si="35"/>
        <v>616921.76</v>
      </c>
      <c r="AG117" s="11"/>
      <c r="AH117" s="11"/>
      <c r="AI117" s="78"/>
      <c r="AJ117" s="78"/>
      <c r="AK117" s="78"/>
      <c r="AL117" s="78"/>
      <c r="AM117" s="78"/>
      <c r="AN117" s="78"/>
      <c r="AO117" s="78"/>
      <c r="AP117" s="78"/>
      <c r="AQ117" s="3" t="s">
        <v>191</v>
      </c>
      <c r="AR117" s="3" t="s">
        <v>242</v>
      </c>
      <c r="AS117" s="3" t="s">
        <v>845</v>
      </c>
      <c r="AT117" s="49">
        <v>6053</v>
      </c>
      <c r="AU117" s="3" t="str">
        <f t="shared" si="26"/>
        <v>match</v>
      </c>
      <c r="AV117" s="3" t="str">
        <f t="shared" si="27"/>
        <v>match</v>
      </c>
    </row>
    <row r="118" spans="1:48" ht="12">
      <c r="A118" s="9" t="s">
        <v>191</v>
      </c>
      <c r="B118" s="12" t="s">
        <v>244</v>
      </c>
      <c r="C118" s="13" t="s">
        <v>245</v>
      </c>
      <c r="D118" s="8"/>
      <c r="E118" s="39">
        <v>29</v>
      </c>
      <c r="F118" s="39"/>
      <c r="G118" s="39"/>
      <c r="H118" s="39"/>
      <c r="I118" s="39"/>
      <c r="J118" s="39"/>
      <c r="K118" s="39">
        <f t="shared" si="19"/>
        <v>29</v>
      </c>
      <c r="L118" s="39">
        <f t="shared" si="20"/>
        <v>20.88</v>
      </c>
      <c r="M118" s="39"/>
      <c r="N118" s="39"/>
      <c r="O118" s="39">
        <v>3</v>
      </c>
      <c r="P118" s="39"/>
      <c r="Q118" s="39">
        <v>3</v>
      </c>
      <c r="R118" s="39">
        <f t="shared" si="21"/>
        <v>6</v>
      </c>
      <c r="S118" s="39">
        <f t="shared" si="22"/>
        <v>7.26</v>
      </c>
      <c r="T118" s="39"/>
      <c r="U118" s="39"/>
      <c r="V118" s="39"/>
      <c r="W118" s="39"/>
      <c r="X118" s="39">
        <v>2</v>
      </c>
      <c r="Y118" s="39">
        <f t="shared" si="23"/>
        <v>2</v>
      </c>
      <c r="Z118" s="39">
        <f t="shared" si="24"/>
        <v>5.48</v>
      </c>
      <c r="AA118" s="39">
        <f t="shared" si="25"/>
        <v>37</v>
      </c>
      <c r="AB118" s="39">
        <f t="shared" si="25"/>
        <v>33.620000000000005</v>
      </c>
      <c r="AC118" s="41">
        <f t="shared" si="32"/>
        <v>5934</v>
      </c>
      <c r="AD118" s="82">
        <f t="shared" si="33"/>
        <v>219558</v>
      </c>
      <c r="AE118" s="82">
        <f t="shared" si="34"/>
        <v>199501.08000000002</v>
      </c>
      <c r="AF118" s="82">
        <f t="shared" si="35"/>
        <v>419059.08</v>
      </c>
      <c r="AG118" s="39"/>
      <c r="AH118" s="39"/>
      <c r="AI118" s="79"/>
      <c r="AJ118" s="79"/>
      <c r="AK118" s="79"/>
      <c r="AL118" s="79"/>
      <c r="AM118" s="79"/>
      <c r="AN118" s="79"/>
      <c r="AO118" s="79"/>
      <c r="AP118" s="79"/>
      <c r="AQ118" s="3" t="s">
        <v>191</v>
      </c>
      <c r="AR118" s="3" t="s">
        <v>244</v>
      </c>
      <c r="AS118" s="3" t="s">
        <v>846</v>
      </c>
      <c r="AT118" s="49">
        <v>5934</v>
      </c>
      <c r="AU118" s="3" t="str">
        <f t="shared" si="26"/>
        <v>match</v>
      </c>
      <c r="AV118" s="3" t="str">
        <f t="shared" si="27"/>
        <v>match</v>
      </c>
    </row>
    <row r="119" spans="1:48" ht="12">
      <c r="A119" s="9" t="s">
        <v>191</v>
      </c>
      <c r="B119" s="10" t="s">
        <v>246</v>
      </c>
      <c r="C119" s="56" t="s">
        <v>247</v>
      </c>
      <c r="D119" s="56"/>
      <c r="E119" s="11">
        <v>61</v>
      </c>
      <c r="F119" s="11"/>
      <c r="G119" s="11"/>
      <c r="H119" s="11"/>
      <c r="I119" s="11"/>
      <c r="J119" s="11"/>
      <c r="K119" s="11">
        <f t="shared" si="19"/>
        <v>61</v>
      </c>
      <c r="L119" s="11">
        <f t="shared" si="20"/>
        <v>43.92</v>
      </c>
      <c r="M119" s="11"/>
      <c r="N119" s="11">
        <v>1</v>
      </c>
      <c r="O119" s="11"/>
      <c r="P119" s="11"/>
      <c r="Q119" s="11">
        <v>11</v>
      </c>
      <c r="R119" s="11">
        <f t="shared" si="21"/>
        <v>12</v>
      </c>
      <c r="S119" s="11">
        <f t="shared" si="22"/>
        <v>13.919999999999998</v>
      </c>
      <c r="T119" s="11"/>
      <c r="U119" s="11"/>
      <c r="V119" s="11"/>
      <c r="W119" s="11"/>
      <c r="X119" s="11">
        <v>5</v>
      </c>
      <c r="Y119" s="11">
        <f t="shared" si="23"/>
        <v>5</v>
      </c>
      <c r="Z119" s="11">
        <f t="shared" si="24"/>
        <v>13.700000000000001</v>
      </c>
      <c r="AA119" s="11">
        <f t="shared" si="25"/>
        <v>78</v>
      </c>
      <c r="AB119" s="11">
        <f t="shared" si="25"/>
        <v>71.540000000000006</v>
      </c>
      <c r="AC119" s="42">
        <f t="shared" si="32"/>
        <v>6003</v>
      </c>
      <c r="AD119" s="83">
        <f t="shared" si="33"/>
        <v>468234</v>
      </c>
      <c r="AE119" s="83">
        <f t="shared" si="34"/>
        <v>429454.62000000005</v>
      </c>
      <c r="AF119" s="83">
        <f t="shared" si="35"/>
        <v>897688.62000000011</v>
      </c>
      <c r="AG119" s="11"/>
      <c r="AH119" s="11"/>
      <c r="AI119" s="78"/>
      <c r="AJ119" s="78"/>
      <c r="AK119" s="78"/>
      <c r="AL119" s="78"/>
      <c r="AM119" s="78"/>
      <c r="AN119" s="78"/>
      <c r="AO119" s="78"/>
      <c r="AP119" s="78"/>
      <c r="AQ119" s="3" t="s">
        <v>191</v>
      </c>
      <c r="AR119" s="3" t="s">
        <v>246</v>
      </c>
      <c r="AS119" s="3" t="s">
        <v>847</v>
      </c>
      <c r="AT119" s="49">
        <v>6003</v>
      </c>
      <c r="AU119" s="3" t="str">
        <f t="shared" si="26"/>
        <v>match</v>
      </c>
      <c r="AV119" s="3" t="str">
        <f t="shared" si="27"/>
        <v>match</v>
      </c>
    </row>
    <row r="120" spans="1:48" ht="12">
      <c r="A120" s="9" t="s">
        <v>191</v>
      </c>
      <c r="B120" s="12" t="s">
        <v>248</v>
      </c>
      <c r="C120" s="13" t="s">
        <v>249</v>
      </c>
      <c r="D120" s="8"/>
      <c r="E120" s="39">
        <v>30</v>
      </c>
      <c r="F120" s="39"/>
      <c r="G120" s="39"/>
      <c r="H120" s="39"/>
      <c r="I120" s="39"/>
      <c r="J120" s="39"/>
      <c r="K120" s="39">
        <f t="shared" si="19"/>
        <v>30</v>
      </c>
      <c r="L120" s="39">
        <f t="shared" si="20"/>
        <v>21.599999999999998</v>
      </c>
      <c r="M120" s="39"/>
      <c r="N120" s="39"/>
      <c r="O120" s="39">
        <v>4</v>
      </c>
      <c r="P120" s="39"/>
      <c r="Q120" s="39">
        <v>7</v>
      </c>
      <c r="R120" s="39">
        <f t="shared" si="21"/>
        <v>11</v>
      </c>
      <c r="S120" s="39">
        <f t="shared" si="22"/>
        <v>13.309999999999999</v>
      </c>
      <c r="T120" s="39"/>
      <c r="U120" s="39"/>
      <c r="V120" s="39"/>
      <c r="W120" s="39"/>
      <c r="X120" s="39">
        <v>1</v>
      </c>
      <c r="Y120" s="39">
        <f t="shared" si="23"/>
        <v>1</v>
      </c>
      <c r="Z120" s="39">
        <f t="shared" si="24"/>
        <v>2.74</v>
      </c>
      <c r="AA120" s="39">
        <f t="shared" si="25"/>
        <v>42</v>
      </c>
      <c r="AB120" s="39">
        <f t="shared" si="25"/>
        <v>37.65</v>
      </c>
      <c r="AC120" s="41">
        <f t="shared" si="32"/>
        <v>5903</v>
      </c>
      <c r="AD120" s="82">
        <f t="shared" si="33"/>
        <v>247926</v>
      </c>
      <c r="AE120" s="82">
        <f t="shared" si="34"/>
        <v>222247.94999999998</v>
      </c>
      <c r="AF120" s="82">
        <f t="shared" si="35"/>
        <v>470173.94999999995</v>
      </c>
      <c r="AG120" s="39"/>
      <c r="AH120" s="39"/>
      <c r="AI120" s="79"/>
      <c r="AJ120" s="79"/>
      <c r="AK120" s="79"/>
      <c r="AL120" s="79"/>
      <c r="AM120" s="79"/>
      <c r="AN120" s="79"/>
      <c r="AO120" s="79"/>
      <c r="AP120" s="79"/>
      <c r="AQ120" s="3" t="s">
        <v>191</v>
      </c>
      <c r="AR120" s="3" t="s">
        <v>248</v>
      </c>
      <c r="AS120" s="3" t="s">
        <v>848</v>
      </c>
      <c r="AT120" s="49">
        <v>5903</v>
      </c>
      <c r="AU120" s="3" t="str">
        <f t="shared" si="26"/>
        <v>match</v>
      </c>
      <c r="AV120" s="3" t="str">
        <f t="shared" si="27"/>
        <v>match</v>
      </c>
    </row>
    <row r="121" spans="1:48" ht="12">
      <c r="A121" s="9" t="s">
        <v>191</v>
      </c>
      <c r="B121" s="10" t="s">
        <v>250</v>
      </c>
      <c r="C121" s="56" t="s">
        <v>251</v>
      </c>
      <c r="D121" s="56"/>
      <c r="E121" s="11">
        <v>14</v>
      </c>
      <c r="F121" s="11">
        <v>1</v>
      </c>
      <c r="G121" s="11"/>
      <c r="H121" s="11"/>
      <c r="I121" s="11"/>
      <c r="J121" s="11"/>
      <c r="K121" s="11">
        <f t="shared" si="19"/>
        <v>15</v>
      </c>
      <c r="L121" s="11">
        <f t="shared" si="20"/>
        <v>10.799999999999999</v>
      </c>
      <c r="M121" s="11"/>
      <c r="N121" s="11"/>
      <c r="O121" s="11">
        <v>2</v>
      </c>
      <c r="P121" s="11"/>
      <c r="Q121" s="11">
        <v>5</v>
      </c>
      <c r="R121" s="11">
        <f t="shared" si="21"/>
        <v>7</v>
      </c>
      <c r="S121" s="11">
        <f t="shared" si="22"/>
        <v>8.4699999999999989</v>
      </c>
      <c r="T121" s="11"/>
      <c r="U121" s="11"/>
      <c r="V121" s="11">
        <v>1</v>
      </c>
      <c r="W121" s="11"/>
      <c r="X121" s="11">
        <v>4</v>
      </c>
      <c r="Y121" s="11">
        <f t="shared" si="23"/>
        <v>5</v>
      </c>
      <c r="Z121" s="11">
        <f t="shared" si="24"/>
        <v>13.700000000000001</v>
      </c>
      <c r="AA121" s="11">
        <f t="shared" si="25"/>
        <v>27</v>
      </c>
      <c r="AB121" s="11">
        <f t="shared" si="25"/>
        <v>32.97</v>
      </c>
      <c r="AC121" s="42">
        <f t="shared" si="32"/>
        <v>5897</v>
      </c>
      <c r="AD121" s="83">
        <f t="shared" si="33"/>
        <v>159219</v>
      </c>
      <c r="AE121" s="83">
        <f t="shared" si="34"/>
        <v>194424.09</v>
      </c>
      <c r="AF121" s="83">
        <f t="shared" si="35"/>
        <v>353643.08999999997</v>
      </c>
      <c r="AG121" s="11"/>
      <c r="AH121" s="11"/>
      <c r="AI121" s="78"/>
      <c r="AJ121" s="78"/>
      <c r="AK121" s="78"/>
      <c r="AL121" s="78"/>
      <c r="AM121" s="78"/>
      <c r="AN121" s="78"/>
      <c r="AO121" s="78"/>
      <c r="AP121" s="78"/>
      <c r="AQ121" s="3" t="s">
        <v>191</v>
      </c>
      <c r="AR121" s="3" t="s">
        <v>250</v>
      </c>
      <c r="AS121" s="3" t="s">
        <v>849</v>
      </c>
      <c r="AT121" s="49">
        <v>5897</v>
      </c>
      <c r="AU121" s="3" t="str">
        <f t="shared" si="26"/>
        <v>match</v>
      </c>
      <c r="AV121" s="3" t="str">
        <f t="shared" si="27"/>
        <v>match</v>
      </c>
    </row>
    <row r="122" spans="1:48" ht="12">
      <c r="A122" s="9" t="s">
        <v>191</v>
      </c>
      <c r="B122" s="12" t="s">
        <v>252</v>
      </c>
      <c r="C122" s="13" t="s">
        <v>253</v>
      </c>
      <c r="D122" s="8"/>
      <c r="E122" s="39">
        <v>29</v>
      </c>
      <c r="F122" s="39"/>
      <c r="G122" s="39"/>
      <c r="H122" s="39"/>
      <c r="I122" s="39"/>
      <c r="J122" s="39"/>
      <c r="K122" s="39">
        <f t="shared" si="19"/>
        <v>29</v>
      </c>
      <c r="L122" s="39">
        <f t="shared" si="20"/>
        <v>20.88</v>
      </c>
      <c r="M122" s="39"/>
      <c r="N122" s="39"/>
      <c r="O122" s="39"/>
      <c r="P122" s="39"/>
      <c r="Q122" s="39">
        <v>7</v>
      </c>
      <c r="R122" s="39">
        <f t="shared" si="21"/>
        <v>7</v>
      </c>
      <c r="S122" s="39">
        <f t="shared" si="22"/>
        <v>8.4699999999999989</v>
      </c>
      <c r="T122" s="39"/>
      <c r="U122" s="39"/>
      <c r="V122" s="39"/>
      <c r="W122" s="39"/>
      <c r="X122" s="39">
        <v>2</v>
      </c>
      <c r="Y122" s="39">
        <f t="shared" si="23"/>
        <v>2</v>
      </c>
      <c r="Z122" s="39">
        <f t="shared" si="24"/>
        <v>5.48</v>
      </c>
      <c r="AA122" s="39">
        <f t="shared" si="25"/>
        <v>38</v>
      </c>
      <c r="AB122" s="39">
        <f t="shared" si="25"/>
        <v>34.83</v>
      </c>
      <c r="AC122" s="41">
        <f t="shared" si="32"/>
        <v>5883</v>
      </c>
      <c r="AD122" s="82">
        <f t="shared" si="33"/>
        <v>223554</v>
      </c>
      <c r="AE122" s="82">
        <f t="shared" si="34"/>
        <v>204904.88999999998</v>
      </c>
      <c r="AF122" s="82">
        <f t="shared" si="35"/>
        <v>428458.89</v>
      </c>
      <c r="AG122" s="39"/>
      <c r="AH122" s="39"/>
      <c r="AI122" s="79"/>
      <c r="AJ122" s="79"/>
      <c r="AK122" s="79"/>
      <c r="AL122" s="79"/>
      <c r="AM122" s="79"/>
      <c r="AN122" s="79"/>
      <c r="AO122" s="79"/>
      <c r="AP122" s="79"/>
      <c r="AQ122" s="3" t="s">
        <v>191</v>
      </c>
      <c r="AR122" s="3" t="s">
        <v>252</v>
      </c>
      <c r="AS122" s="3" t="s">
        <v>850</v>
      </c>
      <c r="AT122" s="49">
        <v>5883</v>
      </c>
      <c r="AU122" s="3" t="str">
        <f t="shared" si="26"/>
        <v>match</v>
      </c>
      <c r="AV122" s="3" t="str">
        <f t="shared" si="27"/>
        <v>match</v>
      </c>
    </row>
    <row r="123" spans="1:48" ht="12">
      <c r="A123" s="9" t="s">
        <v>191</v>
      </c>
      <c r="B123" s="10" t="s">
        <v>254</v>
      </c>
      <c r="C123" s="56" t="s">
        <v>255</v>
      </c>
      <c r="D123" s="56"/>
      <c r="E123" s="11">
        <v>18</v>
      </c>
      <c r="F123" s="11"/>
      <c r="G123" s="11"/>
      <c r="H123" s="11"/>
      <c r="I123" s="11"/>
      <c r="J123" s="11"/>
      <c r="K123" s="11">
        <f t="shared" si="19"/>
        <v>18</v>
      </c>
      <c r="L123" s="11">
        <f t="shared" si="20"/>
        <v>12.959999999999999</v>
      </c>
      <c r="M123" s="11"/>
      <c r="N123" s="11"/>
      <c r="O123" s="11">
        <v>3</v>
      </c>
      <c r="P123" s="11"/>
      <c r="Q123" s="11">
        <v>9</v>
      </c>
      <c r="R123" s="11">
        <f t="shared" si="21"/>
        <v>12</v>
      </c>
      <c r="S123" s="11">
        <f t="shared" si="22"/>
        <v>14.52</v>
      </c>
      <c r="T123" s="11"/>
      <c r="U123" s="11"/>
      <c r="V123" s="11"/>
      <c r="W123" s="11"/>
      <c r="X123" s="11">
        <v>5</v>
      </c>
      <c r="Y123" s="11">
        <f t="shared" si="23"/>
        <v>5</v>
      </c>
      <c r="Z123" s="11">
        <f t="shared" si="24"/>
        <v>13.700000000000001</v>
      </c>
      <c r="AA123" s="11">
        <f t="shared" si="25"/>
        <v>35</v>
      </c>
      <c r="AB123" s="11">
        <f t="shared" si="25"/>
        <v>41.18</v>
      </c>
      <c r="AC123" s="42">
        <f t="shared" si="32"/>
        <v>5950</v>
      </c>
      <c r="AD123" s="83">
        <f t="shared" si="33"/>
        <v>208250</v>
      </c>
      <c r="AE123" s="83">
        <f t="shared" si="34"/>
        <v>245021</v>
      </c>
      <c r="AF123" s="83">
        <f t="shared" si="35"/>
        <v>453271</v>
      </c>
      <c r="AG123" s="11"/>
      <c r="AH123" s="11"/>
      <c r="AI123" s="78"/>
      <c r="AJ123" s="78"/>
      <c r="AK123" s="78"/>
      <c r="AL123" s="78"/>
      <c r="AM123" s="78"/>
      <c r="AN123" s="78"/>
      <c r="AO123" s="78"/>
      <c r="AP123" s="78"/>
      <c r="AQ123" s="3" t="s">
        <v>191</v>
      </c>
      <c r="AR123" s="3" t="s">
        <v>254</v>
      </c>
      <c r="AS123" s="3" t="s">
        <v>851</v>
      </c>
      <c r="AT123" s="49">
        <v>5950</v>
      </c>
      <c r="AU123" s="3" t="str">
        <f t="shared" si="26"/>
        <v>match</v>
      </c>
      <c r="AV123" s="3" t="str">
        <f t="shared" si="27"/>
        <v>match</v>
      </c>
    </row>
    <row r="124" spans="1:48" ht="12">
      <c r="A124" s="9" t="s">
        <v>191</v>
      </c>
      <c r="B124" s="12" t="s">
        <v>256</v>
      </c>
      <c r="C124" s="13" t="s">
        <v>257</v>
      </c>
      <c r="D124" s="8"/>
      <c r="E124" s="39">
        <v>9</v>
      </c>
      <c r="F124" s="39"/>
      <c r="G124" s="39"/>
      <c r="H124" s="39">
        <v>1</v>
      </c>
      <c r="I124" s="39"/>
      <c r="J124" s="39"/>
      <c r="K124" s="39">
        <f t="shared" si="19"/>
        <v>10</v>
      </c>
      <c r="L124" s="39">
        <f t="shared" si="20"/>
        <v>7.1999999999999993</v>
      </c>
      <c r="M124" s="39"/>
      <c r="N124" s="39"/>
      <c r="O124" s="39">
        <v>2</v>
      </c>
      <c r="P124" s="39"/>
      <c r="Q124" s="39">
        <v>8</v>
      </c>
      <c r="R124" s="39">
        <f t="shared" si="21"/>
        <v>10</v>
      </c>
      <c r="S124" s="39">
        <f t="shared" si="22"/>
        <v>12.1</v>
      </c>
      <c r="T124" s="39"/>
      <c r="U124" s="39"/>
      <c r="V124" s="39"/>
      <c r="W124" s="39"/>
      <c r="X124" s="39">
        <v>3</v>
      </c>
      <c r="Y124" s="39">
        <f t="shared" si="23"/>
        <v>3</v>
      </c>
      <c r="Z124" s="39">
        <f t="shared" si="24"/>
        <v>8.2200000000000006</v>
      </c>
      <c r="AA124" s="39">
        <f t="shared" si="25"/>
        <v>23</v>
      </c>
      <c r="AB124" s="39">
        <f t="shared" si="25"/>
        <v>27.519999999999996</v>
      </c>
      <c r="AC124" s="41">
        <f t="shared" si="32"/>
        <v>6006</v>
      </c>
      <c r="AD124" s="82">
        <f t="shared" si="33"/>
        <v>138138</v>
      </c>
      <c r="AE124" s="82">
        <f t="shared" si="34"/>
        <v>165285.11999999997</v>
      </c>
      <c r="AF124" s="82">
        <f t="shared" si="35"/>
        <v>303423.12</v>
      </c>
      <c r="AG124" s="39"/>
      <c r="AH124" s="39"/>
      <c r="AI124" s="79"/>
      <c r="AJ124" s="79"/>
      <c r="AK124" s="79"/>
      <c r="AL124" s="79"/>
      <c r="AM124" s="79"/>
      <c r="AN124" s="79"/>
      <c r="AO124" s="79"/>
      <c r="AP124" s="79"/>
      <c r="AQ124" s="3" t="s">
        <v>191</v>
      </c>
      <c r="AR124" s="3" t="s">
        <v>256</v>
      </c>
      <c r="AS124" s="3" t="s">
        <v>852</v>
      </c>
      <c r="AT124" s="49">
        <v>6006</v>
      </c>
      <c r="AU124" s="3" t="str">
        <f t="shared" si="26"/>
        <v>match</v>
      </c>
      <c r="AV124" s="3" t="str">
        <f t="shared" si="27"/>
        <v>match</v>
      </c>
    </row>
    <row r="125" spans="1:48" ht="12">
      <c r="A125" s="9" t="s">
        <v>191</v>
      </c>
      <c r="B125" s="10" t="s">
        <v>258</v>
      </c>
      <c r="C125" s="56" t="s">
        <v>259</v>
      </c>
      <c r="D125" s="56"/>
      <c r="E125" s="11">
        <v>41</v>
      </c>
      <c r="F125" s="11"/>
      <c r="G125" s="11"/>
      <c r="H125" s="11"/>
      <c r="I125" s="11"/>
      <c r="J125" s="11"/>
      <c r="K125" s="11">
        <f t="shared" si="19"/>
        <v>41</v>
      </c>
      <c r="L125" s="11">
        <f t="shared" si="20"/>
        <v>29.52</v>
      </c>
      <c r="M125" s="11"/>
      <c r="N125" s="11">
        <v>1</v>
      </c>
      <c r="O125" s="11">
        <v>6</v>
      </c>
      <c r="P125" s="11"/>
      <c r="Q125" s="11">
        <v>7</v>
      </c>
      <c r="R125" s="11">
        <f t="shared" si="21"/>
        <v>14</v>
      </c>
      <c r="S125" s="11">
        <f t="shared" si="22"/>
        <v>16.34</v>
      </c>
      <c r="T125" s="11"/>
      <c r="U125" s="11">
        <v>1</v>
      </c>
      <c r="V125" s="11"/>
      <c r="W125" s="11"/>
      <c r="X125" s="11">
        <v>1</v>
      </c>
      <c r="Y125" s="11">
        <f t="shared" si="23"/>
        <v>2</v>
      </c>
      <c r="Z125" s="11">
        <f t="shared" si="24"/>
        <v>4.1100000000000003</v>
      </c>
      <c r="AA125" s="11">
        <f t="shared" si="25"/>
        <v>57</v>
      </c>
      <c r="AB125" s="11">
        <f t="shared" si="25"/>
        <v>49.97</v>
      </c>
      <c r="AC125" s="42">
        <f t="shared" si="32"/>
        <v>5898</v>
      </c>
      <c r="AD125" s="83">
        <f t="shared" si="33"/>
        <v>336186</v>
      </c>
      <c r="AE125" s="83">
        <f t="shared" si="34"/>
        <v>294723.06</v>
      </c>
      <c r="AF125" s="83">
        <f t="shared" si="35"/>
        <v>630909.06000000006</v>
      </c>
      <c r="AG125" s="11"/>
      <c r="AH125" s="11"/>
      <c r="AI125" s="78"/>
      <c r="AJ125" s="78"/>
      <c r="AK125" s="78"/>
      <c r="AL125" s="78"/>
      <c r="AM125" s="78"/>
      <c r="AN125" s="78"/>
      <c r="AO125" s="78"/>
      <c r="AP125" s="78"/>
      <c r="AQ125" s="3" t="s">
        <v>191</v>
      </c>
      <c r="AR125" s="3" t="s">
        <v>258</v>
      </c>
      <c r="AS125" s="3" t="s">
        <v>853</v>
      </c>
      <c r="AT125" s="49">
        <v>5898</v>
      </c>
      <c r="AU125" s="3" t="str">
        <f t="shared" si="26"/>
        <v>match</v>
      </c>
      <c r="AV125" s="3" t="str">
        <f t="shared" si="27"/>
        <v>match</v>
      </c>
    </row>
    <row r="126" spans="1:48" ht="12">
      <c r="A126" s="9" t="s">
        <v>191</v>
      </c>
      <c r="B126" s="12" t="s">
        <v>260</v>
      </c>
      <c r="C126" s="13" t="s">
        <v>261</v>
      </c>
      <c r="D126" s="8"/>
      <c r="E126" s="39">
        <v>44</v>
      </c>
      <c r="F126" s="39"/>
      <c r="G126" s="39"/>
      <c r="H126" s="39"/>
      <c r="I126" s="39"/>
      <c r="J126" s="39"/>
      <c r="K126" s="39">
        <f t="shared" si="19"/>
        <v>44</v>
      </c>
      <c r="L126" s="39">
        <f t="shared" si="20"/>
        <v>31.68</v>
      </c>
      <c r="M126" s="39"/>
      <c r="N126" s="39"/>
      <c r="O126" s="39">
        <v>3</v>
      </c>
      <c r="P126" s="39"/>
      <c r="Q126" s="39">
        <v>10</v>
      </c>
      <c r="R126" s="39">
        <f t="shared" si="21"/>
        <v>13</v>
      </c>
      <c r="S126" s="39">
        <f t="shared" si="22"/>
        <v>15.73</v>
      </c>
      <c r="T126" s="39"/>
      <c r="U126" s="39"/>
      <c r="V126" s="39"/>
      <c r="W126" s="39"/>
      <c r="X126" s="39">
        <v>4</v>
      </c>
      <c r="Y126" s="39">
        <f t="shared" si="23"/>
        <v>4</v>
      </c>
      <c r="Z126" s="39">
        <f t="shared" si="24"/>
        <v>10.96</v>
      </c>
      <c r="AA126" s="39">
        <f t="shared" si="25"/>
        <v>61</v>
      </c>
      <c r="AB126" s="39">
        <f t="shared" si="25"/>
        <v>58.37</v>
      </c>
      <c r="AC126" s="41">
        <f t="shared" si="32"/>
        <v>5929</v>
      </c>
      <c r="AD126" s="82">
        <f t="shared" si="33"/>
        <v>361669</v>
      </c>
      <c r="AE126" s="82">
        <f t="shared" si="34"/>
        <v>346075.73</v>
      </c>
      <c r="AF126" s="82">
        <f t="shared" si="35"/>
        <v>707744.73</v>
      </c>
      <c r="AG126" s="39"/>
      <c r="AH126" s="39"/>
      <c r="AI126" s="79"/>
      <c r="AJ126" s="79"/>
      <c r="AK126" s="79"/>
      <c r="AL126" s="79"/>
      <c r="AM126" s="79"/>
      <c r="AN126" s="79"/>
      <c r="AO126" s="79"/>
      <c r="AP126" s="79"/>
      <c r="AQ126" s="3" t="s">
        <v>191</v>
      </c>
      <c r="AR126" s="3" t="s">
        <v>260</v>
      </c>
      <c r="AS126" s="3" t="s">
        <v>261</v>
      </c>
      <c r="AT126" s="49">
        <v>5929</v>
      </c>
      <c r="AU126" s="3" t="str">
        <f t="shared" si="26"/>
        <v>match</v>
      </c>
      <c r="AV126" s="3" t="str">
        <f t="shared" si="27"/>
        <v>match</v>
      </c>
    </row>
    <row r="127" spans="1:48" ht="12">
      <c r="A127" s="9" t="s">
        <v>191</v>
      </c>
      <c r="B127" s="12" t="s">
        <v>262</v>
      </c>
      <c r="C127" s="56" t="s">
        <v>263</v>
      </c>
      <c r="D127" s="56"/>
      <c r="E127" s="11">
        <v>33</v>
      </c>
      <c r="F127" s="11"/>
      <c r="G127" s="11"/>
      <c r="H127" s="11"/>
      <c r="I127" s="11"/>
      <c r="J127" s="11"/>
      <c r="K127" s="11">
        <f t="shared" si="19"/>
        <v>33</v>
      </c>
      <c r="L127" s="11">
        <f t="shared" si="20"/>
        <v>23.759999999999998</v>
      </c>
      <c r="M127" s="11"/>
      <c r="N127" s="11"/>
      <c r="O127" s="11">
        <v>2</v>
      </c>
      <c r="P127" s="11"/>
      <c r="Q127" s="11">
        <v>20</v>
      </c>
      <c r="R127" s="11">
        <f t="shared" si="21"/>
        <v>22</v>
      </c>
      <c r="S127" s="11">
        <f t="shared" si="22"/>
        <v>26.619999999999997</v>
      </c>
      <c r="T127" s="11"/>
      <c r="U127" s="11"/>
      <c r="V127" s="11"/>
      <c r="W127" s="11"/>
      <c r="X127" s="11">
        <v>8</v>
      </c>
      <c r="Y127" s="11">
        <f t="shared" si="23"/>
        <v>8</v>
      </c>
      <c r="Z127" s="11">
        <f t="shared" si="24"/>
        <v>21.92</v>
      </c>
      <c r="AA127" s="11">
        <f t="shared" si="25"/>
        <v>63</v>
      </c>
      <c r="AB127" s="11">
        <f t="shared" si="25"/>
        <v>72.3</v>
      </c>
      <c r="AC127" s="42">
        <f t="shared" si="32"/>
        <v>5945</v>
      </c>
      <c r="AD127" s="83">
        <f t="shared" si="33"/>
        <v>374535</v>
      </c>
      <c r="AE127" s="83">
        <f t="shared" si="34"/>
        <v>429823.5</v>
      </c>
      <c r="AF127" s="83">
        <f t="shared" si="35"/>
        <v>804358.5</v>
      </c>
      <c r="AG127" s="11"/>
      <c r="AH127" s="11"/>
      <c r="AI127" s="78"/>
      <c r="AJ127" s="78"/>
      <c r="AK127" s="78"/>
      <c r="AL127" s="78"/>
      <c r="AM127" s="78"/>
      <c r="AN127" s="78"/>
      <c r="AO127" s="78"/>
      <c r="AP127" s="78"/>
      <c r="AQ127" s="3" t="s">
        <v>191</v>
      </c>
      <c r="AR127" s="3" t="s">
        <v>262</v>
      </c>
      <c r="AS127" s="3" t="s">
        <v>854</v>
      </c>
      <c r="AT127" s="49">
        <v>5945</v>
      </c>
      <c r="AU127" s="3" t="str">
        <f t="shared" si="26"/>
        <v>match</v>
      </c>
      <c r="AV127" s="3" t="str">
        <f t="shared" si="27"/>
        <v>match</v>
      </c>
    </row>
    <row r="128" spans="1:48" ht="12">
      <c r="A128" s="9" t="s">
        <v>191</v>
      </c>
      <c r="B128" s="10" t="s">
        <v>264</v>
      </c>
      <c r="C128" s="13" t="s">
        <v>1076</v>
      </c>
      <c r="D128" s="8"/>
      <c r="E128" s="39">
        <v>49</v>
      </c>
      <c r="F128" s="39">
        <v>1</v>
      </c>
      <c r="G128" s="39"/>
      <c r="H128" s="39"/>
      <c r="I128" s="39"/>
      <c r="J128" s="39"/>
      <c r="K128" s="39">
        <f t="shared" si="19"/>
        <v>50</v>
      </c>
      <c r="L128" s="39">
        <f t="shared" si="20"/>
        <v>36</v>
      </c>
      <c r="M128" s="39"/>
      <c r="N128" s="39">
        <v>1</v>
      </c>
      <c r="O128" s="39">
        <v>1</v>
      </c>
      <c r="P128" s="39"/>
      <c r="Q128" s="39">
        <v>12</v>
      </c>
      <c r="R128" s="39">
        <f t="shared" si="21"/>
        <v>14</v>
      </c>
      <c r="S128" s="39">
        <f t="shared" si="22"/>
        <v>16.34</v>
      </c>
      <c r="T128" s="39"/>
      <c r="U128" s="39"/>
      <c r="V128" s="39">
        <v>1</v>
      </c>
      <c r="W128" s="39"/>
      <c r="X128" s="39">
        <v>9</v>
      </c>
      <c r="Y128" s="39">
        <f t="shared" si="23"/>
        <v>10</v>
      </c>
      <c r="Z128" s="39">
        <f t="shared" si="24"/>
        <v>27.400000000000002</v>
      </c>
      <c r="AA128" s="39">
        <f t="shared" si="25"/>
        <v>74</v>
      </c>
      <c r="AB128" s="39">
        <f t="shared" si="25"/>
        <v>79.740000000000009</v>
      </c>
      <c r="AC128" s="41">
        <f t="shared" si="32"/>
        <v>6012</v>
      </c>
      <c r="AD128" s="82">
        <f t="shared" si="33"/>
        <v>444888</v>
      </c>
      <c r="AE128" s="82">
        <f t="shared" si="34"/>
        <v>479396.88000000006</v>
      </c>
      <c r="AF128" s="82">
        <f t="shared" si="35"/>
        <v>924284.88000000012</v>
      </c>
      <c r="AG128" s="39"/>
      <c r="AH128" s="39"/>
      <c r="AI128" s="79"/>
      <c r="AJ128" s="79"/>
      <c r="AK128" s="79"/>
      <c r="AL128" s="79"/>
      <c r="AM128" s="79"/>
      <c r="AN128" s="79"/>
      <c r="AO128" s="79"/>
      <c r="AP128" s="79"/>
      <c r="AQ128" s="3" t="s">
        <v>191</v>
      </c>
      <c r="AR128" s="3" t="s">
        <v>264</v>
      </c>
      <c r="AS128" s="3" t="s">
        <v>1078</v>
      </c>
      <c r="AT128" s="49">
        <v>6012</v>
      </c>
      <c r="AU128" s="3" t="str">
        <f t="shared" si="26"/>
        <v>match</v>
      </c>
      <c r="AV128" s="3" t="str">
        <f t="shared" si="27"/>
        <v>match</v>
      </c>
    </row>
    <row r="129" spans="1:48" ht="12">
      <c r="A129" s="9" t="s">
        <v>191</v>
      </c>
      <c r="B129" s="12" t="s">
        <v>265</v>
      </c>
      <c r="C129" s="56" t="s">
        <v>266</v>
      </c>
      <c r="D129" s="56"/>
      <c r="E129" s="11">
        <v>174</v>
      </c>
      <c r="F129" s="11"/>
      <c r="G129" s="11"/>
      <c r="H129" s="11"/>
      <c r="I129" s="11"/>
      <c r="J129" s="11"/>
      <c r="K129" s="11">
        <f t="shared" si="19"/>
        <v>174</v>
      </c>
      <c r="L129" s="11">
        <f t="shared" si="20"/>
        <v>125.28</v>
      </c>
      <c r="M129" s="11"/>
      <c r="N129" s="11"/>
      <c r="O129" s="11">
        <v>23</v>
      </c>
      <c r="P129" s="11"/>
      <c r="Q129" s="11">
        <v>54</v>
      </c>
      <c r="R129" s="11">
        <f t="shared" si="21"/>
        <v>77</v>
      </c>
      <c r="S129" s="11">
        <f t="shared" si="22"/>
        <v>93.17</v>
      </c>
      <c r="T129" s="11"/>
      <c r="U129" s="11"/>
      <c r="V129" s="11">
        <v>7</v>
      </c>
      <c r="W129" s="11"/>
      <c r="X129" s="11">
        <v>22</v>
      </c>
      <c r="Y129" s="11">
        <f t="shared" si="23"/>
        <v>29</v>
      </c>
      <c r="Z129" s="11">
        <f t="shared" si="24"/>
        <v>79.460000000000008</v>
      </c>
      <c r="AA129" s="11">
        <f t="shared" si="25"/>
        <v>280</v>
      </c>
      <c r="AB129" s="11">
        <f t="shared" si="25"/>
        <v>297.90999999999997</v>
      </c>
      <c r="AC129" s="42">
        <f t="shared" si="32"/>
        <v>5883</v>
      </c>
      <c r="AD129" s="83">
        <f t="shared" si="33"/>
        <v>1647240</v>
      </c>
      <c r="AE129" s="83">
        <f t="shared" si="34"/>
        <v>1752604.5299999998</v>
      </c>
      <c r="AF129" s="83">
        <f t="shared" si="35"/>
        <v>3399844.53</v>
      </c>
      <c r="AG129" s="11"/>
      <c r="AH129" s="11"/>
      <c r="AI129" s="78"/>
      <c r="AJ129" s="78"/>
      <c r="AK129" s="78"/>
      <c r="AL129" s="78"/>
      <c r="AM129" s="78"/>
      <c r="AN129" s="78"/>
      <c r="AO129" s="78"/>
      <c r="AP129" s="78"/>
      <c r="AQ129" s="3" t="s">
        <v>191</v>
      </c>
      <c r="AR129" s="3" t="s">
        <v>265</v>
      </c>
      <c r="AS129" s="3" t="s">
        <v>855</v>
      </c>
      <c r="AT129" s="49">
        <v>5883</v>
      </c>
      <c r="AU129" s="3" t="str">
        <f t="shared" si="26"/>
        <v>match</v>
      </c>
      <c r="AV129" s="3" t="str">
        <f t="shared" si="27"/>
        <v>match</v>
      </c>
    </row>
    <row r="130" spans="1:48" ht="12">
      <c r="A130" s="9" t="s">
        <v>191</v>
      </c>
      <c r="B130" s="10" t="s">
        <v>267</v>
      </c>
      <c r="C130" s="13" t="s">
        <v>268</v>
      </c>
      <c r="D130" s="8"/>
      <c r="E130" s="39">
        <v>85</v>
      </c>
      <c r="F130" s="39"/>
      <c r="G130" s="39"/>
      <c r="H130" s="39"/>
      <c r="I130" s="39"/>
      <c r="J130" s="39"/>
      <c r="K130" s="39">
        <f t="shared" si="19"/>
        <v>85</v>
      </c>
      <c r="L130" s="39">
        <f t="shared" si="20"/>
        <v>61.199999999999996</v>
      </c>
      <c r="M130" s="39"/>
      <c r="N130" s="39">
        <v>1</v>
      </c>
      <c r="O130" s="39">
        <v>5</v>
      </c>
      <c r="P130" s="39"/>
      <c r="Q130" s="39">
        <v>28</v>
      </c>
      <c r="R130" s="39">
        <f t="shared" si="21"/>
        <v>34</v>
      </c>
      <c r="S130" s="39">
        <f t="shared" si="22"/>
        <v>40.54</v>
      </c>
      <c r="T130" s="39"/>
      <c r="U130" s="39">
        <v>1</v>
      </c>
      <c r="V130" s="39">
        <v>1</v>
      </c>
      <c r="W130" s="39"/>
      <c r="X130" s="39">
        <v>4</v>
      </c>
      <c r="Y130" s="39">
        <f t="shared" si="23"/>
        <v>6</v>
      </c>
      <c r="Z130" s="39">
        <f t="shared" si="24"/>
        <v>15.07</v>
      </c>
      <c r="AA130" s="39">
        <f t="shared" si="25"/>
        <v>125</v>
      </c>
      <c r="AB130" s="39">
        <f t="shared" si="25"/>
        <v>116.81</v>
      </c>
      <c r="AC130" s="41">
        <f t="shared" si="32"/>
        <v>5883</v>
      </c>
      <c r="AD130" s="82">
        <f t="shared" si="33"/>
        <v>735375</v>
      </c>
      <c r="AE130" s="82">
        <f t="shared" si="34"/>
        <v>687193.23</v>
      </c>
      <c r="AF130" s="82">
        <f t="shared" si="35"/>
        <v>1422568.23</v>
      </c>
      <c r="AG130" s="39"/>
      <c r="AH130" s="39"/>
      <c r="AI130" s="79"/>
      <c r="AJ130" s="79"/>
      <c r="AK130" s="79"/>
      <c r="AL130" s="79"/>
      <c r="AM130" s="79"/>
      <c r="AN130" s="79"/>
      <c r="AO130" s="79"/>
      <c r="AP130" s="79"/>
      <c r="AQ130" s="3" t="s">
        <v>191</v>
      </c>
      <c r="AR130" s="3" t="s">
        <v>267</v>
      </c>
      <c r="AS130" s="3" t="s">
        <v>856</v>
      </c>
      <c r="AT130" s="49">
        <v>5883</v>
      </c>
      <c r="AU130" s="3" t="str">
        <f t="shared" si="26"/>
        <v>match</v>
      </c>
      <c r="AV130" s="3" t="str">
        <f t="shared" si="27"/>
        <v>match</v>
      </c>
    </row>
    <row r="131" spans="1:48" ht="12">
      <c r="A131" s="9" t="s">
        <v>191</v>
      </c>
      <c r="B131" s="12" t="s">
        <v>269</v>
      </c>
      <c r="C131" s="56" t="s">
        <v>270</v>
      </c>
      <c r="D131" s="56"/>
      <c r="E131" s="11">
        <v>130</v>
      </c>
      <c r="F131" s="11">
        <v>1</v>
      </c>
      <c r="G131" s="11"/>
      <c r="H131" s="11">
        <v>1</v>
      </c>
      <c r="I131" s="11"/>
      <c r="J131" s="11"/>
      <c r="K131" s="11">
        <f t="shared" si="19"/>
        <v>132</v>
      </c>
      <c r="L131" s="11">
        <f t="shared" si="20"/>
        <v>95.039999999999992</v>
      </c>
      <c r="M131" s="11"/>
      <c r="N131" s="11"/>
      <c r="O131" s="11">
        <v>14</v>
      </c>
      <c r="P131" s="11"/>
      <c r="Q131" s="11">
        <v>49</v>
      </c>
      <c r="R131" s="11">
        <f t="shared" si="21"/>
        <v>63</v>
      </c>
      <c r="S131" s="11">
        <f t="shared" si="22"/>
        <v>76.23</v>
      </c>
      <c r="T131" s="11"/>
      <c r="U131" s="11"/>
      <c r="V131" s="11">
        <v>1</v>
      </c>
      <c r="W131" s="11"/>
      <c r="X131" s="11">
        <v>18</v>
      </c>
      <c r="Y131" s="11">
        <f t="shared" si="23"/>
        <v>19</v>
      </c>
      <c r="Z131" s="11">
        <f t="shared" si="24"/>
        <v>52.06</v>
      </c>
      <c r="AA131" s="11">
        <f t="shared" si="25"/>
        <v>214</v>
      </c>
      <c r="AB131" s="11">
        <f t="shared" si="25"/>
        <v>223.32999999999998</v>
      </c>
      <c r="AC131" s="42">
        <f t="shared" si="32"/>
        <v>5883</v>
      </c>
      <c r="AD131" s="83">
        <f t="shared" si="33"/>
        <v>1258962</v>
      </c>
      <c r="AE131" s="83">
        <f t="shared" si="34"/>
        <v>1313850.3899999999</v>
      </c>
      <c r="AF131" s="83">
        <f t="shared" si="35"/>
        <v>2572812.3899999997</v>
      </c>
      <c r="AG131" s="11"/>
      <c r="AH131" s="11"/>
      <c r="AI131" s="78"/>
      <c r="AJ131" s="78"/>
      <c r="AK131" s="78"/>
      <c r="AL131" s="78"/>
      <c r="AM131" s="78"/>
      <c r="AN131" s="78"/>
      <c r="AO131" s="78"/>
      <c r="AP131" s="78"/>
      <c r="AQ131" s="3" t="s">
        <v>191</v>
      </c>
      <c r="AR131" s="3" t="s">
        <v>269</v>
      </c>
      <c r="AS131" s="3" t="s">
        <v>857</v>
      </c>
      <c r="AT131" s="49">
        <v>5883</v>
      </c>
      <c r="AU131" s="3" t="str">
        <f t="shared" si="26"/>
        <v>match</v>
      </c>
      <c r="AV131" s="3" t="str">
        <f t="shared" si="27"/>
        <v>match</v>
      </c>
    </row>
    <row r="132" spans="1:48" ht="12">
      <c r="A132" s="9" t="s">
        <v>191</v>
      </c>
      <c r="B132" s="10" t="s">
        <v>271</v>
      </c>
      <c r="C132" s="13" t="s">
        <v>272</v>
      </c>
      <c r="D132" s="8"/>
      <c r="E132" s="39">
        <v>16</v>
      </c>
      <c r="F132" s="39"/>
      <c r="G132" s="39"/>
      <c r="H132" s="39"/>
      <c r="I132" s="39"/>
      <c r="J132" s="39"/>
      <c r="K132" s="39">
        <f t="shared" si="19"/>
        <v>16</v>
      </c>
      <c r="L132" s="39">
        <f t="shared" si="20"/>
        <v>11.52</v>
      </c>
      <c r="M132" s="39"/>
      <c r="N132" s="39"/>
      <c r="O132" s="39"/>
      <c r="P132" s="39"/>
      <c r="Q132" s="39">
        <v>1</v>
      </c>
      <c r="R132" s="39">
        <f t="shared" si="21"/>
        <v>1</v>
      </c>
      <c r="S132" s="39">
        <f t="shared" si="22"/>
        <v>1.21</v>
      </c>
      <c r="T132" s="39"/>
      <c r="U132" s="39"/>
      <c r="V132" s="39">
        <v>1</v>
      </c>
      <c r="W132" s="39"/>
      <c r="X132" s="39">
        <v>2</v>
      </c>
      <c r="Y132" s="39">
        <f t="shared" si="23"/>
        <v>3</v>
      </c>
      <c r="Z132" s="39">
        <f t="shared" si="24"/>
        <v>8.2200000000000006</v>
      </c>
      <c r="AA132" s="39">
        <f t="shared" si="25"/>
        <v>20</v>
      </c>
      <c r="AB132" s="39">
        <f t="shared" si="25"/>
        <v>20.950000000000003</v>
      </c>
      <c r="AC132" s="41">
        <f t="shared" si="32"/>
        <v>6058</v>
      </c>
      <c r="AD132" s="82">
        <f t="shared" si="33"/>
        <v>121160</v>
      </c>
      <c r="AE132" s="82">
        <f t="shared" si="34"/>
        <v>126915.10000000002</v>
      </c>
      <c r="AF132" s="82">
        <f t="shared" si="35"/>
        <v>248075.10000000003</v>
      </c>
      <c r="AG132" s="39"/>
      <c r="AH132" s="39"/>
      <c r="AI132" s="79"/>
      <c r="AJ132" s="79"/>
      <c r="AK132" s="79"/>
      <c r="AL132" s="79"/>
      <c r="AM132" s="79"/>
      <c r="AN132" s="79"/>
      <c r="AO132" s="79"/>
      <c r="AP132" s="79"/>
      <c r="AQ132" s="3" t="s">
        <v>191</v>
      </c>
      <c r="AR132" s="3" t="s">
        <v>271</v>
      </c>
      <c r="AS132" s="3" t="s">
        <v>858</v>
      </c>
      <c r="AT132" s="49">
        <v>6058</v>
      </c>
      <c r="AU132" s="3" t="str">
        <f t="shared" si="26"/>
        <v>match</v>
      </c>
      <c r="AV132" s="3" t="str">
        <f t="shared" si="27"/>
        <v>match</v>
      </c>
    </row>
    <row r="133" spans="1:48" ht="12">
      <c r="A133" s="9" t="s">
        <v>191</v>
      </c>
      <c r="B133" s="10" t="s">
        <v>273</v>
      </c>
      <c r="C133" s="56" t="s">
        <v>1077</v>
      </c>
      <c r="D133" s="56"/>
      <c r="E133" s="11">
        <v>12</v>
      </c>
      <c r="F133" s="11"/>
      <c r="G133" s="11"/>
      <c r="H133" s="11"/>
      <c r="I133" s="11"/>
      <c r="J133" s="11"/>
      <c r="K133" s="11">
        <f t="shared" si="19"/>
        <v>12</v>
      </c>
      <c r="L133" s="11">
        <f t="shared" si="20"/>
        <v>8.64</v>
      </c>
      <c r="M133" s="11"/>
      <c r="N133" s="11"/>
      <c r="O133" s="11">
        <v>1</v>
      </c>
      <c r="P133" s="11"/>
      <c r="Q133" s="11">
        <v>2</v>
      </c>
      <c r="R133" s="11">
        <f t="shared" si="21"/>
        <v>3</v>
      </c>
      <c r="S133" s="11">
        <f t="shared" si="22"/>
        <v>3.63</v>
      </c>
      <c r="T133" s="11"/>
      <c r="U133" s="11"/>
      <c r="V133" s="11"/>
      <c r="W133" s="11"/>
      <c r="X133" s="11">
        <v>1</v>
      </c>
      <c r="Y133" s="11">
        <f t="shared" si="23"/>
        <v>1</v>
      </c>
      <c r="Z133" s="11">
        <f t="shared" si="24"/>
        <v>2.74</v>
      </c>
      <c r="AA133" s="11">
        <f t="shared" si="25"/>
        <v>16</v>
      </c>
      <c r="AB133" s="11">
        <f t="shared" si="25"/>
        <v>15.01</v>
      </c>
      <c r="AC133" s="42">
        <f t="shared" si="32"/>
        <v>5883</v>
      </c>
      <c r="AD133" s="83">
        <f t="shared" si="33"/>
        <v>94128</v>
      </c>
      <c r="AE133" s="83">
        <f t="shared" si="34"/>
        <v>88303.83</v>
      </c>
      <c r="AF133" s="83">
        <f t="shared" si="35"/>
        <v>182431.83000000002</v>
      </c>
      <c r="AG133" s="11"/>
      <c r="AH133" s="11"/>
      <c r="AI133" s="78"/>
      <c r="AJ133" s="78"/>
      <c r="AK133" s="78"/>
      <c r="AL133" s="78"/>
      <c r="AM133" s="78"/>
      <c r="AN133" s="78"/>
      <c r="AO133" s="78"/>
      <c r="AP133" s="78"/>
      <c r="AQ133" s="3" t="s">
        <v>191</v>
      </c>
      <c r="AR133" s="3" t="s">
        <v>273</v>
      </c>
      <c r="AS133" s="3" t="s">
        <v>859</v>
      </c>
      <c r="AT133" s="49">
        <v>5883</v>
      </c>
      <c r="AU133" s="3" t="str">
        <f t="shared" si="26"/>
        <v>match</v>
      </c>
      <c r="AV133" s="3" t="str">
        <f t="shared" si="27"/>
        <v>match</v>
      </c>
    </row>
    <row r="134" spans="1:48" ht="12">
      <c r="A134" s="9" t="s">
        <v>191</v>
      </c>
      <c r="B134" s="12" t="s">
        <v>274</v>
      </c>
      <c r="C134" s="13" t="s">
        <v>275</v>
      </c>
      <c r="D134" s="8"/>
      <c r="E134" s="39">
        <v>12</v>
      </c>
      <c r="F134" s="39"/>
      <c r="G134" s="39"/>
      <c r="H134" s="39"/>
      <c r="I134" s="39"/>
      <c r="J134" s="39"/>
      <c r="K134" s="39">
        <f t="shared" si="19"/>
        <v>12</v>
      </c>
      <c r="L134" s="39">
        <f t="shared" si="20"/>
        <v>8.64</v>
      </c>
      <c r="M134" s="39"/>
      <c r="N134" s="39"/>
      <c r="O134" s="39"/>
      <c r="P134" s="39"/>
      <c r="Q134" s="39"/>
      <c r="R134" s="39">
        <f t="shared" si="21"/>
        <v>0</v>
      </c>
      <c r="S134" s="39">
        <f t="shared" si="22"/>
        <v>0</v>
      </c>
      <c r="T134" s="39"/>
      <c r="U134" s="39">
        <v>1</v>
      </c>
      <c r="V134" s="39"/>
      <c r="W134" s="39"/>
      <c r="X134" s="39">
        <v>1</v>
      </c>
      <c r="Y134" s="39">
        <f t="shared" si="23"/>
        <v>2</v>
      </c>
      <c r="Z134" s="39">
        <f t="shared" si="24"/>
        <v>4.1100000000000003</v>
      </c>
      <c r="AA134" s="39">
        <f t="shared" si="25"/>
        <v>14</v>
      </c>
      <c r="AB134" s="39">
        <f t="shared" si="25"/>
        <v>12.75</v>
      </c>
      <c r="AC134" s="41">
        <f t="shared" si="32"/>
        <v>6058</v>
      </c>
      <c r="AD134" s="82">
        <f t="shared" si="33"/>
        <v>84812</v>
      </c>
      <c r="AE134" s="82">
        <f t="shared" si="34"/>
        <v>77239.5</v>
      </c>
      <c r="AF134" s="82">
        <f t="shared" si="35"/>
        <v>162051.5</v>
      </c>
      <c r="AG134" s="39"/>
      <c r="AH134" s="39"/>
      <c r="AI134" s="79"/>
      <c r="AJ134" s="79"/>
      <c r="AK134" s="79"/>
      <c r="AL134" s="79"/>
      <c r="AM134" s="79"/>
      <c r="AN134" s="79"/>
      <c r="AO134" s="79"/>
      <c r="AP134" s="79"/>
      <c r="AQ134" s="3" t="s">
        <v>191</v>
      </c>
      <c r="AR134" s="3" t="s">
        <v>274</v>
      </c>
      <c r="AS134" s="3" t="s">
        <v>860</v>
      </c>
      <c r="AT134" s="49">
        <v>6058</v>
      </c>
      <c r="AU134" s="3" t="str">
        <f t="shared" si="26"/>
        <v>match</v>
      </c>
      <c r="AV134" s="3" t="str">
        <f t="shared" si="27"/>
        <v>match</v>
      </c>
    </row>
    <row r="135" spans="1:48" ht="12">
      <c r="A135" s="9" t="s">
        <v>191</v>
      </c>
      <c r="B135" s="10" t="s">
        <v>276</v>
      </c>
      <c r="C135" s="56" t="s">
        <v>277</v>
      </c>
      <c r="D135" s="56"/>
      <c r="E135" s="11">
        <v>25</v>
      </c>
      <c r="F135" s="11"/>
      <c r="G135" s="11"/>
      <c r="H135" s="11"/>
      <c r="I135" s="11"/>
      <c r="J135" s="11"/>
      <c r="K135" s="11">
        <f t="shared" ref="K135:K198" si="36">SUM(E135:J135)</f>
        <v>25</v>
      </c>
      <c r="L135" s="11">
        <f t="shared" ref="L135:L198" si="37">+K135*0.72</f>
        <v>18</v>
      </c>
      <c r="M135" s="11"/>
      <c r="N135" s="11"/>
      <c r="O135" s="11">
        <v>1</v>
      </c>
      <c r="P135" s="11"/>
      <c r="Q135" s="11">
        <v>12</v>
      </c>
      <c r="R135" s="11">
        <f t="shared" ref="R135:R198" si="38">SUM(M135:Q135)</f>
        <v>13</v>
      </c>
      <c r="S135" s="11">
        <f t="shared" ref="S135:S198" si="39">((+N135+P135)*0.61)+((+M135+O135+Q135)*1.21)</f>
        <v>15.73</v>
      </c>
      <c r="T135" s="11"/>
      <c r="U135" s="11"/>
      <c r="V135" s="11"/>
      <c r="W135" s="11"/>
      <c r="X135" s="11">
        <v>2</v>
      </c>
      <c r="Y135" s="11">
        <f t="shared" ref="Y135:Y198" si="40">SUM(T135:X135)</f>
        <v>2</v>
      </c>
      <c r="Z135" s="11">
        <f t="shared" ref="Z135:Z198" si="41">((+U135+W135)*1.37)+((+T135+V135+X135)*2.74)</f>
        <v>5.48</v>
      </c>
      <c r="AA135" s="11">
        <f t="shared" ref="AA135:AB198" si="42">+K135+R135+Y135</f>
        <v>40</v>
      </c>
      <c r="AB135" s="11">
        <f t="shared" si="42"/>
        <v>39.210000000000008</v>
      </c>
      <c r="AC135" s="42">
        <f t="shared" si="32"/>
        <v>5907</v>
      </c>
      <c r="AD135" s="83">
        <f t="shared" si="33"/>
        <v>236280</v>
      </c>
      <c r="AE135" s="83">
        <f t="shared" si="34"/>
        <v>231613.47000000006</v>
      </c>
      <c r="AF135" s="83">
        <f t="shared" si="35"/>
        <v>467893.47000000009</v>
      </c>
      <c r="AG135" s="11"/>
      <c r="AH135" s="11"/>
      <c r="AI135" s="78"/>
      <c r="AJ135" s="78"/>
      <c r="AK135" s="78"/>
      <c r="AL135" s="78"/>
      <c r="AM135" s="78"/>
      <c r="AN135" s="78"/>
      <c r="AO135" s="78"/>
      <c r="AP135" s="78"/>
      <c r="AQ135" s="3" t="s">
        <v>191</v>
      </c>
      <c r="AR135" s="3" t="s">
        <v>276</v>
      </c>
      <c r="AS135" s="3" t="s">
        <v>861</v>
      </c>
      <c r="AT135" s="49">
        <v>5907</v>
      </c>
      <c r="AU135" s="3" t="str">
        <f t="shared" ref="AU135:AU198" si="43">IF(AR135=B135,"match","not")</f>
        <v>match</v>
      </c>
      <c r="AV135" s="3" t="str">
        <f t="shared" ref="AV135:AV198" si="44">IF(AS135=C135,"match","not")</f>
        <v>match</v>
      </c>
    </row>
    <row r="136" spans="1:48" ht="12">
      <c r="A136" s="9" t="s">
        <v>191</v>
      </c>
      <c r="B136" s="12" t="s">
        <v>278</v>
      </c>
      <c r="C136" s="13" t="s">
        <v>279</v>
      </c>
      <c r="D136" s="8"/>
      <c r="E136" s="39">
        <v>117</v>
      </c>
      <c r="F136" s="39"/>
      <c r="G136" s="39"/>
      <c r="H136" s="39"/>
      <c r="I136" s="39"/>
      <c r="J136" s="39"/>
      <c r="K136" s="39">
        <f t="shared" si="36"/>
        <v>117</v>
      </c>
      <c r="L136" s="39">
        <f t="shared" si="37"/>
        <v>84.24</v>
      </c>
      <c r="M136" s="39"/>
      <c r="N136" s="39"/>
      <c r="O136" s="39">
        <v>10</v>
      </c>
      <c r="P136" s="39"/>
      <c r="Q136" s="39">
        <v>39</v>
      </c>
      <c r="R136" s="39">
        <f t="shared" si="38"/>
        <v>49</v>
      </c>
      <c r="S136" s="39">
        <f t="shared" si="39"/>
        <v>59.29</v>
      </c>
      <c r="T136" s="39"/>
      <c r="U136" s="39"/>
      <c r="V136" s="39">
        <v>3</v>
      </c>
      <c r="W136" s="39"/>
      <c r="X136" s="39">
        <v>24</v>
      </c>
      <c r="Y136" s="39">
        <f t="shared" si="40"/>
        <v>27</v>
      </c>
      <c r="Z136" s="39">
        <f t="shared" si="41"/>
        <v>73.98</v>
      </c>
      <c r="AA136" s="39">
        <f t="shared" si="42"/>
        <v>193</v>
      </c>
      <c r="AB136" s="39">
        <f t="shared" si="42"/>
        <v>217.51</v>
      </c>
      <c r="AC136" s="41">
        <f t="shared" si="32"/>
        <v>5883</v>
      </c>
      <c r="AD136" s="82">
        <f t="shared" si="33"/>
        <v>1135419</v>
      </c>
      <c r="AE136" s="82">
        <f t="shared" si="34"/>
        <v>1279611.3299999998</v>
      </c>
      <c r="AF136" s="82">
        <f t="shared" si="35"/>
        <v>2415030.33</v>
      </c>
      <c r="AG136" s="39"/>
      <c r="AH136" s="39"/>
      <c r="AI136" s="79"/>
      <c r="AJ136" s="79"/>
      <c r="AK136" s="79"/>
      <c r="AL136" s="79"/>
      <c r="AM136" s="79"/>
      <c r="AN136" s="79"/>
      <c r="AO136" s="79"/>
      <c r="AP136" s="79"/>
      <c r="AQ136" s="3" t="s">
        <v>191</v>
      </c>
      <c r="AR136" s="3" t="s">
        <v>278</v>
      </c>
      <c r="AS136" s="3" t="s">
        <v>862</v>
      </c>
      <c r="AT136" s="49">
        <v>5883</v>
      </c>
      <c r="AU136" s="3" t="str">
        <f t="shared" si="43"/>
        <v>match</v>
      </c>
      <c r="AV136" s="3" t="str">
        <f t="shared" si="44"/>
        <v>match</v>
      </c>
    </row>
    <row r="137" spans="1:48" ht="12.75" thickBot="1">
      <c r="A137" s="9" t="s">
        <v>191</v>
      </c>
      <c r="B137" s="10" t="s">
        <v>280</v>
      </c>
      <c r="C137" s="56" t="s">
        <v>281</v>
      </c>
      <c r="D137" s="56"/>
      <c r="E137" s="11">
        <v>33</v>
      </c>
      <c r="F137" s="11"/>
      <c r="G137" s="11"/>
      <c r="H137" s="11"/>
      <c r="I137" s="11"/>
      <c r="J137" s="11"/>
      <c r="K137" s="11">
        <f t="shared" si="36"/>
        <v>33</v>
      </c>
      <c r="L137" s="11">
        <f t="shared" si="37"/>
        <v>23.759999999999998</v>
      </c>
      <c r="M137" s="11"/>
      <c r="N137" s="11">
        <v>1</v>
      </c>
      <c r="O137" s="11">
        <v>2</v>
      </c>
      <c r="P137" s="11"/>
      <c r="Q137" s="11">
        <v>12</v>
      </c>
      <c r="R137" s="11">
        <f t="shared" si="38"/>
        <v>15</v>
      </c>
      <c r="S137" s="11">
        <f t="shared" si="39"/>
        <v>17.549999999999997</v>
      </c>
      <c r="T137" s="11"/>
      <c r="U137" s="11"/>
      <c r="V137" s="11">
        <v>1</v>
      </c>
      <c r="W137" s="11"/>
      <c r="X137" s="11">
        <v>3</v>
      </c>
      <c r="Y137" s="11">
        <f t="shared" si="40"/>
        <v>4</v>
      </c>
      <c r="Z137" s="11">
        <f t="shared" si="41"/>
        <v>10.96</v>
      </c>
      <c r="AA137" s="11">
        <f t="shared" si="42"/>
        <v>52</v>
      </c>
      <c r="AB137" s="11">
        <f t="shared" si="42"/>
        <v>52.269999999999996</v>
      </c>
      <c r="AC137" s="42">
        <f t="shared" si="32"/>
        <v>5935</v>
      </c>
      <c r="AD137" s="83">
        <f t="shared" si="33"/>
        <v>308620</v>
      </c>
      <c r="AE137" s="83">
        <f t="shared" si="34"/>
        <v>310222.44999999995</v>
      </c>
      <c r="AF137" s="83">
        <f t="shared" si="35"/>
        <v>618842.44999999995</v>
      </c>
      <c r="AG137" s="11"/>
      <c r="AH137" s="11"/>
      <c r="AI137" s="78"/>
      <c r="AJ137" s="78"/>
      <c r="AK137" s="78"/>
      <c r="AL137" s="78"/>
      <c r="AM137" s="78"/>
      <c r="AN137" s="78"/>
      <c r="AO137" s="78"/>
      <c r="AP137" s="78"/>
      <c r="AQ137" s="3" t="s">
        <v>191</v>
      </c>
      <c r="AR137" s="3" t="s">
        <v>280</v>
      </c>
      <c r="AS137" s="3" t="s">
        <v>863</v>
      </c>
      <c r="AT137" s="49">
        <v>5935</v>
      </c>
      <c r="AU137" s="3" t="str">
        <f t="shared" si="43"/>
        <v>match</v>
      </c>
      <c r="AV137" s="3" t="str">
        <f t="shared" si="44"/>
        <v>match</v>
      </c>
    </row>
    <row r="138" spans="1:48" ht="12.75" thickBot="1">
      <c r="A138" s="17" t="s">
        <v>191</v>
      </c>
      <c r="B138" s="17">
        <v>9208</v>
      </c>
      <c r="C138" s="18" t="s">
        <v>282</v>
      </c>
      <c r="D138" s="93"/>
      <c r="E138" s="19">
        <f>SUM(E92:E137)</f>
        <v>2413</v>
      </c>
      <c r="F138" s="19">
        <f t="shared" ref="F138:AB138" si="45">SUM(F92:F137)</f>
        <v>45</v>
      </c>
      <c r="G138" s="19">
        <f t="shared" si="45"/>
        <v>0</v>
      </c>
      <c r="H138" s="19">
        <f t="shared" si="45"/>
        <v>4</v>
      </c>
      <c r="I138" s="19">
        <f t="shared" si="45"/>
        <v>0</v>
      </c>
      <c r="J138" s="19">
        <f t="shared" si="45"/>
        <v>0</v>
      </c>
      <c r="K138" s="19">
        <f t="shared" si="45"/>
        <v>2462</v>
      </c>
      <c r="L138" s="19">
        <f t="shared" si="45"/>
        <v>1772.6400000000003</v>
      </c>
      <c r="M138" s="19">
        <f t="shared" si="45"/>
        <v>13</v>
      </c>
      <c r="N138" s="19">
        <f t="shared" si="45"/>
        <v>33</v>
      </c>
      <c r="O138" s="19">
        <f t="shared" si="45"/>
        <v>185</v>
      </c>
      <c r="P138" s="19">
        <f t="shared" si="45"/>
        <v>0</v>
      </c>
      <c r="Q138" s="19">
        <f t="shared" si="45"/>
        <v>742</v>
      </c>
      <c r="R138" s="19">
        <f t="shared" si="45"/>
        <v>973</v>
      </c>
      <c r="S138" s="19">
        <f t="shared" si="45"/>
        <v>1157.53</v>
      </c>
      <c r="T138" s="19">
        <f t="shared" si="45"/>
        <v>3</v>
      </c>
      <c r="U138" s="19">
        <f t="shared" si="45"/>
        <v>10</v>
      </c>
      <c r="V138" s="19">
        <f t="shared" si="45"/>
        <v>34</v>
      </c>
      <c r="W138" s="19">
        <f t="shared" si="45"/>
        <v>0</v>
      </c>
      <c r="X138" s="19">
        <f t="shared" si="45"/>
        <v>291</v>
      </c>
      <c r="Y138" s="19">
        <f t="shared" si="45"/>
        <v>338</v>
      </c>
      <c r="Z138" s="19">
        <f t="shared" si="45"/>
        <v>912.42000000000064</v>
      </c>
      <c r="AA138" s="19">
        <f t="shared" si="45"/>
        <v>3773</v>
      </c>
      <c r="AB138" s="19">
        <f t="shared" si="45"/>
        <v>3842.5899999999988</v>
      </c>
      <c r="AC138" s="50">
        <f t="shared" si="32"/>
        <v>0</v>
      </c>
      <c r="AD138" s="43">
        <f t="shared" ref="AD138" si="46">SUM(AD92:AD137)</f>
        <v>22353764</v>
      </c>
      <c r="AE138" s="43">
        <f t="shared" ref="AE138" si="47">SUM(AE92:AE137)</f>
        <v>22765326.199999996</v>
      </c>
      <c r="AF138" s="43">
        <f t="shared" ref="AF138" si="48">SUM(AF92:AF137)</f>
        <v>45119090.200000003</v>
      </c>
      <c r="AG138" s="19"/>
      <c r="AH138" s="19"/>
      <c r="AI138" s="80"/>
      <c r="AJ138" s="80"/>
      <c r="AK138" s="80"/>
      <c r="AL138" s="80"/>
      <c r="AM138" s="80"/>
      <c r="AN138" s="80"/>
      <c r="AO138" s="80"/>
      <c r="AP138" s="80"/>
      <c r="AS138" s="3" t="s">
        <v>282</v>
      </c>
      <c r="AT138" s="49"/>
      <c r="AU138" s="3" t="str">
        <f t="shared" si="43"/>
        <v>not</v>
      </c>
      <c r="AV138" s="3" t="str">
        <f t="shared" si="44"/>
        <v>match</v>
      </c>
    </row>
    <row r="139" spans="1:48" ht="12">
      <c r="A139" s="9" t="s">
        <v>283</v>
      </c>
      <c r="B139" s="12" t="s">
        <v>284</v>
      </c>
      <c r="C139" s="13" t="s">
        <v>285</v>
      </c>
      <c r="D139" s="8"/>
      <c r="E139" s="39">
        <v>32</v>
      </c>
      <c r="F139" s="39"/>
      <c r="G139" s="39"/>
      <c r="H139" s="39"/>
      <c r="I139" s="39"/>
      <c r="J139" s="39"/>
      <c r="K139" s="39">
        <f t="shared" si="36"/>
        <v>32</v>
      </c>
      <c r="L139" s="39">
        <f t="shared" si="37"/>
        <v>23.04</v>
      </c>
      <c r="M139" s="39"/>
      <c r="N139" s="39"/>
      <c r="O139" s="39">
        <v>2</v>
      </c>
      <c r="P139" s="39"/>
      <c r="Q139" s="39">
        <v>6</v>
      </c>
      <c r="R139" s="39">
        <f t="shared" si="38"/>
        <v>8</v>
      </c>
      <c r="S139" s="39">
        <f t="shared" si="39"/>
        <v>9.68</v>
      </c>
      <c r="T139" s="39"/>
      <c r="U139" s="39"/>
      <c r="V139" s="39"/>
      <c r="W139" s="39"/>
      <c r="X139" s="39">
        <v>5</v>
      </c>
      <c r="Y139" s="39">
        <f t="shared" si="40"/>
        <v>5</v>
      </c>
      <c r="Z139" s="39">
        <f t="shared" si="41"/>
        <v>13.700000000000001</v>
      </c>
      <c r="AA139" s="39">
        <f t="shared" si="42"/>
        <v>45</v>
      </c>
      <c r="AB139" s="39">
        <f t="shared" si="42"/>
        <v>46.42</v>
      </c>
      <c r="AC139" s="41">
        <f t="shared" si="32"/>
        <v>5948</v>
      </c>
      <c r="AD139" s="82">
        <f t="shared" si="33"/>
        <v>267660</v>
      </c>
      <c r="AE139" s="82">
        <f t="shared" si="34"/>
        <v>276106.16000000003</v>
      </c>
      <c r="AF139" s="82">
        <f t="shared" si="35"/>
        <v>543766.16</v>
      </c>
      <c r="AG139" s="39"/>
      <c r="AH139" s="39"/>
      <c r="AI139" s="79"/>
      <c r="AJ139" s="79"/>
      <c r="AK139" s="79"/>
      <c r="AL139" s="79"/>
      <c r="AM139" s="79"/>
      <c r="AN139" s="79"/>
      <c r="AO139" s="79"/>
      <c r="AP139" s="79"/>
      <c r="AQ139" s="3" t="s">
        <v>283</v>
      </c>
      <c r="AR139" s="3" t="s">
        <v>284</v>
      </c>
      <c r="AS139" s="3" t="s">
        <v>864</v>
      </c>
      <c r="AT139" s="49">
        <v>5948</v>
      </c>
      <c r="AU139" s="3" t="str">
        <f t="shared" si="43"/>
        <v>match</v>
      </c>
      <c r="AV139" s="3" t="str">
        <f t="shared" si="44"/>
        <v>match</v>
      </c>
    </row>
    <row r="140" spans="1:48" ht="12">
      <c r="A140" s="9" t="s">
        <v>283</v>
      </c>
      <c r="B140" s="10" t="s">
        <v>286</v>
      </c>
      <c r="C140" s="56" t="s">
        <v>287</v>
      </c>
      <c r="D140" s="56"/>
      <c r="E140" s="11">
        <v>56</v>
      </c>
      <c r="F140" s="11"/>
      <c r="G140" s="11"/>
      <c r="H140" s="11"/>
      <c r="I140" s="11"/>
      <c r="J140" s="11"/>
      <c r="K140" s="11">
        <f t="shared" si="36"/>
        <v>56</v>
      </c>
      <c r="L140" s="11">
        <f t="shared" si="37"/>
        <v>40.32</v>
      </c>
      <c r="M140" s="11"/>
      <c r="N140" s="11"/>
      <c r="O140" s="11">
        <v>2</v>
      </c>
      <c r="P140" s="11"/>
      <c r="Q140" s="11">
        <v>4</v>
      </c>
      <c r="R140" s="11">
        <f t="shared" si="38"/>
        <v>6</v>
      </c>
      <c r="S140" s="11">
        <f t="shared" si="39"/>
        <v>7.26</v>
      </c>
      <c r="T140" s="11"/>
      <c r="U140" s="11"/>
      <c r="V140" s="11">
        <v>4</v>
      </c>
      <c r="W140" s="11"/>
      <c r="X140" s="11">
        <v>6</v>
      </c>
      <c r="Y140" s="11">
        <f t="shared" si="40"/>
        <v>10</v>
      </c>
      <c r="Z140" s="11">
        <f t="shared" si="41"/>
        <v>27.400000000000002</v>
      </c>
      <c r="AA140" s="11">
        <f t="shared" si="42"/>
        <v>72</v>
      </c>
      <c r="AB140" s="11">
        <f t="shared" si="42"/>
        <v>74.98</v>
      </c>
      <c r="AC140" s="42">
        <f t="shared" si="32"/>
        <v>5940</v>
      </c>
      <c r="AD140" s="83">
        <f t="shared" si="33"/>
        <v>427680</v>
      </c>
      <c r="AE140" s="83">
        <f t="shared" si="34"/>
        <v>445381.2</v>
      </c>
      <c r="AF140" s="83">
        <f t="shared" si="35"/>
        <v>873061.2</v>
      </c>
      <c r="AG140" s="11"/>
      <c r="AH140" s="11"/>
      <c r="AI140" s="78"/>
      <c r="AJ140" s="78"/>
      <c r="AK140" s="78"/>
      <c r="AL140" s="78"/>
      <c r="AM140" s="78"/>
      <c r="AN140" s="78"/>
      <c r="AO140" s="78"/>
      <c r="AP140" s="78"/>
      <c r="AQ140" s="3" t="s">
        <v>283</v>
      </c>
      <c r="AR140" s="3" t="s">
        <v>286</v>
      </c>
      <c r="AS140" s="3" t="s">
        <v>865</v>
      </c>
      <c r="AT140" s="49">
        <v>5940</v>
      </c>
      <c r="AU140" s="3" t="str">
        <f t="shared" si="43"/>
        <v>match</v>
      </c>
      <c r="AV140" s="3" t="str">
        <f t="shared" si="44"/>
        <v>match</v>
      </c>
    </row>
    <row r="141" spans="1:48" ht="12">
      <c r="A141" s="9" t="s">
        <v>283</v>
      </c>
      <c r="B141" s="12" t="s">
        <v>288</v>
      </c>
      <c r="C141" s="13" t="s">
        <v>289</v>
      </c>
      <c r="D141" s="8"/>
      <c r="E141" s="39">
        <v>13</v>
      </c>
      <c r="F141" s="39"/>
      <c r="G141" s="39"/>
      <c r="H141" s="39"/>
      <c r="I141" s="39"/>
      <c r="J141" s="39"/>
      <c r="K141" s="39">
        <f t="shared" si="36"/>
        <v>13</v>
      </c>
      <c r="L141" s="39">
        <f t="shared" si="37"/>
        <v>9.36</v>
      </c>
      <c r="M141" s="39"/>
      <c r="N141" s="39"/>
      <c r="O141" s="39">
        <v>2</v>
      </c>
      <c r="P141" s="39"/>
      <c r="Q141" s="39">
        <v>2</v>
      </c>
      <c r="R141" s="39">
        <f t="shared" si="38"/>
        <v>4</v>
      </c>
      <c r="S141" s="39">
        <f t="shared" si="39"/>
        <v>4.84</v>
      </c>
      <c r="T141" s="39"/>
      <c r="U141" s="39"/>
      <c r="V141" s="39"/>
      <c r="W141" s="39"/>
      <c r="X141" s="39">
        <v>1</v>
      </c>
      <c r="Y141" s="39">
        <f t="shared" si="40"/>
        <v>1</v>
      </c>
      <c r="Z141" s="39">
        <f t="shared" si="41"/>
        <v>2.74</v>
      </c>
      <c r="AA141" s="39">
        <f t="shared" si="42"/>
        <v>18</v>
      </c>
      <c r="AB141" s="39">
        <f t="shared" si="42"/>
        <v>16.939999999999998</v>
      </c>
      <c r="AC141" s="41">
        <f t="shared" si="32"/>
        <v>6014</v>
      </c>
      <c r="AD141" s="82">
        <f t="shared" si="33"/>
        <v>108252</v>
      </c>
      <c r="AE141" s="82">
        <f t="shared" si="34"/>
        <v>101877.15999999999</v>
      </c>
      <c r="AF141" s="82">
        <f t="shared" si="35"/>
        <v>210129.15999999997</v>
      </c>
      <c r="AG141" s="39"/>
      <c r="AH141" s="39"/>
      <c r="AI141" s="79"/>
      <c r="AJ141" s="79"/>
      <c r="AK141" s="79"/>
      <c r="AL141" s="79"/>
      <c r="AM141" s="79"/>
      <c r="AN141" s="79"/>
      <c r="AO141" s="79"/>
      <c r="AP141" s="79"/>
      <c r="AQ141" s="3" t="s">
        <v>283</v>
      </c>
      <c r="AR141" s="3" t="s">
        <v>288</v>
      </c>
      <c r="AS141" s="3" t="s">
        <v>866</v>
      </c>
      <c r="AT141" s="49">
        <v>6014</v>
      </c>
      <c r="AU141" s="3" t="str">
        <f t="shared" si="43"/>
        <v>match</v>
      </c>
      <c r="AV141" s="3" t="str">
        <f t="shared" si="44"/>
        <v>match</v>
      </c>
    </row>
    <row r="142" spans="1:48" ht="12">
      <c r="A142" s="9" t="s">
        <v>283</v>
      </c>
      <c r="B142" s="10" t="s">
        <v>290</v>
      </c>
      <c r="C142" s="56" t="s">
        <v>291</v>
      </c>
      <c r="D142" s="56"/>
      <c r="E142" s="11">
        <v>232</v>
      </c>
      <c r="F142" s="11"/>
      <c r="G142" s="11"/>
      <c r="H142" s="11"/>
      <c r="I142" s="11"/>
      <c r="J142" s="11"/>
      <c r="K142" s="11">
        <f t="shared" si="36"/>
        <v>232</v>
      </c>
      <c r="L142" s="11">
        <f t="shared" si="37"/>
        <v>167.04</v>
      </c>
      <c r="M142" s="11"/>
      <c r="N142" s="11">
        <v>2</v>
      </c>
      <c r="O142" s="11">
        <v>20</v>
      </c>
      <c r="P142" s="11"/>
      <c r="Q142" s="11">
        <v>90</v>
      </c>
      <c r="R142" s="11">
        <f t="shared" si="38"/>
        <v>112</v>
      </c>
      <c r="S142" s="11">
        <f t="shared" si="39"/>
        <v>134.32</v>
      </c>
      <c r="T142" s="11"/>
      <c r="U142" s="11">
        <v>2</v>
      </c>
      <c r="V142" s="11">
        <v>2</v>
      </c>
      <c r="W142" s="11"/>
      <c r="X142" s="11">
        <v>63</v>
      </c>
      <c r="Y142" s="11">
        <f t="shared" si="40"/>
        <v>67</v>
      </c>
      <c r="Z142" s="11">
        <f t="shared" si="41"/>
        <v>180.84000000000003</v>
      </c>
      <c r="AA142" s="11">
        <f t="shared" si="42"/>
        <v>411</v>
      </c>
      <c r="AB142" s="11">
        <f t="shared" si="42"/>
        <v>482.20000000000005</v>
      </c>
      <c r="AC142" s="42">
        <f t="shared" si="32"/>
        <v>5957</v>
      </c>
      <c r="AD142" s="83">
        <f t="shared" si="33"/>
        <v>2448327</v>
      </c>
      <c r="AE142" s="83">
        <f t="shared" si="34"/>
        <v>2872465.4000000004</v>
      </c>
      <c r="AF142" s="83">
        <f t="shared" si="35"/>
        <v>5320792.4000000004</v>
      </c>
      <c r="AG142" s="11"/>
      <c r="AH142" s="11"/>
      <c r="AI142" s="78"/>
      <c r="AJ142" s="78"/>
      <c r="AK142" s="78"/>
      <c r="AL142" s="78"/>
      <c r="AM142" s="78"/>
      <c r="AN142" s="78"/>
      <c r="AO142" s="78"/>
      <c r="AP142" s="78"/>
      <c r="AQ142" s="3" t="s">
        <v>283</v>
      </c>
      <c r="AR142" s="3" t="s">
        <v>290</v>
      </c>
      <c r="AS142" s="3" t="s">
        <v>867</v>
      </c>
      <c r="AT142" s="49">
        <v>5957</v>
      </c>
      <c r="AU142" s="3" t="str">
        <f t="shared" si="43"/>
        <v>match</v>
      </c>
      <c r="AV142" s="3" t="str">
        <f t="shared" si="44"/>
        <v>match</v>
      </c>
    </row>
    <row r="143" spans="1:48" ht="12">
      <c r="A143" s="9" t="s">
        <v>283</v>
      </c>
      <c r="B143" s="12" t="s">
        <v>292</v>
      </c>
      <c r="C143" s="13" t="s">
        <v>293</v>
      </c>
      <c r="D143" s="8"/>
      <c r="E143" s="39">
        <v>32</v>
      </c>
      <c r="F143" s="39"/>
      <c r="G143" s="39"/>
      <c r="H143" s="39"/>
      <c r="I143" s="39"/>
      <c r="J143" s="39"/>
      <c r="K143" s="39">
        <f t="shared" si="36"/>
        <v>32</v>
      </c>
      <c r="L143" s="39">
        <f t="shared" si="37"/>
        <v>23.04</v>
      </c>
      <c r="M143" s="39"/>
      <c r="N143" s="39">
        <v>2</v>
      </c>
      <c r="O143" s="39"/>
      <c r="P143" s="39"/>
      <c r="Q143" s="39">
        <v>7</v>
      </c>
      <c r="R143" s="39">
        <f t="shared" si="38"/>
        <v>9</v>
      </c>
      <c r="S143" s="39">
        <f t="shared" si="39"/>
        <v>9.69</v>
      </c>
      <c r="T143" s="39"/>
      <c r="U143" s="39">
        <v>1</v>
      </c>
      <c r="V143" s="39"/>
      <c r="W143" s="39"/>
      <c r="X143" s="39">
        <v>8</v>
      </c>
      <c r="Y143" s="39">
        <f t="shared" si="40"/>
        <v>9</v>
      </c>
      <c r="Z143" s="39">
        <f t="shared" si="41"/>
        <v>23.290000000000003</v>
      </c>
      <c r="AA143" s="39">
        <f t="shared" si="42"/>
        <v>50</v>
      </c>
      <c r="AB143" s="39">
        <f t="shared" si="42"/>
        <v>56.019999999999996</v>
      </c>
      <c r="AC143" s="41">
        <f t="shared" si="32"/>
        <v>5942</v>
      </c>
      <c r="AD143" s="82">
        <f t="shared" si="33"/>
        <v>297100</v>
      </c>
      <c r="AE143" s="82">
        <f t="shared" si="34"/>
        <v>332870.83999999997</v>
      </c>
      <c r="AF143" s="82">
        <f t="shared" si="35"/>
        <v>629970.84</v>
      </c>
      <c r="AG143" s="39"/>
      <c r="AH143" s="39"/>
      <c r="AI143" s="79"/>
      <c r="AJ143" s="79"/>
      <c r="AK143" s="79"/>
      <c r="AL143" s="79"/>
      <c r="AM143" s="79"/>
      <c r="AN143" s="79"/>
      <c r="AO143" s="79"/>
      <c r="AP143" s="79"/>
      <c r="AQ143" s="3" t="s">
        <v>283</v>
      </c>
      <c r="AR143" s="3" t="s">
        <v>292</v>
      </c>
      <c r="AS143" s="3" t="s">
        <v>868</v>
      </c>
      <c r="AT143" s="49">
        <v>5942</v>
      </c>
      <c r="AU143" s="3" t="str">
        <f t="shared" si="43"/>
        <v>match</v>
      </c>
      <c r="AV143" s="3" t="str">
        <f t="shared" si="44"/>
        <v>match</v>
      </c>
    </row>
    <row r="144" spans="1:48" ht="12">
      <c r="A144" s="9" t="s">
        <v>283</v>
      </c>
      <c r="B144" s="10" t="s">
        <v>294</v>
      </c>
      <c r="C144" s="56" t="s">
        <v>295</v>
      </c>
      <c r="D144" s="56"/>
      <c r="E144" s="11">
        <v>69</v>
      </c>
      <c r="F144" s="11"/>
      <c r="G144" s="11"/>
      <c r="H144" s="11"/>
      <c r="I144" s="11"/>
      <c r="J144" s="11"/>
      <c r="K144" s="11">
        <f t="shared" si="36"/>
        <v>69</v>
      </c>
      <c r="L144" s="11">
        <f t="shared" si="37"/>
        <v>49.68</v>
      </c>
      <c r="M144" s="11"/>
      <c r="N144" s="11">
        <v>8</v>
      </c>
      <c r="O144" s="11">
        <v>2</v>
      </c>
      <c r="P144" s="11"/>
      <c r="Q144" s="11">
        <v>19</v>
      </c>
      <c r="R144" s="11">
        <f t="shared" si="38"/>
        <v>29</v>
      </c>
      <c r="S144" s="11">
        <f t="shared" si="39"/>
        <v>30.29</v>
      </c>
      <c r="T144" s="11"/>
      <c r="U144" s="11"/>
      <c r="V144" s="11"/>
      <c r="W144" s="11"/>
      <c r="X144" s="11">
        <v>14</v>
      </c>
      <c r="Y144" s="11">
        <f t="shared" si="40"/>
        <v>14</v>
      </c>
      <c r="Z144" s="11">
        <f t="shared" si="41"/>
        <v>38.36</v>
      </c>
      <c r="AA144" s="11">
        <f t="shared" si="42"/>
        <v>112</v>
      </c>
      <c r="AB144" s="11">
        <f t="shared" si="42"/>
        <v>118.33</v>
      </c>
      <c r="AC144" s="42">
        <f t="shared" si="32"/>
        <v>5883</v>
      </c>
      <c r="AD144" s="83">
        <f t="shared" si="33"/>
        <v>658896</v>
      </c>
      <c r="AE144" s="83">
        <f t="shared" si="34"/>
        <v>696135.39</v>
      </c>
      <c r="AF144" s="83">
        <f t="shared" si="35"/>
        <v>1355031.3900000001</v>
      </c>
      <c r="AG144" s="11"/>
      <c r="AH144" s="11"/>
      <c r="AI144" s="78"/>
      <c r="AJ144" s="78"/>
      <c r="AK144" s="78"/>
      <c r="AL144" s="78"/>
      <c r="AM144" s="78"/>
      <c r="AN144" s="78"/>
      <c r="AO144" s="78"/>
      <c r="AP144" s="78"/>
      <c r="AQ144" s="3" t="s">
        <v>283</v>
      </c>
      <c r="AR144" s="3" t="s">
        <v>294</v>
      </c>
      <c r="AS144" s="3" t="s">
        <v>869</v>
      </c>
      <c r="AT144" s="49">
        <v>5883</v>
      </c>
      <c r="AU144" s="3" t="str">
        <f t="shared" si="43"/>
        <v>match</v>
      </c>
      <c r="AV144" s="3" t="str">
        <f t="shared" si="44"/>
        <v>match</v>
      </c>
    </row>
    <row r="145" spans="1:48" ht="12">
      <c r="A145" s="9" t="s">
        <v>283</v>
      </c>
      <c r="B145" s="12" t="s">
        <v>296</v>
      </c>
      <c r="C145" s="13" t="s">
        <v>297</v>
      </c>
      <c r="D145" s="8"/>
      <c r="E145" s="39">
        <v>102</v>
      </c>
      <c r="F145" s="39"/>
      <c r="G145" s="39"/>
      <c r="H145" s="39"/>
      <c r="I145" s="39"/>
      <c r="J145" s="39"/>
      <c r="K145" s="39">
        <f t="shared" si="36"/>
        <v>102</v>
      </c>
      <c r="L145" s="39">
        <f t="shared" si="37"/>
        <v>73.44</v>
      </c>
      <c r="M145" s="39"/>
      <c r="N145" s="39">
        <v>9</v>
      </c>
      <c r="O145" s="39">
        <v>3</v>
      </c>
      <c r="P145" s="39"/>
      <c r="Q145" s="39">
        <v>45</v>
      </c>
      <c r="R145" s="39">
        <f t="shared" si="38"/>
        <v>57</v>
      </c>
      <c r="S145" s="39">
        <f t="shared" si="39"/>
        <v>63.57</v>
      </c>
      <c r="T145" s="39"/>
      <c r="U145" s="39">
        <v>2</v>
      </c>
      <c r="V145" s="39"/>
      <c r="W145" s="39"/>
      <c r="X145" s="39">
        <v>21</v>
      </c>
      <c r="Y145" s="39">
        <f t="shared" si="40"/>
        <v>23</v>
      </c>
      <c r="Z145" s="39">
        <f t="shared" si="41"/>
        <v>60.280000000000008</v>
      </c>
      <c r="AA145" s="39">
        <f t="shared" si="42"/>
        <v>182</v>
      </c>
      <c r="AB145" s="39">
        <f t="shared" si="42"/>
        <v>197.29</v>
      </c>
      <c r="AC145" s="41">
        <f t="shared" si="32"/>
        <v>5883</v>
      </c>
      <c r="AD145" s="82">
        <f t="shared" si="33"/>
        <v>1070706</v>
      </c>
      <c r="AE145" s="82">
        <f t="shared" si="34"/>
        <v>1160657.07</v>
      </c>
      <c r="AF145" s="82">
        <f t="shared" si="35"/>
        <v>2231363.0700000003</v>
      </c>
      <c r="AG145" s="39"/>
      <c r="AH145" s="39"/>
      <c r="AI145" s="79"/>
      <c r="AJ145" s="79"/>
      <c r="AK145" s="79"/>
      <c r="AL145" s="79"/>
      <c r="AM145" s="79"/>
      <c r="AN145" s="79"/>
      <c r="AO145" s="79"/>
      <c r="AP145" s="79"/>
      <c r="AQ145" s="3" t="s">
        <v>283</v>
      </c>
      <c r="AR145" s="3" t="s">
        <v>296</v>
      </c>
      <c r="AS145" s="3" t="s">
        <v>870</v>
      </c>
      <c r="AT145" s="49">
        <v>5883</v>
      </c>
      <c r="AU145" s="3" t="str">
        <f t="shared" si="43"/>
        <v>match</v>
      </c>
      <c r="AV145" s="3" t="str">
        <f t="shared" si="44"/>
        <v>match</v>
      </c>
    </row>
    <row r="146" spans="1:48" ht="12">
      <c r="A146" s="9" t="s">
        <v>283</v>
      </c>
      <c r="B146" s="10" t="s">
        <v>298</v>
      </c>
      <c r="C146" s="56" t="s">
        <v>299</v>
      </c>
      <c r="D146" s="56"/>
      <c r="E146" s="11">
        <v>438</v>
      </c>
      <c r="F146" s="11"/>
      <c r="G146" s="11"/>
      <c r="H146" s="11"/>
      <c r="I146" s="11"/>
      <c r="J146" s="11"/>
      <c r="K146" s="11">
        <f t="shared" si="36"/>
        <v>438</v>
      </c>
      <c r="L146" s="11">
        <f t="shared" si="37"/>
        <v>315.36</v>
      </c>
      <c r="M146" s="11"/>
      <c r="N146" s="11">
        <v>70</v>
      </c>
      <c r="O146" s="11">
        <v>3</v>
      </c>
      <c r="P146" s="11"/>
      <c r="Q146" s="11">
        <v>182</v>
      </c>
      <c r="R146" s="11">
        <f t="shared" si="38"/>
        <v>255</v>
      </c>
      <c r="S146" s="11">
        <f t="shared" si="39"/>
        <v>266.55</v>
      </c>
      <c r="T146" s="11"/>
      <c r="U146" s="11">
        <v>5</v>
      </c>
      <c r="V146" s="11">
        <v>3</v>
      </c>
      <c r="W146" s="11">
        <v>1</v>
      </c>
      <c r="X146" s="11">
        <v>108</v>
      </c>
      <c r="Y146" s="11">
        <f t="shared" si="40"/>
        <v>117</v>
      </c>
      <c r="Z146" s="11">
        <f t="shared" si="41"/>
        <v>312.36000000000007</v>
      </c>
      <c r="AA146" s="11">
        <f t="shared" si="42"/>
        <v>810</v>
      </c>
      <c r="AB146" s="11">
        <f t="shared" si="42"/>
        <v>894.27000000000021</v>
      </c>
      <c r="AC146" s="42">
        <f t="shared" si="32"/>
        <v>5929</v>
      </c>
      <c r="AD146" s="83">
        <f t="shared" si="33"/>
        <v>4802490</v>
      </c>
      <c r="AE146" s="83">
        <f t="shared" si="34"/>
        <v>5302126.830000001</v>
      </c>
      <c r="AF146" s="83">
        <f t="shared" si="35"/>
        <v>10104616.830000002</v>
      </c>
      <c r="AG146" s="11"/>
      <c r="AH146" s="11"/>
      <c r="AI146" s="78"/>
      <c r="AJ146" s="78"/>
      <c r="AK146" s="78"/>
      <c r="AL146" s="78"/>
      <c r="AM146" s="78"/>
      <c r="AN146" s="78"/>
      <c r="AO146" s="78"/>
      <c r="AP146" s="78"/>
      <c r="AQ146" s="3" t="s">
        <v>283</v>
      </c>
      <c r="AR146" s="3" t="s">
        <v>298</v>
      </c>
      <c r="AS146" s="3" t="s">
        <v>299</v>
      </c>
      <c r="AT146" s="49">
        <v>5929</v>
      </c>
      <c r="AU146" s="3" t="str">
        <f t="shared" si="43"/>
        <v>match</v>
      </c>
      <c r="AV146" s="3" t="str">
        <f t="shared" si="44"/>
        <v>match</v>
      </c>
    </row>
    <row r="147" spans="1:48" ht="12">
      <c r="A147" s="9" t="s">
        <v>283</v>
      </c>
      <c r="B147" s="12" t="s">
        <v>300</v>
      </c>
      <c r="C147" s="13" t="s">
        <v>301</v>
      </c>
      <c r="D147" s="8"/>
      <c r="E147" s="39">
        <v>62</v>
      </c>
      <c r="F147" s="39"/>
      <c r="G147" s="39"/>
      <c r="H147" s="39"/>
      <c r="I147" s="39"/>
      <c r="J147" s="39"/>
      <c r="K147" s="39">
        <f t="shared" si="36"/>
        <v>62</v>
      </c>
      <c r="L147" s="39">
        <f t="shared" si="37"/>
        <v>44.64</v>
      </c>
      <c r="M147" s="39"/>
      <c r="N147" s="39">
        <v>1</v>
      </c>
      <c r="O147" s="39">
        <v>12</v>
      </c>
      <c r="P147" s="39"/>
      <c r="Q147" s="39">
        <v>32</v>
      </c>
      <c r="R147" s="39">
        <f t="shared" si="38"/>
        <v>45</v>
      </c>
      <c r="S147" s="39">
        <f t="shared" si="39"/>
        <v>53.849999999999994</v>
      </c>
      <c r="T147" s="39"/>
      <c r="U147" s="39">
        <v>1</v>
      </c>
      <c r="V147" s="39">
        <v>4</v>
      </c>
      <c r="W147" s="39"/>
      <c r="X147" s="39">
        <v>18</v>
      </c>
      <c r="Y147" s="39">
        <f t="shared" si="40"/>
        <v>23</v>
      </c>
      <c r="Z147" s="39">
        <f t="shared" si="41"/>
        <v>61.65</v>
      </c>
      <c r="AA147" s="39">
        <f t="shared" si="42"/>
        <v>130</v>
      </c>
      <c r="AB147" s="39">
        <f t="shared" si="42"/>
        <v>160.13999999999999</v>
      </c>
      <c r="AC147" s="41">
        <f t="shared" si="32"/>
        <v>5883</v>
      </c>
      <c r="AD147" s="82">
        <f t="shared" si="33"/>
        <v>764790</v>
      </c>
      <c r="AE147" s="82">
        <f t="shared" si="34"/>
        <v>942103.61999999988</v>
      </c>
      <c r="AF147" s="82">
        <f t="shared" si="35"/>
        <v>1706893.6199999999</v>
      </c>
      <c r="AG147" s="39"/>
      <c r="AH147" s="39"/>
      <c r="AI147" s="79"/>
      <c r="AJ147" s="79"/>
      <c r="AK147" s="79"/>
      <c r="AL147" s="79"/>
      <c r="AM147" s="79"/>
      <c r="AN147" s="79"/>
      <c r="AO147" s="79"/>
      <c r="AP147" s="79"/>
      <c r="AQ147" s="3" t="s">
        <v>283</v>
      </c>
      <c r="AR147" s="3" t="s">
        <v>300</v>
      </c>
      <c r="AS147" s="3" t="s">
        <v>871</v>
      </c>
      <c r="AT147" s="49">
        <v>5883</v>
      </c>
      <c r="AU147" s="3" t="str">
        <f t="shared" si="43"/>
        <v>match</v>
      </c>
      <c r="AV147" s="3" t="str">
        <f t="shared" si="44"/>
        <v>match</v>
      </c>
    </row>
    <row r="148" spans="1:48" ht="12">
      <c r="A148" s="9" t="s">
        <v>283</v>
      </c>
      <c r="B148" s="10" t="s">
        <v>302</v>
      </c>
      <c r="C148" s="56" t="s">
        <v>303</v>
      </c>
      <c r="D148" s="56"/>
      <c r="E148" s="11">
        <v>1186</v>
      </c>
      <c r="F148" s="11"/>
      <c r="G148" s="11"/>
      <c r="H148" s="11">
        <v>1</v>
      </c>
      <c r="I148" s="11"/>
      <c r="J148" s="11"/>
      <c r="K148" s="11">
        <f t="shared" si="36"/>
        <v>1187</v>
      </c>
      <c r="L148" s="11">
        <f t="shared" si="37"/>
        <v>854.64</v>
      </c>
      <c r="M148" s="11"/>
      <c r="N148" s="11">
        <v>2</v>
      </c>
      <c r="O148" s="11">
        <v>128</v>
      </c>
      <c r="P148" s="11"/>
      <c r="Q148" s="11">
        <v>281</v>
      </c>
      <c r="R148" s="11">
        <f t="shared" si="38"/>
        <v>411</v>
      </c>
      <c r="S148" s="11">
        <f t="shared" si="39"/>
        <v>496.11</v>
      </c>
      <c r="T148" s="11"/>
      <c r="U148" s="11">
        <v>3</v>
      </c>
      <c r="V148" s="11">
        <v>32</v>
      </c>
      <c r="W148" s="11"/>
      <c r="X148" s="11">
        <v>337</v>
      </c>
      <c r="Y148" s="11">
        <f t="shared" si="40"/>
        <v>372</v>
      </c>
      <c r="Z148" s="11">
        <f t="shared" si="41"/>
        <v>1015.1700000000001</v>
      </c>
      <c r="AA148" s="11">
        <f t="shared" si="42"/>
        <v>1970</v>
      </c>
      <c r="AB148" s="11">
        <f t="shared" si="42"/>
        <v>2365.92</v>
      </c>
      <c r="AC148" s="42">
        <f t="shared" si="32"/>
        <v>5883</v>
      </c>
      <c r="AD148" s="83">
        <f t="shared" si="33"/>
        <v>11589510</v>
      </c>
      <c r="AE148" s="83">
        <f t="shared" si="34"/>
        <v>13918707.360000001</v>
      </c>
      <c r="AF148" s="83">
        <f t="shared" si="35"/>
        <v>25508217.359999999</v>
      </c>
      <c r="AG148" s="11"/>
      <c r="AH148" s="11"/>
      <c r="AI148" s="78"/>
      <c r="AJ148" s="78"/>
      <c r="AK148" s="78"/>
      <c r="AL148" s="78"/>
      <c r="AM148" s="78"/>
      <c r="AN148" s="78"/>
      <c r="AO148" s="78"/>
      <c r="AP148" s="78"/>
      <c r="AQ148" s="3" t="s">
        <v>283</v>
      </c>
      <c r="AR148" s="3" t="s">
        <v>302</v>
      </c>
      <c r="AS148" s="3" t="s">
        <v>872</v>
      </c>
      <c r="AT148" s="49">
        <v>5883</v>
      </c>
      <c r="AU148" s="3" t="str">
        <f t="shared" si="43"/>
        <v>match</v>
      </c>
      <c r="AV148" s="3" t="str">
        <f t="shared" si="44"/>
        <v>match</v>
      </c>
    </row>
    <row r="149" spans="1:48" ht="12">
      <c r="A149" s="9" t="s">
        <v>283</v>
      </c>
      <c r="B149" s="12" t="s">
        <v>304</v>
      </c>
      <c r="C149" s="13" t="s">
        <v>305</v>
      </c>
      <c r="D149" s="8"/>
      <c r="E149" s="39">
        <v>25</v>
      </c>
      <c r="F149" s="39"/>
      <c r="G149" s="39"/>
      <c r="H149" s="39"/>
      <c r="I149" s="39"/>
      <c r="J149" s="39"/>
      <c r="K149" s="39">
        <f t="shared" si="36"/>
        <v>25</v>
      </c>
      <c r="L149" s="39">
        <f t="shared" si="37"/>
        <v>18</v>
      </c>
      <c r="M149" s="39"/>
      <c r="N149" s="39">
        <v>1</v>
      </c>
      <c r="O149" s="39"/>
      <c r="P149" s="39"/>
      <c r="Q149" s="39">
        <v>6</v>
      </c>
      <c r="R149" s="39">
        <f t="shared" si="38"/>
        <v>7</v>
      </c>
      <c r="S149" s="39">
        <f t="shared" si="39"/>
        <v>7.87</v>
      </c>
      <c r="T149" s="39"/>
      <c r="U149" s="39"/>
      <c r="V149" s="39"/>
      <c r="W149" s="39"/>
      <c r="X149" s="39">
        <v>2</v>
      </c>
      <c r="Y149" s="39">
        <f t="shared" si="40"/>
        <v>2</v>
      </c>
      <c r="Z149" s="39">
        <f t="shared" si="41"/>
        <v>5.48</v>
      </c>
      <c r="AA149" s="39">
        <f t="shared" si="42"/>
        <v>34</v>
      </c>
      <c r="AB149" s="39">
        <f t="shared" si="42"/>
        <v>31.35</v>
      </c>
      <c r="AC149" s="41">
        <f t="shared" si="32"/>
        <v>6058</v>
      </c>
      <c r="AD149" s="82">
        <f t="shared" si="33"/>
        <v>205972</v>
      </c>
      <c r="AE149" s="82">
        <f t="shared" si="34"/>
        <v>189918.30000000002</v>
      </c>
      <c r="AF149" s="82">
        <f t="shared" si="35"/>
        <v>395890.30000000005</v>
      </c>
      <c r="AG149" s="39"/>
      <c r="AH149" s="39"/>
      <c r="AI149" s="79"/>
      <c r="AJ149" s="79"/>
      <c r="AK149" s="79"/>
      <c r="AL149" s="79"/>
      <c r="AM149" s="79"/>
      <c r="AN149" s="79"/>
      <c r="AO149" s="79"/>
      <c r="AP149" s="79"/>
      <c r="AQ149" s="3" t="s">
        <v>283</v>
      </c>
      <c r="AR149" s="3" t="s">
        <v>304</v>
      </c>
      <c r="AS149" s="3" t="s">
        <v>873</v>
      </c>
      <c r="AT149" s="49">
        <v>6058</v>
      </c>
      <c r="AU149" s="3" t="str">
        <f t="shared" si="43"/>
        <v>match</v>
      </c>
      <c r="AV149" s="3" t="str">
        <f t="shared" si="44"/>
        <v>match</v>
      </c>
    </row>
    <row r="150" spans="1:48" ht="12">
      <c r="A150" s="9" t="s">
        <v>283</v>
      </c>
      <c r="B150" s="10" t="s">
        <v>306</v>
      </c>
      <c r="C150" s="56" t="s">
        <v>307</v>
      </c>
      <c r="D150" s="56"/>
      <c r="E150" s="11">
        <v>45</v>
      </c>
      <c r="F150" s="11"/>
      <c r="G150" s="11"/>
      <c r="H150" s="11"/>
      <c r="I150" s="11"/>
      <c r="J150" s="11"/>
      <c r="K150" s="11">
        <f t="shared" si="36"/>
        <v>45</v>
      </c>
      <c r="L150" s="11">
        <f t="shared" si="37"/>
        <v>32.4</v>
      </c>
      <c r="M150" s="11"/>
      <c r="N150" s="11"/>
      <c r="O150" s="11">
        <v>5</v>
      </c>
      <c r="P150" s="11"/>
      <c r="Q150" s="11">
        <v>10</v>
      </c>
      <c r="R150" s="11">
        <f t="shared" si="38"/>
        <v>15</v>
      </c>
      <c r="S150" s="11">
        <f t="shared" si="39"/>
        <v>18.149999999999999</v>
      </c>
      <c r="T150" s="11">
        <v>1</v>
      </c>
      <c r="U150" s="11">
        <v>2</v>
      </c>
      <c r="V150" s="11"/>
      <c r="W150" s="11"/>
      <c r="X150" s="11">
        <v>9</v>
      </c>
      <c r="Y150" s="11">
        <f t="shared" si="40"/>
        <v>12</v>
      </c>
      <c r="Z150" s="11">
        <f t="shared" si="41"/>
        <v>30.14</v>
      </c>
      <c r="AA150" s="11">
        <f t="shared" si="42"/>
        <v>72</v>
      </c>
      <c r="AB150" s="11">
        <f t="shared" si="42"/>
        <v>80.69</v>
      </c>
      <c r="AC150" s="42">
        <f t="shared" si="32"/>
        <v>5929</v>
      </c>
      <c r="AD150" s="83">
        <f t="shared" si="33"/>
        <v>426888</v>
      </c>
      <c r="AE150" s="83">
        <f t="shared" si="34"/>
        <v>478411.01</v>
      </c>
      <c r="AF150" s="83">
        <f t="shared" si="35"/>
        <v>905299.01</v>
      </c>
      <c r="AG150" s="11"/>
      <c r="AH150" s="11"/>
      <c r="AI150" s="78"/>
      <c r="AJ150" s="78"/>
      <c r="AK150" s="78"/>
      <c r="AL150" s="78"/>
      <c r="AM150" s="78"/>
      <c r="AN150" s="78"/>
      <c r="AO150" s="78"/>
      <c r="AP150" s="78"/>
      <c r="AQ150" s="3" t="s">
        <v>283</v>
      </c>
      <c r="AR150" s="3" t="s">
        <v>306</v>
      </c>
      <c r="AS150" s="3" t="s">
        <v>874</v>
      </c>
      <c r="AT150" s="49">
        <v>5929</v>
      </c>
      <c r="AU150" s="3" t="str">
        <f t="shared" si="43"/>
        <v>match</v>
      </c>
      <c r="AV150" s="3" t="str">
        <f t="shared" si="44"/>
        <v>match</v>
      </c>
    </row>
    <row r="151" spans="1:48" ht="12">
      <c r="A151" s="9" t="s">
        <v>283</v>
      </c>
      <c r="B151" s="12" t="s">
        <v>308</v>
      </c>
      <c r="C151" s="13" t="s">
        <v>309</v>
      </c>
      <c r="D151" s="8"/>
      <c r="E151" s="39">
        <v>35</v>
      </c>
      <c r="F151" s="39"/>
      <c r="G151" s="39"/>
      <c r="H151" s="39"/>
      <c r="I151" s="39"/>
      <c r="J151" s="39"/>
      <c r="K151" s="39">
        <f t="shared" si="36"/>
        <v>35</v>
      </c>
      <c r="L151" s="39">
        <f t="shared" si="37"/>
        <v>25.2</v>
      </c>
      <c r="M151" s="39"/>
      <c r="N151" s="39"/>
      <c r="O151" s="39"/>
      <c r="P151" s="39"/>
      <c r="Q151" s="39">
        <v>15</v>
      </c>
      <c r="R151" s="39">
        <f t="shared" si="38"/>
        <v>15</v>
      </c>
      <c r="S151" s="39">
        <f t="shared" si="39"/>
        <v>18.149999999999999</v>
      </c>
      <c r="T151" s="39"/>
      <c r="U151" s="39"/>
      <c r="V151" s="39">
        <v>1</v>
      </c>
      <c r="W151" s="39"/>
      <c r="X151" s="39">
        <v>4</v>
      </c>
      <c r="Y151" s="39">
        <f t="shared" si="40"/>
        <v>5</v>
      </c>
      <c r="Z151" s="39">
        <f t="shared" si="41"/>
        <v>13.700000000000001</v>
      </c>
      <c r="AA151" s="39">
        <f t="shared" si="42"/>
        <v>55</v>
      </c>
      <c r="AB151" s="39">
        <f t="shared" si="42"/>
        <v>57.05</v>
      </c>
      <c r="AC151" s="41">
        <f t="shared" si="32"/>
        <v>5883</v>
      </c>
      <c r="AD151" s="82">
        <f t="shared" si="33"/>
        <v>323565</v>
      </c>
      <c r="AE151" s="82">
        <f t="shared" si="34"/>
        <v>335625.14999999997</v>
      </c>
      <c r="AF151" s="82">
        <f t="shared" si="35"/>
        <v>659190.14999999991</v>
      </c>
      <c r="AG151" s="39"/>
      <c r="AH151" s="39"/>
      <c r="AI151" s="79"/>
      <c r="AJ151" s="79"/>
      <c r="AK151" s="79"/>
      <c r="AL151" s="79"/>
      <c r="AM151" s="79"/>
      <c r="AN151" s="79"/>
      <c r="AO151" s="79"/>
      <c r="AP151" s="79"/>
      <c r="AQ151" s="3" t="s">
        <v>283</v>
      </c>
      <c r="AR151" s="3" t="s">
        <v>308</v>
      </c>
      <c r="AS151" s="3" t="s">
        <v>875</v>
      </c>
      <c r="AT151" s="49">
        <v>5883</v>
      </c>
      <c r="AU151" s="3" t="str">
        <f t="shared" si="43"/>
        <v>match</v>
      </c>
      <c r="AV151" s="3" t="str">
        <f t="shared" si="44"/>
        <v>match</v>
      </c>
    </row>
    <row r="152" spans="1:48" ht="12">
      <c r="A152" s="9" t="s">
        <v>283</v>
      </c>
      <c r="B152" s="10" t="s">
        <v>310</v>
      </c>
      <c r="C152" s="56" t="s">
        <v>311</v>
      </c>
      <c r="D152" s="56"/>
      <c r="E152" s="11">
        <v>53</v>
      </c>
      <c r="F152" s="11"/>
      <c r="G152" s="11"/>
      <c r="H152" s="11"/>
      <c r="I152" s="11"/>
      <c r="J152" s="11"/>
      <c r="K152" s="11">
        <f t="shared" si="36"/>
        <v>53</v>
      </c>
      <c r="L152" s="11">
        <f t="shared" si="37"/>
        <v>38.159999999999997</v>
      </c>
      <c r="M152" s="11"/>
      <c r="N152" s="11">
        <v>4</v>
      </c>
      <c r="O152" s="11">
        <v>5</v>
      </c>
      <c r="P152" s="11"/>
      <c r="Q152" s="11">
        <v>36</v>
      </c>
      <c r="R152" s="11">
        <f t="shared" si="38"/>
        <v>45</v>
      </c>
      <c r="S152" s="11">
        <f t="shared" si="39"/>
        <v>52.05</v>
      </c>
      <c r="T152" s="11"/>
      <c r="U152" s="11"/>
      <c r="V152" s="11">
        <v>1</v>
      </c>
      <c r="W152" s="11"/>
      <c r="X152" s="11">
        <v>8</v>
      </c>
      <c r="Y152" s="11">
        <f t="shared" si="40"/>
        <v>9</v>
      </c>
      <c r="Z152" s="11">
        <f t="shared" si="41"/>
        <v>24.660000000000004</v>
      </c>
      <c r="AA152" s="11">
        <f t="shared" si="42"/>
        <v>107</v>
      </c>
      <c r="AB152" s="11">
        <f t="shared" si="42"/>
        <v>114.87</v>
      </c>
      <c r="AC152" s="42">
        <f t="shared" si="32"/>
        <v>5883</v>
      </c>
      <c r="AD152" s="83">
        <f t="shared" si="33"/>
        <v>629481</v>
      </c>
      <c r="AE152" s="83">
        <f t="shared" si="34"/>
        <v>675780.21000000008</v>
      </c>
      <c r="AF152" s="83">
        <f t="shared" si="35"/>
        <v>1305261.21</v>
      </c>
      <c r="AG152" s="11"/>
      <c r="AH152" s="11"/>
      <c r="AI152" s="78"/>
      <c r="AJ152" s="78"/>
      <c r="AK152" s="78"/>
      <c r="AL152" s="78"/>
      <c r="AM152" s="78"/>
      <c r="AN152" s="78"/>
      <c r="AO152" s="78"/>
      <c r="AP152" s="78"/>
      <c r="AQ152" s="3" t="s">
        <v>283</v>
      </c>
      <c r="AR152" s="3" t="s">
        <v>310</v>
      </c>
      <c r="AS152" s="3" t="s">
        <v>876</v>
      </c>
      <c r="AT152" s="49">
        <v>5883</v>
      </c>
      <c r="AU152" s="3" t="str">
        <f t="shared" si="43"/>
        <v>match</v>
      </c>
      <c r="AV152" s="3" t="str">
        <f t="shared" si="44"/>
        <v>match</v>
      </c>
    </row>
    <row r="153" spans="1:48" ht="12">
      <c r="A153" s="9" t="s">
        <v>283</v>
      </c>
      <c r="B153" s="12" t="s">
        <v>312</v>
      </c>
      <c r="C153" s="13" t="s">
        <v>313</v>
      </c>
      <c r="D153" s="8"/>
      <c r="E153" s="39">
        <v>120</v>
      </c>
      <c r="F153" s="39"/>
      <c r="G153" s="39"/>
      <c r="H153" s="39"/>
      <c r="I153" s="39"/>
      <c r="J153" s="39"/>
      <c r="K153" s="39">
        <f t="shared" si="36"/>
        <v>120</v>
      </c>
      <c r="L153" s="39">
        <f t="shared" si="37"/>
        <v>86.399999999999991</v>
      </c>
      <c r="M153" s="39"/>
      <c r="N153" s="39">
        <v>18</v>
      </c>
      <c r="O153" s="39">
        <v>3</v>
      </c>
      <c r="P153" s="39"/>
      <c r="Q153" s="39">
        <v>62</v>
      </c>
      <c r="R153" s="39">
        <f t="shared" si="38"/>
        <v>83</v>
      </c>
      <c r="S153" s="39">
        <f t="shared" si="39"/>
        <v>89.63</v>
      </c>
      <c r="T153" s="39"/>
      <c r="U153" s="39">
        <v>2</v>
      </c>
      <c r="V153" s="39">
        <v>2</v>
      </c>
      <c r="W153" s="39"/>
      <c r="X153" s="39">
        <v>35</v>
      </c>
      <c r="Y153" s="39">
        <f t="shared" si="40"/>
        <v>39</v>
      </c>
      <c r="Z153" s="39">
        <f t="shared" si="41"/>
        <v>104.12</v>
      </c>
      <c r="AA153" s="39">
        <f t="shared" si="42"/>
        <v>242</v>
      </c>
      <c r="AB153" s="39">
        <f t="shared" si="42"/>
        <v>280.14999999999998</v>
      </c>
      <c r="AC153" s="41">
        <f t="shared" si="32"/>
        <v>5883</v>
      </c>
      <c r="AD153" s="82">
        <f t="shared" si="33"/>
        <v>1423686</v>
      </c>
      <c r="AE153" s="82">
        <f t="shared" si="34"/>
        <v>1648122.45</v>
      </c>
      <c r="AF153" s="82">
        <f t="shared" si="35"/>
        <v>3071808.45</v>
      </c>
      <c r="AG153" s="39"/>
      <c r="AH153" s="39"/>
      <c r="AI153" s="79"/>
      <c r="AJ153" s="79"/>
      <c r="AK153" s="79"/>
      <c r="AL153" s="79"/>
      <c r="AM153" s="79"/>
      <c r="AN153" s="79"/>
      <c r="AO153" s="79"/>
      <c r="AP153" s="79"/>
      <c r="AQ153" s="3" t="s">
        <v>283</v>
      </c>
      <c r="AR153" s="3" t="s">
        <v>312</v>
      </c>
      <c r="AS153" s="3" t="s">
        <v>877</v>
      </c>
      <c r="AT153" s="49">
        <v>5883</v>
      </c>
      <c r="AU153" s="3" t="str">
        <f t="shared" si="43"/>
        <v>match</v>
      </c>
      <c r="AV153" s="3" t="str">
        <f t="shared" si="44"/>
        <v>match</v>
      </c>
    </row>
    <row r="154" spans="1:48" ht="12">
      <c r="A154" s="9" t="s">
        <v>283</v>
      </c>
      <c r="B154" s="10" t="s">
        <v>314</v>
      </c>
      <c r="C154" s="56" t="s">
        <v>315</v>
      </c>
      <c r="D154" s="56"/>
      <c r="E154" s="11">
        <v>338</v>
      </c>
      <c r="F154" s="11"/>
      <c r="G154" s="11"/>
      <c r="H154" s="11"/>
      <c r="I154" s="11"/>
      <c r="J154" s="11"/>
      <c r="K154" s="11">
        <f t="shared" si="36"/>
        <v>338</v>
      </c>
      <c r="L154" s="11">
        <f t="shared" si="37"/>
        <v>243.35999999999999</v>
      </c>
      <c r="M154" s="11"/>
      <c r="N154" s="11">
        <v>27</v>
      </c>
      <c r="O154" s="11">
        <v>24</v>
      </c>
      <c r="P154" s="11"/>
      <c r="Q154" s="11">
        <v>195</v>
      </c>
      <c r="R154" s="11">
        <f t="shared" si="38"/>
        <v>246</v>
      </c>
      <c r="S154" s="11">
        <f t="shared" si="39"/>
        <v>281.46000000000004</v>
      </c>
      <c r="T154" s="11"/>
      <c r="U154" s="11">
        <v>4</v>
      </c>
      <c r="V154" s="11">
        <v>3</v>
      </c>
      <c r="W154" s="11"/>
      <c r="X154" s="11">
        <v>89</v>
      </c>
      <c r="Y154" s="11">
        <f t="shared" si="40"/>
        <v>96</v>
      </c>
      <c r="Z154" s="11">
        <f t="shared" si="41"/>
        <v>257.56</v>
      </c>
      <c r="AA154" s="11">
        <f t="shared" si="42"/>
        <v>680</v>
      </c>
      <c r="AB154" s="11">
        <f t="shared" si="42"/>
        <v>782.38000000000011</v>
      </c>
      <c r="AC154" s="42">
        <f t="shared" si="32"/>
        <v>5883</v>
      </c>
      <c r="AD154" s="83">
        <f t="shared" si="33"/>
        <v>4000440</v>
      </c>
      <c r="AE154" s="83">
        <f t="shared" si="34"/>
        <v>4602741.540000001</v>
      </c>
      <c r="AF154" s="83">
        <f t="shared" si="35"/>
        <v>8603181.540000001</v>
      </c>
      <c r="AG154" s="11"/>
      <c r="AH154" s="11"/>
      <c r="AI154" s="78"/>
      <c r="AJ154" s="78"/>
      <c r="AK154" s="78"/>
      <c r="AL154" s="78"/>
      <c r="AM154" s="78"/>
      <c r="AN154" s="78"/>
      <c r="AO154" s="78"/>
      <c r="AP154" s="78"/>
      <c r="AQ154" s="3" t="s">
        <v>283</v>
      </c>
      <c r="AR154" s="3" t="s">
        <v>314</v>
      </c>
      <c r="AS154" s="3" t="s">
        <v>878</v>
      </c>
      <c r="AT154" s="49">
        <v>5883</v>
      </c>
      <c r="AU154" s="3" t="str">
        <f t="shared" si="43"/>
        <v>match</v>
      </c>
      <c r="AV154" s="3" t="str">
        <f t="shared" si="44"/>
        <v>match</v>
      </c>
    </row>
    <row r="155" spans="1:48" ht="12">
      <c r="A155" s="9" t="s">
        <v>283</v>
      </c>
      <c r="B155" s="12" t="s">
        <v>316</v>
      </c>
      <c r="C155" s="13" t="s">
        <v>317</v>
      </c>
      <c r="D155" s="8"/>
      <c r="E155" s="39">
        <v>36</v>
      </c>
      <c r="F155" s="39"/>
      <c r="G155" s="39"/>
      <c r="H155" s="39"/>
      <c r="I155" s="39"/>
      <c r="J155" s="39"/>
      <c r="K155" s="39">
        <f t="shared" si="36"/>
        <v>36</v>
      </c>
      <c r="L155" s="39">
        <f t="shared" si="37"/>
        <v>25.919999999999998</v>
      </c>
      <c r="M155" s="39"/>
      <c r="N155" s="39">
        <v>1</v>
      </c>
      <c r="O155" s="39">
        <v>2</v>
      </c>
      <c r="P155" s="39"/>
      <c r="Q155" s="39">
        <v>5</v>
      </c>
      <c r="R155" s="39">
        <f t="shared" si="38"/>
        <v>8</v>
      </c>
      <c r="S155" s="39">
        <f t="shared" si="39"/>
        <v>9.0799999999999983</v>
      </c>
      <c r="T155" s="39"/>
      <c r="U155" s="39"/>
      <c r="V155" s="39"/>
      <c r="W155" s="39"/>
      <c r="X155" s="39">
        <v>6</v>
      </c>
      <c r="Y155" s="39">
        <f t="shared" si="40"/>
        <v>6</v>
      </c>
      <c r="Z155" s="39">
        <f t="shared" si="41"/>
        <v>16.440000000000001</v>
      </c>
      <c r="AA155" s="39">
        <f t="shared" si="42"/>
        <v>50</v>
      </c>
      <c r="AB155" s="39">
        <f t="shared" si="42"/>
        <v>51.44</v>
      </c>
      <c r="AC155" s="41">
        <f t="shared" si="32"/>
        <v>6003</v>
      </c>
      <c r="AD155" s="82">
        <f t="shared" si="33"/>
        <v>300150</v>
      </c>
      <c r="AE155" s="82">
        <f t="shared" si="34"/>
        <v>308794.32</v>
      </c>
      <c r="AF155" s="82">
        <f t="shared" si="35"/>
        <v>608944.32000000007</v>
      </c>
      <c r="AG155" s="39"/>
      <c r="AH155" s="39"/>
      <c r="AI155" s="79"/>
      <c r="AJ155" s="79"/>
      <c r="AK155" s="79"/>
      <c r="AL155" s="79"/>
      <c r="AM155" s="79"/>
      <c r="AN155" s="79"/>
      <c r="AO155" s="79"/>
      <c r="AP155" s="79"/>
      <c r="AQ155" s="3" t="s">
        <v>283</v>
      </c>
      <c r="AR155" s="3" t="s">
        <v>316</v>
      </c>
      <c r="AS155" s="3" t="s">
        <v>879</v>
      </c>
      <c r="AT155" s="49">
        <v>6003</v>
      </c>
      <c r="AU155" s="3" t="str">
        <f t="shared" si="43"/>
        <v>match</v>
      </c>
      <c r="AV155" s="3" t="str">
        <f t="shared" si="44"/>
        <v>match</v>
      </c>
    </row>
    <row r="156" spans="1:48" ht="12">
      <c r="A156" s="9" t="s">
        <v>283</v>
      </c>
      <c r="B156" s="10" t="s">
        <v>318</v>
      </c>
      <c r="C156" s="56" t="s">
        <v>319</v>
      </c>
      <c r="D156" s="56"/>
      <c r="E156" s="11">
        <v>131</v>
      </c>
      <c r="F156" s="11"/>
      <c r="G156" s="11"/>
      <c r="H156" s="11"/>
      <c r="I156" s="11"/>
      <c r="J156" s="11"/>
      <c r="K156" s="11">
        <f t="shared" si="36"/>
        <v>131</v>
      </c>
      <c r="L156" s="11">
        <f t="shared" si="37"/>
        <v>94.32</v>
      </c>
      <c r="M156" s="11"/>
      <c r="N156" s="11">
        <v>10</v>
      </c>
      <c r="O156" s="11">
        <v>2</v>
      </c>
      <c r="P156" s="11"/>
      <c r="Q156" s="11">
        <v>68</v>
      </c>
      <c r="R156" s="11">
        <f t="shared" si="38"/>
        <v>80</v>
      </c>
      <c r="S156" s="11">
        <f t="shared" si="39"/>
        <v>90.8</v>
      </c>
      <c r="T156" s="11"/>
      <c r="U156" s="11">
        <v>1</v>
      </c>
      <c r="V156" s="11"/>
      <c r="W156" s="11"/>
      <c r="X156" s="11">
        <v>29</v>
      </c>
      <c r="Y156" s="11">
        <f t="shared" si="40"/>
        <v>30</v>
      </c>
      <c r="Z156" s="11">
        <f t="shared" si="41"/>
        <v>80.830000000000013</v>
      </c>
      <c r="AA156" s="11">
        <f t="shared" si="42"/>
        <v>241</v>
      </c>
      <c r="AB156" s="11">
        <f t="shared" si="42"/>
        <v>265.95000000000005</v>
      </c>
      <c r="AC156" s="42">
        <f t="shared" ref="AC156:AC219" si="49">+AT156</f>
        <v>5883</v>
      </c>
      <c r="AD156" s="83">
        <f t="shared" ref="AD156:AD160" si="50">+AC156*AA156</f>
        <v>1417803</v>
      </c>
      <c r="AE156" s="83">
        <f t="shared" ref="AE156:AE160" si="51">+AC156*AB156</f>
        <v>1564583.8500000003</v>
      </c>
      <c r="AF156" s="83">
        <f t="shared" ref="AF156:AF160" si="52">+AE156+AD156</f>
        <v>2982386.8500000006</v>
      </c>
      <c r="AG156" s="11"/>
      <c r="AH156" s="11"/>
      <c r="AI156" s="78"/>
      <c r="AJ156" s="78"/>
      <c r="AK156" s="78"/>
      <c r="AL156" s="78"/>
      <c r="AM156" s="78"/>
      <c r="AN156" s="78"/>
      <c r="AO156" s="78"/>
      <c r="AP156" s="78"/>
      <c r="AQ156" s="3" t="s">
        <v>283</v>
      </c>
      <c r="AR156" s="3" t="s">
        <v>318</v>
      </c>
      <c r="AS156" s="3" t="s">
        <v>880</v>
      </c>
      <c r="AT156" s="49">
        <v>5883</v>
      </c>
      <c r="AU156" s="3" t="str">
        <f t="shared" si="43"/>
        <v>match</v>
      </c>
      <c r="AV156" s="3" t="str">
        <f t="shared" si="44"/>
        <v>match</v>
      </c>
    </row>
    <row r="157" spans="1:48" ht="12">
      <c r="A157" s="9" t="s">
        <v>283</v>
      </c>
      <c r="B157" s="12" t="s">
        <v>320</v>
      </c>
      <c r="C157" s="13" t="s">
        <v>321</v>
      </c>
      <c r="D157" s="8"/>
      <c r="E157" s="39">
        <v>152</v>
      </c>
      <c r="F157" s="39"/>
      <c r="G157" s="39"/>
      <c r="H157" s="39"/>
      <c r="I157" s="39"/>
      <c r="J157" s="39"/>
      <c r="K157" s="39">
        <f t="shared" si="36"/>
        <v>152</v>
      </c>
      <c r="L157" s="39">
        <f t="shared" si="37"/>
        <v>109.44</v>
      </c>
      <c r="M157" s="39"/>
      <c r="N157" s="39">
        <v>7</v>
      </c>
      <c r="O157" s="39">
        <v>4</v>
      </c>
      <c r="P157" s="39"/>
      <c r="Q157" s="39">
        <v>52</v>
      </c>
      <c r="R157" s="39">
        <f t="shared" si="38"/>
        <v>63</v>
      </c>
      <c r="S157" s="39">
        <f t="shared" si="39"/>
        <v>72.029999999999987</v>
      </c>
      <c r="T157" s="39"/>
      <c r="U157" s="39">
        <v>3</v>
      </c>
      <c r="V157" s="39">
        <v>2</v>
      </c>
      <c r="W157" s="39"/>
      <c r="X157" s="39">
        <v>29</v>
      </c>
      <c r="Y157" s="39">
        <f t="shared" si="40"/>
        <v>34</v>
      </c>
      <c r="Z157" s="39">
        <f t="shared" si="41"/>
        <v>89.050000000000011</v>
      </c>
      <c r="AA157" s="39">
        <f t="shared" si="42"/>
        <v>249</v>
      </c>
      <c r="AB157" s="39">
        <f t="shared" si="42"/>
        <v>270.52</v>
      </c>
      <c r="AC157" s="41">
        <f t="shared" si="49"/>
        <v>6016</v>
      </c>
      <c r="AD157" s="82">
        <f t="shared" si="50"/>
        <v>1497984</v>
      </c>
      <c r="AE157" s="82">
        <f t="shared" si="51"/>
        <v>1627448.3199999998</v>
      </c>
      <c r="AF157" s="82">
        <f t="shared" si="52"/>
        <v>3125432.3199999998</v>
      </c>
      <c r="AG157" s="39"/>
      <c r="AH157" s="39"/>
      <c r="AI157" s="79"/>
      <c r="AJ157" s="79"/>
      <c r="AK157" s="79"/>
      <c r="AL157" s="79"/>
      <c r="AM157" s="79"/>
      <c r="AN157" s="79"/>
      <c r="AO157" s="79"/>
      <c r="AP157" s="79"/>
      <c r="AQ157" s="3" t="s">
        <v>283</v>
      </c>
      <c r="AR157" s="3" t="s">
        <v>320</v>
      </c>
      <c r="AS157" s="3" t="s">
        <v>881</v>
      </c>
      <c r="AT157" s="49">
        <v>6016</v>
      </c>
      <c r="AU157" s="3" t="str">
        <f t="shared" si="43"/>
        <v>match</v>
      </c>
      <c r="AV157" s="3" t="str">
        <f t="shared" si="44"/>
        <v>match</v>
      </c>
    </row>
    <row r="158" spans="1:48" ht="12">
      <c r="A158" s="9" t="s">
        <v>283</v>
      </c>
      <c r="B158" s="10" t="s">
        <v>322</v>
      </c>
      <c r="C158" s="56" t="s">
        <v>323</v>
      </c>
      <c r="D158" s="56"/>
      <c r="E158" s="11">
        <v>30</v>
      </c>
      <c r="F158" s="11"/>
      <c r="G158" s="11"/>
      <c r="H158" s="11"/>
      <c r="I158" s="11"/>
      <c r="J158" s="11"/>
      <c r="K158" s="11">
        <f t="shared" si="36"/>
        <v>30</v>
      </c>
      <c r="L158" s="11">
        <f t="shared" si="37"/>
        <v>21.599999999999998</v>
      </c>
      <c r="M158" s="11"/>
      <c r="N158" s="11"/>
      <c r="O158" s="11"/>
      <c r="P158" s="11"/>
      <c r="Q158" s="11">
        <v>6</v>
      </c>
      <c r="R158" s="11">
        <f t="shared" si="38"/>
        <v>6</v>
      </c>
      <c r="S158" s="11">
        <f t="shared" si="39"/>
        <v>7.26</v>
      </c>
      <c r="T158" s="11"/>
      <c r="U158" s="11"/>
      <c r="V158" s="11"/>
      <c r="W158" s="11"/>
      <c r="X158" s="11">
        <v>3</v>
      </c>
      <c r="Y158" s="11">
        <f t="shared" si="40"/>
        <v>3</v>
      </c>
      <c r="Z158" s="11">
        <f t="shared" si="41"/>
        <v>8.2200000000000006</v>
      </c>
      <c r="AA158" s="11">
        <f t="shared" si="42"/>
        <v>39</v>
      </c>
      <c r="AB158" s="11">
        <f t="shared" si="42"/>
        <v>37.08</v>
      </c>
      <c r="AC158" s="42">
        <f t="shared" si="49"/>
        <v>5883</v>
      </c>
      <c r="AD158" s="83">
        <f t="shared" si="50"/>
        <v>229437</v>
      </c>
      <c r="AE158" s="83">
        <f t="shared" si="51"/>
        <v>218141.63999999998</v>
      </c>
      <c r="AF158" s="83">
        <f t="shared" si="52"/>
        <v>447578.64</v>
      </c>
      <c r="AG158" s="11"/>
      <c r="AH158" s="11"/>
      <c r="AI158" s="78"/>
      <c r="AJ158" s="78"/>
      <c r="AK158" s="78"/>
      <c r="AL158" s="78"/>
      <c r="AM158" s="78"/>
      <c r="AN158" s="78"/>
      <c r="AO158" s="78"/>
      <c r="AP158" s="78"/>
      <c r="AQ158" s="3" t="s">
        <v>283</v>
      </c>
      <c r="AR158" s="3" t="s">
        <v>322</v>
      </c>
      <c r="AS158" s="3" t="s">
        <v>882</v>
      </c>
      <c r="AT158" s="49">
        <v>5883</v>
      </c>
      <c r="AU158" s="3" t="str">
        <f t="shared" si="43"/>
        <v>match</v>
      </c>
      <c r="AV158" s="3" t="str">
        <f t="shared" si="44"/>
        <v>match</v>
      </c>
    </row>
    <row r="159" spans="1:48" ht="12">
      <c r="A159" s="9" t="s">
        <v>283</v>
      </c>
      <c r="B159" s="12" t="s">
        <v>324</v>
      </c>
      <c r="C159" s="13" t="s">
        <v>325</v>
      </c>
      <c r="D159" s="8"/>
      <c r="E159" s="39">
        <v>98</v>
      </c>
      <c r="F159" s="39"/>
      <c r="G159" s="39"/>
      <c r="H159" s="39"/>
      <c r="I159" s="39"/>
      <c r="J159" s="39"/>
      <c r="K159" s="39">
        <f t="shared" si="36"/>
        <v>98</v>
      </c>
      <c r="L159" s="39">
        <f t="shared" si="37"/>
        <v>70.56</v>
      </c>
      <c r="M159" s="39"/>
      <c r="N159" s="39"/>
      <c r="O159" s="39">
        <v>5</v>
      </c>
      <c r="P159" s="39"/>
      <c r="Q159" s="39">
        <v>24</v>
      </c>
      <c r="R159" s="39">
        <f t="shared" si="38"/>
        <v>29</v>
      </c>
      <c r="S159" s="39">
        <f t="shared" si="39"/>
        <v>35.089999999999996</v>
      </c>
      <c r="T159" s="39"/>
      <c r="U159" s="39"/>
      <c r="V159" s="39">
        <v>2</v>
      </c>
      <c r="W159" s="39"/>
      <c r="X159" s="39">
        <v>13</v>
      </c>
      <c r="Y159" s="39">
        <f t="shared" si="40"/>
        <v>15</v>
      </c>
      <c r="Z159" s="39">
        <f t="shared" si="41"/>
        <v>41.1</v>
      </c>
      <c r="AA159" s="39">
        <f t="shared" si="42"/>
        <v>142</v>
      </c>
      <c r="AB159" s="39">
        <f t="shared" si="42"/>
        <v>146.75</v>
      </c>
      <c r="AC159" s="41">
        <f t="shared" si="49"/>
        <v>5883</v>
      </c>
      <c r="AD159" s="82">
        <f t="shared" si="50"/>
        <v>835386</v>
      </c>
      <c r="AE159" s="82">
        <f t="shared" si="51"/>
        <v>863330.25</v>
      </c>
      <c r="AF159" s="82">
        <f t="shared" si="52"/>
        <v>1698716.25</v>
      </c>
      <c r="AG159" s="39"/>
      <c r="AH159" s="39"/>
      <c r="AI159" s="79"/>
      <c r="AJ159" s="79"/>
      <c r="AK159" s="79"/>
      <c r="AL159" s="79"/>
      <c r="AM159" s="79"/>
      <c r="AN159" s="79"/>
      <c r="AO159" s="79"/>
      <c r="AP159" s="79"/>
      <c r="AQ159" s="3" t="s">
        <v>283</v>
      </c>
      <c r="AR159" s="3" t="s">
        <v>324</v>
      </c>
      <c r="AS159" s="3" t="s">
        <v>883</v>
      </c>
      <c r="AT159" s="49">
        <v>5883</v>
      </c>
      <c r="AU159" s="3" t="str">
        <f t="shared" si="43"/>
        <v>match</v>
      </c>
      <c r="AV159" s="3" t="str">
        <f t="shared" si="44"/>
        <v>match</v>
      </c>
    </row>
    <row r="160" spans="1:48" ht="12.75" thickBot="1">
      <c r="A160" s="9" t="s">
        <v>283</v>
      </c>
      <c r="B160" s="10" t="s">
        <v>326</v>
      </c>
      <c r="C160" s="56" t="s">
        <v>327</v>
      </c>
      <c r="D160" s="56"/>
      <c r="E160" s="11">
        <v>53</v>
      </c>
      <c r="F160" s="11"/>
      <c r="G160" s="11"/>
      <c r="H160" s="11"/>
      <c r="I160" s="11"/>
      <c r="J160" s="11"/>
      <c r="K160" s="11">
        <f t="shared" si="36"/>
        <v>53</v>
      </c>
      <c r="L160" s="11">
        <f t="shared" si="37"/>
        <v>38.159999999999997</v>
      </c>
      <c r="M160" s="11"/>
      <c r="N160" s="11"/>
      <c r="O160" s="11">
        <v>1</v>
      </c>
      <c r="P160" s="11"/>
      <c r="Q160" s="11">
        <v>20</v>
      </c>
      <c r="R160" s="11">
        <f t="shared" si="38"/>
        <v>21</v>
      </c>
      <c r="S160" s="11">
        <f t="shared" si="39"/>
        <v>25.41</v>
      </c>
      <c r="T160" s="11"/>
      <c r="U160" s="11">
        <v>1</v>
      </c>
      <c r="V160" s="11">
        <v>1</v>
      </c>
      <c r="W160" s="11"/>
      <c r="X160" s="11">
        <v>15</v>
      </c>
      <c r="Y160" s="11">
        <f t="shared" si="40"/>
        <v>17</v>
      </c>
      <c r="Z160" s="11">
        <f t="shared" si="41"/>
        <v>45.21</v>
      </c>
      <c r="AA160" s="11">
        <f t="shared" si="42"/>
        <v>91</v>
      </c>
      <c r="AB160" s="11">
        <f t="shared" si="42"/>
        <v>108.78</v>
      </c>
      <c r="AC160" s="42">
        <f t="shared" si="49"/>
        <v>5883</v>
      </c>
      <c r="AD160" s="83">
        <f t="shared" si="50"/>
        <v>535353</v>
      </c>
      <c r="AE160" s="83">
        <f t="shared" si="51"/>
        <v>639952.74</v>
      </c>
      <c r="AF160" s="83">
        <f t="shared" si="52"/>
        <v>1175305.74</v>
      </c>
      <c r="AG160" s="11"/>
      <c r="AH160" s="11"/>
      <c r="AI160" s="78"/>
      <c r="AJ160" s="78"/>
      <c r="AK160" s="78"/>
      <c r="AL160" s="78"/>
      <c r="AM160" s="78"/>
      <c r="AN160" s="78"/>
      <c r="AO160" s="78"/>
      <c r="AP160" s="78"/>
      <c r="AQ160" s="3" t="s">
        <v>283</v>
      </c>
      <c r="AR160" s="3" t="s">
        <v>326</v>
      </c>
      <c r="AS160" s="3" t="s">
        <v>884</v>
      </c>
      <c r="AT160" s="49">
        <v>5883</v>
      </c>
      <c r="AU160" s="3" t="str">
        <f t="shared" si="43"/>
        <v>match</v>
      </c>
      <c r="AV160" s="3" t="str">
        <f t="shared" si="44"/>
        <v>match</v>
      </c>
    </row>
    <row r="161" spans="1:48" ht="12.75" thickBot="1">
      <c r="A161" s="17" t="s">
        <v>283</v>
      </c>
      <c r="B161" s="17">
        <v>9209</v>
      </c>
      <c r="C161" s="18" t="s">
        <v>328</v>
      </c>
      <c r="D161" s="93"/>
      <c r="E161" s="19">
        <f>SUM(E139:E160)</f>
        <v>3338</v>
      </c>
      <c r="F161" s="19">
        <f t="shared" ref="F161:AB161" si="53">SUM(F139:F160)</f>
        <v>0</v>
      </c>
      <c r="G161" s="19">
        <f t="shared" si="53"/>
        <v>0</v>
      </c>
      <c r="H161" s="19">
        <f t="shared" si="53"/>
        <v>1</v>
      </c>
      <c r="I161" s="19">
        <f t="shared" si="53"/>
        <v>0</v>
      </c>
      <c r="J161" s="19">
        <f t="shared" si="53"/>
        <v>0</v>
      </c>
      <c r="K161" s="19">
        <f t="shared" si="53"/>
        <v>3339</v>
      </c>
      <c r="L161" s="19">
        <f t="shared" si="53"/>
        <v>2404.08</v>
      </c>
      <c r="M161" s="19">
        <f t="shared" si="53"/>
        <v>0</v>
      </c>
      <c r="N161" s="19">
        <f t="shared" si="53"/>
        <v>162</v>
      </c>
      <c r="O161" s="19">
        <f t="shared" si="53"/>
        <v>225</v>
      </c>
      <c r="P161" s="19">
        <f t="shared" si="53"/>
        <v>0</v>
      </c>
      <c r="Q161" s="19">
        <f t="shared" si="53"/>
        <v>1167</v>
      </c>
      <c r="R161" s="19">
        <f t="shared" si="53"/>
        <v>1554</v>
      </c>
      <c r="S161" s="19">
        <f t="shared" si="53"/>
        <v>1783.14</v>
      </c>
      <c r="T161" s="19">
        <f t="shared" si="53"/>
        <v>1</v>
      </c>
      <c r="U161" s="19">
        <f t="shared" si="53"/>
        <v>27</v>
      </c>
      <c r="V161" s="19">
        <f t="shared" si="53"/>
        <v>57</v>
      </c>
      <c r="W161" s="19">
        <f t="shared" si="53"/>
        <v>1</v>
      </c>
      <c r="X161" s="19">
        <f t="shared" si="53"/>
        <v>823</v>
      </c>
      <c r="Y161" s="19">
        <f t="shared" si="53"/>
        <v>909</v>
      </c>
      <c r="Z161" s="19">
        <f t="shared" si="53"/>
        <v>2452.3000000000002</v>
      </c>
      <c r="AA161" s="19">
        <f t="shared" si="53"/>
        <v>5802</v>
      </c>
      <c r="AB161" s="19">
        <f t="shared" si="53"/>
        <v>6639.5199999999995</v>
      </c>
      <c r="AC161" s="50">
        <f t="shared" si="49"/>
        <v>0</v>
      </c>
      <c r="AD161" s="43">
        <f t="shared" ref="AD161" si="54">SUM(AD139:AD160)</f>
        <v>34261556</v>
      </c>
      <c r="AE161" s="43">
        <f t="shared" ref="AE161" si="55">SUM(AE139:AE160)</f>
        <v>39201280.81000001</v>
      </c>
      <c r="AF161" s="43">
        <f t="shared" ref="AF161" si="56">SUM(AF139:AF160)</f>
        <v>73462836.809999987</v>
      </c>
      <c r="AG161" s="19"/>
      <c r="AH161" s="19"/>
      <c r="AI161" s="80"/>
      <c r="AJ161" s="80"/>
      <c r="AK161" s="80"/>
      <c r="AL161" s="80"/>
      <c r="AM161" s="80"/>
      <c r="AN161" s="80"/>
      <c r="AO161" s="80"/>
      <c r="AP161" s="80"/>
      <c r="AS161" s="3" t="s">
        <v>328</v>
      </c>
      <c r="AT161" s="49"/>
      <c r="AU161" s="3" t="str">
        <f t="shared" si="43"/>
        <v>not</v>
      </c>
      <c r="AV161" s="3" t="str">
        <f t="shared" si="44"/>
        <v>match</v>
      </c>
    </row>
    <row r="162" spans="1:48" ht="12">
      <c r="A162" s="9" t="s">
        <v>329</v>
      </c>
      <c r="B162" s="12" t="s">
        <v>330</v>
      </c>
      <c r="C162" s="13" t="s">
        <v>331</v>
      </c>
      <c r="D162" s="8"/>
      <c r="E162" s="39">
        <v>35</v>
      </c>
      <c r="F162" s="39"/>
      <c r="G162" s="39"/>
      <c r="H162" s="39"/>
      <c r="I162" s="39"/>
      <c r="J162" s="39"/>
      <c r="K162" s="39">
        <f t="shared" si="36"/>
        <v>35</v>
      </c>
      <c r="L162" s="39">
        <f t="shared" si="37"/>
        <v>25.2</v>
      </c>
      <c r="M162" s="39"/>
      <c r="N162" s="39">
        <v>1</v>
      </c>
      <c r="O162" s="39">
        <v>1</v>
      </c>
      <c r="P162" s="39"/>
      <c r="Q162" s="39">
        <v>10</v>
      </c>
      <c r="R162" s="39">
        <f t="shared" si="38"/>
        <v>12</v>
      </c>
      <c r="S162" s="39">
        <f t="shared" si="39"/>
        <v>13.919999999999998</v>
      </c>
      <c r="T162" s="39"/>
      <c r="U162" s="39"/>
      <c r="V162" s="39">
        <v>1</v>
      </c>
      <c r="W162" s="39"/>
      <c r="X162" s="39">
        <v>6</v>
      </c>
      <c r="Y162" s="39">
        <f t="shared" si="40"/>
        <v>7</v>
      </c>
      <c r="Z162" s="39">
        <f t="shared" si="41"/>
        <v>19.18</v>
      </c>
      <c r="AA162" s="39">
        <f t="shared" si="42"/>
        <v>54</v>
      </c>
      <c r="AB162" s="39">
        <f t="shared" si="42"/>
        <v>58.3</v>
      </c>
      <c r="AC162" s="41">
        <f t="shared" si="49"/>
        <v>5883</v>
      </c>
      <c r="AD162" s="82">
        <f t="shared" ref="AD162:AD225" si="57">+AC162*AA162</f>
        <v>317682</v>
      </c>
      <c r="AE162" s="82">
        <f t="shared" ref="AE162:AE225" si="58">+AC162*AB162</f>
        <v>342978.89999999997</v>
      </c>
      <c r="AF162" s="82">
        <f t="shared" ref="AF162:AF225" si="59">+AE162+AD162</f>
        <v>660660.89999999991</v>
      </c>
      <c r="AG162" s="39"/>
      <c r="AH162" s="39"/>
      <c r="AI162" s="79"/>
      <c r="AJ162" s="79"/>
      <c r="AK162" s="79"/>
      <c r="AL162" s="79"/>
      <c r="AM162" s="79"/>
      <c r="AN162" s="79"/>
      <c r="AO162" s="79"/>
      <c r="AP162" s="79"/>
      <c r="AQ162" s="3" t="s">
        <v>329</v>
      </c>
      <c r="AR162" s="3" t="s">
        <v>330</v>
      </c>
      <c r="AS162" s="3" t="s">
        <v>885</v>
      </c>
      <c r="AT162" s="49">
        <v>5883</v>
      </c>
      <c r="AU162" s="3" t="str">
        <f t="shared" si="43"/>
        <v>match</v>
      </c>
      <c r="AV162" s="3" t="str">
        <f t="shared" si="44"/>
        <v>match</v>
      </c>
    </row>
    <row r="163" spans="1:48" ht="12">
      <c r="A163" s="9" t="s">
        <v>329</v>
      </c>
      <c r="B163" s="10" t="s">
        <v>332</v>
      </c>
      <c r="C163" s="56" t="s">
        <v>333</v>
      </c>
      <c r="D163" s="56"/>
      <c r="E163" s="11">
        <v>95</v>
      </c>
      <c r="F163" s="11"/>
      <c r="G163" s="11"/>
      <c r="H163" s="11"/>
      <c r="I163" s="11"/>
      <c r="J163" s="11"/>
      <c r="K163" s="11">
        <f t="shared" si="36"/>
        <v>95</v>
      </c>
      <c r="L163" s="11">
        <f t="shared" si="37"/>
        <v>68.399999999999991</v>
      </c>
      <c r="M163" s="11"/>
      <c r="N163" s="11">
        <v>2</v>
      </c>
      <c r="O163" s="11">
        <v>2</v>
      </c>
      <c r="P163" s="11"/>
      <c r="Q163" s="11">
        <v>32</v>
      </c>
      <c r="R163" s="11">
        <f t="shared" si="38"/>
        <v>36</v>
      </c>
      <c r="S163" s="11">
        <f t="shared" si="39"/>
        <v>42.36</v>
      </c>
      <c r="T163" s="11"/>
      <c r="U163" s="11"/>
      <c r="V163" s="11"/>
      <c r="W163" s="11"/>
      <c r="X163" s="11">
        <v>20</v>
      </c>
      <c r="Y163" s="11">
        <f t="shared" si="40"/>
        <v>20</v>
      </c>
      <c r="Z163" s="11">
        <f t="shared" si="41"/>
        <v>54.800000000000004</v>
      </c>
      <c r="AA163" s="11">
        <f t="shared" si="42"/>
        <v>151</v>
      </c>
      <c r="AB163" s="11">
        <f t="shared" si="42"/>
        <v>165.56</v>
      </c>
      <c r="AC163" s="42">
        <f t="shared" si="49"/>
        <v>5900</v>
      </c>
      <c r="AD163" s="83">
        <f t="shared" si="57"/>
        <v>890900</v>
      </c>
      <c r="AE163" s="83">
        <f t="shared" si="58"/>
        <v>976804</v>
      </c>
      <c r="AF163" s="83">
        <f t="shared" si="59"/>
        <v>1867704</v>
      </c>
      <c r="AG163" s="11"/>
      <c r="AH163" s="11"/>
      <c r="AI163" s="78"/>
      <c r="AJ163" s="78"/>
      <c r="AK163" s="78"/>
      <c r="AL163" s="78"/>
      <c r="AM163" s="78"/>
      <c r="AN163" s="78"/>
      <c r="AO163" s="78"/>
      <c r="AP163" s="78"/>
      <c r="AQ163" s="3" t="s">
        <v>329</v>
      </c>
      <c r="AR163" s="3" t="s">
        <v>332</v>
      </c>
      <c r="AS163" s="3" t="s">
        <v>886</v>
      </c>
      <c r="AT163" s="49">
        <v>5900</v>
      </c>
      <c r="AU163" s="3" t="str">
        <f t="shared" si="43"/>
        <v>match</v>
      </c>
      <c r="AV163" s="3" t="str">
        <f t="shared" si="44"/>
        <v>match</v>
      </c>
    </row>
    <row r="164" spans="1:48" ht="12">
      <c r="A164" s="9" t="s">
        <v>329</v>
      </c>
      <c r="B164" s="12" t="s">
        <v>334</v>
      </c>
      <c r="C164" s="13" t="s">
        <v>335</v>
      </c>
      <c r="D164" s="8"/>
      <c r="E164" s="39">
        <v>51</v>
      </c>
      <c r="F164" s="39"/>
      <c r="G164" s="39"/>
      <c r="H164" s="39"/>
      <c r="I164" s="39"/>
      <c r="J164" s="39"/>
      <c r="K164" s="39">
        <f t="shared" si="36"/>
        <v>51</v>
      </c>
      <c r="L164" s="39">
        <f t="shared" si="37"/>
        <v>36.72</v>
      </c>
      <c r="M164" s="39"/>
      <c r="N164" s="39"/>
      <c r="O164" s="39">
        <v>1</v>
      </c>
      <c r="P164" s="39"/>
      <c r="Q164" s="39">
        <v>9</v>
      </c>
      <c r="R164" s="39">
        <f t="shared" si="38"/>
        <v>10</v>
      </c>
      <c r="S164" s="39">
        <f t="shared" si="39"/>
        <v>12.1</v>
      </c>
      <c r="T164" s="39"/>
      <c r="U164" s="39"/>
      <c r="V164" s="39">
        <v>1</v>
      </c>
      <c r="W164" s="39"/>
      <c r="X164" s="39">
        <v>4</v>
      </c>
      <c r="Y164" s="39">
        <f t="shared" si="40"/>
        <v>5</v>
      </c>
      <c r="Z164" s="39">
        <f t="shared" si="41"/>
        <v>13.700000000000001</v>
      </c>
      <c r="AA164" s="39">
        <f t="shared" si="42"/>
        <v>66</v>
      </c>
      <c r="AB164" s="39">
        <f t="shared" si="42"/>
        <v>62.52</v>
      </c>
      <c r="AC164" s="41">
        <f t="shared" si="49"/>
        <v>5887</v>
      </c>
      <c r="AD164" s="82">
        <f t="shared" si="57"/>
        <v>388542</v>
      </c>
      <c r="AE164" s="82">
        <f t="shared" si="58"/>
        <v>368055.24</v>
      </c>
      <c r="AF164" s="82">
        <f t="shared" si="59"/>
        <v>756597.24</v>
      </c>
      <c r="AG164" s="39"/>
      <c r="AH164" s="39"/>
      <c r="AI164" s="79"/>
      <c r="AJ164" s="79"/>
      <c r="AK164" s="79"/>
      <c r="AL164" s="79"/>
      <c r="AM164" s="79"/>
      <c r="AN164" s="79"/>
      <c r="AO164" s="79"/>
      <c r="AP164" s="79"/>
      <c r="AQ164" s="3" t="s">
        <v>329</v>
      </c>
      <c r="AR164" s="3" t="s">
        <v>334</v>
      </c>
      <c r="AS164" s="3" t="s">
        <v>887</v>
      </c>
      <c r="AT164" s="49">
        <v>5887</v>
      </c>
      <c r="AU164" s="3" t="str">
        <f t="shared" si="43"/>
        <v>match</v>
      </c>
      <c r="AV164" s="3" t="str">
        <f t="shared" si="44"/>
        <v>match</v>
      </c>
    </row>
    <row r="165" spans="1:48" ht="12">
      <c r="A165" s="9" t="s">
        <v>329</v>
      </c>
      <c r="B165" s="10" t="s">
        <v>336</v>
      </c>
      <c r="C165" s="56" t="s">
        <v>337</v>
      </c>
      <c r="D165" s="56"/>
      <c r="E165" s="11">
        <v>136</v>
      </c>
      <c r="F165" s="11"/>
      <c r="G165" s="11"/>
      <c r="H165" s="11"/>
      <c r="I165" s="11"/>
      <c r="J165" s="11"/>
      <c r="K165" s="11">
        <f t="shared" si="36"/>
        <v>136</v>
      </c>
      <c r="L165" s="11">
        <f t="shared" si="37"/>
        <v>97.92</v>
      </c>
      <c r="M165" s="11"/>
      <c r="N165" s="11"/>
      <c r="O165" s="11">
        <v>3</v>
      </c>
      <c r="P165" s="11"/>
      <c r="Q165" s="11">
        <v>40</v>
      </c>
      <c r="R165" s="11">
        <f t="shared" si="38"/>
        <v>43</v>
      </c>
      <c r="S165" s="11">
        <f t="shared" si="39"/>
        <v>52.03</v>
      </c>
      <c r="T165" s="11"/>
      <c r="U165" s="11"/>
      <c r="V165" s="11">
        <v>3</v>
      </c>
      <c r="W165" s="11"/>
      <c r="X165" s="11">
        <v>17</v>
      </c>
      <c r="Y165" s="11">
        <f t="shared" si="40"/>
        <v>20</v>
      </c>
      <c r="Z165" s="11">
        <f t="shared" si="41"/>
        <v>54.800000000000004</v>
      </c>
      <c r="AA165" s="11">
        <f t="shared" si="42"/>
        <v>199</v>
      </c>
      <c r="AB165" s="11">
        <f t="shared" si="42"/>
        <v>204.75</v>
      </c>
      <c r="AC165" s="42">
        <f t="shared" si="49"/>
        <v>5948</v>
      </c>
      <c r="AD165" s="83">
        <f t="shared" si="57"/>
        <v>1183652</v>
      </c>
      <c r="AE165" s="83">
        <f t="shared" si="58"/>
        <v>1217853</v>
      </c>
      <c r="AF165" s="83">
        <f t="shared" si="59"/>
        <v>2401505</v>
      </c>
      <c r="AG165" s="11"/>
      <c r="AH165" s="11"/>
      <c r="AI165" s="78"/>
      <c r="AJ165" s="78"/>
      <c r="AK165" s="78"/>
      <c r="AL165" s="78"/>
      <c r="AM165" s="78"/>
      <c r="AN165" s="78"/>
      <c r="AO165" s="78"/>
      <c r="AP165" s="78"/>
      <c r="AQ165" s="3" t="s">
        <v>329</v>
      </c>
      <c r="AR165" s="3" t="s">
        <v>336</v>
      </c>
      <c r="AS165" s="3" t="s">
        <v>888</v>
      </c>
      <c r="AT165" s="49">
        <v>5948</v>
      </c>
      <c r="AU165" s="3" t="str">
        <f t="shared" si="43"/>
        <v>match</v>
      </c>
      <c r="AV165" s="3" t="str">
        <f t="shared" si="44"/>
        <v>match</v>
      </c>
    </row>
    <row r="166" spans="1:48" ht="12">
      <c r="A166" s="9" t="s">
        <v>329</v>
      </c>
      <c r="B166" s="12" t="s">
        <v>338</v>
      </c>
      <c r="C166" s="13" t="s">
        <v>339</v>
      </c>
      <c r="D166" s="8"/>
      <c r="E166" s="39">
        <v>1336</v>
      </c>
      <c r="F166" s="39"/>
      <c r="G166" s="39"/>
      <c r="H166" s="39"/>
      <c r="I166" s="39"/>
      <c r="J166" s="39"/>
      <c r="K166" s="39">
        <f t="shared" si="36"/>
        <v>1336</v>
      </c>
      <c r="L166" s="39">
        <f t="shared" si="37"/>
        <v>961.92</v>
      </c>
      <c r="M166" s="39">
        <v>2</v>
      </c>
      <c r="N166" s="39">
        <v>8</v>
      </c>
      <c r="O166" s="39">
        <v>94</v>
      </c>
      <c r="P166" s="39"/>
      <c r="Q166" s="39">
        <v>442</v>
      </c>
      <c r="R166" s="39">
        <f t="shared" si="38"/>
        <v>546</v>
      </c>
      <c r="S166" s="39">
        <f t="shared" si="39"/>
        <v>655.86</v>
      </c>
      <c r="T166" s="39">
        <v>10</v>
      </c>
      <c r="U166" s="39">
        <v>1</v>
      </c>
      <c r="V166" s="39">
        <v>30</v>
      </c>
      <c r="W166" s="39"/>
      <c r="X166" s="39">
        <v>434</v>
      </c>
      <c r="Y166" s="39">
        <f t="shared" si="40"/>
        <v>475</v>
      </c>
      <c r="Z166" s="39">
        <f t="shared" si="41"/>
        <v>1300.1299999999999</v>
      </c>
      <c r="AA166" s="39">
        <f t="shared" si="42"/>
        <v>2357</v>
      </c>
      <c r="AB166" s="39">
        <f t="shared" si="42"/>
        <v>2917.91</v>
      </c>
      <c r="AC166" s="41">
        <f t="shared" si="49"/>
        <v>5883</v>
      </c>
      <c r="AD166" s="82">
        <f t="shared" si="57"/>
        <v>13866231</v>
      </c>
      <c r="AE166" s="82">
        <f t="shared" si="58"/>
        <v>17166064.529999997</v>
      </c>
      <c r="AF166" s="82">
        <f t="shared" si="59"/>
        <v>31032295.529999997</v>
      </c>
      <c r="AG166" s="39"/>
      <c r="AH166" s="39"/>
      <c r="AI166" s="79"/>
      <c r="AJ166" s="79"/>
      <c r="AK166" s="79"/>
      <c r="AL166" s="79"/>
      <c r="AM166" s="79"/>
      <c r="AN166" s="79"/>
      <c r="AO166" s="79"/>
      <c r="AP166" s="79"/>
      <c r="AQ166" s="3" t="s">
        <v>329</v>
      </c>
      <c r="AR166" s="3" t="s">
        <v>338</v>
      </c>
      <c r="AS166" s="3" t="s">
        <v>889</v>
      </c>
      <c r="AT166" s="49">
        <v>5883</v>
      </c>
      <c r="AU166" s="3" t="str">
        <f t="shared" si="43"/>
        <v>match</v>
      </c>
      <c r="AV166" s="3" t="str">
        <f t="shared" si="44"/>
        <v>match</v>
      </c>
    </row>
    <row r="167" spans="1:48" ht="12">
      <c r="A167" s="9" t="s">
        <v>329</v>
      </c>
      <c r="B167" s="10" t="s">
        <v>340</v>
      </c>
      <c r="C167" s="56" t="s">
        <v>341</v>
      </c>
      <c r="D167" s="56"/>
      <c r="E167" s="11">
        <v>74</v>
      </c>
      <c r="F167" s="11"/>
      <c r="G167" s="11"/>
      <c r="H167" s="11"/>
      <c r="I167" s="11"/>
      <c r="J167" s="11"/>
      <c r="K167" s="11">
        <f t="shared" si="36"/>
        <v>74</v>
      </c>
      <c r="L167" s="11">
        <f t="shared" si="37"/>
        <v>53.28</v>
      </c>
      <c r="M167" s="11">
        <v>2</v>
      </c>
      <c r="N167" s="11">
        <v>2</v>
      </c>
      <c r="O167" s="11">
        <v>5</v>
      </c>
      <c r="P167" s="11"/>
      <c r="Q167" s="11">
        <v>11</v>
      </c>
      <c r="R167" s="11">
        <f t="shared" si="38"/>
        <v>20</v>
      </c>
      <c r="S167" s="11">
        <f t="shared" si="39"/>
        <v>23</v>
      </c>
      <c r="T167" s="11"/>
      <c r="U167" s="11"/>
      <c r="V167" s="11">
        <v>1</v>
      </c>
      <c r="W167" s="11"/>
      <c r="X167" s="11">
        <v>11</v>
      </c>
      <c r="Y167" s="11">
        <f t="shared" si="40"/>
        <v>12</v>
      </c>
      <c r="Z167" s="11">
        <f t="shared" si="41"/>
        <v>32.880000000000003</v>
      </c>
      <c r="AA167" s="11">
        <f t="shared" si="42"/>
        <v>106</v>
      </c>
      <c r="AB167" s="11">
        <f t="shared" si="42"/>
        <v>109.16</v>
      </c>
      <c r="AC167" s="42">
        <f t="shared" si="49"/>
        <v>5883</v>
      </c>
      <c r="AD167" s="83">
        <f t="shared" si="57"/>
        <v>623598</v>
      </c>
      <c r="AE167" s="83">
        <f t="shared" si="58"/>
        <v>642188.28</v>
      </c>
      <c r="AF167" s="83">
        <f t="shared" si="59"/>
        <v>1265786.28</v>
      </c>
      <c r="AG167" s="11"/>
      <c r="AH167" s="11"/>
      <c r="AI167" s="78"/>
      <c r="AJ167" s="78"/>
      <c r="AK167" s="78"/>
      <c r="AL167" s="78"/>
      <c r="AM167" s="78"/>
      <c r="AN167" s="78"/>
      <c r="AO167" s="78"/>
      <c r="AP167" s="78"/>
      <c r="AQ167" s="3" t="s">
        <v>329</v>
      </c>
      <c r="AR167" s="3" t="s">
        <v>340</v>
      </c>
      <c r="AS167" s="3" t="s">
        <v>890</v>
      </c>
      <c r="AT167" s="49">
        <v>5883</v>
      </c>
      <c r="AU167" s="3" t="str">
        <f t="shared" si="43"/>
        <v>match</v>
      </c>
      <c r="AV167" s="3" t="str">
        <f t="shared" si="44"/>
        <v>match</v>
      </c>
    </row>
    <row r="168" spans="1:48" ht="12">
      <c r="A168" s="9" t="s">
        <v>329</v>
      </c>
      <c r="B168" s="12" t="s">
        <v>342</v>
      </c>
      <c r="C168" s="13" t="s">
        <v>343</v>
      </c>
      <c r="D168" s="8"/>
      <c r="E168" s="39">
        <v>44</v>
      </c>
      <c r="F168" s="39">
        <v>1</v>
      </c>
      <c r="G168" s="39"/>
      <c r="H168" s="39"/>
      <c r="I168" s="39"/>
      <c r="J168" s="39"/>
      <c r="K168" s="39">
        <f t="shared" si="36"/>
        <v>45</v>
      </c>
      <c r="L168" s="39">
        <f t="shared" si="37"/>
        <v>32.4</v>
      </c>
      <c r="M168" s="39"/>
      <c r="N168" s="39"/>
      <c r="O168" s="39"/>
      <c r="P168" s="39"/>
      <c r="Q168" s="39">
        <v>3</v>
      </c>
      <c r="R168" s="39">
        <f t="shared" si="38"/>
        <v>3</v>
      </c>
      <c r="S168" s="39">
        <f t="shared" si="39"/>
        <v>3.63</v>
      </c>
      <c r="T168" s="39"/>
      <c r="U168" s="39"/>
      <c r="V168" s="39">
        <v>1</v>
      </c>
      <c r="W168" s="39"/>
      <c r="X168" s="39">
        <v>8</v>
      </c>
      <c r="Y168" s="39">
        <f t="shared" si="40"/>
        <v>9</v>
      </c>
      <c r="Z168" s="39">
        <f t="shared" si="41"/>
        <v>24.660000000000004</v>
      </c>
      <c r="AA168" s="39">
        <f t="shared" si="42"/>
        <v>57</v>
      </c>
      <c r="AB168" s="39">
        <f t="shared" si="42"/>
        <v>60.690000000000005</v>
      </c>
      <c r="AC168" s="41">
        <f t="shared" si="49"/>
        <v>5944</v>
      </c>
      <c r="AD168" s="82">
        <f t="shared" si="57"/>
        <v>338808</v>
      </c>
      <c r="AE168" s="82">
        <f t="shared" si="58"/>
        <v>360741.36000000004</v>
      </c>
      <c r="AF168" s="82">
        <f t="shared" si="59"/>
        <v>699549.3600000001</v>
      </c>
      <c r="AG168" s="39"/>
      <c r="AH168" s="39"/>
      <c r="AI168" s="79"/>
      <c r="AJ168" s="79"/>
      <c r="AK168" s="79"/>
      <c r="AL168" s="79"/>
      <c r="AM168" s="79"/>
      <c r="AN168" s="79"/>
      <c r="AO168" s="79"/>
      <c r="AP168" s="79"/>
      <c r="AQ168" s="3" t="s">
        <v>329</v>
      </c>
      <c r="AR168" s="3" t="s">
        <v>342</v>
      </c>
      <c r="AS168" s="3" t="s">
        <v>891</v>
      </c>
      <c r="AT168" s="49">
        <v>5944</v>
      </c>
      <c r="AU168" s="3" t="str">
        <f t="shared" si="43"/>
        <v>match</v>
      </c>
      <c r="AV168" s="3" t="str">
        <f t="shared" si="44"/>
        <v>match</v>
      </c>
    </row>
    <row r="169" spans="1:48" ht="12">
      <c r="A169" s="9" t="s">
        <v>329</v>
      </c>
      <c r="B169" s="10" t="s">
        <v>344</v>
      </c>
      <c r="C169" s="56" t="s">
        <v>1079</v>
      </c>
      <c r="D169" s="56"/>
      <c r="E169" s="11">
        <v>105</v>
      </c>
      <c r="F169" s="11"/>
      <c r="G169" s="11"/>
      <c r="H169" s="11"/>
      <c r="I169" s="11"/>
      <c r="J169" s="11"/>
      <c r="K169" s="11">
        <f t="shared" si="36"/>
        <v>105</v>
      </c>
      <c r="L169" s="11">
        <f t="shared" si="37"/>
        <v>75.599999999999994</v>
      </c>
      <c r="M169" s="11">
        <v>1</v>
      </c>
      <c r="N169" s="11"/>
      <c r="O169" s="11">
        <v>8</v>
      </c>
      <c r="P169" s="11"/>
      <c r="Q169" s="11">
        <v>21</v>
      </c>
      <c r="R169" s="11">
        <f t="shared" si="38"/>
        <v>30</v>
      </c>
      <c r="S169" s="11">
        <f t="shared" si="39"/>
        <v>36.299999999999997</v>
      </c>
      <c r="T169" s="11">
        <v>2</v>
      </c>
      <c r="U169" s="11"/>
      <c r="V169" s="11">
        <v>4</v>
      </c>
      <c r="W169" s="11"/>
      <c r="X169" s="11">
        <v>14</v>
      </c>
      <c r="Y169" s="11">
        <f t="shared" si="40"/>
        <v>20</v>
      </c>
      <c r="Z169" s="11">
        <f t="shared" si="41"/>
        <v>54.800000000000004</v>
      </c>
      <c r="AA169" s="11">
        <f t="shared" si="42"/>
        <v>155</v>
      </c>
      <c r="AB169" s="11">
        <f t="shared" si="42"/>
        <v>166.7</v>
      </c>
      <c r="AC169" s="42">
        <f t="shared" si="49"/>
        <v>5919</v>
      </c>
      <c r="AD169" s="83">
        <f t="shared" si="57"/>
        <v>917445</v>
      </c>
      <c r="AE169" s="83">
        <f t="shared" si="58"/>
        <v>986697.29999999993</v>
      </c>
      <c r="AF169" s="83">
        <f t="shared" si="59"/>
        <v>1904142.2999999998</v>
      </c>
      <c r="AG169" s="11"/>
      <c r="AH169" s="11"/>
      <c r="AI169" s="78"/>
      <c r="AJ169" s="78"/>
      <c r="AK169" s="78"/>
      <c r="AL169" s="78"/>
      <c r="AM169" s="78"/>
      <c r="AN169" s="78"/>
      <c r="AO169" s="78"/>
      <c r="AP169" s="78"/>
      <c r="AQ169" s="3" t="s">
        <v>329</v>
      </c>
      <c r="AR169" s="3" t="s">
        <v>344</v>
      </c>
      <c r="AS169" s="3" t="s">
        <v>1080</v>
      </c>
      <c r="AT169" s="49">
        <v>5919</v>
      </c>
      <c r="AU169" s="3" t="str">
        <f t="shared" si="43"/>
        <v>match</v>
      </c>
      <c r="AV169" s="3" t="str">
        <f t="shared" si="44"/>
        <v>match</v>
      </c>
    </row>
    <row r="170" spans="1:48" ht="12">
      <c r="A170" s="9" t="s">
        <v>329</v>
      </c>
      <c r="B170" s="12" t="s">
        <v>345</v>
      </c>
      <c r="C170" s="13" t="s">
        <v>346</v>
      </c>
      <c r="D170" s="8"/>
      <c r="E170" s="39">
        <v>205</v>
      </c>
      <c r="F170" s="39">
        <v>2</v>
      </c>
      <c r="G170" s="39"/>
      <c r="H170" s="39"/>
      <c r="I170" s="39"/>
      <c r="J170" s="39"/>
      <c r="K170" s="39">
        <f t="shared" si="36"/>
        <v>207</v>
      </c>
      <c r="L170" s="39">
        <f t="shared" si="37"/>
        <v>149.04</v>
      </c>
      <c r="M170" s="39"/>
      <c r="N170" s="39">
        <v>11</v>
      </c>
      <c r="O170" s="39">
        <v>16</v>
      </c>
      <c r="P170" s="39"/>
      <c r="Q170" s="39">
        <v>123</v>
      </c>
      <c r="R170" s="39">
        <f t="shared" si="38"/>
        <v>150</v>
      </c>
      <c r="S170" s="39">
        <f t="shared" si="39"/>
        <v>174.9</v>
      </c>
      <c r="T170" s="39">
        <v>1</v>
      </c>
      <c r="U170" s="39">
        <v>1</v>
      </c>
      <c r="V170" s="39"/>
      <c r="W170" s="39"/>
      <c r="X170" s="39">
        <v>51</v>
      </c>
      <c r="Y170" s="39">
        <f t="shared" si="40"/>
        <v>53</v>
      </c>
      <c r="Z170" s="39">
        <f t="shared" si="41"/>
        <v>143.85000000000002</v>
      </c>
      <c r="AA170" s="39">
        <f t="shared" si="42"/>
        <v>410</v>
      </c>
      <c r="AB170" s="39">
        <f t="shared" si="42"/>
        <v>467.79</v>
      </c>
      <c r="AC170" s="41">
        <f t="shared" si="49"/>
        <v>5883</v>
      </c>
      <c r="AD170" s="82">
        <f t="shared" si="57"/>
        <v>2412030</v>
      </c>
      <c r="AE170" s="82">
        <f t="shared" si="58"/>
        <v>2752008.5700000003</v>
      </c>
      <c r="AF170" s="82">
        <f t="shared" si="59"/>
        <v>5164038.57</v>
      </c>
      <c r="AG170" s="39"/>
      <c r="AH170" s="39"/>
      <c r="AI170" s="79"/>
      <c r="AJ170" s="79"/>
      <c r="AK170" s="79"/>
      <c r="AL170" s="79"/>
      <c r="AM170" s="79"/>
      <c r="AN170" s="79"/>
      <c r="AO170" s="79"/>
      <c r="AP170" s="79"/>
      <c r="AQ170" s="3" t="s">
        <v>329</v>
      </c>
      <c r="AR170" s="3" t="s">
        <v>345</v>
      </c>
      <c r="AS170" s="3" t="s">
        <v>892</v>
      </c>
      <c r="AT170" s="49">
        <v>5883</v>
      </c>
      <c r="AU170" s="3" t="str">
        <f t="shared" si="43"/>
        <v>match</v>
      </c>
      <c r="AV170" s="3" t="str">
        <f t="shared" si="44"/>
        <v>match</v>
      </c>
    </row>
    <row r="171" spans="1:48" ht="12">
      <c r="A171" s="9" t="s">
        <v>329</v>
      </c>
      <c r="B171" s="10" t="s">
        <v>347</v>
      </c>
      <c r="C171" s="56" t="s">
        <v>348</v>
      </c>
      <c r="D171" s="56"/>
      <c r="E171" s="11">
        <v>45</v>
      </c>
      <c r="F171" s="11"/>
      <c r="G171" s="11"/>
      <c r="H171" s="11"/>
      <c r="I171" s="11"/>
      <c r="J171" s="11"/>
      <c r="K171" s="11">
        <f t="shared" si="36"/>
        <v>45</v>
      </c>
      <c r="L171" s="11">
        <f t="shared" si="37"/>
        <v>32.4</v>
      </c>
      <c r="M171" s="11"/>
      <c r="N171" s="11"/>
      <c r="O171" s="11">
        <v>3</v>
      </c>
      <c r="P171" s="11"/>
      <c r="Q171" s="11">
        <v>14</v>
      </c>
      <c r="R171" s="11">
        <f t="shared" si="38"/>
        <v>17</v>
      </c>
      <c r="S171" s="11">
        <f t="shared" si="39"/>
        <v>20.57</v>
      </c>
      <c r="T171" s="11"/>
      <c r="U171" s="11">
        <v>1</v>
      </c>
      <c r="V171" s="11"/>
      <c r="W171" s="11"/>
      <c r="X171" s="11">
        <v>7</v>
      </c>
      <c r="Y171" s="11">
        <f t="shared" si="40"/>
        <v>8</v>
      </c>
      <c r="Z171" s="11">
        <f t="shared" si="41"/>
        <v>20.55</v>
      </c>
      <c r="AA171" s="11">
        <f t="shared" si="42"/>
        <v>70</v>
      </c>
      <c r="AB171" s="11">
        <f t="shared" si="42"/>
        <v>73.52</v>
      </c>
      <c r="AC171" s="42">
        <f t="shared" si="49"/>
        <v>5956</v>
      </c>
      <c r="AD171" s="83">
        <f t="shared" si="57"/>
        <v>416920</v>
      </c>
      <c r="AE171" s="83">
        <f t="shared" si="58"/>
        <v>437885.12</v>
      </c>
      <c r="AF171" s="83">
        <f t="shared" si="59"/>
        <v>854805.12</v>
      </c>
      <c r="AG171" s="11"/>
      <c r="AH171" s="11"/>
      <c r="AI171" s="78"/>
      <c r="AJ171" s="78"/>
      <c r="AK171" s="78"/>
      <c r="AL171" s="78"/>
      <c r="AM171" s="78"/>
      <c r="AN171" s="78"/>
      <c r="AO171" s="78"/>
      <c r="AP171" s="78"/>
      <c r="AQ171" s="3" t="s">
        <v>329</v>
      </c>
      <c r="AR171" s="3" t="s">
        <v>347</v>
      </c>
      <c r="AS171" s="3" t="s">
        <v>348</v>
      </c>
      <c r="AT171" s="49">
        <v>5956</v>
      </c>
      <c r="AU171" s="3" t="str">
        <f t="shared" si="43"/>
        <v>match</v>
      </c>
      <c r="AV171" s="3" t="str">
        <f t="shared" si="44"/>
        <v>match</v>
      </c>
    </row>
    <row r="172" spans="1:48" ht="12">
      <c r="A172" s="9" t="s">
        <v>329</v>
      </c>
      <c r="B172" s="12" t="s">
        <v>349</v>
      </c>
      <c r="C172" s="13" t="s">
        <v>350</v>
      </c>
      <c r="D172" s="8"/>
      <c r="E172" s="39">
        <v>33</v>
      </c>
      <c r="F172" s="39"/>
      <c r="G172" s="39"/>
      <c r="H172" s="39"/>
      <c r="I172" s="39"/>
      <c r="J172" s="39"/>
      <c r="K172" s="39">
        <f t="shared" si="36"/>
        <v>33</v>
      </c>
      <c r="L172" s="39">
        <f t="shared" si="37"/>
        <v>23.759999999999998</v>
      </c>
      <c r="M172" s="39">
        <v>1</v>
      </c>
      <c r="N172" s="39"/>
      <c r="O172" s="39">
        <v>1</v>
      </c>
      <c r="P172" s="39"/>
      <c r="Q172" s="39">
        <v>5</v>
      </c>
      <c r="R172" s="39">
        <f t="shared" si="38"/>
        <v>7</v>
      </c>
      <c r="S172" s="39">
        <f t="shared" si="39"/>
        <v>8.4699999999999989</v>
      </c>
      <c r="T172" s="39"/>
      <c r="U172" s="39">
        <v>1</v>
      </c>
      <c r="V172" s="39"/>
      <c r="W172" s="39"/>
      <c r="X172" s="39">
        <v>1</v>
      </c>
      <c r="Y172" s="39">
        <f t="shared" si="40"/>
        <v>2</v>
      </c>
      <c r="Z172" s="39">
        <f t="shared" si="41"/>
        <v>4.1100000000000003</v>
      </c>
      <c r="AA172" s="39">
        <f t="shared" si="42"/>
        <v>42</v>
      </c>
      <c r="AB172" s="39">
        <f t="shared" si="42"/>
        <v>36.339999999999996</v>
      </c>
      <c r="AC172" s="41">
        <f t="shared" si="49"/>
        <v>5983</v>
      </c>
      <c r="AD172" s="82">
        <f t="shared" si="57"/>
        <v>251286</v>
      </c>
      <c r="AE172" s="82">
        <f t="shared" si="58"/>
        <v>217422.21999999997</v>
      </c>
      <c r="AF172" s="82">
        <f t="shared" si="59"/>
        <v>468708.22</v>
      </c>
      <c r="AG172" s="39"/>
      <c r="AH172" s="39"/>
      <c r="AI172" s="79"/>
      <c r="AJ172" s="79"/>
      <c r="AK172" s="79"/>
      <c r="AL172" s="79"/>
      <c r="AM172" s="79"/>
      <c r="AN172" s="79"/>
      <c r="AO172" s="79"/>
      <c r="AP172" s="79"/>
      <c r="AQ172" s="3" t="s">
        <v>329</v>
      </c>
      <c r="AR172" s="3" t="s">
        <v>349</v>
      </c>
      <c r="AS172" s="3" t="s">
        <v>350</v>
      </c>
      <c r="AT172" s="49">
        <v>5983</v>
      </c>
      <c r="AU172" s="3" t="str">
        <f t="shared" si="43"/>
        <v>match</v>
      </c>
      <c r="AV172" s="3" t="str">
        <f t="shared" si="44"/>
        <v>match</v>
      </c>
    </row>
    <row r="173" spans="1:48" ht="12">
      <c r="A173" s="9" t="s">
        <v>329</v>
      </c>
      <c r="B173" s="10" t="s">
        <v>351</v>
      </c>
      <c r="C173" s="56" t="s">
        <v>352</v>
      </c>
      <c r="D173" s="56"/>
      <c r="E173" s="11">
        <v>63</v>
      </c>
      <c r="F173" s="11"/>
      <c r="G173" s="11"/>
      <c r="H173" s="11"/>
      <c r="I173" s="11"/>
      <c r="J173" s="11"/>
      <c r="K173" s="11">
        <f t="shared" si="36"/>
        <v>63</v>
      </c>
      <c r="L173" s="11">
        <f t="shared" si="37"/>
        <v>45.36</v>
      </c>
      <c r="M173" s="11"/>
      <c r="N173" s="11">
        <v>1</v>
      </c>
      <c r="O173" s="11">
        <v>2</v>
      </c>
      <c r="P173" s="11"/>
      <c r="Q173" s="11">
        <v>13</v>
      </c>
      <c r="R173" s="11">
        <f t="shared" si="38"/>
        <v>16</v>
      </c>
      <c r="S173" s="11">
        <f t="shared" si="39"/>
        <v>18.759999999999998</v>
      </c>
      <c r="T173" s="11"/>
      <c r="U173" s="11"/>
      <c r="V173" s="11"/>
      <c r="W173" s="11"/>
      <c r="X173" s="11">
        <v>10</v>
      </c>
      <c r="Y173" s="11">
        <f t="shared" si="40"/>
        <v>10</v>
      </c>
      <c r="Z173" s="11">
        <f t="shared" si="41"/>
        <v>27.400000000000002</v>
      </c>
      <c r="AA173" s="11">
        <f t="shared" si="42"/>
        <v>89</v>
      </c>
      <c r="AB173" s="11">
        <f t="shared" si="42"/>
        <v>91.52000000000001</v>
      </c>
      <c r="AC173" s="42">
        <f t="shared" si="49"/>
        <v>5883</v>
      </c>
      <c r="AD173" s="83">
        <f t="shared" si="57"/>
        <v>523587</v>
      </c>
      <c r="AE173" s="83">
        <f t="shared" si="58"/>
        <v>538412.16</v>
      </c>
      <c r="AF173" s="83">
        <f t="shared" si="59"/>
        <v>1061999.1600000001</v>
      </c>
      <c r="AG173" s="11"/>
      <c r="AH173" s="11"/>
      <c r="AI173" s="78"/>
      <c r="AJ173" s="78"/>
      <c r="AK173" s="78"/>
      <c r="AL173" s="78"/>
      <c r="AM173" s="78"/>
      <c r="AN173" s="78"/>
      <c r="AO173" s="78"/>
      <c r="AP173" s="78"/>
      <c r="AQ173" s="3" t="s">
        <v>329</v>
      </c>
      <c r="AR173" s="3" t="s">
        <v>351</v>
      </c>
      <c r="AS173" s="3" t="s">
        <v>893</v>
      </c>
      <c r="AT173" s="49">
        <v>5883</v>
      </c>
      <c r="AU173" s="3" t="str">
        <f t="shared" si="43"/>
        <v>match</v>
      </c>
      <c r="AV173" s="3" t="str">
        <f t="shared" si="44"/>
        <v>match</v>
      </c>
    </row>
    <row r="174" spans="1:48" ht="12">
      <c r="A174" s="9" t="s">
        <v>329</v>
      </c>
      <c r="B174" s="12" t="s">
        <v>353</v>
      </c>
      <c r="C174" s="13" t="s">
        <v>354</v>
      </c>
      <c r="D174" s="8"/>
      <c r="E174" s="39">
        <v>850</v>
      </c>
      <c r="F174" s="39">
        <v>1</v>
      </c>
      <c r="G174" s="39"/>
      <c r="H174" s="39"/>
      <c r="I174" s="39"/>
      <c r="J174" s="39"/>
      <c r="K174" s="39">
        <f t="shared" si="36"/>
        <v>851</v>
      </c>
      <c r="L174" s="39">
        <f t="shared" si="37"/>
        <v>612.72</v>
      </c>
      <c r="M174" s="39">
        <v>1</v>
      </c>
      <c r="N174" s="39">
        <v>11</v>
      </c>
      <c r="O174" s="39">
        <v>83</v>
      </c>
      <c r="P174" s="39">
        <v>1</v>
      </c>
      <c r="Q174" s="39">
        <v>290</v>
      </c>
      <c r="R174" s="39">
        <f t="shared" si="38"/>
        <v>386</v>
      </c>
      <c r="S174" s="39">
        <f t="shared" si="39"/>
        <v>459.85999999999996</v>
      </c>
      <c r="T174" s="39">
        <v>2</v>
      </c>
      <c r="U174" s="39">
        <v>2</v>
      </c>
      <c r="V174" s="39">
        <v>10</v>
      </c>
      <c r="W174" s="39"/>
      <c r="X174" s="39">
        <v>200</v>
      </c>
      <c r="Y174" s="39">
        <f t="shared" si="40"/>
        <v>214</v>
      </c>
      <c r="Z174" s="39">
        <f t="shared" si="41"/>
        <v>583.62</v>
      </c>
      <c r="AA174" s="39">
        <f t="shared" si="42"/>
        <v>1451</v>
      </c>
      <c r="AB174" s="39">
        <f t="shared" si="42"/>
        <v>1656.1999999999998</v>
      </c>
      <c r="AC174" s="41">
        <f t="shared" si="49"/>
        <v>5900</v>
      </c>
      <c r="AD174" s="82">
        <f t="shared" si="57"/>
        <v>8560900</v>
      </c>
      <c r="AE174" s="82">
        <f t="shared" si="58"/>
        <v>9771579.9999999981</v>
      </c>
      <c r="AF174" s="82">
        <f t="shared" si="59"/>
        <v>18332480</v>
      </c>
      <c r="AG174" s="39"/>
      <c r="AH174" s="39"/>
      <c r="AI174" s="79"/>
      <c r="AJ174" s="79"/>
      <c r="AK174" s="79"/>
      <c r="AL174" s="79"/>
      <c r="AM174" s="79"/>
      <c r="AN174" s="79"/>
      <c r="AO174" s="79"/>
      <c r="AP174" s="79"/>
      <c r="AQ174" s="3" t="s">
        <v>329</v>
      </c>
      <c r="AR174" s="3" t="s">
        <v>353</v>
      </c>
      <c r="AS174" s="3" t="s">
        <v>354</v>
      </c>
      <c r="AT174" s="49">
        <v>5900</v>
      </c>
      <c r="AU174" s="3" t="str">
        <f t="shared" si="43"/>
        <v>match</v>
      </c>
      <c r="AV174" s="3" t="str">
        <f t="shared" si="44"/>
        <v>match</v>
      </c>
    </row>
    <row r="175" spans="1:48" ht="12">
      <c r="A175" s="9" t="s">
        <v>329</v>
      </c>
      <c r="B175" s="10" t="s">
        <v>355</v>
      </c>
      <c r="C175" s="56" t="s">
        <v>356</v>
      </c>
      <c r="D175" s="56"/>
      <c r="E175" s="11">
        <v>57</v>
      </c>
      <c r="F175" s="11"/>
      <c r="G175" s="11"/>
      <c r="H175" s="11"/>
      <c r="I175" s="11"/>
      <c r="J175" s="11"/>
      <c r="K175" s="11">
        <f t="shared" si="36"/>
        <v>57</v>
      </c>
      <c r="L175" s="11">
        <f t="shared" si="37"/>
        <v>41.04</v>
      </c>
      <c r="M175" s="11"/>
      <c r="N175" s="11">
        <v>1</v>
      </c>
      <c r="O175" s="11">
        <v>4</v>
      </c>
      <c r="P175" s="11"/>
      <c r="Q175" s="11">
        <v>7</v>
      </c>
      <c r="R175" s="11">
        <f t="shared" si="38"/>
        <v>12</v>
      </c>
      <c r="S175" s="11">
        <f t="shared" si="39"/>
        <v>13.919999999999998</v>
      </c>
      <c r="T175" s="11"/>
      <c r="U175" s="11"/>
      <c r="V175" s="11">
        <v>1</v>
      </c>
      <c r="W175" s="11"/>
      <c r="X175" s="11">
        <v>9</v>
      </c>
      <c r="Y175" s="11">
        <f t="shared" si="40"/>
        <v>10</v>
      </c>
      <c r="Z175" s="11">
        <f t="shared" si="41"/>
        <v>27.400000000000002</v>
      </c>
      <c r="AA175" s="11">
        <f t="shared" si="42"/>
        <v>79</v>
      </c>
      <c r="AB175" s="11">
        <f t="shared" si="42"/>
        <v>82.36</v>
      </c>
      <c r="AC175" s="42">
        <f t="shared" si="49"/>
        <v>5883</v>
      </c>
      <c r="AD175" s="83">
        <f t="shared" si="57"/>
        <v>464757</v>
      </c>
      <c r="AE175" s="83">
        <f t="shared" si="58"/>
        <v>484523.88</v>
      </c>
      <c r="AF175" s="83">
        <f t="shared" si="59"/>
        <v>949280.88</v>
      </c>
      <c r="AG175" s="11"/>
      <c r="AH175" s="11"/>
      <c r="AI175" s="78"/>
      <c r="AJ175" s="78"/>
      <c r="AK175" s="78"/>
      <c r="AL175" s="78"/>
      <c r="AM175" s="78"/>
      <c r="AN175" s="78"/>
      <c r="AO175" s="78"/>
      <c r="AP175" s="78"/>
      <c r="AQ175" s="3" t="s">
        <v>329</v>
      </c>
      <c r="AR175" s="3" t="s">
        <v>355</v>
      </c>
      <c r="AS175" s="3" t="s">
        <v>894</v>
      </c>
      <c r="AT175" s="49">
        <v>5883</v>
      </c>
      <c r="AU175" s="3" t="str">
        <f t="shared" si="43"/>
        <v>match</v>
      </c>
      <c r="AV175" s="3" t="str">
        <f t="shared" si="44"/>
        <v>match</v>
      </c>
    </row>
    <row r="176" spans="1:48" ht="12">
      <c r="A176" s="9" t="s">
        <v>329</v>
      </c>
      <c r="B176" s="12" t="s">
        <v>357</v>
      </c>
      <c r="C176" s="13" t="s">
        <v>358</v>
      </c>
      <c r="D176" s="8"/>
      <c r="E176" s="39">
        <v>79</v>
      </c>
      <c r="F176" s="39"/>
      <c r="G176" s="39"/>
      <c r="H176" s="39"/>
      <c r="I176" s="39"/>
      <c r="J176" s="39"/>
      <c r="K176" s="39">
        <f t="shared" si="36"/>
        <v>79</v>
      </c>
      <c r="L176" s="39">
        <f t="shared" si="37"/>
        <v>56.879999999999995</v>
      </c>
      <c r="M176" s="39"/>
      <c r="N176" s="39"/>
      <c r="O176" s="39">
        <v>2</v>
      </c>
      <c r="P176" s="39"/>
      <c r="Q176" s="39">
        <v>22</v>
      </c>
      <c r="R176" s="39">
        <f t="shared" si="38"/>
        <v>24</v>
      </c>
      <c r="S176" s="39">
        <f t="shared" si="39"/>
        <v>29.04</v>
      </c>
      <c r="T176" s="39"/>
      <c r="U176" s="39"/>
      <c r="V176" s="39">
        <v>1</v>
      </c>
      <c r="W176" s="39"/>
      <c r="X176" s="39">
        <v>23</v>
      </c>
      <c r="Y176" s="39">
        <f t="shared" si="40"/>
        <v>24</v>
      </c>
      <c r="Z176" s="39">
        <f t="shared" si="41"/>
        <v>65.760000000000005</v>
      </c>
      <c r="AA176" s="39">
        <f t="shared" si="42"/>
        <v>127</v>
      </c>
      <c r="AB176" s="39">
        <f t="shared" si="42"/>
        <v>151.68</v>
      </c>
      <c r="AC176" s="41">
        <f t="shared" si="49"/>
        <v>5924</v>
      </c>
      <c r="AD176" s="82">
        <f t="shared" si="57"/>
        <v>752348</v>
      </c>
      <c r="AE176" s="82">
        <f t="shared" si="58"/>
        <v>898552.32000000007</v>
      </c>
      <c r="AF176" s="82">
        <f t="shared" si="59"/>
        <v>1650900.32</v>
      </c>
      <c r="AG176" s="39"/>
      <c r="AH176" s="39"/>
      <c r="AI176" s="79"/>
      <c r="AJ176" s="79"/>
      <c r="AK176" s="79"/>
      <c r="AL176" s="79"/>
      <c r="AM176" s="79"/>
      <c r="AN176" s="79"/>
      <c r="AO176" s="79"/>
      <c r="AP176" s="79"/>
      <c r="AQ176" s="3" t="s">
        <v>329</v>
      </c>
      <c r="AR176" s="3" t="s">
        <v>357</v>
      </c>
      <c r="AS176" s="3" t="s">
        <v>895</v>
      </c>
      <c r="AT176" s="49">
        <v>5924</v>
      </c>
      <c r="AU176" s="3" t="str">
        <f t="shared" si="43"/>
        <v>match</v>
      </c>
      <c r="AV176" s="3" t="str">
        <f t="shared" si="44"/>
        <v>match</v>
      </c>
    </row>
    <row r="177" spans="1:48" ht="12">
      <c r="A177" s="9" t="s">
        <v>329</v>
      </c>
      <c r="B177" s="10" t="s">
        <v>359</v>
      </c>
      <c r="C177" s="56" t="s">
        <v>360</v>
      </c>
      <c r="D177" s="56"/>
      <c r="E177" s="11">
        <v>361</v>
      </c>
      <c r="F177" s="11">
        <v>2</v>
      </c>
      <c r="G177" s="11"/>
      <c r="H177" s="11"/>
      <c r="I177" s="11"/>
      <c r="J177" s="11"/>
      <c r="K177" s="11">
        <f t="shared" si="36"/>
        <v>363</v>
      </c>
      <c r="L177" s="11">
        <f t="shared" si="37"/>
        <v>261.36</v>
      </c>
      <c r="M177" s="11">
        <v>2</v>
      </c>
      <c r="N177" s="11">
        <v>27</v>
      </c>
      <c r="O177" s="11">
        <v>6</v>
      </c>
      <c r="P177" s="11"/>
      <c r="Q177" s="11">
        <v>115</v>
      </c>
      <c r="R177" s="11">
        <f t="shared" si="38"/>
        <v>150</v>
      </c>
      <c r="S177" s="11">
        <f t="shared" si="39"/>
        <v>165.29999999999998</v>
      </c>
      <c r="T177" s="11">
        <v>2</v>
      </c>
      <c r="U177" s="11">
        <v>5</v>
      </c>
      <c r="V177" s="11">
        <v>4</v>
      </c>
      <c r="W177" s="11"/>
      <c r="X177" s="11">
        <v>103</v>
      </c>
      <c r="Y177" s="11">
        <f t="shared" si="40"/>
        <v>114</v>
      </c>
      <c r="Z177" s="11">
        <f t="shared" si="41"/>
        <v>305.51000000000005</v>
      </c>
      <c r="AA177" s="11">
        <f t="shared" si="42"/>
        <v>627</v>
      </c>
      <c r="AB177" s="11">
        <f t="shared" si="42"/>
        <v>732.17000000000007</v>
      </c>
      <c r="AC177" s="42">
        <f t="shared" si="49"/>
        <v>5884</v>
      </c>
      <c r="AD177" s="83">
        <f t="shared" si="57"/>
        <v>3689268</v>
      </c>
      <c r="AE177" s="83">
        <f t="shared" si="58"/>
        <v>4308088.28</v>
      </c>
      <c r="AF177" s="83">
        <f t="shared" si="59"/>
        <v>7997356.2800000003</v>
      </c>
      <c r="AG177" s="11"/>
      <c r="AH177" s="11"/>
      <c r="AI177" s="78"/>
      <c r="AJ177" s="78"/>
      <c r="AK177" s="78"/>
      <c r="AL177" s="78"/>
      <c r="AM177" s="78"/>
      <c r="AN177" s="78"/>
      <c r="AO177" s="78"/>
      <c r="AP177" s="78"/>
      <c r="AQ177" s="3" t="s">
        <v>329</v>
      </c>
      <c r="AR177" s="3" t="s">
        <v>359</v>
      </c>
      <c r="AS177" s="3" t="s">
        <v>360</v>
      </c>
      <c r="AT177" s="49">
        <v>5884</v>
      </c>
      <c r="AU177" s="3" t="str">
        <f t="shared" si="43"/>
        <v>match</v>
      </c>
      <c r="AV177" s="3" t="str">
        <f t="shared" si="44"/>
        <v>match</v>
      </c>
    </row>
    <row r="178" spans="1:48" ht="12">
      <c r="A178" s="9" t="s">
        <v>329</v>
      </c>
      <c r="B178" s="12" t="s">
        <v>361</v>
      </c>
      <c r="C178" s="13" t="s">
        <v>362</v>
      </c>
      <c r="D178" s="8"/>
      <c r="E178" s="39">
        <v>34</v>
      </c>
      <c r="F178" s="39"/>
      <c r="G178" s="39"/>
      <c r="H178" s="39"/>
      <c r="I178" s="39"/>
      <c r="J178" s="39"/>
      <c r="K178" s="39">
        <f t="shared" si="36"/>
        <v>34</v>
      </c>
      <c r="L178" s="39">
        <f t="shared" si="37"/>
        <v>24.48</v>
      </c>
      <c r="M178" s="39"/>
      <c r="N178" s="39">
        <v>1</v>
      </c>
      <c r="O178" s="39">
        <v>1</v>
      </c>
      <c r="P178" s="39"/>
      <c r="Q178" s="39">
        <v>12</v>
      </c>
      <c r="R178" s="39">
        <f t="shared" si="38"/>
        <v>14</v>
      </c>
      <c r="S178" s="39">
        <f t="shared" si="39"/>
        <v>16.34</v>
      </c>
      <c r="T178" s="39"/>
      <c r="U178" s="39">
        <v>1</v>
      </c>
      <c r="V178" s="39"/>
      <c r="W178" s="39"/>
      <c r="X178" s="39">
        <v>8</v>
      </c>
      <c r="Y178" s="39">
        <f t="shared" si="40"/>
        <v>9</v>
      </c>
      <c r="Z178" s="39">
        <f t="shared" si="41"/>
        <v>23.290000000000003</v>
      </c>
      <c r="AA178" s="39">
        <f t="shared" si="42"/>
        <v>57</v>
      </c>
      <c r="AB178" s="39">
        <f t="shared" si="42"/>
        <v>64.11</v>
      </c>
      <c r="AC178" s="41">
        <f t="shared" si="49"/>
        <v>5883</v>
      </c>
      <c r="AD178" s="82">
        <f t="shared" si="57"/>
        <v>335331</v>
      </c>
      <c r="AE178" s="82">
        <f t="shared" si="58"/>
        <v>377159.13</v>
      </c>
      <c r="AF178" s="82">
        <f t="shared" si="59"/>
        <v>712490.13</v>
      </c>
      <c r="AG178" s="39"/>
      <c r="AH178" s="39"/>
      <c r="AI178" s="79"/>
      <c r="AJ178" s="79"/>
      <c r="AK178" s="79"/>
      <c r="AL178" s="79"/>
      <c r="AM178" s="79"/>
      <c r="AN178" s="79"/>
      <c r="AO178" s="79"/>
      <c r="AP178" s="79"/>
      <c r="AQ178" s="3" t="s">
        <v>329</v>
      </c>
      <c r="AR178" s="3" t="s">
        <v>361</v>
      </c>
      <c r="AS178" s="3" t="s">
        <v>896</v>
      </c>
      <c r="AT178" s="49">
        <v>5883</v>
      </c>
      <c r="AU178" s="3" t="str">
        <f t="shared" si="43"/>
        <v>match</v>
      </c>
      <c r="AV178" s="3" t="str">
        <f t="shared" si="44"/>
        <v>match</v>
      </c>
    </row>
    <row r="179" spans="1:48" ht="12">
      <c r="A179" s="9" t="s">
        <v>329</v>
      </c>
      <c r="B179" s="10" t="s">
        <v>363</v>
      </c>
      <c r="C179" s="56" t="s">
        <v>364</v>
      </c>
      <c r="D179" s="56"/>
      <c r="E179" s="11">
        <v>28</v>
      </c>
      <c r="F179" s="11"/>
      <c r="G179" s="11"/>
      <c r="H179" s="11"/>
      <c r="I179" s="11"/>
      <c r="J179" s="11"/>
      <c r="K179" s="11">
        <f t="shared" si="36"/>
        <v>28</v>
      </c>
      <c r="L179" s="11">
        <f t="shared" si="37"/>
        <v>20.16</v>
      </c>
      <c r="M179" s="11"/>
      <c r="N179" s="11"/>
      <c r="O179" s="11">
        <v>1</v>
      </c>
      <c r="P179" s="11"/>
      <c r="Q179" s="11">
        <v>4</v>
      </c>
      <c r="R179" s="11">
        <f t="shared" si="38"/>
        <v>5</v>
      </c>
      <c r="S179" s="11">
        <f t="shared" si="39"/>
        <v>6.05</v>
      </c>
      <c r="T179" s="11"/>
      <c r="U179" s="11"/>
      <c r="V179" s="11"/>
      <c r="W179" s="11"/>
      <c r="X179" s="11">
        <v>12</v>
      </c>
      <c r="Y179" s="11">
        <f t="shared" si="40"/>
        <v>12</v>
      </c>
      <c r="Z179" s="11">
        <f t="shared" si="41"/>
        <v>32.880000000000003</v>
      </c>
      <c r="AA179" s="11">
        <f t="shared" si="42"/>
        <v>45</v>
      </c>
      <c r="AB179" s="11">
        <f t="shared" si="42"/>
        <v>59.09</v>
      </c>
      <c r="AC179" s="42">
        <f t="shared" si="49"/>
        <v>5883</v>
      </c>
      <c r="AD179" s="83">
        <f t="shared" si="57"/>
        <v>264735</v>
      </c>
      <c r="AE179" s="83">
        <f t="shared" si="58"/>
        <v>347626.47000000003</v>
      </c>
      <c r="AF179" s="83">
        <f t="shared" si="59"/>
        <v>612361.47</v>
      </c>
      <c r="AG179" s="11"/>
      <c r="AH179" s="11"/>
      <c r="AI179" s="78"/>
      <c r="AJ179" s="78"/>
      <c r="AK179" s="78"/>
      <c r="AL179" s="78"/>
      <c r="AM179" s="78"/>
      <c r="AN179" s="78"/>
      <c r="AO179" s="78"/>
      <c r="AP179" s="78"/>
      <c r="AQ179" s="3" t="s">
        <v>329</v>
      </c>
      <c r="AR179" s="3" t="s">
        <v>363</v>
      </c>
      <c r="AS179" s="3" t="s">
        <v>897</v>
      </c>
      <c r="AT179" s="49">
        <v>5883</v>
      </c>
      <c r="AU179" s="3" t="str">
        <f t="shared" si="43"/>
        <v>match</v>
      </c>
      <c r="AV179" s="3" t="str">
        <f t="shared" si="44"/>
        <v>match</v>
      </c>
    </row>
    <row r="180" spans="1:48" ht="12">
      <c r="A180" s="9" t="s">
        <v>329</v>
      </c>
      <c r="B180" s="12" t="s">
        <v>365</v>
      </c>
      <c r="C180" s="13" t="s">
        <v>366</v>
      </c>
      <c r="D180" s="8"/>
      <c r="E180" s="39">
        <v>139</v>
      </c>
      <c r="F180" s="39"/>
      <c r="G180" s="39"/>
      <c r="H180" s="39"/>
      <c r="I180" s="39"/>
      <c r="J180" s="39"/>
      <c r="K180" s="39">
        <f t="shared" si="36"/>
        <v>139</v>
      </c>
      <c r="L180" s="39">
        <f t="shared" si="37"/>
        <v>100.08</v>
      </c>
      <c r="M180" s="39"/>
      <c r="N180" s="39">
        <v>10</v>
      </c>
      <c r="O180" s="39">
        <v>4</v>
      </c>
      <c r="P180" s="39"/>
      <c r="Q180" s="39">
        <v>55</v>
      </c>
      <c r="R180" s="39">
        <f t="shared" si="38"/>
        <v>69</v>
      </c>
      <c r="S180" s="39">
        <f t="shared" si="39"/>
        <v>77.489999999999995</v>
      </c>
      <c r="T180" s="39">
        <v>1</v>
      </c>
      <c r="U180" s="39">
        <v>3</v>
      </c>
      <c r="V180" s="39">
        <v>1</v>
      </c>
      <c r="W180" s="39"/>
      <c r="X180" s="39">
        <v>30</v>
      </c>
      <c r="Y180" s="39">
        <f t="shared" si="40"/>
        <v>35</v>
      </c>
      <c r="Z180" s="39">
        <f t="shared" si="41"/>
        <v>91.79</v>
      </c>
      <c r="AA180" s="39">
        <f t="shared" si="42"/>
        <v>243</v>
      </c>
      <c r="AB180" s="39">
        <f t="shared" si="42"/>
        <v>269.36</v>
      </c>
      <c r="AC180" s="41">
        <f t="shared" si="49"/>
        <v>5985</v>
      </c>
      <c r="AD180" s="82">
        <f t="shared" si="57"/>
        <v>1454355</v>
      </c>
      <c r="AE180" s="82">
        <f t="shared" si="58"/>
        <v>1612119.6</v>
      </c>
      <c r="AF180" s="82">
        <f t="shared" si="59"/>
        <v>3066474.6</v>
      </c>
      <c r="AG180" s="39"/>
      <c r="AH180" s="39"/>
      <c r="AI180" s="79"/>
      <c r="AJ180" s="79"/>
      <c r="AK180" s="79"/>
      <c r="AL180" s="79"/>
      <c r="AM180" s="79"/>
      <c r="AN180" s="79"/>
      <c r="AO180" s="79"/>
      <c r="AP180" s="79"/>
      <c r="AQ180" s="3" t="s">
        <v>329</v>
      </c>
      <c r="AR180" s="3" t="s">
        <v>365</v>
      </c>
      <c r="AS180" s="3" t="s">
        <v>366</v>
      </c>
      <c r="AT180" s="49">
        <v>5985</v>
      </c>
      <c r="AU180" s="3" t="str">
        <f t="shared" si="43"/>
        <v>match</v>
      </c>
      <c r="AV180" s="3" t="str">
        <f t="shared" si="44"/>
        <v>match</v>
      </c>
    </row>
    <row r="181" spans="1:48" ht="12">
      <c r="A181" s="9" t="s">
        <v>329</v>
      </c>
      <c r="B181" s="10" t="s">
        <v>367</v>
      </c>
      <c r="C181" s="56" t="s">
        <v>368</v>
      </c>
      <c r="D181" s="56"/>
      <c r="E181" s="11">
        <v>48</v>
      </c>
      <c r="F181" s="11"/>
      <c r="G181" s="11"/>
      <c r="H181" s="11"/>
      <c r="I181" s="11"/>
      <c r="J181" s="11"/>
      <c r="K181" s="11">
        <f t="shared" si="36"/>
        <v>48</v>
      </c>
      <c r="L181" s="11">
        <f t="shared" si="37"/>
        <v>34.56</v>
      </c>
      <c r="M181" s="11"/>
      <c r="N181" s="11">
        <v>2</v>
      </c>
      <c r="O181" s="11">
        <v>2</v>
      </c>
      <c r="P181" s="11"/>
      <c r="Q181" s="11">
        <v>14</v>
      </c>
      <c r="R181" s="11">
        <f t="shared" si="38"/>
        <v>18</v>
      </c>
      <c r="S181" s="11">
        <f t="shared" si="39"/>
        <v>20.58</v>
      </c>
      <c r="T181" s="11"/>
      <c r="U181" s="11"/>
      <c r="V181" s="11">
        <v>1</v>
      </c>
      <c r="W181" s="11"/>
      <c r="X181" s="11">
        <v>15</v>
      </c>
      <c r="Y181" s="11">
        <f t="shared" si="40"/>
        <v>16</v>
      </c>
      <c r="Z181" s="11">
        <f t="shared" si="41"/>
        <v>43.84</v>
      </c>
      <c r="AA181" s="11">
        <f t="shared" si="42"/>
        <v>82</v>
      </c>
      <c r="AB181" s="11">
        <f t="shared" si="42"/>
        <v>98.98</v>
      </c>
      <c r="AC181" s="42">
        <f t="shared" si="49"/>
        <v>5972</v>
      </c>
      <c r="AD181" s="83">
        <f t="shared" si="57"/>
        <v>489704</v>
      </c>
      <c r="AE181" s="83">
        <f t="shared" si="58"/>
        <v>591108.56000000006</v>
      </c>
      <c r="AF181" s="83">
        <f t="shared" si="59"/>
        <v>1080812.56</v>
      </c>
      <c r="AG181" s="11"/>
      <c r="AH181" s="11"/>
      <c r="AI181" s="78"/>
      <c r="AJ181" s="78"/>
      <c r="AK181" s="78"/>
      <c r="AL181" s="78"/>
      <c r="AM181" s="78"/>
      <c r="AN181" s="78"/>
      <c r="AO181" s="78"/>
      <c r="AP181" s="78"/>
      <c r="AQ181" s="3" t="s">
        <v>329</v>
      </c>
      <c r="AR181" s="3" t="s">
        <v>367</v>
      </c>
      <c r="AS181" s="3" t="s">
        <v>368</v>
      </c>
      <c r="AT181" s="49">
        <v>5972</v>
      </c>
      <c r="AU181" s="3" t="str">
        <f t="shared" si="43"/>
        <v>match</v>
      </c>
      <c r="AV181" s="3" t="str">
        <f t="shared" si="44"/>
        <v>match</v>
      </c>
    </row>
    <row r="182" spans="1:48" ht="12">
      <c r="A182" s="9" t="s">
        <v>329</v>
      </c>
      <c r="B182" s="12" t="s">
        <v>369</v>
      </c>
      <c r="C182" s="13" t="s">
        <v>370</v>
      </c>
      <c r="D182" s="8"/>
      <c r="E182" s="39">
        <v>116</v>
      </c>
      <c r="F182" s="39">
        <v>1</v>
      </c>
      <c r="G182" s="39"/>
      <c r="H182" s="39"/>
      <c r="I182" s="39"/>
      <c r="J182" s="39"/>
      <c r="K182" s="39">
        <f t="shared" si="36"/>
        <v>117</v>
      </c>
      <c r="L182" s="39">
        <f t="shared" si="37"/>
        <v>84.24</v>
      </c>
      <c r="M182" s="39"/>
      <c r="N182" s="39">
        <v>4</v>
      </c>
      <c r="O182" s="39">
        <v>3</v>
      </c>
      <c r="P182" s="39"/>
      <c r="Q182" s="39">
        <v>36</v>
      </c>
      <c r="R182" s="39">
        <f t="shared" si="38"/>
        <v>43</v>
      </c>
      <c r="S182" s="39">
        <f t="shared" si="39"/>
        <v>49.629999999999995</v>
      </c>
      <c r="T182" s="39">
        <v>1</v>
      </c>
      <c r="U182" s="39">
        <v>2</v>
      </c>
      <c r="V182" s="39">
        <v>4</v>
      </c>
      <c r="W182" s="39"/>
      <c r="X182" s="39">
        <v>11</v>
      </c>
      <c r="Y182" s="39">
        <f t="shared" si="40"/>
        <v>18</v>
      </c>
      <c r="Z182" s="39">
        <f t="shared" si="41"/>
        <v>46.580000000000005</v>
      </c>
      <c r="AA182" s="39">
        <f t="shared" si="42"/>
        <v>178</v>
      </c>
      <c r="AB182" s="39">
        <f t="shared" si="42"/>
        <v>180.45000000000002</v>
      </c>
      <c r="AC182" s="41">
        <f t="shared" si="49"/>
        <v>5907</v>
      </c>
      <c r="AD182" s="82">
        <f t="shared" si="57"/>
        <v>1051446</v>
      </c>
      <c r="AE182" s="82">
        <f t="shared" si="58"/>
        <v>1065918.1500000001</v>
      </c>
      <c r="AF182" s="82">
        <f t="shared" si="59"/>
        <v>2117364.1500000004</v>
      </c>
      <c r="AG182" s="39"/>
      <c r="AH182" s="39"/>
      <c r="AI182" s="79"/>
      <c r="AJ182" s="79"/>
      <c r="AK182" s="79"/>
      <c r="AL182" s="79"/>
      <c r="AM182" s="79"/>
      <c r="AN182" s="79"/>
      <c r="AO182" s="79"/>
      <c r="AP182" s="79"/>
      <c r="AQ182" s="3" t="s">
        <v>329</v>
      </c>
      <c r="AR182" s="3" t="s">
        <v>369</v>
      </c>
      <c r="AS182" s="3" t="s">
        <v>898</v>
      </c>
      <c r="AT182" s="49">
        <v>5907</v>
      </c>
      <c r="AU182" s="3" t="str">
        <f t="shared" si="43"/>
        <v>match</v>
      </c>
      <c r="AV182" s="3" t="str">
        <f t="shared" si="44"/>
        <v>match</v>
      </c>
    </row>
    <row r="183" spans="1:48" ht="12">
      <c r="A183" s="9" t="s">
        <v>329</v>
      </c>
      <c r="B183" s="10" t="s">
        <v>371</v>
      </c>
      <c r="C183" s="56" t="s">
        <v>372</v>
      </c>
      <c r="D183" s="56"/>
      <c r="E183" s="11">
        <v>82</v>
      </c>
      <c r="F183" s="11"/>
      <c r="G183" s="11"/>
      <c r="H183" s="11"/>
      <c r="I183" s="11"/>
      <c r="J183" s="11"/>
      <c r="K183" s="11">
        <f t="shared" si="36"/>
        <v>82</v>
      </c>
      <c r="L183" s="11">
        <f t="shared" si="37"/>
        <v>59.04</v>
      </c>
      <c r="M183" s="11"/>
      <c r="N183" s="11"/>
      <c r="O183" s="11"/>
      <c r="P183" s="11"/>
      <c r="Q183" s="11">
        <v>26</v>
      </c>
      <c r="R183" s="11">
        <f t="shared" si="38"/>
        <v>26</v>
      </c>
      <c r="S183" s="11">
        <f t="shared" si="39"/>
        <v>31.46</v>
      </c>
      <c r="T183" s="11">
        <v>1</v>
      </c>
      <c r="U183" s="11">
        <v>2</v>
      </c>
      <c r="V183" s="11">
        <v>1</v>
      </c>
      <c r="W183" s="11"/>
      <c r="X183" s="11">
        <v>18</v>
      </c>
      <c r="Y183" s="11">
        <f t="shared" si="40"/>
        <v>22</v>
      </c>
      <c r="Z183" s="11">
        <f t="shared" si="41"/>
        <v>57.540000000000006</v>
      </c>
      <c r="AA183" s="11">
        <f t="shared" si="42"/>
        <v>130</v>
      </c>
      <c r="AB183" s="11">
        <f t="shared" si="42"/>
        <v>148.04000000000002</v>
      </c>
      <c r="AC183" s="42">
        <f t="shared" si="49"/>
        <v>5883</v>
      </c>
      <c r="AD183" s="83">
        <f t="shared" si="57"/>
        <v>764790</v>
      </c>
      <c r="AE183" s="83">
        <f t="shared" si="58"/>
        <v>870919.32000000007</v>
      </c>
      <c r="AF183" s="83">
        <f t="shared" si="59"/>
        <v>1635709.32</v>
      </c>
      <c r="AG183" s="11"/>
      <c r="AH183" s="11"/>
      <c r="AI183" s="78"/>
      <c r="AJ183" s="78"/>
      <c r="AK183" s="78"/>
      <c r="AL183" s="78"/>
      <c r="AM183" s="78"/>
      <c r="AN183" s="78"/>
      <c r="AO183" s="78"/>
      <c r="AP183" s="78"/>
      <c r="AQ183" s="3" t="s">
        <v>329</v>
      </c>
      <c r="AR183" s="3" t="s">
        <v>371</v>
      </c>
      <c r="AS183" s="3" t="s">
        <v>899</v>
      </c>
      <c r="AT183" s="49">
        <v>5883</v>
      </c>
      <c r="AU183" s="3" t="str">
        <f t="shared" si="43"/>
        <v>match</v>
      </c>
      <c r="AV183" s="3" t="str">
        <f t="shared" si="44"/>
        <v>match</v>
      </c>
    </row>
    <row r="184" spans="1:48" ht="12">
      <c r="A184" s="9" t="s">
        <v>329</v>
      </c>
      <c r="B184" s="12" t="s">
        <v>373</v>
      </c>
      <c r="C184" s="13" t="s">
        <v>374</v>
      </c>
      <c r="D184" s="8"/>
      <c r="E184" s="39">
        <v>52</v>
      </c>
      <c r="F184" s="39"/>
      <c r="G184" s="39"/>
      <c r="H184" s="39"/>
      <c r="I184" s="39"/>
      <c r="J184" s="39"/>
      <c r="K184" s="39">
        <f t="shared" si="36"/>
        <v>52</v>
      </c>
      <c r="L184" s="39">
        <f t="shared" si="37"/>
        <v>37.44</v>
      </c>
      <c r="M184" s="39">
        <v>1</v>
      </c>
      <c r="N184" s="39"/>
      <c r="O184" s="39">
        <v>1</v>
      </c>
      <c r="P184" s="39"/>
      <c r="Q184" s="39">
        <v>19</v>
      </c>
      <c r="R184" s="39">
        <f t="shared" si="38"/>
        <v>21</v>
      </c>
      <c r="S184" s="39">
        <f t="shared" si="39"/>
        <v>25.41</v>
      </c>
      <c r="T184" s="39"/>
      <c r="U184" s="39"/>
      <c r="V184" s="39">
        <v>1</v>
      </c>
      <c r="W184" s="39"/>
      <c r="X184" s="39">
        <v>12</v>
      </c>
      <c r="Y184" s="39">
        <f t="shared" si="40"/>
        <v>13</v>
      </c>
      <c r="Z184" s="39">
        <f t="shared" si="41"/>
        <v>35.620000000000005</v>
      </c>
      <c r="AA184" s="39">
        <f t="shared" si="42"/>
        <v>86</v>
      </c>
      <c r="AB184" s="39">
        <f t="shared" si="42"/>
        <v>98.47</v>
      </c>
      <c r="AC184" s="41">
        <f t="shared" si="49"/>
        <v>5883</v>
      </c>
      <c r="AD184" s="82">
        <f t="shared" si="57"/>
        <v>505938</v>
      </c>
      <c r="AE184" s="82">
        <f t="shared" si="58"/>
        <v>579299.01</v>
      </c>
      <c r="AF184" s="82">
        <f t="shared" si="59"/>
        <v>1085237.01</v>
      </c>
      <c r="AG184" s="39"/>
      <c r="AH184" s="39"/>
      <c r="AI184" s="79"/>
      <c r="AJ184" s="79"/>
      <c r="AK184" s="79"/>
      <c r="AL184" s="79"/>
      <c r="AM184" s="79"/>
      <c r="AN184" s="79"/>
      <c r="AO184" s="79"/>
      <c r="AP184" s="79"/>
      <c r="AQ184" s="3" t="s">
        <v>329</v>
      </c>
      <c r="AR184" s="3" t="s">
        <v>373</v>
      </c>
      <c r="AS184" s="3" t="s">
        <v>900</v>
      </c>
      <c r="AT184" s="49">
        <v>5883</v>
      </c>
      <c r="AU184" s="3" t="str">
        <f t="shared" si="43"/>
        <v>match</v>
      </c>
      <c r="AV184" s="3" t="str">
        <f t="shared" si="44"/>
        <v>match</v>
      </c>
    </row>
    <row r="185" spans="1:48" ht="12">
      <c r="A185" s="9" t="s">
        <v>329</v>
      </c>
      <c r="B185" s="10" t="s">
        <v>375</v>
      </c>
      <c r="C185" s="56" t="s">
        <v>376</v>
      </c>
      <c r="D185" s="56"/>
      <c r="E185" s="11">
        <v>50</v>
      </c>
      <c r="F185" s="11"/>
      <c r="G185" s="11"/>
      <c r="H185" s="11"/>
      <c r="I185" s="11"/>
      <c r="J185" s="11"/>
      <c r="K185" s="11">
        <f t="shared" si="36"/>
        <v>50</v>
      </c>
      <c r="L185" s="11">
        <f t="shared" si="37"/>
        <v>36</v>
      </c>
      <c r="M185" s="11"/>
      <c r="N185" s="11">
        <v>1</v>
      </c>
      <c r="O185" s="11">
        <v>1</v>
      </c>
      <c r="P185" s="11"/>
      <c r="Q185" s="11">
        <v>12</v>
      </c>
      <c r="R185" s="11">
        <f t="shared" si="38"/>
        <v>14</v>
      </c>
      <c r="S185" s="11">
        <f t="shared" si="39"/>
        <v>16.34</v>
      </c>
      <c r="T185" s="11"/>
      <c r="U185" s="11"/>
      <c r="V185" s="11"/>
      <c r="W185" s="11"/>
      <c r="X185" s="11">
        <v>7</v>
      </c>
      <c r="Y185" s="11">
        <f t="shared" si="40"/>
        <v>7</v>
      </c>
      <c r="Z185" s="11">
        <f t="shared" si="41"/>
        <v>19.18</v>
      </c>
      <c r="AA185" s="11">
        <f t="shared" si="42"/>
        <v>71</v>
      </c>
      <c r="AB185" s="11">
        <f t="shared" si="42"/>
        <v>71.52000000000001</v>
      </c>
      <c r="AC185" s="42">
        <f t="shared" si="49"/>
        <v>5932</v>
      </c>
      <c r="AD185" s="83">
        <f t="shared" si="57"/>
        <v>421172</v>
      </c>
      <c r="AE185" s="83">
        <f t="shared" si="58"/>
        <v>424256.64000000007</v>
      </c>
      <c r="AF185" s="83">
        <f t="shared" si="59"/>
        <v>845428.64000000013</v>
      </c>
      <c r="AG185" s="11"/>
      <c r="AH185" s="11"/>
      <c r="AI185" s="78"/>
      <c r="AJ185" s="78"/>
      <c r="AK185" s="78"/>
      <c r="AL185" s="78"/>
      <c r="AM185" s="78"/>
      <c r="AN185" s="78"/>
      <c r="AO185" s="78"/>
      <c r="AP185" s="78"/>
      <c r="AQ185" s="3" t="s">
        <v>329</v>
      </c>
      <c r="AR185" s="3" t="s">
        <v>375</v>
      </c>
      <c r="AS185" s="3" t="s">
        <v>901</v>
      </c>
      <c r="AT185" s="49">
        <v>5932</v>
      </c>
      <c r="AU185" s="3" t="str">
        <f t="shared" si="43"/>
        <v>match</v>
      </c>
      <c r="AV185" s="3" t="str">
        <f t="shared" si="44"/>
        <v>match</v>
      </c>
    </row>
    <row r="186" spans="1:48" ht="12">
      <c r="A186" s="9" t="s">
        <v>329</v>
      </c>
      <c r="B186" s="12" t="s">
        <v>377</v>
      </c>
      <c r="C186" s="13" t="s">
        <v>378</v>
      </c>
      <c r="D186" s="8"/>
      <c r="E186" s="39">
        <v>14</v>
      </c>
      <c r="F186" s="39"/>
      <c r="G186" s="39"/>
      <c r="H186" s="39"/>
      <c r="I186" s="39"/>
      <c r="J186" s="39"/>
      <c r="K186" s="39">
        <f t="shared" si="36"/>
        <v>14</v>
      </c>
      <c r="L186" s="39">
        <f t="shared" si="37"/>
        <v>10.08</v>
      </c>
      <c r="M186" s="39"/>
      <c r="N186" s="39"/>
      <c r="O186" s="39"/>
      <c r="P186" s="39"/>
      <c r="Q186" s="39">
        <v>11</v>
      </c>
      <c r="R186" s="39">
        <f t="shared" si="38"/>
        <v>11</v>
      </c>
      <c r="S186" s="39">
        <f t="shared" si="39"/>
        <v>13.309999999999999</v>
      </c>
      <c r="T186" s="39"/>
      <c r="U186" s="39"/>
      <c r="V186" s="39"/>
      <c r="W186" s="39"/>
      <c r="X186" s="39">
        <v>8</v>
      </c>
      <c r="Y186" s="39">
        <f t="shared" si="40"/>
        <v>8</v>
      </c>
      <c r="Z186" s="39">
        <f t="shared" si="41"/>
        <v>21.92</v>
      </c>
      <c r="AA186" s="39">
        <f t="shared" si="42"/>
        <v>33</v>
      </c>
      <c r="AB186" s="39">
        <f t="shared" si="42"/>
        <v>45.31</v>
      </c>
      <c r="AC186" s="41">
        <f t="shared" si="49"/>
        <v>5895</v>
      </c>
      <c r="AD186" s="82">
        <f t="shared" si="57"/>
        <v>194535</v>
      </c>
      <c r="AE186" s="82">
        <f t="shared" si="58"/>
        <v>267102.45</v>
      </c>
      <c r="AF186" s="82">
        <f t="shared" si="59"/>
        <v>461637.45</v>
      </c>
      <c r="AG186" s="39"/>
      <c r="AH186" s="39"/>
      <c r="AI186" s="79"/>
      <c r="AJ186" s="79"/>
      <c r="AK186" s="79"/>
      <c r="AL186" s="79"/>
      <c r="AM186" s="79"/>
      <c r="AN186" s="79"/>
      <c r="AO186" s="79"/>
      <c r="AP186" s="79"/>
      <c r="AQ186" s="3" t="s">
        <v>329</v>
      </c>
      <c r="AR186" s="3" t="s">
        <v>377</v>
      </c>
      <c r="AS186" s="3" t="s">
        <v>378</v>
      </c>
      <c r="AT186" s="49">
        <v>5895</v>
      </c>
      <c r="AU186" s="3" t="str">
        <f t="shared" si="43"/>
        <v>match</v>
      </c>
      <c r="AV186" s="3" t="str">
        <f t="shared" si="44"/>
        <v>match</v>
      </c>
    </row>
    <row r="187" spans="1:48" ht="12">
      <c r="A187" s="9" t="s">
        <v>329</v>
      </c>
      <c r="B187" s="10" t="s">
        <v>379</v>
      </c>
      <c r="C187" s="56" t="s">
        <v>380</v>
      </c>
      <c r="D187" s="56"/>
      <c r="E187" s="11">
        <v>51</v>
      </c>
      <c r="F187" s="11"/>
      <c r="G187" s="11"/>
      <c r="H187" s="11"/>
      <c r="I187" s="11"/>
      <c r="J187" s="11"/>
      <c r="K187" s="11">
        <f t="shared" si="36"/>
        <v>51</v>
      </c>
      <c r="L187" s="11">
        <f t="shared" si="37"/>
        <v>36.72</v>
      </c>
      <c r="M187" s="11"/>
      <c r="N187" s="11">
        <v>1</v>
      </c>
      <c r="O187" s="11">
        <v>4</v>
      </c>
      <c r="P187" s="11"/>
      <c r="Q187" s="11">
        <v>5</v>
      </c>
      <c r="R187" s="11">
        <f t="shared" si="38"/>
        <v>10</v>
      </c>
      <c r="S187" s="11">
        <f t="shared" si="39"/>
        <v>11.5</v>
      </c>
      <c r="T187" s="11">
        <v>1</v>
      </c>
      <c r="U187" s="11"/>
      <c r="V187" s="11">
        <v>2</v>
      </c>
      <c r="W187" s="11"/>
      <c r="X187" s="11">
        <v>12</v>
      </c>
      <c r="Y187" s="11">
        <f t="shared" si="40"/>
        <v>15</v>
      </c>
      <c r="Z187" s="11">
        <f t="shared" si="41"/>
        <v>41.1</v>
      </c>
      <c r="AA187" s="11">
        <f t="shared" si="42"/>
        <v>76</v>
      </c>
      <c r="AB187" s="11">
        <f t="shared" si="42"/>
        <v>89.32</v>
      </c>
      <c r="AC187" s="42">
        <f t="shared" si="49"/>
        <v>5883</v>
      </c>
      <c r="AD187" s="83">
        <f t="shared" si="57"/>
        <v>447108</v>
      </c>
      <c r="AE187" s="83">
        <f t="shared" si="58"/>
        <v>525469.55999999994</v>
      </c>
      <c r="AF187" s="83">
        <f t="shared" si="59"/>
        <v>972577.55999999994</v>
      </c>
      <c r="AG187" s="11"/>
      <c r="AH187" s="11"/>
      <c r="AI187" s="78"/>
      <c r="AJ187" s="78"/>
      <c r="AK187" s="78"/>
      <c r="AL187" s="78"/>
      <c r="AM187" s="78"/>
      <c r="AN187" s="78"/>
      <c r="AO187" s="78"/>
      <c r="AP187" s="78"/>
      <c r="AQ187" s="3" t="s">
        <v>329</v>
      </c>
      <c r="AR187" s="3" t="s">
        <v>379</v>
      </c>
      <c r="AS187" s="3" t="s">
        <v>902</v>
      </c>
      <c r="AT187" s="49">
        <v>5883</v>
      </c>
      <c r="AU187" s="3" t="str">
        <f t="shared" si="43"/>
        <v>match</v>
      </c>
      <c r="AV187" s="3" t="str">
        <f t="shared" si="44"/>
        <v>match</v>
      </c>
    </row>
    <row r="188" spans="1:48" ht="12">
      <c r="A188" s="9" t="s">
        <v>329</v>
      </c>
      <c r="B188" s="12" t="s">
        <v>381</v>
      </c>
      <c r="C188" s="13" t="s">
        <v>382</v>
      </c>
      <c r="D188" s="8"/>
      <c r="E188" s="39">
        <v>23</v>
      </c>
      <c r="F188" s="39"/>
      <c r="G188" s="39"/>
      <c r="H188" s="39"/>
      <c r="I188" s="39"/>
      <c r="J188" s="39"/>
      <c r="K188" s="39">
        <f t="shared" si="36"/>
        <v>23</v>
      </c>
      <c r="L188" s="39">
        <f t="shared" si="37"/>
        <v>16.559999999999999</v>
      </c>
      <c r="M188" s="39"/>
      <c r="N188" s="39"/>
      <c r="O188" s="39">
        <v>2</v>
      </c>
      <c r="P188" s="39"/>
      <c r="Q188" s="39">
        <v>12</v>
      </c>
      <c r="R188" s="39">
        <f t="shared" si="38"/>
        <v>14</v>
      </c>
      <c r="S188" s="39">
        <f t="shared" si="39"/>
        <v>16.939999999999998</v>
      </c>
      <c r="T188" s="39"/>
      <c r="U188" s="39">
        <v>1</v>
      </c>
      <c r="V188" s="39"/>
      <c r="W188" s="39"/>
      <c r="X188" s="39">
        <v>4</v>
      </c>
      <c r="Y188" s="39">
        <f t="shared" si="40"/>
        <v>5</v>
      </c>
      <c r="Z188" s="39">
        <f t="shared" si="41"/>
        <v>12.330000000000002</v>
      </c>
      <c r="AA188" s="39">
        <f t="shared" si="42"/>
        <v>42</v>
      </c>
      <c r="AB188" s="39">
        <f t="shared" si="42"/>
        <v>45.83</v>
      </c>
      <c r="AC188" s="41">
        <f t="shared" si="49"/>
        <v>5925</v>
      </c>
      <c r="AD188" s="82">
        <f t="shared" si="57"/>
        <v>248850</v>
      </c>
      <c r="AE188" s="82">
        <f t="shared" si="58"/>
        <v>271542.75</v>
      </c>
      <c r="AF188" s="82">
        <f t="shared" si="59"/>
        <v>520392.75</v>
      </c>
      <c r="AG188" s="39"/>
      <c r="AH188" s="39"/>
      <c r="AI188" s="79"/>
      <c r="AJ188" s="79"/>
      <c r="AK188" s="79"/>
      <c r="AL188" s="79"/>
      <c r="AM188" s="79"/>
      <c r="AN188" s="79"/>
      <c r="AO188" s="79"/>
      <c r="AP188" s="79"/>
      <c r="AQ188" s="3" t="s">
        <v>329</v>
      </c>
      <c r="AR188" s="3" t="s">
        <v>381</v>
      </c>
      <c r="AS188" s="3" t="s">
        <v>903</v>
      </c>
      <c r="AT188" s="49">
        <v>5925</v>
      </c>
      <c r="AU188" s="3" t="str">
        <f t="shared" si="43"/>
        <v>match</v>
      </c>
      <c r="AV188" s="3" t="str">
        <f t="shared" si="44"/>
        <v>match</v>
      </c>
    </row>
    <row r="189" spans="1:48" ht="12">
      <c r="A189" s="9" t="s">
        <v>329</v>
      </c>
      <c r="B189" s="10" t="s">
        <v>383</v>
      </c>
      <c r="C189" s="56" t="s">
        <v>384</v>
      </c>
      <c r="D189" s="56"/>
      <c r="E189" s="11">
        <v>72</v>
      </c>
      <c r="F189" s="11"/>
      <c r="G189" s="11"/>
      <c r="H189" s="11"/>
      <c r="I189" s="11"/>
      <c r="J189" s="11"/>
      <c r="K189" s="11">
        <f t="shared" si="36"/>
        <v>72</v>
      </c>
      <c r="L189" s="11">
        <f t="shared" si="37"/>
        <v>51.839999999999996</v>
      </c>
      <c r="M189" s="11"/>
      <c r="N189" s="11"/>
      <c r="O189" s="11">
        <v>4</v>
      </c>
      <c r="P189" s="11"/>
      <c r="Q189" s="11">
        <v>20</v>
      </c>
      <c r="R189" s="11">
        <f t="shared" si="38"/>
        <v>24</v>
      </c>
      <c r="S189" s="11">
        <f t="shared" si="39"/>
        <v>29.04</v>
      </c>
      <c r="T189" s="11">
        <v>2</v>
      </c>
      <c r="U189" s="11"/>
      <c r="V189" s="11">
        <v>1</v>
      </c>
      <c r="W189" s="11"/>
      <c r="X189" s="11">
        <v>12</v>
      </c>
      <c r="Y189" s="11">
        <f t="shared" si="40"/>
        <v>15</v>
      </c>
      <c r="Z189" s="11">
        <f t="shared" si="41"/>
        <v>41.1</v>
      </c>
      <c r="AA189" s="11">
        <f t="shared" si="42"/>
        <v>111</v>
      </c>
      <c r="AB189" s="11">
        <f t="shared" si="42"/>
        <v>121.97999999999999</v>
      </c>
      <c r="AC189" s="42">
        <f t="shared" si="49"/>
        <v>5934</v>
      </c>
      <c r="AD189" s="83">
        <f t="shared" si="57"/>
        <v>658674</v>
      </c>
      <c r="AE189" s="83">
        <f t="shared" si="58"/>
        <v>723829.32</v>
      </c>
      <c r="AF189" s="83">
        <f t="shared" si="59"/>
        <v>1382503.3199999998</v>
      </c>
      <c r="AG189" s="11"/>
      <c r="AH189" s="11"/>
      <c r="AI189" s="78"/>
      <c r="AJ189" s="78"/>
      <c r="AK189" s="78"/>
      <c r="AL189" s="78"/>
      <c r="AM189" s="78"/>
      <c r="AN189" s="78"/>
      <c r="AO189" s="78"/>
      <c r="AP189" s="78"/>
      <c r="AQ189" s="3" t="s">
        <v>329</v>
      </c>
      <c r="AR189" s="3" t="s">
        <v>383</v>
      </c>
      <c r="AS189" s="3" t="s">
        <v>904</v>
      </c>
      <c r="AT189" s="49">
        <v>5934</v>
      </c>
      <c r="AU189" s="3" t="str">
        <f t="shared" si="43"/>
        <v>match</v>
      </c>
      <c r="AV189" s="3" t="str">
        <f t="shared" si="44"/>
        <v>match</v>
      </c>
    </row>
    <row r="190" spans="1:48" ht="12">
      <c r="A190" s="9" t="s">
        <v>329</v>
      </c>
      <c r="B190" s="12" t="s">
        <v>385</v>
      </c>
      <c r="C190" s="13" t="s">
        <v>386</v>
      </c>
      <c r="D190" s="8"/>
      <c r="E190" s="39">
        <v>167</v>
      </c>
      <c r="F190" s="39"/>
      <c r="G190" s="39"/>
      <c r="H190" s="39"/>
      <c r="I190" s="39"/>
      <c r="J190" s="39"/>
      <c r="K190" s="39">
        <f t="shared" si="36"/>
        <v>167</v>
      </c>
      <c r="L190" s="39">
        <f t="shared" si="37"/>
        <v>120.24</v>
      </c>
      <c r="M190" s="39"/>
      <c r="N190" s="39">
        <v>2</v>
      </c>
      <c r="O190" s="39">
        <v>8</v>
      </c>
      <c r="P190" s="39"/>
      <c r="Q190" s="39">
        <v>42</v>
      </c>
      <c r="R190" s="39">
        <f t="shared" si="38"/>
        <v>52</v>
      </c>
      <c r="S190" s="39">
        <f t="shared" si="39"/>
        <v>61.72</v>
      </c>
      <c r="T190" s="39">
        <v>1</v>
      </c>
      <c r="U190" s="39">
        <v>2</v>
      </c>
      <c r="V190" s="39"/>
      <c r="W190" s="39"/>
      <c r="X190" s="39">
        <v>31</v>
      </c>
      <c r="Y190" s="39">
        <f t="shared" si="40"/>
        <v>34</v>
      </c>
      <c r="Z190" s="39">
        <f t="shared" si="41"/>
        <v>90.42</v>
      </c>
      <c r="AA190" s="39">
        <f t="shared" si="42"/>
        <v>253</v>
      </c>
      <c r="AB190" s="39">
        <f t="shared" si="42"/>
        <v>272.38</v>
      </c>
      <c r="AC190" s="41">
        <f t="shared" si="49"/>
        <v>5883</v>
      </c>
      <c r="AD190" s="82">
        <f t="shared" si="57"/>
        <v>1488399</v>
      </c>
      <c r="AE190" s="82">
        <f t="shared" si="58"/>
        <v>1602411.54</v>
      </c>
      <c r="AF190" s="82">
        <f t="shared" si="59"/>
        <v>3090810.54</v>
      </c>
      <c r="AG190" s="39"/>
      <c r="AH190" s="39"/>
      <c r="AI190" s="79"/>
      <c r="AJ190" s="79"/>
      <c r="AK190" s="79"/>
      <c r="AL190" s="79"/>
      <c r="AM190" s="79"/>
      <c r="AN190" s="79"/>
      <c r="AO190" s="79"/>
      <c r="AP190" s="79"/>
      <c r="AQ190" s="3" t="s">
        <v>329</v>
      </c>
      <c r="AR190" s="3" t="s">
        <v>385</v>
      </c>
      <c r="AS190" s="3" t="s">
        <v>386</v>
      </c>
      <c r="AT190" s="49">
        <v>5883</v>
      </c>
      <c r="AU190" s="3" t="str">
        <f t="shared" si="43"/>
        <v>match</v>
      </c>
      <c r="AV190" s="3" t="str">
        <f t="shared" si="44"/>
        <v>match</v>
      </c>
    </row>
    <row r="191" spans="1:48" ht="12">
      <c r="A191" s="9" t="s">
        <v>329</v>
      </c>
      <c r="B191" s="10" t="s">
        <v>387</v>
      </c>
      <c r="C191" s="56" t="s">
        <v>388</v>
      </c>
      <c r="D191" s="56"/>
      <c r="E191" s="11">
        <v>107</v>
      </c>
      <c r="F191" s="11"/>
      <c r="G191" s="11"/>
      <c r="H191" s="11"/>
      <c r="I191" s="11"/>
      <c r="J191" s="11"/>
      <c r="K191" s="11">
        <f t="shared" si="36"/>
        <v>107</v>
      </c>
      <c r="L191" s="11">
        <f t="shared" si="37"/>
        <v>77.039999999999992</v>
      </c>
      <c r="M191" s="11">
        <v>1</v>
      </c>
      <c r="N191" s="11">
        <v>3</v>
      </c>
      <c r="O191" s="11">
        <v>9</v>
      </c>
      <c r="P191" s="11"/>
      <c r="Q191" s="11">
        <v>65</v>
      </c>
      <c r="R191" s="11">
        <f t="shared" si="38"/>
        <v>78</v>
      </c>
      <c r="S191" s="11">
        <f t="shared" si="39"/>
        <v>92.58</v>
      </c>
      <c r="T191" s="11"/>
      <c r="U191" s="11"/>
      <c r="V191" s="11">
        <v>1</v>
      </c>
      <c r="W191" s="11"/>
      <c r="X191" s="11">
        <v>36</v>
      </c>
      <c r="Y191" s="11">
        <f t="shared" si="40"/>
        <v>37</v>
      </c>
      <c r="Z191" s="11">
        <f t="shared" si="41"/>
        <v>101.38000000000001</v>
      </c>
      <c r="AA191" s="11">
        <f t="shared" si="42"/>
        <v>222</v>
      </c>
      <c r="AB191" s="11">
        <f t="shared" si="42"/>
        <v>271</v>
      </c>
      <c r="AC191" s="42">
        <f t="shared" si="49"/>
        <v>5883</v>
      </c>
      <c r="AD191" s="83">
        <f t="shared" si="57"/>
        <v>1306026</v>
      </c>
      <c r="AE191" s="83">
        <f t="shared" si="58"/>
        <v>1594293</v>
      </c>
      <c r="AF191" s="83">
        <f t="shared" si="59"/>
        <v>2900319</v>
      </c>
      <c r="AG191" s="11"/>
      <c r="AH191" s="11"/>
      <c r="AI191" s="78"/>
      <c r="AJ191" s="78"/>
      <c r="AK191" s="78"/>
      <c r="AL191" s="78"/>
      <c r="AM191" s="78"/>
      <c r="AN191" s="78"/>
      <c r="AO191" s="78"/>
      <c r="AP191" s="78"/>
      <c r="AQ191" s="3" t="s">
        <v>329</v>
      </c>
      <c r="AR191" s="3" t="s">
        <v>387</v>
      </c>
      <c r="AS191" s="3" t="s">
        <v>905</v>
      </c>
      <c r="AT191" s="49">
        <v>5883</v>
      </c>
      <c r="AU191" s="3" t="str">
        <f t="shared" si="43"/>
        <v>match</v>
      </c>
      <c r="AV191" s="3" t="str">
        <f t="shared" si="44"/>
        <v>match</v>
      </c>
    </row>
    <row r="192" spans="1:48" ht="12">
      <c r="A192" s="9" t="s">
        <v>329</v>
      </c>
      <c r="B192" s="12" t="s">
        <v>389</v>
      </c>
      <c r="C192" s="13" t="s">
        <v>390</v>
      </c>
      <c r="D192" s="8"/>
      <c r="E192" s="39">
        <v>57</v>
      </c>
      <c r="F192" s="39"/>
      <c r="G192" s="39"/>
      <c r="H192" s="39"/>
      <c r="I192" s="39"/>
      <c r="J192" s="39"/>
      <c r="K192" s="39">
        <f t="shared" si="36"/>
        <v>57</v>
      </c>
      <c r="L192" s="39">
        <f t="shared" si="37"/>
        <v>41.04</v>
      </c>
      <c r="M192" s="39"/>
      <c r="N192" s="39">
        <v>2</v>
      </c>
      <c r="O192" s="39"/>
      <c r="P192" s="39"/>
      <c r="Q192" s="39">
        <v>16</v>
      </c>
      <c r="R192" s="39">
        <f t="shared" si="38"/>
        <v>18</v>
      </c>
      <c r="S192" s="39">
        <f t="shared" si="39"/>
        <v>20.58</v>
      </c>
      <c r="T192" s="39">
        <v>1</v>
      </c>
      <c r="U192" s="39"/>
      <c r="V192" s="39">
        <v>2</v>
      </c>
      <c r="W192" s="39"/>
      <c r="X192" s="39">
        <v>10</v>
      </c>
      <c r="Y192" s="39">
        <f t="shared" si="40"/>
        <v>13</v>
      </c>
      <c r="Z192" s="39">
        <f t="shared" si="41"/>
        <v>35.620000000000005</v>
      </c>
      <c r="AA192" s="39">
        <f t="shared" si="42"/>
        <v>88</v>
      </c>
      <c r="AB192" s="39">
        <f t="shared" si="42"/>
        <v>97.240000000000009</v>
      </c>
      <c r="AC192" s="41">
        <f t="shared" si="49"/>
        <v>5915</v>
      </c>
      <c r="AD192" s="82">
        <f t="shared" si="57"/>
        <v>520520</v>
      </c>
      <c r="AE192" s="82">
        <f t="shared" si="58"/>
        <v>575174.60000000009</v>
      </c>
      <c r="AF192" s="82">
        <f t="shared" si="59"/>
        <v>1095694.6000000001</v>
      </c>
      <c r="AG192" s="39"/>
      <c r="AH192" s="39"/>
      <c r="AI192" s="79"/>
      <c r="AJ192" s="79"/>
      <c r="AK192" s="79"/>
      <c r="AL192" s="79"/>
      <c r="AM192" s="79"/>
      <c r="AN192" s="79"/>
      <c r="AO192" s="79"/>
      <c r="AP192" s="79"/>
      <c r="AQ192" s="3" t="s">
        <v>329</v>
      </c>
      <c r="AR192" s="3" t="s">
        <v>389</v>
      </c>
      <c r="AS192" s="3" t="s">
        <v>906</v>
      </c>
      <c r="AT192" s="49">
        <v>5915</v>
      </c>
      <c r="AU192" s="3" t="str">
        <f t="shared" si="43"/>
        <v>match</v>
      </c>
      <c r="AV192" s="3" t="str">
        <f t="shared" si="44"/>
        <v>match</v>
      </c>
    </row>
    <row r="193" spans="1:48" ht="12.75" thickBot="1">
      <c r="A193" s="9" t="s">
        <v>329</v>
      </c>
      <c r="B193" s="10" t="s">
        <v>391</v>
      </c>
      <c r="C193" s="56" t="s">
        <v>392</v>
      </c>
      <c r="D193" s="56"/>
      <c r="E193" s="11">
        <v>77</v>
      </c>
      <c r="F193" s="11">
        <v>1</v>
      </c>
      <c r="G193" s="11"/>
      <c r="H193" s="11"/>
      <c r="I193" s="11"/>
      <c r="J193" s="11"/>
      <c r="K193" s="11">
        <f t="shared" si="36"/>
        <v>78</v>
      </c>
      <c r="L193" s="11">
        <f t="shared" si="37"/>
        <v>56.16</v>
      </c>
      <c r="M193" s="11">
        <v>2</v>
      </c>
      <c r="N193" s="11">
        <v>4</v>
      </c>
      <c r="O193" s="11">
        <v>2</v>
      </c>
      <c r="P193" s="11"/>
      <c r="Q193" s="11">
        <v>18</v>
      </c>
      <c r="R193" s="11">
        <f t="shared" si="38"/>
        <v>26</v>
      </c>
      <c r="S193" s="11">
        <f t="shared" si="39"/>
        <v>29.06</v>
      </c>
      <c r="T193" s="11"/>
      <c r="U193" s="11">
        <v>3</v>
      </c>
      <c r="V193" s="11">
        <v>3</v>
      </c>
      <c r="W193" s="11"/>
      <c r="X193" s="11">
        <v>8</v>
      </c>
      <c r="Y193" s="11">
        <f t="shared" si="40"/>
        <v>14</v>
      </c>
      <c r="Z193" s="11">
        <f t="shared" si="41"/>
        <v>34.25</v>
      </c>
      <c r="AA193" s="11">
        <f t="shared" si="42"/>
        <v>118</v>
      </c>
      <c r="AB193" s="11">
        <f t="shared" si="42"/>
        <v>119.47</v>
      </c>
      <c r="AC193" s="42">
        <f t="shared" si="49"/>
        <v>5899</v>
      </c>
      <c r="AD193" s="83">
        <f t="shared" si="57"/>
        <v>696082</v>
      </c>
      <c r="AE193" s="83">
        <f t="shared" si="58"/>
        <v>704753.53</v>
      </c>
      <c r="AF193" s="83">
        <f t="shared" si="59"/>
        <v>1400835.53</v>
      </c>
      <c r="AG193" s="11"/>
      <c r="AH193" s="11"/>
      <c r="AI193" s="78"/>
      <c r="AJ193" s="78"/>
      <c r="AK193" s="78"/>
      <c r="AL193" s="78"/>
      <c r="AM193" s="78"/>
      <c r="AN193" s="78"/>
      <c r="AO193" s="78"/>
      <c r="AP193" s="78"/>
      <c r="AQ193" s="3" t="s">
        <v>329</v>
      </c>
      <c r="AR193" s="3" t="s">
        <v>391</v>
      </c>
      <c r="AS193" s="3" t="s">
        <v>907</v>
      </c>
      <c r="AT193" s="49">
        <v>5899</v>
      </c>
      <c r="AU193" s="3" t="str">
        <f t="shared" si="43"/>
        <v>match</v>
      </c>
      <c r="AV193" s="3" t="str">
        <f t="shared" si="44"/>
        <v>match</v>
      </c>
    </row>
    <row r="194" spans="1:48" ht="12.75" thickBot="1">
      <c r="A194" s="17">
        <v>10</v>
      </c>
      <c r="B194" s="17">
        <v>9210</v>
      </c>
      <c r="C194" s="18" t="s">
        <v>393</v>
      </c>
      <c r="D194" s="93"/>
      <c r="E194" s="19">
        <f>SUM(E162:E193)</f>
        <v>4686</v>
      </c>
      <c r="F194" s="19">
        <f t="shared" ref="F194:AB194" si="60">SUM(F162:F193)</f>
        <v>8</v>
      </c>
      <c r="G194" s="19">
        <f t="shared" si="60"/>
        <v>0</v>
      </c>
      <c r="H194" s="19">
        <f t="shared" si="60"/>
        <v>0</v>
      </c>
      <c r="I194" s="19">
        <f t="shared" si="60"/>
        <v>0</v>
      </c>
      <c r="J194" s="19">
        <f t="shared" si="60"/>
        <v>0</v>
      </c>
      <c r="K194" s="19">
        <f t="shared" si="60"/>
        <v>4694</v>
      </c>
      <c r="L194" s="19">
        <f t="shared" si="60"/>
        <v>3379.6799999999989</v>
      </c>
      <c r="M194" s="19">
        <f t="shared" si="60"/>
        <v>13</v>
      </c>
      <c r="N194" s="19">
        <f t="shared" si="60"/>
        <v>94</v>
      </c>
      <c r="O194" s="19">
        <f t="shared" si="60"/>
        <v>273</v>
      </c>
      <c r="P194" s="19">
        <f t="shared" si="60"/>
        <v>1</v>
      </c>
      <c r="Q194" s="19">
        <f t="shared" si="60"/>
        <v>1524</v>
      </c>
      <c r="R194" s="19">
        <f t="shared" si="60"/>
        <v>1905</v>
      </c>
      <c r="S194" s="19">
        <f t="shared" si="60"/>
        <v>2248.0499999999993</v>
      </c>
      <c r="T194" s="19">
        <f t="shared" si="60"/>
        <v>25</v>
      </c>
      <c r="U194" s="19">
        <f t="shared" si="60"/>
        <v>25</v>
      </c>
      <c r="V194" s="19">
        <f t="shared" si="60"/>
        <v>74</v>
      </c>
      <c r="W194" s="19">
        <f t="shared" si="60"/>
        <v>0</v>
      </c>
      <c r="X194" s="19">
        <f t="shared" si="60"/>
        <v>1152</v>
      </c>
      <c r="Y194" s="19">
        <f t="shared" si="60"/>
        <v>1276</v>
      </c>
      <c r="Z194" s="19">
        <f t="shared" si="60"/>
        <v>3461.9900000000002</v>
      </c>
      <c r="AA194" s="19">
        <f t="shared" si="60"/>
        <v>7875</v>
      </c>
      <c r="AB194" s="19">
        <f t="shared" si="60"/>
        <v>9089.7199999999993</v>
      </c>
      <c r="AC194" s="50">
        <f t="shared" si="49"/>
        <v>0</v>
      </c>
      <c r="AD194" s="43">
        <f t="shared" ref="AD194" si="61">SUM(AD162:AD193)</f>
        <v>46445619</v>
      </c>
      <c r="AE194" s="43">
        <f t="shared" ref="AE194" si="62">SUM(AE162:AE193)</f>
        <v>53602838.790000014</v>
      </c>
      <c r="AF194" s="43">
        <f t="shared" ref="AF194" si="63">SUM(AF162:AF193)</f>
        <v>100048457.78999998</v>
      </c>
      <c r="AG194" s="19"/>
      <c r="AH194" s="19"/>
      <c r="AI194" s="80"/>
      <c r="AJ194" s="80"/>
      <c r="AK194" s="80"/>
      <c r="AL194" s="80"/>
      <c r="AM194" s="80"/>
      <c r="AN194" s="80"/>
      <c r="AO194" s="80"/>
      <c r="AP194" s="80"/>
      <c r="AS194" s="3" t="s">
        <v>393</v>
      </c>
      <c r="AT194" s="49"/>
      <c r="AU194" s="3" t="str">
        <f t="shared" si="43"/>
        <v>not</v>
      </c>
      <c r="AV194" s="3" t="str">
        <f t="shared" si="44"/>
        <v>match</v>
      </c>
    </row>
    <row r="195" spans="1:48" ht="12">
      <c r="A195" s="9" t="s">
        <v>394</v>
      </c>
      <c r="B195" s="12" t="s">
        <v>395</v>
      </c>
      <c r="C195" s="13" t="s">
        <v>396</v>
      </c>
      <c r="D195" s="8"/>
      <c r="E195" s="39">
        <v>27</v>
      </c>
      <c r="F195" s="39"/>
      <c r="G195" s="39"/>
      <c r="H195" s="39"/>
      <c r="I195" s="39"/>
      <c r="J195" s="39"/>
      <c r="K195" s="39">
        <f t="shared" si="36"/>
        <v>27</v>
      </c>
      <c r="L195" s="39">
        <f t="shared" si="37"/>
        <v>19.439999999999998</v>
      </c>
      <c r="M195" s="39"/>
      <c r="N195" s="39">
        <v>1</v>
      </c>
      <c r="O195" s="39">
        <v>1</v>
      </c>
      <c r="P195" s="39"/>
      <c r="Q195" s="39">
        <v>21</v>
      </c>
      <c r="R195" s="39">
        <f t="shared" si="38"/>
        <v>23</v>
      </c>
      <c r="S195" s="39">
        <f t="shared" si="39"/>
        <v>27.229999999999997</v>
      </c>
      <c r="T195" s="39"/>
      <c r="U195" s="39"/>
      <c r="V195" s="39"/>
      <c r="W195" s="39"/>
      <c r="X195" s="39">
        <v>6</v>
      </c>
      <c r="Y195" s="39">
        <f t="shared" si="40"/>
        <v>6</v>
      </c>
      <c r="Z195" s="39">
        <f t="shared" si="41"/>
        <v>16.440000000000001</v>
      </c>
      <c r="AA195" s="39">
        <f t="shared" si="42"/>
        <v>56</v>
      </c>
      <c r="AB195" s="39">
        <f t="shared" si="42"/>
        <v>63.11</v>
      </c>
      <c r="AC195" s="41">
        <f t="shared" si="49"/>
        <v>5883</v>
      </c>
      <c r="AD195" s="82">
        <f t="shared" si="57"/>
        <v>329448</v>
      </c>
      <c r="AE195" s="82">
        <f t="shared" si="58"/>
        <v>371276.13</v>
      </c>
      <c r="AF195" s="82">
        <f t="shared" si="59"/>
        <v>700724.13</v>
      </c>
      <c r="AG195" s="39"/>
      <c r="AH195" s="39"/>
      <c r="AI195" s="79"/>
      <c r="AJ195" s="79"/>
      <c r="AK195" s="79"/>
      <c r="AL195" s="79"/>
      <c r="AM195" s="79"/>
      <c r="AN195" s="79"/>
      <c r="AO195" s="79"/>
      <c r="AP195" s="79"/>
      <c r="AQ195" s="3" t="s">
        <v>394</v>
      </c>
      <c r="AR195" s="3" t="s">
        <v>395</v>
      </c>
      <c r="AS195" s="3" t="s">
        <v>908</v>
      </c>
      <c r="AT195" s="49">
        <v>5883</v>
      </c>
      <c r="AU195" s="3" t="str">
        <f t="shared" si="43"/>
        <v>match</v>
      </c>
      <c r="AV195" s="3" t="str">
        <f t="shared" si="44"/>
        <v>match</v>
      </c>
    </row>
    <row r="196" spans="1:48" ht="12">
      <c r="A196" s="9" t="s">
        <v>394</v>
      </c>
      <c r="B196" s="10" t="s">
        <v>397</v>
      </c>
      <c r="C196" s="56" t="s">
        <v>398</v>
      </c>
      <c r="D196" s="56"/>
      <c r="E196" s="11">
        <v>72</v>
      </c>
      <c r="F196" s="11"/>
      <c r="G196" s="11"/>
      <c r="H196" s="11"/>
      <c r="I196" s="11"/>
      <c r="J196" s="11"/>
      <c r="K196" s="11">
        <f t="shared" si="36"/>
        <v>72</v>
      </c>
      <c r="L196" s="11">
        <f t="shared" si="37"/>
        <v>51.839999999999996</v>
      </c>
      <c r="M196" s="11"/>
      <c r="N196" s="11">
        <v>5</v>
      </c>
      <c r="O196" s="11">
        <v>2</v>
      </c>
      <c r="P196" s="11"/>
      <c r="Q196" s="11">
        <v>75</v>
      </c>
      <c r="R196" s="11">
        <f t="shared" si="38"/>
        <v>82</v>
      </c>
      <c r="S196" s="11">
        <f t="shared" si="39"/>
        <v>96.22</v>
      </c>
      <c r="T196" s="11"/>
      <c r="U196" s="11">
        <v>2</v>
      </c>
      <c r="V196" s="11"/>
      <c r="W196" s="11"/>
      <c r="X196" s="11">
        <v>9</v>
      </c>
      <c r="Y196" s="11">
        <f t="shared" si="40"/>
        <v>11</v>
      </c>
      <c r="Z196" s="11">
        <f t="shared" si="41"/>
        <v>27.400000000000006</v>
      </c>
      <c r="AA196" s="11">
        <f t="shared" si="42"/>
        <v>165</v>
      </c>
      <c r="AB196" s="11">
        <f t="shared" si="42"/>
        <v>175.46</v>
      </c>
      <c r="AC196" s="42">
        <f t="shared" si="49"/>
        <v>5903</v>
      </c>
      <c r="AD196" s="83">
        <f t="shared" si="57"/>
        <v>973995</v>
      </c>
      <c r="AE196" s="83">
        <f t="shared" si="58"/>
        <v>1035740.38</v>
      </c>
      <c r="AF196" s="83">
        <f t="shared" si="59"/>
        <v>2009735.38</v>
      </c>
      <c r="AG196" s="11"/>
      <c r="AH196" s="11"/>
      <c r="AI196" s="78"/>
      <c r="AJ196" s="78"/>
      <c r="AK196" s="78"/>
      <c r="AL196" s="78"/>
      <c r="AM196" s="78"/>
      <c r="AN196" s="78"/>
      <c r="AO196" s="78"/>
      <c r="AP196" s="78"/>
      <c r="AQ196" s="3" t="s">
        <v>394</v>
      </c>
      <c r="AR196" s="3" t="s">
        <v>397</v>
      </c>
      <c r="AS196" s="3" t="s">
        <v>909</v>
      </c>
      <c r="AT196" s="49">
        <v>5903</v>
      </c>
      <c r="AU196" s="3" t="str">
        <f t="shared" si="43"/>
        <v>match</v>
      </c>
      <c r="AV196" s="3" t="str">
        <f t="shared" si="44"/>
        <v>match</v>
      </c>
    </row>
    <row r="197" spans="1:48" ht="12">
      <c r="A197" s="9" t="s">
        <v>394</v>
      </c>
      <c r="B197" s="12" t="s">
        <v>399</v>
      </c>
      <c r="C197" s="13" t="s">
        <v>400</v>
      </c>
      <c r="D197" s="8"/>
      <c r="E197" s="39">
        <v>260</v>
      </c>
      <c r="F197" s="39">
        <v>2</v>
      </c>
      <c r="G197" s="39"/>
      <c r="H197" s="39"/>
      <c r="I197" s="39"/>
      <c r="J197" s="39"/>
      <c r="K197" s="39">
        <f t="shared" si="36"/>
        <v>262</v>
      </c>
      <c r="L197" s="39">
        <f t="shared" si="37"/>
        <v>188.64</v>
      </c>
      <c r="M197" s="39">
        <v>1</v>
      </c>
      <c r="N197" s="39">
        <v>30</v>
      </c>
      <c r="O197" s="39"/>
      <c r="P197" s="39">
        <v>3</v>
      </c>
      <c r="Q197" s="39">
        <v>91</v>
      </c>
      <c r="R197" s="39">
        <f t="shared" si="38"/>
        <v>125</v>
      </c>
      <c r="S197" s="39">
        <f t="shared" si="39"/>
        <v>131.44999999999999</v>
      </c>
      <c r="T197" s="39"/>
      <c r="U197" s="39">
        <v>4</v>
      </c>
      <c r="V197" s="39"/>
      <c r="W197" s="39"/>
      <c r="X197" s="39">
        <v>42</v>
      </c>
      <c r="Y197" s="39">
        <f t="shared" si="40"/>
        <v>46</v>
      </c>
      <c r="Z197" s="39">
        <f t="shared" si="41"/>
        <v>120.56000000000002</v>
      </c>
      <c r="AA197" s="39">
        <f t="shared" si="42"/>
        <v>433</v>
      </c>
      <c r="AB197" s="39">
        <f t="shared" si="42"/>
        <v>440.65</v>
      </c>
      <c r="AC197" s="41">
        <f t="shared" si="49"/>
        <v>5973</v>
      </c>
      <c r="AD197" s="82">
        <f t="shared" si="57"/>
        <v>2586309</v>
      </c>
      <c r="AE197" s="82">
        <f t="shared" si="58"/>
        <v>2632002.4499999997</v>
      </c>
      <c r="AF197" s="82">
        <f t="shared" si="59"/>
        <v>5218311.4499999993</v>
      </c>
      <c r="AG197" s="39"/>
      <c r="AH197" s="39"/>
      <c r="AI197" s="79"/>
      <c r="AJ197" s="79"/>
      <c r="AK197" s="79"/>
      <c r="AL197" s="79"/>
      <c r="AM197" s="79"/>
      <c r="AN197" s="79"/>
      <c r="AO197" s="79"/>
      <c r="AP197" s="79"/>
      <c r="AQ197" s="3" t="s">
        <v>394</v>
      </c>
      <c r="AR197" s="3" t="s">
        <v>399</v>
      </c>
      <c r="AS197" s="3" t="s">
        <v>910</v>
      </c>
      <c r="AT197" s="49">
        <v>5973</v>
      </c>
      <c r="AU197" s="3" t="str">
        <f t="shared" si="43"/>
        <v>match</v>
      </c>
      <c r="AV197" s="3" t="str">
        <f t="shared" si="44"/>
        <v>match</v>
      </c>
    </row>
    <row r="198" spans="1:48" ht="12">
      <c r="A198" s="9" t="s">
        <v>394</v>
      </c>
      <c r="B198" s="10" t="s">
        <v>401</v>
      </c>
      <c r="C198" s="56" t="s">
        <v>402</v>
      </c>
      <c r="D198" s="56"/>
      <c r="E198" s="11">
        <v>395</v>
      </c>
      <c r="F198" s="11"/>
      <c r="G198" s="11"/>
      <c r="H198" s="11"/>
      <c r="I198" s="11"/>
      <c r="J198" s="11"/>
      <c r="K198" s="11">
        <f t="shared" si="36"/>
        <v>395</v>
      </c>
      <c r="L198" s="11">
        <f t="shared" si="37"/>
        <v>284.39999999999998</v>
      </c>
      <c r="M198" s="11"/>
      <c r="N198" s="11">
        <v>31</v>
      </c>
      <c r="O198" s="11">
        <v>1</v>
      </c>
      <c r="P198" s="11">
        <v>3</v>
      </c>
      <c r="Q198" s="11">
        <v>146</v>
      </c>
      <c r="R198" s="11">
        <f t="shared" si="38"/>
        <v>181</v>
      </c>
      <c r="S198" s="11">
        <f t="shared" si="39"/>
        <v>198.61</v>
      </c>
      <c r="T198" s="11"/>
      <c r="U198" s="11">
        <v>12</v>
      </c>
      <c r="V198" s="11"/>
      <c r="W198" s="11">
        <v>1</v>
      </c>
      <c r="X198" s="11">
        <v>52</v>
      </c>
      <c r="Y198" s="11">
        <f t="shared" si="40"/>
        <v>65</v>
      </c>
      <c r="Z198" s="11">
        <f t="shared" si="41"/>
        <v>160.29000000000002</v>
      </c>
      <c r="AA198" s="11">
        <f t="shared" si="42"/>
        <v>641</v>
      </c>
      <c r="AB198" s="11">
        <f t="shared" si="42"/>
        <v>643.29999999999995</v>
      </c>
      <c r="AC198" s="42">
        <f t="shared" si="49"/>
        <v>5883</v>
      </c>
      <c r="AD198" s="83">
        <f t="shared" si="57"/>
        <v>3771003</v>
      </c>
      <c r="AE198" s="83">
        <f t="shared" si="58"/>
        <v>3784533.9</v>
      </c>
      <c r="AF198" s="83">
        <f t="shared" si="59"/>
        <v>7555536.9000000004</v>
      </c>
      <c r="AG198" s="11"/>
      <c r="AH198" s="11"/>
      <c r="AI198" s="78"/>
      <c r="AJ198" s="78"/>
      <c r="AK198" s="78"/>
      <c r="AL198" s="78"/>
      <c r="AM198" s="78"/>
      <c r="AN198" s="78"/>
      <c r="AO198" s="78"/>
      <c r="AP198" s="78"/>
      <c r="AQ198" s="3" t="s">
        <v>394</v>
      </c>
      <c r="AR198" s="3" t="s">
        <v>401</v>
      </c>
      <c r="AS198" s="3" t="s">
        <v>402</v>
      </c>
      <c r="AT198" s="49">
        <v>5883</v>
      </c>
      <c r="AU198" s="3" t="str">
        <f t="shared" si="43"/>
        <v>match</v>
      </c>
      <c r="AV198" s="3" t="str">
        <f t="shared" si="44"/>
        <v>match</v>
      </c>
    </row>
    <row r="199" spans="1:48" ht="12">
      <c r="A199" s="9" t="s">
        <v>394</v>
      </c>
      <c r="B199" s="12" t="s">
        <v>403</v>
      </c>
      <c r="C199" s="13" t="s">
        <v>404</v>
      </c>
      <c r="D199" s="8"/>
      <c r="E199" s="39">
        <v>34</v>
      </c>
      <c r="F199" s="39"/>
      <c r="G199" s="39"/>
      <c r="H199" s="39"/>
      <c r="I199" s="39"/>
      <c r="J199" s="39"/>
      <c r="K199" s="39">
        <f t="shared" ref="K199:K262" si="64">SUM(E199:J199)</f>
        <v>34</v>
      </c>
      <c r="L199" s="39">
        <f t="shared" ref="L199:L262" si="65">+K199*0.72</f>
        <v>24.48</v>
      </c>
      <c r="M199" s="39"/>
      <c r="N199" s="39">
        <v>1</v>
      </c>
      <c r="O199" s="39">
        <v>1</v>
      </c>
      <c r="P199" s="39"/>
      <c r="Q199" s="39">
        <v>7</v>
      </c>
      <c r="R199" s="39">
        <f t="shared" ref="R199:R262" si="66">SUM(M199:Q199)</f>
        <v>9</v>
      </c>
      <c r="S199" s="39">
        <f t="shared" ref="S199:S262" si="67">((+N199+P199)*0.61)+((+M199+O199+Q199)*1.21)</f>
        <v>10.29</v>
      </c>
      <c r="T199" s="39"/>
      <c r="U199" s="39"/>
      <c r="V199" s="39"/>
      <c r="W199" s="39"/>
      <c r="X199" s="39">
        <v>5</v>
      </c>
      <c r="Y199" s="39">
        <f t="shared" ref="Y199:Y262" si="68">SUM(T199:X199)</f>
        <v>5</v>
      </c>
      <c r="Z199" s="39">
        <f t="shared" ref="Z199:Z262" si="69">((+U199+W199)*1.37)+((+T199+V199+X199)*2.74)</f>
        <v>13.700000000000001</v>
      </c>
      <c r="AA199" s="39">
        <f t="shared" ref="AA199:AB262" si="70">+K199+R199+Y199</f>
        <v>48</v>
      </c>
      <c r="AB199" s="39">
        <f t="shared" si="70"/>
        <v>48.47</v>
      </c>
      <c r="AC199" s="41">
        <f t="shared" si="49"/>
        <v>5962</v>
      </c>
      <c r="AD199" s="82">
        <f t="shared" si="57"/>
        <v>286176</v>
      </c>
      <c r="AE199" s="82">
        <f t="shared" si="58"/>
        <v>288978.14</v>
      </c>
      <c r="AF199" s="82">
        <f t="shared" si="59"/>
        <v>575154.14</v>
      </c>
      <c r="AG199" s="39"/>
      <c r="AH199" s="39"/>
      <c r="AI199" s="79"/>
      <c r="AJ199" s="79"/>
      <c r="AK199" s="79"/>
      <c r="AL199" s="79"/>
      <c r="AM199" s="79"/>
      <c r="AN199" s="79"/>
      <c r="AO199" s="79"/>
      <c r="AP199" s="79"/>
      <c r="AQ199" s="3" t="s">
        <v>394</v>
      </c>
      <c r="AR199" s="3" t="s">
        <v>403</v>
      </c>
      <c r="AS199" s="3" t="s">
        <v>911</v>
      </c>
      <c r="AT199" s="49">
        <v>5962</v>
      </c>
      <c r="AU199" s="3" t="str">
        <f t="shared" ref="AU199:AU262" si="71">IF(AR199=B199,"match","not")</f>
        <v>match</v>
      </c>
      <c r="AV199" s="3" t="str">
        <f t="shared" ref="AV199:AV262" si="72">IF(AS199=C199,"match","not")</f>
        <v>match</v>
      </c>
    </row>
    <row r="200" spans="1:48" ht="12">
      <c r="A200" s="9" t="s">
        <v>394</v>
      </c>
      <c r="B200" s="10" t="s">
        <v>405</v>
      </c>
      <c r="C200" s="56" t="s">
        <v>406</v>
      </c>
      <c r="D200" s="56"/>
      <c r="E200" s="11">
        <v>101</v>
      </c>
      <c r="F200" s="11"/>
      <c r="G200" s="11"/>
      <c r="H200" s="11"/>
      <c r="I200" s="11"/>
      <c r="J200" s="11"/>
      <c r="K200" s="11">
        <f t="shared" si="64"/>
        <v>101</v>
      </c>
      <c r="L200" s="11">
        <f t="shared" si="65"/>
        <v>72.72</v>
      </c>
      <c r="M200" s="11"/>
      <c r="N200" s="11">
        <v>3</v>
      </c>
      <c r="O200" s="11">
        <v>2</v>
      </c>
      <c r="P200" s="11">
        <v>2</v>
      </c>
      <c r="Q200" s="11">
        <v>24</v>
      </c>
      <c r="R200" s="11">
        <f t="shared" si="66"/>
        <v>31</v>
      </c>
      <c r="S200" s="11">
        <f t="shared" si="67"/>
        <v>34.51</v>
      </c>
      <c r="T200" s="11"/>
      <c r="U200" s="11">
        <v>1</v>
      </c>
      <c r="V200" s="11"/>
      <c r="W200" s="11"/>
      <c r="X200" s="11">
        <v>8</v>
      </c>
      <c r="Y200" s="11">
        <f t="shared" si="68"/>
        <v>9</v>
      </c>
      <c r="Z200" s="11">
        <f t="shared" si="69"/>
        <v>23.290000000000003</v>
      </c>
      <c r="AA200" s="11">
        <f t="shared" si="70"/>
        <v>141</v>
      </c>
      <c r="AB200" s="11">
        <f t="shared" si="70"/>
        <v>130.51999999999998</v>
      </c>
      <c r="AC200" s="42">
        <f t="shared" si="49"/>
        <v>5883</v>
      </c>
      <c r="AD200" s="83">
        <f t="shared" si="57"/>
        <v>829503</v>
      </c>
      <c r="AE200" s="83">
        <f t="shared" si="58"/>
        <v>767849.15999999992</v>
      </c>
      <c r="AF200" s="83">
        <f t="shared" si="59"/>
        <v>1597352.16</v>
      </c>
      <c r="AG200" s="11"/>
      <c r="AH200" s="11"/>
      <c r="AI200" s="78"/>
      <c r="AJ200" s="78"/>
      <c r="AK200" s="78"/>
      <c r="AL200" s="78"/>
      <c r="AM200" s="78"/>
      <c r="AN200" s="78"/>
      <c r="AO200" s="78"/>
      <c r="AP200" s="78"/>
      <c r="AQ200" s="3" t="s">
        <v>394</v>
      </c>
      <c r="AR200" s="3" t="s">
        <v>405</v>
      </c>
      <c r="AS200" s="3" t="s">
        <v>912</v>
      </c>
      <c r="AT200" s="49">
        <v>5883</v>
      </c>
      <c r="AU200" s="3" t="str">
        <f t="shared" si="71"/>
        <v>match</v>
      </c>
      <c r="AV200" s="3" t="str">
        <f t="shared" si="72"/>
        <v>match</v>
      </c>
    </row>
    <row r="201" spans="1:48" ht="12">
      <c r="A201" s="9" t="s">
        <v>394</v>
      </c>
      <c r="B201" s="12" t="s">
        <v>407</v>
      </c>
      <c r="C201" s="13" t="s">
        <v>408</v>
      </c>
      <c r="D201" s="8"/>
      <c r="E201" s="39">
        <v>31</v>
      </c>
      <c r="F201" s="39"/>
      <c r="G201" s="39"/>
      <c r="H201" s="39"/>
      <c r="I201" s="39"/>
      <c r="J201" s="39"/>
      <c r="K201" s="39">
        <f t="shared" si="64"/>
        <v>31</v>
      </c>
      <c r="L201" s="39">
        <f t="shared" si="65"/>
        <v>22.32</v>
      </c>
      <c r="M201" s="39"/>
      <c r="N201" s="39">
        <v>1</v>
      </c>
      <c r="O201" s="39"/>
      <c r="P201" s="39"/>
      <c r="Q201" s="39">
        <v>7</v>
      </c>
      <c r="R201" s="39">
        <f t="shared" si="66"/>
        <v>8</v>
      </c>
      <c r="S201" s="39">
        <f t="shared" si="67"/>
        <v>9.0799999999999983</v>
      </c>
      <c r="T201" s="39"/>
      <c r="U201" s="39"/>
      <c r="V201" s="39"/>
      <c r="W201" s="39"/>
      <c r="X201" s="39">
        <v>2</v>
      </c>
      <c r="Y201" s="39">
        <f t="shared" si="68"/>
        <v>2</v>
      </c>
      <c r="Z201" s="39">
        <f t="shared" si="69"/>
        <v>5.48</v>
      </c>
      <c r="AA201" s="39">
        <f t="shared" si="70"/>
        <v>41</v>
      </c>
      <c r="AB201" s="39">
        <f t="shared" si="70"/>
        <v>36.879999999999995</v>
      </c>
      <c r="AC201" s="41">
        <f t="shared" si="49"/>
        <v>5883</v>
      </c>
      <c r="AD201" s="82">
        <f t="shared" si="57"/>
        <v>241203</v>
      </c>
      <c r="AE201" s="82">
        <f t="shared" si="58"/>
        <v>216965.03999999998</v>
      </c>
      <c r="AF201" s="82">
        <f t="shared" si="59"/>
        <v>458168.04</v>
      </c>
      <c r="AG201" s="39"/>
      <c r="AH201" s="39"/>
      <c r="AI201" s="79"/>
      <c r="AJ201" s="79"/>
      <c r="AK201" s="79"/>
      <c r="AL201" s="79"/>
      <c r="AM201" s="79"/>
      <c r="AN201" s="79"/>
      <c r="AO201" s="79"/>
      <c r="AP201" s="79"/>
      <c r="AQ201" s="3" t="s">
        <v>394</v>
      </c>
      <c r="AR201" s="3" t="s">
        <v>407</v>
      </c>
      <c r="AS201" s="3" t="s">
        <v>913</v>
      </c>
      <c r="AT201" s="49">
        <v>5883</v>
      </c>
      <c r="AU201" s="3" t="str">
        <f t="shared" si="71"/>
        <v>match</v>
      </c>
      <c r="AV201" s="3" t="str">
        <f t="shared" si="72"/>
        <v>match</v>
      </c>
    </row>
    <row r="202" spans="1:48" ht="12">
      <c r="A202" s="9" t="s">
        <v>394</v>
      </c>
      <c r="B202" s="10" t="s">
        <v>409</v>
      </c>
      <c r="C202" s="56" t="s">
        <v>410</v>
      </c>
      <c r="D202" s="56"/>
      <c r="E202" s="11">
        <v>89</v>
      </c>
      <c r="F202" s="11"/>
      <c r="G202" s="11"/>
      <c r="H202" s="11"/>
      <c r="I202" s="11"/>
      <c r="J202" s="11"/>
      <c r="K202" s="11">
        <f t="shared" si="64"/>
        <v>89</v>
      </c>
      <c r="L202" s="11">
        <f t="shared" si="65"/>
        <v>64.08</v>
      </c>
      <c r="M202" s="11"/>
      <c r="N202" s="11">
        <v>6</v>
      </c>
      <c r="O202" s="11"/>
      <c r="P202" s="11"/>
      <c r="Q202" s="11">
        <v>25</v>
      </c>
      <c r="R202" s="11">
        <f t="shared" si="66"/>
        <v>31</v>
      </c>
      <c r="S202" s="11">
        <f t="shared" si="67"/>
        <v>33.909999999999997</v>
      </c>
      <c r="T202" s="11"/>
      <c r="U202" s="11">
        <v>3</v>
      </c>
      <c r="V202" s="11"/>
      <c r="W202" s="11">
        <v>1</v>
      </c>
      <c r="X202" s="11">
        <v>5</v>
      </c>
      <c r="Y202" s="11">
        <f t="shared" si="68"/>
        <v>9</v>
      </c>
      <c r="Z202" s="11">
        <f t="shared" si="69"/>
        <v>19.18</v>
      </c>
      <c r="AA202" s="11">
        <f t="shared" si="70"/>
        <v>129</v>
      </c>
      <c r="AB202" s="11">
        <f t="shared" si="70"/>
        <v>117.16999999999999</v>
      </c>
      <c r="AC202" s="42">
        <f t="shared" si="49"/>
        <v>5883</v>
      </c>
      <c r="AD202" s="83">
        <f t="shared" si="57"/>
        <v>758907</v>
      </c>
      <c r="AE202" s="83">
        <f t="shared" si="58"/>
        <v>689311.10999999987</v>
      </c>
      <c r="AF202" s="83">
        <f t="shared" si="59"/>
        <v>1448218.1099999999</v>
      </c>
      <c r="AG202" s="11"/>
      <c r="AH202" s="11"/>
      <c r="AI202" s="78"/>
      <c r="AJ202" s="78"/>
      <c r="AK202" s="78"/>
      <c r="AL202" s="78"/>
      <c r="AM202" s="78"/>
      <c r="AN202" s="78"/>
      <c r="AO202" s="78"/>
      <c r="AP202" s="78"/>
      <c r="AQ202" s="3" t="s">
        <v>394</v>
      </c>
      <c r="AR202" s="3" t="s">
        <v>409</v>
      </c>
      <c r="AS202" s="3" t="s">
        <v>914</v>
      </c>
      <c r="AT202" s="49">
        <v>5883</v>
      </c>
      <c r="AU202" s="3" t="str">
        <f t="shared" si="71"/>
        <v>match</v>
      </c>
      <c r="AV202" s="3" t="str">
        <f t="shared" si="72"/>
        <v>match</v>
      </c>
    </row>
    <row r="203" spans="1:48" ht="12">
      <c r="A203" s="9" t="s">
        <v>394</v>
      </c>
      <c r="B203" s="12" t="s">
        <v>411</v>
      </c>
      <c r="C203" s="13" t="s">
        <v>412</v>
      </c>
      <c r="D203" s="8"/>
      <c r="E203" s="39">
        <v>234</v>
      </c>
      <c r="F203" s="39"/>
      <c r="G203" s="39"/>
      <c r="H203" s="39"/>
      <c r="I203" s="39"/>
      <c r="J203" s="39"/>
      <c r="K203" s="39">
        <f t="shared" si="64"/>
        <v>234</v>
      </c>
      <c r="L203" s="39">
        <f t="shared" si="65"/>
        <v>168.48</v>
      </c>
      <c r="M203" s="39"/>
      <c r="N203" s="39">
        <v>9</v>
      </c>
      <c r="O203" s="39"/>
      <c r="P203" s="39"/>
      <c r="Q203" s="39">
        <v>67</v>
      </c>
      <c r="R203" s="39">
        <f t="shared" si="66"/>
        <v>76</v>
      </c>
      <c r="S203" s="39">
        <f t="shared" si="67"/>
        <v>86.559999999999988</v>
      </c>
      <c r="T203" s="39"/>
      <c r="U203" s="39">
        <v>1</v>
      </c>
      <c r="V203" s="39"/>
      <c r="W203" s="39">
        <v>1</v>
      </c>
      <c r="X203" s="39">
        <v>18</v>
      </c>
      <c r="Y203" s="39">
        <f t="shared" si="68"/>
        <v>20</v>
      </c>
      <c r="Z203" s="39">
        <f t="shared" si="69"/>
        <v>52.060000000000009</v>
      </c>
      <c r="AA203" s="39">
        <f t="shared" si="70"/>
        <v>330</v>
      </c>
      <c r="AB203" s="39">
        <f t="shared" si="70"/>
        <v>307.09999999999997</v>
      </c>
      <c r="AC203" s="41">
        <f t="shared" si="49"/>
        <v>5883</v>
      </c>
      <c r="AD203" s="82">
        <f t="shared" si="57"/>
        <v>1941390</v>
      </c>
      <c r="AE203" s="82">
        <f t="shared" si="58"/>
        <v>1806669.2999999998</v>
      </c>
      <c r="AF203" s="82">
        <f t="shared" si="59"/>
        <v>3748059.3</v>
      </c>
      <c r="AG203" s="39"/>
      <c r="AH203" s="39"/>
      <c r="AI203" s="79"/>
      <c r="AJ203" s="79"/>
      <c r="AK203" s="79"/>
      <c r="AL203" s="79"/>
      <c r="AM203" s="79"/>
      <c r="AN203" s="79"/>
      <c r="AO203" s="79"/>
      <c r="AP203" s="79"/>
      <c r="AQ203" s="3" t="s">
        <v>394</v>
      </c>
      <c r="AR203" s="3" t="s">
        <v>411</v>
      </c>
      <c r="AS203" s="3" t="s">
        <v>915</v>
      </c>
      <c r="AT203" s="49">
        <v>5883</v>
      </c>
      <c r="AU203" s="3" t="str">
        <f t="shared" si="71"/>
        <v>match</v>
      </c>
      <c r="AV203" s="3" t="str">
        <f t="shared" si="72"/>
        <v>match</v>
      </c>
    </row>
    <row r="204" spans="1:48" ht="12">
      <c r="A204" s="9" t="s">
        <v>394</v>
      </c>
      <c r="B204" s="10" t="s">
        <v>413</v>
      </c>
      <c r="C204" s="56" t="s">
        <v>414</v>
      </c>
      <c r="D204" s="56"/>
      <c r="E204" s="11">
        <v>131</v>
      </c>
      <c r="F204" s="11"/>
      <c r="G204" s="11"/>
      <c r="H204" s="11"/>
      <c r="I204" s="11"/>
      <c r="J204" s="11"/>
      <c r="K204" s="11">
        <f t="shared" si="64"/>
        <v>131</v>
      </c>
      <c r="L204" s="11">
        <f t="shared" si="65"/>
        <v>94.32</v>
      </c>
      <c r="M204" s="11"/>
      <c r="N204" s="11">
        <v>10</v>
      </c>
      <c r="O204" s="11"/>
      <c r="P204" s="11"/>
      <c r="Q204" s="11">
        <v>50</v>
      </c>
      <c r="R204" s="11">
        <f t="shared" si="66"/>
        <v>60</v>
      </c>
      <c r="S204" s="11">
        <f t="shared" si="67"/>
        <v>66.599999999999994</v>
      </c>
      <c r="T204" s="11"/>
      <c r="U204" s="11"/>
      <c r="V204" s="11"/>
      <c r="W204" s="11"/>
      <c r="X204" s="11">
        <v>9</v>
      </c>
      <c r="Y204" s="11">
        <f t="shared" si="68"/>
        <v>9</v>
      </c>
      <c r="Z204" s="11">
        <f t="shared" si="69"/>
        <v>24.660000000000004</v>
      </c>
      <c r="AA204" s="11">
        <f t="shared" si="70"/>
        <v>200</v>
      </c>
      <c r="AB204" s="11">
        <f t="shared" si="70"/>
        <v>185.57999999999998</v>
      </c>
      <c r="AC204" s="42">
        <f t="shared" si="49"/>
        <v>5883</v>
      </c>
      <c r="AD204" s="83">
        <f t="shared" si="57"/>
        <v>1176600</v>
      </c>
      <c r="AE204" s="83">
        <f t="shared" si="58"/>
        <v>1091767.1399999999</v>
      </c>
      <c r="AF204" s="83">
        <f t="shared" si="59"/>
        <v>2268367.1399999997</v>
      </c>
      <c r="AG204" s="11"/>
      <c r="AH204" s="11"/>
      <c r="AI204" s="78"/>
      <c r="AJ204" s="78"/>
      <c r="AK204" s="78"/>
      <c r="AL204" s="78"/>
      <c r="AM204" s="78"/>
      <c r="AN204" s="78"/>
      <c r="AO204" s="78"/>
      <c r="AP204" s="78"/>
      <c r="AQ204" s="3" t="s">
        <v>394</v>
      </c>
      <c r="AR204" s="3" t="s">
        <v>413</v>
      </c>
      <c r="AS204" s="3" t="s">
        <v>916</v>
      </c>
      <c r="AT204" s="49">
        <v>5883</v>
      </c>
      <c r="AU204" s="3" t="str">
        <f t="shared" si="71"/>
        <v>match</v>
      </c>
      <c r="AV204" s="3" t="str">
        <f t="shared" si="72"/>
        <v>match</v>
      </c>
    </row>
    <row r="205" spans="1:48" ht="12">
      <c r="A205" s="9" t="s">
        <v>394</v>
      </c>
      <c r="B205" s="12" t="s">
        <v>415</v>
      </c>
      <c r="C205" s="13" t="s">
        <v>416</v>
      </c>
      <c r="D205" s="8"/>
      <c r="E205" s="39">
        <v>126</v>
      </c>
      <c r="F205" s="39"/>
      <c r="G205" s="39"/>
      <c r="H205" s="39">
        <v>1</v>
      </c>
      <c r="I205" s="39"/>
      <c r="J205" s="39"/>
      <c r="K205" s="39">
        <f t="shared" si="64"/>
        <v>127</v>
      </c>
      <c r="L205" s="39">
        <f t="shared" si="65"/>
        <v>91.44</v>
      </c>
      <c r="M205" s="39"/>
      <c r="N205" s="39">
        <v>13</v>
      </c>
      <c r="O205" s="39">
        <v>2</v>
      </c>
      <c r="P205" s="39"/>
      <c r="Q205" s="39">
        <v>43</v>
      </c>
      <c r="R205" s="39">
        <f t="shared" si="66"/>
        <v>58</v>
      </c>
      <c r="S205" s="39">
        <f t="shared" si="67"/>
        <v>62.379999999999995</v>
      </c>
      <c r="T205" s="39">
        <v>1</v>
      </c>
      <c r="U205" s="39"/>
      <c r="V205" s="39">
        <v>1</v>
      </c>
      <c r="W205" s="39">
        <v>1</v>
      </c>
      <c r="X205" s="39">
        <v>20</v>
      </c>
      <c r="Y205" s="39">
        <f t="shared" si="68"/>
        <v>23</v>
      </c>
      <c r="Z205" s="39">
        <f t="shared" si="69"/>
        <v>61.65</v>
      </c>
      <c r="AA205" s="39">
        <f t="shared" si="70"/>
        <v>208</v>
      </c>
      <c r="AB205" s="39">
        <f t="shared" si="70"/>
        <v>215.47</v>
      </c>
      <c r="AC205" s="41">
        <f t="shared" si="49"/>
        <v>5883</v>
      </c>
      <c r="AD205" s="82">
        <f t="shared" si="57"/>
        <v>1223664</v>
      </c>
      <c r="AE205" s="82">
        <f t="shared" si="58"/>
        <v>1267610.01</v>
      </c>
      <c r="AF205" s="82">
        <f t="shared" si="59"/>
        <v>2491274.0099999998</v>
      </c>
      <c r="AG205" s="39"/>
      <c r="AH205" s="39"/>
      <c r="AI205" s="79"/>
      <c r="AJ205" s="79"/>
      <c r="AK205" s="79"/>
      <c r="AL205" s="79"/>
      <c r="AM205" s="79"/>
      <c r="AN205" s="79"/>
      <c r="AO205" s="79"/>
      <c r="AP205" s="79"/>
      <c r="AQ205" s="3" t="s">
        <v>394</v>
      </c>
      <c r="AR205" s="3" t="s">
        <v>415</v>
      </c>
      <c r="AS205" s="3" t="s">
        <v>917</v>
      </c>
      <c r="AT205" s="49">
        <v>5883</v>
      </c>
      <c r="AU205" s="3" t="str">
        <f t="shared" si="71"/>
        <v>match</v>
      </c>
      <c r="AV205" s="3" t="str">
        <f t="shared" si="72"/>
        <v>match</v>
      </c>
    </row>
    <row r="206" spans="1:48" ht="12">
      <c r="A206" s="9" t="s">
        <v>394</v>
      </c>
      <c r="B206" s="10" t="s">
        <v>417</v>
      </c>
      <c r="C206" s="56" t="s">
        <v>418</v>
      </c>
      <c r="D206" s="56"/>
      <c r="E206" s="11">
        <v>69</v>
      </c>
      <c r="F206" s="11"/>
      <c r="G206" s="11"/>
      <c r="H206" s="11"/>
      <c r="I206" s="11"/>
      <c r="J206" s="11"/>
      <c r="K206" s="11">
        <f t="shared" si="64"/>
        <v>69</v>
      </c>
      <c r="L206" s="11">
        <f t="shared" si="65"/>
        <v>49.68</v>
      </c>
      <c r="M206" s="11"/>
      <c r="N206" s="11">
        <v>4</v>
      </c>
      <c r="O206" s="11"/>
      <c r="P206" s="11">
        <v>1</v>
      </c>
      <c r="Q206" s="11">
        <v>15</v>
      </c>
      <c r="R206" s="11">
        <f t="shared" si="66"/>
        <v>20</v>
      </c>
      <c r="S206" s="11">
        <f t="shared" si="67"/>
        <v>21.2</v>
      </c>
      <c r="T206" s="11"/>
      <c r="U206" s="11"/>
      <c r="V206" s="11"/>
      <c r="W206" s="11"/>
      <c r="X206" s="11">
        <v>6</v>
      </c>
      <c r="Y206" s="11">
        <f t="shared" si="68"/>
        <v>6</v>
      </c>
      <c r="Z206" s="11">
        <f t="shared" si="69"/>
        <v>16.440000000000001</v>
      </c>
      <c r="AA206" s="11">
        <f t="shared" si="70"/>
        <v>95</v>
      </c>
      <c r="AB206" s="11">
        <f t="shared" si="70"/>
        <v>87.32</v>
      </c>
      <c r="AC206" s="42">
        <f t="shared" si="49"/>
        <v>5883</v>
      </c>
      <c r="AD206" s="83">
        <f t="shared" si="57"/>
        <v>558885</v>
      </c>
      <c r="AE206" s="83">
        <f t="shared" si="58"/>
        <v>513703.55999999994</v>
      </c>
      <c r="AF206" s="83">
        <f t="shared" si="59"/>
        <v>1072588.56</v>
      </c>
      <c r="AG206" s="11"/>
      <c r="AH206" s="11"/>
      <c r="AI206" s="78"/>
      <c r="AJ206" s="78"/>
      <c r="AK206" s="78"/>
      <c r="AL206" s="78"/>
      <c r="AM206" s="78"/>
      <c r="AN206" s="78"/>
      <c r="AO206" s="78"/>
      <c r="AP206" s="78"/>
      <c r="AQ206" s="3" t="s">
        <v>394</v>
      </c>
      <c r="AR206" s="3" t="s">
        <v>417</v>
      </c>
      <c r="AS206" s="3" t="s">
        <v>918</v>
      </c>
      <c r="AT206" s="49">
        <v>5883</v>
      </c>
      <c r="AU206" s="3" t="str">
        <f t="shared" si="71"/>
        <v>match</v>
      </c>
      <c r="AV206" s="3" t="str">
        <f t="shared" si="72"/>
        <v>match</v>
      </c>
    </row>
    <row r="207" spans="1:48" ht="12">
      <c r="A207" s="9" t="s">
        <v>394</v>
      </c>
      <c r="B207" s="12" t="s">
        <v>419</v>
      </c>
      <c r="C207" s="13" t="s">
        <v>420</v>
      </c>
      <c r="D207" s="8"/>
      <c r="E207" s="39">
        <v>43</v>
      </c>
      <c r="F207" s="39"/>
      <c r="G207" s="39"/>
      <c r="H207" s="39"/>
      <c r="I207" s="39"/>
      <c r="J207" s="39"/>
      <c r="K207" s="39">
        <f t="shared" si="64"/>
        <v>43</v>
      </c>
      <c r="L207" s="39">
        <f t="shared" si="65"/>
        <v>30.959999999999997</v>
      </c>
      <c r="M207" s="39"/>
      <c r="N207" s="39">
        <v>5</v>
      </c>
      <c r="O207" s="39"/>
      <c r="P207" s="39"/>
      <c r="Q207" s="39">
        <v>11</v>
      </c>
      <c r="R207" s="39">
        <f t="shared" si="66"/>
        <v>16</v>
      </c>
      <c r="S207" s="39">
        <f t="shared" si="67"/>
        <v>16.36</v>
      </c>
      <c r="T207" s="39"/>
      <c r="U207" s="39"/>
      <c r="V207" s="39"/>
      <c r="W207" s="39"/>
      <c r="X207" s="39">
        <v>3</v>
      </c>
      <c r="Y207" s="39">
        <f t="shared" si="68"/>
        <v>3</v>
      </c>
      <c r="Z207" s="39">
        <f t="shared" si="69"/>
        <v>8.2200000000000006</v>
      </c>
      <c r="AA207" s="39">
        <f t="shared" si="70"/>
        <v>62</v>
      </c>
      <c r="AB207" s="39">
        <f t="shared" si="70"/>
        <v>55.539999999999992</v>
      </c>
      <c r="AC207" s="41">
        <f t="shared" si="49"/>
        <v>5883</v>
      </c>
      <c r="AD207" s="82">
        <f t="shared" si="57"/>
        <v>364746</v>
      </c>
      <c r="AE207" s="82">
        <f t="shared" si="58"/>
        <v>326741.81999999995</v>
      </c>
      <c r="AF207" s="82">
        <f t="shared" si="59"/>
        <v>691487.82</v>
      </c>
      <c r="AG207" s="39"/>
      <c r="AH207" s="39"/>
      <c r="AI207" s="79"/>
      <c r="AJ207" s="79"/>
      <c r="AK207" s="79"/>
      <c r="AL207" s="79"/>
      <c r="AM207" s="79"/>
      <c r="AN207" s="79"/>
      <c r="AO207" s="79"/>
      <c r="AP207" s="79"/>
      <c r="AQ207" s="3" t="s">
        <v>394</v>
      </c>
      <c r="AR207" s="3" t="s">
        <v>419</v>
      </c>
      <c r="AS207" s="3" t="s">
        <v>919</v>
      </c>
      <c r="AT207" s="49">
        <v>5883</v>
      </c>
      <c r="AU207" s="3" t="str">
        <f t="shared" si="71"/>
        <v>match</v>
      </c>
      <c r="AV207" s="3" t="str">
        <f t="shared" si="72"/>
        <v>match</v>
      </c>
    </row>
    <row r="208" spans="1:48" ht="12">
      <c r="A208" s="9" t="s">
        <v>394</v>
      </c>
      <c r="B208" s="10" t="s">
        <v>421</v>
      </c>
      <c r="C208" s="56" t="s">
        <v>422</v>
      </c>
      <c r="D208" s="56"/>
      <c r="E208" s="11">
        <v>30</v>
      </c>
      <c r="F208" s="11"/>
      <c r="G208" s="11"/>
      <c r="H208" s="11"/>
      <c r="I208" s="11"/>
      <c r="J208" s="11"/>
      <c r="K208" s="11">
        <f t="shared" si="64"/>
        <v>30</v>
      </c>
      <c r="L208" s="11">
        <f t="shared" si="65"/>
        <v>21.599999999999998</v>
      </c>
      <c r="M208" s="11"/>
      <c r="N208" s="11">
        <v>1</v>
      </c>
      <c r="O208" s="11"/>
      <c r="P208" s="11"/>
      <c r="Q208" s="11">
        <v>5</v>
      </c>
      <c r="R208" s="11">
        <f t="shared" si="66"/>
        <v>6</v>
      </c>
      <c r="S208" s="11">
        <f t="shared" si="67"/>
        <v>6.66</v>
      </c>
      <c r="T208" s="11"/>
      <c r="U208" s="11"/>
      <c r="V208" s="11"/>
      <c r="W208" s="11"/>
      <c r="X208" s="11">
        <v>3</v>
      </c>
      <c r="Y208" s="11">
        <f t="shared" si="68"/>
        <v>3</v>
      </c>
      <c r="Z208" s="11">
        <f t="shared" si="69"/>
        <v>8.2200000000000006</v>
      </c>
      <c r="AA208" s="11">
        <f t="shared" si="70"/>
        <v>39</v>
      </c>
      <c r="AB208" s="11">
        <f t="shared" si="70"/>
        <v>36.479999999999997</v>
      </c>
      <c r="AC208" s="42">
        <f t="shared" si="49"/>
        <v>5906</v>
      </c>
      <c r="AD208" s="83">
        <f t="shared" si="57"/>
        <v>230334</v>
      </c>
      <c r="AE208" s="83">
        <f t="shared" si="58"/>
        <v>215450.87999999998</v>
      </c>
      <c r="AF208" s="83">
        <f t="shared" si="59"/>
        <v>445784.88</v>
      </c>
      <c r="AG208" s="11"/>
      <c r="AH208" s="11"/>
      <c r="AI208" s="78"/>
      <c r="AJ208" s="78"/>
      <c r="AK208" s="78"/>
      <c r="AL208" s="78"/>
      <c r="AM208" s="78"/>
      <c r="AN208" s="78"/>
      <c r="AO208" s="78"/>
      <c r="AP208" s="78"/>
      <c r="AQ208" s="3" t="s">
        <v>394</v>
      </c>
      <c r="AR208" s="3" t="s">
        <v>421</v>
      </c>
      <c r="AS208" s="3" t="s">
        <v>920</v>
      </c>
      <c r="AT208" s="49">
        <v>5906</v>
      </c>
      <c r="AU208" s="3" t="str">
        <f t="shared" si="71"/>
        <v>match</v>
      </c>
      <c r="AV208" s="3" t="str">
        <f t="shared" si="72"/>
        <v>match</v>
      </c>
    </row>
    <row r="209" spans="1:48" ht="12">
      <c r="A209" s="9" t="s">
        <v>394</v>
      </c>
      <c r="B209" s="12" t="s">
        <v>423</v>
      </c>
      <c r="C209" s="13" t="s">
        <v>424</v>
      </c>
      <c r="D209" s="8"/>
      <c r="E209" s="39">
        <v>48</v>
      </c>
      <c r="F209" s="39"/>
      <c r="G209" s="39"/>
      <c r="H209" s="39"/>
      <c r="I209" s="39"/>
      <c r="J209" s="39"/>
      <c r="K209" s="39">
        <f t="shared" si="64"/>
        <v>48</v>
      </c>
      <c r="L209" s="39">
        <f t="shared" si="65"/>
        <v>34.56</v>
      </c>
      <c r="M209" s="39"/>
      <c r="N209" s="39"/>
      <c r="O209" s="39">
        <v>2</v>
      </c>
      <c r="P209" s="39"/>
      <c r="Q209" s="39">
        <v>15</v>
      </c>
      <c r="R209" s="39">
        <f t="shared" si="66"/>
        <v>17</v>
      </c>
      <c r="S209" s="39">
        <f t="shared" si="67"/>
        <v>20.57</v>
      </c>
      <c r="T209" s="39"/>
      <c r="U209" s="39"/>
      <c r="V209" s="39"/>
      <c r="W209" s="39"/>
      <c r="X209" s="39">
        <v>6</v>
      </c>
      <c r="Y209" s="39">
        <f t="shared" si="68"/>
        <v>6</v>
      </c>
      <c r="Z209" s="39">
        <f t="shared" si="69"/>
        <v>16.440000000000001</v>
      </c>
      <c r="AA209" s="39">
        <f t="shared" si="70"/>
        <v>71</v>
      </c>
      <c r="AB209" s="39">
        <f t="shared" si="70"/>
        <v>71.570000000000007</v>
      </c>
      <c r="AC209" s="41">
        <f t="shared" si="49"/>
        <v>6030</v>
      </c>
      <c r="AD209" s="82">
        <f t="shared" si="57"/>
        <v>428130</v>
      </c>
      <c r="AE209" s="82">
        <f t="shared" si="58"/>
        <v>431567.10000000003</v>
      </c>
      <c r="AF209" s="82">
        <f t="shared" si="59"/>
        <v>859697.10000000009</v>
      </c>
      <c r="AG209" s="39"/>
      <c r="AH209" s="39"/>
      <c r="AI209" s="79"/>
      <c r="AJ209" s="79"/>
      <c r="AK209" s="79"/>
      <c r="AL209" s="79"/>
      <c r="AM209" s="79"/>
      <c r="AN209" s="79"/>
      <c r="AO209" s="79"/>
      <c r="AP209" s="79"/>
      <c r="AQ209" s="3" t="s">
        <v>394</v>
      </c>
      <c r="AR209" s="3" t="s">
        <v>423</v>
      </c>
      <c r="AS209" s="3" t="s">
        <v>921</v>
      </c>
      <c r="AT209" s="49">
        <v>6030</v>
      </c>
      <c r="AU209" s="3" t="str">
        <f t="shared" si="71"/>
        <v>match</v>
      </c>
      <c r="AV209" s="3" t="str">
        <f t="shared" si="72"/>
        <v>match</v>
      </c>
    </row>
    <row r="210" spans="1:48" ht="12">
      <c r="A210" s="9" t="s">
        <v>394</v>
      </c>
      <c r="B210" s="10" t="s">
        <v>425</v>
      </c>
      <c r="C210" s="56" t="s">
        <v>426</v>
      </c>
      <c r="D210" s="56"/>
      <c r="E210" s="11">
        <v>88</v>
      </c>
      <c r="F210" s="11"/>
      <c r="G210" s="11"/>
      <c r="H210" s="11"/>
      <c r="I210" s="11"/>
      <c r="J210" s="11"/>
      <c r="K210" s="11">
        <f t="shared" si="64"/>
        <v>88</v>
      </c>
      <c r="L210" s="11">
        <f t="shared" si="65"/>
        <v>63.36</v>
      </c>
      <c r="M210" s="11"/>
      <c r="N210" s="11">
        <v>9</v>
      </c>
      <c r="O210" s="11">
        <v>1</v>
      </c>
      <c r="P210" s="11"/>
      <c r="Q210" s="11">
        <v>45</v>
      </c>
      <c r="R210" s="11">
        <f t="shared" si="66"/>
        <v>55</v>
      </c>
      <c r="S210" s="11">
        <f t="shared" si="67"/>
        <v>61.15</v>
      </c>
      <c r="T210" s="11"/>
      <c r="U210" s="11">
        <v>4</v>
      </c>
      <c r="V210" s="11"/>
      <c r="W210" s="11"/>
      <c r="X210" s="11">
        <v>13</v>
      </c>
      <c r="Y210" s="11">
        <f t="shared" si="68"/>
        <v>17</v>
      </c>
      <c r="Z210" s="11">
        <f t="shared" si="69"/>
        <v>41.100000000000009</v>
      </c>
      <c r="AA210" s="11">
        <f t="shared" si="70"/>
        <v>160</v>
      </c>
      <c r="AB210" s="11">
        <f t="shared" si="70"/>
        <v>165.61</v>
      </c>
      <c r="AC210" s="42">
        <f t="shared" si="49"/>
        <v>5883</v>
      </c>
      <c r="AD210" s="83">
        <f t="shared" si="57"/>
        <v>941280</v>
      </c>
      <c r="AE210" s="83">
        <f t="shared" si="58"/>
        <v>974283.63000000012</v>
      </c>
      <c r="AF210" s="83">
        <f t="shared" si="59"/>
        <v>1915563.6300000001</v>
      </c>
      <c r="AG210" s="11"/>
      <c r="AH210" s="11"/>
      <c r="AI210" s="78"/>
      <c r="AJ210" s="78"/>
      <c r="AK210" s="78"/>
      <c r="AL210" s="78"/>
      <c r="AM210" s="78"/>
      <c r="AN210" s="78"/>
      <c r="AO210" s="78"/>
      <c r="AP210" s="78"/>
      <c r="AQ210" s="3" t="s">
        <v>394</v>
      </c>
      <c r="AR210" s="3" t="s">
        <v>425</v>
      </c>
      <c r="AS210" s="3" t="s">
        <v>922</v>
      </c>
      <c r="AT210" s="49">
        <v>5883</v>
      </c>
      <c r="AU210" s="3" t="str">
        <f t="shared" si="71"/>
        <v>match</v>
      </c>
      <c r="AV210" s="3" t="str">
        <f t="shared" si="72"/>
        <v>match</v>
      </c>
    </row>
    <row r="211" spans="1:48" ht="12">
      <c r="A211" s="9" t="s">
        <v>394</v>
      </c>
      <c r="B211" s="12" t="s">
        <v>427</v>
      </c>
      <c r="C211" s="13" t="s">
        <v>1081</v>
      </c>
      <c r="D211" s="8"/>
      <c r="E211" s="39">
        <v>2448</v>
      </c>
      <c r="F211" s="39">
        <v>1</v>
      </c>
      <c r="G211" s="39"/>
      <c r="H211" s="39"/>
      <c r="I211" s="39"/>
      <c r="J211" s="39"/>
      <c r="K211" s="39">
        <f t="shared" si="64"/>
        <v>2449</v>
      </c>
      <c r="L211" s="39">
        <f t="shared" si="65"/>
        <v>1763.28</v>
      </c>
      <c r="M211" s="39"/>
      <c r="N211" s="39">
        <v>138</v>
      </c>
      <c r="O211" s="39">
        <v>3</v>
      </c>
      <c r="P211" s="39"/>
      <c r="Q211" s="39">
        <v>1550</v>
      </c>
      <c r="R211" s="39">
        <f t="shared" si="66"/>
        <v>1691</v>
      </c>
      <c r="S211" s="39">
        <f t="shared" si="67"/>
        <v>1963.31</v>
      </c>
      <c r="T211" s="39"/>
      <c r="U211" s="39">
        <v>52</v>
      </c>
      <c r="V211" s="39">
        <v>8</v>
      </c>
      <c r="W211" s="39"/>
      <c r="X211" s="39">
        <v>920</v>
      </c>
      <c r="Y211" s="39">
        <f t="shared" si="68"/>
        <v>980</v>
      </c>
      <c r="Z211" s="39">
        <f t="shared" si="69"/>
        <v>2613.96</v>
      </c>
      <c r="AA211" s="39">
        <f t="shared" si="70"/>
        <v>5120</v>
      </c>
      <c r="AB211" s="39">
        <f t="shared" si="70"/>
        <v>6340.55</v>
      </c>
      <c r="AC211" s="41">
        <f t="shared" si="49"/>
        <v>5951</v>
      </c>
      <c r="AD211" s="82">
        <f t="shared" si="57"/>
        <v>30469120</v>
      </c>
      <c r="AE211" s="82">
        <f t="shared" si="58"/>
        <v>37732613.050000004</v>
      </c>
      <c r="AF211" s="82">
        <f t="shared" si="59"/>
        <v>68201733.050000012</v>
      </c>
      <c r="AG211" s="39"/>
      <c r="AH211" s="39"/>
      <c r="AI211" s="79"/>
      <c r="AJ211" s="79"/>
      <c r="AK211" s="79"/>
      <c r="AL211" s="79"/>
      <c r="AM211" s="79"/>
      <c r="AN211" s="79"/>
      <c r="AO211" s="79"/>
      <c r="AP211" s="79"/>
      <c r="AQ211" s="3" t="s">
        <v>394</v>
      </c>
      <c r="AR211" s="3" t="s">
        <v>427</v>
      </c>
      <c r="AS211" s="3" t="s">
        <v>923</v>
      </c>
      <c r="AT211" s="49">
        <v>5951</v>
      </c>
      <c r="AU211" s="3" t="str">
        <f t="shared" si="71"/>
        <v>match</v>
      </c>
      <c r="AV211" s="3" t="str">
        <f t="shared" si="72"/>
        <v>match</v>
      </c>
    </row>
    <row r="212" spans="1:48" ht="12">
      <c r="A212" s="9" t="s">
        <v>394</v>
      </c>
      <c r="B212" s="10" t="s">
        <v>428</v>
      </c>
      <c r="C212" s="56" t="s">
        <v>429</v>
      </c>
      <c r="D212" s="56"/>
      <c r="E212" s="11">
        <v>46</v>
      </c>
      <c r="F212" s="11"/>
      <c r="G212" s="11"/>
      <c r="H212" s="11"/>
      <c r="I212" s="11"/>
      <c r="J212" s="11"/>
      <c r="K212" s="11">
        <f t="shared" si="64"/>
        <v>46</v>
      </c>
      <c r="L212" s="11">
        <f t="shared" si="65"/>
        <v>33.119999999999997</v>
      </c>
      <c r="M212" s="11"/>
      <c r="N212" s="11"/>
      <c r="O212" s="11">
        <v>1</v>
      </c>
      <c r="P212" s="11"/>
      <c r="Q212" s="11">
        <v>9</v>
      </c>
      <c r="R212" s="11">
        <f t="shared" si="66"/>
        <v>10</v>
      </c>
      <c r="S212" s="11">
        <f t="shared" si="67"/>
        <v>12.1</v>
      </c>
      <c r="T212" s="11"/>
      <c r="U212" s="11"/>
      <c r="V212" s="11"/>
      <c r="W212" s="11"/>
      <c r="X212" s="11">
        <v>2</v>
      </c>
      <c r="Y212" s="11">
        <f t="shared" si="68"/>
        <v>2</v>
      </c>
      <c r="Z212" s="11">
        <f t="shared" si="69"/>
        <v>5.48</v>
      </c>
      <c r="AA212" s="11">
        <f t="shared" si="70"/>
        <v>58</v>
      </c>
      <c r="AB212" s="11">
        <f t="shared" si="70"/>
        <v>50.7</v>
      </c>
      <c r="AC212" s="42">
        <f t="shared" si="49"/>
        <v>5883</v>
      </c>
      <c r="AD212" s="83">
        <f t="shared" si="57"/>
        <v>341214</v>
      </c>
      <c r="AE212" s="83">
        <f t="shared" si="58"/>
        <v>298268.10000000003</v>
      </c>
      <c r="AF212" s="83">
        <f t="shared" si="59"/>
        <v>639482.10000000009</v>
      </c>
      <c r="AG212" s="11"/>
      <c r="AH212" s="11"/>
      <c r="AI212" s="78"/>
      <c r="AJ212" s="78"/>
      <c r="AK212" s="78"/>
      <c r="AL212" s="78"/>
      <c r="AM212" s="78"/>
      <c r="AN212" s="78"/>
      <c r="AO212" s="78"/>
      <c r="AP212" s="78"/>
      <c r="AQ212" s="3" t="s">
        <v>394</v>
      </c>
      <c r="AR212" s="3" t="s">
        <v>428</v>
      </c>
      <c r="AS212" s="3" t="s">
        <v>924</v>
      </c>
      <c r="AT212" s="49">
        <v>5883</v>
      </c>
      <c r="AU212" s="3" t="str">
        <f t="shared" si="71"/>
        <v>match</v>
      </c>
      <c r="AV212" s="3" t="str">
        <f t="shared" si="72"/>
        <v>match</v>
      </c>
    </row>
    <row r="213" spans="1:48" ht="12">
      <c r="A213" s="9" t="s">
        <v>394</v>
      </c>
      <c r="B213" s="12" t="s">
        <v>430</v>
      </c>
      <c r="C213" s="13" t="s">
        <v>431</v>
      </c>
      <c r="D213" s="8"/>
      <c r="E213" s="39">
        <v>15</v>
      </c>
      <c r="F213" s="39"/>
      <c r="G213" s="39"/>
      <c r="H213" s="39"/>
      <c r="I213" s="39"/>
      <c r="J213" s="39"/>
      <c r="K213" s="39">
        <f t="shared" si="64"/>
        <v>15</v>
      </c>
      <c r="L213" s="39">
        <f t="shared" si="65"/>
        <v>10.799999999999999</v>
      </c>
      <c r="M213" s="39"/>
      <c r="N213" s="39"/>
      <c r="O213" s="39"/>
      <c r="P213" s="39"/>
      <c r="Q213" s="39">
        <v>4</v>
      </c>
      <c r="R213" s="39">
        <f t="shared" si="66"/>
        <v>4</v>
      </c>
      <c r="S213" s="39">
        <f t="shared" si="67"/>
        <v>4.84</v>
      </c>
      <c r="T213" s="39"/>
      <c r="U213" s="39">
        <v>1</v>
      </c>
      <c r="V213" s="39"/>
      <c r="W213" s="39"/>
      <c r="X213" s="39">
        <v>2</v>
      </c>
      <c r="Y213" s="39">
        <f t="shared" si="68"/>
        <v>3</v>
      </c>
      <c r="Z213" s="39">
        <f t="shared" si="69"/>
        <v>6.8500000000000005</v>
      </c>
      <c r="AA213" s="39">
        <f t="shared" si="70"/>
        <v>22</v>
      </c>
      <c r="AB213" s="39">
        <f t="shared" si="70"/>
        <v>22.49</v>
      </c>
      <c r="AC213" s="41">
        <f t="shared" si="49"/>
        <v>5883</v>
      </c>
      <c r="AD213" s="82">
        <f t="shared" si="57"/>
        <v>129426</v>
      </c>
      <c r="AE213" s="82">
        <f t="shared" si="58"/>
        <v>132308.66999999998</v>
      </c>
      <c r="AF213" s="82">
        <f t="shared" si="59"/>
        <v>261734.66999999998</v>
      </c>
      <c r="AG213" s="39"/>
      <c r="AH213" s="39"/>
      <c r="AI213" s="79"/>
      <c r="AJ213" s="79"/>
      <c r="AK213" s="79"/>
      <c r="AL213" s="79"/>
      <c r="AM213" s="79"/>
      <c r="AN213" s="79"/>
      <c r="AO213" s="79"/>
      <c r="AP213" s="79"/>
      <c r="AQ213" s="3" t="s">
        <v>394</v>
      </c>
      <c r="AR213" s="3" t="s">
        <v>430</v>
      </c>
      <c r="AS213" s="3" t="s">
        <v>925</v>
      </c>
      <c r="AT213" s="49">
        <v>5883</v>
      </c>
      <c r="AU213" s="3" t="str">
        <f t="shared" si="71"/>
        <v>match</v>
      </c>
      <c r="AV213" s="3" t="str">
        <f t="shared" si="72"/>
        <v>match</v>
      </c>
    </row>
    <row r="214" spans="1:48" ht="12">
      <c r="A214" s="9" t="s">
        <v>394</v>
      </c>
      <c r="B214" s="10" t="s">
        <v>432</v>
      </c>
      <c r="C214" s="56" t="s">
        <v>433</v>
      </c>
      <c r="D214" s="56"/>
      <c r="E214" s="11">
        <v>47</v>
      </c>
      <c r="F214" s="11"/>
      <c r="G214" s="11"/>
      <c r="H214" s="11"/>
      <c r="I214" s="11"/>
      <c r="J214" s="11"/>
      <c r="K214" s="11">
        <f t="shared" si="64"/>
        <v>47</v>
      </c>
      <c r="L214" s="11">
        <f t="shared" si="65"/>
        <v>33.839999999999996</v>
      </c>
      <c r="M214" s="11"/>
      <c r="N214" s="11">
        <v>2</v>
      </c>
      <c r="O214" s="11"/>
      <c r="P214" s="11"/>
      <c r="Q214" s="11">
        <v>12</v>
      </c>
      <c r="R214" s="11">
        <f t="shared" si="66"/>
        <v>14</v>
      </c>
      <c r="S214" s="11">
        <f t="shared" si="67"/>
        <v>15.74</v>
      </c>
      <c r="T214" s="11"/>
      <c r="U214" s="11">
        <v>1</v>
      </c>
      <c r="V214" s="11"/>
      <c r="W214" s="11"/>
      <c r="X214" s="11">
        <v>10</v>
      </c>
      <c r="Y214" s="11">
        <f t="shared" si="68"/>
        <v>11</v>
      </c>
      <c r="Z214" s="11">
        <f t="shared" si="69"/>
        <v>28.770000000000003</v>
      </c>
      <c r="AA214" s="11">
        <f t="shared" si="70"/>
        <v>72</v>
      </c>
      <c r="AB214" s="11">
        <f t="shared" si="70"/>
        <v>78.349999999999994</v>
      </c>
      <c r="AC214" s="42">
        <f t="shared" si="49"/>
        <v>5883</v>
      </c>
      <c r="AD214" s="83">
        <f t="shared" si="57"/>
        <v>423576</v>
      </c>
      <c r="AE214" s="83">
        <f t="shared" si="58"/>
        <v>460933.05</v>
      </c>
      <c r="AF214" s="83">
        <f t="shared" si="59"/>
        <v>884509.05</v>
      </c>
      <c r="AG214" s="11"/>
      <c r="AH214" s="11"/>
      <c r="AI214" s="78"/>
      <c r="AJ214" s="78"/>
      <c r="AK214" s="78"/>
      <c r="AL214" s="78"/>
      <c r="AM214" s="78"/>
      <c r="AN214" s="78"/>
      <c r="AO214" s="78"/>
      <c r="AP214" s="78"/>
      <c r="AQ214" s="3" t="s">
        <v>394</v>
      </c>
      <c r="AR214" s="3" t="s">
        <v>432</v>
      </c>
      <c r="AS214" s="3" t="s">
        <v>926</v>
      </c>
      <c r="AT214" s="49">
        <v>5883</v>
      </c>
      <c r="AU214" s="3" t="str">
        <f t="shared" si="71"/>
        <v>match</v>
      </c>
      <c r="AV214" s="3" t="str">
        <f t="shared" si="72"/>
        <v>match</v>
      </c>
    </row>
    <row r="215" spans="1:48" ht="12">
      <c r="A215" s="9" t="s">
        <v>394</v>
      </c>
      <c r="B215" s="12" t="s">
        <v>434</v>
      </c>
      <c r="C215" s="13" t="s">
        <v>435</v>
      </c>
      <c r="D215" s="8"/>
      <c r="E215" s="39">
        <v>22</v>
      </c>
      <c r="F215" s="39"/>
      <c r="G215" s="39"/>
      <c r="H215" s="39"/>
      <c r="I215" s="39"/>
      <c r="J215" s="39"/>
      <c r="K215" s="39">
        <f t="shared" si="64"/>
        <v>22</v>
      </c>
      <c r="L215" s="39">
        <f t="shared" si="65"/>
        <v>15.84</v>
      </c>
      <c r="M215" s="39"/>
      <c r="N215" s="39">
        <v>1</v>
      </c>
      <c r="O215" s="39"/>
      <c r="P215" s="39"/>
      <c r="Q215" s="39">
        <v>2</v>
      </c>
      <c r="R215" s="39">
        <f t="shared" si="66"/>
        <v>3</v>
      </c>
      <c r="S215" s="39">
        <f t="shared" si="67"/>
        <v>3.03</v>
      </c>
      <c r="T215" s="39"/>
      <c r="U215" s="39"/>
      <c r="V215" s="39"/>
      <c r="W215" s="39"/>
      <c r="X215" s="39">
        <v>1</v>
      </c>
      <c r="Y215" s="39">
        <f t="shared" si="68"/>
        <v>1</v>
      </c>
      <c r="Z215" s="39">
        <f t="shared" si="69"/>
        <v>2.74</v>
      </c>
      <c r="AA215" s="39">
        <f t="shared" si="70"/>
        <v>26</v>
      </c>
      <c r="AB215" s="39">
        <f t="shared" si="70"/>
        <v>21.61</v>
      </c>
      <c r="AC215" s="41">
        <f t="shared" si="49"/>
        <v>5886</v>
      </c>
      <c r="AD215" s="82">
        <f t="shared" si="57"/>
        <v>153036</v>
      </c>
      <c r="AE215" s="82">
        <f t="shared" si="58"/>
        <v>127196.45999999999</v>
      </c>
      <c r="AF215" s="82">
        <f t="shared" si="59"/>
        <v>280232.45999999996</v>
      </c>
      <c r="AG215" s="39"/>
      <c r="AH215" s="39"/>
      <c r="AI215" s="79"/>
      <c r="AJ215" s="79"/>
      <c r="AK215" s="79"/>
      <c r="AL215" s="79"/>
      <c r="AM215" s="79"/>
      <c r="AN215" s="79"/>
      <c r="AO215" s="79"/>
      <c r="AP215" s="79"/>
      <c r="AQ215" s="3" t="s">
        <v>394</v>
      </c>
      <c r="AR215" s="3" t="s">
        <v>434</v>
      </c>
      <c r="AS215" s="3" t="s">
        <v>927</v>
      </c>
      <c r="AT215" s="49">
        <v>5886</v>
      </c>
      <c r="AU215" s="3" t="str">
        <f t="shared" si="71"/>
        <v>match</v>
      </c>
      <c r="AV215" s="3" t="str">
        <f t="shared" si="72"/>
        <v>match</v>
      </c>
    </row>
    <row r="216" spans="1:48" ht="12">
      <c r="A216" s="9" t="s">
        <v>394</v>
      </c>
      <c r="B216" s="10" t="s">
        <v>436</v>
      </c>
      <c r="C216" s="56" t="s">
        <v>437</v>
      </c>
      <c r="D216" s="56"/>
      <c r="E216" s="11">
        <v>31</v>
      </c>
      <c r="F216" s="11"/>
      <c r="G216" s="11"/>
      <c r="H216" s="11"/>
      <c r="I216" s="11"/>
      <c r="J216" s="11"/>
      <c r="K216" s="11">
        <f t="shared" si="64"/>
        <v>31</v>
      </c>
      <c r="L216" s="11">
        <f t="shared" si="65"/>
        <v>22.32</v>
      </c>
      <c r="M216" s="11"/>
      <c r="N216" s="11">
        <v>2</v>
      </c>
      <c r="O216" s="11"/>
      <c r="P216" s="11"/>
      <c r="Q216" s="11">
        <v>18</v>
      </c>
      <c r="R216" s="11">
        <f t="shared" si="66"/>
        <v>20</v>
      </c>
      <c r="S216" s="11">
        <f t="shared" si="67"/>
        <v>23</v>
      </c>
      <c r="T216" s="11"/>
      <c r="U216" s="11"/>
      <c r="V216" s="11"/>
      <c r="W216" s="11"/>
      <c r="X216" s="11">
        <v>7</v>
      </c>
      <c r="Y216" s="11">
        <f t="shared" si="68"/>
        <v>7</v>
      </c>
      <c r="Z216" s="11">
        <f t="shared" si="69"/>
        <v>19.18</v>
      </c>
      <c r="AA216" s="11">
        <f t="shared" si="70"/>
        <v>58</v>
      </c>
      <c r="AB216" s="11">
        <f t="shared" si="70"/>
        <v>64.5</v>
      </c>
      <c r="AC216" s="42">
        <f t="shared" si="49"/>
        <v>5907</v>
      </c>
      <c r="AD216" s="83">
        <f t="shared" si="57"/>
        <v>342606</v>
      </c>
      <c r="AE216" s="83">
        <f t="shared" si="58"/>
        <v>381001.5</v>
      </c>
      <c r="AF216" s="83">
        <f t="shared" si="59"/>
        <v>723607.5</v>
      </c>
      <c r="AG216" s="11"/>
      <c r="AH216" s="11"/>
      <c r="AI216" s="78"/>
      <c r="AJ216" s="78"/>
      <c r="AK216" s="78"/>
      <c r="AL216" s="78"/>
      <c r="AM216" s="78"/>
      <c r="AN216" s="78"/>
      <c r="AO216" s="78"/>
      <c r="AP216" s="78"/>
      <c r="AQ216" s="3" t="s">
        <v>394</v>
      </c>
      <c r="AR216" s="3" t="s">
        <v>436</v>
      </c>
      <c r="AS216" s="3" t="s">
        <v>928</v>
      </c>
      <c r="AT216" s="49">
        <v>5907</v>
      </c>
      <c r="AU216" s="3" t="str">
        <f t="shared" si="71"/>
        <v>match</v>
      </c>
      <c r="AV216" s="3" t="str">
        <f t="shared" si="72"/>
        <v>match</v>
      </c>
    </row>
    <row r="217" spans="1:48" ht="12">
      <c r="A217" s="9" t="s">
        <v>394</v>
      </c>
      <c r="B217" s="12" t="s">
        <v>438</v>
      </c>
      <c r="C217" s="13" t="s">
        <v>439</v>
      </c>
      <c r="D217" s="8"/>
      <c r="E217" s="39">
        <v>219</v>
      </c>
      <c r="F217" s="39"/>
      <c r="G217" s="39"/>
      <c r="H217" s="39"/>
      <c r="I217" s="39"/>
      <c r="J217" s="39"/>
      <c r="K217" s="39">
        <f t="shared" si="64"/>
        <v>219</v>
      </c>
      <c r="L217" s="39">
        <f t="shared" si="65"/>
        <v>157.68</v>
      </c>
      <c r="M217" s="39"/>
      <c r="N217" s="39">
        <v>12</v>
      </c>
      <c r="O217" s="39">
        <v>1</v>
      </c>
      <c r="P217" s="39"/>
      <c r="Q217" s="39">
        <v>69</v>
      </c>
      <c r="R217" s="39">
        <f t="shared" si="66"/>
        <v>82</v>
      </c>
      <c r="S217" s="39">
        <f t="shared" si="67"/>
        <v>92.02000000000001</v>
      </c>
      <c r="T217" s="39"/>
      <c r="U217" s="39">
        <v>1</v>
      </c>
      <c r="V217" s="39"/>
      <c r="W217" s="39"/>
      <c r="X217" s="39">
        <v>23</v>
      </c>
      <c r="Y217" s="39">
        <f t="shared" si="68"/>
        <v>24</v>
      </c>
      <c r="Z217" s="39">
        <f t="shared" si="69"/>
        <v>64.39</v>
      </c>
      <c r="AA217" s="39">
        <f t="shared" si="70"/>
        <v>325</v>
      </c>
      <c r="AB217" s="39">
        <f t="shared" si="70"/>
        <v>314.09000000000003</v>
      </c>
      <c r="AC217" s="41">
        <f t="shared" si="49"/>
        <v>5883</v>
      </c>
      <c r="AD217" s="82">
        <f t="shared" si="57"/>
        <v>1911975</v>
      </c>
      <c r="AE217" s="82">
        <f t="shared" si="58"/>
        <v>1847791.4700000002</v>
      </c>
      <c r="AF217" s="82">
        <f t="shared" si="59"/>
        <v>3759766.47</v>
      </c>
      <c r="AG217" s="39"/>
      <c r="AH217" s="39"/>
      <c r="AI217" s="79"/>
      <c r="AJ217" s="79"/>
      <c r="AK217" s="79"/>
      <c r="AL217" s="79"/>
      <c r="AM217" s="79"/>
      <c r="AN217" s="79"/>
      <c r="AO217" s="79"/>
      <c r="AP217" s="79"/>
      <c r="AQ217" s="3" t="s">
        <v>394</v>
      </c>
      <c r="AR217" s="3" t="s">
        <v>438</v>
      </c>
      <c r="AS217" s="3" t="s">
        <v>929</v>
      </c>
      <c r="AT217" s="49">
        <v>5883</v>
      </c>
      <c r="AU217" s="3" t="str">
        <f t="shared" si="71"/>
        <v>match</v>
      </c>
      <c r="AV217" s="3" t="str">
        <f t="shared" si="72"/>
        <v>match</v>
      </c>
    </row>
    <row r="218" spans="1:48" ht="12">
      <c r="A218" s="9" t="s">
        <v>394</v>
      </c>
      <c r="B218" s="10" t="s">
        <v>440</v>
      </c>
      <c r="C218" s="56" t="s">
        <v>441</v>
      </c>
      <c r="D218" s="56"/>
      <c r="E218" s="11">
        <v>75</v>
      </c>
      <c r="F218" s="11"/>
      <c r="G218" s="11"/>
      <c r="H218" s="11"/>
      <c r="I218" s="11"/>
      <c r="J218" s="11"/>
      <c r="K218" s="11">
        <f t="shared" si="64"/>
        <v>75</v>
      </c>
      <c r="L218" s="11">
        <f t="shared" si="65"/>
        <v>54</v>
      </c>
      <c r="M218" s="11"/>
      <c r="N218" s="11">
        <v>1</v>
      </c>
      <c r="O218" s="11">
        <v>2</v>
      </c>
      <c r="P218" s="11"/>
      <c r="Q218" s="11">
        <v>17</v>
      </c>
      <c r="R218" s="11">
        <f t="shared" si="66"/>
        <v>20</v>
      </c>
      <c r="S218" s="11">
        <f t="shared" si="67"/>
        <v>23.599999999999998</v>
      </c>
      <c r="T218" s="11"/>
      <c r="U218" s="11"/>
      <c r="V218" s="11"/>
      <c r="W218" s="11"/>
      <c r="X218" s="11">
        <v>2</v>
      </c>
      <c r="Y218" s="11">
        <f t="shared" si="68"/>
        <v>2</v>
      </c>
      <c r="Z218" s="11">
        <f t="shared" si="69"/>
        <v>5.48</v>
      </c>
      <c r="AA218" s="11">
        <f t="shared" si="70"/>
        <v>97</v>
      </c>
      <c r="AB218" s="11">
        <f t="shared" si="70"/>
        <v>83.08</v>
      </c>
      <c r="AC218" s="42">
        <f t="shared" si="49"/>
        <v>5883</v>
      </c>
      <c r="AD218" s="83">
        <f t="shared" si="57"/>
        <v>570651</v>
      </c>
      <c r="AE218" s="83">
        <f t="shared" si="58"/>
        <v>488759.64</v>
      </c>
      <c r="AF218" s="83">
        <f t="shared" si="59"/>
        <v>1059410.6400000001</v>
      </c>
      <c r="AG218" s="11"/>
      <c r="AH218" s="11"/>
      <c r="AI218" s="78"/>
      <c r="AJ218" s="78"/>
      <c r="AK218" s="78"/>
      <c r="AL218" s="78"/>
      <c r="AM218" s="78"/>
      <c r="AN218" s="78"/>
      <c r="AO218" s="78"/>
      <c r="AP218" s="78"/>
      <c r="AQ218" s="3" t="s">
        <v>394</v>
      </c>
      <c r="AR218" s="3" t="s">
        <v>440</v>
      </c>
      <c r="AS218" s="3" t="s">
        <v>930</v>
      </c>
      <c r="AT218" s="49">
        <v>5883</v>
      </c>
      <c r="AU218" s="3" t="str">
        <f t="shared" si="71"/>
        <v>match</v>
      </c>
      <c r="AV218" s="3" t="str">
        <f t="shared" si="72"/>
        <v>match</v>
      </c>
    </row>
    <row r="219" spans="1:48" ht="12">
      <c r="A219" s="9" t="s">
        <v>394</v>
      </c>
      <c r="B219" s="12" t="s">
        <v>442</v>
      </c>
      <c r="C219" s="13" t="s">
        <v>443</v>
      </c>
      <c r="D219" s="8"/>
      <c r="E219" s="39">
        <v>327</v>
      </c>
      <c r="F219" s="39"/>
      <c r="G219" s="39"/>
      <c r="H219" s="39"/>
      <c r="I219" s="39"/>
      <c r="J219" s="39"/>
      <c r="K219" s="39">
        <f t="shared" si="64"/>
        <v>327</v>
      </c>
      <c r="L219" s="39">
        <f t="shared" si="65"/>
        <v>235.44</v>
      </c>
      <c r="M219" s="39"/>
      <c r="N219" s="39">
        <v>26</v>
      </c>
      <c r="O219" s="39"/>
      <c r="P219" s="39"/>
      <c r="Q219" s="39">
        <v>123</v>
      </c>
      <c r="R219" s="39">
        <f t="shared" si="66"/>
        <v>149</v>
      </c>
      <c r="S219" s="39">
        <f t="shared" si="67"/>
        <v>164.69</v>
      </c>
      <c r="T219" s="39"/>
      <c r="U219" s="39"/>
      <c r="V219" s="39">
        <v>1</v>
      </c>
      <c r="W219" s="39"/>
      <c r="X219" s="39">
        <v>32</v>
      </c>
      <c r="Y219" s="39">
        <f t="shared" si="68"/>
        <v>33</v>
      </c>
      <c r="Z219" s="39">
        <f t="shared" si="69"/>
        <v>90.42</v>
      </c>
      <c r="AA219" s="39">
        <f t="shared" si="70"/>
        <v>509</v>
      </c>
      <c r="AB219" s="39">
        <f t="shared" si="70"/>
        <v>490.55</v>
      </c>
      <c r="AC219" s="41">
        <f t="shared" si="49"/>
        <v>5883</v>
      </c>
      <c r="AD219" s="82">
        <f t="shared" si="57"/>
        <v>2994447</v>
      </c>
      <c r="AE219" s="82">
        <f t="shared" si="58"/>
        <v>2885905.65</v>
      </c>
      <c r="AF219" s="82">
        <f t="shared" si="59"/>
        <v>5880352.6500000004</v>
      </c>
      <c r="AG219" s="39"/>
      <c r="AH219" s="39"/>
      <c r="AI219" s="79"/>
      <c r="AJ219" s="79"/>
      <c r="AK219" s="79"/>
      <c r="AL219" s="79"/>
      <c r="AM219" s="79"/>
      <c r="AN219" s="79"/>
      <c r="AO219" s="79"/>
      <c r="AP219" s="79"/>
      <c r="AQ219" s="3" t="s">
        <v>394</v>
      </c>
      <c r="AR219" s="3" t="s">
        <v>442</v>
      </c>
      <c r="AS219" s="3" t="s">
        <v>443</v>
      </c>
      <c r="AT219" s="49">
        <v>5883</v>
      </c>
      <c r="AU219" s="3" t="str">
        <f t="shared" si="71"/>
        <v>match</v>
      </c>
      <c r="AV219" s="3" t="str">
        <f t="shared" si="72"/>
        <v>match</v>
      </c>
    </row>
    <row r="220" spans="1:48" ht="12">
      <c r="A220" s="9" t="s">
        <v>394</v>
      </c>
      <c r="B220" s="10" t="s">
        <v>444</v>
      </c>
      <c r="C220" s="56" t="s">
        <v>445</v>
      </c>
      <c r="D220" s="56"/>
      <c r="E220" s="11">
        <v>210</v>
      </c>
      <c r="F220" s="11"/>
      <c r="G220" s="11"/>
      <c r="H220" s="11"/>
      <c r="I220" s="11"/>
      <c r="J220" s="11"/>
      <c r="K220" s="11">
        <f t="shared" si="64"/>
        <v>210</v>
      </c>
      <c r="L220" s="11">
        <f t="shared" si="65"/>
        <v>151.19999999999999</v>
      </c>
      <c r="M220" s="11"/>
      <c r="N220" s="11">
        <v>18</v>
      </c>
      <c r="O220" s="11"/>
      <c r="P220" s="11"/>
      <c r="Q220" s="11">
        <v>49</v>
      </c>
      <c r="R220" s="11">
        <f t="shared" si="66"/>
        <v>67</v>
      </c>
      <c r="S220" s="11">
        <f t="shared" si="67"/>
        <v>70.27</v>
      </c>
      <c r="T220" s="11"/>
      <c r="U220" s="11"/>
      <c r="V220" s="11"/>
      <c r="W220" s="11"/>
      <c r="X220" s="11">
        <v>8</v>
      </c>
      <c r="Y220" s="11">
        <f t="shared" si="68"/>
        <v>8</v>
      </c>
      <c r="Z220" s="11">
        <f t="shared" si="69"/>
        <v>21.92</v>
      </c>
      <c r="AA220" s="11">
        <f t="shared" si="70"/>
        <v>285</v>
      </c>
      <c r="AB220" s="11">
        <f t="shared" si="70"/>
        <v>243.39</v>
      </c>
      <c r="AC220" s="42">
        <f t="shared" ref="AC220:AC283" si="73">+AT220</f>
        <v>5883</v>
      </c>
      <c r="AD220" s="83">
        <f t="shared" si="57"/>
        <v>1676655</v>
      </c>
      <c r="AE220" s="83">
        <f t="shared" si="58"/>
        <v>1431863.3699999999</v>
      </c>
      <c r="AF220" s="83">
        <f t="shared" si="59"/>
        <v>3108518.37</v>
      </c>
      <c r="AG220" s="11"/>
      <c r="AH220" s="11"/>
      <c r="AI220" s="78"/>
      <c r="AJ220" s="78"/>
      <c r="AK220" s="78"/>
      <c r="AL220" s="78"/>
      <c r="AM220" s="78"/>
      <c r="AN220" s="78"/>
      <c r="AO220" s="78"/>
      <c r="AP220" s="78"/>
      <c r="AQ220" s="3" t="s">
        <v>394</v>
      </c>
      <c r="AR220" s="3" t="s">
        <v>444</v>
      </c>
      <c r="AS220" s="3" t="s">
        <v>931</v>
      </c>
      <c r="AT220" s="49">
        <v>5883</v>
      </c>
      <c r="AU220" s="3" t="str">
        <f t="shared" si="71"/>
        <v>match</v>
      </c>
      <c r="AV220" s="3" t="str">
        <f t="shared" si="72"/>
        <v>match</v>
      </c>
    </row>
    <row r="221" spans="1:48" ht="12">
      <c r="A221" s="9" t="s">
        <v>394</v>
      </c>
      <c r="B221" s="12" t="s">
        <v>446</v>
      </c>
      <c r="C221" s="13" t="s">
        <v>447</v>
      </c>
      <c r="D221" s="8"/>
      <c r="E221" s="39">
        <v>31</v>
      </c>
      <c r="F221" s="39"/>
      <c r="G221" s="39"/>
      <c r="H221" s="39"/>
      <c r="I221" s="39"/>
      <c r="J221" s="39"/>
      <c r="K221" s="39">
        <f t="shared" si="64"/>
        <v>31</v>
      </c>
      <c r="L221" s="39">
        <f t="shared" si="65"/>
        <v>22.32</v>
      </c>
      <c r="M221" s="39"/>
      <c r="N221" s="39">
        <v>1</v>
      </c>
      <c r="O221" s="39"/>
      <c r="P221" s="39"/>
      <c r="Q221" s="39">
        <v>5</v>
      </c>
      <c r="R221" s="39">
        <f t="shared" si="66"/>
        <v>6</v>
      </c>
      <c r="S221" s="39">
        <f t="shared" si="67"/>
        <v>6.66</v>
      </c>
      <c r="T221" s="39"/>
      <c r="U221" s="39"/>
      <c r="V221" s="39"/>
      <c r="W221" s="39"/>
      <c r="X221" s="39">
        <v>4</v>
      </c>
      <c r="Y221" s="39">
        <f t="shared" si="68"/>
        <v>4</v>
      </c>
      <c r="Z221" s="39">
        <f t="shared" si="69"/>
        <v>10.96</v>
      </c>
      <c r="AA221" s="39">
        <f t="shared" si="70"/>
        <v>41</v>
      </c>
      <c r="AB221" s="39">
        <f t="shared" si="70"/>
        <v>39.94</v>
      </c>
      <c r="AC221" s="41">
        <f t="shared" si="73"/>
        <v>5883</v>
      </c>
      <c r="AD221" s="82">
        <f t="shared" si="57"/>
        <v>241203</v>
      </c>
      <c r="AE221" s="82">
        <f t="shared" si="58"/>
        <v>234967.02</v>
      </c>
      <c r="AF221" s="82">
        <f t="shared" si="59"/>
        <v>476170.02</v>
      </c>
      <c r="AG221" s="39"/>
      <c r="AH221" s="39"/>
      <c r="AI221" s="79"/>
      <c r="AJ221" s="79"/>
      <c r="AK221" s="79"/>
      <c r="AL221" s="79"/>
      <c r="AM221" s="79"/>
      <c r="AN221" s="79"/>
      <c r="AO221" s="79"/>
      <c r="AP221" s="79"/>
      <c r="AQ221" s="3" t="s">
        <v>394</v>
      </c>
      <c r="AR221" s="3" t="s">
        <v>446</v>
      </c>
      <c r="AS221" s="3" t="s">
        <v>932</v>
      </c>
      <c r="AT221" s="49">
        <v>5883</v>
      </c>
      <c r="AU221" s="3" t="str">
        <f t="shared" si="71"/>
        <v>match</v>
      </c>
      <c r="AV221" s="3" t="str">
        <f t="shared" si="72"/>
        <v>match</v>
      </c>
    </row>
    <row r="222" spans="1:48" ht="12">
      <c r="A222" s="9" t="s">
        <v>394</v>
      </c>
      <c r="B222" s="10" t="s">
        <v>448</v>
      </c>
      <c r="C222" s="56" t="s">
        <v>449</v>
      </c>
      <c r="D222" s="56"/>
      <c r="E222" s="11">
        <v>50</v>
      </c>
      <c r="F222" s="11"/>
      <c r="G222" s="11"/>
      <c r="H222" s="11"/>
      <c r="I222" s="11"/>
      <c r="J222" s="11"/>
      <c r="K222" s="11">
        <f t="shared" si="64"/>
        <v>50</v>
      </c>
      <c r="L222" s="11">
        <f t="shared" si="65"/>
        <v>36</v>
      </c>
      <c r="M222" s="11"/>
      <c r="N222" s="11">
        <v>4</v>
      </c>
      <c r="O222" s="11"/>
      <c r="P222" s="11"/>
      <c r="Q222" s="11">
        <v>12</v>
      </c>
      <c r="R222" s="11">
        <f t="shared" si="66"/>
        <v>16</v>
      </c>
      <c r="S222" s="11">
        <f t="shared" si="67"/>
        <v>16.96</v>
      </c>
      <c r="T222" s="11"/>
      <c r="U222" s="11"/>
      <c r="V222" s="11"/>
      <c r="W222" s="11"/>
      <c r="X222" s="11">
        <v>5</v>
      </c>
      <c r="Y222" s="11">
        <f t="shared" si="68"/>
        <v>5</v>
      </c>
      <c r="Z222" s="11">
        <f t="shared" si="69"/>
        <v>13.700000000000001</v>
      </c>
      <c r="AA222" s="11">
        <f t="shared" si="70"/>
        <v>71</v>
      </c>
      <c r="AB222" s="11">
        <f t="shared" si="70"/>
        <v>66.66</v>
      </c>
      <c r="AC222" s="42">
        <f t="shared" si="73"/>
        <v>5883</v>
      </c>
      <c r="AD222" s="83">
        <f t="shared" si="57"/>
        <v>417693</v>
      </c>
      <c r="AE222" s="83">
        <f t="shared" si="58"/>
        <v>392160.77999999997</v>
      </c>
      <c r="AF222" s="83">
        <f t="shared" si="59"/>
        <v>809853.78</v>
      </c>
      <c r="AG222" s="11"/>
      <c r="AH222" s="11"/>
      <c r="AI222" s="78"/>
      <c r="AJ222" s="78"/>
      <c r="AK222" s="78"/>
      <c r="AL222" s="78"/>
      <c r="AM222" s="78"/>
      <c r="AN222" s="78"/>
      <c r="AO222" s="78"/>
      <c r="AP222" s="78"/>
      <c r="AQ222" s="3" t="s">
        <v>394</v>
      </c>
      <c r="AR222" s="3" t="s">
        <v>448</v>
      </c>
      <c r="AS222" s="3" t="s">
        <v>933</v>
      </c>
      <c r="AT222" s="49">
        <v>5883</v>
      </c>
      <c r="AU222" s="3" t="str">
        <f t="shared" si="71"/>
        <v>match</v>
      </c>
      <c r="AV222" s="3" t="str">
        <f t="shared" si="72"/>
        <v>match</v>
      </c>
    </row>
    <row r="223" spans="1:48" ht="12">
      <c r="A223" s="9" t="s">
        <v>394</v>
      </c>
      <c r="B223" s="12" t="s">
        <v>450</v>
      </c>
      <c r="C223" s="13" t="s">
        <v>451</v>
      </c>
      <c r="D223" s="8"/>
      <c r="E223" s="39">
        <v>32</v>
      </c>
      <c r="F223" s="39"/>
      <c r="G223" s="39"/>
      <c r="H223" s="39"/>
      <c r="I223" s="39"/>
      <c r="J223" s="39"/>
      <c r="K223" s="39">
        <f t="shared" si="64"/>
        <v>32</v>
      </c>
      <c r="L223" s="39">
        <f t="shared" si="65"/>
        <v>23.04</v>
      </c>
      <c r="M223" s="39"/>
      <c r="N223" s="39">
        <v>1</v>
      </c>
      <c r="O223" s="39"/>
      <c r="P223" s="39"/>
      <c r="Q223" s="39">
        <v>7</v>
      </c>
      <c r="R223" s="39">
        <f t="shared" si="66"/>
        <v>8</v>
      </c>
      <c r="S223" s="39">
        <f t="shared" si="67"/>
        <v>9.0799999999999983</v>
      </c>
      <c r="T223" s="39"/>
      <c r="U223" s="39"/>
      <c r="V223" s="39"/>
      <c r="W223" s="39"/>
      <c r="X223" s="39">
        <v>2</v>
      </c>
      <c r="Y223" s="39">
        <f t="shared" si="68"/>
        <v>2</v>
      </c>
      <c r="Z223" s="39">
        <f t="shared" si="69"/>
        <v>5.48</v>
      </c>
      <c r="AA223" s="39">
        <f t="shared" si="70"/>
        <v>42</v>
      </c>
      <c r="AB223" s="39">
        <f t="shared" si="70"/>
        <v>37.599999999999994</v>
      </c>
      <c r="AC223" s="41">
        <f t="shared" si="73"/>
        <v>5943</v>
      </c>
      <c r="AD223" s="82">
        <f t="shared" si="57"/>
        <v>249606</v>
      </c>
      <c r="AE223" s="82">
        <f t="shared" si="58"/>
        <v>223456.79999999996</v>
      </c>
      <c r="AF223" s="82">
        <f t="shared" si="59"/>
        <v>473062.79999999993</v>
      </c>
      <c r="AG223" s="39"/>
      <c r="AH223" s="39"/>
      <c r="AI223" s="79"/>
      <c r="AJ223" s="79"/>
      <c r="AK223" s="79"/>
      <c r="AL223" s="79"/>
      <c r="AM223" s="79"/>
      <c r="AN223" s="79"/>
      <c r="AO223" s="79"/>
      <c r="AP223" s="79"/>
      <c r="AQ223" s="3" t="s">
        <v>394</v>
      </c>
      <c r="AR223" s="3" t="s">
        <v>450</v>
      </c>
      <c r="AS223" s="3" t="s">
        <v>934</v>
      </c>
      <c r="AT223" s="49">
        <v>5943</v>
      </c>
      <c r="AU223" s="3" t="str">
        <f t="shared" si="71"/>
        <v>match</v>
      </c>
      <c r="AV223" s="3" t="str">
        <f t="shared" si="72"/>
        <v>match</v>
      </c>
    </row>
    <row r="224" spans="1:48" ht="12">
      <c r="A224" s="9" t="s">
        <v>394</v>
      </c>
      <c r="B224" s="10" t="s">
        <v>452</v>
      </c>
      <c r="C224" s="56" t="s">
        <v>453</v>
      </c>
      <c r="D224" s="56"/>
      <c r="E224" s="11">
        <v>47</v>
      </c>
      <c r="F224" s="11"/>
      <c r="G224" s="11"/>
      <c r="H224" s="11"/>
      <c r="I224" s="11"/>
      <c r="J224" s="11"/>
      <c r="K224" s="11">
        <f t="shared" si="64"/>
        <v>47</v>
      </c>
      <c r="L224" s="11">
        <f t="shared" si="65"/>
        <v>33.839999999999996</v>
      </c>
      <c r="M224" s="11"/>
      <c r="N224" s="11"/>
      <c r="O224" s="11">
        <v>2</v>
      </c>
      <c r="P224" s="11"/>
      <c r="Q224" s="11">
        <v>9</v>
      </c>
      <c r="R224" s="11">
        <f t="shared" si="66"/>
        <v>11</v>
      </c>
      <c r="S224" s="11">
        <f t="shared" si="67"/>
        <v>13.309999999999999</v>
      </c>
      <c r="T224" s="11"/>
      <c r="U224" s="11"/>
      <c r="V224" s="11"/>
      <c r="W224" s="11"/>
      <c r="X224" s="11">
        <v>6</v>
      </c>
      <c r="Y224" s="11">
        <f t="shared" si="68"/>
        <v>6</v>
      </c>
      <c r="Z224" s="11">
        <f t="shared" si="69"/>
        <v>16.440000000000001</v>
      </c>
      <c r="AA224" s="11">
        <f t="shared" si="70"/>
        <v>64</v>
      </c>
      <c r="AB224" s="11">
        <f t="shared" si="70"/>
        <v>63.589999999999989</v>
      </c>
      <c r="AC224" s="42">
        <f t="shared" si="73"/>
        <v>5883</v>
      </c>
      <c r="AD224" s="83">
        <f t="shared" si="57"/>
        <v>376512</v>
      </c>
      <c r="AE224" s="83">
        <f t="shared" si="58"/>
        <v>374099.96999999991</v>
      </c>
      <c r="AF224" s="83">
        <f t="shared" si="59"/>
        <v>750611.97</v>
      </c>
      <c r="AG224" s="11"/>
      <c r="AH224" s="11"/>
      <c r="AI224" s="78"/>
      <c r="AJ224" s="78"/>
      <c r="AK224" s="78"/>
      <c r="AL224" s="78"/>
      <c r="AM224" s="78"/>
      <c r="AN224" s="78"/>
      <c r="AO224" s="78"/>
      <c r="AP224" s="78"/>
      <c r="AQ224" s="3" t="s">
        <v>394</v>
      </c>
      <c r="AR224" s="3" t="s">
        <v>452</v>
      </c>
      <c r="AS224" s="3" t="s">
        <v>935</v>
      </c>
      <c r="AT224" s="49">
        <v>5883</v>
      </c>
      <c r="AU224" s="3" t="str">
        <f t="shared" si="71"/>
        <v>match</v>
      </c>
      <c r="AV224" s="3" t="str">
        <f t="shared" si="72"/>
        <v>match</v>
      </c>
    </row>
    <row r="225" spans="1:48" ht="12">
      <c r="A225" s="9" t="s">
        <v>394</v>
      </c>
      <c r="B225" s="12" t="s">
        <v>454</v>
      </c>
      <c r="C225" s="13" t="s">
        <v>455</v>
      </c>
      <c r="D225" s="8"/>
      <c r="E225" s="39">
        <v>35</v>
      </c>
      <c r="F225" s="39"/>
      <c r="G225" s="39"/>
      <c r="H225" s="39"/>
      <c r="I225" s="39"/>
      <c r="J225" s="39"/>
      <c r="K225" s="39">
        <f t="shared" si="64"/>
        <v>35</v>
      </c>
      <c r="L225" s="39">
        <f t="shared" si="65"/>
        <v>25.2</v>
      </c>
      <c r="M225" s="39"/>
      <c r="N225" s="39">
        <v>3</v>
      </c>
      <c r="O225" s="39"/>
      <c r="P225" s="39"/>
      <c r="Q225" s="39">
        <v>10</v>
      </c>
      <c r="R225" s="39">
        <f t="shared" si="66"/>
        <v>13</v>
      </c>
      <c r="S225" s="39">
        <f t="shared" si="67"/>
        <v>13.93</v>
      </c>
      <c r="T225" s="39"/>
      <c r="U225" s="39"/>
      <c r="V225" s="39"/>
      <c r="W225" s="39"/>
      <c r="X225" s="39">
        <v>3</v>
      </c>
      <c r="Y225" s="39">
        <f t="shared" si="68"/>
        <v>3</v>
      </c>
      <c r="Z225" s="39">
        <f t="shared" si="69"/>
        <v>8.2200000000000006</v>
      </c>
      <c r="AA225" s="39">
        <f t="shared" si="70"/>
        <v>51</v>
      </c>
      <c r="AB225" s="39">
        <f t="shared" si="70"/>
        <v>47.349999999999994</v>
      </c>
      <c r="AC225" s="41">
        <f t="shared" si="73"/>
        <v>5883</v>
      </c>
      <c r="AD225" s="82">
        <f t="shared" si="57"/>
        <v>300033</v>
      </c>
      <c r="AE225" s="82">
        <f t="shared" si="58"/>
        <v>278560.05</v>
      </c>
      <c r="AF225" s="82">
        <f t="shared" si="59"/>
        <v>578593.05000000005</v>
      </c>
      <c r="AG225" s="39"/>
      <c r="AH225" s="39"/>
      <c r="AI225" s="79"/>
      <c r="AJ225" s="79"/>
      <c r="AK225" s="79"/>
      <c r="AL225" s="79"/>
      <c r="AM225" s="79"/>
      <c r="AN225" s="79"/>
      <c r="AO225" s="79"/>
      <c r="AP225" s="79"/>
      <c r="AQ225" s="3" t="s">
        <v>394</v>
      </c>
      <c r="AR225" s="3" t="s">
        <v>454</v>
      </c>
      <c r="AS225" s="3" t="s">
        <v>936</v>
      </c>
      <c r="AT225" s="49">
        <v>5883</v>
      </c>
      <c r="AU225" s="3" t="str">
        <f t="shared" si="71"/>
        <v>match</v>
      </c>
      <c r="AV225" s="3" t="str">
        <f t="shared" si="72"/>
        <v>match</v>
      </c>
    </row>
    <row r="226" spans="1:48" ht="12">
      <c r="A226" s="9" t="s">
        <v>394</v>
      </c>
      <c r="B226" s="10" t="s">
        <v>456</v>
      </c>
      <c r="C226" s="56" t="s">
        <v>457</v>
      </c>
      <c r="D226" s="56"/>
      <c r="E226" s="11">
        <v>88</v>
      </c>
      <c r="F226" s="11"/>
      <c r="G226" s="11"/>
      <c r="H226" s="11"/>
      <c r="I226" s="11"/>
      <c r="J226" s="11"/>
      <c r="K226" s="11">
        <f t="shared" si="64"/>
        <v>88</v>
      </c>
      <c r="L226" s="11">
        <f t="shared" si="65"/>
        <v>63.36</v>
      </c>
      <c r="M226" s="11">
        <v>2</v>
      </c>
      <c r="N226" s="11">
        <v>1</v>
      </c>
      <c r="O226" s="11">
        <v>7</v>
      </c>
      <c r="P226" s="11"/>
      <c r="Q226" s="11">
        <v>35</v>
      </c>
      <c r="R226" s="11">
        <f t="shared" si="66"/>
        <v>45</v>
      </c>
      <c r="S226" s="11">
        <f t="shared" si="67"/>
        <v>53.849999999999994</v>
      </c>
      <c r="T226" s="11">
        <v>1</v>
      </c>
      <c r="U226" s="11"/>
      <c r="V226" s="11">
        <v>1</v>
      </c>
      <c r="W226" s="11"/>
      <c r="X226" s="11">
        <v>5</v>
      </c>
      <c r="Y226" s="11">
        <f t="shared" si="68"/>
        <v>7</v>
      </c>
      <c r="Z226" s="11">
        <f t="shared" si="69"/>
        <v>19.18</v>
      </c>
      <c r="AA226" s="11">
        <f t="shared" si="70"/>
        <v>140</v>
      </c>
      <c r="AB226" s="11">
        <f t="shared" si="70"/>
        <v>136.38999999999999</v>
      </c>
      <c r="AC226" s="42">
        <f t="shared" si="73"/>
        <v>5883</v>
      </c>
      <c r="AD226" s="83">
        <f t="shared" ref="AD226:AD289" si="74">+AC226*AA226</f>
        <v>823620</v>
      </c>
      <c r="AE226" s="83">
        <f t="shared" ref="AE226:AE289" si="75">+AC226*AB226</f>
        <v>802382.36999999988</v>
      </c>
      <c r="AF226" s="83">
        <f t="shared" ref="AF226:AF289" si="76">+AE226+AD226</f>
        <v>1626002.3699999999</v>
      </c>
      <c r="AG226" s="11"/>
      <c r="AH226" s="11"/>
      <c r="AI226" s="78"/>
      <c r="AJ226" s="78"/>
      <c r="AK226" s="78"/>
      <c r="AL226" s="78"/>
      <c r="AM226" s="78"/>
      <c r="AN226" s="78"/>
      <c r="AO226" s="78"/>
      <c r="AP226" s="78"/>
      <c r="AQ226" s="3" t="s">
        <v>394</v>
      </c>
      <c r="AR226" s="3" t="s">
        <v>456</v>
      </c>
      <c r="AS226" s="3" t="s">
        <v>937</v>
      </c>
      <c r="AT226" s="49">
        <v>5883</v>
      </c>
      <c r="AU226" s="3" t="str">
        <f t="shared" si="71"/>
        <v>match</v>
      </c>
      <c r="AV226" s="3" t="str">
        <f t="shared" si="72"/>
        <v>match</v>
      </c>
    </row>
    <row r="227" spans="1:48" ht="12">
      <c r="A227" s="9" t="s">
        <v>394</v>
      </c>
      <c r="B227" s="12" t="s">
        <v>458</v>
      </c>
      <c r="C227" s="13" t="s">
        <v>459</v>
      </c>
      <c r="D227" s="8"/>
      <c r="E227" s="39">
        <v>270</v>
      </c>
      <c r="F227" s="39"/>
      <c r="G227" s="39"/>
      <c r="H227" s="39"/>
      <c r="I227" s="39"/>
      <c r="J227" s="39"/>
      <c r="K227" s="39">
        <f t="shared" si="64"/>
        <v>270</v>
      </c>
      <c r="L227" s="39">
        <f t="shared" si="65"/>
        <v>194.4</v>
      </c>
      <c r="M227" s="39"/>
      <c r="N227" s="39">
        <v>20</v>
      </c>
      <c r="O227" s="39">
        <v>1</v>
      </c>
      <c r="P227" s="39">
        <v>1</v>
      </c>
      <c r="Q227" s="39">
        <v>95</v>
      </c>
      <c r="R227" s="39">
        <f t="shared" si="66"/>
        <v>117</v>
      </c>
      <c r="S227" s="39">
        <f t="shared" si="67"/>
        <v>128.97</v>
      </c>
      <c r="T227" s="39"/>
      <c r="U227" s="39"/>
      <c r="V227" s="39"/>
      <c r="W227" s="39"/>
      <c r="X227" s="39">
        <v>30</v>
      </c>
      <c r="Y227" s="39">
        <f t="shared" si="68"/>
        <v>30</v>
      </c>
      <c r="Z227" s="39">
        <f t="shared" si="69"/>
        <v>82.2</v>
      </c>
      <c r="AA227" s="39">
        <f t="shared" si="70"/>
        <v>417</v>
      </c>
      <c r="AB227" s="39">
        <f t="shared" si="70"/>
        <v>405.57</v>
      </c>
      <c r="AC227" s="41">
        <f t="shared" si="73"/>
        <v>5883</v>
      </c>
      <c r="AD227" s="82">
        <f t="shared" si="74"/>
        <v>2453211</v>
      </c>
      <c r="AE227" s="82">
        <f t="shared" si="75"/>
        <v>2385968.31</v>
      </c>
      <c r="AF227" s="82">
        <f t="shared" si="76"/>
        <v>4839179.3100000005</v>
      </c>
      <c r="AG227" s="39"/>
      <c r="AH227" s="39"/>
      <c r="AI227" s="79"/>
      <c r="AJ227" s="79"/>
      <c r="AK227" s="79"/>
      <c r="AL227" s="79"/>
      <c r="AM227" s="79"/>
      <c r="AN227" s="79"/>
      <c r="AO227" s="79"/>
      <c r="AP227" s="79"/>
      <c r="AQ227" s="3" t="s">
        <v>394</v>
      </c>
      <c r="AR227" s="3" t="s">
        <v>458</v>
      </c>
      <c r="AS227" s="3" t="s">
        <v>938</v>
      </c>
      <c r="AT227" s="49">
        <v>5883</v>
      </c>
      <c r="AU227" s="3" t="str">
        <f t="shared" si="71"/>
        <v>match</v>
      </c>
      <c r="AV227" s="3" t="str">
        <f t="shared" si="72"/>
        <v>match</v>
      </c>
    </row>
    <row r="228" spans="1:48" ht="12">
      <c r="A228" s="9" t="s">
        <v>394</v>
      </c>
      <c r="B228" s="10" t="s">
        <v>460</v>
      </c>
      <c r="C228" s="56" t="s">
        <v>461</v>
      </c>
      <c r="D228" s="56"/>
      <c r="E228" s="11">
        <v>48</v>
      </c>
      <c r="F228" s="11"/>
      <c r="G228" s="11"/>
      <c r="H228" s="11"/>
      <c r="I228" s="11"/>
      <c r="J228" s="11"/>
      <c r="K228" s="11">
        <f t="shared" si="64"/>
        <v>48</v>
      </c>
      <c r="L228" s="11">
        <f t="shared" si="65"/>
        <v>34.56</v>
      </c>
      <c r="M228" s="11"/>
      <c r="N228" s="11"/>
      <c r="O228" s="11">
        <v>1</v>
      </c>
      <c r="P228" s="11"/>
      <c r="Q228" s="11">
        <v>25</v>
      </c>
      <c r="R228" s="11">
        <f t="shared" si="66"/>
        <v>26</v>
      </c>
      <c r="S228" s="11">
        <f t="shared" si="67"/>
        <v>31.46</v>
      </c>
      <c r="T228" s="11"/>
      <c r="U228" s="11"/>
      <c r="V228" s="11"/>
      <c r="W228" s="11"/>
      <c r="X228" s="11">
        <v>10</v>
      </c>
      <c r="Y228" s="11">
        <f t="shared" si="68"/>
        <v>10</v>
      </c>
      <c r="Z228" s="11">
        <f t="shared" si="69"/>
        <v>27.400000000000002</v>
      </c>
      <c r="AA228" s="11">
        <f t="shared" si="70"/>
        <v>84</v>
      </c>
      <c r="AB228" s="11">
        <f t="shared" si="70"/>
        <v>93.420000000000016</v>
      </c>
      <c r="AC228" s="42">
        <f t="shared" si="73"/>
        <v>5883</v>
      </c>
      <c r="AD228" s="83">
        <f t="shared" si="74"/>
        <v>494172</v>
      </c>
      <c r="AE228" s="83">
        <f t="shared" si="75"/>
        <v>549589.8600000001</v>
      </c>
      <c r="AF228" s="83">
        <f t="shared" si="76"/>
        <v>1043761.8600000001</v>
      </c>
      <c r="AG228" s="11"/>
      <c r="AH228" s="11"/>
      <c r="AI228" s="78"/>
      <c r="AJ228" s="78"/>
      <c r="AK228" s="78"/>
      <c r="AL228" s="78"/>
      <c r="AM228" s="78"/>
      <c r="AN228" s="78"/>
      <c r="AO228" s="78"/>
      <c r="AP228" s="78"/>
      <c r="AQ228" s="3" t="s">
        <v>394</v>
      </c>
      <c r="AR228" s="3" t="s">
        <v>460</v>
      </c>
      <c r="AS228" s="3" t="s">
        <v>939</v>
      </c>
      <c r="AT228" s="49">
        <v>5883</v>
      </c>
      <c r="AU228" s="3" t="str">
        <f t="shared" si="71"/>
        <v>match</v>
      </c>
      <c r="AV228" s="3" t="str">
        <f t="shared" si="72"/>
        <v>match</v>
      </c>
    </row>
    <row r="229" spans="1:48" ht="12">
      <c r="A229" s="9" t="s">
        <v>394</v>
      </c>
      <c r="B229" s="12" t="s">
        <v>462</v>
      </c>
      <c r="C229" s="13" t="s">
        <v>463</v>
      </c>
      <c r="D229" s="8"/>
      <c r="E229" s="39">
        <v>223</v>
      </c>
      <c r="F229" s="39"/>
      <c r="G229" s="39"/>
      <c r="H229" s="39"/>
      <c r="I229" s="39"/>
      <c r="J229" s="39"/>
      <c r="K229" s="39">
        <f t="shared" si="64"/>
        <v>223</v>
      </c>
      <c r="L229" s="39">
        <f t="shared" si="65"/>
        <v>160.56</v>
      </c>
      <c r="M229" s="39"/>
      <c r="N229" s="39">
        <v>11</v>
      </c>
      <c r="O229" s="39"/>
      <c r="P229" s="39"/>
      <c r="Q229" s="39">
        <v>54</v>
      </c>
      <c r="R229" s="39">
        <f t="shared" si="66"/>
        <v>65</v>
      </c>
      <c r="S229" s="39">
        <f t="shared" si="67"/>
        <v>72.05</v>
      </c>
      <c r="T229" s="39"/>
      <c r="U229" s="39">
        <v>1</v>
      </c>
      <c r="V229" s="39"/>
      <c r="W229" s="39"/>
      <c r="X229" s="39">
        <v>11</v>
      </c>
      <c r="Y229" s="39">
        <f t="shared" si="68"/>
        <v>12</v>
      </c>
      <c r="Z229" s="39">
        <f t="shared" si="69"/>
        <v>31.51</v>
      </c>
      <c r="AA229" s="39">
        <f t="shared" si="70"/>
        <v>300</v>
      </c>
      <c r="AB229" s="39">
        <f t="shared" si="70"/>
        <v>264.12</v>
      </c>
      <c r="AC229" s="41">
        <f t="shared" si="73"/>
        <v>5883</v>
      </c>
      <c r="AD229" s="82">
        <f t="shared" si="74"/>
        <v>1764900</v>
      </c>
      <c r="AE229" s="82">
        <f t="shared" si="75"/>
        <v>1553817.96</v>
      </c>
      <c r="AF229" s="82">
        <f t="shared" si="76"/>
        <v>3318717.96</v>
      </c>
      <c r="AG229" s="39"/>
      <c r="AH229" s="39"/>
      <c r="AI229" s="79"/>
      <c r="AJ229" s="79"/>
      <c r="AK229" s="79"/>
      <c r="AL229" s="79"/>
      <c r="AM229" s="79"/>
      <c r="AN229" s="79"/>
      <c r="AO229" s="79"/>
      <c r="AP229" s="79"/>
      <c r="AQ229" s="3" t="s">
        <v>394</v>
      </c>
      <c r="AR229" s="3" t="s">
        <v>462</v>
      </c>
      <c r="AS229" s="3" t="s">
        <v>940</v>
      </c>
      <c r="AT229" s="49">
        <v>5883</v>
      </c>
      <c r="AU229" s="3" t="str">
        <f t="shared" si="71"/>
        <v>match</v>
      </c>
      <c r="AV229" s="3" t="str">
        <f t="shared" si="72"/>
        <v>match</v>
      </c>
    </row>
    <row r="230" spans="1:48" ht="12">
      <c r="A230" s="9" t="s">
        <v>394</v>
      </c>
      <c r="B230" s="10" t="s">
        <v>464</v>
      </c>
      <c r="C230" s="56" t="s">
        <v>465</v>
      </c>
      <c r="D230" s="56"/>
      <c r="E230" s="11">
        <v>76</v>
      </c>
      <c r="F230" s="11"/>
      <c r="G230" s="11"/>
      <c r="H230" s="11"/>
      <c r="I230" s="11"/>
      <c r="J230" s="11"/>
      <c r="K230" s="11">
        <f t="shared" si="64"/>
        <v>76</v>
      </c>
      <c r="L230" s="11">
        <f t="shared" si="65"/>
        <v>54.72</v>
      </c>
      <c r="M230" s="11"/>
      <c r="N230" s="11"/>
      <c r="O230" s="11">
        <v>2</v>
      </c>
      <c r="P230" s="11"/>
      <c r="Q230" s="11">
        <v>9</v>
      </c>
      <c r="R230" s="11">
        <f t="shared" si="66"/>
        <v>11</v>
      </c>
      <c r="S230" s="11">
        <f t="shared" si="67"/>
        <v>13.309999999999999</v>
      </c>
      <c r="T230" s="11"/>
      <c r="U230" s="11"/>
      <c r="V230" s="11">
        <v>1</v>
      </c>
      <c r="W230" s="11"/>
      <c r="X230" s="11">
        <v>5</v>
      </c>
      <c r="Y230" s="11">
        <f t="shared" si="68"/>
        <v>6</v>
      </c>
      <c r="Z230" s="11">
        <f t="shared" si="69"/>
        <v>16.440000000000001</v>
      </c>
      <c r="AA230" s="11">
        <f t="shared" si="70"/>
        <v>93</v>
      </c>
      <c r="AB230" s="11">
        <f t="shared" si="70"/>
        <v>84.47</v>
      </c>
      <c r="AC230" s="42">
        <f t="shared" si="73"/>
        <v>5883</v>
      </c>
      <c r="AD230" s="83">
        <f t="shared" si="74"/>
        <v>547119</v>
      </c>
      <c r="AE230" s="83">
        <f t="shared" si="75"/>
        <v>496937.01</v>
      </c>
      <c r="AF230" s="83">
        <f t="shared" si="76"/>
        <v>1044056.01</v>
      </c>
      <c r="AG230" s="11"/>
      <c r="AH230" s="11"/>
      <c r="AI230" s="78"/>
      <c r="AJ230" s="78"/>
      <c r="AK230" s="78"/>
      <c r="AL230" s="78"/>
      <c r="AM230" s="78"/>
      <c r="AN230" s="78"/>
      <c r="AO230" s="78"/>
      <c r="AP230" s="78"/>
      <c r="AQ230" s="3" t="s">
        <v>394</v>
      </c>
      <c r="AR230" s="3" t="s">
        <v>464</v>
      </c>
      <c r="AS230" s="3" t="s">
        <v>941</v>
      </c>
      <c r="AT230" s="49">
        <v>5883</v>
      </c>
      <c r="AU230" s="3" t="str">
        <f t="shared" si="71"/>
        <v>match</v>
      </c>
      <c r="AV230" s="3" t="str">
        <f t="shared" si="72"/>
        <v>match</v>
      </c>
    </row>
    <row r="231" spans="1:48" ht="12">
      <c r="A231" s="9" t="s">
        <v>394</v>
      </c>
      <c r="B231" s="12" t="s">
        <v>466</v>
      </c>
      <c r="C231" s="13" t="s">
        <v>467</v>
      </c>
      <c r="D231" s="8"/>
      <c r="E231" s="39">
        <v>52</v>
      </c>
      <c r="F231" s="39"/>
      <c r="G231" s="39"/>
      <c r="H231" s="39"/>
      <c r="I231" s="39"/>
      <c r="J231" s="39"/>
      <c r="K231" s="39">
        <f t="shared" si="64"/>
        <v>52</v>
      </c>
      <c r="L231" s="39">
        <f t="shared" si="65"/>
        <v>37.44</v>
      </c>
      <c r="M231" s="39"/>
      <c r="N231" s="39">
        <v>2</v>
      </c>
      <c r="O231" s="39"/>
      <c r="P231" s="39"/>
      <c r="Q231" s="39">
        <v>9</v>
      </c>
      <c r="R231" s="39">
        <f t="shared" si="66"/>
        <v>11</v>
      </c>
      <c r="S231" s="39">
        <f t="shared" si="67"/>
        <v>12.110000000000001</v>
      </c>
      <c r="T231" s="39"/>
      <c r="U231" s="39">
        <v>1</v>
      </c>
      <c r="V231" s="39"/>
      <c r="W231" s="39"/>
      <c r="X231" s="39">
        <v>7</v>
      </c>
      <c r="Y231" s="39">
        <f t="shared" si="68"/>
        <v>8</v>
      </c>
      <c r="Z231" s="39">
        <f t="shared" si="69"/>
        <v>20.55</v>
      </c>
      <c r="AA231" s="39">
        <f t="shared" si="70"/>
        <v>71</v>
      </c>
      <c r="AB231" s="39">
        <f t="shared" si="70"/>
        <v>70.099999999999994</v>
      </c>
      <c r="AC231" s="41">
        <f t="shared" si="73"/>
        <v>5883</v>
      </c>
      <c r="AD231" s="82">
        <f t="shared" si="74"/>
        <v>417693</v>
      </c>
      <c r="AE231" s="82">
        <f t="shared" si="75"/>
        <v>412398.3</v>
      </c>
      <c r="AF231" s="82">
        <f t="shared" si="76"/>
        <v>830091.3</v>
      </c>
      <c r="AG231" s="39"/>
      <c r="AH231" s="39"/>
      <c r="AI231" s="79"/>
      <c r="AJ231" s="79"/>
      <c r="AK231" s="79"/>
      <c r="AL231" s="79"/>
      <c r="AM231" s="79"/>
      <c r="AN231" s="79"/>
      <c r="AO231" s="79"/>
      <c r="AP231" s="79"/>
      <c r="AQ231" s="3" t="s">
        <v>394</v>
      </c>
      <c r="AR231" s="3" t="s">
        <v>466</v>
      </c>
      <c r="AS231" s="3" t="s">
        <v>942</v>
      </c>
      <c r="AT231" s="49">
        <v>5883</v>
      </c>
      <c r="AU231" s="3" t="str">
        <f t="shared" si="71"/>
        <v>match</v>
      </c>
      <c r="AV231" s="3" t="str">
        <f t="shared" si="72"/>
        <v>match</v>
      </c>
    </row>
    <row r="232" spans="1:48" ht="12">
      <c r="A232" s="9" t="s">
        <v>394</v>
      </c>
      <c r="B232" s="10" t="s">
        <v>468</v>
      </c>
      <c r="C232" s="56" t="s">
        <v>469</v>
      </c>
      <c r="D232" s="56"/>
      <c r="E232" s="11">
        <v>80</v>
      </c>
      <c r="F232" s="11"/>
      <c r="G232" s="11"/>
      <c r="H232" s="11"/>
      <c r="I232" s="11"/>
      <c r="J232" s="11"/>
      <c r="K232" s="11">
        <f t="shared" si="64"/>
        <v>80</v>
      </c>
      <c r="L232" s="11">
        <f t="shared" si="65"/>
        <v>57.599999999999994</v>
      </c>
      <c r="M232" s="11"/>
      <c r="N232" s="11">
        <v>8</v>
      </c>
      <c r="O232" s="11"/>
      <c r="P232" s="11"/>
      <c r="Q232" s="11">
        <v>36</v>
      </c>
      <c r="R232" s="11">
        <f t="shared" si="66"/>
        <v>44</v>
      </c>
      <c r="S232" s="11">
        <f t="shared" si="67"/>
        <v>48.440000000000005</v>
      </c>
      <c r="T232" s="11"/>
      <c r="U232" s="11">
        <v>1</v>
      </c>
      <c r="V232" s="11"/>
      <c r="W232" s="11"/>
      <c r="X232" s="11">
        <v>11</v>
      </c>
      <c r="Y232" s="11">
        <f t="shared" si="68"/>
        <v>12</v>
      </c>
      <c r="Z232" s="11">
        <f t="shared" si="69"/>
        <v>31.51</v>
      </c>
      <c r="AA232" s="11">
        <f t="shared" si="70"/>
        <v>136</v>
      </c>
      <c r="AB232" s="11">
        <f t="shared" si="70"/>
        <v>137.54999999999998</v>
      </c>
      <c r="AC232" s="42">
        <f t="shared" si="73"/>
        <v>5883</v>
      </c>
      <c r="AD232" s="83">
        <f t="shared" si="74"/>
        <v>800088</v>
      </c>
      <c r="AE232" s="83">
        <f t="shared" si="75"/>
        <v>809206.64999999991</v>
      </c>
      <c r="AF232" s="83">
        <f t="shared" si="76"/>
        <v>1609294.65</v>
      </c>
      <c r="AG232" s="11"/>
      <c r="AH232" s="11"/>
      <c r="AI232" s="78"/>
      <c r="AJ232" s="78"/>
      <c r="AK232" s="78"/>
      <c r="AL232" s="78"/>
      <c r="AM232" s="78"/>
      <c r="AN232" s="78"/>
      <c r="AO232" s="78"/>
      <c r="AP232" s="78"/>
      <c r="AQ232" s="3" t="s">
        <v>394</v>
      </c>
      <c r="AR232" s="3" t="s">
        <v>468</v>
      </c>
      <c r="AS232" s="3" t="s">
        <v>469</v>
      </c>
      <c r="AT232" s="49">
        <v>5883</v>
      </c>
      <c r="AU232" s="3" t="str">
        <f t="shared" si="71"/>
        <v>match</v>
      </c>
      <c r="AV232" s="3" t="str">
        <f t="shared" si="72"/>
        <v>match</v>
      </c>
    </row>
    <row r="233" spans="1:48" ht="12">
      <c r="A233" s="9" t="s">
        <v>394</v>
      </c>
      <c r="B233" s="12" t="s">
        <v>470</v>
      </c>
      <c r="C233" s="13" t="s">
        <v>471</v>
      </c>
      <c r="D233" s="8"/>
      <c r="E233" s="39">
        <v>124</v>
      </c>
      <c r="F233" s="39"/>
      <c r="G233" s="39"/>
      <c r="H233" s="39"/>
      <c r="I233" s="39"/>
      <c r="J233" s="39"/>
      <c r="K233" s="39">
        <f t="shared" si="64"/>
        <v>124</v>
      </c>
      <c r="L233" s="39">
        <f t="shared" si="65"/>
        <v>89.28</v>
      </c>
      <c r="M233" s="39"/>
      <c r="N233" s="39">
        <v>12</v>
      </c>
      <c r="O233" s="39"/>
      <c r="P233" s="39"/>
      <c r="Q233" s="39">
        <v>55</v>
      </c>
      <c r="R233" s="39">
        <f t="shared" si="66"/>
        <v>67</v>
      </c>
      <c r="S233" s="39">
        <f t="shared" si="67"/>
        <v>73.87</v>
      </c>
      <c r="T233" s="39"/>
      <c r="U233" s="39"/>
      <c r="V233" s="39"/>
      <c r="W233" s="39"/>
      <c r="X233" s="39">
        <v>7</v>
      </c>
      <c r="Y233" s="39">
        <f t="shared" si="68"/>
        <v>7</v>
      </c>
      <c r="Z233" s="39">
        <f t="shared" si="69"/>
        <v>19.18</v>
      </c>
      <c r="AA233" s="39">
        <f t="shared" si="70"/>
        <v>198</v>
      </c>
      <c r="AB233" s="39">
        <f t="shared" si="70"/>
        <v>182.33</v>
      </c>
      <c r="AC233" s="41">
        <f t="shared" si="73"/>
        <v>5883</v>
      </c>
      <c r="AD233" s="82">
        <f t="shared" si="74"/>
        <v>1164834</v>
      </c>
      <c r="AE233" s="82">
        <f t="shared" si="75"/>
        <v>1072647.3900000001</v>
      </c>
      <c r="AF233" s="82">
        <f t="shared" si="76"/>
        <v>2237481.39</v>
      </c>
      <c r="AG233" s="39"/>
      <c r="AH233" s="39"/>
      <c r="AI233" s="79"/>
      <c r="AJ233" s="79"/>
      <c r="AK233" s="79"/>
      <c r="AL233" s="79"/>
      <c r="AM233" s="79"/>
      <c r="AN233" s="79"/>
      <c r="AO233" s="79"/>
      <c r="AP233" s="79"/>
      <c r="AQ233" s="3" t="s">
        <v>394</v>
      </c>
      <c r="AR233" s="3" t="s">
        <v>470</v>
      </c>
      <c r="AS233" s="3" t="s">
        <v>943</v>
      </c>
      <c r="AT233" s="49">
        <v>5883</v>
      </c>
      <c r="AU233" s="3" t="str">
        <f t="shared" si="71"/>
        <v>match</v>
      </c>
      <c r="AV233" s="3" t="str">
        <f t="shared" si="72"/>
        <v>match</v>
      </c>
    </row>
    <row r="234" spans="1:48" ht="12">
      <c r="A234" s="9" t="s">
        <v>394</v>
      </c>
      <c r="B234" s="10" t="s">
        <v>472</v>
      </c>
      <c r="C234" s="56" t="s">
        <v>473</v>
      </c>
      <c r="D234" s="56"/>
      <c r="E234" s="11">
        <v>180</v>
      </c>
      <c r="F234" s="11"/>
      <c r="G234" s="11"/>
      <c r="H234" s="11"/>
      <c r="I234" s="11"/>
      <c r="J234" s="11"/>
      <c r="K234" s="11">
        <f t="shared" si="64"/>
        <v>180</v>
      </c>
      <c r="L234" s="11">
        <f t="shared" si="65"/>
        <v>129.6</v>
      </c>
      <c r="M234" s="11"/>
      <c r="N234" s="11">
        <v>7</v>
      </c>
      <c r="O234" s="11">
        <v>1</v>
      </c>
      <c r="P234" s="11"/>
      <c r="Q234" s="11">
        <v>56</v>
      </c>
      <c r="R234" s="11">
        <f t="shared" si="66"/>
        <v>64</v>
      </c>
      <c r="S234" s="11">
        <f t="shared" si="67"/>
        <v>73.239999999999995</v>
      </c>
      <c r="T234" s="11"/>
      <c r="U234" s="11">
        <v>2</v>
      </c>
      <c r="V234" s="11"/>
      <c r="W234" s="11">
        <v>1</v>
      </c>
      <c r="X234" s="11">
        <v>12</v>
      </c>
      <c r="Y234" s="11">
        <f t="shared" si="68"/>
        <v>15</v>
      </c>
      <c r="Z234" s="11">
        <f t="shared" si="69"/>
        <v>36.99</v>
      </c>
      <c r="AA234" s="11">
        <f t="shared" si="70"/>
        <v>259</v>
      </c>
      <c r="AB234" s="11">
        <f t="shared" si="70"/>
        <v>239.82999999999998</v>
      </c>
      <c r="AC234" s="42">
        <f t="shared" si="73"/>
        <v>5884</v>
      </c>
      <c r="AD234" s="83">
        <f t="shared" si="74"/>
        <v>1523956</v>
      </c>
      <c r="AE234" s="83">
        <f t="shared" si="75"/>
        <v>1411159.72</v>
      </c>
      <c r="AF234" s="83">
        <f t="shared" si="76"/>
        <v>2935115.7199999997</v>
      </c>
      <c r="AG234" s="11"/>
      <c r="AH234" s="11"/>
      <c r="AI234" s="78"/>
      <c r="AJ234" s="78"/>
      <c r="AK234" s="78"/>
      <c r="AL234" s="78"/>
      <c r="AM234" s="78"/>
      <c r="AN234" s="78"/>
      <c r="AO234" s="78"/>
      <c r="AP234" s="78"/>
      <c r="AQ234" s="3" t="s">
        <v>394</v>
      </c>
      <c r="AR234" s="3" t="s">
        <v>472</v>
      </c>
      <c r="AS234" s="3" t="s">
        <v>944</v>
      </c>
      <c r="AT234" s="49">
        <v>5884</v>
      </c>
      <c r="AU234" s="3" t="str">
        <f t="shared" si="71"/>
        <v>match</v>
      </c>
      <c r="AV234" s="3" t="str">
        <f t="shared" si="72"/>
        <v>match</v>
      </c>
    </row>
    <row r="235" spans="1:48" ht="12">
      <c r="A235" s="9" t="s">
        <v>394</v>
      </c>
      <c r="B235" s="12" t="s">
        <v>474</v>
      </c>
      <c r="C235" s="13" t="s">
        <v>475</v>
      </c>
      <c r="D235" s="8"/>
      <c r="E235" s="39">
        <v>36</v>
      </c>
      <c r="F235" s="39"/>
      <c r="G235" s="39"/>
      <c r="H235" s="39"/>
      <c r="I235" s="39"/>
      <c r="J235" s="39"/>
      <c r="K235" s="39">
        <f t="shared" si="64"/>
        <v>36</v>
      </c>
      <c r="L235" s="39">
        <f t="shared" si="65"/>
        <v>25.919999999999998</v>
      </c>
      <c r="M235" s="39"/>
      <c r="N235" s="39">
        <v>3</v>
      </c>
      <c r="O235" s="39">
        <v>4</v>
      </c>
      <c r="P235" s="39"/>
      <c r="Q235" s="39">
        <v>19</v>
      </c>
      <c r="R235" s="39">
        <f t="shared" si="66"/>
        <v>26</v>
      </c>
      <c r="S235" s="39">
        <f t="shared" si="67"/>
        <v>29.659999999999997</v>
      </c>
      <c r="T235" s="39"/>
      <c r="U235" s="39"/>
      <c r="V235" s="39">
        <v>1</v>
      </c>
      <c r="W235" s="39"/>
      <c r="X235" s="39">
        <v>8</v>
      </c>
      <c r="Y235" s="39">
        <f t="shared" si="68"/>
        <v>9</v>
      </c>
      <c r="Z235" s="39">
        <f t="shared" si="69"/>
        <v>24.660000000000004</v>
      </c>
      <c r="AA235" s="39">
        <f t="shared" si="70"/>
        <v>71</v>
      </c>
      <c r="AB235" s="39">
        <f t="shared" si="70"/>
        <v>80.240000000000009</v>
      </c>
      <c r="AC235" s="41">
        <f t="shared" si="73"/>
        <v>5883</v>
      </c>
      <c r="AD235" s="82">
        <f t="shared" si="74"/>
        <v>417693</v>
      </c>
      <c r="AE235" s="82">
        <f t="shared" si="75"/>
        <v>472051.92000000004</v>
      </c>
      <c r="AF235" s="82">
        <f t="shared" si="76"/>
        <v>889744.92</v>
      </c>
      <c r="AG235" s="39"/>
      <c r="AH235" s="39"/>
      <c r="AI235" s="79"/>
      <c r="AJ235" s="79"/>
      <c r="AK235" s="79"/>
      <c r="AL235" s="79"/>
      <c r="AM235" s="79"/>
      <c r="AN235" s="79"/>
      <c r="AO235" s="79"/>
      <c r="AP235" s="79"/>
      <c r="AQ235" s="3" t="s">
        <v>394</v>
      </c>
      <c r="AR235" s="3" t="s">
        <v>474</v>
      </c>
      <c r="AS235" s="3" t="s">
        <v>945</v>
      </c>
      <c r="AT235" s="49">
        <v>5883</v>
      </c>
      <c r="AU235" s="3" t="str">
        <f t="shared" si="71"/>
        <v>match</v>
      </c>
      <c r="AV235" s="3" t="str">
        <f t="shared" si="72"/>
        <v>match</v>
      </c>
    </row>
    <row r="236" spans="1:48" ht="12">
      <c r="A236" s="9" t="s">
        <v>394</v>
      </c>
      <c r="B236" s="10" t="s">
        <v>476</v>
      </c>
      <c r="C236" s="56" t="s">
        <v>477</v>
      </c>
      <c r="D236" s="56"/>
      <c r="E236" s="11">
        <v>46</v>
      </c>
      <c r="F236" s="11"/>
      <c r="G236" s="11"/>
      <c r="H236" s="11"/>
      <c r="I236" s="11"/>
      <c r="J236" s="11"/>
      <c r="K236" s="11">
        <f t="shared" si="64"/>
        <v>46</v>
      </c>
      <c r="L236" s="11">
        <f t="shared" si="65"/>
        <v>33.119999999999997</v>
      </c>
      <c r="M236" s="11"/>
      <c r="N236" s="11">
        <v>4</v>
      </c>
      <c r="O236" s="11"/>
      <c r="P236" s="11"/>
      <c r="Q236" s="11">
        <v>17</v>
      </c>
      <c r="R236" s="11">
        <f t="shared" si="66"/>
        <v>21</v>
      </c>
      <c r="S236" s="11">
        <f t="shared" si="67"/>
        <v>23.01</v>
      </c>
      <c r="T236" s="11"/>
      <c r="U236" s="11">
        <v>2</v>
      </c>
      <c r="V236" s="11"/>
      <c r="W236" s="11"/>
      <c r="X236" s="11">
        <v>11</v>
      </c>
      <c r="Y236" s="11">
        <f t="shared" si="68"/>
        <v>13</v>
      </c>
      <c r="Z236" s="11">
        <f t="shared" si="69"/>
        <v>32.880000000000003</v>
      </c>
      <c r="AA236" s="11">
        <f t="shared" si="70"/>
        <v>80</v>
      </c>
      <c r="AB236" s="11">
        <f t="shared" si="70"/>
        <v>89.009999999999991</v>
      </c>
      <c r="AC236" s="42">
        <f t="shared" si="73"/>
        <v>5883</v>
      </c>
      <c r="AD236" s="83">
        <f t="shared" si="74"/>
        <v>470640</v>
      </c>
      <c r="AE236" s="83">
        <f t="shared" si="75"/>
        <v>523645.82999999996</v>
      </c>
      <c r="AF236" s="83">
        <f t="shared" si="76"/>
        <v>994285.83</v>
      </c>
      <c r="AG236" s="11"/>
      <c r="AH236" s="11"/>
      <c r="AI236" s="78"/>
      <c r="AJ236" s="78"/>
      <c r="AK236" s="78"/>
      <c r="AL236" s="78"/>
      <c r="AM236" s="78"/>
      <c r="AN236" s="78"/>
      <c r="AO236" s="78"/>
      <c r="AP236" s="78"/>
      <c r="AQ236" s="3" t="s">
        <v>394</v>
      </c>
      <c r="AR236" s="3" t="s">
        <v>476</v>
      </c>
      <c r="AS236" s="3" t="s">
        <v>946</v>
      </c>
      <c r="AT236" s="49">
        <v>5883</v>
      </c>
      <c r="AU236" s="3" t="str">
        <f t="shared" si="71"/>
        <v>match</v>
      </c>
      <c r="AV236" s="3" t="str">
        <f t="shared" si="72"/>
        <v>match</v>
      </c>
    </row>
    <row r="237" spans="1:48" ht="12">
      <c r="A237" s="9" t="s">
        <v>394</v>
      </c>
      <c r="B237" s="12" t="s">
        <v>478</v>
      </c>
      <c r="C237" s="13" t="s">
        <v>479</v>
      </c>
      <c r="D237" s="8"/>
      <c r="E237" s="39">
        <v>143</v>
      </c>
      <c r="F237" s="39"/>
      <c r="G237" s="39"/>
      <c r="H237" s="39"/>
      <c r="I237" s="39"/>
      <c r="J237" s="39"/>
      <c r="K237" s="39">
        <f t="shared" si="64"/>
        <v>143</v>
      </c>
      <c r="L237" s="39">
        <f t="shared" si="65"/>
        <v>102.96</v>
      </c>
      <c r="M237" s="39"/>
      <c r="N237" s="39">
        <v>8</v>
      </c>
      <c r="O237" s="39">
        <v>1</v>
      </c>
      <c r="P237" s="39"/>
      <c r="Q237" s="39">
        <v>37</v>
      </c>
      <c r="R237" s="39">
        <f t="shared" si="66"/>
        <v>46</v>
      </c>
      <c r="S237" s="39">
        <f t="shared" si="67"/>
        <v>50.86</v>
      </c>
      <c r="T237" s="39"/>
      <c r="U237" s="39">
        <v>1</v>
      </c>
      <c r="V237" s="39"/>
      <c r="W237" s="39"/>
      <c r="X237" s="39">
        <v>10</v>
      </c>
      <c r="Y237" s="39">
        <f t="shared" si="68"/>
        <v>11</v>
      </c>
      <c r="Z237" s="39">
        <f t="shared" si="69"/>
        <v>28.770000000000003</v>
      </c>
      <c r="AA237" s="39">
        <f t="shared" si="70"/>
        <v>200</v>
      </c>
      <c r="AB237" s="39">
        <f t="shared" si="70"/>
        <v>182.59</v>
      </c>
      <c r="AC237" s="41">
        <f t="shared" si="73"/>
        <v>5951</v>
      </c>
      <c r="AD237" s="82">
        <f t="shared" si="74"/>
        <v>1190200</v>
      </c>
      <c r="AE237" s="82">
        <f t="shared" si="75"/>
        <v>1086593.0900000001</v>
      </c>
      <c r="AF237" s="82">
        <f t="shared" si="76"/>
        <v>2276793.09</v>
      </c>
      <c r="AG237" s="39"/>
      <c r="AH237" s="39"/>
      <c r="AI237" s="79"/>
      <c r="AJ237" s="79"/>
      <c r="AK237" s="79"/>
      <c r="AL237" s="79"/>
      <c r="AM237" s="79"/>
      <c r="AN237" s="79"/>
      <c r="AO237" s="79"/>
      <c r="AP237" s="79"/>
      <c r="AQ237" s="3" t="s">
        <v>394</v>
      </c>
      <c r="AR237" s="3" t="s">
        <v>478</v>
      </c>
      <c r="AS237" s="3" t="s">
        <v>947</v>
      </c>
      <c r="AT237" s="49">
        <v>5951</v>
      </c>
      <c r="AU237" s="3" t="str">
        <f t="shared" si="71"/>
        <v>match</v>
      </c>
      <c r="AV237" s="3" t="str">
        <f t="shared" si="72"/>
        <v>match</v>
      </c>
    </row>
    <row r="238" spans="1:48" ht="12">
      <c r="A238" s="9" t="s">
        <v>394</v>
      </c>
      <c r="B238" s="10" t="s">
        <v>480</v>
      </c>
      <c r="C238" s="56" t="s">
        <v>481</v>
      </c>
      <c r="D238" s="56"/>
      <c r="E238" s="11">
        <v>53</v>
      </c>
      <c r="F238" s="11"/>
      <c r="G238" s="11"/>
      <c r="H238" s="11"/>
      <c r="I238" s="11"/>
      <c r="J238" s="11"/>
      <c r="K238" s="11">
        <f t="shared" si="64"/>
        <v>53</v>
      </c>
      <c r="L238" s="11">
        <f t="shared" si="65"/>
        <v>38.159999999999997</v>
      </c>
      <c r="M238" s="11"/>
      <c r="N238" s="11">
        <v>3</v>
      </c>
      <c r="O238" s="11">
        <v>1</v>
      </c>
      <c r="P238" s="11"/>
      <c r="Q238" s="11">
        <v>23</v>
      </c>
      <c r="R238" s="11">
        <f t="shared" si="66"/>
        <v>27</v>
      </c>
      <c r="S238" s="11">
        <f t="shared" si="67"/>
        <v>30.869999999999997</v>
      </c>
      <c r="T238" s="11"/>
      <c r="U238" s="11"/>
      <c r="V238" s="11"/>
      <c r="W238" s="11"/>
      <c r="X238" s="11">
        <v>2</v>
      </c>
      <c r="Y238" s="11">
        <f t="shared" si="68"/>
        <v>2</v>
      </c>
      <c r="Z238" s="11">
        <f t="shared" si="69"/>
        <v>5.48</v>
      </c>
      <c r="AA238" s="11">
        <f t="shared" si="70"/>
        <v>82</v>
      </c>
      <c r="AB238" s="11">
        <f t="shared" si="70"/>
        <v>74.510000000000005</v>
      </c>
      <c r="AC238" s="42">
        <f t="shared" si="73"/>
        <v>5883</v>
      </c>
      <c r="AD238" s="83">
        <f t="shared" si="74"/>
        <v>482406</v>
      </c>
      <c r="AE238" s="83">
        <f t="shared" si="75"/>
        <v>438342.33</v>
      </c>
      <c r="AF238" s="83">
        <f t="shared" si="76"/>
        <v>920748.33000000007</v>
      </c>
      <c r="AG238" s="11"/>
      <c r="AH238" s="11"/>
      <c r="AI238" s="78"/>
      <c r="AJ238" s="78"/>
      <c r="AK238" s="78"/>
      <c r="AL238" s="78"/>
      <c r="AM238" s="78"/>
      <c r="AN238" s="78"/>
      <c r="AO238" s="78"/>
      <c r="AP238" s="78"/>
      <c r="AQ238" s="3" t="s">
        <v>394</v>
      </c>
      <c r="AR238" s="3" t="s">
        <v>480</v>
      </c>
      <c r="AS238" s="3" t="s">
        <v>948</v>
      </c>
      <c r="AT238" s="49">
        <v>5883</v>
      </c>
      <c r="AU238" s="3" t="str">
        <f t="shared" si="71"/>
        <v>match</v>
      </c>
      <c r="AV238" s="3" t="str">
        <f t="shared" si="72"/>
        <v>match</v>
      </c>
    </row>
    <row r="239" spans="1:48" ht="12">
      <c r="A239" s="9" t="s">
        <v>394</v>
      </c>
      <c r="B239" s="12" t="s">
        <v>482</v>
      </c>
      <c r="C239" s="13" t="s">
        <v>483</v>
      </c>
      <c r="D239" s="8"/>
      <c r="E239" s="39">
        <v>400</v>
      </c>
      <c r="F239" s="39"/>
      <c r="G239" s="39"/>
      <c r="H239" s="39">
        <v>1</v>
      </c>
      <c r="I239" s="39"/>
      <c r="J239" s="39"/>
      <c r="K239" s="39">
        <f t="shared" si="64"/>
        <v>401</v>
      </c>
      <c r="L239" s="39">
        <f t="shared" si="65"/>
        <v>288.71999999999997</v>
      </c>
      <c r="M239" s="39"/>
      <c r="N239" s="39">
        <v>23</v>
      </c>
      <c r="O239" s="39"/>
      <c r="P239" s="39"/>
      <c r="Q239" s="39">
        <v>173</v>
      </c>
      <c r="R239" s="39">
        <f t="shared" si="66"/>
        <v>196</v>
      </c>
      <c r="S239" s="39">
        <f t="shared" si="67"/>
        <v>223.35999999999999</v>
      </c>
      <c r="T239" s="39"/>
      <c r="U239" s="39">
        <v>3</v>
      </c>
      <c r="V239" s="39">
        <v>1</v>
      </c>
      <c r="W239" s="39"/>
      <c r="X239" s="39">
        <v>68</v>
      </c>
      <c r="Y239" s="39">
        <f t="shared" si="68"/>
        <v>72</v>
      </c>
      <c r="Z239" s="39">
        <f t="shared" si="69"/>
        <v>193.17000000000002</v>
      </c>
      <c r="AA239" s="39">
        <f t="shared" si="70"/>
        <v>669</v>
      </c>
      <c r="AB239" s="39">
        <f t="shared" si="70"/>
        <v>705.25</v>
      </c>
      <c r="AC239" s="41">
        <f t="shared" si="73"/>
        <v>5883</v>
      </c>
      <c r="AD239" s="82">
        <f t="shared" si="74"/>
        <v>3935727</v>
      </c>
      <c r="AE239" s="82">
        <f t="shared" si="75"/>
        <v>4148985.75</v>
      </c>
      <c r="AF239" s="82">
        <f t="shared" si="76"/>
        <v>8084712.75</v>
      </c>
      <c r="AG239" s="39"/>
      <c r="AH239" s="39"/>
      <c r="AI239" s="79"/>
      <c r="AJ239" s="79"/>
      <c r="AK239" s="79"/>
      <c r="AL239" s="79"/>
      <c r="AM239" s="79"/>
      <c r="AN239" s="79"/>
      <c r="AO239" s="79"/>
      <c r="AP239" s="79"/>
      <c r="AQ239" s="3" t="s">
        <v>394</v>
      </c>
      <c r="AR239" s="3" t="s">
        <v>482</v>
      </c>
      <c r="AS239" s="3" t="s">
        <v>949</v>
      </c>
      <c r="AT239" s="49">
        <v>5883</v>
      </c>
      <c r="AU239" s="3" t="str">
        <f t="shared" si="71"/>
        <v>match</v>
      </c>
      <c r="AV239" s="3" t="str">
        <f t="shared" si="72"/>
        <v>match</v>
      </c>
    </row>
    <row r="240" spans="1:48" ht="12">
      <c r="A240" s="9" t="s">
        <v>394</v>
      </c>
      <c r="B240" s="10" t="s">
        <v>484</v>
      </c>
      <c r="C240" s="56" t="s">
        <v>485</v>
      </c>
      <c r="D240" s="56"/>
      <c r="E240" s="11">
        <v>78</v>
      </c>
      <c r="F240" s="11"/>
      <c r="G240" s="11"/>
      <c r="H240" s="11"/>
      <c r="I240" s="11"/>
      <c r="J240" s="11"/>
      <c r="K240" s="11">
        <f t="shared" si="64"/>
        <v>78</v>
      </c>
      <c r="L240" s="11">
        <f t="shared" si="65"/>
        <v>56.16</v>
      </c>
      <c r="M240" s="11"/>
      <c r="N240" s="11">
        <v>4</v>
      </c>
      <c r="O240" s="11"/>
      <c r="P240" s="11"/>
      <c r="Q240" s="11">
        <v>31</v>
      </c>
      <c r="R240" s="11">
        <f t="shared" si="66"/>
        <v>35</v>
      </c>
      <c r="S240" s="11">
        <f t="shared" si="67"/>
        <v>39.949999999999996</v>
      </c>
      <c r="T240" s="11"/>
      <c r="U240" s="11"/>
      <c r="V240" s="11"/>
      <c r="W240" s="11"/>
      <c r="X240" s="11">
        <v>17</v>
      </c>
      <c r="Y240" s="11">
        <f t="shared" si="68"/>
        <v>17</v>
      </c>
      <c r="Z240" s="11">
        <f t="shared" si="69"/>
        <v>46.580000000000005</v>
      </c>
      <c r="AA240" s="11">
        <f t="shared" si="70"/>
        <v>130</v>
      </c>
      <c r="AB240" s="11">
        <f t="shared" si="70"/>
        <v>142.69</v>
      </c>
      <c r="AC240" s="42">
        <f t="shared" si="73"/>
        <v>5949</v>
      </c>
      <c r="AD240" s="83">
        <f t="shared" si="74"/>
        <v>773370</v>
      </c>
      <c r="AE240" s="83">
        <f t="shared" si="75"/>
        <v>848862.80999999994</v>
      </c>
      <c r="AF240" s="83">
        <f t="shared" si="76"/>
        <v>1622232.81</v>
      </c>
      <c r="AG240" s="11"/>
      <c r="AH240" s="11"/>
      <c r="AI240" s="78"/>
      <c r="AJ240" s="78"/>
      <c r="AK240" s="78"/>
      <c r="AL240" s="78"/>
      <c r="AM240" s="78"/>
      <c r="AN240" s="78"/>
      <c r="AO240" s="78"/>
      <c r="AP240" s="78"/>
      <c r="AQ240" s="3" t="s">
        <v>394</v>
      </c>
      <c r="AR240" s="3" t="s">
        <v>484</v>
      </c>
      <c r="AS240" s="3" t="s">
        <v>950</v>
      </c>
      <c r="AT240" s="49">
        <v>5949</v>
      </c>
      <c r="AU240" s="3" t="str">
        <f t="shared" si="71"/>
        <v>match</v>
      </c>
      <c r="AV240" s="3" t="str">
        <f t="shared" si="72"/>
        <v>match</v>
      </c>
    </row>
    <row r="241" spans="1:48" ht="12">
      <c r="A241" s="9" t="s">
        <v>394</v>
      </c>
      <c r="B241" s="12" t="s">
        <v>486</v>
      </c>
      <c r="C241" s="13" t="s">
        <v>487</v>
      </c>
      <c r="D241" s="8"/>
      <c r="E241" s="39">
        <v>57</v>
      </c>
      <c r="F241" s="39"/>
      <c r="G241" s="39"/>
      <c r="H241" s="39"/>
      <c r="I241" s="39"/>
      <c r="J241" s="39"/>
      <c r="K241" s="39">
        <f t="shared" si="64"/>
        <v>57</v>
      </c>
      <c r="L241" s="39">
        <f t="shared" si="65"/>
        <v>41.04</v>
      </c>
      <c r="M241" s="39"/>
      <c r="N241" s="39">
        <v>6</v>
      </c>
      <c r="O241" s="39"/>
      <c r="P241" s="39"/>
      <c r="Q241" s="39">
        <v>11</v>
      </c>
      <c r="R241" s="39">
        <f t="shared" si="66"/>
        <v>17</v>
      </c>
      <c r="S241" s="39">
        <f t="shared" si="67"/>
        <v>16.97</v>
      </c>
      <c r="T241" s="39"/>
      <c r="U241" s="39"/>
      <c r="V241" s="39"/>
      <c r="W241" s="39"/>
      <c r="X241" s="39">
        <v>1</v>
      </c>
      <c r="Y241" s="39">
        <f t="shared" si="68"/>
        <v>1</v>
      </c>
      <c r="Z241" s="39">
        <f t="shared" si="69"/>
        <v>2.74</v>
      </c>
      <c r="AA241" s="39">
        <f t="shared" si="70"/>
        <v>75</v>
      </c>
      <c r="AB241" s="39">
        <f t="shared" si="70"/>
        <v>60.75</v>
      </c>
      <c r="AC241" s="41">
        <f t="shared" si="73"/>
        <v>5933</v>
      </c>
      <c r="AD241" s="82">
        <f t="shared" si="74"/>
        <v>444975</v>
      </c>
      <c r="AE241" s="82">
        <f t="shared" si="75"/>
        <v>360429.75</v>
      </c>
      <c r="AF241" s="82">
        <f t="shared" si="76"/>
        <v>805404.75</v>
      </c>
      <c r="AG241" s="39"/>
      <c r="AH241" s="39"/>
      <c r="AI241" s="79"/>
      <c r="AJ241" s="79"/>
      <c r="AK241" s="79"/>
      <c r="AL241" s="79"/>
      <c r="AM241" s="79"/>
      <c r="AN241" s="79"/>
      <c r="AO241" s="79"/>
      <c r="AP241" s="79"/>
      <c r="AQ241" s="3" t="s">
        <v>394</v>
      </c>
      <c r="AR241" s="3" t="s">
        <v>486</v>
      </c>
      <c r="AS241" s="3" t="s">
        <v>951</v>
      </c>
      <c r="AT241" s="49">
        <v>5933</v>
      </c>
      <c r="AU241" s="3" t="str">
        <f t="shared" si="71"/>
        <v>match</v>
      </c>
      <c r="AV241" s="3" t="str">
        <f t="shared" si="72"/>
        <v>match</v>
      </c>
    </row>
    <row r="242" spans="1:48" ht="12">
      <c r="A242" s="9" t="s">
        <v>394</v>
      </c>
      <c r="B242" s="10" t="s">
        <v>488</v>
      </c>
      <c r="C242" s="56" t="s">
        <v>489</v>
      </c>
      <c r="D242" s="56"/>
      <c r="E242" s="11">
        <v>34</v>
      </c>
      <c r="F242" s="11"/>
      <c r="G242" s="11"/>
      <c r="H242" s="11"/>
      <c r="I242" s="11"/>
      <c r="J242" s="11"/>
      <c r="K242" s="11">
        <f t="shared" si="64"/>
        <v>34</v>
      </c>
      <c r="L242" s="11">
        <f t="shared" si="65"/>
        <v>24.48</v>
      </c>
      <c r="M242" s="11"/>
      <c r="N242" s="11"/>
      <c r="O242" s="11">
        <v>2</v>
      </c>
      <c r="P242" s="11"/>
      <c r="Q242" s="11">
        <v>4</v>
      </c>
      <c r="R242" s="11">
        <f t="shared" si="66"/>
        <v>6</v>
      </c>
      <c r="S242" s="11">
        <f t="shared" si="67"/>
        <v>7.26</v>
      </c>
      <c r="T242" s="11"/>
      <c r="U242" s="11"/>
      <c r="V242" s="11"/>
      <c r="W242" s="11"/>
      <c r="X242" s="11">
        <v>2</v>
      </c>
      <c r="Y242" s="11">
        <f t="shared" si="68"/>
        <v>2</v>
      </c>
      <c r="Z242" s="11">
        <f t="shared" si="69"/>
        <v>5.48</v>
      </c>
      <c r="AA242" s="11">
        <f t="shared" si="70"/>
        <v>42</v>
      </c>
      <c r="AB242" s="11">
        <f t="shared" si="70"/>
        <v>37.22</v>
      </c>
      <c r="AC242" s="42">
        <f t="shared" si="73"/>
        <v>5883</v>
      </c>
      <c r="AD242" s="83">
        <f t="shared" si="74"/>
        <v>247086</v>
      </c>
      <c r="AE242" s="83">
        <f t="shared" si="75"/>
        <v>218965.25999999998</v>
      </c>
      <c r="AF242" s="83">
        <f t="shared" si="76"/>
        <v>466051.26</v>
      </c>
      <c r="AG242" s="11"/>
      <c r="AH242" s="11"/>
      <c r="AI242" s="78"/>
      <c r="AJ242" s="78"/>
      <c r="AK242" s="78"/>
      <c r="AL242" s="78"/>
      <c r="AM242" s="78"/>
      <c r="AN242" s="78"/>
      <c r="AO242" s="78"/>
      <c r="AP242" s="78"/>
      <c r="AQ242" s="3" t="s">
        <v>394</v>
      </c>
      <c r="AR242" s="3" t="s">
        <v>488</v>
      </c>
      <c r="AS242" s="3" t="s">
        <v>952</v>
      </c>
      <c r="AT242" s="49">
        <v>5883</v>
      </c>
      <c r="AU242" s="3" t="str">
        <f t="shared" si="71"/>
        <v>match</v>
      </c>
      <c r="AV242" s="3" t="str">
        <f t="shared" si="72"/>
        <v>match</v>
      </c>
    </row>
    <row r="243" spans="1:48" ht="12">
      <c r="A243" s="9" t="s">
        <v>394</v>
      </c>
      <c r="B243" s="12" t="s">
        <v>490</v>
      </c>
      <c r="C243" s="13" t="s">
        <v>491</v>
      </c>
      <c r="D243" s="8"/>
      <c r="E243" s="39">
        <v>253</v>
      </c>
      <c r="F243" s="39"/>
      <c r="G243" s="39"/>
      <c r="H243" s="39"/>
      <c r="I243" s="39"/>
      <c r="J243" s="39"/>
      <c r="K243" s="39">
        <f t="shared" si="64"/>
        <v>253</v>
      </c>
      <c r="L243" s="39">
        <f t="shared" si="65"/>
        <v>182.16</v>
      </c>
      <c r="M243" s="39"/>
      <c r="N243" s="39">
        <v>10</v>
      </c>
      <c r="O243" s="39">
        <v>9</v>
      </c>
      <c r="P243" s="39"/>
      <c r="Q243" s="39">
        <v>47</v>
      </c>
      <c r="R243" s="39">
        <f t="shared" si="66"/>
        <v>66</v>
      </c>
      <c r="S243" s="39">
        <f t="shared" si="67"/>
        <v>73.859999999999985</v>
      </c>
      <c r="T243" s="39"/>
      <c r="U243" s="39"/>
      <c r="V243" s="39"/>
      <c r="W243" s="39"/>
      <c r="X243" s="39">
        <v>20</v>
      </c>
      <c r="Y243" s="39">
        <f t="shared" si="68"/>
        <v>20</v>
      </c>
      <c r="Z243" s="39">
        <f t="shared" si="69"/>
        <v>54.800000000000004</v>
      </c>
      <c r="AA243" s="39">
        <f t="shared" si="70"/>
        <v>339</v>
      </c>
      <c r="AB243" s="39">
        <f t="shared" si="70"/>
        <v>310.82</v>
      </c>
      <c r="AC243" s="41">
        <f t="shared" si="73"/>
        <v>5883</v>
      </c>
      <c r="AD243" s="82">
        <f t="shared" si="74"/>
        <v>1994337</v>
      </c>
      <c r="AE243" s="82">
        <f t="shared" si="75"/>
        <v>1828554.06</v>
      </c>
      <c r="AF243" s="82">
        <f t="shared" si="76"/>
        <v>3822891.06</v>
      </c>
      <c r="AG243" s="39"/>
      <c r="AH243" s="39"/>
      <c r="AI243" s="79"/>
      <c r="AJ243" s="79"/>
      <c r="AK243" s="79"/>
      <c r="AL243" s="79"/>
      <c r="AM243" s="79"/>
      <c r="AN243" s="79"/>
      <c r="AO243" s="79"/>
      <c r="AP243" s="79"/>
      <c r="AQ243" s="3" t="s">
        <v>394</v>
      </c>
      <c r="AR243" s="3" t="s">
        <v>490</v>
      </c>
      <c r="AS243" s="3" t="s">
        <v>953</v>
      </c>
      <c r="AT243" s="49">
        <v>5883</v>
      </c>
      <c r="AU243" s="3" t="str">
        <f t="shared" si="71"/>
        <v>match</v>
      </c>
      <c r="AV243" s="3" t="str">
        <f t="shared" si="72"/>
        <v>match</v>
      </c>
    </row>
    <row r="244" spans="1:48" ht="12">
      <c r="A244" s="9" t="s">
        <v>394</v>
      </c>
      <c r="B244" s="10" t="s">
        <v>492</v>
      </c>
      <c r="C244" s="56" t="s">
        <v>493</v>
      </c>
      <c r="D244" s="56"/>
      <c r="E244" s="11">
        <v>31</v>
      </c>
      <c r="F244" s="11"/>
      <c r="G244" s="11"/>
      <c r="H244" s="11"/>
      <c r="I244" s="11"/>
      <c r="J244" s="11"/>
      <c r="K244" s="11">
        <f t="shared" si="64"/>
        <v>31</v>
      </c>
      <c r="L244" s="11">
        <f t="shared" si="65"/>
        <v>22.32</v>
      </c>
      <c r="M244" s="11"/>
      <c r="N244" s="11">
        <v>1</v>
      </c>
      <c r="O244" s="11"/>
      <c r="P244" s="11"/>
      <c r="Q244" s="11">
        <v>11</v>
      </c>
      <c r="R244" s="11">
        <f t="shared" si="66"/>
        <v>12</v>
      </c>
      <c r="S244" s="11">
        <f t="shared" si="67"/>
        <v>13.919999999999998</v>
      </c>
      <c r="T244" s="11"/>
      <c r="U244" s="11"/>
      <c r="V244" s="11"/>
      <c r="W244" s="11"/>
      <c r="X244" s="11">
        <v>3</v>
      </c>
      <c r="Y244" s="11">
        <f t="shared" si="68"/>
        <v>3</v>
      </c>
      <c r="Z244" s="11">
        <f t="shared" si="69"/>
        <v>8.2200000000000006</v>
      </c>
      <c r="AA244" s="11">
        <f t="shared" si="70"/>
        <v>46</v>
      </c>
      <c r="AB244" s="11">
        <f t="shared" si="70"/>
        <v>44.459999999999994</v>
      </c>
      <c r="AC244" s="42">
        <f t="shared" si="73"/>
        <v>5883</v>
      </c>
      <c r="AD244" s="83">
        <f t="shared" si="74"/>
        <v>270618</v>
      </c>
      <c r="AE244" s="83">
        <f t="shared" si="75"/>
        <v>261558.17999999996</v>
      </c>
      <c r="AF244" s="83">
        <f t="shared" si="76"/>
        <v>532176.17999999993</v>
      </c>
      <c r="AG244" s="11"/>
      <c r="AH244" s="11"/>
      <c r="AI244" s="78"/>
      <c r="AJ244" s="78"/>
      <c r="AK244" s="78"/>
      <c r="AL244" s="78"/>
      <c r="AM244" s="78"/>
      <c r="AN244" s="78"/>
      <c r="AO244" s="78"/>
      <c r="AP244" s="78"/>
      <c r="AQ244" s="3" t="s">
        <v>394</v>
      </c>
      <c r="AR244" s="3" t="s">
        <v>492</v>
      </c>
      <c r="AS244" s="3" t="s">
        <v>954</v>
      </c>
      <c r="AT244" s="49">
        <v>5883</v>
      </c>
      <c r="AU244" s="3" t="str">
        <f t="shared" si="71"/>
        <v>match</v>
      </c>
      <c r="AV244" s="3" t="str">
        <f t="shared" si="72"/>
        <v>match</v>
      </c>
    </row>
    <row r="245" spans="1:48" ht="12">
      <c r="A245" s="9" t="s">
        <v>394</v>
      </c>
      <c r="B245" s="12" t="s">
        <v>494</v>
      </c>
      <c r="C245" s="13" t="s">
        <v>495</v>
      </c>
      <c r="D245" s="8"/>
      <c r="E245" s="39">
        <v>341</v>
      </c>
      <c r="F245" s="39"/>
      <c r="G245" s="39"/>
      <c r="H245" s="39"/>
      <c r="I245" s="39"/>
      <c r="J245" s="39"/>
      <c r="K245" s="39">
        <f t="shared" si="64"/>
        <v>341</v>
      </c>
      <c r="L245" s="39">
        <f t="shared" si="65"/>
        <v>245.51999999999998</v>
      </c>
      <c r="M245" s="39"/>
      <c r="N245" s="39">
        <v>29</v>
      </c>
      <c r="O245" s="39"/>
      <c r="P245" s="39"/>
      <c r="Q245" s="39">
        <v>124</v>
      </c>
      <c r="R245" s="39">
        <f t="shared" si="66"/>
        <v>153</v>
      </c>
      <c r="S245" s="39">
        <f t="shared" si="67"/>
        <v>167.73</v>
      </c>
      <c r="T245" s="39"/>
      <c r="U245" s="39">
        <v>6</v>
      </c>
      <c r="V245" s="39"/>
      <c r="W245" s="39"/>
      <c r="X245" s="39">
        <v>41</v>
      </c>
      <c r="Y245" s="39">
        <f t="shared" si="68"/>
        <v>47</v>
      </c>
      <c r="Z245" s="39">
        <f t="shared" si="69"/>
        <v>120.56</v>
      </c>
      <c r="AA245" s="39">
        <f t="shared" si="70"/>
        <v>541</v>
      </c>
      <c r="AB245" s="39">
        <f t="shared" si="70"/>
        <v>533.80999999999995</v>
      </c>
      <c r="AC245" s="41">
        <f t="shared" si="73"/>
        <v>5883</v>
      </c>
      <c r="AD245" s="82">
        <f t="shared" si="74"/>
        <v>3182703</v>
      </c>
      <c r="AE245" s="82">
        <f t="shared" si="75"/>
        <v>3140404.2299999995</v>
      </c>
      <c r="AF245" s="82">
        <f t="shared" si="76"/>
        <v>6323107.2299999995</v>
      </c>
      <c r="AG245" s="39"/>
      <c r="AH245" s="39"/>
      <c r="AI245" s="79"/>
      <c r="AJ245" s="79"/>
      <c r="AK245" s="79"/>
      <c r="AL245" s="79"/>
      <c r="AM245" s="79"/>
      <c r="AN245" s="79"/>
      <c r="AO245" s="79"/>
      <c r="AP245" s="79"/>
      <c r="AQ245" s="3" t="s">
        <v>394</v>
      </c>
      <c r="AR245" s="3" t="s">
        <v>494</v>
      </c>
      <c r="AS245" s="3" t="s">
        <v>495</v>
      </c>
      <c r="AT245" s="49">
        <v>5883</v>
      </c>
      <c r="AU245" s="3" t="str">
        <f t="shared" si="71"/>
        <v>match</v>
      </c>
      <c r="AV245" s="3" t="str">
        <f t="shared" si="72"/>
        <v>match</v>
      </c>
    </row>
    <row r="246" spans="1:48" ht="12">
      <c r="A246" s="9" t="s">
        <v>394</v>
      </c>
      <c r="B246" s="10" t="s">
        <v>496</v>
      </c>
      <c r="C246" s="56" t="s">
        <v>497</v>
      </c>
      <c r="D246" s="56"/>
      <c r="E246" s="11">
        <v>512</v>
      </c>
      <c r="F246" s="11"/>
      <c r="G246" s="11"/>
      <c r="H246" s="11">
        <v>2</v>
      </c>
      <c r="I246" s="11"/>
      <c r="J246" s="11"/>
      <c r="K246" s="11">
        <f t="shared" si="64"/>
        <v>514</v>
      </c>
      <c r="L246" s="11">
        <f t="shared" si="65"/>
        <v>370.08</v>
      </c>
      <c r="M246" s="11"/>
      <c r="N246" s="11">
        <v>29</v>
      </c>
      <c r="O246" s="11">
        <v>19</v>
      </c>
      <c r="P246" s="11">
        <v>1</v>
      </c>
      <c r="Q246" s="11">
        <v>252</v>
      </c>
      <c r="R246" s="11">
        <f t="shared" si="66"/>
        <v>301</v>
      </c>
      <c r="S246" s="11">
        <f t="shared" si="67"/>
        <v>346.21</v>
      </c>
      <c r="T246" s="11">
        <v>2</v>
      </c>
      <c r="U246" s="11">
        <v>1</v>
      </c>
      <c r="V246" s="11"/>
      <c r="W246" s="11">
        <v>1</v>
      </c>
      <c r="X246" s="11">
        <v>68</v>
      </c>
      <c r="Y246" s="11">
        <f t="shared" si="68"/>
        <v>72</v>
      </c>
      <c r="Z246" s="11">
        <f t="shared" si="69"/>
        <v>194.54000000000002</v>
      </c>
      <c r="AA246" s="11">
        <f t="shared" si="70"/>
        <v>887</v>
      </c>
      <c r="AB246" s="11">
        <f t="shared" si="70"/>
        <v>910.82999999999993</v>
      </c>
      <c r="AC246" s="42">
        <f t="shared" si="73"/>
        <v>5883</v>
      </c>
      <c r="AD246" s="83">
        <f t="shared" si="74"/>
        <v>5218221</v>
      </c>
      <c r="AE246" s="83">
        <f t="shared" si="75"/>
        <v>5358412.8899999997</v>
      </c>
      <c r="AF246" s="83">
        <f t="shared" si="76"/>
        <v>10576633.890000001</v>
      </c>
      <c r="AG246" s="11"/>
      <c r="AH246" s="11"/>
      <c r="AI246" s="78"/>
      <c r="AJ246" s="78"/>
      <c r="AK246" s="78"/>
      <c r="AL246" s="78"/>
      <c r="AM246" s="78"/>
      <c r="AN246" s="78"/>
      <c r="AO246" s="78"/>
      <c r="AP246" s="78"/>
      <c r="AQ246" s="3" t="s">
        <v>394</v>
      </c>
      <c r="AR246" s="3" t="s">
        <v>496</v>
      </c>
      <c r="AS246" s="3" t="s">
        <v>955</v>
      </c>
      <c r="AT246" s="49">
        <v>5883</v>
      </c>
      <c r="AU246" s="3" t="str">
        <f t="shared" si="71"/>
        <v>match</v>
      </c>
      <c r="AV246" s="3" t="str">
        <f t="shared" si="72"/>
        <v>match</v>
      </c>
    </row>
    <row r="247" spans="1:48" ht="12">
      <c r="A247" s="9" t="s">
        <v>394</v>
      </c>
      <c r="B247" s="12" t="s">
        <v>498</v>
      </c>
      <c r="C247" s="13" t="s">
        <v>499</v>
      </c>
      <c r="D247" s="8"/>
      <c r="E247" s="39">
        <v>143</v>
      </c>
      <c r="F247" s="39"/>
      <c r="G247" s="39"/>
      <c r="H247" s="39"/>
      <c r="I247" s="39"/>
      <c r="J247" s="39"/>
      <c r="K247" s="39">
        <f t="shared" si="64"/>
        <v>143</v>
      </c>
      <c r="L247" s="39">
        <f t="shared" si="65"/>
        <v>102.96</v>
      </c>
      <c r="M247" s="39"/>
      <c r="N247" s="39">
        <v>15</v>
      </c>
      <c r="O247" s="39"/>
      <c r="P247" s="39"/>
      <c r="Q247" s="39">
        <v>53</v>
      </c>
      <c r="R247" s="39">
        <f t="shared" si="66"/>
        <v>68</v>
      </c>
      <c r="S247" s="39">
        <f t="shared" si="67"/>
        <v>73.28</v>
      </c>
      <c r="T247" s="39"/>
      <c r="U247" s="39"/>
      <c r="V247" s="39"/>
      <c r="W247" s="39"/>
      <c r="X247" s="39">
        <v>11</v>
      </c>
      <c r="Y247" s="39">
        <f t="shared" si="68"/>
        <v>11</v>
      </c>
      <c r="Z247" s="39">
        <f t="shared" si="69"/>
        <v>30.14</v>
      </c>
      <c r="AA247" s="39">
        <f t="shared" si="70"/>
        <v>222</v>
      </c>
      <c r="AB247" s="39">
        <f t="shared" si="70"/>
        <v>206.38</v>
      </c>
      <c r="AC247" s="41">
        <f t="shared" si="73"/>
        <v>5883</v>
      </c>
      <c r="AD247" s="82">
        <f t="shared" si="74"/>
        <v>1306026</v>
      </c>
      <c r="AE247" s="82">
        <f t="shared" si="75"/>
        <v>1214133.54</v>
      </c>
      <c r="AF247" s="82">
        <f t="shared" si="76"/>
        <v>2520159.54</v>
      </c>
      <c r="AG247" s="39"/>
      <c r="AH247" s="39"/>
      <c r="AI247" s="79"/>
      <c r="AJ247" s="79"/>
      <c r="AK247" s="79"/>
      <c r="AL247" s="79"/>
      <c r="AM247" s="79"/>
      <c r="AN247" s="79"/>
      <c r="AO247" s="79"/>
      <c r="AP247" s="79"/>
      <c r="AQ247" s="3" t="s">
        <v>394</v>
      </c>
      <c r="AR247" s="3" t="s">
        <v>498</v>
      </c>
      <c r="AS247" s="3" t="s">
        <v>956</v>
      </c>
      <c r="AT247" s="49">
        <v>5883</v>
      </c>
      <c r="AU247" s="3" t="str">
        <f t="shared" si="71"/>
        <v>match</v>
      </c>
      <c r="AV247" s="3" t="str">
        <f t="shared" si="72"/>
        <v>match</v>
      </c>
    </row>
    <row r="248" spans="1:48" ht="12.75" thickBot="1">
      <c r="A248" s="9" t="s">
        <v>394</v>
      </c>
      <c r="B248" s="10" t="s">
        <v>500</v>
      </c>
      <c r="C248" s="56" t="s">
        <v>501</v>
      </c>
      <c r="D248" s="56"/>
      <c r="E248" s="11">
        <v>32</v>
      </c>
      <c r="F248" s="11"/>
      <c r="G248" s="11"/>
      <c r="H248" s="11"/>
      <c r="I248" s="11"/>
      <c r="J248" s="11"/>
      <c r="K248" s="11">
        <f t="shared" si="64"/>
        <v>32</v>
      </c>
      <c r="L248" s="11">
        <f t="shared" si="65"/>
        <v>23.04</v>
      </c>
      <c r="M248" s="11"/>
      <c r="N248" s="11">
        <v>4</v>
      </c>
      <c r="O248" s="11"/>
      <c r="P248" s="11"/>
      <c r="Q248" s="11">
        <v>29</v>
      </c>
      <c r="R248" s="11">
        <f t="shared" si="66"/>
        <v>33</v>
      </c>
      <c r="S248" s="11">
        <f t="shared" si="67"/>
        <v>37.529999999999994</v>
      </c>
      <c r="T248" s="11"/>
      <c r="U248" s="11">
        <v>2</v>
      </c>
      <c r="V248" s="11"/>
      <c r="W248" s="11"/>
      <c r="X248" s="11">
        <v>6</v>
      </c>
      <c r="Y248" s="11">
        <f t="shared" si="68"/>
        <v>8</v>
      </c>
      <c r="Z248" s="11">
        <f t="shared" si="69"/>
        <v>19.18</v>
      </c>
      <c r="AA248" s="11">
        <f t="shared" si="70"/>
        <v>73</v>
      </c>
      <c r="AB248" s="11">
        <f t="shared" si="70"/>
        <v>79.75</v>
      </c>
      <c r="AC248" s="42">
        <f t="shared" si="73"/>
        <v>5975</v>
      </c>
      <c r="AD248" s="83">
        <f t="shared" si="74"/>
        <v>436175</v>
      </c>
      <c r="AE248" s="83">
        <f t="shared" si="75"/>
        <v>476506.25</v>
      </c>
      <c r="AF248" s="83">
        <f t="shared" si="76"/>
        <v>912681.25</v>
      </c>
      <c r="AG248" s="11"/>
      <c r="AH248" s="11"/>
      <c r="AI248" s="78"/>
      <c r="AJ248" s="78"/>
      <c r="AK248" s="78"/>
      <c r="AL248" s="78"/>
      <c r="AM248" s="78"/>
      <c r="AN248" s="78"/>
      <c r="AO248" s="78"/>
      <c r="AP248" s="78"/>
      <c r="AQ248" s="3" t="s">
        <v>394</v>
      </c>
      <c r="AR248" s="3" t="s">
        <v>500</v>
      </c>
      <c r="AS248" s="3" t="s">
        <v>957</v>
      </c>
      <c r="AT248" s="49">
        <v>5975</v>
      </c>
      <c r="AU248" s="3" t="str">
        <f t="shared" si="71"/>
        <v>match</v>
      </c>
      <c r="AV248" s="3" t="str">
        <f t="shared" si="72"/>
        <v>match</v>
      </c>
    </row>
    <row r="249" spans="1:48" ht="12.75" thickBot="1">
      <c r="A249" s="17" t="s">
        <v>394</v>
      </c>
      <c r="B249" s="17">
        <v>9211</v>
      </c>
      <c r="C249" s="18" t="s">
        <v>502</v>
      </c>
      <c r="D249" s="93"/>
      <c r="E249" s="19">
        <f>SUM(E195:E248)</f>
        <v>8713</v>
      </c>
      <c r="F249" s="19">
        <f t="shared" ref="F249:AB249" si="77">SUM(F195:F248)</f>
        <v>3</v>
      </c>
      <c r="G249" s="19">
        <f t="shared" si="77"/>
        <v>0</v>
      </c>
      <c r="H249" s="19">
        <f t="shared" si="77"/>
        <v>4</v>
      </c>
      <c r="I249" s="19">
        <f t="shared" si="77"/>
        <v>0</v>
      </c>
      <c r="J249" s="19">
        <f t="shared" si="77"/>
        <v>0</v>
      </c>
      <c r="K249" s="19">
        <f t="shared" si="77"/>
        <v>8720</v>
      </c>
      <c r="L249" s="19">
        <f t="shared" si="77"/>
        <v>6278.4</v>
      </c>
      <c r="M249" s="19">
        <f t="shared" si="77"/>
        <v>3</v>
      </c>
      <c r="N249" s="19">
        <f t="shared" si="77"/>
        <v>538</v>
      </c>
      <c r="O249" s="19">
        <f t="shared" si="77"/>
        <v>69</v>
      </c>
      <c r="P249" s="19">
        <f t="shared" si="77"/>
        <v>11</v>
      </c>
      <c r="Q249" s="19">
        <f t="shared" si="77"/>
        <v>3748</v>
      </c>
      <c r="R249" s="19">
        <f t="shared" si="77"/>
        <v>4369</v>
      </c>
      <c r="S249" s="19">
        <f t="shared" si="77"/>
        <v>4957.0899999999983</v>
      </c>
      <c r="T249" s="19">
        <f t="shared" si="77"/>
        <v>4</v>
      </c>
      <c r="U249" s="19">
        <f t="shared" si="77"/>
        <v>102</v>
      </c>
      <c r="V249" s="19">
        <f t="shared" si="77"/>
        <v>14</v>
      </c>
      <c r="W249" s="19">
        <f t="shared" si="77"/>
        <v>6</v>
      </c>
      <c r="X249" s="19">
        <f t="shared" si="77"/>
        <v>1600</v>
      </c>
      <c r="Y249" s="19">
        <f t="shared" si="77"/>
        <v>1726</v>
      </c>
      <c r="Z249" s="19">
        <f t="shared" si="77"/>
        <v>4581.28</v>
      </c>
      <c r="AA249" s="19">
        <f t="shared" si="77"/>
        <v>14815</v>
      </c>
      <c r="AB249" s="19">
        <f t="shared" si="77"/>
        <v>15816.769999999999</v>
      </c>
      <c r="AC249" s="50">
        <f t="shared" si="73"/>
        <v>0</v>
      </c>
      <c r="AD249" s="43">
        <f t="shared" ref="AD249" si="78">SUM(AD195:AD248)</f>
        <v>87599096</v>
      </c>
      <c r="AE249" s="43">
        <f t="shared" ref="AE249" si="79">SUM(AE195:AE248)</f>
        <v>93575888.790000036</v>
      </c>
      <c r="AF249" s="43">
        <f t="shared" ref="AF249" si="80">SUM(AF195:AF248)</f>
        <v>181174984.78999999</v>
      </c>
      <c r="AG249" s="19"/>
      <c r="AH249" s="19"/>
      <c r="AI249" s="80"/>
      <c r="AJ249" s="80"/>
      <c r="AK249" s="80"/>
      <c r="AL249" s="80"/>
      <c r="AM249" s="80"/>
      <c r="AN249" s="80"/>
      <c r="AO249" s="80"/>
      <c r="AP249" s="80"/>
      <c r="AS249" s="3" t="s">
        <v>502</v>
      </c>
      <c r="AT249" s="49"/>
      <c r="AU249" s="3" t="str">
        <f t="shared" si="71"/>
        <v>not</v>
      </c>
      <c r="AV249" s="3" t="str">
        <f t="shared" si="72"/>
        <v>match</v>
      </c>
    </row>
    <row r="250" spans="1:48" ht="12">
      <c r="A250" s="9" t="s">
        <v>503</v>
      </c>
      <c r="B250" s="12" t="s">
        <v>504</v>
      </c>
      <c r="C250" s="13" t="s">
        <v>1082</v>
      </c>
      <c r="D250" s="8"/>
      <c r="E250" s="39">
        <v>35</v>
      </c>
      <c r="F250" s="39"/>
      <c r="G250" s="39"/>
      <c r="H250" s="39"/>
      <c r="I250" s="39"/>
      <c r="J250" s="39"/>
      <c r="K250" s="39">
        <f t="shared" si="64"/>
        <v>35</v>
      </c>
      <c r="L250" s="39">
        <f t="shared" si="65"/>
        <v>25.2</v>
      </c>
      <c r="M250" s="39"/>
      <c r="N250" s="39">
        <v>1</v>
      </c>
      <c r="O250" s="39"/>
      <c r="P250" s="39"/>
      <c r="Q250" s="39">
        <v>12</v>
      </c>
      <c r="R250" s="39">
        <f t="shared" si="66"/>
        <v>13</v>
      </c>
      <c r="S250" s="39">
        <f t="shared" si="67"/>
        <v>15.129999999999999</v>
      </c>
      <c r="T250" s="39"/>
      <c r="U250" s="39"/>
      <c r="V250" s="39"/>
      <c r="W250" s="39"/>
      <c r="X250" s="39">
        <v>5</v>
      </c>
      <c r="Y250" s="39">
        <f t="shared" si="68"/>
        <v>5</v>
      </c>
      <c r="Z250" s="39">
        <f t="shared" si="69"/>
        <v>13.700000000000001</v>
      </c>
      <c r="AA250" s="39">
        <f t="shared" si="70"/>
        <v>53</v>
      </c>
      <c r="AB250" s="39">
        <f t="shared" si="70"/>
        <v>54.03</v>
      </c>
      <c r="AC250" s="41">
        <f t="shared" si="73"/>
        <v>5934</v>
      </c>
      <c r="AD250" s="82">
        <f t="shared" si="74"/>
        <v>314502</v>
      </c>
      <c r="AE250" s="82">
        <f t="shared" si="75"/>
        <v>320614.02</v>
      </c>
      <c r="AF250" s="82">
        <f t="shared" si="76"/>
        <v>635116.02</v>
      </c>
      <c r="AG250" s="39"/>
      <c r="AH250" s="39"/>
      <c r="AI250" s="79"/>
      <c r="AJ250" s="79"/>
      <c r="AK250" s="79"/>
      <c r="AL250" s="79"/>
      <c r="AM250" s="79"/>
      <c r="AN250" s="79"/>
      <c r="AO250" s="79"/>
      <c r="AP250" s="79"/>
      <c r="AQ250" s="3" t="s">
        <v>503</v>
      </c>
      <c r="AR250" s="3" t="s">
        <v>504</v>
      </c>
      <c r="AS250" s="3" t="s">
        <v>958</v>
      </c>
      <c r="AT250" s="49">
        <v>5934</v>
      </c>
      <c r="AU250" s="3" t="str">
        <f t="shared" si="71"/>
        <v>match</v>
      </c>
      <c r="AV250" s="3" t="str">
        <f t="shared" si="72"/>
        <v>match</v>
      </c>
    </row>
    <row r="251" spans="1:48" ht="12">
      <c r="A251" s="9" t="s">
        <v>503</v>
      </c>
      <c r="B251" s="10" t="s">
        <v>505</v>
      </c>
      <c r="C251" s="56" t="s">
        <v>506</v>
      </c>
      <c r="D251" s="56"/>
      <c r="E251" s="11">
        <v>15</v>
      </c>
      <c r="F251" s="11"/>
      <c r="G251" s="11"/>
      <c r="H251" s="11"/>
      <c r="I251" s="11"/>
      <c r="J251" s="11"/>
      <c r="K251" s="11">
        <f t="shared" si="64"/>
        <v>15</v>
      </c>
      <c r="L251" s="11">
        <f t="shared" si="65"/>
        <v>10.799999999999999</v>
      </c>
      <c r="M251" s="11"/>
      <c r="N251" s="11"/>
      <c r="O251" s="11">
        <v>1</v>
      </c>
      <c r="P251" s="11"/>
      <c r="Q251" s="11">
        <v>4</v>
      </c>
      <c r="R251" s="11">
        <f t="shared" si="66"/>
        <v>5</v>
      </c>
      <c r="S251" s="11">
        <f t="shared" si="67"/>
        <v>6.05</v>
      </c>
      <c r="T251" s="11"/>
      <c r="U251" s="11"/>
      <c r="V251" s="11">
        <v>2</v>
      </c>
      <c r="W251" s="11"/>
      <c r="X251" s="11">
        <v>6</v>
      </c>
      <c r="Y251" s="11">
        <f t="shared" si="68"/>
        <v>8</v>
      </c>
      <c r="Z251" s="11">
        <f t="shared" si="69"/>
        <v>21.92</v>
      </c>
      <c r="AA251" s="11">
        <f t="shared" si="70"/>
        <v>28</v>
      </c>
      <c r="AB251" s="11">
        <f t="shared" si="70"/>
        <v>38.769999999999996</v>
      </c>
      <c r="AC251" s="42">
        <f t="shared" si="73"/>
        <v>5953</v>
      </c>
      <c r="AD251" s="83">
        <f t="shared" si="74"/>
        <v>166684</v>
      </c>
      <c r="AE251" s="83">
        <f t="shared" si="75"/>
        <v>230797.80999999997</v>
      </c>
      <c r="AF251" s="83">
        <f t="shared" si="76"/>
        <v>397481.80999999994</v>
      </c>
      <c r="AG251" s="11"/>
      <c r="AH251" s="11"/>
      <c r="AI251" s="78"/>
      <c r="AJ251" s="78"/>
      <c r="AK251" s="78"/>
      <c r="AL251" s="78"/>
      <c r="AM251" s="78"/>
      <c r="AN251" s="78"/>
      <c r="AO251" s="78"/>
      <c r="AP251" s="78"/>
      <c r="AQ251" s="3" t="s">
        <v>503</v>
      </c>
      <c r="AR251" s="3" t="s">
        <v>505</v>
      </c>
      <c r="AS251" s="3" t="s">
        <v>959</v>
      </c>
      <c r="AT251" s="49">
        <v>5953</v>
      </c>
      <c r="AU251" s="3" t="str">
        <f t="shared" si="71"/>
        <v>match</v>
      </c>
      <c r="AV251" s="3" t="str">
        <f t="shared" si="72"/>
        <v>match</v>
      </c>
    </row>
    <row r="252" spans="1:48" ht="12">
      <c r="A252" s="9" t="s">
        <v>503</v>
      </c>
      <c r="B252" s="12" t="s">
        <v>507</v>
      </c>
      <c r="C252" s="13" t="s">
        <v>508</v>
      </c>
      <c r="D252" s="8"/>
      <c r="E252" s="39">
        <v>18</v>
      </c>
      <c r="F252" s="39">
        <v>1</v>
      </c>
      <c r="G252" s="39"/>
      <c r="H252" s="39"/>
      <c r="I252" s="39"/>
      <c r="J252" s="39"/>
      <c r="K252" s="39">
        <f t="shared" si="64"/>
        <v>19</v>
      </c>
      <c r="L252" s="39">
        <f t="shared" si="65"/>
        <v>13.68</v>
      </c>
      <c r="M252" s="39"/>
      <c r="N252" s="39"/>
      <c r="O252" s="39"/>
      <c r="P252" s="39"/>
      <c r="Q252" s="39">
        <v>9</v>
      </c>
      <c r="R252" s="39">
        <f t="shared" si="66"/>
        <v>9</v>
      </c>
      <c r="S252" s="39">
        <f t="shared" si="67"/>
        <v>10.89</v>
      </c>
      <c r="T252" s="39"/>
      <c r="U252" s="39"/>
      <c r="V252" s="39"/>
      <c r="W252" s="39"/>
      <c r="X252" s="39">
        <v>2</v>
      </c>
      <c r="Y252" s="39">
        <f t="shared" si="68"/>
        <v>2</v>
      </c>
      <c r="Z252" s="39">
        <f t="shared" si="69"/>
        <v>5.48</v>
      </c>
      <c r="AA252" s="39">
        <f t="shared" si="70"/>
        <v>30</v>
      </c>
      <c r="AB252" s="39">
        <f t="shared" si="70"/>
        <v>30.05</v>
      </c>
      <c r="AC252" s="41">
        <f t="shared" si="73"/>
        <v>5883</v>
      </c>
      <c r="AD252" s="82">
        <f t="shared" si="74"/>
        <v>176490</v>
      </c>
      <c r="AE252" s="82">
        <f t="shared" si="75"/>
        <v>176784.15</v>
      </c>
      <c r="AF252" s="82">
        <f t="shared" si="76"/>
        <v>353274.15</v>
      </c>
      <c r="AG252" s="39"/>
      <c r="AH252" s="39"/>
      <c r="AI252" s="79"/>
      <c r="AJ252" s="79"/>
      <c r="AK252" s="79"/>
      <c r="AL252" s="79"/>
      <c r="AM252" s="79"/>
      <c r="AN252" s="79"/>
      <c r="AO252" s="79"/>
      <c r="AP252" s="79"/>
      <c r="AQ252" s="3" t="s">
        <v>503</v>
      </c>
      <c r="AR252" s="3" t="s">
        <v>507</v>
      </c>
      <c r="AS252" s="3" t="s">
        <v>960</v>
      </c>
      <c r="AT252" s="49">
        <v>5883</v>
      </c>
      <c r="AU252" s="3" t="str">
        <f t="shared" si="71"/>
        <v>match</v>
      </c>
      <c r="AV252" s="3" t="str">
        <f t="shared" si="72"/>
        <v>match</v>
      </c>
    </row>
    <row r="253" spans="1:48" ht="12">
      <c r="A253" s="9" t="s">
        <v>503</v>
      </c>
      <c r="B253" s="10" t="s">
        <v>509</v>
      </c>
      <c r="C253" s="56" t="s">
        <v>510</v>
      </c>
      <c r="D253" s="56"/>
      <c r="E253" s="11">
        <v>28</v>
      </c>
      <c r="F253" s="11"/>
      <c r="G253" s="11"/>
      <c r="H253" s="11">
        <v>1</v>
      </c>
      <c r="I253" s="11"/>
      <c r="J253" s="11"/>
      <c r="K253" s="11">
        <f t="shared" si="64"/>
        <v>29</v>
      </c>
      <c r="L253" s="11">
        <f t="shared" si="65"/>
        <v>20.88</v>
      </c>
      <c r="M253" s="11"/>
      <c r="N253" s="11"/>
      <c r="O253" s="11">
        <v>1</v>
      </c>
      <c r="P253" s="11"/>
      <c r="Q253" s="11">
        <v>2</v>
      </c>
      <c r="R253" s="11">
        <f t="shared" si="66"/>
        <v>3</v>
      </c>
      <c r="S253" s="11">
        <f t="shared" si="67"/>
        <v>3.63</v>
      </c>
      <c r="T253" s="11"/>
      <c r="U253" s="11"/>
      <c r="V253" s="11"/>
      <c r="W253" s="11"/>
      <c r="X253" s="11">
        <v>2</v>
      </c>
      <c r="Y253" s="11">
        <f t="shared" si="68"/>
        <v>2</v>
      </c>
      <c r="Z253" s="11">
        <f t="shared" si="69"/>
        <v>5.48</v>
      </c>
      <c r="AA253" s="11">
        <f t="shared" si="70"/>
        <v>34</v>
      </c>
      <c r="AB253" s="11">
        <f t="shared" si="70"/>
        <v>29.99</v>
      </c>
      <c r="AC253" s="42">
        <f t="shared" si="73"/>
        <v>5950</v>
      </c>
      <c r="AD253" s="83">
        <f t="shared" si="74"/>
        <v>202300</v>
      </c>
      <c r="AE253" s="83">
        <f t="shared" si="75"/>
        <v>178440.5</v>
      </c>
      <c r="AF253" s="83">
        <f t="shared" si="76"/>
        <v>380740.5</v>
      </c>
      <c r="AG253" s="11"/>
      <c r="AH253" s="11"/>
      <c r="AI253" s="78"/>
      <c r="AJ253" s="78"/>
      <c r="AK253" s="78"/>
      <c r="AL253" s="78"/>
      <c r="AM253" s="78"/>
      <c r="AN253" s="78"/>
      <c r="AO253" s="78"/>
      <c r="AP253" s="78"/>
      <c r="AQ253" s="3" t="s">
        <v>503</v>
      </c>
      <c r="AR253" s="3" t="s">
        <v>509</v>
      </c>
      <c r="AS253" s="3" t="s">
        <v>961</v>
      </c>
      <c r="AT253" s="49">
        <v>5950</v>
      </c>
      <c r="AU253" s="3" t="str">
        <f t="shared" si="71"/>
        <v>match</v>
      </c>
      <c r="AV253" s="3" t="str">
        <f t="shared" si="72"/>
        <v>match</v>
      </c>
    </row>
    <row r="254" spans="1:48" ht="12">
      <c r="A254" s="9" t="s">
        <v>503</v>
      </c>
      <c r="B254" s="12" t="s">
        <v>511</v>
      </c>
      <c r="C254" s="13" t="s">
        <v>512</v>
      </c>
      <c r="D254" s="8"/>
      <c r="E254" s="39">
        <v>59</v>
      </c>
      <c r="F254" s="39"/>
      <c r="G254" s="39"/>
      <c r="H254" s="39"/>
      <c r="I254" s="39"/>
      <c r="J254" s="39"/>
      <c r="K254" s="39">
        <f t="shared" si="64"/>
        <v>59</v>
      </c>
      <c r="L254" s="39">
        <f t="shared" si="65"/>
        <v>42.48</v>
      </c>
      <c r="M254" s="39"/>
      <c r="N254" s="39">
        <v>1</v>
      </c>
      <c r="O254" s="39">
        <v>3</v>
      </c>
      <c r="P254" s="39"/>
      <c r="Q254" s="39">
        <v>24</v>
      </c>
      <c r="R254" s="39">
        <f t="shared" si="66"/>
        <v>28</v>
      </c>
      <c r="S254" s="39">
        <f t="shared" si="67"/>
        <v>33.28</v>
      </c>
      <c r="T254" s="39"/>
      <c r="U254" s="39"/>
      <c r="V254" s="39">
        <v>1</v>
      </c>
      <c r="W254" s="39"/>
      <c r="X254" s="39">
        <v>6</v>
      </c>
      <c r="Y254" s="39">
        <f t="shared" si="68"/>
        <v>7</v>
      </c>
      <c r="Z254" s="39">
        <f t="shared" si="69"/>
        <v>19.18</v>
      </c>
      <c r="AA254" s="39">
        <f t="shared" si="70"/>
        <v>94</v>
      </c>
      <c r="AB254" s="39">
        <f t="shared" si="70"/>
        <v>94.94</v>
      </c>
      <c r="AC254" s="41">
        <f t="shared" si="73"/>
        <v>5883</v>
      </c>
      <c r="AD254" s="82">
        <f t="shared" si="74"/>
        <v>553002</v>
      </c>
      <c r="AE254" s="82">
        <f t="shared" si="75"/>
        <v>558532.02</v>
      </c>
      <c r="AF254" s="82">
        <f t="shared" si="76"/>
        <v>1111534.02</v>
      </c>
      <c r="AG254" s="39"/>
      <c r="AH254" s="39"/>
      <c r="AI254" s="79"/>
      <c r="AJ254" s="79"/>
      <c r="AK254" s="79"/>
      <c r="AL254" s="79"/>
      <c r="AM254" s="79"/>
      <c r="AN254" s="79"/>
      <c r="AO254" s="79"/>
      <c r="AP254" s="79"/>
      <c r="AQ254" s="3" t="s">
        <v>503</v>
      </c>
      <c r="AR254" s="3" t="s">
        <v>511</v>
      </c>
      <c r="AS254" s="3" t="s">
        <v>962</v>
      </c>
      <c r="AT254" s="49">
        <v>5883</v>
      </c>
      <c r="AU254" s="3" t="str">
        <f t="shared" si="71"/>
        <v>match</v>
      </c>
      <c r="AV254" s="3" t="str">
        <f t="shared" si="72"/>
        <v>match</v>
      </c>
    </row>
    <row r="255" spans="1:48" ht="12">
      <c r="A255" s="9" t="s">
        <v>503</v>
      </c>
      <c r="B255" s="10" t="s">
        <v>513</v>
      </c>
      <c r="C255" s="56" t="s">
        <v>514</v>
      </c>
      <c r="D255" s="56"/>
      <c r="E255" s="11">
        <v>47</v>
      </c>
      <c r="F255" s="11">
        <v>1</v>
      </c>
      <c r="G255" s="11"/>
      <c r="H255" s="11">
        <v>1</v>
      </c>
      <c r="I255" s="11"/>
      <c r="J255" s="11"/>
      <c r="K255" s="11">
        <f t="shared" si="64"/>
        <v>49</v>
      </c>
      <c r="L255" s="11">
        <f t="shared" si="65"/>
        <v>35.28</v>
      </c>
      <c r="M255" s="11"/>
      <c r="N255" s="11">
        <v>6</v>
      </c>
      <c r="O255" s="11"/>
      <c r="P255" s="11"/>
      <c r="Q255" s="11">
        <v>5</v>
      </c>
      <c r="R255" s="11">
        <f t="shared" si="66"/>
        <v>11</v>
      </c>
      <c r="S255" s="11">
        <f t="shared" si="67"/>
        <v>9.7100000000000009</v>
      </c>
      <c r="T255" s="11"/>
      <c r="U255" s="11">
        <v>1</v>
      </c>
      <c r="V255" s="11"/>
      <c r="W255" s="11"/>
      <c r="X255" s="11">
        <v>9</v>
      </c>
      <c r="Y255" s="11">
        <f t="shared" si="68"/>
        <v>10</v>
      </c>
      <c r="Z255" s="11">
        <f t="shared" si="69"/>
        <v>26.030000000000005</v>
      </c>
      <c r="AA255" s="11">
        <f t="shared" si="70"/>
        <v>70</v>
      </c>
      <c r="AB255" s="11">
        <f t="shared" si="70"/>
        <v>71.02000000000001</v>
      </c>
      <c r="AC255" s="42">
        <f t="shared" si="73"/>
        <v>5883</v>
      </c>
      <c r="AD255" s="83">
        <f t="shared" si="74"/>
        <v>411810</v>
      </c>
      <c r="AE255" s="83">
        <f t="shared" si="75"/>
        <v>417810.66000000003</v>
      </c>
      <c r="AF255" s="83">
        <f t="shared" si="76"/>
        <v>829620.66</v>
      </c>
      <c r="AG255" s="11"/>
      <c r="AH255" s="11"/>
      <c r="AI255" s="78"/>
      <c r="AJ255" s="78"/>
      <c r="AK255" s="78"/>
      <c r="AL255" s="78"/>
      <c r="AM255" s="78"/>
      <c r="AN255" s="78"/>
      <c r="AO255" s="78"/>
      <c r="AP255" s="78"/>
      <c r="AQ255" s="3" t="s">
        <v>503</v>
      </c>
      <c r="AR255" s="3" t="s">
        <v>513</v>
      </c>
      <c r="AS255" s="3" t="s">
        <v>963</v>
      </c>
      <c r="AT255" s="49">
        <v>5883</v>
      </c>
      <c r="AU255" s="3" t="str">
        <f t="shared" si="71"/>
        <v>match</v>
      </c>
      <c r="AV255" s="3" t="str">
        <f t="shared" si="72"/>
        <v>match</v>
      </c>
    </row>
    <row r="256" spans="1:48" ht="12">
      <c r="A256" s="9" t="s">
        <v>503</v>
      </c>
      <c r="B256" s="12" t="s">
        <v>515</v>
      </c>
      <c r="C256" s="13" t="s">
        <v>516</v>
      </c>
      <c r="D256" s="8"/>
      <c r="E256" s="39">
        <v>37</v>
      </c>
      <c r="F256" s="39"/>
      <c r="G256" s="39"/>
      <c r="H256" s="39"/>
      <c r="I256" s="39"/>
      <c r="J256" s="39"/>
      <c r="K256" s="39">
        <f t="shared" si="64"/>
        <v>37</v>
      </c>
      <c r="L256" s="39">
        <f t="shared" si="65"/>
        <v>26.64</v>
      </c>
      <c r="M256" s="39"/>
      <c r="N256" s="39"/>
      <c r="O256" s="39">
        <v>1</v>
      </c>
      <c r="P256" s="39"/>
      <c r="Q256" s="39">
        <v>17</v>
      </c>
      <c r="R256" s="39">
        <f t="shared" si="66"/>
        <v>18</v>
      </c>
      <c r="S256" s="39">
        <f t="shared" si="67"/>
        <v>21.78</v>
      </c>
      <c r="T256" s="39"/>
      <c r="U256" s="39"/>
      <c r="V256" s="39">
        <v>3</v>
      </c>
      <c r="W256" s="39"/>
      <c r="X256" s="39">
        <v>12</v>
      </c>
      <c r="Y256" s="39">
        <f t="shared" si="68"/>
        <v>15</v>
      </c>
      <c r="Z256" s="39">
        <f t="shared" si="69"/>
        <v>41.1</v>
      </c>
      <c r="AA256" s="39">
        <f t="shared" si="70"/>
        <v>70</v>
      </c>
      <c r="AB256" s="39">
        <f t="shared" si="70"/>
        <v>89.52000000000001</v>
      </c>
      <c r="AC256" s="41">
        <f t="shared" si="73"/>
        <v>5883</v>
      </c>
      <c r="AD256" s="82">
        <f t="shared" si="74"/>
        <v>411810</v>
      </c>
      <c r="AE256" s="82">
        <f t="shared" si="75"/>
        <v>526646.16</v>
      </c>
      <c r="AF256" s="82">
        <f t="shared" si="76"/>
        <v>938456.16</v>
      </c>
      <c r="AG256" s="39"/>
      <c r="AH256" s="39"/>
      <c r="AI256" s="79"/>
      <c r="AJ256" s="79"/>
      <c r="AK256" s="79"/>
      <c r="AL256" s="79"/>
      <c r="AM256" s="79"/>
      <c r="AN256" s="79"/>
      <c r="AO256" s="79"/>
      <c r="AP256" s="79"/>
      <c r="AQ256" s="3" t="s">
        <v>503</v>
      </c>
      <c r="AR256" s="3" t="s">
        <v>515</v>
      </c>
      <c r="AS256" s="3" t="s">
        <v>964</v>
      </c>
      <c r="AT256" s="49">
        <v>5883</v>
      </c>
      <c r="AU256" s="3" t="str">
        <f t="shared" si="71"/>
        <v>match</v>
      </c>
      <c r="AV256" s="3" t="str">
        <f t="shared" si="72"/>
        <v>match</v>
      </c>
    </row>
    <row r="257" spans="1:48" ht="12">
      <c r="A257" s="9" t="s">
        <v>503</v>
      </c>
      <c r="B257" s="10" t="s">
        <v>517</v>
      </c>
      <c r="C257" s="56" t="s">
        <v>518</v>
      </c>
      <c r="D257" s="56"/>
      <c r="E257" s="11">
        <v>25</v>
      </c>
      <c r="F257" s="11"/>
      <c r="G257" s="11"/>
      <c r="H257" s="11"/>
      <c r="I257" s="11"/>
      <c r="J257" s="11"/>
      <c r="K257" s="11">
        <f t="shared" si="64"/>
        <v>25</v>
      </c>
      <c r="L257" s="11">
        <f t="shared" si="65"/>
        <v>18</v>
      </c>
      <c r="M257" s="11"/>
      <c r="N257" s="11"/>
      <c r="O257" s="11">
        <v>4</v>
      </c>
      <c r="P257" s="11"/>
      <c r="Q257" s="11">
        <v>10</v>
      </c>
      <c r="R257" s="11">
        <f t="shared" si="66"/>
        <v>14</v>
      </c>
      <c r="S257" s="11">
        <f t="shared" si="67"/>
        <v>16.939999999999998</v>
      </c>
      <c r="T257" s="11"/>
      <c r="U257" s="11"/>
      <c r="V257" s="11"/>
      <c r="W257" s="11"/>
      <c r="X257" s="11">
        <v>5</v>
      </c>
      <c r="Y257" s="11">
        <f t="shared" si="68"/>
        <v>5</v>
      </c>
      <c r="Z257" s="11">
        <f t="shared" si="69"/>
        <v>13.700000000000001</v>
      </c>
      <c r="AA257" s="11">
        <f t="shared" si="70"/>
        <v>44</v>
      </c>
      <c r="AB257" s="11">
        <f t="shared" si="70"/>
        <v>48.64</v>
      </c>
      <c r="AC257" s="42">
        <f t="shared" si="73"/>
        <v>5900</v>
      </c>
      <c r="AD257" s="83">
        <f t="shared" si="74"/>
        <v>259600</v>
      </c>
      <c r="AE257" s="83">
        <f t="shared" si="75"/>
        <v>286976</v>
      </c>
      <c r="AF257" s="83">
        <f t="shared" si="76"/>
        <v>546576</v>
      </c>
      <c r="AG257" s="11"/>
      <c r="AH257" s="11"/>
      <c r="AI257" s="78"/>
      <c r="AJ257" s="78"/>
      <c r="AK257" s="78"/>
      <c r="AL257" s="78"/>
      <c r="AM257" s="78"/>
      <c r="AN257" s="78"/>
      <c r="AO257" s="78"/>
      <c r="AP257" s="78"/>
      <c r="AQ257" s="3" t="s">
        <v>503</v>
      </c>
      <c r="AR257" s="3" t="s">
        <v>517</v>
      </c>
      <c r="AS257" s="3" t="s">
        <v>965</v>
      </c>
      <c r="AT257" s="49">
        <v>5900</v>
      </c>
      <c r="AU257" s="3" t="str">
        <f t="shared" si="71"/>
        <v>match</v>
      </c>
      <c r="AV257" s="3" t="str">
        <f t="shared" si="72"/>
        <v>match</v>
      </c>
    </row>
    <row r="258" spans="1:48" ht="12">
      <c r="A258" s="9" t="s">
        <v>503</v>
      </c>
      <c r="B258" s="12" t="s">
        <v>519</v>
      </c>
      <c r="C258" s="13" t="s">
        <v>520</v>
      </c>
      <c r="D258" s="8"/>
      <c r="E258" s="39">
        <v>103</v>
      </c>
      <c r="F258" s="39">
        <v>1</v>
      </c>
      <c r="G258" s="39"/>
      <c r="H258" s="39"/>
      <c r="I258" s="39"/>
      <c r="J258" s="39"/>
      <c r="K258" s="39">
        <f t="shared" si="64"/>
        <v>104</v>
      </c>
      <c r="L258" s="39">
        <f t="shared" si="65"/>
        <v>74.88</v>
      </c>
      <c r="M258" s="39"/>
      <c r="N258" s="39"/>
      <c r="O258" s="39">
        <v>3</v>
      </c>
      <c r="P258" s="39"/>
      <c r="Q258" s="39">
        <v>34</v>
      </c>
      <c r="R258" s="39">
        <f t="shared" si="66"/>
        <v>37</v>
      </c>
      <c r="S258" s="39">
        <f t="shared" si="67"/>
        <v>44.769999999999996</v>
      </c>
      <c r="T258" s="39"/>
      <c r="U258" s="39"/>
      <c r="V258" s="39"/>
      <c r="W258" s="39"/>
      <c r="X258" s="39">
        <v>11</v>
      </c>
      <c r="Y258" s="39">
        <f t="shared" si="68"/>
        <v>11</v>
      </c>
      <c r="Z258" s="39">
        <f t="shared" si="69"/>
        <v>30.14</v>
      </c>
      <c r="AA258" s="39">
        <f t="shared" si="70"/>
        <v>152</v>
      </c>
      <c r="AB258" s="39">
        <f t="shared" si="70"/>
        <v>149.79</v>
      </c>
      <c r="AC258" s="41">
        <f t="shared" si="73"/>
        <v>5934</v>
      </c>
      <c r="AD258" s="82">
        <f t="shared" si="74"/>
        <v>901968</v>
      </c>
      <c r="AE258" s="82">
        <f t="shared" si="75"/>
        <v>888853.86</v>
      </c>
      <c r="AF258" s="82">
        <f t="shared" si="76"/>
        <v>1790821.8599999999</v>
      </c>
      <c r="AG258" s="39"/>
      <c r="AH258" s="39"/>
      <c r="AI258" s="79"/>
      <c r="AJ258" s="79"/>
      <c r="AK258" s="79"/>
      <c r="AL258" s="79"/>
      <c r="AM258" s="79"/>
      <c r="AN258" s="79"/>
      <c r="AO258" s="79"/>
      <c r="AP258" s="79"/>
      <c r="AQ258" s="3" t="s">
        <v>503</v>
      </c>
      <c r="AR258" s="3" t="s">
        <v>519</v>
      </c>
      <c r="AS258" s="3" t="s">
        <v>966</v>
      </c>
      <c r="AT258" s="49">
        <v>5934</v>
      </c>
      <c r="AU258" s="3" t="str">
        <f t="shared" si="71"/>
        <v>match</v>
      </c>
      <c r="AV258" s="3" t="str">
        <f t="shared" si="72"/>
        <v>match</v>
      </c>
    </row>
    <row r="259" spans="1:48" ht="12">
      <c r="A259" s="9" t="s">
        <v>503</v>
      </c>
      <c r="B259" s="10" t="s">
        <v>521</v>
      </c>
      <c r="C259" s="56" t="s">
        <v>522</v>
      </c>
      <c r="D259" s="56"/>
      <c r="E259" s="11">
        <v>102</v>
      </c>
      <c r="F259" s="11"/>
      <c r="G259" s="11"/>
      <c r="H259" s="11"/>
      <c r="I259" s="11"/>
      <c r="J259" s="11"/>
      <c r="K259" s="11">
        <f t="shared" si="64"/>
        <v>102</v>
      </c>
      <c r="L259" s="11">
        <f t="shared" si="65"/>
        <v>73.44</v>
      </c>
      <c r="M259" s="11"/>
      <c r="N259" s="11"/>
      <c r="O259" s="11">
        <v>14</v>
      </c>
      <c r="P259" s="11"/>
      <c r="Q259" s="11">
        <v>59</v>
      </c>
      <c r="R259" s="11">
        <f t="shared" si="66"/>
        <v>73</v>
      </c>
      <c r="S259" s="11">
        <f t="shared" si="67"/>
        <v>88.33</v>
      </c>
      <c r="T259" s="11"/>
      <c r="U259" s="11"/>
      <c r="V259" s="11">
        <v>7</v>
      </c>
      <c r="W259" s="11"/>
      <c r="X259" s="11">
        <v>36</v>
      </c>
      <c r="Y259" s="11">
        <f t="shared" si="68"/>
        <v>43</v>
      </c>
      <c r="Z259" s="11">
        <f t="shared" si="69"/>
        <v>117.82000000000001</v>
      </c>
      <c r="AA259" s="11">
        <f t="shared" si="70"/>
        <v>218</v>
      </c>
      <c r="AB259" s="11">
        <f t="shared" si="70"/>
        <v>279.58999999999997</v>
      </c>
      <c r="AC259" s="42">
        <f t="shared" si="73"/>
        <v>5883</v>
      </c>
      <c r="AD259" s="83">
        <f t="shared" si="74"/>
        <v>1282494</v>
      </c>
      <c r="AE259" s="83">
        <f t="shared" si="75"/>
        <v>1644827.9699999997</v>
      </c>
      <c r="AF259" s="83">
        <f t="shared" si="76"/>
        <v>2927321.9699999997</v>
      </c>
      <c r="AG259" s="11"/>
      <c r="AH259" s="11"/>
      <c r="AI259" s="78"/>
      <c r="AJ259" s="78"/>
      <c r="AK259" s="78"/>
      <c r="AL259" s="78"/>
      <c r="AM259" s="78"/>
      <c r="AN259" s="78"/>
      <c r="AO259" s="78"/>
      <c r="AP259" s="78"/>
      <c r="AQ259" s="3" t="s">
        <v>503</v>
      </c>
      <c r="AR259" s="3" t="s">
        <v>521</v>
      </c>
      <c r="AS259" s="3" t="s">
        <v>967</v>
      </c>
      <c r="AT259" s="49">
        <v>5883</v>
      </c>
      <c r="AU259" s="3" t="str">
        <f t="shared" si="71"/>
        <v>match</v>
      </c>
      <c r="AV259" s="3" t="str">
        <f t="shared" si="72"/>
        <v>match</v>
      </c>
    </row>
    <row r="260" spans="1:48" ht="12">
      <c r="A260" s="9" t="s">
        <v>503</v>
      </c>
      <c r="B260" s="12" t="s">
        <v>523</v>
      </c>
      <c r="C260" s="13" t="s">
        <v>524</v>
      </c>
      <c r="D260" s="8"/>
      <c r="E260" s="39">
        <v>43</v>
      </c>
      <c r="F260" s="39"/>
      <c r="G260" s="39"/>
      <c r="H260" s="39"/>
      <c r="I260" s="39"/>
      <c r="J260" s="39"/>
      <c r="K260" s="39">
        <f t="shared" si="64"/>
        <v>43</v>
      </c>
      <c r="L260" s="39">
        <f t="shared" si="65"/>
        <v>30.959999999999997</v>
      </c>
      <c r="M260" s="39"/>
      <c r="N260" s="39">
        <v>1</v>
      </c>
      <c r="O260" s="39">
        <v>1</v>
      </c>
      <c r="P260" s="39"/>
      <c r="Q260" s="39">
        <v>6</v>
      </c>
      <c r="R260" s="39">
        <f t="shared" si="66"/>
        <v>8</v>
      </c>
      <c r="S260" s="39">
        <f t="shared" si="67"/>
        <v>9.0799999999999983</v>
      </c>
      <c r="T260" s="39"/>
      <c r="U260" s="39"/>
      <c r="V260" s="39">
        <v>1</v>
      </c>
      <c r="W260" s="39"/>
      <c r="X260" s="39">
        <v>2</v>
      </c>
      <c r="Y260" s="39">
        <f t="shared" si="68"/>
        <v>3</v>
      </c>
      <c r="Z260" s="39">
        <f t="shared" si="69"/>
        <v>8.2200000000000006</v>
      </c>
      <c r="AA260" s="39">
        <f t="shared" si="70"/>
        <v>54</v>
      </c>
      <c r="AB260" s="39">
        <f t="shared" si="70"/>
        <v>48.259999999999991</v>
      </c>
      <c r="AC260" s="41">
        <f t="shared" si="73"/>
        <v>5892</v>
      </c>
      <c r="AD260" s="82">
        <f t="shared" si="74"/>
        <v>318168</v>
      </c>
      <c r="AE260" s="82">
        <f t="shared" si="75"/>
        <v>284347.91999999993</v>
      </c>
      <c r="AF260" s="82">
        <f t="shared" si="76"/>
        <v>602515.91999999993</v>
      </c>
      <c r="AG260" s="39"/>
      <c r="AH260" s="39"/>
      <c r="AI260" s="79"/>
      <c r="AJ260" s="79"/>
      <c r="AK260" s="79"/>
      <c r="AL260" s="79"/>
      <c r="AM260" s="79"/>
      <c r="AN260" s="79"/>
      <c r="AO260" s="79"/>
      <c r="AP260" s="79"/>
      <c r="AQ260" s="3" t="s">
        <v>503</v>
      </c>
      <c r="AR260" s="3" t="s">
        <v>523</v>
      </c>
      <c r="AS260" s="3" t="s">
        <v>968</v>
      </c>
      <c r="AT260" s="49">
        <v>5892</v>
      </c>
      <c r="AU260" s="3" t="str">
        <f t="shared" si="71"/>
        <v>match</v>
      </c>
      <c r="AV260" s="3" t="str">
        <f t="shared" si="72"/>
        <v>match</v>
      </c>
    </row>
    <row r="261" spans="1:48" ht="12">
      <c r="A261" s="9" t="s">
        <v>503</v>
      </c>
      <c r="B261" s="10" t="s">
        <v>525</v>
      </c>
      <c r="C261" s="56" t="s">
        <v>526</v>
      </c>
      <c r="D261" s="56"/>
      <c r="E261" s="11">
        <v>37</v>
      </c>
      <c r="F261" s="11"/>
      <c r="G261" s="11"/>
      <c r="H261" s="11"/>
      <c r="I261" s="11"/>
      <c r="J261" s="11"/>
      <c r="K261" s="11">
        <f t="shared" si="64"/>
        <v>37</v>
      </c>
      <c r="L261" s="11">
        <f t="shared" si="65"/>
        <v>26.64</v>
      </c>
      <c r="M261" s="11"/>
      <c r="N261" s="11">
        <v>1</v>
      </c>
      <c r="O261" s="11">
        <v>1</v>
      </c>
      <c r="P261" s="11"/>
      <c r="Q261" s="11">
        <v>6</v>
      </c>
      <c r="R261" s="11">
        <f t="shared" si="66"/>
        <v>8</v>
      </c>
      <c r="S261" s="11">
        <f t="shared" si="67"/>
        <v>9.0799999999999983</v>
      </c>
      <c r="T261" s="11"/>
      <c r="U261" s="11"/>
      <c r="V261" s="11">
        <v>1</v>
      </c>
      <c r="W261" s="11"/>
      <c r="X261" s="11">
        <v>4</v>
      </c>
      <c r="Y261" s="11">
        <f t="shared" si="68"/>
        <v>5</v>
      </c>
      <c r="Z261" s="11">
        <f t="shared" si="69"/>
        <v>13.700000000000001</v>
      </c>
      <c r="AA261" s="11">
        <f t="shared" si="70"/>
        <v>50</v>
      </c>
      <c r="AB261" s="11">
        <f t="shared" si="70"/>
        <v>49.42</v>
      </c>
      <c r="AC261" s="42">
        <f t="shared" si="73"/>
        <v>5914</v>
      </c>
      <c r="AD261" s="83">
        <f t="shared" si="74"/>
        <v>295700</v>
      </c>
      <c r="AE261" s="83">
        <f t="shared" si="75"/>
        <v>292269.88</v>
      </c>
      <c r="AF261" s="83">
        <f t="shared" si="76"/>
        <v>587969.88</v>
      </c>
      <c r="AG261" s="11"/>
      <c r="AH261" s="11"/>
      <c r="AI261" s="78"/>
      <c r="AJ261" s="78"/>
      <c r="AK261" s="78"/>
      <c r="AL261" s="78"/>
      <c r="AM261" s="78"/>
      <c r="AN261" s="78"/>
      <c r="AO261" s="78"/>
      <c r="AP261" s="78"/>
      <c r="AQ261" s="3" t="s">
        <v>503</v>
      </c>
      <c r="AR261" s="3" t="s">
        <v>525</v>
      </c>
      <c r="AS261" s="3" t="s">
        <v>969</v>
      </c>
      <c r="AT261" s="49">
        <v>5914</v>
      </c>
      <c r="AU261" s="3" t="str">
        <f t="shared" si="71"/>
        <v>match</v>
      </c>
      <c r="AV261" s="3" t="str">
        <f t="shared" si="72"/>
        <v>match</v>
      </c>
    </row>
    <row r="262" spans="1:48" ht="12">
      <c r="A262" s="9" t="s">
        <v>503</v>
      </c>
      <c r="B262" s="12" t="s">
        <v>527</v>
      </c>
      <c r="C262" s="13" t="s">
        <v>528</v>
      </c>
      <c r="D262" s="8"/>
      <c r="E262" s="39">
        <v>35</v>
      </c>
      <c r="F262" s="39"/>
      <c r="G262" s="39"/>
      <c r="H262" s="39"/>
      <c r="I262" s="39"/>
      <c r="J262" s="39"/>
      <c r="K262" s="39">
        <f t="shared" si="64"/>
        <v>35</v>
      </c>
      <c r="L262" s="39">
        <f t="shared" si="65"/>
        <v>25.2</v>
      </c>
      <c r="M262" s="39"/>
      <c r="N262" s="39"/>
      <c r="O262" s="39"/>
      <c r="P262" s="39"/>
      <c r="Q262" s="39">
        <v>11</v>
      </c>
      <c r="R262" s="39">
        <f t="shared" si="66"/>
        <v>11</v>
      </c>
      <c r="S262" s="39">
        <f t="shared" si="67"/>
        <v>13.309999999999999</v>
      </c>
      <c r="T262" s="39"/>
      <c r="U262" s="39"/>
      <c r="V262" s="39"/>
      <c r="W262" s="39"/>
      <c r="X262" s="39">
        <v>7</v>
      </c>
      <c r="Y262" s="39">
        <f t="shared" si="68"/>
        <v>7</v>
      </c>
      <c r="Z262" s="39">
        <f t="shared" si="69"/>
        <v>19.18</v>
      </c>
      <c r="AA262" s="39">
        <f t="shared" si="70"/>
        <v>53</v>
      </c>
      <c r="AB262" s="39">
        <f t="shared" si="70"/>
        <v>57.69</v>
      </c>
      <c r="AC262" s="41">
        <f t="shared" si="73"/>
        <v>5883</v>
      </c>
      <c r="AD262" s="82">
        <f t="shared" si="74"/>
        <v>311799</v>
      </c>
      <c r="AE262" s="82">
        <f t="shared" si="75"/>
        <v>339390.26999999996</v>
      </c>
      <c r="AF262" s="82">
        <f t="shared" si="76"/>
        <v>651189.27</v>
      </c>
      <c r="AG262" s="39"/>
      <c r="AH262" s="39"/>
      <c r="AI262" s="79"/>
      <c r="AJ262" s="79"/>
      <c r="AK262" s="79"/>
      <c r="AL262" s="79"/>
      <c r="AM262" s="79"/>
      <c r="AN262" s="79"/>
      <c r="AO262" s="79"/>
      <c r="AP262" s="79"/>
      <c r="AQ262" s="3" t="s">
        <v>503</v>
      </c>
      <c r="AR262" s="3" t="s">
        <v>527</v>
      </c>
      <c r="AS262" s="3" t="s">
        <v>970</v>
      </c>
      <c r="AT262" s="49">
        <v>5883</v>
      </c>
      <c r="AU262" s="3" t="str">
        <f t="shared" si="71"/>
        <v>match</v>
      </c>
      <c r="AV262" s="3" t="str">
        <f t="shared" si="72"/>
        <v>match</v>
      </c>
    </row>
    <row r="263" spans="1:48" ht="12">
      <c r="A263" s="9" t="s">
        <v>503</v>
      </c>
      <c r="B263" s="10" t="s">
        <v>529</v>
      </c>
      <c r="C263" s="56" t="s">
        <v>530</v>
      </c>
      <c r="D263" s="56"/>
      <c r="E263" s="11">
        <v>70</v>
      </c>
      <c r="F263" s="11"/>
      <c r="G263" s="11"/>
      <c r="H263" s="11"/>
      <c r="I263" s="11"/>
      <c r="J263" s="11"/>
      <c r="K263" s="11">
        <f t="shared" ref="K263:K326" si="81">SUM(E263:J263)</f>
        <v>70</v>
      </c>
      <c r="L263" s="11">
        <f t="shared" ref="L263:L326" si="82">+K263*0.72</f>
        <v>50.4</v>
      </c>
      <c r="M263" s="11"/>
      <c r="N263" s="11">
        <v>2</v>
      </c>
      <c r="O263" s="11">
        <v>8</v>
      </c>
      <c r="P263" s="11"/>
      <c r="Q263" s="11">
        <v>14</v>
      </c>
      <c r="R263" s="11">
        <f t="shared" ref="R263:R326" si="83">SUM(M263:Q263)</f>
        <v>24</v>
      </c>
      <c r="S263" s="11">
        <f t="shared" ref="S263:S326" si="84">((+N263+P263)*0.61)+((+M263+O263+Q263)*1.21)</f>
        <v>27.839999999999996</v>
      </c>
      <c r="T263" s="11"/>
      <c r="U263" s="11">
        <v>1</v>
      </c>
      <c r="V263" s="11">
        <v>1</v>
      </c>
      <c r="W263" s="11"/>
      <c r="X263" s="11">
        <v>10</v>
      </c>
      <c r="Y263" s="11">
        <f t="shared" ref="Y263:Y326" si="85">SUM(T263:X263)</f>
        <v>12</v>
      </c>
      <c r="Z263" s="11">
        <f t="shared" ref="Z263:Z326" si="86">((+U263+W263)*1.37)+((+T263+V263+X263)*2.74)</f>
        <v>31.51</v>
      </c>
      <c r="AA263" s="11">
        <f t="shared" ref="AA263:AB326" si="87">+K263+R263+Y263</f>
        <v>106</v>
      </c>
      <c r="AB263" s="11">
        <f t="shared" si="87"/>
        <v>109.75</v>
      </c>
      <c r="AC263" s="42">
        <f t="shared" si="73"/>
        <v>5930</v>
      </c>
      <c r="AD263" s="83">
        <f t="shared" si="74"/>
        <v>628580</v>
      </c>
      <c r="AE263" s="83">
        <f t="shared" si="75"/>
        <v>650817.5</v>
      </c>
      <c r="AF263" s="83">
        <f t="shared" si="76"/>
        <v>1279397.5</v>
      </c>
      <c r="AG263" s="11"/>
      <c r="AH263" s="11"/>
      <c r="AI263" s="78"/>
      <c r="AJ263" s="78"/>
      <c r="AK263" s="78"/>
      <c r="AL263" s="78"/>
      <c r="AM263" s="78"/>
      <c r="AN263" s="78"/>
      <c r="AO263" s="78"/>
      <c r="AP263" s="78"/>
      <c r="AQ263" s="3" t="s">
        <v>503</v>
      </c>
      <c r="AR263" s="3" t="s">
        <v>529</v>
      </c>
      <c r="AS263" s="3" t="s">
        <v>971</v>
      </c>
      <c r="AT263" s="49">
        <v>5930</v>
      </c>
      <c r="AU263" s="3" t="str">
        <f t="shared" ref="AU263:AU286" si="88">IF(AR263=B263,"match","not")</f>
        <v>match</v>
      </c>
      <c r="AV263" s="3" t="str">
        <f t="shared" ref="AV263:AV286" si="89">IF(AS263=C263,"match","not")</f>
        <v>match</v>
      </c>
    </row>
    <row r="264" spans="1:48" ht="12">
      <c r="A264" s="9" t="s">
        <v>503</v>
      </c>
      <c r="B264" s="12" t="s">
        <v>531</v>
      </c>
      <c r="C264" s="13" t="s">
        <v>532</v>
      </c>
      <c r="D264" s="8"/>
      <c r="E264" s="39">
        <v>24</v>
      </c>
      <c r="F264" s="39"/>
      <c r="G264" s="39"/>
      <c r="H264" s="39"/>
      <c r="I264" s="39"/>
      <c r="J264" s="39"/>
      <c r="K264" s="39">
        <f t="shared" si="81"/>
        <v>24</v>
      </c>
      <c r="L264" s="39">
        <f t="shared" si="82"/>
        <v>17.28</v>
      </c>
      <c r="M264" s="39"/>
      <c r="N264" s="39"/>
      <c r="O264" s="39">
        <v>1</v>
      </c>
      <c r="P264" s="39"/>
      <c r="Q264" s="39">
        <v>3</v>
      </c>
      <c r="R264" s="39">
        <f t="shared" si="83"/>
        <v>4</v>
      </c>
      <c r="S264" s="39">
        <f t="shared" si="84"/>
        <v>4.84</v>
      </c>
      <c r="T264" s="39"/>
      <c r="U264" s="39"/>
      <c r="V264" s="39"/>
      <c r="W264" s="39"/>
      <c r="X264" s="39">
        <v>6</v>
      </c>
      <c r="Y264" s="39">
        <f t="shared" si="85"/>
        <v>6</v>
      </c>
      <c r="Z264" s="39">
        <f t="shared" si="86"/>
        <v>16.440000000000001</v>
      </c>
      <c r="AA264" s="39">
        <f t="shared" si="87"/>
        <v>34</v>
      </c>
      <c r="AB264" s="39">
        <f t="shared" si="87"/>
        <v>38.56</v>
      </c>
      <c r="AC264" s="41">
        <f t="shared" si="73"/>
        <v>5883</v>
      </c>
      <c r="AD264" s="82">
        <f t="shared" si="74"/>
        <v>200022</v>
      </c>
      <c r="AE264" s="82">
        <f t="shared" si="75"/>
        <v>226848.48</v>
      </c>
      <c r="AF264" s="82">
        <f t="shared" si="76"/>
        <v>426870.48</v>
      </c>
      <c r="AG264" s="39"/>
      <c r="AH264" s="39"/>
      <c r="AI264" s="79"/>
      <c r="AJ264" s="79"/>
      <c r="AK264" s="79"/>
      <c r="AL264" s="79"/>
      <c r="AM264" s="79"/>
      <c r="AN264" s="79"/>
      <c r="AO264" s="79"/>
      <c r="AP264" s="79"/>
      <c r="AQ264" s="3" t="s">
        <v>503</v>
      </c>
      <c r="AR264" s="3" t="s">
        <v>531</v>
      </c>
      <c r="AS264" s="3" t="s">
        <v>972</v>
      </c>
      <c r="AT264" s="49">
        <v>5883</v>
      </c>
      <c r="AU264" s="3" t="str">
        <f t="shared" si="88"/>
        <v>match</v>
      </c>
      <c r="AV264" s="3" t="str">
        <f t="shared" si="89"/>
        <v>match</v>
      </c>
    </row>
    <row r="265" spans="1:48" ht="12">
      <c r="A265" s="9" t="s">
        <v>503</v>
      </c>
      <c r="B265" s="10" t="s">
        <v>533</v>
      </c>
      <c r="C265" s="56" t="s">
        <v>534</v>
      </c>
      <c r="D265" s="56"/>
      <c r="E265" s="11">
        <v>34</v>
      </c>
      <c r="F265" s="11"/>
      <c r="G265" s="11"/>
      <c r="H265" s="11"/>
      <c r="I265" s="11"/>
      <c r="J265" s="11"/>
      <c r="K265" s="11">
        <f t="shared" si="81"/>
        <v>34</v>
      </c>
      <c r="L265" s="11">
        <f t="shared" si="82"/>
        <v>24.48</v>
      </c>
      <c r="M265" s="11"/>
      <c r="N265" s="11">
        <v>1</v>
      </c>
      <c r="O265" s="11">
        <v>6</v>
      </c>
      <c r="P265" s="11"/>
      <c r="Q265" s="11">
        <v>8</v>
      </c>
      <c r="R265" s="11">
        <f t="shared" si="83"/>
        <v>15</v>
      </c>
      <c r="S265" s="11">
        <f t="shared" si="84"/>
        <v>17.549999999999997</v>
      </c>
      <c r="T265" s="11"/>
      <c r="U265" s="11">
        <v>1</v>
      </c>
      <c r="V265" s="11"/>
      <c r="W265" s="11"/>
      <c r="X265" s="11">
        <v>6</v>
      </c>
      <c r="Y265" s="11">
        <f t="shared" si="85"/>
        <v>7</v>
      </c>
      <c r="Z265" s="11">
        <f t="shared" si="86"/>
        <v>17.810000000000002</v>
      </c>
      <c r="AA265" s="11">
        <f t="shared" si="87"/>
        <v>56</v>
      </c>
      <c r="AB265" s="11">
        <f t="shared" si="87"/>
        <v>59.84</v>
      </c>
      <c r="AC265" s="42">
        <f t="shared" si="73"/>
        <v>5986</v>
      </c>
      <c r="AD265" s="83">
        <f t="shared" si="74"/>
        <v>335216</v>
      </c>
      <c r="AE265" s="83">
        <f t="shared" si="75"/>
        <v>358202.24000000005</v>
      </c>
      <c r="AF265" s="83">
        <f t="shared" si="76"/>
        <v>693418.24</v>
      </c>
      <c r="AG265" s="11"/>
      <c r="AH265" s="11"/>
      <c r="AI265" s="78"/>
      <c r="AJ265" s="78"/>
      <c r="AK265" s="78"/>
      <c r="AL265" s="78"/>
      <c r="AM265" s="78"/>
      <c r="AN265" s="78"/>
      <c r="AO265" s="78"/>
      <c r="AP265" s="78"/>
      <c r="AQ265" s="3" t="s">
        <v>503</v>
      </c>
      <c r="AR265" s="3" t="s">
        <v>533</v>
      </c>
      <c r="AS265" s="3" t="s">
        <v>973</v>
      </c>
      <c r="AT265" s="49">
        <v>5986</v>
      </c>
      <c r="AU265" s="3" t="str">
        <f t="shared" si="88"/>
        <v>match</v>
      </c>
      <c r="AV265" s="3" t="str">
        <f t="shared" si="89"/>
        <v>match</v>
      </c>
    </row>
    <row r="266" spans="1:48" ht="12">
      <c r="A266" s="9" t="s">
        <v>503</v>
      </c>
      <c r="B266" s="12" t="s">
        <v>535</v>
      </c>
      <c r="C266" s="13" t="s">
        <v>536</v>
      </c>
      <c r="D266" s="8"/>
      <c r="E266" s="39">
        <v>33</v>
      </c>
      <c r="F266" s="39"/>
      <c r="G266" s="39"/>
      <c r="H266" s="39"/>
      <c r="I266" s="39"/>
      <c r="J266" s="39"/>
      <c r="K266" s="39">
        <f t="shared" si="81"/>
        <v>33</v>
      </c>
      <c r="L266" s="39">
        <f t="shared" si="82"/>
        <v>23.759999999999998</v>
      </c>
      <c r="M266" s="39"/>
      <c r="N266" s="39"/>
      <c r="O266" s="39">
        <v>2</v>
      </c>
      <c r="P266" s="39"/>
      <c r="Q266" s="39">
        <v>11</v>
      </c>
      <c r="R266" s="39">
        <f t="shared" si="83"/>
        <v>13</v>
      </c>
      <c r="S266" s="39">
        <f t="shared" si="84"/>
        <v>15.73</v>
      </c>
      <c r="T266" s="39"/>
      <c r="U266" s="39"/>
      <c r="V266" s="39"/>
      <c r="W266" s="39"/>
      <c r="X266" s="39">
        <v>8</v>
      </c>
      <c r="Y266" s="39">
        <f t="shared" si="85"/>
        <v>8</v>
      </c>
      <c r="Z266" s="39">
        <f t="shared" si="86"/>
        <v>21.92</v>
      </c>
      <c r="AA266" s="39">
        <f t="shared" si="87"/>
        <v>54</v>
      </c>
      <c r="AB266" s="39">
        <f t="shared" si="87"/>
        <v>61.41</v>
      </c>
      <c r="AC266" s="41">
        <f t="shared" si="73"/>
        <v>5883</v>
      </c>
      <c r="AD266" s="82">
        <f t="shared" si="74"/>
        <v>317682</v>
      </c>
      <c r="AE266" s="82">
        <f t="shared" si="75"/>
        <v>361275.02999999997</v>
      </c>
      <c r="AF266" s="82">
        <f t="shared" si="76"/>
        <v>678957.03</v>
      </c>
      <c r="AG266" s="39"/>
      <c r="AH266" s="39"/>
      <c r="AI266" s="79"/>
      <c r="AJ266" s="79"/>
      <c r="AK266" s="79"/>
      <c r="AL266" s="79"/>
      <c r="AM266" s="79"/>
      <c r="AN266" s="79"/>
      <c r="AO266" s="79"/>
      <c r="AP266" s="79"/>
      <c r="AQ266" s="3" t="s">
        <v>503</v>
      </c>
      <c r="AR266" s="3" t="s">
        <v>535</v>
      </c>
      <c r="AS266" s="3" t="s">
        <v>974</v>
      </c>
      <c r="AT266" s="49">
        <v>5883</v>
      </c>
      <c r="AU266" s="3" t="str">
        <f t="shared" si="88"/>
        <v>match</v>
      </c>
      <c r="AV266" s="3" t="str">
        <f t="shared" si="89"/>
        <v>match</v>
      </c>
    </row>
    <row r="267" spans="1:48" ht="12">
      <c r="A267" s="9" t="s">
        <v>503</v>
      </c>
      <c r="B267" s="10" t="s">
        <v>537</v>
      </c>
      <c r="C267" s="56" t="s">
        <v>538</v>
      </c>
      <c r="D267" s="56"/>
      <c r="E267" s="11">
        <v>163</v>
      </c>
      <c r="F267" s="11"/>
      <c r="G267" s="11"/>
      <c r="H267" s="11"/>
      <c r="I267" s="11"/>
      <c r="J267" s="11"/>
      <c r="K267" s="11">
        <f t="shared" si="81"/>
        <v>163</v>
      </c>
      <c r="L267" s="11">
        <f t="shared" si="82"/>
        <v>117.36</v>
      </c>
      <c r="M267" s="11"/>
      <c r="N267" s="11">
        <v>11</v>
      </c>
      <c r="O267" s="11">
        <v>9</v>
      </c>
      <c r="P267" s="11"/>
      <c r="Q267" s="11">
        <v>24</v>
      </c>
      <c r="R267" s="11">
        <f t="shared" si="83"/>
        <v>44</v>
      </c>
      <c r="S267" s="11">
        <f t="shared" si="84"/>
        <v>46.64</v>
      </c>
      <c r="T267" s="11"/>
      <c r="U267" s="11">
        <v>3</v>
      </c>
      <c r="V267" s="11">
        <v>1</v>
      </c>
      <c r="W267" s="11"/>
      <c r="X267" s="11">
        <v>20</v>
      </c>
      <c r="Y267" s="11">
        <f t="shared" si="85"/>
        <v>24</v>
      </c>
      <c r="Z267" s="11">
        <f t="shared" si="86"/>
        <v>61.650000000000006</v>
      </c>
      <c r="AA267" s="11">
        <f t="shared" si="87"/>
        <v>231</v>
      </c>
      <c r="AB267" s="11">
        <f t="shared" si="87"/>
        <v>225.65</v>
      </c>
      <c r="AC267" s="42">
        <f t="shared" si="73"/>
        <v>5883</v>
      </c>
      <c r="AD267" s="83">
        <f t="shared" si="74"/>
        <v>1358973</v>
      </c>
      <c r="AE267" s="83">
        <f t="shared" si="75"/>
        <v>1327498.95</v>
      </c>
      <c r="AF267" s="83">
        <f t="shared" si="76"/>
        <v>2686471.95</v>
      </c>
      <c r="AG267" s="11"/>
      <c r="AH267" s="11"/>
      <c r="AI267" s="78"/>
      <c r="AJ267" s="78"/>
      <c r="AK267" s="78"/>
      <c r="AL267" s="78"/>
      <c r="AM267" s="78"/>
      <c r="AN267" s="78"/>
      <c r="AO267" s="78"/>
      <c r="AP267" s="78"/>
      <c r="AQ267" s="3" t="s">
        <v>503</v>
      </c>
      <c r="AR267" s="3" t="s">
        <v>537</v>
      </c>
      <c r="AS267" s="3" t="s">
        <v>975</v>
      </c>
      <c r="AT267" s="49">
        <v>5883</v>
      </c>
      <c r="AU267" s="3" t="str">
        <f t="shared" si="88"/>
        <v>match</v>
      </c>
      <c r="AV267" s="3" t="str">
        <f t="shared" si="89"/>
        <v>match</v>
      </c>
    </row>
    <row r="268" spans="1:48" ht="12">
      <c r="A268" s="9" t="s">
        <v>503</v>
      </c>
      <c r="B268" s="12" t="s">
        <v>539</v>
      </c>
      <c r="C268" s="13" t="s">
        <v>540</v>
      </c>
      <c r="D268" s="8"/>
      <c r="E268" s="39">
        <v>41</v>
      </c>
      <c r="F268" s="39"/>
      <c r="G268" s="39"/>
      <c r="H268" s="39"/>
      <c r="I268" s="39"/>
      <c r="J268" s="39"/>
      <c r="K268" s="39">
        <f t="shared" si="81"/>
        <v>41</v>
      </c>
      <c r="L268" s="39">
        <f t="shared" si="82"/>
        <v>29.52</v>
      </c>
      <c r="M268" s="39"/>
      <c r="N268" s="39"/>
      <c r="O268" s="39">
        <v>2</v>
      </c>
      <c r="P268" s="39"/>
      <c r="Q268" s="39">
        <v>8</v>
      </c>
      <c r="R268" s="39">
        <f t="shared" si="83"/>
        <v>10</v>
      </c>
      <c r="S268" s="39">
        <f t="shared" si="84"/>
        <v>12.1</v>
      </c>
      <c r="T268" s="39"/>
      <c r="U268" s="39"/>
      <c r="V268" s="39">
        <v>2</v>
      </c>
      <c r="W268" s="39"/>
      <c r="X268" s="39">
        <v>10</v>
      </c>
      <c r="Y268" s="39">
        <f t="shared" si="85"/>
        <v>12</v>
      </c>
      <c r="Z268" s="39">
        <f t="shared" si="86"/>
        <v>32.880000000000003</v>
      </c>
      <c r="AA268" s="39">
        <f t="shared" si="87"/>
        <v>63</v>
      </c>
      <c r="AB268" s="39">
        <f t="shared" si="87"/>
        <v>74.5</v>
      </c>
      <c r="AC268" s="41">
        <f t="shared" si="73"/>
        <v>6008</v>
      </c>
      <c r="AD268" s="82">
        <f t="shared" si="74"/>
        <v>378504</v>
      </c>
      <c r="AE268" s="82">
        <f t="shared" si="75"/>
        <v>447596</v>
      </c>
      <c r="AF268" s="82">
        <f t="shared" si="76"/>
        <v>826100</v>
      </c>
      <c r="AG268" s="39"/>
      <c r="AH268" s="39"/>
      <c r="AI268" s="79"/>
      <c r="AJ268" s="79"/>
      <c r="AK268" s="79"/>
      <c r="AL268" s="79"/>
      <c r="AM268" s="79"/>
      <c r="AN268" s="79"/>
      <c r="AO268" s="79"/>
      <c r="AP268" s="79"/>
      <c r="AQ268" s="3" t="s">
        <v>503</v>
      </c>
      <c r="AR268" s="3" t="s">
        <v>539</v>
      </c>
      <c r="AS268" s="3" t="s">
        <v>976</v>
      </c>
      <c r="AT268" s="49">
        <v>6008</v>
      </c>
      <c r="AU268" s="3" t="str">
        <f t="shared" si="88"/>
        <v>match</v>
      </c>
      <c r="AV268" s="3" t="str">
        <f t="shared" si="89"/>
        <v>match</v>
      </c>
    </row>
    <row r="269" spans="1:48" ht="12">
      <c r="A269" s="9" t="s">
        <v>503</v>
      </c>
      <c r="B269" s="10" t="s">
        <v>541</v>
      </c>
      <c r="C269" s="56" t="s">
        <v>542</v>
      </c>
      <c r="D269" s="56"/>
      <c r="E269" s="11">
        <v>40</v>
      </c>
      <c r="F269" s="11"/>
      <c r="G269" s="11"/>
      <c r="H269" s="11"/>
      <c r="I269" s="11"/>
      <c r="J269" s="11"/>
      <c r="K269" s="11">
        <f t="shared" si="81"/>
        <v>40</v>
      </c>
      <c r="L269" s="11">
        <f t="shared" si="82"/>
        <v>28.799999999999997</v>
      </c>
      <c r="M269" s="11"/>
      <c r="N269" s="11">
        <v>2</v>
      </c>
      <c r="O269" s="11">
        <v>3</v>
      </c>
      <c r="P269" s="11"/>
      <c r="Q269" s="11">
        <v>3</v>
      </c>
      <c r="R269" s="11">
        <f t="shared" si="83"/>
        <v>8</v>
      </c>
      <c r="S269" s="11">
        <f t="shared" si="84"/>
        <v>8.48</v>
      </c>
      <c r="T269" s="11"/>
      <c r="U269" s="11">
        <v>1</v>
      </c>
      <c r="V269" s="11"/>
      <c r="W269" s="11"/>
      <c r="X269" s="11">
        <v>5</v>
      </c>
      <c r="Y269" s="11">
        <f t="shared" si="85"/>
        <v>6</v>
      </c>
      <c r="Z269" s="11">
        <f t="shared" si="86"/>
        <v>15.07</v>
      </c>
      <c r="AA269" s="11">
        <f t="shared" si="87"/>
        <v>54</v>
      </c>
      <c r="AB269" s="11">
        <f t="shared" si="87"/>
        <v>52.35</v>
      </c>
      <c r="AC269" s="42">
        <f t="shared" si="73"/>
        <v>5918</v>
      </c>
      <c r="AD269" s="83">
        <f t="shared" si="74"/>
        <v>319572</v>
      </c>
      <c r="AE269" s="83">
        <f t="shared" si="75"/>
        <v>309807.3</v>
      </c>
      <c r="AF269" s="83">
        <f t="shared" si="76"/>
        <v>629379.30000000005</v>
      </c>
      <c r="AG269" s="11"/>
      <c r="AH269" s="11"/>
      <c r="AI269" s="78"/>
      <c r="AJ269" s="78"/>
      <c r="AK269" s="78"/>
      <c r="AL269" s="78"/>
      <c r="AM269" s="78"/>
      <c r="AN269" s="78"/>
      <c r="AO269" s="78"/>
      <c r="AP269" s="78"/>
      <c r="AQ269" s="3" t="s">
        <v>503</v>
      </c>
      <c r="AR269" s="3" t="s">
        <v>541</v>
      </c>
      <c r="AS269" s="3" t="s">
        <v>542</v>
      </c>
      <c r="AT269" s="49">
        <v>5918</v>
      </c>
      <c r="AU269" s="3" t="str">
        <f t="shared" si="88"/>
        <v>match</v>
      </c>
      <c r="AV269" s="3" t="str">
        <f t="shared" si="89"/>
        <v>match</v>
      </c>
    </row>
    <row r="270" spans="1:48" ht="12">
      <c r="A270" s="9" t="s">
        <v>503</v>
      </c>
      <c r="B270" s="12" t="s">
        <v>543</v>
      </c>
      <c r="C270" s="13" t="s">
        <v>544</v>
      </c>
      <c r="D270" s="8"/>
      <c r="E270" s="39">
        <v>72</v>
      </c>
      <c r="F270" s="39">
        <v>1</v>
      </c>
      <c r="G270" s="39"/>
      <c r="H270" s="39"/>
      <c r="I270" s="39"/>
      <c r="J270" s="39"/>
      <c r="K270" s="39">
        <f t="shared" si="81"/>
        <v>73</v>
      </c>
      <c r="L270" s="39">
        <f t="shared" si="82"/>
        <v>52.559999999999995</v>
      </c>
      <c r="M270" s="39"/>
      <c r="N270" s="39">
        <v>2</v>
      </c>
      <c r="O270" s="39">
        <v>1</v>
      </c>
      <c r="P270" s="39"/>
      <c r="Q270" s="39">
        <v>24</v>
      </c>
      <c r="R270" s="39">
        <f t="shared" si="83"/>
        <v>27</v>
      </c>
      <c r="S270" s="39">
        <f t="shared" si="84"/>
        <v>31.47</v>
      </c>
      <c r="T270" s="39"/>
      <c r="U270" s="39"/>
      <c r="V270" s="39"/>
      <c r="W270" s="39"/>
      <c r="X270" s="39">
        <v>15</v>
      </c>
      <c r="Y270" s="39">
        <f t="shared" si="85"/>
        <v>15</v>
      </c>
      <c r="Z270" s="39">
        <f t="shared" si="86"/>
        <v>41.1</v>
      </c>
      <c r="AA270" s="39">
        <f t="shared" si="87"/>
        <v>115</v>
      </c>
      <c r="AB270" s="39">
        <f t="shared" si="87"/>
        <v>125.13</v>
      </c>
      <c r="AC270" s="41">
        <f t="shared" si="73"/>
        <v>5923</v>
      </c>
      <c r="AD270" s="82">
        <f t="shared" si="74"/>
        <v>681145</v>
      </c>
      <c r="AE270" s="82">
        <f t="shared" si="75"/>
        <v>741144.99</v>
      </c>
      <c r="AF270" s="82">
        <f t="shared" si="76"/>
        <v>1422289.99</v>
      </c>
      <c r="AG270" s="39"/>
      <c r="AH270" s="39"/>
      <c r="AI270" s="79"/>
      <c r="AJ270" s="79"/>
      <c r="AK270" s="79"/>
      <c r="AL270" s="79"/>
      <c r="AM270" s="79"/>
      <c r="AN270" s="79"/>
      <c r="AO270" s="79"/>
      <c r="AP270" s="79"/>
      <c r="AQ270" s="3" t="s">
        <v>503</v>
      </c>
      <c r="AR270" s="3" t="s">
        <v>543</v>
      </c>
      <c r="AS270" s="3" t="s">
        <v>977</v>
      </c>
      <c r="AT270" s="49">
        <v>5923</v>
      </c>
      <c r="AU270" s="3" t="str">
        <f t="shared" si="88"/>
        <v>match</v>
      </c>
      <c r="AV270" s="3" t="str">
        <f t="shared" si="89"/>
        <v>match</v>
      </c>
    </row>
    <row r="271" spans="1:48" ht="12">
      <c r="A271" s="9" t="s">
        <v>503</v>
      </c>
      <c r="B271" s="10" t="s">
        <v>545</v>
      </c>
      <c r="C271" s="56" t="s">
        <v>546</v>
      </c>
      <c r="D271" s="56"/>
      <c r="E271" s="11">
        <v>41</v>
      </c>
      <c r="F271" s="11"/>
      <c r="G271" s="11"/>
      <c r="H271" s="11"/>
      <c r="I271" s="11"/>
      <c r="J271" s="11"/>
      <c r="K271" s="11">
        <f t="shared" si="81"/>
        <v>41</v>
      </c>
      <c r="L271" s="11">
        <f t="shared" si="82"/>
        <v>29.52</v>
      </c>
      <c r="M271" s="11"/>
      <c r="N271" s="11">
        <v>3</v>
      </c>
      <c r="O271" s="11">
        <v>1</v>
      </c>
      <c r="P271" s="11"/>
      <c r="Q271" s="11">
        <v>5</v>
      </c>
      <c r="R271" s="11">
        <f t="shared" si="83"/>
        <v>9</v>
      </c>
      <c r="S271" s="11">
        <f t="shared" si="84"/>
        <v>9.09</v>
      </c>
      <c r="T271" s="11"/>
      <c r="U271" s="11">
        <v>2</v>
      </c>
      <c r="V271" s="11">
        <v>1</v>
      </c>
      <c r="W271" s="11"/>
      <c r="X271" s="11">
        <v>7</v>
      </c>
      <c r="Y271" s="11">
        <f t="shared" si="85"/>
        <v>10</v>
      </c>
      <c r="Z271" s="11">
        <f t="shared" si="86"/>
        <v>24.660000000000004</v>
      </c>
      <c r="AA271" s="11">
        <f t="shared" si="87"/>
        <v>60</v>
      </c>
      <c r="AB271" s="11">
        <f t="shared" si="87"/>
        <v>63.27</v>
      </c>
      <c r="AC271" s="42">
        <f t="shared" si="73"/>
        <v>5904</v>
      </c>
      <c r="AD271" s="83">
        <f t="shared" si="74"/>
        <v>354240</v>
      </c>
      <c r="AE271" s="83">
        <f t="shared" si="75"/>
        <v>373546.08</v>
      </c>
      <c r="AF271" s="83">
        <f t="shared" si="76"/>
        <v>727786.08000000007</v>
      </c>
      <c r="AG271" s="11"/>
      <c r="AH271" s="11"/>
      <c r="AI271" s="78"/>
      <c r="AJ271" s="78"/>
      <c r="AK271" s="78"/>
      <c r="AL271" s="78"/>
      <c r="AM271" s="78"/>
      <c r="AN271" s="78"/>
      <c r="AO271" s="78"/>
      <c r="AP271" s="78"/>
      <c r="AQ271" s="3" t="s">
        <v>503</v>
      </c>
      <c r="AR271" s="3" t="s">
        <v>545</v>
      </c>
      <c r="AS271" s="3" t="s">
        <v>978</v>
      </c>
      <c r="AT271" s="49">
        <v>5904</v>
      </c>
      <c r="AU271" s="3" t="str">
        <f t="shared" si="88"/>
        <v>match</v>
      </c>
      <c r="AV271" s="3" t="str">
        <f t="shared" si="89"/>
        <v>match</v>
      </c>
    </row>
    <row r="272" spans="1:48" ht="12">
      <c r="A272" s="9" t="s">
        <v>503</v>
      </c>
      <c r="B272" s="12" t="s">
        <v>547</v>
      </c>
      <c r="C272" s="13" t="s">
        <v>548</v>
      </c>
      <c r="D272" s="8"/>
      <c r="E272" s="39">
        <v>29</v>
      </c>
      <c r="F272" s="39"/>
      <c r="G272" s="39"/>
      <c r="H272" s="39"/>
      <c r="I272" s="39"/>
      <c r="J272" s="39"/>
      <c r="K272" s="39">
        <f t="shared" si="81"/>
        <v>29</v>
      </c>
      <c r="L272" s="39">
        <f t="shared" si="82"/>
        <v>20.88</v>
      </c>
      <c r="M272" s="39"/>
      <c r="N272" s="39">
        <v>2</v>
      </c>
      <c r="O272" s="39"/>
      <c r="P272" s="39"/>
      <c r="Q272" s="39">
        <v>10</v>
      </c>
      <c r="R272" s="39">
        <f t="shared" si="83"/>
        <v>12</v>
      </c>
      <c r="S272" s="39">
        <f t="shared" si="84"/>
        <v>13.32</v>
      </c>
      <c r="T272" s="39"/>
      <c r="U272" s="39">
        <v>2</v>
      </c>
      <c r="V272" s="39"/>
      <c r="W272" s="39"/>
      <c r="X272" s="39">
        <v>7</v>
      </c>
      <c r="Y272" s="39">
        <f t="shared" si="85"/>
        <v>9</v>
      </c>
      <c r="Z272" s="39">
        <f t="shared" si="86"/>
        <v>21.92</v>
      </c>
      <c r="AA272" s="39">
        <f t="shared" si="87"/>
        <v>50</v>
      </c>
      <c r="AB272" s="39">
        <f t="shared" si="87"/>
        <v>56.120000000000005</v>
      </c>
      <c r="AC272" s="41">
        <f t="shared" si="73"/>
        <v>5924</v>
      </c>
      <c r="AD272" s="82">
        <f t="shared" si="74"/>
        <v>296200</v>
      </c>
      <c r="AE272" s="82">
        <f t="shared" si="75"/>
        <v>332454.88</v>
      </c>
      <c r="AF272" s="82">
        <f t="shared" si="76"/>
        <v>628654.88</v>
      </c>
      <c r="AG272" s="39"/>
      <c r="AH272" s="39"/>
      <c r="AI272" s="79"/>
      <c r="AJ272" s="79"/>
      <c r="AK272" s="79"/>
      <c r="AL272" s="79"/>
      <c r="AM272" s="79"/>
      <c r="AN272" s="79"/>
      <c r="AO272" s="79"/>
      <c r="AP272" s="79"/>
      <c r="AQ272" s="3" t="s">
        <v>503</v>
      </c>
      <c r="AR272" s="3" t="s">
        <v>547</v>
      </c>
      <c r="AS272" s="3" t="s">
        <v>979</v>
      </c>
      <c r="AT272" s="49">
        <v>5924</v>
      </c>
      <c r="AU272" s="3" t="str">
        <f t="shared" si="88"/>
        <v>match</v>
      </c>
      <c r="AV272" s="3" t="str">
        <f t="shared" si="89"/>
        <v>match</v>
      </c>
    </row>
    <row r="273" spans="1:48" ht="12">
      <c r="A273" s="9" t="s">
        <v>503</v>
      </c>
      <c r="B273" s="10" t="s">
        <v>549</v>
      </c>
      <c r="C273" s="56" t="s">
        <v>550</v>
      </c>
      <c r="D273" s="56"/>
      <c r="E273" s="11">
        <v>16</v>
      </c>
      <c r="F273" s="11"/>
      <c r="G273" s="11"/>
      <c r="H273" s="11"/>
      <c r="I273" s="11"/>
      <c r="J273" s="11"/>
      <c r="K273" s="11">
        <f t="shared" si="81"/>
        <v>16</v>
      </c>
      <c r="L273" s="11">
        <f t="shared" si="82"/>
        <v>11.52</v>
      </c>
      <c r="M273" s="11"/>
      <c r="N273" s="11"/>
      <c r="O273" s="11"/>
      <c r="P273" s="11"/>
      <c r="Q273" s="11">
        <v>11</v>
      </c>
      <c r="R273" s="11">
        <f t="shared" si="83"/>
        <v>11</v>
      </c>
      <c r="S273" s="11">
        <f t="shared" si="84"/>
        <v>13.309999999999999</v>
      </c>
      <c r="T273" s="11"/>
      <c r="U273" s="11"/>
      <c r="V273" s="11"/>
      <c r="W273" s="11"/>
      <c r="X273" s="11">
        <v>7</v>
      </c>
      <c r="Y273" s="11">
        <f t="shared" si="85"/>
        <v>7</v>
      </c>
      <c r="Z273" s="11">
        <f t="shared" si="86"/>
        <v>19.18</v>
      </c>
      <c r="AA273" s="11">
        <f t="shared" si="87"/>
        <v>34</v>
      </c>
      <c r="AB273" s="11">
        <f t="shared" si="87"/>
        <v>44.01</v>
      </c>
      <c r="AC273" s="42">
        <f t="shared" si="73"/>
        <v>5883</v>
      </c>
      <c r="AD273" s="83">
        <f t="shared" si="74"/>
        <v>200022</v>
      </c>
      <c r="AE273" s="83">
        <f t="shared" si="75"/>
        <v>258910.83</v>
      </c>
      <c r="AF273" s="83">
        <f t="shared" si="76"/>
        <v>458932.82999999996</v>
      </c>
      <c r="AG273" s="11"/>
      <c r="AH273" s="11"/>
      <c r="AI273" s="78"/>
      <c r="AJ273" s="78"/>
      <c r="AK273" s="78"/>
      <c r="AL273" s="78"/>
      <c r="AM273" s="78"/>
      <c r="AN273" s="78"/>
      <c r="AO273" s="78"/>
      <c r="AP273" s="78"/>
      <c r="AQ273" s="3" t="s">
        <v>503</v>
      </c>
      <c r="AR273" s="3" t="s">
        <v>549</v>
      </c>
      <c r="AS273" s="3" t="s">
        <v>980</v>
      </c>
      <c r="AT273" s="49">
        <v>5883</v>
      </c>
      <c r="AU273" s="3" t="str">
        <f t="shared" si="88"/>
        <v>match</v>
      </c>
      <c r="AV273" s="3" t="str">
        <f t="shared" si="89"/>
        <v>match</v>
      </c>
    </row>
    <row r="274" spans="1:48" ht="12">
      <c r="A274" s="9" t="s">
        <v>503</v>
      </c>
      <c r="B274" s="12" t="s">
        <v>551</v>
      </c>
      <c r="C274" s="13" t="s">
        <v>552</v>
      </c>
      <c r="D274" s="8"/>
      <c r="E274" s="39">
        <v>108</v>
      </c>
      <c r="F274" s="39"/>
      <c r="G274" s="39"/>
      <c r="H274" s="39"/>
      <c r="I274" s="39"/>
      <c r="J274" s="39"/>
      <c r="K274" s="39">
        <f t="shared" si="81"/>
        <v>108</v>
      </c>
      <c r="L274" s="39">
        <f t="shared" si="82"/>
        <v>77.759999999999991</v>
      </c>
      <c r="M274" s="39"/>
      <c r="N274" s="39"/>
      <c r="O274" s="39">
        <v>1</v>
      </c>
      <c r="P274" s="39"/>
      <c r="Q274" s="39">
        <v>19</v>
      </c>
      <c r="R274" s="39">
        <f t="shared" si="83"/>
        <v>20</v>
      </c>
      <c r="S274" s="39">
        <f t="shared" si="84"/>
        <v>24.2</v>
      </c>
      <c r="T274" s="39"/>
      <c r="U274" s="39"/>
      <c r="V274" s="39">
        <v>1</v>
      </c>
      <c r="W274" s="39"/>
      <c r="X274" s="39">
        <v>20</v>
      </c>
      <c r="Y274" s="39">
        <f t="shared" si="85"/>
        <v>21</v>
      </c>
      <c r="Z274" s="39">
        <f t="shared" si="86"/>
        <v>57.540000000000006</v>
      </c>
      <c r="AA274" s="39">
        <f t="shared" si="87"/>
        <v>149</v>
      </c>
      <c r="AB274" s="39">
        <f t="shared" si="87"/>
        <v>159.5</v>
      </c>
      <c r="AC274" s="41">
        <f t="shared" si="73"/>
        <v>5883</v>
      </c>
      <c r="AD274" s="82">
        <f t="shared" si="74"/>
        <v>876567</v>
      </c>
      <c r="AE274" s="82">
        <f t="shared" si="75"/>
        <v>938338.5</v>
      </c>
      <c r="AF274" s="82">
        <f t="shared" si="76"/>
        <v>1814905.5</v>
      </c>
      <c r="AG274" s="39"/>
      <c r="AH274" s="39"/>
      <c r="AI274" s="79"/>
      <c r="AJ274" s="79"/>
      <c r="AK274" s="79"/>
      <c r="AL274" s="79"/>
      <c r="AM274" s="79"/>
      <c r="AN274" s="79"/>
      <c r="AO274" s="79"/>
      <c r="AP274" s="79"/>
      <c r="AQ274" s="3" t="s">
        <v>503</v>
      </c>
      <c r="AR274" s="3" t="s">
        <v>551</v>
      </c>
      <c r="AS274" s="3" t="s">
        <v>981</v>
      </c>
      <c r="AT274" s="49">
        <v>5883</v>
      </c>
      <c r="AU274" s="3" t="str">
        <f t="shared" si="88"/>
        <v>match</v>
      </c>
      <c r="AV274" s="3" t="str">
        <f t="shared" si="89"/>
        <v>match</v>
      </c>
    </row>
    <row r="275" spans="1:48" ht="12">
      <c r="A275" s="9" t="s">
        <v>503</v>
      </c>
      <c r="B275" s="10" t="s">
        <v>553</v>
      </c>
      <c r="C275" s="56" t="s">
        <v>554</v>
      </c>
      <c r="D275" s="56"/>
      <c r="E275" s="11">
        <v>85</v>
      </c>
      <c r="F275" s="11">
        <v>2</v>
      </c>
      <c r="G275" s="11"/>
      <c r="H275" s="11">
        <v>1</v>
      </c>
      <c r="I275" s="11"/>
      <c r="J275" s="11"/>
      <c r="K275" s="11">
        <f t="shared" si="81"/>
        <v>88</v>
      </c>
      <c r="L275" s="11">
        <f t="shared" si="82"/>
        <v>63.36</v>
      </c>
      <c r="M275" s="11"/>
      <c r="N275" s="11">
        <v>3</v>
      </c>
      <c r="O275" s="11">
        <v>6</v>
      </c>
      <c r="P275" s="11"/>
      <c r="Q275" s="11">
        <v>17</v>
      </c>
      <c r="R275" s="11">
        <f t="shared" si="83"/>
        <v>26</v>
      </c>
      <c r="S275" s="11">
        <f t="shared" si="84"/>
        <v>29.659999999999997</v>
      </c>
      <c r="T275" s="11"/>
      <c r="U275" s="11"/>
      <c r="V275" s="11"/>
      <c r="W275" s="11"/>
      <c r="X275" s="11">
        <v>11</v>
      </c>
      <c r="Y275" s="11">
        <f t="shared" si="85"/>
        <v>11</v>
      </c>
      <c r="Z275" s="11">
        <f t="shared" si="86"/>
        <v>30.14</v>
      </c>
      <c r="AA275" s="11">
        <f t="shared" si="87"/>
        <v>125</v>
      </c>
      <c r="AB275" s="11">
        <f t="shared" si="87"/>
        <v>123.16</v>
      </c>
      <c r="AC275" s="42">
        <f t="shared" si="73"/>
        <v>5883</v>
      </c>
      <c r="AD275" s="83">
        <f t="shared" si="74"/>
        <v>735375</v>
      </c>
      <c r="AE275" s="83">
        <f t="shared" si="75"/>
        <v>724550.28</v>
      </c>
      <c r="AF275" s="83">
        <f t="shared" si="76"/>
        <v>1459925.28</v>
      </c>
      <c r="AG275" s="11"/>
      <c r="AH275" s="11"/>
      <c r="AI275" s="78"/>
      <c r="AJ275" s="78"/>
      <c r="AK275" s="78"/>
      <c r="AL275" s="78"/>
      <c r="AM275" s="78"/>
      <c r="AN275" s="78"/>
      <c r="AO275" s="78"/>
      <c r="AP275" s="78"/>
      <c r="AQ275" s="3" t="s">
        <v>503</v>
      </c>
      <c r="AR275" s="3" t="s">
        <v>553</v>
      </c>
      <c r="AS275" s="3" t="s">
        <v>982</v>
      </c>
      <c r="AT275" s="49">
        <v>5883</v>
      </c>
      <c r="AU275" s="3" t="str">
        <f t="shared" si="88"/>
        <v>match</v>
      </c>
      <c r="AV275" s="3" t="str">
        <f t="shared" si="89"/>
        <v>match</v>
      </c>
    </row>
    <row r="276" spans="1:48" ht="12">
      <c r="A276" s="9" t="s">
        <v>503</v>
      </c>
      <c r="B276" s="12" t="s">
        <v>555</v>
      </c>
      <c r="C276" s="13" t="s">
        <v>556</v>
      </c>
      <c r="D276" s="8"/>
      <c r="E276" s="39">
        <v>54</v>
      </c>
      <c r="F276" s="39"/>
      <c r="G276" s="39"/>
      <c r="H276" s="39"/>
      <c r="I276" s="39"/>
      <c r="J276" s="39"/>
      <c r="K276" s="39">
        <f t="shared" si="81"/>
        <v>54</v>
      </c>
      <c r="L276" s="39">
        <f t="shared" si="82"/>
        <v>38.879999999999995</v>
      </c>
      <c r="M276" s="39"/>
      <c r="N276" s="39">
        <v>1</v>
      </c>
      <c r="O276" s="39">
        <v>8</v>
      </c>
      <c r="P276" s="39"/>
      <c r="Q276" s="39">
        <v>5</v>
      </c>
      <c r="R276" s="39">
        <f t="shared" si="83"/>
        <v>14</v>
      </c>
      <c r="S276" s="39">
        <f t="shared" si="84"/>
        <v>16.34</v>
      </c>
      <c r="T276" s="39"/>
      <c r="U276" s="39"/>
      <c r="V276" s="39">
        <v>1</v>
      </c>
      <c r="W276" s="39"/>
      <c r="X276" s="39">
        <v>6</v>
      </c>
      <c r="Y276" s="39">
        <f t="shared" si="85"/>
        <v>7</v>
      </c>
      <c r="Z276" s="39">
        <f t="shared" si="86"/>
        <v>19.18</v>
      </c>
      <c r="AA276" s="39">
        <f t="shared" si="87"/>
        <v>75</v>
      </c>
      <c r="AB276" s="39">
        <f t="shared" si="87"/>
        <v>74.400000000000006</v>
      </c>
      <c r="AC276" s="41">
        <f t="shared" si="73"/>
        <v>5913</v>
      </c>
      <c r="AD276" s="82">
        <f t="shared" si="74"/>
        <v>443475</v>
      </c>
      <c r="AE276" s="82">
        <f t="shared" si="75"/>
        <v>439927.2</v>
      </c>
      <c r="AF276" s="82">
        <f t="shared" si="76"/>
        <v>883402.2</v>
      </c>
      <c r="AG276" s="39"/>
      <c r="AH276" s="39"/>
      <c r="AI276" s="79"/>
      <c r="AJ276" s="79"/>
      <c r="AK276" s="79"/>
      <c r="AL276" s="79"/>
      <c r="AM276" s="79"/>
      <c r="AN276" s="79"/>
      <c r="AO276" s="79"/>
      <c r="AP276" s="79"/>
      <c r="AQ276" s="3" t="s">
        <v>503</v>
      </c>
      <c r="AR276" s="3" t="s">
        <v>555</v>
      </c>
      <c r="AS276" s="3" t="s">
        <v>983</v>
      </c>
      <c r="AT276" s="49">
        <v>5913</v>
      </c>
      <c r="AU276" s="3" t="str">
        <f t="shared" si="88"/>
        <v>match</v>
      </c>
      <c r="AV276" s="3" t="str">
        <f t="shared" si="89"/>
        <v>match</v>
      </c>
    </row>
    <row r="277" spans="1:48" ht="12">
      <c r="A277" s="9" t="s">
        <v>503</v>
      </c>
      <c r="B277" s="10" t="s">
        <v>557</v>
      </c>
      <c r="C277" s="56" t="s">
        <v>558</v>
      </c>
      <c r="D277" s="56"/>
      <c r="E277" s="11">
        <v>74</v>
      </c>
      <c r="F277" s="11"/>
      <c r="G277" s="11"/>
      <c r="H277" s="11"/>
      <c r="I277" s="11"/>
      <c r="J277" s="11"/>
      <c r="K277" s="11">
        <f t="shared" si="81"/>
        <v>74</v>
      </c>
      <c r="L277" s="11">
        <f t="shared" si="82"/>
        <v>53.28</v>
      </c>
      <c r="M277" s="11"/>
      <c r="N277" s="11">
        <v>1</v>
      </c>
      <c r="O277" s="11"/>
      <c r="P277" s="11"/>
      <c r="Q277" s="11">
        <v>22</v>
      </c>
      <c r="R277" s="11">
        <f t="shared" si="83"/>
        <v>23</v>
      </c>
      <c r="S277" s="11">
        <f t="shared" si="84"/>
        <v>27.229999999999997</v>
      </c>
      <c r="T277" s="11"/>
      <c r="U277" s="11"/>
      <c r="V277" s="11">
        <v>2</v>
      </c>
      <c r="W277" s="11"/>
      <c r="X277" s="11">
        <v>13</v>
      </c>
      <c r="Y277" s="11">
        <f t="shared" si="85"/>
        <v>15</v>
      </c>
      <c r="Z277" s="11">
        <f t="shared" si="86"/>
        <v>41.1</v>
      </c>
      <c r="AA277" s="11">
        <f t="shared" si="87"/>
        <v>112</v>
      </c>
      <c r="AB277" s="11">
        <f t="shared" si="87"/>
        <v>121.60999999999999</v>
      </c>
      <c r="AC277" s="42">
        <f t="shared" si="73"/>
        <v>5883</v>
      </c>
      <c r="AD277" s="83">
        <f t="shared" si="74"/>
        <v>658896</v>
      </c>
      <c r="AE277" s="83">
        <f t="shared" si="75"/>
        <v>715431.62999999989</v>
      </c>
      <c r="AF277" s="83">
        <f t="shared" si="76"/>
        <v>1374327.63</v>
      </c>
      <c r="AG277" s="11"/>
      <c r="AH277" s="11"/>
      <c r="AI277" s="78"/>
      <c r="AJ277" s="78"/>
      <c r="AK277" s="78"/>
      <c r="AL277" s="78"/>
      <c r="AM277" s="78"/>
      <c r="AN277" s="78"/>
      <c r="AO277" s="78"/>
      <c r="AP277" s="78"/>
      <c r="AQ277" s="3" t="s">
        <v>503</v>
      </c>
      <c r="AR277" s="3" t="s">
        <v>557</v>
      </c>
      <c r="AS277" s="3" t="s">
        <v>984</v>
      </c>
      <c r="AT277" s="49">
        <v>5883</v>
      </c>
      <c r="AU277" s="3" t="str">
        <f t="shared" si="88"/>
        <v>match</v>
      </c>
      <c r="AV277" s="3" t="str">
        <f t="shared" si="89"/>
        <v>match</v>
      </c>
    </row>
    <row r="278" spans="1:48" ht="12">
      <c r="A278" s="9" t="s">
        <v>503</v>
      </c>
      <c r="B278" s="12" t="s">
        <v>559</v>
      </c>
      <c r="C278" s="13" t="s">
        <v>560</v>
      </c>
      <c r="D278" s="8"/>
      <c r="E278" s="39">
        <v>1121</v>
      </c>
      <c r="F278" s="39"/>
      <c r="G278" s="39"/>
      <c r="H278" s="39"/>
      <c r="I278" s="39"/>
      <c r="J278" s="39"/>
      <c r="K278" s="39">
        <f t="shared" si="81"/>
        <v>1121</v>
      </c>
      <c r="L278" s="39">
        <f t="shared" si="82"/>
        <v>807.12</v>
      </c>
      <c r="M278" s="39"/>
      <c r="N278" s="39">
        <v>7</v>
      </c>
      <c r="O278" s="39">
        <v>64</v>
      </c>
      <c r="P278" s="39"/>
      <c r="Q278" s="39">
        <v>483</v>
      </c>
      <c r="R278" s="39">
        <f t="shared" si="83"/>
        <v>554</v>
      </c>
      <c r="S278" s="39">
        <f t="shared" si="84"/>
        <v>666.14</v>
      </c>
      <c r="T278" s="39"/>
      <c r="U278" s="39">
        <v>13</v>
      </c>
      <c r="V278" s="39">
        <v>20</v>
      </c>
      <c r="W278" s="39"/>
      <c r="X278" s="39">
        <v>202</v>
      </c>
      <c r="Y278" s="39">
        <f t="shared" si="85"/>
        <v>235</v>
      </c>
      <c r="Z278" s="39">
        <f t="shared" si="86"/>
        <v>626.09000000000015</v>
      </c>
      <c r="AA278" s="39">
        <f t="shared" si="87"/>
        <v>1910</v>
      </c>
      <c r="AB278" s="39">
        <f t="shared" si="87"/>
        <v>2099.3500000000004</v>
      </c>
      <c r="AC278" s="41">
        <f t="shared" si="73"/>
        <v>5883</v>
      </c>
      <c r="AD278" s="82">
        <f t="shared" si="74"/>
        <v>11236530</v>
      </c>
      <c r="AE278" s="82">
        <f t="shared" si="75"/>
        <v>12350476.050000003</v>
      </c>
      <c r="AF278" s="82">
        <f t="shared" si="76"/>
        <v>23587006.050000004</v>
      </c>
      <c r="AG278" s="39"/>
      <c r="AH278" s="39"/>
      <c r="AI278" s="79"/>
      <c r="AJ278" s="79"/>
      <c r="AK278" s="79"/>
      <c r="AL278" s="79"/>
      <c r="AM278" s="79"/>
      <c r="AN278" s="79"/>
      <c r="AO278" s="79"/>
      <c r="AP278" s="79"/>
      <c r="AQ278" s="3" t="s">
        <v>503</v>
      </c>
      <c r="AR278" s="3" t="s">
        <v>559</v>
      </c>
      <c r="AS278" s="3" t="s">
        <v>985</v>
      </c>
      <c r="AT278" s="49">
        <v>5883</v>
      </c>
      <c r="AU278" s="3" t="str">
        <f t="shared" si="88"/>
        <v>match</v>
      </c>
      <c r="AV278" s="3" t="str">
        <f t="shared" si="89"/>
        <v>match</v>
      </c>
    </row>
    <row r="279" spans="1:48" ht="12">
      <c r="A279" s="9" t="s">
        <v>503</v>
      </c>
      <c r="B279" s="10" t="s">
        <v>561</v>
      </c>
      <c r="C279" s="56" t="s">
        <v>562</v>
      </c>
      <c r="D279" s="56"/>
      <c r="E279" s="11">
        <v>69</v>
      </c>
      <c r="F279" s="11"/>
      <c r="G279" s="11"/>
      <c r="H279" s="11"/>
      <c r="I279" s="11"/>
      <c r="J279" s="11"/>
      <c r="K279" s="11">
        <f t="shared" si="81"/>
        <v>69</v>
      </c>
      <c r="L279" s="11">
        <f t="shared" si="82"/>
        <v>49.68</v>
      </c>
      <c r="M279" s="11"/>
      <c r="N279" s="11">
        <v>4</v>
      </c>
      <c r="O279" s="11">
        <v>8</v>
      </c>
      <c r="P279" s="11"/>
      <c r="Q279" s="11">
        <v>15</v>
      </c>
      <c r="R279" s="11">
        <f t="shared" si="83"/>
        <v>27</v>
      </c>
      <c r="S279" s="11">
        <f t="shared" si="84"/>
        <v>30.27</v>
      </c>
      <c r="T279" s="11"/>
      <c r="U279" s="11">
        <v>1</v>
      </c>
      <c r="V279" s="11"/>
      <c r="W279" s="11"/>
      <c r="X279" s="11">
        <v>7</v>
      </c>
      <c r="Y279" s="11">
        <f t="shared" si="85"/>
        <v>8</v>
      </c>
      <c r="Z279" s="11">
        <f t="shared" si="86"/>
        <v>20.55</v>
      </c>
      <c r="AA279" s="11">
        <f t="shared" si="87"/>
        <v>104</v>
      </c>
      <c r="AB279" s="11">
        <f t="shared" si="87"/>
        <v>100.5</v>
      </c>
      <c r="AC279" s="42">
        <f t="shared" si="73"/>
        <v>5936</v>
      </c>
      <c r="AD279" s="83">
        <f t="shared" si="74"/>
        <v>617344</v>
      </c>
      <c r="AE279" s="83">
        <f t="shared" si="75"/>
        <v>596568</v>
      </c>
      <c r="AF279" s="83">
        <f t="shared" si="76"/>
        <v>1213912</v>
      </c>
      <c r="AG279" s="11"/>
      <c r="AH279" s="11"/>
      <c r="AI279" s="78"/>
      <c r="AJ279" s="78"/>
      <c r="AK279" s="78"/>
      <c r="AL279" s="78"/>
      <c r="AM279" s="78"/>
      <c r="AN279" s="78"/>
      <c r="AO279" s="78"/>
      <c r="AP279" s="78"/>
      <c r="AQ279" s="3" t="s">
        <v>503</v>
      </c>
      <c r="AR279" s="3" t="s">
        <v>561</v>
      </c>
      <c r="AS279" s="3" t="s">
        <v>562</v>
      </c>
      <c r="AT279" s="49">
        <v>5936</v>
      </c>
      <c r="AU279" s="3" t="str">
        <f t="shared" si="88"/>
        <v>match</v>
      </c>
      <c r="AV279" s="3" t="str">
        <f t="shared" si="89"/>
        <v>match</v>
      </c>
    </row>
    <row r="280" spans="1:48" ht="12">
      <c r="A280" s="9" t="s">
        <v>503</v>
      </c>
      <c r="B280" s="12" t="s">
        <v>563</v>
      </c>
      <c r="C280" s="13" t="s">
        <v>564</v>
      </c>
      <c r="D280" s="8"/>
      <c r="E280" s="39">
        <v>55</v>
      </c>
      <c r="F280" s="39"/>
      <c r="G280" s="39"/>
      <c r="H280" s="39"/>
      <c r="I280" s="39"/>
      <c r="J280" s="39"/>
      <c r="K280" s="39">
        <f t="shared" si="81"/>
        <v>55</v>
      </c>
      <c r="L280" s="39">
        <f t="shared" si="82"/>
        <v>39.6</v>
      </c>
      <c r="M280" s="39"/>
      <c r="N280" s="39">
        <v>1</v>
      </c>
      <c r="O280" s="39">
        <v>3</v>
      </c>
      <c r="P280" s="39"/>
      <c r="Q280" s="39">
        <v>7</v>
      </c>
      <c r="R280" s="39">
        <f t="shared" si="83"/>
        <v>11</v>
      </c>
      <c r="S280" s="39">
        <f t="shared" si="84"/>
        <v>12.709999999999999</v>
      </c>
      <c r="T280" s="39"/>
      <c r="U280" s="39"/>
      <c r="V280" s="39"/>
      <c r="W280" s="39"/>
      <c r="X280" s="39">
        <v>6</v>
      </c>
      <c r="Y280" s="39">
        <f t="shared" si="85"/>
        <v>6</v>
      </c>
      <c r="Z280" s="39">
        <f t="shared" si="86"/>
        <v>16.440000000000001</v>
      </c>
      <c r="AA280" s="39">
        <f t="shared" si="87"/>
        <v>72</v>
      </c>
      <c r="AB280" s="39">
        <f t="shared" si="87"/>
        <v>68.75</v>
      </c>
      <c r="AC280" s="41">
        <f t="shared" si="73"/>
        <v>5883</v>
      </c>
      <c r="AD280" s="82">
        <f t="shared" si="74"/>
        <v>423576</v>
      </c>
      <c r="AE280" s="82">
        <f t="shared" si="75"/>
        <v>404456.25</v>
      </c>
      <c r="AF280" s="82">
        <f t="shared" si="76"/>
        <v>828032.25</v>
      </c>
      <c r="AG280" s="39"/>
      <c r="AH280" s="39"/>
      <c r="AI280" s="79"/>
      <c r="AJ280" s="79"/>
      <c r="AK280" s="79"/>
      <c r="AL280" s="79"/>
      <c r="AM280" s="79"/>
      <c r="AN280" s="79"/>
      <c r="AO280" s="79"/>
      <c r="AP280" s="79"/>
      <c r="AQ280" s="3" t="s">
        <v>503</v>
      </c>
      <c r="AR280" s="3" t="s">
        <v>563</v>
      </c>
      <c r="AS280" s="3" t="s">
        <v>986</v>
      </c>
      <c r="AT280" s="49">
        <v>5883</v>
      </c>
      <c r="AU280" s="3" t="str">
        <f t="shared" si="88"/>
        <v>match</v>
      </c>
      <c r="AV280" s="3" t="str">
        <f t="shared" si="89"/>
        <v>match</v>
      </c>
    </row>
    <row r="281" spans="1:48" ht="12">
      <c r="A281" s="9" t="s">
        <v>503</v>
      </c>
      <c r="B281" s="10" t="s">
        <v>565</v>
      </c>
      <c r="C281" s="56" t="s">
        <v>566</v>
      </c>
      <c r="D281" s="56"/>
      <c r="E281" s="11">
        <v>63</v>
      </c>
      <c r="F281" s="11"/>
      <c r="G281" s="11"/>
      <c r="H281" s="11"/>
      <c r="I281" s="11"/>
      <c r="J281" s="11"/>
      <c r="K281" s="11">
        <f t="shared" si="81"/>
        <v>63</v>
      </c>
      <c r="L281" s="11">
        <f t="shared" si="82"/>
        <v>45.36</v>
      </c>
      <c r="M281" s="11"/>
      <c r="N281" s="11"/>
      <c r="O281" s="11">
        <v>5</v>
      </c>
      <c r="P281" s="11"/>
      <c r="Q281" s="11">
        <v>24</v>
      </c>
      <c r="R281" s="11">
        <f t="shared" si="83"/>
        <v>29</v>
      </c>
      <c r="S281" s="11">
        <f t="shared" si="84"/>
        <v>35.089999999999996</v>
      </c>
      <c r="T281" s="11"/>
      <c r="U281" s="11">
        <v>1</v>
      </c>
      <c r="V281" s="11"/>
      <c r="W281" s="11"/>
      <c r="X281" s="11">
        <v>17</v>
      </c>
      <c r="Y281" s="11">
        <f t="shared" si="85"/>
        <v>18</v>
      </c>
      <c r="Z281" s="11">
        <f t="shared" si="86"/>
        <v>47.95</v>
      </c>
      <c r="AA281" s="11">
        <f t="shared" si="87"/>
        <v>110</v>
      </c>
      <c r="AB281" s="11">
        <f t="shared" si="87"/>
        <v>128.39999999999998</v>
      </c>
      <c r="AC281" s="42">
        <f t="shared" si="73"/>
        <v>5892</v>
      </c>
      <c r="AD281" s="83">
        <f t="shared" si="74"/>
        <v>648120</v>
      </c>
      <c r="AE281" s="83">
        <f t="shared" si="75"/>
        <v>756532.79999999981</v>
      </c>
      <c r="AF281" s="83">
        <f t="shared" si="76"/>
        <v>1404652.7999999998</v>
      </c>
      <c r="AG281" s="11"/>
      <c r="AH281" s="11"/>
      <c r="AI281" s="78"/>
      <c r="AJ281" s="78"/>
      <c r="AK281" s="78"/>
      <c r="AL281" s="78"/>
      <c r="AM281" s="78"/>
      <c r="AN281" s="78"/>
      <c r="AO281" s="78"/>
      <c r="AP281" s="78"/>
      <c r="AQ281" s="3" t="s">
        <v>503</v>
      </c>
      <c r="AR281" s="3" t="s">
        <v>565</v>
      </c>
      <c r="AS281" s="3" t="s">
        <v>987</v>
      </c>
      <c r="AT281" s="49">
        <v>5892</v>
      </c>
      <c r="AU281" s="3" t="str">
        <f t="shared" si="88"/>
        <v>match</v>
      </c>
      <c r="AV281" s="3" t="str">
        <f t="shared" si="89"/>
        <v>match</v>
      </c>
    </row>
    <row r="282" spans="1:48" ht="12">
      <c r="A282" s="9" t="s">
        <v>503</v>
      </c>
      <c r="B282" s="12" t="s">
        <v>567</v>
      </c>
      <c r="C282" s="13" t="s">
        <v>568</v>
      </c>
      <c r="D282" s="8"/>
      <c r="E282" s="39">
        <v>61</v>
      </c>
      <c r="F282" s="39"/>
      <c r="G282" s="39"/>
      <c r="H282" s="39"/>
      <c r="I282" s="39"/>
      <c r="J282" s="39"/>
      <c r="K282" s="39">
        <f t="shared" si="81"/>
        <v>61</v>
      </c>
      <c r="L282" s="39">
        <f t="shared" si="82"/>
        <v>43.92</v>
      </c>
      <c r="M282" s="39"/>
      <c r="N282" s="39"/>
      <c r="O282" s="39">
        <v>1</v>
      </c>
      <c r="P282" s="39"/>
      <c r="Q282" s="39">
        <v>19</v>
      </c>
      <c r="R282" s="39">
        <f t="shared" si="83"/>
        <v>20</v>
      </c>
      <c r="S282" s="39">
        <f t="shared" si="84"/>
        <v>24.2</v>
      </c>
      <c r="T282" s="39"/>
      <c r="U282" s="39">
        <v>1</v>
      </c>
      <c r="V282" s="39"/>
      <c r="W282" s="39"/>
      <c r="X282" s="39">
        <v>18</v>
      </c>
      <c r="Y282" s="39">
        <f t="shared" si="85"/>
        <v>19</v>
      </c>
      <c r="Z282" s="39">
        <f t="shared" si="86"/>
        <v>50.690000000000005</v>
      </c>
      <c r="AA282" s="39">
        <f t="shared" si="87"/>
        <v>100</v>
      </c>
      <c r="AB282" s="39">
        <f t="shared" si="87"/>
        <v>118.81</v>
      </c>
      <c r="AC282" s="41">
        <f t="shared" si="73"/>
        <v>5906</v>
      </c>
      <c r="AD282" s="82">
        <f t="shared" si="74"/>
        <v>590600</v>
      </c>
      <c r="AE282" s="82">
        <f t="shared" si="75"/>
        <v>701691.86</v>
      </c>
      <c r="AF282" s="82">
        <f t="shared" si="76"/>
        <v>1292291.8599999999</v>
      </c>
      <c r="AG282" s="39"/>
      <c r="AH282" s="39"/>
      <c r="AI282" s="79"/>
      <c r="AJ282" s="79"/>
      <c r="AK282" s="79"/>
      <c r="AL282" s="79"/>
      <c r="AM282" s="79"/>
      <c r="AN282" s="79"/>
      <c r="AO282" s="79"/>
      <c r="AP282" s="79"/>
      <c r="AQ282" s="3" t="s">
        <v>503</v>
      </c>
      <c r="AR282" s="3" t="s">
        <v>567</v>
      </c>
      <c r="AS282" s="3" t="s">
        <v>988</v>
      </c>
      <c r="AT282" s="49">
        <v>5906</v>
      </c>
      <c r="AU282" s="3" t="str">
        <f t="shared" si="88"/>
        <v>match</v>
      </c>
      <c r="AV282" s="3" t="str">
        <f t="shared" si="89"/>
        <v>match</v>
      </c>
    </row>
    <row r="283" spans="1:48" ht="12">
      <c r="A283" s="9" t="s">
        <v>503</v>
      </c>
      <c r="B283" s="10" t="s">
        <v>569</v>
      </c>
      <c r="C283" s="56" t="s">
        <v>570</v>
      </c>
      <c r="D283" s="56"/>
      <c r="E283" s="11">
        <v>65</v>
      </c>
      <c r="F283" s="11"/>
      <c r="G283" s="11"/>
      <c r="H283" s="11"/>
      <c r="I283" s="11"/>
      <c r="J283" s="11"/>
      <c r="K283" s="11">
        <f t="shared" si="81"/>
        <v>65</v>
      </c>
      <c r="L283" s="11">
        <f t="shared" si="82"/>
        <v>46.8</v>
      </c>
      <c r="M283" s="11"/>
      <c r="N283" s="11">
        <v>1</v>
      </c>
      <c r="O283" s="11">
        <v>1</v>
      </c>
      <c r="P283" s="11"/>
      <c r="Q283" s="11">
        <v>8</v>
      </c>
      <c r="R283" s="11">
        <f t="shared" si="83"/>
        <v>10</v>
      </c>
      <c r="S283" s="11">
        <f t="shared" si="84"/>
        <v>11.5</v>
      </c>
      <c r="T283" s="11"/>
      <c r="U283" s="11"/>
      <c r="V283" s="11">
        <v>3</v>
      </c>
      <c r="W283" s="11"/>
      <c r="X283" s="11">
        <v>14</v>
      </c>
      <c r="Y283" s="11">
        <f t="shared" si="85"/>
        <v>17</v>
      </c>
      <c r="Z283" s="11">
        <f t="shared" si="86"/>
        <v>46.580000000000005</v>
      </c>
      <c r="AA283" s="11">
        <f t="shared" si="87"/>
        <v>92</v>
      </c>
      <c r="AB283" s="11">
        <f t="shared" si="87"/>
        <v>104.88</v>
      </c>
      <c r="AC283" s="42">
        <f t="shared" si="73"/>
        <v>5912</v>
      </c>
      <c r="AD283" s="83">
        <f t="shared" si="74"/>
        <v>543904</v>
      </c>
      <c r="AE283" s="83">
        <f t="shared" si="75"/>
        <v>620050.55999999994</v>
      </c>
      <c r="AF283" s="83">
        <f t="shared" si="76"/>
        <v>1163954.56</v>
      </c>
      <c r="AG283" s="11"/>
      <c r="AH283" s="11"/>
      <c r="AI283" s="78"/>
      <c r="AJ283" s="78"/>
      <c r="AK283" s="78"/>
      <c r="AL283" s="78"/>
      <c r="AM283" s="78"/>
      <c r="AN283" s="78"/>
      <c r="AO283" s="78"/>
      <c r="AP283" s="78"/>
      <c r="AQ283" s="3" t="s">
        <v>503</v>
      </c>
      <c r="AR283" s="3" t="s">
        <v>569</v>
      </c>
      <c r="AS283" s="3" t="s">
        <v>989</v>
      </c>
      <c r="AT283" s="49">
        <v>5912</v>
      </c>
      <c r="AU283" s="3" t="str">
        <f t="shared" si="88"/>
        <v>match</v>
      </c>
      <c r="AV283" s="3" t="str">
        <f t="shared" si="89"/>
        <v>match</v>
      </c>
    </row>
    <row r="284" spans="1:48" ht="12">
      <c r="A284" s="9" t="s">
        <v>503</v>
      </c>
      <c r="B284" s="12" t="s">
        <v>571</v>
      </c>
      <c r="C284" s="13" t="s">
        <v>572</v>
      </c>
      <c r="D284" s="8"/>
      <c r="E284" s="39">
        <v>10</v>
      </c>
      <c r="F284" s="39"/>
      <c r="G284" s="39"/>
      <c r="H284" s="39"/>
      <c r="I284" s="39"/>
      <c r="J284" s="39"/>
      <c r="K284" s="39">
        <f t="shared" si="81"/>
        <v>10</v>
      </c>
      <c r="L284" s="39">
        <f t="shared" si="82"/>
        <v>7.1999999999999993</v>
      </c>
      <c r="M284" s="39"/>
      <c r="N284" s="39"/>
      <c r="O284" s="39"/>
      <c r="P284" s="39"/>
      <c r="Q284" s="39">
        <v>7</v>
      </c>
      <c r="R284" s="39">
        <f t="shared" si="83"/>
        <v>7</v>
      </c>
      <c r="S284" s="39">
        <f t="shared" si="84"/>
        <v>8.4699999999999989</v>
      </c>
      <c r="T284" s="39"/>
      <c r="U284" s="39"/>
      <c r="V284" s="39">
        <v>1</v>
      </c>
      <c r="W284" s="39"/>
      <c r="X284" s="39">
        <v>3</v>
      </c>
      <c r="Y284" s="39">
        <f t="shared" si="85"/>
        <v>4</v>
      </c>
      <c r="Z284" s="39">
        <f t="shared" si="86"/>
        <v>10.96</v>
      </c>
      <c r="AA284" s="39">
        <f t="shared" si="87"/>
        <v>21</v>
      </c>
      <c r="AB284" s="39">
        <f t="shared" si="87"/>
        <v>26.63</v>
      </c>
      <c r="AC284" s="41">
        <f t="shared" ref="AC284:AC347" si="90">+AT284</f>
        <v>5883</v>
      </c>
      <c r="AD284" s="82">
        <f t="shared" si="74"/>
        <v>123543</v>
      </c>
      <c r="AE284" s="82">
        <f t="shared" si="75"/>
        <v>156664.29</v>
      </c>
      <c r="AF284" s="82">
        <f t="shared" si="76"/>
        <v>280207.29000000004</v>
      </c>
      <c r="AG284" s="39"/>
      <c r="AH284" s="39"/>
      <c r="AI284" s="79"/>
      <c r="AJ284" s="79"/>
      <c r="AK284" s="79"/>
      <c r="AL284" s="79"/>
      <c r="AM284" s="79"/>
      <c r="AN284" s="79"/>
      <c r="AO284" s="79"/>
      <c r="AP284" s="79"/>
      <c r="AQ284" s="3" t="s">
        <v>503</v>
      </c>
      <c r="AR284" s="3" t="s">
        <v>571</v>
      </c>
      <c r="AS284" s="3" t="s">
        <v>990</v>
      </c>
      <c r="AT284" s="49">
        <v>5883</v>
      </c>
      <c r="AU284" s="3" t="str">
        <f t="shared" si="88"/>
        <v>match</v>
      </c>
      <c r="AV284" s="3" t="str">
        <f t="shared" si="89"/>
        <v>match</v>
      </c>
    </row>
    <row r="285" spans="1:48" ht="12.75" thickBot="1">
      <c r="A285" s="9" t="s">
        <v>503</v>
      </c>
      <c r="B285" s="10" t="s">
        <v>573</v>
      </c>
      <c r="C285" s="56" t="s">
        <v>574</v>
      </c>
      <c r="D285" s="56"/>
      <c r="E285" s="11">
        <v>24</v>
      </c>
      <c r="F285" s="11"/>
      <c r="G285" s="11"/>
      <c r="H285" s="11"/>
      <c r="I285" s="11"/>
      <c r="J285" s="11"/>
      <c r="K285" s="11">
        <f t="shared" si="81"/>
        <v>24</v>
      </c>
      <c r="L285" s="11">
        <f t="shared" si="82"/>
        <v>17.28</v>
      </c>
      <c r="M285" s="11"/>
      <c r="N285" s="11"/>
      <c r="O285" s="11">
        <v>1</v>
      </c>
      <c r="P285" s="11"/>
      <c r="Q285" s="11">
        <v>11</v>
      </c>
      <c r="R285" s="11">
        <f t="shared" si="83"/>
        <v>12</v>
      </c>
      <c r="S285" s="11">
        <f t="shared" si="84"/>
        <v>14.52</v>
      </c>
      <c r="T285" s="11"/>
      <c r="U285" s="11"/>
      <c r="V285" s="11">
        <v>3</v>
      </c>
      <c r="W285" s="11"/>
      <c r="X285" s="11">
        <v>5</v>
      </c>
      <c r="Y285" s="11">
        <f t="shared" si="85"/>
        <v>8</v>
      </c>
      <c r="Z285" s="11">
        <f t="shared" si="86"/>
        <v>21.92</v>
      </c>
      <c r="AA285" s="11">
        <f t="shared" si="87"/>
        <v>44</v>
      </c>
      <c r="AB285" s="11">
        <f t="shared" si="87"/>
        <v>53.72</v>
      </c>
      <c r="AC285" s="42">
        <f t="shared" si="90"/>
        <v>5883</v>
      </c>
      <c r="AD285" s="83">
        <f t="shared" si="74"/>
        <v>258852</v>
      </c>
      <c r="AE285" s="83">
        <f t="shared" si="75"/>
        <v>316034.76</v>
      </c>
      <c r="AF285" s="83">
        <f t="shared" si="76"/>
        <v>574886.76</v>
      </c>
      <c r="AG285" s="11"/>
      <c r="AH285" s="11"/>
      <c r="AI285" s="78"/>
      <c r="AJ285" s="78"/>
      <c r="AK285" s="78"/>
      <c r="AL285" s="78"/>
      <c r="AM285" s="78"/>
      <c r="AN285" s="78"/>
      <c r="AO285" s="78"/>
      <c r="AP285" s="78"/>
      <c r="AQ285" s="3" t="s">
        <v>503</v>
      </c>
      <c r="AR285" s="3" t="s">
        <v>573</v>
      </c>
      <c r="AS285" s="3" t="s">
        <v>991</v>
      </c>
      <c r="AT285" s="49">
        <v>5883</v>
      </c>
      <c r="AU285" s="3" t="str">
        <f t="shared" si="88"/>
        <v>match</v>
      </c>
      <c r="AV285" s="3" t="str">
        <f t="shared" si="89"/>
        <v>match</v>
      </c>
    </row>
    <row r="286" spans="1:48" ht="12.75" thickBot="1">
      <c r="A286" s="17">
        <v>12</v>
      </c>
      <c r="B286" s="17">
        <v>9212</v>
      </c>
      <c r="C286" s="18" t="s">
        <v>575</v>
      </c>
      <c r="D286" s="93"/>
      <c r="E286" s="19">
        <f>SUM(E250:E285)</f>
        <v>2936</v>
      </c>
      <c r="F286" s="19">
        <f t="shared" ref="F286:AB286" si="91">SUM(F250:F285)</f>
        <v>6</v>
      </c>
      <c r="G286" s="19">
        <f t="shared" si="91"/>
        <v>0</v>
      </c>
      <c r="H286" s="19">
        <f t="shared" si="91"/>
        <v>3</v>
      </c>
      <c r="I286" s="19">
        <f t="shared" si="91"/>
        <v>0</v>
      </c>
      <c r="J286" s="19">
        <f t="shared" si="91"/>
        <v>0</v>
      </c>
      <c r="K286" s="19">
        <f t="shared" si="91"/>
        <v>2945</v>
      </c>
      <c r="L286" s="19">
        <f t="shared" si="91"/>
        <v>2120.4</v>
      </c>
      <c r="M286" s="19">
        <f t="shared" si="91"/>
        <v>0</v>
      </c>
      <c r="N286" s="19">
        <f t="shared" si="91"/>
        <v>51</v>
      </c>
      <c r="O286" s="19">
        <f t="shared" si="91"/>
        <v>160</v>
      </c>
      <c r="P286" s="19">
        <f t="shared" si="91"/>
        <v>0</v>
      </c>
      <c r="Q286" s="19">
        <f t="shared" si="91"/>
        <v>957</v>
      </c>
      <c r="R286" s="19">
        <f t="shared" si="91"/>
        <v>1168</v>
      </c>
      <c r="S286" s="19">
        <f t="shared" si="91"/>
        <v>1382.68</v>
      </c>
      <c r="T286" s="19">
        <f t="shared" si="91"/>
        <v>0</v>
      </c>
      <c r="U286" s="19">
        <f t="shared" si="91"/>
        <v>27</v>
      </c>
      <c r="V286" s="19">
        <f t="shared" si="91"/>
        <v>51</v>
      </c>
      <c r="W286" s="19">
        <f t="shared" si="91"/>
        <v>0</v>
      </c>
      <c r="X286" s="19">
        <f t="shared" si="91"/>
        <v>530</v>
      </c>
      <c r="Y286" s="19">
        <f t="shared" si="91"/>
        <v>608</v>
      </c>
      <c r="Z286" s="19">
        <f t="shared" si="91"/>
        <v>1628.9300000000003</v>
      </c>
      <c r="AA286" s="19">
        <f t="shared" si="91"/>
        <v>4721</v>
      </c>
      <c r="AB286" s="19">
        <f t="shared" si="91"/>
        <v>5132.01</v>
      </c>
      <c r="AC286" s="50">
        <f t="shared" si="90"/>
        <v>0</v>
      </c>
      <c r="AD286" s="43">
        <f t="shared" ref="AD286" si="92">SUM(AD250:AD285)</f>
        <v>27833265</v>
      </c>
      <c r="AE286" s="43">
        <f t="shared" ref="AE286" si="93">SUM(AE250:AE285)</f>
        <v>30255115.680000003</v>
      </c>
      <c r="AF286" s="43">
        <f t="shared" ref="AF286" si="94">SUM(AF250:AF285)</f>
        <v>58088380.679999992</v>
      </c>
      <c r="AG286" s="19"/>
      <c r="AH286" s="19"/>
      <c r="AI286" s="80"/>
      <c r="AJ286" s="80"/>
      <c r="AK286" s="80"/>
      <c r="AL286" s="80"/>
      <c r="AM286" s="80"/>
      <c r="AN286" s="80"/>
      <c r="AO286" s="80"/>
      <c r="AP286" s="80"/>
      <c r="AS286" s="3" t="s">
        <v>575</v>
      </c>
      <c r="AT286" s="49"/>
      <c r="AU286" s="3" t="str">
        <f t="shared" si="88"/>
        <v>not</v>
      </c>
      <c r="AV286" s="3" t="str">
        <f t="shared" si="89"/>
        <v>match</v>
      </c>
    </row>
    <row r="287" spans="1:48" ht="12">
      <c r="A287" s="9" t="s">
        <v>576</v>
      </c>
      <c r="B287" s="12" t="s">
        <v>577</v>
      </c>
      <c r="C287" s="13" t="s">
        <v>578</v>
      </c>
      <c r="D287" s="8"/>
      <c r="E287" s="39">
        <v>39</v>
      </c>
      <c r="F287" s="39"/>
      <c r="G287" s="39"/>
      <c r="H287" s="39"/>
      <c r="I287" s="39"/>
      <c r="J287" s="39"/>
      <c r="K287" s="39">
        <f t="shared" si="81"/>
        <v>39</v>
      </c>
      <c r="L287" s="39">
        <f t="shared" si="82"/>
        <v>28.08</v>
      </c>
      <c r="M287" s="39"/>
      <c r="N287" s="39">
        <v>3</v>
      </c>
      <c r="O287" s="39"/>
      <c r="P287" s="39"/>
      <c r="Q287" s="39">
        <v>3</v>
      </c>
      <c r="R287" s="39">
        <f t="shared" si="83"/>
        <v>6</v>
      </c>
      <c r="S287" s="39">
        <f t="shared" si="84"/>
        <v>5.46</v>
      </c>
      <c r="T287" s="39"/>
      <c r="U287" s="39">
        <v>1</v>
      </c>
      <c r="V287" s="39"/>
      <c r="W287" s="39"/>
      <c r="X287" s="39">
        <v>4</v>
      </c>
      <c r="Y287" s="39">
        <f t="shared" si="85"/>
        <v>5</v>
      </c>
      <c r="Z287" s="39">
        <f t="shared" si="86"/>
        <v>12.330000000000002</v>
      </c>
      <c r="AA287" s="39">
        <f t="shared" si="87"/>
        <v>50</v>
      </c>
      <c r="AB287" s="39">
        <f t="shared" si="87"/>
        <v>45.870000000000005</v>
      </c>
      <c r="AC287" s="41">
        <f t="shared" si="90"/>
        <v>5971</v>
      </c>
      <c r="AD287" s="82">
        <f t="shared" si="74"/>
        <v>298550</v>
      </c>
      <c r="AE287" s="82">
        <f t="shared" si="75"/>
        <v>273889.77</v>
      </c>
      <c r="AF287" s="82">
        <f t="shared" si="76"/>
        <v>572439.77</v>
      </c>
      <c r="AG287" s="39"/>
      <c r="AH287" s="39"/>
      <c r="AI287" s="79"/>
      <c r="AJ287" s="79"/>
      <c r="AK287" s="79"/>
      <c r="AL287" s="79"/>
      <c r="AM287" s="79"/>
      <c r="AN287" s="79"/>
      <c r="AO287" s="79"/>
      <c r="AP287" s="79"/>
      <c r="AQ287" s="3" t="s">
        <v>576</v>
      </c>
      <c r="AR287" s="3" t="s">
        <v>577</v>
      </c>
      <c r="AS287" s="3" t="s">
        <v>992</v>
      </c>
      <c r="AT287" s="49">
        <v>5971</v>
      </c>
      <c r="AU287" s="3" t="str">
        <f t="shared" ref="AU287:AU337" si="95">IF(AR287=B287,"match","not")</f>
        <v>match</v>
      </c>
      <c r="AV287" s="3" t="str">
        <f t="shared" ref="AV287:AV337" si="96">IF(AS287=C287,"match","not")</f>
        <v>match</v>
      </c>
    </row>
    <row r="288" spans="1:48" ht="12">
      <c r="A288" s="9" t="s">
        <v>576</v>
      </c>
      <c r="B288" s="10" t="s">
        <v>579</v>
      </c>
      <c r="C288" s="56" t="s">
        <v>580</v>
      </c>
      <c r="D288" s="56"/>
      <c r="E288" s="11">
        <v>154</v>
      </c>
      <c r="F288" s="11"/>
      <c r="G288" s="11"/>
      <c r="H288" s="11"/>
      <c r="I288" s="11"/>
      <c r="J288" s="11"/>
      <c r="K288" s="11">
        <f t="shared" si="81"/>
        <v>154</v>
      </c>
      <c r="L288" s="11">
        <f t="shared" si="82"/>
        <v>110.88</v>
      </c>
      <c r="M288" s="11"/>
      <c r="N288" s="11">
        <v>17</v>
      </c>
      <c r="O288" s="11">
        <v>3</v>
      </c>
      <c r="P288" s="11"/>
      <c r="Q288" s="11">
        <v>16</v>
      </c>
      <c r="R288" s="11">
        <f t="shared" si="83"/>
        <v>36</v>
      </c>
      <c r="S288" s="11">
        <f t="shared" si="84"/>
        <v>33.36</v>
      </c>
      <c r="T288" s="11"/>
      <c r="U288" s="11">
        <v>1</v>
      </c>
      <c r="V288" s="11">
        <v>1</v>
      </c>
      <c r="W288" s="11"/>
      <c r="X288" s="11">
        <v>23</v>
      </c>
      <c r="Y288" s="11">
        <f t="shared" si="85"/>
        <v>25</v>
      </c>
      <c r="Z288" s="11">
        <f t="shared" si="86"/>
        <v>67.13000000000001</v>
      </c>
      <c r="AA288" s="11">
        <f t="shared" si="87"/>
        <v>215</v>
      </c>
      <c r="AB288" s="11">
        <f t="shared" si="87"/>
        <v>211.37</v>
      </c>
      <c r="AC288" s="42">
        <f t="shared" si="90"/>
        <v>5887</v>
      </c>
      <c r="AD288" s="83">
        <f t="shared" si="74"/>
        <v>1265705</v>
      </c>
      <c r="AE288" s="83">
        <f t="shared" si="75"/>
        <v>1244335.19</v>
      </c>
      <c r="AF288" s="83">
        <f t="shared" si="76"/>
        <v>2510040.19</v>
      </c>
      <c r="AG288" s="11"/>
      <c r="AH288" s="11"/>
      <c r="AI288" s="78"/>
      <c r="AJ288" s="78"/>
      <c r="AK288" s="78"/>
      <c r="AL288" s="78"/>
      <c r="AM288" s="78"/>
      <c r="AN288" s="78"/>
      <c r="AO288" s="78"/>
      <c r="AP288" s="78"/>
      <c r="AQ288" s="3" t="s">
        <v>576</v>
      </c>
      <c r="AR288" s="3" t="s">
        <v>579</v>
      </c>
      <c r="AS288" s="3" t="s">
        <v>993</v>
      </c>
      <c r="AT288" s="49">
        <v>5887</v>
      </c>
      <c r="AU288" s="3" t="str">
        <f t="shared" si="95"/>
        <v>match</v>
      </c>
      <c r="AV288" s="3" t="str">
        <f t="shared" si="96"/>
        <v>match</v>
      </c>
    </row>
    <row r="289" spans="1:48" ht="12">
      <c r="A289" s="9" t="s">
        <v>576</v>
      </c>
      <c r="B289" s="12" t="s">
        <v>581</v>
      </c>
      <c r="C289" s="13" t="s">
        <v>582</v>
      </c>
      <c r="D289" s="8"/>
      <c r="E289" s="39">
        <v>67</v>
      </c>
      <c r="F289" s="39"/>
      <c r="G289" s="39"/>
      <c r="H289" s="39"/>
      <c r="I289" s="39"/>
      <c r="J289" s="39"/>
      <c r="K289" s="39">
        <f t="shared" si="81"/>
        <v>67</v>
      </c>
      <c r="L289" s="39">
        <f t="shared" si="82"/>
        <v>48.239999999999995</v>
      </c>
      <c r="M289" s="39"/>
      <c r="N289" s="39"/>
      <c r="O289" s="39">
        <v>2</v>
      </c>
      <c r="P289" s="39"/>
      <c r="Q289" s="39">
        <v>3</v>
      </c>
      <c r="R289" s="39">
        <f t="shared" si="83"/>
        <v>5</v>
      </c>
      <c r="S289" s="39">
        <f t="shared" si="84"/>
        <v>6.05</v>
      </c>
      <c r="T289" s="39"/>
      <c r="U289" s="39"/>
      <c r="V289" s="39"/>
      <c r="W289" s="39"/>
      <c r="X289" s="39">
        <v>6</v>
      </c>
      <c r="Y289" s="39">
        <f t="shared" si="85"/>
        <v>6</v>
      </c>
      <c r="Z289" s="39">
        <f t="shared" si="86"/>
        <v>16.440000000000001</v>
      </c>
      <c r="AA289" s="39">
        <f t="shared" si="87"/>
        <v>78</v>
      </c>
      <c r="AB289" s="39">
        <f t="shared" si="87"/>
        <v>70.72999999999999</v>
      </c>
      <c r="AC289" s="41">
        <f t="shared" si="90"/>
        <v>5940</v>
      </c>
      <c r="AD289" s="82">
        <f t="shared" si="74"/>
        <v>463320</v>
      </c>
      <c r="AE289" s="82">
        <f t="shared" si="75"/>
        <v>420136.19999999995</v>
      </c>
      <c r="AF289" s="82">
        <f t="shared" si="76"/>
        <v>883456.2</v>
      </c>
      <c r="AG289" s="39"/>
      <c r="AH289" s="39"/>
      <c r="AI289" s="79"/>
      <c r="AJ289" s="79"/>
      <c r="AK289" s="79"/>
      <c r="AL289" s="79"/>
      <c r="AM289" s="79"/>
      <c r="AN289" s="79"/>
      <c r="AO289" s="79"/>
      <c r="AP289" s="79"/>
      <c r="AQ289" s="3" t="s">
        <v>576</v>
      </c>
      <c r="AR289" s="3" t="s">
        <v>581</v>
      </c>
      <c r="AS289" s="3" t="s">
        <v>582</v>
      </c>
      <c r="AT289" s="49">
        <v>5940</v>
      </c>
      <c r="AU289" s="3" t="str">
        <f t="shared" si="95"/>
        <v>match</v>
      </c>
      <c r="AV289" s="3" t="str">
        <f t="shared" si="96"/>
        <v>match</v>
      </c>
    </row>
    <row r="290" spans="1:48" ht="12">
      <c r="A290" s="9" t="s">
        <v>576</v>
      </c>
      <c r="B290" s="10" t="s">
        <v>583</v>
      </c>
      <c r="C290" s="56" t="s">
        <v>584</v>
      </c>
      <c r="D290" s="56"/>
      <c r="E290" s="11">
        <v>61</v>
      </c>
      <c r="F290" s="11">
        <v>1</v>
      </c>
      <c r="G290" s="11"/>
      <c r="H290" s="11"/>
      <c r="I290" s="11"/>
      <c r="J290" s="11"/>
      <c r="K290" s="11">
        <f t="shared" si="81"/>
        <v>62</v>
      </c>
      <c r="L290" s="11">
        <f t="shared" si="82"/>
        <v>44.64</v>
      </c>
      <c r="M290" s="11"/>
      <c r="N290" s="11">
        <v>1</v>
      </c>
      <c r="O290" s="11"/>
      <c r="P290" s="11"/>
      <c r="Q290" s="11">
        <v>6</v>
      </c>
      <c r="R290" s="11">
        <f t="shared" si="83"/>
        <v>7</v>
      </c>
      <c r="S290" s="11">
        <f t="shared" si="84"/>
        <v>7.87</v>
      </c>
      <c r="T290" s="11"/>
      <c r="U290" s="11"/>
      <c r="V290" s="11"/>
      <c r="W290" s="11"/>
      <c r="X290" s="11">
        <v>9</v>
      </c>
      <c r="Y290" s="11">
        <f t="shared" si="85"/>
        <v>9</v>
      </c>
      <c r="Z290" s="11">
        <f t="shared" si="86"/>
        <v>24.660000000000004</v>
      </c>
      <c r="AA290" s="11">
        <f t="shared" si="87"/>
        <v>78</v>
      </c>
      <c r="AB290" s="11">
        <f t="shared" si="87"/>
        <v>77.17</v>
      </c>
      <c r="AC290" s="42">
        <f t="shared" si="90"/>
        <v>5883</v>
      </c>
      <c r="AD290" s="83">
        <f t="shared" ref="AD290:AD353" si="97">+AC290*AA290</f>
        <v>458874</v>
      </c>
      <c r="AE290" s="83">
        <f t="shared" ref="AE290:AE353" si="98">+AC290*AB290</f>
        <v>453991.11</v>
      </c>
      <c r="AF290" s="83">
        <f t="shared" ref="AF290:AF353" si="99">+AE290+AD290</f>
        <v>912865.11</v>
      </c>
      <c r="AG290" s="11"/>
      <c r="AH290" s="11"/>
      <c r="AI290" s="78"/>
      <c r="AJ290" s="78"/>
      <c r="AK290" s="78"/>
      <c r="AL290" s="78"/>
      <c r="AM290" s="78"/>
      <c r="AN290" s="78"/>
      <c r="AO290" s="78"/>
      <c r="AP290" s="78"/>
      <c r="AQ290" s="3" t="s">
        <v>576</v>
      </c>
      <c r="AR290" s="3" t="s">
        <v>583</v>
      </c>
      <c r="AS290" s="3" t="s">
        <v>1019</v>
      </c>
      <c r="AT290" s="49">
        <v>5883</v>
      </c>
      <c r="AU290" s="3" t="str">
        <f t="shared" si="95"/>
        <v>match</v>
      </c>
      <c r="AV290" s="3" t="str">
        <f t="shared" si="96"/>
        <v>match</v>
      </c>
    </row>
    <row r="291" spans="1:48" ht="12">
      <c r="A291" s="9" t="s">
        <v>576</v>
      </c>
      <c r="B291" s="12" t="s">
        <v>585</v>
      </c>
      <c r="C291" s="13" t="s">
        <v>586</v>
      </c>
      <c r="D291" s="8"/>
      <c r="E291" s="39">
        <v>21</v>
      </c>
      <c r="F291" s="39"/>
      <c r="G291" s="39"/>
      <c r="H291" s="39"/>
      <c r="I291" s="39"/>
      <c r="J291" s="39"/>
      <c r="K291" s="39">
        <f t="shared" si="81"/>
        <v>21</v>
      </c>
      <c r="L291" s="39">
        <f t="shared" si="82"/>
        <v>15.12</v>
      </c>
      <c r="M291" s="39"/>
      <c r="N291" s="39"/>
      <c r="O291" s="39"/>
      <c r="P291" s="39"/>
      <c r="Q291" s="39">
        <v>3</v>
      </c>
      <c r="R291" s="39">
        <f t="shared" si="83"/>
        <v>3</v>
      </c>
      <c r="S291" s="39">
        <f t="shared" si="84"/>
        <v>3.63</v>
      </c>
      <c r="T291" s="39"/>
      <c r="U291" s="39"/>
      <c r="V291" s="39"/>
      <c r="W291" s="39"/>
      <c r="X291" s="39">
        <v>1</v>
      </c>
      <c r="Y291" s="39">
        <f t="shared" si="85"/>
        <v>1</v>
      </c>
      <c r="Z291" s="39">
        <f t="shared" si="86"/>
        <v>2.74</v>
      </c>
      <c r="AA291" s="39">
        <f t="shared" si="87"/>
        <v>25</v>
      </c>
      <c r="AB291" s="39">
        <f t="shared" si="87"/>
        <v>21.490000000000002</v>
      </c>
      <c r="AC291" s="41">
        <f t="shared" si="90"/>
        <v>5883</v>
      </c>
      <c r="AD291" s="82">
        <f t="shared" si="97"/>
        <v>147075</v>
      </c>
      <c r="AE291" s="82">
        <f t="shared" si="98"/>
        <v>126425.67000000001</v>
      </c>
      <c r="AF291" s="82">
        <f t="shared" si="99"/>
        <v>273500.67000000004</v>
      </c>
      <c r="AG291" s="39"/>
      <c r="AH291" s="39"/>
      <c r="AI291" s="79"/>
      <c r="AJ291" s="79"/>
      <c r="AK291" s="79"/>
      <c r="AL291" s="79"/>
      <c r="AM291" s="79"/>
      <c r="AN291" s="79"/>
      <c r="AO291" s="79"/>
      <c r="AP291" s="79"/>
      <c r="AQ291" s="3" t="s">
        <v>576</v>
      </c>
      <c r="AR291" s="3" t="s">
        <v>585</v>
      </c>
      <c r="AS291" s="3" t="s">
        <v>994</v>
      </c>
      <c r="AT291" s="49">
        <v>5883</v>
      </c>
      <c r="AU291" s="3" t="str">
        <f t="shared" si="95"/>
        <v>match</v>
      </c>
      <c r="AV291" s="3" t="str">
        <f t="shared" si="96"/>
        <v>match</v>
      </c>
    </row>
    <row r="292" spans="1:48" ht="12">
      <c r="A292" s="9" t="s">
        <v>576</v>
      </c>
      <c r="B292" s="10" t="s">
        <v>587</v>
      </c>
      <c r="C292" s="56" t="s">
        <v>588</v>
      </c>
      <c r="D292" s="56"/>
      <c r="E292" s="11">
        <v>73</v>
      </c>
      <c r="F292" s="11"/>
      <c r="G292" s="11"/>
      <c r="H292" s="11"/>
      <c r="I292" s="11"/>
      <c r="J292" s="11"/>
      <c r="K292" s="11">
        <f t="shared" si="81"/>
        <v>73</v>
      </c>
      <c r="L292" s="11">
        <f t="shared" si="82"/>
        <v>52.559999999999995</v>
      </c>
      <c r="M292" s="11"/>
      <c r="N292" s="11"/>
      <c r="O292" s="11">
        <v>7</v>
      </c>
      <c r="P292" s="11"/>
      <c r="Q292" s="11">
        <v>21</v>
      </c>
      <c r="R292" s="11">
        <f t="shared" si="83"/>
        <v>28</v>
      </c>
      <c r="S292" s="11">
        <f t="shared" si="84"/>
        <v>33.879999999999995</v>
      </c>
      <c r="T292" s="11"/>
      <c r="U292" s="11"/>
      <c r="V292" s="11">
        <v>1</v>
      </c>
      <c r="W292" s="11"/>
      <c r="X292" s="11">
        <v>5</v>
      </c>
      <c r="Y292" s="11">
        <f t="shared" si="85"/>
        <v>6</v>
      </c>
      <c r="Z292" s="11">
        <f t="shared" si="86"/>
        <v>16.440000000000001</v>
      </c>
      <c r="AA292" s="11">
        <f t="shared" si="87"/>
        <v>107</v>
      </c>
      <c r="AB292" s="11">
        <f t="shared" si="87"/>
        <v>102.88</v>
      </c>
      <c r="AC292" s="42">
        <f t="shared" si="90"/>
        <v>5883</v>
      </c>
      <c r="AD292" s="83">
        <f t="shared" si="97"/>
        <v>629481</v>
      </c>
      <c r="AE292" s="83">
        <f t="shared" si="98"/>
        <v>605243.03999999992</v>
      </c>
      <c r="AF292" s="83">
        <f t="shared" si="99"/>
        <v>1234724.04</v>
      </c>
      <c r="AG292" s="11"/>
      <c r="AH292" s="11"/>
      <c r="AI292" s="78"/>
      <c r="AJ292" s="78"/>
      <c r="AK292" s="78"/>
      <c r="AL292" s="78"/>
      <c r="AM292" s="78"/>
      <c r="AN292" s="78"/>
      <c r="AO292" s="78"/>
      <c r="AP292" s="78"/>
      <c r="AQ292" s="3" t="s">
        <v>576</v>
      </c>
      <c r="AR292" s="3" t="s">
        <v>587</v>
      </c>
      <c r="AS292" s="3" t="s">
        <v>1020</v>
      </c>
      <c r="AT292" s="49">
        <v>5883</v>
      </c>
      <c r="AU292" s="3" t="str">
        <f t="shared" si="95"/>
        <v>match</v>
      </c>
      <c r="AV292" s="3" t="str">
        <f t="shared" si="96"/>
        <v>match</v>
      </c>
    </row>
    <row r="293" spans="1:48" ht="12">
      <c r="A293" s="9" t="s">
        <v>576</v>
      </c>
      <c r="B293" s="12" t="s">
        <v>589</v>
      </c>
      <c r="C293" s="13" t="s">
        <v>590</v>
      </c>
      <c r="D293" s="8"/>
      <c r="E293" s="39">
        <v>72</v>
      </c>
      <c r="F293" s="39"/>
      <c r="G293" s="39"/>
      <c r="H293" s="39"/>
      <c r="I293" s="39"/>
      <c r="J293" s="39"/>
      <c r="K293" s="39">
        <f t="shared" si="81"/>
        <v>72</v>
      </c>
      <c r="L293" s="39">
        <f t="shared" si="82"/>
        <v>51.839999999999996</v>
      </c>
      <c r="M293" s="39"/>
      <c r="N293" s="39">
        <v>1</v>
      </c>
      <c r="O293" s="39">
        <v>4</v>
      </c>
      <c r="P293" s="39"/>
      <c r="Q293" s="39">
        <v>9</v>
      </c>
      <c r="R293" s="39">
        <f t="shared" si="83"/>
        <v>14</v>
      </c>
      <c r="S293" s="39">
        <f t="shared" si="84"/>
        <v>16.34</v>
      </c>
      <c r="T293" s="39"/>
      <c r="U293" s="39"/>
      <c r="V293" s="39"/>
      <c r="W293" s="39"/>
      <c r="X293" s="39">
        <v>10</v>
      </c>
      <c r="Y293" s="39">
        <f t="shared" si="85"/>
        <v>10</v>
      </c>
      <c r="Z293" s="39">
        <f t="shared" si="86"/>
        <v>27.400000000000002</v>
      </c>
      <c r="AA293" s="39">
        <f t="shared" si="87"/>
        <v>96</v>
      </c>
      <c r="AB293" s="39">
        <f t="shared" si="87"/>
        <v>95.58</v>
      </c>
      <c r="AC293" s="41">
        <f t="shared" si="90"/>
        <v>5883</v>
      </c>
      <c r="AD293" s="82">
        <f t="shared" si="97"/>
        <v>564768</v>
      </c>
      <c r="AE293" s="82">
        <f t="shared" si="98"/>
        <v>562297.14</v>
      </c>
      <c r="AF293" s="82">
        <f t="shared" si="99"/>
        <v>1127065.1400000001</v>
      </c>
      <c r="AG293" s="39"/>
      <c r="AH293" s="39"/>
      <c r="AI293" s="79"/>
      <c r="AJ293" s="79"/>
      <c r="AK293" s="79"/>
      <c r="AL293" s="79"/>
      <c r="AM293" s="79"/>
      <c r="AN293" s="79"/>
      <c r="AO293" s="79"/>
      <c r="AP293" s="79"/>
      <c r="AQ293" s="3" t="s">
        <v>576</v>
      </c>
      <c r="AR293" s="3" t="s">
        <v>589</v>
      </c>
      <c r="AS293" s="3" t="s">
        <v>995</v>
      </c>
      <c r="AT293" s="49">
        <v>5883</v>
      </c>
      <c r="AU293" s="3" t="str">
        <f t="shared" si="95"/>
        <v>match</v>
      </c>
      <c r="AV293" s="3" t="str">
        <f t="shared" si="96"/>
        <v>match</v>
      </c>
    </row>
    <row r="294" spans="1:48" ht="12">
      <c r="A294" s="9" t="s">
        <v>576</v>
      </c>
      <c r="B294" s="10" t="s">
        <v>591</v>
      </c>
      <c r="C294" s="56" t="s">
        <v>592</v>
      </c>
      <c r="D294" s="56"/>
      <c r="E294" s="11">
        <v>140</v>
      </c>
      <c r="F294" s="11"/>
      <c r="G294" s="11"/>
      <c r="H294" s="11"/>
      <c r="I294" s="11"/>
      <c r="J294" s="11"/>
      <c r="K294" s="11">
        <f t="shared" si="81"/>
        <v>140</v>
      </c>
      <c r="L294" s="11">
        <f t="shared" si="82"/>
        <v>100.8</v>
      </c>
      <c r="M294" s="11"/>
      <c r="N294" s="11">
        <v>8</v>
      </c>
      <c r="O294" s="11">
        <v>4</v>
      </c>
      <c r="P294" s="11"/>
      <c r="Q294" s="11">
        <v>41</v>
      </c>
      <c r="R294" s="11">
        <f t="shared" si="83"/>
        <v>53</v>
      </c>
      <c r="S294" s="11">
        <f t="shared" si="84"/>
        <v>59.33</v>
      </c>
      <c r="T294" s="11"/>
      <c r="U294" s="11">
        <v>2</v>
      </c>
      <c r="V294" s="11">
        <v>2</v>
      </c>
      <c r="W294" s="11"/>
      <c r="X294" s="11">
        <v>5</v>
      </c>
      <c r="Y294" s="11">
        <f t="shared" si="85"/>
        <v>9</v>
      </c>
      <c r="Z294" s="11">
        <f t="shared" si="86"/>
        <v>21.92</v>
      </c>
      <c r="AA294" s="11">
        <f t="shared" si="87"/>
        <v>202</v>
      </c>
      <c r="AB294" s="11">
        <f t="shared" si="87"/>
        <v>182.05</v>
      </c>
      <c r="AC294" s="42">
        <f t="shared" si="90"/>
        <v>5883</v>
      </c>
      <c r="AD294" s="83">
        <f t="shared" si="97"/>
        <v>1188366</v>
      </c>
      <c r="AE294" s="83">
        <f t="shared" si="98"/>
        <v>1071000.1500000001</v>
      </c>
      <c r="AF294" s="83">
        <f t="shared" si="99"/>
        <v>2259366.1500000004</v>
      </c>
      <c r="AG294" s="11"/>
      <c r="AH294" s="11"/>
      <c r="AI294" s="78"/>
      <c r="AJ294" s="78"/>
      <c r="AK294" s="78"/>
      <c r="AL294" s="78"/>
      <c r="AM294" s="78"/>
      <c r="AN294" s="78"/>
      <c r="AO294" s="78"/>
      <c r="AP294" s="78"/>
      <c r="AQ294" s="3" t="s">
        <v>576</v>
      </c>
      <c r="AR294" s="3" t="s">
        <v>591</v>
      </c>
      <c r="AS294" s="3" t="s">
        <v>1021</v>
      </c>
      <c r="AT294" s="49">
        <v>5883</v>
      </c>
      <c r="AU294" s="3" t="str">
        <f t="shared" si="95"/>
        <v>match</v>
      </c>
      <c r="AV294" s="3" t="str">
        <f t="shared" si="96"/>
        <v>match</v>
      </c>
    </row>
    <row r="295" spans="1:48" ht="12">
      <c r="A295" s="9" t="s">
        <v>576</v>
      </c>
      <c r="B295" s="12" t="s">
        <v>593</v>
      </c>
      <c r="C295" s="13" t="s">
        <v>594</v>
      </c>
      <c r="D295" s="8"/>
      <c r="E295" s="39">
        <v>7</v>
      </c>
      <c r="F295" s="39"/>
      <c r="G295" s="39"/>
      <c r="H295" s="39"/>
      <c r="I295" s="39"/>
      <c r="J295" s="39"/>
      <c r="K295" s="39">
        <f t="shared" si="81"/>
        <v>7</v>
      </c>
      <c r="L295" s="39">
        <f t="shared" si="82"/>
        <v>5.04</v>
      </c>
      <c r="M295" s="39"/>
      <c r="N295" s="39"/>
      <c r="O295" s="39"/>
      <c r="P295" s="39"/>
      <c r="Q295" s="39">
        <v>2</v>
      </c>
      <c r="R295" s="39">
        <f t="shared" si="83"/>
        <v>2</v>
      </c>
      <c r="S295" s="39">
        <f t="shared" si="84"/>
        <v>2.42</v>
      </c>
      <c r="T295" s="39"/>
      <c r="U295" s="39"/>
      <c r="V295" s="39"/>
      <c r="W295" s="39"/>
      <c r="X295" s="39">
        <v>2</v>
      </c>
      <c r="Y295" s="39">
        <f t="shared" si="85"/>
        <v>2</v>
      </c>
      <c r="Z295" s="39">
        <f t="shared" si="86"/>
        <v>5.48</v>
      </c>
      <c r="AA295" s="39">
        <f t="shared" si="87"/>
        <v>11</v>
      </c>
      <c r="AB295" s="39">
        <f t="shared" si="87"/>
        <v>12.940000000000001</v>
      </c>
      <c r="AC295" s="41">
        <f t="shared" si="90"/>
        <v>5895</v>
      </c>
      <c r="AD295" s="82">
        <f t="shared" si="97"/>
        <v>64845</v>
      </c>
      <c r="AE295" s="82">
        <f t="shared" si="98"/>
        <v>76281.3</v>
      </c>
      <c r="AF295" s="82">
        <f t="shared" si="99"/>
        <v>141126.29999999999</v>
      </c>
      <c r="AG295" s="39"/>
      <c r="AH295" s="39"/>
      <c r="AI295" s="79"/>
      <c r="AJ295" s="79"/>
      <c r="AK295" s="79"/>
      <c r="AL295" s="79"/>
      <c r="AM295" s="79"/>
      <c r="AN295" s="79"/>
      <c r="AO295" s="79"/>
      <c r="AP295" s="79"/>
      <c r="AQ295" s="3" t="s">
        <v>576</v>
      </c>
      <c r="AR295" s="3" t="s">
        <v>593</v>
      </c>
      <c r="AS295" s="3" t="s">
        <v>1022</v>
      </c>
      <c r="AT295" s="49">
        <v>5895</v>
      </c>
      <c r="AU295" s="3" t="str">
        <f t="shared" si="95"/>
        <v>match</v>
      </c>
      <c r="AV295" s="3" t="str">
        <f t="shared" si="96"/>
        <v>match</v>
      </c>
    </row>
    <row r="296" spans="1:48" ht="12">
      <c r="A296" s="9" t="s">
        <v>576</v>
      </c>
      <c r="B296" s="10" t="s">
        <v>595</v>
      </c>
      <c r="C296" s="56" t="s">
        <v>596</v>
      </c>
      <c r="D296" s="56"/>
      <c r="E296" s="11">
        <v>42</v>
      </c>
      <c r="F296" s="11"/>
      <c r="G296" s="11"/>
      <c r="H296" s="11"/>
      <c r="I296" s="11"/>
      <c r="J296" s="11"/>
      <c r="K296" s="11">
        <f t="shared" si="81"/>
        <v>42</v>
      </c>
      <c r="L296" s="11">
        <f t="shared" si="82"/>
        <v>30.24</v>
      </c>
      <c r="M296" s="11"/>
      <c r="N296" s="11"/>
      <c r="O296" s="11">
        <v>2</v>
      </c>
      <c r="P296" s="11"/>
      <c r="Q296" s="11">
        <v>7</v>
      </c>
      <c r="R296" s="11">
        <f t="shared" si="83"/>
        <v>9</v>
      </c>
      <c r="S296" s="11">
        <f t="shared" si="84"/>
        <v>10.89</v>
      </c>
      <c r="T296" s="11"/>
      <c r="U296" s="11"/>
      <c r="V296" s="11">
        <v>1</v>
      </c>
      <c r="W296" s="11"/>
      <c r="X296" s="11">
        <v>6</v>
      </c>
      <c r="Y296" s="11">
        <f t="shared" si="85"/>
        <v>7</v>
      </c>
      <c r="Z296" s="11">
        <f t="shared" si="86"/>
        <v>19.18</v>
      </c>
      <c r="AA296" s="11">
        <f t="shared" si="87"/>
        <v>58</v>
      </c>
      <c r="AB296" s="11">
        <f t="shared" si="87"/>
        <v>60.309999999999995</v>
      </c>
      <c r="AC296" s="42">
        <f t="shared" si="90"/>
        <v>5930</v>
      </c>
      <c r="AD296" s="83">
        <f t="shared" si="97"/>
        <v>343940</v>
      </c>
      <c r="AE296" s="83">
        <f t="shared" si="98"/>
        <v>357638.3</v>
      </c>
      <c r="AF296" s="83">
        <f t="shared" si="99"/>
        <v>701578.3</v>
      </c>
      <c r="AG296" s="11"/>
      <c r="AH296" s="11"/>
      <c r="AI296" s="78"/>
      <c r="AJ296" s="78"/>
      <c r="AK296" s="78"/>
      <c r="AL296" s="78"/>
      <c r="AM296" s="78"/>
      <c r="AN296" s="78"/>
      <c r="AO296" s="78"/>
      <c r="AP296" s="78"/>
      <c r="AQ296" s="3" t="s">
        <v>576</v>
      </c>
      <c r="AR296" s="3" t="s">
        <v>595</v>
      </c>
      <c r="AS296" s="3" t="s">
        <v>1023</v>
      </c>
      <c r="AT296" s="49">
        <v>5930</v>
      </c>
      <c r="AU296" s="3" t="str">
        <f t="shared" si="95"/>
        <v>match</v>
      </c>
      <c r="AV296" s="3" t="str">
        <f t="shared" si="96"/>
        <v>match</v>
      </c>
    </row>
    <row r="297" spans="1:48" ht="12">
      <c r="A297" s="9" t="s">
        <v>576</v>
      </c>
      <c r="B297" s="12" t="s">
        <v>597</v>
      </c>
      <c r="C297" s="13" t="s">
        <v>598</v>
      </c>
      <c r="D297" s="8"/>
      <c r="E297" s="39">
        <v>896</v>
      </c>
      <c r="F297" s="39"/>
      <c r="G297" s="39"/>
      <c r="H297" s="39"/>
      <c r="I297" s="39"/>
      <c r="J297" s="39"/>
      <c r="K297" s="39">
        <f t="shared" si="81"/>
        <v>896</v>
      </c>
      <c r="L297" s="39">
        <f t="shared" si="82"/>
        <v>645.12</v>
      </c>
      <c r="M297" s="39"/>
      <c r="N297" s="39">
        <v>11</v>
      </c>
      <c r="O297" s="39">
        <v>63</v>
      </c>
      <c r="P297" s="39"/>
      <c r="Q297" s="39">
        <v>229</v>
      </c>
      <c r="R297" s="39">
        <f t="shared" si="83"/>
        <v>303</v>
      </c>
      <c r="S297" s="39">
        <f t="shared" si="84"/>
        <v>360.03</v>
      </c>
      <c r="T297" s="39"/>
      <c r="U297" s="39">
        <v>3</v>
      </c>
      <c r="V297" s="39">
        <v>6</v>
      </c>
      <c r="W297" s="39"/>
      <c r="X297" s="39">
        <v>222</v>
      </c>
      <c r="Y297" s="39">
        <f t="shared" si="85"/>
        <v>231</v>
      </c>
      <c r="Z297" s="39">
        <f t="shared" si="86"/>
        <v>628.83000000000004</v>
      </c>
      <c r="AA297" s="39">
        <f t="shared" si="87"/>
        <v>1430</v>
      </c>
      <c r="AB297" s="39">
        <f t="shared" si="87"/>
        <v>1633.98</v>
      </c>
      <c r="AC297" s="41">
        <f t="shared" si="90"/>
        <v>5952</v>
      </c>
      <c r="AD297" s="82">
        <f t="shared" si="97"/>
        <v>8511360</v>
      </c>
      <c r="AE297" s="82">
        <f t="shared" si="98"/>
        <v>9725448.9600000009</v>
      </c>
      <c r="AF297" s="82">
        <f t="shared" si="99"/>
        <v>18236808.960000001</v>
      </c>
      <c r="AG297" s="39"/>
      <c r="AH297" s="39"/>
      <c r="AI297" s="79"/>
      <c r="AJ297" s="79"/>
      <c r="AK297" s="79"/>
      <c r="AL297" s="79"/>
      <c r="AM297" s="79"/>
      <c r="AN297" s="79"/>
      <c r="AO297" s="79"/>
      <c r="AP297" s="79"/>
      <c r="AQ297" s="3" t="s">
        <v>576</v>
      </c>
      <c r="AR297" s="3" t="s">
        <v>597</v>
      </c>
      <c r="AS297" s="3" t="s">
        <v>996</v>
      </c>
      <c r="AT297" s="49">
        <v>5952</v>
      </c>
      <c r="AU297" s="3" t="str">
        <f t="shared" si="95"/>
        <v>match</v>
      </c>
      <c r="AV297" s="3" t="str">
        <f t="shared" si="96"/>
        <v>match</v>
      </c>
    </row>
    <row r="298" spans="1:48" ht="12">
      <c r="A298" s="9" t="s">
        <v>576</v>
      </c>
      <c r="B298" s="10" t="s">
        <v>599</v>
      </c>
      <c r="C298" s="56" t="s">
        <v>600</v>
      </c>
      <c r="D298" s="56"/>
      <c r="E298" s="11">
        <v>128</v>
      </c>
      <c r="F298" s="11">
        <v>1</v>
      </c>
      <c r="G298" s="11"/>
      <c r="H298" s="11"/>
      <c r="I298" s="11"/>
      <c r="J298" s="11"/>
      <c r="K298" s="11">
        <f t="shared" si="81"/>
        <v>129</v>
      </c>
      <c r="L298" s="11">
        <f t="shared" si="82"/>
        <v>92.88</v>
      </c>
      <c r="M298" s="11"/>
      <c r="N298" s="11">
        <v>3</v>
      </c>
      <c r="O298" s="11">
        <v>4</v>
      </c>
      <c r="P298" s="11"/>
      <c r="Q298" s="11">
        <v>46</v>
      </c>
      <c r="R298" s="11">
        <f t="shared" si="83"/>
        <v>53</v>
      </c>
      <c r="S298" s="11">
        <f t="shared" si="84"/>
        <v>62.33</v>
      </c>
      <c r="T298" s="11"/>
      <c r="U298" s="11">
        <v>1</v>
      </c>
      <c r="V298" s="11">
        <v>3</v>
      </c>
      <c r="W298" s="11"/>
      <c r="X298" s="11">
        <v>13</v>
      </c>
      <c r="Y298" s="11">
        <f t="shared" si="85"/>
        <v>17</v>
      </c>
      <c r="Z298" s="11">
        <f t="shared" si="86"/>
        <v>45.21</v>
      </c>
      <c r="AA298" s="11">
        <f t="shared" si="87"/>
        <v>199</v>
      </c>
      <c r="AB298" s="11">
        <f t="shared" si="87"/>
        <v>200.42</v>
      </c>
      <c r="AC298" s="42">
        <f t="shared" si="90"/>
        <v>5883</v>
      </c>
      <c r="AD298" s="83">
        <f t="shared" si="97"/>
        <v>1170717</v>
      </c>
      <c r="AE298" s="83">
        <f t="shared" si="98"/>
        <v>1179070.8599999999</v>
      </c>
      <c r="AF298" s="83">
        <f t="shared" si="99"/>
        <v>2349787.86</v>
      </c>
      <c r="AG298" s="11"/>
      <c r="AH298" s="11"/>
      <c r="AI298" s="78"/>
      <c r="AJ298" s="78"/>
      <c r="AK298" s="78"/>
      <c r="AL298" s="78"/>
      <c r="AM298" s="78"/>
      <c r="AN298" s="78"/>
      <c r="AO298" s="78"/>
      <c r="AP298" s="78"/>
      <c r="AQ298" s="3" t="s">
        <v>576</v>
      </c>
      <c r="AR298" s="3" t="s">
        <v>599</v>
      </c>
      <c r="AS298" s="3" t="s">
        <v>1024</v>
      </c>
      <c r="AT298" s="49">
        <v>5883</v>
      </c>
      <c r="AU298" s="3" t="str">
        <f t="shared" si="95"/>
        <v>match</v>
      </c>
      <c r="AV298" s="3" t="str">
        <f t="shared" si="96"/>
        <v>match</v>
      </c>
    </row>
    <row r="299" spans="1:48" ht="12">
      <c r="A299" s="9" t="s">
        <v>576</v>
      </c>
      <c r="B299" s="12" t="s">
        <v>601</v>
      </c>
      <c r="C299" s="13" t="s">
        <v>602</v>
      </c>
      <c r="D299" s="8"/>
      <c r="E299" s="39">
        <v>8</v>
      </c>
      <c r="F299" s="39"/>
      <c r="G299" s="39"/>
      <c r="H299" s="39"/>
      <c r="I299" s="39"/>
      <c r="J299" s="39"/>
      <c r="K299" s="39">
        <f t="shared" si="81"/>
        <v>8</v>
      </c>
      <c r="L299" s="39">
        <f t="shared" si="82"/>
        <v>5.76</v>
      </c>
      <c r="M299" s="39"/>
      <c r="N299" s="39"/>
      <c r="O299" s="39"/>
      <c r="P299" s="39"/>
      <c r="Q299" s="39">
        <v>3</v>
      </c>
      <c r="R299" s="39">
        <f t="shared" si="83"/>
        <v>3</v>
      </c>
      <c r="S299" s="39">
        <f t="shared" si="84"/>
        <v>3.63</v>
      </c>
      <c r="T299" s="39"/>
      <c r="U299" s="39"/>
      <c r="V299" s="39"/>
      <c r="W299" s="39"/>
      <c r="X299" s="39">
        <v>2</v>
      </c>
      <c r="Y299" s="39">
        <f t="shared" si="85"/>
        <v>2</v>
      </c>
      <c r="Z299" s="39">
        <f t="shared" si="86"/>
        <v>5.48</v>
      </c>
      <c r="AA299" s="39">
        <f t="shared" si="87"/>
        <v>13</v>
      </c>
      <c r="AB299" s="39">
        <f t="shared" si="87"/>
        <v>14.870000000000001</v>
      </c>
      <c r="AC299" s="41">
        <f t="shared" si="90"/>
        <v>5894</v>
      </c>
      <c r="AD299" s="82">
        <f t="shared" si="97"/>
        <v>76622</v>
      </c>
      <c r="AE299" s="82">
        <f t="shared" si="98"/>
        <v>87643.78</v>
      </c>
      <c r="AF299" s="82">
        <f t="shared" si="99"/>
        <v>164265.78</v>
      </c>
      <c r="AG299" s="39"/>
      <c r="AH299" s="39"/>
      <c r="AI299" s="79"/>
      <c r="AJ299" s="79"/>
      <c r="AK299" s="79"/>
      <c r="AL299" s="79"/>
      <c r="AM299" s="79"/>
      <c r="AN299" s="79"/>
      <c r="AO299" s="79"/>
      <c r="AP299" s="79"/>
      <c r="AQ299" s="3" t="s">
        <v>576</v>
      </c>
      <c r="AR299" s="3" t="s">
        <v>601</v>
      </c>
      <c r="AS299" s="3" t="s">
        <v>1025</v>
      </c>
      <c r="AT299" s="49">
        <v>5894</v>
      </c>
      <c r="AU299" s="3" t="str">
        <f t="shared" si="95"/>
        <v>match</v>
      </c>
      <c r="AV299" s="3" t="str">
        <f t="shared" si="96"/>
        <v>match</v>
      </c>
    </row>
    <row r="300" spans="1:48" ht="12">
      <c r="A300" s="9" t="s">
        <v>576</v>
      </c>
      <c r="B300" s="10" t="s">
        <v>603</v>
      </c>
      <c r="C300" s="56" t="s">
        <v>604</v>
      </c>
      <c r="D300" s="56"/>
      <c r="E300" s="11">
        <v>42</v>
      </c>
      <c r="F300" s="11"/>
      <c r="G300" s="11"/>
      <c r="H300" s="11"/>
      <c r="I300" s="11"/>
      <c r="J300" s="11"/>
      <c r="K300" s="11">
        <f t="shared" si="81"/>
        <v>42</v>
      </c>
      <c r="L300" s="11">
        <f t="shared" si="82"/>
        <v>30.24</v>
      </c>
      <c r="M300" s="11"/>
      <c r="N300" s="11"/>
      <c r="O300" s="11">
        <v>4</v>
      </c>
      <c r="P300" s="11"/>
      <c r="Q300" s="11">
        <v>10</v>
      </c>
      <c r="R300" s="11">
        <f t="shared" si="83"/>
        <v>14</v>
      </c>
      <c r="S300" s="11">
        <f t="shared" si="84"/>
        <v>16.939999999999998</v>
      </c>
      <c r="T300" s="11"/>
      <c r="U300" s="11"/>
      <c r="V300" s="11"/>
      <c r="W300" s="11"/>
      <c r="X300" s="11">
        <v>8</v>
      </c>
      <c r="Y300" s="11">
        <f t="shared" si="85"/>
        <v>8</v>
      </c>
      <c r="Z300" s="11">
        <f t="shared" si="86"/>
        <v>21.92</v>
      </c>
      <c r="AA300" s="11">
        <f t="shared" si="87"/>
        <v>64</v>
      </c>
      <c r="AB300" s="11">
        <f t="shared" si="87"/>
        <v>69.099999999999994</v>
      </c>
      <c r="AC300" s="42">
        <f t="shared" si="90"/>
        <v>5891</v>
      </c>
      <c r="AD300" s="83">
        <f t="shared" si="97"/>
        <v>377024</v>
      </c>
      <c r="AE300" s="83">
        <f t="shared" si="98"/>
        <v>407068.1</v>
      </c>
      <c r="AF300" s="83">
        <f t="shared" si="99"/>
        <v>784092.1</v>
      </c>
      <c r="AG300" s="11"/>
      <c r="AH300" s="11"/>
      <c r="AI300" s="78"/>
      <c r="AJ300" s="78"/>
      <c r="AK300" s="78"/>
      <c r="AL300" s="78"/>
      <c r="AM300" s="78"/>
      <c r="AN300" s="78"/>
      <c r="AO300" s="78"/>
      <c r="AP300" s="78"/>
      <c r="AQ300" s="3" t="s">
        <v>576</v>
      </c>
      <c r="AR300" s="3" t="s">
        <v>603</v>
      </c>
      <c r="AS300" s="3" t="s">
        <v>997</v>
      </c>
      <c r="AT300" s="49">
        <v>5891</v>
      </c>
      <c r="AU300" s="3" t="str">
        <f t="shared" si="95"/>
        <v>match</v>
      </c>
      <c r="AV300" s="3" t="str">
        <f t="shared" si="96"/>
        <v>match</v>
      </c>
    </row>
    <row r="301" spans="1:48" ht="12">
      <c r="A301" s="9" t="s">
        <v>576</v>
      </c>
      <c r="B301" s="12" t="s">
        <v>605</v>
      </c>
      <c r="C301" s="13" t="s">
        <v>606</v>
      </c>
      <c r="D301" s="8"/>
      <c r="E301" s="39">
        <v>42</v>
      </c>
      <c r="F301" s="39"/>
      <c r="G301" s="39"/>
      <c r="H301" s="39"/>
      <c r="I301" s="39"/>
      <c r="J301" s="39"/>
      <c r="K301" s="39">
        <f t="shared" si="81"/>
        <v>42</v>
      </c>
      <c r="L301" s="39">
        <f t="shared" si="82"/>
        <v>30.24</v>
      </c>
      <c r="M301" s="39"/>
      <c r="N301" s="39">
        <v>1</v>
      </c>
      <c r="O301" s="39"/>
      <c r="P301" s="39"/>
      <c r="Q301" s="39">
        <v>9</v>
      </c>
      <c r="R301" s="39">
        <f t="shared" si="83"/>
        <v>10</v>
      </c>
      <c r="S301" s="39">
        <f t="shared" si="84"/>
        <v>11.5</v>
      </c>
      <c r="T301" s="39"/>
      <c r="U301" s="39"/>
      <c r="V301" s="39"/>
      <c r="W301" s="39"/>
      <c r="X301" s="39">
        <v>2</v>
      </c>
      <c r="Y301" s="39">
        <f t="shared" si="85"/>
        <v>2</v>
      </c>
      <c r="Z301" s="39">
        <f t="shared" si="86"/>
        <v>5.48</v>
      </c>
      <c r="AA301" s="39">
        <f t="shared" si="87"/>
        <v>54</v>
      </c>
      <c r="AB301" s="39">
        <f t="shared" si="87"/>
        <v>47.22</v>
      </c>
      <c r="AC301" s="41">
        <f t="shared" si="90"/>
        <v>5907</v>
      </c>
      <c r="AD301" s="82">
        <f t="shared" si="97"/>
        <v>318978</v>
      </c>
      <c r="AE301" s="82">
        <f t="shared" si="98"/>
        <v>278928.53999999998</v>
      </c>
      <c r="AF301" s="82">
        <f t="shared" si="99"/>
        <v>597906.54</v>
      </c>
      <c r="AG301" s="39"/>
      <c r="AH301" s="39"/>
      <c r="AI301" s="79"/>
      <c r="AJ301" s="79"/>
      <c r="AK301" s="79"/>
      <c r="AL301" s="79"/>
      <c r="AM301" s="79"/>
      <c r="AN301" s="79"/>
      <c r="AO301" s="79"/>
      <c r="AP301" s="79"/>
      <c r="AQ301" s="3" t="s">
        <v>576</v>
      </c>
      <c r="AR301" s="3" t="s">
        <v>605</v>
      </c>
      <c r="AS301" s="3" t="s">
        <v>1026</v>
      </c>
      <c r="AT301" s="49">
        <v>5907</v>
      </c>
      <c r="AU301" s="3" t="str">
        <f t="shared" si="95"/>
        <v>match</v>
      </c>
      <c r="AV301" s="3" t="str">
        <f t="shared" si="96"/>
        <v>match</v>
      </c>
    </row>
    <row r="302" spans="1:48" ht="12">
      <c r="A302" s="9" t="s">
        <v>576</v>
      </c>
      <c r="B302" s="10" t="s">
        <v>607</v>
      </c>
      <c r="C302" s="56" t="s">
        <v>608</v>
      </c>
      <c r="D302" s="56"/>
      <c r="E302" s="11">
        <v>10</v>
      </c>
      <c r="F302" s="11"/>
      <c r="G302" s="11"/>
      <c r="H302" s="11"/>
      <c r="I302" s="11"/>
      <c r="J302" s="11"/>
      <c r="K302" s="11">
        <f t="shared" si="81"/>
        <v>10</v>
      </c>
      <c r="L302" s="11">
        <f t="shared" si="82"/>
        <v>7.1999999999999993</v>
      </c>
      <c r="M302" s="11"/>
      <c r="N302" s="11"/>
      <c r="O302" s="11">
        <v>7</v>
      </c>
      <c r="P302" s="11"/>
      <c r="Q302" s="11">
        <v>3</v>
      </c>
      <c r="R302" s="11">
        <f t="shared" si="83"/>
        <v>10</v>
      </c>
      <c r="S302" s="11">
        <f t="shared" si="84"/>
        <v>12.1</v>
      </c>
      <c r="T302" s="11"/>
      <c r="U302" s="11"/>
      <c r="V302" s="11"/>
      <c r="W302" s="11"/>
      <c r="X302" s="11">
        <v>2</v>
      </c>
      <c r="Y302" s="11">
        <f t="shared" si="85"/>
        <v>2</v>
      </c>
      <c r="Z302" s="11">
        <f t="shared" si="86"/>
        <v>5.48</v>
      </c>
      <c r="AA302" s="11">
        <f t="shared" si="87"/>
        <v>22</v>
      </c>
      <c r="AB302" s="11">
        <f t="shared" si="87"/>
        <v>24.779999999999998</v>
      </c>
      <c r="AC302" s="42">
        <f t="shared" si="90"/>
        <v>6050</v>
      </c>
      <c r="AD302" s="83">
        <f t="shared" si="97"/>
        <v>133100</v>
      </c>
      <c r="AE302" s="83">
        <f t="shared" si="98"/>
        <v>149918.99999999997</v>
      </c>
      <c r="AF302" s="83">
        <f t="shared" si="99"/>
        <v>283019</v>
      </c>
      <c r="AG302" s="11"/>
      <c r="AH302" s="11"/>
      <c r="AI302" s="78"/>
      <c r="AJ302" s="78"/>
      <c r="AK302" s="78"/>
      <c r="AL302" s="78"/>
      <c r="AM302" s="78"/>
      <c r="AN302" s="78"/>
      <c r="AO302" s="78"/>
      <c r="AP302" s="78"/>
      <c r="AQ302" s="3" t="s">
        <v>576</v>
      </c>
      <c r="AR302" s="3" t="s">
        <v>607</v>
      </c>
      <c r="AS302" s="3" t="s">
        <v>998</v>
      </c>
      <c r="AT302" s="49">
        <v>6050</v>
      </c>
      <c r="AU302" s="3" t="str">
        <f t="shared" si="95"/>
        <v>match</v>
      </c>
      <c r="AV302" s="3" t="str">
        <f t="shared" si="96"/>
        <v>match</v>
      </c>
    </row>
    <row r="303" spans="1:48" ht="12">
      <c r="A303" s="9" t="s">
        <v>576</v>
      </c>
      <c r="B303" s="12" t="s">
        <v>609</v>
      </c>
      <c r="C303" s="13" t="s">
        <v>610</v>
      </c>
      <c r="D303" s="8"/>
      <c r="E303" s="39">
        <v>20</v>
      </c>
      <c r="F303" s="39"/>
      <c r="G303" s="39"/>
      <c r="H303" s="39"/>
      <c r="I303" s="39"/>
      <c r="J303" s="39"/>
      <c r="K303" s="39">
        <f t="shared" si="81"/>
        <v>20</v>
      </c>
      <c r="L303" s="39">
        <f t="shared" si="82"/>
        <v>14.399999999999999</v>
      </c>
      <c r="M303" s="39"/>
      <c r="N303" s="39"/>
      <c r="O303" s="39"/>
      <c r="P303" s="39"/>
      <c r="Q303" s="39">
        <v>6</v>
      </c>
      <c r="R303" s="39">
        <f t="shared" si="83"/>
        <v>6</v>
      </c>
      <c r="S303" s="39">
        <f t="shared" si="84"/>
        <v>7.26</v>
      </c>
      <c r="T303" s="39"/>
      <c r="U303" s="39"/>
      <c r="V303" s="39"/>
      <c r="W303" s="39"/>
      <c r="X303" s="39">
        <v>3</v>
      </c>
      <c r="Y303" s="39">
        <f t="shared" si="85"/>
        <v>3</v>
      </c>
      <c r="Z303" s="39">
        <f t="shared" si="86"/>
        <v>8.2200000000000006</v>
      </c>
      <c r="AA303" s="39">
        <f t="shared" si="87"/>
        <v>29</v>
      </c>
      <c r="AB303" s="39">
        <f t="shared" si="87"/>
        <v>29.879999999999995</v>
      </c>
      <c r="AC303" s="41">
        <f t="shared" si="90"/>
        <v>5883</v>
      </c>
      <c r="AD303" s="82">
        <f t="shared" si="97"/>
        <v>170607</v>
      </c>
      <c r="AE303" s="82">
        <f t="shared" si="98"/>
        <v>175784.03999999998</v>
      </c>
      <c r="AF303" s="82">
        <f t="shared" si="99"/>
        <v>346391.03999999998</v>
      </c>
      <c r="AG303" s="39"/>
      <c r="AH303" s="39"/>
      <c r="AI303" s="79"/>
      <c r="AJ303" s="79"/>
      <c r="AK303" s="79"/>
      <c r="AL303" s="79"/>
      <c r="AM303" s="79"/>
      <c r="AN303" s="79"/>
      <c r="AO303" s="79"/>
      <c r="AP303" s="79"/>
      <c r="AQ303" s="3" t="s">
        <v>576</v>
      </c>
      <c r="AR303" s="3" t="s">
        <v>609</v>
      </c>
      <c r="AS303" s="3" t="s">
        <v>999</v>
      </c>
      <c r="AT303" s="49">
        <v>5883</v>
      </c>
      <c r="AU303" s="3" t="str">
        <f t="shared" si="95"/>
        <v>match</v>
      </c>
      <c r="AV303" s="3" t="str">
        <f t="shared" si="96"/>
        <v>match</v>
      </c>
    </row>
    <row r="304" spans="1:48" ht="12">
      <c r="A304" s="9" t="s">
        <v>576</v>
      </c>
      <c r="B304" s="10" t="s">
        <v>611</v>
      </c>
      <c r="C304" s="56" t="s">
        <v>612</v>
      </c>
      <c r="D304" s="56"/>
      <c r="E304" s="11">
        <v>17</v>
      </c>
      <c r="F304" s="11"/>
      <c r="G304" s="11"/>
      <c r="H304" s="11"/>
      <c r="I304" s="11"/>
      <c r="J304" s="11"/>
      <c r="K304" s="11">
        <f t="shared" si="81"/>
        <v>17</v>
      </c>
      <c r="L304" s="11">
        <f t="shared" si="82"/>
        <v>12.24</v>
      </c>
      <c r="M304" s="11"/>
      <c r="N304" s="11">
        <v>1</v>
      </c>
      <c r="O304" s="11">
        <v>1</v>
      </c>
      <c r="P304" s="11"/>
      <c r="Q304" s="11">
        <v>2</v>
      </c>
      <c r="R304" s="11">
        <f t="shared" si="83"/>
        <v>4</v>
      </c>
      <c r="S304" s="11">
        <f t="shared" si="84"/>
        <v>4.24</v>
      </c>
      <c r="T304" s="11"/>
      <c r="U304" s="11"/>
      <c r="V304" s="11"/>
      <c r="W304" s="11"/>
      <c r="X304" s="11">
        <v>2</v>
      </c>
      <c r="Y304" s="11">
        <f t="shared" si="85"/>
        <v>2</v>
      </c>
      <c r="Z304" s="11">
        <f t="shared" si="86"/>
        <v>5.48</v>
      </c>
      <c r="AA304" s="11">
        <f t="shared" si="87"/>
        <v>23</v>
      </c>
      <c r="AB304" s="11">
        <f t="shared" si="87"/>
        <v>21.96</v>
      </c>
      <c r="AC304" s="42">
        <f t="shared" si="90"/>
        <v>5969</v>
      </c>
      <c r="AD304" s="83">
        <f t="shared" si="97"/>
        <v>137287</v>
      </c>
      <c r="AE304" s="83">
        <f t="shared" si="98"/>
        <v>131079.24</v>
      </c>
      <c r="AF304" s="83">
        <f t="shared" si="99"/>
        <v>268366.24</v>
      </c>
      <c r="AG304" s="11"/>
      <c r="AH304" s="11"/>
      <c r="AI304" s="78"/>
      <c r="AJ304" s="78"/>
      <c r="AK304" s="78"/>
      <c r="AL304" s="78"/>
      <c r="AM304" s="78"/>
      <c r="AN304" s="78"/>
      <c r="AO304" s="78"/>
      <c r="AP304" s="78"/>
      <c r="AQ304" s="3" t="s">
        <v>576</v>
      </c>
      <c r="AR304" s="3" t="s">
        <v>611</v>
      </c>
      <c r="AS304" s="3" t="s">
        <v>1000</v>
      </c>
      <c r="AT304" s="49">
        <v>5969</v>
      </c>
      <c r="AU304" s="3" t="str">
        <f t="shared" si="95"/>
        <v>match</v>
      </c>
      <c r="AV304" s="3" t="str">
        <f t="shared" si="96"/>
        <v>match</v>
      </c>
    </row>
    <row r="305" spans="1:48" ht="12">
      <c r="A305" s="9" t="s">
        <v>576</v>
      </c>
      <c r="B305" s="12" t="s">
        <v>613</v>
      </c>
      <c r="C305" s="13" t="s">
        <v>614</v>
      </c>
      <c r="D305" s="8"/>
      <c r="E305" s="39">
        <v>52</v>
      </c>
      <c r="F305" s="39"/>
      <c r="G305" s="39"/>
      <c r="H305" s="39"/>
      <c r="I305" s="39"/>
      <c r="J305" s="39"/>
      <c r="K305" s="39">
        <f t="shared" si="81"/>
        <v>52</v>
      </c>
      <c r="L305" s="39">
        <f t="shared" si="82"/>
        <v>37.44</v>
      </c>
      <c r="M305" s="39"/>
      <c r="N305" s="39">
        <v>3</v>
      </c>
      <c r="O305" s="39">
        <v>1</v>
      </c>
      <c r="P305" s="39"/>
      <c r="Q305" s="39">
        <v>3</v>
      </c>
      <c r="R305" s="39">
        <f t="shared" si="83"/>
        <v>7</v>
      </c>
      <c r="S305" s="39">
        <f t="shared" si="84"/>
        <v>6.67</v>
      </c>
      <c r="T305" s="39"/>
      <c r="U305" s="39"/>
      <c r="V305" s="39"/>
      <c r="W305" s="39"/>
      <c r="X305" s="39">
        <v>1</v>
      </c>
      <c r="Y305" s="39">
        <f t="shared" si="85"/>
        <v>1</v>
      </c>
      <c r="Z305" s="39">
        <f t="shared" si="86"/>
        <v>2.74</v>
      </c>
      <c r="AA305" s="39">
        <f t="shared" si="87"/>
        <v>60</v>
      </c>
      <c r="AB305" s="39">
        <f t="shared" si="87"/>
        <v>46.85</v>
      </c>
      <c r="AC305" s="41">
        <f t="shared" si="90"/>
        <v>5883</v>
      </c>
      <c r="AD305" s="82">
        <f t="shared" si="97"/>
        <v>352980</v>
      </c>
      <c r="AE305" s="82">
        <f t="shared" si="98"/>
        <v>275618.55</v>
      </c>
      <c r="AF305" s="82">
        <f t="shared" si="99"/>
        <v>628598.55000000005</v>
      </c>
      <c r="AG305" s="39"/>
      <c r="AH305" s="39"/>
      <c r="AI305" s="79"/>
      <c r="AJ305" s="79"/>
      <c r="AK305" s="79"/>
      <c r="AL305" s="79"/>
      <c r="AM305" s="79"/>
      <c r="AN305" s="79"/>
      <c r="AO305" s="79"/>
      <c r="AP305" s="79"/>
      <c r="AQ305" s="3" t="s">
        <v>576</v>
      </c>
      <c r="AR305" s="3" t="s">
        <v>613</v>
      </c>
      <c r="AS305" s="3" t="s">
        <v>1001</v>
      </c>
      <c r="AT305" s="49">
        <v>5883</v>
      </c>
      <c r="AU305" s="3" t="str">
        <f t="shared" si="95"/>
        <v>match</v>
      </c>
      <c r="AV305" s="3" t="str">
        <f t="shared" si="96"/>
        <v>match</v>
      </c>
    </row>
    <row r="306" spans="1:48" ht="12">
      <c r="A306" s="9" t="s">
        <v>576</v>
      </c>
      <c r="B306" s="10" t="s">
        <v>615</v>
      </c>
      <c r="C306" s="56" t="s">
        <v>616</v>
      </c>
      <c r="D306" s="56"/>
      <c r="E306" s="11">
        <v>169</v>
      </c>
      <c r="F306" s="11"/>
      <c r="G306" s="11"/>
      <c r="H306" s="11"/>
      <c r="I306" s="11"/>
      <c r="J306" s="11"/>
      <c r="K306" s="11">
        <f t="shared" si="81"/>
        <v>169</v>
      </c>
      <c r="L306" s="11">
        <f t="shared" si="82"/>
        <v>121.67999999999999</v>
      </c>
      <c r="M306" s="11"/>
      <c r="N306" s="11">
        <v>2</v>
      </c>
      <c r="O306" s="11">
        <v>8</v>
      </c>
      <c r="P306" s="11"/>
      <c r="Q306" s="11">
        <v>38</v>
      </c>
      <c r="R306" s="11">
        <f t="shared" si="83"/>
        <v>48</v>
      </c>
      <c r="S306" s="11">
        <f t="shared" si="84"/>
        <v>56.879999999999995</v>
      </c>
      <c r="T306" s="11"/>
      <c r="U306" s="11"/>
      <c r="V306" s="11">
        <v>3</v>
      </c>
      <c r="W306" s="11"/>
      <c r="X306" s="11">
        <v>23</v>
      </c>
      <c r="Y306" s="11">
        <f t="shared" si="85"/>
        <v>26</v>
      </c>
      <c r="Z306" s="11">
        <f t="shared" si="86"/>
        <v>71.240000000000009</v>
      </c>
      <c r="AA306" s="11">
        <f t="shared" si="87"/>
        <v>243</v>
      </c>
      <c r="AB306" s="11">
        <f t="shared" si="87"/>
        <v>249.8</v>
      </c>
      <c r="AC306" s="42">
        <f t="shared" si="90"/>
        <v>5883</v>
      </c>
      <c r="AD306" s="83">
        <f t="shared" si="97"/>
        <v>1429569</v>
      </c>
      <c r="AE306" s="83">
        <f t="shared" si="98"/>
        <v>1469573.4000000001</v>
      </c>
      <c r="AF306" s="83">
        <f t="shared" si="99"/>
        <v>2899142.4000000004</v>
      </c>
      <c r="AG306" s="11"/>
      <c r="AH306" s="11"/>
      <c r="AI306" s="78"/>
      <c r="AJ306" s="78"/>
      <c r="AK306" s="78"/>
      <c r="AL306" s="78"/>
      <c r="AM306" s="78"/>
      <c r="AN306" s="78"/>
      <c r="AO306" s="78"/>
      <c r="AP306" s="78"/>
      <c r="AQ306" s="3" t="s">
        <v>576</v>
      </c>
      <c r="AR306" s="3" t="s">
        <v>615</v>
      </c>
      <c r="AS306" s="3" t="s">
        <v>1002</v>
      </c>
      <c r="AT306" s="49">
        <v>5883</v>
      </c>
      <c r="AU306" s="3" t="str">
        <f t="shared" si="95"/>
        <v>match</v>
      </c>
      <c r="AV306" s="3" t="str">
        <f t="shared" si="96"/>
        <v>match</v>
      </c>
    </row>
    <row r="307" spans="1:48" ht="12">
      <c r="A307" s="9" t="s">
        <v>576</v>
      </c>
      <c r="B307" s="12" t="s">
        <v>617</v>
      </c>
      <c r="C307" s="13" t="s">
        <v>618</v>
      </c>
      <c r="D307" s="8"/>
      <c r="E307" s="39">
        <v>57</v>
      </c>
      <c r="F307" s="39"/>
      <c r="G307" s="39"/>
      <c r="H307" s="39"/>
      <c r="I307" s="39"/>
      <c r="J307" s="39"/>
      <c r="K307" s="39">
        <f t="shared" si="81"/>
        <v>57</v>
      </c>
      <c r="L307" s="39">
        <f t="shared" si="82"/>
        <v>41.04</v>
      </c>
      <c r="M307" s="39"/>
      <c r="N307" s="39"/>
      <c r="O307" s="39">
        <v>2</v>
      </c>
      <c r="P307" s="39"/>
      <c r="Q307" s="39">
        <v>17</v>
      </c>
      <c r="R307" s="39">
        <f t="shared" si="83"/>
        <v>19</v>
      </c>
      <c r="S307" s="39">
        <f t="shared" si="84"/>
        <v>22.99</v>
      </c>
      <c r="T307" s="39">
        <v>1</v>
      </c>
      <c r="U307" s="39">
        <v>2</v>
      </c>
      <c r="V307" s="39"/>
      <c r="W307" s="39"/>
      <c r="X307" s="39">
        <v>8</v>
      </c>
      <c r="Y307" s="39">
        <f t="shared" si="85"/>
        <v>11</v>
      </c>
      <c r="Z307" s="39">
        <f t="shared" si="86"/>
        <v>27.400000000000006</v>
      </c>
      <c r="AA307" s="39">
        <f t="shared" si="87"/>
        <v>87</v>
      </c>
      <c r="AB307" s="39">
        <f t="shared" si="87"/>
        <v>91.43</v>
      </c>
      <c r="AC307" s="41">
        <f t="shared" si="90"/>
        <v>5920</v>
      </c>
      <c r="AD307" s="82">
        <f t="shared" si="97"/>
        <v>515040</v>
      </c>
      <c r="AE307" s="82">
        <f t="shared" si="98"/>
        <v>541265.60000000009</v>
      </c>
      <c r="AF307" s="82">
        <f t="shared" si="99"/>
        <v>1056305.6000000001</v>
      </c>
      <c r="AG307" s="39"/>
      <c r="AH307" s="39"/>
      <c r="AI307" s="79"/>
      <c r="AJ307" s="79"/>
      <c r="AK307" s="79"/>
      <c r="AL307" s="79"/>
      <c r="AM307" s="79"/>
      <c r="AN307" s="79"/>
      <c r="AO307" s="79"/>
      <c r="AP307" s="79"/>
      <c r="AQ307" s="3" t="s">
        <v>576</v>
      </c>
      <c r="AR307" s="3" t="s">
        <v>617</v>
      </c>
      <c r="AS307" s="3" t="s">
        <v>618</v>
      </c>
      <c r="AT307" s="49">
        <v>5920</v>
      </c>
      <c r="AU307" s="3" t="str">
        <f t="shared" si="95"/>
        <v>match</v>
      </c>
      <c r="AV307" s="3" t="str">
        <f t="shared" si="96"/>
        <v>match</v>
      </c>
    </row>
    <row r="308" spans="1:48" ht="12">
      <c r="A308" s="9" t="s">
        <v>576</v>
      </c>
      <c r="B308" s="10" t="s">
        <v>619</v>
      </c>
      <c r="C308" s="56" t="s">
        <v>620</v>
      </c>
      <c r="D308" s="56"/>
      <c r="E308" s="11">
        <v>52</v>
      </c>
      <c r="F308" s="11"/>
      <c r="G308" s="11"/>
      <c r="H308" s="11"/>
      <c r="I308" s="11"/>
      <c r="J308" s="11"/>
      <c r="K308" s="11">
        <f t="shared" si="81"/>
        <v>52</v>
      </c>
      <c r="L308" s="11">
        <f t="shared" si="82"/>
        <v>37.44</v>
      </c>
      <c r="M308" s="11"/>
      <c r="N308" s="11">
        <v>1</v>
      </c>
      <c r="O308" s="11">
        <v>7</v>
      </c>
      <c r="P308" s="11"/>
      <c r="Q308" s="11">
        <v>16</v>
      </c>
      <c r="R308" s="11">
        <f t="shared" si="83"/>
        <v>24</v>
      </c>
      <c r="S308" s="11">
        <f t="shared" si="84"/>
        <v>28.439999999999998</v>
      </c>
      <c r="T308" s="11"/>
      <c r="U308" s="11"/>
      <c r="V308" s="11">
        <v>3</v>
      </c>
      <c r="W308" s="11"/>
      <c r="X308" s="11">
        <v>5</v>
      </c>
      <c r="Y308" s="11">
        <f t="shared" si="85"/>
        <v>8</v>
      </c>
      <c r="Z308" s="11">
        <f t="shared" si="86"/>
        <v>21.92</v>
      </c>
      <c r="AA308" s="11">
        <f t="shared" si="87"/>
        <v>84</v>
      </c>
      <c r="AB308" s="11">
        <f t="shared" si="87"/>
        <v>87.8</v>
      </c>
      <c r="AC308" s="42">
        <f t="shared" si="90"/>
        <v>5948</v>
      </c>
      <c r="AD308" s="83">
        <f t="shared" si="97"/>
        <v>499632</v>
      </c>
      <c r="AE308" s="83">
        <f t="shared" si="98"/>
        <v>522234.39999999997</v>
      </c>
      <c r="AF308" s="83">
        <f t="shared" si="99"/>
        <v>1021866.3999999999</v>
      </c>
      <c r="AG308" s="11"/>
      <c r="AH308" s="11"/>
      <c r="AI308" s="78"/>
      <c r="AJ308" s="78"/>
      <c r="AK308" s="78"/>
      <c r="AL308" s="78"/>
      <c r="AM308" s="78"/>
      <c r="AN308" s="78"/>
      <c r="AO308" s="78"/>
      <c r="AP308" s="78"/>
      <c r="AQ308" s="3" t="s">
        <v>576</v>
      </c>
      <c r="AR308" s="3" t="s">
        <v>619</v>
      </c>
      <c r="AS308" s="3" t="s">
        <v>1003</v>
      </c>
      <c r="AT308" s="49">
        <v>5948</v>
      </c>
      <c r="AU308" s="3" t="str">
        <f t="shared" si="95"/>
        <v>match</v>
      </c>
      <c r="AV308" s="3" t="str">
        <f t="shared" si="96"/>
        <v>match</v>
      </c>
    </row>
    <row r="309" spans="1:48" ht="12">
      <c r="A309" s="9" t="s">
        <v>576</v>
      </c>
      <c r="B309" s="12" t="s">
        <v>621</v>
      </c>
      <c r="C309" s="13" t="s">
        <v>622</v>
      </c>
      <c r="D309" s="8"/>
      <c r="E309" s="39">
        <v>30</v>
      </c>
      <c r="F309" s="39"/>
      <c r="G309" s="39"/>
      <c r="H309" s="39"/>
      <c r="I309" s="39"/>
      <c r="J309" s="39"/>
      <c r="K309" s="39">
        <f t="shared" si="81"/>
        <v>30</v>
      </c>
      <c r="L309" s="39">
        <f t="shared" si="82"/>
        <v>21.599999999999998</v>
      </c>
      <c r="M309" s="39"/>
      <c r="N309" s="39"/>
      <c r="O309" s="39">
        <v>2</v>
      </c>
      <c r="P309" s="39"/>
      <c r="Q309" s="39">
        <v>9</v>
      </c>
      <c r="R309" s="39">
        <f t="shared" si="83"/>
        <v>11</v>
      </c>
      <c r="S309" s="39">
        <f t="shared" si="84"/>
        <v>13.309999999999999</v>
      </c>
      <c r="T309" s="39"/>
      <c r="U309" s="39"/>
      <c r="V309" s="39">
        <v>1</v>
      </c>
      <c r="W309" s="39"/>
      <c r="X309" s="39">
        <v>4</v>
      </c>
      <c r="Y309" s="39">
        <f t="shared" si="85"/>
        <v>5</v>
      </c>
      <c r="Z309" s="39">
        <f t="shared" si="86"/>
        <v>13.700000000000001</v>
      </c>
      <c r="AA309" s="39">
        <f t="shared" si="87"/>
        <v>46</v>
      </c>
      <c r="AB309" s="39">
        <f t="shared" si="87"/>
        <v>48.61</v>
      </c>
      <c r="AC309" s="41">
        <f t="shared" si="90"/>
        <v>6024</v>
      </c>
      <c r="AD309" s="82">
        <f t="shared" si="97"/>
        <v>277104</v>
      </c>
      <c r="AE309" s="82">
        <f t="shared" si="98"/>
        <v>292826.64</v>
      </c>
      <c r="AF309" s="82">
        <f t="shared" si="99"/>
        <v>569930.64</v>
      </c>
      <c r="AG309" s="39"/>
      <c r="AH309" s="39"/>
      <c r="AI309" s="79"/>
      <c r="AJ309" s="79"/>
      <c r="AK309" s="79"/>
      <c r="AL309" s="79"/>
      <c r="AM309" s="79"/>
      <c r="AN309" s="79"/>
      <c r="AO309" s="79"/>
      <c r="AP309" s="79"/>
      <c r="AQ309" s="3" t="s">
        <v>576</v>
      </c>
      <c r="AR309" s="3" t="s">
        <v>621</v>
      </c>
      <c r="AS309" s="3" t="s">
        <v>1004</v>
      </c>
      <c r="AT309" s="49">
        <v>6024</v>
      </c>
      <c r="AU309" s="3" t="str">
        <f t="shared" si="95"/>
        <v>match</v>
      </c>
      <c r="AV309" s="3" t="str">
        <f t="shared" si="96"/>
        <v>match</v>
      </c>
    </row>
    <row r="310" spans="1:48" ht="12">
      <c r="A310" s="9" t="s">
        <v>576</v>
      </c>
      <c r="B310" s="10" t="s">
        <v>623</v>
      </c>
      <c r="C310" s="56" t="s">
        <v>624</v>
      </c>
      <c r="D310" s="56"/>
      <c r="E310" s="11">
        <v>96</v>
      </c>
      <c r="F310" s="11"/>
      <c r="G310" s="11"/>
      <c r="H310" s="11"/>
      <c r="I310" s="11"/>
      <c r="J310" s="11"/>
      <c r="K310" s="11">
        <f t="shared" si="81"/>
        <v>96</v>
      </c>
      <c r="L310" s="11">
        <f t="shared" si="82"/>
        <v>69.12</v>
      </c>
      <c r="M310" s="11"/>
      <c r="N310" s="11"/>
      <c r="O310" s="11">
        <v>11</v>
      </c>
      <c r="P310" s="11"/>
      <c r="Q310" s="11">
        <v>25</v>
      </c>
      <c r="R310" s="11">
        <f t="shared" si="83"/>
        <v>36</v>
      </c>
      <c r="S310" s="11">
        <f t="shared" si="84"/>
        <v>43.56</v>
      </c>
      <c r="T310" s="11"/>
      <c r="U310" s="11"/>
      <c r="V310" s="11">
        <v>5</v>
      </c>
      <c r="W310" s="11"/>
      <c r="X310" s="11">
        <v>19</v>
      </c>
      <c r="Y310" s="11">
        <f t="shared" si="85"/>
        <v>24</v>
      </c>
      <c r="Z310" s="11">
        <f t="shared" si="86"/>
        <v>65.760000000000005</v>
      </c>
      <c r="AA310" s="11">
        <f t="shared" si="87"/>
        <v>156</v>
      </c>
      <c r="AB310" s="11">
        <f t="shared" si="87"/>
        <v>178.44</v>
      </c>
      <c r="AC310" s="42">
        <f t="shared" si="90"/>
        <v>5923</v>
      </c>
      <c r="AD310" s="83">
        <f t="shared" si="97"/>
        <v>923988</v>
      </c>
      <c r="AE310" s="83">
        <f t="shared" si="98"/>
        <v>1056900.1199999999</v>
      </c>
      <c r="AF310" s="83">
        <f t="shared" si="99"/>
        <v>1980888.1199999999</v>
      </c>
      <c r="AG310" s="11"/>
      <c r="AH310" s="11"/>
      <c r="AI310" s="78"/>
      <c r="AJ310" s="78"/>
      <c r="AK310" s="78"/>
      <c r="AL310" s="78"/>
      <c r="AM310" s="78"/>
      <c r="AN310" s="78"/>
      <c r="AO310" s="78"/>
      <c r="AP310" s="78"/>
      <c r="AQ310" s="3" t="s">
        <v>576</v>
      </c>
      <c r="AR310" s="3" t="s">
        <v>623</v>
      </c>
      <c r="AS310" s="3" t="s">
        <v>1005</v>
      </c>
      <c r="AT310" s="49">
        <v>5923</v>
      </c>
      <c r="AU310" s="3" t="str">
        <f t="shared" si="95"/>
        <v>match</v>
      </c>
      <c r="AV310" s="3" t="str">
        <f t="shared" si="96"/>
        <v>match</v>
      </c>
    </row>
    <row r="311" spans="1:48" ht="12">
      <c r="A311" s="9" t="s">
        <v>576</v>
      </c>
      <c r="B311" s="12" t="s">
        <v>625</v>
      </c>
      <c r="C311" s="13" t="s">
        <v>626</v>
      </c>
      <c r="D311" s="8"/>
      <c r="E311" s="39">
        <v>32</v>
      </c>
      <c r="F311" s="39"/>
      <c r="G311" s="39"/>
      <c r="H311" s="39"/>
      <c r="I311" s="39"/>
      <c r="J311" s="39"/>
      <c r="K311" s="39">
        <f t="shared" si="81"/>
        <v>32</v>
      </c>
      <c r="L311" s="39">
        <f t="shared" si="82"/>
        <v>23.04</v>
      </c>
      <c r="M311" s="39"/>
      <c r="N311" s="39"/>
      <c r="O311" s="39"/>
      <c r="P311" s="39"/>
      <c r="Q311" s="39">
        <v>14</v>
      </c>
      <c r="R311" s="39">
        <f t="shared" si="83"/>
        <v>14</v>
      </c>
      <c r="S311" s="39">
        <f t="shared" si="84"/>
        <v>16.939999999999998</v>
      </c>
      <c r="T311" s="39"/>
      <c r="U311" s="39"/>
      <c r="V311" s="39">
        <v>1</v>
      </c>
      <c r="W311" s="39"/>
      <c r="X311" s="39">
        <v>4</v>
      </c>
      <c r="Y311" s="39">
        <f t="shared" si="85"/>
        <v>5</v>
      </c>
      <c r="Z311" s="39">
        <f t="shared" si="86"/>
        <v>13.700000000000001</v>
      </c>
      <c r="AA311" s="39">
        <f t="shared" si="87"/>
        <v>51</v>
      </c>
      <c r="AB311" s="39">
        <f t="shared" si="87"/>
        <v>53.68</v>
      </c>
      <c r="AC311" s="41">
        <f t="shared" si="90"/>
        <v>6021</v>
      </c>
      <c r="AD311" s="82">
        <f t="shared" si="97"/>
        <v>307071</v>
      </c>
      <c r="AE311" s="82">
        <f t="shared" si="98"/>
        <v>323207.27999999997</v>
      </c>
      <c r="AF311" s="82">
        <f t="shared" si="99"/>
        <v>630278.28</v>
      </c>
      <c r="AG311" s="39"/>
      <c r="AH311" s="39"/>
      <c r="AI311" s="79"/>
      <c r="AJ311" s="79"/>
      <c r="AK311" s="79"/>
      <c r="AL311" s="79"/>
      <c r="AM311" s="79"/>
      <c r="AN311" s="79"/>
      <c r="AO311" s="79"/>
      <c r="AP311" s="79"/>
      <c r="AQ311" s="3" t="s">
        <v>576</v>
      </c>
      <c r="AR311" s="3" t="s">
        <v>625</v>
      </c>
      <c r="AS311" s="3" t="s">
        <v>626</v>
      </c>
      <c r="AT311" s="49">
        <v>6021</v>
      </c>
      <c r="AU311" s="3" t="str">
        <f t="shared" si="95"/>
        <v>match</v>
      </c>
      <c r="AV311" s="3" t="str">
        <f t="shared" si="96"/>
        <v>match</v>
      </c>
    </row>
    <row r="312" spans="1:48" ht="12">
      <c r="A312" s="9" t="s">
        <v>576</v>
      </c>
      <c r="B312" s="10" t="s">
        <v>627</v>
      </c>
      <c r="C312" s="56" t="s">
        <v>628</v>
      </c>
      <c r="D312" s="56"/>
      <c r="E312" s="11">
        <v>44</v>
      </c>
      <c r="F312" s="11"/>
      <c r="G312" s="11"/>
      <c r="H312" s="11"/>
      <c r="I312" s="11"/>
      <c r="J312" s="11"/>
      <c r="K312" s="11">
        <f t="shared" si="81"/>
        <v>44</v>
      </c>
      <c r="L312" s="11">
        <f t="shared" si="82"/>
        <v>31.68</v>
      </c>
      <c r="M312" s="11"/>
      <c r="N312" s="11"/>
      <c r="O312" s="11">
        <v>4</v>
      </c>
      <c r="P312" s="11"/>
      <c r="Q312" s="11">
        <v>8</v>
      </c>
      <c r="R312" s="11">
        <f t="shared" si="83"/>
        <v>12</v>
      </c>
      <c r="S312" s="11">
        <f t="shared" si="84"/>
        <v>14.52</v>
      </c>
      <c r="T312" s="11"/>
      <c r="U312" s="11"/>
      <c r="V312" s="11">
        <v>1</v>
      </c>
      <c r="W312" s="11"/>
      <c r="X312" s="11">
        <v>4</v>
      </c>
      <c r="Y312" s="11">
        <f t="shared" si="85"/>
        <v>5</v>
      </c>
      <c r="Z312" s="11">
        <f t="shared" si="86"/>
        <v>13.700000000000001</v>
      </c>
      <c r="AA312" s="11">
        <f t="shared" si="87"/>
        <v>61</v>
      </c>
      <c r="AB312" s="11">
        <f t="shared" si="87"/>
        <v>59.900000000000006</v>
      </c>
      <c r="AC312" s="42">
        <f t="shared" si="90"/>
        <v>5883</v>
      </c>
      <c r="AD312" s="83">
        <f t="shared" si="97"/>
        <v>358863</v>
      </c>
      <c r="AE312" s="83">
        <f t="shared" si="98"/>
        <v>352391.7</v>
      </c>
      <c r="AF312" s="83">
        <f t="shared" si="99"/>
        <v>711254.7</v>
      </c>
      <c r="AG312" s="11"/>
      <c r="AH312" s="11"/>
      <c r="AI312" s="78"/>
      <c r="AJ312" s="78"/>
      <c r="AK312" s="78"/>
      <c r="AL312" s="78"/>
      <c r="AM312" s="78"/>
      <c r="AN312" s="78"/>
      <c r="AO312" s="78"/>
      <c r="AP312" s="78"/>
      <c r="AQ312" s="3" t="s">
        <v>576</v>
      </c>
      <c r="AR312" s="3" t="s">
        <v>627</v>
      </c>
      <c r="AS312" s="3" t="s">
        <v>1027</v>
      </c>
      <c r="AT312" s="49">
        <v>5883</v>
      </c>
      <c r="AU312" s="3" t="str">
        <f t="shared" si="95"/>
        <v>match</v>
      </c>
      <c r="AV312" s="3" t="str">
        <f t="shared" si="96"/>
        <v>match</v>
      </c>
    </row>
    <row r="313" spans="1:48" ht="12">
      <c r="A313" s="9" t="s">
        <v>576</v>
      </c>
      <c r="B313" s="12" t="s">
        <v>629</v>
      </c>
      <c r="C313" s="13" t="s">
        <v>630</v>
      </c>
      <c r="D313" s="8"/>
      <c r="E313" s="39">
        <v>32</v>
      </c>
      <c r="F313" s="39"/>
      <c r="G313" s="39"/>
      <c r="H313" s="39"/>
      <c r="I313" s="39"/>
      <c r="J313" s="39"/>
      <c r="K313" s="39">
        <f t="shared" si="81"/>
        <v>32</v>
      </c>
      <c r="L313" s="39">
        <f t="shared" si="82"/>
        <v>23.04</v>
      </c>
      <c r="M313" s="39"/>
      <c r="N313" s="39"/>
      <c r="O313" s="39">
        <v>1</v>
      </c>
      <c r="P313" s="39"/>
      <c r="Q313" s="39">
        <v>17</v>
      </c>
      <c r="R313" s="39">
        <f t="shared" si="83"/>
        <v>18</v>
      </c>
      <c r="S313" s="39">
        <f t="shared" si="84"/>
        <v>21.78</v>
      </c>
      <c r="T313" s="39"/>
      <c r="U313" s="39">
        <v>1</v>
      </c>
      <c r="V313" s="39"/>
      <c r="W313" s="39"/>
      <c r="X313" s="39">
        <v>3</v>
      </c>
      <c r="Y313" s="39">
        <f t="shared" si="85"/>
        <v>4</v>
      </c>
      <c r="Z313" s="39">
        <f t="shared" si="86"/>
        <v>9.59</v>
      </c>
      <c r="AA313" s="39">
        <f t="shared" si="87"/>
        <v>54</v>
      </c>
      <c r="AB313" s="39">
        <f t="shared" si="87"/>
        <v>54.41</v>
      </c>
      <c r="AC313" s="41">
        <f t="shared" si="90"/>
        <v>5883</v>
      </c>
      <c r="AD313" s="82">
        <f t="shared" si="97"/>
        <v>317682</v>
      </c>
      <c r="AE313" s="82">
        <f t="shared" si="98"/>
        <v>320094.02999999997</v>
      </c>
      <c r="AF313" s="82">
        <f t="shared" si="99"/>
        <v>637776.03</v>
      </c>
      <c r="AG313" s="39"/>
      <c r="AH313" s="39"/>
      <c r="AI313" s="79"/>
      <c r="AJ313" s="79"/>
      <c r="AK313" s="79"/>
      <c r="AL313" s="79"/>
      <c r="AM313" s="79"/>
      <c r="AN313" s="79"/>
      <c r="AO313" s="79"/>
      <c r="AP313" s="79"/>
      <c r="AQ313" s="3" t="s">
        <v>576</v>
      </c>
      <c r="AR313" s="3" t="s">
        <v>629</v>
      </c>
      <c r="AS313" s="3" t="s">
        <v>1028</v>
      </c>
      <c r="AT313" s="49">
        <v>5883</v>
      </c>
      <c r="AU313" s="3" t="str">
        <f t="shared" si="95"/>
        <v>match</v>
      </c>
      <c r="AV313" s="3" t="str">
        <f t="shared" si="96"/>
        <v>match</v>
      </c>
    </row>
    <row r="314" spans="1:48" ht="12">
      <c r="A314" s="9" t="s">
        <v>576</v>
      </c>
      <c r="B314" s="10" t="s">
        <v>631</v>
      </c>
      <c r="C314" s="56" t="s">
        <v>632</v>
      </c>
      <c r="D314" s="56"/>
      <c r="E314" s="11">
        <v>217</v>
      </c>
      <c r="F314" s="11"/>
      <c r="G314" s="11"/>
      <c r="H314" s="11"/>
      <c r="I314" s="11"/>
      <c r="J314" s="11"/>
      <c r="K314" s="11">
        <f t="shared" si="81"/>
        <v>217</v>
      </c>
      <c r="L314" s="11">
        <f t="shared" si="82"/>
        <v>156.23999999999998</v>
      </c>
      <c r="M314" s="11"/>
      <c r="N314" s="11">
        <v>12</v>
      </c>
      <c r="O314" s="11">
        <v>7</v>
      </c>
      <c r="P314" s="11"/>
      <c r="Q314" s="11">
        <v>41</v>
      </c>
      <c r="R314" s="11">
        <f t="shared" si="83"/>
        <v>60</v>
      </c>
      <c r="S314" s="11">
        <f t="shared" si="84"/>
        <v>65.400000000000006</v>
      </c>
      <c r="T314" s="11"/>
      <c r="U314" s="11">
        <v>3</v>
      </c>
      <c r="V314" s="11">
        <v>1</v>
      </c>
      <c r="W314" s="11">
        <v>1</v>
      </c>
      <c r="X314" s="11">
        <v>26</v>
      </c>
      <c r="Y314" s="11">
        <f t="shared" si="85"/>
        <v>31</v>
      </c>
      <c r="Z314" s="11">
        <f t="shared" si="86"/>
        <v>79.460000000000008</v>
      </c>
      <c r="AA314" s="11">
        <f t="shared" si="87"/>
        <v>308</v>
      </c>
      <c r="AB314" s="11">
        <f t="shared" si="87"/>
        <v>301.10000000000002</v>
      </c>
      <c r="AC314" s="42">
        <f t="shared" si="90"/>
        <v>5883</v>
      </c>
      <c r="AD314" s="83">
        <f t="shared" si="97"/>
        <v>1811964</v>
      </c>
      <c r="AE314" s="83">
        <f t="shared" si="98"/>
        <v>1771371.3</v>
      </c>
      <c r="AF314" s="83">
        <f t="shared" si="99"/>
        <v>3583335.3</v>
      </c>
      <c r="AG314" s="11"/>
      <c r="AH314" s="11"/>
      <c r="AI314" s="78"/>
      <c r="AJ314" s="78"/>
      <c r="AK314" s="78"/>
      <c r="AL314" s="78"/>
      <c r="AM314" s="78"/>
      <c r="AN314" s="78"/>
      <c r="AO314" s="78"/>
      <c r="AP314" s="78"/>
      <c r="AQ314" s="3" t="s">
        <v>576</v>
      </c>
      <c r="AR314" s="3" t="s">
        <v>631</v>
      </c>
      <c r="AS314" s="3" t="s">
        <v>1006</v>
      </c>
      <c r="AT314" s="49">
        <v>5883</v>
      </c>
      <c r="AU314" s="3" t="str">
        <f t="shared" si="95"/>
        <v>match</v>
      </c>
      <c r="AV314" s="3" t="str">
        <f t="shared" si="96"/>
        <v>match</v>
      </c>
    </row>
    <row r="315" spans="1:48" ht="12">
      <c r="A315" s="9" t="s">
        <v>576</v>
      </c>
      <c r="B315" s="12" t="s">
        <v>633</v>
      </c>
      <c r="C315" s="13" t="s">
        <v>634</v>
      </c>
      <c r="D315" s="8"/>
      <c r="E315" s="39">
        <v>49</v>
      </c>
      <c r="F315" s="39"/>
      <c r="G315" s="39"/>
      <c r="H315" s="39"/>
      <c r="I315" s="39"/>
      <c r="J315" s="39"/>
      <c r="K315" s="39">
        <f t="shared" si="81"/>
        <v>49</v>
      </c>
      <c r="L315" s="39">
        <f t="shared" si="82"/>
        <v>35.28</v>
      </c>
      <c r="M315" s="39"/>
      <c r="N315" s="39"/>
      <c r="O315" s="39">
        <v>9</v>
      </c>
      <c r="P315" s="39"/>
      <c r="Q315" s="39">
        <v>13</v>
      </c>
      <c r="R315" s="39">
        <f t="shared" si="83"/>
        <v>22</v>
      </c>
      <c r="S315" s="39">
        <f t="shared" si="84"/>
        <v>26.619999999999997</v>
      </c>
      <c r="T315" s="39"/>
      <c r="U315" s="39"/>
      <c r="V315" s="39">
        <v>2</v>
      </c>
      <c r="W315" s="39"/>
      <c r="X315" s="39">
        <v>4</v>
      </c>
      <c r="Y315" s="39">
        <f t="shared" si="85"/>
        <v>6</v>
      </c>
      <c r="Z315" s="39">
        <f t="shared" si="86"/>
        <v>16.440000000000001</v>
      </c>
      <c r="AA315" s="39">
        <f t="shared" si="87"/>
        <v>77</v>
      </c>
      <c r="AB315" s="39">
        <f t="shared" si="87"/>
        <v>78.34</v>
      </c>
      <c r="AC315" s="41">
        <f t="shared" si="90"/>
        <v>5889</v>
      </c>
      <c r="AD315" s="82">
        <f t="shared" si="97"/>
        <v>453453</v>
      </c>
      <c r="AE315" s="82">
        <f t="shared" si="98"/>
        <v>461344.26</v>
      </c>
      <c r="AF315" s="82">
        <f t="shared" si="99"/>
        <v>914797.26</v>
      </c>
      <c r="AG315" s="39"/>
      <c r="AH315" s="39"/>
      <c r="AI315" s="79"/>
      <c r="AJ315" s="79"/>
      <c r="AK315" s="79"/>
      <c r="AL315" s="79"/>
      <c r="AM315" s="79"/>
      <c r="AN315" s="79"/>
      <c r="AO315" s="79"/>
      <c r="AP315" s="79"/>
      <c r="AQ315" s="3" t="s">
        <v>576</v>
      </c>
      <c r="AR315" s="3" t="s">
        <v>633</v>
      </c>
      <c r="AS315" s="3" t="s">
        <v>1007</v>
      </c>
      <c r="AT315" s="49">
        <v>5889</v>
      </c>
      <c r="AU315" s="3" t="str">
        <f t="shared" si="95"/>
        <v>match</v>
      </c>
      <c r="AV315" s="3" t="str">
        <f t="shared" si="96"/>
        <v>match</v>
      </c>
    </row>
    <row r="316" spans="1:48" ht="12">
      <c r="A316" s="9" t="s">
        <v>576</v>
      </c>
      <c r="B316" s="10" t="s">
        <v>635</v>
      </c>
      <c r="C316" s="56" t="s">
        <v>636</v>
      </c>
      <c r="D316" s="56"/>
      <c r="E316" s="11">
        <v>44</v>
      </c>
      <c r="F316" s="11"/>
      <c r="G316" s="11"/>
      <c r="H316" s="11"/>
      <c r="I316" s="11"/>
      <c r="J316" s="11"/>
      <c r="K316" s="11">
        <f t="shared" si="81"/>
        <v>44</v>
      </c>
      <c r="L316" s="11">
        <f t="shared" si="82"/>
        <v>31.68</v>
      </c>
      <c r="M316" s="11"/>
      <c r="N316" s="11"/>
      <c r="O316" s="11">
        <v>1</v>
      </c>
      <c r="P316" s="11"/>
      <c r="Q316" s="11">
        <v>4</v>
      </c>
      <c r="R316" s="11">
        <f t="shared" si="83"/>
        <v>5</v>
      </c>
      <c r="S316" s="11">
        <f t="shared" si="84"/>
        <v>6.05</v>
      </c>
      <c r="T316" s="11"/>
      <c r="U316" s="11"/>
      <c r="V316" s="11"/>
      <c r="W316" s="11"/>
      <c r="X316" s="11">
        <v>10</v>
      </c>
      <c r="Y316" s="11">
        <f t="shared" si="85"/>
        <v>10</v>
      </c>
      <c r="Z316" s="11">
        <f t="shared" si="86"/>
        <v>27.400000000000002</v>
      </c>
      <c r="AA316" s="11">
        <f t="shared" si="87"/>
        <v>59</v>
      </c>
      <c r="AB316" s="11">
        <f t="shared" si="87"/>
        <v>65.13</v>
      </c>
      <c r="AC316" s="42">
        <f t="shared" si="90"/>
        <v>5883</v>
      </c>
      <c r="AD316" s="83">
        <f t="shared" si="97"/>
        <v>347097</v>
      </c>
      <c r="AE316" s="83">
        <f t="shared" si="98"/>
        <v>383159.79</v>
      </c>
      <c r="AF316" s="83">
        <f t="shared" si="99"/>
        <v>730256.79</v>
      </c>
      <c r="AG316" s="11"/>
      <c r="AH316" s="11"/>
      <c r="AI316" s="78"/>
      <c r="AJ316" s="78"/>
      <c r="AK316" s="78"/>
      <c r="AL316" s="78"/>
      <c r="AM316" s="78"/>
      <c r="AN316" s="78"/>
      <c r="AO316" s="78"/>
      <c r="AP316" s="78"/>
      <c r="AQ316" s="3" t="s">
        <v>576</v>
      </c>
      <c r="AR316" s="3" t="s">
        <v>635</v>
      </c>
      <c r="AS316" s="3" t="s">
        <v>1008</v>
      </c>
      <c r="AT316" s="49">
        <v>5883</v>
      </c>
      <c r="AU316" s="3" t="str">
        <f t="shared" si="95"/>
        <v>match</v>
      </c>
      <c r="AV316" s="3" t="str">
        <f t="shared" si="96"/>
        <v>match</v>
      </c>
    </row>
    <row r="317" spans="1:48" ht="12">
      <c r="A317" s="14" t="s">
        <v>576</v>
      </c>
      <c r="B317" s="12" t="s">
        <v>637</v>
      </c>
      <c r="C317" s="20" t="s">
        <v>638</v>
      </c>
      <c r="D317" s="94"/>
      <c r="E317" s="39">
        <v>73</v>
      </c>
      <c r="F317" s="39"/>
      <c r="G317" s="39"/>
      <c r="H317" s="39"/>
      <c r="I317" s="39"/>
      <c r="J317" s="39"/>
      <c r="K317" s="39">
        <f t="shared" si="81"/>
        <v>73</v>
      </c>
      <c r="L317" s="39">
        <f t="shared" si="82"/>
        <v>52.559999999999995</v>
      </c>
      <c r="M317" s="39"/>
      <c r="N317" s="39"/>
      <c r="O317" s="39">
        <v>11</v>
      </c>
      <c r="P317" s="39"/>
      <c r="Q317" s="39">
        <v>17</v>
      </c>
      <c r="R317" s="39">
        <f t="shared" si="83"/>
        <v>28</v>
      </c>
      <c r="S317" s="39">
        <f t="shared" si="84"/>
        <v>33.879999999999995</v>
      </c>
      <c r="T317" s="39"/>
      <c r="U317" s="39"/>
      <c r="V317" s="39">
        <v>2</v>
      </c>
      <c r="W317" s="39"/>
      <c r="X317" s="39">
        <v>9</v>
      </c>
      <c r="Y317" s="39">
        <f t="shared" si="85"/>
        <v>11</v>
      </c>
      <c r="Z317" s="39">
        <f t="shared" si="86"/>
        <v>30.14</v>
      </c>
      <c r="AA317" s="39">
        <f t="shared" si="87"/>
        <v>112</v>
      </c>
      <c r="AB317" s="39">
        <f t="shared" si="87"/>
        <v>116.58</v>
      </c>
      <c r="AC317" s="41">
        <f t="shared" si="90"/>
        <v>5883</v>
      </c>
      <c r="AD317" s="82">
        <f t="shared" si="97"/>
        <v>658896</v>
      </c>
      <c r="AE317" s="82">
        <f t="shared" si="98"/>
        <v>685840.14</v>
      </c>
      <c r="AF317" s="82">
        <f t="shared" si="99"/>
        <v>1344736.1400000001</v>
      </c>
      <c r="AG317" s="39"/>
      <c r="AH317" s="39"/>
      <c r="AI317" s="79"/>
      <c r="AJ317" s="79"/>
      <c r="AK317" s="79"/>
      <c r="AL317" s="79"/>
      <c r="AM317" s="79"/>
      <c r="AN317" s="79"/>
      <c r="AO317" s="79"/>
      <c r="AP317" s="79"/>
      <c r="AQ317" s="3" t="s">
        <v>576</v>
      </c>
      <c r="AR317" s="3" t="s">
        <v>637</v>
      </c>
      <c r="AS317" s="3" t="s">
        <v>1009</v>
      </c>
      <c r="AT317" s="49">
        <v>5883</v>
      </c>
      <c r="AU317" s="3" t="str">
        <f t="shared" si="95"/>
        <v>match</v>
      </c>
      <c r="AV317" s="3" t="str">
        <f t="shared" si="96"/>
        <v>match</v>
      </c>
    </row>
    <row r="318" spans="1:48" ht="12">
      <c r="A318" s="9" t="s">
        <v>576</v>
      </c>
      <c r="B318" s="10" t="s">
        <v>639</v>
      </c>
      <c r="C318" s="56" t="s">
        <v>640</v>
      </c>
      <c r="D318" s="56"/>
      <c r="E318" s="22">
        <v>27</v>
      </c>
      <c r="F318" s="11"/>
      <c r="G318" s="11"/>
      <c r="H318" s="11"/>
      <c r="I318" s="11"/>
      <c r="J318" s="11"/>
      <c r="K318" s="11">
        <f t="shared" si="81"/>
        <v>27</v>
      </c>
      <c r="L318" s="11">
        <f t="shared" si="82"/>
        <v>19.439999999999998</v>
      </c>
      <c r="M318" s="11"/>
      <c r="N318" s="11"/>
      <c r="O318" s="11"/>
      <c r="P318" s="11"/>
      <c r="Q318" s="11">
        <v>5</v>
      </c>
      <c r="R318" s="11">
        <f t="shared" si="83"/>
        <v>5</v>
      </c>
      <c r="S318" s="11">
        <f t="shared" si="84"/>
        <v>6.05</v>
      </c>
      <c r="T318" s="11"/>
      <c r="U318" s="11"/>
      <c r="V318" s="11"/>
      <c r="W318" s="11"/>
      <c r="X318" s="11">
        <v>3</v>
      </c>
      <c r="Y318" s="11">
        <f t="shared" si="85"/>
        <v>3</v>
      </c>
      <c r="Z318" s="11">
        <f t="shared" si="86"/>
        <v>8.2200000000000006</v>
      </c>
      <c r="AA318" s="11">
        <f t="shared" si="87"/>
        <v>35</v>
      </c>
      <c r="AB318" s="11">
        <f t="shared" si="87"/>
        <v>33.71</v>
      </c>
      <c r="AC318" s="42">
        <f t="shared" si="90"/>
        <v>5957</v>
      </c>
      <c r="AD318" s="83">
        <f t="shared" si="97"/>
        <v>208495</v>
      </c>
      <c r="AE318" s="83">
        <f t="shared" si="98"/>
        <v>200810.47</v>
      </c>
      <c r="AF318" s="83">
        <f t="shared" si="99"/>
        <v>409305.47</v>
      </c>
      <c r="AG318" s="11"/>
      <c r="AH318" s="11"/>
      <c r="AI318" s="78"/>
      <c r="AJ318" s="78"/>
      <c r="AK318" s="78"/>
      <c r="AL318" s="78"/>
      <c r="AM318" s="78"/>
      <c r="AN318" s="78"/>
      <c r="AO318" s="78"/>
      <c r="AP318" s="78"/>
      <c r="AQ318" s="3" t="s">
        <v>576</v>
      </c>
      <c r="AR318" s="3" t="s">
        <v>639</v>
      </c>
      <c r="AS318" s="3" t="s">
        <v>1029</v>
      </c>
      <c r="AT318" s="49">
        <v>5957</v>
      </c>
      <c r="AU318" s="3" t="str">
        <f t="shared" si="95"/>
        <v>match</v>
      </c>
      <c r="AV318" s="3" t="str">
        <f t="shared" si="96"/>
        <v>match</v>
      </c>
    </row>
    <row r="319" spans="1:48" ht="12">
      <c r="A319" s="6" t="s">
        <v>576</v>
      </c>
      <c r="B319" s="12" t="s">
        <v>641</v>
      </c>
      <c r="C319" s="8" t="s">
        <v>642</v>
      </c>
      <c r="D319" s="8"/>
      <c r="E319" s="39">
        <v>44</v>
      </c>
      <c r="F319" s="39"/>
      <c r="G319" s="39"/>
      <c r="H319" s="39"/>
      <c r="I319" s="39"/>
      <c r="J319" s="39"/>
      <c r="K319" s="39">
        <f t="shared" si="81"/>
        <v>44</v>
      </c>
      <c r="L319" s="39">
        <f t="shared" si="82"/>
        <v>31.68</v>
      </c>
      <c r="M319" s="39"/>
      <c r="N319" s="39">
        <v>2</v>
      </c>
      <c r="O319" s="39">
        <v>9</v>
      </c>
      <c r="P319" s="39"/>
      <c r="Q319" s="39">
        <v>26</v>
      </c>
      <c r="R319" s="39">
        <f t="shared" si="83"/>
        <v>37</v>
      </c>
      <c r="S319" s="39">
        <f t="shared" si="84"/>
        <v>43.57</v>
      </c>
      <c r="T319" s="39"/>
      <c r="U319" s="39"/>
      <c r="V319" s="39">
        <v>2</v>
      </c>
      <c r="W319" s="39"/>
      <c r="X319" s="39">
        <v>12</v>
      </c>
      <c r="Y319" s="39">
        <f t="shared" si="85"/>
        <v>14</v>
      </c>
      <c r="Z319" s="39">
        <f t="shared" si="86"/>
        <v>38.36</v>
      </c>
      <c r="AA319" s="39">
        <f t="shared" si="87"/>
        <v>95</v>
      </c>
      <c r="AB319" s="39">
        <f t="shared" si="87"/>
        <v>113.61</v>
      </c>
      <c r="AC319" s="41">
        <f t="shared" si="90"/>
        <v>5886</v>
      </c>
      <c r="AD319" s="82">
        <f t="shared" si="97"/>
        <v>559170</v>
      </c>
      <c r="AE319" s="82">
        <f t="shared" si="98"/>
        <v>668708.46</v>
      </c>
      <c r="AF319" s="82">
        <f t="shared" si="99"/>
        <v>1227878.46</v>
      </c>
      <c r="AG319" s="39"/>
      <c r="AH319" s="39"/>
      <c r="AI319" s="79"/>
      <c r="AJ319" s="79"/>
      <c r="AK319" s="79"/>
      <c r="AL319" s="79"/>
      <c r="AM319" s="79"/>
      <c r="AN319" s="79"/>
      <c r="AO319" s="79"/>
      <c r="AP319" s="79"/>
      <c r="AQ319" s="3" t="s">
        <v>576</v>
      </c>
      <c r="AR319" s="3" t="s">
        <v>641</v>
      </c>
      <c r="AS319" s="3" t="s">
        <v>1030</v>
      </c>
      <c r="AT319" s="49">
        <v>5886</v>
      </c>
      <c r="AU319" s="3" t="str">
        <f t="shared" si="95"/>
        <v>match</v>
      </c>
      <c r="AV319" s="3" t="str">
        <f t="shared" si="96"/>
        <v>match</v>
      </c>
    </row>
    <row r="320" spans="1:48" ht="12">
      <c r="A320" s="9" t="s">
        <v>576</v>
      </c>
      <c r="B320" s="10" t="s">
        <v>643</v>
      </c>
      <c r="C320" s="56" t="s">
        <v>644</v>
      </c>
      <c r="D320" s="56"/>
      <c r="E320" s="11">
        <v>24</v>
      </c>
      <c r="F320" s="11"/>
      <c r="G320" s="11"/>
      <c r="H320" s="11"/>
      <c r="I320" s="11"/>
      <c r="J320" s="11"/>
      <c r="K320" s="11">
        <f t="shared" si="81"/>
        <v>24</v>
      </c>
      <c r="L320" s="11">
        <f t="shared" si="82"/>
        <v>17.28</v>
      </c>
      <c r="M320" s="11"/>
      <c r="N320" s="11"/>
      <c r="O320" s="11"/>
      <c r="P320" s="11"/>
      <c r="Q320" s="11">
        <v>8</v>
      </c>
      <c r="R320" s="11">
        <f t="shared" si="83"/>
        <v>8</v>
      </c>
      <c r="S320" s="11">
        <f t="shared" si="84"/>
        <v>9.68</v>
      </c>
      <c r="T320" s="11"/>
      <c r="U320" s="11"/>
      <c r="V320" s="11">
        <v>1</v>
      </c>
      <c r="W320" s="11"/>
      <c r="X320" s="11">
        <v>3</v>
      </c>
      <c r="Y320" s="11">
        <f t="shared" si="85"/>
        <v>4</v>
      </c>
      <c r="Z320" s="11">
        <f t="shared" si="86"/>
        <v>10.96</v>
      </c>
      <c r="AA320" s="11">
        <f t="shared" si="87"/>
        <v>36</v>
      </c>
      <c r="AB320" s="11">
        <f t="shared" si="87"/>
        <v>37.92</v>
      </c>
      <c r="AC320" s="42">
        <f t="shared" si="90"/>
        <v>5883</v>
      </c>
      <c r="AD320" s="83">
        <f t="shared" si="97"/>
        <v>211788</v>
      </c>
      <c r="AE320" s="83">
        <f t="shared" si="98"/>
        <v>223083.36000000002</v>
      </c>
      <c r="AF320" s="83">
        <f t="shared" si="99"/>
        <v>434871.36</v>
      </c>
      <c r="AG320" s="11"/>
      <c r="AH320" s="11"/>
      <c r="AI320" s="78"/>
      <c r="AJ320" s="78"/>
      <c r="AK320" s="78"/>
      <c r="AL320" s="78"/>
      <c r="AM320" s="78"/>
      <c r="AN320" s="78"/>
      <c r="AO320" s="78"/>
      <c r="AP320" s="78"/>
      <c r="AQ320" s="3" t="s">
        <v>576</v>
      </c>
      <c r="AR320" s="3" t="s">
        <v>643</v>
      </c>
      <c r="AS320" s="3" t="s">
        <v>1031</v>
      </c>
      <c r="AT320" s="49">
        <v>5883</v>
      </c>
      <c r="AU320" s="3" t="str">
        <f t="shared" si="95"/>
        <v>match</v>
      </c>
      <c r="AV320" s="3" t="str">
        <f t="shared" si="96"/>
        <v>match</v>
      </c>
    </row>
    <row r="321" spans="1:48" ht="12">
      <c r="A321" s="9" t="s">
        <v>576</v>
      </c>
      <c r="B321" s="12" t="s">
        <v>645</v>
      </c>
      <c r="C321" s="13" t="s">
        <v>646</v>
      </c>
      <c r="D321" s="8"/>
      <c r="E321" s="39">
        <v>27</v>
      </c>
      <c r="F321" s="39"/>
      <c r="G321" s="39"/>
      <c r="H321" s="39"/>
      <c r="I321" s="39"/>
      <c r="J321" s="39"/>
      <c r="K321" s="39">
        <f t="shared" si="81"/>
        <v>27</v>
      </c>
      <c r="L321" s="39">
        <f t="shared" si="82"/>
        <v>19.439999999999998</v>
      </c>
      <c r="M321" s="39"/>
      <c r="N321" s="39"/>
      <c r="O321" s="39"/>
      <c r="P321" s="39"/>
      <c r="Q321" s="39">
        <v>2</v>
      </c>
      <c r="R321" s="39">
        <f t="shared" si="83"/>
        <v>2</v>
      </c>
      <c r="S321" s="39">
        <f t="shared" si="84"/>
        <v>2.42</v>
      </c>
      <c r="T321" s="39"/>
      <c r="U321" s="39"/>
      <c r="V321" s="39"/>
      <c r="W321" s="39"/>
      <c r="X321" s="39">
        <v>4</v>
      </c>
      <c r="Y321" s="39">
        <f t="shared" si="85"/>
        <v>4</v>
      </c>
      <c r="Z321" s="39">
        <f t="shared" si="86"/>
        <v>10.96</v>
      </c>
      <c r="AA321" s="39">
        <f t="shared" si="87"/>
        <v>33</v>
      </c>
      <c r="AB321" s="39">
        <f t="shared" si="87"/>
        <v>32.82</v>
      </c>
      <c r="AC321" s="41">
        <f t="shared" si="90"/>
        <v>6050</v>
      </c>
      <c r="AD321" s="82">
        <f t="shared" si="97"/>
        <v>199650</v>
      </c>
      <c r="AE321" s="82">
        <f t="shared" si="98"/>
        <v>198561</v>
      </c>
      <c r="AF321" s="82">
        <f t="shared" si="99"/>
        <v>398211</v>
      </c>
      <c r="AG321" s="39"/>
      <c r="AH321" s="39"/>
      <c r="AI321" s="79"/>
      <c r="AJ321" s="79"/>
      <c r="AK321" s="79"/>
      <c r="AL321" s="79"/>
      <c r="AM321" s="79"/>
      <c r="AN321" s="79"/>
      <c r="AO321" s="79"/>
      <c r="AP321" s="79"/>
      <c r="AQ321" s="3" t="s">
        <v>576</v>
      </c>
      <c r="AR321" s="3" t="s">
        <v>645</v>
      </c>
      <c r="AS321" s="3" t="s">
        <v>646</v>
      </c>
      <c r="AT321" s="49">
        <v>6050</v>
      </c>
      <c r="AU321" s="3" t="str">
        <f t="shared" si="95"/>
        <v>match</v>
      </c>
      <c r="AV321" s="3" t="str">
        <f t="shared" si="96"/>
        <v>match</v>
      </c>
    </row>
    <row r="322" spans="1:48" ht="12">
      <c r="A322" s="9" t="s">
        <v>576</v>
      </c>
      <c r="B322" s="10" t="s">
        <v>647</v>
      </c>
      <c r="C322" s="56" t="s">
        <v>648</v>
      </c>
      <c r="D322" s="56"/>
      <c r="E322" s="11">
        <v>18</v>
      </c>
      <c r="F322" s="11"/>
      <c r="G322" s="11"/>
      <c r="H322" s="11"/>
      <c r="I322" s="11"/>
      <c r="J322" s="11"/>
      <c r="K322" s="11">
        <f t="shared" si="81"/>
        <v>18</v>
      </c>
      <c r="L322" s="11">
        <f t="shared" si="82"/>
        <v>12.959999999999999</v>
      </c>
      <c r="M322" s="11"/>
      <c r="N322" s="11"/>
      <c r="O322" s="11"/>
      <c r="P322" s="11"/>
      <c r="Q322" s="11">
        <v>13</v>
      </c>
      <c r="R322" s="11">
        <f t="shared" si="83"/>
        <v>13</v>
      </c>
      <c r="S322" s="11">
        <f t="shared" si="84"/>
        <v>15.73</v>
      </c>
      <c r="T322" s="11"/>
      <c r="U322" s="11"/>
      <c r="V322" s="11">
        <v>1</v>
      </c>
      <c r="W322" s="11"/>
      <c r="X322" s="11">
        <v>1</v>
      </c>
      <c r="Y322" s="11">
        <f t="shared" si="85"/>
        <v>2</v>
      </c>
      <c r="Z322" s="11">
        <f t="shared" si="86"/>
        <v>5.48</v>
      </c>
      <c r="AA322" s="11">
        <f t="shared" si="87"/>
        <v>33</v>
      </c>
      <c r="AB322" s="11">
        <f t="shared" si="87"/>
        <v>34.17</v>
      </c>
      <c r="AC322" s="42">
        <f t="shared" si="90"/>
        <v>5883</v>
      </c>
      <c r="AD322" s="83">
        <f t="shared" si="97"/>
        <v>194139</v>
      </c>
      <c r="AE322" s="83">
        <f t="shared" si="98"/>
        <v>201022.11000000002</v>
      </c>
      <c r="AF322" s="83">
        <f t="shared" si="99"/>
        <v>395161.11</v>
      </c>
      <c r="AG322" s="11"/>
      <c r="AH322" s="11"/>
      <c r="AI322" s="78"/>
      <c r="AJ322" s="78"/>
      <c r="AK322" s="78"/>
      <c r="AL322" s="78"/>
      <c r="AM322" s="78"/>
      <c r="AN322" s="78"/>
      <c r="AO322" s="78"/>
      <c r="AP322" s="78"/>
      <c r="AQ322" s="3" t="s">
        <v>576</v>
      </c>
      <c r="AR322" s="3" t="s">
        <v>647</v>
      </c>
      <c r="AS322" s="3" t="s">
        <v>1032</v>
      </c>
      <c r="AT322" s="49">
        <v>5883</v>
      </c>
      <c r="AU322" s="3" t="str">
        <f t="shared" si="95"/>
        <v>match</v>
      </c>
      <c r="AV322" s="3" t="str">
        <f t="shared" si="96"/>
        <v>match</v>
      </c>
    </row>
    <row r="323" spans="1:48" ht="12">
      <c r="A323" s="9" t="s">
        <v>576</v>
      </c>
      <c r="B323" s="12" t="s">
        <v>649</v>
      </c>
      <c r="C323" s="13" t="s">
        <v>650</v>
      </c>
      <c r="D323" s="8"/>
      <c r="E323" s="39">
        <v>6</v>
      </c>
      <c r="F323" s="39"/>
      <c r="G323" s="39"/>
      <c r="H323" s="39"/>
      <c r="I323" s="39"/>
      <c r="J323" s="39"/>
      <c r="K323" s="39">
        <f t="shared" si="81"/>
        <v>6</v>
      </c>
      <c r="L323" s="39">
        <f t="shared" si="82"/>
        <v>4.32</v>
      </c>
      <c r="M323" s="39"/>
      <c r="N323" s="39"/>
      <c r="O323" s="39"/>
      <c r="P323" s="39"/>
      <c r="Q323" s="39"/>
      <c r="R323" s="39">
        <f t="shared" si="83"/>
        <v>0</v>
      </c>
      <c r="S323" s="39">
        <f t="shared" si="84"/>
        <v>0</v>
      </c>
      <c r="T323" s="39"/>
      <c r="U323" s="39"/>
      <c r="V323" s="39"/>
      <c r="W323" s="39"/>
      <c r="X323" s="39">
        <v>3</v>
      </c>
      <c r="Y323" s="39">
        <f t="shared" si="85"/>
        <v>3</v>
      </c>
      <c r="Z323" s="39">
        <f t="shared" si="86"/>
        <v>8.2200000000000006</v>
      </c>
      <c r="AA323" s="39">
        <f t="shared" si="87"/>
        <v>9</v>
      </c>
      <c r="AB323" s="39">
        <f t="shared" si="87"/>
        <v>12.540000000000001</v>
      </c>
      <c r="AC323" s="41">
        <f t="shared" si="90"/>
        <v>6058</v>
      </c>
      <c r="AD323" s="82">
        <f t="shared" si="97"/>
        <v>54522</v>
      </c>
      <c r="AE323" s="82">
        <f t="shared" si="98"/>
        <v>75967.320000000007</v>
      </c>
      <c r="AF323" s="82">
        <f t="shared" si="99"/>
        <v>130489.32</v>
      </c>
      <c r="AG323" s="39"/>
      <c r="AH323" s="39"/>
      <c r="AI323" s="79"/>
      <c r="AJ323" s="79"/>
      <c r="AK323" s="79"/>
      <c r="AL323" s="79"/>
      <c r="AM323" s="79"/>
      <c r="AN323" s="79"/>
      <c r="AO323" s="79"/>
      <c r="AP323" s="79"/>
      <c r="AQ323" s="3" t="s">
        <v>576</v>
      </c>
      <c r="AR323" s="3" t="s">
        <v>649</v>
      </c>
      <c r="AS323" s="3" t="s">
        <v>1033</v>
      </c>
      <c r="AT323" s="49">
        <v>6058</v>
      </c>
      <c r="AU323" s="3" t="str">
        <f t="shared" si="95"/>
        <v>match</v>
      </c>
      <c r="AV323" s="3" t="str">
        <f t="shared" si="96"/>
        <v>match</v>
      </c>
    </row>
    <row r="324" spans="1:48" ht="12">
      <c r="A324" s="9" t="s">
        <v>576</v>
      </c>
      <c r="B324" s="10" t="s">
        <v>651</v>
      </c>
      <c r="C324" s="56" t="s">
        <v>652</v>
      </c>
      <c r="D324" s="56"/>
      <c r="E324" s="11">
        <v>96</v>
      </c>
      <c r="F324" s="11"/>
      <c r="G324" s="11"/>
      <c r="H324" s="11">
        <v>1</v>
      </c>
      <c r="I324" s="11"/>
      <c r="J324" s="11"/>
      <c r="K324" s="11">
        <f t="shared" si="81"/>
        <v>97</v>
      </c>
      <c r="L324" s="11">
        <f t="shared" si="82"/>
        <v>69.84</v>
      </c>
      <c r="M324" s="11"/>
      <c r="N324" s="11">
        <v>3</v>
      </c>
      <c r="O324" s="11">
        <v>4</v>
      </c>
      <c r="P324" s="11"/>
      <c r="Q324" s="11">
        <v>52</v>
      </c>
      <c r="R324" s="11">
        <f t="shared" si="83"/>
        <v>59</v>
      </c>
      <c r="S324" s="11">
        <f t="shared" si="84"/>
        <v>69.589999999999989</v>
      </c>
      <c r="T324" s="11"/>
      <c r="U324" s="11">
        <v>2</v>
      </c>
      <c r="V324" s="11">
        <v>1</v>
      </c>
      <c r="W324" s="11"/>
      <c r="X324" s="11">
        <v>15</v>
      </c>
      <c r="Y324" s="11">
        <f t="shared" si="85"/>
        <v>18</v>
      </c>
      <c r="Z324" s="11">
        <f t="shared" si="86"/>
        <v>46.580000000000005</v>
      </c>
      <c r="AA324" s="11">
        <f t="shared" si="87"/>
        <v>174</v>
      </c>
      <c r="AB324" s="11">
        <f t="shared" si="87"/>
        <v>186.01000000000002</v>
      </c>
      <c r="AC324" s="42">
        <f t="shared" si="90"/>
        <v>5883</v>
      </c>
      <c r="AD324" s="83">
        <f t="shared" si="97"/>
        <v>1023642</v>
      </c>
      <c r="AE324" s="83">
        <f t="shared" si="98"/>
        <v>1094296.83</v>
      </c>
      <c r="AF324" s="83">
        <f t="shared" si="99"/>
        <v>2117938.83</v>
      </c>
      <c r="AG324" s="11"/>
      <c r="AH324" s="11"/>
      <c r="AI324" s="78"/>
      <c r="AJ324" s="78"/>
      <c r="AK324" s="78"/>
      <c r="AL324" s="78"/>
      <c r="AM324" s="78"/>
      <c r="AN324" s="78"/>
      <c r="AO324" s="78"/>
      <c r="AP324" s="78"/>
      <c r="AQ324" s="3" t="s">
        <v>576</v>
      </c>
      <c r="AR324" s="3" t="s">
        <v>651</v>
      </c>
      <c r="AS324" s="3" t="s">
        <v>1034</v>
      </c>
      <c r="AT324" s="49">
        <v>5883</v>
      </c>
      <c r="AU324" s="3" t="str">
        <f t="shared" si="95"/>
        <v>match</v>
      </c>
      <c r="AV324" s="3" t="str">
        <f t="shared" si="96"/>
        <v>match</v>
      </c>
    </row>
    <row r="325" spans="1:48" ht="12">
      <c r="A325" s="9" t="s">
        <v>576</v>
      </c>
      <c r="B325" s="12" t="s">
        <v>653</v>
      </c>
      <c r="C325" s="13" t="s">
        <v>654</v>
      </c>
      <c r="D325" s="8"/>
      <c r="E325" s="39">
        <v>55</v>
      </c>
      <c r="F325" s="39"/>
      <c r="G325" s="39"/>
      <c r="H325" s="39"/>
      <c r="I325" s="39"/>
      <c r="J325" s="39"/>
      <c r="K325" s="39">
        <f t="shared" si="81"/>
        <v>55</v>
      </c>
      <c r="L325" s="39">
        <f t="shared" si="82"/>
        <v>39.6</v>
      </c>
      <c r="M325" s="39"/>
      <c r="N325" s="39">
        <v>1</v>
      </c>
      <c r="O325" s="39">
        <v>1</v>
      </c>
      <c r="P325" s="39"/>
      <c r="Q325" s="39">
        <v>6</v>
      </c>
      <c r="R325" s="39">
        <f t="shared" si="83"/>
        <v>8</v>
      </c>
      <c r="S325" s="39">
        <f t="shared" si="84"/>
        <v>9.0799999999999983</v>
      </c>
      <c r="T325" s="39"/>
      <c r="U325" s="39"/>
      <c r="V325" s="39"/>
      <c r="W325" s="39"/>
      <c r="X325" s="39">
        <v>7</v>
      </c>
      <c r="Y325" s="39">
        <f t="shared" si="85"/>
        <v>7</v>
      </c>
      <c r="Z325" s="39">
        <f t="shared" si="86"/>
        <v>19.18</v>
      </c>
      <c r="AA325" s="39">
        <f t="shared" si="87"/>
        <v>70</v>
      </c>
      <c r="AB325" s="39">
        <f t="shared" si="87"/>
        <v>67.86</v>
      </c>
      <c r="AC325" s="41">
        <f t="shared" si="90"/>
        <v>5883</v>
      </c>
      <c r="AD325" s="82">
        <f t="shared" si="97"/>
        <v>411810</v>
      </c>
      <c r="AE325" s="82">
        <f t="shared" si="98"/>
        <v>399220.38</v>
      </c>
      <c r="AF325" s="82">
        <f t="shared" si="99"/>
        <v>811030.38</v>
      </c>
      <c r="AG325" s="39"/>
      <c r="AH325" s="39"/>
      <c r="AI325" s="79"/>
      <c r="AJ325" s="79"/>
      <c r="AK325" s="79"/>
      <c r="AL325" s="79"/>
      <c r="AM325" s="79"/>
      <c r="AN325" s="79"/>
      <c r="AO325" s="79"/>
      <c r="AP325" s="79"/>
      <c r="AQ325" s="3" t="s">
        <v>576</v>
      </c>
      <c r="AR325" s="3" t="s">
        <v>653</v>
      </c>
      <c r="AS325" s="3" t="s">
        <v>654</v>
      </c>
      <c r="AT325" s="49">
        <v>5883</v>
      </c>
      <c r="AU325" s="3" t="str">
        <f t="shared" si="95"/>
        <v>match</v>
      </c>
      <c r="AV325" s="3" t="str">
        <f t="shared" si="96"/>
        <v>match</v>
      </c>
    </row>
    <row r="326" spans="1:48" ht="12">
      <c r="A326" s="9" t="s">
        <v>576</v>
      </c>
      <c r="B326" s="10" t="s">
        <v>655</v>
      </c>
      <c r="C326" s="56" t="s">
        <v>656</v>
      </c>
      <c r="D326" s="56"/>
      <c r="E326" s="11">
        <v>71</v>
      </c>
      <c r="F326" s="11"/>
      <c r="G326" s="11"/>
      <c r="H326" s="11"/>
      <c r="I326" s="11"/>
      <c r="J326" s="11"/>
      <c r="K326" s="11">
        <f t="shared" si="81"/>
        <v>71</v>
      </c>
      <c r="L326" s="11">
        <f t="shared" si="82"/>
        <v>51.12</v>
      </c>
      <c r="M326" s="11"/>
      <c r="N326" s="11">
        <v>1</v>
      </c>
      <c r="O326" s="11">
        <v>8</v>
      </c>
      <c r="P326" s="11"/>
      <c r="Q326" s="11">
        <v>28</v>
      </c>
      <c r="R326" s="11">
        <f t="shared" si="83"/>
        <v>37</v>
      </c>
      <c r="S326" s="11">
        <f t="shared" si="84"/>
        <v>44.17</v>
      </c>
      <c r="T326" s="11"/>
      <c r="U326" s="11">
        <v>1</v>
      </c>
      <c r="V326" s="11">
        <v>3</v>
      </c>
      <c r="W326" s="11"/>
      <c r="X326" s="11">
        <v>6</v>
      </c>
      <c r="Y326" s="11">
        <f t="shared" si="85"/>
        <v>10</v>
      </c>
      <c r="Z326" s="11">
        <f t="shared" si="86"/>
        <v>26.030000000000005</v>
      </c>
      <c r="AA326" s="11">
        <f t="shared" si="87"/>
        <v>118</v>
      </c>
      <c r="AB326" s="11">
        <f t="shared" si="87"/>
        <v>121.32</v>
      </c>
      <c r="AC326" s="42">
        <f t="shared" si="90"/>
        <v>5883</v>
      </c>
      <c r="AD326" s="83">
        <f t="shared" si="97"/>
        <v>694194</v>
      </c>
      <c r="AE326" s="83">
        <f t="shared" si="98"/>
        <v>713725.55999999994</v>
      </c>
      <c r="AF326" s="83">
        <f t="shared" si="99"/>
        <v>1407919.56</v>
      </c>
      <c r="AG326" s="11"/>
      <c r="AH326" s="11"/>
      <c r="AI326" s="78"/>
      <c r="AJ326" s="78"/>
      <c r="AK326" s="78"/>
      <c r="AL326" s="78"/>
      <c r="AM326" s="78"/>
      <c r="AN326" s="78"/>
      <c r="AO326" s="78"/>
      <c r="AP326" s="78"/>
      <c r="AQ326" s="3" t="s">
        <v>576</v>
      </c>
      <c r="AR326" s="3" t="s">
        <v>655</v>
      </c>
      <c r="AS326" s="3" t="s">
        <v>1010</v>
      </c>
      <c r="AT326" s="49">
        <v>5883</v>
      </c>
      <c r="AU326" s="3" t="str">
        <f t="shared" si="95"/>
        <v>match</v>
      </c>
      <c r="AV326" s="3" t="str">
        <f t="shared" si="96"/>
        <v>match</v>
      </c>
    </row>
    <row r="327" spans="1:48" ht="12">
      <c r="A327" s="9" t="s">
        <v>576</v>
      </c>
      <c r="B327" s="12" t="s">
        <v>657</v>
      </c>
      <c r="C327" s="13" t="s">
        <v>658</v>
      </c>
      <c r="D327" s="8"/>
      <c r="E327" s="39">
        <v>34</v>
      </c>
      <c r="F327" s="39"/>
      <c r="G327" s="39"/>
      <c r="H327" s="39"/>
      <c r="I327" s="39"/>
      <c r="J327" s="39"/>
      <c r="K327" s="39">
        <f t="shared" ref="K327:K372" si="100">SUM(E327:J327)</f>
        <v>34</v>
      </c>
      <c r="L327" s="39">
        <f t="shared" ref="L327:L372" si="101">+K327*0.72</f>
        <v>24.48</v>
      </c>
      <c r="M327" s="39"/>
      <c r="N327" s="39">
        <v>1</v>
      </c>
      <c r="O327" s="39"/>
      <c r="P327" s="39"/>
      <c r="Q327" s="39">
        <v>3</v>
      </c>
      <c r="R327" s="39">
        <f t="shared" ref="R327:R372" si="102">SUM(M327:Q327)</f>
        <v>4</v>
      </c>
      <c r="S327" s="39">
        <f t="shared" ref="S327:S372" si="103">((+N327+P327)*0.61)+((+M327+O327+Q327)*1.21)</f>
        <v>4.24</v>
      </c>
      <c r="T327" s="39"/>
      <c r="U327" s="39"/>
      <c r="V327" s="39">
        <v>1</v>
      </c>
      <c r="W327" s="39"/>
      <c r="X327" s="39">
        <v>13</v>
      </c>
      <c r="Y327" s="39">
        <f t="shared" ref="Y327:Y372" si="104">SUM(T327:X327)</f>
        <v>14</v>
      </c>
      <c r="Z327" s="39">
        <f t="shared" ref="Z327:Z372" si="105">((+U327+W327)*1.37)+((+T327+V327+X327)*2.74)</f>
        <v>38.36</v>
      </c>
      <c r="AA327" s="39">
        <f t="shared" ref="AA327:AB372" si="106">+K327+R327+Y327</f>
        <v>52</v>
      </c>
      <c r="AB327" s="39">
        <f t="shared" si="106"/>
        <v>67.08</v>
      </c>
      <c r="AC327" s="41">
        <f t="shared" si="90"/>
        <v>5895</v>
      </c>
      <c r="AD327" s="82">
        <f t="shared" si="97"/>
        <v>306540</v>
      </c>
      <c r="AE327" s="82">
        <f t="shared" si="98"/>
        <v>395436.6</v>
      </c>
      <c r="AF327" s="82">
        <f t="shared" si="99"/>
        <v>701976.6</v>
      </c>
      <c r="AG327" s="39"/>
      <c r="AH327" s="39"/>
      <c r="AI327" s="79"/>
      <c r="AJ327" s="79"/>
      <c r="AK327" s="79"/>
      <c r="AL327" s="79"/>
      <c r="AM327" s="79"/>
      <c r="AN327" s="79"/>
      <c r="AO327" s="79"/>
      <c r="AP327" s="79"/>
      <c r="AQ327" s="3" t="s">
        <v>576</v>
      </c>
      <c r="AR327" s="3" t="s">
        <v>657</v>
      </c>
      <c r="AS327" s="3" t="s">
        <v>1011</v>
      </c>
      <c r="AT327" s="49">
        <v>5895</v>
      </c>
      <c r="AU327" s="3" t="str">
        <f t="shared" si="95"/>
        <v>match</v>
      </c>
      <c r="AV327" s="3" t="str">
        <f t="shared" si="96"/>
        <v>match</v>
      </c>
    </row>
    <row r="328" spans="1:48" ht="12">
      <c r="A328" s="9" t="s">
        <v>576</v>
      </c>
      <c r="B328" s="10" t="s">
        <v>659</v>
      </c>
      <c r="C328" s="56" t="s">
        <v>660</v>
      </c>
      <c r="D328" s="56"/>
      <c r="E328" s="11">
        <v>21</v>
      </c>
      <c r="F328" s="11"/>
      <c r="G328" s="11"/>
      <c r="H328" s="11"/>
      <c r="I328" s="11"/>
      <c r="J328" s="11"/>
      <c r="K328" s="11">
        <f t="shared" si="100"/>
        <v>21</v>
      </c>
      <c r="L328" s="11">
        <f t="shared" si="101"/>
        <v>15.12</v>
      </c>
      <c r="M328" s="11"/>
      <c r="N328" s="11">
        <v>1</v>
      </c>
      <c r="O328" s="11"/>
      <c r="P328" s="11"/>
      <c r="Q328" s="11">
        <v>5</v>
      </c>
      <c r="R328" s="11">
        <f t="shared" si="102"/>
        <v>6</v>
      </c>
      <c r="S328" s="11">
        <f t="shared" si="103"/>
        <v>6.66</v>
      </c>
      <c r="T328" s="11"/>
      <c r="U328" s="11"/>
      <c r="V328" s="11"/>
      <c r="W328" s="11"/>
      <c r="X328" s="11">
        <v>10</v>
      </c>
      <c r="Y328" s="11">
        <f t="shared" si="104"/>
        <v>10</v>
      </c>
      <c r="Z328" s="11">
        <f t="shared" si="105"/>
        <v>27.400000000000002</v>
      </c>
      <c r="AA328" s="11">
        <f t="shared" si="106"/>
        <v>37</v>
      </c>
      <c r="AB328" s="11">
        <f t="shared" si="106"/>
        <v>49.180000000000007</v>
      </c>
      <c r="AC328" s="42">
        <f t="shared" si="90"/>
        <v>5883</v>
      </c>
      <c r="AD328" s="83">
        <f t="shared" si="97"/>
        <v>217671</v>
      </c>
      <c r="AE328" s="83">
        <f t="shared" si="98"/>
        <v>289325.94000000006</v>
      </c>
      <c r="AF328" s="83">
        <f t="shared" si="99"/>
        <v>506996.94000000006</v>
      </c>
      <c r="AG328" s="11"/>
      <c r="AH328" s="11"/>
      <c r="AI328" s="78"/>
      <c r="AJ328" s="78"/>
      <c r="AK328" s="78"/>
      <c r="AL328" s="78"/>
      <c r="AM328" s="78"/>
      <c r="AN328" s="78"/>
      <c r="AO328" s="78"/>
      <c r="AP328" s="78"/>
      <c r="AQ328" s="3" t="s">
        <v>576</v>
      </c>
      <c r="AR328" s="3" t="s">
        <v>659</v>
      </c>
      <c r="AS328" s="3" t="s">
        <v>1012</v>
      </c>
      <c r="AT328" s="49">
        <v>5883</v>
      </c>
      <c r="AU328" s="3" t="str">
        <f t="shared" si="95"/>
        <v>match</v>
      </c>
      <c r="AV328" s="3" t="str">
        <f t="shared" si="96"/>
        <v>match</v>
      </c>
    </row>
    <row r="329" spans="1:48" ht="12">
      <c r="A329" s="9" t="s">
        <v>576</v>
      </c>
      <c r="B329" s="12" t="s">
        <v>661</v>
      </c>
      <c r="C329" s="13" t="s">
        <v>662</v>
      </c>
      <c r="D329" s="8"/>
      <c r="E329" s="39">
        <v>21</v>
      </c>
      <c r="F329" s="39"/>
      <c r="G329" s="39"/>
      <c r="H329" s="39">
        <v>1</v>
      </c>
      <c r="I329" s="39"/>
      <c r="J329" s="39"/>
      <c r="K329" s="39">
        <f t="shared" si="100"/>
        <v>22</v>
      </c>
      <c r="L329" s="39">
        <f t="shared" si="101"/>
        <v>15.84</v>
      </c>
      <c r="M329" s="39"/>
      <c r="N329" s="39">
        <v>1</v>
      </c>
      <c r="O329" s="39"/>
      <c r="P329" s="39"/>
      <c r="Q329" s="39">
        <v>3</v>
      </c>
      <c r="R329" s="39">
        <f t="shared" si="102"/>
        <v>4</v>
      </c>
      <c r="S329" s="39">
        <f t="shared" si="103"/>
        <v>4.24</v>
      </c>
      <c r="T329" s="39"/>
      <c r="U329" s="39"/>
      <c r="V329" s="39"/>
      <c r="W329" s="39"/>
      <c r="X329" s="39">
        <v>3</v>
      </c>
      <c r="Y329" s="39">
        <f t="shared" si="104"/>
        <v>3</v>
      </c>
      <c r="Z329" s="39">
        <f t="shared" si="105"/>
        <v>8.2200000000000006</v>
      </c>
      <c r="AA329" s="39">
        <f t="shared" si="106"/>
        <v>29</v>
      </c>
      <c r="AB329" s="39">
        <f t="shared" si="106"/>
        <v>28.299999999999997</v>
      </c>
      <c r="AC329" s="41">
        <f t="shared" si="90"/>
        <v>5883</v>
      </c>
      <c r="AD329" s="82">
        <f t="shared" si="97"/>
        <v>170607</v>
      </c>
      <c r="AE329" s="82">
        <f t="shared" si="98"/>
        <v>166488.9</v>
      </c>
      <c r="AF329" s="82">
        <f t="shared" si="99"/>
        <v>337095.9</v>
      </c>
      <c r="AG329" s="39"/>
      <c r="AH329" s="39"/>
      <c r="AI329" s="79"/>
      <c r="AJ329" s="79"/>
      <c r="AK329" s="79"/>
      <c r="AL329" s="79"/>
      <c r="AM329" s="79"/>
      <c r="AN329" s="79"/>
      <c r="AO329" s="79"/>
      <c r="AP329" s="79"/>
      <c r="AQ329" s="3" t="s">
        <v>576</v>
      </c>
      <c r="AR329" s="3" t="s">
        <v>661</v>
      </c>
      <c r="AS329" s="3" t="s">
        <v>1035</v>
      </c>
      <c r="AT329" s="49">
        <v>5883</v>
      </c>
      <c r="AU329" s="3" t="str">
        <f t="shared" si="95"/>
        <v>match</v>
      </c>
      <c r="AV329" s="3" t="str">
        <f t="shared" si="96"/>
        <v>match</v>
      </c>
    </row>
    <row r="330" spans="1:48" ht="12">
      <c r="A330" s="9" t="s">
        <v>576</v>
      </c>
      <c r="B330" s="10" t="s">
        <v>663</v>
      </c>
      <c r="C330" s="56" t="s">
        <v>664</v>
      </c>
      <c r="D330" s="56"/>
      <c r="E330" s="11">
        <v>28</v>
      </c>
      <c r="F330" s="11">
        <v>1</v>
      </c>
      <c r="G330" s="11"/>
      <c r="H330" s="11"/>
      <c r="I330" s="11"/>
      <c r="J330" s="11"/>
      <c r="K330" s="11">
        <f t="shared" si="100"/>
        <v>29</v>
      </c>
      <c r="L330" s="11">
        <f t="shared" si="101"/>
        <v>20.88</v>
      </c>
      <c r="M330" s="11"/>
      <c r="N330" s="11"/>
      <c r="O330" s="11">
        <v>1</v>
      </c>
      <c r="P330" s="11"/>
      <c r="Q330" s="11">
        <v>8</v>
      </c>
      <c r="R330" s="11">
        <f t="shared" si="102"/>
        <v>9</v>
      </c>
      <c r="S330" s="11">
        <f t="shared" si="103"/>
        <v>10.89</v>
      </c>
      <c r="T330" s="11"/>
      <c r="U330" s="11"/>
      <c r="V330" s="11"/>
      <c r="W330" s="11"/>
      <c r="X330" s="11">
        <v>4</v>
      </c>
      <c r="Y330" s="11">
        <f t="shared" si="104"/>
        <v>4</v>
      </c>
      <c r="Z330" s="11">
        <f t="shared" si="105"/>
        <v>10.96</v>
      </c>
      <c r="AA330" s="11">
        <f t="shared" si="106"/>
        <v>42</v>
      </c>
      <c r="AB330" s="11">
        <f t="shared" si="106"/>
        <v>42.730000000000004</v>
      </c>
      <c r="AC330" s="42">
        <f t="shared" si="90"/>
        <v>5883</v>
      </c>
      <c r="AD330" s="83">
        <f t="shared" si="97"/>
        <v>247086</v>
      </c>
      <c r="AE330" s="83">
        <f t="shared" si="98"/>
        <v>251380.59000000003</v>
      </c>
      <c r="AF330" s="83">
        <f t="shared" si="99"/>
        <v>498466.59</v>
      </c>
      <c r="AG330" s="11"/>
      <c r="AH330" s="11"/>
      <c r="AI330" s="78"/>
      <c r="AJ330" s="78"/>
      <c r="AK330" s="78"/>
      <c r="AL330" s="78"/>
      <c r="AM330" s="78"/>
      <c r="AN330" s="78"/>
      <c r="AO330" s="78"/>
      <c r="AP330" s="78"/>
      <c r="AQ330" s="3" t="s">
        <v>576</v>
      </c>
      <c r="AR330" s="3" t="s">
        <v>663</v>
      </c>
      <c r="AS330" s="3" t="s">
        <v>1013</v>
      </c>
      <c r="AT330" s="49">
        <v>5883</v>
      </c>
      <c r="AU330" s="3" t="str">
        <f t="shared" si="95"/>
        <v>match</v>
      </c>
      <c r="AV330" s="3" t="str">
        <f t="shared" si="96"/>
        <v>match</v>
      </c>
    </row>
    <row r="331" spans="1:48" ht="12">
      <c r="A331" s="9" t="s">
        <v>576</v>
      </c>
      <c r="B331" s="12" t="s">
        <v>665</v>
      </c>
      <c r="C331" s="13" t="s">
        <v>666</v>
      </c>
      <c r="D331" s="8"/>
      <c r="E331" s="39">
        <v>65</v>
      </c>
      <c r="F331" s="39"/>
      <c r="G331" s="39"/>
      <c r="H331" s="39"/>
      <c r="I331" s="39"/>
      <c r="J331" s="39"/>
      <c r="K331" s="39">
        <f t="shared" si="100"/>
        <v>65</v>
      </c>
      <c r="L331" s="39">
        <f t="shared" si="101"/>
        <v>46.8</v>
      </c>
      <c r="M331" s="39"/>
      <c r="N331" s="39">
        <v>1</v>
      </c>
      <c r="O331" s="39">
        <v>3</v>
      </c>
      <c r="P331" s="39"/>
      <c r="Q331" s="39">
        <v>7</v>
      </c>
      <c r="R331" s="39">
        <f t="shared" si="102"/>
        <v>11</v>
      </c>
      <c r="S331" s="39">
        <f t="shared" si="103"/>
        <v>12.709999999999999</v>
      </c>
      <c r="T331" s="39"/>
      <c r="U331" s="39">
        <v>1</v>
      </c>
      <c r="V331" s="39">
        <v>1</v>
      </c>
      <c r="W331" s="39">
        <v>1</v>
      </c>
      <c r="X331" s="39">
        <v>9</v>
      </c>
      <c r="Y331" s="39">
        <f t="shared" si="104"/>
        <v>12</v>
      </c>
      <c r="Z331" s="39">
        <f t="shared" si="105"/>
        <v>30.14</v>
      </c>
      <c r="AA331" s="39">
        <f t="shared" si="106"/>
        <v>88</v>
      </c>
      <c r="AB331" s="39">
        <f t="shared" si="106"/>
        <v>89.65</v>
      </c>
      <c r="AC331" s="41">
        <f t="shared" si="90"/>
        <v>5915</v>
      </c>
      <c r="AD331" s="82">
        <f t="shared" si="97"/>
        <v>520520</v>
      </c>
      <c r="AE331" s="82">
        <f t="shared" si="98"/>
        <v>530279.75</v>
      </c>
      <c r="AF331" s="82">
        <f t="shared" si="99"/>
        <v>1050799.75</v>
      </c>
      <c r="AG331" s="39"/>
      <c r="AH331" s="39"/>
      <c r="AI331" s="79"/>
      <c r="AJ331" s="79"/>
      <c r="AK331" s="79"/>
      <c r="AL331" s="79"/>
      <c r="AM331" s="79"/>
      <c r="AN331" s="79"/>
      <c r="AO331" s="79"/>
      <c r="AP331" s="79"/>
      <c r="AQ331" s="3" t="s">
        <v>576</v>
      </c>
      <c r="AR331" s="3" t="s">
        <v>665</v>
      </c>
      <c r="AS331" s="3" t="s">
        <v>1014</v>
      </c>
      <c r="AT331" s="49">
        <v>5915</v>
      </c>
      <c r="AU331" s="3" t="str">
        <f t="shared" si="95"/>
        <v>match</v>
      </c>
      <c r="AV331" s="3" t="str">
        <f t="shared" si="96"/>
        <v>match</v>
      </c>
    </row>
    <row r="332" spans="1:48" ht="12">
      <c r="A332" s="9" t="s">
        <v>576</v>
      </c>
      <c r="B332" s="10" t="s">
        <v>667</v>
      </c>
      <c r="C332" s="56" t="s">
        <v>668</v>
      </c>
      <c r="D332" s="56"/>
      <c r="E332" s="11">
        <v>37</v>
      </c>
      <c r="F332" s="11"/>
      <c r="G332" s="11"/>
      <c r="H332" s="11"/>
      <c r="I332" s="11"/>
      <c r="J332" s="11"/>
      <c r="K332" s="11">
        <f t="shared" si="100"/>
        <v>37</v>
      </c>
      <c r="L332" s="11">
        <f t="shared" si="101"/>
        <v>26.64</v>
      </c>
      <c r="M332" s="11"/>
      <c r="N332" s="11">
        <v>1</v>
      </c>
      <c r="O332" s="11"/>
      <c r="P332" s="11"/>
      <c r="Q332" s="11">
        <v>7</v>
      </c>
      <c r="R332" s="11">
        <f t="shared" si="102"/>
        <v>8</v>
      </c>
      <c r="S332" s="11">
        <f t="shared" si="103"/>
        <v>9.0799999999999983</v>
      </c>
      <c r="T332" s="11"/>
      <c r="U332" s="11"/>
      <c r="V332" s="11">
        <v>1</v>
      </c>
      <c r="W332" s="11"/>
      <c r="X332" s="11">
        <v>9</v>
      </c>
      <c r="Y332" s="11">
        <f t="shared" si="104"/>
        <v>10</v>
      </c>
      <c r="Z332" s="11">
        <f t="shared" si="105"/>
        <v>27.400000000000002</v>
      </c>
      <c r="AA332" s="11">
        <f t="shared" si="106"/>
        <v>55</v>
      </c>
      <c r="AB332" s="11">
        <f t="shared" si="106"/>
        <v>63.120000000000005</v>
      </c>
      <c r="AC332" s="42">
        <f t="shared" si="90"/>
        <v>5883</v>
      </c>
      <c r="AD332" s="83">
        <f t="shared" si="97"/>
        <v>323565</v>
      </c>
      <c r="AE332" s="83">
        <f t="shared" si="98"/>
        <v>371334.96</v>
      </c>
      <c r="AF332" s="83">
        <f t="shared" si="99"/>
        <v>694899.96</v>
      </c>
      <c r="AG332" s="11"/>
      <c r="AH332" s="11"/>
      <c r="AI332" s="78"/>
      <c r="AJ332" s="78"/>
      <c r="AK332" s="78"/>
      <c r="AL332" s="78"/>
      <c r="AM332" s="78"/>
      <c r="AN332" s="78"/>
      <c r="AO332" s="78"/>
      <c r="AP332" s="78"/>
      <c r="AQ332" s="3" t="s">
        <v>576</v>
      </c>
      <c r="AR332" s="3" t="s">
        <v>667</v>
      </c>
      <c r="AS332" s="3" t="s">
        <v>1015</v>
      </c>
      <c r="AT332" s="49">
        <v>5883</v>
      </c>
      <c r="AU332" s="3" t="str">
        <f t="shared" si="95"/>
        <v>match</v>
      </c>
      <c r="AV332" s="3" t="str">
        <f t="shared" si="96"/>
        <v>match</v>
      </c>
    </row>
    <row r="333" spans="1:48" ht="12">
      <c r="A333" s="9" t="s">
        <v>576</v>
      </c>
      <c r="B333" s="12" t="s">
        <v>669</v>
      </c>
      <c r="C333" s="13" t="s">
        <v>670</v>
      </c>
      <c r="D333" s="8"/>
      <c r="E333" s="39">
        <v>38</v>
      </c>
      <c r="F333" s="39"/>
      <c r="G333" s="39"/>
      <c r="H333" s="39"/>
      <c r="I333" s="39"/>
      <c r="J333" s="39"/>
      <c r="K333" s="39">
        <f t="shared" si="100"/>
        <v>38</v>
      </c>
      <c r="L333" s="39">
        <f t="shared" si="101"/>
        <v>27.36</v>
      </c>
      <c r="M333" s="39"/>
      <c r="N333" s="39"/>
      <c r="O333" s="39"/>
      <c r="P333" s="39"/>
      <c r="Q333" s="39">
        <v>8</v>
      </c>
      <c r="R333" s="39">
        <f t="shared" si="102"/>
        <v>8</v>
      </c>
      <c r="S333" s="39">
        <f t="shared" si="103"/>
        <v>9.68</v>
      </c>
      <c r="T333" s="39"/>
      <c r="U333" s="39"/>
      <c r="V333" s="39"/>
      <c r="W333" s="39"/>
      <c r="X333" s="39">
        <v>3</v>
      </c>
      <c r="Y333" s="39">
        <f t="shared" si="104"/>
        <v>3</v>
      </c>
      <c r="Z333" s="39">
        <f t="shared" si="105"/>
        <v>8.2200000000000006</v>
      </c>
      <c r="AA333" s="39">
        <f t="shared" si="106"/>
        <v>49</v>
      </c>
      <c r="AB333" s="39">
        <f t="shared" si="106"/>
        <v>45.26</v>
      </c>
      <c r="AC333" s="41">
        <f t="shared" si="90"/>
        <v>5883</v>
      </c>
      <c r="AD333" s="82">
        <f t="shared" si="97"/>
        <v>288267</v>
      </c>
      <c r="AE333" s="82">
        <f t="shared" si="98"/>
        <v>266264.58</v>
      </c>
      <c r="AF333" s="82">
        <f t="shared" si="99"/>
        <v>554531.58000000007</v>
      </c>
      <c r="AG333" s="39"/>
      <c r="AH333" s="39"/>
      <c r="AI333" s="79"/>
      <c r="AJ333" s="79"/>
      <c r="AK333" s="79"/>
      <c r="AL333" s="79"/>
      <c r="AM333" s="79"/>
      <c r="AN333" s="79"/>
      <c r="AO333" s="79"/>
      <c r="AP333" s="79"/>
      <c r="AQ333" s="3" t="s">
        <v>576</v>
      </c>
      <c r="AR333" s="3" t="s">
        <v>669</v>
      </c>
      <c r="AS333" s="3" t="s">
        <v>1036</v>
      </c>
      <c r="AT333" s="49">
        <v>5883</v>
      </c>
      <c r="AU333" s="3" t="str">
        <f t="shared" si="95"/>
        <v>match</v>
      </c>
      <c r="AV333" s="3" t="str">
        <f t="shared" si="96"/>
        <v>match</v>
      </c>
    </row>
    <row r="334" spans="1:48" ht="12">
      <c r="A334" s="9" t="s">
        <v>576</v>
      </c>
      <c r="B334" s="10" t="s">
        <v>671</v>
      </c>
      <c r="C334" s="56" t="s">
        <v>672</v>
      </c>
      <c r="D334" s="56"/>
      <c r="E334" s="11">
        <v>13</v>
      </c>
      <c r="F334" s="11"/>
      <c r="G334" s="11"/>
      <c r="H334" s="11"/>
      <c r="I334" s="11"/>
      <c r="J334" s="11"/>
      <c r="K334" s="11">
        <f t="shared" si="100"/>
        <v>13</v>
      </c>
      <c r="L334" s="11">
        <f t="shared" si="101"/>
        <v>9.36</v>
      </c>
      <c r="M334" s="11"/>
      <c r="N334" s="11"/>
      <c r="O334" s="11"/>
      <c r="P334" s="11"/>
      <c r="Q334" s="11">
        <v>2</v>
      </c>
      <c r="R334" s="11">
        <f t="shared" si="102"/>
        <v>2</v>
      </c>
      <c r="S334" s="11">
        <f t="shared" si="103"/>
        <v>2.42</v>
      </c>
      <c r="T334" s="11"/>
      <c r="U334" s="11"/>
      <c r="V334" s="11"/>
      <c r="W334" s="11"/>
      <c r="X334" s="11"/>
      <c r="Y334" s="11">
        <f t="shared" si="104"/>
        <v>0</v>
      </c>
      <c r="Z334" s="11">
        <f t="shared" si="105"/>
        <v>0</v>
      </c>
      <c r="AA334" s="11">
        <f t="shared" si="106"/>
        <v>15</v>
      </c>
      <c r="AB334" s="11">
        <f t="shared" si="106"/>
        <v>11.78</v>
      </c>
      <c r="AC334" s="42">
        <f t="shared" si="90"/>
        <v>5883</v>
      </c>
      <c r="AD334" s="83">
        <f t="shared" si="97"/>
        <v>88245</v>
      </c>
      <c r="AE334" s="83">
        <f t="shared" si="98"/>
        <v>69301.739999999991</v>
      </c>
      <c r="AF334" s="83">
        <f t="shared" si="99"/>
        <v>157546.74</v>
      </c>
      <c r="AG334" s="11"/>
      <c r="AH334" s="11"/>
      <c r="AI334" s="78"/>
      <c r="AJ334" s="78"/>
      <c r="AK334" s="78"/>
      <c r="AL334" s="78"/>
      <c r="AM334" s="78"/>
      <c r="AN334" s="78"/>
      <c r="AO334" s="78"/>
      <c r="AP334" s="78"/>
      <c r="AQ334" s="3" t="s">
        <v>576</v>
      </c>
      <c r="AR334" s="3" t="s">
        <v>671</v>
      </c>
      <c r="AS334" s="3" t="s">
        <v>1016</v>
      </c>
      <c r="AT334" s="49">
        <v>5883</v>
      </c>
      <c r="AU334" s="3" t="str">
        <f t="shared" si="95"/>
        <v>match</v>
      </c>
      <c r="AV334" s="3" t="str">
        <f t="shared" si="96"/>
        <v>match</v>
      </c>
    </row>
    <row r="335" spans="1:48" ht="12">
      <c r="A335" s="9" t="s">
        <v>576</v>
      </c>
      <c r="B335" s="12" t="s">
        <v>673</v>
      </c>
      <c r="C335" s="13" t="s">
        <v>674</v>
      </c>
      <c r="D335" s="8"/>
      <c r="E335" s="39">
        <v>58</v>
      </c>
      <c r="F335" s="39">
        <v>1</v>
      </c>
      <c r="G335" s="39"/>
      <c r="H335" s="39">
        <v>1</v>
      </c>
      <c r="I335" s="39"/>
      <c r="J335" s="39"/>
      <c r="K335" s="39">
        <f t="shared" si="100"/>
        <v>60</v>
      </c>
      <c r="L335" s="39">
        <f t="shared" si="101"/>
        <v>43.199999999999996</v>
      </c>
      <c r="M335" s="39"/>
      <c r="N335" s="39"/>
      <c r="O335" s="39">
        <v>1</v>
      </c>
      <c r="P335" s="39"/>
      <c r="Q335" s="39">
        <v>9</v>
      </c>
      <c r="R335" s="39">
        <f t="shared" si="102"/>
        <v>10</v>
      </c>
      <c r="S335" s="39">
        <f t="shared" si="103"/>
        <v>12.1</v>
      </c>
      <c r="T335" s="39"/>
      <c r="U335" s="39"/>
      <c r="V335" s="39">
        <v>1</v>
      </c>
      <c r="W335" s="39"/>
      <c r="X335" s="39">
        <v>11</v>
      </c>
      <c r="Y335" s="39">
        <f t="shared" si="104"/>
        <v>12</v>
      </c>
      <c r="Z335" s="39">
        <f t="shared" si="105"/>
        <v>32.880000000000003</v>
      </c>
      <c r="AA335" s="39">
        <f t="shared" si="106"/>
        <v>82</v>
      </c>
      <c r="AB335" s="39">
        <f t="shared" si="106"/>
        <v>88.18</v>
      </c>
      <c r="AC335" s="41">
        <f t="shared" si="90"/>
        <v>6053</v>
      </c>
      <c r="AD335" s="82">
        <f t="shared" si="97"/>
        <v>496346</v>
      </c>
      <c r="AE335" s="82">
        <f t="shared" si="98"/>
        <v>533753.54</v>
      </c>
      <c r="AF335" s="82">
        <f t="shared" si="99"/>
        <v>1030099.54</v>
      </c>
      <c r="AG335" s="39"/>
      <c r="AH335" s="39"/>
      <c r="AI335" s="79"/>
      <c r="AJ335" s="79"/>
      <c r="AK335" s="79"/>
      <c r="AL335" s="79"/>
      <c r="AM335" s="79"/>
      <c r="AN335" s="79"/>
      <c r="AO335" s="79"/>
      <c r="AP335" s="79"/>
      <c r="AQ335" s="3" t="s">
        <v>576</v>
      </c>
      <c r="AR335" s="3" t="s">
        <v>673</v>
      </c>
      <c r="AS335" s="3" t="s">
        <v>1017</v>
      </c>
      <c r="AT335" s="49">
        <v>6053</v>
      </c>
      <c r="AU335" s="3" t="str">
        <f t="shared" si="95"/>
        <v>match</v>
      </c>
      <c r="AV335" s="3" t="str">
        <f t="shared" si="96"/>
        <v>match</v>
      </c>
    </row>
    <row r="336" spans="1:48" ht="12.75" thickBot="1">
      <c r="A336" s="9" t="s">
        <v>576</v>
      </c>
      <c r="B336" s="10" t="s">
        <v>675</v>
      </c>
      <c r="C336" s="56" t="s">
        <v>676</v>
      </c>
      <c r="D336" s="56"/>
      <c r="E336" s="11">
        <v>39</v>
      </c>
      <c r="F336" s="11"/>
      <c r="G336" s="11"/>
      <c r="H336" s="11"/>
      <c r="I336" s="11"/>
      <c r="J336" s="11"/>
      <c r="K336" s="11">
        <f t="shared" si="100"/>
        <v>39</v>
      </c>
      <c r="L336" s="11">
        <f t="shared" si="101"/>
        <v>28.08</v>
      </c>
      <c r="M336" s="11"/>
      <c r="N336" s="11"/>
      <c r="O336" s="11">
        <v>3</v>
      </c>
      <c r="P336" s="11"/>
      <c r="Q336" s="11">
        <v>7</v>
      </c>
      <c r="R336" s="11">
        <f t="shared" si="102"/>
        <v>10</v>
      </c>
      <c r="S336" s="11">
        <f t="shared" si="103"/>
        <v>12.1</v>
      </c>
      <c r="T336" s="11"/>
      <c r="U336" s="11"/>
      <c r="V336" s="11"/>
      <c r="W336" s="11"/>
      <c r="X336" s="11">
        <v>5</v>
      </c>
      <c r="Y336" s="11">
        <f t="shared" si="104"/>
        <v>5</v>
      </c>
      <c r="Z336" s="11">
        <f t="shared" si="105"/>
        <v>13.700000000000001</v>
      </c>
      <c r="AA336" s="11">
        <f t="shared" si="106"/>
        <v>54</v>
      </c>
      <c r="AB336" s="11">
        <f t="shared" si="106"/>
        <v>53.88</v>
      </c>
      <c r="AC336" s="42">
        <f t="shared" si="90"/>
        <v>5883</v>
      </c>
      <c r="AD336" s="83">
        <f t="shared" si="97"/>
        <v>317682</v>
      </c>
      <c r="AE336" s="83">
        <f t="shared" si="98"/>
        <v>316976.04000000004</v>
      </c>
      <c r="AF336" s="83">
        <f t="shared" si="99"/>
        <v>634658.04</v>
      </c>
      <c r="AG336" s="11"/>
      <c r="AH336" s="11"/>
      <c r="AI336" s="78"/>
      <c r="AJ336" s="78"/>
      <c r="AK336" s="78"/>
      <c r="AL336" s="78"/>
      <c r="AM336" s="78"/>
      <c r="AN336" s="78"/>
      <c r="AO336" s="78"/>
      <c r="AP336" s="78"/>
      <c r="AQ336" s="3" t="s">
        <v>576</v>
      </c>
      <c r="AR336" s="3" t="s">
        <v>675</v>
      </c>
      <c r="AS336" s="3" t="s">
        <v>1018</v>
      </c>
      <c r="AT336" s="49">
        <v>5883</v>
      </c>
      <c r="AU336" s="3" t="str">
        <f t="shared" si="95"/>
        <v>match</v>
      </c>
      <c r="AV336" s="3" t="str">
        <f t="shared" si="96"/>
        <v>match</v>
      </c>
    </row>
    <row r="337" spans="1:48" ht="12.75" thickBot="1">
      <c r="A337" s="17" t="s">
        <v>576</v>
      </c>
      <c r="B337" s="17">
        <v>9213</v>
      </c>
      <c r="C337" s="18" t="s">
        <v>677</v>
      </c>
      <c r="D337" s="93"/>
      <c r="E337" s="19">
        <f>SUM(E287:E336)</f>
        <v>3508</v>
      </c>
      <c r="F337" s="19">
        <f t="shared" ref="F337:AB337" si="107">SUM(F287:F336)</f>
        <v>4</v>
      </c>
      <c r="G337" s="19">
        <f t="shared" si="107"/>
        <v>0</v>
      </c>
      <c r="H337" s="19">
        <f t="shared" si="107"/>
        <v>3</v>
      </c>
      <c r="I337" s="19">
        <f t="shared" si="107"/>
        <v>0</v>
      </c>
      <c r="J337" s="19">
        <f t="shared" si="107"/>
        <v>0</v>
      </c>
      <c r="K337" s="19">
        <f t="shared" si="107"/>
        <v>3515</v>
      </c>
      <c r="L337" s="19">
        <f t="shared" si="107"/>
        <v>2530.8000000000006</v>
      </c>
      <c r="M337" s="19">
        <f t="shared" si="107"/>
        <v>0</v>
      </c>
      <c r="N337" s="19">
        <f t="shared" si="107"/>
        <v>76</v>
      </c>
      <c r="O337" s="19">
        <f t="shared" si="107"/>
        <v>195</v>
      </c>
      <c r="P337" s="19">
        <f t="shared" si="107"/>
        <v>0</v>
      </c>
      <c r="Q337" s="19">
        <f t="shared" si="107"/>
        <v>840</v>
      </c>
      <c r="R337" s="19">
        <f t="shared" si="107"/>
        <v>1111</v>
      </c>
      <c r="S337" s="19">
        <f t="shared" si="107"/>
        <v>1298.71</v>
      </c>
      <c r="T337" s="19">
        <f t="shared" si="107"/>
        <v>1</v>
      </c>
      <c r="U337" s="19">
        <f t="shared" si="107"/>
        <v>18</v>
      </c>
      <c r="V337" s="19">
        <f t="shared" si="107"/>
        <v>45</v>
      </c>
      <c r="W337" s="19">
        <f t="shared" si="107"/>
        <v>2</v>
      </c>
      <c r="X337" s="19">
        <f t="shared" si="107"/>
        <v>566</v>
      </c>
      <c r="Y337" s="19">
        <f t="shared" si="107"/>
        <v>632</v>
      </c>
      <c r="Z337" s="19">
        <f t="shared" si="107"/>
        <v>1704.2800000000011</v>
      </c>
      <c r="AA337" s="19">
        <f t="shared" si="107"/>
        <v>5258</v>
      </c>
      <c r="AB337" s="19">
        <f t="shared" si="107"/>
        <v>5533.7899999999991</v>
      </c>
      <c r="AC337" s="50">
        <f t="shared" si="90"/>
        <v>0</v>
      </c>
      <c r="AD337" s="43">
        <f t="shared" ref="AD337" si="108">SUM(AD287:AD336)</f>
        <v>31107897</v>
      </c>
      <c r="AE337" s="43">
        <f t="shared" ref="AE337" si="109">SUM(AE287:AE336)</f>
        <v>32747945.729999993</v>
      </c>
      <c r="AF337" s="43">
        <f t="shared" ref="AF337" si="110">SUM(AF287:AF336)</f>
        <v>63855842.730000004</v>
      </c>
      <c r="AG337" s="19"/>
      <c r="AH337" s="19"/>
      <c r="AI337" s="80"/>
      <c r="AJ337" s="80"/>
      <c r="AK337" s="80"/>
      <c r="AL337" s="80"/>
      <c r="AM337" s="80"/>
      <c r="AN337" s="80"/>
      <c r="AO337" s="80"/>
      <c r="AP337" s="80"/>
      <c r="AQ337" s="3" t="s">
        <v>576</v>
      </c>
      <c r="AS337" s="3" t="s">
        <v>677</v>
      </c>
      <c r="AT337" s="49"/>
      <c r="AU337" s="3" t="str">
        <f t="shared" si="95"/>
        <v>not</v>
      </c>
      <c r="AV337" s="3" t="str">
        <f t="shared" si="96"/>
        <v>match</v>
      </c>
    </row>
    <row r="338" spans="1:48" ht="12">
      <c r="A338" s="9" t="s">
        <v>678</v>
      </c>
      <c r="B338" s="12" t="s">
        <v>679</v>
      </c>
      <c r="C338" s="13" t="s">
        <v>680</v>
      </c>
      <c r="D338" s="8"/>
      <c r="E338" s="39">
        <v>90</v>
      </c>
      <c r="F338" s="39"/>
      <c r="G338" s="39"/>
      <c r="H338" s="39"/>
      <c r="I338" s="39"/>
      <c r="J338" s="39"/>
      <c r="K338" s="39">
        <f t="shared" si="100"/>
        <v>90</v>
      </c>
      <c r="L338" s="39">
        <f t="shared" si="101"/>
        <v>64.8</v>
      </c>
      <c r="M338" s="39"/>
      <c r="N338" s="39">
        <v>4</v>
      </c>
      <c r="O338" s="39"/>
      <c r="P338" s="39"/>
      <c r="Q338" s="39">
        <v>7</v>
      </c>
      <c r="R338" s="39">
        <f t="shared" si="102"/>
        <v>11</v>
      </c>
      <c r="S338" s="39">
        <f t="shared" si="103"/>
        <v>10.909999999999998</v>
      </c>
      <c r="T338" s="39"/>
      <c r="U338" s="39">
        <v>1</v>
      </c>
      <c r="V338" s="39"/>
      <c r="W338" s="39"/>
      <c r="X338" s="39">
        <v>10</v>
      </c>
      <c r="Y338" s="39">
        <f t="shared" si="104"/>
        <v>11</v>
      </c>
      <c r="Z338" s="39">
        <f t="shared" si="105"/>
        <v>28.770000000000003</v>
      </c>
      <c r="AA338" s="39">
        <f t="shared" si="106"/>
        <v>112</v>
      </c>
      <c r="AB338" s="39">
        <f t="shared" si="106"/>
        <v>104.47999999999999</v>
      </c>
      <c r="AC338" s="41">
        <f t="shared" si="90"/>
        <v>5883</v>
      </c>
      <c r="AD338" s="82">
        <f t="shared" si="97"/>
        <v>658896</v>
      </c>
      <c r="AE338" s="82">
        <f t="shared" si="98"/>
        <v>614655.84</v>
      </c>
      <c r="AF338" s="82">
        <f t="shared" si="99"/>
        <v>1273551.8399999999</v>
      </c>
      <c r="AG338" s="39"/>
      <c r="AH338" s="39"/>
      <c r="AI338" s="79"/>
      <c r="AJ338" s="79"/>
      <c r="AK338" s="79"/>
      <c r="AL338" s="79"/>
      <c r="AM338" s="79"/>
      <c r="AN338" s="79"/>
      <c r="AO338" s="79"/>
      <c r="AP338" s="79"/>
      <c r="AR338" s="3" t="s">
        <v>679</v>
      </c>
      <c r="AS338" s="3" t="s">
        <v>1037</v>
      </c>
      <c r="AT338" s="49">
        <v>5883</v>
      </c>
      <c r="AU338" s="3" t="str">
        <f t="shared" ref="AU338:AU372" si="111">IF(AR338=B338,"match","not")</f>
        <v>match</v>
      </c>
      <c r="AV338" s="3" t="str">
        <f t="shared" ref="AV338:AV372" si="112">IF(AS338=C338,"match","not")</f>
        <v>match</v>
      </c>
    </row>
    <row r="339" spans="1:48" ht="12">
      <c r="A339" s="9" t="s">
        <v>678</v>
      </c>
      <c r="B339" s="10" t="s">
        <v>681</v>
      </c>
      <c r="C339" s="56" t="s">
        <v>682</v>
      </c>
      <c r="D339" s="56"/>
      <c r="E339" s="11">
        <v>67</v>
      </c>
      <c r="F339" s="11"/>
      <c r="G339" s="11"/>
      <c r="H339" s="11"/>
      <c r="I339" s="11"/>
      <c r="J339" s="11"/>
      <c r="K339" s="11">
        <f t="shared" si="100"/>
        <v>67</v>
      </c>
      <c r="L339" s="11">
        <f t="shared" si="101"/>
        <v>48.239999999999995</v>
      </c>
      <c r="M339" s="11"/>
      <c r="N339" s="11">
        <v>1</v>
      </c>
      <c r="O339" s="11"/>
      <c r="P339" s="11"/>
      <c r="Q339" s="11">
        <v>11</v>
      </c>
      <c r="R339" s="11">
        <f t="shared" si="102"/>
        <v>12</v>
      </c>
      <c r="S339" s="11">
        <f t="shared" si="103"/>
        <v>13.919999999999998</v>
      </c>
      <c r="T339" s="11"/>
      <c r="U339" s="11"/>
      <c r="V339" s="11">
        <v>2</v>
      </c>
      <c r="W339" s="11"/>
      <c r="X339" s="11">
        <v>7</v>
      </c>
      <c r="Y339" s="11">
        <f t="shared" si="104"/>
        <v>9</v>
      </c>
      <c r="Z339" s="11">
        <f t="shared" si="105"/>
        <v>24.660000000000004</v>
      </c>
      <c r="AA339" s="11">
        <f t="shared" si="106"/>
        <v>88</v>
      </c>
      <c r="AB339" s="11">
        <f t="shared" si="106"/>
        <v>86.82</v>
      </c>
      <c r="AC339" s="42">
        <f t="shared" si="90"/>
        <v>5883</v>
      </c>
      <c r="AD339" s="83">
        <f t="shared" si="97"/>
        <v>517704</v>
      </c>
      <c r="AE339" s="83">
        <f t="shared" si="98"/>
        <v>510762.05999999994</v>
      </c>
      <c r="AF339" s="83">
        <f t="shared" si="99"/>
        <v>1028466.0599999999</v>
      </c>
      <c r="AG339" s="11"/>
      <c r="AH339" s="11"/>
      <c r="AI339" s="78"/>
      <c r="AJ339" s="78"/>
      <c r="AK339" s="78"/>
      <c r="AL339" s="78"/>
      <c r="AM339" s="78"/>
      <c r="AN339" s="78"/>
      <c r="AO339" s="78"/>
      <c r="AP339" s="78"/>
      <c r="AQ339" s="3" t="s">
        <v>678</v>
      </c>
      <c r="AR339" s="3" t="s">
        <v>681</v>
      </c>
      <c r="AS339" s="3" t="s">
        <v>1038</v>
      </c>
      <c r="AT339" s="49">
        <v>5883</v>
      </c>
      <c r="AU339" s="3" t="str">
        <f t="shared" si="111"/>
        <v>match</v>
      </c>
      <c r="AV339" s="3" t="str">
        <f t="shared" si="112"/>
        <v>match</v>
      </c>
    </row>
    <row r="340" spans="1:48" ht="12">
      <c r="A340" s="9" t="s">
        <v>678</v>
      </c>
      <c r="B340" s="12" t="s">
        <v>683</v>
      </c>
      <c r="C340" s="13" t="s">
        <v>684</v>
      </c>
      <c r="D340" s="8"/>
      <c r="E340" s="39">
        <v>468</v>
      </c>
      <c r="F340" s="39">
        <v>1</v>
      </c>
      <c r="G340" s="39"/>
      <c r="H340" s="39">
        <v>6</v>
      </c>
      <c r="I340" s="39"/>
      <c r="J340" s="39"/>
      <c r="K340" s="39">
        <f t="shared" si="100"/>
        <v>475</v>
      </c>
      <c r="L340" s="39">
        <f t="shared" si="101"/>
        <v>342</v>
      </c>
      <c r="M340" s="39"/>
      <c r="N340" s="39"/>
      <c r="O340" s="39">
        <v>23</v>
      </c>
      <c r="P340" s="39"/>
      <c r="Q340" s="39">
        <v>113</v>
      </c>
      <c r="R340" s="39">
        <f t="shared" si="102"/>
        <v>136</v>
      </c>
      <c r="S340" s="39">
        <f t="shared" si="103"/>
        <v>164.56</v>
      </c>
      <c r="T340" s="39"/>
      <c r="U340" s="39"/>
      <c r="V340" s="39">
        <v>2</v>
      </c>
      <c r="W340" s="39"/>
      <c r="X340" s="39">
        <v>60</v>
      </c>
      <c r="Y340" s="39">
        <f t="shared" si="104"/>
        <v>62</v>
      </c>
      <c r="Z340" s="39">
        <f t="shared" si="105"/>
        <v>169.88000000000002</v>
      </c>
      <c r="AA340" s="39">
        <f t="shared" si="106"/>
        <v>673</v>
      </c>
      <c r="AB340" s="39">
        <f t="shared" si="106"/>
        <v>676.44</v>
      </c>
      <c r="AC340" s="41">
        <f t="shared" si="90"/>
        <v>5883</v>
      </c>
      <c r="AD340" s="82">
        <f t="shared" si="97"/>
        <v>3959259</v>
      </c>
      <c r="AE340" s="82">
        <f t="shared" si="98"/>
        <v>3979496.5200000005</v>
      </c>
      <c r="AF340" s="82">
        <f t="shared" si="99"/>
        <v>7938755.5200000005</v>
      </c>
      <c r="AG340" s="39"/>
      <c r="AH340" s="39"/>
      <c r="AI340" s="79"/>
      <c r="AJ340" s="79"/>
      <c r="AK340" s="79"/>
      <c r="AL340" s="79"/>
      <c r="AM340" s="79"/>
      <c r="AN340" s="79"/>
      <c r="AO340" s="79"/>
      <c r="AP340" s="79"/>
      <c r="AQ340" s="3" t="s">
        <v>678</v>
      </c>
      <c r="AR340" s="3" t="s">
        <v>683</v>
      </c>
      <c r="AS340" s="3" t="s">
        <v>1039</v>
      </c>
      <c r="AT340" s="49">
        <v>5883</v>
      </c>
      <c r="AU340" s="3" t="str">
        <f t="shared" si="111"/>
        <v>match</v>
      </c>
      <c r="AV340" s="3" t="str">
        <f t="shared" si="112"/>
        <v>match</v>
      </c>
    </row>
    <row r="341" spans="1:48" ht="12">
      <c r="A341" s="9" t="s">
        <v>678</v>
      </c>
      <c r="B341" s="10" t="s">
        <v>685</v>
      </c>
      <c r="C341" s="56" t="s">
        <v>686</v>
      </c>
      <c r="D341" s="56"/>
      <c r="E341" s="11">
        <v>64</v>
      </c>
      <c r="F341" s="11"/>
      <c r="G341" s="11"/>
      <c r="H341" s="11"/>
      <c r="I341" s="11"/>
      <c r="J341" s="11"/>
      <c r="K341" s="11">
        <f t="shared" si="100"/>
        <v>64</v>
      </c>
      <c r="L341" s="11">
        <f t="shared" si="101"/>
        <v>46.08</v>
      </c>
      <c r="M341" s="11"/>
      <c r="N341" s="11"/>
      <c r="O341" s="11"/>
      <c r="P341" s="11"/>
      <c r="Q341" s="11">
        <v>10</v>
      </c>
      <c r="R341" s="11">
        <f t="shared" si="102"/>
        <v>10</v>
      </c>
      <c r="S341" s="11">
        <f t="shared" si="103"/>
        <v>12.1</v>
      </c>
      <c r="T341" s="11"/>
      <c r="U341" s="11"/>
      <c r="V341" s="11">
        <v>2</v>
      </c>
      <c r="W341" s="11"/>
      <c r="X341" s="11">
        <v>7</v>
      </c>
      <c r="Y341" s="11">
        <f t="shared" si="104"/>
        <v>9</v>
      </c>
      <c r="Z341" s="11">
        <f t="shared" si="105"/>
        <v>24.660000000000004</v>
      </c>
      <c r="AA341" s="11">
        <f t="shared" si="106"/>
        <v>83</v>
      </c>
      <c r="AB341" s="11">
        <f t="shared" si="106"/>
        <v>82.84</v>
      </c>
      <c r="AC341" s="42">
        <f t="shared" si="90"/>
        <v>5883</v>
      </c>
      <c r="AD341" s="83">
        <f t="shared" si="97"/>
        <v>488289</v>
      </c>
      <c r="AE341" s="83">
        <f t="shared" si="98"/>
        <v>487347.72000000003</v>
      </c>
      <c r="AF341" s="83">
        <f t="shared" si="99"/>
        <v>975636.72</v>
      </c>
      <c r="AG341" s="11"/>
      <c r="AH341" s="11"/>
      <c r="AI341" s="78"/>
      <c r="AJ341" s="78"/>
      <c r="AK341" s="78"/>
      <c r="AL341" s="78"/>
      <c r="AM341" s="78"/>
      <c r="AN341" s="78"/>
      <c r="AO341" s="78"/>
      <c r="AP341" s="78"/>
      <c r="AQ341" s="3" t="s">
        <v>678</v>
      </c>
      <c r="AR341" s="3" t="s">
        <v>685</v>
      </c>
      <c r="AS341" s="3" t="s">
        <v>1040</v>
      </c>
      <c r="AT341" s="49">
        <v>5883</v>
      </c>
      <c r="AU341" s="3" t="str">
        <f t="shared" si="111"/>
        <v>match</v>
      </c>
      <c r="AV341" s="3" t="str">
        <f t="shared" si="112"/>
        <v>match</v>
      </c>
    </row>
    <row r="342" spans="1:48" ht="12">
      <c r="A342" s="9" t="s">
        <v>678</v>
      </c>
      <c r="B342" s="12" t="s">
        <v>687</v>
      </c>
      <c r="C342" s="13" t="s">
        <v>688</v>
      </c>
      <c r="D342" s="8"/>
      <c r="E342" s="39">
        <v>171</v>
      </c>
      <c r="F342" s="39"/>
      <c r="G342" s="39"/>
      <c r="H342" s="39">
        <v>1</v>
      </c>
      <c r="I342" s="39"/>
      <c r="J342" s="39"/>
      <c r="K342" s="39">
        <f t="shared" si="100"/>
        <v>172</v>
      </c>
      <c r="L342" s="39">
        <f t="shared" si="101"/>
        <v>123.83999999999999</v>
      </c>
      <c r="M342" s="39"/>
      <c r="N342" s="39">
        <v>2</v>
      </c>
      <c r="O342" s="39">
        <v>5</v>
      </c>
      <c r="P342" s="39"/>
      <c r="Q342" s="39">
        <v>15</v>
      </c>
      <c r="R342" s="39">
        <f t="shared" si="102"/>
        <v>22</v>
      </c>
      <c r="S342" s="39">
        <f t="shared" si="103"/>
        <v>25.419999999999998</v>
      </c>
      <c r="T342" s="39"/>
      <c r="U342" s="39"/>
      <c r="V342" s="39"/>
      <c r="W342" s="39"/>
      <c r="X342" s="39">
        <v>8</v>
      </c>
      <c r="Y342" s="39">
        <f t="shared" si="104"/>
        <v>8</v>
      </c>
      <c r="Z342" s="39">
        <f t="shared" si="105"/>
        <v>21.92</v>
      </c>
      <c r="AA342" s="39">
        <f t="shared" si="106"/>
        <v>202</v>
      </c>
      <c r="AB342" s="39">
        <f t="shared" si="106"/>
        <v>171.18</v>
      </c>
      <c r="AC342" s="41">
        <f t="shared" si="90"/>
        <v>5942</v>
      </c>
      <c r="AD342" s="82">
        <f t="shared" si="97"/>
        <v>1200284</v>
      </c>
      <c r="AE342" s="82">
        <f t="shared" si="98"/>
        <v>1017151.56</v>
      </c>
      <c r="AF342" s="82">
        <f t="shared" si="99"/>
        <v>2217435.56</v>
      </c>
      <c r="AG342" s="39"/>
      <c r="AH342" s="39"/>
      <c r="AI342" s="79"/>
      <c r="AJ342" s="79"/>
      <c r="AK342" s="79"/>
      <c r="AL342" s="79"/>
      <c r="AM342" s="79"/>
      <c r="AN342" s="79"/>
      <c r="AO342" s="79"/>
      <c r="AP342" s="79"/>
      <c r="AQ342" s="3" t="s">
        <v>678</v>
      </c>
      <c r="AR342" s="3" t="s">
        <v>687</v>
      </c>
      <c r="AS342" s="3" t="s">
        <v>1041</v>
      </c>
      <c r="AT342" s="49">
        <v>5942</v>
      </c>
      <c r="AU342" s="3" t="str">
        <f t="shared" si="111"/>
        <v>match</v>
      </c>
      <c r="AV342" s="3" t="str">
        <f t="shared" si="112"/>
        <v>match</v>
      </c>
    </row>
    <row r="343" spans="1:48" ht="12">
      <c r="A343" s="9" t="s">
        <v>678</v>
      </c>
      <c r="B343" s="10" t="s">
        <v>689</v>
      </c>
      <c r="C343" s="56" t="s">
        <v>690</v>
      </c>
      <c r="D343" s="56"/>
      <c r="E343" s="11">
        <v>66</v>
      </c>
      <c r="F343" s="11"/>
      <c r="G343" s="11"/>
      <c r="H343" s="11"/>
      <c r="I343" s="11"/>
      <c r="J343" s="11"/>
      <c r="K343" s="11">
        <f t="shared" si="100"/>
        <v>66</v>
      </c>
      <c r="L343" s="11">
        <f t="shared" si="101"/>
        <v>47.519999999999996</v>
      </c>
      <c r="M343" s="11"/>
      <c r="N343" s="11">
        <v>1</v>
      </c>
      <c r="O343" s="11">
        <v>1</v>
      </c>
      <c r="P343" s="11"/>
      <c r="Q343" s="11">
        <v>12</v>
      </c>
      <c r="R343" s="11">
        <f t="shared" si="102"/>
        <v>14</v>
      </c>
      <c r="S343" s="11">
        <f t="shared" si="103"/>
        <v>16.34</v>
      </c>
      <c r="T343" s="11"/>
      <c r="U343" s="11"/>
      <c r="V343" s="11">
        <v>2</v>
      </c>
      <c r="W343" s="11"/>
      <c r="X343" s="11">
        <v>7</v>
      </c>
      <c r="Y343" s="11">
        <f t="shared" si="104"/>
        <v>9</v>
      </c>
      <c r="Z343" s="11">
        <f t="shared" si="105"/>
        <v>24.660000000000004</v>
      </c>
      <c r="AA343" s="11">
        <f t="shared" si="106"/>
        <v>89</v>
      </c>
      <c r="AB343" s="11">
        <f t="shared" si="106"/>
        <v>88.52000000000001</v>
      </c>
      <c r="AC343" s="42">
        <f t="shared" si="90"/>
        <v>5883</v>
      </c>
      <c r="AD343" s="83">
        <f t="shared" si="97"/>
        <v>523587</v>
      </c>
      <c r="AE343" s="83">
        <f t="shared" si="98"/>
        <v>520763.16000000003</v>
      </c>
      <c r="AF343" s="83">
        <f t="shared" si="99"/>
        <v>1044350.16</v>
      </c>
      <c r="AG343" s="11"/>
      <c r="AH343" s="11"/>
      <c r="AI343" s="78"/>
      <c r="AJ343" s="78"/>
      <c r="AK343" s="78"/>
      <c r="AL343" s="78"/>
      <c r="AM343" s="78"/>
      <c r="AN343" s="78"/>
      <c r="AO343" s="78"/>
      <c r="AP343" s="78"/>
      <c r="AQ343" s="3" t="s">
        <v>678</v>
      </c>
      <c r="AR343" s="3" t="s">
        <v>689</v>
      </c>
      <c r="AS343" s="3" t="s">
        <v>1042</v>
      </c>
      <c r="AT343" s="49">
        <v>5883</v>
      </c>
      <c r="AU343" s="3" t="str">
        <f t="shared" si="111"/>
        <v>match</v>
      </c>
      <c r="AV343" s="3" t="str">
        <f t="shared" si="112"/>
        <v>match</v>
      </c>
    </row>
    <row r="344" spans="1:48" ht="12">
      <c r="A344" s="9" t="s">
        <v>678</v>
      </c>
      <c r="B344" s="12" t="s">
        <v>691</v>
      </c>
      <c r="C344" s="13" t="s">
        <v>692</v>
      </c>
      <c r="D344" s="8"/>
      <c r="E344" s="39">
        <v>160</v>
      </c>
      <c r="F344" s="39"/>
      <c r="G344" s="39"/>
      <c r="H344" s="39">
        <v>1</v>
      </c>
      <c r="I344" s="39"/>
      <c r="J344" s="39"/>
      <c r="K344" s="39">
        <f t="shared" si="100"/>
        <v>161</v>
      </c>
      <c r="L344" s="39">
        <f t="shared" si="101"/>
        <v>115.92</v>
      </c>
      <c r="M344" s="39"/>
      <c r="N344" s="39">
        <v>4</v>
      </c>
      <c r="O344" s="39">
        <v>6</v>
      </c>
      <c r="P344" s="39"/>
      <c r="Q344" s="39">
        <v>29</v>
      </c>
      <c r="R344" s="39">
        <f t="shared" si="102"/>
        <v>39</v>
      </c>
      <c r="S344" s="39">
        <f t="shared" si="103"/>
        <v>44.79</v>
      </c>
      <c r="T344" s="39"/>
      <c r="U344" s="39"/>
      <c r="V344" s="39"/>
      <c r="W344" s="39"/>
      <c r="X344" s="39">
        <v>13</v>
      </c>
      <c r="Y344" s="39">
        <f t="shared" si="104"/>
        <v>13</v>
      </c>
      <c r="Z344" s="39">
        <f t="shared" si="105"/>
        <v>35.620000000000005</v>
      </c>
      <c r="AA344" s="39">
        <f t="shared" si="106"/>
        <v>213</v>
      </c>
      <c r="AB344" s="39">
        <f t="shared" si="106"/>
        <v>196.33</v>
      </c>
      <c r="AC344" s="41">
        <f t="shared" si="90"/>
        <v>5883</v>
      </c>
      <c r="AD344" s="82">
        <f t="shared" si="97"/>
        <v>1253079</v>
      </c>
      <c r="AE344" s="82">
        <f t="shared" si="98"/>
        <v>1155009.3900000001</v>
      </c>
      <c r="AF344" s="82">
        <f t="shared" si="99"/>
        <v>2408088.39</v>
      </c>
      <c r="AG344" s="39"/>
      <c r="AH344" s="39"/>
      <c r="AI344" s="79"/>
      <c r="AJ344" s="79"/>
      <c r="AK344" s="79"/>
      <c r="AL344" s="79"/>
      <c r="AM344" s="79"/>
      <c r="AN344" s="79"/>
      <c r="AO344" s="79"/>
      <c r="AP344" s="79"/>
      <c r="AQ344" s="3" t="s">
        <v>678</v>
      </c>
      <c r="AR344" s="3" t="s">
        <v>691</v>
      </c>
      <c r="AS344" s="3" t="s">
        <v>1043</v>
      </c>
      <c r="AT344" s="49">
        <v>5883</v>
      </c>
      <c r="AU344" s="3" t="str">
        <f t="shared" si="111"/>
        <v>match</v>
      </c>
      <c r="AV344" s="3" t="str">
        <f t="shared" si="112"/>
        <v>match</v>
      </c>
    </row>
    <row r="345" spans="1:48" ht="12">
      <c r="A345" s="9" t="s">
        <v>678</v>
      </c>
      <c r="B345" s="10" t="s">
        <v>693</v>
      </c>
      <c r="C345" s="56" t="s">
        <v>694</v>
      </c>
      <c r="D345" s="56"/>
      <c r="E345" s="11">
        <v>37</v>
      </c>
      <c r="F345" s="11"/>
      <c r="G345" s="11"/>
      <c r="H345" s="11"/>
      <c r="I345" s="11"/>
      <c r="J345" s="11"/>
      <c r="K345" s="11">
        <f t="shared" si="100"/>
        <v>37</v>
      </c>
      <c r="L345" s="11">
        <f t="shared" si="101"/>
        <v>26.64</v>
      </c>
      <c r="M345" s="11"/>
      <c r="N345" s="11">
        <v>1</v>
      </c>
      <c r="O345" s="11">
        <v>1</v>
      </c>
      <c r="P345" s="11"/>
      <c r="Q345" s="11">
        <v>8</v>
      </c>
      <c r="R345" s="11">
        <f t="shared" si="102"/>
        <v>10</v>
      </c>
      <c r="S345" s="11">
        <f t="shared" si="103"/>
        <v>11.5</v>
      </c>
      <c r="T345" s="11"/>
      <c r="U345" s="11">
        <v>2</v>
      </c>
      <c r="V345" s="11">
        <v>1</v>
      </c>
      <c r="W345" s="11"/>
      <c r="X345" s="11">
        <v>3</v>
      </c>
      <c r="Y345" s="11">
        <f t="shared" si="104"/>
        <v>6</v>
      </c>
      <c r="Z345" s="11">
        <f t="shared" si="105"/>
        <v>13.700000000000001</v>
      </c>
      <c r="AA345" s="11">
        <f t="shared" si="106"/>
        <v>53</v>
      </c>
      <c r="AB345" s="11">
        <f t="shared" si="106"/>
        <v>51.84</v>
      </c>
      <c r="AC345" s="42">
        <f t="shared" si="90"/>
        <v>5883</v>
      </c>
      <c r="AD345" s="83">
        <f t="shared" si="97"/>
        <v>311799</v>
      </c>
      <c r="AE345" s="83">
        <f t="shared" si="98"/>
        <v>304974.72000000003</v>
      </c>
      <c r="AF345" s="83">
        <f t="shared" si="99"/>
        <v>616773.72</v>
      </c>
      <c r="AG345" s="11"/>
      <c r="AH345" s="11"/>
      <c r="AI345" s="78"/>
      <c r="AJ345" s="78"/>
      <c r="AK345" s="78"/>
      <c r="AL345" s="78"/>
      <c r="AM345" s="78"/>
      <c r="AN345" s="78"/>
      <c r="AO345" s="78"/>
      <c r="AP345" s="78"/>
      <c r="AQ345" s="3" t="s">
        <v>678</v>
      </c>
      <c r="AR345" s="3" t="s">
        <v>693</v>
      </c>
      <c r="AS345" s="3" t="s">
        <v>1044</v>
      </c>
      <c r="AT345" s="49">
        <v>5883</v>
      </c>
      <c r="AU345" s="3" t="str">
        <f t="shared" si="111"/>
        <v>match</v>
      </c>
      <c r="AV345" s="3" t="str">
        <f t="shared" si="112"/>
        <v>match</v>
      </c>
    </row>
    <row r="346" spans="1:48" ht="12">
      <c r="A346" s="9" t="s">
        <v>678</v>
      </c>
      <c r="B346" s="12" t="s">
        <v>695</v>
      </c>
      <c r="C346" s="13" t="s">
        <v>696</v>
      </c>
      <c r="D346" s="8"/>
      <c r="E346" s="39">
        <v>83</v>
      </c>
      <c r="F346" s="39"/>
      <c r="G346" s="39"/>
      <c r="H346" s="39"/>
      <c r="I346" s="39"/>
      <c r="J346" s="39"/>
      <c r="K346" s="39">
        <f t="shared" si="100"/>
        <v>83</v>
      </c>
      <c r="L346" s="39">
        <f t="shared" si="101"/>
        <v>59.76</v>
      </c>
      <c r="M346" s="39"/>
      <c r="N346" s="39">
        <v>3</v>
      </c>
      <c r="O346" s="39">
        <v>5</v>
      </c>
      <c r="P346" s="39"/>
      <c r="Q346" s="39">
        <v>16</v>
      </c>
      <c r="R346" s="39">
        <f t="shared" si="102"/>
        <v>24</v>
      </c>
      <c r="S346" s="39">
        <f t="shared" si="103"/>
        <v>27.240000000000002</v>
      </c>
      <c r="T346" s="39"/>
      <c r="U346" s="39">
        <v>2</v>
      </c>
      <c r="V346" s="39"/>
      <c r="W346" s="39"/>
      <c r="X346" s="39">
        <v>6</v>
      </c>
      <c r="Y346" s="39">
        <f t="shared" si="104"/>
        <v>8</v>
      </c>
      <c r="Z346" s="39">
        <f t="shared" si="105"/>
        <v>19.18</v>
      </c>
      <c r="AA346" s="39">
        <f t="shared" si="106"/>
        <v>115</v>
      </c>
      <c r="AB346" s="39">
        <f t="shared" si="106"/>
        <v>106.18</v>
      </c>
      <c r="AC346" s="41">
        <f t="shared" si="90"/>
        <v>5883</v>
      </c>
      <c r="AD346" s="82">
        <f t="shared" si="97"/>
        <v>676545</v>
      </c>
      <c r="AE346" s="82">
        <f t="shared" si="98"/>
        <v>624656.94000000006</v>
      </c>
      <c r="AF346" s="82">
        <f t="shared" si="99"/>
        <v>1301201.94</v>
      </c>
      <c r="AG346" s="39"/>
      <c r="AH346" s="39"/>
      <c r="AI346" s="79"/>
      <c r="AJ346" s="79"/>
      <c r="AK346" s="79"/>
      <c r="AL346" s="79"/>
      <c r="AM346" s="79"/>
      <c r="AN346" s="79"/>
      <c r="AO346" s="79"/>
      <c r="AP346" s="79"/>
      <c r="AQ346" s="3" t="s">
        <v>678</v>
      </c>
      <c r="AR346" s="3" t="s">
        <v>695</v>
      </c>
      <c r="AS346" s="3" t="s">
        <v>1045</v>
      </c>
      <c r="AT346" s="49">
        <v>5883</v>
      </c>
      <c r="AU346" s="3" t="str">
        <f t="shared" si="111"/>
        <v>match</v>
      </c>
      <c r="AV346" s="3" t="str">
        <f t="shared" si="112"/>
        <v>match</v>
      </c>
    </row>
    <row r="347" spans="1:48" ht="12">
      <c r="A347" s="9" t="s">
        <v>678</v>
      </c>
      <c r="B347" s="10" t="s">
        <v>697</v>
      </c>
      <c r="C347" s="56" t="s">
        <v>698</v>
      </c>
      <c r="D347" s="56"/>
      <c r="E347" s="11">
        <v>135</v>
      </c>
      <c r="F347" s="11"/>
      <c r="G347" s="11"/>
      <c r="H347" s="11"/>
      <c r="I347" s="11"/>
      <c r="J347" s="11"/>
      <c r="K347" s="11">
        <f t="shared" si="100"/>
        <v>135</v>
      </c>
      <c r="L347" s="11">
        <f t="shared" si="101"/>
        <v>97.2</v>
      </c>
      <c r="M347" s="11"/>
      <c r="N347" s="11">
        <v>1</v>
      </c>
      <c r="O347" s="11">
        <v>8</v>
      </c>
      <c r="P347" s="11"/>
      <c r="Q347" s="11">
        <v>37</v>
      </c>
      <c r="R347" s="11">
        <f t="shared" si="102"/>
        <v>46</v>
      </c>
      <c r="S347" s="11">
        <f t="shared" si="103"/>
        <v>55.059999999999995</v>
      </c>
      <c r="T347" s="11"/>
      <c r="U347" s="11"/>
      <c r="V347" s="11">
        <v>1</v>
      </c>
      <c r="W347" s="11"/>
      <c r="X347" s="11">
        <v>35</v>
      </c>
      <c r="Y347" s="11">
        <f t="shared" si="104"/>
        <v>36</v>
      </c>
      <c r="Z347" s="11">
        <f t="shared" si="105"/>
        <v>98.640000000000015</v>
      </c>
      <c r="AA347" s="11">
        <f t="shared" si="106"/>
        <v>217</v>
      </c>
      <c r="AB347" s="11">
        <f t="shared" si="106"/>
        <v>250.9</v>
      </c>
      <c r="AC347" s="42">
        <f t="shared" si="90"/>
        <v>5883</v>
      </c>
      <c r="AD347" s="83">
        <f t="shared" si="97"/>
        <v>1276611</v>
      </c>
      <c r="AE347" s="83">
        <f t="shared" si="98"/>
        <v>1476044.7</v>
      </c>
      <c r="AF347" s="83">
        <f t="shared" si="99"/>
        <v>2752655.7</v>
      </c>
      <c r="AG347" s="11"/>
      <c r="AH347" s="11"/>
      <c r="AI347" s="78"/>
      <c r="AJ347" s="78"/>
      <c r="AK347" s="78"/>
      <c r="AL347" s="78"/>
      <c r="AM347" s="78"/>
      <c r="AN347" s="78"/>
      <c r="AO347" s="78"/>
      <c r="AP347" s="78"/>
      <c r="AQ347" s="3" t="s">
        <v>678</v>
      </c>
      <c r="AR347" s="3" t="s">
        <v>697</v>
      </c>
      <c r="AS347" s="3" t="s">
        <v>1046</v>
      </c>
      <c r="AT347" s="49">
        <v>5883</v>
      </c>
      <c r="AU347" s="3" t="str">
        <f t="shared" si="111"/>
        <v>match</v>
      </c>
      <c r="AV347" s="3" t="str">
        <f t="shared" si="112"/>
        <v>match</v>
      </c>
    </row>
    <row r="348" spans="1:48" ht="12">
      <c r="A348" s="9" t="s">
        <v>678</v>
      </c>
      <c r="B348" s="12" t="s">
        <v>699</v>
      </c>
      <c r="C348" s="13" t="s">
        <v>700</v>
      </c>
      <c r="D348" s="8"/>
      <c r="E348" s="39">
        <v>189</v>
      </c>
      <c r="F348" s="39"/>
      <c r="G348" s="39"/>
      <c r="H348" s="39">
        <v>1</v>
      </c>
      <c r="I348" s="39"/>
      <c r="J348" s="39">
        <v>1</v>
      </c>
      <c r="K348" s="39">
        <f t="shared" si="100"/>
        <v>191</v>
      </c>
      <c r="L348" s="39">
        <f t="shared" si="101"/>
        <v>137.51999999999998</v>
      </c>
      <c r="M348" s="39"/>
      <c r="N348" s="39">
        <v>2</v>
      </c>
      <c r="O348" s="39">
        <v>13</v>
      </c>
      <c r="P348" s="39"/>
      <c r="Q348" s="39">
        <v>97</v>
      </c>
      <c r="R348" s="39">
        <f t="shared" si="102"/>
        <v>112</v>
      </c>
      <c r="S348" s="39">
        <f t="shared" si="103"/>
        <v>134.32</v>
      </c>
      <c r="T348" s="39"/>
      <c r="U348" s="39">
        <v>1</v>
      </c>
      <c r="V348" s="39">
        <v>1</v>
      </c>
      <c r="W348" s="39"/>
      <c r="X348" s="39">
        <v>28</v>
      </c>
      <c r="Y348" s="39">
        <f t="shared" si="104"/>
        <v>30</v>
      </c>
      <c r="Z348" s="39">
        <f t="shared" si="105"/>
        <v>80.830000000000013</v>
      </c>
      <c r="AA348" s="39">
        <f t="shared" si="106"/>
        <v>333</v>
      </c>
      <c r="AB348" s="39">
        <f t="shared" si="106"/>
        <v>352.66999999999996</v>
      </c>
      <c r="AC348" s="41">
        <f t="shared" ref="AC348:AC372" si="113">+AT348</f>
        <v>5883</v>
      </c>
      <c r="AD348" s="82">
        <f t="shared" si="97"/>
        <v>1959039</v>
      </c>
      <c r="AE348" s="82">
        <f t="shared" si="98"/>
        <v>2074757.6099999999</v>
      </c>
      <c r="AF348" s="82">
        <f t="shared" si="99"/>
        <v>4033796.61</v>
      </c>
      <c r="AG348" s="39"/>
      <c r="AH348" s="39"/>
      <c r="AI348" s="79"/>
      <c r="AJ348" s="79"/>
      <c r="AK348" s="79"/>
      <c r="AL348" s="79"/>
      <c r="AM348" s="79"/>
      <c r="AN348" s="79"/>
      <c r="AO348" s="79"/>
      <c r="AP348" s="79"/>
      <c r="AQ348" s="3" t="s">
        <v>678</v>
      </c>
      <c r="AR348" s="3" t="s">
        <v>699</v>
      </c>
      <c r="AS348" s="3" t="s">
        <v>1047</v>
      </c>
      <c r="AT348" s="49">
        <v>5883</v>
      </c>
      <c r="AU348" s="3" t="str">
        <f t="shared" si="111"/>
        <v>match</v>
      </c>
      <c r="AV348" s="3" t="str">
        <f t="shared" si="112"/>
        <v>match</v>
      </c>
    </row>
    <row r="349" spans="1:48" ht="12">
      <c r="A349" s="9" t="s">
        <v>678</v>
      </c>
      <c r="B349" s="10" t="s">
        <v>701</v>
      </c>
      <c r="C349" s="56" t="s">
        <v>702</v>
      </c>
      <c r="D349" s="56"/>
      <c r="E349" s="11">
        <v>19</v>
      </c>
      <c r="F349" s="11"/>
      <c r="G349" s="11"/>
      <c r="H349" s="11"/>
      <c r="I349" s="11"/>
      <c r="J349" s="11"/>
      <c r="K349" s="11">
        <f t="shared" si="100"/>
        <v>19</v>
      </c>
      <c r="L349" s="11">
        <f t="shared" si="101"/>
        <v>13.68</v>
      </c>
      <c r="M349" s="11"/>
      <c r="N349" s="11"/>
      <c r="O349" s="11"/>
      <c r="P349" s="11"/>
      <c r="Q349" s="11">
        <v>3</v>
      </c>
      <c r="R349" s="11">
        <f t="shared" si="102"/>
        <v>3</v>
      </c>
      <c r="S349" s="11">
        <f t="shared" si="103"/>
        <v>3.63</v>
      </c>
      <c r="T349" s="11"/>
      <c r="U349" s="11"/>
      <c r="V349" s="11"/>
      <c r="W349" s="11"/>
      <c r="X349" s="11">
        <v>2</v>
      </c>
      <c r="Y349" s="11">
        <f t="shared" si="104"/>
        <v>2</v>
      </c>
      <c r="Z349" s="11">
        <f t="shared" si="105"/>
        <v>5.48</v>
      </c>
      <c r="AA349" s="11">
        <f t="shared" si="106"/>
        <v>24</v>
      </c>
      <c r="AB349" s="11">
        <f t="shared" si="106"/>
        <v>22.79</v>
      </c>
      <c r="AC349" s="42">
        <f t="shared" si="113"/>
        <v>5883</v>
      </c>
      <c r="AD349" s="83">
        <f t="shared" si="97"/>
        <v>141192</v>
      </c>
      <c r="AE349" s="83">
        <f t="shared" si="98"/>
        <v>134073.57</v>
      </c>
      <c r="AF349" s="83">
        <f t="shared" si="99"/>
        <v>275265.57</v>
      </c>
      <c r="AG349" s="11"/>
      <c r="AH349" s="11"/>
      <c r="AI349" s="78"/>
      <c r="AJ349" s="78"/>
      <c r="AK349" s="78"/>
      <c r="AL349" s="78"/>
      <c r="AM349" s="78"/>
      <c r="AN349" s="78"/>
      <c r="AO349" s="78"/>
      <c r="AP349" s="78"/>
      <c r="AQ349" s="3" t="s">
        <v>678</v>
      </c>
      <c r="AR349" s="3" t="s">
        <v>701</v>
      </c>
      <c r="AS349" s="3" t="s">
        <v>1048</v>
      </c>
      <c r="AT349" s="49">
        <v>5883</v>
      </c>
      <c r="AU349" s="3" t="str">
        <f t="shared" si="111"/>
        <v>match</v>
      </c>
      <c r="AV349" s="3" t="str">
        <f t="shared" si="112"/>
        <v>match</v>
      </c>
    </row>
    <row r="350" spans="1:48" ht="12">
      <c r="A350" s="9" t="s">
        <v>678</v>
      </c>
      <c r="B350" s="12" t="s">
        <v>703</v>
      </c>
      <c r="C350" s="13" t="s">
        <v>704</v>
      </c>
      <c r="D350" s="8"/>
      <c r="E350" s="39">
        <v>24</v>
      </c>
      <c r="F350" s="39"/>
      <c r="G350" s="39"/>
      <c r="H350" s="39"/>
      <c r="I350" s="39"/>
      <c r="J350" s="39"/>
      <c r="K350" s="39">
        <f t="shared" si="100"/>
        <v>24</v>
      </c>
      <c r="L350" s="39">
        <f t="shared" si="101"/>
        <v>17.28</v>
      </c>
      <c r="M350" s="39"/>
      <c r="N350" s="39"/>
      <c r="O350" s="39">
        <v>1</v>
      </c>
      <c r="P350" s="39"/>
      <c r="Q350" s="39">
        <v>6</v>
      </c>
      <c r="R350" s="39">
        <f t="shared" si="102"/>
        <v>7</v>
      </c>
      <c r="S350" s="39">
        <f t="shared" si="103"/>
        <v>8.4699999999999989</v>
      </c>
      <c r="T350" s="39"/>
      <c r="U350" s="39"/>
      <c r="V350" s="39"/>
      <c r="W350" s="39"/>
      <c r="X350" s="39">
        <v>6</v>
      </c>
      <c r="Y350" s="39">
        <f t="shared" si="104"/>
        <v>6</v>
      </c>
      <c r="Z350" s="39">
        <f t="shared" si="105"/>
        <v>16.440000000000001</v>
      </c>
      <c r="AA350" s="39">
        <f t="shared" si="106"/>
        <v>37</v>
      </c>
      <c r="AB350" s="39">
        <f t="shared" si="106"/>
        <v>42.19</v>
      </c>
      <c r="AC350" s="41">
        <f t="shared" si="113"/>
        <v>5883</v>
      </c>
      <c r="AD350" s="82">
        <f t="shared" si="97"/>
        <v>217671</v>
      </c>
      <c r="AE350" s="82">
        <f t="shared" si="98"/>
        <v>248203.77</v>
      </c>
      <c r="AF350" s="82">
        <f t="shared" si="99"/>
        <v>465874.77</v>
      </c>
      <c r="AG350" s="39"/>
      <c r="AH350" s="39"/>
      <c r="AI350" s="79"/>
      <c r="AJ350" s="79"/>
      <c r="AK350" s="79"/>
      <c r="AL350" s="79"/>
      <c r="AM350" s="79"/>
      <c r="AN350" s="79"/>
      <c r="AO350" s="79"/>
      <c r="AP350" s="79"/>
      <c r="AQ350" s="3" t="s">
        <v>678</v>
      </c>
      <c r="AR350" s="3" t="s">
        <v>703</v>
      </c>
      <c r="AS350" s="3" t="s">
        <v>1049</v>
      </c>
      <c r="AT350" s="49">
        <v>5883</v>
      </c>
      <c r="AU350" s="3" t="str">
        <f t="shared" si="111"/>
        <v>match</v>
      </c>
      <c r="AV350" s="3" t="str">
        <f t="shared" si="112"/>
        <v>match</v>
      </c>
    </row>
    <row r="351" spans="1:48" ht="12">
      <c r="A351" s="9" t="s">
        <v>678</v>
      </c>
      <c r="B351" s="10" t="s">
        <v>705</v>
      </c>
      <c r="C351" s="56" t="s">
        <v>706</v>
      </c>
      <c r="D351" s="56"/>
      <c r="E351" s="11">
        <v>248</v>
      </c>
      <c r="F351" s="11"/>
      <c r="G351" s="11"/>
      <c r="H351" s="11"/>
      <c r="I351" s="11">
        <v>1</v>
      </c>
      <c r="J351" s="11"/>
      <c r="K351" s="11">
        <f t="shared" si="100"/>
        <v>249</v>
      </c>
      <c r="L351" s="11">
        <f t="shared" si="101"/>
        <v>179.28</v>
      </c>
      <c r="M351" s="11"/>
      <c r="N351" s="11">
        <v>5</v>
      </c>
      <c r="O351" s="11">
        <v>5</v>
      </c>
      <c r="P351" s="11"/>
      <c r="Q351" s="11">
        <v>68</v>
      </c>
      <c r="R351" s="11">
        <f t="shared" si="102"/>
        <v>78</v>
      </c>
      <c r="S351" s="11">
        <f t="shared" si="103"/>
        <v>91.38</v>
      </c>
      <c r="T351" s="11"/>
      <c r="U351" s="11">
        <v>2</v>
      </c>
      <c r="V351" s="11">
        <v>1</v>
      </c>
      <c r="W351" s="11"/>
      <c r="X351" s="11">
        <v>34</v>
      </c>
      <c r="Y351" s="11">
        <f t="shared" si="104"/>
        <v>37</v>
      </c>
      <c r="Z351" s="11">
        <f t="shared" si="105"/>
        <v>98.64</v>
      </c>
      <c r="AA351" s="11">
        <f t="shared" si="106"/>
        <v>364</v>
      </c>
      <c r="AB351" s="11">
        <f t="shared" si="106"/>
        <v>369.29999999999995</v>
      </c>
      <c r="AC351" s="42">
        <f t="shared" si="113"/>
        <v>5883</v>
      </c>
      <c r="AD351" s="83">
        <f t="shared" si="97"/>
        <v>2141412</v>
      </c>
      <c r="AE351" s="83">
        <f t="shared" si="98"/>
        <v>2172591.9</v>
      </c>
      <c r="AF351" s="83">
        <f t="shared" si="99"/>
        <v>4314003.9000000004</v>
      </c>
      <c r="AG351" s="11"/>
      <c r="AH351" s="11"/>
      <c r="AI351" s="78"/>
      <c r="AJ351" s="78"/>
      <c r="AK351" s="78"/>
      <c r="AL351" s="78"/>
      <c r="AM351" s="78"/>
      <c r="AN351" s="78"/>
      <c r="AO351" s="78"/>
      <c r="AP351" s="78"/>
      <c r="AQ351" s="3" t="s">
        <v>678</v>
      </c>
      <c r="AR351" s="3" t="s">
        <v>705</v>
      </c>
      <c r="AS351" s="3" t="s">
        <v>1050</v>
      </c>
      <c r="AT351" s="49">
        <v>5883</v>
      </c>
      <c r="AU351" s="3" t="str">
        <f t="shared" si="111"/>
        <v>match</v>
      </c>
      <c r="AV351" s="3" t="str">
        <f t="shared" si="112"/>
        <v>match</v>
      </c>
    </row>
    <row r="352" spans="1:48" ht="12">
      <c r="A352" s="9" t="s">
        <v>678</v>
      </c>
      <c r="B352" s="12" t="s">
        <v>707</v>
      </c>
      <c r="C352" s="13" t="s">
        <v>708</v>
      </c>
      <c r="D352" s="8"/>
      <c r="E352" s="39">
        <v>24</v>
      </c>
      <c r="F352" s="39"/>
      <c r="G352" s="39"/>
      <c r="H352" s="39"/>
      <c r="I352" s="39"/>
      <c r="J352" s="39"/>
      <c r="K352" s="39">
        <f t="shared" si="100"/>
        <v>24</v>
      </c>
      <c r="L352" s="39">
        <f t="shared" si="101"/>
        <v>17.28</v>
      </c>
      <c r="M352" s="39"/>
      <c r="N352" s="39">
        <v>2</v>
      </c>
      <c r="O352" s="39">
        <v>7</v>
      </c>
      <c r="P352" s="39"/>
      <c r="Q352" s="39">
        <v>6</v>
      </c>
      <c r="R352" s="39">
        <f t="shared" si="102"/>
        <v>15</v>
      </c>
      <c r="S352" s="39">
        <f t="shared" si="103"/>
        <v>16.95</v>
      </c>
      <c r="T352" s="39"/>
      <c r="U352" s="39"/>
      <c r="V352" s="39"/>
      <c r="W352" s="39"/>
      <c r="X352" s="39">
        <v>4</v>
      </c>
      <c r="Y352" s="39">
        <f t="shared" si="104"/>
        <v>4</v>
      </c>
      <c r="Z352" s="39">
        <f t="shared" si="105"/>
        <v>10.96</v>
      </c>
      <c r="AA352" s="39">
        <f t="shared" si="106"/>
        <v>43</v>
      </c>
      <c r="AB352" s="39">
        <f t="shared" si="106"/>
        <v>45.190000000000005</v>
      </c>
      <c r="AC352" s="41">
        <f t="shared" si="113"/>
        <v>5927</v>
      </c>
      <c r="AD352" s="82">
        <f t="shared" si="97"/>
        <v>254861</v>
      </c>
      <c r="AE352" s="82">
        <f t="shared" si="98"/>
        <v>267841.13</v>
      </c>
      <c r="AF352" s="82">
        <f t="shared" si="99"/>
        <v>522702.13</v>
      </c>
      <c r="AG352" s="39"/>
      <c r="AH352" s="39"/>
      <c r="AI352" s="79"/>
      <c r="AJ352" s="79"/>
      <c r="AK352" s="79"/>
      <c r="AL352" s="79"/>
      <c r="AM352" s="79"/>
      <c r="AN352" s="79"/>
      <c r="AO352" s="79"/>
      <c r="AP352" s="79"/>
      <c r="AQ352" s="3" t="s">
        <v>678</v>
      </c>
      <c r="AR352" s="3" t="s">
        <v>707</v>
      </c>
      <c r="AS352" s="3" t="s">
        <v>1051</v>
      </c>
      <c r="AT352" s="49">
        <v>5927</v>
      </c>
      <c r="AU352" s="3" t="str">
        <f t="shared" si="111"/>
        <v>match</v>
      </c>
      <c r="AV352" s="3" t="str">
        <f t="shared" si="112"/>
        <v>match</v>
      </c>
    </row>
    <row r="353" spans="1:48" ht="12">
      <c r="A353" s="9" t="s">
        <v>678</v>
      </c>
      <c r="B353" s="10" t="s">
        <v>709</v>
      </c>
      <c r="C353" s="56" t="s">
        <v>710</v>
      </c>
      <c r="D353" s="56"/>
      <c r="E353" s="11">
        <v>7</v>
      </c>
      <c r="F353" s="11"/>
      <c r="G353" s="11"/>
      <c r="H353" s="11"/>
      <c r="I353" s="11"/>
      <c r="J353" s="11"/>
      <c r="K353" s="11">
        <f t="shared" si="100"/>
        <v>7</v>
      </c>
      <c r="L353" s="11">
        <f t="shared" si="101"/>
        <v>5.04</v>
      </c>
      <c r="M353" s="11"/>
      <c r="N353" s="11"/>
      <c r="O353" s="11"/>
      <c r="P353" s="11"/>
      <c r="Q353" s="11">
        <v>1</v>
      </c>
      <c r="R353" s="11">
        <f t="shared" si="102"/>
        <v>1</v>
      </c>
      <c r="S353" s="11">
        <f t="shared" si="103"/>
        <v>1.21</v>
      </c>
      <c r="T353" s="11"/>
      <c r="U353" s="11"/>
      <c r="V353" s="11"/>
      <c r="W353" s="11"/>
      <c r="X353" s="11">
        <v>1</v>
      </c>
      <c r="Y353" s="11">
        <f t="shared" si="104"/>
        <v>1</v>
      </c>
      <c r="Z353" s="11">
        <f t="shared" si="105"/>
        <v>2.74</v>
      </c>
      <c r="AA353" s="11">
        <f t="shared" si="106"/>
        <v>9</v>
      </c>
      <c r="AB353" s="11">
        <f t="shared" si="106"/>
        <v>8.99</v>
      </c>
      <c r="AC353" s="42">
        <f t="shared" si="113"/>
        <v>6058</v>
      </c>
      <c r="AD353" s="83">
        <f t="shared" si="97"/>
        <v>54522</v>
      </c>
      <c r="AE353" s="83">
        <f t="shared" si="98"/>
        <v>54461.42</v>
      </c>
      <c r="AF353" s="83">
        <f t="shared" si="99"/>
        <v>108983.42</v>
      </c>
      <c r="AG353" s="11"/>
      <c r="AH353" s="11"/>
      <c r="AI353" s="78"/>
      <c r="AJ353" s="78"/>
      <c r="AK353" s="78"/>
      <c r="AL353" s="78"/>
      <c r="AM353" s="78"/>
      <c r="AN353" s="78"/>
      <c r="AO353" s="78"/>
      <c r="AP353" s="78"/>
      <c r="AQ353" s="3" t="s">
        <v>678</v>
      </c>
      <c r="AR353" s="3" t="s">
        <v>709</v>
      </c>
      <c r="AS353" s="3" t="s">
        <v>1052</v>
      </c>
      <c r="AT353" s="49">
        <v>6058</v>
      </c>
      <c r="AU353" s="3" t="str">
        <f t="shared" si="111"/>
        <v>match</v>
      </c>
      <c r="AV353" s="3" t="str">
        <f t="shared" si="112"/>
        <v>match</v>
      </c>
    </row>
    <row r="354" spans="1:48" ht="12">
      <c r="A354" s="9" t="s">
        <v>678</v>
      </c>
      <c r="B354" s="12" t="s">
        <v>711</v>
      </c>
      <c r="C354" s="13" t="s">
        <v>712</v>
      </c>
      <c r="D354" s="13"/>
      <c r="E354" s="40">
        <v>121</v>
      </c>
      <c r="F354" s="40"/>
      <c r="G354" s="40"/>
      <c r="H354" s="40">
        <v>2</v>
      </c>
      <c r="I354" s="40"/>
      <c r="J354" s="40"/>
      <c r="K354" s="40">
        <f t="shared" si="100"/>
        <v>123</v>
      </c>
      <c r="L354" s="40">
        <f t="shared" si="101"/>
        <v>88.56</v>
      </c>
      <c r="M354" s="40"/>
      <c r="N354" s="40">
        <v>1</v>
      </c>
      <c r="O354" s="40">
        <v>2</v>
      </c>
      <c r="P354" s="40"/>
      <c r="Q354" s="40">
        <v>11</v>
      </c>
      <c r="R354" s="40">
        <f t="shared" si="102"/>
        <v>14</v>
      </c>
      <c r="S354" s="40">
        <f t="shared" si="103"/>
        <v>16.34</v>
      </c>
      <c r="T354" s="40"/>
      <c r="U354" s="40">
        <v>1</v>
      </c>
      <c r="V354" s="40">
        <v>1</v>
      </c>
      <c r="W354" s="40"/>
      <c r="X354" s="40">
        <v>5</v>
      </c>
      <c r="Y354" s="40">
        <f t="shared" si="104"/>
        <v>7</v>
      </c>
      <c r="Z354" s="40">
        <f t="shared" si="105"/>
        <v>17.810000000000002</v>
      </c>
      <c r="AA354" s="40">
        <f t="shared" si="106"/>
        <v>144</v>
      </c>
      <c r="AB354" s="40">
        <f t="shared" si="106"/>
        <v>122.71000000000001</v>
      </c>
      <c r="AC354" s="44">
        <f t="shared" si="113"/>
        <v>5883</v>
      </c>
      <c r="AD354" s="82">
        <f t="shared" ref="AD354:AD372" si="114">+AC354*AA354</f>
        <v>847152</v>
      </c>
      <c r="AE354" s="82">
        <f t="shared" ref="AE354:AE372" si="115">+AC354*AB354</f>
        <v>721902.93</v>
      </c>
      <c r="AF354" s="82">
        <f t="shared" ref="AF354:AF372" si="116">+AE354+AD354</f>
        <v>1569054.9300000002</v>
      </c>
      <c r="AG354" s="40"/>
      <c r="AH354" s="40"/>
      <c r="AI354" s="79"/>
      <c r="AJ354" s="79"/>
      <c r="AK354" s="79"/>
      <c r="AL354" s="79"/>
      <c r="AM354" s="79"/>
      <c r="AN354" s="79"/>
      <c r="AO354" s="79"/>
      <c r="AP354" s="79"/>
      <c r="AQ354" s="3" t="s">
        <v>678</v>
      </c>
      <c r="AR354" s="3" t="s">
        <v>711</v>
      </c>
      <c r="AS354" s="3" t="s">
        <v>1053</v>
      </c>
      <c r="AT354" s="49">
        <v>5883</v>
      </c>
      <c r="AU354" s="3" t="str">
        <f t="shared" si="111"/>
        <v>match</v>
      </c>
      <c r="AV354" s="3" t="str">
        <f t="shared" si="112"/>
        <v>match</v>
      </c>
    </row>
    <row r="355" spans="1:48" ht="12">
      <c r="A355" s="9" t="s">
        <v>678</v>
      </c>
      <c r="B355" s="10" t="s">
        <v>713</v>
      </c>
      <c r="C355" s="56" t="s">
        <v>714</v>
      </c>
      <c r="D355" s="56"/>
      <c r="E355" s="11">
        <v>31</v>
      </c>
      <c r="F355" s="11"/>
      <c r="G355" s="11"/>
      <c r="H355" s="11"/>
      <c r="I355" s="11"/>
      <c r="J355" s="11"/>
      <c r="K355" s="11">
        <f t="shared" si="100"/>
        <v>31</v>
      </c>
      <c r="L355" s="11">
        <f t="shared" si="101"/>
        <v>22.32</v>
      </c>
      <c r="M355" s="11"/>
      <c r="N355" s="11">
        <v>1</v>
      </c>
      <c r="O355" s="11">
        <v>1</v>
      </c>
      <c r="P355" s="11"/>
      <c r="Q355" s="11">
        <v>5</v>
      </c>
      <c r="R355" s="11">
        <f t="shared" si="102"/>
        <v>7</v>
      </c>
      <c r="S355" s="11">
        <f t="shared" si="103"/>
        <v>7.87</v>
      </c>
      <c r="T355" s="11"/>
      <c r="U355" s="11"/>
      <c r="V355" s="11"/>
      <c r="W355" s="11"/>
      <c r="X355" s="11">
        <v>4</v>
      </c>
      <c r="Y355" s="11">
        <f t="shared" si="104"/>
        <v>4</v>
      </c>
      <c r="Z355" s="11">
        <f t="shared" si="105"/>
        <v>10.96</v>
      </c>
      <c r="AA355" s="11">
        <f t="shared" si="106"/>
        <v>42</v>
      </c>
      <c r="AB355" s="11">
        <f t="shared" si="106"/>
        <v>41.150000000000006</v>
      </c>
      <c r="AC355" s="42">
        <f t="shared" si="113"/>
        <v>5883</v>
      </c>
      <c r="AD355" s="83">
        <f t="shared" si="114"/>
        <v>247086</v>
      </c>
      <c r="AE355" s="83">
        <f t="shared" si="115"/>
        <v>242085.45000000004</v>
      </c>
      <c r="AF355" s="83">
        <f t="shared" si="116"/>
        <v>489171.45000000007</v>
      </c>
      <c r="AG355" s="11"/>
      <c r="AH355" s="11"/>
      <c r="AI355" s="78"/>
      <c r="AJ355" s="78"/>
      <c r="AK355" s="78"/>
      <c r="AL355" s="78"/>
      <c r="AM355" s="78"/>
      <c r="AN355" s="78"/>
      <c r="AO355" s="78"/>
      <c r="AP355" s="78"/>
      <c r="AQ355" s="3" t="s">
        <v>678</v>
      </c>
      <c r="AR355" s="3" t="s">
        <v>713</v>
      </c>
      <c r="AS355" s="3" t="s">
        <v>1054</v>
      </c>
      <c r="AT355" s="49">
        <v>5883</v>
      </c>
      <c r="AU355" s="3" t="str">
        <f t="shared" si="111"/>
        <v>match</v>
      </c>
      <c r="AV355" s="3" t="str">
        <f t="shared" si="112"/>
        <v>match</v>
      </c>
    </row>
    <row r="356" spans="1:48" ht="12">
      <c r="A356" s="9" t="s">
        <v>678</v>
      </c>
      <c r="B356" s="12" t="s">
        <v>715</v>
      </c>
      <c r="C356" s="13" t="s">
        <v>716</v>
      </c>
      <c r="D356" s="13"/>
      <c r="E356" s="40">
        <v>23</v>
      </c>
      <c r="F356" s="40"/>
      <c r="G356" s="40"/>
      <c r="H356" s="40"/>
      <c r="I356" s="40"/>
      <c r="J356" s="40"/>
      <c r="K356" s="40">
        <f t="shared" si="100"/>
        <v>23</v>
      </c>
      <c r="L356" s="40">
        <f t="shared" si="101"/>
        <v>16.559999999999999</v>
      </c>
      <c r="M356" s="40"/>
      <c r="N356" s="40"/>
      <c r="O356" s="40">
        <v>2</v>
      </c>
      <c r="P356" s="40"/>
      <c r="Q356" s="40">
        <v>3</v>
      </c>
      <c r="R356" s="40">
        <f t="shared" si="102"/>
        <v>5</v>
      </c>
      <c r="S356" s="40">
        <f t="shared" si="103"/>
        <v>6.05</v>
      </c>
      <c r="T356" s="40"/>
      <c r="U356" s="40"/>
      <c r="V356" s="40"/>
      <c r="W356" s="40"/>
      <c r="X356" s="40">
        <v>4</v>
      </c>
      <c r="Y356" s="40">
        <f t="shared" si="104"/>
        <v>4</v>
      </c>
      <c r="Z356" s="40">
        <f t="shared" si="105"/>
        <v>10.96</v>
      </c>
      <c r="AA356" s="40">
        <f t="shared" si="106"/>
        <v>32</v>
      </c>
      <c r="AB356" s="40">
        <f t="shared" si="106"/>
        <v>33.57</v>
      </c>
      <c r="AC356" s="44">
        <f t="shared" si="113"/>
        <v>5883</v>
      </c>
      <c r="AD356" s="82">
        <f t="shared" si="114"/>
        <v>188256</v>
      </c>
      <c r="AE356" s="82">
        <f t="shared" si="115"/>
        <v>197492.31</v>
      </c>
      <c r="AF356" s="82">
        <f t="shared" si="116"/>
        <v>385748.31</v>
      </c>
      <c r="AG356" s="40"/>
      <c r="AH356" s="40"/>
      <c r="AI356" s="79"/>
      <c r="AJ356" s="79"/>
      <c r="AK356" s="79"/>
      <c r="AL356" s="79"/>
      <c r="AM356" s="79"/>
      <c r="AN356" s="79"/>
      <c r="AO356" s="79"/>
      <c r="AP356" s="79"/>
      <c r="AQ356" s="3" t="s">
        <v>678</v>
      </c>
      <c r="AR356" s="3" t="s">
        <v>715</v>
      </c>
      <c r="AS356" s="3" t="s">
        <v>1055</v>
      </c>
      <c r="AT356" s="49">
        <v>5883</v>
      </c>
      <c r="AU356" s="3" t="str">
        <f t="shared" si="111"/>
        <v>match</v>
      </c>
      <c r="AV356" s="3" t="str">
        <f t="shared" si="112"/>
        <v>match</v>
      </c>
    </row>
    <row r="357" spans="1:48" ht="12">
      <c r="A357" s="9" t="s">
        <v>678</v>
      </c>
      <c r="B357" s="10" t="s">
        <v>717</v>
      </c>
      <c r="C357" s="56" t="s">
        <v>718</v>
      </c>
      <c r="D357" s="56"/>
      <c r="E357" s="11">
        <v>19</v>
      </c>
      <c r="F357" s="11"/>
      <c r="G357" s="11"/>
      <c r="H357" s="11"/>
      <c r="I357" s="11"/>
      <c r="J357" s="11"/>
      <c r="K357" s="11">
        <f t="shared" si="100"/>
        <v>19</v>
      </c>
      <c r="L357" s="11">
        <f t="shared" si="101"/>
        <v>13.68</v>
      </c>
      <c r="M357" s="11"/>
      <c r="N357" s="11"/>
      <c r="O357" s="11">
        <v>1</v>
      </c>
      <c r="P357" s="11"/>
      <c r="Q357" s="11">
        <v>1</v>
      </c>
      <c r="R357" s="11">
        <f t="shared" si="102"/>
        <v>2</v>
      </c>
      <c r="S357" s="11">
        <f t="shared" si="103"/>
        <v>2.42</v>
      </c>
      <c r="T357" s="11"/>
      <c r="U357" s="11"/>
      <c r="V357" s="11"/>
      <c r="W357" s="11"/>
      <c r="X357" s="11">
        <v>4</v>
      </c>
      <c r="Y357" s="11">
        <f t="shared" si="104"/>
        <v>4</v>
      </c>
      <c r="Z357" s="11">
        <f t="shared" si="105"/>
        <v>10.96</v>
      </c>
      <c r="AA357" s="11">
        <f t="shared" si="106"/>
        <v>25</v>
      </c>
      <c r="AB357" s="11">
        <f t="shared" si="106"/>
        <v>27.060000000000002</v>
      </c>
      <c r="AC357" s="42">
        <f t="shared" si="113"/>
        <v>5883</v>
      </c>
      <c r="AD357" s="83">
        <f t="shared" si="114"/>
        <v>147075</v>
      </c>
      <c r="AE357" s="83">
        <f t="shared" si="115"/>
        <v>159193.98000000001</v>
      </c>
      <c r="AF357" s="83">
        <f t="shared" si="116"/>
        <v>306268.98</v>
      </c>
      <c r="AG357" s="11"/>
      <c r="AH357" s="11"/>
      <c r="AI357" s="78"/>
      <c r="AJ357" s="78"/>
      <c r="AK357" s="78"/>
      <c r="AL357" s="78"/>
      <c r="AM357" s="78"/>
      <c r="AN357" s="78"/>
      <c r="AO357" s="78"/>
      <c r="AP357" s="78"/>
      <c r="AQ357" s="3" t="s">
        <v>678</v>
      </c>
      <c r="AR357" s="3" t="s">
        <v>717</v>
      </c>
      <c r="AS357" s="3" t="s">
        <v>1056</v>
      </c>
      <c r="AT357" s="49">
        <v>5883</v>
      </c>
      <c r="AU357" s="3" t="str">
        <f t="shared" si="111"/>
        <v>match</v>
      </c>
      <c r="AV357" s="3" t="str">
        <f t="shared" si="112"/>
        <v>match</v>
      </c>
    </row>
    <row r="358" spans="1:48" ht="12">
      <c r="A358" s="9" t="s">
        <v>678</v>
      </c>
      <c r="B358" s="12" t="s">
        <v>719</v>
      </c>
      <c r="C358" s="13" t="s">
        <v>720</v>
      </c>
      <c r="D358" s="13"/>
      <c r="E358" s="40">
        <v>177</v>
      </c>
      <c r="F358" s="40"/>
      <c r="G358" s="40"/>
      <c r="H358" s="40"/>
      <c r="I358" s="40"/>
      <c r="J358" s="40"/>
      <c r="K358" s="40">
        <f t="shared" si="100"/>
        <v>177</v>
      </c>
      <c r="L358" s="40">
        <f t="shared" si="101"/>
        <v>127.44</v>
      </c>
      <c r="M358" s="40"/>
      <c r="N358" s="40"/>
      <c r="O358" s="40">
        <v>11</v>
      </c>
      <c r="P358" s="40">
        <v>1</v>
      </c>
      <c r="Q358" s="40">
        <v>49</v>
      </c>
      <c r="R358" s="40">
        <f t="shared" si="102"/>
        <v>61</v>
      </c>
      <c r="S358" s="40">
        <f t="shared" si="103"/>
        <v>73.209999999999994</v>
      </c>
      <c r="T358" s="40"/>
      <c r="U358" s="40"/>
      <c r="V358" s="40">
        <v>1</v>
      </c>
      <c r="W358" s="40"/>
      <c r="X358" s="40">
        <v>31</v>
      </c>
      <c r="Y358" s="40">
        <f t="shared" si="104"/>
        <v>32</v>
      </c>
      <c r="Z358" s="40">
        <f t="shared" si="105"/>
        <v>87.68</v>
      </c>
      <c r="AA358" s="40">
        <f t="shared" si="106"/>
        <v>270</v>
      </c>
      <c r="AB358" s="40">
        <f t="shared" si="106"/>
        <v>288.33</v>
      </c>
      <c r="AC358" s="44">
        <f t="shared" si="113"/>
        <v>5883</v>
      </c>
      <c r="AD358" s="82">
        <f t="shared" si="114"/>
        <v>1588410</v>
      </c>
      <c r="AE358" s="82">
        <f t="shared" si="115"/>
        <v>1696245.39</v>
      </c>
      <c r="AF358" s="82">
        <f t="shared" si="116"/>
        <v>3284655.3899999997</v>
      </c>
      <c r="AG358" s="40"/>
      <c r="AH358" s="40"/>
      <c r="AI358" s="79"/>
      <c r="AJ358" s="79"/>
      <c r="AK358" s="79"/>
      <c r="AL358" s="79"/>
      <c r="AM358" s="79"/>
      <c r="AN358" s="79"/>
      <c r="AO358" s="79"/>
      <c r="AP358" s="79"/>
      <c r="AQ358" s="3" t="s">
        <v>678</v>
      </c>
      <c r="AR358" s="3" t="s">
        <v>719</v>
      </c>
      <c r="AS358" s="3" t="s">
        <v>1057</v>
      </c>
      <c r="AT358" s="49">
        <v>5883</v>
      </c>
      <c r="AU358" s="3" t="str">
        <f t="shared" si="111"/>
        <v>match</v>
      </c>
      <c r="AV358" s="3" t="str">
        <f t="shared" si="112"/>
        <v>match</v>
      </c>
    </row>
    <row r="359" spans="1:48" ht="12">
      <c r="A359" s="9" t="s">
        <v>678</v>
      </c>
      <c r="B359" s="10" t="s">
        <v>721</v>
      </c>
      <c r="C359" s="56" t="s">
        <v>722</v>
      </c>
      <c r="D359" s="56"/>
      <c r="E359" s="11">
        <v>59</v>
      </c>
      <c r="F359" s="11"/>
      <c r="G359" s="11"/>
      <c r="H359" s="11"/>
      <c r="I359" s="11"/>
      <c r="J359" s="11"/>
      <c r="K359" s="11">
        <f t="shared" si="100"/>
        <v>59</v>
      </c>
      <c r="L359" s="11">
        <f t="shared" si="101"/>
        <v>42.48</v>
      </c>
      <c r="M359" s="11"/>
      <c r="N359" s="11"/>
      <c r="O359" s="11"/>
      <c r="P359" s="11"/>
      <c r="Q359" s="11">
        <v>8</v>
      </c>
      <c r="R359" s="11">
        <f t="shared" si="102"/>
        <v>8</v>
      </c>
      <c r="S359" s="11">
        <f t="shared" si="103"/>
        <v>9.68</v>
      </c>
      <c r="T359" s="11"/>
      <c r="U359" s="11"/>
      <c r="V359" s="11">
        <v>2</v>
      </c>
      <c r="W359" s="11"/>
      <c r="X359" s="11">
        <v>10</v>
      </c>
      <c r="Y359" s="11">
        <f t="shared" si="104"/>
        <v>12</v>
      </c>
      <c r="Z359" s="11">
        <f t="shared" si="105"/>
        <v>32.880000000000003</v>
      </c>
      <c r="AA359" s="11">
        <f t="shared" si="106"/>
        <v>79</v>
      </c>
      <c r="AB359" s="11">
        <f t="shared" si="106"/>
        <v>85.039999999999992</v>
      </c>
      <c r="AC359" s="42">
        <f t="shared" si="113"/>
        <v>5883</v>
      </c>
      <c r="AD359" s="83">
        <f t="shared" si="114"/>
        <v>464757</v>
      </c>
      <c r="AE359" s="83">
        <f t="shared" si="115"/>
        <v>500290.31999999995</v>
      </c>
      <c r="AF359" s="83">
        <f t="shared" si="116"/>
        <v>965047.32</v>
      </c>
      <c r="AG359" s="11"/>
      <c r="AH359" s="11"/>
      <c r="AI359" s="78"/>
      <c r="AJ359" s="78"/>
      <c r="AK359" s="78"/>
      <c r="AL359" s="78"/>
      <c r="AM359" s="78"/>
      <c r="AN359" s="78"/>
      <c r="AO359" s="78"/>
      <c r="AP359" s="78"/>
      <c r="AQ359" s="3" t="s">
        <v>678</v>
      </c>
      <c r="AR359" s="3" t="s">
        <v>721</v>
      </c>
      <c r="AS359" s="3" t="s">
        <v>1058</v>
      </c>
      <c r="AT359" s="49">
        <v>5883</v>
      </c>
      <c r="AU359" s="3" t="str">
        <f t="shared" si="111"/>
        <v>match</v>
      </c>
      <c r="AV359" s="3" t="str">
        <f t="shared" si="112"/>
        <v>match</v>
      </c>
    </row>
    <row r="360" spans="1:48" ht="12">
      <c r="A360" s="9" t="s">
        <v>678</v>
      </c>
      <c r="B360" s="12" t="s">
        <v>723</v>
      </c>
      <c r="C360" s="13" t="s">
        <v>724</v>
      </c>
      <c r="D360" s="13"/>
      <c r="E360" s="40">
        <v>45</v>
      </c>
      <c r="F360" s="40"/>
      <c r="G360" s="40"/>
      <c r="H360" s="40"/>
      <c r="I360" s="40"/>
      <c r="J360" s="40"/>
      <c r="K360" s="40">
        <f t="shared" si="100"/>
        <v>45</v>
      </c>
      <c r="L360" s="40">
        <f t="shared" si="101"/>
        <v>32.4</v>
      </c>
      <c r="M360" s="40"/>
      <c r="N360" s="40">
        <v>1</v>
      </c>
      <c r="O360" s="40"/>
      <c r="P360" s="40"/>
      <c r="Q360" s="40">
        <v>13</v>
      </c>
      <c r="R360" s="40">
        <f t="shared" si="102"/>
        <v>14</v>
      </c>
      <c r="S360" s="40">
        <f t="shared" si="103"/>
        <v>16.34</v>
      </c>
      <c r="T360" s="40"/>
      <c r="U360" s="40"/>
      <c r="V360" s="40"/>
      <c r="W360" s="40"/>
      <c r="X360" s="40">
        <v>4</v>
      </c>
      <c r="Y360" s="40">
        <f t="shared" si="104"/>
        <v>4</v>
      </c>
      <c r="Z360" s="40">
        <f t="shared" si="105"/>
        <v>10.96</v>
      </c>
      <c r="AA360" s="40">
        <f t="shared" si="106"/>
        <v>63</v>
      </c>
      <c r="AB360" s="40">
        <f t="shared" si="106"/>
        <v>59.699999999999996</v>
      </c>
      <c r="AC360" s="44">
        <f t="shared" si="113"/>
        <v>6050</v>
      </c>
      <c r="AD360" s="82">
        <f t="shared" si="114"/>
        <v>381150</v>
      </c>
      <c r="AE360" s="82">
        <f t="shared" si="115"/>
        <v>361185</v>
      </c>
      <c r="AF360" s="82">
        <f t="shared" si="116"/>
        <v>742335</v>
      </c>
      <c r="AG360" s="40"/>
      <c r="AH360" s="40"/>
      <c r="AI360" s="79"/>
      <c r="AJ360" s="79"/>
      <c r="AK360" s="79"/>
      <c r="AL360" s="79"/>
      <c r="AM360" s="79"/>
      <c r="AN360" s="79"/>
      <c r="AO360" s="79"/>
      <c r="AP360" s="79"/>
      <c r="AQ360" s="3" t="s">
        <v>678</v>
      </c>
      <c r="AR360" s="3" t="s">
        <v>723</v>
      </c>
      <c r="AS360" s="3" t="s">
        <v>1059</v>
      </c>
      <c r="AT360" s="49">
        <v>6050</v>
      </c>
      <c r="AU360" s="3" t="str">
        <f t="shared" si="111"/>
        <v>match</v>
      </c>
      <c r="AV360" s="3" t="str">
        <f t="shared" si="112"/>
        <v>match</v>
      </c>
    </row>
    <row r="361" spans="1:48" ht="12">
      <c r="A361" s="9" t="s">
        <v>678</v>
      </c>
      <c r="B361" s="10" t="s">
        <v>725</v>
      </c>
      <c r="C361" s="56" t="s">
        <v>726</v>
      </c>
      <c r="D361" s="56"/>
      <c r="E361" s="11">
        <v>171</v>
      </c>
      <c r="F361" s="11"/>
      <c r="G361" s="11"/>
      <c r="H361" s="11"/>
      <c r="I361" s="11"/>
      <c r="J361" s="11"/>
      <c r="K361" s="11">
        <f t="shared" si="100"/>
        <v>171</v>
      </c>
      <c r="L361" s="11">
        <f t="shared" si="101"/>
        <v>123.11999999999999</v>
      </c>
      <c r="M361" s="11"/>
      <c r="N361" s="11">
        <v>13</v>
      </c>
      <c r="O361" s="11">
        <v>4</v>
      </c>
      <c r="P361" s="11"/>
      <c r="Q361" s="11">
        <v>70</v>
      </c>
      <c r="R361" s="11">
        <f t="shared" si="102"/>
        <v>87</v>
      </c>
      <c r="S361" s="11">
        <f t="shared" si="103"/>
        <v>97.47</v>
      </c>
      <c r="T361" s="11"/>
      <c r="U361" s="11">
        <v>2</v>
      </c>
      <c r="V361" s="11"/>
      <c r="W361" s="11"/>
      <c r="X361" s="11">
        <v>28</v>
      </c>
      <c r="Y361" s="11">
        <f t="shared" si="104"/>
        <v>30</v>
      </c>
      <c r="Z361" s="11">
        <f t="shared" si="105"/>
        <v>79.459999999999994</v>
      </c>
      <c r="AA361" s="11">
        <f t="shared" si="106"/>
        <v>288</v>
      </c>
      <c r="AB361" s="11">
        <f t="shared" si="106"/>
        <v>300.04999999999995</v>
      </c>
      <c r="AC361" s="42">
        <f t="shared" si="113"/>
        <v>5883</v>
      </c>
      <c r="AD361" s="83">
        <f t="shared" si="114"/>
        <v>1694304</v>
      </c>
      <c r="AE361" s="83">
        <f t="shared" si="115"/>
        <v>1765194.1499999997</v>
      </c>
      <c r="AF361" s="83">
        <f t="shared" si="116"/>
        <v>3459498.1499999994</v>
      </c>
      <c r="AG361" s="11"/>
      <c r="AH361" s="11"/>
      <c r="AI361" s="78"/>
      <c r="AJ361" s="78"/>
      <c r="AK361" s="78"/>
      <c r="AL361" s="78"/>
      <c r="AM361" s="78"/>
      <c r="AN361" s="78"/>
      <c r="AO361" s="78"/>
      <c r="AP361" s="78"/>
      <c r="AQ361" s="3" t="s">
        <v>678</v>
      </c>
      <c r="AR361" s="3" t="s">
        <v>725</v>
      </c>
      <c r="AS361" s="3" t="s">
        <v>1060</v>
      </c>
      <c r="AT361" s="49">
        <v>5883</v>
      </c>
      <c r="AU361" s="3" t="str">
        <f t="shared" si="111"/>
        <v>match</v>
      </c>
      <c r="AV361" s="3" t="str">
        <f t="shared" si="112"/>
        <v>match</v>
      </c>
    </row>
    <row r="362" spans="1:48" ht="12">
      <c r="A362" s="9" t="s">
        <v>678</v>
      </c>
      <c r="B362" s="12" t="s">
        <v>727</v>
      </c>
      <c r="C362" s="13" t="s">
        <v>728</v>
      </c>
      <c r="D362" s="13"/>
      <c r="E362" s="40">
        <v>387</v>
      </c>
      <c r="F362" s="40"/>
      <c r="G362" s="40"/>
      <c r="H362" s="40"/>
      <c r="I362" s="40"/>
      <c r="J362" s="40"/>
      <c r="K362" s="40">
        <f t="shared" si="100"/>
        <v>387</v>
      </c>
      <c r="L362" s="40">
        <f t="shared" si="101"/>
        <v>278.64</v>
      </c>
      <c r="M362" s="40"/>
      <c r="N362" s="40">
        <v>24</v>
      </c>
      <c r="O362" s="40">
        <v>5</v>
      </c>
      <c r="P362" s="40"/>
      <c r="Q362" s="40">
        <v>96</v>
      </c>
      <c r="R362" s="40">
        <f t="shared" si="102"/>
        <v>125</v>
      </c>
      <c r="S362" s="40">
        <f t="shared" si="103"/>
        <v>136.85</v>
      </c>
      <c r="T362" s="40"/>
      <c r="U362" s="40">
        <v>4</v>
      </c>
      <c r="V362" s="40">
        <v>1</v>
      </c>
      <c r="W362" s="40"/>
      <c r="X362" s="40">
        <v>38</v>
      </c>
      <c r="Y362" s="40">
        <f t="shared" si="104"/>
        <v>43</v>
      </c>
      <c r="Z362" s="40">
        <f t="shared" si="105"/>
        <v>112.34000000000002</v>
      </c>
      <c r="AA362" s="40">
        <f t="shared" si="106"/>
        <v>555</v>
      </c>
      <c r="AB362" s="40">
        <f t="shared" si="106"/>
        <v>527.83000000000004</v>
      </c>
      <c r="AC362" s="44">
        <f t="shared" si="113"/>
        <v>5883</v>
      </c>
      <c r="AD362" s="82">
        <f t="shared" si="114"/>
        <v>3265065</v>
      </c>
      <c r="AE362" s="82">
        <f t="shared" si="115"/>
        <v>3105223.89</v>
      </c>
      <c r="AF362" s="82">
        <f t="shared" si="116"/>
        <v>6370288.8900000006</v>
      </c>
      <c r="AG362" s="40"/>
      <c r="AH362" s="40"/>
      <c r="AI362" s="79"/>
      <c r="AJ362" s="79"/>
      <c r="AK362" s="79"/>
      <c r="AL362" s="79"/>
      <c r="AM362" s="79"/>
      <c r="AN362" s="79"/>
      <c r="AO362" s="79"/>
      <c r="AP362" s="79"/>
      <c r="AQ362" s="3" t="s">
        <v>678</v>
      </c>
      <c r="AR362" s="3" t="s">
        <v>727</v>
      </c>
      <c r="AS362" s="3" t="s">
        <v>1061</v>
      </c>
      <c r="AT362" s="49">
        <v>5883</v>
      </c>
      <c r="AU362" s="3" t="str">
        <f t="shared" si="111"/>
        <v>match</v>
      </c>
      <c r="AV362" s="3" t="str">
        <f t="shared" si="112"/>
        <v>match</v>
      </c>
    </row>
    <row r="363" spans="1:48" ht="12">
      <c r="A363" s="9" t="s">
        <v>678</v>
      </c>
      <c r="B363" s="10" t="s">
        <v>729</v>
      </c>
      <c r="C363" s="56" t="s">
        <v>730</v>
      </c>
      <c r="D363" s="56"/>
      <c r="E363" s="11">
        <v>44</v>
      </c>
      <c r="F363" s="11"/>
      <c r="G363" s="11"/>
      <c r="H363" s="11">
        <v>1</v>
      </c>
      <c r="I363" s="11"/>
      <c r="J363" s="11"/>
      <c r="K363" s="11">
        <f t="shared" si="100"/>
        <v>45</v>
      </c>
      <c r="L363" s="11">
        <f t="shared" si="101"/>
        <v>32.4</v>
      </c>
      <c r="M363" s="11"/>
      <c r="N363" s="11"/>
      <c r="O363" s="11">
        <v>1</v>
      </c>
      <c r="P363" s="11"/>
      <c r="Q363" s="11">
        <v>14</v>
      </c>
      <c r="R363" s="11">
        <f t="shared" si="102"/>
        <v>15</v>
      </c>
      <c r="S363" s="11">
        <f t="shared" si="103"/>
        <v>18.149999999999999</v>
      </c>
      <c r="T363" s="11"/>
      <c r="U363" s="11"/>
      <c r="V363" s="11"/>
      <c r="W363" s="11"/>
      <c r="X363" s="11">
        <v>6</v>
      </c>
      <c r="Y363" s="11">
        <f t="shared" si="104"/>
        <v>6</v>
      </c>
      <c r="Z363" s="11">
        <f t="shared" si="105"/>
        <v>16.440000000000001</v>
      </c>
      <c r="AA363" s="11">
        <f t="shared" si="106"/>
        <v>66</v>
      </c>
      <c r="AB363" s="11">
        <f t="shared" si="106"/>
        <v>66.989999999999995</v>
      </c>
      <c r="AC363" s="42">
        <f t="shared" si="113"/>
        <v>5883</v>
      </c>
      <c r="AD363" s="83">
        <f t="shared" si="114"/>
        <v>388278</v>
      </c>
      <c r="AE363" s="83">
        <f t="shared" si="115"/>
        <v>394102.17</v>
      </c>
      <c r="AF363" s="83">
        <f t="shared" si="116"/>
        <v>782380.16999999993</v>
      </c>
      <c r="AG363" s="11"/>
      <c r="AH363" s="11"/>
      <c r="AI363" s="78"/>
      <c r="AJ363" s="78"/>
      <c r="AK363" s="78"/>
      <c r="AL363" s="78"/>
      <c r="AM363" s="78"/>
      <c r="AN363" s="78"/>
      <c r="AO363" s="78"/>
      <c r="AP363" s="78"/>
      <c r="AQ363" s="3" t="s">
        <v>678</v>
      </c>
      <c r="AR363" s="3" t="s">
        <v>729</v>
      </c>
      <c r="AS363" s="3" t="s">
        <v>1062</v>
      </c>
      <c r="AT363" s="49">
        <v>5883</v>
      </c>
      <c r="AU363" s="3" t="str">
        <f t="shared" si="111"/>
        <v>match</v>
      </c>
      <c r="AV363" s="3" t="str">
        <f t="shared" si="112"/>
        <v>match</v>
      </c>
    </row>
    <row r="364" spans="1:48" ht="12">
      <c r="A364" s="9" t="s">
        <v>678</v>
      </c>
      <c r="B364" s="12" t="s">
        <v>731</v>
      </c>
      <c r="C364" s="13" t="s">
        <v>732</v>
      </c>
      <c r="D364" s="13"/>
      <c r="E364" s="40">
        <v>19</v>
      </c>
      <c r="F364" s="40"/>
      <c r="G364" s="40"/>
      <c r="H364" s="40"/>
      <c r="I364" s="40"/>
      <c r="J364" s="40"/>
      <c r="K364" s="40">
        <f t="shared" si="100"/>
        <v>19</v>
      </c>
      <c r="L364" s="40">
        <f t="shared" si="101"/>
        <v>13.68</v>
      </c>
      <c r="M364" s="40"/>
      <c r="N364" s="40"/>
      <c r="O364" s="40">
        <v>2</v>
      </c>
      <c r="P364" s="40"/>
      <c r="Q364" s="40">
        <v>2</v>
      </c>
      <c r="R364" s="40">
        <f t="shared" si="102"/>
        <v>4</v>
      </c>
      <c r="S364" s="40">
        <f t="shared" si="103"/>
        <v>4.84</v>
      </c>
      <c r="T364" s="40"/>
      <c r="U364" s="40"/>
      <c r="V364" s="40"/>
      <c r="W364" s="40"/>
      <c r="X364" s="40">
        <v>1</v>
      </c>
      <c r="Y364" s="40">
        <f t="shared" si="104"/>
        <v>1</v>
      </c>
      <c r="Z364" s="40">
        <f t="shared" si="105"/>
        <v>2.74</v>
      </c>
      <c r="AA364" s="40">
        <f t="shared" si="106"/>
        <v>24</v>
      </c>
      <c r="AB364" s="40">
        <f t="shared" si="106"/>
        <v>21.259999999999998</v>
      </c>
      <c r="AC364" s="44">
        <f t="shared" si="113"/>
        <v>5883</v>
      </c>
      <c r="AD364" s="82">
        <f t="shared" si="114"/>
        <v>141192</v>
      </c>
      <c r="AE364" s="82">
        <f t="shared" si="115"/>
        <v>125072.57999999999</v>
      </c>
      <c r="AF364" s="82">
        <f t="shared" si="116"/>
        <v>266264.57999999996</v>
      </c>
      <c r="AG364" s="40"/>
      <c r="AH364" s="40"/>
      <c r="AI364" s="79"/>
      <c r="AJ364" s="79"/>
      <c r="AK364" s="79"/>
      <c r="AL364" s="79"/>
      <c r="AM364" s="79"/>
      <c r="AN364" s="79"/>
      <c r="AO364" s="79"/>
      <c r="AP364" s="79"/>
      <c r="AQ364" s="3" t="s">
        <v>678</v>
      </c>
      <c r="AR364" s="3" t="s">
        <v>731</v>
      </c>
      <c r="AS364" s="3" t="s">
        <v>1063</v>
      </c>
      <c r="AT364" s="49">
        <v>5883</v>
      </c>
      <c r="AU364" s="3" t="str">
        <f t="shared" si="111"/>
        <v>match</v>
      </c>
      <c r="AV364" s="3" t="str">
        <f t="shared" si="112"/>
        <v>match</v>
      </c>
    </row>
    <row r="365" spans="1:48" ht="12">
      <c r="A365" s="9" t="s">
        <v>678</v>
      </c>
      <c r="B365" s="10" t="s">
        <v>733</v>
      </c>
      <c r="C365" s="56" t="s">
        <v>734</v>
      </c>
      <c r="D365" s="56"/>
      <c r="E365" s="11">
        <v>38</v>
      </c>
      <c r="F365" s="11"/>
      <c r="G365" s="11"/>
      <c r="H365" s="11"/>
      <c r="I365" s="11"/>
      <c r="J365" s="11"/>
      <c r="K365" s="11">
        <f t="shared" si="100"/>
        <v>38</v>
      </c>
      <c r="L365" s="11">
        <f t="shared" si="101"/>
        <v>27.36</v>
      </c>
      <c r="M365" s="11"/>
      <c r="N365" s="11"/>
      <c r="O365" s="11">
        <v>1</v>
      </c>
      <c r="P365" s="11"/>
      <c r="Q365" s="11">
        <v>10</v>
      </c>
      <c r="R365" s="11">
        <f t="shared" si="102"/>
        <v>11</v>
      </c>
      <c r="S365" s="11">
        <f t="shared" si="103"/>
        <v>13.309999999999999</v>
      </c>
      <c r="T365" s="11"/>
      <c r="U365" s="11"/>
      <c r="V365" s="11"/>
      <c r="W365" s="11"/>
      <c r="X365" s="11">
        <v>10</v>
      </c>
      <c r="Y365" s="11">
        <f t="shared" si="104"/>
        <v>10</v>
      </c>
      <c r="Z365" s="11">
        <f t="shared" si="105"/>
        <v>27.400000000000002</v>
      </c>
      <c r="AA365" s="11">
        <f t="shared" si="106"/>
        <v>59</v>
      </c>
      <c r="AB365" s="11">
        <f t="shared" si="106"/>
        <v>68.070000000000007</v>
      </c>
      <c r="AC365" s="42">
        <f t="shared" si="113"/>
        <v>5891</v>
      </c>
      <c r="AD365" s="83">
        <f t="shared" si="114"/>
        <v>347569</v>
      </c>
      <c r="AE365" s="83">
        <f t="shared" si="115"/>
        <v>401000.37000000005</v>
      </c>
      <c r="AF365" s="83">
        <f t="shared" si="116"/>
        <v>748569.37000000011</v>
      </c>
      <c r="AG365" s="11"/>
      <c r="AH365" s="11"/>
      <c r="AI365" s="78"/>
      <c r="AJ365" s="78"/>
      <c r="AK365" s="78"/>
      <c r="AL365" s="78"/>
      <c r="AM365" s="78"/>
      <c r="AN365" s="78"/>
      <c r="AO365" s="78"/>
      <c r="AP365" s="78"/>
      <c r="AQ365" s="3" t="s">
        <v>678</v>
      </c>
      <c r="AR365" s="3" t="s">
        <v>733</v>
      </c>
      <c r="AS365" s="3" t="s">
        <v>1064</v>
      </c>
      <c r="AT365" s="49">
        <v>5891</v>
      </c>
      <c r="AU365" s="3" t="str">
        <f t="shared" si="111"/>
        <v>match</v>
      </c>
      <c r="AV365" s="3" t="str">
        <f t="shared" si="112"/>
        <v>match</v>
      </c>
    </row>
    <row r="366" spans="1:48" ht="12">
      <c r="A366" s="9" t="s">
        <v>678</v>
      </c>
      <c r="B366" s="12" t="s">
        <v>735</v>
      </c>
      <c r="C366" s="13" t="s">
        <v>736</v>
      </c>
      <c r="D366" s="13"/>
      <c r="E366" s="40">
        <v>28</v>
      </c>
      <c r="F366" s="40"/>
      <c r="G366" s="40"/>
      <c r="H366" s="40"/>
      <c r="I366" s="40"/>
      <c r="J366" s="40"/>
      <c r="K366" s="40">
        <f t="shared" si="100"/>
        <v>28</v>
      </c>
      <c r="L366" s="40">
        <f t="shared" si="101"/>
        <v>20.16</v>
      </c>
      <c r="M366" s="40"/>
      <c r="N366" s="40"/>
      <c r="O366" s="40"/>
      <c r="P366" s="40"/>
      <c r="Q366" s="40">
        <v>3</v>
      </c>
      <c r="R366" s="40">
        <f t="shared" si="102"/>
        <v>3</v>
      </c>
      <c r="S366" s="40">
        <f t="shared" si="103"/>
        <v>3.63</v>
      </c>
      <c r="T366" s="40">
        <v>1</v>
      </c>
      <c r="U366" s="40"/>
      <c r="V366" s="40"/>
      <c r="W366" s="40"/>
      <c r="X366" s="40">
        <v>4</v>
      </c>
      <c r="Y366" s="40">
        <f t="shared" si="104"/>
        <v>5</v>
      </c>
      <c r="Z366" s="40">
        <f t="shared" si="105"/>
        <v>13.700000000000001</v>
      </c>
      <c r="AA366" s="40">
        <f t="shared" si="106"/>
        <v>36</v>
      </c>
      <c r="AB366" s="40">
        <f t="shared" si="106"/>
        <v>37.49</v>
      </c>
      <c r="AC366" s="44">
        <f t="shared" si="113"/>
        <v>5883</v>
      </c>
      <c r="AD366" s="82">
        <f t="shared" si="114"/>
        <v>211788</v>
      </c>
      <c r="AE366" s="82">
        <f t="shared" si="115"/>
        <v>220553.67</v>
      </c>
      <c r="AF366" s="82">
        <f t="shared" si="116"/>
        <v>432341.67000000004</v>
      </c>
      <c r="AG366" s="40"/>
      <c r="AH366" s="40"/>
      <c r="AI366" s="79"/>
      <c r="AJ366" s="79"/>
      <c r="AK366" s="79"/>
      <c r="AL366" s="79"/>
      <c r="AM366" s="79"/>
      <c r="AN366" s="79"/>
      <c r="AO366" s="79"/>
      <c r="AP366" s="79"/>
      <c r="AQ366" s="3" t="s">
        <v>678</v>
      </c>
      <c r="AR366" s="3" t="s">
        <v>735</v>
      </c>
      <c r="AS366" s="3" t="s">
        <v>1065</v>
      </c>
      <c r="AT366" s="49">
        <v>5883</v>
      </c>
      <c r="AU366" s="3" t="str">
        <f t="shared" si="111"/>
        <v>match</v>
      </c>
      <c r="AV366" s="3" t="str">
        <f t="shared" si="112"/>
        <v>match</v>
      </c>
    </row>
    <row r="367" spans="1:48" ht="12">
      <c r="A367" s="9" t="s">
        <v>678</v>
      </c>
      <c r="B367" s="10" t="s">
        <v>737</v>
      </c>
      <c r="C367" s="56" t="s">
        <v>738</v>
      </c>
      <c r="D367" s="56"/>
      <c r="E367" s="11">
        <v>74</v>
      </c>
      <c r="F367" s="11"/>
      <c r="G367" s="11"/>
      <c r="H367" s="11"/>
      <c r="I367" s="11"/>
      <c r="J367" s="11"/>
      <c r="K367" s="11">
        <f t="shared" si="100"/>
        <v>74</v>
      </c>
      <c r="L367" s="11">
        <f t="shared" si="101"/>
        <v>53.28</v>
      </c>
      <c r="M367" s="11"/>
      <c r="N367" s="11"/>
      <c r="O367" s="11">
        <v>3</v>
      </c>
      <c r="P367" s="11"/>
      <c r="Q367" s="11">
        <v>14</v>
      </c>
      <c r="R367" s="11">
        <f t="shared" si="102"/>
        <v>17</v>
      </c>
      <c r="S367" s="11">
        <f t="shared" si="103"/>
        <v>20.57</v>
      </c>
      <c r="T367" s="11"/>
      <c r="U367" s="11"/>
      <c r="V367" s="11"/>
      <c r="W367" s="11"/>
      <c r="X367" s="11">
        <v>13</v>
      </c>
      <c r="Y367" s="11">
        <f t="shared" si="104"/>
        <v>13</v>
      </c>
      <c r="Z367" s="11">
        <f t="shared" si="105"/>
        <v>35.620000000000005</v>
      </c>
      <c r="AA367" s="11">
        <f t="shared" si="106"/>
        <v>104</v>
      </c>
      <c r="AB367" s="11">
        <f t="shared" si="106"/>
        <v>109.47</v>
      </c>
      <c r="AC367" s="42">
        <f t="shared" si="113"/>
        <v>5884</v>
      </c>
      <c r="AD367" s="83">
        <f t="shared" si="114"/>
        <v>611936</v>
      </c>
      <c r="AE367" s="83">
        <f t="shared" si="115"/>
        <v>644121.48</v>
      </c>
      <c r="AF367" s="83">
        <f t="shared" si="116"/>
        <v>1256057.48</v>
      </c>
      <c r="AG367" s="11"/>
      <c r="AH367" s="11"/>
      <c r="AI367" s="78"/>
      <c r="AJ367" s="78"/>
      <c r="AK367" s="78"/>
      <c r="AL367" s="78"/>
      <c r="AM367" s="78"/>
      <c r="AN367" s="78"/>
      <c r="AO367" s="78"/>
      <c r="AP367" s="78"/>
      <c r="AQ367" s="3" t="s">
        <v>678</v>
      </c>
      <c r="AR367" s="3" t="s">
        <v>737</v>
      </c>
      <c r="AS367" s="3" t="s">
        <v>738</v>
      </c>
      <c r="AT367" s="49">
        <v>5884</v>
      </c>
      <c r="AU367" s="3" t="str">
        <f t="shared" si="111"/>
        <v>match</v>
      </c>
      <c r="AV367" s="3" t="str">
        <f t="shared" si="112"/>
        <v>match</v>
      </c>
    </row>
    <row r="368" spans="1:48" ht="12">
      <c r="A368" s="9" t="s">
        <v>678</v>
      </c>
      <c r="B368" s="12" t="s">
        <v>739</v>
      </c>
      <c r="C368" s="13" t="s">
        <v>740</v>
      </c>
      <c r="D368" s="13"/>
      <c r="E368" s="40">
        <v>48</v>
      </c>
      <c r="F368" s="40"/>
      <c r="G368" s="40"/>
      <c r="H368" s="40"/>
      <c r="I368" s="40"/>
      <c r="J368" s="40"/>
      <c r="K368" s="40">
        <f t="shared" si="100"/>
        <v>48</v>
      </c>
      <c r="L368" s="40">
        <f t="shared" si="101"/>
        <v>34.56</v>
      </c>
      <c r="M368" s="40"/>
      <c r="N368" s="40">
        <v>1</v>
      </c>
      <c r="O368" s="40"/>
      <c r="P368" s="40"/>
      <c r="Q368" s="40">
        <v>14</v>
      </c>
      <c r="R368" s="40">
        <f t="shared" si="102"/>
        <v>15</v>
      </c>
      <c r="S368" s="40">
        <f t="shared" si="103"/>
        <v>17.549999999999997</v>
      </c>
      <c r="T368" s="40"/>
      <c r="U368" s="40"/>
      <c r="V368" s="40"/>
      <c r="W368" s="40"/>
      <c r="X368" s="40">
        <v>10</v>
      </c>
      <c r="Y368" s="40">
        <f t="shared" si="104"/>
        <v>10</v>
      </c>
      <c r="Z368" s="40">
        <f t="shared" si="105"/>
        <v>27.400000000000002</v>
      </c>
      <c r="AA368" s="40">
        <f t="shared" si="106"/>
        <v>73</v>
      </c>
      <c r="AB368" s="40">
        <f t="shared" si="106"/>
        <v>79.510000000000005</v>
      </c>
      <c r="AC368" s="44">
        <f t="shared" si="113"/>
        <v>6007</v>
      </c>
      <c r="AD368" s="82">
        <f t="shared" si="114"/>
        <v>438511</v>
      </c>
      <c r="AE368" s="82">
        <f t="shared" si="115"/>
        <v>477616.57</v>
      </c>
      <c r="AF368" s="82">
        <f t="shared" si="116"/>
        <v>916127.57000000007</v>
      </c>
      <c r="AG368" s="40"/>
      <c r="AH368" s="40"/>
      <c r="AI368" s="79"/>
      <c r="AJ368" s="79"/>
      <c r="AK368" s="79"/>
      <c r="AL368" s="79"/>
      <c r="AM368" s="79"/>
      <c r="AN368" s="79"/>
      <c r="AO368" s="79"/>
      <c r="AP368" s="79"/>
      <c r="AQ368" s="3" t="s">
        <v>678</v>
      </c>
      <c r="AR368" s="3" t="s">
        <v>739</v>
      </c>
      <c r="AS368" s="3" t="s">
        <v>1066</v>
      </c>
      <c r="AT368" s="49">
        <v>6007</v>
      </c>
      <c r="AU368" s="3" t="str">
        <f t="shared" si="111"/>
        <v>match</v>
      </c>
      <c r="AV368" s="3" t="str">
        <f t="shared" si="112"/>
        <v>match</v>
      </c>
    </row>
    <row r="369" spans="1:48" ht="12">
      <c r="A369" s="9" t="s">
        <v>678</v>
      </c>
      <c r="B369" s="10" t="s">
        <v>741</v>
      </c>
      <c r="C369" s="56" t="s">
        <v>742</v>
      </c>
      <c r="D369" s="56"/>
      <c r="E369" s="11">
        <v>91</v>
      </c>
      <c r="F369" s="11"/>
      <c r="G369" s="11"/>
      <c r="H369" s="11">
        <v>3</v>
      </c>
      <c r="I369" s="11"/>
      <c r="J369" s="11"/>
      <c r="K369" s="11">
        <f t="shared" si="100"/>
        <v>94</v>
      </c>
      <c r="L369" s="11">
        <f t="shared" si="101"/>
        <v>67.679999999999993</v>
      </c>
      <c r="M369" s="11"/>
      <c r="N369" s="11">
        <v>4</v>
      </c>
      <c r="O369" s="11"/>
      <c r="P369" s="11"/>
      <c r="Q369" s="11">
        <v>18</v>
      </c>
      <c r="R369" s="11">
        <f t="shared" si="102"/>
        <v>22</v>
      </c>
      <c r="S369" s="11">
        <f t="shared" si="103"/>
        <v>24.220000000000002</v>
      </c>
      <c r="T369" s="11"/>
      <c r="U369" s="11"/>
      <c r="V369" s="11"/>
      <c r="W369" s="11">
        <v>1</v>
      </c>
      <c r="X369" s="11">
        <v>9</v>
      </c>
      <c r="Y369" s="11">
        <f t="shared" si="104"/>
        <v>10</v>
      </c>
      <c r="Z369" s="11">
        <f t="shared" si="105"/>
        <v>26.030000000000005</v>
      </c>
      <c r="AA369" s="11">
        <f t="shared" si="106"/>
        <v>126</v>
      </c>
      <c r="AB369" s="11">
        <f t="shared" si="106"/>
        <v>117.92999999999999</v>
      </c>
      <c r="AC369" s="42">
        <f t="shared" si="113"/>
        <v>5906</v>
      </c>
      <c r="AD369" s="83">
        <f t="shared" si="114"/>
        <v>744156</v>
      </c>
      <c r="AE369" s="83">
        <f t="shared" si="115"/>
        <v>696494.58</v>
      </c>
      <c r="AF369" s="83">
        <f t="shared" si="116"/>
        <v>1440650.58</v>
      </c>
      <c r="AG369" s="11"/>
      <c r="AH369" s="11"/>
      <c r="AI369" s="78"/>
      <c r="AJ369" s="78"/>
      <c r="AK369" s="78"/>
      <c r="AL369" s="78"/>
      <c r="AM369" s="78"/>
      <c r="AN369" s="78"/>
      <c r="AO369" s="78"/>
      <c r="AP369" s="78"/>
      <c r="AQ369" s="3" t="s">
        <v>678</v>
      </c>
      <c r="AR369" s="3" t="s">
        <v>741</v>
      </c>
      <c r="AS369" s="3" t="s">
        <v>1067</v>
      </c>
      <c r="AT369" s="49">
        <v>5906</v>
      </c>
      <c r="AU369" s="3" t="str">
        <f t="shared" si="111"/>
        <v>match</v>
      </c>
      <c r="AV369" s="3" t="str">
        <f t="shared" si="112"/>
        <v>match</v>
      </c>
    </row>
    <row r="370" spans="1:48" ht="12">
      <c r="A370" s="9" t="s">
        <v>678</v>
      </c>
      <c r="B370" s="12" t="s">
        <v>743</v>
      </c>
      <c r="C370" s="13" t="s">
        <v>744</v>
      </c>
      <c r="D370" s="13"/>
      <c r="E370" s="40">
        <v>38</v>
      </c>
      <c r="F370" s="40"/>
      <c r="G370" s="40"/>
      <c r="H370" s="40"/>
      <c r="I370" s="40"/>
      <c r="J370" s="40"/>
      <c r="K370" s="40">
        <f t="shared" si="100"/>
        <v>38</v>
      </c>
      <c r="L370" s="40">
        <f t="shared" si="101"/>
        <v>27.36</v>
      </c>
      <c r="M370" s="40"/>
      <c r="N370" s="40"/>
      <c r="O370" s="40">
        <v>2</v>
      </c>
      <c r="P370" s="40"/>
      <c r="Q370" s="40">
        <v>8</v>
      </c>
      <c r="R370" s="40">
        <f t="shared" si="102"/>
        <v>10</v>
      </c>
      <c r="S370" s="40">
        <f t="shared" si="103"/>
        <v>12.1</v>
      </c>
      <c r="T370" s="40"/>
      <c r="U370" s="40"/>
      <c r="V370" s="40">
        <v>1</v>
      </c>
      <c r="W370" s="40"/>
      <c r="X370" s="40">
        <v>14</v>
      </c>
      <c r="Y370" s="40">
        <f t="shared" si="104"/>
        <v>15</v>
      </c>
      <c r="Z370" s="40">
        <f t="shared" si="105"/>
        <v>41.1</v>
      </c>
      <c r="AA370" s="40">
        <f t="shared" si="106"/>
        <v>63</v>
      </c>
      <c r="AB370" s="40">
        <f t="shared" si="106"/>
        <v>80.56</v>
      </c>
      <c r="AC370" s="44">
        <f t="shared" si="113"/>
        <v>5883</v>
      </c>
      <c r="AD370" s="82">
        <f t="shared" si="114"/>
        <v>370629</v>
      </c>
      <c r="AE370" s="82">
        <f t="shared" si="115"/>
        <v>473934.48000000004</v>
      </c>
      <c r="AF370" s="82">
        <f t="shared" si="116"/>
        <v>844563.48</v>
      </c>
      <c r="AG370" s="40"/>
      <c r="AH370" s="40"/>
      <c r="AI370" s="79"/>
      <c r="AJ370" s="79"/>
      <c r="AK370" s="79"/>
      <c r="AL370" s="79"/>
      <c r="AM370" s="79"/>
      <c r="AN370" s="79"/>
      <c r="AO370" s="79"/>
      <c r="AP370" s="79"/>
      <c r="AQ370" s="3" t="s">
        <v>678</v>
      </c>
      <c r="AR370" s="3" t="s">
        <v>743</v>
      </c>
      <c r="AS370" s="3" t="s">
        <v>1068</v>
      </c>
      <c r="AT370" s="49">
        <v>5883</v>
      </c>
      <c r="AU370" s="3" t="str">
        <f t="shared" si="111"/>
        <v>match</v>
      </c>
      <c r="AV370" s="3" t="str">
        <f t="shared" si="112"/>
        <v>match</v>
      </c>
    </row>
    <row r="371" spans="1:48" ht="12">
      <c r="A371" s="9" t="s">
        <v>678</v>
      </c>
      <c r="B371" s="10" t="s">
        <v>745</v>
      </c>
      <c r="C371" s="56" t="s">
        <v>1083</v>
      </c>
      <c r="D371" s="56"/>
      <c r="E371" s="11">
        <v>29</v>
      </c>
      <c r="F371" s="11"/>
      <c r="G371" s="11"/>
      <c r="H371" s="11"/>
      <c r="I371" s="11"/>
      <c r="J371" s="11"/>
      <c r="K371" s="11">
        <f t="shared" si="100"/>
        <v>29</v>
      </c>
      <c r="L371" s="11">
        <f t="shared" si="101"/>
        <v>20.88</v>
      </c>
      <c r="M371" s="11"/>
      <c r="N371" s="11"/>
      <c r="O371" s="11">
        <v>1</v>
      </c>
      <c r="P371" s="11"/>
      <c r="Q371" s="11">
        <v>12</v>
      </c>
      <c r="R371" s="11">
        <f t="shared" si="102"/>
        <v>13</v>
      </c>
      <c r="S371" s="11">
        <f t="shared" si="103"/>
        <v>15.73</v>
      </c>
      <c r="T371" s="11"/>
      <c r="U371" s="11">
        <v>1</v>
      </c>
      <c r="V371" s="11"/>
      <c r="W371" s="11">
        <v>1</v>
      </c>
      <c r="X371" s="11">
        <v>5</v>
      </c>
      <c r="Y371" s="11">
        <f t="shared" si="104"/>
        <v>7</v>
      </c>
      <c r="Z371" s="11">
        <f t="shared" si="105"/>
        <v>16.440000000000001</v>
      </c>
      <c r="AA371" s="11">
        <f t="shared" si="106"/>
        <v>49</v>
      </c>
      <c r="AB371" s="11">
        <f t="shared" si="106"/>
        <v>53.05</v>
      </c>
      <c r="AC371" s="42">
        <f t="shared" si="113"/>
        <v>5883</v>
      </c>
      <c r="AD371" s="83">
        <f t="shared" si="114"/>
        <v>288267</v>
      </c>
      <c r="AE371" s="83">
        <f t="shared" si="115"/>
        <v>312093.14999999997</v>
      </c>
      <c r="AF371" s="83">
        <f t="shared" si="116"/>
        <v>600360.14999999991</v>
      </c>
      <c r="AG371" s="11"/>
      <c r="AH371" s="11"/>
      <c r="AI371" s="78"/>
      <c r="AJ371" s="78"/>
      <c r="AK371" s="78"/>
      <c r="AL371" s="78"/>
      <c r="AM371" s="78"/>
      <c r="AN371" s="78"/>
      <c r="AO371" s="78"/>
      <c r="AP371" s="78"/>
      <c r="AQ371" s="3" t="s">
        <v>678</v>
      </c>
      <c r="AR371" s="3" t="s">
        <v>745</v>
      </c>
      <c r="AS371" s="3" t="s">
        <v>1069</v>
      </c>
      <c r="AT371" s="49">
        <v>5883</v>
      </c>
      <c r="AU371" s="3" t="str">
        <f t="shared" si="111"/>
        <v>match</v>
      </c>
      <c r="AV371" s="3" t="str">
        <f t="shared" si="112"/>
        <v>match</v>
      </c>
    </row>
    <row r="372" spans="1:48" ht="12.75" thickBot="1">
      <c r="A372" s="23" t="s">
        <v>678</v>
      </c>
      <c r="B372" s="24" t="s">
        <v>746</v>
      </c>
      <c r="C372" s="25" t="s">
        <v>747</v>
      </c>
      <c r="D372" s="20"/>
      <c r="E372" s="40">
        <v>35</v>
      </c>
      <c r="F372" s="40"/>
      <c r="G372" s="40"/>
      <c r="H372" s="40">
        <v>3</v>
      </c>
      <c r="I372" s="40"/>
      <c r="J372" s="40"/>
      <c r="K372" s="40">
        <f t="shared" si="100"/>
        <v>38</v>
      </c>
      <c r="L372" s="40">
        <f t="shared" si="101"/>
        <v>27.36</v>
      </c>
      <c r="M372" s="40"/>
      <c r="N372" s="40">
        <v>1</v>
      </c>
      <c r="O372" s="40">
        <v>1</v>
      </c>
      <c r="P372" s="40"/>
      <c r="Q372" s="40">
        <v>4</v>
      </c>
      <c r="R372" s="40">
        <f t="shared" si="102"/>
        <v>6</v>
      </c>
      <c r="S372" s="40">
        <f t="shared" si="103"/>
        <v>6.66</v>
      </c>
      <c r="T372" s="40"/>
      <c r="U372" s="40"/>
      <c r="V372" s="40"/>
      <c r="W372" s="40"/>
      <c r="X372" s="40"/>
      <c r="Y372" s="40">
        <f t="shared" si="104"/>
        <v>0</v>
      </c>
      <c r="Z372" s="40">
        <f t="shared" si="105"/>
        <v>0</v>
      </c>
      <c r="AA372" s="40">
        <f t="shared" si="106"/>
        <v>44</v>
      </c>
      <c r="AB372" s="40">
        <f t="shared" si="106"/>
        <v>34.019999999999996</v>
      </c>
      <c r="AC372" s="44">
        <f t="shared" si="113"/>
        <v>5913</v>
      </c>
      <c r="AD372" s="84">
        <f t="shared" si="114"/>
        <v>260172</v>
      </c>
      <c r="AE372" s="84">
        <f t="shared" si="115"/>
        <v>201160.25999999998</v>
      </c>
      <c r="AF372" s="84">
        <f t="shared" si="116"/>
        <v>461332.26</v>
      </c>
      <c r="AG372" s="40"/>
      <c r="AH372" s="40"/>
      <c r="AI372" s="79"/>
      <c r="AJ372" s="79"/>
      <c r="AK372" s="79"/>
      <c r="AL372" s="79"/>
      <c r="AM372" s="79"/>
      <c r="AN372" s="79"/>
      <c r="AO372" s="79"/>
      <c r="AP372" s="79"/>
      <c r="AQ372" s="3" t="s">
        <v>678</v>
      </c>
      <c r="AR372" s="3" t="s">
        <v>746</v>
      </c>
      <c r="AS372" s="3" t="s">
        <v>1070</v>
      </c>
      <c r="AT372" s="49">
        <v>5913</v>
      </c>
      <c r="AU372" s="3" t="str">
        <f t="shared" si="111"/>
        <v>match</v>
      </c>
      <c r="AV372" s="3" t="str">
        <f t="shared" si="112"/>
        <v>match</v>
      </c>
    </row>
    <row r="373" spans="1:48" ht="12.75" thickBot="1">
      <c r="A373" s="26">
        <v>15</v>
      </c>
      <c r="B373" s="26">
        <v>9215</v>
      </c>
      <c r="C373" s="27" t="s">
        <v>748</v>
      </c>
      <c r="D373" s="95"/>
      <c r="E373" s="28">
        <f>SUM(E338:E372)</f>
        <v>3329</v>
      </c>
      <c r="F373" s="28">
        <f t="shared" ref="F373:AB373" si="117">SUM(F338:F372)</f>
        <v>1</v>
      </c>
      <c r="G373" s="28">
        <f t="shared" si="117"/>
        <v>0</v>
      </c>
      <c r="H373" s="28">
        <f t="shared" si="117"/>
        <v>18</v>
      </c>
      <c r="I373" s="28">
        <f t="shared" si="117"/>
        <v>1</v>
      </c>
      <c r="J373" s="28">
        <f t="shared" si="117"/>
        <v>1</v>
      </c>
      <c r="K373" s="28">
        <f t="shared" si="117"/>
        <v>3350</v>
      </c>
      <c r="L373" s="28">
        <f t="shared" si="117"/>
        <v>2412</v>
      </c>
      <c r="M373" s="28">
        <f t="shared" si="117"/>
        <v>0</v>
      </c>
      <c r="N373" s="28">
        <f t="shared" si="117"/>
        <v>72</v>
      </c>
      <c r="O373" s="28">
        <f t="shared" si="117"/>
        <v>112</v>
      </c>
      <c r="P373" s="28">
        <f t="shared" si="117"/>
        <v>1</v>
      </c>
      <c r="Q373" s="28">
        <f t="shared" si="117"/>
        <v>794</v>
      </c>
      <c r="R373" s="28">
        <f t="shared" si="117"/>
        <v>979</v>
      </c>
      <c r="S373" s="28">
        <f t="shared" si="117"/>
        <v>1140.79</v>
      </c>
      <c r="T373" s="28">
        <f t="shared" si="117"/>
        <v>1</v>
      </c>
      <c r="U373" s="28">
        <f t="shared" si="117"/>
        <v>16</v>
      </c>
      <c r="V373" s="28">
        <f t="shared" si="117"/>
        <v>18</v>
      </c>
      <c r="W373" s="28">
        <f t="shared" si="117"/>
        <v>2</v>
      </c>
      <c r="X373" s="28">
        <f t="shared" si="117"/>
        <v>431</v>
      </c>
      <c r="Y373" s="28">
        <f t="shared" si="117"/>
        <v>468</v>
      </c>
      <c r="Z373" s="28">
        <f t="shared" si="117"/>
        <v>1257.6600000000005</v>
      </c>
      <c r="AA373" s="28">
        <f t="shared" si="117"/>
        <v>4797</v>
      </c>
      <c r="AB373" s="28">
        <f t="shared" si="117"/>
        <v>4810.4500000000007</v>
      </c>
      <c r="AC373" s="88"/>
      <c r="AD373" s="46">
        <f t="shared" ref="AD373" si="118">SUM(AD338:AD372)</f>
        <v>28260503</v>
      </c>
      <c r="AE373" s="46">
        <f t="shared" ref="AE373" si="119">SUM(AE338:AE372)</f>
        <v>28337754.740000002</v>
      </c>
      <c r="AF373" s="46">
        <f t="shared" ref="AF373" si="120">SUM(AF338:AF372)</f>
        <v>56598257.739999987</v>
      </c>
      <c r="AG373" s="28"/>
      <c r="AH373" s="28"/>
      <c r="AI373" s="80"/>
      <c r="AJ373" s="80"/>
      <c r="AK373" s="80"/>
      <c r="AL373" s="80"/>
      <c r="AM373" s="80"/>
      <c r="AN373" s="80"/>
      <c r="AO373" s="80"/>
      <c r="AP373" s="80"/>
      <c r="AQ373" s="3" t="s">
        <v>678</v>
      </c>
      <c r="AS373" s="3" t="s">
        <v>748</v>
      </c>
    </row>
    <row r="374" spans="1:48" ht="12.75" thickBot="1">
      <c r="A374" s="29">
        <v>20</v>
      </c>
      <c r="B374" s="30">
        <v>9900</v>
      </c>
      <c r="C374" s="31" t="s">
        <v>749</v>
      </c>
      <c r="D374" s="31"/>
      <c r="E374" s="32">
        <f>+E373+E337+E286+E249+E194+E161+E138+E91+E30</f>
        <v>36733</v>
      </c>
      <c r="F374" s="32">
        <f t="shared" ref="F374:AB374" si="121">+F373+F337+F286+F249+F194+F161+F138+F91+F30</f>
        <v>79</v>
      </c>
      <c r="G374" s="32">
        <f t="shared" si="121"/>
        <v>0</v>
      </c>
      <c r="H374" s="32">
        <f t="shared" si="121"/>
        <v>33</v>
      </c>
      <c r="I374" s="32">
        <f t="shared" si="121"/>
        <v>1</v>
      </c>
      <c r="J374" s="32">
        <f t="shared" si="121"/>
        <v>1</v>
      </c>
      <c r="K374" s="96">
        <f t="shared" si="121"/>
        <v>36847</v>
      </c>
      <c r="L374" s="96">
        <f t="shared" si="121"/>
        <v>26529.84</v>
      </c>
      <c r="M374" s="96">
        <f t="shared" si="121"/>
        <v>42</v>
      </c>
      <c r="N374" s="96">
        <f t="shared" si="121"/>
        <v>1142</v>
      </c>
      <c r="O374" s="96">
        <f t="shared" si="121"/>
        <v>1687</v>
      </c>
      <c r="P374" s="96">
        <f t="shared" si="121"/>
        <v>13</v>
      </c>
      <c r="Q374" s="96">
        <f t="shared" si="121"/>
        <v>12733</v>
      </c>
      <c r="R374" s="96">
        <f t="shared" si="121"/>
        <v>15617</v>
      </c>
      <c r="S374" s="96">
        <f t="shared" si="121"/>
        <v>18203.57</v>
      </c>
      <c r="T374" s="96">
        <f t="shared" si="121"/>
        <v>42</v>
      </c>
      <c r="U374" s="96">
        <f t="shared" si="121"/>
        <v>272</v>
      </c>
      <c r="V374" s="96">
        <f t="shared" si="121"/>
        <v>436</v>
      </c>
      <c r="W374" s="96">
        <f t="shared" si="121"/>
        <v>13</v>
      </c>
      <c r="X374" s="96">
        <f t="shared" si="121"/>
        <v>6996</v>
      </c>
      <c r="Y374" s="96">
        <f t="shared" si="121"/>
        <v>7759</v>
      </c>
      <c r="Z374" s="96">
        <f t="shared" si="121"/>
        <v>20869.210000000006</v>
      </c>
      <c r="AA374" s="96">
        <f t="shared" si="121"/>
        <v>60223</v>
      </c>
      <c r="AB374" s="96">
        <f t="shared" si="121"/>
        <v>65602.62</v>
      </c>
      <c r="AC374" s="89"/>
      <c r="AD374" s="97">
        <f t="shared" ref="AD374" si="122">+AD373+AD337+AD286+AD249+AD194+AD161+AD138+AD91+AD30</f>
        <v>355795252</v>
      </c>
      <c r="AE374" s="97">
        <f t="shared" ref="AE374" si="123">+AE373+AE337+AE286+AE249+AE194+AE161+AE138+AE91+AE30</f>
        <v>387589528.81000006</v>
      </c>
      <c r="AF374" s="97">
        <f t="shared" ref="AF374" si="124">+AF373+AF337+AF286+AF249+AF194+AF161+AF138+AF91+AF30</f>
        <v>743384780.80999982</v>
      </c>
      <c r="AG374" s="32"/>
      <c r="AH374" s="32"/>
      <c r="AI374" s="52"/>
      <c r="AJ374" s="52"/>
      <c r="AK374" s="52"/>
      <c r="AL374" s="52"/>
      <c r="AM374" s="52"/>
      <c r="AN374" s="52"/>
      <c r="AO374" s="52"/>
      <c r="AP374" s="52"/>
    </row>
    <row r="375" spans="1:48" ht="12" thickBot="1">
      <c r="AS375" s="3" t="s">
        <v>1071</v>
      </c>
    </row>
    <row r="376" spans="1:48" ht="12">
      <c r="A376" s="65">
        <v>20</v>
      </c>
      <c r="B376" s="66">
        <v>9900</v>
      </c>
      <c r="C376" s="67" t="s">
        <v>1084</v>
      </c>
      <c r="D376" s="67"/>
      <c r="E376" s="68">
        <v>35018</v>
      </c>
      <c r="F376" s="68">
        <v>89</v>
      </c>
      <c r="G376" s="68">
        <v>10</v>
      </c>
      <c r="H376" s="68">
        <v>1845</v>
      </c>
      <c r="I376" s="68">
        <v>0</v>
      </c>
      <c r="J376" s="68">
        <v>127</v>
      </c>
      <c r="K376" s="68">
        <v>37089</v>
      </c>
      <c r="L376" s="68">
        <v>26704.079999999994</v>
      </c>
      <c r="M376" s="68">
        <v>48</v>
      </c>
      <c r="N376" s="68">
        <v>1076</v>
      </c>
      <c r="O376" s="68">
        <v>1663</v>
      </c>
      <c r="P376" s="68">
        <v>2</v>
      </c>
      <c r="Q376" s="68">
        <v>12211</v>
      </c>
      <c r="R376" s="68">
        <v>15000</v>
      </c>
      <c r="S376" s="68">
        <v>17503.199999999997</v>
      </c>
      <c r="T376" s="68">
        <v>42</v>
      </c>
      <c r="U376" s="68">
        <v>214</v>
      </c>
      <c r="V376" s="68">
        <v>483</v>
      </c>
      <c r="W376" s="68">
        <v>5</v>
      </c>
      <c r="X376" s="68">
        <v>7134</v>
      </c>
      <c r="Y376" s="68">
        <v>7878</v>
      </c>
      <c r="Z376" s="68">
        <v>21285.690000000006</v>
      </c>
      <c r="AA376" s="68">
        <v>59967</v>
      </c>
      <c r="AB376" s="69">
        <v>65492.969999999994</v>
      </c>
      <c r="AC376" s="87"/>
      <c r="AD376" s="98">
        <v>354290557</v>
      </c>
      <c r="AE376" s="98">
        <v>386957435</v>
      </c>
      <c r="AF376" s="98">
        <f>+AE376+AD376</f>
        <v>741247992</v>
      </c>
      <c r="AG376" s="70"/>
      <c r="AH376" s="70"/>
      <c r="AI376" s="81"/>
      <c r="AJ376" s="81"/>
      <c r="AK376" s="81"/>
      <c r="AL376" s="81"/>
      <c r="AM376" s="81"/>
      <c r="AN376" s="81"/>
      <c r="AO376" s="81"/>
      <c r="AP376" s="81"/>
    </row>
    <row r="377" spans="1:48" ht="12">
      <c r="A377" s="53"/>
      <c r="B377" s="54"/>
      <c r="C377" s="55"/>
      <c r="D377" s="55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64"/>
      <c r="AJ377" s="64"/>
      <c r="AK377" s="64"/>
      <c r="AL377" s="64"/>
      <c r="AM377" s="64"/>
      <c r="AN377" s="64"/>
      <c r="AO377" s="64"/>
      <c r="AP377" s="64"/>
    </row>
    <row r="378" spans="1:48" ht="12">
      <c r="A378" s="71"/>
      <c r="B378" s="21"/>
      <c r="C378" s="72" t="s">
        <v>1085</v>
      </c>
      <c r="D378" s="72"/>
      <c r="E378" s="72">
        <f>+E374-E376</f>
        <v>1715</v>
      </c>
      <c r="F378" s="72">
        <f t="shared" ref="F378:AB378" si="125">+F374-F376</f>
        <v>-10</v>
      </c>
      <c r="G378" s="72">
        <f t="shared" si="125"/>
        <v>-10</v>
      </c>
      <c r="H378" s="72">
        <f t="shared" si="125"/>
        <v>-1812</v>
      </c>
      <c r="I378" s="72">
        <f t="shared" si="125"/>
        <v>1</v>
      </c>
      <c r="J378" s="72">
        <f t="shared" si="125"/>
        <v>-126</v>
      </c>
      <c r="K378" s="72">
        <f t="shared" si="125"/>
        <v>-242</v>
      </c>
      <c r="L378" s="72">
        <f t="shared" si="125"/>
        <v>-174.23999999999432</v>
      </c>
      <c r="M378" s="72">
        <f t="shared" si="125"/>
        <v>-6</v>
      </c>
      <c r="N378" s="72">
        <f t="shared" si="125"/>
        <v>66</v>
      </c>
      <c r="O378" s="72">
        <f t="shared" si="125"/>
        <v>24</v>
      </c>
      <c r="P378" s="72">
        <f t="shared" si="125"/>
        <v>11</v>
      </c>
      <c r="Q378" s="72">
        <f t="shared" si="125"/>
        <v>522</v>
      </c>
      <c r="R378" s="72">
        <f t="shared" si="125"/>
        <v>617</v>
      </c>
      <c r="S378" s="72">
        <f t="shared" si="125"/>
        <v>700.37000000000262</v>
      </c>
      <c r="T378" s="72">
        <f t="shared" si="125"/>
        <v>0</v>
      </c>
      <c r="U378" s="72">
        <f t="shared" si="125"/>
        <v>58</v>
      </c>
      <c r="V378" s="72">
        <f t="shared" si="125"/>
        <v>-47</v>
      </c>
      <c r="W378" s="72">
        <f t="shared" si="125"/>
        <v>8</v>
      </c>
      <c r="X378" s="72">
        <f t="shared" si="125"/>
        <v>-138</v>
      </c>
      <c r="Y378" s="72">
        <f t="shared" si="125"/>
        <v>-119</v>
      </c>
      <c r="Z378" s="72">
        <f t="shared" si="125"/>
        <v>-416.47999999999956</v>
      </c>
      <c r="AA378" s="72">
        <f t="shared" si="125"/>
        <v>256</v>
      </c>
      <c r="AB378" s="72">
        <f t="shared" si="125"/>
        <v>109.65000000000146</v>
      </c>
      <c r="AC378" s="90"/>
      <c r="AD378" s="99">
        <f t="shared" ref="AD378:AF378" si="126">+AD374-AD376</f>
        <v>1504695</v>
      </c>
      <c r="AE378" s="99">
        <f t="shared" si="126"/>
        <v>632093.81000006199</v>
      </c>
      <c r="AF378" s="99">
        <f t="shared" si="126"/>
        <v>2136788.8099998236</v>
      </c>
      <c r="AG378" s="56"/>
      <c r="AH378" s="56"/>
      <c r="AI378" s="64"/>
      <c r="AJ378" s="64"/>
      <c r="AK378" s="64"/>
      <c r="AL378" s="64"/>
      <c r="AM378" s="64"/>
      <c r="AN378" s="64"/>
      <c r="AO378" s="64"/>
      <c r="AP378" s="64"/>
    </row>
    <row r="379" spans="1:48" ht="12">
      <c r="A379" s="71"/>
      <c r="B379" s="21"/>
      <c r="C379" s="72" t="s">
        <v>1086</v>
      </c>
      <c r="D379" s="72"/>
      <c r="E379" s="73">
        <f>+E378/E376</f>
        <v>4.8974812953338283E-2</v>
      </c>
      <c r="F379" s="75">
        <f t="shared" ref="F379:AB379" si="127">+F378/F376</f>
        <v>-0.11235955056179775</v>
      </c>
      <c r="G379" s="74">
        <f t="shared" si="127"/>
        <v>-1</v>
      </c>
      <c r="H379" s="75">
        <f t="shared" si="127"/>
        <v>-0.98211382113821133</v>
      </c>
      <c r="I379" s="75"/>
      <c r="J379" s="75">
        <f t="shared" si="127"/>
        <v>-0.99212598425196852</v>
      </c>
      <c r="K379" s="73">
        <f t="shared" si="127"/>
        <v>-6.5248456415648842E-3</v>
      </c>
      <c r="L379" s="73">
        <f t="shared" si="127"/>
        <v>-6.5248456415646734E-3</v>
      </c>
      <c r="M379" s="75">
        <f t="shared" si="127"/>
        <v>-0.125</v>
      </c>
      <c r="N379" s="73">
        <f t="shared" si="127"/>
        <v>6.1338289962825282E-2</v>
      </c>
      <c r="O379" s="73">
        <f t="shared" si="127"/>
        <v>1.4431749849669273E-2</v>
      </c>
      <c r="P379" s="74">
        <f t="shared" si="127"/>
        <v>5.5</v>
      </c>
      <c r="Q379" s="73">
        <f t="shared" si="127"/>
        <v>4.2748341659159771E-2</v>
      </c>
      <c r="R379" s="73">
        <f t="shared" si="127"/>
        <v>4.1133333333333334E-2</v>
      </c>
      <c r="S379" s="73">
        <f t="shared" si="127"/>
        <v>4.0013826043237964E-2</v>
      </c>
      <c r="T379" s="74">
        <f t="shared" si="127"/>
        <v>0</v>
      </c>
      <c r="U379" s="74">
        <f t="shared" si="127"/>
        <v>0.27102803738317754</v>
      </c>
      <c r="V379" s="73">
        <f t="shared" si="127"/>
        <v>-9.7308488612836433E-2</v>
      </c>
      <c r="W379" s="74">
        <f t="shared" si="127"/>
        <v>1.6</v>
      </c>
      <c r="X379" s="73">
        <f t="shared" si="127"/>
        <v>-1.9343986543313711E-2</v>
      </c>
      <c r="Y379" s="73">
        <f t="shared" si="127"/>
        <v>-1.5105356689515105E-2</v>
      </c>
      <c r="Z379" s="73">
        <f t="shared" si="127"/>
        <v>-1.956619682049299E-2</v>
      </c>
      <c r="AA379" s="73">
        <f t="shared" si="127"/>
        <v>4.2690146247102573E-3</v>
      </c>
      <c r="AB379" s="73">
        <f t="shared" si="127"/>
        <v>1.6742254932094463E-3</v>
      </c>
      <c r="AC379" s="90"/>
      <c r="AD379" s="100">
        <f t="shared" ref="AD379" si="128">+AD378/AD376</f>
        <v>4.2470649309459298E-3</v>
      </c>
      <c r="AE379" s="100">
        <f t="shared" ref="AE379" si="129">+AE378/AE376</f>
        <v>1.633497002067067E-3</v>
      </c>
      <c r="AF379" s="100">
        <f t="shared" ref="AF379" si="130">+AF378/AF376</f>
        <v>2.8826908579333102E-3</v>
      </c>
      <c r="AG379" s="56"/>
      <c r="AH379" s="56"/>
      <c r="AI379" s="64"/>
      <c r="AJ379" s="64"/>
      <c r="AK379" s="64"/>
      <c r="AL379" s="64"/>
      <c r="AM379" s="64"/>
      <c r="AN379" s="64"/>
      <c r="AO379" s="64"/>
      <c r="AP379" s="64"/>
    </row>
    <row r="381" spans="1:48" ht="15.75">
      <c r="C381" s="85" t="s">
        <v>1087</v>
      </c>
      <c r="D381" s="85"/>
      <c r="E381" s="85"/>
      <c r="F381" s="85"/>
      <c r="G381" s="85"/>
      <c r="H381" s="85"/>
      <c r="I381" s="85"/>
      <c r="J381" s="85"/>
      <c r="K381" s="85"/>
      <c r="L381" s="85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</row>
    <row r="395" spans="1:32" ht="12" thickBot="1"/>
    <row r="396" spans="1:32" ht="12.75" thickBot="1">
      <c r="A396" s="17" t="s">
        <v>23</v>
      </c>
      <c r="B396" s="17">
        <v>9201</v>
      </c>
      <c r="C396" s="18" t="s">
        <v>71</v>
      </c>
      <c r="D396" s="93"/>
      <c r="E396" s="19">
        <v>2631</v>
      </c>
      <c r="F396" s="19">
        <v>7</v>
      </c>
      <c r="G396" s="19"/>
      <c r="H396" s="19"/>
      <c r="I396" s="19"/>
      <c r="J396" s="19"/>
      <c r="K396" s="19">
        <f t="shared" ref="K396:K404" si="131">SUM(E396:J396)</f>
        <v>2638</v>
      </c>
      <c r="L396" s="19">
        <f t="shared" ref="L396:L404" si="132">+K396*0.72</f>
        <v>1899.36</v>
      </c>
      <c r="M396" s="19">
        <v>2</v>
      </c>
      <c r="N396" s="19">
        <v>20</v>
      </c>
      <c r="O396" s="19">
        <v>141</v>
      </c>
      <c r="P396" s="19"/>
      <c r="Q396" s="19">
        <v>895</v>
      </c>
      <c r="R396" s="19">
        <f t="shared" ref="R396:R404" si="133">SUM(M396:Q396)</f>
        <v>1058</v>
      </c>
      <c r="S396" s="19">
        <f t="shared" ref="S396:S404" si="134">((+N396+P396)*0.61)+((+M396+O396+Q396)*1.21)</f>
        <v>1268.18</v>
      </c>
      <c r="T396" s="19">
        <v>3</v>
      </c>
      <c r="U396" s="19">
        <v>9</v>
      </c>
      <c r="V396" s="19">
        <v>62</v>
      </c>
      <c r="W396" s="19">
        <v>2</v>
      </c>
      <c r="X396" s="19">
        <v>477</v>
      </c>
      <c r="Y396" s="19">
        <f t="shared" ref="Y396:Y404" si="135">SUM(T396:X396)</f>
        <v>553</v>
      </c>
      <c r="Z396" s="19">
        <f t="shared" ref="Z396:Z404" si="136">((+U396+W396)*1.37)+((+T396+V396+X396)*2.74)</f>
        <v>1500.15</v>
      </c>
      <c r="AA396" s="19">
        <f t="shared" ref="AA396:AB404" si="137">+K396+R396+Y396</f>
        <v>4249</v>
      </c>
      <c r="AB396" s="57">
        <f t="shared" si="137"/>
        <v>4667.6900000000005</v>
      </c>
      <c r="AC396" s="58"/>
      <c r="AD396" s="59">
        <f>SUM(AD6:AD29)</f>
        <v>25129500</v>
      </c>
      <c r="AE396" s="59">
        <f t="shared" ref="AE396:AF396" si="138">SUM(AE6:AE29)</f>
        <v>27594260.540000007</v>
      </c>
      <c r="AF396" s="60">
        <f t="shared" si="138"/>
        <v>52723760.539999999</v>
      </c>
    </row>
    <row r="397" spans="1:32" ht="12.75" thickBot="1">
      <c r="A397" s="17" t="s">
        <v>72</v>
      </c>
      <c r="B397" s="17">
        <v>9207</v>
      </c>
      <c r="C397" s="18" t="s">
        <v>190</v>
      </c>
      <c r="D397" s="93"/>
      <c r="E397" s="19">
        <v>5179</v>
      </c>
      <c r="F397" s="19">
        <v>5</v>
      </c>
      <c r="G397" s="19"/>
      <c r="H397" s="19"/>
      <c r="I397" s="19"/>
      <c r="J397" s="19"/>
      <c r="K397" s="19">
        <f t="shared" si="131"/>
        <v>5184</v>
      </c>
      <c r="L397" s="19">
        <f t="shared" si="132"/>
        <v>3732.48</v>
      </c>
      <c r="M397" s="19">
        <v>11</v>
      </c>
      <c r="N397" s="19">
        <v>96</v>
      </c>
      <c r="O397" s="19">
        <v>327</v>
      </c>
      <c r="P397" s="19"/>
      <c r="Q397" s="19">
        <v>2066</v>
      </c>
      <c r="R397" s="19">
        <f t="shared" si="133"/>
        <v>2500</v>
      </c>
      <c r="S397" s="19">
        <f t="shared" si="134"/>
        <v>2967.3999999999996</v>
      </c>
      <c r="T397" s="19">
        <v>4</v>
      </c>
      <c r="U397" s="19">
        <v>38</v>
      </c>
      <c r="V397" s="19">
        <v>81</v>
      </c>
      <c r="W397" s="19"/>
      <c r="X397" s="19">
        <v>1126</v>
      </c>
      <c r="Y397" s="19">
        <f t="shared" si="135"/>
        <v>1249</v>
      </c>
      <c r="Z397" s="19">
        <f t="shared" si="136"/>
        <v>3370.2000000000003</v>
      </c>
      <c r="AA397" s="19">
        <f t="shared" si="137"/>
        <v>8933</v>
      </c>
      <c r="AB397" s="57">
        <f t="shared" si="137"/>
        <v>10070.08</v>
      </c>
      <c r="AC397" s="61"/>
      <c r="AD397" s="62">
        <f>SUM(AD31:AD90)</f>
        <v>52804052</v>
      </c>
      <c r="AE397" s="62">
        <f t="shared" ref="AE397:AF397" si="139">SUM(AE31:AE90)</f>
        <v>59509117.529999994</v>
      </c>
      <c r="AF397" s="63">
        <f t="shared" si="139"/>
        <v>112313169.53000002</v>
      </c>
    </row>
    <row r="398" spans="1:32" ht="12.75" thickBot="1">
      <c r="A398" s="17" t="s">
        <v>191</v>
      </c>
      <c r="B398" s="17">
        <v>9208</v>
      </c>
      <c r="C398" s="18" t="s">
        <v>282</v>
      </c>
      <c r="D398" s="93"/>
      <c r="E398" s="19">
        <v>2413</v>
      </c>
      <c r="F398" s="19">
        <v>45</v>
      </c>
      <c r="G398" s="19"/>
      <c r="H398" s="19">
        <v>4</v>
      </c>
      <c r="I398" s="19"/>
      <c r="J398" s="19"/>
      <c r="K398" s="19">
        <f t="shared" si="131"/>
        <v>2462</v>
      </c>
      <c r="L398" s="19">
        <f t="shared" si="132"/>
        <v>1772.6399999999999</v>
      </c>
      <c r="M398" s="19">
        <v>13</v>
      </c>
      <c r="N398" s="19">
        <v>33</v>
      </c>
      <c r="O398" s="19">
        <v>185</v>
      </c>
      <c r="P398" s="19"/>
      <c r="Q398" s="19">
        <v>742</v>
      </c>
      <c r="R398" s="19">
        <f t="shared" si="133"/>
        <v>973</v>
      </c>
      <c r="S398" s="19">
        <f t="shared" si="134"/>
        <v>1157.53</v>
      </c>
      <c r="T398" s="19">
        <v>3</v>
      </c>
      <c r="U398" s="19">
        <v>10</v>
      </c>
      <c r="V398" s="19">
        <v>34</v>
      </c>
      <c r="W398" s="19"/>
      <c r="X398" s="19">
        <v>291</v>
      </c>
      <c r="Y398" s="19">
        <f t="shared" si="135"/>
        <v>338</v>
      </c>
      <c r="Z398" s="19">
        <f t="shared" si="136"/>
        <v>912.42000000000007</v>
      </c>
      <c r="AA398" s="19">
        <f t="shared" si="137"/>
        <v>3773</v>
      </c>
      <c r="AB398" s="57">
        <f t="shared" si="137"/>
        <v>3842.59</v>
      </c>
      <c r="AC398" s="58"/>
      <c r="AD398" s="59">
        <f>SUM(AD92:AD137)</f>
        <v>22353764</v>
      </c>
      <c r="AE398" s="59">
        <f t="shared" ref="AE398:AF398" si="140">SUM(AE92:AE137)</f>
        <v>22765326.199999996</v>
      </c>
      <c r="AF398" s="60">
        <f t="shared" si="140"/>
        <v>45119090.200000003</v>
      </c>
    </row>
    <row r="399" spans="1:32" ht="12.75" thickBot="1">
      <c r="A399" s="17" t="s">
        <v>283</v>
      </c>
      <c r="B399" s="17">
        <v>9209</v>
      </c>
      <c r="C399" s="18" t="s">
        <v>328</v>
      </c>
      <c r="D399" s="93"/>
      <c r="E399" s="19">
        <v>3338</v>
      </c>
      <c r="F399" s="19"/>
      <c r="G399" s="19"/>
      <c r="H399" s="19">
        <v>1</v>
      </c>
      <c r="I399" s="19"/>
      <c r="J399" s="19"/>
      <c r="K399" s="19">
        <f t="shared" si="131"/>
        <v>3339</v>
      </c>
      <c r="L399" s="19">
        <f t="shared" si="132"/>
        <v>2404.08</v>
      </c>
      <c r="M399" s="19"/>
      <c r="N399" s="19">
        <v>162</v>
      </c>
      <c r="O399" s="19">
        <v>225</v>
      </c>
      <c r="P399" s="19"/>
      <c r="Q399" s="19">
        <v>1167</v>
      </c>
      <c r="R399" s="19">
        <f t="shared" si="133"/>
        <v>1554</v>
      </c>
      <c r="S399" s="19">
        <f t="shared" si="134"/>
        <v>1783.1399999999999</v>
      </c>
      <c r="T399" s="19">
        <v>1</v>
      </c>
      <c r="U399" s="19">
        <v>27</v>
      </c>
      <c r="V399" s="19">
        <v>57</v>
      </c>
      <c r="W399" s="19">
        <v>1</v>
      </c>
      <c r="X399" s="19">
        <v>823</v>
      </c>
      <c r="Y399" s="19">
        <f t="shared" si="135"/>
        <v>909</v>
      </c>
      <c r="Z399" s="19">
        <f t="shared" si="136"/>
        <v>2452.3000000000002</v>
      </c>
      <c r="AA399" s="19">
        <f t="shared" si="137"/>
        <v>5802</v>
      </c>
      <c r="AB399" s="57">
        <f t="shared" si="137"/>
        <v>6639.5199999999995</v>
      </c>
      <c r="AC399" s="61"/>
      <c r="AD399" s="62">
        <f>SUM(AD139:AD160)</f>
        <v>34261556</v>
      </c>
      <c r="AE399" s="62">
        <f t="shared" ref="AE399:AF399" si="141">SUM(AE139:AE160)</f>
        <v>39201280.81000001</v>
      </c>
      <c r="AF399" s="63">
        <f t="shared" si="141"/>
        <v>73462836.809999987</v>
      </c>
    </row>
    <row r="400" spans="1:32" ht="12.75" thickBot="1">
      <c r="A400" s="17">
        <v>10</v>
      </c>
      <c r="B400" s="17">
        <v>9210</v>
      </c>
      <c r="C400" s="18" t="s">
        <v>393</v>
      </c>
      <c r="D400" s="93"/>
      <c r="E400" s="19">
        <v>4686</v>
      </c>
      <c r="F400" s="19">
        <v>8</v>
      </c>
      <c r="G400" s="19"/>
      <c r="H400" s="19"/>
      <c r="I400" s="19"/>
      <c r="J400" s="19"/>
      <c r="K400" s="19">
        <f t="shared" si="131"/>
        <v>4694</v>
      </c>
      <c r="L400" s="19">
        <f t="shared" si="132"/>
        <v>3379.68</v>
      </c>
      <c r="M400" s="19">
        <v>13</v>
      </c>
      <c r="N400" s="19">
        <v>94</v>
      </c>
      <c r="O400" s="19">
        <v>273</v>
      </c>
      <c r="P400" s="19">
        <v>1</v>
      </c>
      <c r="Q400" s="19">
        <v>1524</v>
      </c>
      <c r="R400" s="19">
        <f t="shared" si="133"/>
        <v>1905</v>
      </c>
      <c r="S400" s="19">
        <f t="shared" si="134"/>
        <v>2248.0499999999997</v>
      </c>
      <c r="T400" s="19">
        <v>25</v>
      </c>
      <c r="U400" s="19">
        <v>25</v>
      </c>
      <c r="V400" s="19">
        <v>74</v>
      </c>
      <c r="W400" s="19"/>
      <c r="X400" s="19">
        <v>1152</v>
      </c>
      <c r="Y400" s="19">
        <f t="shared" si="135"/>
        <v>1276</v>
      </c>
      <c r="Z400" s="19">
        <f t="shared" si="136"/>
        <v>3461.9900000000002</v>
      </c>
      <c r="AA400" s="19">
        <f t="shared" si="137"/>
        <v>7875</v>
      </c>
      <c r="AB400" s="57">
        <f t="shared" si="137"/>
        <v>9089.7199999999993</v>
      </c>
      <c r="AC400" s="58"/>
      <c r="AD400" s="59">
        <f>SUM(AD162:AD193)</f>
        <v>46445619</v>
      </c>
      <c r="AE400" s="59">
        <f t="shared" ref="AE400:AF400" si="142">SUM(AE162:AE193)</f>
        <v>53602838.790000014</v>
      </c>
      <c r="AF400" s="60">
        <f t="shared" si="142"/>
        <v>100048457.78999998</v>
      </c>
    </row>
    <row r="401" spans="1:32" ht="12.75" thickBot="1">
      <c r="A401" s="17" t="s">
        <v>394</v>
      </c>
      <c r="B401" s="17">
        <v>9211</v>
      </c>
      <c r="C401" s="18" t="s">
        <v>502</v>
      </c>
      <c r="D401" s="93"/>
      <c r="E401" s="19">
        <v>8713</v>
      </c>
      <c r="F401" s="19">
        <v>3</v>
      </c>
      <c r="G401" s="19"/>
      <c r="H401" s="19">
        <v>4</v>
      </c>
      <c r="I401" s="19"/>
      <c r="J401" s="19"/>
      <c r="K401" s="19">
        <f t="shared" si="131"/>
        <v>8720</v>
      </c>
      <c r="L401" s="19">
        <f t="shared" si="132"/>
        <v>6278.4</v>
      </c>
      <c r="M401" s="19">
        <v>3</v>
      </c>
      <c r="N401" s="19">
        <v>538</v>
      </c>
      <c r="O401" s="19">
        <v>69</v>
      </c>
      <c r="P401" s="19">
        <v>11</v>
      </c>
      <c r="Q401" s="19">
        <v>3748</v>
      </c>
      <c r="R401" s="19">
        <f t="shared" si="133"/>
        <v>4369</v>
      </c>
      <c r="S401" s="19">
        <f t="shared" si="134"/>
        <v>4957.09</v>
      </c>
      <c r="T401" s="19">
        <v>4</v>
      </c>
      <c r="U401" s="19">
        <v>102</v>
      </c>
      <c r="V401" s="19">
        <v>14</v>
      </c>
      <c r="W401" s="19">
        <v>6</v>
      </c>
      <c r="X401" s="19">
        <v>1600</v>
      </c>
      <c r="Y401" s="19">
        <f t="shared" si="135"/>
        <v>1726</v>
      </c>
      <c r="Z401" s="19">
        <f t="shared" si="136"/>
        <v>4581.2800000000007</v>
      </c>
      <c r="AA401" s="19">
        <f t="shared" si="137"/>
        <v>14815</v>
      </c>
      <c r="AB401" s="57">
        <f t="shared" si="137"/>
        <v>15816.77</v>
      </c>
      <c r="AC401" s="61"/>
      <c r="AD401" s="62">
        <f>SUM(AD195:AD248)</f>
        <v>87599096</v>
      </c>
      <c r="AE401" s="62">
        <f t="shared" ref="AE401:AF401" si="143">SUM(AE195:AE248)</f>
        <v>93575888.790000036</v>
      </c>
      <c r="AF401" s="63">
        <f t="shared" si="143"/>
        <v>181174984.78999999</v>
      </c>
    </row>
    <row r="402" spans="1:32" ht="12.75" thickBot="1">
      <c r="A402" s="17">
        <v>12</v>
      </c>
      <c r="B402" s="17">
        <v>9212</v>
      </c>
      <c r="C402" s="18" t="s">
        <v>575</v>
      </c>
      <c r="D402" s="93"/>
      <c r="E402" s="19">
        <v>2936</v>
      </c>
      <c r="F402" s="19">
        <v>6</v>
      </c>
      <c r="G402" s="19"/>
      <c r="H402" s="19">
        <v>3</v>
      </c>
      <c r="I402" s="19"/>
      <c r="J402" s="19"/>
      <c r="K402" s="19">
        <f t="shared" si="131"/>
        <v>2945</v>
      </c>
      <c r="L402" s="19">
        <f t="shared" si="132"/>
        <v>2120.4</v>
      </c>
      <c r="M402" s="19"/>
      <c r="N402" s="19">
        <v>51</v>
      </c>
      <c r="O402" s="19">
        <v>160</v>
      </c>
      <c r="P402" s="19"/>
      <c r="Q402" s="19">
        <v>957</v>
      </c>
      <c r="R402" s="19">
        <f t="shared" si="133"/>
        <v>1168</v>
      </c>
      <c r="S402" s="19">
        <f t="shared" si="134"/>
        <v>1382.6799999999998</v>
      </c>
      <c r="T402" s="19"/>
      <c r="U402" s="19">
        <v>27</v>
      </c>
      <c r="V402" s="19">
        <v>51</v>
      </c>
      <c r="W402" s="19"/>
      <c r="X402" s="19">
        <v>530</v>
      </c>
      <c r="Y402" s="19">
        <f t="shared" si="135"/>
        <v>608</v>
      </c>
      <c r="Z402" s="19">
        <f t="shared" si="136"/>
        <v>1628.93</v>
      </c>
      <c r="AA402" s="19">
        <f t="shared" si="137"/>
        <v>4721</v>
      </c>
      <c r="AB402" s="57">
        <f t="shared" si="137"/>
        <v>5132.01</v>
      </c>
      <c r="AC402" s="58"/>
      <c r="AD402" s="59">
        <f>SUM(AD250:AD285)</f>
        <v>27833265</v>
      </c>
      <c r="AE402" s="59">
        <f t="shared" ref="AE402:AF402" si="144">SUM(AE250:AE285)</f>
        <v>30255115.680000003</v>
      </c>
      <c r="AF402" s="60">
        <f t="shared" si="144"/>
        <v>58088380.679999992</v>
      </c>
    </row>
    <row r="403" spans="1:32" ht="12.75" thickBot="1">
      <c r="A403" s="17" t="s">
        <v>576</v>
      </c>
      <c r="B403" s="17">
        <v>9213</v>
      </c>
      <c r="C403" s="18" t="s">
        <v>677</v>
      </c>
      <c r="D403" s="93"/>
      <c r="E403" s="19">
        <v>3508</v>
      </c>
      <c r="F403" s="19">
        <v>4</v>
      </c>
      <c r="G403" s="19"/>
      <c r="H403" s="19">
        <v>3</v>
      </c>
      <c r="I403" s="19"/>
      <c r="J403" s="19"/>
      <c r="K403" s="19">
        <f t="shared" si="131"/>
        <v>3515</v>
      </c>
      <c r="L403" s="19">
        <f t="shared" si="132"/>
        <v>2530.7999999999997</v>
      </c>
      <c r="M403" s="19"/>
      <c r="N403" s="19">
        <v>76</v>
      </c>
      <c r="O403" s="19">
        <v>195</v>
      </c>
      <c r="P403" s="19"/>
      <c r="Q403" s="19">
        <v>840</v>
      </c>
      <c r="R403" s="19">
        <f t="shared" si="133"/>
        <v>1111</v>
      </c>
      <c r="S403" s="19">
        <f t="shared" si="134"/>
        <v>1298.7099999999998</v>
      </c>
      <c r="T403" s="19">
        <v>1</v>
      </c>
      <c r="U403" s="19">
        <v>18</v>
      </c>
      <c r="V403" s="19">
        <v>45</v>
      </c>
      <c r="W403" s="19">
        <v>2</v>
      </c>
      <c r="X403" s="19">
        <v>566</v>
      </c>
      <c r="Y403" s="19">
        <f t="shared" si="135"/>
        <v>632</v>
      </c>
      <c r="Z403" s="19">
        <f t="shared" si="136"/>
        <v>1704.2800000000002</v>
      </c>
      <c r="AA403" s="19">
        <f t="shared" si="137"/>
        <v>5258</v>
      </c>
      <c r="AB403" s="57">
        <f t="shared" si="137"/>
        <v>5533.7899999999991</v>
      </c>
      <c r="AC403" s="61"/>
      <c r="AD403" s="62">
        <f>SUM(AD287:AD336)</f>
        <v>31107897</v>
      </c>
      <c r="AE403" s="62">
        <f t="shared" ref="AE403:AF403" si="145">SUM(AE287:AE336)</f>
        <v>32747945.729999993</v>
      </c>
      <c r="AF403" s="63">
        <f t="shared" si="145"/>
        <v>63855842.730000004</v>
      </c>
    </row>
    <row r="404" spans="1:32" ht="12.75" thickBot="1">
      <c r="A404" s="17">
        <v>15</v>
      </c>
      <c r="B404" s="17">
        <v>9215</v>
      </c>
      <c r="C404" s="18" t="s">
        <v>748</v>
      </c>
      <c r="D404" s="93"/>
      <c r="E404" s="19">
        <v>3329</v>
      </c>
      <c r="F404" s="19">
        <v>1</v>
      </c>
      <c r="G404" s="19"/>
      <c r="H404" s="19">
        <v>18</v>
      </c>
      <c r="I404" s="19">
        <v>1</v>
      </c>
      <c r="J404" s="19">
        <v>1</v>
      </c>
      <c r="K404" s="19">
        <f t="shared" si="131"/>
        <v>3350</v>
      </c>
      <c r="L404" s="19">
        <f t="shared" si="132"/>
        <v>2412</v>
      </c>
      <c r="M404" s="19"/>
      <c r="N404" s="19">
        <v>72</v>
      </c>
      <c r="O404" s="19">
        <v>112</v>
      </c>
      <c r="P404" s="19">
        <v>1</v>
      </c>
      <c r="Q404" s="19">
        <v>794</v>
      </c>
      <c r="R404" s="19">
        <f t="shared" si="133"/>
        <v>979</v>
      </c>
      <c r="S404" s="19">
        <f t="shared" si="134"/>
        <v>1140.79</v>
      </c>
      <c r="T404" s="19">
        <v>1</v>
      </c>
      <c r="U404" s="19">
        <v>16</v>
      </c>
      <c r="V404" s="19">
        <v>18</v>
      </c>
      <c r="W404" s="19">
        <v>2</v>
      </c>
      <c r="X404" s="19">
        <v>431</v>
      </c>
      <c r="Y404" s="19">
        <f t="shared" si="135"/>
        <v>468</v>
      </c>
      <c r="Z404" s="19">
        <f t="shared" si="136"/>
        <v>1257.6600000000001</v>
      </c>
      <c r="AA404" s="19">
        <f t="shared" si="137"/>
        <v>4797</v>
      </c>
      <c r="AB404" s="57">
        <f t="shared" si="137"/>
        <v>4810.45</v>
      </c>
      <c r="AC404" s="58"/>
      <c r="AD404" s="59">
        <f>SUM(AD338:AD372)</f>
        <v>28260503</v>
      </c>
      <c r="AE404" s="59">
        <f t="shared" ref="AE404:AF404" si="146">SUM(AE338:AE372)</f>
        <v>28337754.740000002</v>
      </c>
      <c r="AF404" s="60">
        <f t="shared" si="146"/>
        <v>56598257.739999987</v>
      </c>
    </row>
    <row r="405" spans="1:32" ht="12" thickBot="1"/>
    <row r="406" spans="1:32" ht="12.75" thickBot="1">
      <c r="A406" s="34">
        <v>20</v>
      </c>
      <c r="B406" s="35">
        <v>9900</v>
      </c>
      <c r="C406" s="36" t="s">
        <v>749</v>
      </c>
      <c r="D406" s="51"/>
      <c r="E406" s="37">
        <f>SUM(E396:E405)</f>
        <v>36733</v>
      </c>
      <c r="F406" s="38">
        <f t="shared" ref="F406:AB406" si="147">SUM(F396:F405)</f>
        <v>79</v>
      </c>
      <c r="G406" s="38">
        <f t="shared" si="147"/>
        <v>0</v>
      </c>
      <c r="H406" s="38">
        <f t="shared" si="147"/>
        <v>33</v>
      </c>
      <c r="I406" s="38">
        <f t="shared" si="147"/>
        <v>1</v>
      </c>
      <c r="J406" s="38">
        <f t="shared" si="147"/>
        <v>1</v>
      </c>
      <c r="K406" s="38">
        <f t="shared" si="147"/>
        <v>36847</v>
      </c>
      <c r="L406" s="38">
        <f t="shared" si="147"/>
        <v>26529.84</v>
      </c>
      <c r="M406" s="38">
        <f t="shared" si="147"/>
        <v>42</v>
      </c>
      <c r="N406" s="38">
        <f t="shared" si="147"/>
        <v>1142</v>
      </c>
      <c r="O406" s="38">
        <f t="shared" si="147"/>
        <v>1687</v>
      </c>
      <c r="P406" s="38">
        <f t="shared" si="147"/>
        <v>13</v>
      </c>
      <c r="Q406" s="38">
        <f t="shared" si="147"/>
        <v>12733</v>
      </c>
      <c r="R406" s="38">
        <f t="shared" si="147"/>
        <v>15617</v>
      </c>
      <c r="S406" s="38">
        <f t="shared" si="147"/>
        <v>18203.57</v>
      </c>
      <c r="T406" s="38">
        <f t="shared" si="147"/>
        <v>42</v>
      </c>
      <c r="U406" s="38">
        <f t="shared" si="147"/>
        <v>272</v>
      </c>
      <c r="V406" s="38">
        <f t="shared" si="147"/>
        <v>436</v>
      </c>
      <c r="W406" s="38">
        <f t="shared" si="147"/>
        <v>13</v>
      </c>
      <c r="X406" s="38">
        <f t="shared" si="147"/>
        <v>6996</v>
      </c>
      <c r="Y406" s="38">
        <f t="shared" si="147"/>
        <v>7759</v>
      </c>
      <c r="Z406" s="38">
        <f t="shared" si="147"/>
        <v>20869.21</v>
      </c>
      <c r="AA406" s="38">
        <f t="shared" si="147"/>
        <v>60223</v>
      </c>
      <c r="AB406" s="38">
        <f t="shared" si="147"/>
        <v>65602.62</v>
      </c>
      <c r="AC406" s="48"/>
      <c r="AD406" s="47">
        <f>SUM(AD396:AD404)</f>
        <v>355795252</v>
      </c>
      <c r="AE406" s="47">
        <f t="shared" ref="AE406:AF406" si="148">SUM(AE396:AE404)</f>
        <v>387589528.81000006</v>
      </c>
      <c r="AF406" s="47">
        <f t="shared" si="148"/>
        <v>743384780.80999994</v>
      </c>
    </row>
  </sheetData>
  <sortState ref="AR287:AV333">
    <sortCondition ref="AR287:AR333"/>
  </sortState>
  <printOptions horizontalCentered="1" verticalCentered="1"/>
  <pageMargins left="0.25" right="0.25" top="0.75" bottom="0.75" header="0.5" footer="0.5"/>
  <pageSetup scale="75" orientation="landscape" r:id="rId1"/>
  <headerFooter>
    <oddHeader>&amp;LSpecial Ed Receipts &amp;CEstimates for 11-12&amp;RESTIMATES USE 10-11 DCPP; 0% ALLOWABLE GROWTH</oddHeader>
    <oddFooter>&amp;L&amp;F&amp;C&amp;A&amp;R3-31-11</oddFooter>
  </headerFooter>
  <rowBreaks count="8" manualBreakCount="8">
    <brk id="30" max="31" man="1"/>
    <brk id="91" max="31" man="1"/>
    <brk id="138" max="31" man="1"/>
    <brk id="161" max="31" man="1"/>
    <brk id="194" max="31" man="1"/>
    <brk id="249" max="31" man="1"/>
    <brk id="286" max="31" man="1"/>
    <brk id="337" max="3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Oct10 Final Sped Enr.</vt:lpstr>
      <vt:lpstr>Sheet2</vt:lpstr>
      <vt:lpstr>Sheet3</vt:lpstr>
      <vt:lpstr>'Oct10 Final Sped Enr.'!Print_Area</vt:lpstr>
      <vt:lpstr>'Oct10 Final Sped Enr.'!Print_Titles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jcarmer</cp:lastModifiedBy>
  <cp:lastPrinted>2011-03-31T22:38:50Z</cp:lastPrinted>
  <dcterms:created xsi:type="dcterms:W3CDTF">2010-12-08T17:14:32Z</dcterms:created>
  <dcterms:modified xsi:type="dcterms:W3CDTF">2011-04-14T18:36:39Z</dcterms:modified>
</cp:coreProperties>
</file>