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16395" windowHeight="10740"/>
  </bookViews>
  <sheets>
    <sheet name="Rendimiento 1981-2011" sheetId="1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AG38" i="1"/>
  <c r="AF38"/>
  <c r="AE38"/>
  <c r="AD38"/>
  <c r="AC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G37"/>
  <c r="AF37"/>
  <c r="AE37"/>
  <c r="AD37"/>
  <c r="AC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</calcChain>
</file>

<file path=xl/comments1.xml><?xml version="1.0" encoding="utf-8"?>
<comments xmlns="http://schemas.openxmlformats.org/spreadsheetml/2006/main">
  <authors>
    <author>Ana Alejandra Aquino</author>
  </authors>
  <commentList>
    <comment ref="P6" authorId="0">
      <text>
        <r>
          <rPr>
            <sz val="8"/>
            <color indexed="81"/>
            <rFont val="Tahoma"/>
            <family val="2"/>
          </rPr>
          <t xml:space="preserve">
Web del BC/ Sec. MyF / Tasas Activas y Pasivas US$</t>
        </r>
      </text>
    </comment>
    <comment ref="V6" authorId="0">
      <text>
        <r>
          <rPr>
            <sz val="8"/>
            <color indexed="81"/>
            <rFont val="Tahoma"/>
            <family val="2"/>
          </rPr>
          <t>Suma de depósitos comerciales sector público y sector privado</t>
        </r>
      </text>
    </comment>
  </commentList>
</comments>
</file>

<file path=xl/sharedStrings.xml><?xml version="1.0" encoding="utf-8"?>
<sst xmlns="http://schemas.openxmlformats.org/spreadsheetml/2006/main" count="147" uniqueCount="43">
  <si>
    <t>Años</t>
  </si>
  <si>
    <t>Arroz</t>
  </si>
  <si>
    <t>Maíz</t>
  </si>
  <si>
    <t>Sorgo</t>
  </si>
  <si>
    <t xml:space="preserve"> Caña de azúcar</t>
  </si>
  <si>
    <t>Tabaco</t>
  </si>
  <si>
    <t>Café</t>
  </si>
  <si>
    <t>Cacao (grano)</t>
  </si>
  <si>
    <t>Maní</t>
  </si>
  <si>
    <t>Coco seco</t>
  </si>
  <si>
    <t>Habichuela roja</t>
  </si>
  <si>
    <t>Habichuela negra</t>
  </si>
  <si>
    <t>Habichuela blanca</t>
  </si>
  <si>
    <t>Guandul</t>
  </si>
  <si>
    <t>Papa</t>
  </si>
  <si>
    <t>Batata</t>
  </si>
  <si>
    <t>Yuca</t>
  </si>
  <si>
    <t>Ñame</t>
  </si>
  <si>
    <t>Yautía</t>
  </si>
  <si>
    <t>Guineo</t>
  </si>
  <si>
    <t>Pátano</t>
  </si>
  <si>
    <t>Cebolla</t>
  </si>
  <si>
    <t>Ajo</t>
  </si>
  <si>
    <t>Tomate de ensalada</t>
  </si>
  <si>
    <t>Auyama</t>
  </si>
  <si>
    <t>Ajíes</t>
  </si>
  <si>
    <t>Berenjena</t>
  </si>
  <si>
    <t>Tomate industrial</t>
  </si>
  <si>
    <t>Aguacate</t>
  </si>
  <si>
    <t>Lechosa</t>
  </si>
  <si>
    <t xml:space="preserve"> Piña</t>
  </si>
  <si>
    <t>Naranja dulce</t>
  </si>
  <si>
    <t>Chinola</t>
  </si>
  <si>
    <t>Cuadro 3.1-014</t>
  </si>
  <si>
    <t>Nota: Una tonelada métrica es equivalente a 22.046 quintales, una hectárea es equivalente a 15.9 tareas.</t>
  </si>
  <si>
    <t>(….) Información no disponible.</t>
  </si>
  <si>
    <t>(Has.): Hectáreas</t>
  </si>
  <si>
    <t>(T.M.): Toneladas Métricas</t>
  </si>
  <si>
    <t>(QQ). Quintales</t>
  </si>
  <si>
    <t>…</t>
  </si>
  <si>
    <t xml:space="preserve">Fuente: Ministerio de  Agricultura. </t>
  </si>
  <si>
    <t>REPÚBLICA DOMINICANA: Rendimientos de los principales cultivos agrícolas, según año, 1981-2011</t>
  </si>
  <si>
    <t>(En tm/has)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</si>
</sst>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m\-d\-yy"/>
    <numFmt numFmtId="166" formatCode="&quot;$&quot;#,##0_);[Red]\(&quot;$&quot;#,##0\)"/>
    <numFmt numFmtId="167" formatCode="_-[$€-2]* #,##0.00_-;\-[$€-2]* #,##0.00_-;_-[$€-2]* &quot;-&quot;??_-"/>
    <numFmt numFmtId="168" formatCode="_-* #,##0.0_-;\-* #,##0.0_-;_-* &quot;-&quot;_-;_-@_-"/>
    <numFmt numFmtId="169" formatCode="_-* #,##0\ _P_t_s_-;\-* #,##0\ _P_t_s_-;_-* &quot;-&quot;\ _P_t_s_-;_-@_-"/>
    <numFmt numFmtId="170" formatCode="0.00_)"/>
  </numFmts>
  <fonts count="35">
    <font>
      <sz val="10"/>
      <name val="Arial"/>
    </font>
    <font>
      <sz val="10"/>
      <name val="Arial"/>
      <family val="2"/>
    </font>
    <font>
      <sz val="8"/>
      <name val="Franklin Gothic Book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1"/>
      <name val="??"/>
      <family val="3"/>
      <charset val="129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8"/>
      <name val="Franklin Gothic Demi"/>
      <family val="2"/>
    </font>
    <font>
      <sz val="7"/>
      <name val="Franklin Gothic Book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165" fontId="7" fillId="20" borderId="1">
      <alignment horizontal="center" vertical="center"/>
    </xf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1" fillId="22" borderId="3" applyNumberFormat="0" applyAlignment="0" applyProtection="0"/>
    <xf numFmtId="0" fontId="12" fillId="0" borderId="4" applyNumberFormat="0" applyFill="0" applyAlignment="0" applyProtection="0"/>
    <xf numFmtId="0" fontId="11" fillId="22" borderId="3" applyNumberFormat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0" borderId="0" applyNumberFormat="0" applyFill="0" applyBorder="0" applyProtection="0">
      <alignment vertical="center"/>
    </xf>
    <xf numFmtId="166" fontId="15" fillId="0" borderId="0">
      <protection locked="0"/>
    </xf>
    <xf numFmtId="0" fontId="16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7" fillId="7" borderId="2" applyNumberFormat="0" applyAlignment="0" applyProtection="0"/>
    <xf numFmtId="0" fontId="5" fillId="23" borderId="5">
      <alignment horizontal="center" textRotation="44"/>
    </xf>
    <xf numFmtId="167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8" fontId="1" fillId="0" borderId="0">
      <protection locked="0"/>
    </xf>
    <xf numFmtId="0" fontId="9" fillId="4" borderId="0" applyNumberFormat="0" applyBorder="0" applyAlignment="0" applyProtection="0"/>
    <xf numFmtId="38" fontId="19" fillId="24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169" fontId="1" fillId="0" borderId="0">
      <protection locked="0"/>
    </xf>
    <xf numFmtId="169" fontId="1" fillId="0" borderId="0">
      <protection locked="0"/>
    </xf>
    <xf numFmtId="0" fontId="23" fillId="0" borderId="9" applyNumberFormat="0" applyFill="0" applyAlignment="0" applyProtection="0"/>
    <xf numFmtId="0" fontId="8" fillId="3" borderId="0" applyNumberFormat="0" applyBorder="0" applyAlignment="0" applyProtection="0"/>
    <xf numFmtId="0" fontId="17" fillId="7" borderId="2" applyNumberFormat="0" applyAlignment="0" applyProtection="0"/>
    <xf numFmtId="10" fontId="19" fillId="25" borderId="10" applyNumberFormat="0" applyBorder="0" applyAlignment="0" applyProtection="0"/>
    <xf numFmtId="0" fontId="12" fillId="0" borderId="4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26" borderId="0" applyNumberFormat="0" applyBorder="0" applyAlignment="0" applyProtection="0"/>
    <xf numFmtId="37" fontId="25" fillId="0" borderId="0"/>
    <xf numFmtId="170" fontId="26" fillId="0" borderId="0"/>
    <xf numFmtId="0" fontId="13" fillId="0" borderId="0"/>
    <xf numFmtId="0" fontId="1" fillId="0" borderId="0"/>
    <xf numFmtId="0" fontId="5" fillId="27" borderId="11" applyNumberFormat="0" applyFont="0" applyAlignment="0" applyProtection="0"/>
    <xf numFmtId="0" fontId="1" fillId="27" borderId="11" applyNumberFormat="0" applyFont="0" applyAlignment="0" applyProtection="0"/>
    <xf numFmtId="0" fontId="27" fillId="21" borderId="12" applyNumberFormat="0" applyAlignment="0" applyProtection="0"/>
    <xf numFmtId="10" fontId="1" fillId="0" borderId="0" applyFont="0" applyFill="0" applyBorder="0" applyAlignment="0" applyProtection="0"/>
    <xf numFmtId="0" fontId="28" fillId="28" borderId="13" applyNumberFormat="0" applyFont="0" applyBorder="0" applyAlignment="0">
      <alignment horizontal="left" wrapText="1"/>
    </xf>
    <xf numFmtId="0" fontId="27" fillId="21" borderId="12" applyNumberFormat="0" applyAlignment="0" applyProtection="0"/>
    <xf numFmtId="0" fontId="2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16" fillId="0" borderId="8" applyNumberFormat="0" applyFill="0" applyAlignment="0" applyProtection="0"/>
    <xf numFmtId="0" fontId="31" fillId="0" borderId="14" applyNumberFormat="0" applyFill="0" applyAlignment="0" applyProtection="0"/>
    <xf numFmtId="37" fontId="19" fillId="29" borderId="0" applyNumberFormat="0" applyBorder="0" applyAlignment="0" applyProtection="0"/>
    <xf numFmtId="37" fontId="4" fillId="0" borderId="0"/>
    <xf numFmtId="3" fontId="32" fillId="0" borderId="9" applyProtection="0"/>
    <xf numFmtId="0" fontId="29" fillId="0" borderId="0" applyNumberFormat="0" applyFill="0" applyBorder="0" applyAlignment="0" applyProtection="0"/>
  </cellStyleXfs>
  <cellXfs count="22">
    <xf numFmtId="0" fontId="0" fillId="0" borderId="0" xfId="0"/>
    <xf numFmtId="0" fontId="2" fillId="30" borderId="0" xfId="0" applyFont="1" applyFill="1"/>
    <xf numFmtId="0" fontId="2" fillId="30" borderId="0" xfId="0" applyFont="1" applyFill="1" applyAlignment="1">
      <alignment horizontal="center"/>
    </xf>
    <xf numFmtId="0" fontId="33" fillId="30" borderId="0" xfId="0" applyFont="1" applyFill="1"/>
    <xf numFmtId="164" fontId="2" fillId="30" borderId="0" xfId="87" applyFont="1" applyFill="1" applyBorder="1" applyAlignment="1">
      <alignment horizontal="center" vertical="center" wrapText="1"/>
    </xf>
    <xf numFmtId="164" fontId="2" fillId="30" borderId="0" xfId="87" applyFont="1" applyFill="1" applyBorder="1"/>
    <xf numFmtId="164" fontId="2" fillId="30" borderId="0" xfId="87" applyFont="1" applyFill="1" applyBorder="1" applyAlignment="1">
      <alignment horizontal="right"/>
    </xf>
    <xf numFmtId="0" fontId="2" fillId="30" borderId="0" xfId="0" applyFont="1" applyFill="1" applyBorder="1"/>
    <xf numFmtId="164" fontId="2" fillId="30" borderId="15" xfId="87" applyFont="1" applyFill="1" applyBorder="1" applyAlignment="1">
      <alignment horizontal="center" vertical="center" wrapText="1"/>
    </xf>
    <xf numFmtId="0" fontId="34" fillId="30" borderId="0" xfId="0" applyFont="1" applyFill="1" applyBorder="1" applyAlignment="1"/>
    <xf numFmtId="0" fontId="2" fillId="30" borderId="0" xfId="0" applyFont="1" applyFill="1" applyAlignment="1">
      <alignment horizontal="right"/>
    </xf>
    <xf numFmtId="0" fontId="2" fillId="30" borderId="0" xfId="0" applyFont="1" applyFill="1" applyBorder="1" applyAlignment="1">
      <alignment horizontal="right"/>
    </xf>
    <xf numFmtId="3" fontId="34" fillId="30" borderId="0" xfId="0" applyNumberFormat="1" applyFont="1" applyFill="1" applyBorder="1" applyAlignment="1"/>
    <xf numFmtId="0" fontId="33" fillId="30" borderId="0" xfId="0" applyFont="1" applyFill="1" applyBorder="1" applyAlignment="1">
      <alignment horizontal="center" vertical="center" wrapText="1"/>
    </xf>
    <xf numFmtId="1" fontId="2" fillId="30" borderId="0" xfId="0" applyNumberFormat="1" applyFont="1" applyFill="1" applyBorder="1" applyAlignment="1">
      <alignment horizontal="left" indent="1"/>
    </xf>
    <xf numFmtId="164" fontId="2" fillId="30" borderId="0" xfId="87" applyFont="1" applyFill="1" applyBorder="1" applyAlignment="1"/>
    <xf numFmtId="0" fontId="33" fillId="30" borderId="0" xfId="0" applyFont="1" applyFill="1" applyBorder="1" applyAlignment="1">
      <alignment horizontal="left" vertical="center" wrapText="1" indent="1"/>
    </xf>
    <xf numFmtId="1" fontId="2" fillId="30" borderId="15" xfId="0" applyNumberFormat="1" applyFont="1" applyFill="1" applyBorder="1" applyAlignment="1">
      <alignment horizontal="left" indent="1"/>
    </xf>
    <xf numFmtId="0" fontId="33" fillId="30" borderId="0" xfId="0" applyFont="1" applyFill="1" applyAlignment="1">
      <alignment horizontal="center"/>
    </xf>
    <xf numFmtId="0" fontId="2" fillId="30" borderId="0" xfId="0" applyFont="1" applyFill="1" applyBorder="1" applyAlignment="1">
      <alignment horizontal="center"/>
    </xf>
    <xf numFmtId="0" fontId="33" fillId="30" borderId="16" xfId="0" applyFont="1" applyFill="1" applyBorder="1" applyAlignment="1">
      <alignment horizontal="left" vertical="center" wrapText="1" indent="1"/>
    </xf>
    <xf numFmtId="0" fontId="33" fillId="30" borderId="16" xfId="0" applyFont="1" applyFill="1" applyBorder="1" applyAlignment="1">
      <alignment horizontal="center" vertical="center" wrapText="1"/>
    </xf>
  </cellXfs>
  <cellStyles count="11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Actual Date" xfId="43"/>
    <cellStyle name="Bad" xfId="44"/>
    <cellStyle name="Buena" xfId="45" builtinId="26" customBuiltin="1"/>
    <cellStyle name="Calculation" xfId="46"/>
    <cellStyle name="Cálculo" xfId="47" builtinId="22" customBuiltin="1"/>
    <cellStyle name="Celda de comprobación" xfId="48" builtinId="23" customBuiltin="1"/>
    <cellStyle name="Celda vinculada" xfId="49" builtinId="24" customBuiltin="1"/>
    <cellStyle name="Check Cell" xfId="50"/>
    <cellStyle name="Comma 10" xfId="51"/>
    <cellStyle name="Comma 11" xfId="52"/>
    <cellStyle name="Comma 12" xfId="53"/>
    <cellStyle name="Comma 13" xfId="54"/>
    <cellStyle name="Comma 14" xfId="55"/>
    <cellStyle name="Comma 15" xfId="56"/>
    <cellStyle name="Comma 2" xfId="57"/>
    <cellStyle name="Comma 8" xfId="58"/>
    <cellStyle name="Comma_331-11 98-99" xfId="59"/>
    <cellStyle name="Date" xfId="60"/>
    <cellStyle name="Encabezado 4" xfId="61" builtinId="19" customBuiltin="1"/>
    <cellStyle name="Énfasis1" xfId="62" builtinId="29" customBuiltin="1"/>
    <cellStyle name="Énfasis2" xfId="63" builtinId="33" customBuiltin="1"/>
    <cellStyle name="Énfasis3" xfId="64" builtinId="37" customBuiltin="1"/>
    <cellStyle name="Énfasis4" xfId="65" builtinId="41" customBuiltin="1"/>
    <cellStyle name="Énfasis5" xfId="66" builtinId="45" customBuiltin="1"/>
    <cellStyle name="Énfasis6" xfId="67" builtinId="49" customBuiltin="1"/>
    <cellStyle name="Entrada" xfId="68" builtinId="20" customBuiltin="1"/>
    <cellStyle name="Estilo 1" xfId="69"/>
    <cellStyle name="Euro" xfId="70"/>
    <cellStyle name="Explanatory Text" xfId="71"/>
    <cellStyle name="Fixed" xfId="72"/>
    <cellStyle name="Good" xfId="73"/>
    <cellStyle name="Grey" xfId="74"/>
    <cellStyle name="HEADER" xfId="75"/>
    <cellStyle name="Heading 1" xfId="76"/>
    <cellStyle name="Heading 2" xfId="77"/>
    <cellStyle name="Heading 3" xfId="78"/>
    <cellStyle name="Heading 4" xfId="79"/>
    <cellStyle name="Heading1" xfId="80"/>
    <cellStyle name="Heading2" xfId="81"/>
    <cellStyle name="HIGHLIGHT" xfId="82"/>
    <cellStyle name="Incorrecto" xfId="83" builtinId="27" customBuiltin="1"/>
    <cellStyle name="Input" xfId="84"/>
    <cellStyle name="Input [yellow]" xfId="85"/>
    <cellStyle name="Linked Cell" xfId="86"/>
    <cellStyle name="Millares" xfId="87" builtinId="3"/>
    <cellStyle name="Millares 2" xfId="88"/>
    <cellStyle name="Neutral" xfId="89" builtinId="28" customBuiltin="1"/>
    <cellStyle name="no dec" xfId="90"/>
    <cellStyle name="Normal" xfId="0" builtinId="0"/>
    <cellStyle name="Normal - Style1" xfId="91"/>
    <cellStyle name="Normal 2" xfId="92"/>
    <cellStyle name="Normal 3" xfId="93"/>
    <cellStyle name="Notas" xfId="94" builtinId="10" customBuiltin="1"/>
    <cellStyle name="Note" xfId="95"/>
    <cellStyle name="Output" xfId="96"/>
    <cellStyle name="Percent [2]" xfId="97"/>
    <cellStyle name="s" xfId="98"/>
    <cellStyle name="Salida" xfId="99" builtinId="21" customBuiltin="1"/>
    <cellStyle name="Texto de advertencia" xfId="100" builtinId="11" customBuiltin="1"/>
    <cellStyle name="Texto explicativo" xfId="101" builtinId="53" customBuiltin="1"/>
    <cellStyle name="Title" xfId="102"/>
    <cellStyle name="Título" xfId="103" builtinId="15" customBuiltin="1"/>
    <cellStyle name="Título 1" xfId="104" builtinId="16" customBuiltin="1"/>
    <cellStyle name="Título 2" xfId="105" builtinId="17" customBuiltin="1"/>
    <cellStyle name="Título 3" xfId="106" builtinId="18" customBuiltin="1"/>
    <cellStyle name="Total" xfId="107" builtinId="25" customBuiltin="1"/>
    <cellStyle name="Unprot" xfId="108"/>
    <cellStyle name="Unprot$" xfId="109"/>
    <cellStyle name="Unprotect" xfId="110"/>
    <cellStyle name="Warning Text" xfId="1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390525</xdr:colOff>
      <xdr:row>42</xdr:row>
      <xdr:rowOff>133350</xdr:rowOff>
    </xdr:from>
    <xdr:to>
      <xdr:col>32</xdr:col>
      <xdr:colOff>742950</xdr:colOff>
      <xdr:row>43</xdr:row>
      <xdr:rowOff>114300</xdr:rowOff>
    </xdr:to>
    <xdr:pic>
      <xdr:nvPicPr>
        <xdr:cNvPr id="1039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040725" y="7000875"/>
          <a:ext cx="19050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57150</xdr:colOff>
      <xdr:row>0</xdr:row>
      <xdr:rowOff>142875</xdr:rowOff>
    </xdr:from>
    <xdr:to>
      <xdr:col>32</xdr:col>
      <xdr:colOff>695325</xdr:colOff>
      <xdr:row>2</xdr:row>
      <xdr:rowOff>114300</xdr:rowOff>
    </xdr:to>
    <xdr:pic>
      <xdr:nvPicPr>
        <xdr:cNvPr id="1040" name="Picture 6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259925" y="142875"/>
          <a:ext cx="6381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36">
          <cell r="B36">
            <v>506032.38682754245</v>
          </cell>
          <cell r="C36">
            <v>27536.514560464486</v>
          </cell>
          <cell r="D36">
            <v>576.06822099247029</v>
          </cell>
          <cell r="E36">
            <v>4879570</v>
          </cell>
          <cell r="F36">
            <v>9053.5244488796161</v>
          </cell>
          <cell r="G36">
            <v>35582.418579334124</v>
          </cell>
          <cell r="H36">
            <v>45291</v>
          </cell>
          <cell r="I36">
            <v>2453.7784632132816</v>
          </cell>
          <cell r="J36">
            <v>6306.6769481992196</v>
          </cell>
          <cell r="K36">
            <v>16150.276694184886</v>
          </cell>
          <cell r="L36">
            <v>4928.1955910369234</v>
          </cell>
          <cell r="M36">
            <v>179.39762315159214</v>
          </cell>
          <cell r="N36">
            <v>17983.307629501953</v>
          </cell>
          <cell r="O36">
            <v>34125.601016057335</v>
          </cell>
          <cell r="P36">
            <v>38264.809942846776</v>
          </cell>
          <cell r="Q36">
            <v>106291.11857026219</v>
          </cell>
          <cell r="R36">
            <v>28919.577247573256</v>
          </cell>
          <cell r="S36">
            <v>24364.193050893587</v>
          </cell>
          <cell r="T36">
            <v>446561.11494148598</v>
          </cell>
          <cell r="U36">
            <v>351975.705343373</v>
          </cell>
          <cell r="V36">
            <v>51163.748525809671</v>
          </cell>
          <cell r="W36">
            <v>2588.0431824367233</v>
          </cell>
          <cell r="X36">
            <v>10559.738728113944</v>
          </cell>
          <cell r="Y36">
            <v>40971.196588950377</v>
          </cell>
          <cell r="Z36">
            <v>32893.903655992021</v>
          </cell>
          <cell r="AA36">
            <v>23547.536968157488</v>
          </cell>
          <cell r="AB36">
            <v>193509.88841513201</v>
          </cell>
          <cell r="AC36">
            <v>188139.34500589676</v>
          </cell>
          <cell r="AD36">
            <v>259046.99265172821</v>
          </cell>
          <cell r="AE36">
            <v>105724.39444797243</v>
          </cell>
          <cell r="AF36">
            <v>108278.37249387645</v>
          </cell>
          <cell r="AG36">
            <v>20475.59648008709</v>
          </cell>
        </row>
        <row r="37">
          <cell r="B37">
            <v>551365.46312256192</v>
          </cell>
          <cell r="C37">
            <v>35036.605279869364</v>
          </cell>
          <cell r="D37">
            <v>794.65662705252657</v>
          </cell>
          <cell r="E37">
            <v>4621275</v>
          </cell>
          <cell r="F37">
            <v>11800.235870452691</v>
          </cell>
          <cell r="G37">
            <v>37950.195046720495</v>
          </cell>
          <cell r="H37">
            <v>54994.44</v>
          </cell>
          <cell r="I37">
            <v>3916.8103057243948</v>
          </cell>
          <cell r="J37">
            <v>5434.2737911639297</v>
          </cell>
          <cell r="K37">
            <v>21295.699900208656</v>
          </cell>
          <cell r="L37">
            <v>9065.0911730019052</v>
          </cell>
          <cell r="M37">
            <v>242.44760954368141</v>
          </cell>
          <cell r="N37">
            <v>26305.633675043093</v>
          </cell>
          <cell r="O37">
            <v>43480.132450331126</v>
          </cell>
          <cell r="P37">
            <v>47146.693277692102</v>
          </cell>
          <cell r="Q37">
            <v>165687.92524721037</v>
          </cell>
          <cell r="R37">
            <v>27506.940034473373</v>
          </cell>
          <cell r="S37">
            <v>29028.123015513018</v>
          </cell>
          <cell r="T37">
            <v>589588.78345278057</v>
          </cell>
          <cell r="U37">
            <v>517270.17599564552</v>
          </cell>
          <cell r="V37">
            <v>47323.323958994828</v>
          </cell>
          <cell r="W37">
            <v>1147.7365508482264</v>
          </cell>
          <cell r="X37">
            <v>13415.177356436543</v>
          </cell>
          <cell r="Y37">
            <v>42067.585956636125</v>
          </cell>
          <cell r="Z37">
            <v>37831.307266624332</v>
          </cell>
          <cell r="AA37">
            <v>27237.458042275244</v>
          </cell>
          <cell r="AC37">
            <v>184357.2530164202</v>
          </cell>
          <cell r="AD37">
            <v>681325.41050530714</v>
          </cell>
          <cell r="AE37">
            <v>127184.06967250296</v>
          </cell>
          <cell r="AF37">
            <v>128796.83389276966</v>
          </cell>
          <cell r="AG37">
            <v>23747.391817109681</v>
          </cell>
        </row>
        <row r="38">
          <cell r="B38">
            <v>595934.31915086636</v>
          </cell>
          <cell r="C38">
            <v>36657.942483897306</v>
          </cell>
          <cell r="D38">
            <v>1406.0600562460311</v>
          </cell>
          <cell r="E38">
            <v>4577122</v>
          </cell>
          <cell r="F38">
            <v>8066.2251655629143</v>
          </cell>
          <cell r="G38">
            <v>21875.599999999999</v>
          </cell>
          <cell r="H38">
            <v>58334</v>
          </cell>
          <cell r="I38">
            <v>3830.0825546584415</v>
          </cell>
          <cell r="J38">
            <v>8558.01505942121</v>
          </cell>
          <cell r="K38">
            <v>20908.963077202214</v>
          </cell>
          <cell r="L38">
            <v>11697.496144425293</v>
          </cell>
          <cell r="M38">
            <v>388.09761407965163</v>
          </cell>
          <cell r="N38">
            <v>25069.899301460584</v>
          </cell>
          <cell r="O38">
            <v>51378.889594484259</v>
          </cell>
          <cell r="P38">
            <v>53626.372130998825</v>
          </cell>
          <cell r="Q38">
            <v>211105.0984305543</v>
          </cell>
          <cell r="R38">
            <v>27703.43826544498</v>
          </cell>
          <cell r="S38">
            <v>30273.791163929964</v>
          </cell>
          <cell r="T38">
            <v>735044.63939036557</v>
          </cell>
          <cell r="U38">
            <v>491508.32350539783</v>
          </cell>
          <cell r="V38">
            <v>48386.37394538692</v>
          </cell>
          <cell r="W38">
            <v>2000.5443164292842</v>
          </cell>
          <cell r="X38">
            <v>13965.662705252655</v>
          </cell>
          <cell r="Y38">
            <v>40612.900299374036</v>
          </cell>
          <cell r="Z38">
            <v>37182.346003810213</v>
          </cell>
          <cell r="AA38">
            <v>23407.148689104601</v>
          </cell>
          <cell r="AC38">
            <v>288683.66143518098</v>
          </cell>
          <cell r="AD38">
            <v>908461.85249024769</v>
          </cell>
          <cell r="AE38">
            <v>157423.1153043636</v>
          </cell>
          <cell r="AF38">
            <v>138033.65689921073</v>
          </cell>
          <cell r="AG38">
            <v>38981.674680214099</v>
          </cell>
        </row>
      </sheetData>
      <sheetData sheetId="1">
        <row r="36">
          <cell r="B36">
            <v>161287.61006289307</v>
          </cell>
          <cell r="C36">
            <v>18388.80503144654</v>
          </cell>
          <cell r="D36">
            <v>264.90566037735846</v>
          </cell>
          <cell r="E36">
            <v>90940.251572327048</v>
          </cell>
          <cell r="F36">
            <v>7440.7547169811323</v>
          </cell>
          <cell r="G36">
            <v>133341.57232704404</v>
          </cell>
          <cell r="H36">
            <v>153219.18238993711</v>
          </cell>
          <cell r="I36">
            <v>1905.0943396226414</v>
          </cell>
          <cell r="J36">
            <v>86417.169811320753</v>
          </cell>
          <cell r="K36">
            <v>19729.622641509435</v>
          </cell>
          <cell r="L36">
            <v>9627.6729559748419</v>
          </cell>
          <cell r="M36">
            <v>226.35220125786162</v>
          </cell>
          <cell r="N36">
            <v>21995.597484276728</v>
          </cell>
          <cell r="O36">
            <v>1619.8113207547169</v>
          </cell>
          <cell r="P36">
            <v>5034.0251572327043</v>
          </cell>
          <cell r="Q36">
            <v>14056.729559748428</v>
          </cell>
          <cell r="R36">
            <v>3682.4528301886789</v>
          </cell>
          <cell r="S36">
            <v>3930.0628930817611</v>
          </cell>
          <cell r="T36">
            <v>18409.381551362683</v>
          </cell>
          <cell r="U36">
            <v>37062.741090146752</v>
          </cell>
          <cell r="V36">
            <v>3118.4905660377358</v>
          </cell>
          <cell r="W36">
            <v>421.06918238993711</v>
          </cell>
          <cell r="X36">
            <v>940.56603773584902</v>
          </cell>
          <cell r="Y36">
            <v>9263.0188679245275</v>
          </cell>
          <cell r="Z36">
            <v>7370.8176100628925</v>
          </cell>
          <cell r="AA36">
            <v>4005.2830188679245</v>
          </cell>
          <cell r="AB36">
            <v>5712.5786163522007</v>
          </cell>
          <cell r="AC36">
            <v>5831.5094339622638</v>
          </cell>
          <cell r="AD36">
            <v>1738.3438155136269</v>
          </cell>
          <cell r="AE36">
            <v>10117.169811320755</v>
          </cell>
          <cell r="AF36">
            <v>6786.5408805031448</v>
          </cell>
          <cell r="AG36">
            <v>1627.2746331236897</v>
          </cell>
        </row>
        <row r="37">
          <cell r="B37">
            <v>182011.69811320753</v>
          </cell>
          <cell r="C37">
            <v>23925.031446540881</v>
          </cell>
          <cell r="D37">
            <v>410.50314465408803</v>
          </cell>
          <cell r="E37">
            <v>85484.213836477982</v>
          </cell>
          <cell r="F37">
            <v>8042.6415094339618</v>
          </cell>
          <cell r="G37">
            <v>133341.57232704404</v>
          </cell>
          <cell r="H37">
            <v>153219.18238993711</v>
          </cell>
          <cell r="I37">
            <v>3072.2641509433961</v>
          </cell>
          <cell r="J37">
            <v>29686.415094339623</v>
          </cell>
          <cell r="K37">
            <v>20262.641509433961</v>
          </cell>
          <cell r="L37">
            <v>13194.088050314465</v>
          </cell>
          <cell r="M37">
            <v>287.92452830188677</v>
          </cell>
          <cell r="N37">
            <v>24781.572327044025</v>
          </cell>
          <cell r="O37">
            <v>1979.2452830188679</v>
          </cell>
          <cell r="P37">
            <v>6085.7232704402513</v>
          </cell>
          <cell r="Q37">
            <v>21467.232704402515</v>
          </cell>
          <cell r="R37">
            <v>3920.3773584905662</v>
          </cell>
          <cell r="S37">
            <v>4494.8427672955977</v>
          </cell>
          <cell r="T37">
            <v>18062.908805031446</v>
          </cell>
          <cell r="U37">
            <v>41967.557651991614</v>
          </cell>
          <cell r="V37">
            <v>2736.1006289308175</v>
          </cell>
          <cell r="W37">
            <v>199.1823899371069</v>
          </cell>
          <cell r="X37">
            <v>1209.6226415094338</v>
          </cell>
          <cell r="Y37">
            <v>9557.4213836477993</v>
          </cell>
          <cell r="Z37">
            <v>7495.2830188679245</v>
          </cell>
          <cell r="AA37">
            <v>5204.7169811320755</v>
          </cell>
          <cell r="AC37">
            <v>7183.3752620545074</v>
          </cell>
          <cell r="AD37">
            <v>1899.9161425576519</v>
          </cell>
          <cell r="AE37">
            <v>8807.7358490566039</v>
          </cell>
          <cell r="AF37">
            <v>8081.5723270440249</v>
          </cell>
          <cell r="AG37">
            <v>1827.2536687631025</v>
          </cell>
        </row>
        <row r="38">
          <cell r="B38">
            <v>186264.71698113208</v>
          </cell>
          <cell r="C38">
            <v>22241.446540880501</v>
          </cell>
          <cell r="D38">
            <v>679.05660377358492</v>
          </cell>
          <cell r="E38">
            <v>79615.031446540874</v>
          </cell>
          <cell r="F38">
            <v>12578.616352201258</v>
          </cell>
          <cell r="G38">
            <v>133341.57232704404</v>
          </cell>
          <cell r="H38">
            <v>153219.18238993711</v>
          </cell>
          <cell r="I38">
            <v>2678.9937106918237</v>
          </cell>
          <cell r="J38">
            <v>57835.702306079656</v>
          </cell>
          <cell r="K38">
            <v>20678.742138364778</v>
          </cell>
          <cell r="L38">
            <v>15425.849056603773</v>
          </cell>
          <cell r="M38">
            <v>480.75471698113205</v>
          </cell>
          <cell r="N38">
            <v>23461.069182389936</v>
          </cell>
          <cell r="O38">
            <v>2207.2327044025155</v>
          </cell>
          <cell r="P38">
            <v>6628.4905660377353</v>
          </cell>
          <cell r="Q38">
            <v>24808.930817610064</v>
          </cell>
          <cell r="R38">
            <v>3995.2830188679245</v>
          </cell>
          <cell r="S38">
            <v>4558.9937106918242</v>
          </cell>
          <cell r="T38">
            <v>20334.69601677149</v>
          </cell>
          <cell r="U38">
            <v>41929.135220125783</v>
          </cell>
          <cell r="V38">
            <v>2666.4779874213837</v>
          </cell>
          <cell r="W38">
            <v>347.04402515723268</v>
          </cell>
          <cell r="X38">
            <v>985.15723270440253</v>
          </cell>
          <cell r="Y38">
            <v>8573.4591194968543</v>
          </cell>
          <cell r="Z38">
            <v>7142.5157232704405</v>
          </cell>
          <cell r="AA38">
            <v>4822.6415094339618</v>
          </cell>
          <cell r="AC38">
            <v>10557.861635220126</v>
          </cell>
          <cell r="AD38">
            <v>2931.132075471698</v>
          </cell>
          <cell r="AE38">
            <v>8793.3333333333339</v>
          </cell>
          <cell r="AF38">
            <v>8279.7484276729556</v>
          </cell>
          <cell r="AG38">
            <v>2610.7966457023058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G45"/>
  <sheetViews>
    <sheetView tabSelected="1" workbookViewId="0">
      <selection activeCell="E13" sqref="E13"/>
    </sheetView>
  </sheetViews>
  <sheetFormatPr baseColWidth="10" defaultRowHeight="12.75"/>
  <cols>
    <col min="1" max="1" width="9.5703125" style="1" customWidth="1"/>
    <col min="2" max="2" width="10" style="2" customWidth="1"/>
    <col min="3" max="4" width="10" style="1" customWidth="1"/>
    <col min="5" max="5" width="10.42578125" style="1" customWidth="1"/>
    <col min="6" max="6" width="10.140625" style="1" customWidth="1"/>
    <col min="7" max="7" width="9.85546875" style="1" customWidth="1"/>
    <col min="8" max="8" width="10" style="1" customWidth="1"/>
    <col min="9" max="9" width="9.28515625" style="1" customWidth="1"/>
    <col min="10" max="10" width="10" style="1" customWidth="1"/>
    <col min="11" max="13" width="11.42578125" style="1"/>
    <col min="14" max="14" width="10.42578125" style="1" customWidth="1"/>
    <col min="15" max="15" width="9.85546875" style="1" customWidth="1"/>
    <col min="16" max="16" width="9.140625" style="1" customWidth="1"/>
    <col min="17" max="17" width="8.42578125" style="1" customWidth="1"/>
    <col min="18" max="18" width="9.42578125" style="1" customWidth="1"/>
    <col min="19" max="19" width="9.85546875" style="1" customWidth="1"/>
    <col min="20" max="20" width="11.5703125" style="1" customWidth="1"/>
    <col min="21" max="21" width="9.5703125" style="1" customWidth="1"/>
    <col min="22" max="22" width="10" style="1" customWidth="1"/>
    <col min="23" max="23" width="9.5703125" style="1" customWidth="1"/>
    <col min="24" max="24" width="11.42578125" style="1"/>
    <col min="25" max="25" width="9.7109375" style="1" customWidth="1"/>
    <col min="26" max="31" width="11.42578125" style="1"/>
    <col min="32" max="32" width="11.85546875" style="1" customWidth="1"/>
    <col min="33" max="16384" width="11.42578125" style="1"/>
  </cols>
  <sheetData>
    <row r="2" spans="1:33" s="3" customFormat="1">
      <c r="A2" s="18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>
      <c r="A3" s="19" t="s">
        <v>41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>
      <c r="A4" s="19" t="s">
        <v>42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6" spans="1:33" s="3" customFormat="1" ht="29.25" customHeight="1">
      <c r="A6" s="20" t="s">
        <v>0</v>
      </c>
      <c r="B6" s="21" t="s">
        <v>1</v>
      </c>
      <c r="C6" s="21" t="s">
        <v>2</v>
      </c>
      <c r="D6" s="21" t="s">
        <v>3</v>
      </c>
      <c r="E6" s="21" t="s">
        <v>4</v>
      </c>
      <c r="F6" s="21" t="s">
        <v>5</v>
      </c>
      <c r="G6" s="21" t="s">
        <v>6</v>
      </c>
      <c r="H6" s="21" t="s">
        <v>7</v>
      </c>
      <c r="I6" s="21" t="s">
        <v>8</v>
      </c>
      <c r="J6" s="21" t="s">
        <v>9</v>
      </c>
      <c r="K6" s="21" t="s">
        <v>10</v>
      </c>
      <c r="L6" s="21" t="s">
        <v>11</v>
      </c>
      <c r="M6" s="21" t="s">
        <v>12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1" t="s">
        <v>18</v>
      </c>
      <c r="T6" s="21" t="s">
        <v>19</v>
      </c>
      <c r="U6" s="21" t="s">
        <v>20</v>
      </c>
      <c r="V6" s="21" t="s">
        <v>21</v>
      </c>
      <c r="W6" s="21" t="s">
        <v>22</v>
      </c>
      <c r="X6" s="21" t="s">
        <v>23</v>
      </c>
      <c r="Y6" s="21" t="s">
        <v>24</v>
      </c>
      <c r="Z6" s="21" t="s">
        <v>25</v>
      </c>
      <c r="AA6" s="21" t="s">
        <v>26</v>
      </c>
      <c r="AB6" s="21" t="s">
        <v>27</v>
      </c>
      <c r="AC6" s="21" t="s">
        <v>28</v>
      </c>
      <c r="AD6" s="21" t="s">
        <v>29</v>
      </c>
      <c r="AE6" s="21" t="s">
        <v>30</v>
      </c>
      <c r="AF6" s="21" t="s">
        <v>31</v>
      </c>
      <c r="AG6" s="21" t="s">
        <v>32</v>
      </c>
    </row>
    <row r="7" spans="1:33" s="3" customFormat="1" ht="3.75" customHeight="1">
      <c r="A7" s="16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3" ht="12.75" customHeight="1">
      <c r="A8" s="14">
        <v>1981</v>
      </c>
      <c r="B8" s="4">
        <v>2.3203335977658766</v>
      </c>
      <c r="C8" s="15">
        <v>1.386151070982621</v>
      </c>
      <c r="D8" s="5">
        <v>3.1883137158941786</v>
      </c>
      <c r="E8" s="6" t="s">
        <v>39</v>
      </c>
      <c r="F8" s="6" t="s">
        <v>39</v>
      </c>
      <c r="G8" s="6" t="s">
        <v>39</v>
      </c>
      <c r="H8" s="6" t="s">
        <v>39</v>
      </c>
      <c r="I8" s="5">
        <v>0.69470292924627375</v>
      </c>
      <c r="J8" s="6" t="s">
        <v>39</v>
      </c>
      <c r="K8" s="5">
        <v>0.76148802412848704</v>
      </c>
      <c r="L8" s="5">
        <v>0.86504988439433106</v>
      </c>
      <c r="M8" s="5">
        <v>0.67957113366069499</v>
      </c>
      <c r="N8" s="5">
        <v>0.63020636429956678</v>
      </c>
      <c r="O8" s="5">
        <v>7.8309565842043112</v>
      </c>
      <c r="P8" s="5">
        <v>5.5073796890266928</v>
      </c>
      <c r="Q8" s="5">
        <v>5.1830520800953908</v>
      </c>
      <c r="R8" s="5">
        <v>6.1994068920121492</v>
      </c>
      <c r="S8" s="6" t="s">
        <v>39</v>
      </c>
      <c r="T8" s="5">
        <v>6.8007761741167085</v>
      </c>
      <c r="U8" s="5">
        <v>0.14701783018613412</v>
      </c>
      <c r="V8" s="5">
        <v>6.7966643752183993</v>
      </c>
      <c r="W8" s="5">
        <v>4.5096137106981455</v>
      </c>
      <c r="X8" s="5">
        <v>10.146343838652882</v>
      </c>
      <c r="Y8" s="5">
        <v>2.8725865847192553</v>
      </c>
      <c r="Z8" s="5">
        <v>4.3855454014382804</v>
      </c>
      <c r="AA8" s="5">
        <v>5.5886363355396265</v>
      </c>
      <c r="AB8" s="6" t="s">
        <v>39</v>
      </c>
      <c r="AC8" s="6" t="s">
        <v>39</v>
      </c>
      <c r="AD8" s="5">
        <v>10.395156807205769</v>
      </c>
      <c r="AE8" s="5">
        <v>0.49779204537527139</v>
      </c>
      <c r="AF8" s="6" t="s">
        <v>39</v>
      </c>
      <c r="AG8" s="6" t="s">
        <v>39</v>
      </c>
    </row>
    <row r="9" spans="1:33" ht="12.75" customHeight="1">
      <c r="A9" s="14">
        <v>1982</v>
      </c>
      <c r="B9" s="4">
        <v>2.7655467367394078</v>
      </c>
      <c r="C9" s="5">
        <v>1.2988141284115562</v>
      </c>
      <c r="D9" s="5">
        <v>2.3730558965916986</v>
      </c>
      <c r="E9" s="6" t="s">
        <v>39</v>
      </c>
      <c r="F9" s="6" t="s">
        <v>39</v>
      </c>
      <c r="G9" s="6" t="s">
        <v>39</v>
      </c>
      <c r="H9" s="6" t="s">
        <v>39</v>
      </c>
      <c r="I9" s="5">
        <v>0.65665446790913606</v>
      </c>
      <c r="J9" s="5">
        <v>5.5195900286891891E-2</v>
      </c>
      <c r="K9" s="5">
        <v>0.66904617009626566</v>
      </c>
      <c r="L9" s="5">
        <v>0.80394747945778045</v>
      </c>
      <c r="M9" s="5">
        <v>0.57738163173133461</v>
      </c>
      <c r="N9" s="5">
        <v>0.90666354350725142</v>
      </c>
      <c r="O9" s="5">
        <v>10.627626319708957</v>
      </c>
      <c r="P9" s="5">
        <v>4.9970275621712572</v>
      </c>
      <c r="Q9" s="5">
        <v>5.1052457473634769</v>
      </c>
      <c r="R9" s="5">
        <v>5.8266246613894399</v>
      </c>
      <c r="S9" s="5">
        <v>5.6425611073436919</v>
      </c>
      <c r="T9" s="5">
        <v>5.2949512104133936</v>
      </c>
      <c r="U9" s="5">
        <v>0.11587508976397509</v>
      </c>
      <c r="V9" s="5">
        <v>8.530986107153673</v>
      </c>
      <c r="W9" s="5">
        <v>4.7681558942940079</v>
      </c>
      <c r="X9" s="5">
        <v>9.6000861615931612</v>
      </c>
      <c r="Y9" s="5">
        <v>2.7713259507049735</v>
      </c>
      <c r="Z9" s="5">
        <v>4.1492108543881097</v>
      </c>
      <c r="AA9" s="5">
        <v>3.8054291451714191</v>
      </c>
      <c r="AB9" s="6" t="s">
        <v>39</v>
      </c>
      <c r="AC9" s="5">
        <v>8.6399722973914859</v>
      </c>
      <c r="AD9" s="5">
        <v>11.443391567004324</v>
      </c>
      <c r="AE9" s="5">
        <v>0.80134140609460935</v>
      </c>
      <c r="AF9" s="6" t="s">
        <v>39</v>
      </c>
      <c r="AG9" s="6" t="s">
        <v>39</v>
      </c>
    </row>
    <row r="10" spans="1:33" ht="12.75" customHeight="1">
      <c r="A10" s="14">
        <v>1983</v>
      </c>
      <c r="B10" s="4">
        <v>2.7034234878592813</v>
      </c>
      <c r="C10" s="5">
        <v>1.4146661169661818</v>
      </c>
      <c r="D10" s="5">
        <v>2.6568444202266384</v>
      </c>
      <c r="E10" s="6" t="s">
        <v>39</v>
      </c>
      <c r="F10" s="6" t="s">
        <v>39</v>
      </c>
      <c r="G10" s="6" t="s">
        <v>39</v>
      </c>
      <c r="H10" s="6" t="s">
        <v>39</v>
      </c>
      <c r="I10" s="5">
        <v>0.68595636808960347</v>
      </c>
      <c r="J10" s="5">
        <v>6.5751222060249429E-2</v>
      </c>
      <c r="K10" s="5">
        <v>0.70456693064432918</v>
      </c>
      <c r="L10" s="5">
        <v>0.79091043885071433</v>
      </c>
      <c r="M10" s="5">
        <v>0.74235812293646897</v>
      </c>
      <c r="N10" s="5">
        <v>0.70652278649094902</v>
      </c>
      <c r="O10" s="5">
        <v>10.143675714019897</v>
      </c>
      <c r="P10" s="5">
        <v>5.8113224868879234</v>
      </c>
      <c r="Q10" s="5">
        <v>5.5190876817721497</v>
      </c>
      <c r="R10" s="5">
        <v>6.4609583929647458</v>
      </c>
      <c r="S10" s="5">
        <v>5.5860323875128257</v>
      </c>
      <c r="T10" s="5">
        <v>5.6933938735024485</v>
      </c>
      <c r="U10" s="5">
        <v>0.12308935325048416</v>
      </c>
      <c r="V10" s="5">
        <v>7.2847389459328262</v>
      </c>
      <c r="W10" s="5">
        <v>5.6622755595056127</v>
      </c>
      <c r="X10" s="5">
        <v>11.79444321089365</v>
      </c>
      <c r="Y10" s="5">
        <v>3.1621547878419132</v>
      </c>
      <c r="Z10" s="5">
        <v>3.7021319188719213</v>
      </c>
      <c r="AA10" s="5">
        <v>3.3839846025234683</v>
      </c>
      <c r="AB10" s="6" t="s">
        <v>39</v>
      </c>
      <c r="AC10" s="5">
        <v>5.5050865288342061</v>
      </c>
      <c r="AD10" s="5">
        <v>10.747302494820891</v>
      </c>
      <c r="AE10" s="5">
        <v>0.90372890034276154</v>
      </c>
      <c r="AF10" s="6" t="s">
        <v>39</v>
      </c>
      <c r="AG10" s="6" t="s">
        <v>39</v>
      </c>
    </row>
    <row r="11" spans="1:33" ht="12.75" customHeight="1">
      <c r="A11" s="14">
        <v>1984</v>
      </c>
      <c r="B11" s="4">
        <v>2.7471322874911062</v>
      </c>
      <c r="C11" s="5">
        <v>1.6111413751184618</v>
      </c>
      <c r="D11" s="5">
        <v>2.6918116376553809</v>
      </c>
      <c r="E11" s="6" t="s">
        <v>39</v>
      </c>
      <c r="F11" s="6" t="s">
        <v>39</v>
      </c>
      <c r="G11" s="6" t="s">
        <v>39</v>
      </c>
      <c r="H11" s="6" t="s">
        <v>39</v>
      </c>
      <c r="I11" s="5">
        <v>0.78885968012202423</v>
      </c>
      <c r="J11" s="5">
        <v>8.4283014835333597E-2</v>
      </c>
      <c r="K11" s="5">
        <v>0.75251262958925458</v>
      </c>
      <c r="L11" s="5">
        <v>1.243904543632002</v>
      </c>
      <c r="M11" s="5">
        <v>0.69726697513239977</v>
      </c>
      <c r="N11" s="5">
        <v>0.73203495718487532</v>
      </c>
      <c r="O11" s="5">
        <v>11.256547238939266</v>
      </c>
      <c r="P11" s="5">
        <v>9.297891444731988</v>
      </c>
      <c r="Q11" s="5">
        <v>5.8912478854092107</v>
      </c>
      <c r="R11" s="5">
        <v>5.1168582845715225</v>
      </c>
      <c r="S11" s="5">
        <v>5.7392768874016218</v>
      </c>
      <c r="T11" s="5">
        <v>19.452850896973949</v>
      </c>
      <c r="U11" s="5">
        <v>1.231266122753411</v>
      </c>
      <c r="V11" s="5">
        <v>9.5205221750133155</v>
      </c>
      <c r="W11" s="5">
        <v>5.9357695437827198</v>
      </c>
      <c r="X11" s="5">
        <v>8.6052929698721083</v>
      </c>
      <c r="Y11" s="5">
        <v>3.1031876693833942</v>
      </c>
      <c r="Z11" s="5">
        <v>5.5534409810202296</v>
      </c>
      <c r="AA11" s="5">
        <v>4.5510092897640861</v>
      </c>
      <c r="AB11" s="6" t="s">
        <v>39</v>
      </c>
      <c r="AC11" s="5">
        <v>3.4555121010713861</v>
      </c>
      <c r="AD11" s="5">
        <v>9.6694654036601904</v>
      </c>
      <c r="AE11" s="5">
        <v>0.8741636246293808</v>
      </c>
      <c r="AF11" s="6" t="s">
        <v>39</v>
      </c>
      <c r="AG11" s="6" t="s">
        <v>39</v>
      </c>
    </row>
    <row r="12" spans="1:33" ht="12.75" customHeight="1">
      <c r="A12" s="14">
        <v>1985</v>
      </c>
      <c r="B12" s="4">
        <v>2.9057445729983309</v>
      </c>
      <c r="C12" s="5">
        <v>1.6141452844284534</v>
      </c>
      <c r="D12" s="5">
        <v>2.7435282884821293</v>
      </c>
      <c r="E12" s="6" t="s">
        <v>39</v>
      </c>
      <c r="F12" s="6" t="s">
        <v>39</v>
      </c>
      <c r="G12" s="6" t="s">
        <v>39</v>
      </c>
      <c r="H12" s="6" t="s">
        <v>39</v>
      </c>
      <c r="I12" s="5">
        <v>1.1000127353927522</v>
      </c>
      <c r="J12" s="5">
        <v>8.8711144775746348E-2</v>
      </c>
      <c r="K12" s="5">
        <v>0.74106136907263587</v>
      </c>
      <c r="L12" s="5">
        <v>0.85828824574329055</v>
      </c>
      <c r="M12" s="5">
        <v>0.56522977777016026</v>
      </c>
      <c r="N12" s="5">
        <v>0.69287092825943419</v>
      </c>
      <c r="O12" s="5">
        <v>12.182525707944356</v>
      </c>
      <c r="P12" s="5">
        <v>5.7930894201629863</v>
      </c>
      <c r="Q12" s="5">
        <v>5.9934917857844088</v>
      </c>
      <c r="R12" s="5">
        <v>6.1780817388972444</v>
      </c>
      <c r="S12" s="5">
        <v>6.5825241414023754</v>
      </c>
      <c r="T12" s="5">
        <v>6.8151784775059046</v>
      </c>
      <c r="U12" s="5">
        <v>0.14078635729152367</v>
      </c>
      <c r="V12" s="5">
        <v>8.4862772235338042</v>
      </c>
      <c r="W12" s="5">
        <v>6.1153753613984989</v>
      </c>
      <c r="X12" s="5">
        <v>11.176295601533642</v>
      </c>
      <c r="Y12" s="5">
        <v>2.5444791621120748</v>
      </c>
      <c r="Z12" s="5">
        <v>4.5290087279528048</v>
      </c>
      <c r="AA12" s="5">
        <v>4.5956650021285297</v>
      </c>
      <c r="AB12" s="6" t="s">
        <v>39</v>
      </c>
      <c r="AC12" s="5">
        <v>1.6463167761336801</v>
      </c>
      <c r="AD12" s="5">
        <v>5.4648730571491635</v>
      </c>
      <c r="AE12" s="5">
        <v>0.90196855145113408</v>
      </c>
      <c r="AF12" s="6" t="s">
        <v>39</v>
      </c>
      <c r="AG12" s="6" t="s">
        <v>39</v>
      </c>
    </row>
    <row r="13" spans="1:33" ht="12.75" customHeight="1">
      <c r="A13" s="14">
        <v>1986</v>
      </c>
      <c r="B13" s="4">
        <v>3.0294810259951186</v>
      </c>
      <c r="C13" s="5">
        <v>1.474766534249792</v>
      </c>
      <c r="D13" s="5">
        <v>2.7858688559793481</v>
      </c>
      <c r="E13" s="6" t="s">
        <v>39</v>
      </c>
      <c r="F13" s="6" t="s">
        <v>39</v>
      </c>
      <c r="G13" s="6" t="s">
        <v>39</v>
      </c>
      <c r="H13" s="6" t="s">
        <v>39</v>
      </c>
      <c r="I13" s="5">
        <v>0.72227824437537425</v>
      </c>
      <c r="J13" s="5">
        <v>0.11841098375774306</v>
      </c>
      <c r="K13" s="5">
        <v>0.65597595057634273</v>
      </c>
      <c r="L13" s="5">
        <v>0.74245024953339644</v>
      </c>
      <c r="M13" s="5">
        <v>0.6023731061831834</v>
      </c>
      <c r="N13" s="5">
        <v>0.74195322453238932</v>
      </c>
      <c r="O13" s="5">
        <v>13.03778688882055</v>
      </c>
      <c r="P13" s="5">
        <v>6.0683194902211852</v>
      </c>
      <c r="Q13" s="5">
        <v>4.2599220961749769</v>
      </c>
      <c r="R13" s="5">
        <v>4.8487362422700038</v>
      </c>
      <c r="S13" s="5">
        <v>5.8201332308560758</v>
      </c>
      <c r="T13" s="5">
        <v>5.8616166929715936</v>
      </c>
      <c r="U13" s="5">
        <v>0.12837848026798168</v>
      </c>
      <c r="V13" s="5">
        <v>9.1531726910921911</v>
      </c>
      <c r="W13" s="5">
        <v>6.3017233836671034</v>
      </c>
      <c r="X13" s="5">
        <v>13.363172814513518</v>
      </c>
      <c r="Y13" s="5">
        <v>3.0094456101048301</v>
      </c>
      <c r="Z13" s="5">
        <v>3.3368161071282176</v>
      </c>
      <c r="AA13" s="5">
        <v>4.6763715307028066</v>
      </c>
      <c r="AB13" s="6" t="s">
        <v>39</v>
      </c>
      <c r="AC13" s="5">
        <v>17.364075115667244</v>
      </c>
      <c r="AD13" s="5">
        <v>5.3430375158911829</v>
      </c>
      <c r="AE13" s="5">
        <v>1.0666087368437145</v>
      </c>
      <c r="AF13" s="6" t="s">
        <v>39</v>
      </c>
      <c r="AG13" s="6" t="s">
        <v>39</v>
      </c>
    </row>
    <row r="14" spans="1:33" ht="12.75" customHeight="1">
      <c r="A14" s="14">
        <v>1987</v>
      </c>
      <c r="B14" s="4">
        <v>2.8815165637647948</v>
      </c>
      <c r="C14" s="5">
        <v>1.4925605488464648</v>
      </c>
      <c r="D14" s="5">
        <v>2.7495888624258868</v>
      </c>
      <c r="E14" s="6" t="s">
        <v>39</v>
      </c>
      <c r="F14" s="6" t="s">
        <v>39</v>
      </c>
      <c r="G14" s="6" t="s">
        <v>39</v>
      </c>
      <c r="H14" s="6" t="s">
        <v>39</v>
      </c>
      <c r="I14" s="5">
        <v>0.72973306996948795</v>
      </c>
      <c r="J14" s="5">
        <v>0.14987885154839081</v>
      </c>
      <c r="K14" s="5">
        <v>0.68783206763620497</v>
      </c>
      <c r="L14" s="5">
        <v>0.64428285388685091</v>
      </c>
      <c r="M14" s="5">
        <v>0.79256461362781927</v>
      </c>
      <c r="N14" s="5">
        <v>0.92613891798081038</v>
      </c>
      <c r="O14" s="5">
        <v>12.401548868719161</v>
      </c>
      <c r="P14" s="5">
        <v>5.4985839631246858</v>
      </c>
      <c r="Q14" s="5">
        <v>5.6136286236471689</v>
      </c>
      <c r="R14" s="5">
        <v>5.8333891365457928</v>
      </c>
      <c r="S14" s="5">
        <v>5.8646010348763866</v>
      </c>
      <c r="T14" s="5">
        <v>6.1354731781306562</v>
      </c>
      <c r="U14" s="5">
        <v>0.12023958378942232</v>
      </c>
      <c r="V14" s="5">
        <v>7.4354449897926518</v>
      </c>
      <c r="W14" s="5">
        <v>7.6312508788923665</v>
      </c>
      <c r="X14" s="5">
        <v>7.2845312812139174</v>
      </c>
      <c r="Y14" s="5">
        <v>3.2243851917298594</v>
      </c>
      <c r="Z14" s="5">
        <v>3.361052879664602</v>
      </c>
      <c r="AA14" s="5">
        <v>4.8590298852616201</v>
      </c>
      <c r="AB14" s="6" t="s">
        <v>39</v>
      </c>
      <c r="AC14" s="5">
        <v>7.2997693135133046</v>
      </c>
      <c r="AD14" s="5">
        <v>3.3308635221931708</v>
      </c>
      <c r="AE14" s="5">
        <v>0.60341682763114202</v>
      </c>
      <c r="AF14" s="6" t="s">
        <v>39</v>
      </c>
      <c r="AG14" s="6" t="s">
        <v>39</v>
      </c>
    </row>
    <row r="15" spans="1:33" ht="12.75" customHeight="1">
      <c r="A15" s="14">
        <v>1988</v>
      </c>
      <c r="B15" s="4">
        <v>2.7367734044003074</v>
      </c>
      <c r="C15" s="5">
        <v>1.6808611095825747</v>
      </c>
      <c r="D15" s="5">
        <v>2.8501062966886006</v>
      </c>
      <c r="E15" s="6" t="s">
        <v>39</v>
      </c>
      <c r="F15" s="6" t="s">
        <v>39</v>
      </c>
      <c r="G15" s="6" t="s">
        <v>39</v>
      </c>
      <c r="H15" s="6" t="s">
        <v>39</v>
      </c>
      <c r="I15" s="5">
        <v>0.79148392293839909</v>
      </c>
      <c r="J15" s="5">
        <v>0.17746731105540109</v>
      </c>
      <c r="K15" s="5">
        <v>0.80089120137115788</v>
      </c>
      <c r="L15" s="5">
        <v>0.74305095850954517</v>
      </c>
      <c r="M15" s="5">
        <v>0.83093448482437371</v>
      </c>
      <c r="N15" s="5">
        <v>0.9312452421131745</v>
      </c>
      <c r="O15" s="5">
        <v>13.538564111631402</v>
      </c>
      <c r="P15" s="5">
        <v>5.8510429378643263</v>
      </c>
      <c r="Q15" s="5">
        <v>6.1024286650466708</v>
      </c>
      <c r="R15" s="5">
        <v>6.7129954072271296</v>
      </c>
      <c r="S15" s="5">
        <v>6.3804928271207704</v>
      </c>
      <c r="T15" s="5">
        <v>6.2424664486083916</v>
      </c>
      <c r="U15" s="5">
        <v>0.12607632787839318</v>
      </c>
      <c r="V15" s="5">
        <v>7.015933176888673</v>
      </c>
      <c r="W15" s="5">
        <v>4.9282994138148553</v>
      </c>
      <c r="X15" s="5">
        <v>8.8720788115426377</v>
      </c>
      <c r="Y15" s="5">
        <v>3.3293002873705722</v>
      </c>
      <c r="Z15" s="5">
        <v>4.0832149260549766</v>
      </c>
      <c r="AA15" s="5">
        <v>4.7297459847314958</v>
      </c>
      <c r="AB15" s="6" t="s">
        <v>39</v>
      </c>
      <c r="AC15" s="5">
        <v>3.9111191698059673</v>
      </c>
      <c r="AD15" s="5">
        <v>8.66180646795741</v>
      </c>
      <c r="AE15" s="5">
        <v>0.26066701409490783</v>
      </c>
      <c r="AF15" s="6" t="s">
        <v>39</v>
      </c>
      <c r="AG15" s="6" t="s">
        <v>39</v>
      </c>
    </row>
    <row r="16" spans="1:33" ht="12.75" customHeight="1">
      <c r="A16" s="14">
        <v>1989</v>
      </c>
      <c r="B16" s="4">
        <v>3.0172338033751505</v>
      </c>
      <c r="C16" s="5">
        <v>1.3817948811833607</v>
      </c>
      <c r="D16" s="5">
        <v>2.936035542317041</v>
      </c>
      <c r="E16" s="6" t="s">
        <v>39</v>
      </c>
      <c r="F16" s="6" t="s">
        <v>39</v>
      </c>
      <c r="G16" s="6" t="s">
        <v>39</v>
      </c>
      <c r="H16" s="6" t="s">
        <v>39</v>
      </c>
      <c r="I16" s="5">
        <v>0.98988081870659561</v>
      </c>
      <c r="J16" s="5">
        <v>0.15952743711824915</v>
      </c>
      <c r="K16" s="5">
        <v>0.64292731952836657</v>
      </c>
      <c r="L16" s="5">
        <v>0.81402239684388622</v>
      </c>
      <c r="M16" s="5">
        <v>0.66925880065487664</v>
      </c>
      <c r="N16" s="5">
        <v>0.82636511082768327</v>
      </c>
      <c r="O16" s="5">
        <v>13.730628979703114</v>
      </c>
      <c r="P16" s="5">
        <v>5.8248452763452052</v>
      </c>
      <c r="Q16" s="5">
        <v>5.9847017977582659</v>
      </c>
      <c r="R16" s="5">
        <v>6.275715376068888</v>
      </c>
      <c r="S16" s="5">
        <v>6.2957670957366147</v>
      </c>
      <c r="T16" s="5">
        <v>5.7430503760998377</v>
      </c>
      <c r="U16" s="5">
        <v>0.14512694934275047</v>
      </c>
      <c r="V16" s="5">
        <v>6.0524588055152639</v>
      </c>
      <c r="W16" s="5">
        <v>6.3691851815467171</v>
      </c>
      <c r="X16" s="5">
        <v>7.8680050303800382</v>
      </c>
      <c r="Y16" s="5">
        <v>5.4902707368872186</v>
      </c>
      <c r="Z16" s="5">
        <v>3.7958074529712929</v>
      </c>
      <c r="AA16" s="5">
        <v>4.4358441591163444</v>
      </c>
      <c r="AB16" s="6" t="s">
        <v>39</v>
      </c>
      <c r="AC16" s="5">
        <v>4.0339147148973629</v>
      </c>
      <c r="AD16" s="5">
        <v>11.174175335350519</v>
      </c>
      <c r="AE16" s="5">
        <v>0.33643257274502558</v>
      </c>
      <c r="AF16" s="6" t="s">
        <v>39</v>
      </c>
      <c r="AG16" s="6" t="s">
        <v>39</v>
      </c>
    </row>
    <row r="17" spans="1:33" ht="12.75" customHeight="1">
      <c r="A17" s="14">
        <v>1990</v>
      </c>
      <c r="B17" s="4">
        <v>3.1157717234550635</v>
      </c>
      <c r="C17" s="5">
        <v>1.6481204881392353</v>
      </c>
      <c r="D17" s="5">
        <v>2.4010485395747834</v>
      </c>
      <c r="E17" s="6" t="s">
        <v>39</v>
      </c>
      <c r="F17" s="6" t="s">
        <v>39</v>
      </c>
      <c r="G17" s="6" t="s">
        <v>39</v>
      </c>
      <c r="H17" s="6" t="s">
        <v>39</v>
      </c>
      <c r="I17" s="5">
        <v>1.0937555883644496</v>
      </c>
      <c r="J17" s="5">
        <v>0.15376406886833927</v>
      </c>
      <c r="K17" s="5">
        <v>0.83633983483228524</v>
      </c>
      <c r="L17" s="5">
        <v>0.60689553860897716</v>
      </c>
      <c r="M17" s="5">
        <v>0.51107579797997071</v>
      </c>
      <c r="N17" s="5">
        <v>0.57887954605813186</v>
      </c>
      <c r="O17" s="5">
        <v>11.878456748212605</v>
      </c>
      <c r="P17" s="5">
        <v>6.0698946267913625</v>
      </c>
      <c r="Q17" s="5">
        <v>6.8480176366774215</v>
      </c>
      <c r="R17" s="5">
        <v>5.1735434637917574</v>
      </c>
      <c r="S17" s="5">
        <v>5.7086977854172449</v>
      </c>
      <c r="T17" s="5">
        <v>33.937815835325331</v>
      </c>
      <c r="U17" s="5">
        <v>9.8883568877076744</v>
      </c>
      <c r="V17" s="5">
        <v>6.5964047590201762</v>
      </c>
      <c r="W17" s="5">
        <v>5.6441568878754849</v>
      </c>
      <c r="X17" s="5">
        <v>6.8993542613968684</v>
      </c>
      <c r="Y17" s="5">
        <v>3.2027503171102376</v>
      </c>
      <c r="Z17" s="5">
        <v>2.9491757505180574</v>
      </c>
      <c r="AA17" s="5">
        <v>3.9995025641530573</v>
      </c>
      <c r="AB17" s="5">
        <v>16.348959215238285</v>
      </c>
      <c r="AC17" s="5">
        <v>6.6787015256827997</v>
      </c>
      <c r="AD17" s="5">
        <v>493.65292853632945</v>
      </c>
      <c r="AE17" s="5">
        <v>5.121779169860524</v>
      </c>
      <c r="AF17" s="6" t="s">
        <v>39</v>
      </c>
      <c r="AG17" s="5">
        <v>1.7392531715047814</v>
      </c>
    </row>
    <row r="18" spans="1:33" ht="12.75" customHeight="1">
      <c r="A18" s="14">
        <v>1991</v>
      </c>
      <c r="B18" s="4">
        <v>3.2230596134292275</v>
      </c>
      <c r="C18" s="5">
        <v>1.622323968992929</v>
      </c>
      <c r="D18" s="5">
        <v>1.9296684568186055</v>
      </c>
      <c r="E18" s="6" t="s">
        <v>39</v>
      </c>
      <c r="F18" s="6" t="s">
        <v>39</v>
      </c>
      <c r="G18" s="6" t="s">
        <v>39</v>
      </c>
      <c r="H18" s="6" t="s">
        <v>39</v>
      </c>
      <c r="I18" s="5">
        <v>0.75968692096970114</v>
      </c>
      <c r="J18" s="5">
        <v>0.15422777472273258</v>
      </c>
      <c r="K18" s="5">
        <v>0.56531530058391244</v>
      </c>
      <c r="L18" s="5">
        <v>0.74415047939816525</v>
      </c>
      <c r="M18" s="5">
        <v>0.94192753458070533</v>
      </c>
      <c r="N18" s="5">
        <v>1.4839146008929769</v>
      </c>
      <c r="O18" s="5">
        <v>12.383496363254499</v>
      </c>
      <c r="P18" s="5">
        <v>6.8825995427411968</v>
      </c>
      <c r="Q18" s="5">
        <v>7.7740216370993949</v>
      </c>
      <c r="R18" s="5">
        <v>7.1149978621054784</v>
      </c>
      <c r="S18" s="5">
        <v>4.9946738488991729</v>
      </c>
      <c r="T18" s="5">
        <v>31.754635501221021</v>
      </c>
      <c r="U18" s="5">
        <v>10.806550194737094</v>
      </c>
      <c r="V18" s="5">
        <v>6.9793726033939585</v>
      </c>
      <c r="W18" s="5">
        <v>6.1813407209931057</v>
      </c>
      <c r="X18" s="5">
        <v>7.4007372414862767</v>
      </c>
      <c r="Y18" s="5">
        <v>4.1705803326794788</v>
      </c>
      <c r="Z18" s="5">
        <v>4.5717402752526812</v>
      </c>
      <c r="AA18" s="5">
        <v>3.2979244141640072</v>
      </c>
      <c r="AB18" s="5">
        <v>12.823129912756595</v>
      </c>
      <c r="AC18" s="5">
        <v>20.566610287289453</v>
      </c>
      <c r="AD18" s="5">
        <v>319.95053217624752</v>
      </c>
      <c r="AE18" s="5">
        <v>8.1869086812459404</v>
      </c>
      <c r="AF18" s="6" t="s">
        <v>39</v>
      </c>
      <c r="AG18" s="5">
        <v>8.6771693277692101</v>
      </c>
    </row>
    <row r="19" spans="1:33" ht="12.75" customHeight="1">
      <c r="A19" s="14">
        <v>1992</v>
      </c>
      <c r="B19" s="4">
        <v>3.2989947940575455</v>
      </c>
      <c r="C19" s="5">
        <v>1.3759644160914231</v>
      </c>
      <c r="D19" s="5">
        <v>2.5701916827556586</v>
      </c>
      <c r="E19" s="6" t="s">
        <v>39</v>
      </c>
      <c r="F19" s="6" t="s">
        <v>39</v>
      </c>
      <c r="G19" s="6" t="s">
        <v>39</v>
      </c>
      <c r="H19" s="6" t="s">
        <v>39</v>
      </c>
      <c r="I19" s="5">
        <v>1.0182910229646898</v>
      </c>
      <c r="J19" s="5">
        <v>0.22697660786292756</v>
      </c>
      <c r="K19" s="5">
        <v>1.0215751701660631</v>
      </c>
      <c r="L19" s="5">
        <v>0.72286548181490073</v>
      </c>
      <c r="M19" s="5">
        <v>0.64635468967912202</v>
      </c>
      <c r="N19" s="5">
        <v>0.70955662532125741</v>
      </c>
      <c r="O19" s="5">
        <v>8.6283906875095191</v>
      </c>
      <c r="P19" s="5">
        <v>6.2030783191320094</v>
      </c>
      <c r="Q19" s="5">
        <v>5.4098319060551479</v>
      </c>
      <c r="R19" s="5">
        <v>5.462175786579146</v>
      </c>
      <c r="S19" s="5">
        <v>5.4972170361082719</v>
      </c>
      <c r="T19" s="5">
        <v>37.957886138769886</v>
      </c>
      <c r="U19" s="5">
        <v>7.9229009121828122</v>
      </c>
      <c r="V19" s="5">
        <v>5.3352606059995624</v>
      </c>
      <c r="W19" s="5">
        <v>4.7224256217832945</v>
      </c>
      <c r="X19" s="5">
        <v>9.0160546476293266</v>
      </c>
      <c r="Y19" s="5">
        <v>2.8729429138031577</v>
      </c>
      <c r="Z19" s="5">
        <v>4.2930434600685938</v>
      </c>
      <c r="AA19" s="5">
        <v>6.1102409127808404</v>
      </c>
      <c r="AB19" s="5">
        <v>15.192966088258819</v>
      </c>
      <c r="AC19" s="5">
        <v>7.6112167382076716</v>
      </c>
      <c r="AD19" s="5">
        <v>568.19694009942009</v>
      </c>
      <c r="AE19" s="5">
        <v>5.3134205725048185</v>
      </c>
      <c r="AF19" s="6" t="s">
        <v>39</v>
      </c>
      <c r="AG19" s="6" t="s">
        <v>39</v>
      </c>
    </row>
    <row r="20" spans="1:33" ht="12.75" customHeight="1">
      <c r="A20" s="14">
        <v>1993</v>
      </c>
      <c r="B20" s="4">
        <v>3.2562409333812923</v>
      </c>
      <c r="C20" s="5">
        <v>1.4105357457363892</v>
      </c>
      <c r="D20" s="5">
        <v>2.1712363039844007</v>
      </c>
      <c r="E20" s="6" t="s">
        <v>39</v>
      </c>
      <c r="F20" s="6" t="s">
        <v>39</v>
      </c>
      <c r="G20" s="6" t="s">
        <v>39</v>
      </c>
      <c r="H20" s="6" t="s">
        <v>39</v>
      </c>
      <c r="I20" s="5">
        <v>0.93441656429022868</v>
      </c>
      <c r="J20" s="5">
        <v>0.24000879145858528</v>
      </c>
      <c r="K20" s="5">
        <v>0.8910827997447226</v>
      </c>
      <c r="L20" s="5">
        <v>0.91135990361865149</v>
      </c>
      <c r="M20" s="5">
        <v>0.6699826784737889</v>
      </c>
      <c r="N20" s="5">
        <v>0.68076736705406704</v>
      </c>
      <c r="O20" s="5">
        <v>9.8384550685675567</v>
      </c>
      <c r="P20" s="5">
        <v>5.4770660628904535</v>
      </c>
      <c r="Q20" s="5">
        <v>6.0005995807035273</v>
      </c>
      <c r="R20" s="5">
        <v>5.7115271290936747</v>
      </c>
      <c r="S20" s="5">
        <v>6.0450842133237774</v>
      </c>
      <c r="T20" s="5">
        <v>43.867772233864905</v>
      </c>
      <c r="U20" s="5">
        <v>10.502058724131162</v>
      </c>
      <c r="V20" s="5">
        <v>6.1858850155416665</v>
      </c>
      <c r="W20" s="5">
        <v>5.9355190736720331</v>
      </c>
      <c r="X20" s="5">
        <v>9.0936836733943736</v>
      </c>
      <c r="Y20" s="5">
        <v>4.2757504561210427</v>
      </c>
      <c r="Z20" s="5">
        <v>4.161139201540248</v>
      </c>
      <c r="AA20" s="5">
        <v>5.2620098553160686</v>
      </c>
      <c r="AB20" s="5">
        <v>6.5748262202453889</v>
      </c>
      <c r="AC20" s="5">
        <v>7.249206205207293</v>
      </c>
      <c r="AD20" s="5">
        <v>1319.9914281717115</v>
      </c>
      <c r="AE20" s="5">
        <v>5.0600967068579292</v>
      </c>
      <c r="AF20" s="6" t="s">
        <v>39</v>
      </c>
      <c r="AG20" s="6" t="s">
        <v>39</v>
      </c>
    </row>
    <row r="21" spans="1:33" ht="12.75" customHeight="1">
      <c r="A21" s="14">
        <v>1994</v>
      </c>
      <c r="B21" s="4">
        <v>3.0217428955694605</v>
      </c>
      <c r="C21" s="5">
        <v>1.0267610566354888</v>
      </c>
      <c r="D21" s="5">
        <v>2.0234620039578153</v>
      </c>
      <c r="E21" s="6" t="s">
        <v>39</v>
      </c>
      <c r="F21" s="6" t="s">
        <v>39</v>
      </c>
      <c r="G21" s="6" t="s">
        <v>39</v>
      </c>
      <c r="H21" s="6" t="s">
        <v>39</v>
      </c>
      <c r="I21" s="5">
        <v>1.2773617885913318</v>
      </c>
      <c r="J21" s="5">
        <v>0.21669022407266822</v>
      </c>
      <c r="K21" s="5">
        <v>0.82662856064422896</v>
      </c>
      <c r="L21" s="5">
        <v>0.79405978457212634</v>
      </c>
      <c r="M21" s="5">
        <v>0.83437285728091803</v>
      </c>
      <c r="N21" s="5">
        <v>0.82739828313205099</v>
      </c>
      <c r="O21" s="5">
        <v>12.158635658700687</v>
      </c>
      <c r="P21" s="5">
        <v>6.1641582251687801</v>
      </c>
      <c r="Q21" s="5">
        <v>6.0160426054345395</v>
      </c>
      <c r="R21" s="5">
        <v>4.86324990929623</v>
      </c>
      <c r="S21" s="5">
        <v>6.9331537107307115</v>
      </c>
      <c r="T21" s="5">
        <v>32.173015424066399</v>
      </c>
      <c r="U21" s="5">
        <v>7.1308563585139897</v>
      </c>
      <c r="V21" s="5">
        <v>7.9906507686667991</v>
      </c>
      <c r="W21" s="5">
        <v>4.4959601184816567</v>
      </c>
      <c r="X21" s="5">
        <v>11.743801599383694</v>
      </c>
      <c r="Y21" s="5">
        <v>4.0705212154721284</v>
      </c>
      <c r="Z21" s="5">
        <v>3.4373997024422214</v>
      </c>
      <c r="AA21" s="5">
        <v>4.133634968637601</v>
      </c>
      <c r="AB21" s="5">
        <v>18.405318847495796</v>
      </c>
      <c r="AC21" s="5">
        <v>10.799376883973363</v>
      </c>
      <c r="AD21" s="5">
        <v>461.15355509170735</v>
      </c>
      <c r="AE21" s="5">
        <v>20.754949031316091</v>
      </c>
      <c r="AF21" s="6" t="s">
        <v>39</v>
      </c>
      <c r="AG21" s="6" t="s">
        <v>39</v>
      </c>
    </row>
    <row r="22" spans="1:33" ht="12.75" customHeight="1">
      <c r="A22" s="14">
        <v>1995</v>
      </c>
      <c r="B22" s="4">
        <v>3.0786800102235103</v>
      </c>
      <c r="C22" s="5">
        <v>1.4033550989779833</v>
      </c>
      <c r="D22" s="5">
        <v>2.4328816841879362</v>
      </c>
      <c r="E22" s="6" t="s">
        <v>39</v>
      </c>
      <c r="F22" s="6" t="s">
        <v>39</v>
      </c>
      <c r="G22" s="6" t="s">
        <v>39</v>
      </c>
      <c r="H22" s="6" t="s">
        <v>39</v>
      </c>
      <c r="I22" s="5">
        <v>1.1087967378800094</v>
      </c>
      <c r="J22" s="5">
        <v>0.30153793922905486</v>
      </c>
      <c r="K22" s="5">
        <v>0.79766168633458789</v>
      </c>
      <c r="L22" s="5">
        <v>0.68862923447353774</v>
      </c>
      <c r="M22" s="5">
        <v>0.59183458397692601</v>
      </c>
      <c r="N22" s="5">
        <v>0.99494726168142544</v>
      </c>
      <c r="O22" s="5">
        <v>10.356301203827337</v>
      </c>
      <c r="P22" s="5">
        <v>5.3486711181845088</v>
      </c>
      <c r="Q22" s="5">
        <v>6.2153586916293095</v>
      </c>
      <c r="R22" s="5">
        <v>5.3449949646704917</v>
      </c>
      <c r="S22" s="5">
        <v>6.0342789314798138</v>
      </c>
      <c r="T22" s="5">
        <v>29.102367530050497</v>
      </c>
      <c r="U22" s="5">
        <v>8.9384089463962404</v>
      </c>
      <c r="V22" s="5">
        <v>6.9655686842423847</v>
      </c>
      <c r="W22" s="5">
        <v>4.5879413808008271</v>
      </c>
      <c r="X22" s="5">
        <v>6.755506343878384</v>
      </c>
      <c r="Y22" s="5">
        <v>3.0947309474562674</v>
      </c>
      <c r="Z22" s="5">
        <v>3.4636884074420995</v>
      </c>
      <c r="AA22" s="5">
        <v>3.3090632220557974</v>
      </c>
      <c r="AB22" s="5">
        <v>12.496240291182044</v>
      </c>
      <c r="AC22" s="5">
        <v>8.1314080215077862</v>
      </c>
      <c r="AD22" s="5">
        <v>645.65505515147549</v>
      </c>
      <c r="AE22" s="5">
        <v>12.947433170300984</v>
      </c>
      <c r="AF22" s="6" t="s">
        <v>39</v>
      </c>
      <c r="AG22" s="6" t="s">
        <v>39</v>
      </c>
    </row>
    <row r="23" spans="1:33" ht="12.75" customHeight="1">
      <c r="A23" s="14">
        <v>1996</v>
      </c>
      <c r="B23" s="4">
        <v>2.9808516126331379</v>
      </c>
      <c r="C23" s="5">
        <v>1.3584066841543887</v>
      </c>
      <c r="D23" s="5">
        <v>2.6849768303219612</v>
      </c>
      <c r="E23" s="6" t="s">
        <v>39</v>
      </c>
      <c r="F23" s="6" t="s">
        <v>39</v>
      </c>
      <c r="G23" s="6" t="s">
        <v>39</v>
      </c>
      <c r="H23" s="6" t="s">
        <v>39</v>
      </c>
      <c r="I23" s="5">
        <v>1.2563878267513069</v>
      </c>
      <c r="J23" s="5">
        <v>0.23477425446847397</v>
      </c>
      <c r="K23" s="5">
        <v>0.7958561386206634</v>
      </c>
      <c r="L23" s="5">
        <v>1.1059307831292033</v>
      </c>
      <c r="M23" s="5">
        <v>0.75882611360686314</v>
      </c>
      <c r="N23" s="5">
        <v>0.5586603292661293</v>
      </c>
      <c r="O23" s="5">
        <v>9.889348017522158</v>
      </c>
      <c r="P23" s="5">
        <v>5.5926025514380173</v>
      </c>
      <c r="Q23" s="5">
        <v>6.0748148299674387</v>
      </c>
      <c r="R23" s="5">
        <v>5.8904480628122915</v>
      </c>
      <c r="S23" s="5">
        <v>6.9194705939380423</v>
      </c>
      <c r="T23" s="5">
        <v>30.606449742845097</v>
      </c>
      <c r="U23" s="5">
        <v>8.1850400150743692</v>
      </c>
      <c r="V23" s="5">
        <v>8.0940403635906257</v>
      </c>
      <c r="W23" s="5">
        <v>5.7928591187266854</v>
      </c>
      <c r="X23" s="5">
        <v>6.5276863733801074</v>
      </c>
      <c r="Y23" s="5">
        <v>3.5247321667446077</v>
      </c>
      <c r="Z23" s="5">
        <v>3.6883871793593097</v>
      </c>
      <c r="AA23" s="5">
        <v>4.0075749263774529</v>
      </c>
      <c r="AB23" s="5">
        <v>27.571958447904212</v>
      </c>
      <c r="AC23" s="5">
        <v>1.7002102791544826</v>
      </c>
      <c r="AD23" s="5">
        <v>10.465290136097579</v>
      </c>
      <c r="AE23" s="5">
        <v>6.4556757793903206</v>
      </c>
      <c r="AF23" s="6" t="s">
        <v>39</v>
      </c>
      <c r="AG23" s="5">
        <v>274.22545973753887</v>
      </c>
    </row>
    <row r="24" spans="1:33" ht="12.75" customHeight="1">
      <c r="A24" s="14">
        <v>1997</v>
      </c>
      <c r="B24" s="4">
        <v>3.1362646546408639</v>
      </c>
      <c r="C24" s="5">
        <v>1.1769353556213804</v>
      </c>
      <c r="D24" s="5">
        <v>2.5466830695045908</v>
      </c>
      <c r="E24" s="5">
        <v>33.81509190647737</v>
      </c>
      <c r="F24" s="5">
        <v>1.3348653533126122</v>
      </c>
      <c r="G24" s="5">
        <v>0.24392905648012639</v>
      </c>
      <c r="H24" s="5">
        <v>0.37030946132394343</v>
      </c>
      <c r="I24" s="5">
        <v>1.0344135177179836</v>
      </c>
      <c r="J24" s="5">
        <v>0.27455515870024905</v>
      </c>
      <c r="K24" s="5">
        <v>0.8312354536666372</v>
      </c>
      <c r="L24" s="5">
        <v>0.58117952077496216</v>
      </c>
      <c r="M24" s="5">
        <v>0.46098490385025581</v>
      </c>
      <c r="N24" s="5">
        <v>0.93015386203914219</v>
      </c>
      <c r="O24" s="5">
        <v>9.2100046138215141</v>
      </c>
      <c r="P24" s="5">
        <v>4.9019020838452381</v>
      </c>
      <c r="Q24" s="5">
        <v>5.9408098588127816</v>
      </c>
      <c r="R24" s="5">
        <v>5.1080072082916939</v>
      </c>
      <c r="S24" s="5">
        <v>8.2985288378246018</v>
      </c>
      <c r="T24" s="5">
        <v>25.265931632136958</v>
      </c>
      <c r="U24" s="5">
        <v>7.2081203604045623</v>
      </c>
      <c r="V24" s="5">
        <v>8.075376225683879</v>
      </c>
      <c r="W24" s="5">
        <v>6.4719740979322626</v>
      </c>
      <c r="X24" s="5">
        <v>10.677174179386869</v>
      </c>
      <c r="Y24" s="5">
        <v>3.9778407571519043</v>
      </c>
      <c r="Z24" s="5">
        <v>4.409712541625983</v>
      </c>
      <c r="AA24" s="5">
        <v>4.9456295126606173</v>
      </c>
      <c r="AB24" s="5">
        <v>27.678315426212592</v>
      </c>
      <c r="AC24" s="5">
        <v>7.9128533717538678</v>
      </c>
      <c r="AD24" s="5">
        <v>32.637389764076246</v>
      </c>
      <c r="AE24" s="5">
        <v>17.850492913720842</v>
      </c>
      <c r="AF24" s="5">
        <v>3.7446682113841625</v>
      </c>
      <c r="AG24" s="5">
        <v>1.4583073209245252</v>
      </c>
    </row>
    <row r="25" spans="1:33" ht="12.75" customHeight="1">
      <c r="A25" s="14">
        <v>1998</v>
      </c>
      <c r="B25" s="4">
        <v>2.7772476759052256</v>
      </c>
      <c r="C25" s="5">
        <v>1.3000836016851167</v>
      </c>
      <c r="D25" s="5">
        <v>2.412533158725239</v>
      </c>
      <c r="E25" s="5">
        <v>25.933880907613467</v>
      </c>
      <c r="F25" s="5">
        <v>1.3671993879222371</v>
      </c>
      <c r="G25" s="5">
        <v>0.40856680069616441</v>
      </c>
      <c r="H25" s="5">
        <v>0.38697166061744864</v>
      </c>
      <c r="I25" s="5">
        <v>1.852865156555239</v>
      </c>
      <c r="J25" s="5">
        <v>0.21566741271920656</v>
      </c>
      <c r="K25" s="5">
        <v>0.74951311753834737</v>
      </c>
      <c r="L25" s="5">
        <v>0.66001949188873277</v>
      </c>
      <c r="M25" s="5">
        <v>0.57344302602709296</v>
      </c>
      <c r="N25" s="5">
        <v>0.83815270747060822</v>
      </c>
      <c r="O25" s="5">
        <v>9.1017954167219486</v>
      </c>
      <c r="P25" s="5">
        <v>5.5891355403297807</v>
      </c>
      <c r="Q25" s="5">
        <v>6.2591508553800494</v>
      </c>
      <c r="R25" s="5">
        <v>6.1815976443853486</v>
      </c>
      <c r="S25" s="5">
        <v>6.5938737391691999</v>
      </c>
      <c r="T25" s="5">
        <v>22.16835029159321</v>
      </c>
      <c r="U25" s="5">
        <v>7.9861317101572888</v>
      </c>
      <c r="V25" s="5">
        <v>7.7050335870050777</v>
      </c>
      <c r="W25" s="5">
        <v>5.5227516829503802</v>
      </c>
      <c r="X25" s="5">
        <v>11.60318911832595</v>
      </c>
      <c r="Y25" s="5">
        <v>4.7995174002036611</v>
      </c>
      <c r="Z25" s="5">
        <v>5.0701948918681383</v>
      </c>
      <c r="AA25" s="5">
        <v>5.0143480711417361</v>
      </c>
      <c r="AB25" s="5">
        <v>26.875284229905073</v>
      </c>
      <c r="AC25" s="5">
        <v>9.687272610093256</v>
      </c>
      <c r="AD25" s="5">
        <v>25.820761128331721</v>
      </c>
      <c r="AE25" s="5">
        <v>20.762214610996136</v>
      </c>
      <c r="AF25" s="5">
        <v>3.2732966198581472</v>
      </c>
      <c r="AG25" s="5">
        <v>4.000532821953243</v>
      </c>
    </row>
    <row r="26" spans="1:33" ht="12.75" customHeight="1">
      <c r="A26" s="14">
        <v>1999</v>
      </c>
      <c r="B26" s="4">
        <v>2.9048592704194158</v>
      </c>
      <c r="C26" s="5">
        <v>1.1933501467600511</v>
      </c>
      <c r="D26" s="5">
        <v>2.5383418054108726</v>
      </c>
      <c r="E26" s="5">
        <v>37.881011084249423</v>
      </c>
      <c r="F26" s="5">
        <v>1.3248866224288893</v>
      </c>
      <c r="G26" s="5">
        <v>0.24832337123559559</v>
      </c>
      <c r="H26" s="5">
        <v>0.23670804142577839</v>
      </c>
      <c r="I26" s="5">
        <v>1.2084694790147115</v>
      </c>
      <c r="J26" s="5">
        <v>0.21909795836833917</v>
      </c>
      <c r="K26" s="5">
        <v>0.85118118429552958</v>
      </c>
      <c r="L26" s="5">
        <v>0.73804866520845291</v>
      </c>
      <c r="M26" s="5">
        <v>0.6833954919190609</v>
      </c>
      <c r="N26" s="5">
        <v>0.87305679644571776</v>
      </c>
      <c r="O26" s="5">
        <v>10.549714698833901</v>
      </c>
      <c r="P26" s="5">
        <v>5.7923455927792613</v>
      </c>
      <c r="Q26" s="5">
        <v>6.2170961543280727</v>
      </c>
      <c r="R26" s="5">
        <v>5.7589699168551425</v>
      </c>
      <c r="S26" s="5">
        <v>7.6898199618162275</v>
      </c>
      <c r="T26" s="5">
        <v>33.25950680696775</v>
      </c>
      <c r="U26" s="5">
        <v>9.7321261796523633</v>
      </c>
      <c r="V26" s="5">
        <v>9.7117544113700038</v>
      </c>
      <c r="W26" s="5">
        <v>7.1890349072257598</v>
      </c>
      <c r="X26" s="5">
        <v>10.889116952619439</v>
      </c>
      <c r="Y26" s="5">
        <v>4.1164509161381764</v>
      </c>
      <c r="Z26" s="5">
        <v>5.0254609997913349</v>
      </c>
      <c r="AA26" s="5">
        <v>5.6893566327598313</v>
      </c>
      <c r="AB26" s="5">
        <v>28.30208654631226</v>
      </c>
      <c r="AC26" s="5">
        <v>10.198117429741066</v>
      </c>
      <c r="AD26" s="5">
        <v>21.241334256081483</v>
      </c>
      <c r="AE26" s="5">
        <v>26.975287715796796</v>
      </c>
      <c r="AF26" s="5">
        <v>4.7798355464311983</v>
      </c>
      <c r="AG26" s="5">
        <v>6.2398429842770824</v>
      </c>
    </row>
    <row r="27" spans="1:33" ht="12.75" customHeight="1">
      <c r="A27" s="14">
        <v>2000</v>
      </c>
      <c r="B27" s="4">
        <v>2.9677255050216358</v>
      </c>
      <c r="C27" s="5">
        <v>1.2342715851194701</v>
      </c>
      <c r="D27" s="5">
        <v>2.4915188687509753</v>
      </c>
      <c r="E27" s="5">
        <v>37.880907415327897</v>
      </c>
      <c r="F27" s="5">
        <v>1.5691295937978034</v>
      </c>
      <c r="G27" s="5">
        <v>0.32679095289339649</v>
      </c>
      <c r="H27" s="5">
        <v>0.24218308490268209</v>
      </c>
      <c r="I27" s="5">
        <v>1.1732523779696393</v>
      </c>
      <c r="J27" s="5">
        <v>0.30568150483290785</v>
      </c>
      <c r="K27" s="5">
        <v>0.73711236781437617</v>
      </c>
      <c r="L27" s="5">
        <v>0.65533155725664549</v>
      </c>
      <c r="M27" s="5">
        <v>0.52172402087619751</v>
      </c>
      <c r="N27" s="5">
        <v>1.0056422540997252</v>
      </c>
      <c r="O27" s="5">
        <v>14.240512607134757</v>
      </c>
      <c r="P27" s="5">
        <v>6.0559214814517759</v>
      </c>
      <c r="Q27" s="5">
        <v>6.5366533742831905</v>
      </c>
      <c r="R27" s="5">
        <v>6.4917322550600947</v>
      </c>
      <c r="S27" s="5">
        <v>7.936259898728605</v>
      </c>
      <c r="T27" s="5">
        <v>28.411758802347613</v>
      </c>
      <c r="U27" s="5">
        <v>9.4268935480396152</v>
      </c>
      <c r="V27" s="5">
        <v>11.545435812894947</v>
      </c>
      <c r="W27" s="5">
        <v>7.693073734287367</v>
      </c>
      <c r="X27" s="5">
        <v>12.455768064950487</v>
      </c>
      <c r="Y27" s="5">
        <v>4.2735113795781672</v>
      </c>
      <c r="Z27" s="5">
        <v>4.9747762857409148</v>
      </c>
      <c r="AA27" s="5">
        <v>6.3584645446596966</v>
      </c>
      <c r="AB27" s="5">
        <v>29.063213281320873</v>
      </c>
      <c r="AC27" s="5">
        <v>13.397810965011052</v>
      </c>
      <c r="AD27" s="5">
        <v>44.309318805714874</v>
      </c>
      <c r="AE27" s="5">
        <v>10.924742344661638</v>
      </c>
      <c r="AF27" s="5">
        <v>4.8621157969855595</v>
      </c>
      <c r="AG27" s="5">
        <v>4.0079720759585857</v>
      </c>
    </row>
    <row r="28" spans="1:33" ht="12.75" customHeight="1">
      <c r="A28" s="14">
        <v>2001</v>
      </c>
      <c r="B28" s="4">
        <v>3.1817165316050113</v>
      </c>
      <c r="C28" s="5">
        <v>1.3389607409325437</v>
      </c>
      <c r="D28" s="5">
        <v>2.896548098553529</v>
      </c>
      <c r="E28" s="5">
        <v>37.881255502905482</v>
      </c>
      <c r="F28" s="5">
        <v>1.290864506297833</v>
      </c>
      <c r="G28" s="5">
        <v>0.25453991738758919</v>
      </c>
      <c r="H28" s="5">
        <v>0.35701868366143519</v>
      </c>
      <c r="I28" s="5">
        <v>1.2023532245159616</v>
      </c>
      <c r="J28" s="5">
        <v>0.30458444668052348</v>
      </c>
      <c r="K28" s="5">
        <v>0.77582365590574343</v>
      </c>
      <c r="L28" s="5">
        <v>0.64235927925769065</v>
      </c>
      <c r="M28" s="5">
        <v>0.58038650252369839</v>
      </c>
      <c r="N28" s="5">
        <v>0.84205192591812528</v>
      </c>
      <c r="O28" s="5">
        <v>18.380538246080313</v>
      </c>
      <c r="P28" s="5">
        <v>6.0249450611705253</v>
      </c>
      <c r="Q28" s="5">
        <v>6.9764561863522054</v>
      </c>
      <c r="R28" s="5">
        <v>6.2770315867531385</v>
      </c>
      <c r="S28" s="5">
        <v>7.6621736668301903</v>
      </c>
      <c r="T28" s="5">
        <v>27.993769274799732</v>
      </c>
      <c r="U28" s="5">
        <v>8.4716162899955201</v>
      </c>
      <c r="V28" s="5">
        <v>11.853113681858256</v>
      </c>
      <c r="W28" s="5">
        <v>5.2714689406091804</v>
      </c>
      <c r="X28" s="5">
        <v>11.131391568347116</v>
      </c>
      <c r="Y28" s="5">
        <v>4.2727590382599319</v>
      </c>
      <c r="Z28" s="5">
        <v>4.7228215612769837</v>
      </c>
      <c r="AA28" s="5">
        <v>6.2109514508918302</v>
      </c>
      <c r="AB28" s="5">
        <v>29.088770633143099</v>
      </c>
      <c r="AC28" s="5">
        <v>38.276852698526895</v>
      </c>
      <c r="AD28" s="5">
        <v>163.49508261147895</v>
      </c>
      <c r="AE28" s="5">
        <v>16.532690381629624</v>
      </c>
      <c r="AF28" s="5">
        <v>13.679619773587378</v>
      </c>
      <c r="AG28" s="5">
        <v>15.298335661184103</v>
      </c>
    </row>
    <row r="29" spans="1:33" ht="12.75" customHeight="1">
      <c r="A29" s="14">
        <v>2002</v>
      </c>
      <c r="B29" s="4">
        <v>3.1585157639053429</v>
      </c>
      <c r="C29" s="5">
        <v>1.295166715870943</v>
      </c>
      <c r="D29" s="5">
        <v>1.937772919971432</v>
      </c>
      <c r="E29" s="5">
        <v>387.78186200664476</v>
      </c>
      <c r="F29" s="5">
        <v>1.1844400750318442</v>
      </c>
      <c r="G29" s="5">
        <v>0.27995866002541259</v>
      </c>
      <c r="H29" s="5">
        <v>0.36147185203665061</v>
      </c>
      <c r="I29" s="5">
        <v>1.0253998976541281</v>
      </c>
      <c r="J29" s="5">
        <v>0.30793994820226345</v>
      </c>
      <c r="K29" s="5">
        <v>0.67685343492216632</v>
      </c>
      <c r="L29" s="5">
        <v>0.6011317692536069</v>
      </c>
      <c r="M29" s="5">
        <v>0.47599598594090853</v>
      </c>
      <c r="N29" s="5">
        <v>0.90483518250619888</v>
      </c>
      <c r="O29" s="5">
        <v>16.634794916060635</v>
      </c>
      <c r="P29" s="5">
        <v>6.0516334680413397</v>
      </c>
      <c r="Q29" s="5">
        <v>6.9924160434888085</v>
      </c>
      <c r="R29" s="5">
        <v>6.7395187215474106</v>
      </c>
      <c r="S29" s="5">
        <v>7.9096974121589021</v>
      </c>
      <c r="T29" s="5">
        <v>31.709163113959477</v>
      </c>
      <c r="U29" s="5">
        <v>7.8695305753315514</v>
      </c>
      <c r="V29" s="5">
        <v>10.966024518613841</v>
      </c>
      <c r="W29" s="5">
        <v>6.6107967171379949</v>
      </c>
      <c r="X29" s="5">
        <v>13.049187254664059</v>
      </c>
      <c r="Y29" s="5">
        <v>4.4103263255412397</v>
      </c>
      <c r="Z29" s="5">
        <v>5.5301975903783847</v>
      </c>
      <c r="AA29" s="5">
        <v>6.7958571347236001</v>
      </c>
      <c r="AB29" s="5">
        <v>31.864435729167024</v>
      </c>
      <c r="AC29" s="5">
        <v>38.883364891643247</v>
      </c>
      <c r="AD29" s="5">
        <v>141.18221534409543</v>
      </c>
      <c r="AE29" s="5">
        <v>16.626557756958849</v>
      </c>
      <c r="AF29" s="5">
        <v>13.199516587084705</v>
      </c>
      <c r="AG29" s="5">
        <v>13.896006444988652</v>
      </c>
    </row>
    <row r="30" spans="1:33" ht="12.75" customHeight="1">
      <c r="A30" s="14">
        <v>2003</v>
      </c>
      <c r="B30" s="4">
        <v>3.0154893794657367</v>
      </c>
      <c r="C30" s="5">
        <v>1.4175949164184509</v>
      </c>
      <c r="D30" s="5">
        <v>2.1072748215162229</v>
      </c>
      <c r="E30" s="5">
        <v>57.080583931151459</v>
      </c>
      <c r="F30" s="5">
        <v>1.2787713387765105</v>
      </c>
      <c r="G30" s="5">
        <v>0.27694877615957764</v>
      </c>
      <c r="H30" s="5">
        <v>0.37124689739635308</v>
      </c>
      <c r="I30" s="5">
        <v>1.0806895983328424</v>
      </c>
      <c r="J30" s="5">
        <v>0.31928366446027678</v>
      </c>
      <c r="K30" s="5">
        <v>0.75650465066099648</v>
      </c>
      <c r="L30" s="5">
        <v>0.64660629223874722</v>
      </c>
      <c r="M30" s="5">
        <v>0.66394627553759955</v>
      </c>
      <c r="N30" s="5">
        <v>0.94493540012191291</v>
      </c>
      <c r="O30" s="5">
        <v>18.365526092914493</v>
      </c>
      <c r="P30" s="5">
        <v>6.4942674119221353</v>
      </c>
      <c r="Q30" s="5">
        <v>7.3107394073002689</v>
      </c>
      <c r="R30" s="5">
        <v>6.9325890575455684</v>
      </c>
      <c r="S30" s="5">
        <v>11.143208644862799</v>
      </c>
      <c r="T30" s="5">
        <v>31.719865181361222</v>
      </c>
      <c r="U30" s="5">
        <v>8.1228842509456971</v>
      </c>
      <c r="V30" s="5">
        <v>14.037517509792648</v>
      </c>
      <c r="W30" s="5">
        <v>5.5907186339947712</v>
      </c>
      <c r="X30" s="5">
        <v>13.106293950257596</v>
      </c>
      <c r="Y30" s="5">
        <v>4.2671694347594054</v>
      </c>
      <c r="Z30" s="5">
        <v>6.2134482321591555</v>
      </c>
      <c r="AA30" s="5">
        <v>6.7920009240059702</v>
      </c>
      <c r="AB30" s="5">
        <v>36.131230946324443</v>
      </c>
      <c r="AC30" s="5">
        <v>41.592207389165132</v>
      </c>
      <c r="AD30" s="5">
        <v>175.64256520250441</v>
      </c>
      <c r="AE30" s="5">
        <v>15.07330201411115</v>
      </c>
      <c r="AF30" s="5">
        <v>17.94579945413625</v>
      </c>
      <c r="AG30" s="5">
        <v>15.287505244358922</v>
      </c>
    </row>
    <row r="31" spans="1:33" ht="12.75" customHeight="1">
      <c r="A31" s="14">
        <v>2004</v>
      </c>
      <c r="B31" s="4">
        <v>2.7978653977180366</v>
      </c>
      <c r="C31" s="5">
        <v>1.492363261037027</v>
      </c>
      <c r="D31" s="5">
        <v>1.9689983793362327</v>
      </c>
      <c r="E31" s="5">
        <v>57.081007085368952</v>
      </c>
      <c r="F31" s="5">
        <v>1.3030500721647071</v>
      </c>
      <c r="G31" s="5">
        <v>0.3022538440858582</v>
      </c>
      <c r="H31" s="5">
        <v>0.37617462805044005</v>
      </c>
      <c r="I31" s="5">
        <v>1.3374374343177651</v>
      </c>
      <c r="J31" s="5">
        <v>0.28683599186660902</v>
      </c>
      <c r="K31" s="5">
        <v>0.81432485975139213</v>
      </c>
      <c r="L31" s="5">
        <v>0.6497021771876339</v>
      </c>
      <c r="M31" s="5">
        <v>1.3904727686243112</v>
      </c>
      <c r="N31" s="5">
        <v>1.0127394861386685</v>
      </c>
      <c r="O31" s="5">
        <v>17.961716154933772</v>
      </c>
      <c r="P31" s="5">
        <v>6.4144277781084007</v>
      </c>
      <c r="Q31" s="5">
        <v>7.1401852631034668</v>
      </c>
      <c r="R31" s="5">
        <v>6.4589554619602918</v>
      </c>
      <c r="S31" s="5">
        <v>13.085646196066193</v>
      </c>
      <c r="T31" s="5">
        <v>31.257011953313683</v>
      </c>
      <c r="U31" s="5">
        <v>8.5922788966740899</v>
      </c>
      <c r="V31" s="5">
        <v>12.549636368753509</v>
      </c>
      <c r="W31" s="5">
        <v>5.81036800450239</v>
      </c>
      <c r="X31" s="5">
        <v>11.810936828118185</v>
      </c>
      <c r="Y31" s="5">
        <v>4.9073764433151084</v>
      </c>
      <c r="Z31" s="5">
        <v>5.4543663683185439</v>
      </c>
      <c r="AA31" s="5">
        <v>6.0725045221815739</v>
      </c>
      <c r="AB31" s="5">
        <v>29.536762825200086</v>
      </c>
      <c r="AC31" s="5">
        <v>31.898887563279978</v>
      </c>
      <c r="AD31" s="5">
        <v>131.77898804875585</v>
      </c>
      <c r="AE31" s="5">
        <v>12.832946643016317</v>
      </c>
      <c r="AF31" s="5">
        <v>20.171132531739524</v>
      </c>
      <c r="AG31" s="5">
        <v>17.341396522269356</v>
      </c>
    </row>
    <row r="32" spans="1:33" ht="12.75" customHeight="1">
      <c r="A32" s="14">
        <v>2005</v>
      </c>
      <c r="B32" s="4">
        <v>2.7354607222433316</v>
      </c>
      <c r="C32" s="5">
        <v>1.4205823533487916</v>
      </c>
      <c r="D32" s="5">
        <v>2.0533980553811282</v>
      </c>
      <c r="E32" s="5">
        <v>50.640875664764991</v>
      </c>
      <c r="F32" s="5">
        <v>1.2559721050864452</v>
      </c>
      <c r="G32" s="5">
        <v>0.30225520479285001</v>
      </c>
      <c r="H32" s="5">
        <v>0.20468164273985692</v>
      </c>
      <c r="I32" s="5">
        <v>1.1237719064275515</v>
      </c>
      <c r="J32" s="5">
        <v>0.18218888960045129</v>
      </c>
      <c r="K32" s="5">
        <v>0.82807767239860242</v>
      </c>
      <c r="L32" s="5">
        <v>0.6159533978748023</v>
      </c>
      <c r="M32" s="5">
        <v>0.62250934680226122</v>
      </c>
      <c r="N32" s="5">
        <v>1.0031415890978579</v>
      </c>
      <c r="O32" s="5">
        <v>22.076024026226207</v>
      </c>
      <c r="P32" s="5">
        <v>6.2337850508612354</v>
      </c>
      <c r="Q32" s="5">
        <v>6.6557763125654326</v>
      </c>
      <c r="R32" s="5">
        <v>5.6336684569494837</v>
      </c>
      <c r="S32" s="5">
        <v>6.4296048704831765</v>
      </c>
      <c r="T32" s="5">
        <v>30.634455825324011</v>
      </c>
      <c r="U32" s="5">
        <v>10.413865580702396</v>
      </c>
      <c r="V32" s="5">
        <v>13.112807586500445</v>
      </c>
      <c r="W32" s="5">
        <v>6.4174979977278799</v>
      </c>
      <c r="X32" s="5">
        <v>11.940226124413444</v>
      </c>
      <c r="Y32" s="5">
        <v>4.4607704919402948</v>
      </c>
      <c r="Z32" s="5">
        <v>5.0540634489316787</v>
      </c>
      <c r="AA32" s="5">
        <v>5.6714114539933016</v>
      </c>
      <c r="AB32" s="5">
        <v>36.827601436205761</v>
      </c>
      <c r="AC32" s="5">
        <v>22.166677750504256</v>
      </c>
      <c r="AD32" s="5">
        <v>200.7021133143445</v>
      </c>
      <c r="AE32" s="5">
        <v>10.278809871795154</v>
      </c>
      <c r="AF32" s="5">
        <v>14.358738893565757</v>
      </c>
      <c r="AG32" s="5">
        <v>13.220324611353966</v>
      </c>
    </row>
    <row r="33" spans="1:33" ht="12.75" customHeight="1">
      <c r="A33" s="14">
        <v>2006</v>
      </c>
      <c r="B33" s="4">
        <v>3.0462566583494555</v>
      </c>
      <c r="C33" s="5">
        <v>1.3899913840627947</v>
      </c>
      <c r="D33" s="5">
        <v>2.0514514300698599</v>
      </c>
      <c r="E33" s="5">
        <v>56.542934835175892</v>
      </c>
      <c r="F33" s="5">
        <v>1.4051243740813688</v>
      </c>
      <c r="G33" s="5">
        <v>0.31012349297286379</v>
      </c>
      <c r="H33" s="5">
        <v>0.29965065900778015</v>
      </c>
      <c r="I33" s="5">
        <v>1.144030644915081</v>
      </c>
      <c r="J33" s="5">
        <v>0.18351101880973633</v>
      </c>
      <c r="K33" s="5">
        <v>0.89237324838554788</v>
      </c>
      <c r="L33" s="5">
        <v>0.74541385166760932</v>
      </c>
      <c r="M33" s="5">
        <v>0.67480573895795137</v>
      </c>
      <c r="N33" s="5">
        <v>0.91816828154812358</v>
      </c>
      <c r="O33" s="5">
        <v>22.213477320771457</v>
      </c>
      <c r="P33" s="5">
        <v>7.0148443521909387</v>
      </c>
      <c r="Q33" s="5">
        <v>7.2182784315171213</v>
      </c>
      <c r="R33" s="5">
        <v>6.3986852466096531</v>
      </c>
      <c r="S33" s="5">
        <v>5.9036468250166827</v>
      </c>
      <c r="T33" s="5">
        <v>25.947835488700811</v>
      </c>
      <c r="U33" s="5">
        <v>12.199761825510386</v>
      </c>
      <c r="V33" s="5">
        <v>15.41056757573512</v>
      </c>
      <c r="W33" s="5">
        <v>6.2304307131169523</v>
      </c>
      <c r="X33" s="5">
        <v>10.478875323543075</v>
      </c>
      <c r="Y33" s="5">
        <v>4.5907521964218532</v>
      </c>
      <c r="Z33" s="5">
        <v>4.8358493943328602</v>
      </c>
      <c r="AA33" s="5">
        <v>6.1923311302852326</v>
      </c>
      <c r="AB33" s="5">
        <v>37.666077037859978</v>
      </c>
      <c r="AC33" s="5">
        <v>30.260595230831104</v>
      </c>
      <c r="AD33" s="5">
        <v>125.51079745972474</v>
      </c>
      <c r="AE33" s="5">
        <v>9.1598947749035062</v>
      </c>
      <c r="AF33" s="5">
        <v>16.511366665314039</v>
      </c>
      <c r="AG33" s="5">
        <v>4.9797616421972473</v>
      </c>
    </row>
    <row r="34" spans="1:33" ht="12.75" customHeight="1">
      <c r="A34" s="14">
        <v>2007</v>
      </c>
      <c r="B34" s="4">
        <v>3.1204051095415677</v>
      </c>
      <c r="C34" s="5">
        <v>1.3350054769573334</v>
      </c>
      <c r="D34" s="5">
        <v>1.7920586900368005</v>
      </c>
      <c r="E34" s="5">
        <v>58.07372649362631</v>
      </c>
      <c r="F34" s="5">
        <v>1.3337563130492107</v>
      </c>
      <c r="G34" s="5">
        <v>0.30922270494430021</v>
      </c>
      <c r="H34" s="5">
        <v>0.2751242569642548</v>
      </c>
      <c r="I34" s="5">
        <v>1.2143967071498341</v>
      </c>
      <c r="J34" s="5">
        <v>0.18761518070068908</v>
      </c>
      <c r="K34" s="5">
        <v>0.95207873177625058</v>
      </c>
      <c r="L34" s="5">
        <v>0.66926551945967183</v>
      </c>
      <c r="M34" s="5">
        <v>0.69949853711741117</v>
      </c>
      <c r="N34" s="5">
        <v>0.95165072655051364</v>
      </c>
      <c r="O34" s="5">
        <v>21.634441361565127</v>
      </c>
      <c r="P34" s="5">
        <v>7.5695340426390976</v>
      </c>
      <c r="Q34" s="5">
        <v>7.5659134792307112</v>
      </c>
      <c r="R34" s="5">
        <v>6.4978164972995085</v>
      </c>
      <c r="S34" s="5">
        <v>6.2885845039386545</v>
      </c>
      <c r="T34" s="5">
        <v>26.573385823084003</v>
      </c>
      <c r="U34" s="5">
        <v>10.777371062936396</v>
      </c>
      <c r="V34" s="5">
        <v>15.894416874053551</v>
      </c>
      <c r="W34" s="5">
        <v>6.2697044173397645</v>
      </c>
      <c r="X34" s="5">
        <v>12.130608161282295</v>
      </c>
      <c r="Y34" s="5">
        <v>4.6892002473707564</v>
      </c>
      <c r="Z34" s="5">
        <v>3.6782658299777462</v>
      </c>
      <c r="AA34" s="5">
        <v>5.5447161143708064</v>
      </c>
      <c r="AB34" s="5">
        <v>32.328159922669407</v>
      </c>
      <c r="AC34" s="5">
        <v>26.334594004753626</v>
      </c>
      <c r="AD34" s="5">
        <v>199.31909159701667</v>
      </c>
      <c r="AE34" s="5">
        <v>13.532926100660356</v>
      </c>
      <c r="AF34" s="5">
        <v>20.191551749279746</v>
      </c>
      <c r="AG34" s="5">
        <v>8.1304091265878213</v>
      </c>
    </row>
    <row r="35" spans="1:33" ht="12.75" customHeight="1">
      <c r="A35" s="14">
        <v>2008</v>
      </c>
      <c r="B35" s="4">
        <v>3.1374535628013729</v>
      </c>
      <c r="C35" s="5">
        <v>1.4974607927689987</v>
      </c>
      <c r="D35" s="5">
        <v>2.1746165037465048</v>
      </c>
      <c r="E35" s="5">
        <v>53.656878176977074</v>
      </c>
      <c r="F35" s="5">
        <v>1.216748138225529</v>
      </c>
      <c r="G35" s="5">
        <v>0.26685164992701516</v>
      </c>
      <c r="H35" s="5">
        <v>0.29559614725482669</v>
      </c>
      <c r="I35" s="5">
        <v>1.2880088991809837</v>
      </c>
      <c r="J35" s="5">
        <v>7.2979443344059133E-2</v>
      </c>
      <c r="K35" s="5">
        <v>0.81858011111708173</v>
      </c>
      <c r="L35" s="5">
        <v>0.51187816760835569</v>
      </c>
      <c r="M35" s="5">
        <v>0.79255965771334125</v>
      </c>
      <c r="N35" s="5">
        <v>0.81758668489715225</v>
      </c>
      <c r="O35" s="5">
        <v>21.067639532335921</v>
      </c>
      <c r="P35" s="5">
        <v>7.6012353430274953</v>
      </c>
      <c r="Q35" s="5">
        <v>7.5615823807713971</v>
      </c>
      <c r="R35" s="5">
        <v>7.8533462833498113</v>
      </c>
      <c r="S35" s="5">
        <v>6.1994410048202537</v>
      </c>
      <c r="T35" s="5">
        <v>24.257257838649721</v>
      </c>
      <c r="U35" s="5">
        <v>9.4967532079527395</v>
      </c>
      <c r="V35" s="5">
        <v>16.40657473298592</v>
      </c>
      <c r="W35" s="5">
        <v>6.1463609560483796</v>
      </c>
      <c r="X35" s="5">
        <v>11.227004063992759</v>
      </c>
      <c r="Y35" s="5">
        <v>4.4230932888221988</v>
      </c>
      <c r="Z35" s="5">
        <v>4.4627211520041055</v>
      </c>
      <c r="AA35" s="5">
        <v>5.8791193674031792</v>
      </c>
      <c r="AB35" s="5">
        <v>33.874350168453148</v>
      </c>
      <c r="AC35" s="5">
        <v>32.262546624753384</v>
      </c>
      <c r="AD35" s="5">
        <v>149.01942316582972</v>
      </c>
      <c r="AE35" s="5">
        <v>10.449997026803937</v>
      </c>
      <c r="AF35" s="5">
        <v>15.954869262623353</v>
      </c>
      <c r="AG35" s="5">
        <v>12.582754049808095</v>
      </c>
    </row>
    <row r="36" spans="1:33" ht="12.75" customHeight="1">
      <c r="A36" s="14">
        <v>2009</v>
      </c>
      <c r="B36" s="4">
        <f>[1]Hoja1!B36/[1]Hoja2!B36</f>
        <v>3.1374535628013729</v>
      </c>
      <c r="C36" s="4">
        <f>[1]Hoja1!C36/[1]Hoja2!C36</f>
        <v>1.4974607927689987</v>
      </c>
      <c r="D36" s="4">
        <f>[1]Hoja1!D36/[1]Hoja2!D36</f>
        <v>2.1746165037465048</v>
      </c>
      <c r="E36" s="4">
        <f>[1]Hoja1!E36/[1]Hoja2!E36</f>
        <v>53.656878176977074</v>
      </c>
      <c r="F36" s="4">
        <f>[1]Hoja1!F36/[1]Hoja2!F36</f>
        <v>1.216748138225529</v>
      </c>
      <c r="G36" s="4">
        <f>[1]Hoja1!G36/[1]Hoja2!G36</f>
        <v>0.26685164992701516</v>
      </c>
      <c r="H36" s="4">
        <f>[1]Hoja1!H36/[1]Hoja2!H36</f>
        <v>0.29559614725482669</v>
      </c>
      <c r="I36" s="4">
        <f>[1]Hoja1!I36/[1]Hoja2!I36</f>
        <v>1.2880088991809837</v>
      </c>
      <c r="J36" s="4">
        <f>[1]Hoja1!J36/[1]Hoja2!J36</f>
        <v>7.2979443344059133E-2</v>
      </c>
      <c r="K36" s="4">
        <f>[1]Hoja1!K36/[1]Hoja2!K36</f>
        <v>0.81858011111708173</v>
      </c>
      <c r="L36" s="4">
        <f>[1]Hoja1!L36/[1]Hoja2!L36</f>
        <v>0.51187816760835569</v>
      </c>
      <c r="M36" s="4">
        <f>[1]Hoja1!M36/[1]Hoja2!M36</f>
        <v>0.79255965771334125</v>
      </c>
      <c r="N36" s="4">
        <f>[1]Hoja1!N36/[1]Hoja2!N36</f>
        <v>0.81758668489715225</v>
      </c>
      <c r="O36" s="4">
        <f>[1]Hoja1!O36/[1]Hoja2!O36</f>
        <v>21.067639532335921</v>
      </c>
      <c r="P36" s="4">
        <f>[1]Hoja1!P36/[1]Hoja2!P36</f>
        <v>7.6012353430274953</v>
      </c>
      <c r="Q36" s="4">
        <f>[1]Hoja1!Q36/[1]Hoja2!Q36</f>
        <v>7.5615823807713971</v>
      </c>
      <c r="R36" s="4">
        <f>[1]Hoja1!R36/[1]Hoja2!R36</f>
        <v>7.8533462833498113</v>
      </c>
      <c r="S36" s="4">
        <f>[1]Hoja1!S36/[1]Hoja2!S36</f>
        <v>6.1994410048202537</v>
      </c>
      <c r="T36" s="4">
        <f>[1]Hoja1!T36/[1]Hoja2!T36</f>
        <v>24.257257838649721</v>
      </c>
      <c r="U36" s="4">
        <f>[1]Hoja1!U36/[1]Hoja2!U36</f>
        <v>9.4967532079527395</v>
      </c>
      <c r="V36" s="4">
        <f>[1]Hoja1!V36/[1]Hoja2!V36</f>
        <v>16.40657473298592</v>
      </c>
      <c r="W36" s="4">
        <f>[1]Hoja1!W36/[1]Hoja2!W36</f>
        <v>6.1463609560483796</v>
      </c>
      <c r="X36" s="4">
        <f>[1]Hoja1!X36/[1]Hoja2!X36</f>
        <v>11.227004063992759</v>
      </c>
      <c r="Y36" s="4">
        <f>[1]Hoja1!Y36/[1]Hoja2!Y36</f>
        <v>4.4230932888221988</v>
      </c>
      <c r="Z36" s="4">
        <f>[1]Hoja1!Z36/[1]Hoja2!Z36</f>
        <v>4.4627211520041055</v>
      </c>
      <c r="AA36" s="4">
        <f>[1]Hoja1!AA36/[1]Hoja2!AA36</f>
        <v>5.8791193674031792</v>
      </c>
      <c r="AB36" s="4">
        <f>[1]Hoja1!AB36/[1]Hoja2!AB36</f>
        <v>33.874350168453148</v>
      </c>
      <c r="AC36" s="4">
        <f>[1]Hoja1!AC36/[1]Hoja2!AC36</f>
        <v>32.262546624753384</v>
      </c>
      <c r="AD36" s="4">
        <f>[1]Hoja1!AD36/[1]Hoja2!AD36</f>
        <v>149.01942316582972</v>
      </c>
      <c r="AE36" s="4">
        <f>[1]Hoja1!AE36/[1]Hoja2!AE36</f>
        <v>10.449997026803937</v>
      </c>
      <c r="AF36" s="4">
        <f>[1]Hoja1!AF36/[1]Hoja2!AF36</f>
        <v>15.954869262623353</v>
      </c>
      <c r="AG36" s="4">
        <f>[1]Hoja1!AG36/[1]Hoja2!AG36</f>
        <v>12.582754049808095</v>
      </c>
    </row>
    <row r="37" spans="1:33" s="7" customFormat="1" ht="12.75" customHeight="1">
      <c r="A37" s="14">
        <v>2010</v>
      </c>
      <c r="B37" s="4">
        <f>[1]Hoja1!B37/[1]Hoja2!B37</f>
        <v>3.0292858582068938</v>
      </c>
      <c r="C37" s="4">
        <f>[1]Hoja1!C37/[1]Hoja2!C37</f>
        <v>1.4644329876078392</v>
      </c>
      <c r="D37" s="4">
        <f>[1]Hoja1!D37/[1]Hoja2!D37</f>
        <v>1.935811302303535</v>
      </c>
      <c r="E37" s="4">
        <f>[1]Hoja1!E37/[1]Hoja2!E37</f>
        <v>54.05998128309394</v>
      </c>
      <c r="F37" s="4">
        <f>[1]Hoja1!F37/[1]Hoja2!F37</f>
        <v>1.4672089830948074</v>
      </c>
      <c r="G37" s="4">
        <f>[1]Hoja1!G37/[1]Hoja2!G37</f>
        <v>0.28460887616984792</v>
      </c>
      <c r="H37" s="4">
        <f>[1]Hoja1!H37/[1]Hoja2!H37</f>
        <v>0.35892659875994642</v>
      </c>
      <c r="I37" s="4">
        <f>[1]Hoja1!I37/[1]Hoja2!I37</f>
        <v>1.2748937309058093</v>
      </c>
      <c r="J37" s="4">
        <f>[1]Hoja1!J37/[1]Hoja2!J37</f>
        <v>0.18305591206935912</v>
      </c>
      <c r="K37" s="4">
        <f>[1]Hoja1!K37/[1]Hoja2!K37</f>
        <v>1.0509834016603274</v>
      </c>
      <c r="L37" s="4">
        <f>[1]Hoja1!L37/[1]Hoja2!L37</f>
        <v>0.68705704694655645</v>
      </c>
      <c r="M37" s="4">
        <f>[1]Hoja1!M37/[1]Hoja2!M37</f>
        <v>0.84205264127228807</v>
      </c>
      <c r="N37" s="4">
        <f>[1]Hoja1!N37/[1]Hoja2!N37</f>
        <v>1.0614997841091731</v>
      </c>
      <c r="O37" s="4">
        <f>[1]Hoja1!O37/[1]Hoja2!O37</f>
        <v>21.968036414371305</v>
      </c>
      <c r="P37" s="4">
        <f>[1]Hoja1!P37/[1]Hoja2!P37</f>
        <v>7.7470977865021178</v>
      </c>
      <c r="Q37" s="4">
        <f>[1]Hoja1!Q37/[1]Hoja2!Q37</f>
        <v>7.7181780962960804</v>
      </c>
      <c r="R37" s="4">
        <f>[1]Hoja1!R37/[1]Hoja2!R37</f>
        <v>7.016401106107848</v>
      </c>
      <c r="S37" s="4">
        <f>[1]Hoja1!S37/[1]Hoja2!S37</f>
        <v>6.4580953146395164</v>
      </c>
      <c r="T37" s="4">
        <f>[1]Hoja1!T37/[1]Hoja2!T37</f>
        <v>32.640854793473238</v>
      </c>
      <c r="U37" s="4">
        <f>[1]Hoja1!U37/[1]Hoja2!U37</f>
        <v>12.325477224217215</v>
      </c>
      <c r="V37" s="4">
        <f>[1]Hoja1!V37/[1]Hoja2!V37</f>
        <v>17.295900398768339</v>
      </c>
      <c r="W37" s="4">
        <f>[1]Hoja1!W37/[1]Hoja2!W37</f>
        <v>5.7622390775139882</v>
      </c>
      <c r="X37" s="4">
        <f>[1]Hoja1!X37/[1]Hoja2!X37</f>
        <v>11.090382153971873</v>
      </c>
      <c r="Y37" s="4">
        <f>[1]Hoja1!Y37/[1]Hoja2!Y37</f>
        <v>4.4015623323474422</v>
      </c>
      <c r="Z37" s="4">
        <f>[1]Hoja1!Z37/[1]Hoja2!Z37</f>
        <v>5.0473487353834852</v>
      </c>
      <c r="AA37" s="4">
        <f>[1]Hoja1!AA37/[1]Hoja2!AA37</f>
        <v>5.2332255799912559</v>
      </c>
      <c r="AB37" s="4"/>
      <c r="AC37" s="4">
        <f>[1]Hoja1!AC37/[1]Hoja2!AC37</f>
        <v>25.664432984626288</v>
      </c>
      <c r="AD37" s="4">
        <f>[1]Hoja1!AD37/[1]Hoja2!AD37</f>
        <v>358.60814866708398</v>
      </c>
      <c r="AE37" s="4">
        <f>[1]Hoja1!AE37/[1]Hoja2!AE37</f>
        <v>14.440041328683311</v>
      </c>
      <c r="AF37" s="4">
        <f>[1]Hoja1!AF37/[1]Hoja2!AF37</f>
        <v>15.937100935391781</v>
      </c>
      <c r="AG37" s="4">
        <f>[1]Hoja1!AG37/[1]Hoja2!AG37</f>
        <v>12.996220625012986</v>
      </c>
    </row>
    <row r="38" spans="1:33" ht="12.75" customHeight="1">
      <c r="A38" s="17">
        <v>2011</v>
      </c>
      <c r="B38" s="8">
        <f>[1]Hoja1!B38/[1]Hoja2!B38</f>
        <v>3.1993945434724083</v>
      </c>
      <c r="C38" s="8">
        <f>[1]Hoja1!C38/[1]Hoja2!C38</f>
        <v>1.648181579220525</v>
      </c>
      <c r="D38" s="8">
        <f>[1]Hoja1!D38/[1]Hoja2!D38</f>
        <v>2.0706080294815128</v>
      </c>
      <c r="E38" s="8">
        <f>[1]Hoja1!E38/[1]Hoja2!E38</f>
        <v>57.490676281066364</v>
      </c>
      <c r="F38" s="8">
        <f>[1]Hoja1!F38/[1]Hoja2!F38</f>
        <v>0.64126490066225172</v>
      </c>
      <c r="G38" s="8">
        <f>[1]Hoja1!G38/[1]Hoja2!G38</f>
        <v>0.16405686252406099</v>
      </c>
      <c r="H38" s="8">
        <f>[1]Hoja1!H38/[1]Hoja2!H38</f>
        <v>0.38072256417308209</v>
      </c>
      <c r="I38" s="8">
        <f>[1]Hoja1!I38/[1]Hoja2!I38</f>
        <v>1.4296720964191292</v>
      </c>
      <c r="J38" s="8">
        <f>[1]Hoja1!J38/[1]Hoja2!J38</f>
        <v>0.1479711444348035</v>
      </c>
      <c r="K38" s="8">
        <f>[1]Hoja1!K38/[1]Hoja2!K38</f>
        <v>1.0111332177410497</v>
      </c>
      <c r="L38" s="8">
        <f>[1]Hoja1!L38/[1]Hoja2!L38</f>
        <v>0.75830484931509301</v>
      </c>
      <c r="M38" s="8">
        <f>[1]Hoja1!M38/[1]Hoja2!M38</f>
        <v>0.80726740762250937</v>
      </c>
      <c r="N38" s="8">
        <f>[1]Hoja1!N38/[1]Hoja2!N38</f>
        <v>1.0685744586729342</v>
      </c>
      <c r="O38" s="8">
        <f>[1]Hoja1!O38/[1]Hoja2!O38</f>
        <v>23.277513735640397</v>
      </c>
      <c r="P38" s="8">
        <f>[1]Hoja1!P38/[1]Hoja2!P38</f>
        <v>8.0902841448946461</v>
      </c>
      <c r="Q38" s="8">
        <f>[1]Hoja1!Q38/[1]Hoja2!Q38</f>
        <v>8.5092380636051459</v>
      </c>
      <c r="R38" s="8">
        <f>[1]Hoja1!R38/[1]Hoja2!R38</f>
        <v>6.9340364961916601</v>
      </c>
      <c r="S38" s="8">
        <f>[1]Hoja1!S38/[1]Hoja2!S38</f>
        <v>6.6404546891414631</v>
      </c>
      <c r="T38" s="8">
        <f>[1]Hoja1!T38/[1]Hoja2!T38</f>
        <v>36.147313871037035</v>
      </c>
      <c r="U38" s="8">
        <f>[1]Hoja1!U38/[1]Hoja2!U38</f>
        <v>11.722357757320886</v>
      </c>
      <c r="V38" s="8">
        <f>[1]Hoja1!V38/[1]Hoja2!V38</f>
        <v>18.146174156936858</v>
      </c>
      <c r="W38" s="8">
        <f>[1]Hoja1!W38/[1]Hoja2!W38</f>
        <v>5.7645260295805762</v>
      </c>
      <c r="X38" s="8">
        <f>[1]Hoja1!X38/[1]Hoja2!X38</f>
        <v>14.17607488594977</v>
      </c>
      <c r="Y38" s="8">
        <f>[1]Hoja1!Y38/[1]Hoja2!Y38</f>
        <v>4.7370495074755148</v>
      </c>
      <c r="Z38" s="8">
        <f>[1]Hoja1!Z38/[1]Hoja2!Z38</f>
        <v>5.2057772701387943</v>
      </c>
      <c r="AA38" s="8">
        <f>[1]Hoja1!AA38/[1]Hoja2!AA38</f>
        <v>4.8535949942196552</v>
      </c>
      <c r="AB38" s="8"/>
      <c r="AC38" s="8">
        <f>[1]Hoja1!AC38/[1]Hoja2!AC38</f>
        <v>27.34300480621539</v>
      </c>
      <c r="AD38" s="8">
        <f>[1]Hoja1!AD38/[1]Hoja2!AD38</f>
        <v>309.93548878006521</v>
      </c>
      <c r="AE38" s="8">
        <f>[1]Hoja1!AE38/[1]Hoja2!AE38</f>
        <v>17.902552915583424</v>
      </c>
      <c r="AF38" s="8">
        <f>[1]Hoja1!AF38/[1]Hoja2!AF38</f>
        <v>16.671238033980394</v>
      </c>
      <c r="AG38" s="8">
        <f>[1]Hoja1!AG38/[1]Hoja2!AG38</f>
        <v>14.930950192686495</v>
      </c>
    </row>
    <row r="39" spans="1:33" ht="4.5" customHeight="1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>
      <c r="A40" s="9" t="s">
        <v>34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1"/>
      <c r="AG40" s="10"/>
    </row>
    <row r="41" spans="1:33">
      <c r="A41" s="9" t="s">
        <v>35</v>
      </c>
      <c r="AF41" s="7"/>
      <c r="AG41" s="10"/>
    </row>
    <row r="42" spans="1:33">
      <c r="A42" s="12" t="s">
        <v>36</v>
      </c>
      <c r="AF42" s="7"/>
    </row>
    <row r="43" spans="1:33">
      <c r="A43" s="12" t="s">
        <v>37</v>
      </c>
      <c r="AF43" s="7"/>
    </row>
    <row r="44" spans="1:33">
      <c r="A44" s="12" t="s">
        <v>38</v>
      </c>
      <c r="AF44" s="7"/>
    </row>
    <row r="45" spans="1:33">
      <c r="A45" s="12" t="s">
        <v>40</v>
      </c>
      <c r="AF45" s="7"/>
    </row>
  </sheetData>
  <mergeCells count="3">
    <mergeCell ref="A2:AG2"/>
    <mergeCell ref="A3:AG3"/>
    <mergeCell ref="A4:AG4"/>
  </mergeCells>
  <phoneticPr fontId="4" type="noConversion"/>
  <pageMargins left="0.78740157480314965" right="0.78740157480314965" top="0.23622047244094491" bottom="0.19685039370078741" header="0" footer="0"/>
  <pageSetup pageOrder="overThenDown" orientation="landscape" horizontalDpi="4294967293" verticalDpi="0" r:id="rId1"/>
  <headerFooter alignWithMargins="0">
    <oddFooter>&amp;L&amp;"Franklin Gothic Book,Normal"&amp;8&amp;F&amp;R&amp;"Franklin Gothic Book,Normal"&amp;8Página 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 1981-2011</vt:lpstr>
    </vt:vector>
  </TitlesOfParts>
  <Company>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dilenia.herrera</dc:creator>
  <cp:lastModifiedBy>Mary.Rodriguez</cp:lastModifiedBy>
  <cp:lastPrinted>2011-07-28T14:01:26Z</cp:lastPrinted>
  <dcterms:created xsi:type="dcterms:W3CDTF">2008-12-12T13:16:47Z</dcterms:created>
  <dcterms:modified xsi:type="dcterms:W3CDTF">2012-07-12T14:51:03Z</dcterms:modified>
</cp:coreProperties>
</file>