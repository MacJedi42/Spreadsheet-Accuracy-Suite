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calcPr calcId="145621"/>
</workbook>
</file>

<file path=xl/calcChain.xml><?xml version="1.0" encoding="utf-8"?>
<calcChain xmlns="http://schemas.openxmlformats.org/spreadsheetml/2006/main">
  <c r="B30" i="1" l="1"/>
  <c r="B29" i="1"/>
  <c r="B28" i="1"/>
  <c r="B27" i="1"/>
  <c r="B26" i="1"/>
  <c r="B25" i="1"/>
  <c r="B24" i="1"/>
  <c r="B23" i="1"/>
  <c r="B22" i="1"/>
  <c r="B19" i="1"/>
  <c r="B18" i="1"/>
  <c r="B17" i="1"/>
  <c r="B16" i="1"/>
  <c r="B15" i="1"/>
  <c r="B14" i="1"/>
  <c r="B13" i="1"/>
  <c r="B12" i="1"/>
  <c r="B11" i="1"/>
  <c r="B8" i="1"/>
  <c r="B7" i="1"/>
  <c r="B6" i="1"/>
  <c r="B5" i="1"/>
  <c r="C3" i="1" l="1"/>
  <c r="C29" i="1" l="1"/>
  <c r="C27" i="1"/>
  <c r="C25" i="1"/>
  <c r="C23" i="1"/>
  <c r="C19" i="1"/>
  <c r="C17" i="1"/>
  <c r="C15" i="1"/>
  <c r="C13" i="1"/>
  <c r="C11" i="1"/>
  <c r="C7" i="1"/>
  <c r="C5" i="1"/>
  <c r="C30" i="1"/>
  <c r="C28" i="1"/>
  <c r="C26" i="1"/>
  <c r="C24" i="1"/>
  <c r="C22" i="1"/>
  <c r="C18" i="1"/>
  <c r="C16" i="1"/>
  <c r="C14" i="1"/>
  <c r="C12" i="1"/>
  <c r="C8" i="1"/>
  <c r="C6" i="1"/>
  <c r="D3" i="1"/>
  <c r="D30" i="1" l="1"/>
  <c r="D28" i="1"/>
  <c r="D26" i="1"/>
  <c r="D24" i="1"/>
  <c r="D22" i="1"/>
  <c r="D18" i="1"/>
  <c r="D16" i="1"/>
  <c r="D14" i="1"/>
  <c r="D12" i="1"/>
  <c r="D8" i="1"/>
  <c r="D6" i="1"/>
  <c r="D29" i="1"/>
  <c r="D27" i="1"/>
  <c r="D25" i="1"/>
  <c r="D23" i="1"/>
  <c r="D19" i="1"/>
  <c r="D17" i="1"/>
  <c r="D15" i="1"/>
  <c r="D13" i="1"/>
  <c r="D11" i="1"/>
  <c r="D7" i="1"/>
  <c r="D5" i="1"/>
  <c r="E3" i="1"/>
  <c r="E29" i="1" l="1"/>
  <c r="E27" i="1"/>
  <c r="E25" i="1"/>
  <c r="E23" i="1"/>
  <c r="E19" i="1"/>
  <c r="E17" i="1"/>
  <c r="E15" i="1"/>
  <c r="E13" i="1"/>
  <c r="E11" i="1"/>
  <c r="E7" i="1"/>
  <c r="E5" i="1"/>
  <c r="E30" i="1"/>
  <c r="E28" i="1"/>
  <c r="E26" i="1"/>
  <c r="E24" i="1"/>
  <c r="E22" i="1"/>
  <c r="E18" i="1"/>
  <c r="E16" i="1"/>
  <c r="E14" i="1"/>
  <c r="E12" i="1"/>
  <c r="E8" i="1"/>
  <c r="E6" i="1"/>
  <c r="F3" i="1"/>
  <c r="F30" i="1" l="1"/>
  <c r="F28" i="1"/>
  <c r="F26" i="1"/>
  <c r="F24" i="1"/>
  <c r="F22" i="1"/>
  <c r="F18" i="1"/>
  <c r="F16" i="1"/>
  <c r="F14" i="1"/>
  <c r="F12" i="1"/>
  <c r="F8" i="1"/>
  <c r="F6" i="1"/>
  <c r="F29" i="1"/>
  <c r="F27" i="1"/>
  <c r="F25" i="1"/>
  <c r="F23" i="1"/>
  <c r="F19" i="1"/>
  <c r="F17" i="1"/>
  <c r="F15" i="1"/>
  <c r="F13" i="1"/>
  <c r="F11" i="1"/>
  <c r="F7" i="1"/>
  <c r="F5" i="1"/>
</calcChain>
</file>

<file path=xl/sharedStrings.xml><?xml version="1.0" encoding="utf-8"?>
<sst xmlns="http://schemas.openxmlformats.org/spreadsheetml/2006/main" count="48" uniqueCount="32">
  <si>
    <t>Gender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</si>
  <si>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</si>
  <si>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</si>
  <si>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</si>
  <si>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</si>
  <si>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</si>
  <si>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</si>
  <si>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</si>
  <si>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</si>
  <si>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</si>
  <si>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</si>
  <si>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</si>
  <si>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</si>
  <si>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</si>
  <si>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</si>
  <si>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</si>
  <si>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</si>
  <si>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</si>
  <si>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</si>
  <si>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</si>
  <si>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</si>
  <si>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</si>
  <si>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Retention Rates</t>
  </si>
  <si>
    <t>50 +</t>
  </si>
  <si>
    <t>AY 07-08</t>
  </si>
  <si>
    <t>A08-09</t>
  </si>
  <si>
    <t>AY09-10</t>
  </si>
  <si>
    <t>AY10-11</t>
  </si>
  <si>
    <t>AY-11-12</t>
  </si>
  <si>
    <t>MSJC BASIC SKILLS LEVEL DATA</t>
  </si>
  <si>
    <t>BASIC SKILLS = Courses under 70 level</t>
  </si>
  <si>
    <t>#3  Course Retention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</si>
</sst>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18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/>
    <xf numFmtId="0" fontId="1" fillId="0" borderId="0" xfId="0" applyFont="1"/>
    <xf numFmtId="0" fontId="22" fillId="0" borderId="13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22" fillId="0" borderId="10" xfId="2" applyFont="1" applyBorder="1" applyAlignment="1">
      <alignment horizontal="center"/>
    </xf>
    <xf numFmtId="0" fontId="26" fillId="33" borderId="20" xfId="2" applyFont="1" applyFill="1" applyBorder="1" applyAlignment="1">
      <alignment wrapText="1"/>
    </xf>
    <xf numFmtId="0" fontId="21" fillId="0" borderId="19" xfId="2" applyFont="1" applyFill="1" applyBorder="1" applyAlignment="1">
      <alignment wrapText="1"/>
    </xf>
    <xf numFmtId="0" fontId="21" fillId="0" borderId="20" xfId="2" applyFont="1" applyFill="1" applyBorder="1" applyAlignment="1">
      <alignment wrapText="1"/>
    </xf>
    <xf numFmtId="0" fontId="21" fillId="0" borderId="16" xfId="2" applyFont="1" applyFill="1" applyBorder="1" applyAlignment="1">
      <alignment horizontal="left" vertical="center" wrapText="1"/>
    </xf>
    <xf numFmtId="0" fontId="22" fillId="0" borderId="14" xfId="2" applyFont="1" applyFill="1" applyBorder="1" applyAlignment="1">
      <alignment horizontal="center" vertical="center" wrapText="1"/>
    </xf>
    <xf numFmtId="0" fontId="23" fillId="0" borderId="0" xfId="2" applyFont="1" applyBorder="1" applyAlignment="1">
      <alignment horizontal="center"/>
    </xf>
    <xf numFmtId="0" fontId="24" fillId="0" borderId="15" xfId="2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8" xfId="0" applyBorder="1" applyAlignment="1">
      <alignment horizontal="center"/>
    </xf>
    <xf numFmtId="0" fontId="16" fillId="0" borderId="16" xfId="2" applyFont="1" applyBorder="1"/>
    <xf numFmtId="0" fontId="16" fillId="0" borderId="17" xfId="2" applyFont="1" applyBorder="1"/>
    <xf numFmtId="0" fontId="21" fillId="0" borderId="24" xfId="49" applyFont="1" applyBorder="1" applyAlignment="1" applyProtection="1"/>
    <xf numFmtId="0" fontId="21" fillId="0" borderId="17" xfId="49" applyFont="1" applyBorder="1" applyAlignment="1" applyProtection="1"/>
    <xf numFmtId="0" fontId="21" fillId="0" borderId="21" xfId="49" applyFont="1" applyBorder="1" applyAlignment="1" applyProtection="1"/>
    <xf numFmtId="0" fontId="16" fillId="0" borderId="23" xfId="2" applyFont="1" applyBorder="1" applyAlignment="1">
      <alignment horizontal="right"/>
    </xf>
    <xf numFmtId="0" fontId="16" fillId="0" borderId="22" xfId="2" applyFont="1" applyBorder="1"/>
    <xf numFmtId="0" fontId="24" fillId="0" borderId="21" xfId="2" applyFont="1" applyBorder="1" applyAlignment="1"/>
    <xf numFmtId="0" fontId="24" fillId="0" borderId="12" xfId="2" applyFont="1" applyBorder="1" applyAlignment="1"/>
    <xf numFmtId="9" fontId="23" fillId="0" borderId="11" xfId="117" applyFont="1" applyBorder="1" applyAlignment="1">
      <alignment horizontal="center" vertical="center"/>
    </xf>
    <xf numFmtId="0" fontId="25" fillId="0" borderId="23" xfId="2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25" fillId="0" borderId="25" xfId="2" applyFont="1" applyBorder="1" applyAlignment="1">
      <alignment horizontal="center" vertical="center" wrapText="1"/>
    </xf>
    <xf numFmtId="0" fontId="25" fillId="0" borderId="26" xfId="2" applyFont="1" applyBorder="1" applyAlignment="1">
      <alignment horizontal="center" vertical="center" wrapText="1"/>
    </xf>
    <xf numFmtId="0" fontId="27" fillId="0" borderId="27" xfId="2" applyFont="1" applyBorder="1" applyAlignment="1">
      <alignment horizontal="center"/>
    </xf>
    <xf numFmtId="0" fontId="27" fillId="0" borderId="11" xfId="2" applyFont="1" applyBorder="1" applyAlignment="1">
      <alignment horizontal="center"/>
    </xf>
  </cellXfs>
  <cellStyles count="118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Equity/1.District/3.%20Retention/retention%20base/base.retention%20-%20BS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Equity/1.District/2.%20Course%20Completion%20(Success)/base.graded%20-%20BS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ender"/>
      <sheetName val="ethnic"/>
      <sheetName val="age"/>
    </sheetNames>
    <sheetDataSet>
      <sheetData sheetId="0">
        <row r="1">
          <cell r="A1">
            <v>0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>
            <v>0</v>
          </cell>
          <cell r="H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</row>
        <row r="3">
          <cell r="A3" t="str">
            <v>#2  Course Completion</v>
          </cell>
          <cell r="B3" t="str">
            <v>MSJC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0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</row>
        <row r="5">
          <cell r="A5" t="str">
            <v>Gender</v>
          </cell>
          <cell r="B5" t="str">
            <v>Seats</v>
          </cell>
          <cell r="C5" t="str">
            <v>Seats</v>
          </cell>
          <cell r="D5" t="str">
            <v>Seats</v>
          </cell>
          <cell r="E5" t="str">
            <v>Seats</v>
          </cell>
          <cell r="F5" t="str">
            <v>Seats</v>
          </cell>
        </row>
        <row r="6">
          <cell r="A6" t="str">
            <v>Female</v>
          </cell>
          <cell r="B6">
            <v>3933</v>
          </cell>
          <cell r="C6">
            <v>4486</v>
          </cell>
          <cell r="D6">
            <v>4492</v>
          </cell>
          <cell r="E6">
            <v>3525</v>
          </cell>
          <cell r="F6">
            <v>2791</v>
          </cell>
        </row>
        <row r="7">
          <cell r="A7" t="str">
            <v>Male</v>
          </cell>
          <cell r="B7">
            <v>2183</v>
          </cell>
          <cell r="C7">
            <v>2382</v>
          </cell>
          <cell r="D7">
            <v>2572</v>
          </cell>
          <cell r="E7">
            <v>2072</v>
          </cell>
          <cell r="F7">
            <v>1648</v>
          </cell>
        </row>
        <row r="8">
          <cell r="A8" t="str">
            <v>Unknown</v>
          </cell>
          <cell r="B8">
            <v>76</v>
          </cell>
          <cell r="C8">
            <v>163</v>
          </cell>
          <cell r="D8">
            <v>120</v>
          </cell>
          <cell r="E8">
            <v>76</v>
          </cell>
          <cell r="F8">
            <v>53</v>
          </cell>
        </row>
        <row r="9">
          <cell r="A9" t="str">
            <v>AY Average</v>
          </cell>
          <cell r="B9">
            <v>6192</v>
          </cell>
          <cell r="C9">
            <v>7031</v>
          </cell>
          <cell r="D9">
            <v>7184</v>
          </cell>
          <cell r="E9">
            <v>5673</v>
          </cell>
          <cell r="F9">
            <v>4492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A11" t="str">
            <v>Ethnicity</v>
          </cell>
          <cell r="B11" t="str">
            <v>Seats</v>
          </cell>
          <cell r="C11" t="str">
            <v>Seats</v>
          </cell>
          <cell r="D11" t="str">
            <v>Seats</v>
          </cell>
          <cell r="E11" t="str">
            <v>Seats</v>
          </cell>
          <cell r="F11" t="str">
            <v>Seats</v>
          </cell>
        </row>
        <row r="12">
          <cell r="A12" t="str">
            <v>White</v>
          </cell>
          <cell r="B12">
            <v>2022</v>
          </cell>
          <cell r="C12">
            <v>2168</v>
          </cell>
          <cell r="D12">
            <v>2268</v>
          </cell>
          <cell r="E12">
            <v>1695</v>
          </cell>
          <cell r="F12">
            <v>1230</v>
          </cell>
        </row>
        <row r="13">
          <cell r="A13" t="str">
            <v>Hispanic</v>
          </cell>
          <cell r="B13">
            <v>2405</v>
          </cell>
          <cell r="C13">
            <v>2848</v>
          </cell>
          <cell r="D13">
            <v>2826</v>
          </cell>
          <cell r="E13">
            <v>2410</v>
          </cell>
          <cell r="F13">
            <v>2100</v>
          </cell>
        </row>
        <row r="14">
          <cell r="A14" t="str">
            <v>African American</v>
          </cell>
          <cell r="B14">
            <v>710</v>
          </cell>
          <cell r="C14">
            <v>788</v>
          </cell>
          <cell r="D14">
            <v>798</v>
          </cell>
          <cell r="E14">
            <v>593</v>
          </cell>
          <cell r="F14">
            <v>497</v>
          </cell>
        </row>
        <row r="15">
          <cell r="A15" t="str">
            <v>Asian</v>
          </cell>
          <cell r="B15">
            <v>212</v>
          </cell>
          <cell r="C15">
            <v>206</v>
          </cell>
          <cell r="D15">
            <v>225</v>
          </cell>
          <cell r="E15">
            <v>232</v>
          </cell>
          <cell r="F15">
            <v>167</v>
          </cell>
        </row>
        <row r="16">
          <cell r="A16" t="str">
            <v>Native American</v>
          </cell>
          <cell r="B16">
            <v>78</v>
          </cell>
          <cell r="C16">
            <v>105</v>
          </cell>
          <cell r="D16">
            <v>96</v>
          </cell>
          <cell r="E16">
            <v>66</v>
          </cell>
          <cell r="F16">
            <v>19</v>
          </cell>
        </row>
        <row r="17">
          <cell r="A17" t="str">
            <v>Filipino</v>
          </cell>
          <cell r="B17">
            <v>226</v>
          </cell>
          <cell r="C17">
            <v>217</v>
          </cell>
          <cell r="D17">
            <v>202</v>
          </cell>
          <cell r="E17">
            <v>160</v>
          </cell>
          <cell r="F17">
            <v>101</v>
          </cell>
        </row>
        <row r="18">
          <cell r="A18" t="str">
            <v>Pacific Islander</v>
          </cell>
          <cell r="B18">
            <v>50</v>
          </cell>
          <cell r="C18">
            <v>88</v>
          </cell>
          <cell r="D18">
            <v>59</v>
          </cell>
          <cell r="E18">
            <v>53</v>
          </cell>
          <cell r="F18">
            <v>25</v>
          </cell>
        </row>
        <row r="19">
          <cell r="A19" t="str">
            <v>Multi-Race</v>
          </cell>
          <cell r="B19">
            <v>95</v>
          </cell>
          <cell r="C19">
            <v>76</v>
          </cell>
          <cell r="D19">
            <v>143</v>
          </cell>
          <cell r="E19">
            <v>219</v>
          </cell>
          <cell r="F19">
            <v>226</v>
          </cell>
        </row>
        <row r="20">
          <cell r="A20" t="str">
            <v>Unknown</v>
          </cell>
          <cell r="B20">
            <v>393</v>
          </cell>
          <cell r="C20">
            <v>532</v>
          </cell>
          <cell r="D20">
            <v>544</v>
          </cell>
          <cell r="E20">
            <v>231</v>
          </cell>
          <cell r="F20">
            <v>101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A22" t="str">
            <v xml:space="preserve">Age </v>
          </cell>
          <cell r="B22" t="str">
            <v>Seats</v>
          </cell>
          <cell r="C22" t="str">
            <v>Seats</v>
          </cell>
          <cell r="D22" t="str">
            <v>Seats</v>
          </cell>
          <cell r="E22" t="str">
            <v>Seats</v>
          </cell>
          <cell r="F22" t="str">
            <v>Seats</v>
          </cell>
        </row>
        <row r="23">
          <cell r="A23" t="str">
            <v>&lt;18</v>
          </cell>
          <cell r="B23">
            <v>94</v>
          </cell>
          <cell r="C23">
            <v>84</v>
          </cell>
          <cell r="D23">
            <v>76</v>
          </cell>
          <cell r="E23">
            <v>65</v>
          </cell>
          <cell r="F23">
            <v>18</v>
          </cell>
        </row>
        <row r="24">
          <cell r="A24" t="str">
            <v>18 &amp; 19</v>
          </cell>
          <cell r="B24">
            <v>2532</v>
          </cell>
          <cell r="C24">
            <v>2872</v>
          </cell>
          <cell r="D24">
            <v>2352</v>
          </cell>
          <cell r="E24">
            <v>1884</v>
          </cell>
          <cell r="F24">
            <v>1522</v>
          </cell>
        </row>
        <row r="25">
          <cell r="A25" t="str">
            <v>20 to 24</v>
          </cell>
          <cell r="B25">
            <v>1405</v>
          </cell>
          <cell r="C25">
            <v>1629</v>
          </cell>
          <cell r="D25">
            <v>1804</v>
          </cell>
          <cell r="E25">
            <v>1574</v>
          </cell>
          <cell r="F25">
            <v>1382</v>
          </cell>
        </row>
        <row r="26">
          <cell r="A26" t="str">
            <v>25 to 29</v>
          </cell>
          <cell r="B26">
            <v>664</v>
          </cell>
          <cell r="C26">
            <v>780</v>
          </cell>
          <cell r="D26">
            <v>946</v>
          </cell>
          <cell r="E26">
            <v>603</v>
          </cell>
          <cell r="F26">
            <v>492</v>
          </cell>
        </row>
        <row r="27">
          <cell r="A27" t="str">
            <v>30 to 34</v>
          </cell>
          <cell r="B27">
            <v>449</v>
          </cell>
          <cell r="C27">
            <v>492</v>
          </cell>
          <cell r="D27">
            <v>575</v>
          </cell>
          <cell r="E27">
            <v>439</v>
          </cell>
          <cell r="F27">
            <v>324</v>
          </cell>
        </row>
        <row r="28">
          <cell r="A28" t="str">
            <v>35 to 39</v>
          </cell>
          <cell r="B28">
            <v>330</v>
          </cell>
          <cell r="C28">
            <v>380</v>
          </cell>
          <cell r="D28">
            <v>453</v>
          </cell>
          <cell r="E28">
            <v>342</v>
          </cell>
          <cell r="F28">
            <v>228</v>
          </cell>
        </row>
        <row r="29">
          <cell r="A29" t="str">
            <v>40 to 49</v>
          </cell>
          <cell r="B29">
            <v>498</v>
          </cell>
          <cell r="C29">
            <v>530</v>
          </cell>
          <cell r="D29">
            <v>651</v>
          </cell>
          <cell r="E29">
            <v>528</v>
          </cell>
          <cell r="F29">
            <v>365</v>
          </cell>
        </row>
        <row r="30">
          <cell r="A30" t="str">
            <v>50 +</v>
          </cell>
          <cell r="B30">
            <v>220</v>
          </cell>
          <cell r="C30">
            <v>264</v>
          </cell>
          <cell r="D30">
            <v>324</v>
          </cell>
          <cell r="E30">
            <v>237</v>
          </cell>
          <cell r="F30">
            <v>161</v>
          </cell>
        </row>
        <row r="31">
          <cell r="A31" t="str">
            <v>Unknown</v>
          </cell>
          <cell r="B31">
            <v>0</v>
          </cell>
          <cell r="C31">
            <v>0</v>
          </cell>
          <cell r="D31">
            <v>3</v>
          </cell>
          <cell r="E31">
            <v>1</v>
          </cell>
          <cell r="F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  <row r="33">
          <cell r="A33">
            <v>0</v>
          </cell>
          <cell r="B33" t="str">
            <v>Seats</v>
          </cell>
          <cell r="C33" t="str">
            <v>Seats</v>
          </cell>
          <cell r="D33" t="str">
            <v>Seats</v>
          </cell>
          <cell r="E33" t="str">
            <v>Seats</v>
          </cell>
          <cell r="F33" t="str">
            <v>Seats</v>
          </cell>
        </row>
        <row r="34">
          <cell r="A34" t="str">
            <v>DSPS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ender"/>
      <sheetName val="ethnic"/>
      <sheetName val="age"/>
    </sheetNames>
    <sheetDataSet>
      <sheetData sheetId="0">
        <row r="1">
          <cell r="A1">
            <v>0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#2  Course Completion</v>
          </cell>
          <cell r="B3" t="str">
            <v>MSJC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0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</row>
        <row r="5">
          <cell r="A5" t="str">
            <v>Gender</v>
          </cell>
          <cell r="B5" t="str">
            <v>Seats</v>
          </cell>
          <cell r="C5" t="str">
            <v>Seats</v>
          </cell>
          <cell r="D5" t="str">
            <v>Seats</v>
          </cell>
          <cell r="E5" t="str">
            <v>Seats</v>
          </cell>
          <cell r="F5" t="str">
            <v>Seats</v>
          </cell>
        </row>
        <row r="6">
          <cell r="A6" t="str">
            <v>Female</v>
          </cell>
          <cell r="B6">
            <v>4680</v>
          </cell>
          <cell r="C6">
            <v>5261</v>
          </cell>
          <cell r="D6">
            <v>5160</v>
          </cell>
          <cell r="E6">
            <v>4011</v>
          </cell>
          <cell r="F6">
            <v>3196</v>
          </cell>
        </row>
        <row r="7">
          <cell r="A7" t="str">
            <v>Male</v>
          </cell>
          <cell r="B7">
            <v>2649</v>
          </cell>
          <cell r="C7">
            <v>2880</v>
          </cell>
          <cell r="D7">
            <v>2998</v>
          </cell>
          <cell r="E7">
            <v>2417</v>
          </cell>
          <cell r="F7">
            <v>1919</v>
          </cell>
        </row>
        <row r="8">
          <cell r="A8" t="str">
            <v>Unknown</v>
          </cell>
          <cell r="B8">
            <v>91</v>
          </cell>
          <cell r="C8">
            <v>180</v>
          </cell>
          <cell r="D8">
            <v>135</v>
          </cell>
          <cell r="E8">
            <v>86</v>
          </cell>
          <cell r="F8">
            <v>56</v>
          </cell>
        </row>
        <row r="9">
          <cell r="A9" t="str">
            <v>AY Average</v>
          </cell>
          <cell r="B9">
            <v>7420</v>
          </cell>
          <cell r="C9">
            <v>8321</v>
          </cell>
          <cell r="D9">
            <v>8293</v>
          </cell>
          <cell r="E9">
            <v>6514</v>
          </cell>
          <cell r="F9">
            <v>5171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A11" t="str">
            <v>Ethnicity</v>
          </cell>
          <cell r="B11" t="str">
            <v>Seats</v>
          </cell>
          <cell r="C11" t="str">
            <v>Seats</v>
          </cell>
          <cell r="D11" t="str">
            <v>Seats</v>
          </cell>
          <cell r="E11" t="str">
            <v>Seats</v>
          </cell>
          <cell r="F11" t="str">
            <v>Seats</v>
          </cell>
        </row>
        <row r="12">
          <cell r="A12" t="str">
            <v>White</v>
          </cell>
          <cell r="B12">
            <v>2386</v>
          </cell>
          <cell r="C12">
            <v>2559</v>
          </cell>
          <cell r="D12">
            <v>2613</v>
          </cell>
          <cell r="E12">
            <v>1969</v>
          </cell>
          <cell r="F12">
            <v>1413</v>
          </cell>
        </row>
        <row r="13">
          <cell r="A13" t="str">
            <v>Hispanic</v>
          </cell>
          <cell r="B13">
            <v>2878</v>
          </cell>
          <cell r="C13">
            <v>3315</v>
          </cell>
          <cell r="D13">
            <v>3226</v>
          </cell>
          <cell r="E13">
            <v>2742</v>
          </cell>
          <cell r="F13">
            <v>2397</v>
          </cell>
        </row>
        <row r="14">
          <cell r="A14" t="str">
            <v>African American</v>
          </cell>
          <cell r="B14">
            <v>900</v>
          </cell>
          <cell r="C14">
            <v>1036</v>
          </cell>
          <cell r="D14">
            <v>991</v>
          </cell>
          <cell r="E14">
            <v>711</v>
          </cell>
          <cell r="F14">
            <v>593</v>
          </cell>
        </row>
        <row r="15">
          <cell r="A15" t="str">
            <v>Asian</v>
          </cell>
          <cell r="B15">
            <v>241</v>
          </cell>
          <cell r="C15">
            <v>228</v>
          </cell>
          <cell r="D15">
            <v>244</v>
          </cell>
          <cell r="E15">
            <v>247</v>
          </cell>
          <cell r="F15">
            <v>192</v>
          </cell>
        </row>
        <row r="16">
          <cell r="A16" t="str">
            <v>Native American</v>
          </cell>
          <cell r="B16">
            <v>108</v>
          </cell>
          <cell r="C16">
            <v>133</v>
          </cell>
          <cell r="D16">
            <v>102</v>
          </cell>
          <cell r="E16">
            <v>75</v>
          </cell>
          <cell r="F16">
            <v>21</v>
          </cell>
        </row>
        <row r="17">
          <cell r="A17" t="str">
            <v>Filipino</v>
          </cell>
          <cell r="B17">
            <v>255</v>
          </cell>
          <cell r="C17">
            <v>242</v>
          </cell>
          <cell r="D17">
            <v>223</v>
          </cell>
          <cell r="E17">
            <v>168</v>
          </cell>
          <cell r="F17">
            <v>114</v>
          </cell>
        </row>
        <row r="18">
          <cell r="A18" t="str">
            <v>Pacific Islander</v>
          </cell>
          <cell r="B18">
            <v>55</v>
          </cell>
          <cell r="C18">
            <v>103</v>
          </cell>
          <cell r="D18">
            <v>68</v>
          </cell>
          <cell r="E18">
            <v>62</v>
          </cell>
          <cell r="F18">
            <v>27</v>
          </cell>
        </row>
        <row r="19">
          <cell r="A19" t="str">
            <v>Multi-Race</v>
          </cell>
          <cell r="B19">
            <v>1290</v>
          </cell>
          <cell r="C19">
            <v>1412</v>
          </cell>
          <cell r="D19">
            <v>2479</v>
          </cell>
          <cell r="E19">
            <v>3350</v>
          </cell>
          <cell r="F19">
            <v>4122</v>
          </cell>
        </row>
        <row r="20">
          <cell r="A20" t="str">
            <v>Unknown</v>
          </cell>
          <cell r="B20">
            <v>471</v>
          </cell>
          <cell r="C20">
            <v>601</v>
          </cell>
          <cell r="D20">
            <v>620</v>
          </cell>
          <cell r="E20">
            <v>266</v>
          </cell>
          <cell r="F20">
            <v>121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A22" t="str">
            <v xml:space="preserve">Age </v>
          </cell>
          <cell r="B22" t="str">
            <v>Seats</v>
          </cell>
          <cell r="C22" t="str">
            <v>Seats</v>
          </cell>
          <cell r="D22" t="str">
            <v>Seats</v>
          </cell>
          <cell r="E22" t="str">
            <v>Seats</v>
          </cell>
          <cell r="F22" t="str">
            <v>Seats</v>
          </cell>
        </row>
        <row r="23">
          <cell r="A23" t="str">
            <v>&lt;18</v>
          </cell>
          <cell r="B23">
            <v>106</v>
          </cell>
          <cell r="C23">
            <v>100</v>
          </cell>
          <cell r="D23">
            <v>84</v>
          </cell>
          <cell r="E23">
            <v>69</v>
          </cell>
          <cell r="F23">
            <v>19</v>
          </cell>
        </row>
        <row r="24">
          <cell r="A24" t="str">
            <v>18 &amp; 19</v>
          </cell>
          <cell r="B24">
            <v>3010</v>
          </cell>
          <cell r="C24">
            <v>3327</v>
          </cell>
          <cell r="D24">
            <v>2669</v>
          </cell>
          <cell r="E24">
            <v>2102</v>
          </cell>
          <cell r="F24">
            <v>1698</v>
          </cell>
        </row>
        <row r="25">
          <cell r="A25" t="str">
            <v>20 to 24</v>
          </cell>
          <cell r="B25">
            <v>1699</v>
          </cell>
          <cell r="C25">
            <v>2024</v>
          </cell>
          <cell r="D25">
            <v>2129</v>
          </cell>
          <cell r="E25">
            <v>1880</v>
          </cell>
          <cell r="F25">
            <v>1609</v>
          </cell>
        </row>
        <row r="26">
          <cell r="A26" t="str">
            <v>25 to 29</v>
          </cell>
          <cell r="B26">
            <v>806</v>
          </cell>
          <cell r="C26">
            <v>923</v>
          </cell>
          <cell r="D26">
            <v>1079</v>
          </cell>
          <cell r="E26">
            <v>711</v>
          </cell>
          <cell r="F26">
            <v>584</v>
          </cell>
        </row>
        <row r="27">
          <cell r="A27" t="str">
            <v>30 to 34</v>
          </cell>
          <cell r="B27">
            <v>535</v>
          </cell>
          <cell r="C27">
            <v>566</v>
          </cell>
          <cell r="D27">
            <v>660</v>
          </cell>
          <cell r="E27">
            <v>493</v>
          </cell>
          <cell r="F27">
            <v>375</v>
          </cell>
        </row>
        <row r="28">
          <cell r="A28" t="str">
            <v>35 to 39</v>
          </cell>
          <cell r="B28">
            <v>405</v>
          </cell>
          <cell r="C28">
            <v>450</v>
          </cell>
          <cell r="D28">
            <v>543</v>
          </cell>
          <cell r="E28">
            <v>384</v>
          </cell>
          <cell r="F28">
            <v>266</v>
          </cell>
        </row>
        <row r="29">
          <cell r="A29" t="str">
            <v>40 to 49</v>
          </cell>
          <cell r="B29">
            <v>591</v>
          </cell>
          <cell r="C29">
            <v>609</v>
          </cell>
          <cell r="D29">
            <v>752</v>
          </cell>
          <cell r="E29">
            <v>598</v>
          </cell>
          <cell r="F29">
            <v>427</v>
          </cell>
        </row>
        <row r="30">
          <cell r="A30" t="str">
            <v>50 +</v>
          </cell>
          <cell r="B30">
            <v>268</v>
          </cell>
          <cell r="C30">
            <v>322</v>
          </cell>
          <cell r="D30">
            <v>374</v>
          </cell>
          <cell r="E30">
            <v>276</v>
          </cell>
          <cell r="F30">
            <v>193</v>
          </cell>
        </row>
        <row r="31">
          <cell r="A31" t="str">
            <v>Unknown</v>
          </cell>
          <cell r="B31">
            <v>0</v>
          </cell>
          <cell r="C31">
            <v>0</v>
          </cell>
          <cell r="D31">
            <v>3</v>
          </cell>
          <cell r="E31">
            <v>1</v>
          </cell>
          <cell r="F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  <row r="33">
          <cell r="A33">
            <v>0</v>
          </cell>
          <cell r="B33" t="str">
            <v>Seats</v>
          </cell>
          <cell r="C33" t="str">
            <v>Seats</v>
          </cell>
          <cell r="D33" t="str">
            <v>Seats</v>
          </cell>
          <cell r="E33" t="str">
            <v>Seats</v>
          </cell>
          <cell r="F33" t="str">
            <v>Seats</v>
          </cell>
        </row>
        <row r="34">
          <cell r="A34" t="str">
            <v>DSPS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selection activeCell="K11" sqref="K11"/>
    </sheetView>
  </sheetViews>
  <sheetFormatPr defaultRowHeight="15" x14ac:dyDescent="0.25"/>
  <cols>
    <col min="1" max="1" width="16.28515625" bestFit="1" customWidth="1"/>
    <col min="2" max="2" width="13.7109375" customWidth="1"/>
    <col min="3" max="6" width="13.7109375" bestFit="1" customWidth="1"/>
  </cols>
  <sheetData>
    <row r="1" spans="1:6" s="1" customFormat="1" x14ac:dyDescent="0.25">
      <c r="A1" s="29" t="s">
        <v>31</v>
      </c>
      <c r="B1" s="31" t="s">
        <v>29</v>
      </c>
      <c r="C1" s="31"/>
      <c r="D1" s="31"/>
      <c r="E1" s="31"/>
      <c r="F1" s="32"/>
    </row>
    <row r="2" spans="1:6" ht="15" customHeight="1" thickBot="1" x14ac:dyDescent="0.3">
      <c r="A2" s="30"/>
      <c r="B2" s="27" t="s">
        <v>24</v>
      </c>
      <c r="C2" s="27" t="s">
        <v>25</v>
      </c>
      <c r="D2" s="27" t="s">
        <v>26</v>
      </c>
      <c r="E2" s="27" t="s">
        <v>27</v>
      </c>
      <c r="F2" s="27" t="s">
        <v>28</v>
      </c>
    </row>
    <row r="3" spans="1:6" ht="15.75" hidden="1" customHeight="1" thickBot="1" x14ac:dyDescent="0.3">
      <c r="A3" s="26"/>
      <c r="B3" s="23">
        <v>2007</v>
      </c>
      <c r="C3" s="24">
        <f>B3+1</f>
        <v>2008</v>
      </c>
      <c r="D3" s="24">
        <f t="shared" ref="D3:F3" si="0">C3+1</f>
        <v>2009</v>
      </c>
      <c r="E3" s="24">
        <f t="shared" si="0"/>
        <v>2010</v>
      </c>
      <c r="F3" s="24">
        <f t="shared" si="0"/>
        <v>2011</v>
      </c>
    </row>
    <row r="4" spans="1:6" ht="15.75" thickBot="1" x14ac:dyDescent="0.3">
      <c r="A4" s="3" t="s">
        <v>0</v>
      </c>
      <c r="B4" s="12" t="s">
        <v>22</v>
      </c>
      <c r="C4" s="12" t="s">
        <v>22</v>
      </c>
      <c r="D4" s="12" t="s">
        <v>22</v>
      </c>
      <c r="E4" s="12" t="s">
        <v>22</v>
      </c>
      <c r="F4" s="12" t="s">
        <v>22</v>
      </c>
    </row>
    <row r="5" spans="1:6" ht="15.75" thickBot="1" x14ac:dyDescent="0.3">
      <c r="A5" s="16" t="s">
        <v>1</v>
      </c>
      <c r="B5" s="25">
        <f>(VLOOKUP($A5,[1]Sheet1!$A:$F,HLOOKUP(B$3,[1]Sheet1!$1:$2,2,FALSE),FALSE))/(VLOOKUP($A5,[2]Sheet1!$A:$F,HLOOKUP(B$3,[2]Sheet1!$1:$2,2,FALSE),FALSE))</f>
        <v>0.8403846153846154</v>
      </c>
      <c r="C5" s="25">
        <f>(VLOOKUP($A5,[1]Sheet1!$A:$F,HLOOKUP(C$3,[1]Sheet1!$1:$2,2,FALSE),FALSE))/(VLOOKUP($A5,[2]Sheet1!$A:$F,HLOOKUP(C$3,[2]Sheet1!$1:$2,2,FALSE),FALSE))</f>
        <v>0.85268960273712224</v>
      </c>
      <c r="D5" s="25">
        <f>(VLOOKUP($A5,[1]Sheet1!$A:$F,HLOOKUP(D$3,[1]Sheet1!$1:$2,2,FALSE),FALSE))/(VLOOKUP($A5,[2]Sheet1!$A:$F,HLOOKUP(D$3,[2]Sheet1!$1:$2,2,FALSE),FALSE))</f>
        <v>0.87054263565891477</v>
      </c>
      <c r="E5" s="25">
        <f>(VLOOKUP($A5,[1]Sheet1!$A:$F,HLOOKUP(E$3,[1]Sheet1!$1:$2,2,FALSE),FALSE))/(VLOOKUP($A5,[2]Sheet1!$A:$F,HLOOKUP(E$3,[2]Sheet1!$1:$2,2,FALSE),FALSE))</f>
        <v>0.87883320867614056</v>
      </c>
      <c r="F5" s="25">
        <f>(VLOOKUP($A5,[1]Sheet1!$A:$F,HLOOKUP(F$3,[1]Sheet1!$1:$2,2,FALSE),FALSE))/(VLOOKUP($A5,[2]Sheet1!$A:$F,HLOOKUP(F$3,[2]Sheet1!$1:$2,2,FALSE),FALSE))</f>
        <v>0.87327909887359201</v>
      </c>
    </row>
    <row r="6" spans="1:6" ht="15.75" thickBot="1" x14ac:dyDescent="0.3">
      <c r="A6" s="17" t="s">
        <v>2</v>
      </c>
      <c r="B6" s="25">
        <f>(VLOOKUP($A6,[1]Sheet1!$A:$F,HLOOKUP(B$3,[1]Sheet1!$1:$2,2,FALSE),FALSE))/(VLOOKUP($A6,[2]Sheet1!$A:$F,HLOOKUP(B$3,[2]Sheet1!$1:$2,2,FALSE),FALSE))</f>
        <v>0.82408456021140053</v>
      </c>
      <c r="C6" s="25">
        <f>(VLOOKUP($A6,[1]Sheet1!$A:$F,HLOOKUP(C$3,[1]Sheet1!$1:$2,2,FALSE),FALSE))/(VLOOKUP($A6,[2]Sheet1!$A:$F,HLOOKUP(C$3,[2]Sheet1!$1:$2,2,FALSE),FALSE))</f>
        <v>0.82708333333333328</v>
      </c>
      <c r="D6" s="25">
        <f>(VLOOKUP($A6,[1]Sheet1!$A:$F,HLOOKUP(D$3,[1]Sheet1!$1:$2,2,FALSE),FALSE))/(VLOOKUP($A6,[2]Sheet1!$A:$F,HLOOKUP(D$3,[2]Sheet1!$1:$2,2,FALSE),FALSE))</f>
        <v>0.85790527018012008</v>
      </c>
      <c r="E6" s="25">
        <f>(VLOOKUP($A6,[1]Sheet1!$A:$F,HLOOKUP(E$3,[1]Sheet1!$1:$2,2,FALSE),FALSE))/(VLOOKUP($A6,[2]Sheet1!$A:$F,HLOOKUP(E$3,[2]Sheet1!$1:$2,2,FALSE),FALSE))</f>
        <v>0.8572610674389739</v>
      </c>
      <c r="F6" s="25">
        <f>(VLOOKUP($A6,[1]Sheet1!$A:$F,HLOOKUP(F$3,[1]Sheet1!$1:$2,2,FALSE),FALSE))/(VLOOKUP($A6,[2]Sheet1!$A:$F,HLOOKUP(F$3,[2]Sheet1!$1:$2,2,FALSE),FALSE))</f>
        <v>0.85878061490359558</v>
      </c>
    </row>
    <row r="7" spans="1:6" ht="15.75" thickBot="1" x14ac:dyDescent="0.3">
      <c r="A7" s="22" t="s">
        <v>3</v>
      </c>
      <c r="B7" s="25">
        <f>(VLOOKUP($A7,[1]Sheet1!$A:$F,HLOOKUP(B$3,[1]Sheet1!$1:$2,2,FALSE),FALSE))/(VLOOKUP($A7,[2]Sheet1!$A:$F,HLOOKUP(B$3,[2]Sheet1!$1:$2,2,FALSE),FALSE))</f>
        <v>0.8351648351648352</v>
      </c>
      <c r="C7" s="25">
        <f>(VLOOKUP($A7,[1]Sheet1!$A:$F,HLOOKUP(C$3,[1]Sheet1!$1:$2,2,FALSE),FALSE))/(VLOOKUP($A7,[2]Sheet1!$A:$F,HLOOKUP(C$3,[2]Sheet1!$1:$2,2,FALSE),FALSE))</f>
        <v>0.90555555555555556</v>
      </c>
      <c r="D7" s="25">
        <f>(VLOOKUP($A7,[1]Sheet1!$A:$F,HLOOKUP(D$3,[1]Sheet1!$1:$2,2,FALSE),FALSE))/(VLOOKUP($A7,[2]Sheet1!$A:$F,HLOOKUP(D$3,[2]Sheet1!$1:$2,2,FALSE),FALSE))</f>
        <v>0.88888888888888884</v>
      </c>
      <c r="E7" s="25">
        <f>(VLOOKUP($A7,[1]Sheet1!$A:$F,HLOOKUP(E$3,[1]Sheet1!$1:$2,2,FALSE),FALSE))/(VLOOKUP($A7,[2]Sheet1!$A:$F,HLOOKUP(E$3,[2]Sheet1!$1:$2,2,FALSE),FALSE))</f>
        <v>0.88372093023255816</v>
      </c>
      <c r="F7" s="25">
        <f>(VLOOKUP($A7,[1]Sheet1!$A:$F,HLOOKUP(F$3,[1]Sheet1!$1:$2,2,FALSE),FALSE))/(VLOOKUP($A7,[2]Sheet1!$A:$F,HLOOKUP(F$3,[2]Sheet1!$1:$2,2,FALSE),FALSE))</f>
        <v>0.9464285714285714</v>
      </c>
    </row>
    <row r="8" spans="1:6" ht="16.5" thickTop="1" thickBot="1" x14ac:dyDescent="0.3">
      <c r="A8" s="21" t="s">
        <v>21</v>
      </c>
      <c r="B8" s="25">
        <f>(VLOOKUP($A8,[1]Sheet1!$A:$F,HLOOKUP(B$3,[1]Sheet1!$1:$2,2,FALSE),FALSE))/(VLOOKUP($A8,[2]Sheet1!$A:$F,HLOOKUP(B$3,[2]Sheet1!$1:$2,2,FALSE),FALSE))</f>
        <v>0.83450134770889484</v>
      </c>
      <c r="C8" s="25">
        <f>(VLOOKUP($A8,[1]Sheet1!$A:$F,HLOOKUP(C$3,[1]Sheet1!$1:$2,2,FALSE),FALSE))/(VLOOKUP($A8,[2]Sheet1!$A:$F,HLOOKUP(C$3,[2]Sheet1!$1:$2,2,FALSE),FALSE))</f>
        <v>0.84497055642350682</v>
      </c>
      <c r="D8" s="25">
        <f>(VLOOKUP($A8,[1]Sheet1!$A:$F,HLOOKUP(D$3,[1]Sheet1!$1:$2,2,FALSE),FALSE))/(VLOOKUP($A8,[2]Sheet1!$A:$F,HLOOKUP(D$3,[2]Sheet1!$1:$2,2,FALSE),FALSE))</f>
        <v>0.86627276015917043</v>
      </c>
      <c r="E8" s="25">
        <f>(VLOOKUP($A8,[1]Sheet1!$A:$F,HLOOKUP(E$3,[1]Sheet1!$1:$2,2,FALSE),FALSE))/(VLOOKUP($A8,[2]Sheet1!$A:$F,HLOOKUP(E$3,[2]Sheet1!$1:$2,2,FALSE),FALSE))</f>
        <v>0.87089346023948422</v>
      </c>
      <c r="F8" s="25">
        <f>(VLOOKUP($A8,[1]Sheet1!$A:$F,HLOOKUP(F$3,[1]Sheet1!$1:$2,2,FALSE),FALSE))/(VLOOKUP($A8,[2]Sheet1!$A:$F,HLOOKUP(F$3,[2]Sheet1!$1:$2,2,FALSE),FALSE))</f>
        <v>0.86869077547863083</v>
      </c>
    </row>
    <row r="9" spans="1:6" ht="15.75" thickBot="1" x14ac:dyDescent="0.3">
      <c r="A9" s="4"/>
      <c r="B9" s="11"/>
      <c r="C9" s="11"/>
      <c r="D9" s="11"/>
      <c r="E9" s="11"/>
      <c r="F9" s="11"/>
    </row>
    <row r="10" spans="1:6" ht="15.75" thickBot="1" x14ac:dyDescent="0.3">
      <c r="A10" s="5" t="s">
        <v>4</v>
      </c>
      <c r="B10" s="12" t="s">
        <v>22</v>
      </c>
      <c r="C10" s="12" t="s">
        <v>22</v>
      </c>
      <c r="D10" s="12" t="s">
        <v>22</v>
      </c>
      <c r="E10" s="12" t="s">
        <v>22</v>
      </c>
      <c r="F10" s="12" t="s">
        <v>22</v>
      </c>
    </row>
    <row r="11" spans="1:6" ht="15.75" thickBot="1" x14ac:dyDescent="0.3">
      <c r="A11" s="18" t="s">
        <v>5</v>
      </c>
      <c r="B11" s="25">
        <f>(VLOOKUP($A11,[1]Sheet1!$A:$F,HLOOKUP(B$3,[1]Sheet1!$1:$2,2,FALSE),FALSE))/(VLOOKUP($A11,[2]Sheet1!$A:$F,HLOOKUP(B$3,[2]Sheet1!$1:$2,2,FALSE),FALSE))</f>
        <v>0.84744341994970662</v>
      </c>
      <c r="C11" s="25">
        <f>(VLOOKUP($A11,[1]Sheet1!$A:$F,HLOOKUP(C$3,[1]Sheet1!$1:$2,2,FALSE),FALSE))/(VLOOKUP($A11,[2]Sheet1!$A:$F,HLOOKUP(C$3,[2]Sheet1!$1:$2,2,FALSE),FALSE))</f>
        <v>0.84720593982024228</v>
      </c>
      <c r="D11" s="25">
        <f>(VLOOKUP($A11,[1]Sheet1!$A:$F,HLOOKUP(D$3,[1]Sheet1!$1:$2,2,FALSE),FALSE))/(VLOOKUP($A11,[2]Sheet1!$A:$F,HLOOKUP(D$3,[2]Sheet1!$1:$2,2,FALSE),FALSE))</f>
        <v>0.86796785304247992</v>
      </c>
      <c r="E11" s="25">
        <f>(VLOOKUP($A11,[1]Sheet1!$A:$F,HLOOKUP(E$3,[1]Sheet1!$1:$2,2,FALSE),FALSE))/(VLOOKUP($A11,[2]Sheet1!$A:$F,HLOOKUP(E$3,[2]Sheet1!$1:$2,2,FALSE),FALSE))</f>
        <v>0.86084306754697815</v>
      </c>
      <c r="F11" s="25">
        <f>(VLOOKUP($A11,[1]Sheet1!$A:$F,HLOOKUP(F$3,[1]Sheet1!$1:$2,2,FALSE),FALSE))/(VLOOKUP($A11,[2]Sheet1!$A:$F,HLOOKUP(F$3,[2]Sheet1!$1:$2,2,FALSE),FALSE))</f>
        <v>0.87048832271762211</v>
      </c>
    </row>
    <row r="12" spans="1:6" ht="15.75" thickBot="1" x14ac:dyDescent="0.3">
      <c r="A12" s="19" t="s">
        <v>6</v>
      </c>
      <c r="B12" s="25">
        <f>(VLOOKUP($A12,[1]Sheet1!$A:$F,HLOOKUP(B$3,[1]Sheet1!$1:$2,2,FALSE),FALSE))/(VLOOKUP($A12,[2]Sheet1!$A:$F,HLOOKUP(B$3,[2]Sheet1!$1:$2,2,FALSE),FALSE))</f>
        <v>0.83564975677553854</v>
      </c>
      <c r="C12" s="25">
        <f>(VLOOKUP($A12,[1]Sheet1!$A:$F,HLOOKUP(C$3,[1]Sheet1!$1:$2,2,FALSE),FALSE))/(VLOOKUP($A12,[2]Sheet1!$A:$F,HLOOKUP(C$3,[2]Sheet1!$1:$2,2,FALSE),FALSE))</f>
        <v>0.85912518853695319</v>
      </c>
      <c r="D12" s="25">
        <f>(VLOOKUP($A12,[1]Sheet1!$A:$F,HLOOKUP(D$3,[1]Sheet1!$1:$2,2,FALSE),FALSE))/(VLOOKUP($A12,[2]Sheet1!$A:$F,HLOOKUP(D$3,[2]Sheet1!$1:$2,2,FALSE),FALSE))</f>
        <v>0.87600743955362681</v>
      </c>
      <c r="E12" s="25">
        <f>(VLOOKUP($A12,[1]Sheet1!$A:$F,HLOOKUP(E$3,[1]Sheet1!$1:$2,2,FALSE),FALSE))/(VLOOKUP($A12,[2]Sheet1!$A:$F,HLOOKUP(E$3,[2]Sheet1!$1:$2,2,FALSE),FALSE))</f>
        <v>0.87892049598832966</v>
      </c>
      <c r="F12" s="25">
        <f>(VLOOKUP($A12,[1]Sheet1!$A:$F,HLOOKUP(F$3,[1]Sheet1!$1:$2,2,FALSE),FALSE))/(VLOOKUP($A12,[2]Sheet1!$A:$F,HLOOKUP(F$3,[2]Sheet1!$1:$2,2,FALSE),FALSE))</f>
        <v>0.87609511889862324</v>
      </c>
    </row>
    <row r="13" spans="1:6" ht="15.75" thickBot="1" x14ac:dyDescent="0.3">
      <c r="A13" s="19" t="s">
        <v>7</v>
      </c>
      <c r="B13" s="25">
        <f>(VLOOKUP($A13,[1]Sheet1!$A:$F,HLOOKUP(B$3,[1]Sheet1!$1:$2,2,FALSE),FALSE))/(VLOOKUP($A13,[2]Sheet1!$A:$F,HLOOKUP(B$3,[2]Sheet1!$1:$2,2,FALSE),FALSE))</f>
        <v>0.78888888888888886</v>
      </c>
      <c r="C13" s="25">
        <f>(VLOOKUP($A13,[1]Sheet1!$A:$F,HLOOKUP(C$3,[1]Sheet1!$1:$2,2,FALSE),FALSE))/(VLOOKUP($A13,[2]Sheet1!$A:$F,HLOOKUP(C$3,[2]Sheet1!$1:$2,2,FALSE),FALSE))</f>
        <v>0.76061776061776065</v>
      </c>
      <c r="D13" s="25">
        <f>(VLOOKUP($A13,[1]Sheet1!$A:$F,HLOOKUP(D$3,[1]Sheet1!$1:$2,2,FALSE),FALSE))/(VLOOKUP($A13,[2]Sheet1!$A:$F,HLOOKUP(D$3,[2]Sheet1!$1:$2,2,FALSE),FALSE))</f>
        <v>0.80524722502522705</v>
      </c>
      <c r="E13" s="25">
        <f>(VLOOKUP($A13,[1]Sheet1!$A:$F,HLOOKUP(E$3,[1]Sheet1!$1:$2,2,FALSE),FALSE))/(VLOOKUP($A13,[2]Sheet1!$A:$F,HLOOKUP(E$3,[2]Sheet1!$1:$2,2,FALSE),FALSE))</f>
        <v>0.83403656821378336</v>
      </c>
      <c r="F13" s="25">
        <f>(VLOOKUP($A13,[1]Sheet1!$A:$F,HLOOKUP(F$3,[1]Sheet1!$1:$2,2,FALSE),FALSE))/(VLOOKUP($A13,[2]Sheet1!$A:$F,HLOOKUP(F$3,[2]Sheet1!$1:$2,2,FALSE),FALSE))</f>
        <v>0.83811129848229338</v>
      </c>
    </row>
    <row r="14" spans="1:6" ht="15.75" thickBot="1" x14ac:dyDescent="0.3">
      <c r="A14" s="19" t="s">
        <v>8</v>
      </c>
      <c r="B14" s="25">
        <f>(VLOOKUP($A14,[1]Sheet1!$A:$F,HLOOKUP(B$3,[1]Sheet1!$1:$2,2,FALSE),FALSE))/(VLOOKUP($A14,[2]Sheet1!$A:$F,HLOOKUP(B$3,[2]Sheet1!$1:$2,2,FALSE),FALSE))</f>
        <v>0.8796680497925311</v>
      </c>
      <c r="C14" s="25">
        <f>(VLOOKUP($A14,[1]Sheet1!$A:$F,HLOOKUP(C$3,[1]Sheet1!$1:$2,2,FALSE),FALSE))/(VLOOKUP($A14,[2]Sheet1!$A:$F,HLOOKUP(C$3,[2]Sheet1!$1:$2,2,FALSE),FALSE))</f>
        <v>0.90350877192982459</v>
      </c>
      <c r="D14" s="25">
        <f>(VLOOKUP($A14,[1]Sheet1!$A:$F,HLOOKUP(D$3,[1]Sheet1!$1:$2,2,FALSE),FALSE))/(VLOOKUP($A14,[2]Sheet1!$A:$F,HLOOKUP(D$3,[2]Sheet1!$1:$2,2,FALSE),FALSE))</f>
        <v>0.92213114754098358</v>
      </c>
      <c r="E14" s="25">
        <f>(VLOOKUP($A14,[1]Sheet1!$A:$F,HLOOKUP(E$3,[1]Sheet1!$1:$2,2,FALSE),FALSE))/(VLOOKUP($A14,[2]Sheet1!$A:$F,HLOOKUP(E$3,[2]Sheet1!$1:$2,2,FALSE),FALSE))</f>
        <v>0.93927125506072873</v>
      </c>
      <c r="F14" s="25">
        <f>(VLOOKUP($A14,[1]Sheet1!$A:$F,HLOOKUP(F$3,[1]Sheet1!$1:$2,2,FALSE),FALSE))/(VLOOKUP($A14,[2]Sheet1!$A:$F,HLOOKUP(F$3,[2]Sheet1!$1:$2,2,FALSE),FALSE))</f>
        <v>0.86979166666666663</v>
      </c>
    </row>
    <row r="15" spans="1:6" ht="15.75" thickBot="1" x14ac:dyDescent="0.3">
      <c r="A15" s="19" t="s">
        <v>9</v>
      </c>
      <c r="B15" s="25">
        <f>(VLOOKUP($A15,[1]Sheet1!$A:$F,HLOOKUP(B$3,[1]Sheet1!$1:$2,2,FALSE),FALSE))/(VLOOKUP($A15,[2]Sheet1!$A:$F,HLOOKUP(B$3,[2]Sheet1!$1:$2,2,FALSE),FALSE))</f>
        <v>0.72222222222222221</v>
      </c>
      <c r="C15" s="25">
        <f>(VLOOKUP($A15,[1]Sheet1!$A:$F,HLOOKUP(C$3,[1]Sheet1!$1:$2,2,FALSE),FALSE))/(VLOOKUP($A15,[2]Sheet1!$A:$F,HLOOKUP(C$3,[2]Sheet1!$1:$2,2,FALSE),FALSE))</f>
        <v>0.78947368421052633</v>
      </c>
      <c r="D15" s="25">
        <f>(VLOOKUP($A15,[1]Sheet1!$A:$F,HLOOKUP(D$3,[1]Sheet1!$1:$2,2,FALSE),FALSE))/(VLOOKUP($A15,[2]Sheet1!$A:$F,HLOOKUP(D$3,[2]Sheet1!$1:$2,2,FALSE),FALSE))</f>
        <v>0.94117647058823528</v>
      </c>
      <c r="E15" s="25">
        <f>(VLOOKUP($A15,[1]Sheet1!$A:$F,HLOOKUP(E$3,[1]Sheet1!$1:$2,2,FALSE),FALSE))/(VLOOKUP($A15,[2]Sheet1!$A:$F,HLOOKUP(E$3,[2]Sheet1!$1:$2,2,FALSE),FALSE))</f>
        <v>0.88</v>
      </c>
      <c r="F15" s="25">
        <f>(VLOOKUP($A15,[1]Sheet1!$A:$F,HLOOKUP(F$3,[1]Sheet1!$1:$2,2,FALSE),FALSE))/(VLOOKUP($A15,[2]Sheet1!$A:$F,HLOOKUP(F$3,[2]Sheet1!$1:$2,2,FALSE),FALSE))</f>
        <v>0.90476190476190477</v>
      </c>
    </row>
    <row r="16" spans="1:6" ht="15.75" thickBot="1" x14ac:dyDescent="0.3">
      <c r="A16" s="19" t="s">
        <v>10</v>
      </c>
      <c r="B16" s="25">
        <f>(VLOOKUP($A16,[1]Sheet1!$A:$F,HLOOKUP(B$3,[1]Sheet1!$1:$2,2,FALSE),FALSE))/(VLOOKUP($A16,[2]Sheet1!$A:$F,HLOOKUP(B$3,[2]Sheet1!$1:$2,2,FALSE),FALSE))</f>
        <v>0.88627450980392153</v>
      </c>
      <c r="C16" s="25">
        <f>(VLOOKUP($A16,[1]Sheet1!$A:$F,HLOOKUP(C$3,[1]Sheet1!$1:$2,2,FALSE),FALSE))/(VLOOKUP($A16,[2]Sheet1!$A:$F,HLOOKUP(C$3,[2]Sheet1!$1:$2,2,FALSE),FALSE))</f>
        <v>0.89669421487603307</v>
      </c>
      <c r="D16" s="25">
        <f>(VLOOKUP($A16,[1]Sheet1!$A:$F,HLOOKUP(D$3,[1]Sheet1!$1:$2,2,FALSE),FALSE))/(VLOOKUP($A16,[2]Sheet1!$A:$F,HLOOKUP(D$3,[2]Sheet1!$1:$2,2,FALSE),FALSE))</f>
        <v>0.905829596412556</v>
      </c>
      <c r="E16" s="25">
        <f>(VLOOKUP($A16,[1]Sheet1!$A:$F,HLOOKUP(E$3,[1]Sheet1!$1:$2,2,FALSE),FALSE))/(VLOOKUP($A16,[2]Sheet1!$A:$F,HLOOKUP(E$3,[2]Sheet1!$1:$2,2,FALSE),FALSE))</f>
        <v>0.95238095238095233</v>
      </c>
      <c r="F16" s="25">
        <f>(VLOOKUP($A16,[1]Sheet1!$A:$F,HLOOKUP(F$3,[1]Sheet1!$1:$2,2,FALSE),FALSE))/(VLOOKUP($A16,[2]Sheet1!$A:$F,HLOOKUP(F$3,[2]Sheet1!$1:$2,2,FALSE),FALSE))</f>
        <v>0.88596491228070173</v>
      </c>
    </row>
    <row r="17" spans="1:6" ht="15.75" thickBot="1" x14ac:dyDescent="0.3">
      <c r="A17" s="19" t="s">
        <v>11</v>
      </c>
      <c r="B17" s="25">
        <f>(VLOOKUP($A17,[1]Sheet1!$A:$F,HLOOKUP(B$3,[1]Sheet1!$1:$2,2,FALSE),FALSE))/(VLOOKUP($A17,[2]Sheet1!$A:$F,HLOOKUP(B$3,[2]Sheet1!$1:$2,2,FALSE),FALSE))</f>
        <v>0.90909090909090906</v>
      </c>
      <c r="C17" s="25">
        <f>(VLOOKUP($A17,[1]Sheet1!$A:$F,HLOOKUP(C$3,[1]Sheet1!$1:$2,2,FALSE),FALSE))/(VLOOKUP($A17,[2]Sheet1!$A:$F,HLOOKUP(C$3,[2]Sheet1!$1:$2,2,FALSE),FALSE))</f>
        <v>0.85436893203883491</v>
      </c>
      <c r="D17" s="25">
        <f>(VLOOKUP($A17,[1]Sheet1!$A:$F,HLOOKUP(D$3,[1]Sheet1!$1:$2,2,FALSE),FALSE))/(VLOOKUP($A17,[2]Sheet1!$A:$F,HLOOKUP(D$3,[2]Sheet1!$1:$2,2,FALSE),FALSE))</f>
        <v>0.86764705882352944</v>
      </c>
      <c r="E17" s="25">
        <f>(VLOOKUP($A17,[1]Sheet1!$A:$F,HLOOKUP(E$3,[1]Sheet1!$1:$2,2,FALSE),FALSE))/(VLOOKUP($A17,[2]Sheet1!$A:$F,HLOOKUP(E$3,[2]Sheet1!$1:$2,2,FALSE),FALSE))</f>
        <v>0.85483870967741937</v>
      </c>
      <c r="F17" s="25">
        <f>(VLOOKUP($A17,[1]Sheet1!$A:$F,HLOOKUP(F$3,[1]Sheet1!$1:$2,2,FALSE),FALSE))/(VLOOKUP($A17,[2]Sheet1!$A:$F,HLOOKUP(F$3,[2]Sheet1!$1:$2,2,FALSE),FALSE))</f>
        <v>0.92592592592592593</v>
      </c>
    </row>
    <row r="18" spans="1:6" ht="15.75" thickBot="1" x14ac:dyDescent="0.3">
      <c r="A18" s="19" t="s">
        <v>12</v>
      </c>
      <c r="B18" s="25">
        <f>(VLOOKUP($A18,[1]Sheet1!$A:$F,HLOOKUP(B$3,[1]Sheet1!$1:$2,2,FALSE),FALSE))/(VLOOKUP($A18,[2]Sheet1!$A:$F,HLOOKUP(B$3,[2]Sheet1!$1:$2,2,FALSE),FALSE))</f>
        <v>7.3643410852713184E-2</v>
      </c>
      <c r="C18" s="25">
        <f>(VLOOKUP($A18,[1]Sheet1!$A:$F,HLOOKUP(C$3,[1]Sheet1!$1:$2,2,FALSE),FALSE))/(VLOOKUP($A18,[2]Sheet1!$A:$F,HLOOKUP(C$3,[2]Sheet1!$1:$2,2,FALSE),FALSE))</f>
        <v>5.3824362606232294E-2</v>
      </c>
      <c r="D18" s="25">
        <f>(VLOOKUP($A18,[1]Sheet1!$A:$F,HLOOKUP(D$3,[1]Sheet1!$1:$2,2,FALSE),FALSE))/(VLOOKUP($A18,[2]Sheet1!$A:$F,HLOOKUP(D$3,[2]Sheet1!$1:$2,2,FALSE),FALSE))</f>
        <v>5.7684550221863654E-2</v>
      </c>
      <c r="E18" s="25">
        <f>(VLOOKUP($A18,[1]Sheet1!$A:$F,HLOOKUP(E$3,[1]Sheet1!$1:$2,2,FALSE),FALSE))/(VLOOKUP($A18,[2]Sheet1!$A:$F,HLOOKUP(E$3,[2]Sheet1!$1:$2,2,FALSE),FALSE))</f>
        <v>6.5373134328358215E-2</v>
      </c>
      <c r="F18" s="25">
        <f>(VLOOKUP($A18,[1]Sheet1!$A:$F,HLOOKUP(F$3,[1]Sheet1!$1:$2,2,FALSE),FALSE))/(VLOOKUP($A18,[2]Sheet1!$A:$F,HLOOKUP(F$3,[2]Sheet1!$1:$2,2,FALSE),FALSE))</f>
        <v>5.4827753517709847E-2</v>
      </c>
    </row>
    <row r="19" spans="1:6" ht="15.75" thickBot="1" x14ac:dyDescent="0.3">
      <c r="A19" s="20" t="s">
        <v>3</v>
      </c>
      <c r="B19" s="25">
        <f>(VLOOKUP($A19,[1]Sheet1!$A:$F,HLOOKUP(B$3,[1]Sheet1!$1:$2,2,FALSE),FALSE))/(VLOOKUP($A19,[2]Sheet1!$A:$F,HLOOKUP(B$3,[2]Sheet1!$1:$2,2,FALSE),FALSE))</f>
        <v>0.8351648351648352</v>
      </c>
      <c r="C19" s="25">
        <f>(VLOOKUP($A19,[1]Sheet1!$A:$F,HLOOKUP(C$3,[1]Sheet1!$1:$2,2,FALSE),FALSE))/(VLOOKUP($A19,[2]Sheet1!$A:$F,HLOOKUP(C$3,[2]Sheet1!$1:$2,2,FALSE),FALSE))</f>
        <v>0.90555555555555556</v>
      </c>
      <c r="D19" s="25">
        <f>(VLOOKUP($A19,[1]Sheet1!$A:$F,HLOOKUP(D$3,[1]Sheet1!$1:$2,2,FALSE),FALSE))/(VLOOKUP($A19,[2]Sheet1!$A:$F,HLOOKUP(D$3,[2]Sheet1!$1:$2,2,FALSE),FALSE))</f>
        <v>0.88888888888888884</v>
      </c>
      <c r="E19" s="25">
        <f>(VLOOKUP($A19,[1]Sheet1!$A:$F,HLOOKUP(E$3,[1]Sheet1!$1:$2,2,FALSE),FALSE))/(VLOOKUP($A19,[2]Sheet1!$A:$F,HLOOKUP(E$3,[2]Sheet1!$1:$2,2,FALSE),FALSE))</f>
        <v>0.88372093023255816</v>
      </c>
      <c r="F19" s="25">
        <f>(VLOOKUP($A19,[1]Sheet1!$A:$F,HLOOKUP(F$3,[1]Sheet1!$1:$2,2,FALSE),FALSE))/(VLOOKUP($A19,[2]Sheet1!$A:$F,HLOOKUP(F$3,[2]Sheet1!$1:$2,2,FALSE),FALSE))</f>
        <v>0.9464285714285714</v>
      </c>
    </row>
    <row r="20" spans="1:6" ht="15.75" thickBot="1" x14ac:dyDescent="0.3">
      <c r="A20" s="2"/>
      <c r="B20" s="13"/>
      <c r="C20" s="13"/>
      <c r="D20" s="13"/>
      <c r="E20" s="15"/>
      <c r="F20" s="13"/>
    </row>
    <row r="21" spans="1:6" ht="15.75" thickBot="1" x14ac:dyDescent="0.3">
      <c r="A21" s="10" t="s">
        <v>13</v>
      </c>
      <c r="B21" s="12" t="s">
        <v>22</v>
      </c>
      <c r="C21" s="12" t="s">
        <v>22</v>
      </c>
      <c r="D21" s="12" t="s">
        <v>22</v>
      </c>
      <c r="E21" s="12" t="s">
        <v>22</v>
      </c>
      <c r="F21" s="12" t="s">
        <v>22</v>
      </c>
    </row>
    <row r="22" spans="1:6" ht="15.75" thickBot="1" x14ac:dyDescent="0.3">
      <c r="A22" s="9" t="s">
        <v>14</v>
      </c>
      <c r="B22" s="25">
        <f>(VLOOKUP($A22,[1]Sheet1!$A:$F,HLOOKUP(B$3,[1]Sheet1!$1:$2,2,FALSE),FALSE))/(VLOOKUP($A22,[2]Sheet1!$A:$F,HLOOKUP(B$3,[2]Sheet1!$1:$2,2,FALSE),FALSE))</f>
        <v>0.8867924528301887</v>
      </c>
      <c r="C22" s="25">
        <f>(VLOOKUP($A22,[1]Sheet1!$A:$F,HLOOKUP(C$3,[1]Sheet1!$1:$2,2,FALSE),FALSE))/(VLOOKUP($A22,[2]Sheet1!$A:$F,HLOOKUP(C$3,[2]Sheet1!$1:$2,2,FALSE),FALSE))</f>
        <v>0.84</v>
      </c>
      <c r="D22" s="25">
        <f>(VLOOKUP($A22,[1]Sheet1!$A:$F,HLOOKUP(D$3,[1]Sheet1!$1:$2,2,FALSE),FALSE))/(VLOOKUP($A22,[2]Sheet1!$A:$F,HLOOKUP(D$3,[2]Sheet1!$1:$2,2,FALSE),FALSE))</f>
        <v>0.90476190476190477</v>
      </c>
      <c r="E22" s="25">
        <f>(VLOOKUP($A22,[1]Sheet1!$A:$F,HLOOKUP(E$3,[1]Sheet1!$1:$2,2,FALSE),FALSE))/(VLOOKUP($A22,[2]Sheet1!$A:$F,HLOOKUP(E$3,[2]Sheet1!$1:$2,2,FALSE),FALSE))</f>
        <v>0.94202898550724634</v>
      </c>
      <c r="F22" s="25">
        <f>(VLOOKUP($A22,[1]Sheet1!$A:$F,HLOOKUP(F$3,[1]Sheet1!$1:$2,2,FALSE),FALSE))/(VLOOKUP($A22,[2]Sheet1!$A:$F,HLOOKUP(F$3,[2]Sheet1!$1:$2,2,FALSE),FALSE))</f>
        <v>0.94736842105263153</v>
      </c>
    </row>
    <row r="23" spans="1:6" ht="15.75" thickBot="1" x14ac:dyDescent="0.3">
      <c r="A23" s="7" t="s">
        <v>15</v>
      </c>
      <c r="B23" s="25">
        <f>(VLOOKUP($A23,[1]Sheet1!$A:$F,HLOOKUP(B$3,[1]Sheet1!$1:$2,2,FALSE),FALSE))/(VLOOKUP($A23,[2]Sheet1!$A:$F,HLOOKUP(B$3,[2]Sheet1!$1:$2,2,FALSE),FALSE))</f>
        <v>0.84119601328903659</v>
      </c>
      <c r="C23" s="25">
        <f>(VLOOKUP($A23,[1]Sheet1!$A:$F,HLOOKUP(C$3,[1]Sheet1!$1:$2,2,FALSE),FALSE))/(VLOOKUP($A23,[2]Sheet1!$A:$F,HLOOKUP(C$3,[2]Sheet1!$1:$2,2,FALSE),FALSE))</f>
        <v>0.86324015629696427</v>
      </c>
      <c r="D23" s="25">
        <f>(VLOOKUP($A23,[1]Sheet1!$A:$F,HLOOKUP(D$3,[1]Sheet1!$1:$2,2,FALSE),FALSE))/(VLOOKUP($A23,[2]Sheet1!$A:$F,HLOOKUP(D$3,[2]Sheet1!$1:$2,2,FALSE),FALSE))</f>
        <v>0.88122892469089542</v>
      </c>
      <c r="E23" s="25">
        <f>(VLOOKUP($A23,[1]Sheet1!$A:$F,HLOOKUP(E$3,[1]Sheet1!$1:$2,2,FALSE),FALSE))/(VLOOKUP($A23,[2]Sheet1!$A:$F,HLOOKUP(E$3,[2]Sheet1!$1:$2,2,FALSE),FALSE))</f>
        <v>0.89628924833491908</v>
      </c>
      <c r="F23" s="25">
        <f>(VLOOKUP($A23,[1]Sheet1!$A:$F,HLOOKUP(F$3,[1]Sheet1!$1:$2,2,FALSE),FALSE))/(VLOOKUP($A23,[2]Sheet1!$A:$F,HLOOKUP(F$3,[2]Sheet1!$1:$2,2,FALSE),FALSE))</f>
        <v>0.89634864546525328</v>
      </c>
    </row>
    <row r="24" spans="1:6" ht="15.75" thickBot="1" x14ac:dyDescent="0.3">
      <c r="A24" s="8" t="s">
        <v>16</v>
      </c>
      <c r="B24" s="25">
        <f>(VLOOKUP($A24,[1]Sheet1!$A:$F,HLOOKUP(B$3,[1]Sheet1!$1:$2,2,FALSE),FALSE))/(VLOOKUP($A24,[2]Sheet1!$A:$F,HLOOKUP(B$3,[2]Sheet1!$1:$2,2,FALSE),FALSE))</f>
        <v>0.82695703354914651</v>
      </c>
      <c r="C24" s="25">
        <f>(VLOOKUP($A24,[1]Sheet1!$A:$F,HLOOKUP(C$3,[1]Sheet1!$1:$2,2,FALSE),FALSE))/(VLOOKUP($A24,[2]Sheet1!$A:$F,HLOOKUP(C$3,[2]Sheet1!$1:$2,2,FALSE),FALSE))</f>
        <v>0.80484189723320154</v>
      </c>
      <c r="D24" s="25">
        <f>(VLOOKUP($A24,[1]Sheet1!$A:$F,HLOOKUP(D$3,[1]Sheet1!$1:$2,2,FALSE),FALSE))/(VLOOKUP($A24,[2]Sheet1!$A:$F,HLOOKUP(D$3,[2]Sheet1!$1:$2,2,FALSE),FALSE))</f>
        <v>0.84734617191169559</v>
      </c>
      <c r="E24" s="25">
        <f>(VLOOKUP($A24,[1]Sheet1!$A:$F,HLOOKUP(E$3,[1]Sheet1!$1:$2,2,FALSE),FALSE))/(VLOOKUP($A24,[2]Sheet1!$A:$F,HLOOKUP(E$3,[2]Sheet1!$1:$2,2,FALSE),FALSE))</f>
        <v>0.83723404255319145</v>
      </c>
      <c r="F24" s="25">
        <f>(VLOOKUP($A24,[1]Sheet1!$A:$F,HLOOKUP(F$3,[1]Sheet1!$1:$2,2,FALSE),FALSE))/(VLOOKUP($A24,[2]Sheet1!$A:$F,HLOOKUP(F$3,[2]Sheet1!$1:$2,2,FALSE),FALSE))</f>
        <v>0.85891858297078927</v>
      </c>
    </row>
    <row r="25" spans="1:6" ht="15.75" thickBot="1" x14ac:dyDescent="0.3">
      <c r="A25" s="8" t="s">
        <v>17</v>
      </c>
      <c r="B25" s="25">
        <f>(VLOOKUP($A25,[1]Sheet1!$A:$F,HLOOKUP(B$3,[1]Sheet1!$1:$2,2,FALSE),FALSE))/(VLOOKUP($A25,[2]Sheet1!$A:$F,HLOOKUP(B$3,[2]Sheet1!$1:$2,2,FALSE),FALSE))</f>
        <v>0.82382133995037221</v>
      </c>
      <c r="C25" s="25">
        <f>(VLOOKUP($A25,[1]Sheet1!$A:$F,HLOOKUP(C$3,[1]Sheet1!$1:$2,2,FALSE),FALSE))/(VLOOKUP($A25,[2]Sheet1!$A:$F,HLOOKUP(C$3,[2]Sheet1!$1:$2,2,FALSE),FALSE))</f>
        <v>0.84507042253521125</v>
      </c>
      <c r="D25" s="25">
        <f>(VLOOKUP($A25,[1]Sheet1!$A:$F,HLOOKUP(D$3,[1]Sheet1!$1:$2,2,FALSE),FALSE))/(VLOOKUP($A25,[2]Sheet1!$A:$F,HLOOKUP(D$3,[2]Sheet1!$1:$2,2,FALSE),FALSE))</f>
        <v>0.87673772011121409</v>
      </c>
      <c r="E25" s="25">
        <f>(VLOOKUP($A25,[1]Sheet1!$A:$F,HLOOKUP(E$3,[1]Sheet1!$1:$2,2,FALSE),FALSE))/(VLOOKUP($A25,[2]Sheet1!$A:$F,HLOOKUP(E$3,[2]Sheet1!$1:$2,2,FALSE),FALSE))</f>
        <v>0.84810126582278478</v>
      </c>
      <c r="F25" s="25">
        <f>(VLOOKUP($A25,[1]Sheet1!$A:$F,HLOOKUP(F$3,[1]Sheet1!$1:$2,2,FALSE),FALSE))/(VLOOKUP($A25,[2]Sheet1!$A:$F,HLOOKUP(F$3,[2]Sheet1!$1:$2,2,FALSE),FALSE))</f>
        <v>0.84246575342465757</v>
      </c>
    </row>
    <row r="26" spans="1:6" ht="15.75" thickBot="1" x14ac:dyDescent="0.3">
      <c r="A26" s="8" t="s">
        <v>18</v>
      </c>
      <c r="B26" s="25">
        <f>(VLOOKUP($A26,[1]Sheet1!$A:$F,HLOOKUP(B$3,[1]Sheet1!$1:$2,2,FALSE),FALSE))/(VLOOKUP($A26,[2]Sheet1!$A:$F,HLOOKUP(B$3,[2]Sheet1!$1:$2,2,FALSE),FALSE))</f>
        <v>0.83925233644859809</v>
      </c>
      <c r="C26" s="25">
        <f>(VLOOKUP($A26,[1]Sheet1!$A:$F,HLOOKUP(C$3,[1]Sheet1!$1:$2,2,FALSE),FALSE))/(VLOOKUP($A26,[2]Sheet1!$A:$F,HLOOKUP(C$3,[2]Sheet1!$1:$2,2,FALSE),FALSE))</f>
        <v>0.86925795053003529</v>
      </c>
      <c r="D26" s="25">
        <f>(VLOOKUP($A26,[1]Sheet1!$A:$F,HLOOKUP(D$3,[1]Sheet1!$1:$2,2,FALSE),FALSE))/(VLOOKUP($A26,[2]Sheet1!$A:$F,HLOOKUP(D$3,[2]Sheet1!$1:$2,2,FALSE),FALSE))</f>
        <v>0.87121212121212122</v>
      </c>
      <c r="E26" s="25">
        <f>(VLOOKUP($A26,[1]Sheet1!$A:$F,HLOOKUP(E$3,[1]Sheet1!$1:$2,2,FALSE),FALSE))/(VLOOKUP($A26,[2]Sheet1!$A:$F,HLOOKUP(E$3,[2]Sheet1!$1:$2,2,FALSE),FALSE))</f>
        <v>0.8904665314401623</v>
      </c>
      <c r="F26" s="25">
        <f>(VLOOKUP($A26,[1]Sheet1!$A:$F,HLOOKUP(F$3,[1]Sheet1!$1:$2,2,FALSE),FALSE))/(VLOOKUP($A26,[2]Sheet1!$A:$F,HLOOKUP(F$3,[2]Sheet1!$1:$2,2,FALSE),FALSE))</f>
        <v>0.86399999999999999</v>
      </c>
    </row>
    <row r="27" spans="1:6" ht="15.75" thickBot="1" x14ac:dyDescent="0.3">
      <c r="A27" s="8" t="s">
        <v>19</v>
      </c>
      <c r="B27" s="25">
        <f>(VLOOKUP($A27,[1]Sheet1!$A:$F,HLOOKUP(B$3,[1]Sheet1!$1:$2,2,FALSE),FALSE))/(VLOOKUP($A27,[2]Sheet1!$A:$F,HLOOKUP(B$3,[2]Sheet1!$1:$2,2,FALSE),FALSE))</f>
        <v>0.81481481481481477</v>
      </c>
      <c r="C27" s="25">
        <f>(VLOOKUP($A27,[1]Sheet1!$A:$F,HLOOKUP(C$3,[1]Sheet1!$1:$2,2,FALSE),FALSE))/(VLOOKUP($A27,[2]Sheet1!$A:$F,HLOOKUP(C$3,[2]Sheet1!$1:$2,2,FALSE),FALSE))</f>
        <v>0.84444444444444444</v>
      </c>
      <c r="D27" s="25">
        <f>(VLOOKUP($A27,[1]Sheet1!$A:$F,HLOOKUP(D$3,[1]Sheet1!$1:$2,2,FALSE),FALSE))/(VLOOKUP($A27,[2]Sheet1!$A:$F,HLOOKUP(D$3,[2]Sheet1!$1:$2,2,FALSE),FALSE))</f>
        <v>0.83425414364640882</v>
      </c>
      <c r="E27" s="25">
        <f>(VLOOKUP($A27,[1]Sheet1!$A:$F,HLOOKUP(E$3,[1]Sheet1!$1:$2,2,FALSE),FALSE))/(VLOOKUP($A27,[2]Sheet1!$A:$F,HLOOKUP(E$3,[2]Sheet1!$1:$2,2,FALSE),FALSE))</f>
        <v>0.890625</v>
      </c>
      <c r="F27" s="25">
        <f>(VLOOKUP($A27,[1]Sheet1!$A:$F,HLOOKUP(F$3,[1]Sheet1!$1:$2,2,FALSE),FALSE))/(VLOOKUP($A27,[2]Sheet1!$A:$F,HLOOKUP(F$3,[2]Sheet1!$1:$2,2,FALSE),FALSE))</f>
        <v>0.8571428571428571</v>
      </c>
    </row>
    <row r="28" spans="1:6" ht="15.75" thickBot="1" x14ac:dyDescent="0.3">
      <c r="A28" s="6" t="s">
        <v>20</v>
      </c>
      <c r="B28" s="25">
        <f>(VLOOKUP($A28,[1]Sheet1!$A:$F,HLOOKUP(B$3,[1]Sheet1!$1:$2,2,FALSE),FALSE))/(VLOOKUP($A28,[2]Sheet1!$A:$F,HLOOKUP(B$3,[2]Sheet1!$1:$2,2,FALSE),FALSE))</f>
        <v>0.84263959390862941</v>
      </c>
      <c r="C28" s="25">
        <f>(VLOOKUP($A28,[1]Sheet1!$A:$F,HLOOKUP(C$3,[1]Sheet1!$1:$2,2,FALSE),FALSE))/(VLOOKUP($A28,[2]Sheet1!$A:$F,HLOOKUP(C$3,[2]Sheet1!$1:$2,2,FALSE),FALSE))</f>
        <v>0.87027914614121515</v>
      </c>
      <c r="D28" s="25">
        <f>(VLOOKUP($A28,[1]Sheet1!$A:$F,HLOOKUP(D$3,[1]Sheet1!$1:$2,2,FALSE),FALSE))/(VLOOKUP($A28,[2]Sheet1!$A:$F,HLOOKUP(D$3,[2]Sheet1!$1:$2,2,FALSE),FALSE))</f>
        <v>0.86569148936170215</v>
      </c>
      <c r="E28" s="25">
        <f>(VLOOKUP($A28,[1]Sheet1!$A:$F,HLOOKUP(E$3,[1]Sheet1!$1:$2,2,FALSE),FALSE))/(VLOOKUP($A28,[2]Sheet1!$A:$F,HLOOKUP(E$3,[2]Sheet1!$1:$2,2,FALSE),FALSE))</f>
        <v>0.882943143812709</v>
      </c>
      <c r="F28" s="25">
        <f>(VLOOKUP($A28,[1]Sheet1!$A:$F,HLOOKUP(F$3,[1]Sheet1!$1:$2,2,FALSE),FALSE))/(VLOOKUP($A28,[2]Sheet1!$A:$F,HLOOKUP(F$3,[2]Sheet1!$1:$2,2,FALSE),FALSE))</f>
        <v>0.85480093676814983</v>
      </c>
    </row>
    <row r="29" spans="1:6" ht="15.75" thickBot="1" x14ac:dyDescent="0.3">
      <c r="A29" s="6" t="s">
        <v>23</v>
      </c>
      <c r="B29" s="25">
        <f>(VLOOKUP($A29,[1]Sheet1!$A:$F,HLOOKUP(B$3,[1]Sheet1!$1:$2,2,FALSE),FALSE))/(VLOOKUP($A29,[2]Sheet1!$A:$F,HLOOKUP(B$3,[2]Sheet1!$1:$2,2,FALSE),FALSE))</f>
        <v>0.82089552238805974</v>
      </c>
      <c r="C29" s="25">
        <f>(VLOOKUP($A29,[1]Sheet1!$A:$F,HLOOKUP(C$3,[1]Sheet1!$1:$2,2,FALSE),FALSE))/(VLOOKUP($A29,[2]Sheet1!$A:$F,HLOOKUP(C$3,[2]Sheet1!$1:$2,2,FALSE),FALSE))</f>
        <v>0.81987577639751552</v>
      </c>
      <c r="D29" s="25">
        <f>(VLOOKUP($A29,[1]Sheet1!$A:$F,HLOOKUP(D$3,[1]Sheet1!$1:$2,2,FALSE),FALSE))/(VLOOKUP($A29,[2]Sheet1!$A:$F,HLOOKUP(D$3,[2]Sheet1!$1:$2,2,FALSE),FALSE))</f>
        <v>0.86631016042780751</v>
      </c>
      <c r="E29" s="25">
        <f>(VLOOKUP($A29,[1]Sheet1!$A:$F,HLOOKUP(E$3,[1]Sheet1!$1:$2,2,FALSE),FALSE))/(VLOOKUP($A29,[2]Sheet1!$A:$F,HLOOKUP(E$3,[2]Sheet1!$1:$2,2,FALSE),FALSE))</f>
        <v>0.85869565217391308</v>
      </c>
      <c r="F29" s="25">
        <f>(VLOOKUP($A29,[1]Sheet1!$A:$F,HLOOKUP(F$3,[1]Sheet1!$1:$2,2,FALSE),FALSE))/(VLOOKUP($A29,[2]Sheet1!$A:$F,HLOOKUP(F$3,[2]Sheet1!$1:$2,2,FALSE),FALSE))</f>
        <v>0.83419689119170981</v>
      </c>
    </row>
    <row r="30" spans="1:6" ht="15.75" thickBot="1" x14ac:dyDescent="0.3">
      <c r="A30" s="20" t="s">
        <v>3</v>
      </c>
      <c r="B30" s="25">
        <f>(VLOOKUP($A30,[1]Sheet1!$A:$F,HLOOKUP(B$3,[1]Sheet1!$1:$2,2,FALSE),FALSE))/(VLOOKUP($A30,[2]Sheet1!$A:$F,HLOOKUP(B$3,[2]Sheet1!$1:$2,2,FALSE),FALSE))</f>
        <v>0.8351648351648352</v>
      </c>
      <c r="C30" s="25">
        <f>(VLOOKUP($A30,[1]Sheet1!$A:$F,HLOOKUP(C$3,[1]Sheet1!$1:$2,2,FALSE),FALSE))/(VLOOKUP($A30,[2]Sheet1!$A:$F,HLOOKUP(C$3,[2]Sheet1!$1:$2,2,FALSE),FALSE))</f>
        <v>0.90555555555555556</v>
      </c>
      <c r="D30" s="25">
        <f>(VLOOKUP($A30,[1]Sheet1!$A:$F,HLOOKUP(D$3,[1]Sheet1!$1:$2,2,FALSE),FALSE))/(VLOOKUP($A30,[2]Sheet1!$A:$F,HLOOKUP(D$3,[2]Sheet1!$1:$2,2,FALSE),FALSE))</f>
        <v>0.88888888888888884</v>
      </c>
      <c r="E30" s="25">
        <f>(VLOOKUP($A30,[1]Sheet1!$A:$F,HLOOKUP(E$3,[1]Sheet1!$1:$2,2,FALSE),FALSE))/(VLOOKUP($A30,[2]Sheet1!$A:$F,HLOOKUP(E$3,[2]Sheet1!$1:$2,2,FALSE),FALSE))</f>
        <v>0.88372093023255816</v>
      </c>
      <c r="F30" s="25">
        <f>(VLOOKUP($A30,[1]Sheet1!$A:$F,HLOOKUP(F$3,[1]Sheet1!$1:$2,2,FALSE),FALSE))/(VLOOKUP($A30,[2]Sheet1!$A:$F,HLOOKUP(F$3,[2]Sheet1!$1:$2,2,FALSE),FALSE))</f>
        <v>0.9464285714285714</v>
      </c>
    </row>
    <row r="31" spans="1:6" x14ac:dyDescent="0.25">
      <c r="A31" s="2"/>
      <c r="B31" s="14"/>
      <c r="C31" s="14"/>
      <c r="D31" s="14"/>
      <c r="E31" s="14"/>
      <c r="F31" s="14"/>
    </row>
    <row r="32" spans="1:6" x14ac:dyDescent="0.25">
      <c r="A32" s="28" t="s">
        <v>30</v>
      </c>
      <c r="B32" s="13"/>
      <c r="C32" s="13"/>
      <c r="D32" s="13"/>
      <c r="E32" s="13"/>
      <c r="F32" s="13"/>
    </row>
  </sheetData>
  <mergeCells count="2">
    <mergeCell ref="A1:A2"/>
    <mergeCell ref="B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A879E1A-544E-44F7-8385-FF679F1796E0}"/>
</file>

<file path=customXml/itemProps2.xml><?xml version="1.0" encoding="utf-8"?>
<ds:datastoreItem xmlns:ds="http://schemas.openxmlformats.org/officeDocument/2006/customXml" ds:itemID="{940E0DCD-E3E3-40CC-9A80-E058D8C15247}"/>
</file>

<file path=customXml/itemProps3.xml><?xml version="1.0" encoding="utf-8"?>
<ds:datastoreItem xmlns:ds="http://schemas.openxmlformats.org/officeDocument/2006/customXml" ds:itemID="{041E81FE-68E1-495F-BD7D-ADB014B97B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2012-12-04T16:27:03Z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