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240" yWindow="90" windowWidth="18720" windowHeight="7995" tabRatio="732"/>
  </bookViews>
  <sheets>
    <sheet name="Instructions" sheetId="1" r:id="rId1"/>
    <sheet name="Select Measures-High School" sheetId="3" r:id="rId2"/>
    <sheet name="Select Measures-Middle School" sheetId="16" r:id="rId3"/>
    <sheet name="Select Measures-Elementary Sch" sheetId="19" r:id="rId4"/>
    <sheet name="Reference Cut-points" sheetId="8" r:id="rId5"/>
  </sheets>
  <definedNames>
    <definedName name="_xlnm.Print_Area" localSheetId="0">Instructions!$A$1:$H$29</definedName>
    <definedName name="_xlnm.Print_Area" localSheetId="4">'Reference Cut-points'!$A$2:$D$43</definedName>
    <definedName name="_xlnm.Print_Area" localSheetId="3">'Select Measures-Elementary Sch'!$A$1:$D$398</definedName>
    <definedName name="_xlnm.Print_Area" localSheetId="1">'Select Measures-High School'!$A$1:$D$583</definedName>
    <definedName name="_xlnm.Print_Area" localSheetId="2">'Select Measures-Middle School'!$A$1:$D$443</definedName>
    <definedName name="_xlnm.Print_Titles" localSheetId="3">'Select Measures-Elementary Sch'!$1:$3</definedName>
    <definedName name="_xlnm.Print_Titles" localSheetId="1">'Select Measures-High School'!$1:$3</definedName>
    <definedName name="_xlnm.Print_Titles" localSheetId="2">'Select Measures-Middle School'!$1:$3</definedName>
  </definedNames>
  <calcPr calcId="145621"/>
</workbook>
</file>

<file path=xl/calcChain.xml><?xml version="1.0" encoding="utf-8"?>
<calcChain xmlns="http://schemas.openxmlformats.org/spreadsheetml/2006/main">
  <c r="D246" i="19" l="1"/>
  <c r="D245" i="19"/>
  <c r="D244" i="19"/>
  <c r="D242" i="19"/>
  <c r="D241" i="19"/>
  <c r="D240" i="19"/>
  <c r="D239" i="19"/>
  <c r="D216" i="19"/>
  <c r="D215" i="19"/>
  <c r="D214" i="19"/>
  <c r="D212" i="19"/>
  <c r="D211" i="19"/>
  <c r="D210" i="19"/>
  <c r="D209" i="19"/>
  <c r="C208" i="19"/>
  <c r="D208" i="19" s="1"/>
  <c r="C213" i="19"/>
  <c r="D213" i="19"/>
  <c r="C218" i="19"/>
  <c r="D218" i="19" s="1"/>
  <c r="C219" i="19"/>
  <c r="C221" i="19"/>
  <c r="D221" i="19"/>
  <c r="C223" i="19"/>
  <c r="D223" i="19" s="1"/>
  <c r="C224" i="19"/>
  <c r="C226" i="19"/>
  <c r="D226" i="19"/>
  <c r="C228" i="19"/>
  <c r="D228" i="19"/>
  <c r="C229" i="19"/>
  <c r="C231" i="19"/>
  <c r="D231" i="19"/>
  <c r="C233" i="19"/>
  <c r="D233" i="19"/>
  <c r="C234" i="19"/>
  <c r="C236" i="19"/>
  <c r="D236" i="19"/>
  <c r="C238" i="19"/>
  <c r="D238" i="19" s="1"/>
  <c r="C243" i="19"/>
  <c r="D243" i="19"/>
  <c r="C248" i="19"/>
  <c r="D248" i="19"/>
  <c r="C249" i="19"/>
  <c r="C251" i="19"/>
  <c r="D251" i="19"/>
  <c r="C253" i="19"/>
  <c r="D253" i="19" s="1"/>
  <c r="C254" i="19"/>
  <c r="C256" i="19"/>
  <c r="D256" i="19"/>
  <c r="C258" i="19"/>
  <c r="D258" i="19" s="1"/>
  <c r="C259" i="19"/>
  <c r="C261" i="19"/>
  <c r="D261" i="19"/>
  <c r="C263" i="19"/>
  <c r="D263" i="19"/>
  <c r="C264" i="19"/>
  <c r="C266" i="19"/>
  <c r="D266" i="19"/>
  <c r="D120" i="19"/>
  <c r="C120" i="19"/>
  <c r="C118" i="19"/>
  <c r="D117" i="19"/>
  <c r="C117" i="19"/>
  <c r="D115" i="19"/>
  <c r="C115" i="19"/>
  <c r="C113" i="19"/>
  <c r="C112" i="19"/>
  <c r="D112" i="19" s="1"/>
  <c r="D110" i="19"/>
  <c r="C110" i="19"/>
  <c r="C108" i="19"/>
  <c r="D107" i="19"/>
  <c r="C107" i="19"/>
  <c r="D105" i="19"/>
  <c r="C105" i="19"/>
  <c r="C103" i="19"/>
  <c r="C102" i="19"/>
  <c r="D102" i="19" s="1"/>
  <c r="D100" i="19"/>
  <c r="D99" i="19"/>
  <c r="D98" i="19"/>
  <c r="D97" i="19"/>
  <c r="D96" i="19"/>
  <c r="D95" i="19"/>
  <c r="D94" i="19"/>
  <c r="D93" i="19"/>
  <c r="D92" i="19"/>
  <c r="D89" i="19"/>
  <c r="C89" i="19"/>
  <c r="C87" i="19"/>
  <c r="C86" i="19"/>
  <c r="D86" i="19" s="1"/>
  <c r="D84" i="19"/>
  <c r="C84" i="19"/>
  <c r="C82" i="19"/>
  <c r="D81" i="19"/>
  <c r="C81" i="19"/>
  <c r="D79" i="19"/>
  <c r="C79" i="19"/>
  <c r="C77" i="19"/>
  <c r="C76" i="19"/>
  <c r="D76" i="19" s="1"/>
  <c r="D74" i="19"/>
  <c r="C74" i="19"/>
  <c r="C72" i="19"/>
  <c r="D71" i="19"/>
  <c r="C71" i="19"/>
  <c r="D69" i="19"/>
  <c r="D68" i="19"/>
  <c r="D67" i="19"/>
  <c r="D66" i="19"/>
  <c r="D65" i="19"/>
  <c r="D64" i="19"/>
  <c r="D63" i="19"/>
  <c r="D62" i="19"/>
  <c r="D61" i="19"/>
  <c r="D311" i="16"/>
  <c r="C311" i="16"/>
  <c r="C309" i="16"/>
  <c r="C308" i="16"/>
  <c r="D308" i="16" s="1"/>
  <c r="D306" i="16"/>
  <c r="C306" i="16"/>
  <c r="C304" i="16"/>
  <c r="C303" i="16"/>
  <c r="D303" i="16" s="1"/>
  <c r="D301" i="16"/>
  <c r="C301" i="16"/>
  <c r="C299" i="16"/>
  <c r="D298" i="16"/>
  <c r="C298" i="16"/>
  <c r="D296" i="16"/>
  <c r="C296" i="16"/>
  <c r="C294" i="16"/>
  <c r="C293" i="16"/>
  <c r="D293" i="16" s="1"/>
  <c r="D291" i="16"/>
  <c r="D290" i="16"/>
  <c r="D289" i="16"/>
  <c r="C288" i="16"/>
  <c r="D288" i="16" s="1"/>
  <c r="D287" i="16"/>
  <c r="D286" i="16"/>
  <c r="D285" i="16"/>
  <c r="D284" i="16"/>
  <c r="D283" i="16"/>
  <c r="C283" i="16"/>
  <c r="D261" i="16"/>
  <c r="D260" i="16"/>
  <c r="D259" i="16"/>
  <c r="D257" i="16"/>
  <c r="D256" i="16"/>
  <c r="D255" i="16"/>
  <c r="D254" i="16"/>
  <c r="D100" i="16"/>
  <c r="D99" i="16"/>
  <c r="D98" i="16"/>
  <c r="D96" i="16"/>
  <c r="D95" i="16"/>
  <c r="D94" i="16"/>
  <c r="D93" i="16"/>
  <c r="D69" i="16"/>
  <c r="D68" i="16"/>
  <c r="D67" i="16"/>
  <c r="D65" i="16"/>
  <c r="D64" i="16"/>
  <c r="D63" i="16"/>
  <c r="D62" i="16"/>
  <c r="D65" i="3"/>
  <c r="D62" i="3"/>
  <c r="D291" i="3"/>
  <c r="D290" i="3"/>
  <c r="D289" i="3"/>
  <c r="D287" i="3"/>
  <c r="D286" i="3"/>
  <c r="D285" i="3"/>
  <c r="D284" i="3"/>
  <c r="D261" i="3"/>
  <c r="D260" i="3"/>
  <c r="D259" i="3"/>
  <c r="D257" i="3"/>
  <c r="D256" i="3"/>
  <c r="D255" i="3"/>
  <c r="D254" i="3"/>
  <c r="D120" i="16" l="1"/>
  <c r="C120" i="16"/>
  <c r="C118" i="16"/>
  <c r="C117" i="16"/>
  <c r="D117" i="16" s="1"/>
  <c r="D115" i="16"/>
  <c r="C115" i="16"/>
  <c r="C113" i="16"/>
  <c r="C112" i="16"/>
  <c r="D112" i="16" s="1"/>
  <c r="D110" i="16"/>
  <c r="C110" i="16"/>
  <c r="C108" i="16"/>
  <c r="C107" i="16"/>
  <c r="D107" i="16" s="1"/>
  <c r="D105" i="16"/>
  <c r="C105" i="16"/>
  <c r="C103" i="16"/>
  <c r="C102" i="16"/>
  <c r="D102" i="16" s="1"/>
  <c r="D97" i="16"/>
  <c r="D92" i="16"/>
  <c r="D89" i="16"/>
  <c r="C89" i="16"/>
  <c r="C87" i="16"/>
  <c r="C86" i="16"/>
  <c r="D86" i="16" s="1"/>
  <c r="D84" i="16"/>
  <c r="C84" i="16"/>
  <c r="C82" i="16"/>
  <c r="C81" i="16"/>
  <c r="D81" i="16" s="1"/>
  <c r="D79" i="16"/>
  <c r="C79" i="16"/>
  <c r="C77" i="16"/>
  <c r="C76" i="16"/>
  <c r="D76" i="16" s="1"/>
  <c r="D74" i="16"/>
  <c r="C74" i="16"/>
  <c r="C72" i="16"/>
  <c r="C71" i="16"/>
  <c r="D71" i="16" s="1"/>
  <c r="D66" i="16"/>
  <c r="D61" i="16"/>
  <c r="D165" i="16"/>
  <c r="D162" i="16"/>
  <c r="D158" i="16"/>
  <c r="D153" i="16"/>
  <c r="D150" i="16"/>
  <c r="D147" i="16"/>
  <c r="D143" i="16"/>
  <c r="D138" i="16"/>
  <c r="D135" i="16"/>
  <c r="D132" i="16"/>
  <c r="D128" i="16"/>
  <c r="D123" i="16"/>
  <c r="D120" i="3"/>
  <c r="C120" i="3"/>
  <c r="C118" i="3"/>
  <c r="C117" i="3"/>
  <c r="D117" i="3" s="1"/>
  <c r="D115" i="3"/>
  <c r="C115" i="3"/>
  <c r="C113" i="3"/>
  <c r="C112" i="3"/>
  <c r="D112" i="3" s="1"/>
  <c r="D110" i="3"/>
  <c r="C110" i="3"/>
  <c r="C108" i="3"/>
  <c r="C107" i="3"/>
  <c r="D107" i="3" s="1"/>
  <c r="D105" i="3"/>
  <c r="C105" i="3"/>
  <c r="C103" i="3"/>
  <c r="C102" i="3"/>
  <c r="D102" i="3" s="1"/>
  <c r="D100" i="3"/>
  <c r="D99" i="3"/>
  <c r="D98" i="3"/>
  <c r="D97" i="3"/>
  <c r="D96" i="3"/>
  <c r="D95" i="3"/>
  <c r="D94" i="3"/>
  <c r="D93" i="3"/>
  <c r="D92" i="3"/>
  <c r="D74" i="3"/>
  <c r="D79" i="3"/>
  <c r="D84" i="3"/>
  <c r="C74" i="3"/>
  <c r="C79" i="3"/>
  <c r="C84" i="3"/>
  <c r="C89" i="3"/>
  <c r="D397" i="19" l="1"/>
  <c r="D382" i="19"/>
  <c r="D368" i="19"/>
  <c r="D354" i="19"/>
  <c r="D314" i="19"/>
  <c r="D298" i="19"/>
  <c r="D282" i="19"/>
  <c r="D399" i="16"/>
  <c r="D359" i="16"/>
  <c r="D343" i="16"/>
  <c r="D327" i="16"/>
  <c r="D281" i="16"/>
  <c r="D276" i="16"/>
  <c r="D271" i="16"/>
  <c r="D266" i="16"/>
  <c r="D404" i="3"/>
  <c r="D388" i="3"/>
  <c r="D356" i="3"/>
  <c r="D341" i="3"/>
  <c r="D326" i="3"/>
  <c r="D311" i="3"/>
  <c r="D306" i="3"/>
  <c r="D301" i="3"/>
  <c r="D296" i="3"/>
  <c r="D281" i="3"/>
  <c r="D276" i="3"/>
  <c r="D271" i="3"/>
  <c r="D266" i="3"/>
  <c r="D89" i="3"/>
  <c r="D3" i="16"/>
  <c r="D2" i="16"/>
  <c r="D3" i="19"/>
  <c r="D2" i="19"/>
  <c r="D394" i="19"/>
  <c r="K400" i="19"/>
  <c r="D390" i="19"/>
  <c r="D385" i="19"/>
  <c r="C382" i="19"/>
  <c r="C380" i="19"/>
  <c r="C379" i="19"/>
  <c r="D379" i="19" s="1"/>
  <c r="D378" i="19"/>
  <c r="D377" i="19"/>
  <c r="D376" i="19"/>
  <c r="C375" i="19"/>
  <c r="D375" i="19" s="1"/>
  <c r="D374" i="19"/>
  <c r="D373" i="19"/>
  <c r="D372" i="19"/>
  <c r="D371" i="19"/>
  <c r="C370" i="19"/>
  <c r="D370" i="19" s="1"/>
  <c r="C368" i="19"/>
  <c r="C366" i="19"/>
  <c r="C365" i="19"/>
  <c r="D365" i="19" s="1"/>
  <c r="D364" i="19"/>
  <c r="D363" i="19"/>
  <c r="D362" i="19"/>
  <c r="C361" i="19"/>
  <c r="D361" i="19" s="1"/>
  <c r="D360" i="19"/>
  <c r="D359" i="19"/>
  <c r="D358" i="19"/>
  <c r="D357" i="19"/>
  <c r="C356" i="19"/>
  <c r="D356" i="19" s="1"/>
  <c r="C354" i="19"/>
  <c r="C352" i="19"/>
  <c r="C351" i="19"/>
  <c r="D351" i="19" s="1"/>
  <c r="D350" i="19"/>
  <c r="D349" i="19"/>
  <c r="D348" i="19"/>
  <c r="C347" i="19"/>
  <c r="D347" i="19" s="1"/>
  <c r="D346" i="19"/>
  <c r="D345" i="19"/>
  <c r="D344" i="19"/>
  <c r="D343" i="19"/>
  <c r="C342" i="19"/>
  <c r="D342" i="19" s="1"/>
  <c r="D338" i="19"/>
  <c r="D334" i="19"/>
  <c r="D329" i="19"/>
  <c r="D326" i="19"/>
  <c r="D322" i="19"/>
  <c r="D317" i="19"/>
  <c r="D311" i="19"/>
  <c r="D307" i="19"/>
  <c r="D302" i="19"/>
  <c r="D295" i="19"/>
  <c r="D291" i="19"/>
  <c r="D286" i="19"/>
  <c r="D279" i="19"/>
  <c r="D275" i="19"/>
  <c r="D270" i="19"/>
  <c r="D204" i="19"/>
  <c r="D200" i="19"/>
  <c r="D195" i="19"/>
  <c r="D192" i="19"/>
  <c r="D188" i="19"/>
  <c r="D183" i="19"/>
  <c r="D180" i="19"/>
  <c r="D176" i="19"/>
  <c r="D171" i="19"/>
  <c r="D168" i="19"/>
  <c r="D165" i="19"/>
  <c r="D161" i="19"/>
  <c r="D156" i="19"/>
  <c r="D152" i="19"/>
  <c r="D149" i="19"/>
  <c r="D145" i="19"/>
  <c r="D140" i="19"/>
  <c r="D136" i="19"/>
  <c r="D133" i="19"/>
  <c r="D129" i="19"/>
  <c r="D124" i="19"/>
  <c r="K102" i="19"/>
  <c r="J95" i="19"/>
  <c r="K89" i="19"/>
  <c r="J85" i="19"/>
  <c r="J81" i="19"/>
  <c r="K75" i="19"/>
  <c r="J72" i="19"/>
  <c r="J68" i="19"/>
  <c r="K62" i="19"/>
  <c r="J59" i="19"/>
  <c r="D56" i="19"/>
  <c r="J55" i="19"/>
  <c r="D52" i="19"/>
  <c r="K49" i="19"/>
  <c r="D47" i="19"/>
  <c r="J46" i="19"/>
  <c r="D44" i="19"/>
  <c r="J42" i="19"/>
  <c r="D40" i="19"/>
  <c r="D35" i="19"/>
  <c r="J33" i="19"/>
  <c r="D32" i="19"/>
  <c r="J29" i="19"/>
  <c r="D28" i="19"/>
  <c r="D23" i="19"/>
  <c r="J20" i="19"/>
  <c r="D20" i="19"/>
  <c r="J16" i="19"/>
  <c r="D16" i="19"/>
  <c r="D11" i="19"/>
  <c r="D5" i="19"/>
  <c r="D353" i="3"/>
  <c r="D349" i="3"/>
  <c r="D344" i="3"/>
  <c r="D338" i="3"/>
  <c r="D334" i="3"/>
  <c r="D329" i="3"/>
  <c r="D323" i="3"/>
  <c r="D319" i="3"/>
  <c r="D314" i="3"/>
  <c r="D165" i="3"/>
  <c r="D162" i="3"/>
  <c r="D158" i="3"/>
  <c r="D153" i="3"/>
  <c r="D150" i="3"/>
  <c r="D147" i="3"/>
  <c r="D143" i="3"/>
  <c r="D138" i="3"/>
  <c r="D135" i="3"/>
  <c r="D132" i="3"/>
  <c r="D128" i="3"/>
  <c r="D123" i="3"/>
  <c r="D442" i="16"/>
  <c r="D439" i="16"/>
  <c r="K416" i="16"/>
  <c r="D435" i="16"/>
  <c r="D430" i="16"/>
  <c r="D427" i="16"/>
  <c r="C427" i="16"/>
  <c r="C425" i="16"/>
  <c r="C424" i="16"/>
  <c r="D424" i="16" s="1"/>
  <c r="D423" i="16"/>
  <c r="D422" i="16"/>
  <c r="D421" i="16"/>
  <c r="C420" i="16"/>
  <c r="D420" i="16" s="1"/>
  <c r="D419" i="16"/>
  <c r="D418" i="16"/>
  <c r="D417" i="16"/>
  <c r="D416" i="16"/>
  <c r="C415" i="16"/>
  <c r="D415" i="16" s="1"/>
  <c r="D413" i="16"/>
  <c r="C413" i="16"/>
  <c r="C411" i="16"/>
  <c r="C410" i="16"/>
  <c r="D410" i="16" s="1"/>
  <c r="D409" i="16"/>
  <c r="D408" i="16"/>
  <c r="D407" i="16"/>
  <c r="C406" i="16"/>
  <c r="D406" i="16" s="1"/>
  <c r="D405" i="16"/>
  <c r="D404" i="16"/>
  <c r="D403" i="16"/>
  <c r="D402" i="16"/>
  <c r="C401" i="16"/>
  <c r="D401" i="16" s="1"/>
  <c r="C399" i="16"/>
  <c r="C397" i="16"/>
  <c r="C396" i="16"/>
  <c r="D396" i="16" s="1"/>
  <c r="D395" i="16"/>
  <c r="D394" i="16"/>
  <c r="D393" i="16"/>
  <c r="C392" i="16"/>
  <c r="D392" i="16" s="1"/>
  <c r="D391" i="16"/>
  <c r="D390" i="16"/>
  <c r="D389" i="16"/>
  <c r="D388" i="16"/>
  <c r="C387" i="16"/>
  <c r="D387" i="16" s="1"/>
  <c r="D383" i="16"/>
  <c r="D379" i="16"/>
  <c r="D374" i="16"/>
  <c r="D371" i="16"/>
  <c r="D367" i="16"/>
  <c r="D362" i="16"/>
  <c r="D356" i="16"/>
  <c r="D352" i="16"/>
  <c r="D347" i="16"/>
  <c r="D340" i="16"/>
  <c r="D336" i="16"/>
  <c r="D331" i="16"/>
  <c r="D324" i="16"/>
  <c r="D320" i="16"/>
  <c r="D315" i="16"/>
  <c r="C281" i="16"/>
  <c r="C279" i="16"/>
  <c r="C278" i="16"/>
  <c r="D278" i="16" s="1"/>
  <c r="C276" i="16"/>
  <c r="C274" i="16"/>
  <c r="C273" i="16"/>
  <c r="D273" i="16" s="1"/>
  <c r="C271" i="16"/>
  <c r="C269" i="16"/>
  <c r="C268" i="16"/>
  <c r="D268" i="16" s="1"/>
  <c r="C266" i="16"/>
  <c r="C264" i="16"/>
  <c r="C263" i="16"/>
  <c r="D263" i="16" s="1"/>
  <c r="C258" i="16"/>
  <c r="D258" i="16" s="1"/>
  <c r="C253" i="16"/>
  <c r="D253" i="16" s="1"/>
  <c r="D249" i="16"/>
  <c r="D245" i="16"/>
  <c r="D240" i="16"/>
  <c r="D237" i="16"/>
  <c r="D233" i="16"/>
  <c r="D228" i="16"/>
  <c r="D225" i="16"/>
  <c r="D221" i="16"/>
  <c r="D216" i="16"/>
  <c r="D213" i="16"/>
  <c r="D210" i="16"/>
  <c r="D206" i="16"/>
  <c r="D201" i="16"/>
  <c r="D197" i="16"/>
  <c r="D194" i="16"/>
  <c r="D190" i="16"/>
  <c r="D185" i="16"/>
  <c r="D181" i="16"/>
  <c r="D178" i="16"/>
  <c r="D174" i="16"/>
  <c r="D169" i="16"/>
  <c r="K102" i="16"/>
  <c r="J95" i="16"/>
  <c r="K89" i="16"/>
  <c r="J85" i="16"/>
  <c r="J81" i="16"/>
  <c r="K75" i="16"/>
  <c r="J72" i="16"/>
  <c r="J68" i="16"/>
  <c r="K62" i="16"/>
  <c r="J59" i="16"/>
  <c r="D56" i="16"/>
  <c r="J55" i="16"/>
  <c r="D52" i="16"/>
  <c r="K49" i="16"/>
  <c r="D47" i="16"/>
  <c r="J46" i="16"/>
  <c r="D44" i="16"/>
  <c r="J42" i="16"/>
  <c r="D40" i="16"/>
  <c r="D35" i="16"/>
  <c r="J33" i="16"/>
  <c r="D32" i="16"/>
  <c r="J29" i="16"/>
  <c r="D28" i="16"/>
  <c r="D23" i="16"/>
  <c r="J20" i="16"/>
  <c r="D20" i="16"/>
  <c r="J16" i="16"/>
  <c r="D16" i="16"/>
  <c r="D11" i="16"/>
  <c r="D5" i="16"/>
  <c r="D372" i="3"/>
  <c r="C472" i="3"/>
  <c r="C470" i="3"/>
  <c r="C458" i="3"/>
  <c r="C456" i="3"/>
  <c r="D487" i="3"/>
  <c r="D472" i="3"/>
  <c r="D458" i="3"/>
  <c r="D444" i="3"/>
  <c r="C442" i="3"/>
  <c r="C444" i="3"/>
  <c r="C565" i="3"/>
  <c r="D582" i="3"/>
  <c r="D539" i="3"/>
  <c r="D553" i="3"/>
  <c r="D567" i="3"/>
  <c r="C553" i="3"/>
  <c r="C551" i="3"/>
  <c r="C537" i="3"/>
  <c r="C539" i="3"/>
  <c r="C311" i="3" l="1"/>
  <c r="C309" i="3"/>
  <c r="C308" i="3"/>
  <c r="D308" i="3" s="1"/>
  <c r="C306" i="3"/>
  <c r="C304" i="3"/>
  <c r="C303" i="3"/>
  <c r="D303" i="3" s="1"/>
  <c r="C301" i="3"/>
  <c r="C299" i="3"/>
  <c r="C298" i="3"/>
  <c r="D298" i="3" s="1"/>
  <c r="C296" i="3"/>
  <c r="C294" i="3"/>
  <c r="C293" i="3"/>
  <c r="D293" i="3" s="1"/>
  <c r="C288" i="3"/>
  <c r="D288" i="3" s="1"/>
  <c r="C283" i="3"/>
  <c r="D283" i="3" s="1"/>
  <c r="C281" i="3"/>
  <c r="C279" i="3"/>
  <c r="C276" i="3"/>
  <c r="C271" i="3"/>
  <c r="C269" i="3"/>
  <c r="C266" i="3"/>
  <c r="C264" i="3"/>
  <c r="C274" i="3"/>
  <c r="D433" i="3" l="1"/>
  <c r="C263" i="3"/>
  <c r="D263" i="3" s="1"/>
  <c r="C268" i="3"/>
  <c r="D268" i="3" s="1"/>
  <c r="C273" i="3"/>
  <c r="D273" i="3" s="1"/>
  <c r="D213" i="3"/>
  <c r="D197" i="3"/>
  <c r="C87" i="3"/>
  <c r="D181" i="3" l="1"/>
  <c r="C72" i="3"/>
  <c r="D174" i="3" l="1"/>
  <c r="D484" i="3"/>
  <c r="D480" i="3"/>
  <c r="D475" i="3"/>
  <c r="D428" i="3"/>
  <c r="D424" i="3"/>
  <c r="D419" i="3"/>
  <c r="D416" i="3"/>
  <c r="D412" i="3"/>
  <c r="D407" i="3"/>
  <c r="D579" i="3"/>
  <c r="D575" i="3"/>
  <c r="D570" i="3"/>
  <c r="D523" i="3"/>
  <c r="D519" i="3"/>
  <c r="D514" i="3"/>
  <c r="D511" i="3"/>
  <c r="D507" i="3"/>
  <c r="D502" i="3"/>
  <c r="D499" i="3"/>
  <c r="D495" i="3"/>
  <c r="D490" i="3"/>
  <c r="D401" i="3"/>
  <c r="D397" i="3"/>
  <c r="D392" i="3"/>
  <c r="D385" i="3"/>
  <c r="D381" i="3"/>
  <c r="D376" i="3"/>
  <c r="D369" i="3"/>
  <c r="D365" i="3"/>
  <c r="D360" i="3"/>
  <c r="D249" i="3"/>
  <c r="D245" i="3"/>
  <c r="D240" i="3"/>
  <c r="D237" i="3"/>
  <c r="D233" i="3"/>
  <c r="D228" i="3"/>
  <c r="D225" i="3"/>
  <c r="D221" i="3"/>
  <c r="D216" i="3"/>
  <c r="D210" i="3"/>
  <c r="D206" i="3"/>
  <c r="D201" i="3"/>
  <c r="D194" i="3"/>
  <c r="D190" i="3"/>
  <c r="D185" i="3"/>
  <c r="D178" i="3"/>
  <c r="D169" i="3"/>
  <c r="D66" i="3"/>
  <c r="D61" i="3"/>
  <c r="D56" i="3"/>
  <c r="D52" i="3"/>
  <c r="D47" i="3"/>
  <c r="D44" i="3"/>
  <c r="D40" i="3"/>
  <c r="D35" i="3"/>
  <c r="D32" i="3"/>
  <c r="D28" i="3"/>
  <c r="D23" i="3"/>
  <c r="D20" i="3"/>
  <c r="D16" i="3"/>
  <c r="D11" i="3"/>
  <c r="C532" i="3" l="1"/>
  <c r="D532" i="3" s="1"/>
  <c r="C541" i="3"/>
  <c r="D541" i="3" s="1"/>
  <c r="C527" i="3"/>
  <c r="D527" i="3" s="1"/>
  <c r="C77" i="3"/>
  <c r="C82" i="3"/>
  <c r="C71" i="3"/>
  <c r="D71" i="3" s="1"/>
  <c r="D63" i="3"/>
  <c r="D64" i="3" l="1"/>
  <c r="C564" i="3" l="1"/>
  <c r="D564" i="3" s="1"/>
  <c r="D563" i="3"/>
  <c r="D562" i="3"/>
  <c r="D561" i="3"/>
  <c r="C560" i="3"/>
  <c r="D560" i="3" s="1"/>
  <c r="D559" i="3"/>
  <c r="D558" i="3"/>
  <c r="D557" i="3"/>
  <c r="D556" i="3"/>
  <c r="C555" i="3"/>
  <c r="D555" i="3" s="1"/>
  <c r="C550" i="3"/>
  <c r="D550" i="3" s="1"/>
  <c r="D549" i="3"/>
  <c r="D548" i="3"/>
  <c r="D547" i="3"/>
  <c r="C546" i="3"/>
  <c r="D546" i="3" s="1"/>
  <c r="D545" i="3"/>
  <c r="D544" i="3"/>
  <c r="D543" i="3"/>
  <c r="D542" i="3"/>
  <c r="C469" i="3"/>
  <c r="D469" i="3" s="1"/>
  <c r="D468" i="3"/>
  <c r="D467" i="3"/>
  <c r="D466" i="3"/>
  <c r="C465" i="3"/>
  <c r="D465" i="3" s="1"/>
  <c r="D464" i="3"/>
  <c r="D463" i="3"/>
  <c r="D462" i="3"/>
  <c r="D461" i="3"/>
  <c r="C460" i="3"/>
  <c r="D460" i="3" s="1"/>
  <c r="C455" i="3"/>
  <c r="D455" i="3" s="1"/>
  <c r="D454" i="3"/>
  <c r="D453" i="3"/>
  <c r="D452" i="3"/>
  <c r="C451" i="3"/>
  <c r="D451" i="3" s="1"/>
  <c r="D450" i="3"/>
  <c r="D449" i="3"/>
  <c r="D448" i="3"/>
  <c r="D447" i="3"/>
  <c r="C446" i="3"/>
  <c r="D446" i="3" s="1"/>
  <c r="C441" i="3" l="1"/>
  <c r="D441" i="3" s="1"/>
  <c r="C437" i="3"/>
  <c r="D437" i="3" s="1"/>
  <c r="C432" i="3"/>
  <c r="D432" i="3" s="1"/>
  <c r="D440" i="3"/>
  <c r="D439" i="3"/>
  <c r="D438" i="3"/>
  <c r="D436" i="3"/>
  <c r="D435" i="3"/>
  <c r="D434" i="3"/>
  <c r="D535" i="3" l="1"/>
  <c r="D534" i="3"/>
  <c r="D533" i="3"/>
  <c r="D531" i="3"/>
  <c r="D530" i="3"/>
  <c r="D529" i="3"/>
  <c r="D528" i="3"/>
  <c r="C536" i="3"/>
  <c r="D536" i="3" s="1"/>
  <c r="C258" i="3"/>
  <c r="D258" i="3" s="1"/>
  <c r="C253" i="3"/>
  <c r="D253" i="3" s="1"/>
  <c r="C278" i="3"/>
  <c r="D278" i="3" s="1"/>
  <c r="C86" i="3" l="1"/>
  <c r="D86" i="3" s="1"/>
  <c r="C81" i="3" l="1"/>
  <c r="D81" i="3" s="1"/>
  <c r="C76" i="3" l="1"/>
  <c r="D76" i="3" s="1"/>
  <c r="D69" i="3" l="1"/>
  <c r="D68" i="3"/>
  <c r="D67" i="3"/>
  <c r="K105" i="3"/>
  <c r="J98" i="3"/>
  <c r="K92" i="3"/>
  <c r="J88" i="3"/>
  <c r="J83" i="3"/>
  <c r="K76" i="3"/>
  <c r="J72" i="3"/>
  <c r="J68" i="3"/>
  <c r="K62" i="3"/>
  <c r="J59" i="3"/>
  <c r="J55" i="3"/>
  <c r="K49" i="3"/>
  <c r="J46" i="3"/>
  <c r="J42" i="3"/>
  <c r="J33" i="3"/>
  <c r="J29" i="3"/>
  <c r="J20" i="3"/>
  <c r="J16" i="3"/>
  <c r="D5" i="3" l="1"/>
  <c r="D3" i="3"/>
  <c r="K493" i="3"/>
  <c r="K480" i="3"/>
  <c r="D2" i="3"/>
</calcChain>
</file>

<file path=xl/sharedStrings.xml><?xml version="1.0" encoding="utf-8"?>
<sst xmlns="http://schemas.openxmlformats.org/spreadsheetml/2006/main" count="5821" uniqueCount="401">
  <si>
    <t>Performance Indicator</t>
  </si>
  <si>
    <t>Academic Achievement</t>
  </si>
  <si>
    <t>Scoring Guide for Alternative Education Campuses (AECs) ONLY</t>
  </si>
  <si>
    <t>Point Value</t>
  </si>
  <si>
    <t>Academic Growth</t>
  </si>
  <si>
    <t>Post-Secondary &amp; Workforce Readiness</t>
  </si>
  <si>
    <t>Student Engagement</t>
  </si>
  <si>
    <t>Principal's Name</t>
  </si>
  <si>
    <t>Primary Contact</t>
  </si>
  <si>
    <t>Primary Contact's E-mail</t>
  </si>
  <si>
    <t>Primary Contact's Phone #</t>
  </si>
  <si>
    <t>School Code</t>
  </si>
  <si>
    <t>School Name</t>
  </si>
  <si>
    <t>District/Authorizer Code</t>
  </si>
  <si>
    <t>INSTRUCTIONS</t>
  </si>
  <si>
    <t>Principal/Administrator Signature</t>
  </si>
  <si>
    <t>District/Authorizer Signature</t>
  </si>
  <si>
    <t>District Board President Signature</t>
  </si>
  <si>
    <t>at or above the 90th percentile of all AECs</t>
  </si>
  <si>
    <t>below the 90th percentile but at or above the 60th percentile of all AECs</t>
  </si>
  <si>
    <t>below the 60th percentile but at or above the 40th percentile of all AECs</t>
  </si>
  <si>
    <t>below the 40th percentile of all AECs</t>
  </si>
  <si>
    <t>Cut-point value for Exceeds</t>
  </si>
  <si>
    <t>Cut-point value for Meets</t>
  </si>
  <si>
    <t>Cut-point value for Approaching</t>
  </si>
  <si>
    <t>Percent proficient and advanced</t>
  </si>
  <si>
    <t>OPTIONAL</t>
  </si>
  <si>
    <t>REQUIRED</t>
  </si>
  <si>
    <t xml:space="preserve"> To receive the indicator rating, the AEC's median growth percentile was:</t>
  </si>
  <si>
    <t xml:space="preserve"> To receive the indicator rating, the percent of students achieving their target growth was:</t>
  </si>
  <si>
    <t>Percent achieving target</t>
  </si>
  <si>
    <t>Median growth percentile</t>
  </si>
  <si>
    <t>Cut-point values for percent of students achieving target growth:</t>
  </si>
  <si>
    <t>Your school's actual percent of students achieving target growth was:</t>
  </si>
  <si>
    <t>Cut-point values for percent of students achieving target growth were:</t>
  </si>
  <si>
    <t>Your school's actual median growth percentile was:</t>
  </si>
  <si>
    <t>Cut-point values for the median growth percentile were:</t>
  </si>
  <si>
    <t>Cut-point values for percent of students scoring proficient and advanced were:</t>
  </si>
  <si>
    <t>Your school's actual percent of students scoring proficient and advanced was:</t>
  </si>
  <si>
    <t xml:space="preserve"> To receive the indicator rating, the AEC's percent of students scoring proficient and advanced was:</t>
  </si>
  <si>
    <t xml:space="preserve"> To receive the indicator rating, the AEC's completion rate was:</t>
  </si>
  <si>
    <t>Cut-point values for completion rate were:</t>
  </si>
  <si>
    <t>Completion rate</t>
  </si>
  <si>
    <t xml:space="preserve"> To receive the indicator rating, the AEC's average dropout rate over three years was:</t>
  </si>
  <si>
    <t>Average dropout rate</t>
  </si>
  <si>
    <t xml:space="preserve"> To receive the indicator rating, the AEC's 4, 5, or 6 year graduation rate was:</t>
  </si>
  <si>
    <t>Cut-point values for 4, 5 or 6 year graduation rate were:</t>
  </si>
  <si>
    <t>Cut-point values for average dropout rate over three years were:</t>
  </si>
  <si>
    <t>Your school's reported average dropout rate over three years rate was:</t>
  </si>
  <si>
    <t>Your school's reported completion rate was:</t>
  </si>
  <si>
    <t>Your school's actual 4, 5, or 6 year graduation rate was:</t>
  </si>
  <si>
    <t xml:space="preserve"> To receive the indicator rating, the AEC's average Colorado ACT composite score was:</t>
  </si>
  <si>
    <t>Cut-point values for average Colorado ACT composite score were:</t>
  </si>
  <si>
    <t>Your school's actual average Colorado ACT composite score was:</t>
  </si>
  <si>
    <t>Average CO ACT composite score</t>
  </si>
  <si>
    <t>Workforce Readiness</t>
  </si>
  <si>
    <t>Credit/Course Completion</t>
  </si>
  <si>
    <t xml:space="preserve"> To receive the indicator rating, the AEC's percent of students to successfully transition was:</t>
  </si>
  <si>
    <t>Cut-point values for percent of students to successfully transition were:</t>
  </si>
  <si>
    <t>Your school's actual percent of students to successfully transition was:</t>
  </si>
  <si>
    <t>Percent of students</t>
  </si>
  <si>
    <t xml:space="preserve"> To receive the indicator rating, the AEC's average daily attendance rate was:</t>
  </si>
  <si>
    <t>Cut-point values for average daily attendance rate were:</t>
  </si>
  <si>
    <t>Your school's actual average daily attendance rate rate was:</t>
  </si>
  <si>
    <t>Attendance rate</t>
  </si>
  <si>
    <t xml:space="preserve"> To receive the indicator rating, the criteria for the additional measure of post-secondary and workforce readiness was:</t>
  </si>
  <si>
    <t>Your school's actual value for additional measure of student academic achievement was:</t>
  </si>
  <si>
    <t>Cut-point values for additional measure  of student academic achievement were:</t>
  </si>
  <si>
    <t>Cut-point values for additional measure  of student academic growth were:</t>
  </si>
  <si>
    <t xml:space="preserve"> To receive the indicator rating, the AEC's percent of students to meet or exceed readiness benchmark was:</t>
  </si>
  <si>
    <t>Cut-point values for percent of students to meet or exceed readiness benchmark were:</t>
  </si>
  <si>
    <t>Your school's actual percent of students to meet or exceed readiness benchmark was:</t>
  </si>
  <si>
    <t xml:space="preserve"> To receive the indicator rating, the AEC's percent of students completing courses to be on-track to graduate was:</t>
  </si>
  <si>
    <t>Cut-point values for percent of students completing courses to be on-track to graduate were:</t>
  </si>
  <si>
    <t>Your school's actual percent of students completing courses to be on-track to graduate was:</t>
  </si>
  <si>
    <t xml:space="preserve"> To receive the indicator rating, the AEC's post-completion success rate was:</t>
  </si>
  <si>
    <t>Cut-point values for post-completion success rate were:</t>
  </si>
  <si>
    <t>Your school's actual post-completion success rate was:</t>
  </si>
  <si>
    <t>Post-completion success rate</t>
  </si>
  <si>
    <t xml:space="preserve"> To receive the indicator rating, the criteria for the additional measure  of student engagement was:</t>
  </si>
  <si>
    <t>Cut-point values for additional measure  of student engagement were:</t>
  </si>
  <si>
    <t>Your school's actual value for additional measure  of student engagement was:</t>
  </si>
  <si>
    <t>Cut-point values for additional measure of post-secondary and workforce readiness were:</t>
  </si>
  <si>
    <t>Your school's actual value for additional measure of post-secondary and workforce readiness was:</t>
  </si>
  <si>
    <t>District/Authorizer Name</t>
  </si>
  <si>
    <t>REQUIRED INFORMATION</t>
  </si>
  <si>
    <t xml:space="preserve"> To receive the indicator rating, the AEC's truancy rate was:</t>
  </si>
  <si>
    <t>Cut-point values for truancy rate were:</t>
  </si>
  <si>
    <t>Your school's actual truancy rate rate was:</t>
  </si>
  <si>
    <t>Truancy rate</t>
  </si>
  <si>
    <t>4, 5, 6, or 7 year Graduation Rate</t>
  </si>
  <si>
    <t>ACADEMIC ACHIEVEMENT</t>
  </si>
  <si>
    <t>ACADEMIC GROWTH</t>
  </si>
  <si>
    <t>STUDENT ENGAGEMENT</t>
  </si>
  <si>
    <t>POST-SECONDARY &amp; WORKFORCE READINESS</t>
  </si>
  <si>
    <t xml:space="preserve"> To receive the indicator rating, the criteria for the additional measure of student academic achievement was:</t>
  </si>
  <si>
    <t>Name of Additional Measure</t>
  </si>
  <si>
    <t>Metric of Additional Measure</t>
  </si>
  <si>
    <t>enter actual value of additional measure</t>
  </si>
  <si>
    <t>Metric of additional measure</t>
  </si>
  <si>
    <t>Cut-point values for additional measure of student engagement were:</t>
  </si>
  <si>
    <t>Your school's actual value for additional measure of student engagement was:</t>
  </si>
  <si>
    <t xml:space="preserve"> To receive the indicator rating, the criteria for the additional measure of student engagement was:</t>
  </si>
  <si>
    <t>Student Re-engagement Rate</t>
  </si>
  <si>
    <t xml:space="preserve"> To receive the indicator rating, the criteria for student re-engagement rate was:</t>
  </si>
  <si>
    <t>Cut-point values for student re-engagement rate were:</t>
  </si>
  <si>
    <t>Your school's actual value for student re-engagement rate was:</t>
  </si>
  <si>
    <t>Re-engagement rate</t>
  </si>
  <si>
    <t>Returning Student Rate</t>
  </si>
  <si>
    <t>Returning student rate</t>
  </si>
  <si>
    <t xml:space="preserve"> To receive the indicator rating, the criteria for socio-emotional or psychological adjustment was:</t>
  </si>
  <si>
    <t>Cut-point values for socio-emotional or psychological adjustment were:</t>
  </si>
  <si>
    <t>Your school's actual value for socio-emotional or psychological adjustment was:</t>
  </si>
  <si>
    <t>Adjustment Rate</t>
  </si>
  <si>
    <t>Post-Completion Success Rate</t>
  </si>
  <si>
    <t>Successful transition rate</t>
  </si>
  <si>
    <t>Graduation rate</t>
  </si>
  <si>
    <t>Percent meeting benchmark</t>
  </si>
  <si>
    <t>enter criteria for exceeding norms</t>
  </si>
  <si>
    <t>enter criteria for meeting norms</t>
  </si>
  <si>
    <t>enter criteria for approaching norms</t>
  </si>
  <si>
    <t>enter criteria for not meeting norms</t>
  </si>
  <si>
    <t>enter cut-point value for exceeding norms</t>
  </si>
  <si>
    <t>enter cut-point value for meeting norms</t>
  </si>
  <si>
    <t>enter cut-point value for approaching norms</t>
  </si>
  <si>
    <t>Exceeds AEC norms</t>
  </si>
  <si>
    <t>Meets AEC norms</t>
  </si>
  <si>
    <t>Approaching AEC norms</t>
  </si>
  <si>
    <t>Does Not Meet AEC norms</t>
  </si>
  <si>
    <t>at or above 90 percent of students</t>
  </si>
  <si>
    <t>below 90 percent but at or above 60 percent of students</t>
  </si>
  <si>
    <t>below 60 percent but at or above 40 percent of students</t>
  </si>
  <si>
    <t>below 40 percent of students</t>
  </si>
  <si>
    <t xml:space="preserve"> To receive the indicator rating, </t>
  </si>
  <si>
    <t>the percent of students scoring at grade level was:</t>
  </si>
  <si>
    <t>the percent of students increasing at least one grade level was:</t>
  </si>
  <si>
    <t>For each selected measure:</t>
  </si>
  <si>
    <t>1.</t>
  </si>
  <si>
    <t>2.</t>
  </si>
  <si>
    <t>3.</t>
  </si>
  <si>
    <t>4.</t>
  </si>
  <si>
    <t>5.</t>
  </si>
  <si>
    <t>7.</t>
  </si>
  <si>
    <t>8.</t>
  </si>
  <si>
    <t>Elementary School</t>
  </si>
  <si>
    <t>Middle School</t>
  </si>
  <si>
    <t>High School</t>
  </si>
  <si>
    <t>ASSURANCE SIGNATURES</t>
  </si>
  <si>
    <r>
      <t>40</t>
    </r>
    <r>
      <rPr>
        <b/>
        <vertAlign val="superscript"/>
        <sz val="11"/>
        <color rgb="FFFFFFFF"/>
        <rFont val="Calibri"/>
        <family val="2"/>
        <scheme val="minor"/>
      </rPr>
      <t>th</t>
    </r>
  </si>
  <si>
    <r>
      <t>60</t>
    </r>
    <r>
      <rPr>
        <b/>
        <vertAlign val="superscript"/>
        <sz val="11"/>
        <color rgb="FFFFFFFF"/>
        <rFont val="Calibri"/>
        <family val="2"/>
        <scheme val="minor"/>
      </rPr>
      <t>th</t>
    </r>
  </si>
  <si>
    <t>90th</t>
  </si>
  <si>
    <t>E</t>
  </si>
  <si>
    <t>M</t>
  </si>
  <si>
    <t>H</t>
  </si>
  <si>
    <t>NA</t>
  </si>
  <si>
    <t>N/A</t>
  </si>
  <si>
    <t xml:space="preserve">Graduation Rate </t>
  </si>
  <si>
    <t xml:space="preserve">3 Year Drop-out Rate </t>
  </si>
  <si>
    <t xml:space="preserve">3 Year ACT Composite Score </t>
  </si>
  <si>
    <t>Attendance</t>
  </si>
  <si>
    <t>ADA Rate</t>
  </si>
  <si>
    <t>Truancy</t>
  </si>
  <si>
    <t>Truancy Rate</t>
  </si>
  <si>
    <t>3 Year CSAP Reading -  % Prof/Adv.</t>
  </si>
  <si>
    <t>3 Year CSAP Writing - % Prof/Adv.</t>
  </si>
  <si>
    <t>3 Year CSAP Math - % Prof/Adv.</t>
  </si>
  <si>
    <t>3 Year CSAP Science - % Prof/Adv.</t>
  </si>
  <si>
    <t xml:space="preserve">3 Year CSAP Reading - MGP </t>
  </si>
  <si>
    <t xml:space="preserve">3 Year CSAP Writing - MGP </t>
  </si>
  <si>
    <t xml:space="preserve">3 Year CSAP Math - MGP </t>
  </si>
  <si>
    <t>PERCENTILE</t>
  </si>
  <si>
    <t>Measure</t>
  </si>
  <si>
    <t xml:space="preserve">Completion Rate </t>
  </si>
  <si>
    <t xml:space="preserve">All of Colorado’s Alternative Education Campuses (AECs) are accountable for the following performance indicators: Academic Achievement, Academic Growth, Postsecondary and Workforce Readiness (high schools only) and Student Engagement. Performance on these indicators will serve as the basis for an AEC’s school plan type assignment by districts and the Colorado Department of Education (CDE). </t>
  </si>
  <si>
    <t>YES</t>
  </si>
  <si>
    <t>NO</t>
  </si>
  <si>
    <t>School Level</t>
  </si>
  <si>
    <t xml:space="preserve">Use measure?     </t>
  </si>
  <si>
    <t>Using following measure?</t>
  </si>
  <si>
    <r>
      <t xml:space="preserve">Complete the highlighted </t>
    </r>
    <r>
      <rPr>
        <b/>
        <sz val="10"/>
        <color theme="1"/>
        <rFont val="Calibri"/>
        <family val="2"/>
        <scheme val="minor"/>
      </rPr>
      <t>REQUIRED INFORMATION</t>
    </r>
    <r>
      <rPr>
        <sz val="10"/>
        <color theme="1"/>
        <rFont val="Calibri"/>
        <family val="2"/>
        <scheme val="minor"/>
      </rPr>
      <t xml:space="preserve"> fields in the table above.</t>
    </r>
  </si>
  <si>
    <r>
      <t xml:space="preserve">If your AEC serves elementary students, select YES from the drop-down menu in </t>
    </r>
    <r>
      <rPr>
        <b/>
        <sz val="10"/>
        <color theme="1"/>
        <rFont val="Calibri"/>
        <family val="2"/>
        <scheme val="minor"/>
      </rPr>
      <t>MEASURES SELECTED FOR THE FOLLOWING LEVELS: Elementary School</t>
    </r>
    <r>
      <rPr>
        <sz val="10"/>
        <color theme="1"/>
        <rFont val="Calibri"/>
        <family val="2"/>
        <scheme val="minor"/>
      </rPr>
      <t>, if your school does not serve elementary students, select NO.  Repeat this process for Middle and High School.  Be sure to represent all grades served by your school as you will need to select measures for EACH level separately.</t>
    </r>
  </si>
  <si>
    <t>Exceeds AEC Norms</t>
  </si>
  <si>
    <t>Meets AEC Norms</t>
  </si>
  <si>
    <t>Approaching AEC Norms</t>
  </si>
  <si>
    <t>Does Not Meet AEC Norms</t>
  </si>
  <si>
    <t>9.</t>
  </si>
  <si>
    <t>11.</t>
  </si>
  <si>
    <t>10.</t>
  </si>
  <si>
    <t>12.</t>
  </si>
  <si>
    <t>13.</t>
  </si>
  <si>
    <r>
      <t xml:space="preserve">After making sure all highlighted cells in the current sheet have been appropriately filled out, complete the </t>
    </r>
    <r>
      <rPr>
        <b/>
        <sz val="10"/>
        <color theme="1"/>
        <rFont val="Calibri"/>
        <family val="2"/>
        <scheme val="minor"/>
      </rPr>
      <t>Select Measures</t>
    </r>
    <r>
      <rPr>
        <sz val="10"/>
        <color theme="1"/>
        <rFont val="Calibri"/>
        <family val="2"/>
        <scheme val="minor"/>
      </rPr>
      <t xml:space="preserve"> data templates for all other grades served by your school. </t>
    </r>
  </si>
  <si>
    <t>Years for which Measures will apply</t>
  </si>
  <si>
    <t>SCHOOL LEVELS SERVED BY THIS AEC</t>
  </si>
  <si>
    <t>6.</t>
  </si>
  <si>
    <r>
      <t xml:space="preserve">Total student count (if N </t>
    </r>
    <r>
      <rPr>
        <sz val="9"/>
        <color theme="1"/>
        <rFont val="Calibri"/>
        <family val="2"/>
      </rPr>
      <t xml:space="preserve">≥ </t>
    </r>
    <r>
      <rPr>
        <sz val="9"/>
        <color theme="1"/>
        <rFont val="Calibri"/>
        <family val="2"/>
        <scheme val="minor"/>
      </rPr>
      <t>16)</t>
    </r>
  </si>
  <si>
    <t>enter number of students contributing to actual value of additional measure</t>
  </si>
  <si>
    <r>
      <t xml:space="preserve">Total student count (if N </t>
    </r>
    <r>
      <rPr>
        <sz val="9"/>
        <color theme="1"/>
        <rFont val="Calibri"/>
        <family val="2"/>
      </rPr>
      <t xml:space="preserve">≥ </t>
    </r>
    <r>
      <rPr>
        <sz val="9"/>
        <color theme="1"/>
        <rFont val="Calibri"/>
        <family val="2"/>
        <scheme val="minor"/>
      </rPr>
      <t>20)</t>
    </r>
  </si>
  <si>
    <t>No, district will calculate own results on previously approved/alternate framework</t>
  </si>
  <si>
    <t>Yes, apply the following measures for 2010-2011</t>
  </si>
  <si>
    <t xml:space="preserve">Once all templates have been completed, please save this form as "Selection of Accountability Measures - 0000.xls" . Replace "0000" with the school's specific code. </t>
  </si>
  <si>
    <t>14.</t>
  </si>
  <si>
    <t>NWEA MAPS Reading</t>
  </si>
  <si>
    <t>Scantron Reading</t>
  </si>
  <si>
    <t>Acuity   Reading &amp; Language Arts</t>
  </si>
  <si>
    <t>Wide Range Achievement Test (WRAT) Reading Composite</t>
  </si>
  <si>
    <t>Subject Area of Additional Measure</t>
  </si>
  <si>
    <t>Galileo      Reading</t>
  </si>
  <si>
    <t>Test for Adult Basic Education (TABE)     Reading</t>
  </si>
  <si>
    <t>Selection of Accountability Measures for Alternative Education Campuses</t>
  </si>
  <si>
    <t>OVERVIEW</t>
  </si>
  <si>
    <t>Refer to the tables below for information about the point values associated with each criteria and the number of framework points associated with each indicator by elementary/middle and high school-levels.  All measures default to 4 possible points, contributing equally to the indicator point total. Changes to these weights will need to be approved by CDE, and the district/authorizer will need to generate its own framework report if weights are approved.</t>
  </si>
  <si>
    <t>Selection of Measures for AECs - HIGH SCHOOL</t>
  </si>
  <si>
    <t>15.</t>
  </si>
  <si>
    <t xml:space="preserve">To meet minimum n requirements and provide more reliable ratings, when multiple years of data are available for an optional metric please aggregate your school's actual performance across the most recent 3 years.  If data are not available for all 3 years, provide as many years as possible (i.e. the two year aggregate or if the assessment is new only the current year results). </t>
  </si>
  <si>
    <t>Percent with typical or high growth</t>
  </si>
  <si>
    <t>Your school's actual percent of students achieving typical or high growth was:</t>
  </si>
  <si>
    <t>Cut-point values for percent of students achieving typical or high growth were:</t>
  </si>
  <si>
    <t xml:space="preserve"> To receive the indicator rating, the percent of students achieving typical or high growth was:</t>
  </si>
  <si>
    <t>to be populated by CDE with 2011-2012 data</t>
  </si>
  <si>
    <t>16.7%</t>
  </si>
  <si>
    <t>29.4%</t>
  </si>
  <si>
    <t>31.6%</t>
  </si>
  <si>
    <t>15.5%</t>
  </si>
  <si>
    <t>21.4%</t>
  </si>
  <si>
    <t>46.7%</t>
  </si>
  <si>
    <t>26.7%</t>
  </si>
  <si>
    <t>35.4%</t>
  </si>
  <si>
    <t>54.8%</t>
  </si>
  <si>
    <t>12.3%</t>
  </si>
  <si>
    <t>14.3%</t>
  </si>
  <si>
    <t>35.3%</t>
  </si>
  <si>
    <t>8.4%</t>
  </si>
  <si>
    <t>32.1%</t>
  </si>
  <si>
    <t>10.0%</t>
  </si>
  <si>
    <t>14.6%</t>
  </si>
  <si>
    <t>28.6%</t>
  </si>
  <si>
    <t>15.0%</t>
  </si>
  <si>
    <t>17.7%</t>
  </si>
  <si>
    <t>6.2%</t>
  </si>
  <si>
    <t>34.0%</t>
  </si>
  <si>
    <t>2.0%</t>
  </si>
  <si>
    <t>4.4%</t>
  </si>
  <si>
    <t>9.4%</t>
  </si>
  <si>
    <t>16.8%</t>
  </si>
  <si>
    <t>37.0%</t>
  </si>
  <si>
    <t>43.8%</t>
  </si>
  <si>
    <t>8.0%</t>
  </si>
  <si>
    <t>12.1%</t>
  </si>
  <si>
    <t>44.0%</t>
  </si>
  <si>
    <t>10.8%</t>
  </si>
  <si>
    <t>16.4%</t>
  </si>
  <si>
    <t>30.3%</t>
  </si>
  <si>
    <t>Best of 4, 5, 6, 7yr</t>
  </si>
  <si>
    <t>44.2%</t>
  </si>
  <si>
    <t>55.4%</t>
  </si>
  <si>
    <t>70.9%</t>
  </si>
  <si>
    <t>30.7%</t>
  </si>
  <si>
    <t>39.9%</t>
  </si>
  <si>
    <t>65.3%</t>
  </si>
  <si>
    <t>11.4%</t>
  </si>
  <si>
    <t>4.6%</t>
  </si>
  <si>
    <t>14.9</t>
  </si>
  <si>
    <t>15.5</t>
  </si>
  <si>
    <t>16.6</t>
  </si>
  <si>
    <t>81.3%</t>
  </si>
  <si>
    <t>86.2%</t>
  </si>
  <si>
    <t>92.5%</t>
  </si>
  <si>
    <t>7.7%</t>
  </si>
  <si>
    <t>0.8%</t>
  </si>
  <si>
    <t xml:space="preserve"> To receive the indicator rating, the school's average Accuplacer score was:</t>
  </si>
  <si>
    <t>at or above the score needed for college placement without remediation</t>
  </si>
  <si>
    <t>at or above the score needed for placement in 090 level course</t>
  </si>
  <si>
    <t xml:space="preserve">at or above the score needed for placement in 060 level course                                     </t>
  </si>
  <si>
    <t>below the score needed for placement in 060 level course</t>
  </si>
  <si>
    <t>Your school's actual average Accuplacer score was:</t>
  </si>
  <si>
    <t>Average Accuplacer score</t>
  </si>
  <si>
    <t>Within each framework indicator, the required measures are listed first, followed by the optional measures.  For each measure, the following information is required: 
• the metric of interest (i.e. % of students scoring proficient or advanced); 
• the criteria for exceeding, meeting, approaching and not meeting the AEC norms (e.g., at or above the 90th percentile of AECs) ; 
• the cut-point values associated with each of the criteria levels (e.g. the % of students scoring proficient or advanced associated with the 90th percentile of AECs); and 
• your school's observed score on the measure and metric of interest (e.g., 15.8% of your students were proficient or advanced)        • if your school meets the minimum N requirement, the total number of students contributing to your school's actual score on the measure and metric of interest (e.g. 25 students took CSAP/TCAP)</t>
  </si>
  <si>
    <t>NWEA MAPS</t>
  </si>
  <si>
    <t>Reading</t>
  </si>
  <si>
    <t>Language Arts</t>
  </si>
  <si>
    <t>Science</t>
  </si>
  <si>
    <t>Mathematics</t>
  </si>
  <si>
    <t>Subject Area 1 of Additional Measure</t>
  </si>
  <si>
    <t>Subject Area 2 of Additional Measure</t>
  </si>
  <si>
    <t>Subject Area 3 of Additional Measure</t>
  </si>
  <si>
    <t>Subject Area 4 of Additional Measure</t>
  </si>
  <si>
    <t>Scantron</t>
  </si>
  <si>
    <t>Acuity</t>
  </si>
  <si>
    <t>Galileo</t>
  </si>
  <si>
    <t>Wide Range Achievement Test (WRAT)</t>
  </si>
  <si>
    <t>Test for Adult Basic Education (TABE)</t>
  </si>
  <si>
    <t>Accuplacer</t>
  </si>
  <si>
    <t>Percent Proficient and Advanced</t>
  </si>
  <si>
    <t>Average Accuplacer Score</t>
  </si>
  <si>
    <t xml:space="preserve"> To receive the indicator rating,</t>
  </si>
  <si>
    <t>Other</t>
  </si>
  <si>
    <t>enter name of additional measure</t>
  </si>
  <si>
    <t>enter subject area(s) for additional measure</t>
  </si>
  <si>
    <t>1st criteria</t>
  </si>
  <si>
    <t>2nd criteria</t>
  </si>
  <si>
    <t>3rd criteria</t>
  </si>
  <si>
    <t xml:space="preserve"> To receive the indicator rating, the criteria for the additional measure of student academic growth was:</t>
  </si>
  <si>
    <t>Your school's actual value for additional measure of student academic growth was:</t>
  </si>
  <si>
    <t>enter metric of additional measure</t>
  </si>
  <si>
    <t>enter metric for additional measure</t>
  </si>
  <si>
    <t>Select a Measure</t>
  </si>
  <si>
    <t xml:space="preserve"> </t>
  </si>
  <si>
    <t>Select a Subject</t>
  </si>
  <si>
    <t>Additional Measure of Post-secondary &amp; Workforce Readiness 
(Other)</t>
  </si>
  <si>
    <t>Graduation Rate</t>
  </si>
  <si>
    <t>Successful Transition Rate</t>
  </si>
  <si>
    <t>Credit/ Course Completion</t>
  </si>
  <si>
    <t>Postitive Socio-Emotional or Psychological Adjustment Rate</t>
  </si>
  <si>
    <r>
      <t xml:space="preserve">Select Measure 
</t>
    </r>
    <r>
      <rPr>
        <i/>
        <sz val="10"/>
        <color theme="1"/>
        <rFont val="Calibri"/>
        <family val="2"/>
        <scheme val="minor"/>
      </rPr>
      <t>(Click on name of measure to jump to section)</t>
    </r>
  </si>
  <si>
    <t>BACK TO TOP</t>
  </si>
  <si>
    <t>Reading &amp; Language Arts (Acuity Only)</t>
  </si>
  <si>
    <t>Math/Algebra (Acuity Only)</t>
  </si>
  <si>
    <t>Elementary Algebra (Accuplacer Only)</t>
  </si>
  <si>
    <t>English Language Proficiency (CELAPro/ACCESS Only)</t>
  </si>
  <si>
    <t>CELAPro/ACCESS</t>
  </si>
  <si>
    <t>Additional Measure of Student Engagement #1
(Student Re-engagement Rate, Returning Student Rate, Postitive Socio-Emotional or Psychological Adjustment Rate)</t>
  </si>
  <si>
    <t>Additional Measure of Student Engagement #2
(Student Re-engagement Rate, Returning Student Rate, Postitive Socio-Emotional or Psychological Adjustment Rate)</t>
  </si>
  <si>
    <t>Additional Measure of Student Engagement #3
(Student Re-engagement Rate, Returning Student Rate, Postitive Socio-Emotional or Psychological Adjustment Rate)</t>
  </si>
  <si>
    <r>
      <t>Additional Measure of Post-secondary &amp; Workforce Readiness #3
(Graduation Rate, Successful Transition Rate--</t>
    </r>
    <r>
      <rPr>
        <i/>
        <sz val="10"/>
        <color theme="1"/>
        <rFont val="Calibri"/>
        <family val="2"/>
        <scheme val="minor"/>
      </rPr>
      <t>for transition schools only</t>
    </r>
    <r>
      <rPr>
        <b/>
        <sz val="10"/>
        <color theme="1"/>
        <rFont val="Calibri"/>
        <family val="2"/>
        <scheme val="minor"/>
      </rPr>
      <t>, Post-Completion Success Rate, Workforce Readiness, Credit/ Course Completion)</t>
    </r>
  </si>
  <si>
    <r>
      <t>Additional Measure of Post-secondary &amp; Workforce Readiness #2
(Graduation Rate, Successful Transition Rate--</t>
    </r>
    <r>
      <rPr>
        <i/>
        <sz val="10"/>
        <color theme="1"/>
        <rFont val="Calibri"/>
        <family val="2"/>
        <scheme val="minor"/>
      </rPr>
      <t>for transition schools only</t>
    </r>
    <r>
      <rPr>
        <b/>
        <sz val="10"/>
        <color theme="1"/>
        <rFont val="Calibri"/>
        <family val="2"/>
        <scheme val="minor"/>
      </rPr>
      <t>, Post-Completion Success Rate, Workforce Readiness, Credit/ Course Completion)</t>
    </r>
  </si>
  <si>
    <r>
      <t>Additional Measure of Post-secondary &amp; Workforce Readiness #1
(Graduation Rate, Successful Transition Rate--</t>
    </r>
    <r>
      <rPr>
        <i/>
        <sz val="10"/>
        <color theme="1"/>
        <rFont val="Calibri"/>
        <family val="2"/>
        <scheme val="minor"/>
      </rPr>
      <t>for transition schools only</t>
    </r>
    <r>
      <rPr>
        <b/>
        <sz val="10"/>
        <color theme="1"/>
        <rFont val="Calibri"/>
        <family val="2"/>
        <scheme val="minor"/>
      </rPr>
      <t>, Post-Completion Success Rate, Workforce Readiness, Credit/ Course Completion)</t>
    </r>
  </si>
  <si>
    <t>Additional Measure of Academic Growth 
(Other #1)</t>
  </si>
  <si>
    <t>Additional Measure of Academic Growth 
(Other #2)</t>
  </si>
  <si>
    <t>Additional Measure of Academic Growth 
(Other #3)</t>
  </si>
  <si>
    <t>Additional Measure of Academic Achievement 
(Other #1)</t>
  </si>
  <si>
    <t>Additional Measure of Academic Achievement 
(Other #2)</t>
  </si>
  <si>
    <t>Additional Measure of Academic Achievement 
(Other #3)</t>
  </si>
  <si>
    <r>
      <t xml:space="preserve">For technical assistance, please contact </t>
    </r>
    <r>
      <rPr>
        <sz val="10"/>
        <color rgb="FFFF0000"/>
        <rFont val="Calibri"/>
        <family val="2"/>
        <scheme val="minor"/>
      </rPr>
      <t>Jessica Knevals, knevals_j@cde.state.co.us or 303-866-6778.</t>
    </r>
  </si>
  <si>
    <t>Print this page as a coversheet for signatures.  Also print each data worksheet (should be 10 pages for high school, 8 pages for middle school, and 8 pages for elementary). Submit evidence of agreement by your district or authorizer as to the selected measures and metrics. The signature of your district's superintendent and district board president or authorizer on this coversheet is sufficient.</t>
  </si>
  <si>
    <t>CSAP/TCAP      
Reading</t>
  </si>
  <si>
    <t>CSAP/TCAP       
Writing</t>
  </si>
  <si>
    <t>CSAP/TCAP           
Math</t>
  </si>
  <si>
    <t>CSAP/TCAP         
Science</t>
  </si>
  <si>
    <r>
      <t xml:space="preserve">4, 5, 6, or 7 year Completion Rate      
</t>
    </r>
    <r>
      <rPr>
        <sz val="9"/>
        <color theme="1"/>
        <rFont val="Calibri"/>
        <family val="2"/>
        <scheme val="minor"/>
      </rPr>
      <t xml:space="preserve">(required if 12th grade is served) </t>
    </r>
  </si>
  <si>
    <r>
      <t xml:space="preserve">Dropout Rate  
</t>
    </r>
    <r>
      <rPr>
        <sz val="9"/>
        <color theme="1"/>
        <rFont val="Calibri"/>
        <family val="2"/>
        <scheme val="minor"/>
      </rPr>
      <t>(required if any grades 7-12 are served)</t>
    </r>
  </si>
  <si>
    <r>
      <t xml:space="preserve">Average Colorado ACT Composite Score </t>
    </r>
    <r>
      <rPr>
        <sz val="9"/>
        <color theme="1"/>
        <rFont val="Calibri"/>
        <family val="2"/>
        <scheme val="minor"/>
      </rPr>
      <t xml:space="preserve">  
(required if 11th grade is served)</t>
    </r>
    <r>
      <rPr>
        <b/>
        <sz val="10"/>
        <color theme="1"/>
        <rFont val="Calibri"/>
        <family val="2"/>
        <scheme val="minor"/>
      </rPr>
      <t xml:space="preserve"> </t>
    </r>
  </si>
  <si>
    <t>CELAPro/ACCESS Overall English Language Proficiency</t>
  </si>
  <si>
    <r>
      <t xml:space="preserve">If your AEC serves high school students click on the </t>
    </r>
    <r>
      <rPr>
        <b/>
        <sz val="10"/>
        <color theme="1"/>
        <rFont val="Calibri"/>
        <family val="2"/>
        <scheme val="minor"/>
      </rPr>
      <t xml:space="preserve">Select Measures-High School </t>
    </r>
    <r>
      <rPr>
        <sz val="10"/>
        <color theme="1"/>
        <rFont val="Calibri"/>
        <family val="2"/>
        <scheme val="minor"/>
      </rPr>
      <t xml:space="preserve">tab along the bottom of the workbook.  Follow instructions 4-11 to complete the data template and indicate your performance framework selections.  Please note that if your school serves elementary or middle school students you will also need to complete the </t>
    </r>
    <r>
      <rPr>
        <b/>
        <sz val="10"/>
        <color theme="1"/>
        <rFont val="Calibri"/>
        <family val="2"/>
        <scheme val="minor"/>
      </rPr>
      <t>Select Measures-Elementary Sch</t>
    </r>
    <r>
      <rPr>
        <sz val="10"/>
        <color theme="1"/>
        <rFont val="Calibri"/>
        <family val="2"/>
        <scheme val="minor"/>
      </rPr>
      <t xml:space="preserve"> and/or </t>
    </r>
    <r>
      <rPr>
        <b/>
        <sz val="10"/>
        <color theme="1"/>
        <rFont val="Calibri"/>
        <family val="2"/>
        <scheme val="minor"/>
      </rPr>
      <t>Select Measures-Middle School</t>
    </r>
    <r>
      <rPr>
        <sz val="10"/>
        <color theme="1"/>
        <rFont val="Calibri"/>
        <family val="2"/>
        <scheme val="minor"/>
      </rPr>
      <t xml:space="preserve"> worksheets. </t>
    </r>
  </si>
  <si>
    <t>If you wish to include an additional measure and/or subject area that is not included on the data template, the last one, two, or three sections of cells within each indicator can be filled in by hand.  Indicate: (1) the name of the measure, (2) the subject area of the measure, (3) the metric of the measure, (4) the criteria to exceed, meet, approach and not meet AEC Norms, (5) the cut-point values to exceed, meet, approach and not meet AEC Norms, and (6) your school's actual value for the additional measure. Consider ambitious but attainable targets for the population of students you serve.</t>
  </si>
  <si>
    <t>Additional Measure of Academic Growth #2
(Accuplacer, Acuity, CELApro Overall English Language Proficiency, Galileo, NWEA MAPS, Scantron, Test for Adult Basic Education (TABE), or Wide Range Achievement Test (WRAT))</t>
  </si>
  <si>
    <t>Additional Measure of Academic Growth #1
(Accuplacer, Acuity, CELApro Overall English Language Proficiency, Galileo, NWEA MAPS, Scantron, Test for Adult Basic Education (TABE), or Wide Range Achievement Test (WRAT))</t>
  </si>
  <si>
    <t>English</t>
  </si>
  <si>
    <r>
      <t xml:space="preserve">Truancy Rate 
</t>
    </r>
    <r>
      <rPr>
        <sz val="9"/>
        <color theme="1"/>
        <rFont val="Calibri"/>
        <family val="2"/>
        <scheme val="minor"/>
      </rPr>
      <t>(required if any grades 7-12 are served and the school is not a facility)</t>
    </r>
  </si>
  <si>
    <r>
      <t xml:space="preserve">The most common additional measures used by AECs have been added to the data collection template.  For measures labeled as </t>
    </r>
    <r>
      <rPr>
        <b/>
        <sz val="10"/>
        <color theme="1"/>
        <rFont val="Calibri"/>
        <family val="2"/>
        <scheme val="minor"/>
      </rPr>
      <t>OPTIONAL</t>
    </r>
    <r>
      <rPr>
        <sz val="10"/>
        <color theme="1"/>
        <rFont val="Calibri"/>
        <family val="2"/>
        <scheme val="minor"/>
      </rPr>
      <t xml:space="preserve"> use the drop-down menu in the </t>
    </r>
    <r>
      <rPr>
        <b/>
        <sz val="10"/>
        <color theme="1"/>
        <rFont val="Calibri"/>
        <family val="2"/>
        <scheme val="minor"/>
      </rPr>
      <t>highlighted</t>
    </r>
    <r>
      <rPr>
        <sz val="10"/>
        <color theme="1"/>
        <rFont val="Calibri"/>
        <family val="2"/>
        <scheme val="minor"/>
      </rPr>
      <t xml:space="preserve"> box to indicate if you wish to count the measure towards your framework. You only need to fill out and/or modify cells in yellow.  If there is a choice of metrics, the first row in the section will be highlighted in yellow and you will need to select from a drop-down menu. Cut-points have been for the most common additional measures used by AECs.  If you choose to add an additional measure, please enter the information in the "Other" box and include cut-point values in the highlighted cells.  Finally, enter your school's actual performance on the measure. Note that all versions/administrations of an assessment (e.g. Acuity A, Acuity B, and Acuity C) count as a single measure and results should be aggregated.</t>
    </r>
  </si>
  <si>
    <r>
      <t xml:space="preserve">The first two rows for school name and number should automatically populate from the </t>
    </r>
    <r>
      <rPr>
        <b/>
        <sz val="10"/>
        <color theme="1"/>
        <rFont val="Calibri"/>
        <family val="2"/>
        <scheme val="minor"/>
      </rPr>
      <t>REQUIRED INFORMATION</t>
    </r>
    <r>
      <rPr>
        <sz val="10"/>
        <color theme="1"/>
        <rFont val="Calibri"/>
        <family val="2"/>
        <scheme val="minor"/>
      </rPr>
      <t xml:space="preserve"> fields on this </t>
    </r>
    <r>
      <rPr>
        <b/>
        <sz val="10"/>
        <color theme="1"/>
        <rFont val="Calibri"/>
        <family val="2"/>
        <scheme val="minor"/>
      </rPr>
      <t xml:space="preserve">INSTRUCTIONS </t>
    </r>
    <r>
      <rPr>
        <sz val="10"/>
        <color theme="1"/>
        <rFont val="Calibri"/>
        <family val="2"/>
        <scheme val="minor"/>
      </rPr>
      <t xml:space="preserve">tab.  Although the worksheet may seem long, the only fields you need to fill out are highlighted in </t>
    </r>
    <r>
      <rPr>
        <b/>
        <sz val="10"/>
        <color theme="1"/>
        <rFont val="Calibri"/>
        <family val="2"/>
        <scheme val="minor"/>
      </rPr>
      <t>yellow</t>
    </r>
    <r>
      <rPr>
        <sz val="10"/>
        <color theme="1"/>
        <rFont val="Calibri"/>
        <family val="2"/>
        <scheme val="minor"/>
      </rPr>
      <t xml:space="preserve">. You may more easily navigate the form by clicking on the </t>
    </r>
    <r>
      <rPr>
        <b/>
        <sz val="10"/>
        <color theme="1"/>
        <rFont val="Calibri"/>
        <family val="2"/>
        <scheme val="minor"/>
      </rPr>
      <t>blue</t>
    </r>
    <r>
      <rPr>
        <sz val="10"/>
        <color theme="1"/>
        <rFont val="Calibri"/>
        <family val="2"/>
        <scheme val="minor"/>
      </rPr>
      <t xml:space="preserve"> links to help you jump between performance indicators on each sheet.</t>
    </r>
  </si>
  <si>
    <t>Percent of students increasing at least one grade level</t>
  </si>
  <si>
    <t>Percent of students scoring at grade level</t>
  </si>
  <si>
    <t>Your school's actual 4, 5, 6, or 7 year graduation rate was:</t>
  </si>
  <si>
    <t xml:space="preserve"> To receive the indicator rating, the AEC's 4, 5, 6, or 7 year graduation rate was:</t>
  </si>
  <si>
    <t>Cut-point values for 4, 5, 6, or 7 year graduation rate were:</t>
  </si>
  <si>
    <t>Baseline Data for AECS, 2009-11</t>
  </si>
  <si>
    <t>Number of students increasing at least one grade level</t>
  </si>
  <si>
    <t>Number of students scoring at grade level</t>
  </si>
  <si>
    <t>Number of students meeting metric expectations</t>
  </si>
  <si>
    <t>Percent of students meeting metric expectation</t>
  </si>
  <si>
    <t>In the attached worksheets, please indicate the supplemental measures for each of the four performance indicator areas for which your AEC will be accountable.  The measures for each of the performance indicators must be approved by the Local School Board or Charter School Institute for each AEC, before submission to CDE.  CDE will then notify the local school board or Charter School Institute if any revisions to the measures are necessary. This notification will be given on or before September 1, 2014.  Revisions will be due within 10 days of notification. Data submitted in this form is subject to CDE audit and verification.</t>
  </si>
  <si>
    <t>CSAP/TCAP
Reading</t>
  </si>
  <si>
    <t>CSAP/TCAP
Writing</t>
  </si>
  <si>
    <t>CSAP/TCAP
Math</t>
  </si>
  <si>
    <t>Number of Students achieving target</t>
  </si>
  <si>
    <t>Number of Students with typical or high growth</t>
  </si>
  <si>
    <t>Median growth Percentile</t>
  </si>
  <si>
    <t>Number of students to graduate</t>
  </si>
  <si>
    <t>Number of students to successfully transition</t>
  </si>
  <si>
    <t>Number of students with post-completion success</t>
  </si>
  <si>
    <t>Number of students with workforce readiness</t>
  </si>
  <si>
    <t>Number of students with credit/ course completion</t>
  </si>
  <si>
    <t>Total number of students meeting measure</t>
  </si>
  <si>
    <r>
      <t xml:space="preserve">Average Daily Attendance Rate            
</t>
    </r>
    <r>
      <rPr>
        <sz val="9"/>
        <color theme="1"/>
        <rFont val="Calibri"/>
        <family val="2"/>
        <scheme val="minor"/>
      </rPr>
      <t>(required unless school is a facility)</t>
    </r>
  </si>
  <si>
    <r>
      <t xml:space="preserve">Additional Measure of Student Engagement--OTHER 
</t>
    </r>
    <r>
      <rPr>
        <sz val="9"/>
        <color theme="1"/>
        <rFont val="Calibri"/>
        <family val="2"/>
        <scheme val="minor"/>
      </rPr>
      <t>(required for facility schools since attendance and truancy are not appropriate measures)</t>
    </r>
  </si>
  <si>
    <t>Number of students returning</t>
  </si>
  <si>
    <t>Number of students with Postitive Socio-Emotional or Psychological Adjustment</t>
  </si>
  <si>
    <t>Number of students re-engaging</t>
  </si>
  <si>
    <r>
      <t xml:space="preserve">Total students contributing to measure (if N </t>
    </r>
    <r>
      <rPr>
        <sz val="9"/>
        <color theme="1"/>
        <rFont val="Calibri"/>
        <family val="2"/>
      </rPr>
      <t xml:space="preserve">≥ </t>
    </r>
    <r>
      <rPr>
        <sz val="9"/>
        <color theme="1"/>
        <rFont val="Calibri"/>
        <family val="2"/>
        <scheme val="minor"/>
      </rPr>
      <t>16)</t>
    </r>
  </si>
  <si>
    <r>
      <t xml:space="preserve">Total students contributing to measure (if N </t>
    </r>
    <r>
      <rPr>
        <sz val="9"/>
        <color theme="1"/>
        <rFont val="Calibri"/>
        <family val="2"/>
      </rPr>
      <t xml:space="preserve">≥ </t>
    </r>
    <r>
      <rPr>
        <sz val="9"/>
        <color theme="1"/>
        <rFont val="Calibri"/>
        <family val="2"/>
        <scheme val="minor"/>
      </rPr>
      <t>20)</t>
    </r>
  </si>
  <si>
    <t>enter number of students meeting measure</t>
  </si>
  <si>
    <r>
      <t xml:space="preserve">The measures selected in this document will be used to calculate 2013-2014 framework results. You do not need to fill out this form if (1) your AEC and authorizer are aproved by CDE to modify any of these CDE approved metrics, cut-points, and/or weights, and/or (2) your AEC and authorizer are approved by CDE to use the framework agreed to by your board last year. The authorizer will also be responsible for generating and submitting to CDE a framework report using its proposed metrics and/or cut-points. This form is due back to CDE </t>
    </r>
    <r>
      <rPr>
        <u/>
        <sz val="10"/>
        <color theme="1"/>
        <rFont val="Calibri"/>
        <family val="2"/>
        <scheme val="minor"/>
      </rPr>
      <t>no later than</t>
    </r>
    <r>
      <rPr>
        <sz val="10"/>
        <color theme="1"/>
        <rFont val="Calibri"/>
        <family val="2"/>
        <scheme val="minor"/>
      </rPr>
      <t xml:space="preserve"> </t>
    </r>
    <r>
      <rPr>
        <b/>
        <sz val="10"/>
        <color theme="1"/>
        <rFont val="Calibri"/>
        <family val="2"/>
        <scheme val="minor"/>
      </rPr>
      <t xml:space="preserve">July 1, 2014. </t>
    </r>
    <r>
      <rPr>
        <sz val="10"/>
        <color theme="1"/>
        <rFont val="Calibri"/>
        <family val="2"/>
        <scheme val="minor"/>
      </rPr>
      <t>Scan cover sheet, with appropriate signatures, to: accountability@cde.state.co.us.</t>
    </r>
  </si>
  <si>
    <r>
      <t xml:space="preserve">E-mail the electronic file, without signatures, to </t>
    </r>
    <r>
      <rPr>
        <sz val="10"/>
        <color rgb="FFFF0000"/>
        <rFont val="Calibri"/>
        <family val="2"/>
        <scheme val="minor"/>
      </rPr>
      <t>accountability@cde.state.co.us</t>
    </r>
  </si>
  <si>
    <r>
      <t xml:space="preserve">Scan or Fax cover sheet, with appropriate signatures, to </t>
    </r>
    <r>
      <rPr>
        <sz val="10"/>
        <color rgb="FFFF0000"/>
        <rFont val="Calibri"/>
        <family val="2"/>
        <scheme val="minor"/>
      </rPr>
      <t>accountability@cde.state.co.us</t>
    </r>
    <r>
      <rPr>
        <sz val="10"/>
        <color theme="1"/>
        <rFont val="Calibri"/>
        <family val="2"/>
        <scheme val="minor"/>
      </rPr>
      <t>.</t>
    </r>
  </si>
  <si>
    <t>Early Algebra</t>
  </si>
  <si>
    <t>Additional Measure of Academic Achievement #1
(Acuity, Galileo, NWEA MAP, Scantron, Test for Adult Basic Education (TABE), or Wide Range Achievement Test (WRAT))</t>
  </si>
  <si>
    <t>NWEA MAP</t>
  </si>
  <si>
    <t>Additional Measure of Academic Growth #1
(Accuplacer, Acuity, CELApro Overall English Language Proficiency, Galileo, NWEA MAP, Scantron, Test for Adult Basic Education (TABE), or Wide Range Achievement Test (WRAT))</t>
  </si>
  <si>
    <t>Additional Measure of Academic Growth #2
(Accuplacer, Acuity, CELApro Overall English Language Proficiency, Galileo, NWEA MAP, Scantron, Test for Adult Basic Education (TABE), or Wide Range Achievement Test (WRAT))</t>
  </si>
  <si>
    <t>Additional Measure of Academic Growth
(Accuplacer ONLY)</t>
  </si>
  <si>
    <t>Additional Measure of Academic Achievement
(Accuplacer ONLY)</t>
  </si>
  <si>
    <t>Additional Measure of Academic Achievement #2
(Acuity, Galileo, NWEA MAP, Scantron, Test for Adult Basic Education (TABE), or Wide Range Achievement Test (WRAT))</t>
  </si>
  <si>
    <t>Selection of Measures for AECs - ELEMENTARY SCHOOL</t>
  </si>
  <si>
    <t>Selection of Measures for AECs - MIDDLE SCHOOL</t>
  </si>
  <si>
    <t>enter number of students contributing to additional measure</t>
  </si>
  <si>
    <t>to be populated by CDE with 2013-2014 data</t>
  </si>
  <si>
    <t>Framework Points         (combined across measures)</t>
  </si>
  <si>
    <t>Alternative Scoring Guide 2014- HIGH SCHOOL</t>
  </si>
  <si>
    <t>Alternative Scoring Guide 2014- ELEMENTARY &amp; MIDDLE SCHOOL</t>
  </si>
  <si>
    <r>
      <t xml:space="preserve">CDE has populated all the fields for measures and metrics using state data from 2009-2012 as the baseline, including for all required measures and some available optional measures. A few of the of the state fields may be updated with 2013-2014 data in August, 2014. You may review  the baseline values associated with each cut-point as set using state data from 2009-2012 on the </t>
    </r>
    <r>
      <rPr>
        <b/>
        <sz val="10"/>
        <color theme="1"/>
        <rFont val="Calibri"/>
        <family val="2"/>
        <scheme val="minor"/>
      </rPr>
      <t>Reference Cut-points</t>
    </r>
    <r>
      <rPr>
        <sz val="10"/>
        <color theme="1"/>
        <rFont val="Calibri"/>
        <family val="2"/>
        <scheme val="minor"/>
      </rPr>
      <t xml:space="preserve"> tab. </t>
    </r>
    <r>
      <rPr>
        <i/>
        <sz val="10"/>
        <color theme="1"/>
        <rFont val="Calibri"/>
        <family val="2"/>
        <scheme val="minor"/>
      </rPr>
      <t>Note that you do not need to fill in information for the required measures; required measures will be included in all AEC frameworks for schools with enough data.</t>
    </r>
    <r>
      <rPr>
        <sz val="10"/>
        <color theme="1"/>
        <rFont val="Calibri"/>
        <family val="2"/>
        <scheme val="minor"/>
      </rPr>
      <t xml:space="preserve"> You may select other additional/ supplemental measures to include in your school's performance framework only if you can supply the necessary criteria and cut-point value information.</t>
    </r>
  </si>
  <si>
    <t>STAR Enterprise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</si>
</sst>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5" x14ac:knownFonts="1">
    <font>
      <sz val="11"/>
      <color theme="1"/>
      <name val="Calibri"/>
      <family val="2"/>
      <scheme val="minor"/>
    </font>
    <font>
      <b/>
      <sz val="9"/>
      <color theme="0"/>
      <name val="Calibri"/>
      <family val="2"/>
      <scheme val="minor"/>
    </font>
    <font>
      <sz val="9"/>
      <color theme="0"/>
      <name val="Calibri"/>
      <family val="2"/>
      <scheme val="minor"/>
    </font>
    <font>
      <sz val="9"/>
      <color theme="1"/>
      <name val="Calibri"/>
      <family val="2"/>
      <scheme val="minor"/>
    </font>
    <font>
      <b/>
      <sz val="9"/>
      <color theme="1"/>
      <name val="Calibri"/>
      <family val="2"/>
      <scheme val="minor"/>
    </font>
    <font>
      <i/>
      <sz val="9"/>
      <color theme="1"/>
      <name val="Calibri"/>
      <family val="2"/>
      <scheme val="minor"/>
    </font>
    <font>
      <sz val="9"/>
      <color rgb="FF0070C0"/>
      <name val="Calibri"/>
      <family val="2"/>
      <scheme val="minor"/>
    </font>
    <font>
      <sz val="9"/>
      <color rgb="FF00B050"/>
      <name val="Calibri"/>
      <family val="2"/>
      <scheme val="minor"/>
    </font>
    <font>
      <sz val="9"/>
      <color theme="9" tint="-0.249977111117893"/>
      <name val="Calibri"/>
      <family val="2"/>
      <scheme val="minor"/>
    </font>
    <font>
      <sz val="9"/>
      <color rgb="FFFF0000"/>
      <name val="Calibri"/>
      <family val="2"/>
      <scheme val="minor"/>
    </font>
    <font>
      <b/>
      <sz val="10"/>
      <color theme="1"/>
      <name val="Calibri"/>
      <family val="2"/>
      <scheme val="minor"/>
    </font>
    <font>
      <sz val="14"/>
      <color theme="1"/>
      <name val="Calibri"/>
      <family val="2"/>
      <scheme val="minor"/>
    </font>
    <font>
      <b/>
      <sz val="14"/>
      <color theme="0"/>
      <name val="Calibri"/>
      <family val="2"/>
      <scheme val="minor"/>
    </font>
    <font>
      <b/>
      <sz val="11"/>
      <color theme="1"/>
      <name val="Calibri"/>
      <family val="2"/>
      <scheme val="minor"/>
    </font>
    <font>
      <sz val="10"/>
      <color theme="1"/>
      <name val="Calibri"/>
      <family val="2"/>
      <scheme val="minor"/>
    </font>
    <font>
      <b/>
      <sz val="12"/>
      <color theme="0"/>
      <name val="Calibri"/>
      <family val="2"/>
      <scheme val="minor"/>
    </font>
    <font>
      <sz val="12"/>
      <color theme="0"/>
      <name val="Calibri"/>
      <family val="2"/>
      <scheme val="minor"/>
    </font>
    <font>
      <sz val="12"/>
      <color theme="1"/>
      <name val="Calibri"/>
      <family val="2"/>
      <scheme val="minor"/>
    </font>
    <font>
      <b/>
      <sz val="11"/>
      <color rgb="FFFFFFFF"/>
      <name val="Calibri"/>
      <family val="2"/>
      <scheme val="minor"/>
    </font>
    <font>
      <b/>
      <vertAlign val="superscript"/>
      <sz val="11"/>
      <color rgb="FFFFFFFF"/>
      <name val="Calibri"/>
      <family val="2"/>
      <scheme val="minor"/>
    </font>
    <font>
      <sz val="11"/>
      <color rgb="FF17365D"/>
      <name val="Calibri"/>
      <family val="2"/>
      <scheme val="minor"/>
    </font>
    <font>
      <i/>
      <sz val="9"/>
      <name val="Calibri"/>
      <family val="2"/>
      <scheme val="minor"/>
    </font>
    <font>
      <sz val="9"/>
      <color theme="1"/>
      <name val="Calibri"/>
      <family val="2"/>
    </font>
    <font>
      <sz val="10"/>
      <color rgb="FFFF0000"/>
      <name val="Calibri"/>
      <family val="2"/>
      <scheme val="minor"/>
    </font>
    <font>
      <b/>
      <sz val="14"/>
      <color rgb="FFFFFFFF"/>
      <name val="Calibri"/>
      <family val="2"/>
      <scheme val="minor"/>
    </font>
    <font>
      <sz val="11"/>
      <color rgb="FF000000"/>
      <name val="Calibri"/>
      <family val="2"/>
      <scheme val="minor"/>
    </font>
    <font>
      <sz val="11"/>
      <color rgb="FF254061"/>
      <name val="Calibri"/>
      <family val="2"/>
      <scheme val="minor"/>
    </font>
    <font>
      <sz val="11"/>
      <color rgb="FF17375D"/>
      <name val="Calibri"/>
      <family val="2"/>
      <scheme val="minor"/>
    </font>
    <font>
      <sz val="9"/>
      <name val="Calibri"/>
      <family val="2"/>
      <scheme val="minor"/>
    </font>
    <font>
      <i/>
      <sz val="10"/>
      <color theme="1"/>
      <name val="Calibri"/>
      <family val="2"/>
      <scheme val="minor"/>
    </font>
    <font>
      <u/>
      <sz val="11"/>
      <color theme="10"/>
      <name val="Calibri"/>
      <family val="2"/>
      <scheme val="minor"/>
    </font>
    <font>
      <sz val="11"/>
      <color rgb="FF0070C0"/>
      <name val="Calibri"/>
      <family val="2"/>
      <scheme val="minor"/>
    </font>
    <font>
      <u/>
      <sz val="10"/>
      <color theme="1"/>
      <name val="Calibri"/>
      <family val="2"/>
      <scheme val="minor"/>
    </font>
    <font>
      <sz val="11"/>
      <name val="Calibri"/>
      <family val="2"/>
      <scheme val="minor"/>
    </font>
    <font>
      <sz val="9"/>
      <color theme="0" tint="-0.249977111117893"/>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000000"/>
        <bgColor rgb="FF000000"/>
      </patternFill>
    </fill>
    <fill>
      <patternFill patternType="solid">
        <fgColor rgb="FFD8D8D8"/>
        <bgColor rgb="FF000000"/>
      </patternFill>
    </fill>
    <fill>
      <patternFill patternType="solid">
        <fgColor rgb="FF92D050"/>
        <bgColor indexed="64"/>
      </patternFill>
    </fill>
  </fills>
  <borders count="6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top/>
      <bottom style="thin">
        <color indexed="64"/>
      </bottom>
      <diagonal/>
    </border>
    <border>
      <left style="thin">
        <color auto="1"/>
      </left>
      <right style="medium">
        <color auto="1"/>
      </right>
      <top/>
      <bottom style="thin">
        <color indexed="64"/>
      </bottom>
      <diagonal/>
    </border>
    <border>
      <left style="thin">
        <color auto="1"/>
      </left>
      <right/>
      <top style="medium">
        <color auto="1"/>
      </top>
      <bottom/>
      <diagonal/>
    </border>
    <border>
      <left style="thin">
        <color auto="1"/>
      </left>
      <right/>
      <top style="thin">
        <color indexed="64"/>
      </top>
      <bottom/>
      <diagonal/>
    </border>
    <border>
      <left/>
      <right style="medium">
        <color auto="1"/>
      </right>
      <top style="thin">
        <color indexed="64"/>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auto="1"/>
      </right>
      <top/>
      <bottom/>
      <diagonal/>
    </border>
    <border>
      <left/>
      <right style="medium">
        <color auto="1"/>
      </right>
      <top/>
      <bottom style="medium">
        <color auto="1"/>
      </bottom>
      <diagonal/>
    </border>
    <border>
      <left/>
      <right/>
      <top style="medium">
        <color auto="1"/>
      </top>
      <bottom style="medium">
        <color auto="1"/>
      </bottom>
      <diagonal/>
    </border>
    <border>
      <left style="medium">
        <color auto="1"/>
      </left>
      <right/>
      <top style="thin">
        <color auto="1"/>
      </top>
      <bottom/>
      <diagonal/>
    </border>
    <border>
      <left style="medium">
        <color auto="1"/>
      </left>
      <right style="thin">
        <color auto="1"/>
      </right>
      <top/>
      <bottom style="thin">
        <color auto="1"/>
      </bottom>
      <diagonal/>
    </border>
    <border>
      <left style="medium">
        <color indexed="64"/>
      </left>
      <right/>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medium">
        <color auto="1"/>
      </bottom>
      <diagonal/>
    </border>
    <border>
      <left/>
      <right style="medium">
        <color auto="1"/>
      </right>
      <top style="thin">
        <color auto="1"/>
      </top>
      <bottom style="thin">
        <color auto="1"/>
      </bottom>
      <diagonal/>
    </border>
    <border>
      <left/>
      <right style="thin">
        <color auto="1"/>
      </right>
      <top style="thin">
        <color auto="1"/>
      </top>
      <bottom style="medium">
        <color auto="1"/>
      </bottom>
      <diagonal/>
    </border>
    <border>
      <left/>
      <right style="thin">
        <color auto="1"/>
      </right>
      <top style="thin">
        <color auto="1"/>
      </top>
      <bottom/>
      <diagonal/>
    </border>
    <border>
      <left/>
      <right style="medium">
        <color auto="1"/>
      </right>
      <top style="medium">
        <color indexed="64"/>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top style="thin">
        <color auto="1"/>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thin">
        <color auto="1"/>
      </left>
      <right/>
      <top/>
      <bottom/>
      <diagonal/>
    </border>
    <border>
      <left/>
      <right style="medium">
        <color rgb="FF000000"/>
      </right>
      <top style="medium">
        <color indexed="64"/>
      </top>
      <bottom style="thin">
        <color indexed="64"/>
      </bottom>
      <diagonal/>
    </border>
    <border>
      <left/>
      <right style="medium">
        <color indexed="64"/>
      </right>
      <top/>
      <bottom style="thin">
        <color indexed="64"/>
      </bottom>
      <diagonal/>
    </border>
    <border>
      <left/>
      <right style="medium">
        <color rgb="FF000000"/>
      </right>
      <top style="thin">
        <color indexed="64"/>
      </top>
      <bottom style="thin">
        <color indexed="64"/>
      </bottom>
      <diagonal/>
    </border>
    <border>
      <left style="medium">
        <color indexed="64"/>
      </left>
      <right/>
      <top/>
      <bottom style="thin">
        <color indexed="64"/>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thin">
        <color indexed="64"/>
      </bottom>
      <diagonal/>
    </border>
    <border>
      <left/>
      <right style="medium">
        <color rgb="FF000000"/>
      </right>
      <top style="thin">
        <color indexed="64"/>
      </top>
      <bottom style="medium">
        <color indexed="64"/>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medium">
        <color auto="1"/>
      </right>
      <top style="thin">
        <color indexed="64"/>
      </top>
      <bottom style="thin">
        <color indexed="64"/>
      </bottom>
      <diagonal/>
    </border>
    <border>
      <left style="medium">
        <color auto="1"/>
      </left>
      <right style="thin">
        <color auto="1"/>
      </right>
      <top style="medium">
        <color auto="1"/>
      </top>
      <bottom style="thin">
        <color indexed="64"/>
      </bottom>
      <diagonal/>
    </border>
  </borders>
  <cellStyleXfs count="2">
    <xf numFmtId="0" fontId="0" fillId="0" borderId="0"/>
    <xf numFmtId="0" fontId="30" fillId="0" borderId="0" applyNumberFormat="0" applyFill="0" applyBorder="0" applyAlignment="0" applyProtection="0"/>
  </cellStyleXfs>
  <cellXfs count="324">
    <xf numFmtId="0" fontId="0" fillId="0" borderId="0" xfId="0"/>
    <xf numFmtId="0" fontId="0" fillId="0" borderId="0" xfId="0" applyFont="1" applyFill="1" applyBorder="1"/>
    <xf numFmtId="0" fontId="0" fillId="0" borderId="0" xfId="0" applyFill="1" applyBorder="1"/>
    <xf numFmtId="0" fontId="24" fillId="7" borderId="1" xfId="0" applyFont="1" applyFill="1" applyBorder="1"/>
    <xf numFmtId="0" fontId="25" fillId="0" borderId="1" xfId="0" applyFont="1" applyBorder="1"/>
    <xf numFmtId="0" fontId="18" fillId="7" borderId="50" xfId="0" applyFont="1" applyFill="1" applyBorder="1" applyAlignment="1">
      <alignment vertical="top" wrapText="1"/>
    </xf>
    <xf numFmtId="0" fontId="18" fillId="7" borderId="24" xfId="0" applyFont="1" applyFill="1" applyBorder="1" applyAlignment="1">
      <alignment horizontal="center" vertical="top" wrapText="1"/>
    </xf>
    <xf numFmtId="0" fontId="18" fillId="7" borderId="56" xfId="0" applyFont="1" applyFill="1" applyBorder="1" applyAlignment="1">
      <alignment horizontal="center" vertical="top" wrapText="1"/>
    </xf>
    <xf numFmtId="0" fontId="26" fillId="0" borderId="58" xfId="0" applyFont="1" applyBorder="1" applyAlignment="1">
      <alignment horizontal="center" vertical="top" wrapText="1"/>
    </xf>
    <xf numFmtId="49" fontId="26" fillId="0" borderId="59" xfId="0" applyNumberFormat="1" applyFont="1" applyBorder="1" applyAlignment="1">
      <alignment horizontal="center" vertical="top"/>
    </xf>
    <xf numFmtId="49" fontId="26" fillId="0" borderId="60" xfId="0" applyNumberFormat="1" applyFont="1" applyBorder="1" applyAlignment="1">
      <alignment horizontal="center" vertical="top"/>
    </xf>
    <xf numFmtId="49" fontId="26" fillId="0" borderId="24" xfId="0" applyNumberFormat="1" applyFont="1" applyBorder="1" applyAlignment="1">
      <alignment horizontal="center" vertical="top"/>
    </xf>
    <xf numFmtId="49" fontId="26" fillId="0" borderId="61" xfId="0" applyNumberFormat="1" applyFont="1" applyBorder="1" applyAlignment="1">
      <alignment horizontal="center" vertical="top"/>
    </xf>
    <xf numFmtId="0" fontId="26" fillId="0" borderId="24" xfId="0" applyFont="1" applyBorder="1" applyAlignment="1">
      <alignment horizontal="center" vertical="top" wrapText="1"/>
    </xf>
    <xf numFmtId="0" fontId="26" fillId="0" borderId="56" xfId="0" applyFont="1" applyBorder="1" applyAlignment="1">
      <alignment horizontal="center" vertical="top" wrapText="1"/>
    </xf>
    <xf numFmtId="164" fontId="26" fillId="0" borderId="24" xfId="0" applyNumberFormat="1" applyFont="1" applyBorder="1" applyAlignment="1">
      <alignment horizontal="center" vertical="top"/>
    </xf>
    <xf numFmtId="164" fontId="26" fillId="0" borderId="56" xfId="0" applyNumberFormat="1" applyFont="1" applyBorder="1" applyAlignment="1">
      <alignment horizontal="center" vertical="top"/>
    </xf>
    <xf numFmtId="49" fontId="27" fillId="0" borderId="58" xfId="0" applyNumberFormat="1" applyFont="1" applyBorder="1" applyAlignment="1">
      <alignment horizontal="center" vertical="top" wrapText="1"/>
    </xf>
    <xf numFmtId="49" fontId="27" fillId="0" borderId="24" xfId="0" applyNumberFormat="1" applyFont="1" applyBorder="1" applyAlignment="1">
      <alignment horizontal="center" vertical="top"/>
    </xf>
    <xf numFmtId="49" fontId="27" fillId="0" borderId="61" xfId="0" applyNumberFormat="1" applyFont="1" applyBorder="1" applyAlignment="1">
      <alignment horizontal="center" vertical="top"/>
    </xf>
    <xf numFmtId="49" fontId="20" fillId="0" borderId="58" xfId="0" applyNumberFormat="1" applyFont="1" applyBorder="1" applyAlignment="1">
      <alignment horizontal="center" vertical="top" wrapText="1"/>
    </xf>
    <xf numFmtId="49" fontId="20" fillId="0" borderId="51" xfId="0" applyNumberFormat="1" applyFont="1" applyBorder="1" applyAlignment="1">
      <alignment horizontal="center" vertical="top" wrapText="1"/>
    </xf>
    <xf numFmtId="49" fontId="27" fillId="0" borderId="48" xfId="0" applyNumberFormat="1" applyFont="1" applyBorder="1" applyAlignment="1">
      <alignment horizontal="center" vertical="top"/>
    </xf>
    <xf numFmtId="49" fontId="27" fillId="0" borderId="62" xfId="0" applyNumberFormat="1" applyFont="1" applyBorder="1" applyAlignment="1">
      <alignment horizontal="center" vertical="top"/>
    </xf>
    <xf numFmtId="0" fontId="6" fillId="5" borderId="3" xfId="0" applyFont="1" applyFill="1" applyBorder="1" applyAlignment="1" applyProtection="1">
      <alignment horizontal="left" vertical="center"/>
      <protection locked="0"/>
    </xf>
    <xf numFmtId="0" fontId="6" fillId="5" borderId="5" xfId="0" applyFont="1" applyFill="1" applyBorder="1" applyAlignment="1" applyProtection="1">
      <alignment horizontal="left" vertical="center"/>
      <protection locked="0"/>
    </xf>
    <xf numFmtId="0" fontId="6" fillId="5" borderId="7" xfId="0" applyFont="1" applyFill="1" applyBorder="1" applyAlignment="1" applyProtection="1">
      <alignment vertical="center"/>
      <protection locked="0"/>
    </xf>
    <xf numFmtId="164" fontId="6" fillId="5" borderId="7" xfId="0" applyNumberFormat="1" applyFont="1" applyFill="1" applyBorder="1" applyAlignment="1" applyProtection="1">
      <alignment horizontal="left" vertical="center"/>
      <protection locked="0"/>
    </xf>
    <xf numFmtId="164" fontId="6" fillId="5" borderId="5" xfId="0" applyNumberFormat="1" applyFont="1" applyFill="1" applyBorder="1" applyAlignment="1" applyProtection="1">
      <alignment horizontal="left" vertical="center"/>
      <protection locked="0"/>
    </xf>
    <xf numFmtId="0" fontId="10" fillId="2" borderId="16" xfId="0" applyFont="1" applyFill="1" applyBorder="1" applyAlignment="1" applyProtection="1">
      <alignment vertical="center"/>
    </xf>
    <xf numFmtId="0" fontId="31" fillId="0" borderId="17" xfId="0" applyFont="1" applyFill="1" applyBorder="1" applyAlignment="1" applyProtection="1">
      <alignment horizontal="left" vertical="center"/>
    </xf>
    <xf numFmtId="0" fontId="10" fillId="2" borderId="13" xfId="0" applyFont="1" applyFill="1" applyBorder="1" applyAlignment="1" applyProtection="1">
      <alignment vertical="center"/>
    </xf>
    <xf numFmtId="0" fontId="31" fillId="0" borderId="25" xfId="0" applyFont="1" applyFill="1" applyBorder="1" applyAlignment="1" applyProtection="1">
      <alignment horizontal="left" vertical="center"/>
    </xf>
    <xf numFmtId="0" fontId="3" fillId="3" borderId="26" xfId="0" applyFont="1" applyFill="1" applyBorder="1" applyAlignment="1" applyProtection="1">
      <alignment vertical="center"/>
    </xf>
    <xf numFmtId="0" fontId="6" fillId="3" borderId="3" xfId="0" applyFont="1" applyFill="1" applyBorder="1" applyAlignment="1" applyProtection="1">
      <alignment horizontal="left" vertical="center"/>
    </xf>
    <xf numFmtId="0" fontId="6" fillId="0" borderId="0" xfId="0" applyFont="1" applyBorder="1" applyAlignment="1" applyProtection="1">
      <alignment horizontal="center" vertical="center"/>
    </xf>
    <xf numFmtId="0" fontId="3" fillId="0" borderId="7" xfId="0" applyFont="1" applyBorder="1" applyAlignment="1" applyProtection="1">
      <alignment horizontal="left" vertical="center"/>
    </xf>
    <xf numFmtId="0" fontId="7" fillId="0" borderId="0" xfId="0" applyFont="1" applyBorder="1" applyAlignment="1" applyProtection="1">
      <alignment horizontal="center" vertical="center"/>
    </xf>
    <xf numFmtId="0" fontId="8" fillId="0" borderId="0" xfId="0" applyFont="1" applyBorder="1" applyAlignment="1" applyProtection="1">
      <alignment horizontal="center" vertical="center"/>
    </xf>
    <xf numFmtId="0" fontId="9" fillId="0" borderId="24" xfId="0" applyFont="1" applyBorder="1" applyAlignment="1" applyProtection="1">
      <alignment horizontal="center" vertical="center"/>
    </xf>
    <xf numFmtId="0" fontId="3" fillId="0" borderId="25" xfId="0" applyFont="1" applyBorder="1" applyAlignment="1" applyProtection="1">
      <alignment horizontal="left" vertical="center"/>
    </xf>
    <xf numFmtId="0" fontId="3" fillId="3" borderId="27" xfId="0" applyFont="1" applyFill="1" applyBorder="1" applyAlignment="1" applyProtection="1">
      <alignment vertical="center"/>
    </xf>
    <xf numFmtId="0" fontId="9" fillId="3" borderId="28" xfId="0" applyFont="1" applyFill="1" applyBorder="1" applyAlignment="1" applyProtection="1">
      <alignment horizontal="left" vertical="center"/>
    </xf>
    <xf numFmtId="164" fontId="3" fillId="0" borderId="7" xfId="0" applyNumberFormat="1" applyFont="1" applyBorder="1" applyAlignment="1" applyProtection="1">
      <alignment horizontal="left" vertical="center"/>
    </xf>
    <xf numFmtId="0" fontId="3" fillId="0" borderId="54" xfId="0" applyFont="1" applyFill="1" applyBorder="1" applyAlignment="1" applyProtection="1">
      <alignment vertical="center"/>
    </xf>
    <xf numFmtId="0" fontId="21" fillId="0" borderId="7" xfId="0" applyFont="1" applyFill="1" applyBorder="1" applyAlignment="1" applyProtection="1">
      <alignment horizontal="left" vertical="center"/>
    </xf>
    <xf numFmtId="0" fontId="3" fillId="0" borderId="9" xfId="0" applyFont="1" applyBorder="1" applyAlignment="1" applyProtection="1">
      <alignment horizontal="center" vertical="center" wrapText="1"/>
    </xf>
    <xf numFmtId="0" fontId="0" fillId="0" borderId="0" xfId="0" applyProtection="1"/>
    <xf numFmtId="0" fontId="3" fillId="3" borderId="20" xfId="0" applyFont="1" applyFill="1" applyBorder="1" applyAlignment="1" applyProtection="1">
      <alignment vertical="center"/>
    </xf>
    <xf numFmtId="0" fontId="6" fillId="0" borderId="3" xfId="0" applyFont="1" applyFill="1" applyBorder="1" applyAlignment="1" applyProtection="1">
      <alignment horizontal="left" vertical="center"/>
    </xf>
    <xf numFmtId="164" fontId="3" fillId="0" borderId="7" xfId="0" applyNumberFormat="1" applyFont="1" applyFill="1" applyBorder="1" applyAlignment="1" applyProtection="1">
      <alignment horizontal="left" vertical="center"/>
    </xf>
    <xf numFmtId="164" fontId="21" fillId="0" borderId="7" xfId="0" applyNumberFormat="1" applyFont="1" applyFill="1" applyBorder="1" applyAlignment="1" applyProtection="1">
      <alignment horizontal="left" vertical="center"/>
    </xf>
    <xf numFmtId="1" fontId="5" fillId="0" borderId="33" xfId="0" applyNumberFormat="1" applyFont="1" applyBorder="1" applyAlignment="1" applyProtection="1">
      <alignment horizontal="left" vertical="center"/>
    </xf>
    <xf numFmtId="0" fontId="11" fillId="0" borderId="4" xfId="0" applyFont="1" applyFill="1" applyBorder="1" applyAlignment="1" applyProtection="1">
      <alignment horizontal="center" vertical="center" textRotation="90" wrapText="1"/>
    </xf>
    <xf numFmtId="0" fontId="11" fillId="0" borderId="5" xfId="0" applyFont="1" applyFill="1" applyBorder="1" applyAlignment="1" applyProtection="1">
      <alignment horizontal="center" vertical="center" textRotation="90" wrapText="1"/>
    </xf>
    <xf numFmtId="0" fontId="10" fillId="0" borderId="30" xfId="0" applyFont="1" applyFill="1" applyBorder="1" applyAlignment="1" applyProtection="1">
      <alignment horizontal="center" vertical="center" wrapText="1"/>
    </xf>
    <xf numFmtId="0" fontId="3" fillId="0" borderId="32" xfId="0" applyFont="1" applyBorder="1" applyAlignment="1" applyProtection="1">
      <alignment horizontal="center" vertical="center" wrapText="1"/>
    </xf>
    <xf numFmtId="164" fontId="3" fillId="0" borderId="5" xfId="0" applyNumberFormat="1" applyFont="1" applyBorder="1" applyAlignment="1" applyProtection="1">
      <alignment horizontal="left" vertical="center"/>
    </xf>
    <xf numFmtId="164" fontId="3" fillId="0" borderId="5" xfId="0" applyNumberFormat="1" applyFont="1" applyFill="1" applyBorder="1" applyAlignment="1" applyProtection="1">
      <alignment horizontal="left" vertical="center"/>
    </xf>
    <xf numFmtId="1" fontId="21" fillId="0" borderId="7" xfId="0" applyNumberFormat="1" applyFont="1" applyFill="1" applyBorder="1" applyAlignment="1" applyProtection="1">
      <alignment horizontal="left" vertical="center"/>
    </xf>
    <xf numFmtId="0" fontId="3" fillId="3" borderId="1" xfId="0" applyFont="1" applyFill="1" applyBorder="1" applyAlignment="1" applyProtection="1">
      <alignment horizontal="left" vertical="center"/>
    </xf>
    <xf numFmtId="0" fontId="3" fillId="3" borderId="3" xfId="0" applyFont="1" applyFill="1" applyBorder="1" applyAlignment="1" applyProtection="1">
      <alignment horizontal="left" vertical="center"/>
    </xf>
    <xf numFmtId="0" fontId="3" fillId="0" borderId="54" xfId="0" applyFont="1" applyFill="1" applyBorder="1" applyAlignment="1" applyProtection="1">
      <alignment horizontal="center" vertical="center"/>
    </xf>
    <xf numFmtId="0" fontId="3" fillId="0" borderId="10" xfId="0" applyFont="1" applyBorder="1" applyAlignment="1" applyProtection="1">
      <alignment horizontal="center" vertical="center" wrapText="1"/>
    </xf>
    <xf numFmtId="0" fontId="3" fillId="0" borderId="19" xfId="0" applyFont="1" applyBorder="1" applyAlignment="1" applyProtection="1">
      <alignment horizontal="center" vertical="center" wrapText="1"/>
    </xf>
    <xf numFmtId="1" fontId="3" fillId="0" borderId="33" xfId="0" applyNumberFormat="1" applyFont="1" applyFill="1" applyBorder="1" applyAlignment="1" applyProtection="1">
      <alignment horizontal="left" vertical="center"/>
    </xf>
    <xf numFmtId="164" fontId="5" fillId="0" borderId="5" xfId="0" applyNumberFormat="1" applyFont="1" applyFill="1" applyBorder="1" applyAlignment="1" applyProtection="1">
      <alignment horizontal="left" vertical="center"/>
    </xf>
    <xf numFmtId="1" fontId="5" fillId="0" borderId="33" xfId="0" applyNumberFormat="1" applyFont="1" applyFill="1" applyBorder="1" applyAlignment="1" applyProtection="1">
      <alignment horizontal="left" vertical="center"/>
    </xf>
    <xf numFmtId="164" fontId="5" fillId="0" borderId="5" xfId="0" applyNumberFormat="1" applyFont="1" applyBorder="1" applyAlignment="1" applyProtection="1">
      <alignment horizontal="left" vertical="center"/>
    </xf>
    <xf numFmtId="164" fontId="5" fillId="0" borderId="33" xfId="0" applyNumberFormat="1" applyFont="1" applyBorder="1" applyAlignment="1" applyProtection="1">
      <alignment horizontal="left" vertical="center"/>
    </xf>
    <xf numFmtId="0" fontId="3" fillId="3" borderId="0" xfId="0" applyFont="1" applyFill="1" applyBorder="1" applyAlignment="1" applyProtection="1">
      <alignment vertical="center"/>
    </xf>
    <xf numFmtId="0" fontId="9" fillId="3" borderId="5" xfId="0" applyFont="1" applyFill="1" applyBorder="1" applyAlignment="1" applyProtection="1">
      <alignment horizontal="left" vertical="center"/>
    </xf>
    <xf numFmtId="0" fontId="3" fillId="3" borderId="35" xfId="0" applyFont="1" applyFill="1" applyBorder="1" applyAlignment="1" applyProtection="1">
      <alignment vertical="center"/>
    </xf>
    <xf numFmtId="0" fontId="6" fillId="3" borderId="28" xfId="0" applyFont="1" applyFill="1" applyBorder="1" applyAlignment="1" applyProtection="1">
      <alignment horizontal="left" vertical="center"/>
    </xf>
    <xf numFmtId="0" fontId="3" fillId="0" borderId="7" xfId="0" applyFont="1" applyFill="1" applyBorder="1" applyAlignment="1" applyProtection="1">
      <alignment vertical="center"/>
    </xf>
    <xf numFmtId="0" fontId="0" fillId="0" borderId="0" xfId="0" applyFill="1" applyProtection="1"/>
    <xf numFmtId="0" fontId="0" fillId="0" borderId="0" xfId="0" applyFont="1" applyAlignment="1" applyProtection="1"/>
    <xf numFmtId="0" fontId="12" fillId="4" borderId="1" xfId="0" applyFont="1" applyFill="1" applyBorder="1" applyProtection="1"/>
    <xf numFmtId="0" fontId="1" fillId="4" borderId="2" xfId="0" applyFont="1" applyFill="1" applyBorder="1" applyAlignment="1" applyProtection="1">
      <alignment wrapText="1"/>
    </xf>
    <xf numFmtId="0" fontId="2" fillId="4" borderId="2" xfId="0" applyFont="1" applyFill="1" applyBorder="1" applyAlignment="1" applyProtection="1">
      <alignment vertical="center"/>
    </xf>
    <xf numFmtId="0" fontId="2" fillId="4" borderId="3" xfId="0" applyFont="1" applyFill="1" applyBorder="1" applyAlignment="1" applyProtection="1">
      <alignment horizontal="left" vertical="center"/>
    </xf>
    <xf numFmtId="0" fontId="0" fillId="2" borderId="4" xfId="0" applyFont="1" applyFill="1" applyBorder="1" applyAlignment="1" applyProtection="1">
      <alignment horizontal="center" vertical="center" wrapText="1"/>
    </xf>
    <xf numFmtId="0" fontId="0" fillId="2" borderId="0" xfId="0" applyFont="1" applyFill="1" applyBorder="1" applyAlignment="1" applyProtection="1">
      <alignment horizontal="center" vertical="center" wrapText="1"/>
    </xf>
    <xf numFmtId="0" fontId="10" fillId="2" borderId="0" xfId="0" applyFont="1" applyFill="1" applyBorder="1" applyAlignment="1" applyProtection="1">
      <alignment vertical="center"/>
    </xf>
    <xf numFmtId="0" fontId="0" fillId="0" borderId="5" xfId="0" applyFill="1" applyBorder="1" applyAlignment="1" applyProtection="1">
      <alignment horizontal="left" vertical="center"/>
    </xf>
    <xf numFmtId="0" fontId="10" fillId="2" borderId="32" xfId="0" applyFont="1" applyFill="1" applyBorder="1" applyAlignment="1" applyProtection="1">
      <alignment vertical="center"/>
    </xf>
    <xf numFmtId="0" fontId="30" fillId="0" borderId="5" xfId="1" applyFill="1" applyBorder="1" applyAlignment="1" applyProtection="1">
      <alignment horizontal="left" vertical="center"/>
    </xf>
    <xf numFmtId="0" fontId="3" fillId="0" borderId="38" xfId="0" applyFont="1" applyFill="1" applyBorder="1" applyAlignment="1" applyProtection="1">
      <alignment horizontal="center" vertical="center"/>
    </xf>
    <xf numFmtId="0" fontId="3" fillId="3" borderId="49" xfId="0" applyFont="1" applyFill="1" applyBorder="1" applyAlignment="1" applyProtection="1">
      <alignment vertical="center"/>
    </xf>
    <xf numFmtId="0" fontId="3" fillId="0" borderId="32" xfId="0" applyFont="1" applyFill="1" applyBorder="1" applyAlignment="1" applyProtection="1">
      <alignment horizontal="center" vertical="center"/>
    </xf>
    <xf numFmtId="0" fontId="3" fillId="0" borderId="39" xfId="0" applyFont="1" applyBorder="1" applyAlignment="1" applyProtection="1">
      <alignment horizontal="center" vertical="center" wrapText="1"/>
    </xf>
    <xf numFmtId="0" fontId="3" fillId="0" borderId="20" xfId="0" applyFont="1" applyFill="1" applyBorder="1" applyAlignment="1" applyProtection="1">
      <alignment horizontal="center" vertical="center"/>
    </xf>
    <xf numFmtId="0" fontId="3" fillId="0" borderId="18" xfId="0" applyFont="1" applyFill="1" applyBorder="1" applyAlignment="1" applyProtection="1">
      <alignment horizontal="center" vertical="center"/>
    </xf>
    <xf numFmtId="0" fontId="3" fillId="0" borderId="36" xfId="0" applyFont="1" applyFill="1" applyBorder="1" applyAlignment="1" applyProtection="1">
      <alignment horizontal="center" vertical="center"/>
    </xf>
    <xf numFmtId="0" fontId="28" fillId="3" borderId="0" xfId="0" applyFont="1" applyFill="1" applyBorder="1" applyAlignment="1" applyProtection="1">
      <alignment horizontal="left" vertical="center"/>
    </xf>
    <xf numFmtId="0" fontId="11" fillId="0" borderId="0" xfId="0" applyFont="1" applyFill="1" applyAlignment="1" applyProtection="1">
      <alignment wrapText="1"/>
    </xf>
    <xf numFmtId="0" fontId="0" fillId="0" borderId="0" xfId="0" applyAlignment="1" applyProtection="1">
      <alignment vertical="center"/>
    </xf>
    <xf numFmtId="0" fontId="0" fillId="0" borderId="0" xfId="0" applyAlignment="1" applyProtection="1">
      <alignment horizontal="left" vertical="center"/>
    </xf>
    <xf numFmtId="0" fontId="17" fillId="0" borderId="0" xfId="0" applyFont="1" applyProtection="1"/>
    <xf numFmtId="0" fontId="0" fillId="0" borderId="0" xfId="0" applyFont="1" applyAlignment="1" applyProtection="1">
      <alignment vertical="center"/>
    </xf>
    <xf numFmtId="0" fontId="0" fillId="0" borderId="0" xfId="0" applyFont="1" applyAlignment="1" applyProtection="1">
      <alignment horizontal="left" vertical="center"/>
    </xf>
    <xf numFmtId="0" fontId="6" fillId="0" borderId="7" xfId="0" applyFont="1" applyFill="1" applyBorder="1" applyAlignment="1" applyProtection="1">
      <alignment horizontal="left" vertical="center"/>
    </xf>
    <xf numFmtId="0" fontId="6" fillId="0" borderId="25" xfId="0" applyFont="1" applyFill="1" applyBorder="1" applyAlignment="1" applyProtection="1">
      <alignment horizontal="left" vertical="center"/>
    </xf>
    <xf numFmtId="164" fontId="6" fillId="0" borderId="7" xfId="0" applyNumberFormat="1" applyFont="1" applyFill="1" applyBorder="1" applyAlignment="1" applyProtection="1">
      <alignment horizontal="left" vertical="center"/>
    </xf>
    <xf numFmtId="0" fontId="3" fillId="6" borderId="0" xfId="0" applyFont="1" applyFill="1" applyProtection="1"/>
    <xf numFmtId="0" fontId="3" fillId="0" borderId="0" xfId="0" applyFont="1" applyProtection="1"/>
    <xf numFmtId="0" fontId="0" fillId="6" borderId="0" xfId="0" applyFill="1" applyProtection="1"/>
    <xf numFmtId="0" fontId="0" fillId="4" borderId="3" xfId="0" applyFill="1" applyBorder="1" applyProtection="1"/>
    <xf numFmtId="0" fontId="10" fillId="2" borderId="43" xfId="0" applyFont="1" applyFill="1" applyBorder="1" applyAlignment="1" applyProtection="1">
      <alignment vertical="center"/>
    </xf>
    <xf numFmtId="0" fontId="10" fillId="2" borderId="14" xfId="0" applyFont="1" applyFill="1" applyBorder="1" applyAlignment="1" applyProtection="1">
      <alignment vertical="center"/>
    </xf>
    <xf numFmtId="0" fontId="10" fillId="2" borderId="11" xfId="0" applyFont="1" applyFill="1" applyBorder="1" applyAlignment="1" applyProtection="1">
      <alignment vertical="center"/>
    </xf>
    <xf numFmtId="0" fontId="10" fillId="2" borderId="23" xfId="0" applyFont="1" applyFill="1" applyBorder="1" applyAlignment="1" applyProtection="1">
      <alignment vertical="center"/>
    </xf>
    <xf numFmtId="0" fontId="10" fillId="2" borderId="42" xfId="0" applyFont="1" applyFill="1" applyBorder="1" applyAlignment="1" applyProtection="1">
      <alignment vertical="center"/>
    </xf>
    <xf numFmtId="0" fontId="11" fillId="6" borderId="0" xfId="0" applyFont="1" applyFill="1" applyBorder="1" applyAlignment="1" applyProtection="1">
      <alignment horizontal="center" vertical="center" wrapText="1"/>
    </xf>
    <xf numFmtId="0" fontId="4" fillId="6" borderId="0" xfId="0" applyFont="1" applyFill="1" applyBorder="1" applyAlignment="1" applyProtection="1">
      <alignment vertical="center"/>
    </xf>
    <xf numFmtId="0" fontId="0" fillId="6" borderId="0" xfId="0" applyFill="1" applyBorder="1" applyAlignment="1" applyProtection="1">
      <alignment horizontal="left" vertical="center"/>
    </xf>
    <xf numFmtId="0" fontId="17" fillId="6" borderId="0" xfId="0" applyFont="1" applyFill="1" applyProtection="1"/>
    <xf numFmtId="0" fontId="15" fillId="4" borderId="21" xfId="0" applyFont="1" applyFill="1" applyBorder="1" applyProtection="1"/>
    <xf numFmtId="0" fontId="15" fillId="4" borderId="34" xfId="0" applyFont="1" applyFill="1" applyBorder="1" applyProtection="1"/>
    <xf numFmtId="0" fontId="16" fillId="4" borderId="34" xfId="0" applyFont="1" applyFill="1" applyBorder="1" applyProtection="1"/>
    <xf numFmtId="0" fontId="17" fillId="4" borderId="22" xfId="0" applyFont="1" applyFill="1" applyBorder="1" applyProtection="1"/>
    <xf numFmtId="0" fontId="14" fillId="6" borderId="0" xfId="0" applyFont="1" applyFill="1" applyProtection="1"/>
    <xf numFmtId="0" fontId="14" fillId="0" borderId="0" xfId="0" applyFont="1" applyProtection="1"/>
    <xf numFmtId="0" fontId="14" fillId="6" borderId="0" xfId="0" applyFont="1" applyFill="1" applyAlignment="1" applyProtection="1">
      <alignment wrapText="1"/>
    </xf>
    <xf numFmtId="0" fontId="14" fillId="0" borderId="0" xfId="0" applyFont="1" applyAlignment="1" applyProtection="1">
      <alignment wrapText="1"/>
    </xf>
    <xf numFmtId="0" fontId="10" fillId="6" borderId="0" xfId="0" applyFont="1" applyFill="1" applyProtection="1"/>
    <xf numFmtId="49" fontId="14" fillId="6" borderId="0" xfId="0" applyNumberFormat="1" applyFont="1" applyFill="1" applyAlignment="1" applyProtection="1">
      <alignment horizontal="center" vertical="top" wrapText="1"/>
    </xf>
    <xf numFmtId="0" fontId="14" fillId="6" borderId="0" xfId="0" applyFont="1" applyFill="1" applyAlignment="1" applyProtection="1">
      <alignment horizontal="left" vertical="top"/>
    </xf>
    <xf numFmtId="0" fontId="14" fillId="6" borderId="0" xfId="0" applyFont="1" applyFill="1" applyAlignment="1" applyProtection="1">
      <alignment vertical="top"/>
    </xf>
    <xf numFmtId="0" fontId="1" fillId="4" borderId="1" xfId="0" applyFont="1" applyFill="1" applyBorder="1" applyProtection="1"/>
    <xf numFmtId="0" fontId="2" fillId="4" borderId="2" xfId="0" applyFont="1" applyFill="1" applyBorder="1" applyProtection="1"/>
    <xf numFmtId="0" fontId="2" fillId="4" borderId="3" xfId="0" applyFont="1" applyFill="1" applyBorder="1" applyProtection="1"/>
    <xf numFmtId="0" fontId="1" fillId="4" borderId="4" xfId="0" applyFont="1" applyFill="1" applyBorder="1" applyProtection="1"/>
    <xf numFmtId="0" fontId="2" fillId="4" borderId="0" xfId="0" applyFont="1" applyFill="1" applyBorder="1" applyProtection="1"/>
    <xf numFmtId="0" fontId="2" fillId="4" borderId="5" xfId="0" applyFont="1" applyFill="1" applyBorder="1" applyProtection="1"/>
    <xf numFmtId="0" fontId="4" fillId="2" borderId="19" xfId="0" applyFont="1" applyFill="1" applyBorder="1" applyAlignment="1" applyProtection="1">
      <alignment horizontal="center" vertical="center"/>
    </xf>
    <xf numFmtId="0" fontId="4" fillId="2" borderId="0" xfId="0" applyFont="1" applyFill="1" applyBorder="1" applyAlignment="1" applyProtection="1">
      <alignment horizontal="center" vertical="center"/>
    </xf>
    <xf numFmtId="0" fontId="4" fillId="2" borderId="10" xfId="0" applyFont="1" applyFill="1" applyBorder="1" applyAlignment="1" applyProtection="1">
      <alignment horizontal="center" vertical="center"/>
    </xf>
    <xf numFmtId="0" fontId="4" fillId="2" borderId="7" xfId="0" applyFont="1" applyFill="1" applyBorder="1" applyAlignment="1" applyProtection="1">
      <alignment horizontal="center" vertical="center" wrapText="1"/>
    </xf>
    <xf numFmtId="0" fontId="6" fillId="0" borderId="2" xfId="0" applyFont="1" applyBorder="1" applyAlignment="1" applyProtection="1">
      <alignment horizontal="center"/>
    </xf>
    <xf numFmtId="0" fontId="3" fillId="0" borderId="52" xfId="0" applyFont="1" applyBorder="1" applyAlignment="1" applyProtection="1">
      <alignment horizontal="center"/>
    </xf>
    <xf numFmtId="0" fontId="7" fillId="0" borderId="0" xfId="0" applyFont="1" applyBorder="1" applyAlignment="1" applyProtection="1">
      <alignment horizontal="center"/>
    </xf>
    <xf numFmtId="0" fontId="3" fillId="0" borderId="10" xfId="0" applyFont="1" applyBorder="1" applyAlignment="1" applyProtection="1">
      <alignment horizontal="center"/>
    </xf>
    <xf numFmtId="0" fontId="8" fillId="0" borderId="0" xfId="0" applyFont="1" applyBorder="1" applyAlignment="1" applyProtection="1">
      <alignment horizontal="center"/>
    </xf>
    <xf numFmtId="0" fontId="9" fillId="0" borderId="6" xfId="0" applyFont="1" applyBorder="1" applyAlignment="1" applyProtection="1">
      <alignment horizontal="center"/>
    </xf>
    <xf numFmtId="0" fontId="3" fillId="0" borderId="9" xfId="0" applyFont="1" applyBorder="1" applyAlignment="1" applyProtection="1">
      <alignment horizontal="center"/>
    </xf>
    <xf numFmtId="0" fontId="6" fillId="0" borderId="0" xfId="0" applyFont="1" applyBorder="1" applyAlignment="1" applyProtection="1">
      <alignment horizontal="center"/>
    </xf>
    <xf numFmtId="0" fontId="4" fillId="2" borderId="18" xfId="0" applyFont="1" applyFill="1" applyBorder="1" applyAlignment="1" applyProtection="1">
      <alignment horizontal="center" vertical="center"/>
    </xf>
    <xf numFmtId="0" fontId="6" fillId="5" borderId="66" xfId="0" applyFont="1" applyFill="1" applyBorder="1" applyAlignment="1" applyProtection="1">
      <alignment horizontal="left" vertical="center"/>
      <protection locked="0"/>
    </xf>
    <xf numFmtId="0" fontId="3" fillId="0" borderId="10" xfId="0" applyFont="1" applyBorder="1" applyAlignment="1" applyProtection="1">
      <alignment horizontal="left" vertical="center"/>
    </xf>
    <xf numFmtId="0" fontId="3" fillId="0" borderId="10" xfId="0" applyFont="1" applyBorder="1" applyAlignment="1" applyProtection="1">
      <alignment horizontal="left" vertical="center" wrapText="1"/>
    </xf>
    <xf numFmtId="0" fontId="0" fillId="0" borderId="0" xfId="0" applyFill="1" applyBorder="1" applyProtection="1"/>
    <xf numFmtId="0" fontId="34" fillId="3" borderId="3" xfId="0" applyFont="1" applyFill="1" applyBorder="1" applyAlignment="1" applyProtection="1">
      <alignment horizontal="left" vertical="center"/>
    </xf>
    <xf numFmtId="0" fontId="34" fillId="3" borderId="28" xfId="0" applyFont="1" applyFill="1" applyBorder="1" applyAlignment="1" applyProtection="1">
      <alignment horizontal="left" vertical="center"/>
    </xf>
    <xf numFmtId="0" fontId="33" fillId="0" borderId="0" xfId="0" applyFont="1" applyFill="1" applyProtection="1"/>
    <xf numFmtId="0" fontId="33" fillId="0" borderId="0" xfId="0" applyFont="1" applyFill="1" applyAlignment="1" applyProtection="1"/>
    <xf numFmtId="1" fontId="6" fillId="5" borderId="5" xfId="0" applyNumberFormat="1" applyFont="1" applyFill="1" applyBorder="1" applyAlignment="1" applyProtection="1">
      <alignment horizontal="left" vertical="center"/>
      <protection locked="0"/>
    </xf>
    <xf numFmtId="0" fontId="3" fillId="3" borderId="54" xfId="0" applyFont="1" applyFill="1" applyBorder="1" applyAlignment="1" applyProtection="1">
      <alignment vertical="center"/>
    </xf>
    <xf numFmtId="0" fontId="3" fillId="0" borderId="54" xfId="0" applyFont="1" applyFill="1" applyBorder="1" applyAlignment="1" applyProtection="1">
      <alignment horizontal="center"/>
    </xf>
    <xf numFmtId="0" fontId="3" fillId="0" borderId="18" xfId="0" applyFont="1" applyBorder="1" applyAlignment="1" applyProtection="1">
      <alignment horizontal="center" vertical="center" wrapText="1"/>
    </xf>
    <xf numFmtId="0" fontId="3" fillId="3" borderId="26" xfId="0" applyFont="1" applyFill="1" applyBorder="1" applyAlignment="1" applyProtection="1">
      <alignment horizontal="center" vertical="center"/>
    </xf>
    <xf numFmtId="0" fontId="3" fillId="3" borderId="27" xfId="0" applyFont="1" applyFill="1" applyBorder="1" applyAlignment="1" applyProtection="1">
      <alignment horizontal="center" vertical="center"/>
    </xf>
    <xf numFmtId="0" fontId="4" fillId="0" borderId="0" xfId="0" applyFont="1" applyFill="1" applyAlignment="1" applyProtection="1">
      <alignment horizontal="center" wrapText="1"/>
    </xf>
    <xf numFmtId="0" fontId="13" fillId="0" borderId="0" xfId="0" applyFont="1" applyFill="1" applyAlignment="1" applyProtection="1">
      <alignment horizontal="center"/>
    </xf>
    <xf numFmtId="0" fontId="10" fillId="0" borderId="30" xfId="0" applyFont="1" applyFill="1" applyBorder="1" applyAlignment="1" applyProtection="1">
      <alignment horizontal="center" vertical="center" wrapText="1"/>
    </xf>
    <xf numFmtId="0" fontId="11" fillId="0" borderId="4" xfId="0" applyFont="1" applyFill="1" applyBorder="1" applyAlignment="1" applyProtection="1">
      <alignment horizontal="center" vertical="center" textRotation="90" wrapText="1"/>
    </xf>
    <xf numFmtId="164" fontId="6" fillId="0" borderId="33" xfId="0" applyNumberFormat="1" applyFont="1" applyFill="1" applyBorder="1" applyAlignment="1" applyProtection="1">
      <alignment horizontal="left" vertical="center"/>
      <protection locked="0"/>
    </xf>
    <xf numFmtId="0" fontId="6" fillId="0" borderId="3" xfId="0" applyFont="1" applyFill="1" applyBorder="1" applyAlignment="1" applyProtection="1">
      <alignment horizontal="left" vertical="center"/>
      <protection locked="0"/>
    </xf>
    <xf numFmtId="164" fontId="6" fillId="0" borderId="7" xfId="0" applyNumberFormat="1" applyFont="1" applyFill="1" applyBorder="1" applyAlignment="1" applyProtection="1">
      <alignment horizontal="left" vertical="center"/>
      <protection locked="0"/>
    </xf>
    <xf numFmtId="164" fontId="6" fillId="0" borderId="33" xfId="0" applyNumberFormat="1" applyFont="1" applyFill="1" applyBorder="1" applyAlignment="1" applyProtection="1">
      <alignment horizontal="left" vertical="center"/>
    </xf>
    <xf numFmtId="164" fontId="21" fillId="0" borderId="5" xfId="0" applyNumberFormat="1" applyFont="1" applyFill="1" applyBorder="1" applyAlignment="1" applyProtection="1">
      <alignment horizontal="left" vertical="center"/>
    </xf>
    <xf numFmtId="0" fontId="3" fillId="3" borderId="4" xfId="0" applyFont="1" applyFill="1" applyBorder="1" applyAlignment="1" applyProtection="1">
      <alignment vertical="center"/>
    </xf>
    <xf numFmtId="0" fontId="3" fillId="0" borderId="1" xfId="0" applyFont="1" applyFill="1" applyBorder="1" applyAlignment="1" applyProtection="1">
      <alignment horizontal="center" vertical="center"/>
    </xf>
    <xf numFmtId="0" fontId="34" fillId="3" borderId="5" xfId="0" applyFont="1" applyFill="1" applyBorder="1" applyAlignment="1" applyProtection="1">
      <alignment horizontal="left" vertical="center"/>
    </xf>
    <xf numFmtId="0" fontId="3" fillId="0" borderId="4" xfId="0" applyFont="1" applyBorder="1" applyAlignment="1" applyProtection="1">
      <alignment horizontal="center" vertical="center" wrapText="1"/>
    </xf>
    <xf numFmtId="0" fontId="3" fillId="0" borderId="37" xfId="0" applyFont="1" applyBorder="1" applyAlignment="1" applyProtection="1">
      <alignment horizontal="center" vertical="center" wrapText="1"/>
    </xf>
    <xf numFmtId="0" fontId="10" fillId="0" borderId="30" xfId="0" applyFont="1" applyFill="1" applyBorder="1" applyAlignment="1" applyProtection="1">
      <alignment horizontal="center" vertical="center" wrapText="1"/>
    </xf>
    <xf numFmtId="0" fontId="11" fillId="0" borderId="18" xfId="0" applyFont="1" applyFill="1" applyBorder="1" applyAlignment="1" applyProtection="1">
      <alignment horizontal="center" vertical="center" textRotation="90" wrapText="1"/>
    </xf>
    <xf numFmtId="0" fontId="17" fillId="5" borderId="5" xfId="0" applyFont="1" applyFill="1" applyBorder="1" applyAlignment="1" applyProtection="1">
      <alignment horizontal="center" vertical="center" textRotation="90" wrapText="1"/>
    </xf>
    <xf numFmtId="0" fontId="0" fillId="0" borderId="5" xfId="0" applyFont="1" applyFill="1" applyBorder="1" applyAlignment="1" applyProtection="1">
      <alignment horizontal="center" vertical="center" textRotation="90" wrapText="1"/>
    </xf>
    <xf numFmtId="164" fontId="3" fillId="0" borderId="25" xfId="0" applyNumberFormat="1" applyFont="1" applyBorder="1" applyAlignment="1" applyProtection="1">
      <alignment horizontal="left" vertical="center"/>
    </xf>
    <xf numFmtId="0" fontId="5" fillId="5" borderId="25" xfId="0" applyFont="1" applyFill="1" applyBorder="1" applyAlignment="1" applyProtection="1">
      <alignment vertical="center"/>
      <protection locked="0"/>
    </xf>
    <xf numFmtId="0" fontId="5" fillId="5" borderId="24" xfId="0" applyFont="1" applyFill="1" applyBorder="1" applyAlignment="1" applyProtection="1">
      <alignment horizontal="right" vertical="center"/>
    </xf>
    <xf numFmtId="0" fontId="3" fillId="0" borderId="67" xfId="0" applyFont="1" applyFill="1" applyBorder="1" applyAlignment="1" applyProtection="1">
      <alignment horizontal="center" vertical="center"/>
    </xf>
    <xf numFmtId="0" fontId="6" fillId="5" borderId="44" xfId="0" applyFont="1" applyFill="1" applyBorder="1" applyAlignment="1" applyProtection="1">
      <alignment horizontal="left" vertical="center"/>
      <protection locked="0"/>
    </xf>
    <xf numFmtId="0" fontId="5" fillId="5" borderId="50" xfId="0" applyFont="1" applyFill="1" applyBorder="1" applyAlignment="1" applyProtection="1">
      <alignment horizontal="right" vertical="center"/>
    </xf>
    <xf numFmtId="0" fontId="5" fillId="5" borderId="13" xfId="0" applyFont="1" applyFill="1" applyBorder="1" applyAlignment="1" applyProtection="1">
      <alignment vertical="center"/>
      <protection locked="0"/>
    </xf>
    <xf numFmtId="0" fontId="6" fillId="0" borderId="25" xfId="0" applyFont="1" applyFill="1" applyBorder="1" applyAlignment="1" applyProtection="1">
      <alignment horizontal="left" vertical="center"/>
      <protection locked="0"/>
    </xf>
    <xf numFmtId="164" fontId="6" fillId="0" borderId="25" xfId="0" applyNumberFormat="1" applyFont="1" applyFill="1" applyBorder="1" applyAlignment="1" applyProtection="1">
      <alignment horizontal="left" vertical="center"/>
      <protection locked="0"/>
    </xf>
    <xf numFmtId="164" fontId="6" fillId="5" borderId="25" xfId="0" applyNumberFormat="1" applyFont="1" applyFill="1" applyBorder="1" applyAlignment="1" applyProtection="1">
      <alignment horizontal="left" vertical="center"/>
      <protection locked="0"/>
    </xf>
    <xf numFmtId="0" fontId="6" fillId="5" borderId="25" xfId="0" applyFont="1" applyFill="1" applyBorder="1" applyAlignment="1" applyProtection="1">
      <alignment horizontal="left" vertical="center"/>
      <protection locked="0"/>
    </xf>
    <xf numFmtId="0" fontId="6" fillId="5" borderId="25" xfId="0" applyFont="1" applyFill="1" applyBorder="1" applyAlignment="1" applyProtection="1">
      <alignment vertical="center"/>
      <protection locked="0"/>
    </xf>
    <xf numFmtId="0" fontId="3" fillId="0" borderId="25" xfId="0" applyFont="1" applyFill="1" applyBorder="1" applyAlignment="1" applyProtection="1">
      <alignment vertical="center"/>
    </xf>
    <xf numFmtId="1" fontId="6" fillId="5" borderId="25" xfId="0" applyNumberFormat="1" applyFont="1" applyFill="1" applyBorder="1" applyAlignment="1" applyProtection="1">
      <alignment horizontal="left" vertical="center"/>
      <protection locked="0"/>
    </xf>
    <xf numFmtId="164" fontId="3" fillId="0" borderId="25" xfId="0" applyNumberFormat="1" applyFont="1" applyFill="1" applyBorder="1" applyAlignment="1" applyProtection="1">
      <alignment horizontal="left" vertical="center"/>
    </xf>
    <xf numFmtId="0" fontId="8" fillId="0" borderId="36" xfId="0" applyFont="1" applyBorder="1" applyAlignment="1" applyProtection="1">
      <alignment horizontal="center" vertical="center"/>
    </xf>
    <xf numFmtId="0" fontId="3" fillId="0" borderId="4" xfId="0" applyFont="1" applyFill="1" applyBorder="1" applyAlignment="1" applyProtection="1">
      <alignment horizontal="center" vertical="center"/>
    </xf>
    <xf numFmtId="164" fontId="6" fillId="5" borderId="17" xfId="0" applyNumberFormat="1" applyFont="1" applyFill="1" applyBorder="1" applyAlignment="1" applyProtection="1">
      <alignment horizontal="left" vertical="center"/>
      <protection locked="0"/>
    </xf>
    <xf numFmtId="0" fontId="6" fillId="5" borderId="17" xfId="0" applyFont="1" applyFill="1" applyBorder="1" applyAlignment="1" applyProtection="1">
      <alignment horizontal="left" vertical="center"/>
      <protection locked="0"/>
    </xf>
    <xf numFmtId="0" fontId="6" fillId="5" borderId="53" xfId="0" applyFont="1" applyFill="1" applyBorder="1" applyAlignment="1" applyProtection="1">
      <alignment horizontal="left" vertical="center"/>
      <protection locked="0"/>
    </xf>
    <xf numFmtId="1" fontId="6" fillId="5" borderId="7" xfId="0" applyNumberFormat="1" applyFont="1" applyFill="1" applyBorder="1" applyAlignment="1" applyProtection="1">
      <alignment horizontal="left" vertical="center"/>
      <protection locked="0"/>
    </xf>
    <xf numFmtId="0" fontId="3" fillId="0" borderId="65" xfId="0" applyFont="1" applyFill="1" applyBorder="1" applyAlignment="1" applyProtection="1">
      <alignment vertical="center"/>
    </xf>
    <xf numFmtId="0" fontId="34" fillId="3" borderId="25" xfId="0" applyFont="1" applyFill="1" applyBorder="1" applyAlignment="1" applyProtection="1">
      <alignment horizontal="left" vertical="center"/>
    </xf>
    <xf numFmtId="0" fontId="8" fillId="0" borderId="19" xfId="0" applyFont="1" applyBorder="1" applyAlignment="1" applyProtection="1">
      <alignment horizontal="center" vertical="center"/>
    </xf>
    <xf numFmtId="164" fontId="3" fillId="0" borderId="8" xfId="0" applyNumberFormat="1" applyFont="1" applyFill="1" applyBorder="1" applyAlignment="1" applyProtection="1">
      <alignment horizontal="left" vertical="center"/>
    </xf>
    <xf numFmtId="0" fontId="8" fillId="0" borderId="37" xfId="0" applyFont="1" applyBorder="1" applyAlignment="1" applyProtection="1">
      <alignment horizontal="center" vertical="center"/>
    </xf>
    <xf numFmtId="0" fontId="3" fillId="0" borderId="0" xfId="0" applyFont="1" applyBorder="1" applyAlignment="1" applyProtection="1">
      <alignment horizontal="center" vertical="center" wrapText="1"/>
    </xf>
    <xf numFmtId="1" fontId="3" fillId="0" borderId="5" xfId="0" applyNumberFormat="1" applyFont="1" applyFill="1" applyBorder="1" applyAlignment="1" applyProtection="1">
      <alignment horizontal="left" vertical="center"/>
    </xf>
    <xf numFmtId="0" fontId="7" fillId="0" borderId="4" xfId="0" applyFont="1" applyBorder="1" applyAlignment="1" applyProtection="1">
      <alignment horizontal="center" vertical="center"/>
    </xf>
    <xf numFmtId="164" fontId="6" fillId="0" borderId="8" xfId="0" applyNumberFormat="1" applyFont="1" applyFill="1" applyBorder="1" applyAlignment="1" applyProtection="1">
      <alignment horizontal="left" vertical="center"/>
    </xf>
    <xf numFmtId="0" fontId="14" fillId="6" borderId="0" xfId="0" applyFont="1" applyFill="1" applyAlignment="1" applyProtection="1">
      <alignment horizontal="left" vertical="top" wrapText="1"/>
    </xf>
    <xf numFmtId="0" fontId="14" fillId="6" borderId="0" xfId="0" applyFont="1" applyFill="1" applyAlignment="1" applyProtection="1">
      <alignment horizontal="left" wrapText="1"/>
    </xf>
    <xf numFmtId="49" fontId="0" fillId="5" borderId="45" xfId="0" applyNumberFormat="1" applyFill="1" applyBorder="1" applyAlignment="1" applyProtection="1">
      <alignment horizontal="left" vertical="center"/>
      <protection locked="0"/>
    </xf>
    <xf numFmtId="49" fontId="0" fillId="5" borderId="15" xfId="0" applyNumberFormat="1" applyFill="1" applyBorder="1" applyAlignment="1" applyProtection="1">
      <alignment horizontal="left" vertical="center"/>
      <protection locked="0"/>
    </xf>
    <xf numFmtId="49" fontId="0" fillId="5" borderId="44" xfId="0" applyNumberFormat="1" applyFill="1" applyBorder="1" applyAlignment="1" applyProtection="1">
      <alignment horizontal="left" vertical="center"/>
      <protection locked="0"/>
    </xf>
    <xf numFmtId="49" fontId="0" fillId="5" borderId="46" xfId="0" applyNumberFormat="1" applyFill="1" applyBorder="1" applyAlignment="1" applyProtection="1">
      <alignment horizontal="left" vertical="center"/>
      <protection locked="0"/>
    </xf>
    <xf numFmtId="49" fontId="0" fillId="5" borderId="12" xfId="0" applyNumberFormat="1" applyFill="1" applyBorder="1" applyAlignment="1" applyProtection="1">
      <alignment horizontal="left" vertical="center"/>
      <protection locked="0"/>
    </xf>
    <xf numFmtId="49" fontId="0" fillId="5" borderId="41" xfId="0" applyNumberFormat="1" applyFill="1" applyBorder="1" applyAlignment="1" applyProtection="1">
      <alignment horizontal="left" vertical="center"/>
      <protection locked="0"/>
    </xf>
    <xf numFmtId="0" fontId="0" fillId="5" borderId="47" xfId="0" applyFill="1" applyBorder="1" applyAlignment="1" applyProtection="1">
      <alignment horizontal="left" vertical="center"/>
      <protection locked="0"/>
    </xf>
    <xf numFmtId="0" fontId="0" fillId="5" borderId="48" xfId="0" applyFill="1" applyBorder="1" applyAlignment="1" applyProtection="1">
      <alignment horizontal="left" vertical="center"/>
      <protection locked="0"/>
    </xf>
    <xf numFmtId="0" fontId="0" fillId="5" borderId="40" xfId="0" applyFill="1" applyBorder="1" applyAlignment="1" applyProtection="1">
      <alignment horizontal="left" vertical="center"/>
      <protection locked="0"/>
    </xf>
    <xf numFmtId="0" fontId="11" fillId="2" borderId="1" xfId="0" applyFont="1" applyFill="1" applyBorder="1" applyAlignment="1" applyProtection="1">
      <alignment horizontal="center" vertical="center" wrapText="1"/>
    </xf>
    <xf numFmtId="0" fontId="11" fillId="2" borderId="38" xfId="0" applyFont="1" applyFill="1" applyBorder="1" applyAlignment="1" applyProtection="1">
      <alignment horizontal="center" vertical="center" wrapText="1"/>
    </xf>
    <xf numFmtId="0" fontId="11" fillId="2" borderId="4" xfId="0" applyFont="1" applyFill="1" applyBorder="1" applyAlignment="1" applyProtection="1">
      <alignment horizontal="center" vertical="center" wrapText="1"/>
    </xf>
    <xf numFmtId="0" fontId="11" fillId="2" borderId="32" xfId="0" applyFont="1" applyFill="1" applyBorder="1" applyAlignment="1" applyProtection="1">
      <alignment horizontal="center" vertical="center" wrapText="1"/>
    </xf>
    <xf numFmtId="0" fontId="11" fillId="2" borderId="37" xfId="0" applyFont="1" applyFill="1" applyBorder="1" applyAlignment="1" applyProtection="1">
      <alignment horizontal="center" vertical="center" wrapText="1"/>
    </xf>
    <xf numFmtId="0" fontId="11" fillId="2" borderId="39" xfId="0" applyFont="1" applyFill="1" applyBorder="1" applyAlignment="1" applyProtection="1">
      <alignment horizontal="center" vertical="center" wrapText="1"/>
    </xf>
    <xf numFmtId="0" fontId="14" fillId="6" borderId="2" xfId="0" applyFont="1" applyFill="1" applyBorder="1" applyAlignment="1" applyProtection="1">
      <alignment horizontal="left" vertical="top" wrapText="1"/>
    </xf>
    <xf numFmtId="0" fontId="0" fillId="5" borderId="26" xfId="0" applyFill="1" applyBorder="1" applyAlignment="1" applyProtection="1">
      <alignment horizontal="left" vertical="center"/>
      <protection locked="0"/>
    </xf>
    <xf numFmtId="0" fontId="0" fillId="5" borderId="2" xfId="0" applyFill="1" applyBorder="1" applyAlignment="1" applyProtection="1">
      <alignment horizontal="left" vertical="center"/>
      <protection locked="0"/>
    </xf>
    <xf numFmtId="0" fontId="0" fillId="5" borderId="3" xfId="0" applyFill="1" applyBorder="1" applyAlignment="1" applyProtection="1">
      <alignment horizontal="left" vertical="center"/>
      <protection locked="0"/>
    </xf>
    <xf numFmtId="0" fontId="0" fillId="5" borderId="45" xfId="0" applyFill="1" applyBorder="1" applyAlignment="1" applyProtection="1">
      <alignment horizontal="left" vertical="center"/>
      <protection locked="0"/>
    </xf>
    <xf numFmtId="0" fontId="0" fillId="5" borderId="15" xfId="0" applyFill="1" applyBorder="1" applyAlignment="1" applyProtection="1">
      <alignment horizontal="left" vertical="center"/>
      <protection locked="0"/>
    </xf>
    <xf numFmtId="0" fontId="0" fillId="5" borderId="44" xfId="0" applyFill="1" applyBorder="1" applyAlignment="1" applyProtection="1">
      <alignment horizontal="left" vertical="center"/>
      <protection locked="0"/>
    </xf>
    <xf numFmtId="0" fontId="0" fillId="5" borderId="46" xfId="0" applyFill="1" applyBorder="1" applyAlignment="1" applyProtection="1">
      <alignment horizontal="left" vertical="center"/>
      <protection locked="0"/>
    </xf>
    <xf numFmtId="0" fontId="0" fillId="5" borderId="12" xfId="0" applyFill="1" applyBorder="1" applyAlignment="1" applyProtection="1">
      <alignment horizontal="left" vertical="center"/>
      <protection locked="0"/>
    </xf>
    <xf numFmtId="0" fontId="0" fillId="5" borderId="41" xfId="0" applyFill="1" applyBorder="1" applyAlignment="1" applyProtection="1">
      <alignment horizontal="left" vertical="center"/>
      <protection locked="0"/>
    </xf>
    <xf numFmtId="49" fontId="0" fillId="5" borderId="27" xfId="0" applyNumberFormat="1" applyFill="1" applyBorder="1" applyAlignment="1" applyProtection="1">
      <alignment horizontal="left" vertical="center"/>
      <protection locked="0"/>
    </xf>
    <xf numFmtId="49" fontId="0" fillId="5" borderId="49" xfId="0" applyNumberFormat="1" applyFill="1" applyBorder="1" applyAlignment="1" applyProtection="1">
      <alignment horizontal="left" vertical="center"/>
      <protection locked="0"/>
    </xf>
    <xf numFmtId="49" fontId="0" fillId="5" borderId="28" xfId="0" applyNumberFormat="1" applyFill="1" applyBorder="1" applyAlignment="1" applyProtection="1">
      <alignment horizontal="left" vertical="center"/>
      <protection locked="0"/>
    </xf>
    <xf numFmtId="0" fontId="3" fillId="0" borderId="53" xfId="0" applyFont="1" applyBorder="1" applyAlignment="1" applyProtection="1">
      <alignment horizontal="center" vertical="center"/>
    </xf>
    <xf numFmtId="0" fontId="3" fillId="0" borderId="7" xfId="0" applyFont="1" applyBorder="1" applyAlignment="1" applyProtection="1">
      <alignment horizontal="center" vertical="center"/>
    </xf>
    <xf numFmtId="0" fontId="3" fillId="0" borderId="8" xfId="0" applyFont="1" applyBorder="1" applyAlignment="1" applyProtection="1">
      <alignment horizontal="center" vertical="center"/>
    </xf>
    <xf numFmtId="0" fontId="4" fillId="2" borderId="20" xfId="0" applyFont="1" applyFill="1" applyBorder="1" applyAlignment="1" applyProtection="1">
      <alignment horizontal="center" vertical="center"/>
    </xf>
    <xf numFmtId="0" fontId="4" fillId="2" borderId="18" xfId="0" applyFont="1" applyFill="1" applyBorder="1" applyAlignment="1" applyProtection="1">
      <alignment horizontal="center" vertical="center"/>
    </xf>
    <xf numFmtId="0" fontId="4" fillId="2" borderId="19" xfId="0" applyFont="1" applyFill="1" applyBorder="1" applyAlignment="1" applyProtection="1">
      <alignment horizontal="center" vertical="center"/>
    </xf>
    <xf numFmtId="0" fontId="0" fillId="0" borderId="38" xfId="0" applyBorder="1" applyProtection="1"/>
    <xf numFmtId="0" fontId="0" fillId="0" borderId="4" xfId="0" applyBorder="1" applyProtection="1"/>
    <xf numFmtId="0" fontId="0" fillId="0" borderId="32" xfId="0" applyBorder="1" applyProtection="1"/>
    <xf numFmtId="0" fontId="0" fillId="0" borderId="37" xfId="0" applyBorder="1" applyProtection="1"/>
    <xf numFmtId="0" fontId="0" fillId="0" borderId="39" xfId="0" applyBorder="1" applyProtection="1"/>
    <xf numFmtId="0" fontId="17" fillId="2" borderId="1" xfId="0" applyFont="1" applyFill="1" applyBorder="1" applyAlignment="1" applyProtection="1">
      <alignment horizontal="center" vertical="center" wrapText="1"/>
    </xf>
    <xf numFmtId="0" fontId="17" fillId="2" borderId="38" xfId="0" applyFont="1" applyFill="1" applyBorder="1" applyAlignment="1" applyProtection="1">
      <alignment horizontal="center" vertical="center" wrapText="1"/>
    </xf>
    <xf numFmtId="0" fontId="17" fillId="2" borderId="4" xfId="0" applyFont="1" applyFill="1" applyBorder="1" applyAlignment="1" applyProtection="1">
      <alignment horizontal="center" vertical="center" wrapText="1"/>
    </xf>
    <xf numFmtId="0" fontId="17" fillId="2" borderId="32" xfId="0" applyFont="1" applyFill="1" applyBorder="1" applyAlignment="1" applyProtection="1">
      <alignment horizontal="center" vertical="center" wrapText="1"/>
    </xf>
    <xf numFmtId="0" fontId="17" fillId="2" borderId="37" xfId="0" applyFont="1" applyFill="1" applyBorder="1" applyAlignment="1" applyProtection="1">
      <alignment horizontal="center" vertical="center" wrapText="1"/>
    </xf>
    <xf numFmtId="0" fontId="17" fillId="2" borderId="39" xfId="0" applyFont="1" applyFill="1" applyBorder="1" applyAlignment="1" applyProtection="1">
      <alignment horizontal="center" vertical="center" wrapText="1"/>
    </xf>
    <xf numFmtId="0" fontId="4" fillId="2" borderId="20" xfId="0" applyFont="1" applyFill="1" applyBorder="1" applyAlignment="1" applyProtection="1">
      <alignment horizontal="center" vertical="center" wrapText="1"/>
    </xf>
    <xf numFmtId="0" fontId="4" fillId="2" borderId="18" xfId="0" applyFont="1" applyFill="1" applyBorder="1" applyAlignment="1" applyProtection="1">
      <alignment horizontal="center" vertical="center" wrapText="1"/>
    </xf>
    <xf numFmtId="0" fontId="4" fillId="2" borderId="19" xfId="0" applyFont="1" applyFill="1" applyBorder="1" applyAlignment="1" applyProtection="1">
      <alignment horizontal="center" vertical="center" wrapText="1"/>
    </xf>
    <xf numFmtId="0" fontId="12" fillId="4" borderId="21" xfId="0" applyFont="1" applyFill="1" applyBorder="1" applyAlignment="1" applyProtection="1"/>
    <xf numFmtId="0" fontId="12" fillId="4" borderId="34" xfId="0" applyFont="1" applyFill="1" applyBorder="1" applyAlignment="1" applyProtection="1"/>
    <xf numFmtId="0" fontId="12" fillId="4" borderId="22" xfId="0" applyFont="1" applyFill="1" applyBorder="1" applyAlignment="1" applyProtection="1"/>
    <xf numFmtId="0" fontId="12" fillId="4" borderId="37" xfId="0" applyFont="1" applyFill="1" applyBorder="1" applyAlignment="1" applyProtection="1"/>
    <xf numFmtId="0" fontId="12" fillId="4" borderId="6" xfId="0" applyFont="1" applyFill="1" applyBorder="1" applyAlignment="1" applyProtection="1"/>
    <xf numFmtId="0" fontId="12" fillId="4" borderId="33" xfId="0" applyFont="1" applyFill="1" applyBorder="1" applyAlignment="1" applyProtection="1"/>
    <xf numFmtId="0" fontId="0" fillId="0" borderId="34" xfId="0" applyBorder="1" applyAlignment="1" applyProtection="1"/>
    <xf numFmtId="0" fontId="0" fillId="0" borderId="22" xfId="0" applyBorder="1" applyAlignment="1" applyProtection="1"/>
    <xf numFmtId="0" fontId="11" fillId="0" borderId="20" xfId="0" applyFont="1" applyFill="1" applyBorder="1" applyAlignment="1" applyProtection="1">
      <alignment horizontal="center" vertical="center" textRotation="90" wrapText="1"/>
    </xf>
    <xf numFmtId="0" fontId="11" fillId="0" borderId="18" xfId="0" applyFont="1" applyFill="1" applyBorder="1" applyAlignment="1" applyProtection="1">
      <alignment horizontal="center" vertical="center" textRotation="90" wrapText="1"/>
    </xf>
    <xf numFmtId="0" fontId="11" fillId="0" borderId="19" xfId="0" applyFont="1" applyFill="1" applyBorder="1" applyAlignment="1" applyProtection="1">
      <alignment horizontal="center" vertical="center" textRotation="90" wrapText="1"/>
    </xf>
    <xf numFmtId="0" fontId="10" fillId="2" borderId="64" xfId="0" applyFont="1" applyFill="1" applyBorder="1" applyAlignment="1" applyProtection="1">
      <alignment horizontal="left" vertical="center" wrapText="1"/>
    </xf>
    <xf numFmtId="0" fontId="10" fillId="2" borderId="10" xfId="0" applyFont="1" applyFill="1" applyBorder="1" applyAlignment="1" applyProtection="1">
      <alignment horizontal="left" vertical="center" wrapText="1"/>
    </xf>
    <xf numFmtId="0" fontId="10" fillId="2" borderId="65" xfId="0" applyFont="1" applyFill="1" applyBorder="1" applyAlignment="1" applyProtection="1">
      <alignment horizontal="left" vertical="center" wrapText="1"/>
    </xf>
    <xf numFmtId="0" fontId="30" fillId="0" borderId="21" xfId="1" applyFill="1" applyBorder="1" applyAlignment="1" applyProtection="1">
      <alignment horizontal="center" vertical="center" readingOrder="1"/>
    </xf>
    <xf numFmtId="0" fontId="30" fillId="0" borderId="34" xfId="1" applyBorder="1" applyAlignment="1" applyProtection="1">
      <alignment horizontal="center" vertical="center" readingOrder="1"/>
    </xf>
    <xf numFmtId="0" fontId="30" fillId="0" borderId="22" xfId="1" applyBorder="1" applyAlignment="1" applyProtection="1">
      <alignment horizontal="center" vertical="center" readingOrder="1"/>
    </xf>
    <xf numFmtId="0" fontId="11" fillId="0" borderId="29" xfId="0" applyFont="1" applyFill="1" applyBorder="1" applyAlignment="1" applyProtection="1">
      <alignment horizontal="center" vertical="center" textRotation="90" wrapText="1"/>
    </xf>
    <xf numFmtId="0" fontId="11" fillId="0" borderId="30" xfId="0" applyFont="1" applyFill="1" applyBorder="1" applyAlignment="1" applyProtection="1">
      <alignment horizontal="center" vertical="center" textRotation="90" wrapText="1"/>
    </xf>
    <xf numFmtId="0" fontId="11" fillId="0" borderId="31" xfId="0" applyFont="1" applyFill="1" applyBorder="1" applyAlignment="1" applyProtection="1">
      <alignment horizontal="center" vertical="center" textRotation="90" wrapText="1"/>
    </xf>
    <xf numFmtId="0" fontId="10" fillId="0" borderId="29" xfId="0" applyFont="1" applyFill="1" applyBorder="1" applyAlignment="1" applyProtection="1">
      <alignment horizontal="center" vertical="center" wrapText="1"/>
    </xf>
    <xf numFmtId="0" fontId="10" fillId="0" borderId="30" xfId="0" applyFont="1" applyFill="1" applyBorder="1" applyAlignment="1" applyProtection="1">
      <alignment horizontal="center" vertical="center" wrapText="1"/>
    </xf>
    <xf numFmtId="0" fontId="10" fillId="0" borderId="31" xfId="0" applyFont="1" applyFill="1" applyBorder="1" applyAlignment="1" applyProtection="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2" borderId="1" xfId="0" applyFill="1" applyBorder="1" applyAlignment="1" applyProtection="1">
      <alignment horizontal="center" vertical="center" wrapText="1"/>
    </xf>
    <xf numFmtId="0" fontId="0" fillId="2" borderId="38" xfId="0" applyFill="1" applyBorder="1" applyAlignment="1" applyProtection="1">
      <alignment horizontal="center" vertical="center" wrapText="1"/>
    </xf>
    <xf numFmtId="0" fontId="0" fillId="2" borderId="4" xfId="0" applyFill="1" applyBorder="1" applyAlignment="1" applyProtection="1">
      <alignment horizontal="center" vertical="center" wrapText="1"/>
    </xf>
    <xf numFmtId="0" fontId="0" fillId="2" borderId="32" xfId="0" applyFill="1" applyBorder="1" applyAlignment="1" applyProtection="1">
      <alignment horizontal="center" vertical="center" wrapText="1"/>
    </xf>
    <xf numFmtId="0" fontId="17" fillId="5" borderId="3" xfId="0" applyFont="1" applyFill="1" applyBorder="1" applyAlignment="1" applyProtection="1">
      <alignment horizontal="center" vertical="center" textRotation="90" wrapText="1"/>
    </xf>
    <xf numFmtId="0" fontId="17" fillId="5" borderId="5" xfId="0" applyFont="1" applyFill="1" applyBorder="1" applyAlignment="1" applyProtection="1">
      <alignment horizontal="center" vertical="center" textRotation="90" wrapText="1"/>
    </xf>
    <xf numFmtId="0" fontId="0" fillId="0" borderId="5" xfId="0" applyFill="1" applyBorder="1" applyAlignment="1" applyProtection="1">
      <alignment horizontal="center" vertical="center" textRotation="90" wrapText="1"/>
    </xf>
    <xf numFmtId="0" fontId="0" fillId="0" borderId="5" xfId="0" applyFont="1" applyFill="1" applyBorder="1" applyAlignment="1" applyProtection="1">
      <alignment horizontal="center" vertical="center" textRotation="90" wrapText="1"/>
    </xf>
    <xf numFmtId="0" fontId="0" fillId="0" borderId="33" xfId="0" applyFont="1" applyFill="1" applyBorder="1" applyAlignment="1" applyProtection="1">
      <alignment horizontal="center" vertical="center" textRotation="90" wrapText="1"/>
    </xf>
    <xf numFmtId="0" fontId="0" fillId="0" borderId="30" xfId="0" applyBorder="1" applyAlignment="1" applyProtection="1">
      <alignment horizontal="center" vertical="center" wrapText="1"/>
    </xf>
    <xf numFmtId="0" fontId="0" fillId="0" borderId="31" xfId="0" applyBorder="1" applyAlignment="1" applyProtection="1">
      <alignment horizontal="center" vertical="center" wrapText="1"/>
    </xf>
    <xf numFmtId="0" fontId="30" fillId="0" borderId="34" xfId="1" applyFill="1" applyBorder="1" applyAlignment="1" applyProtection="1">
      <alignment horizontal="center" vertical="center" readingOrder="1"/>
    </xf>
    <xf numFmtId="0" fontId="30" fillId="0" borderId="22" xfId="1" applyFill="1" applyBorder="1" applyAlignment="1" applyProtection="1">
      <alignment horizontal="center" vertical="center" readingOrder="1"/>
    </xf>
    <xf numFmtId="0" fontId="11" fillId="0" borderId="1" xfId="0" applyFont="1" applyFill="1" applyBorder="1" applyAlignment="1" applyProtection="1">
      <alignment horizontal="center" vertical="center" textRotation="90" wrapText="1"/>
    </xf>
    <xf numFmtId="0" fontId="11" fillId="0" borderId="4" xfId="0" applyFont="1" applyFill="1" applyBorder="1" applyAlignment="1" applyProtection="1">
      <alignment horizontal="center" vertical="center" textRotation="90" wrapText="1"/>
    </xf>
    <xf numFmtId="0" fontId="11" fillId="0" borderId="37" xfId="0" applyFont="1" applyFill="1" applyBorder="1" applyAlignment="1" applyProtection="1">
      <alignment horizontal="center" vertical="center" textRotation="90" wrapText="1"/>
    </xf>
    <xf numFmtId="0" fontId="11" fillId="0" borderId="63" xfId="0" applyFont="1" applyFill="1" applyBorder="1" applyAlignment="1" applyProtection="1">
      <alignment horizontal="center" vertical="center" textRotation="90" wrapText="1"/>
    </xf>
    <xf numFmtId="0" fontId="0" fillId="0" borderId="63" xfId="0" applyBorder="1" applyAlignment="1" applyProtection="1">
      <alignment horizontal="center" vertical="center"/>
    </xf>
    <xf numFmtId="0" fontId="10" fillId="0" borderId="63" xfId="0" applyFont="1" applyFill="1" applyBorder="1" applyAlignment="1" applyProtection="1">
      <alignment horizontal="center" vertical="center" wrapText="1"/>
    </xf>
    <xf numFmtId="0" fontId="0" fillId="0" borderId="30" xfId="0" applyBorder="1" applyAlignment="1">
      <alignment horizontal="center" vertical="center" textRotation="90" wrapText="1"/>
    </xf>
    <xf numFmtId="0" fontId="0" fillId="0" borderId="31" xfId="0" applyBorder="1" applyAlignment="1">
      <alignment horizontal="center" vertical="center" textRotation="90" wrapText="1"/>
    </xf>
    <xf numFmtId="0" fontId="17" fillId="5" borderId="53" xfId="0" applyFont="1" applyFill="1" applyBorder="1" applyAlignment="1" applyProtection="1">
      <alignment horizontal="center" vertical="center" textRotation="90" wrapText="1"/>
    </xf>
    <xf numFmtId="0" fontId="17" fillId="5" borderId="7" xfId="0" applyFont="1" applyFill="1" applyBorder="1" applyAlignment="1" applyProtection="1">
      <alignment horizontal="center" vertical="center" textRotation="90" wrapText="1"/>
    </xf>
    <xf numFmtId="0" fontId="0" fillId="0" borderId="7" xfId="0" applyFill="1" applyBorder="1" applyAlignment="1" applyProtection="1">
      <alignment horizontal="center" vertical="center" textRotation="90" wrapText="1"/>
    </xf>
    <xf numFmtId="0" fontId="0" fillId="0" borderId="8" xfId="0" applyFill="1" applyBorder="1" applyAlignment="1" applyProtection="1">
      <alignment horizontal="center" vertical="center" textRotation="90" wrapText="1"/>
    </xf>
    <xf numFmtId="0" fontId="11" fillId="9" borderId="29" xfId="0" applyFont="1" applyFill="1" applyBorder="1" applyAlignment="1" applyProtection="1">
      <alignment horizontal="center" vertical="center" textRotation="90" wrapText="1"/>
    </xf>
    <xf numFmtId="0" fontId="11" fillId="9" borderId="30" xfId="0" applyFont="1" applyFill="1" applyBorder="1" applyAlignment="1" applyProtection="1">
      <alignment horizontal="center" vertical="center" textRotation="90" wrapText="1"/>
    </xf>
    <xf numFmtId="0" fontId="11" fillId="9" borderId="31" xfId="0" applyFont="1" applyFill="1" applyBorder="1" applyAlignment="1" applyProtection="1">
      <alignment horizontal="center" vertical="center" textRotation="90" wrapText="1"/>
    </xf>
    <xf numFmtId="49" fontId="20" fillId="8" borderId="50" xfId="0" applyNumberFormat="1" applyFont="1" applyFill="1" applyBorder="1" applyAlignment="1">
      <alignment horizontal="left" vertical="top" wrapText="1"/>
    </xf>
    <xf numFmtId="49" fontId="20" fillId="8" borderId="12" xfId="0" applyNumberFormat="1" applyFont="1" applyFill="1" applyBorder="1" applyAlignment="1">
      <alignment horizontal="left" vertical="top" wrapText="1"/>
    </xf>
    <xf numFmtId="49" fontId="20" fillId="8" borderId="57" xfId="0" applyNumberFormat="1" applyFont="1" applyFill="1" applyBorder="1" applyAlignment="1">
      <alignment horizontal="left" vertical="top" wrapText="1"/>
    </xf>
    <xf numFmtId="0" fontId="25" fillId="0" borderId="15" xfId="0" applyFont="1" applyBorder="1" applyAlignment="1">
      <alignment horizontal="center"/>
    </xf>
    <xf numFmtId="0" fontId="25" fillId="0" borderId="55" xfId="0" applyFont="1" applyBorder="1" applyAlignment="1">
      <alignment horizontal="center"/>
    </xf>
    <xf numFmtId="0" fontId="26" fillId="8" borderId="50" xfId="0" applyFont="1" applyFill="1" applyBorder="1" applyAlignment="1">
      <alignment horizontal="left" vertical="top" wrapText="1"/>
    </xf>
    <xf numFmtId="0" fontId="26" fillId="8" borderId="12" xfId="0" applyFont="1" applyFill="1" applyBorder="1" applyAlignment="1">
      <alignment horizontal="left" vertical="top" wrapText="1"/>
    </xf>
    <xf numFmtId="0" fontId="26" fillId="8" borderId="57" xfId="0" applyFont="1" applyFill="1" applyBorder="1" applyAlignment="1">
      <alignment horizontal="left" vertical="top" wrapText="1"/>
    </xf>
    <xf numFmtId="0" fontId="20" fillId="8" borderId="50" xfId="0" applyFont="1" applyFill="1" applyBorder="1" applyAlignment="1">
      <alignment horizontal="left" wrapText="1"/>
    </xf>
    <xf numFmtId="0" fontId="20" fillId="8" borderId="12" xfId="0" applyFont="1" applyFill="1" applyBorder="1" applyAlignment="1">
      <alignment horizontal="left" wrapText="1"/>
    </xf>
    <xf numFmtId="0" fontId="20" fillId="8" borderId="57" xfId="0" applyFont="1" applyFill="1" applyBorder="1" applyAlignment="1">
      <alignment horizontal="left" wrapText="1"/>
    </xf>
  </cellXfs>
  <cellStyles count="2">
    <cellStyle name="Hyperlink" xfId="1" builtinId="8"/>
    <cellStyle name="Normal" xfId="0" builtinId="0"/>
  </cellStyles>
  <dxfs count="460">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mruColors>
      <color rgb="FFDC4CC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3</xdr:col>
      <xdr:colOff>1304925</xdr:colOff>
      <xdr:row>1</xdr:row>
      <xdr:rowOff>142875</xdr:rowOff>
    </xdr:from>
    <xdr:to>
      <xdr:col>4</xdr:col>
      <xdr:colOff>619444</xdr:colOff>
      <xdr:row>6</xdr:row>
      <xdr:rowOff>65910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14650" y="295275"/>
          <a:ext cx="1238569" cy="6850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FF00"/>
    <pageSetUpPr fitToPage="1"/>
  </sheetPr>
  <dimension ref="A1:H107"/>
  <sheetViews>
    <sheetView tabSelected="1" zoomScaleNormal="100" zoomScaleSheetLayoutView="80" workbookViewId="0"/>
  </sheetViews>
  <sheetFormatPr defaultColWidth="9.140625" defaultRowHeight="12" x14ac:dyDescent="0.2"/>
  <cols>
    <col min="1" max="1" width="3.85546875" style="104" customWidth="1"/>
    <col min="2" max="2" width="3.140625" style="105" customWidth="1"/>
    <col min="3" max="3" width="17.140625" style="105" customWidth="1"/>
    <col min="4" max="4" width="28.85546875" style="105" customWidth="1"/>
    <col min="5" max="5" width="12.85546875" style="105" customWidth="1"/>
    <col min="6" max="6" width="22.85546875" style="105" bestFit="1" customWidth="1"/>
    <col min="7" max="7" width="19.28515625" style="105" customWidth="1"/>
    <col min="8" max="8" width="3.85546875" style="104" customWidth="1"/>
    <col min="9" max="16384" width="9.140625" style="105"/>
  </cols>
  <sheetData>
    <row r="1" spans="1:8" x14ac:dyDescent="0.2">
      <c r="B1" s="104"/>
      <c r="C1" s="104"/>
      <c r="D1" s="104"/>
      <c r="E1" s="104"/>
      <c r="F1" s="104"/>
      <c r="G1" s="104"/>
    </row>
    <row r="2" spans="1:8" x14ac:dyDescent="0.2">
      <c r="B2" s="104"/>
      <c r="C2" s="104"/>
      <c r="D2" s="104"/>
      <c r="E2" s="104"/>
      <c r="F2" s="104"/>
      <c r="G2" s="104"/>
    </row>
    <row r="3" spans="1:8" x14ac:dyDescent="0.2">
      <c r="B3" s="104"/>
      <c r="C3" s="104"/>
      <c r="D3" s="104"/>
      <c r="E3" s="104"/>
      <c r="F3" s="104"/>
      <c r="G3" s="104"/>
    </row>
    <row r="4" spans="1:8" x14ac:dyDescent="0.2">
      <c r="B4" s="104"/>
      <c r="C4" s="104"/>
      <c r="D4" s="104"/>
      <c r="E4" s="104"/>
      <c r="F4" s="104"/>
      <c r="G4" s="104"/>
    </row>
    <row r="5" spans="1:8" x14ac:dyDescent="0.2">
      <c r="B5" s="104"/>
      <c r="C5" s="104"/>
      <c r="D5" s="104"/>
      <c r="E5" s="104"/>
      <c r="F5" s="104"/>
      <c r="G5" s="104"/>
    </row>
    <row r="6" spans="1:8" x14ac:dyDescent="0.2">
      <c r="B6" s="104"/>
      <c r="C6" s="104"/>
      <c r="D6" s="104"/>
      <c r="E6" s="104"/>
      <c r="F6" s="104"/>
      <c r="G6" s="104"/>
    </row>
    <row r="7" spans="1:8" x14ac:dyDescent="0.2">
      <c r="B7" s="104"/>
      <c r="C7" s="104"/>
      <c r="D7" s="104"/>
      <c r="E7" s="104"/>
      <c r="F7" s="104"/>
      <c r="G7" s="104"/>
    </row>
    <row r="8" spans="1:8" ht="12.75" thickBot="1" x14ac:dyDescent="0.25">
      <c r="B8" s="104"/>
      <c r="C8" s="104"/>
      <c r="D8" s="104"/>
      <c r="E8" s="104"/>
      <c r="F8" s="104"/>
      <c r="G8" s="104"/>
    </row>
    <row r="9" spans="1:8" s="47" customFormat="1" ht="19.5" thickBot="1" x14ac:dyDescent="0.35">
      <c r="A9" s="106"/>
      <c r="B9" s="77" t="s">
        <v>208</v>
      </c>
      <c r="C9" s="77"/>
      <c r="D9" s="78"/>
      <c r="E9" s="79"/>
      <c r="F9" s="80"/>
      <c r="G9" s="107"/>
      <c r="H9" s="106"/>
    </row>
    <row r="10" spans="1:8" s="47" customFormat="1" ht="19.5" customHeight="1" x14ac:dyDescent="0.25">
      <c r="A10" s="106"/>
      <c r="B10" s="221" t="s">
        <v>85</v>
      </c>
      <c r="C10" s="246"/>
      <c r="D10" s="29" t="s">
        <v>12</v>
      </c>
      <c r="E10" s="212"/>
      <c r="F10" s="213"/>
      <c r="G10" s="214"/>
      <c r="H10" s="106"/>
    </row>
    <row r="11" spans="1:8" s="47" customFormat="1" ht="19.5" customHeight="1" x14ac:dyDescent="0.25">
      <c r="A11" s="106"/>
      <c r="B11" s="247"/>
      <c r="C11" s="248"/>
      <c r="D11" s="31" t="s">
        <v>11</v>
      </c>
      <c r="E11" s="215"/>
      <c r="F11" s="216"/>
      <c r="G11" s="217"/>
      <c r="H11" s="106"/>
    </row>
    <row r="12" spans="1:8" s="47" customFormat="1" ht="19.5" customHeight="1" x14ac:dyDescent="0.25">
      <c r="A12" s="106"/>
      <c r="B12" s="247"/>
      <c r="C12" s="248"/>
      <c r="D12" s="31" t="s">
        <v>84</v>
      </c>
      <c r="E12" s="215"/>
      <c r="F12" s="216"/>
      <c r="G12" s="217"/>
      <c r="H12" s="106"/>
    </row>
    <row r="13" spans="1:8" s="47" customFormat="1" ht="19.5" customHeight="1" x14ac:dyDescent="0.25">
      <c r="A13" s="106"/>
      <c r="B13" s="247"/>
      <c r="C13" s="248"/>
      <c r="D13" s="31" t="s">
        <v>13</v>
      </c>
      <c r="E13" s="215"/>
      <c r="F13" s="216"/>
      <c r="G13" s="217"/>
      <c r="H13" s="106"/>
    </row>
    <row r="14" spans="1:8" s="47" customFormat="1" ht="19.5" customHeight="1" x14ac:dyDescent="0.25">
      <c r="A14" s="106"/>
      <c r="B14" s="247"/>
      <c r="C14" s="248"/>
      <c r="D14" s="31" t="s">
        <v>7</v>
      </c>
      <c r="E14" s="215"/>
      <c r="F14" s="216"/>
      <c r="G14" s="217"/>
      <c r="H14" s="106"/>
    </row>
    <row r="15" spans="1:8" s="47" customFormat="1" ht="19.5" customHeight="1" x14ac:dyDescent="0.25">
      <c r="A15" s="106"/>
      <c r="B15" s="247"/>
      <c r="C15" s="248"/>
      <c r="D15" s="31" t="s">
        <v>8</v>
      </c>
      <c r="E15" s="215"/>
      <c r="F15" s="216"/>
      <c r="G15" s="217"/>
      <c r="H15" s="106"/>
    </row>
    <row r="16" spans="1:8" s="47" customFormat="1" ht="19.5" customHeight="1" x14ac:dyDescent="0.25">
      <c r="A16" s="106"/>
      <c r="B16" s="247"/>
      <c r="C16" s="248"/>
      <c r="D16" s="31" t="s">
        <v>9</v>
      </c>
      <c r="E16" s="215"/>
      <c r="F16" s="216"/>
      <c r="G16" s="217"/>
      <c r="H16" s="106"/>
    </row>
    <row r="17" spans="1:8" s="47" customFormat="1" ht="19.5" customHeight="1" thickBot="1" x14ac:dyDescent="0.3">
      <c r="A17" s="106"/>
      <c r="B17" s="249"/>
      <c r="C17" s="250"/>
      <c r="D17" s="108" t="s">
        <v>10</v>
      </c>
      <c r="E17" s="237"/>
      <c r="F17" s="238"/>
      <c r="G17" s="239"/>
      <c r="H17" s="106"/>
    </row>
    <row r="18" spans="1:8" s="47" customFormat="1" ht="19.5" customHeight="1" x14ac:dyDescent="0.25">
      <c r="A18" s="106"/>
      <c r="B18" s="251" t="s">
        <v>192</v>
      </c>
      <c r="C18" s="252"/>
      <c r="D18" s="109" t="s">
        <v>144</v>
      </c>
      <c r="E18" s="228"/>
      <c r="F18" s="229"/>
      <c r="G18" s="230"/>
      <c r="H18" s="106"/>
    </row>
    <row r="19" spans="1:8" s="47" customFormat="1" ht="19.5" customHeight="1" x14ac:dyDescent="0.25">
      <c r="A19" s="106"/>
      <c r="B19" s="253"/>
      <c r="C19" s="254"/>
      <c r="D19" s="110" t="s">
        <v>145</v>
      </c>
      <c r="E19" s="234"/>
      <c r="F19" s="235"/>
      <c r="G19" s="236"/>
      <c r="H19" s="106"/>
    </row>
    <row r="20" spans="1:8" s="47" customFormat="1" ht="19.5" customHeight="1" thickBot="1" x14ac:dyDescent="0.3">
      <c r="A20" s="106"/>
      <c r="B20" s="255"/>
      <c r="C20" s="256"/>
      <c r="D20" s="111" t="s">
        <v>146</v>
      </c>
      <c r="E20" s="218"/>
      <c r="F20" s="219"/>
      <c r="G20" s="220"/>
      <c r="H20" s="106"/>
    </row>
    <row r="21" spans="1:8" s="47" customFormat="1" ht="34.5" customHeight="1" x14ac:dyDescent="0.25">
      <c r="A21" s="106"/>
      <c r="B21" s="221" t="s">
        <v>147</v>
      </c>
      <c r="C21" s="222"/>
      <c r="D21" s="29" t="s">
        <v>15</v>
      </c>
      <c r="E21" s="231"/>
      <c r="F21" s="232"/>
      <c r="G21" s="233"/>
      <c r="H21" s="106"/>
    </row>
    <row r="22" spans="1:8" s="47" customFormat="1" ht="34.5" customHeight="1" x14ac:dyDescent="0.25">
      <c r="A22" s="106"/>
      <c r="B22" s="223"/>
      <c r="C22" s="224"/>
      <c r="D22" s="31" t="s">
        <v>16</v>
      </c>
      <c r="E22" s="234"/>
      <c r="F22" s="235"/>
      <c r="G22" s="236"/>
      <c r="H22" s="106"/>
    </row>
    <row r="23" spans="1:8" s="47" customFormat="1" ht="34.5" customHeight="1" thickBot="1" x14ac:dyDescent="0.3">
      <c r="A23" s="106"/>
      <c r="B23" s="225"/>
      <c r="C23" s="226"/>
      <c r="D23" s="112" t="s">
        <v>17</v>
      </c>
      <c r="E23" s="218"/>
      <c r="F23" s="219"/>
      <c r="G23" s="220"/>
      <c r="H23" s="106"/>
    </row>
    <row r="24" spans="1:8" s="75" customFormat="1" ht="24" customHeight="1" thickBot="1" x14ac:dyDescent="0.3">
      <c r="A24" s="106"/>
      <c r="B24" s="106"/>
      <c r="C24" s="113"/>
      <c r="D24" s="114"/>
      <c r="E24" s="115"/>
      <c r="F24" s="115"/>
      <c r="G24" s="106"/>
      <c r="H24" s="106"/>
    </row>
    <row r="25" spans="1:8" s="98" customFormat="1" ht="16.5" thickBot="1" x14ac:dyDescent="0.3">
      <c r="A25" s="116"/>
      <c r="B25" s="117" t="s">
        <v>209</v>
      </c>
      <c r="C25" s="118"/>
      <c r="D25" s="119"/>
      <c r="E25" s="119"/>
      <c r="F25" s="119"/>
      <c r="G25" s="120"/>
      <c r="H25" s="116"/>
    </row>
    <row r="26" spans="1:8" s="122" customFormat="1" ht="59.25" customHeight="1" x14ac:dyDescent="0.2">
      <c r="A26" s="121"/>
      <c r="B26" s="227" t="s">
        <v>173</v>
      </c>
      <c r="C26" s="227"/>
      <c r="D26" s="227"/>
      <c r="E26" s="227"/>
      <c r="F26" s="227"/>
      <c r="G26" s="227"/>
      <c r="H26" s="121"/>
    </row>
    <row r="27" spans="1:8" s="124" customFormat="1" ht="76.5" customHeight="1" x14ac:dyDescent="0.2">
      <c r="A27" s="123"/>
      <c r="B27" s="210" t="s">
        <v>381</v>
      </c>
      <c r="C27" s="210"/>
      <c r="D27" s="210"/>
      <c r="E27" s="210"/>
      <c r="F27" s="210"/>
      <c r="G27" s="210"/>
      <c r="H27" s="123"/>
    </row>
    <row r="28" spans="1:8" s="122" customFormat="1" ht="77.25" customHeight="1" x14ac:dyDescent="0.2">
      <c r="A28" s="121"/>
      <c r="B28" s="211" t="s">
        <v>360</v>
      </c>
      <c r="C28" s="211"/>
      <c r="D28" s="211"/>
      <c r="E28" s="211"/>
      <c r="F28" s="211"/>
      <c r="G28" s="211"/>
      <c r="H28" s="121"/>
    </row>
    <row r="29" spans="1:8" s="122" customFormat="1" ht="13.5" thickBot="1" x14ac:dyDescent="0.25">
      <c r="A29" s="121"/>
      <c r="C29" s="125"/>
      <c r="D29" s="121"/>
      <c r="E29" s="121"/>
      <c r="F29" s="121"/>
      <c r="G29" s="121"/>
      <c r="H29" s="121"/>
    </row>
    <row r="30" spans="1:8" s="122" customFormat="1" ht="18" customHeight="1" thickBot="1" x14ac:dyDescent="0.3">
      <c r="A30" s="121"/>
      <c r="B30" s="117" t="s">
        <v>14</v>
      </c>
      <c r="C30" s="118"/>
      <c r="D30" s="119"/>
      <c r="E30" s="119"/>
      <c r="F30" s="119"/>
      <c r="G30" s="120"/>
      <c r="H30" s="121"/>
    </row>
    <row r="31" spans="1:8" s="124" customFormat="1" ht="18" customHeight="1" x14ac:dyDescent="0.2">
      <c r="A31" s="123"/>
      <c r="B31" s="126" t="s">
        <v>137</v>
      </c>
      <c r="C31" s="210" t="s">
        <v>179</v>
      </c>
      <c r="D31" s="210"/>
      <c r="E31" s="210"/>
      <c r="F31" s="210"/>
      <c r="G31" s="210"/>
      <c r="H31" s="123"/>
    </row>
    <row r="32" spans="1:8" s="124" customFormat="1" ht="55.5" customHeight="1" x14ac:dyDescent="0.2">
      <c r="A32" s="123"/>
      <c r="B32" s="126" t="s">
        <v>138</v>
      </c>
      <c r="C32" s="210" t="s">
        <v>180</v>
      </c>
      <c r="D32" s="210"/>
      <c r="E32" s="210"/>
      <c r="F32" s="210"/>
      <c r="G32" s="210"/>
      <c r="H32" s="123"/>
    </row>
    <row r="33" spans="1:8" s="124" customFormat="1" ht="54.75" customHeight="1" x14ac:dyDescent="0.2">
      <c r="A33" s="123"/>
      <c r="B33" s="126" t="s">
        <v>139</v>
      </c>
      <c r="C33" s="210" t="s">
        <v>342</v>
      </c>
      <c r="D33" s="210"/>
      <c r="E33" s="210"/>
      <c r="F33" s="210"/>
      <c r="G33" s="210"/>
      <c r="H33" s="123"/>
    </row>
    <row r="34" spans="1:8" s="124" customFormat="1" ht="40.5" customHeight="1" x14ac:dyDescent="0.2">
      <c r="A34" s="123"/>
      <c r="B34" s="126" t="s">
        <v>140</v>
      </c>
      <c r="C34" s="210" t="s">
        <v>349</v>
      </c>
      <c r="D34" s="210"/>
      <c r="E34" s="210"/>
      <c r="F34" s="210"/>
      <c r="G34" s="210"/>
      <c r="H34" s="123"/>
    </row>
    <row r="35" spans="1:8" s="124" customFormat="1" ht="121.5" customHeight="1" x14ac:dyDescent="0.2">
      <c r="A35" s="123"/>
      <c r="B35" s="126" t="s">
        <v>141</v>
      </c>
      <c r="C35" s="210" t="s">
        <v>276</v>
      </c>
      <c r="D35" s="210"/>
      <c r="E35" s="210"/>
      <c r="F35" s="210"/>
      <c r="G35" s="210"/>
      <c r="H35" s="123"/>
    </row>
    <row r="36" spans="1:8" s="124" customFormat="1" ht="84.75" customHeight="1" x14ac:dyDescent="0.2">
      <c r="A36" s="123"/>
      <c r="B36" s="126" t="s">
        <v>193</v>
      </c>
      <c r="C36" s="210" t="s">
        <v>399</v>
      </c>
      <c r="D36" s="210"/>
      <c r="E36" s="210"/>
      <c r="F36" s="210"/>
      <c r="G36" s="210"/>
      <c r="H36" s="123"/>
    </row>
    <row r="37" spans="1:8" s="124" customFormat="1" ht="112.15" customHeight="1" x14ac:dyDescent="0.2">
      <c r="A37" s="123"/>
      <c r="B37" s="126" t="s">
        <v>142</v>
      </c>
      <c r="C37" s="210" t="s">
        <v>348</v>
      </c>
      <c r="D37" s="210"/>
      <c r="E37" s="210"/>
      <c r="F37" s="210"/>
      <c r="G37" s="210"/>
      <c r="H37" s="123"/>
    </row>
    <row r="38" spans="1:8" s="124" customFormat="1" ht="45" customHeight="1" x14ac:dyDescent="0.2">
      <c r="A38" s="123"/>
      <c r="B38" s="126" t="s">
        <v>143</v>
      </c>
      <c r="C38" s="210" t="s">
        <v>213</v>
      </c>
      <c r="D38" s="210"/>
      <c r="E38" s="210"/>
      <c r="F38" s="210"/>
      <c r="G38" s="210"/>
      <c r="H38" s="123"/>
    </row>
    <row r="39" spans="1:8" s="124" customFormat="1" ht="70.5" customHeight="1" x14ac:dyDescent="0.2">
      <c r="A39" s="123"/>
      <c r="B39" s="126" t="s">
        <v>185</v>
      </c>
      <c r="C39" s="210" t="s">
        <v>343</v>
      </c>
      <c r="D39" s="210"/>
      <c r="E39" s="210"/>
      <c r="F39" s="210"/>
      <c r="G39" s="210"/>
      <c r="H39" s="123"/>
    </row>
    <row r="40" spans="1:8" s="124" customFormat="1" ht="56.25" customHeight="1" x14ac:dyDescent="0.2">
      <c r="A40" s="123"/>
      <c r="B40" s="126" t="s">
        <v>187</v>
      </c>
      <c r="C40" s="210" t="s">
        <v>210</v>
      </c>
      <c r="D40" s="210"/>
      <c r="E40" s="210"/>
      <c r="F40" s="210"/>
      <c r="G40" s="210"/>
      <c r="H40" s="123"/>
    </row>
    <row r="41" spans="1:8" s="124" customFormat="1" ht="31.5" customHeight="1" x14ac:dyDescent="0.2">
      <c r="A41" s="123"/>
      <c r="B41" s="126" t="s">
        <v>186</v>
      </c>
      <c r="C41" s="210" t="s">
        <v>190</v>
      </c>
      <c r="D41" s="210"/>
      <c r="E41" s="210"/>
      <c r="F41" s="210"/>
      <c r="G41" s="210"/>
      <c r="H41" s="123"/>
    </row>
    <row r="42" spans="1:8" s="124" customFormat="1" ht="33" customHeight="1" x14ac:dyDescent="0.2">
      <c r="A42" s="123"/>
      <c r="B42" s="126" t="s">
        <v>188</v>
      </c>
      <c r="C42" s="210" t="s">
        <v>199</v>
      </c>
      <c r="D42" s="210"/>
      <c r="E42" s="210"/>
      <c r="F42" s="210"/>
      <c r="G42" s="210"/>
      <c r="H42" s="123"/>
    </row>
    <row r="43" spans="1:8" s="124" customFormat="1" ht="19.5" customHeight="1" x14ac:dyDescent="0.2">
      <c r="A43" s="123"/>
      <c r="B43" s="126" t="s">
        <v>189</v>
      </c>
      <c r="C43" s="210" t="s">
        <v>382</v>
      </c>
      <c r="D43" s="210"/>
      <c r="E43" s="210"/>
      <c r="F43" s="210"/>
      <c r="G43" s="210"/>
      <c r="H43" s="123"/>
    </row>
    <row r="44" spans="1:8" s="124" customFormat="1" ht="59.25" customHeight="1" x14ac:dyDescent="0.2">
      <c r="A44" s="123"/>
      <c r="B44" s="126" t="s">
        <v>200</v>
      </c>
      <c r="C44" s="210" t="s">
        <v>333</v>
      </c>
      <c r="D44" s="210"/>
      <c r="E44" s="210"/>
      <c r="F44" s="210"/>
      <c r="G44" s="210"/>
      <c r="H44" s="123"/>
    </row>
    <row r="45" spans="1:8" s="124" customFormat="1" ht="23.25" customHeight="1" x14ac:dyDescent="0.2">
      <c r="A45" s="123"/>
      <c r="B45" s="126" t="s">
        <v>212</v>
      </c>
      <c r="C45" s="210" t="s">
        <v>383</v>
      </c>
      <c r="D45" s="210"/>
      <c r="E45" s="210"/>
      <c r="F45" s="210"/>
      <c r="G45" s="210"/>
      <c r="H45" s="123"/>
    </row>
    <row r="46" spans="1:8" s="122" customFormat="1" ht="12.75" x14ac:dyDescent="0.2">
      <c r="A46" s="121"/>
      <c r="B46" s="127"/>
      <c r="C46" s="128" t="s">
        <v>332</v>
      </c>
      <c r="D46" s="128"/>
      <c r="E46" s="128"/>
      <c r="F46" s="128"/>
      <c r="G46" s="128"/>
      <c r="H46" s="121"/>
    </row>
    <row r="47" spans="1:8" s="122" customFormat="1" ht="12.75" x14ac:dyDescent="0.2">
      <c r="A47" s="121"/>
      <c r="B47" s="121"/>
      <c r="C47" s="121"/>
      <c r="D47" s="121"/>
      <c r="E47" s="121"/>
      <c r="F47" s="121"/>
      <c r="G47" s="121"/>
      <c r="H47" s="121"/>
    </row>
    <row r="48" spans="1:8" ht="12.75" thickBot="1" x14ac:dyDescent="0.25">
      <c r="B48" s="104"/>
      <c r="D48" s="104"/>
      <c r="E48" s="104"/>
      <c r="F48" s="104"/>
      <c r="G48" s="104"/>
    </row>
    <row r="49" spans="2:7" x14ac:dyDescent="0.2">
      <c r="B49" s="104"/>
      <c r="C49" s="129" t="s">
        <v>398</v>
      </c>
      <c r="D49" s="130"/>
      <c r="E49" s="130"/>
      <c r="F49" s="131"/>
      <c r="G49" s="104"/>
    </row>
    <row r="50" spans="2:7" x14ac:dyDescent="0.2">
      <c r="B50" s="104"/>
      <c r="C50" s="132" t="s">
        <v>2</v>
      </c>
      <c r="D50" s="133"/>
      <c r="E50" s="133"/>
      <c r="F50" s="134"/>
      <c r="G50" s="104"/>
    </row>
    <row r="51" spans="2:7" ht="24.75" thickBot="1" x14ac:dyDescent="0.25">
      <c r="B51" s="104"/>
      <c r="C51" s="135" t="s">
        <v>0</v>
      </c>
      <c r="D51" s="136" t="s">
        <v>136</v>
      </c>
      <c r="E51" s="137" t="s">
        <v>3</v>
      </c>
      <c r="F51" s="138" t="s">
        <v>396</v>
      </c>
      <c r="G51" s="104"/>
    </row>
    <row r="52" spans="2:7" ht="15" customHeight="1" x14ac:dyDescent="0.2">
      <c r="B52" s="104"/>
      <c r="C52" s="257" t="s">
        <v>1</v>
      </c>
      <c r="D52" s="139" t="s">
        <v>181</v>
      </c>
      <c r="E52" s="140">
        <v>4</v>
      </c>
      <c r="F52" s="240">
        <v>20</v>
      </c>
      <c r="G52" s="104"/>
    </row>
    <row r="53" spans="2:7" ht="15" customHeight="1" x14ac:dyDescent="0.2">
      <c r="B53" s="104"/>
      <c r="C53" s="258"/>
      <c r="D53" s="141" t="s">
        <v>182</v>
      </c>
      <c r="E53" s="142">
        <v>3</v>
      </c>
      <c r="F53" s="241"/>
      <c r="G53" s="104"/>
    </row>
    <row r="54" spans="2:7" ht="15" customHeight="1" x14ac:dyDescent="0.2">
      <c r="B54" s="104"/>
      <c r="C54" s="258"/>
      <c r="D54" s="143" t="s">
        <v>183</v>
      </c>
      <c r="E54" s="142">
        <v>2</v>
      </c>
      <c r="F54" s="241"/>
      <c r="G54" s="104"/>
    </row>
    <row r="55" spans="2:7" ht="15" customHeight="1" thickBot="1" x14ac:dyDescent="0.25">
      <c r="B55" s="104"/>
      <c r="C55" s="259"/>
      <c r="D55" s="144" t="s">
        <v>184</v>
      </c>
      <c r="E55" s="145">
        <v>1</v>
      </c>
      <c r="F55" s="242"/>
      <c r="G55" s="104"/>
    </row>
    <row r="56" spans="2:7" ht="12" customHeight="1" x14ac:dyDescent="0.2">
      <c r="B56" s="104"/>
      <c r="C56" s="243" t="s">
        <v>4</v>
      </c>
      <c r="D56" s="139" t="s">
        <v>181</v>
      </c>
      <c r="E56" s="140">
        <v>4</v>
      </c>
      <c r="F56" s="240">
        <v>50</v>
      </c>
      <c r="G56" s="104"/>
    </row>
    <row r="57" spans="2:7" ht="15" customHeight="1" x14ac:dyDescent="0.2">
      <c r="B57" s="104"/>
      <c r="C57" s="244"/>
      <c r="D57" s="141" t="s">
        <v>182</v>
      </c>
      <c r="E57" s="142">
        <v>3</v>
      </c>
      <c r="F57" s="241"/>
      <c r="G57" s="104"/>
    </row>
    <row r="58" spans="2:7" ht="15" customHeight="1" x14ac:dyDescent="0.2">
      <c r="B58" s="104"/>
      <c r="C58" s="244"/>
      <c r="D58" s="143" t="s">
        <v>183</v>
      </c>
      <c r="E58" s="142">
        <v>2</v>
      </c>
      <c r="F58" s="241"/>
      <c r="G58" s="104"/>
    </row>
    <row r="59" spans="2:7" ht="15" customHeight="1" thickBot="1" x14ac:dyDescent="0.25">
      <c r="B59" s="104"/>
      <c r="C59" s="245"/>
      <c r="D59" s="144" t="s">
        <v>184</v>
      </c>
      <c r="E59" s="145">
        <v>1</v>
      </c>
      <c r="F59" s="242"/>
      <c r="G59" s="104"/>
    </row>
    <row r="60" spans="2:7" ht="15" customHeight="1" x14ac:dyDescent="0.2">
      <c r="B60" s="104"/>
      <c r="C60" s="244" t="s">
        <v>6</v>
      </c>
      <c r="D60" s="146" t="s">
        <v>181</v>
      </c>
      <c r="E60" s="142">
        <v>4</v>
      </c>
      <c r="F60" s="241">
        <v>30</v>
      </c>
      <c r="G60" s="104"/>
    </row>
    <row r="61" spans="2:7" ht="15" customHeight="1" x14ac:dyDescent="0.2">
      <c r="B61" s="104"/>
      <c r="C61" s="244"/>
      <c r="D61" s="141" t="s">
        <v>182</v>
      </c>
      <c r="E61" s="142">
        <v>3</v>
      </c>
      <c r="F61" s="241"/>
      <c r="G61" s="104"/>
    </row>
    <row r="62" spans="2:7" ht="15" customHeight="1" x14ac:dyDescent="0.2">
      <c r="B62" s="104"/>
      <c r="C62" s="244"/>
      <c r="D62" s="143" t="s">
        <v>183</v>
      </c>
      <c r="E62" s="142">
        <v>2</v>
      </c>
      <c r="F62" s="241"/>
      <c r="G62" s="104"/>
    </row>
    <row r="63" spans="2:7" ht="15" customHeight="1" thickBot="1" x14ac:dyDescent="0.25">
      <c r="B63" s="104"/>
      <c r="C63" s="245"/>
      <c r="D63" s="144" t="s">
        <v>184</v>
      </c>
      <c r="E63" s="145">
        <v>1</v>
      </c>
      <c r="F63" s="242"/>
      <c r="G63" s="104"/>
    </row>
    <row r="64" spans="2:7" x14ac:dyDescent="0.2">
      <c r="B64" s="104"/>
      <c r="C64" s="104"/>
      <c r="D64" s="104"/>
      <c r="E64" s="104"/>
      <c r="F64" s="104"/>
      <c r="G64" s="104"/>
    </row>
    <row r="65" spans="2:7" ht="12.75" thickBot="1" x14ac:dyDescent="0.25">
      <c r="B65" s="104"/>
      <c r="D65" s="104"/>
      <c r="E65" s="104"/>
      <c r="F65" s="104"/>
      <c r="G65" s="104"/>
    </row>
    <row r="66" spans="2:7" x14ac:dyDescent="0.2">
      <c r="B66" s="104"/>
      <c r="C66" s="129" t="s">
        <v>397</v>
      </c>
      <c r="D66" s="130"/>
      <c r="E66" s="130"/>
      <c r="F66" s="131"/>
      <c r="G66" s="104"/>
    </row>
    <row r="67" spans="2:7" x14ac:dyDescent="0.2">
      <c r="B67" s="104"/>
      <c r="C67" s="132" t="s">
        <v>2</v>
      </c>
      <c r="D67" s="133"/>
      <c r="E67" s="133"/>
      <c r="F67" s="134"/>
      <c r="G67" s="104"/>
    </row>
    <row r="68" spans="2:7" ht="24.75" thickBot="1" x14ac:dyDescent="0.25">
      <c r="B68" s="104"/>
      <c r="C68" s="147" t="s">
        <v>0</v>
      </c>
      <c r="D68" s="136" t="s">
        <v>136</v>
      </c>
      <c r="E68" s="137" t="s">
        <v>3</v>
      </c>
      <c r="F68" s="138" t="s">
        <v>396</v>
      </c>
      <c r="G68" s="104"/>
    </row>
    <row r="69" spans="2:7" ht="15" customHeight="1" x14ac:dyDescent="0.2">
      <c r="B69" s="104"/>
      <c r="C69" s="257" t="s">
        <v>1</v>
      </c>
      <c r="D69" s="139" t="s">
        <v>181</v>
      </c>
      <c r="E69" s="140">
        <v>4</v>
      </c>
      <c r="F69" s="240">
        <v>15</v>
      </c>
      <c r="G69" s="104"/>
    </row>
    <row r="70" spans="2:7" ht="15" customHeight="1" x14ac:dyDescent="0.2">
      <c r="B70" s="104"/>
      <c r="C70" s="258"/>
      <c r="D70" s="141" t="s">
        <v>182</v>
      </c>
      <c r="E70" s="142">
        <v>3</v>
      </c>
      <c r="F70" s="241"/>
      <c r="G70" s="104"/>
    </row>
    <row r="71" spans="2:7" ht="15" customHeight="1" x14ac:dyDescent="0.2">
      <c r="B71" s="104"/>
      <c r="C71" s="258"/>
      <c r="D71" s="143" t="s">
        <v>183</v>
      </c>
      <c r="E71" s="142">
        <v>2</v>
      </c>
      <c r="F71" s="241"/>
      <c r="G71" s="104"/>
    </row>
    <row r="72" spans="2:7" ht="15" customHeight="1" thickBot="1" x14ac:dyDescent="0.25">
      <c r="B72" s="104"/>
      <c r="C72" s="259"/>
      <c r="D72" s="144" t="s">
        <v>184</v>
      </c>
      <c r="E72" s="145">
        <v>1</v>
      </c>
      <c r="F72" s="242"/>
      <c r="G72" s="104"/>
    </row>
    <row r="73" spans="2:7" ht="12" customHeight="1" x14ac:dyDescent="0.2">
      <c r="B73" s="104"/>
      <c r="C73" s="243" t="s">
        <v>4</v>
      </c>
      <c r="D73" s="139" t="s">
        <v>181</v>
      </c>
      <c r="E73" s="140">
        <v>4</v>
      </c>
      <c r="F73" s="240">
        <v>35</v>
      </c>
      <c r="G73" s="104"/>
    </row>
    <row r="74" spans="2:7" ht="15" customHeight="1" x14ac:dyDescent="0.2">
      <c r="B74" s="104"/>
      <c r="C74" s="244"/>
      <c r="D74" s="141" t="s">
        <v>182</v>
      </c>
      <c r="E74" s="142">
        <v>3</v>
      </c>
      <c r="F74" s="241"/>
      <c r="G74" s="104"/>
    </row>
    <row r="75" spans="2:7" ht="15" customHeight="1" x14ac:dyDescent="0.2">
      <c r="B75" s="104"/>
      <c r="C75" s="244"/>
      <c r="D75" s="143" t="s">
        <v>183</v>
      </c>
      <c r="E75" s="142">
        <v>2</v>
      </c>
      <c r="F75" s="241"/>
      <c r="G75" s="104"/>
    </row>
    <row r="76" spans="2:7" ht="15" customHeight="1" thickBot="1" x14ac:dyDescent="0.25">
      <c r="B76" s="104"/>
      <c r="C76" s="245"/>
      <c r="D76" s="144" t="s">
        <v>184</v>
      </c>
      <c r="E76" s="145">
        <v>1</v>
      </c>
      <c r="F76" s="242"/>
      <c r="G76" s="104"/>
    </row>
    <row r="77" spans="2:7" ht="15" customHeight="1" x14ac:dyDescent="0.2">
      <c r="B77" s="104"/>
      <c r="C77" s="257" t="s">
        <v>5</v>
      </c>
      <c r="D77" s="146" t="s">
        <v>181</v>
      </c>
      <c r="E77" s="142">
        <v>4</v>
      </c>
      <c r="F77" s="241">
        <v>30</v>
      </c>
      <c r="G77" s="104"/>
    </row>
    <row r="78" spans="2:7" ht="15" customHeight="1" x14ac:dyDescent="0.2">
      <c r="B78" s="104"/>
      <c r="C78" s="258"/>
      <c r="D78" s="141" t="s">
        <v>182</v>
      </c>
      <c r="E78" s="142">
        <v>3</v>
      </c>
      <c r="F78" s="241"/>
      <c r="G78" s="104"/>
    </row>
    <row r="79" spans="2:7" ht="15" customHeight="1" x14ac:dyDescent="0.2">
      <c r="B79" s="104"/>
      <c r="C79" s="258"/>
      <c r="D79" s="143" t="s">
        <v>183</v>
      </c>
      <c r="E79" s="142">
        <v>2</v>
      </c>
      <c r="F79" s="241"/>
      <c r="G79" s="104"/>
    </row>
    <row r="80" spans="2:7" ht="15" customHeight="1" thickBot="1" x14ac:dyDescent="0.25">
      <c r="B80" s="104"/>
      <c r="C80" s="259"/>
      <c r="D80" s="144" t="s">
        <v>184</v>
      </c>
      <c r="E80" s="145">
        <v>1</v>
      </c>
      <c r="F80" s="242"/>
      <c r="G80" s="104"/>
    </row>
    <row r="81" spans="2:7" ht="15" customHeight="1" x14ac:dyDescent="0.2">
      <c r="B81" s="104"/>
      <c r="C81" s="244" t="s">
        <v>6</v>
      </c>
      <c r="D81" s="146" t="s">
        <v>181</v>
      </c>
      <c r="E81" s="142">
        <v>4</v>
      </c>
      <c r="F81" s="241">
        <v>20</v>
      </c>
      <c r="G81" s="104"/>
    </row>
    <row r="82" spans="2:7" ht="15" customHeight="1" x14ac:dyDescent="0.2">
      <c r="B82" s="104"/>
      <c r="C82" s="244"/>
      <c r="D82" s="141" t="s">
        <v>182</v>
      </c>
      <c r="E82" s="142">
        <v>3</v>
      </c>
      <c r="F82" s="241"/>
      <c r="G82" s="104"/>
    </row>
    <row r="83" spans="2:7" ht="15" customHeight="1" x14ac:dyDescent="0.2">
      <c r="B83" s="104"/>
      <c r="C83" s="244"/>
      <c r="D83" s="143" t="s">
        <v>183</v>
      </c>
      <c r="E83" s="142">
        <v>2</v>
      </c>
      <c r="F83" s="241"/>
      <c r="G83" s="104"/>
    </row>
    <row r="84" spans="2:7" ht="15" customHeight="1" thickBot="1" x14ac:dyDescent="0.25">
      <c r="B84" s="104"/>
      <c r="C84" s="245"/>
      <c r="D84" s="144" t="s">
        <v>184</v>
      </c>
      <c r="E84" s="145">
        <v>1</v>
      </c>
      <c r="F84" s="242"/>
      <c r="G84" s="104"/>
    </row>
    <row r="85" spans="2:7" x14ac:dyDescent="0.2">
      <c r="B85" s="104"/>
      <c r="C85" s="104"/>
      <c r="D85" s="104"/>
      <c r="E85" s="104"/>
      <c r="F85" s="104"/>
      <c r="G85" s="104"/>
    </row>
    <row r="86" spans="2:7" x14ac:dyDescent="0.2">
      <c r="B86" s="104"/>
      <c r="C86" s="104"/>
      <c r="D86" s="104"/>
      <c r="E86" s="104"/>
      <c r="F86" s="104"/>
      <c r="G86" s="104"/>
    </row>
    <row r="87" spans="2:7" x14ac:dyDescent="0.2">
      <c r="B87" s="104"/>
      <c r="C87" s="104"/>
      <c r="D87" s="104"/>
      <c r="E87" s="104"/>
      <c r="F87" s="104"/>
      <c r="G87" s="104"/>
    </row>
    <row r="100" spans="3:3" hidden="1" x14ac:dyDescent="0.2"/>
    <row r="101" spans="3:3" hidden="1" x14ac:dyDescent="0.2">
      <c r="C101" s="105" t="s">
        <v>174</v>
      </c>
    </row>
    <row r="102" spans="3:3" hidden="1" x14ac:dyDescent="0.2">
      <c r="C102" s="105" t="s">
        <v>175</v>
      </c>
    </row>
    <row r="103" spans="3:3" hidden="1" x14ac:dyDescent="0.2"/>
    <row r="104" spans="3:3" hidden="1" x14ac:dyDescent="0.2">
      <c r="C104" s="105" t="s">
        <v>198</v>
      </c>
    </row>
    <row r="105" spans="3:3" hidden="1" x14ac:dyDescent="0.2">
      <c r="C105" s="105" t="s">
        <v>197</v>
      </c>
    </row>
    <row r="106" spans="3:3" hidden="1" x14ac:dyDescent="0.2"/>
    <row r="107" spans="3:3" hidden="1" x14ac:dyDescent="0.2"/>
  </sheetData>
  <sheetProtection password="CDF6" sheet="1" objects="1" scenarios="1"/>
  <mergeCells count="49">
    <mergeCell ref="C69:C72"/>
    <mergeCell ref="F69:F72"/>
    <mergeCell ref="C73:C76"/>
    <mergeCell ref="F73:F76"/>
    <mergeCell ref="C81:C84"/>
    <mergeCell ref="F81:F84"/>
    <mergeCell ref="C77:C80"/>
    <mergeCell ref="F77:F80"/>
    <mergeCell ref="F56:F59"/>
    <mergeCell ref="F60:F63"/>
    <mergeCell ref="C56:C59"/>
    <mergeCell ref="C60:C63"/>
    <mergeCell ref="B10:C17"/>
    <mergeCell ref="B18:C20"/>
    <mergeCell ref="E19:G19"/>
    <mergeCell ref="E20:G20"/>
    <mergeCell ref="F52:F55"/>
    <mergeCell ref="C52:C55"/>
    <mergeCell ref="C32:G32"/>
    <mergeCell ref="C33:G33"/>
    <mergeCell ref="C34:G34"/>
    <mergeCell ref="C35:G35"/>
    <mergeCell ref="C39:G39"/>
    <mergeCell ref="C37:G37"/>
    <mergeCell ref="E23:G23"/>
    <mergeCell ref="B21:C23"/>
    <mergeCell ref="B26:G26"/>
    <mergeCell ref="E15:G15"/>
    <mergeCell ref="E16:G16"/>
    <mergeCell ref="E18:G18"/>
    <mergeCell ref="E21:G21"/>
    <mergeCell ref="E22:G22"/>
    <mergeCell ref="E17:G17"/>
    <mergeCell ref="E10:G10"/>
    <mergeCell ref="E11:G11"/>
    <mergeCell ref="E12:G12"/>
    <mergeCell ref="E13:G13"/>
    <mergeCell ref="E14:G14"/>
    <mergeCell ref="B27:G27"/>
    <mergeCell ref="C44:G44"/>
    <mergeCell ref="C45:G45"/>
    <mergeCell ref="B28:G28"/>
    <mergeCell ref="C31:G31"/>
    <mergeCell ref="C41:G41"/>
    <mergeCell ref="C36:G36"/>
    <mergeCell ref="C40:G40"/>
    <mergeCell ref="C42:G42"/>
    <mergeCell ref="C43:G43"/>
    <mergeCell ref="C38:G38"/>
  </mergeCells>
  <conditionalFormatting sqref="E10:G20">
    <cfRule type="cellIs" dxfId="459" priority="1" operator="equal">
      <formula>0</formula>
    </cfRule>
  </conditionalFormatting>
  <dataValidations count="1">
    <dataValidation type="list" allowBlank="1" showInputMessage="1" showErrorMessage="1" prompt="Select Y/N" sqref="E18:G20">
      <formula1>$C$101:$C$102</formula1>
    </dataValidation>
  </dataValidations>
  <pageMargins left="0.76" right="0.47" top="0.56000000000000005" bottom="0.75" header="0.3" footer="0.5"/>
  <pageSetup scale="82" orientation="portrait" r:id="rId1"/>
  <headerFooter>
    <oddFooter>&amp;CSelection of Measures 2013-14, Cover Page</oddFooter>
  </headerFooter>
  <ignoredErrors>
    <ignoredError sqref="B39:B46 B31:B35 B36:B38"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B0F0"/>
    <pageSetUpPr fitToPage="1"/>
  </sheetPr>
  <dimension ref="A1:AD1293"/>
  <sheetViews>
    <sheetView zoomScaleNormal="100" zoomScalePageLayoutView="70" workbookViewId="0">
      <selection activeCell="F1" sqref="F1:AD1048576"/>
    </sheetView>
  </sheetViews>
  <sheetFormatPr defaultColWidth="9.140625" defaultRowHeight="18.75" x14ac:dyDescent="0.3"/>
  <cols>
    <col min="1" max="1" width="4" style="95" customWidth="1"/>
    <col min="2" max="2" width="25" style="162" customWidth="1"/>
    <col min="3" max="3" width="89" style="96" customWidth="1"/>
    <col min="4" max="4" width="58.140625" style="97" customWidth="1"/>
    <col min="5" max="5" width="9.140625" style="154" customWidth="1"/>
    <col min="6" max="6" width="9.140625" style="47" hidden="1" customWidth="1"/>
    <col min="7" max="7" width="4" style="47" hidden="1" customWidth="1"/>
    <col min="8" max="8" width="3.5703125" style="47" hidden="1" customWidth="1"/>
    <col min="9" max="9" width="12.28515625" style="47" hidden="1" customWidth="1"/>
    <col min="10" max="10" width="28.5703125" style="47" hidden="1" customWidth="1"/>
    <col min="11" max="11" width="69.5703125" style="47" hidden="1" customWidth="1"/>
    <col min="12" max="13" width="9.140625" style="47" hidden="1" customWidth="1"/>
    <col min="14" max="14" width="22.42578125" style="47" hidden="1" customWidth="1"/>
    <col min="15" max="15" width="31.28515625" style="47" hidden="1" customWidth="1"/>
    <col min="16" max="16" width="27.5703125" style="47" hidden="1" customWidth="1"/>
    <col min="17" max="30" width="9.140625" style="47" hidden="1" customWidth="1"/>
    <col min="31" max="16384" width="9.140625" style="47"/>
  </cols>
  <sheetData>
    <row r="1" spans="1:13" ht="19.5" thickBot="1" x14ac:dyDescent="0.35">
      <c r="A1" s="260" t="s">
        <v>211</v>
      </c>
      <c r="B1" s="261"/>
      <c r="C1" s="261"/>
      <c r="D1" s="262"/>
      <c r="E1" s="154" t="s">
        <v>306</v>
      </c>
    </row>
    <row r="2" spans="1:13" ht="18.75" customHeight="1" x14ac:dyDescent="0.25">
      <c r="A2" s="285"/>
      <c r="B2" s="286"/>
      <c r="C2" s="29" t="s">
        <v>12</v>
      </c>
      <c r="D2" s="30" t="str">
        <f>IF(Instructions!E20="YES",Instructions!E10,"Not submitting HIGH SCHOOL measurement selections")</f>
        <v>Not submitting HIGH SCHOOL measurement selections</v>
      </c>
      <c r="E2" s="154" t="s">
        <v>306</v>
      </c>
    </row>
    <row r="3" spans="1:13" ht="15" x14ac:dyDescent="0.25">
      <c r="A3" s="287"/>
      <c r="B3" s="288"/>
      <c r="C3" s="31" t="s">
        <v>11</v>
      </c>
      <c r="D3" s="32" t="str">
        <f>IF(Instructions!E20="YES",Instructions!E11,"Not submitting HIGH SCHOOL measurement selections")</f>
        <v>Not submitting HIGH SCHOOL measurement selections</v>
      </c>
      <c r="E3" s="154" t="s">
        <v>306</v>
      </c>
    </row>
    <row r="4" spans="1:13" ht="18.75" hidden="1" customHeight="1" x14ac:dyDescent="0.25">
      <c r="A4" s="81"/>
      <c r="B4" s="82"/>
      <c r="C4" s="83" t="s">
        <v>176</v>
      </c>
      <c r="D4" s="84" t="s">
        <v>153</v>
      </c>
      <c r="E4" s="154" t="s">
        <v>306</v>
      </c>
    </row>
    <row r="5" spans="1:13" ht="18.75" hidden="1" customHeight="1" x14ac:dyDescent="0.25">
      <c r="A5" s="81"/>
      <c r="B5" s="82"/>
      <c r="C5" s="85" t="s">
        <v>191</v>
      </c>
      <c r="D5" s="84" t="e">
        <f>IF(Instructions!#REF!="2011-2012 ONLY","2011-2012 ONLY","2010-2011 &amp; 2011-2012")</f>
        <v>#REF!</v>
      </c>
      <c r="E5" s="154" t="s">
        <v>306</v>
      </c>
    </row>
    <row r="6" spans="1:13" ht="18.75" customHeight="1" x14ac:dyDescent="0.25">
      <c r="A6" s="81"/>
      <c r="B6" s="82"/>
      <c r="C6" s="271" t="s">
        <v>313</v>
      </c>
      <c r="D6" s="86" t="s">
        <v>91</v>
      </c>
      <c r="E6" s="154" t="s">
        <v>306</v>
      </c>
      <c r="M6" s="47" t="s">
        <v>307</v>
      </c>
    </row>
    <row r="7" spans="1:13" ht="18.75" customHeight="1" x14ac:dyDescent="0.25">
      <c r="A7" s="81"/>
      <c r="B7" s="82"/>
      <c r="C7" s="272"/>
      <c r="D7" s="86" t="s">
        <v>92</v>
      </c>
      <c r="E7" s="154" t="s">
        <v>306</v>
      </c>
      <c r="M7" s="47" t="s">
        <v>346</v>
      </c>
    </row>
    <row r="8" spans="1:13" ht="18.75" customHeight="1" x14ac:dyDescent="0.25">
      <c r="A8" s="81"/>
      <c r="B8" s="82"/>
      <c r="C8" s="272"/>
      <c r="D8" s="86" t="s">
        <v>93</v>
      </c>
      <c r="E8" s="154" t="s">
        <v>306</v>
      </c>
      <c r="M8" s="47" t="s">
        <v>279</v>
      </c>
    </row>
    <row r="9" spans="1:13" ht="18.75" customHeight="1" x14ac:dyDescent="0.25">
      <c r="A9" s="81"/>
      <c r="B9" s="82"/>
      <c r="C9" s="273"/>
      <c r="D9" s="86" t="s">
        <v>94</v>
      </c>
      <c r="E9" s="154" t="s">
        <v>306</v>
      </c>
      <c r="M9" s="47" t="s">
        <v>278</v>
      </c>
    </row>
    <row r="10" spans="1:13" ht="19.5" customHeight="1" thickBot="1" x14ac:dyDescent="0.35">
      <c r="A10" s="263" t="s">
        <v>91</v>
      </c>
      <c r="B10" s="264"/>
      <c r="C10" s="264"/>
      <c r="D10" s="265"/>
      <c r="E10" s="154" t="s">
        <v>306</v>
      </c>
      <c r="M10" s="47" t="s">
        <v>315</v>
      </c>
    </row>
    <row r="11" spans="1:13" ht="15" customHeight="1" x14ac:dyDescent="0.25">
      <c r="A11" s="277" t="s">
        <v>27</v>
      </c>
      <c r="B11" s="280" t="s">
        <v>334</v>
      </c>
      <c r="C11" s="33" t="s">
        <v>39</v>
      </c>
      <c r="D11" s="152" t="str">
        <f>C11</f>
        <v xml:space="preserve"> To receive the indicator rating, the AEC's percent of students scoring proficient and advanced was:</v>
      </c>
      <c r="E11" s="154" t="s">
        <v>306</v>
      </c>
      <c r="G11" s="268" t="s">
        <v>26</v>
      </c>
      <c r="H11" s="289"/>
      <c r="I11" s="280" t="s">
        <v>277</v>
      </c>
      <c r="J11" s="48" t="s">
        <v>133</v>
      </c>
      <c r="K11" s="49"/>
      <c r="M11" s="47" t="s">
        <v>318</v>
      </c>
    </row>
    <row r="12" spans="1:13" ht="15" x14ac:dyDescent="0.25">
      <c r="A12" s="278"/>
      <c r="B12" s="281"/>
      <c r="C12" s="35" t="s">
        <v>125</v>
      </c>
      <c r="D12" s="36" t="s">
        <v>18</v>
      </c>
      <c r="E12" s="154" t="s">
        <v>306</v>
      </c>
      <c r="G12" s="269"/>
      <c r="H12" s="290"/>
      <c r="I12" s="281"/>
      <c r="J12" s="35" t="s">
        <v>125</v>
      </c>
      <c r="K12" s="36" t="s">
        <v>129</v>
      </c>
      <c r="M12" s="47" t="s">
        <v>281</v>
      </c>
    </row>
    <row r="13" spans="1:13" ht="15" x14ac:dyDescent="0.25">
      <c r="A13" s="278"/>
      <c r="B13" s="281"/>
      <c r="C13" s="37" t="s">
        <v>126</v>
      </c>
      <c r="D13" s="36" t="s">
        <v>19</v>
      </c>
      <c r="E13" s="154" t="s">
        <v>306</v>
      </c>
      <c r="G13" s="269"/>
      <c r="H13" s="290"/>
      <c r="I13" s="281"/>
      <c r="J13" s="37" t="s">
        <v>126</v>
      </c>
      <c r="K13" s="36" t="s">
        <v>130</v>
      </c>
      <c r="M13" s="47" t="s">
        <v>316</v>
      </c>
    </row>
    <row r="14" spans="1:13" ht="15" customHeight="1" x14ac:dyDescent="0.25">
      <c r="A14" s="278"/>
      <c r="B14" s="281"/>
      <c r="C14" s="38" t="s">
        <v>127</v>
      </c>
      <c r="D14" s="36" t="s">
        <v>20</v>
      </c>
      <c r="E14" s="154" t="s">
        <v>306</v>
      </c>
      <c r="G14" s="269"/>
      <c r="H14" s="291" t="s">
        <v>177</v>
      </c>
      <c r="I14" s="281"/>
      <c r="J14" s="38" t="s">
        <v>127</v>
      </c>
      <c r="K14" s="36" t="s">
        <v>131</v>
      </c>
      <c r="M14" s="47" t="s">
        <v>280</v>
      </c>
    </row>
    <row r="15" spans="1:13" ht="15" x14ac:dyDescent="0.25">
      <c r="A15" s="278"/>
      <c r="B15" s="281"/>
      <c r="C15" s="39" t="s">
        <v>128</v>
      </c>
      <c r="D15" s="40" t="s">
        <v>21</v>
      </c>
      <c r="E15" s="154" t="s">
        <v>306</v>
      </c>
      <c r="G15" s="269"/>
      <c r="H15" s="292"/>
      <c r="I15" s="281"/>
      <c r="J15" s="39" t="s">
        <v>128</v>
      </c>
      <c r="K15" s="40" t="s">
        <v>132</v>
      </c>
      <c r="M15" s="47" t="s">
        <v>305</v>
      </c>
    </row>
    <row r="16" spans="1:13" ht="15" x14ac:dyDescent="0.25">
      <c r="A16" s="278"/>
      <c r="B16" s="281"/>
      <c r="C16" s="41" t="s">
        <v>37</v>
      </c>
      <c r="D16" s="173" t="str">
        <f>C16</f>
        <v>Cut-point values for percent of students scoring proficient and advanced were:</v>
      </c>
      <c r="E16" s="154" t="s">
        <v>306</v>
      </c>
      <c r="G16" s="269"/>
      <c r="H16" s="292"/>
      <c r="I16" s="281"/>
      <c r="J16" s="41" t="str">
        <f>IF(K11=G$822, "Cut-point values for percent of students increasing a grade level were:", "Cut-point values for percent of students scoring at grade level were:")</f>
        <v>Cut-point values for percent of students increasing a grade level were:</v>
      </c>
      <c r="K16" s="42"/>
      <c r="M16" s="47" t="s">
        <v>287</v>
      </c>
    </row>
    <row r="17" spans="1:20" ht="15" x14ac:dyDescent="0.25">
      <c r="A17" s="278"/>
      <c r="B17" s="281"/>
      <c r="C17" s="35" t="s">
        <v>22</v>
      </c>
      <c r="D17" s="43">
        <v>54.8</v>
      </c>
      <c r="E17" s="154" t="s">
        <v>306</v>
      </c>
      <c r="G17" s="269"/>
      <c r="H17" s="292"/>
      <c r="I17" s="281"/>
      <c r="J17" s="35" t="s">
        <v>22</v>
      </c>
      <c r="K17" s="50">
        <v>90</v>
      </c>
      <c r="M17" s="47" t="s">
        <v>288</v>
      </c>
    </row>
    <row r="18" spans="1:20" ht="15" x14ac:dyDescent="0.25">
      <c r="A18" s="278"/>
      <c r="B18" s="281"/>
      <c r="C18" s="37" t="s">
        <v>23</v>
      </c>
      <c r="D18" s="43">
        <v>35.4</v>
      </c>
      <c r="E18" s="154" t="s">
        <v>306</v>
      </c>
      <c r="G18" s="269"/>
      <c r="H18" s="292"/>
      <c r="I18" s="281"/>
      <c r="J18" s="37" t="s">
        <v>23</v>
      </c>
      <c r="K18" s="50">
        <v>60</v>
      </c>
      <c r="M18" s="47" t="s">
        <v>386</v>
      </c>
    </row>
    <row r="19" spans="1:20" ht="15" x14ac:dyDescent="0.25">
      <c r="A19" s="278"/>
      <c r="B19" s="281"/>
      <c r="C19" s="38" t="s">
        <v>24</v>
      </c>
      <c r="D19" s="180">
        <v>26.7</v>
      </c>
      <c r="E19" s="154" t="s">
        <v>306</v>
      </c>
      <c r="G19" s="269"/>
      <c r="H19" s="292"/>
      <c r="I19" s="281"/>
      <c r="J19" s="38" t="s">
        <v>24</v>
      </c>
      <c r="K19" s="50">
        <v>40</v>
      </c>
      <c r="M19" s="47" t="s">
        <v>286</v>
      </c>
    </row>
    <row r="20" spans="1:20" ht="15" x14ac:dyDescent="0.25">
      <c r="A20" s="278"/>
      <c r="B20" s="281"/>
      <c r="C20" s="41" t="s">
        <v>38</v>
      </c>
      <c r="D20" s="173" t="str">
        <f>C20</f>
        <v>Your school's actual percent of students scoring proficient and advanced was:</v>
      </c>
      <c r="E20" s="154" t="s">
        <v>306</v>
      </c>
      <c r="G20" s="269"/>
      <c r="H20" s="292"/>
      <c r="I20" s="281"/>
      <c r="J20" s="41" t="str">
        <f>IF(K11=G$822, "Your school's actual percent of students increasing a grade level was:", "Your school's actual percent of students scoring at grade level was:")</f>
        <v>Your school's actual percent of students increasing a grade level was:</v>
      </c>
      <c r="K20" s="42"/>
      <c r="M20" s="47" t="s">
        <v>400</v>
      </c>
    </row>
    <row r="21" spans="1:20" ht="15" x14ac:dyDescent="0.25">
      <c r="A21" s="278"/>
      <c r="B21" s="281"/>
      <c r="C21" s="62" t="s">
        <v>25</v>
      </c>
      <c r="D21" s="45" t="s">
        <v>395</v>
      </c>
      <c r="E21" s="154" t="s">
        <v>306</v>
      </c>
      <c r="G21" s="269"/>
      <c r="H21" s="292"/>
      <c r="I21" s="281"/>
      <c r="J21" s="44" t="s">
        <v>25</v>
      </c>
      <c r="K21" s="51"/>
      <c r="M21" s="47" t="s">
        <v>290</v>
      </c>
    </row>
    <row r="22" spans="1:20" ht="15" customHeight="1" thickBot="1" x14ac:dyDescent="0.3">
      <c r="A22" s="279"/>
      <c r="B22" s="282"/>
      <c r="C22" s="46" t="s">
        <v>194</v>
      </c>
      <c r="D22" s="45" t="s">
        <v>395</v>
      </c>
      <c r="E22" s="154" t="s">
        <v>306</v>
      </c>
      <c r="G22" s="270"/>
      <c r="H22" s="293"/>
      <c r="I22" s="282"/>
      <c r="J22" s="46" t="s">
        <v>194</v>
      </c>
      <c r="K22" s="52"/>
      <c r="M22" s="47" t="s">
        <v>289</v>
      </c>
    </row>
    <row r="23" spans="1:20" ht="15" customHeight="1" thickBot="1" x14ac:dyDescent="0.3">
      <c r="A23" s="277" t="s">
        <v>27</v>
      </c>
      <c r="B23" s="280" t="s">
        <v>335</v>
      </c>
      <c r="C23" s="160" t="s">
        <v>39</v>
      </c>
      <c r="D23" s="152" t="str">
        <f>C23</f>
        <v xml:space="preserve"> To receive the indicator rating, the AEC's percent of students scoring proficient and advanced was:</v>
      </c>
      <c r="E23" s="154" t="s">
        <v>306</v>
      </c>
      <c r="G23" s="53"/>
      <c r="H23" s="54"/>
      <c r="I23" s="55"/>
      <c r="J23" s="56" t="s">
        <v>178</v>
      </c>
      <c r="K23" s="57"/>
    </row>
    <row r="24" spans="1:20" ht="15" customHeight="1" x14ac:dyDescent="0.25">
      <c r="A24" s="278"/>
      <c r="B24" s="281"/>
      <c r="C24" s="35" t="s">
        <v>125</v>
      </c>
      <c r="D24" s="36" t="s">
        <v>18</v>
      </c>
      <c r="E24" s="154" t="s">
        <v>306</v>
      </c>
      <c r="G24" s="268" t="s">
        <v>26</v>
      </c>
      <c r="H24" s="289"/>
      <c r="I24" s="280" t="s">
        <v>286</v>
      </c>
      <c r="J24" s="48" t="s">
        <v>133</v>
      </c>
      <c r="K24" s="49"/>
    </row>
    <row r="25" spans="1:20" ht="15" x14ac:dyDescent="0.25">
      <c r="A25" s="278"/>
      <c r="B25" s="281"/>
      <c r="C25" s="37" t="s">
        <v>126</v>
      </c>
      <c r="D25" s="36" t="s">
        <v>19</v>
      </c>
      <c r="E25" s="154" t="s">
        <v>306</v>
      </c>
      <c r="G25" s="269"/>
      <c r="H25" s="290"/>
      <c r="I25" s="281"/>
      <c r="J25" s="35" t="s">
        <v>125</v>
      </c>
      <c r="K25" s="36" t="s">
        <v>129</v>
      </c>
      <c r="N25" s="35" t="s">
        <v>125</v>
      </c>
      <c r="O25" s="37" t="s">
        <v>126</v>
      </c>
      <c r="P25" s="38" t="s">
        <v>127</v>
      </c>
      <c r="Q25" s="39" t="s">
        <v>128</v>
      </c>
      <c r="R25" s="35" t="s">
        <v>22</v>
      </c>
      <c r="S25" s="37" t="s">
        <v>23</v>
      </c>
      <c r="T25" s="38" t="s">
        <v>24</v>
      </c>
    </row>
    <row r="26" spans="1:20" ht="15" x14ac:dyDescent="0.25">
      <c r="A26" s="278"/>
      <c r="B26" s="281"/>
      <c r="C26" s="38" t="s">
        <v>127</v>
      </c>
      <c r="D26" s="36" t="s">
        <v>20</v>
      </c>
      <c r="E26" s="154" t="s">
        <v>306</v>
      </c>
      <c r="G26" s="269"/>
      <c r="H26" s="290"/>
      <c r="I26" s="281"/>
      <c r="J26" s="37" t="s">
        <v>126</v>
      </c>
      <c r="K26" s="36" t="s">
        <v>130</v>
      </c>
      <c r="M26" s="47" t="s">
        <v>305</v>
      </c>
      <c r="N26" s="35" t="s">
        <v>306</v>
      </c>
      <c r="O26" s="37" t="s">
        <v>306</v>
      </c>
      <c r="P26" s="38" t="s">
        <v>306</v>
      </c>
      <c r="Q26" s="39" t="s">
        <v>306</v>
      </c>
      <c r="R26" s="35" t="s">
        <v>306</v>
      </c>
      <c r="S26" s="37" t="s">
        <v>306</v>
      </c>
      <c r="T26" s="38" t="s">
        <v>306</v>
      </c>
    </row>
    <row r="27" spans="1:20" ht="15" customHeight="1" x14ac:dyDescent="0.25">
      <c r="A27" s="278"/>
      <c r="B27" s="281"/>
      <c r="C27" s="39" t="s">
        <v>128</v>
      </c>
      <c r="D27" s="40" t="s">
        <v>21</v>
      </c>
      <c r="E27" s="154" t="s">
        <v>306</v>
      </c>
      <c r="G27" s="269"/>
      <c r="H27" s="291" t="s">
        <v>177</v>
      </c>
      <c r="I27" s="281"/>
      <c r="J27" s="38" t="s">
        <v>127</v>
      </c>
      <c r="K27" s="36" t="s">
        <v>131</v>
      </c>
      <c r="M27" s="47" t="s">
        <v>386</v>
      </c>
      <c r="N27" s="36" t="s">
        <v>129</v>
      </c>
      <c r="O27" s="36" t="s">
        <v>130</v>
      </c>
      <c r="P27" s="36" t="s">
        <v>131</v>
      </c>
      <c r="Q27" s="40" t="s">
        <v>132</v>
      </c>
      <c r="R27" s="50">
        <v>90</v>
      </c>
      <c r="S27" s="50">
        <v>60</v>
      </c>
      <c r="T27" s="50">
        <v>40</v>
      </c>
    </row>
    <row r="28" spans="1:20" ht="15" x14ac:dyDescent="0.25">
      <c r="A28" s="278"/>
      <c r="B28" s="281"/>
      <c r="C28" s="161" t="s">
        <v>37</v>
      </c>
      <c r="D28" s="173" t="str">
        <f>C28</f>
        <v>Cut-point values for percent of students scoring proficient and advanced were:</v>
      </c>
      <c r="E28" s="154" t="s">
        <v>306</v>
      </c>
      <c r="G28" s="269"/>
      <c r="H28" s="292"/>
      <c r="I28" s="281"/>
      <c r="J28" s="39" t="s">
        <v>128</v>
      </c>
      <c r="K28" s="40" t="s">
        <v>132</v>
      </c>
      <c r="M28" s="47" t="s">
        <v>286</v>
      </c>
      <c r="N28" s="36" t="s">
        <v>129</v>
      </c>
      <c r="O28" s="36" t="s">
        <v>130</v>
      </c>
      <c r="P28" s="36" t="s">
        <v>131</v>
      </c>
      <c r="Q28" s="40" t="s">
        <v>132</v>
      </c>
      <c r="R28" s="50">
        <v>90</v>
      </c>
      <c r="S28" s="50">
        <v>60</v>
      </c>
      <c r="T28" s="50">
        <v>40</v>
      </c>
    </row>
    <row r="29" spans="1:20" ht="15" x14ac:dyDescent="0.25">
      <c r="A29" s="278"/>
      <c r="B29" s="281"/>
      <c r="C29" s="35" t="s">
        <v>22</v>
      </c>
      <c r="D29" s="43">
        <v>28.6</v>
      </c>
      <c r="E29" s="154" t="s">
        <v>306</v>
      </c>
      <c r="G29" s="269"/>
      <c r="H29" s="292"/>
      <c r="I29" s="281"/>
      <c r="J29" s="41" t="str">
        <f>IF(K24=G$822, "Cut-point values for percent of students increasing a grade level were:", "Cut-point values for percent of students scoring at grade level were:")</f>
        <v>Cut-point values for percent of students increasing a grade level were:</v>
      </c>
      <c r="K29" s="42"/>
      <c r="M29" s="47" t="s">
        <v>287</v>
      </c>
      <c r="N29" s="36" t="s">
        <v>129</v>
      </c>
      <c r="O29" s="36" t="s">
        <v>130</v>
      </c>
      <c r="P29" s="36" t="s">
        <v>131</v>
      </c>
      <c r="Q29" s="40" t="s">
        <v>132</v>
      </c>
      <c r="R29" s="50">
        <v>90</v>
      </c>
      <c r="S29" s="50">
        <v>60</v>
      </c>
      <c r="T29" s="50">
        <v>40</v>
      </c>
    </row>
    <row r="30" spans="1:20" ht="15" x14ac:dyDescent="0.25">
      <c r="A30" s="278"/>
      <c r="B30" s="281"/>
      <c r="C30" s="37" t="s">
        <v>23</v>
      </c>
      <c r="D30" s="43">
        <v>14.6</v>
      </c>
      <c r="E30" s="154" t="s">
        <v>306</v>
      </c>
      <c r="G30" s="269"/>
      <c r="H30" s="292"/>
      <c r="I30" s="281"/>
      <c r="J30" s="35" t="s">
        <v>22</v>
      </c>
      <c r="K30" s="50">
        <v>90</v>
      </c>
      <c r="M30" s="47" t="s">
        <v>288</v>
      </c>
      <c r="N30" s="36" t="s">
        <v>129</v>
      </c>
      <c r="O30" s="36" t="s">
        <v>130</v>
      </c>
      <c r="P30" s="36" t="s">
        <v>131</v>
      </c>
      <c r="Q30" s="40" t="s">
        <v>132</v>
      </c>
      <c r="R30" s="50">
        <v>90</v>
      </c>
      <c r="S30" s="50">
        <v>60</v>
      </c>
      <c r="T30" s="50">
        <v>40</v>
      </c>
    </row>
    <row r="31" spans="1:20" ht="15" x14ac:dyDescent="0.25">
      <c r="A31" s="278"/>
      <c r="B31" s="281"/>
      <c r="C31" s="38" t="s">
        <v>24</v>
      </c>
      <c r="D31" s="180">
        <v>10</v>
      </c>
      <c r="E31" s="154" t="s">
        <v>306</v>
      </c>
      <c r="G31" s="269"/>
      <c r="H31" s="292"/>
      <c r="I31" s="281"/>
      <c r="J31" s="37" t="s">
        <v>23</v>
      </c>
      <c r="K31" s="50">
        <v>60</v>
      </c>
      <c r="M31" s="47" t="s">
        <v>289</v>
      </c>
      <c r="N31" s="36" t="s">
        <v>129</v>
      </c>
      <c r="O31" s="36" t="s">
        <v>130</v>
      </c>
      <c r="P31" s="36" t="s">
        <v>131</v>
      </c>
      <c r="Q31" s="40" t="s">
        <v>132</v>
      </c>
      <c r="R31" s="50">
        <v>90</v>
      </c>
      <c r="S31" s="50">
        <v>60</v>
      </c>
      <c r="T31" s="50">
        <v>40</v>
      </c>
    </row>
    <row r="32" spans="1:20" ht="15" x14ac:dyDescent="0.25">
      <c r="A32" s="278"/>
      <c r="B32" s="281"/>
      <c r="C32" s="161" t="s">
        <v>38</v>
      </c>
      <c r="D32" s="173" t="str">
        <f>C32</f>
        <v>Your school's actual percent of students scoring proficient and advanced was:</v>
      </c>
      <c r="E32" s="154" t="s">
        <v>306</v>
      </c>
      <c r="G32" s="269"/>
      <c r="H32" s="292"/>
      <c r="I32" s="281"/>
      <c r="J32" s="38" t="s">
        <v>24</v>
      </c>
      <c r="K32" s="50">
        <v>40</v>
      </c>
      <c r="M32" s="47" t="s">
        <v>290</v>
      </c>
      <c r="N32" s="36" t="s">
        <v>129</v>
      </c>
      <c r="O32" s="36" t="s">
        <v>130</v>
      </c>
      <c r="P32" s="36" t="s">
        <v>131</v>
      </c>
      <c r="Q32" s="40" t="s">
        <v>132</v>
      </c>
      <c r="R32" s="50">
        <v>90</v>
      </c>
      <c r="S32" s="50">
        <v>60</v>
      </c>
      <c r="T32" s="50">
        <v>40</v>
      </c>
    </row>
    <row r="33" spans="1:20" ht="15" x14ac:dyDescent="0.25">
      <c r="A33" s="278"/>
      <c r="B33" s="281"/>
      <c r="C33" s="62" t="s">
        <v>25</v>
      </c>
      <c r="D33" s="45" t="s">
        <v>395</v>
      </c>
      <c r="E33" s="154" t="s">
        <v>306</v>
      </c>
      <c r="G33" s="269"/>
      <c r="H33" s="292"/>
      <c r="I33" s="281"/>
      <c r="J33" s="41" t="str">
        <f>IF(K24=G$822, "Your school's actual percent of students increasing a grade level was:", "Your school's actual percent of students scoring at grade level was:")</f>
        <v>Your school's actual percent of students increasing a grade level was:</v>
      </c>
      <c r="K33" s="42"/>
      <c r="M33" s="47" t="s">
        <v>400</v>
      </c>
      <c r="N33" s="36" t="s">
        <v>129</v>
      </c>
      <c r="O33" s="36" t="s">
        <v>130</v>
      </c>
      <c r="P33" s="36" t="s">
        <v>131</v>
      </c>
      <c r="Q33" s="40" t="s">
        <v>132</v>
      </c>
      <c r="R33" s="50">
        <v>90</v>
      </c>
      <c r="S33" s="50">
        <v>60</v>
      </c>
      <c r="T33" s="50">
        <v>40</v>
      </c>
    </row>
    <row r="34" spans="1:20" ht="15" customHeight="1" thickBot="1" x14ac:dyDescent="0.3">
      <c r="A34" s="279"/>
      <c r="B34" s="282"/>
      <c r="C34" s="46" t="s">
        <v>194</v>
      </c>
      <c r="D34" s="45" t="s">
        <v>395</v>
      </c>
      <c r="E34" s="154" t="s">
        <v>306</v>
      </c>
      <c r="G34" s="269"/>
      <c r="H34" s="292"/>
      <c r="I34" s="281"/>
      <c r="J34" s="44" t="s">
        <v>25</v>
      </c>
      <c r="K34" s="51"/>
    </row>
    <row r="35" spans="1:20" ht="15" customHeight="1" thickBot="1" x14ac:dyDescent="0.3">
      <c r="A35" s="277" t="s">
        <v>27</v>
      </c>
      <c r="B35" s="280" t="s">
        <v>336</v>
      </c>
      <c r="C35" s="160" t="s">
        <v>39</v>
      </c>
      <c r="D35" s="152" t="str">
        <f>C35</f>
        <v xml:space="preserve"> To receive the indicator rating, the AEC's percent of students scoring proficient and advanced was:</v>
      </c>
      <c r="E35" s="154" t="s">
        <v>306</v>
      </c>
      <c r="G35" s="270"/>
      <c r="H35" s="293"/>
      <c r="I35" s="282"/>
      <c r="J35" s="46" t="s">
        <v>194</v>
      </c>
      <c r="K35" s="52"/>
    </row>
    <row r="36" spans="1:20" ht="15.75" thickBot="1" x14ac:dyDescent="0.3">
      <c r="A36" s="278"/>
      <c r="B36" s="281"/>
      <c r="C36" s="35" t="s">
        <v>125</v>
      </c>
      <c r="D36" s="36" t="s">
        <v>18</v>
      </c>
      <c r="E36" s="154" t="s">
        <v>306</v>
      </c>
      <c r="G36" s="53"/>
      <c r="H36" s="54"/>
      <c r="I36" s="55"/>
      <c r="J36" s="56" t="s">
        <v>178</v>
      </c>
      <c r="K36" s="58"/>
      <c r="M36" s="47" t="s">
        <v>135</v>
      </c>
      <c r="Q36" s="47" t="s">
        <v>356</v>
      </c>
      <c r="R36" s="47" t="s">
        <v>350</v>
      </c>
    </row>
    <row r="37" spans="1:20" ht="15" customHeight="1" x14ac:dyDescent="0.25">
      <c r="A37" s="278"/>
      <c r="B37" s="281"/>
      <c r="C37" s="37" t="s">
        <v>126</v>
      </c>
      <c r="D37" s="36" t="s">
        <v>19</v>
      </c>
      <c r="E37" s="154" t="s">
        <v>306</v>
      </c>
      <c r="G37" s="268" t="s">
        <v>26</v>
      </c>
      <c r="H37" s="289"/>
      <c r="I37" s="280" t="s">
        <v>287</v>
      </c>
      <c r="J37" s="48" t="s">
        <v>133</v>
      </c>
      <c r="K37" s="49"/>
      <c r="M37" s="47" t="s">
        <v>134</v>
      </c>
      <c r="Q37" s="151" t="s">
        <v>357</v>
      </c>
      <c r="R37" s="151" t="s">
        <v>351</v>
      </c>
    </row>
    <row r="38" spans="1:20" ht="15" x14ac:dyDescent="0.25">
      <c r="A38" s="278"/>
      <c r="B38" s="281"/>
      <c r="C38" s="38" t="s">
        <v>127</v>
      </c>
      <c r="D38" s="36" t="s">
        <v>20</v>
      </c>
      <c r="E38" s="154" t="s">
        <v>306</v>
      </c>
      <c r="G38" s="269"/>
      <c r="H38" s="290"/>
      <c r="I38" s="281"/>
      <c r="J38" s="35" t="s">
        <v>125</v>
      </c>
      <c r="K38" s="36" t="s">
        <v>129</v>
      </c>
    </row>
    <row r="39" spans="1:20" ht="15" x14ac:dyDescent="0.25">
      <c r="A39" s="278"/>
      <c r="B39" s="281"/>
      <c r="C39" s="39" t="s">
        <v>128</v>
      </c>
      <c r="D39" s="40" t="s">
        <v>21</v>
      </c>
      <c r="E39" s="154" t="s">
        <v>306</v>
      </c>
      <c r="G39" s="269"/>
      <c r="H39" s="290"/>
      <c r="I39" s="281"/>
      <c r="J39" s="37" t="s">
        <v>126</v>
      </c>
      <c r="K39" s="36" t="s">
        <v>130</v>
      </c>
      <c r="M39" s="47" t="s">
        <v>305</v>
      </c>
      <c r="N39" s="47" t="s">
        <v>306</v>
      </c>
    </row>
    <row r="40" spans="1:20" ht="15" customHeight="1" x14ac:dyDescent="0.25">
      <c r="A40" s="278"/>
      <c r="B40" s="281"/>
      <c r="C40" s="161" t="s">
        <v>37</v>
      </c>
      <c r="D40" s="173" t="str">
        <f>C40</f>
        <v>Cut-point values for percent of students scoring proficient and advanced were:</v>
      </c>
      <c r="E40" s="154" t="s">
        <v>306</v>
      </c>
      <c r="G40" s="269"/>
      <c r="H40" s="291" t="s">
        <v>177</v>
      </c>
      <c r="I40" s="281"/>
      <c r="J40" s="38" t="s">
        <v>127</v>
      </c>
      <c r="K40" s="36" t="s">
        <v>131</v>
      </c>
      <c r="M40" s="47" t="s">
        <v>386</v>
      </c>
      <c r="N40" s="47" t="s">
        <v>292</v>
      </c>
    </row>
    <row r="41" spans="1:20" ht="15" x14ac:dyDescent="0.25">
      <c r="A41" s="278"/>
      <c r="B41" s="281"/>
      <c r="C41" s="35" t="s">
        <v>22</v>
      </c>
      <c r="D41" s="43">
        <v>9.4</v>
      </c>
      <c r="E41" s="154" t="s">
        <v>306</v>
      </c>
      <c r="G41" s="269"/>
      <c r="H41" s="292"/>
      <c r="I41" s="281"/>
      <c r="J41" s="39" t="s">
        <v>128</v>
      </c>
      <c r="K41" s="40" t="s">
        <v>132</v>
      </c>
      <c r="M41" s="47" t="s">
        <v>286</v>
      </c>
      <c r="N41" s="47" t="s">
        <v>292</v>
      </c>
    </row>
    <row r="42" spans="1:20" ht="15" x14ac:dyDescent="0.25">
      <c r="A42" s="278"/>
      <c r="B42" s="281"/>
      <c r="C42" s="37" t="s">
        <v>23</v>
      </c>
      <c r="D42" s="43">
        <v>4.4000000000000004</v>
      </c>
      <c r="E42" s="154" t="s">
        <v>306</v>
      </c>
      <c r="G42" s="269"/>
      <c r="H42" s="292"/>
      <c r="I42" s="281"/>
      <c r="J42" s="41" t="str">
        <f>IF(K37=G$822, "Cut-point values for percent of students increasing a grade level were:", "Cut-point values for percent of students scoring at grade level were:")</f>
        <v>Cut-point values for percent of students increasing a grade level were:</v>
      </c>
      <c r="K42" s="42"/>
      <c r="M42" s="47" t="s">
        <v>287</v>
      </c>
      <c r="N42" s="47" t="s">
        <v>292</v>
      </c>
    </row>
    <row r="43" spans="1:20" ht="15" x14ac:dyDescent="0.25">
      <c r="A43" s="278"/>
      <c r="B43" s="281"/>
      <c r="C43" s="38" t="s">
        <v>24</v>
      </c>
      <c r="D43" s="180">
        <v>2</v>
      </c>
      <c r="E43" s="154" t="s">
        <v>306</v>
      </c>
      <c r="G43" s="269"/>
      <c r="H43" s="292"/>
      <c r="I43" s="281"/>
      <c r="J43" s="35" t="s">
        <v>22</v>
      </c>
      <c r="K43" s="50">
        <v>90</v>
      </c>
      <c r="M43" s="47" t="s">
        <v>288</v>
      </c>
      <c r="N43" s="47" t="s">
        <v>292</v>
      </c>
    </row>
    <row r="44" spans="1:20" ht="15" x14ac:dyDescent="0.25">
      <c r="A44" s="278"/>
      <c r="B44" s="281"/>
      <c r="C44" s="161" t="s">
        <v>38</v>
      </c>
      <c r="D44" s="173" t="str">
        <f>C44</f>
        <v>Your school's actual percent of students scoring proficient and advanced was:</v>
      </c>
      <c r="E44" s="154" t="s">
        <v>306</v>
      </c>
      <c r="G44" s="269"/>
      <c r="H44" s="292"/>
      <c r="I44" s="281"/>
      <c r="J44" s="37" t="s">
        <v>23</v>
      </c>
      <c r="K44" s="50">
        <v>60</v>
      </c>
      <c r="M44" s="47" t="s">
        <v>289</v>
      </c>
      <c r="N44" s="47" t="s">
        <v>292</v>
      </c>
    </row>
    <row r="45" spans="1:20" ht="15" x14ac:dyDescent="0.25">
      <c r="A45" s="278"/>
      <c r="B45" s="281"/>
      <c r="C45" s="62" t="s">
        <v>25</v>
      </c>
      <c r="D45" s="45" t="s">
        <v>395</v>
      </c>
      <c r="E45" s="154" t="s">
        <v>306</v>
      </c>
      <c r="G45" s="269"/>
      <c r="H45" s="292"/>
      <c r="I45" s="281"/>
      <c r="J45" s="38" t="s">
        <v>24</v>
      </c>
      <c r="K45" s="50">
        <v>40</v>
      </c>
      <c r="M45" s="47" t="s">
        <v>290</v>
      </c>
      <c r="N45" s="47" t="s">
        <v>292</v>
      </c>
    </row>
    <row r="46" spans="1:20" ht="15" customHeight="1" thickBot="1" x14ac:dyDescent="0.3">
      <c r="A46" s="279"/>
      <c r="B46" s="282"/>
      <c r="C46" s="46" t="s">
        <v>194</v>
      </c>
      <c r="D46" s="45" t="s">
        <v>395</v>
      </c>
      <c r="E46" s="154" t="s">
        <v>306</v>
      </c>
      <c r="G46" s="269"/>
      <c r="H46" s="292"/>
      <c r="I46" s="281"/>
      <c r="J46" s="41" t="str">
        <f>IF(K37=G$822, "Your school's actual percent of students increasing a grade level was:", "Your school's actual percent of students scoring at grade level was:")</f>
        <v>Your school's actual percent of students increasing a grade level was:</v>
      </c>
      <c r="K46" s="42"/>
      <c r="M46" s="47" t="s">
        <v>319</v>
      </c>
      <c r="N46" s="47" t="s">
        <v>292</v>
      </c>
    </row>
    <row r="47" spans="1:20" ht="15" customHeight="1" x14ac:dyDescent="0.25">
      <c r="A47" s="277" t="s">
        <v>27</v>
      </c>
      <c r="B47" s="280" t="s">
        <v>337</v>
      </c>
      <c r="C47" s="33" t="s">
        <v>39</v>
      </c>
      <c r="D47" s="152" t="str">
        <f>C47</f>
        <v xml:space="preserve"> To receive the indicator rating, the AEC's percent of students scoring proficient and advanced was:</v>
      </c>
      <c r="E47" s="154" t="s">
        <v>306</v>
      </c>
      <c r="G47" s="269"/>
      <c r="H47" s="292"/>
      <c r="I47" s="281"/>
      <c r="J47" s="44" t="s">
        <v>25</v>
      </c>
      <c r="K47" s="51"/>
      <c r="M47" s="47" t="s">
        <v>400</v>
      </c>
      <c r="N47" s="47" t="s">
        <v>292</v>
      </c>
    </row>
    <row r="48" spans="1:20" ht="15.75" thickBot="1" x14ac:dyDescent="0.3">
      <c r="A48" s="278"/>
      <c r="B48" s="281"/>
      <c r="C48" s="35" t="s">
        <v>125</v>
      </c>
      <c r="D48" s="36" t="s">
        <v>18</v>
      </c>
      <c r="E48" s="154" t="s">
        <v>306</v>
      </c>
      <c r="G48" s="270"/>
      <c r="H48" s="293"/>
      <c r="I48" s="282"/>
      <c r="J48" s="46" t="s">
        <v>194</v>
      </c>
      <c r="K48" s="52"/>
    </row>
    <row r="49" spans="1:13" ht="15.75" thickBot="1" x14ac:dyDescent="0.3">
      <c r="A49" s="278"/>
      <c r="B49" s="281"/>
      <c r="C49" s="37" t="s">
        <v>126</v>
      </c>
      <c r="D49" s="36" t="s">
        <v>19</v>
      </c>
      <c r="E49" s="154" t="s">
        <v>306</v>
      </c>
      <c r="G49" s="53"/>
      <c r="H49" s="54"/>
      <c r="I49" s="55"/>
      <c r="J49" s="56" t="s">
        <v>178</v>
      </c>
      <c r="K49" s="58" t="e">
        <f>IF(#REF!="YES","YES","NO")</f>
        <v>#REF!</v>
      </c>
      <c r="M49" s="47" t="s">
        <v>386</v>
      </c>
    </row>
    <row r="50" spans="1:13" ht="15" customHeight="1" x14ac:dyDescent="0.25">
      <c r="A50" s="278"/>
      <c r="B50" s="281"/>
      <c r="C50" s="38" t="s">
        <v>127</v>
      </c>
      <c r="D50" s="36" t="s">
        <v>20</v>
      </c>
      <c r="E50" s="154" t="s">
        <v>306</v>
      </c>
      <c r="G50" s="268" t="s">
        <v>26</v>
      </c>
      <c r="H50" s="289"/>
      <c r="I50" s="280" t="s">
        <v>288</v>
      </c>
      <c r="J50" s="48" t="s">
        <v>133</v>
      </c>
      <c r="K50" s="49"/>
      <c r="M50" s="47" t="s">
        <v>286</v>
      </c>
    </row>
    <row r="51" spans="1:13" ht="15" x14ac:dyDescent="0.25">
      <c r="A51" s="278"/>
      <c r="B51" s="281"/>
      <c r="C51" s="39" t="s">
        <v>128</v>
      </c>
      <c r="D51" s="40" t="s">
        <v>21</v>
      </c>
      <c r="E51" s="154" t="s">
        <v>306</v>
      </c>
      <c r="G51" s="269"/>
      <c r="H51" s="290"/>
      <c r="I51" s="281"/>
      <c r="J51" s="35" t="s">
        <v>125</v>
      </c>
      <c r="K51" s="36" t="s">
        <v>129</v>
      </c>
      <c r="M51" s="47" t="s">
        <v>287</v>
      </c>
    </row>
    <row r="52" spans="1:13" ht="15" x14ac:dyDescent="0.25">
      <c r="A52" s="278"/>
      <c r="B52" s="281"/>
      <c r="C52" s="41" t="s">
        <v>37</v>
      </c>
      <c r="D52" s="173" t="str">
        <f>C52</f>
        <v>Cut-point values for percent of students scoring proficient and advanced were:</v>
      </c>
      <c r="E52" s="154" t="s">
        <v>306</v>
      </c>
      <c r="G52" s="269"/>
      <c r="H52" s="290"/>
      <c r="I52" s="281"/>
      <c r="J52" s="37" t="s">
        <v>126</v>
      </c>
      <c r="K52" s="36" t="s">
        <v>130</v>
      </c>
      <c r="M52" s="47" t="s">
        <v>288</v>
      </c>
    </row>
    <row r="53" spans="1:13" ht="15" customHeight="1" x14ac:dyDescent="0.25">
      <c r="A53" s="278"/>
      <c r="B53" s="281"/>
      <c r="C53" s="35" t="s">
        <v>22</v>
      </c>
      <c r="D53" s="43">
        <v>30.3</v>
      </c>
      <c r="E53" s="154" t="s">
        <v>306</v>
      </c>
      <c r="G53" s="269"/>
      <c r="H53" s="291" t="s">
        <v>177</v>
      </c>
      <c r="I53" s="281"/>
      <c r="J53" s="38" t="s">
        <v>127</v>
      </c>
      <c r="K53" s="36" t="s">
        <v>131</v>
      </c>
      <c r="M53" s="47" t="s">
        <v>289</v>
      </c>
    </row>
    <row r="54" spans="1:13" ht="15" x14ac:dyDescent="0.25">
      <c r="A54" s="278"/>
      <c r="B54" s="281"/>
      <c r="C54" s="37" t="s">
        <v>23</v>
      </c>
      <c r="D54" s="43">
        <v>16.399999999999999</v>
      </c>
      <c r="E54" s="154" t="s">
        <v>306</v>
      </c>
      <c r="G54" s="269"/>
      <c r="H54" s="292"/>
      <c r="I54" s="281"/>
      <c r="J54" s="39" t="s">
        <v>128</v>
      </c>
      <c r="K54" s="40" t="s">
        <v>132</v>
      </c>
      <c r="M54" s="47" t="s">
        <v>290</v>
      </c>
    </row>
    <row r="55" spans="1:13" ht="15" x14ac:dyDescent="0.25">
      <c r="A55" s="278"/>
      <c r="B55" s="281"/>
      <c r="C55" s="38" t="s">
        <v>24</v>
      </c>
      <c r="D55" s="180">
        <v>10.8</v>
      </c>
      <c r="E55" s="154" t="s">
        <v>306</v>
      </c>
      <c r="G55" s="269"/>
      <c r="H55" s="292"/>
      <c r="I55" s="281"/>
      <c r="J55" s="41" t="str">
        <f>IF(K50=G$822, "Cut-point values for percent of students increasing a grade level were:", "Cut-point values for percent of students scoring at grade level were:")</f>
        <v>Cut-point values for percent of students increasing a grade level were:</v>
      </c>
      <c r="K55" s="42"/>
      <c r="M55" s="47" t="s">
        <v>295</v>
      </c>
    </row>
    <row r="56" spans="1:13" ht="15" x14ac:dyDescent="0.25">
      <c r="A56" s="278"/>
      <c r="B56" s="281"/>
      <c r="C56" s="41" t="s">
        <v>38</v>
      </c>
      <c r="D56" s="173" t="str">
        <f>C56</f>
        <v>Your school's actual percent of students scoring proficient and advanced was:</v>
      </c>
      <c r="E56" s="154" t="s">
        <v>306</v>
      </c>
      <c r="G56" s="269"/>
      <c r="H56" s="292"/>
      <c r="I56" s="281"/>
      <c r="J56" s="35" t="s">
        <v>22</v>
      </c>
      <c r="K56" s="50">
        <v>90</v>
      </c>
    </row>
    <row r="57" spans="1:13" ht="15" x14ac:dyDescent="0.25">
      <c r="A57" s="278"/>
      <c r="B57" s="281"/>
      <c r="C57" s="158" t="s">
        <v>25</v>
      </c>
      <c r="D57" s="45" t="s">
        <v>395</v>
      </c>
      <c r="E57" s="154" t="s">
        <v>306</v>
      </c>
      <c r="G57" s="269"/>
      <c r="H57" s="292"/>
      <c r="I57" s="281"/>
      <c r="J57" s="37" t="s">
        <v>23</v>
      </c>
      <c r="K57" s="50">
        <v>60</v>
      </c>
    </row>
    <row r="58" spans="1:13" ht="15" customHeight="1" thickBot="1" x14ac:dyDescent="0.3">
      <c r="A58" s="279"/>
      <c r="B58" s="282"/>
      <c r="C58" s="46" t="s">
        <v>194</v>
      </c>
      <c r="D58" s="45" t="s">
        <v>395</v>
      </c>
      <c r="E58" s="154" t="s">
        <v>306</v>
      </c>
      <c r="G58" s="269"/>
      <c r="H58" s="292"/>
      <c r="I58" s="281"/>
      <c r="J58" s="38" t="s">
        <v>24</v>
      </c>
      <c r="K58" s="50">
        <v>40</v>
      </c>
    </row>
    <row r="59" spans="1:13" ht="15" customHeight="1" x14ac:dyDescent="0.25">
      <c r="A59" s="277" t="s">
        <v>26</v>
      </c>
      <c r="B59" s="280" t="s">
        <v>385</v>
      </c>
      <c r="C59" s="183" t="s">
        <v>96</v>
      </c>
      <c r="D59" s="184" t="s">
        <v>305</v>
      </c>
      <c r="E59" s="154" t="s">
        <v>306</v>
      </c>
      <c r="G59" s="269"/>
      <c r="H59" s="292"/>
      <c r="I59" s="281"/>
      <c r="J59" s="41" t="str">
        <f>IF(K50=G$822, "Your school's actual percent of students increasing a grade level was:", "Your school's actual percent of students scoring at grade level was:")</f>
        <v>Your school's actual percent of students increasing a grade level was:</v>
      </c>
      <c r="K59" s="42"/>
    </row>
    <row r="60" spans="1:13" ht="15" customHeight="1" x14ac:dyDescent="0.25">
      <c r="A60" s="278"/>
      <c r="B60" s="281"/>
      <c r="C60" s="182" t="s">
        <v>294</v>
      </c>
      <c r="D60" s="181" t="s">
        <v>135</v>
      </c>
      <c r="E60" s="154" t="s">
        <v>306</v>
      </c>
      <c r="G60" s="269"/>
      <c r="H60" s="292"/>
      <c r="I60" s="281"/>
      <c r="J60" s="44" t="s">
        <v>25</v>
      </c>
      <c r="K60" s="51"/>
    </row>
    <row r="61" spans="1:13" ht="15.75" thickBot="1" x14ac:dyDescent="0.3">
      <c r="A61" s="278"/>
      <c r="B61" s="281"/>
      <c r="C61" s="88" t="s">
        <v>95</v>
      </c>
      <c r="D61" s="173" t="str">
        <f>C61</f>
        <v xml:space="preserve"> To receive the indicator rating, the criteria for the additional measure of student academic achievement was:</v>
      </c>
      <c r="E61" s="154" t="s">
        <v>306</v>
      </c>
      <c r="G61" s="270"/>
      <c r="H61" s="293"/>
      <c r="I61" s="282"/>
      <c r="J61" s="46" t="s">
        <v>194</v>
      </c>
      <c r="K61" s="52"/>
    </row>
    <row r="62" spans="1:13" ht="15.75" thickBot="1" x14ac:dyDescent="0.3">
      <c r="A62" s="278"/>
      <c r="B62" s="281"/>
      <c r="C62" s="35" t="s">
        <v>125</v>
      </c>
      <c r="D62" s="74" t="str">
        <f>VLOOKUP(D59,$M$25:$T$33,2,FALSE)</f>
        <v xml:space="preserve"> </v>
      </c>
      <c r="E62" s="154" t="s">
        <v>306</v>
      </c>
      <c r="G62" s="53"/>
      <c r="H62" s="54"/>
      <c r="I62" s="55"/>
      <c r="J62" s="56" t="s">
        <v>178</v>
      </c>
      <c r="K62" s="58" t="e">
        <f>IF(#REF!="YES","YES","NO")</f>
        <v>#REF!</v>
      </c>
    </row>
    <row r="63" spans="1:13" ht="15" customHeight="1" x14ac:dyDescent="0.25">
      <c r="A63" s="278"/>
      <c r="B63" s="281"/>
      <c r="C63" s="37" t="s">
        <v>126</v>
      </c>
      <c r="D63" s="74" t="str">
        <f>VLOOKUP(D59,$M$25:$T$33,3,FALSE)</f>
        <v xml:space="preserve"> </v>
      </c>
      <c r="E63" s="154" t="s">
        <v>306</v>
      </c>
      <c r="G63" s="268" t="s">
        <v>26</v>
      </c>
      <c r="H63" s="289"/>
      <c r="I63" s="280" t="s">
        <v>289</v>
      </c>
      <c r="J63" s="48" t="s">
        <v>133</v>
      </c>
      <c r="K63" s="49"/>
    </row>
    <row r="64" spans="1:13" ht="15.75" customHeight="1" x14ac:dyDescent="0.25">
      <c r="A64" s="278"/>
      <c r="B64" s="281"/>
      <c r="C64" s="38" t="s">
        <v>127</v>
      </c>
      <c r="D64" s="74" t="str">
        <f>VLOOKUP(D59,$M$25:$T$33,4,FALSE)</f>
        <v xml:space="preserve"> </v>
      </c>
      <c r="E64" s="154" t="s">
        <v>306</v>
      </c>
      <c r="G64" s="269"/>
      <c r="H64" s="290"/>
      <c r="I64" s="281"/>
      <c r="J64" s="35" t="s">
        <v>125</v>
      </c>
      <c r="K64" s="36" t="s">
        <v>129</v>
      </c>
    </row>
    <row r="65" spans="1:11" ht="15" x14ac:dyDescent="0.25">
      <c r="A65" s="278"/>
      <c r="B65" s="281"/>
      <c r="C65" s="39" t="s">
        <v>128</v>
      </c>
      <c r="D65" s="192" t="str">
        <f>VLOOKUP(D59,$M$25:$T$33,5,FALSE)</f>
        <v xml:space="preserve"> </v>
      </c>
      <c r="E65" s="154" t="s">
        <v>306</v>
      </c>
      <c r="G65" s="269"/>
      <c r="H65" s="290"/>
      <c r="I65" s="281"/>
      <c r="J65" s="37" t="s">
        <v>126</v>
      </c>
      <c r="K65" s="36" t="s">
        <v>130</v>
      </c>
    </row>
    <row r="66" spans="1:11" ht="15" customHeight="1" x14ac:dyDescent="0.25">
      <c r="A66" s="278"/>
      <c r="B66" s="281"/>
      <c r="C66" s="88" t="s">
        <v>67</v>
      </c>
      <c r="D66" s="173" t="str">
        <f>C66</f>
        <v>Cut-point values for additional measure  of student academic achievement were:</v>
      </c>
      <c r="E66" s="154" t="s">
        <v>306</v>
      </c>
      <c r="G66" s="269"/>
      <c r="H66" s="291" t="s">
        <v>177</v>
      </c>
      <c r="I66" s="281"/>
      <c r="J66" s="38" t="s">
        <v>127</v>
      </c>
      <c r="K66" s="36" t="s">
        <v>131</v>
      </c>
    </row>
    <row r="67" spans="1:11" ht="15" x14ac:dyDescent="0.25">
      <c r="A67" s="278"/>
      <c r="B67" s="281"/>
      <c r="C67" s="35" t="s">
        <v>22</v>
      </c>
      <c r="D67" s="50" t="str">
        <f>VLOOKUP(D59,$M$25:$T$33,6,FALSE)</f>
        <v xml:space="preserve"> </v>
      </c>
      <c r="E67" s="154" t="s">
        <v>306</v>
      </c>
      <c r="G67" s="269"/>
      <c r="H67" s="292"/>
      <c r="I67" s="281"/>
      <c r="J67" s="39" t="s">
        <v>128</v>
      </c>
      <c r="K67" s="40" t="s">
        <v>132</v>
      </c>
    </row>
    <row r="68" spans="1:11" ht="15" x14ac:dyDescent="0.25">
      <c r="A68" s="278"/>
      <c r="B68" s="281"/>
      <c r="C68" s="37" t="s">
        <v>23</v>
      </c>
      <c r="D68" s="50" t="str">
        <f>VLOOKUP(D59,$M$25:$T$33,7,FALSE)</f>
        <v xml:space="preserve"> </v>
      </c>
      <c r="E68" s="154" t="s">
        <v>306</v>
      </c>
      <c r="G68" s="269"/>
      <c r="H68" s="292"/>
      <c r="I68" s="281"/>
      <c r="J68" s="41" t="str">
        <f>IF(K63=G$822, "Cut-point values for percent of students increasing a grade level were:", "Cut-point values for percent of students scoring at grade level were:")</f>
        <v>Cut-point values for percent of students increasing a grade level were:</v>
      </c>
      <c r="K68" s="42"/>
    </row>
    <row r="69" spans="1:11" ht="15.75" thickBot="1" x14ac:dyDescent="0.3">
      <c r="A69" s="278"/>
      <c r="B69" s="281"/>
      <c r="C69" s="38" t="s">
        <v>24</v>
      </c>
      <c r="D69" s="50" t="str">
        <f>VLOOKUP(D59,$M$25:$T$33,8,FALSE)</f>
        <v xml:space="preserve"> </v>
      </c>
      <c r="E69" s="154" t="s">
        <v>306</v>
      </c>
      <c r="G69" s="269"/>
      <c r="H69" s="292"/>
      <c r="I69" s="281"/>
      <c r="J69" s="35" t="s">
        <v>22</v>
      </c>
      <c r="K69" s="50">
        <v>90</v>
      </c>
    </row>
    <row r="70" spans="1:11" ht="15" x14ac:dyDescent="0.25">
      <c r="A70" s="278"/>
      <c r="B70" s="281"/>
      <c r="C70" s="91" t="s">
        <v>282</v>
      </c>
      <c r="D70" s="24" t="s">
        <v>307</v>
      </c>
      <c r="E70" s="154" t="s">
        <v>306</v>
      </c>
      <c r="G70" s="269"/>
      <c r="H70" s="292"/>
      <c r="I70" s="281"/>
      <c r="J70" s="37" t="s">
        <v>23</v>
      </c>
      <c r="K70" s="50">
        <v>60</v>
      </c>
    </row>
    <row r="71" spans="1:11" ht="15" customHeight="1" x14ac:dyDescent="0.25">
      <c r="A71" s="278"/>
      <c r="B71" s="281"/>
      <c r="C71" s="171" t="str">
        <f>IF(D60=M36, "Your school's actual percent of students increasing a grade level was:", "Your school's actual percent of students scoring at grade level was:")</f>
        <v>Your school's actual percent of students increasing a grade level was:</v>
      </c>
      <c r="D71" s="173" t="str">
        <f>C71</f>
        <v>Your school's actual percent of students increasing a grade level was:</v>
      </c>
      <c r="E71" s="154" t="s">
        <v>306</v>
      </c>
      <c r="G71" s="269"/>
      <c r="H71" s="292"/>
      <c r="I71" s="281"/>
      <c r="J71" s="38" t="s">
        <v>24</v>
      </c>
      <c r="K71" s="50">
        <v>40</v>
      </c>
    </row>
    <row r="72" spans="1:11" ht="15" customHeight="1" x14ac:dyDescent="0.25">
      <c r="A72" s="278"/>
      <c r="B72" s="281"/>
      <c r="C72" s="159" t="str">
        <f>IF(D60=$M$36,$Q$36,$Q$37)</f>
        <v>Number of students increasing at least one grade level</v>
      </c>
      <c r="D72" s="156" t="s">
        <v>380</v>
      </c>
      <c r="E72" s="154" t="s">
        <v>306</v>
      </c>
      <c r="G72" s="269"/>
      <c r="H72" s="292"/>
      <c r="I72" s="281"/>
      <c r="J72" s="41" t="str">
        <f>IF(K63=G$822, "Your school's actual percent of students increasing a grade level was:", "Your school's actual percent of students scoring at grade level was:")</f>
        <v>Your school's actual percent of students increasing a grade level was:</v>
      </c>
      <c r="K72" s="42"/>
    </row>
    <row r="73" spans="1:11" ht="15" customHeight="1" x14ac:dyDescent="0.25">
      <c r="A73" s="278"/>
      <c r="B73" s="281"/>
      <c r="C73" s="159" t="s">
        <v>378</v>
      </c>
      <c r="D73" s="156" t="s">
        <v>394</v>
      </c>
      <c r="E73" s="154" t="s">
        <v>306</v>
      </c>
      <c r="G73" s="269"/>
      <c r="H73" s="292"/>
      <c r="I73" s="281"/>
      <c r="J73" s="44" t="s">
        <v>25</v>
      </c>
      <c r="K73" s="51"/>
    </row>
    <row r="74" spans="1:11" ht="15" customHeight="1" thickBot="1" x14ac:dyDescent="0.3">
      <c r="A74" s="278"/>
      <c r="B74" s="281"/>
      <c r="C74" s="64" t="str">
        <f>IF(D70=$M$36,$R$36,$R$37)</f>
        <v>Percent of students scoring at grade level</v>
      </c>
      <c r="D74" s="169" t="e">
        <f>SUM(D72/D73)*100</f>
        <v>#VALUE!</v>
      </c>
      <c r="G74" s="269"/>
      <c r="H74" s="292"/>
      <c r="I74" s="281"/>
      <c r="J74" s="44"/>
      <c r="K74" s="170"/>
    </row>
    <row r="75" spans="1:11" ht="15.75" thickBot="1" x14ac:dyDescent="0.3">
      <c r="A75" s="278"/>
      <c r="B75" s="281"/>
      <c r="C75" s="91" t="s">
        <v>283</v>
      </c>
      <c r="D75" s="24" t="s">
        <v>307</v>
      </c>
      <c r="E75" s="154" t="s">
        <v>306</v>
      </c>
      <c r="G75" s="270"/>
      <c r="H75" s="293"/>
      <c r="I75" s="282"/>
      <c r="J75" s="46" t="s">
        <v>194</v>
      </c>
      <c r="K75" s="52"/>
    </row>
    <row r="76" spans="1:11" ht="15.75" thickBot="1" x14ac:dyDescent="0.3">
      <c r="A76" s="278"/>
      <c r="B76" s="281"/>
      <c r="C76" s="171" t="str">
        <f>IF(D60=M36, "Your school's actual percent of students increasing a grade level was:", "Your school's actual percent of students scoring at grade level was:")</f>
        <v>Your school's actual percent of students increasing a grade level was:</v>
      </c>
      <c r="D76" s="173" t="str">
        <f>C76</f>
        <v>Your school's actual percent of students increasing a grade level was:</v>
      </c>
      <c r="E76" s="154" t="s">
        <v>306</v>
      </c>
      <c r="G76" s="53"/>
      <c r="H76" s="54"/>
      <c r="I76" s="55"/>
      <c r="J76" s="56" t="s">
        <v>178</v>
      </c>
      <c r="K76" s="58" t="e">
        <f>IF(#REF!="YES","YES","NO")</f>
        <v>#REF!</v>
      </c>
    </row>
    <row r="77" spans="1:11" ht="15" customHeight="1" x14ac:dyDescent="0.25">
      <c r="A77" s="278"/>
      <c r="B77" s="281"/>
      <c r="C77" s="159" t="str">
        <f>IF(D60=$M$36,$Q$36,$Q$37)</f>
        <v>Number of students increasing at least one grade level</v>
      </c>
      <c r="D77" s="156" t="s">
        <v>380</v>
      </c>
      <c r="E77" s="154" t="s">
        <v>306</v>
      </c>
      <c r="G77" s="268" t="s">
        <v>26</v>
      </c>
      <c r="H77" s="289"/>
      <c r="I77" s="280" t="s">
        <v>290</v>
      </c>
      <c r="J77" s="48" t="s">
        <v>133</v>
      </c>
      <c r="K77" s="49"/>
    </row>
    <row r="78" spans="1:11" ht="15" x14ac:dyDescent="0.25">
      <c r="A78" s="278"/>
      <c r="B78" s="281"/>
      <c r="C78" s="159" t="s">
        <v>378</v>
      </c>
      <c r="D78" s="156" t="s">
        <v>394</v>
      </c>
      <c r="E78" s="154" t="s">
        <v>306</v>
      </c>
      <c r="G78" s="269"/>
      <c r="H78" s="290"/>
      <c r="I78" s="281"/>
      <c r="J78" s="35" t="s">
        <v>125</v>
      </c>
      <c r="K78" s="36" t="s">
        <v>129</v>
      </c>
    </row>
    <row r="79" spans="1:11" ht="15.75" thickBot="1" x14ac:dyDescent="0.3">
      <c r="A79" s="278"/>
      <c r="B79" s="281"/>
      <c r="C79" s="64" t="str">
        <f>IF(D75=$M$36,$R$36,$R$37)</f>
        <v>Percent of students scoring at grade level</v>
      </c>
      <c r="D79" s="169" t="e">
        <f>SUM(D77/D78)*100</f>
        <v>#VALUE!</v>
      </c>
      <c r="G79" s="269"/>
      <c r="H79" s="290"/>
      <c r="I79" s="281"/>
      <c r="J79" s="35"/>
      <c r="K79" s="36"/>
    </row>
    <row r="80" spans="1:11" ht="15" x14ac:dyDescent="0.25">
      <c r="A80" s="278"/>
      <c r="B80" s="281"/>
      <c r="C80" s="91" t="s">
        <v>284</v>
      </c>
      <c r="D80" s="24" t="s">
        <v>307</v>
      </c>
      <c r="E80" s="154" t="s">
        <v>306</v>
      </c>
      <c r="G80" s="269"/>
      <c r="H80" s="290"/>
      <c r="I80" s="281"/>
      <c r="J80" s="37" t="s">
        <v>126</v>
      </c>
      <c r="K80" s="36" t="s">
        <v>130</v>
      </c>
    </row>
    <row r="81" spans="1:11" ht="15" customHeight="1" x14ac:dyDescent="0.25">
      <c r="A81" s="278"/>
      <c r="B81" s="281"/>
      <c r="C81" s="171" t="str">
        <f>IF(D60=M36, "Your school's actual percent of students increasing a grade level was:", "Your school's actual percent of students scoring at grade level was:")</f>
        <v>Your school's actual percent of students increasing a grade level was:</v>
      </c>
      <c r="D81" s="173" t="str">
        <f>C81</f>
        <v>Your school's actual percent of students increasing a grade level was:</v>
      </c>
      <c r="E81" s="154" t="s">
        <v>306</v>
      </c>
      <c r="G81" s="269"/>
      <c r="H81" s="291" t="s">
        <v>177</v>
      </c>
      <c r="I81" s="281"/>
      <c r="J81" s="38" t="s">
        <v>127</v>
      </c>
      <c r="K81" s="36" t="s">
        <v>131</v>
      </c>
    </row>
    <row r="82" spans="1:11" ht="15" customHeight="1" x14ac:dyDescent="0.25">
      <c r="A82" s="278"/>
      <c r="B82" s="281"/>
      <c r="C82" s="159" t="str">
        <f>IF(D60=$M$36,$Q$36,$Q$37)</f>
        <v>Number of students increasing at least one grade level</v>
      </c>
      <c r="D82" s="156" t="s">
        <v>380</v>
      </c>
      <c r="E82" s="154" t="s">
        <v>306</v>
      </c>
      <c r="G82" s="269"/>
      <c r="H82" s="292"/>
      <c r="I82" s="281"/>
      <c r="J82" s="39" t="s">
        <v>128</v>
      </c>
      <c r="K82" s="40" t="s">
        <v>132</v>
      </c>
    </row>
    <row r="83" spans="1:11" ht="15" x14ac:dyDescent="0.25">
      <c r="A83" s="278"/>
      <c r="B83" s="281"/>
      <c r="C83" s="159" t="s">
        <v>378</v>
      </c>
      <c r="D83" s="156" t="s">
        <v>394</v>
      </c>
      <c r="E83" s="154" t="s">
        <v>306</v>
      </c>
      <c r="G83" s="269"/>
      <c r="H83" s="292"/>
      <c r="I83" s="281"/>
      <c r="J83" s="41" t="str">
        <f>IF(K77=G$822, "Cut-point values for percent of students increasing a grade level were:", "Cut-point values for percent of students scoring at grade level were:")</f>
        <v>Cut-point values for percent of students increasing a grade level were:</v>
      </c>
      <c r="K83" s="42"/>
    </row>
    <row r="84" spans="1:11" ht="15.75" thickBot="1" x14ac:dyDescent="0.3">
      <c r="A84" s="278"/>
      <c r="B84" s="281"/>
      <c r="C84" s="64" t="str">
        <f>IF(D80=$M$36,$R$36,$R$37)</f>
        <v>Percent of students scoring at grade level</v>
      </c>
      <c r="D84" s="169" t="e">
        <f>SUM(D82/D83)*100</f>
        <v>#VALUE!</v>
      </c>
      <c r="G84" s="269"/>
      <c r="H84" s="292"/>
      <c r="I84" s="281"/>
      <c r="J84" s="70"/>
      <c r="K84" s="71"/>
    </row>
    <row r="85" spans="1:11" ht="15" x14ac:dyDescent="0.25">
      <c r="A85" s="278"/>
      <c r="B85" s="281"/>
      <c r="C85" s="91" t="s">
        <v>285</v>
      </c>
      <c r="D85" s="24" t="s">
        <v>307</v>
      </c>
      <c r="E85" s="154" t="s">
        <v>306</v>
      </c>
      <c r="G85" s="269"/>
      <c r="H85" s="292"/>
      <c r="I85" s="281"/>
      <c r="J85" s="35" t="s">
        <v>22</v>
      </c>
      <c r="K85" s="50">
        <v>90</v>
      </c>
    </row>
    <row r="86" spans="1:11" ht="15" customHeight="1" x14ac:dyDescent="0.25">
      <c r="A86" s="278"/>
      <c r="B86" s="281"/>
      <c r="C86" s="171" t="str">
        <f>IF(D60=M36, "Your school's actual percent of students increasing a grade level was:", "Your school's actual percent of students scoring at grade level was:")</f>
        <v>Your school's actual percent of students increasing a grade level was:</v>
      </c>
      <c r="D86" s="173" t="str">
        <f>C86</f>
        <v>Your school's actual percent of students increasing a grade level was:</v>
      </c>
      <c r="E86" s="154" t="s">
        <v>306</v>
      </c>
      <c r="G86" s="269"/>
      <c r="H86" s="292"/>
      <c r="I86" s="281"/>
      <c r="J86" s="37" t="s">
        <v>23</v>
      </c>
      <c r="K86" s="50">
        <v>60</v>
      </c>
    </row>
    <row r="87" spans="1:11" ht="15" x14ac:dyDescent="0.25">
      <c r="A87" s="278"/>
      <c r="B87" s="281"/>
      <c r="C87" s="159" t="str">
        <f>IF(D60=$M$36,$Q$36,$Q$37)</f>
        <v>Number of students increasing at least one grade level</v>
      </c>
      <c r="D87" s="156" t="s">
        <v>380</v>
      </c>
      <c r="E87" s="154" t="s">
        <v>306</v>
      </c>
      <c r="G87" s="269"/>
      <c r="H87" s="292"/>
      <c r="I87" s="281"/>
      <c r="J87" s="38" t="s">
        <v>24</v>
      </c>
      <c r="K87" s="50">
        <v>40</v>
      </c>
    </row>
    <row r="88" spans="1:11" ht="15" x14ac:dyDescent="0.25">
      <c r="A88" s="278"/>
      <c r="B88" s="281"/>
      <c r="C88" s="159" t="s">
        <v>378</v>
      </c>
      <c r="D88" s="156" t="s">
        <v>394</v>
      </c>
      <c r="E88" s="154" t="s">
        <v>306</v>
      </c>
      <c r="G88" s="269"/>
      <c r="H88" s="292"/>
      <c r="I88" s="281"/>
      <c r="J88" s="41" t="str">
        <f>IF(K77=G$822, "Your school's actual percent of students increasing a grade level was:", "Your school's actual percent of students scoring at grade level was:")</f>
        <v>Your school's actual percent of students increasing a grade level was:</v>
      </c>
      <c r="K88" s="42"/>
    </row>
    <row r="89" spans="1:11" ht="15.75" thickBot="1" x14ac:dyDescent="0.3">
      <c r="A89" s="279"/>
      <c r="B89" s="282"/>
      <c r="C89" s="64" t="str">
        <f>IF(D85=$M$36,$R$36,$R$37)</f>
        <v>Percent of students scoring at grade level</v>
      </c>
      <c r="D89" s="169" t="e">
        <f>SUM(D87/D88)*100</f>
        <v>#VALUE!</v>
      </c>
      <c r="E89" s="154" t="s">
        <v>306</v>
      </c>
      <c r="G89" s="269"/>
      <c r="H89" s="292"/>
      <c r="I89" s="281"/>
      <c r="J89" s="157"/>
      <c r="K89" s="71"/>
    </row>
    <row r="90" spans="1:11" ht="15.75" customHeight="1" x14ac:dyDescent="0.25">
      <c r="A90" s="277" t="s">
        <v>26</v>
      </c>
      <c r="B90" s="280" t="s">
        <v>391</v>
      </c>
      <c r="C90" s="183" t="s">
        <v>96</v>
      </c>
      <c r="D90" s="184" t="s">
        <v>305</v>
      </c>
      <c r="E90" s="154" t="s">
        <v>306</v>
      </c>
      <c r="G90" s="269"/>
      <c r="H90" s="292"/>
      <c r="I90" s="281"/>
      <c r="J90" s="44" t="s">
        <v>25</v>
      </c>
      <c r="K90" s="59"/>
    </row>
    <row r="91" spans="1:11" ht="15.75" customHeight="1" thickBot="1" x14ac:dyDescent="0.3">
      <c r="A91" s="278"/>
      <c r="B91" s="281"/>
      <c r="C91" s="185" t="s">
        <v>294</v>
      </c>
      <c r="D91" s="186" t="s">
        <v>135</v>
      </c>
      <c r="E91" s="154" t="s">
        <v>306</v>
      </c>
      <c r="G91" s="270"/>
      <c r="H91" s="293"/>
      <c r="I91" s="282"/>
      <c r="J91" s="46" t="s">
        <v>194</v>
      </c>
      <c r="K91" s="52"/>
    </row>
    <row r="92" spans="1:11" ht="15" customHeight="1" thickBot="1" x14ac:dyDescent="0.3">
      <c r="A92" s="278"/>
      <c r="B92" s="281"/>
      <c r="C92" s="70" t="s">
        <v>95</v>
      </c>
      <c r="D92" s="173" t="str">
        <f>C92</f>
        <v xml:space="preserve"> To receive the indicator rating, the criteria for the additional measure of student academic achievement was:</v>
      </c>
      <c r="E92" s="154" t="s">
        <v>306</v>
      </c>
      <c r="G92" s="53"/>
      <c r="H92" s="54"/>
      <c r="I92" s="55"/>
      <c r="J92" s="56" t="s">
        <v>178</v>
      </c>
      <c r="K92" s="58" t="e">
        <f>IF(#REF!="YES","YES","NO")</f>
        <v>#REF!</v>
      </c>
    </row>
    <row r="93" spans="1:11" ht="15" customHeight="1" x14ac:dyDescent="0.25">
      <c r="A93" s="278"/>
      <c r="B93" s="281"/>
      <c r="C93" s="35" t="s">
        <v>125</v>
      </c>
      <c r="D93" s="74" t="str">
        <f>VLOOKUP(D90,$M$25:$T$33,2,FALSE)</f>
        <v xml:space="preserve"> </v>
      </c>
      <c r="E93" s="154" t="s">
        <v>306</v>
      </c>
      <c r="G93" s="268" t="s">
        <v>26</v>
      </c>
      <c r="H93" s="289"/>
      <c r="I93" s="280" t="s">
        <v>291</v>
      </c>
      <c r="J93" s="60" t="s">
        <v>269</v>
      </c>
      <c r="K93" s="61"/>
    </row>
    <row r="94" spans="1:11" ht="15" customHeight="1" x14ac:dyDescent="0.25">
      <c r="A94" s="278"/>
      <c r="B94" s="281"/>
      <c r="C94" s="37" t="s">
        <v>126</v>
      </c>
      <c r="D94" s="74" t="str">
        <f>VLOOKUP(D90,$M$25:$T$33,3,FALSE)</f>
        <v xml:space="preserve"> </v>
      </c>
      <c r="E94" s="154" t="s">
        <v>306</v>
      </c>
      <c r="G94" s="269"/>
      <c r="H94" s="290"/>
      <c r="I94" s="281"/>
      <c r="J94" s="35" t="s">
        <v>125</v>
      </c>
      <c r="K94" s="36" t="s">
        <v>270</v>
      </c>
    </row>
    <row r="95" spans="1:11" ht="15" customHeight="1" x14ac:dyDescent="0.25">
      <c r="A95" s="278"/>
      <c r="B95" s="281"/>
      <c r="C95" s="38" t="s">
        <v>127</v>
      </c>
      <c r="D95" s="74" t="str">
        <f>VLOOKUP(D90,$M$25:$T$33,4,FALSE)</f>
        <v xml:space="preserve"> </v>
      </c>
      <c r="E95" s="154" t="s">
        <v>306</v>
      </c>
      <c r="G95" s="269"/>
      <c r="H95" s="290"/>
      <c r="I95" s="281"/>
      <c r="J95" s="37" t="s">
        <v>126</v>
      </c>
      <c r="K95" s="36" t="s">
        <v>271</v>
      </c>
    </row>
    <row r="96" spans="1:11" ht="15" customHeight="1" x14ac:dyDescent="0.25">
      <c r="A96" s="278"/>
      <c r="B96" s="281"/>
      <c r="C96" s="39" t="s">
        <v>128</v>
      </c>
      <c r="D96" s="192" t="str">
        <f>VLOOKUP(D90,$M$25:$T$33,5,FALSE)</f>
        <v xml:space="preserve"> </v>
      </c>
      <c r="E96" s="154" t="s">
        <v>306</v>
      </c>
      <c r="G96" s="269"/>
      <c r="H96" s="291" t="s">
        <v>177</v>
      </c>
      <c r="I96" s="281"/>
      <c r="J96" s="38" t="s">
        <v>127</v>
      </c>
      <c r="K96" s="36" t="s">
        <v>272</v>
      </c>
    </row>
    <row r="97" spans="1:11" ht="15" customHeight="1" x14ac:dyDescent="0.25">
      <c r="A97" s="278"/>
      <c r="B97" s="281"/>
      <c r="C97" s="88" t="s">
        <v>67</v>
      </c>
      <c r="D97" s="173" t="str">
        <f>C97</f>
        <v>Cut-point values for additional measure  of student academic achievement were:</v>
      </c>
      <c r="E97" s="154" t="s">
        <v>306</v>
      </c>
      <c r="G97" s="269"/>
      <c r="H97" s="292"/>
      <c r="I97" s="281"/>
      <c r="J97" s="39" t="s">
        <v>128</v>
      </c>
      <c r="K97" s="40" t="s">
        <v>273</v>
      </c>
    </row>
    <row r="98" spans="1:11" ht="15" x14ac:dyDescent="0.25">
      <c r="A98" s="278"/>
      <c r="B98" s="281"/>
      <c r="C98" s="35" t="s">
        <v>22</v>
      </c>
      <c r="D98" s="50" t="str">
        <f>VLOOKUP(D90,$M$25:$T$33,6,FALSE)</f>
        <v xml:space="preserve"> </v>
      </c>
      <c r="E98" s="154" t="s">
        <v>306</v>
      </c>
      <c r="G98" s="269"/>
      <c r="H98" s="292"/>
      <c r="I98" s="281"/>
      <c r="J98" s="41" t="str">
        <f>IF(K93=G$822, "Cut-point values for percent of students increasing a grade level were:", "Cut-point values for percent of students scoring at grade level were:")</f>
        <v>Cut-point values for percent of students increasing a grade level were:</v>
      </c>
      <c r="K98" s="42"/>
    </row>
    <row r="99" spans="1:11" ht="15" customHeight="1" x14ac:dyDescent="0.25">
      <c r="A99" s="278"/>
      <c r="B99" s="281"/>
      <c r="C99" s="37" t="s">
        <v>23</v>
      </c>
      <c r="D99" s="50" t="str">
        <f>VLOOKUP(D90,$M$25:$T$33,7,FALSE)</f>
        <v xml:space="preserve"> </v>
      </c>
      <c r="E99" s="154" t="s">
        <v>306</v>
      </c>
      <c r="G99" s="269"/>
      <c r="H99" s="292"/>
      <c r="I99" s="281"/>
      <c r="J99" s="35" t="s">
        <v>22</v>
      </c>
      <c r="K99" s="50">
        <v>80</v>
      </c>
    </row>
    <row r="100" spans="1:11" ht="15" customHeight="1" thickBot="1" x14ac:dyDescent="0.3">
      <c r="A100" s="278"/>
      <c r="B100" s="281"/>
      <c r="C100" s="38" t="s">
        <v>24</v>
      </c>
      <c r="D100" s="50" t="str">
        <f>VLOOKUP(D90,$M$25:$T$33,8,FALSE)</f>
        <v xml:space="preserve"> </v>
      </c>
      <c r="E100" s="154" t="s">
        <v>306</v>
      </c>
      <c r="G100" s="269"/>
      <c r="H100" s="292"/>
      <c r="I100" s="281"/>
      <c r="J100" s="37" t="s">
        <v>23</v>
      </c>
      <c r="K100" s="50">
        <v>62</v>
      </c>
    </row>
    <row r="101" spans="1:11" ht="15" x14ac:dyDescent="0.25">
      <c r="A101" s="278"/>
      <c r="B101" s="281"/>
      <c r="C101" s="172" t="s">
        <v>282</v>
      </c>
      <c r="D101" s="24" t="s">
        <v>307</v>
      </c>
      <c r="E101" s="154" t="s">
        <v>306</v>
      </c>
      <c r="G101" s="269"/>
      <c r="H101" s="292"/>
      <c r="I101" s="281"/>
      <c r="J101" s="38" t="s">
        <v>24</v>
      </c>
      <c r="K101" s="50">
        <v>40</v>
      </c>
    </row>
    <row r="102" spans="1:11" ht="15" x14ac:dyDescent="0.25">
      <c r="A102" s="278"/>
      <c r="B102" s="281"/>
      <c r="C102" s="171" t="str">
        <f>IF(D91=M67, "Your school's actual percent of students increasing a grade level was:", "Your school's actual percent of students scoring at grade level was:")</f>
        <v>Your school's actual percent of students scoring at grade level was:</v>
      </c>
      <c r="D102" s="173" t="str">
        <f>C102</f>
        <v>Your school's actual percent of students scoring at grade level was:</v>
      </c>
      <c r="E102" s="154" t="s">
        <v>306</v>
      </c>
      <c r="G102" s="269"/>
      <c r="H102" s="292"/>
      <c r="I102" s="281"/>
      <c r="J102" s="41" t="s">
        <v>274</v>
      </c>
      <c r="K102" s="42"/>
    </row>
    <row r="103" spans="1:11" ht="15" customHeight="1" x14ac:dyDescent="0.25">
      <c r="A103" s="278"/>
      <c r="B103" s="281"/>
      <c r="C103" s="174" t="str">
        <f>IF(D91=$M$36,$Q$36,$Q$37)</f>
        <v>Number of students increasing at least one grade level</v>
      </c>
      <c r="D103" s="156" t="s">
        <v>380</v>
      </c>
      <c r="E103" s="154" t="s">
        <v>306</v>
      </c>
      <c r="G103" s="269"/>
      <c r="H103" s="292"/>
      <c r="I103" s="281"/>
      <c r="J103" s="62" t="s">
        <v>275</v>
      </c>
      <c r="K103" s="51"/>
    </row>
    <row r="104" spans="1:11" ht="15.75" thickBot="1" x14ac:dyDescent="0.3">
      <c r="A104" s="278"/>
      <c r="B104" s="281"/>
      <c r="C104" s="174" t="s">
        <v>378</v>
      </c>
      <c r="D104" s="156" t="s">
        <v>394</v>
      </c>
      <c r="E104" s="154" t="s">
        <v>306</v>
      </c>
      <c r="G104" s="270"/>
      <c r="H104" s="293"/>
      <c r="I104" s="282"/>
      <c r="J104" s="46" t="s">
        <v>194</v>
      </c>
      <c r="K104" s="52"/>
    </row>
    <row r="105" spans="1:11" ht="15" customHeight="1" thickBot="1" x14ac:dyDescent="0.3">
      <c r="A105" s="278"/>
      <c r="B105" s="281"/>
      <c r="C105" s="175" t="str">
        <f>IF(D101=$M$36,$R$36,$R$37)</f>
        <v>Percent of students scoring at grade level</v>
      </c>
      <c r="D105" s="169" t="e">
        <f>SUM(D103/D104)*100</f>
        <v>#VALUE!</v>
      </c>
      <c r="E105" s="154" t="s">
        <v>306</v>
      </c>
      <c r="G105" s="53"/>
      <c r="H105" s="54"/>
      <c r="I105" s="55"/>
      <c r="J105" s="56" t="s">
        <v>178</v>
      </c>
      <c r="K105" s="58" t="e">
        <f>IF(#REF!="YES","YES","NO")</f>
        <v>#REF!</v>
      </c>
    </row>
    <row r="106" spans="1:11" ht="15" customHeight="1" x14ac:dyDescent="0.25">
      <c r="A106" s="278"/>
      <c r="B106" s="281"/>
      <c r="C106" s="172" t="s">
        <v>283</v>
      </c>
      <c r="D106" s="24" t="s">
        <v>307</v>
      </c>
      <c r="E106" s="154" t="s">
        <v>306</v>
      </c>
    </row>
    <row r="107" spans="1:11" ht="15" customHeight="1" x14ac:dyDescent="0.25">
      <c r="A107" s="278"/>
      <c r="B107" s="281"/>
      <c r="C107" s="171" t="str">
        <f>IF(D91=M67, "Your school's actual percent of students increasing a grade level was:", "Your school's actual percent of students scoring at grade level was:")</f>
        <v>Your school's actual percent of students scoring at grade level was:</v>
      </c>
      <c r="D107" s="173" t="str">
        <f>C107</f>
        <v>Your school's actual percent of students scoring at grade level was:</v>
      </c>
      <c r="E107" s="154" t="s">
        <v>306</v>
      </c>
    </row>
    <row r="108" spans="1:11" ht="15" customHeight="1" x14ac:dyDescent="0.25">
      <c r="A108" s="278"/>
      <c r="B108" s="281"/>
      <c r="C108" s="174" t="str">
        <f>IF(D91=$M$36,$Q$36,$Q$37)</f>
        <v>Number of students increasing at least one grade level</v>
      </c>
      <c r="D108" s="156" t="s">
        <v>380</v>
      </c>
      <c r="E108" s="154" t="s">
        <v>306</v>
      </c>
    </row>
    <row r="109" spans="1:11" ht="15" x14ac:dyDescent="0.25">
      <c r="A109" s="278"/>
      <c r="B109" s="281"/>
      <c r="C109" s="174" t="s">
        <v>378</v>
      </c>
      <c r="D109" s="156" t="s">
        <v>394</v>
      </c>
      <c r="E109" s="154" t="s">
        <v>306</v>
      </c>
    </row>
    <row r="110" spans="1:11" ht="15" customHeight="1" thickBot="1" x14ac:dyDescent="0.3">
      <c r="A110" s="278"/>
      <c r="B110" s="281"/>
      <c r="C110" s="175" t="str">
        <f>IF(D106=$M$36,$R$36,$R$37)</f>
        <v>Percent of students scoring at grade level</v>
      </c>
      <c r="D110" s="169" t="e">
        <f>SUM(D108/D109)*100</f>
        <v>#VALUE!</v>
      </c>
      <c r="E110" s="154" t="s">
        <v>306</v>
      </c>
    </row>
    <row r="111" spans="1:11" ht="15" customHeight="1" x14ac:dyDescent="0.25">
      <c r="A111" s="278"/>
      <c r="B111" s="281"/>
      <c r="C111" s="172" t="s">
        <v>284</v>
      </c>
      <c r="D111" s="24" t="s">
        <v>307</v>
      </c>
      <c r="E111" s="154" t="s">
        <v>306</v>
      </c>
    </row>
    <row r="112" spans="1:11" ht="15" x14ac:dyDescent="0.25">
      <c r="A112" s="278"/>
      <c r="B112" s="281"/>
      <c r="C112" s="171" t="str">
        <f>IF(D91=M67, "Your school's actual percent of students increasing a grade level was:", "Your school's actual percent of students scoring at grade level was:")</f>
        <v>Your school's actual percent of students scoring at grade level was:</v>
      </c>
      <c r="D112" s="173" t="str">
        <f>C112</f>
        <v>Your school's actual percent of students scoring at grade level was:</v>
      </c>
      <c r="E112" s="154" t="s">
        <v>306</v>
      </c>
    </row>
    <row r="113" spans="1:5" ht="15" x14ac:dyDescent="0.25">
      <c r="A113" s="278"/>
      <c r="B113" s="281"/>
      <c r="C113" s="174" t="str">
        <f>IF(D91=$M$36,$Q$36,$Q$37)</f>
        <v>Number of students increasing at least one grade level</v>
      </c>
      <c r="D113" s="156" t="s">
        <v>380</v>
      </c>
      <c r="E113" s="154" t="s">
        <v>306</v>
      </c>
    </row>
    <row r="114" spans="1:5" ht="15" customHeight="1" x14ac:dyDescent="0.25">
      <c r="A114" s="278"/>
      <c r="B114" s="281"/>
      <c r="C114" s="174" t="s">
        <v>378</v>
      </c>
      <c r="D114" s="156" t="s">
        <v>394</v>
      </c>
      <c r="E114" s="154" t="s">
        <v>306</v>
      </c>
    </row>
    <row r="115" spans="1:5" ht="15" customHeight="1" thickBot="1" x14ac:dyDescent="0.3">
      <c r="A115" s="278"/>
      <c r="B115" s="281"/>
      <c r="C115" s="175" t="str">
        <f>IF(D111=$M$36,$R$36,$R$37)</f>
        <v>Percent of students scoring at grade level</v>
      </c>
      <c r="D115" s="169" t="e">
        <f>SUM(D113/D114)*100</f>
        <v>#VALUE!</v>
      </c>
      <c r="E115" s="154" t="s">
        <v>306</v>
      </c>
    </row>
    <row r="116" spans="1:5" ht="15" customHeight="1" x14ac:dyDescent="0.25">
      <c r="A116" s="278"/>
      <c r="B116" s="281"/>
      <c r="C116" s="172" t="s">
        <v>285</v>
      </c>
      <c r="D116" s="24" t="s">
        <v>307</v>
      </c>
      <c r="E116" s="154" t="s">
        <v>306</v>
      </c>
    </row>
    <row r="117" spans="1:5" ht="15" x14ac:dyDescent="0.25">
      <c r="A117" s="278"/>
      <c r="B117" s="281"/>
      <c r="C117" s="171" t="str">
        <f>IF(D91=M67, "Your school's actual percent of students increasing a grade level was:", "Your school's actual percent of students scoring at grade level was:")</f>
        <v>Your school's actual percent of students scoring at grade level was:</v>
      </c>
      <c r="D117" s="173" t="str">
        <f>C117</f>
        <v>Your school's actual percent of students scoring at grade level was:</v>
      </c>
      <c r="E117" s="154" t="s">
        <v>306</v>
      </c>
    </row>
    <row r="118" spans="1:5" ht="15" x14ac:dyDescent="0.25">
      <c r="A118" s="278"/>
      <c r="B118" s="281"/>
      <c r="C118" s="174" t="str">
        <f>IF(D91=$M$36,$Q$36,$Q$37)</f>
        <v>Number of students increasing at least one grade level</v>
      </c>
      <c r="D118" s="156" t="s">
        <v>380</v>
      </c>
    </row>
    <row r="119" spans="1:5" ht="15" x14ac:dyDescent="0.25">
      <c r="A119" s="278"/>
      <c r="B119" s="281"/>
      <c r="C119" s="174" t="s">
        <v>378</v>
      </c>
      <c r="D119" s="156" t="s">
        <v>394</v>
      </c>
    </row>
    <row r="120" spans="1:5" ht="15.75" thickBot="1" x14ac:dyDescent="0.3">
      <c r="A120" s="279"/>
      <c r="B120" s="282"/>
      <c r="C120" s="175" t="str">
        <f>IF(D116=$M$36,$R$36,$R$37)</f>
        <v>Percent of students scoring at grade level</v>
      </c>
      <c r="D120" s="169" t="e">
        <f>SUM(D118/D119)*100</f>
        <v>#VALUE!</v>
      </c>
    </row>
    <row r="121" spans="1:5" ht="15" x14ac:dyDescent="0.25">
      <c r="A121" s="277" t="s">
        <v>26</v>
      </c>
      <c r="B121" s="280" t="s">
        <v>390</v>
      </c>
      <c r="C121" s="91" t="s">
        <v>96</v>
      </c>
      <c r="D121" s="167" t="s">
        <v>291</v>
      </c>
      <c r="E121" s="154" t="s">
        <v>306</v>
      </c>
    </row>
    <row r="122" spans="1:5" ht="15" x14ac:dyDescent="0.25">
      <c r="A122" s="278"/>
      <c r="B122" s="281"/>
      <c r="C122" s="92" t="s">
        <v>205</v>
      </c>
      <c r="D122" s="187" t="s">
        <v>278</v>
      </c>
      <c r="E122" s="154" t="s">
        <v>306</v>
      </c>
    </row>
    <row r="123" spans="1:5" ht="15" x14ac:dyDescent="0.25">
      <c r="A123" s="278"/>
      <c r="B123" s="281"/>
      <c r="C123" s="72" t="s">
        <v>95</v>
      </c>
      <c r="D123" s="173" t="str">
        <f>C123</f>
        <v xml:space="preserve"> To receive the indicator rating, the criteria for the additional measure of student academic achievement was:</v>
      </c>
      <c r="E123" s="154" t="s">
        <v>306</v>
      </c>
    </row>
    <row r="124" spans="1:5" ht="15" x14ac:dyDescent="0.25">
      <c r="A124" s="278"/>
      <c r="B124" s="281"/>
      <c r="C124" s="35" t="s">
        <v>125</v>
      </c>
      <c r="D124" s="74" t="s">
        <v>270</v>
      </c>
      <c r="E124" s="154" t="s">
        <v>306</v>
      </c>
    </row>
    <row r="125" spans="1:5" ht="15" x14ac:dyDescent="0.25">
      <c r="A125" s="278"/>
      <c r="B125" s="281"/>
      <c r="C125" s="37" t="s">
        <v>126</v>
      </c>
      <c r="D125" s="74" t="s">
        <v>271</v>
      </c>
      <c r="E125" s="154" t="s">
        <v>306</v>
      </c>
    </row>
    <row r="126" spans="1:5" ht="15" x14ac:dyDescent="0.25">
      <c r="A126" s="278"/>
      <c r="B126" s="281"/>
      <c r="C126" s="38" t="s">
        <v>127</v>
      </c>
      <c r="D126" s="74" t="s">
        <v>272</v>
      </c>
      <c r="E126" s="154" t="s">
        <v>306</v>
      </c>
    </row>
    <row r="127" spans="1:5" ht="15" x14ac:dyDescent="0.25">
      <c r="A127" s="278"/>
      <c r="B127" s="281"/>
      <c r="C127" s="39" t="s">
        <v>128</v>
      </c>
      <c r="D127" s="74" t="s">
        <v>273</v>
      </c>
      <c r="E127" s="154" t="s">
        <v>306</v>
      </c>
    </row>
    <row r="128" spans="1:5" ht="15" x14ac:dyDescent="0.25">
      <c r="A128" s="278"/>
      <c r="B128" s="281"/>
      <c r="C128" s="41" t="s">
        <v>67</v>
      </c>
      <c r="D128" s="153" t="str">
        <f>C128</f>
        <v>Cut-point values for additional measure  of student academic achievement were:</v>
      </c>
      <c r="E128" s="154" t="s">
        <v>306</v>
      </c>
    </row>
    <row r="129" spans="1:5" ht="15" x14ac:dyDescent="0.25">
      <c r="A129" s="278"/>
      <c r="B129" s="281"/>
      <c r="C129" s="35" t="s">
        <v>22</v>
      </c>
      <c r="D129" s="168">
        <v>80</v>
      </c>
      <c r="E129" s="154" t="s">
        <v>306</v>
      </c>
    </row>
    <row r="130" spans="1:5" ht="15" x14ac:dyDescent="0.25">
      <c r="A130" s="278"/>
      <c r="B130" s="281"/>
      <c r="C130" s="37" t="s">
        <v>23</v>
      </c>
      <c r="D130" s="168">
        <v>62</v>
      </c>
      <c r="E130" s="154" t="s">
        <v>306</v>
      </c>
    </row>
    <row r="131" spans="1:5" ht="15" x14ac:dyDescent="0.25">
      <c r="A131" s="278"/>
      <c r="B131" s="281"/>
      <c r="C131" s="38" t="s">
        <v>24</v>
      </c>
      <c r="D131" s="188">
        <v>40</v>
      </c>
      <c r="E131" s="154" t="s">
        <v>306</v>
      </c>
    </row>
    <row r="132" spans="1:5" ht="15" x14ac:dyDescent="0.25">
      <c r="A132" s="278"/>
      <c r="B132" s="281"/>
      <c r="C132" s="41" t="s">
        <v>66</v>
      </c>
      <c r="D132" s="173" t="str">
        <f>C132</f>
        <v>Your school's actual value for additional measure of student academic achievement was:</v>
      </c>
      <c r="E132" s="154" t="s">
        <v>306</v>
      </c>
    </row>
    <row r="133" spans="1:5" ht="15" x14ac:dyDescent="0.25">
      <c r="A133" s="278"/>
      <c r="B133" s="281"/>
      <c r="C133" s="63" t="s">
        <v>358</v>
      </c>
      <c r="D133" s="156" t="s">
        <v>380</v>
      </c>
      <c r="E133" s="154" t="s">
        <v>306</v>
      </c>
    </row>
    <row r="134" spans="1:5" ht="15" x14ac:dyDescent="0.25">
      <c r="A134" s="278"/>
      <c r="B134" s="281"/>
      <c r="C134" s="159" t="s">
        <v>378</v>
      </c>
      <c r="D134" s="156" t="s">
        <v>394</v>
      </c>
      <c r="E134" s="154" t="s">
        <v>306</v>
      </c>
    </row>
    <row r="135" spans="1:5" ht="15.75" thickBot="1" x14ac:dyDescent="0.3">
      <c r="A135" s="278"/>
      <c r="B135" s="281"/>
      <c r="C135" s="64" t="s">
        <v>359</v>
      </c>
      <c r="D135" s="169" t="e">
        <f>SUM(D133/D134)*100</f>
        <v>#VALUE!</v>
      </c>
      <c r="E135" s="154" t="s">
        <v>306</v>
      </c>
    </row>
    <row r="136" spans="1:5" ht="15" x14ac:dyDescent="0.25">
      <c r="A136" s="278"/>
      <c r="B136" s="281"/>
      <c r="C136" s="91" t="s">
        <v>96</v>
      </c>
      <c r="D136" s="167" t="s">
        <v>291</v>
      </c>
      <c r="E136" s="154" t="s">
        <v>306</v>
      </c>
    </row>
    <row r="137" spans="1:5" ht="15" x14ac:dyDescent="0.25">
      <c r="A137" s="278"/>
      <c r="B137" s="281"/>
      <c r="C137" s="92" t="s">
        <v>205</v>
      </c>
      <c r="D137" s="187" t="s">
        <v>346</v>
      </c>
      <c r="E137" s="154" t="s">
        <v>306</v>
      </c>
    </row>
    <row r="138" spans="1:5" ht="15" x14ac:dyDescent="0.25">
      <c r="A138" s="278"/>
      <c r="B138" s="281"/>
      <c r="C138" s="72" t="s">
        <v>95</v>
      </c>
      <c r="D138" s="173" t="str">
        <f>C138</f>
        <v xml:space="preserve"> To receive the indicator rating, the criteria for the additional measure of student academic achievement was:</v>
      </c>
      <c r="E138" s="154" t="s">
        <v>306</v>
      </c>
    </row>
    <row r="139" spans="1:5" ht="15" x14ac:dyDescent="0.25">
      <c r="A139" s="278"/>
      <c r="B139" s="281"/>
      <c r="C139" s="35" t="s">
        <v>125</v>
      </c>
      <c r="D139" s="74" t="s">
        <v>270</v>
      </c>
      <c r="E139" s="154" t="s">
        <v>306</v>
      </c>
    </row>
    <row r="140" spans="1:5" ht="15" x14ac:dyDescent="0.25">
      <c r="A140" s="278"/>
      <c r="B140" s="281"/>
      <c r="C140" s="37" t="s">
        <v>126</v>
      </c>
      <c r="D140" s="74" t="s">
        <v>271</v>
      </c>
      <c r="E140" s="154" t="s">
        <v>306</v>
      </c>
    </row>
    <row r="141" spans="1:5" ht="15" x14ac:dyDescent="0.25">
      <c r="A141" s="278"/>
      <c r="B141" s="281"/>
      <c r="C141" s="38" t="s">
        <v>127</v>
      </c>
      <c r="D141" s="74" t="s">
        <v>272</v>
      </c>
      <c r="E141" s="154" t="s">
        <v>306</v>
      </c>
    </row>
    <row r="142" spans="1:5" ht="15" x14ac:dyDescent="0.25">
      <c r="A142" s="278"/>
      <c r="B142" s="281"/>
      <c r="C142" s="39" t="s">
        <v>128</v>
      </c>
      <c r="D142" s="74" t="s">
        <v>273</v>
      </c>
      <c r="E142" s="154" t="s">
        <v>306</v>
      </c>
    </row>
    <row r="143" spans="1:5" ht="15" x14ac:dyDescent="0.25">
      <c r="A143" s="278"/>
      <c r="B143" s="281"/>
      <c r="C143" s="41" t="s">
        <v>67</v>
      </c>
      <c r="D143" s="153" t="str">
        <f>C143</f>
        <v>Cut-point values for additional measure  of student academic achievement were:</v>
      </c>
      <c r="E143" s="154" t="s">
        <v>306</v>
      </c>
    </row>
    <row r="144" spans="1:5" ht="15" x14ac:dyDescent="0.25">
      <c r="A144" s="278"/>
      <c r="B144" s="281"/>
      <c r="C144" s="35" t="s">
        <v>22</v>
      </c>
      <c r="D144" s="168">
        <v>95</v>
      </c>
      <c r="E144" s="154" t="s">
        <v>306</v>
      </c>
    </row>
    <row r="145" spans="1:5" ht="15" x14ac:dyDescent="0.25">
      <c r="A145" s="278"/>
      <c r="B145" s="281"/>
      <c r="C145" s="37" t="s">
        <v>23</v>
      </c>
      <c r="D145" s="168">
        <v>70</v>
      </c>
      <c r="E145" s="154" t="s">
        <v>306</v>
      </c>
    </row>
    <row r="146" spans="1:5" ht="15" x14ac:dyDescent="0.25">
      <c r="A146" s="278"/>
      <c r="B146" s="281"/>
      <c r="C146" s="38" t="s">
        <v>24</v>
      </c>
      <c r="D146" s="188">
        <v>50</v>
      </c>
      <c r="E146" s="154" t="s">
        <v>306</v>
      </c>
    </row>
    <row r="147" spans="1:5" ht="15" x14ac:dyDescent="0.25">
      <c r="A147" s="278"/>
      <c r="B147" s="281"/>
      <c r="C147" s="41" t="s">
        <v>66</v>
      </c>
      <c r="D147" s="173" t="str">
        <f>C147</f>
        <v>Your school's actual value for additional measure of student academic achievement was:</v>
      </c>
      <c r="E147" s="154" t="s">
        <v>306</v>
      </c>
    </row>
    <row r="148" spans="1:5" ht="15" x14ac:dyDescent="0.25">
      <c r="A148" s="278"/>
      <c r="B148" s="281"/>
      <c r="C148" s="63" t="s">
        <v>358</v>
      </c>
      <c r="D148" s="156" t="s">
        <v>380</v>
      </c>
      <c r="E148" s="154" t="s">
        <v>306</v>
      </c>
    </row>
    <row r="149" spans="1:5" ht="15" x14ac:dyDescent="0.25">
      <c r="A149" s="278"/>
      <c r="B149" s="283"/>
      <c r="C149" s="159" t="s">
        <v>378</v>
      </c>
      <c r="D149" s="156" t="s">
        <v>394</v>
      </c>
      <c r="E149" s="154" t="s">
        <v>306</v>
      </c>
    </row>
    <row r="150" spans="1:5" ht="15.75" thickBot="1" x14ac:dyDescent="0.3">
      <c r="A150" s="278"/>
      <c r="B150" s="283"/>
      <c r="C150" s="64" t="s">
        <v>359</v>
      </c>
      <c r="D150" s="169" t="e">
        <f>SUM(D148/D149)*100</f>
        <v>#VALUE!</v>
      </c>
      <c r="E150" s="154" t="s">
        <v>306</v>
      </c>
    </row>
    <row r="151" spans="1:5" ht="15" x14ac:dyDescent="0.25">
      <c r="A151" s="278"/>
      <c r="B151" s="283"/>
      <c r="C151" s="91" t="s">
        <v>96</v>
      </c>
      <c r="D151" s="167" t="s">
        <v>291</v>
      </c>
      <c r="E151" s="154" t="s">
        <v>306</v>
      </c>
    </row>
    <row r="152" spans="1:5" ht="15" x14ac:dyDescent="0.25">
      <c r="A152" s="278"/>
      <c r="B152" s="283"/>
      <c r="C152" s="92" t="s">
        <v>205</v>
      </c>
      <c r="D152" s="187" t="s">
        <v>384</v>
      </c>
      <c r="E152" s="154" t="s">
        <v>306</v>
      </c>
    </row>
    <row r="153" spans="1:5" ht="15" x14ac:dyDescent="0.25">
      <c r="A153" s="278"/>
      <c r="B153" s="283"/>
      <c r="C153" s="72" t="s">
        <v>95</v>
      </c>
      <c r="D153" s="173" t="str">
        <f>C153</f>
        <v xml:space="preserve"> To receive the indicator rating, the criteria for the additional measure of student academic achievement was:</v>
      </c>
      <c r="E153" s="154" t="s">
        <v>306</v>
      </c>
    </row>
    <row r="154" spans="1:5" ht="15" x14ac:dyDescent="0.25">
      <c r="A154" s="278"/>
      <c r="B154" s="283"/>
      <c r="C154" s="35" t="s">
        <v>125</v>
      </c>
      <c r="D154" s="74" t="s">
        <v>270</v>
      </c>
      <c r="E154" s="154" t="s">
        <v>306</v>
      </c>
    </row>
    <row r="155" spans="1:5" ht="15" x14ac:dyDescent="0.25">
      <c r="A155" s="278"/>
      <c r="B155" s="283"/>
      <c r="C155" s="37" t="s">
        <v>126</v>
      </c>
      <c r="D155" s="74" t="s">
        <v>271</v>
      </c>
      <c r="E155" s="154" t="s">
        <v>306</v>
      </c>
    </row>
    <row r="156" spans="1:5" ht="15" x14ac:dyDescent="0.25">
      <c r="A156" s="278"/>
      <c r="B156" s="283"/>
      <c r="C156" s="38" t="s">
        <v>127</v>
      </c>
      <c r="D156" s="74" t="s">
        <v>272</v>
      </c>
      <c r="E156" s="154" t="s">
        <v>306</v>
      </c>
    </row>
    <row r="157" spans="1:5" ht="15" x14ac:dyDescent="0.25">
      <c r="A157" s="278"/>
      <c r="B157" s="283"/>
      <c r="C157" s="39" t="s">
        <v>128</v>
      </c>
      <c r="D157" s="74" t="s">
        <v>273</v>
      </c>
      <c r="E157" s="154" t="s">
        <v>306</v>
      </c>
    </row>
    <row r="158" spans="1:5" ht="15" x14ac:dyDescent="0.25">
      <c r="A158" s="278"/>
      <c r="B158" s="283"/>
      <c r="C158" s="41" t="s">
        <v>67</v>
      </c>
      <c r="D158" s="153" t="str">
        <f>C158</f>
        <v>Cut-point values for additional measure  of student academic achievement were:</v>
      </c>
      <c r="E158" s="154" t="s">
        <v>306</v>
      </c>
    </row>
    <row r="159" spans="1:5" ht="15" x14ac:dyDescent="0.25">
      <c r="A159" s="278"/>
      <c r="B159" s="283"/>
      <c r="C159" s="35" t="s">
        <v>22</v>
      </c>
      <c r="D159" s="168">
        <v>85</v>
      </c>
      <c r="E159" s="154" t="s">
        <v>306</v>
      </c>
    </row>
    <row r="160" spans="1:5" ht="15" x14ac:dyDescent="0.25">
      <c r="A160" s="278"/>
      <c r="B160" s="283"/>
      <c r="C160" s="37" t="s">
        <v>23</v>
      </c>
      <c r="D160" s="168">
        <v>61</v>
      </c>
      <c r="E160" s="154" t="s">
        <v>306</v>
      </c>
    </row>
    <row r="161" spans="1:5" ht="15" x14ac:dyDescent="0.25">
      <c r="A161" s="278"/>
      <c r="B161" s="283"/>
      <c r="C161" s="38" t="s">
        <v>24</v>
      </c>
      <c r="D161" s="188">
        <v>45</v>
      </c>
      <c r="E161" s="154" t="s">
        <v>306</v>
      </c>
    </row>
    <row r="162" spans="1:5" ht="15" x14ac:dyDescent="0.25">
      <c r="A162" s="278"/>
      <c r="B162" s="283"/>
      <c r="C162" s="41" t="s">
        <v>66</v>
      </c>
      <c r="D162" s="173" t="str">
        <f>C162</f>
        <v>Your school's actual value for additional measure of student academic achievement was:</v>
      </c>
      <c r="E162" s="154" t="s">
        <v>306</v>
      </c>
    </row>
    <row r="163" spans="1:5" ht="15" x14ac:dyDescent="0.25">
      <c r="A163" s="278"/>
      <c r="B163" s="283"/>
      <c r="C163" s="63" t="s">
        <v>358</v>
      </c>
      <c r="D163" s="156" t="s">
        <v>380</v>
      </c>
      <c r="E163" s="154" t="s">
        <v>306</v>
      </c>
    </row>
    <row r="164" spans="1:5" ht="15" x14ac:dyDescent="0.25">
      <c r="A164" s="278"/>
      <c r="B164" s="283"/>
      <c r="C164" s="159" t="s">
        <v>378</v>
      </c>
      <c r="D164" s="156" t="s">
        <v>394</v>
      </c>
      <c r="E164" s="154" t="s">
        <v>306</v>
      </c>
    </row>
    <row r="165" spans="1:5" ht="15.75" thickBot="1" x14ac:dyDescent="0.3">
      <c r="A165" s="278"/>
      <c r="B165" s="284"/>
      <c r="C165" s="64" t="s">
        <v>359</v>
      </c>
      <c r="D165" s="169" t="e">
        <f>SUM(D163/D164)*100</f>
        <v>#VALUE!</v>
      </c>
      <c r="E165" s="154" t="s">
        <v>306</v>
      </c>
    </row>
    <row r="166" spans="1:5" ht="15" customHeight="1" x14ac:dyDescent="0.25">
      <c r="A166" s="277" t="s">
        <v>26</v>
      </c>
      <c r="B166" s="280" t="s">
        <v>329</v>
      </c>
      <c r="C166" s="91" t="s">
        <v>96</v>
      </c>
      <c r="D166" s="24" t="s">
        <v>296</v>
      </c>
      <c r="E166" s="154" t="s">
        <v>306</v>
      </c>
    </row>
    <row r="167" spans="1:5" ht="15" x14ac:dyDescent="0.25">
      <c r="A167" s="278"/>
      <c r="B167" s="281"/>
      <c r="C167" s="92" t="s">
        <v>205</v>
      </c>
      <c r="D167" s="25" t="s">
        <v>297</v>
      </c>
      <c r="E167" s="154" t="s">
        <v>306</v>
      </c>
    </row>
    <row r="168" spans="1:5" ht="15" customHeight="1" x14ac:dyDescent="0.25">
      <c r="A168" s="278"/>
      <c r="B168" s="281"/>
      <c r="C168" s="93" t="s">
        <v>97</v>
      </c>
      <c r="D168" s="190" t="s">
        <v>304</v>
      </c>
      <c r="E168" s="154" t="s">
        <v>306</v>
      </c>
    </row>
    <row r="169" spans="1:5" ht="15" customHeight="1" x14ac:dyDescent="0.25">
      <c r="A169" s="278"/>
      <c r="B169" s="281"/>
      <c r="C169" s="72" t="s">
        <v>95</v>
      </c>
      <c r="D169" s="173" t="str">
        <f>C169</f>
        <v xml:space="preserve"> To receive the indicator rating, the criteria for the additional measure of student academic achievement was:</v>
      </c>
      <c r="E169" s="154" t="s">
        <v>306</v>
      </c>
    </row>
    <row r="170" spans="1:5" ht="15" customHeight="1" x14ac:dyDescent="0.25">
      <c r="A170" s="278"/>
      <c r="B170" s="281"/>
      <c r="C170" s="35" t="s">
        <v>125</v>
      </c>
      <c r="D170" s="26" t="s">
        <v>118</v>
      </c>
      <c r="E170" s="154" t="s">
        <v>306</v>
      </c>
    </row>
    <row r="171" spans="1:5" ht="15" x14ac:dyDescent="0.25">
      <c r="A171" s="278"/>
      <c r="B171" s="281"/>
      <c r="C171" s="37" t="s">
        <v>126</v>
      </c>
      <c r="D171" s="26" t="s">
        <v>119</v>
      </c>
      <c r="E171" s="154" t="s">
        <v>306</v>
      </c>
    </row>
    <row r="172" spans="1:5" ht="15" customHeight="1" x14ac:dyDescent="0.25">
      <c r="A172" s="278"/>
      <c r="B172" s="281"/>
      <c r="C172" s="38" t="s">
        <v>127</v>
      </c>
      <c r="D172" s="26" t="s">
        <v>120</v>
      </c>
      <c r="E172" s="154" t="s">
        <v>306</v>
      </c>
    </row>
    <row r="173" spans="1:5" ht="15" customHeight="1" x14ac:dyDescent="0.25">
      <c r="A173" s="278"/>
      <c r="B173" s="281"/>
      <c r="C173" s="39" t="s">
        <v>128</v>
      </c>
      <c r="D173" s="26" t="s">
        <v>121</v>
      </c>
      <c r="E173" s="154" t="s">
        <v>306</v>
      </c>
    </row>
    <row r="174" spans="1:5" ht="15" x14ac:dyDescent="0.25">
      <c r="A174" s="278"/>
      <c r="B174" s="281"/>
      <c r="C174" s="41" t="s">
        <v>67</v>
      </c>
      <c r="D174" s="153" t="str">
        <f>C174</f>
        <v>Cut-point values for additional measure  of student academic achievement were:</v>
      </c>
      <c r="E174" s="154" t="s">
        <v>306</v>
      </c>
    </row>
    <row r="175" spans="1:5" ht="15" customHeight="1" x14ac:dyDescent="0.25">
      <c r="A175" s="278"/>
      <c r="B175" s="281"/>
      <c r="C175" s="35" t="s">
        <v>22</v>
      </c>
      <c r="D175" s="27" t="s">
        <v>122</v>
      </c>
      <c r="E175" s="154" t="s">
        <v>306</v>
      </c>
    </row>
    <row r="176" spans="1:5" ht="15" customHeight="1" x14ac:dyDescent="0.25">
      <c r="A176" s="278"/>
      <c r="B176" s="281"/>
      <c r="C176" s="37" t="s">
        <v>23</v>
      </c>
      <c r="D176" s="27" t="s">
        <v>123</v>
      </c>
      <c r="E176" s="154" t="s">
        <v>306</v>
      </c>
    </row>
    <row r="177" spans="1:5" ht="15" x14ac:dyDescent="0.25">
      <c r="A177" s="278"/>
      <c r="B177" s="281"/>
      <c r="C177" s="38" t="s">
        <v>24</v>
      </c>
      <c r="D177" s="189" t="s">
        <v>124</v>
      </c>
      <c r="E177" s="154" t="s">
        <v>306</v>
      </c>
    </row>
    <row r="178" spans="1:5" ht="15" x14ac:dyDescent="0.25">
      <c r="A178" s="278"/>
      <c r="B178" s="281"/>
      <c r="C178" s="41" t="s">
        <v>66</v>
      </c>
      <c r="D178" s="173" t="str">
        <f>C178</f>
        <v>Your school's actual value for additional measure of student academic achievement was:</v>
      </c>
      <c r="E178" s="154" t="s">
        <v>306</v>
      </c>
    </row>
    <row r="179" spans="1:5" ht="15" x14ac:dyDescent="0.25">
      <c r="A179" s="278"/>
      <c r="B179" s="281"/>
      <c r="C179" s="63" t="s">
        <v>358</v>
      </c>
      <c r="D179" s="156" t="s">
        <v>380</v>
      </c>
      <c r="E179" s="154" t="s">
        <v>306</v>
      </c>
    </row>
    <row r="180" spans="1:5" ht="15" x14ac:dyDescent="0.25">
      <c r="A180" s="278"/>
      <c r="B180" s="281"/>
      <c r="C180" s="159" t="s">
        <v>378</v>
      </c>
      <c r="D180" s="156" t="s">
        <v>394</v>
      </c>
      <c r="E180" s="154" t="s">
        <v>306</v>
      </c>
    </row>
    <row r="181" spans="1:5" ht="15.75" thickBot="1" x14ac:dyDescent="0.3">
      <c r="A181" s="279"/>
      <c r="B181" s="282"/>
      <c r="C181" s="64" t="s">
        <v>359</v>
      </c>
      <c r="D181" s="169" t="e">
        <f>SUM(D179/D180)*100</f>
        <v>#VALUE!</v>
      </c>
      <c r="E181" s="154" t="s">
        <v>306</v>
      </c>
    </row>
    <row r="182" spans="1:5" ht="15" customHeight="1" x14ac:dyDescent="0.25">
      <c r="A182" s="277" t="s">
        <v>26</v>
      </c>
      <c r="B182" s="280" t="s">
        <v>330</v>
      </c>
      <c r="C182" s="91" t="s">
        <v>96</v>
      </c>
      <c r="D182" s="24" t="s">
        <v>296</v>
      </c>
      <c r="E182" s="154" t="s">
        <v>306</v>
      </c>
    </row>
    <row r="183" spans="1:5" ht="15" customHeight="1" x14ac:dyDescent="0.25">
      <c r="A183" s="278"/>
      <c r="B183" s="281"/>
      <c r="C183" s="92" t="s">
        <v>205</v>
      </c>
      <c r="D183" s="25" t="s">
        <v>297</v>
      </c>
      <c r="E183" s="154" t="s">
        <v>306</v>
      </c>
    </row>
    <row r="184" spans="1:5" ht="15" customHeight="1" x14ac:dyDescent="0.25">
      <c r="A184" s="278"/>
      <c r="B184" s="281"/>
      <c r="C184" s="93" t="s">
        <v>97</v>
      </c>
      <c r="D184" s="190" t="s">
        <v>304</v>
      </c>
      <c r="E184" s="154" t="s">
        <v>306</v>
      </c>
    </row>
    <row r="185" spans="1:5" ht="15" customHeight="1" x14ac:dyDescent="0.25">
      <c r="A185" s="278"/>
      <c r="B185" s="281"/>
      <c r="C185" s="72" t="s">
        <v>95</v>
      </c>
      <c r="D185" s="173" t="str">
        <f>C185</f>
        <v xml:space="preserve"> To receive the indicator rating, the criteria for the additional measure of student academic achievement was:</v>
      </c>
      <c r="E185" s="154" t="s">
        <v>306</v>
      </c>
    </row>
    <row r="186" spans="1:5" ht="15" x14ac:dyDescent="0.25">
      <c r="A186" s="278"/>
      <c r="B186" s="281"/>
      <c r="C186" s="35" t="s">
        <v>125</v>
      </c>
      <c r="D186" s="26" t="s">
        <v>118</v>
      </c>
      <c r="E186" s="154" t="s">
        <v>306</v>
      </c>
    </row>
    <row r="187" spans="1:5" ht="15" customHeight="1" x14ac:dyDescent="0.25">
      <c r="A187" s="278"/>
      <c r="B187" s="281"/>
      <c r="C187" s="37" t="s">
        <v>126</v>
      </c>
      <c r="D187" s="26" t="s">
        <v>119</v>
      </c>
      <c r="E187" s="154" t="s">
        <v>306</v>
      </c>
    </row>
    <row r="188" spans="1:5" ht="18.75" customHeight="1" x14ac:dyDescent="0.25">
      <c r="A188" s="278"/>
      <c r="B188" s="281"/>
      <c r="C188" s="38" t="s">
        <v>127</v>
      </c>
      <c r="D188" s="26" t="s">
        <v>120</v>
      </c>
      <c r="E188" s="154" t="s">
        <v>306</v>
      </c>
    </row>
    <row r="189" spans="1:5" ht="15" x14ac:dyDescent="0.25">
      <c r="A189" s="278"/>
      <c r="B189" s="281"/>
      <c r="C189" s="39" t="s">
        <v>128</v>
      </c>
      <c r="D189" s="191" t="s">
        <v>121</v>
      </c>
      <c r="E189" s="154" t="s">
        <v>306</v>
      </c>
    </row>
    <row r="190" spans="1:5" ht="15" x14ac:dyDescent="0.25">
      <c r="A190" s="278"/>
      <c r="B190" s="281"/>
      <c r="C190" s="41" t="s">
        <v>67</v>
      </c>
      <c r="D190" s="173" t="str">
        <f>C190</f>
        <v>Cut-point values for additional measure  of student academic achievement were:</v>
      </c>
      <c r="E190" s="154" t="s">
        <v>306</v>
      </c>
    </row>
    <row r="191" spans="1:5" ht="15" customHeight="1" x14ac:dyDescent="0.25">
      <c r="A191" s="278"/>
      <c r="B191" s="281"/>
      <c r="C191" s="35" t="s">
        <v>22</v>
      </c>
      <c r="D191" s="27" t="s">
        <v>122</v>
      </c>
      <c r="E191" s="154" t="s">
        <v>306</v>
      </c>
    </row>
    <row r="192" spans="1:5" ht="15" x14ac:dyDescent="0.25">
      <c r="A192" s="278"/>
      <c r="B192" s="281"/>
      <c r="C192" s="37" t="s">
        <v>23</v>
      </c>
      <c r="D192" s="27" t="s">
        <v>123</v>
      </c>
      <c r="E192" s="154" t="s">
        <v>306</v>
      </c>
    </row>
    <row r="193" spans="1:5" ht="15" x14ac:dyDescent="0.25">
      <c r="A193" s="278"/>
      <c r="B193" s="281"/>
      <c r="C193" s="38" t="s">
        <v>24</v>
      </c>
      <c r="D193" s="189" t="s">
        <v>124</v>
      </c>
      <c r="E193" s="154" t="s">
        <v>306</v>
      </c>
    </row>
    <row r="194" spans="1:5" ht="15" x14ac:dyDescent="0.25">
      <c r="A194" s="278"/>
      <c r="B194" s="281"/>
      <c r="C194" s="41" t="s">
        <v>66</v>
      </c>
      <c r="D194" s="173" t="str">
        <f>C194</f>
        <v>Your school's actual value for additional measure of student academic achievement was:</v>
      </c>
      <c r="E194" s="154" t="s">
        <v>306</v>
      </c>
    </row>
    <row r="195" spans="1:5" ht="15" x14ac:dyDescent="0.25">
      <c r="A195" s="278"/>
      <c r="B195" s="281"/>
      <c r="C195" s="63" t="s">
        <v>358</v>
      </c>
      <c r="D195" s="156" t="s">
        <v>380</v>
      </c>
      <c r="E195" s="154" t="s">
        <v>306</v>
      </c>
    </row>
    <row r="196" spans="1:5" ht="15" x14ac:dyDescent="0.25">
      <c r="A196" s="278"/>
      <c r="B196" s="281"/>
      <c r="C196" s="159" t="s">
        <v>378</v>
      </c>
      <c r="D196" s="156" t="s">
        <v>394</v>
      </c>
      <c r="E196" s="154" t="s">
        <v>306</v>
      </c>
    </row>
    <row r="197" spans="1:5" ht="15.75" thickBot="1" x14ac:dyDescent="0.3">
      <c r="A197" s="279"/>
      <c r="B197" s="282"/>
      <c r="C197" s="64" t="s">
        <v>359</v>
      </c>
      <c r="D197" s="169" t="e">
        <f>SUM(D195/D196)*100</f>
        <v>#VALUE!</v>
      </c>
      <c r="E197" s="154" t="s">
        <v>306</v>
      </c>
    </row>
    <row r="198" spans="1:5" ht="15" customHeight="1" x14ac:dyDescent="0.25">
      <c r="A198" s="277" t="s">
        <v>26</v>
      </c>
      <c r="B198" s="280" t="s">
        <v>331</v>
      </c>
      <c r="C198" s="91" t="s">
        <v>96</v>
      </c>
      <c r="D198" s="24" t="s">
        <v>296</v>
      </c>
      <c r="E198" s="154" t="s">
        <v>306</v>
      </c>
    </row>
    <row r="199" spans="1:5" ht="15" x14ac:dyDescent="0.25">
      <c r="A199" s="278"/>
      <c r="B199" s="281"/>
      <c r="C199" s="92" t="s">
        <v>205</v>
      </c>
      <c r="D199" s="25" t="s">
        <v>297</v>
      </c>
      <c r="E199" s="154" t="s">
        <v>306</v>
      </c>
    </row>
    <row r="200" spans="1:5" ht="15" x14ac:dyDescent="0.25">
      <c r="A200" s="278"/>
      <c r="B200" s="281"/>
      <c r="C200" s="93" t="s">
        <v>97</v>
      </c>
      <c r="D200" s="190" t="s">
        <v>304</v>
      </c>
      <c r="E200" s="154" t="s">
        <v>306</v>
      </c>
    </row>
    <row r="201" spans="1:5" ht="15" x14ac:dyDescent="0.25">
      <c r="A201" s="278"/>
      <c r="B201" s="281"/>
      <c r="C201" s="72" t="s">
        <v>95</v>
      </c>
      <c r="D201" s="173" t="str">
        <f>C201</f>
        <v xml:space="preserve"> To receive the indicator rating, the criteria for the additional measure of student academic achievement was:</v>
      </c>
      <c r="E201" s="154" t="s">
        <v>306</v>
      </c>
    </row>
    <row r="202" spans="1:5" ht="15" x14ac:dyDescent="0.25">
      <c r="A202" s="278"/>
      <c r="B202" s="281"/>
      <c r="C202" s="35" t="s">
        <v>125</v>
      </c>
      <c r="D202" s="26" t="s">
        <v>118</v>
      </c>
      <c r="E202" s="154" t="s">
        <v>306</v>
      </c>
    </row>
    <row r="203" spans="1:5" ht="15" x14ac:dyDescent="0.25">
      <c r="A203" s="278"/>
      <c r="B203" s="281"/>
      <c r="C203" s="37" t="s">
        <v>126</v>
      </c>
      <c r="D203" s="26" t="s">
        <v>119</v>
      </c>
      <c r="E203" s="154" t="s">
        <v>306</v>
      </c>
    </row>
    <row r="204" spans="1:5" ht="15" x14ac:dyDescent="0.25">
      <c r="A204" s="278"/>
      <c r="B204" s="281"/>
      <c r="C204" s="38" t="s">
        <v>127</v>
      </c>
      <c r="D204" s="26" t="s">
        <v>120</v>
      </c>
      <c r="E204" s="154" t="s">
        <v>306</v>
      </c>
    </row>
    <row r="205" spans="1:5" ht="15" x14ac:dyDescent="0.25">
      <c r="A205" s="278"/>
      <c r="B205" s="281"/>
      <c r="C205" s="39" t="s">
        <v>128</v>
      </c>
      <c r="D205" s="191" t="s">
        <v>121</v>
      </c>
      <c r="E205" s="154" t="s">
        <v>306</v>
      </c>
    </row>
    <row r="206" spans="1:5" ht="15" x14ac:dyDescent="0.25">
      <c r="A206" s="278"/>
      <c r="B206" s="281"/>
      <c r="C206" s="41" t="s">
        <v>67</v>
      </c>
      <c r="D206" s="173" t="str">
        <f>C206</f>
        <v>Cut-point values for additional measure  of student academic achievement were:</v>
      </c>
      <c r="E206" s="154" t="s">
        <v>306</v>
      </c>
    </row>
    <row r="207" spans="1:5" ht="15" x14ac:dyDescent="0.25">
      <c r="A207" s="278"/>
      <c r="B207" s="281"/>
      <c r="C207" s="35" t="s">
        <v>22</v>
      </c>
      <c r="D207" s="27" t="s">
        <v>122</v>
      </c>
      <c r="E207" s="154" t="s">
        <v>306</v>
      </c>
    </row>
    <row r="208" spans="1:5" ht="15" x14ac:dyDescent="0.25">
      <c r="A208" s="278"/>
      <c r="B208" s="281"/>
      <c r="C208" s="37" t="s">
        <v>23</v>
      </c>
      <c r="D208" s="27" t="s">
        <v>123</v>
      </c>
      <c r="E208" s="154" t="s">
        <v>306</v>
      </c>
    </row>
    <row r="209" spans="1:24" ht="15.75" customHeight="1" x14ac:dyDescent="0.25">
      <c r="A209" s="278"/>
      <c r="B209" s="281"/>
      <c r="C209" s="38" t="s">
        <v>24</v>
      </c>
      <c r="D209" s="189" t="s">
        <v>124</v>
      </c>
      <c r="E209" s="154" t="s">
        <v>306</v>
      </c>
    </row>
    <row r="210" spans="1:24" ht="15" x14ac:dyDescent="0.25">
      <c r="A210" s="278"/>
      <c r="B210" s="281"/>
      <c r="C210" s="41" t="s">
        <v>66</v>
      </c>
      <c r="D210" s="173" t="str">
        <f>C210</f>
        <v>Your school's actual value for additional measure of student academic achievement was:</v>
      </c>
      <c r="E210" s="154" t="s">
        <v>306</v>
      </c>
    </row>
    <row r="211" spans="1:24" ht="15" x14ac:dyDescent="0.25">
      <c r="A211" s="278"/>
      <c r="B211" s="281"/>
      <c r="C211" s="63" t="s">
        <v>358</v>
      </c>
      <c r="D211" s="156" t="s">
        <v>380</v>
      </c>
      <c r="E211" s="154" t="s">
        <v>306</v>
      </c>
      <c r="O211" s="47" t="s">
        <v>306</v>
      </c>
    </row>
    <row r="212" spans="1:24" ht="15" x14ac:dyDescent="0.25">
      <c r="A212" s="278"/>
      <c r="B212" s="281"/>
      <c r="C212" s="159" t="s">
        <v>378</v>
      </c>
      <c r="D212" s="156" t="s">
        <v>394</v>
      </c>
      <c r="E212" s="154" t="s">
        <v>306</v>
      </c>
      <c r="N212" s="47" t="s">
        <v>305</v>
      </c>
      <c r="O212" s="47" t="s">
        <v>306</v>
      </c>
      <c r="P212" s="47" t="s">
        <v>306</v>
      </c>
    </row>
    <row r="213" spans="1:24" ht="15.75" thickBot="1" x14ac:dyDescent="0.3">
      <c r="A213" s="279"/>
      <c r="B213" s="282"/>
      <c r="C213" s="64" t="s">
        <v>359</v>
      </c>
      <c r="D213" s="169" t="e">
        <f>SUM(D211/D212)*100</f>
        <v>#VALUE!</v>
      </c>
      <c r="E213" s="154" t="s">
        <v>306</v>
      </c>
      <c r="N213" s="47" t="s">
        <v>291</v>
      </c>
      <c r="O213" s="150" t="s">
        <v>364</v>
      </c>
      <c r="P213" s="150" t="s">
        <v>30</v>
      </c>
    </row>
    <row r="214" spans="1:24" ht="15.75" thickBot="1" x14ac:dyDescent="0.3">
      <c r="A214" s="274" t="s">
        <v>314</v>
      </c>
      <c r="B214" s="275"/>
      <c r="C214" s="275"/>
      <c r="D214" s="276"/>
      <c r="E214" s="154" t="s">
        <v>306</v>
      </c>
      <c r="N214" s="47" t="s">
        <v>287</v>
      </c>
      <c r="O214" s="149" t="s">
        <v>365</v>
      </c>
      <c r="P214" s="149" t="s">
        <v>214</v>
      </c>
    </row>
    <row r="215" spans="1:24" ht="19.5" thickBot="1" x14ac:dyDescent="0.35">
      <c r="A215" s="260" t="s">
        <v>92</v>
      </c>
      <c r="B215" s="266"/>
      <c r="C215" s="266"/>
      <c r="D215" s="267"/>
      <c r="E215" s="154" t="s">
        <v>306</v>
      </c>
      <c r="N215" s="47" t="s">
        <v>319</v>
      </c>
      <c r="O215" s="150" t="s">
        <v>366</v>
      </c>
      <c r="P215" s="150" t="s">
        <v>31</v>
      </c>
    </row>
    <row r="216" spans="1:24" ht="15" x14ac:dyDescent="0.25">
      <c r="A216" s="298" t="s">
        <v>27</v>
      </c>
      <c r="B216" s="280" t="s">
        <v>361</v>
      </c>
      <c r="C216" s="33" t="s">
        <v>28</v>
      </c>
      <c r="D216" s="152" t="str">
        <f>C216</f>
        <v xml:space="preserve"> To receive the indicator rating, the AEC's median growth percentile was:</v>
      </c>
      <c r="E216" s="154" t="s">
        <v>306</v>
      </c>
      <c r="G216" s="268" t="s">
        <v>26</v>
      </c>
      <c r="H216" s="289"/>
      <c r="I216" s="280" t="s">
        <v>201</v>
      </c>
      <c r="J216" s="33" t="s">
        <v>29</v>
      </c>
      <c r="K216" s="34"/>
      <c r="N216" s="47" t="s">
        <v>288</v>
      </c>
      <c r="O216" s="150" t="s">
        <v>364</v>
      </c>
      <c r="P216" s="150" t="s">
        <v>30</v>
      </c>
    </row>
    <row r="217" spans="1:24" ht="15" x14ac:dyDescent="0.25">
      <c r="A217" s="299"/>
      <c r="B217" s="281"/>
      <c r="C217" s="35" t="s">
        <v>125</v>
      </c>
      <c r="D217" s="36" t="s">
        <v>18</v>
      </c>
      <c r="E217" s="154" t="s">
        <v>306</v>
      </c>
      <c r="G217" s="269"/>
      <c r="H217" s="290"/>
      <c r="I217" s="281"/>
      <c r="J217" s="35" t="s">
        <v>125</v>
      </c>
      <c r="K217" s="36" t="s">
        <v>129</v>
      </c>
      <c r="N217" s="47" t="s">
        <v>386</v>
      </c>
      <c r="O217" s="150" t="s">
        <v>364</v>
      </c>
      <c r="P217" s="150" t="s">
        <v>30</v>
      </c>
    </row>
    <row r="218" spans="1:24" ht="15" x14ac:dyDescent="0.25">
      <c r="A218" s="299"/>
      <c r="B218" s="281"/>
      <c r="C218" s="37" t="s">
        <v>126</v>
      </c>
      <c r="D218" s="36" t="s">
        <v>19</v>
      </c>
      <c r="E218" s="154" t="s">
        <v>306</v>
      </c>
      <c r="G218" s="269"/>
      <c r="H218" s="290"/>
      <c r="I218" s="281"/>
      <c r="J218" s="37" t="s">
        <v>126</v>
      </c>
      <c r="K218" s="36" t="s">
        <v>130</v>
      </c>
      <c r="N218" s="47" t="s">
        <v>286</v>
      </c>
      <c r="O218" s="150" t="s">
        <v>364</v>
      </c>
      <c r="P218" s="150" t="s">
        <v>30</v>
      </c>
    </row>
    <row r="219" spans="1:24" ht="15" x14ac:dyDescent="0.25">
      <c r="A219" s="299"/>
      <c r="B219" s="281"/>
      <c r="C219" s="38" t="s">
        <v>127</v>
      </c>
      <c r="D219" s="36" t="s">
        <v>20</v>
      </c>
      <c r="E219" s="154" t="s">
        <v>306</v>
      </c>
      <c r="G219" s="269"/>
      <c r="H219" s="291" t="s">
        <v>177</v>
      </c>
      <c r="I219" s="281"/>
      <c r="J219" s="38" t="s">
        <v>127</v>
      </c>
      <c r="K219" s="36" t="s">
        <v>131</v>
      </c>
      <c r="N219" s="47" t="s">
        <v>400</v>
      </c>
      <c r="O219" s="150" t="s">
        <v>364</v>
      </c>
      <c r="P219" s="150" t="s">
        <v>30</v>
      </c>
    </row>
    <row r="220" spans="1:24" ht="15" x14ac:dyDescent="0.25">
      <c r="A220" s="299"/>
      <c r="B220" s="281"/>
      <c r="C220" s="39" t="s">
        <v>128</v>
      </c>
      <c r="D220" s="40" t="s">
        <v>21</v>
      </c>
      <c r="E220" s="154" t="s">
        <v>306</v>
      </c>
      <c r="G220" s="269"/>
      <c r="H220" s="292"/>
      <c r="I220" s="281"/>
      <c r="J220" s="39" t="s">
        <v>128</v>
      </c>
      <c r="K220" s="40" t="s">
        <v>132</v>
      </c>
      <c r="N220" s="47" t="s">
        <v>290</v>
      </c>
      <c r="O220" s="150" t="s">
        <v>364</v>
      </c>
      <c r="P220" s="150" t="s">
        <v>30</v>
      </c>
    </row>
    <row r="221" spans="1:24" ht="15" x14ac:dyDescent="0.25">
      <c r="A221" s="299"/>
      <c r="B221" s="281"/>
      <c r="C221" s="41" t="s">
        <v>36</v>
      </c>
      <c r="D221" s="173" t="str">
        <f>C221</f>
        <v>Cut-point values for the median growth percentile were:</v>
      </c>
      <c r="E221" s="154" t="s">
        <v>306</v>
      </c>
      <c r="G221" s="269"/>
      <c r="H221" s="292"/>
      <c r="I221" s="281"/>
      <c r="J221" s="41" t="s">
        <v>34</v>
      </c>
      <c r="K221" s="42"/>
      <c r="N221" s="47" t="s">
        <v>289</v>
      </c>
      <c r="O221" s="150" t="s">
        <v>364</v>
      </c>
      <c r="P221" s="150" t="s">
        <v>30</v>
      </c>
    </row>
    <row r="222" spans="1:24" ht="15.75" customHeight="1" x14ac:dyDescent="0.25">
      <c r="A222" s="299"/>
      <c r="B222" s="281"/>
      <c r="C222" s="35" t="s">
        <v>22</v>
      </c>
      <c r="D222" s="43">
        <v>57.4</v>
      </c>
      <c r="E222" s="154" t="s">
        <v>306</v>
      </c>
      <c r="G222" s="269"/>
      <c r="H222" s="292"/>
      <c r="I222" s="281"/>
      <c r="J222" s="35" t="s">
        <v>22</v>
      </c>
      <c r="K222" s="50">
        <v>90</v>
      </c>
    </row>
    <row r="223" spans="1:24" ht="15" x14ac:dyDescent="0.25">
      <c r="A223" s="299"/>
      <c r="B223" s="281"/>
      <c r="C223" s="37" t="s">
        <v>23</v>
      </c>
      <c r="D223" s="43">
        <v>46.8</v>
      </c>
      <c r="E223" s="154" t="s">
        <v>306</v>
      </c>
      <c r="G223" s="269"/>
      <c r="H223" s="292"/>
      <c r="I223" s="281"/>
      <c r="J223" s="37" t="s">
        <v>23</v>
      </c>
      <c r="K223" s="50">
        <v>60</v>
      </c>
    </row>
    <row r="224" spans="1:24" ht="15" customHeight="1" x14ac:dyDescent="0.25">
      <c r="A224" s="299"/>
      <c r="B224" s="281"/>
      <c r="C224" s="38" t="s">
        <v>24</v>
      </c>
      <c r="D224" s="180">
        <v>41.2</v>
      </c>
      <c r="E224" s="154" t="s">
        <v>306</v>
      </c>
      <c r="G224" s="269"/>
      <c r="H224" s="292"/>
      <c r="I224" s="281"/>
      <c r="J224" s="38" t="s">
        <v>24</v>
      </c>
      <c r="K224" s="50">
        <v>40</v>
      </c>
      <c r="O224" s="35" t="s">
        <v>125</v>
      </c>
      <c r="P224" s="37" t="s">
        <v>126</v>
      </c>
      <c r="Q224" s="38" t="s">
        <v>127</v>
      </c>
      <c r="R224" s="39" t="s">
        <v>128</v>
      </c>
      <c r="S224" s="35" t="s">
        <v>22</v>
      </c>
      <c r="T224" s="37" t="s">
        <v>23</v>
      </c>
      <c r="U224" s="38" t="s">
        <v>24</v>
      </c>
      <c r="V224" s="47" t="s">
        <v>298</v>
      </c>
      <c r="W224" s="47" t="s">
        <v>299</v>
      </c>
      <c r="X224" s="47" t="s">
        <v>300</v>
      </c>
    </row>
    <row r="225" spans="1:24" ht="15" customHeight="1" thickBot="1" x14ac:dyDescent="0.3">
      <c r="A225" s="299"/>
      <c r="B225" s="281"/>
      <c r="C225" s="41" t="s">
        <v>35</v>
      </c>
      <c r="D225" s="173" t="str">
        <f>C225</f>
        <v>Your school's actual median growth percentile was:</v>
      </c>
      <c r="E225" s="154" t="s">
        <v>306</v>
      </c>
      <c r="G225" s="269"/>
      <c r="H225" s="292"/>
      <c r="I225" s="281"/>
      <c r="J225" s="41" t="s">
        <v>33</v>
      </c>
      <c r="K225" s="42"/>
      <c r="N225" s="47" t="s">
        <v>305</v>
      </c>
      <c r="O225" s="35" t="s">
        <v>306</v>
      </c>
      <c r="P225" s="37" t="s">
        <v>306</v>
      </c>
      <c r="Q225" s="38" t="s">
        <v>306</v>
      </c>
      <c r="R225" s="39" t="s">
        <v>306</v>
      </c>
      <c r="S225" s="35" t="s">
        <v>306</v>
      </c>
      <c r="T225" s="37" t="s">
        <v>306</v>
      </c>
      <c r="U225" s="38" t="s">
        <v>306</v>
      </c>
      <c r="V225" s="47" t="s">
        <v>306</v>
      </c>
      <c r="W225" s="47" t="s">
        <v>306</v>
      </c>
      <c r="X225" s="47" t="s">
        <v>306</v>
      </c>
    </row>
    <row r="226" spans="1:24" ht="15.75" thickBot="1" x14ac:dyDescent="0.3">
      <c r="A226" s="299"/>
      <c r="B226" s="281"/>
      <c r="C226" s="63" t="s">
        <v>31</v>
      </c>
      <c r="D226" s="68" t="s">
        <v>395</v>
      </c>
      <c r="E226" s="154" t="s">
        <v>306</v>
      </c>
      <c r="G226" s="269"/>
      <c r="H226" s="292"/>
      <c r="I226" s="281"/>
      <c r="J226" s="63" t="s">
        <v>30</v>
      </c>
      <c r="K226" s="58"/>
      <c r="N226" s="47" t="s">
        <v>386</v>
      </c>
      <c r="O226" s="36" t="s">
        <v>129</v>
      </c>
      <c r="P226" s="36" t="s">
        <v>130</v>
      </c>
      <c r="Q226" s="36" t="s">
        <v>131</v>
      </c>
      <c r="R226" s="40" t="s">
        <v>132</v>
      </c>
      <c r="S226" s="50">
        <v>90</v>
      </c>
      <c r="T226" s="50">
        <v>60</v>
      </c>
      <c r="U226" s="50">
        <v>40</v>
      </c>
      <c r="V226" s="33" t="s">
        <v>29</v>
      </c>
      <c r="W226" s="41" t="s">
        <v>34</v>
      </c>
      <c r="X226" s="41" t="s">
        <v>33</v>
      </c>
    </row>
    <row r="227" spans="1:24" ht="15.75" thickBot="1" x14ac:dyDescent="0.3">
      <c r="A227" s="300"/>
      <c r="B227" s="282"/>
      <c r="C227" s="64" t="s">
        <v>196</v>
      </c>
      <c r="D227" s="52" t="s">
        <v>395</v>
      </c>
      <c r="E227" s="154" t="s">
        <v>306</v>
      </c>
      <c r="G227" s="270"/>
      <c r="H227" s="293"/>
      <c r="I227" s="282"/>
      <c r="J227" s="64" t="s">
        <v>194</v>
      </c>
      <c r="K227" s="65"/>
      <c r="N227" s="47" t="s">
        <v>286</v>
      </c>
      <c r="O227" s="36" t="s">
        <v>129</v>
      </c>
      <c r="P227" s="36" t="s">
        <v>130</v>
      </c>
      <c r="Q227" s="36" t="s">
        <v>131</v>
      </c>
      <c r="R227" s="40" t="s">
        <v>132</v>
      </c>
      <c r="S227" s="50">
        <v>90</v>
      </c>
      <c r="T227" s="50">
        <v>60</v>
      </c>
      <c r="U227" s="50">
        <v>40</v>
      </c>
      <c r="V227" s="33" t="s">
        <v>29</v>
      </c>
      <c r="W227" s="41" t="s">
        <v>32</v>
      </c>
      <c r="X227" s="41" t="s">
        <v>33</v>
      </c>
    </row>
    <row r="228" spans="1:24" ht="15.75" thickBot="1" x14ac:dyDescent="0.3">
      <c r="A228" s="298" t="s">
        <v>27</v>
      </c>
      <c r="B228" s="280" t="s">
        <v>362</v>
      </c>
      <c r="C228" s="33" t="s">
        <v>28</v>
      </c>
      <c r="D228" s="152" t="str">
        <f>C228</f>
        <v xml:space="preserve"> To receive the indicator rating, the AEC's median growth percentile was:</v>
      </c>
      <c r="E228" s="154" t="s">
        <v>306</v>
      </c>
      <c r="G228" s="268" t="s">
        <v>26</v>
      </c>
      <c r="H228" s="289"/>
      <c r="I228" s="280" t="s">
        <v>202</v>
      </c>
      <c r="J228" s="33" t="s">
        <v>29</v>
      </c>
      <c r="K228" s="34"/>
      <c r="N228" s="47" t="s">
        <v>287</v>
      </c>
      <c r="O228" s="36" t="s">
        <v>129</v>
      </c>
      <c r="P228" s="36" t="s">
        <v>130</v>
      </c>
      <c r="Q228" s="36" t="s">
        <v>131</v>
      </c>
      <c r="R228" s="40" t="s">
        <v>132</v>
      </c>
      <c r="S228" s="50">
        <v>90</v>
      </c>
      <c r="T228" s="50">
        <v>60</v>
      </c>
      <c r="U228" s="50">
        <v>40</v>
      </c>
      <c r="V228" s="33" t="s">
        <v>217</v>
      </c>
      <c r="W228" s="41" t="s">
        <v>216</v>
      </c>
      <c r="X228" s="41" t="s">
        <v>215</v>
      </c>
    </row>
    <row r="229" spans="1:24" ht="15.75" thickBot="1" x14ac:dyDescent="0.3">
      <c r="A229" s="299"/>
      <c r="B229" s="281"/>
      <c r="C229" s="35" t="s">
        <v>125</v>
      </c>
      <c r="D229" s="36" t="s">
        <v>18</v>
      </c>
      <c r="E229" s="154" t="s">
        <v>306</v>
      </c>
      <c r="G229" s="269"/>
      <c r="H229" s="290"/>
      <c r="I229" s="281"/>
      <c r="J229" s="35" t="s">
        <v>125</v>
      </c>
      <c r="K229" s="36" t="s">
        <v>129</v>
      </c>
      <c r="N229" s="47" t="s">
        <v>288</v>
      </c>
      <c r="O229" s="36" t="s">
        <v>129</v>
      </c>
      <c r="P229" s="36" t="s">
        <v>130</v>
      </c>
      <c r="Q229" s="36" t="s">
        <v>131</v>
      </c>
      <c r="R229" s="40" t="s">
        <v>132</v>
      </c>
      <c r="S229" s="50">
        <v>90</v>
      </c>
      <c r="T229" s="50">
        <v>60</v>
      </c>
      <c r="U229" s="50">
        <v>40</v>
      </c>
      <c r="V229" s="33" t="s">
        <v>29</v>
      </c>
      <c r="W229" s="41" t="s">
        <v>32</v>
      </c>
      <c r="X229" s="41" t="s">
        <v>33</v>
      </c>
    </row>
    <row r="230" spans="1:24" ht="15.75" thickBot="1" x14ac:dyDescent="0.3">
      <c r="A230" s="299"/>
      <c r="B230" s="281"/>
      <c r="C230" s="37" t="s">
        <v>126</v>
      </c>
      <c r="D230" s="36" t="s">
        <v>19</v>
      </c>
      <c r="E230" s="154" t="s">
        <v>306</v>
      </c>
      <c r="G230" s="269"/>
      <c r="H230" s="290"/>
      <c r="I230" s="281"/>
      <c r="J230" s="37" t="s">
        <v>126</v>
      </c>
      <c r="K230" s="36" t="s">
        <v>130</v>
      </c>
      <c r="N230" s="47" t="s">
        <v>289</v>
      </c>
      <c r="O230" s="36" t="s">
        <v>129</v>
      </c>
      <c r="P230" s="36" t="s">
        <v>130</v>
      </c>
      <c r="Q230" s="36" t="s">
        <v>131</v>
      </c>
      <c r="R230" s="40" t="s">
        <v>132</v>
      </c>
      <c r="S230" s="50">
        <v>90</v>
      </c>
      <c r="T230" s="50">
        <v>60</v>
      </c>
      <c r="U230" s="50">
        <v>40</v>
      </c>
      <c r="V230" s="33" t="s">
        <v>29</v>
      </c>
      <c r="W230" s="41" t="s">
        <v>32</v>
      </c>
      <c r="X230" s="41" t="s">
        <v>33</v>
      </c>
    </row>
    <row r="231" spans="1:24" ht="15.75" thickBot="1" x14ac:dyDescent="0.3">
      <c r="A231" s="299"/>
      <c r="B231" s="281"/>
      <c r="C231" s="38" t="s">
        <v>127</v>
      </c>
      <c r="D231" s="36" t="s">
        <v>20</v>
      </c>
      <c r="E231" s="154" t="s">
        <v>306</v>
      </c>
      <c r="G231" s="269"/>
      <c r="H231" s="291" t="s">
        <v>177</v>
      </c>
      <c r="I231" s="281"/>
      <c r="J231" s="38" t="s">
        <v>127</v>
      </c>
      <c r="K231" s="36" t="s">
        <v>131</v>
      </c>
      <c r="N231" s="47" t="s">
        <v>290</v>
      </c>
      <c r="O231" s="36" t="s">
        <v>129</v>
      </c>
      <c r="P231" s="36" t="s">
        <v>130</v>
      </c>
      <c r="Q231" s="36" t="s">
        <v>131</v>
      </c>
      <c r="R231" s="40" t="s">
        <v>132</v>
      </c>
      <c r="S231" s="50">
        <v>90</v>
      </c>
      <c r="T231" s="50">
        <v>60</v>
      </c>
      <c r="U231" s="50">
        <v>40</v>
      </c>
      <c r="V231" s="33" t="s">
        <v>29</v>
      </c>
      <c r="W231" s="41" t="s">
        <v>32</v>
      </c>
      <c r="X231" s="41" t="s">
        <v>33</v>
      </c>
    </row>
    <row r="232" spans="1:24" ht="15.75" customHeight="1" thickBot="1" x14ac:dyDescent="0.3">
      <c r="A232" s="299"/>
      <c r="B232" s="281"/>
      <c r="C232" s="39" t="s">
        <v>128</v>
      </c>
      <c r="D232" s="40" t="s">
        <v>21</v>
      </c>
      <c r="E232" s="154" t="s">
        <v>306</v>
      </c>
      <c r="G232" s="269"/>
      <c r="H232" s="292"/>
      <c r="I232" s="281"/>
      <c r="J232" s="39" t="s">
        <v>128</v>
      </c>
      <c r="K232" s="40" t="s">
        <v>132</v>
      </c>
      <c r="N232" s="47" t="s">
        <v>291</v>
      </c>
      <c r="O232" s="36" t="s">
        <v>270</v>
      </c>
      <c r="P232" s="36" t="s">
        <v>271</v>
      </c>
      <c r="Q232" s="36" t="s">
        <v>272</v>
      </c>
      <c r="R232" s="40" t="s">
        <v>273</v>
      </c>
      <c r="S232" s="50">
        <v>80</v>
      </c>
      <c r="T232" s="50">
        <v>62</v>
      </c>
      <c r="U232" s="50">
        <v>40</v>
      </c>
      <c r="V232" s="33" t="s">
        <v>29</v>
      </c>
      <c r="W232" s="41" t="s">
        <v>32</v>
      </c>
      <c r="X232" s="41" t="s">
        <v>33</v>
      </c>
    </row>
    <row r="233" spans="1:24" ht="15" customHeight="1" thickBot="1" x14ac:dyDescent="0.3">
      <c r="A233" s="299"/>
      <c r="B233" s="281"/>
      <c r="C233" s="41" t="s">
        <v>36</v>
      </c>
      <c r="D233" s="173" t="str">
        <f>C233</f>
        <v>Cut-point values for the median growth percentile were:</v>
      </c>
      <c r="E233" s="154" t="s">
        <v>306</v>
      </c>
      <c r="G233" s="269"/>
      <c r="H233" s="292"/>
      <c r="I233" s="281"/>
      <c r="J233" s="41" t="s">
        <v>32</v>
      </c>
      <c r="K233" s="42"/>
      <c r="N233" s="47" t="s">
        <v>319</v>
      </c>
      <c r="O233" s="36" t="s">
        <v>129</v>
      </c>
      <c r="P233" s="36" t="s">
        <v>130</v>
      </c>
      <c r="Q233" s="36" t="s">
        <v>131</v>
      </c>
      <c r="R233" s="40" t="s">
        <v>132</v>
      </c>
      <c r="S233" s="50">
        <v>57</v>
      </c>
      <c r="T233" s="50">
        <v>46</v>
      </c>
      <c r="U233" s="50">
        <v>36</v>
      </c>
      <c r="V233" s="33" t="s">
        <v>28</v>
      </c>
      <c r="W233" s="41" t="s">
        <v>36</v>
      </c>
      <c r="X233" s="41" t="s">
        <v>35</v>
      </c>
    </row>
    <row r="234" spans="1:24" ht="15" customHeight="1" x14ac:dyDescent="0.25">
      <c r="A234" s="299"/>
      <c r="B234" s="281"/>
      <c r="C234" s="35" t="s">
        <v>22</v>
      </c>
      <c r="D234" s="43">
        <v>57.2</v>
      </c>
      <c r="E234" s="154" t="s">
        <v>306</v>
      </c>
      <c r="G234" s="269"/>
      <c r="H234" s="292"/>
      <c r="I234" s="281"/>
      <c r="J234" s="35" t="s">
        <v>22</v>
      </c>
      <c r="K234" s="50">
        <v>90</v>
      </c>
      <c r="N234" s="47" t="s">
        <v>400</v>
      </c>
      <c r="O234" s="36" t="s">
        <v>129</v>
      </c>
      <c r="P234" s="36" t="s">
        <v>130</v>
      </c>
      <c r="Q234" s="36" t="s">
        <v>131</v>
      </c>
      <c r="R234" s="40" t="s">
        <v>132</v>
      </c>
      <c r="S234" s="50">
        <v>90</v>
      </c>
      <c r="T234" s="50">
        <v>60</v>
      </c>
      <c r="U234" s="50">
        <v>40</v>
      </c>
      <c r="V234" s="33" t="s">
        <v>29</v>
      </c>
      <c r="W234" s="41" t="s">
        <v>32</v>
      </c>
      <c r="X234" s="41" t="s">
        <v>33</v>
      </c>
    </row>
    <row r="235" spans="1:24" ht="15" customHeight="1" x14ac:dyDescent="0.25">
      <c r="A235" s="299"/>
      <c r="B235" s="281"/>
      <c r="C235" s="37" t="s">
        <v>23</v>
      </c>
      <c r="D235" s="43">
        <v>43.4</v>
      </c>
      <c r="E235" s="154" t="s">
        <v>306</v>
      </c>
      <c r="G235" s="269"/>
      <c r="H235" s="292"/>
      <c r="I235" s="281"/>
      <c r="J235" s="37" t="s">
        <v>23</v>
      </c>
      <c r="K235" s="50">
        <v>60</v>
      </c>
    </row>
    <row r="236" spans="1:24" ht="15" customHeight="1" x14ac:dyDescent="0.25">
      <c r="A236" s="299"/>
      <c r="B236" s="281"/>
      <c r="C236" s="38" t="s">
        <v>24</v>
      </c>
      <c r="D236" s="180">
        <v>38.6</v>
      </c>
      <c r="E236" s="154" t="s">
        <v>306</v>
      </c>
      <c r="G236" s="269"/>
      <c r="H236" s="292"/>
      <c r="I236" s="281"/>
      <c r="J236" s="38" t="s">
        <v>24</v>
      </c>
      <c r="K236" s="50">
        <v>40</v>
      </c>
    </row>
    <row r="237" spans="1:24" ht="15.75" customHeight="1" x14ac:dyDescent="0.25">
      <c r="A237" s="299"/>
      <c r="B237" s="281"/>
      <c r="C237" s="41" t="s">
        <v>35</v>
      </c>
      <c r="D237" s="173" t="str">
        <f>C237</f>
        <v>Your school's actual median growth percentile was:</v>
      </c>
      <c r="E237" s="154" t="s">
        <v>306</v>
      </c>
      <c r="G237" s="269"/>
      <c r="H237" s="292"/>
      <c r="I237" s="281"/>
      <c r="J237" s="41" t="s">
        <v>33</v>
      </c>
      <c r="K237" s="42"/>
    </row>
    <row r="238" spans="1:24" ht="15" customHeight="1" x14ac:dyDescent="0.25">
      <c r="A238" s="299"/>
      <c r="B238" s="281"/>
      <c r="C238" s="63" t="s">
        <v>31</v>
      </c>
      <c r="D238" s="45" t="s">
        <v>395</v>
      </c>
      <c r="E238" s="154" t="s">
        <v>306</v>
      </c>
      <c r="G238" s="269"/>
      <c r="H238" s="292"/>
      <c r="I238" s="281"/>
      <c r="J238" s="63" t="s">
        <v>30</v>
      </c>
      <c r="K238" s="58"/>
    </row>
    <row r="239" spans="1:24" ht="15" customHeight="1" thickBot="1" x14ac:dyDescent="0.3">
      <c r="A239" s="300"/>
      <c r="B239" s="282"/>
      <c r="C239" s="64" t="s">
        <v>196</v>
      </c>
      <c r="D239" s="45" t="s">
        <v>395</v>
      </c>
      <c r="E239" s="154" t="s">
        <v>306</v>
      </c>
      <c r="G239" s="270"/>
      <c r="H239" s="293"/>
      <c r="I239" s="282"/>
      <c r="J239" s="64" t="s">
        <v>194</v>
      </c>
      <c r="K239" s="65"/>
    </row>
    <row r="240" spans="1:24" ht="15" customHeight="1" x14ac:dyDescent="0.25">
      <c r="A240" s="298" t="s">
        <v>27</v>
      </c>
      <c r="B240" s="280" t="s">
        <v>363</v>
      </c>
      <c r="C240" s="33" t="s">
        <v>28</v>
      </c>
      <c r="D240" s="152" t="str">
        <f>C240</f>
        <v xml:space="preserve"> To receive the indicator rating, the AEC's median growth percentile was:</v>
      </c>
      <c r="E240" s="154" t="s">
        <v>306</v>
      </c>
      <c r="G240" s="268" t="s">
        <v>26</v>
      </c>
      <c r="H240" s="289"/>
      <c r="I240" s="280" t="s">
        <v>203</v>
      </c>
      <c r="J240" s="33" t="s">
        <v>217</v>
      </c>
      <c r="K240" s="34"/>
    </row>
    <row r="241" spans="1:11" ht="15" x14ac:dyDescent="0.25">
      <c r="A241" s="299"/>
      <c r="B241" s="281"/>
      <c r="C241" s="35" t="s">
        <v>125</v>
      </c>
      <c r="D241" s="36" t="s">
        <v>18</v>
      </c>
      <c r="E241" s="154" t="s">
        <v>306</v>
      </c>
      <c r="G241" s="269"/>
      <c r="H241" s="290"/>
      <c r="I241" s="281"/>
      <c r="J241" s="35" t="s">
        <v>125</v>
      </c>
      <c r="K241" s="36" t="s">
        <v>129</v>
      </c>
    </row>
    <row r="242" spans="1:11" ht="15" x14ac:dyDescent="0.25">
      <c r="A242" s="299"/>
      <c r="B242" s="281"/>
      <c r="C242" s="37" t="s">
        <v>126</v>
      </c>
      <c r="D242" s="36" t="s">
        <v>19</v>
      </c>
      <c r="E242" s="154" t="s">
        <v>306</v>
      </c>
      <c r="G242" s="269"/>
      <c r="H242" s="291" t="s">
        <v>177</v>
      </c>
      <c r="I242" s="281"/>
      <c r="J242" s="38" t="s">
        <v>127</v>
      </c>
      <c r="K242" s="36" t="s">
        <v>131</v>
      </c>
    </row>
    <row r="243" spans="1:11" ht="15" customHeight="1" x14ac:dyDescent="0.25">
      <c r="A243" s="299"/>
      <c r="B243" s="281"/>
      <c r="C243" s="38" t="s">
        <v>127</v>
      </c>
      <c r="D243" s="36" t="s">
        <v>20</v>
      </c>
      <c r="E243" s="154" t="s">
        <v>306</v>
      </c>
      <c r="G243" s="269"/>
      <c r="H243" s="292"/>
      <c r="I243" s="281"/>
      <c r="J243" s="39" t="s">
        <v>128</v>
      </c>
      <c r="K243" s="40" t="s">
        <v>132</v>
      </c>
    </row>
    <row r="244" spans="1:11" ht="15.75" customHeight="1" x14ac:dyDescent="0.25">
      <c r="A244" s="299"/>
      <c r="B244" s="281"/>
      <c r="C244" s="39" t="s">
        <v>128</v>
      </c>
      <c r="D244" s="40" t="s">
        <v>21</v>
      </c>
      <c r="E244" s="154" t="s">
        <v>306</v>
      </c>
      <c r="G244" s="269"/>
      <c r="H244" s="292"/>
      <c r="I244" s="281"/>
      <c r="J244" s="41" t="s">
        <v>216</v>
      </c>
      <c r="K244" s="42"/>
    </row>
    <row r="245" spans="1:11" ht="18.75" customHeight="1" x14ac:dyDescent="0.25">
      <c r="A245" s="299"/>
      <c r="B245" s="281"/>
      <c r="C245" s="41" t="s">
        <v>36</v>
      </c>
      <c r="D245" s="173" t="str">
        <f>C245</f>
        <v>Cut-point values for the median growth percentile were:</v>
      </c>
      <c r="E245" s="154" t="s">
        <v>306</v>
      </c>
      <c r="G245" s="269"/>
      <c r="H245" s="292"/>
      <c r="I245" s="281"/>
      <c r="J245" s="35" t="s">
        <v>22</v>
      </c>
      <c r="K245" s="50">
        <v>90</v>
      </c>
    </row>
    <row r="246" spans="1:11" ht="15" customHeight="1" x14ac:dyDescent="0.25">
      <c r="A246" s="299"/>
      <c r="B246" s="281"/>
      <c r="C246" s="35" t="s">
        <v>22</v>
      </c>
      <c r="D246" s="43">
        <v>50.6</v>
      </c>
      <c r="E246" s="154" t="s">
        <v>306</v>
      </c>
      <c r="G246" s="269"/>
      <c r="H246" s="292"/>
      <c r="I246" s="281"/>
      <c r="J246" s="37" t="s">
        <v>23</v>
      </c>
      <c r="K246" s="50">
        <v>60</v>
      </c>
    </row>
    <row r="247" spans="1:11" ht="18.75" customHeight="1" x14ac:dyDescent="0.25">
      <c r="A247" s="299"/>
      <c r="B247" s="281"/>
      <c r="C247" s="37" t="s">
        <v>23</v>
      </c>
      <c r="D247" s="43">
        <v>42</v>
      </c>
      <c r="E247" s="154" t="s">
        <v>306</v>
      </c>
      <c r="G247" s="269"/>
      <c r="H247" s="292"/>
      <c r="I247" s="281"/>
      <c r="J247" s="38" t="s">
        <v>24</v>
      </c>
      <c r="K247" s="50">
        <v>40</v>
      </c>
    </row>
    <row r="248" spans="1:11" ht="18.75" customHeight="1" x14ac:dyDescent="0.25">
      <c r="A248" s="299"/>
      <c r="B248" s="281"/>
      <c r="C248" s="38" t="s">
        <v>24</v>
      </c>
      <c r="D248" s="180">
        <v>33.6</v>
      </c>
      <c r="E248" s="154" t="s">
        <v>306</v>
      </c>
      <c r="G248" s="269"/>
      <c r="H248" s="292"/>
      <c r="I248" s="281"/>
      <c r="J248" s="41" t="s">
        <v>215</v>
      </c>
      <c r="K248" s="42"/>
    </row>
    <row r="249" spans="1:11" ht="18.75" customHeight="1" x14ac:dyDescent="0.25">
      <c r="A249" s="299"/>
      <c r="B249" s="281"/>
      <c r="C249" s="41" t="s">
        <v>35</v>
      </c>
      <c r="D249" s="173" t="str">
        <f>C249</f>
        <v>Your school's actual median growth percentile was:</v>
      </c>
      <c r="E249" s="154" t="s">
        <v>306</v>
      </c>
      <c r="G249" s="269"/>
      <c r="H249" s="292"/>
      <c r="I249" s="281"/>
      <c r="J249" s="63" t="s">
        <v>214</v>
      </c>
      <c r="K249" s="58"/>
    </row>
    <row r="250" spans="1:11" ht="18.75" customHeight="1" thickBot="1" x14ac:dyDescent="0.3">
      <c r="A250" s="299"/>
      <c r="B250" s="281"/>
      <c r="C250" s="63" t="s">
        <v>31</v>
      </c>
      <c r="D250" s="45" t="s">
        <v>395</v>
      </c>
      <c r="E250" s="154" t="s">
        <v>306</v>
      </c>
      <c r="G250" s="270"/>
      <c r="H250" s="293"/>
      <c r="I250" s="282"/>
      <c r="J250" s="64" t="s">
        <v>194</v>
      </c>
      <c r="K250" s="65"/>
    </row>
    <row r="251" spans="1:11" ht="15" customHeight="1" thickBot="1" x14ac:dyDescent="0.3">
      <c r="A251" s="300"/>
      <c r="B251" s="282"/>
      <c r="C251" s="64" t="s">
        <v>196</v>
      </c>
      <c r="D251" s="45" t="s">
        <v>395</v>
      </c>
      <c r="E251" s="154" t="s">
        <v>306</v>
      </c>
      <c r="G251" s="268" t="s">
        <v>26</v>
      </c>
      <c r="H251" s="289"/>
      <c r="I251" s="280" t="s">
        <v>206</v>
      </c>
      <c r="J251" s="33" t="s">
        <v>29</v>
      </c>
      <c r="K251" s="34"/>
    </row>
    <row r="252" spans="1:11" ht="15" customHeight="1" thickBot="1" x14ac:dyDescent="0.3">
      <c r="A252" s="301" t="s">
        <v>26</v>
      </c>
      <c r="B252" s="303" t="s">
        <v>387</v>
      </c>
      <c r="C252" s="87" t="s">
        <v>96</v>
      </c>
      <c r="D252" s="24" t="s">
        <v>305</v>
      </c>
      <c r="E252" s="154" t="s">
        <v>306</v>
      </c>
      <c r="G252" s="269"/>
      <c r="H252" s="290"/>
      <c r="I252" s="281"/>
      <c r="J252" s="35" t="s">
        <v>125</v>
      </c>
      <c r="K252" s="36" t="s">
        <v>129</v>
      </c>
    </row>
    <row r="253" spans="1:11" ht="15.75" thickBot="1" x14ac:dyDescent="0.3">
      <c r="A253" s="301"/>
      <c r="B253" s="303"/>
      <c r="C253" s="88" t="str">
        <f>VLOOKUP(D252,$N$224:$X$233,10,FALSE)</f>
        <v xml:space="preserve"> </v>
      </c>
      <c r="D253" s="153" t="str">
        <f>C253</f>
        <v xml:space="preserve"> </v>
      </c>
      <c r="E253" s="154" t="s">
        <v>306</v>
      </c>
      <c r="G253" s="269"/>
      <c r="H253" s="291" t="s">
        <v>177</v>
      </c>
      <c r="I253" s="281"/>
      <c r="J253" s="38" t="s">
        <v>127</v>
      </c>
      <c r="K253" s="36" t="s">
        <v>131</v>
      </c>
    </row>
    <row r="254" spans="1:11" ht="15" customHeight="1" thickBot="1" x14ac:dyDescent="0.3">
      <c r="A254" s="301"/>
      <c r="B254" s="303"/>
      <c r="C254" s="35" t="s">
        <v>125</v>
      </c>
      <c r="D254" s="74" t="str">
        <f>VLOOKUP(D252,$N$224:$U$234,2,FALSE)</f>
        <v xml:space="preserve"> </v>
      </c>
      <c r="E254" s="154" t="s">
        <v>306</v>
      </c>
      <c r="G254" s="269"/>
      <c r="H254" s="292"/>
      <c r="I254" s="281"/>
      <c r="J254" s="39" t="s">
        <v>128</v>
      </c>
      <c r="K254" s="40" t="s">
        <v>132</v>
      </c>
    </row>
    <row r="255" spans="1:11" ht="15" customHeight="1" thickBot="1" x14ac:dyDescent="0.3">
      <c r="A255" s="301"/>
      <c r="B255" s="303"/>
      <c r="C255" s="37" t="s">
        <v>126</v>
      </c>
      <c r="D255" s="74" t="str">
        <f>VLOOKUP(D252,$N$224:$U$234,3,FALSE)</f>
        <v xml:space="preserve"> </v>
      </c>
      <c r="E255" s="154" t="s">
        <v>306</v>
      </c>
      <c r="G255" s="269"/>
      <c r="H255" s="292"/>
      <c r="I255" s="281"/>
      <c r="J255" s="41" t="s">
        <v>32</v>
      </c>
      <c r="K255" s="42"/>
    </row>
    <row r="256" spans="1:11" ht="18.75" customHeight="1" thickBot="1" x14ac:dyDescent="0.3">
      <c r="A256" s="301"/>
      <c r="B256" s="303"/>
      <c r="C256" s="38" t="s">
        <v>127</v>
      </c>
      <c r="D256" s="74" t="str">
        <f>VLOOKUP(D252,$N$224:$U$234,4,FALSE)</f>
        <v xml:space="preserve"> </v>
      </c>
      <c r="E256" s="154" t="s">
        <v>306</v>
      </c>
      <c r="G256" s="269"/>
      <c r="H256" s="292"/>
      <c r="I256" s="281"/>
      <c r="J256" s="35" t="s">
        <v>22</v>
      </c>
      <c r="K256" s="50">
        <v>90</v>
      </c>
    </row>
    <row r="257" spans="1:11" ht="18.75" customHeight="1" thickBot="1" x14ac:dyDescent="0.3">
      <c r="A257" s="301"/>
      <c r="B257" s="303"/>
      <c r="C257" s="39" t="s">
        <v>128</v>
      </c>
      <c r="D257" s="74" t="str">
        <f>VLOOKUP(D252,$N$224:$U$234,5,FALSE)</f>
        <v xml:space="preserve"> </v>
      </c>
      <c r="E257" s="154" t="s">
        <v>306</v>
      </c>
      <c r="G257" s="269"/>
      <c r="H257" s="292"/>
      <c r="I257" s="281"/>
      <c r="J257" s="37" t="s">
        <v>23</v>
      </c>
      <c r="K257" s="50">
        <v>60</v>
      </c>
    </row>
    <row r="258" spans="1:11" ht="15" customHeight="1" thickBot="1" x14ac:dyDescent="0.3">
      <c r="A258" s="301"/>
      <c r="B258" s="303"/>
      <c r="C258" s="88" t="str">
        <f>VLOOKUP(D252,$N$224:$X$233,11,FALSE)</f>
        <v xml:space="preserve"> </v>
      </c>
      <c r="D258" s="153" t="str">
        <f>C258</f>
        <v xml:space="preserve"> </v>
      </c>
      <c r="E258" s="154" t="s">
        <v>306</v>
      </c>
      <c r="G258" s="269"/>
      <c r="H258" s="292"/>
      <c r="I258" s="281"/>
      <c r="J258" s="38" t="s">
        <v>24</v>
      </c>
      <c r="K258" s="50">
        <v>40</v>
      </c>
    </row>
    <row r="259" spans="1:11" ht="18.75" customHeight="1" thickBot="1" x14ac:dyDescent="0.3">
      <c r="A259" s="301"/>
      <c r="B259" s="303"/>
      <c r="C259" s="35" t="s">
        <v>22</v>
      </c>
      <c r="D259" s="50" t="str">
        <f>VLOOKUP(D252,$N$224:$U$234,6,FALSE)</f>
        <v xml:space="preserve"> </v>
      </c>
      <c r="E259" s="154" t="s">
        <v>306</v>
      </c>
      <c r="G259" s="269"/>
      <c r="H259" s="292"/>
      <c r="I259" s="281"/>
      <c r="J259" s="41" t="s">
        <v>33</v>
      </c>
      <c r="K259" s="42"/>
    </row>
    <row r="260" spans="1:11" ht="18.75" customHeight="1" thickBot="1" x14ac:dyDescent="0.3">
      <c r="A260" s="301"/>
      <c r="B260" s="303"/>
      <c r="C260" s="208" t="s">
        <v>23</v>
      </c>
      <c r="D260" s="50" t="str">
        <f>VLOOKUP(D252,$N$224:$U$234,7,FALSE)</f>
        <v xml:space="preserve"> </v>
      </c>
      <c r="E260" s="154" t="s">
        <v>306</v>
      </c>
      <c r="G260" s="269"/>
      <c r="H260" s="292"/>
      <c r="I260" s="281"/>
      <c r="J260" s="63" t="s">
        <v>30</v>
      </c>
      <c r="K260" s="58"/>
    </row>
    <row r="261" spans="1:11" ht="15.75" thickBot="1" x14ac:dyDescent="0.3">
      <c r="A261" s="301"/>
      <c r="B261" s="303"/>
      <c r="C261" s="205" t="s">
        <v>24</v>
      </c>
      <c r="D261" s="204" t="str">
        <f>VLOOKUP(D252,$N$224:$U$234,8,FALSE)</f>
        <v xml:space="preserve"> </v>
      </c>
      <c r="E261" s="154" t="s">
        <v>306</v>
      </c>
      <c r="G261" s="270"/>
      <c r="H261" s="293"/>
      <c r="I261" s="282"/>
      <c r="J261" s="64" t="s">
        <v>194</v>
      </c>
      <c r="K261" s="65"/>
    </row>
    <row r="262" spans="1:11" ht="15.75" thickBot="1" x14ac:dyDescent="0.3">
      <c r="A262" s="301"/>
      <c r="B262" s="303"/>
      <c r="C262" s="89" t="s">
        <v>282</v>
      </c>
      <c r="D262" s="190" t="s">
        <v>307</v>
      </c>
      <c r="G262" s="177"/>
      <c r="H262" s="179"/>
      <c r="I262" s="176"/>
      <c r="J262" s="206"/>
      <c r="K262" s="207"/>
    </row>
    <row r="263" spans="1:11" ht="15.75" thickBot="1" x14ac:dyDescent="0.3">
      <c r="A263" s="301"/>
      <c r="B263" s="303"/>
      <c r="C263" s="88" t="str">
        <f>VLOOKUP(D252,$N$224:$X$233,9,FALSE)</f>
        <v xml:space="preserve"> </v>
      </c>
      <c r="D263" s="153" t="str">
        <f>C263</f>
        <v xml:space="preserve"> </v>
      </c>
      <c r="E263" s="154" t="s">
        <v>306</v>
      </c>
      <c r="G263" s="268" t="s">
        <v>26</v>
      </c>
      <c r="H263" s="289"/>
      <c r="I263" s="280" t="s">
        <v>204</v>
      </c>
      <c r="J263" s="33" t="s">
        <v>29</v>
      </c>
      <c r="K263" s="34"/>
    </row>
    <row r="264" spans="1:11" ht="15" customHeight="1" thickBot="1" x14ac:dyDescent="0.3">
      <c r="A264" s="301"/>
      <c r="B264" s="303"/>
      <c r="C264" s="56" t="str">
        <f>VLOOKUP(D252,$N$211:$P$221,2,FALSE)</f>
        <v xml:space="preserve"> </v>
      </c>
      <c r="D264" s="156" t="s">
        <v>380</v>
      </c>
      <c r="E264" s="154" t="s">
        <v>306</v>
      </c>
      <c r="G264" s="269"/>
      <c r="H264" s="290"/>
      <c r="I264" s="281"/>
      <c r="J264" s="35" t="s">
        <v>125</v>
      </c>
      <c r="K264" s="36" t="s">
        <v>129</v>
      </c>
    </row>
    <row r="265" spans="1:11" ht="15" customHeight="1" thickBot="1" x14ac:dyDescent="0.3">
      <c r="A265" s="301"/>
      <c r="B265" s="303"/>
      <c r="C265" s="159" t="s">
        <v>379</v>
      </c>
      <c r="D265" s="156" t="s">
        <v>394</v>
      </c>
      <c r="E265" s="154" t="s">
        <v>306</v>
      </c>
      <c r="G265" s="269"/>
      <c r="H265" s="290"/>
      <c r="I265" s="281"/>
      <c r="J265" s="35"/>
      <c r="K265" s="36"/>
    </row>
    <row r="266" spans="1:11" ht="15" customHeight="1" thickBot="1" x14ac:dyDescent="0.3">
      <c r="A266" s="301"/>
      <c r="B266" s="303"/>
      <c r="C266" s="64" t="str">
        <f>VLOOKUP(D252,$N$211:$P$221,3,FALSE)</f>
        <v xml:space="preserve"> </v>
      </c>
      <c r="D266" s="169" t="e">
        <f>SUM(D264/D265)*100</f>
        <v>#VALUE!</v>
      </c>
      <c r="E266" s="154" t="s">
        <v>306</v>
      </c>
      <c r="G266" s="269"/>
      <c r="H266" s="290"/>
      <c r="I266" s="281"/>
      <c r="J266" s="37" t="s">
        <v>126</v>
      </c>
      <c r="K266" s="36" t="s">
        <v>130</v>
      </c>
    </row>
    <row r="267" spans="1:11" ht="15" customHeight="1" thickBot="1" x14ac:dyDescent="0.3">
      <c r="A267" s="301"/>
      <c r="B267" s="303"/>
      <c r="C267" s="89" t="s">
        <v>283</v>
      </c>
      <c r="D267" s="148" t="s">
        <v>307</v>
      </c>
      <c r="E267" s="154" t="s">
        <v>306</v>
      </c>
      <c r="G267" s="269"/>
      <c r="H267" s="291" t="s">
        <v>177</v>
      </c>
      <c r="I267" s="281"/>
      <c r="J267" s="38" t="s">
        <v>127</v>
      </c>
      <c r="K267" s="36" t="s">
        <v>131</v>
      </c>
    </row>
    <row r="268" spans="1:11" ht="15.75" thickBot="1" x14ac:dyDescent="0.3">
      <c r="A268" s="302"/>
      <c r="B268" s="302"/>
      <c r="C268" s="88" t="str">
        <f>VLOOKUP(D252,$N$224:$X$233,9,FALSE)</f>
        <v xml:space="preserve"> </v>
      </c>
      <c r="D268" s="153" t="str">
        <f>C268</f>
        <v xml:space="preserve"> </v>
      </c>
      <c r="E268" s="154" t="s">
        <v>306</v>
      </c>
      <c r="G268" s="269"/>
      <c r="H268" s="292"/>
      <c r="I268" s="281"/>
      <c r="J268" s="39" t="s">
        <v>128</v>
      </c>
      <c r="K268" s="40" t="s">
        <v>132</v>
      </c>
    </row>
    <row r="269" spans="1:11" ht="15.75" thickBot="1" x14ac:dyDescent="0.3">
      <c r="A269" s="302"/>
      <c r="B269" s="302"/>
      <c r="C269" s="56" t="str">
        <f>VLOOKUP(D252,$N$211:$O$221,2,FALSE)</f>
        <v xml:space="preserve"> </v>
      </c>
      <c r="D269" s="156" t="s">
        <v>380</v>
      </c>
      <c r="E269" s="154" t="s">
        <v>306</v>
      </c>
      <c r="G269" s="269"/>
      <c r="H269" s="292"/>
      <c r="I269" s="281"/>
      <c r="J269" s="41" t="s">
        <v>32</v>
      </c>
      <c r="K269" s="42"/>
    </row>
    <row r="270" spans="1:11" ht="15.75" thickBot="1" x14ac:dyDescent="0.3">
      <c r="A270" s="302"/>
      <c r="B270" s="302"/>
      <c r="C270" s="159" t="s">
        <v>379</v>
      </c>
      <c r="D270" s="156" t="s">
        <v>394</v>
      </c>
      <c r="E270" s="154" t="s">
        <v>306</v>
      </c>
      <c r="G270" s="269"/>
      <c r="H270" s="292"/>
      <c r="I270" s="281"/>
      <c r="J270" s="70"/>
      <c r="K270" s="71"/>
    </row>
    <row r="271" spans="1:11" ht="15" customHeight="1" thickBot="1" x14ac:dyDescent="0.3">
      <c r="A271" s="302"/>
      <c r="B271" s="302"/>
      <c r="C271" s="64" t="str">
        <f>VLOOKUP(D252,$N$211:$P$221,3,FALSE)</f>
        <v xml:space="preserve"> </v>
      </c>
      <c r="D271" s="169" t="e">
        <f>SUM(D269/D270)*100</f>
        <v>#VALUE!</v>
      </c>
      <c r="E271" s="154" t="s">
        <v>306</v>
      </c>
      <c r="G271" s="269"/>
      <c r="H271" s="292"/>
      <c r="I271" s="281"/>
      <c r="J271" s="35" t="s">
        <v>22</v>
      </c>
      <c r="K271" s="50">
        <v>90</v>
      </c>
    </row>
    <row r="272" spans="1:11" ht="18.75" customHeight="1" thickBot="1" x14ac:dyDescent="0.3">
      <c r="A272" s="302"/>
      <c r="B272" s="302"/>
      <c r="C272" s="89" t="s">
        <v>284</v>
      </c>
      <c r="D272" s="148" t="s">
        <v>307</v>
      </c>
      <c r="E272" s="154" t="s">
        <v>306</v>
      </c>
      <c r="G272" s="269"/>
      <c r="H272" s="292"/>
      <c r="I272" s="281"/>
      <c r="J272" s="37" t="s">
        <v>23</v>
      </c>
      <c r="K272" s="50">
        <v>60</v>
      </c>
    </row>
    <row r="273" spans="1:11" ht="18.75" customHeight="1" thickBot="1" x14ac:dyDescent="0.3">
      <c r="A273" s="302"/>
      <c r="B273" s="302"/>
      <c r="C273" s="88" t="str">
        <f>VLOOKUP(D252,$N$224:$X$233,9,FALSE)</f>
        <v xml:space="preserve"> </v>
      </c>
      <c r="D273" s="153" t="str">
        <f>C273</f>
        <v xml:space="preserve"> </v>
      </c>
      <c r="E273" s="154" t="s">
        <v>306</v>
      </c>
      <c r="G273" s="269"/>
      <c r="H273" s="292"/>
      <c r="I273" s="281"/>
      <c r="J273" s="38" t="s">
        <v>24</v>
      </c>
      <c r="K273" s="50">
        <v>40</v>
      </c>
    </row>
    <row r="274" spans="1:11" ht="15" customHeight="1" thickBot="1" x14ac:dyDescent="0.3">
      <c r="A274" s="302"/>
      <c r="B274" s="302"/>
      <c r="C274" s="56" t="str">
        <f>VLOOKUP(D252,$N$211:$O$221,2,FALSE)</f>
        <v xml:space="preserve"> </v>
      </c>
      <c r="D274" s="156" t="s">
        <v>380</v>
      </c>
      <c r="E274" s="154" t="s">
        <v>306</v>
      </c>
      <c r="G274" s="269"/>
      <c r="H274" s="292"/>
      <c r="I274" s="281"/>
      <c r="J274" s="41" t="s">
        <v>33</v>
      </c>
      <c r="K274" s="42"/>
    </row>
    <row r="275" spans="1:11" ht="15" customHeight="1" thickBot="1" x14ac:dyDescent="0.3">
      <c r="A275" s="302"/>
      <c r="B275" s="302"/>
      <c r="C275" s="159" t="s">
        <v>379</v>
      </c>
      <c r="D275" s="156" t="s">
        <v>394</v>
      </c>
      <c r="E275" s="154" t="s">
        <v>306</v>
      </c>
      <c r="G275" s="269"/>
      <c r="H275" s="292"/>
      <c r="I275" s="281"/>
      <c r="J275" s="157"/>
      <c r="K275" s="71"/>
    </row>
    <row r="276" spans="1:11" ht="18.75" customHeight="1" thickBot="1" x14ac:dyDescent="0.3">
      <c r="A276" s="302"/>
      <c r="B276" s="302"/>
      <c r="C276" s="64" t="str">
        <f>VLOOKUP(D252,$N$211:$P$221,3,FALSE)</f>
        <v xml:space="preserve"> </v>
      </c>
      <c r="D276" s="169" t="e">
        <f>SUM(D274/D275)*100</f>
        <v>#VALUE!</v>
      </c>
      <c r="E276" s="154" t="s">
        <v>306</v>
      </c>
      <c r="G276" s="269"/>
      <c r="H276" s="292"/>
      <c r="I276" s="281"/>
      <c r="J276" s="63" t="s">
        <v>30</v>
      </c>
      <c r="K276" s="58"/>
    </row>
    <row r="277" spans="1:11" ht="18.75" customHeight="1" thickBot="1" x14ac:dyDescent="0.3">
      <c r="A277" s="302"/>
      <c r="B277" s="302"/>
      <c r="C277" s="183" t="s">
        <v>285</v>
      </c>
      <c r="D277" s="198" t="s">
        <v>307</v>
      </c>
      <c r="E277" s="154" t="s">
        <v>306</v>
      </c>
      <c r="G277" s="270"/>
      <c r="H277" s="293"/>
      <c r="I277" s="282"/>
      <c r="J277" s="64" t="s">
        <v>194</v>
      </c>
      <c r="K277" s="65"/>
    </row>
    <row r="278" spans="1:11" ht="15.75" thickBot="1" x14ac:dyDescent="0.3">
      <c r="A278" s="302"/>
      <c r="B278" s="302"/>
      <c r="C278" s="70" t="str">
        <f>VLOOKUP(D252,$N$224:$X$1683,9,FALSE)</f>
        <v xml:space="preserve"> </v>
      </c>
      <c r="D278" s="173" t="str">
        <f>C278</f>
        <v xml:space="preserve"> </v>
      </c>
      <c r="E278" s="154" t="s">
        <v>306</v>
      </c>
      <c r="G278" s="268" t="s">
        <v>26</v>
      </c>
      <c r="H278" s="289"/>
      <c r="I278" s="280" t="s">
        <v>207</v>
      </c>
      <c r="J278" s="33" t="s">
        <v>29</v>
      </c>
      <c r="K278" s="34"/>
    </row>
    <row r="279" spans="1:11" ht="15.75" thickBot="1" x14ac:dyDescent="0.3">
      <c r="A279" s="302"/>
      <c r="B279" s="302"/>
      <c r="C279" s="56" t="str">
        <f>VLOOKUP(D252,$N$211:$O$221,2,FALSE)</f>
        <v xml:space="preserve"> </v>
      </c>
      <c r="D279" s="156" t="s">
        <v>380</v>
      </c>
      <c r="E279" s="154" t="s">
        <v>306</v>
      </c>
      <c r="G279" s="269"/>
      <c r="H279" s="290"/>
      <c r="I279" s="281"/>
      <c r="J279" s="35" t="s">
        <v>125</v>
      </c>
      <c r="K279" s="36" t="s">
        <v>129</v>
      </c>
    </row>
    <row r="280" spans="1:11" ht="15.75" thickBot="1" x14ac:dyDescent="0.3">
      <c r="A280" s="302"/>
      <c r="B280" s="302"/>
      <c r="C280" s="159" t="s">
        <v>379</v>
      </c>
      <c r="D280" s="156" t="s">
        <v>394</v>
      </c>
      <c r="E280" s="154" t="s">
        <v>306</v>
      </c>
      <c r="G280" s="269"/>
      <c r="H280" s="290"/>
      <c r="I280" s="281"/>
      <c r="J280" s="35"/>
      <c r="K280" s="36"/>
    </row>
    <row r="281" spans="1:11" ht="15" customHeight="1" thickBot="1" x14ac:dyDescent="0.3">
      <c r="A281" s="302"/>
      <c r="B281" s="302"/>
      <c r="C281" s="64" t="str">
        <f>VLOOKUP(D252,$N$211:$P$221,3,FALSE)</f>
        <v xml:space="preserve"> </v>
      </c>
      <c r="D281" s="169" t="e">
        <f>SUM(D279/D280)*100</f>
        <v>#VALUE!</v>
      </c>
      <c r="E281" s="154" t="s">
        <v>306</v>
      </c>
      <c r="G281" s="269"/>
      <c r="H281" s="290"/>
      <c r="I281" s="281"/>
      <c r="J281" s="37" t="s">
        <v>126</v>
      </c>
      <c r="K281" s="36" t="s">
        <v>130</v>
      </c>
    </row>
    <row r="282" spans="1:11" ht="15" customHeight="1" thickBot="1" x14ac:dyDescent="0.3">
      <c r="A282" s="301" t="s">
        <v>26</v>
      </c>
      <c r="B282" s="303" t="s">
        <v>388</v>
      </c>
      <c r="C282" s="87" t="s">
        <v>96</v>
      </c>
      <c r="D282" s="24" t="s">
        <v>305</v>
      </c>
      <c r="E282" s="154" t="s">
        <v>306</v>
      </c>
      <c r="G282" s="269"/>
      <c r="H282" s="291" t="s">
        <v>177</v>
      </c>
      <c r="I282" s="281"/>
      <c r="J282" s="38" t="s">
        <v>127</v>
      </c>
      <c r="K282" s="36" t="s">
        <v>131</v>
      </c>
    </row>
    <row r="283" spans="1:11" ht="15.75" thickBot="1" x14ac:dyDescent="0.3">
      <c r="A283" s="301"/>
      <c r="B283" s="303"/>
      <c r="C283" s="88" t="str">
        <f>VLOOKUP(D282,$N$224:$X$233,10,FALSE)</f>
        <v xml:space="preserve"> </v>
      </c>
      <c r="D283" s="153" t="str">
        <f>C283</f>
        <v xml:space="preserve"> </v>
      </c>
      <c r="E283" s="154" t="s">
        <v>306</v>
      </c>
      <c r="G283" s="269"/>
      <c r="H283" s="292"/>
      <c r="I283" s="281"/>
      <c r="J283" s="41" t="s">
        <v>32</v>
      </c>
      <c r="K283" s="42"/>
    </row>
    <row r="284" spans="1:11" ht="15.75" thickBot="1" x14ac:dyDescent="0.3">
      <c r="A284" s="301"/>
      <c r="B284" s="303"/>
      <c r="C284" s="35" t="s">
        <v>125</v>
      </c>
      <c r="D284" s="74" t="str">
        <f>VLOOKUP(D282,$N$224:$U$234,2,FALSE)</f>
        <v xml:space="preserve"> </v>
      </c>
      <c r="E284" s="154" t="s">
        <v>306</v>
      </c>
      <c r="G284" s="269"/>
      <c r="H284" s="292"/>
      <c r="I284" s="281"/>
      <c r="J284" s="35" t="s">
        <v>22</v>
      </c>
      <c r="K284" s="50">
        <v>90</v>
      </c>
    </row>
    <row r="285" spans="1:11" ht="15" customHeight="1" thickBot="1" x14ac:dyDescent="0.3">
      <c r="A285" s="301"/>
      <c r="B285" s="303"/>
      <c r="C285" s="37" t="s">
        <v>126</v>
      </c>
      <c r="D285" s="74" t="str">
        <f>VLOOKUP(D282,$N$224:$U$234,3,FALSE)</f>
        <v xml:space="preserve"> </v>
      </c>
      <c r="E285" s="154" t="s">
        <v>306</v>
      </c>
      <c r="G285" s="269"/>
      <c r="H285" s="292"/>
      <c r="I285" s="281"/>
      <c r="J285" s="37" t="s">
        <v>23</v>
      </c>
      <c r="K285" s="50">
        <v>60</v>
      </c>
    </row>
    <row r="286" spans="1:11" ht="15.75" thickBot="1" x14ac:dyDescent="0.3">
      <c r="A286" s="301"/>
      <c r="B286" s="303"/>
      <c r="C286" s="38" t="s">
        <v>127</v>
      </c>
      <c r="D286" s="74" t="str">
        <f>VLOOKUP(D282,$N$224:$U$234,4,FALSE)</f>
        <v xml:space="preserve"> </v>
      </c>
      <c r="E286" s="154" t="s">
        <v>306</v>
      </c>
      <c r="G286" s="269"/>
      <c r="H286" s="292"/>
      <c r="I286" s="281"/>
      <c r="J286" s="38" t="s">
        <v>24</v>
      </c>
      <c r="K286" s="50">
        <v>40</v>
      </c>
    </row>
    <row r="287" spans="1:11" ht="15.75" thickBot="1" x14ac:dyDescent="0.3">
      <c r="A287" s="301"/>
      <c r="B287" s="303"/>
      <c r="C287" s="39" t="s">
        <v>128</v>
      </c>
      <c r="D287" s="74" t="str">
        <f>VLOOKUP(D282,$N$224:$U$234,5,FALSE)</f>
        <v xml:space="preserve"> </v>
      </c>
      <c r="E287" s="154" t="s">
        <v>306</v>
      </c>
      <c r="G287" s="269"/>
      <c r="H287" s="292"/>
      <c r="I287" s="281"/>
      <c r="J287" s="41" t="s">
        <v>33</v>
      </c>
      <c r="K287" s="42"/>
    </row>
    <row r="288" spans="1:11" ht="15" customHeight="1" thickBot="1" x14ac:dyDescent="0.3">
      <c r="A288" s="301"/>
      <c r="B288" s="303"/>
      <c r="C288" s="88" t="str">
        <f>VLOOKUP(D282,$N$224:$X$233,11,FALSE)</f>
        <v xml:space="preserve"> </v>
      </c>
      <c r="D288" s="153" t="str">
        <f>C288</f>
        <v xml:space="preserve"> </v>
      </c>
      <c r="E288" s="154" t="s">
        <v>306</v>
      </c>
      <c r="G288" s="269"/>
      <c r="H288" s="292"/>
      <c r="I288" s="281"/>
      <c r="J288" s="63" t="s">
        <v>30</v>
      </c>
      <c r="K288" s="58"/>
    </row>
    <row r="289" spans="1:11" ht="15.75" thickBot="1" x14ac:dyDescent="0.3">
      <c r="A289" s="301"/>
      <c r="B289" s="303"/>
      <c r="C289" s="35" t="s">
        <v>22</v>
      </c>
      <c r="D289" s="50" t="str">
        <f>VLOOKUP(D282,$N$224:$U$234,6,FALSE)</f>
        <v xml:space="preserve"> </v>
      </c>
      <c r="E289" s="154" t="s">
        <v>306</v>
      </c>
      <c r="G289" s="270"/>
      <c r="H289" s="293"/>
      <c r="I289" s="282"/>
      <c r="J289" s="64" t="s">
        <v>194</v>
      </c>
      <c r="K289" s="65"/>
    </row>
    <row r="290" spans="1:11" ht="15.75" thickBot="1" x14ac:dyDescent="0.3">
      <c r="A290" s="301"/>
      <c r="B290" s="303"/>
      <c r="C290" s="37" t="s">
        <v>23</v>
      </c>
      <c r="D290" s="50" t="str">
        <f>VLOOKUP(D282,$N$224:$U$234,7,FALSE)</f>
        <v xml:space="preserve"> </v>
      </c>
      <c r="E290" s="154" t="s">
        <v>306</v>
      </c>
      <c r="G290" s="268" t="s">
        <v>26</v>
      </c>
      <c r="H290" s="289"/>
      <c r="I290" s="280" t="s">
        <v>341</v>
      </c>
      <c r="J290" s="33" t="s">
        <v>28</v>
      </c>
      <c r="K290" s="34"/>
    </row>
    <row r="291" spans="1:11" ht="15.75" thickBot="1" x14ac:dyDescent="0.3">
      <c r="A291" s="301"/>
      <c r="B291" s="303"/>
      <c r="C291" s="205" t="s">
        <v>24</v>
      </c>
      <c r="D291" s="204" t="str">
        <f>VLOOKUP(D282,$N$224:$U$234,8,FALSE)</f>
        <v xml:space="preserve"> </v>
      </c>
      <c r="E291" s="154" t="s">
        <v>306</v>
      </c>
      <c r="G291" s="269"/>
      <c r="H291" s="290"/>
      <c r="I291" s="281"/>
      <c r="J291" s="35" t="s">
        <v>125</v>
      </c>
      <c r="K291" s="36" t="s">
        <v>129</v>
      </c>
    </row>
    <row r="292" spans="1:11" ht="15.75" thickBot="1" x14ac:dyDescent="0.3">
      <c r="A292" s="301"/>
      <c r="B292" s="303"/>
      <c r="C292" s="89" t="s">
        <v>282</v>
      </c>
      <c r="D292" s="190" t="s">
        <v>307</v>
      </c>
      <c r="G292" s="269"/>
      <c r="H292" s="290"/>
      <c r="I292" s="281"/>
      <c r="J292" s="35"/>
      <c r="K292" s="36"/>
    </row>
    <row r="293" spans="1:11" ht="15.75" thickBot="1" x14ac:dyDescent="0.3">
      <c r="A293" s="301"/>
      <c r="B293" s="303"/>
      <c r="C293" s="88" t="str">
        <f>VLOOKUP(D282,$N$224:$X$233,9,FALSE)</f>
        <v xml:space="preserve"> </v>
      </c>
      <c r="D293" s="153" t="str">
        <f>C293</f>
        <v xml:space="preserve"> </v>
      </c>
      <c r="E293" s="154" t="s">
        <v>306</v>
      </c>
      <c r="G293" s="269"/>
      <c r="H293" s="290"/>
      <c r="I293" s="281"/>
      <c r="J293" s="37" t="s">
        <v>126</v>
      </c>
      <c r="K293" s="36" t="s">
        <v>130</v>
      </c>
    </row>
    <row r="294" spans="1:11" ht="15" customHeight="1" thickBot="1" x14ac:dyDescent="0.3">
      <c r="A294" s="301"/>
      <c r="B294" s="303"/>
      <c r="C294" s="56" t="str">
        <f>VLOOKUP(D282,$N$211:$P$221,2,FALSE)</f>
        <v xml:space="preserve"> </v>
      </c>
      <c r="D294" s="156" t="s">
        <v>380</v>
      </c>
      <c r="E294" s="154" t="s">
        <v>306</v>
      </c>
      <c r="G294" s="269"/>
      <c r="H294" s="291" t="s">
        <v>177</v>
      </c>
      <c r="I294" s="281"/>
      <c r="J294" s="38" t="s">
        <v>127</v>
      </c>
      <c r="K294" s="36" t="s">
        <v>131</v>
      </c>
    </row>
    <row r="295" spans="1:11" ht="15" customHeight="1" thickBot="1" x14ac:dyDescent="0.3">
      <c r="A295" s="301"/>
      <c r="B295" s="303"/>
      <c r="C295" s="159" t="s">
        <v>379</v>
      </c>
      <c r="D295" s="156" t="s">
        <v>394</v>
      </c>
      <c r="E295" s="154" t="s">
        <v>306</v>
      </c>
      <c r="G295" s="269"/>
      <c r="H295" s="292"/>
      <c r="I295" s="281"/>
      <c r="J295" s="39" t="s">
        <v>128</v>
      </c>
      <c r="K295" s="40" t="s">
        <v>132</v>
      </c>
    </row>
    <row r="296" spans="1:11" ht="15" customHeight="1" thickBot="1" x14ac:dyDescent="0.3">
      <c r="A296" s="301"/>
      <c r="B296" s="303"/>
      <c r="C296" s="64" t="str">
        <f>VLOOKUP(D282,$N$211:$P$221,3,FALSE)</f>
        <v xml:space="preserve"> </v>
      </c>
      <c r="D296" s="169" t="e">
        <f>SUM(D294/D295)*100</f>
        <v>#VALUE!</v>
      </c>
      <c r="E296" s="154" t="s">
        <v>306</v>
      </c>
      <c r="G296" s="269"/>
      <c r="H296" s="292"/>
      <c r="I296" s="281"/>
      <c r="J296" s="41" t="s">
        <v>36</v>
      </c>
      <c r="K296" s="42"/>
    </row>
    <row r="297" spans="1:11" ht="15.75" thickBot="1" x14ac:dyDescent="0.3">
      <c r="A297" s="301"/>
      <c r="B297" s="303"/>
      <c r="C297" s="89" t="s">
        <v>283</v>
      </c>
      <c r="D297" s="148" t="s">
        <v>307</v>
      </c>
      <c r="E297" s="154" t="s">
        <v>306</v>
      </c>
      <c r="G297" s="269"/>
      <c r="H297" s="292"/>
      <c r="I297" s="281"/>
      <c r="J297" s="35" t="s">
        <v>22</v>
      </c>
      <c r="K297" s="50">
        <v>57</v>
      </c>
    </row>
    <row r="298" spans="1:11" ht="15.75" thickBot="1" x14ac:dyDescent="0.3">
      <c r="A298" s="302"/>
      <c r="B298" s="302"/>
      <c r="C298" s="88" t="str">
        <f>VLOOKUP(D282,$N$224:$X$233,9,FALSE)</f>
        <v xml:space="preserve"> </v>
      </c>
      <c r="D298" s="153" t="str">
        <f>C298</f>
        <v xml:space="preserve"> </v>
      </c>
      <c r="E298" s="154" t="s">
        <v>306</v>
      </c>
      <c r="G298" s="269"/>
      <c r="H298" s="292"/>
      <c r="I298" s="281"/>
      <c r="J298" s="37" t="s">
        <v>23</v>
      </c>
      <c r="K298" s="50">
        <v>46</v>
      </c>
    </row>
    <row r="299" spans="1:11" ht="15" customHeight="1" thickBot="1" x14ac:dyDescent="0.3">
      <c r="A299" s="302"/>
      <c r="B299" s="302"/>
      <c r="C299" s="56" t="str">
        <f>VLOOKUP(D282,$N$211:$O$221,2,FALSE)</f>
        <v xml:space="preserve"> </v>
      </c>
      <c r="D299" s="156" t="s">
        <v>380</v>
      </c>
      <c r="E299" s="154" t="s">
        <v>306</v>
      </c>
      <c r="G299" s="269"/>
      <c r="H299" s="292"/>
      <c r="I299" s="281"/>
      <c r="J299" s="38" t="s">
        <v>24</v>
      </c>
      <c r="K299" s="50">
        <v>36</v>
      </c>
    </row>
    <row r="300" spans="1:11" ht="15" customHeight="1" thickBot="1" x14ac:dyDescent="0.3">
      <c r="A300" s="302"/>
      <c r="B300" s="302"/>
      <c r="C300" s="159" t="s">
        <v>379</v>
      </c>
      <c r="D300" s="156" t="s">
        <v>394</v>
      </c>
      <c r="E300" s="154" t="s">
        <v>306</v>
      </c>
      <c r="G300" s="269"/>
      <c r="H300" s="292"/>
      <c r="I300" s="281"/>
      <c r="J300" s="41" t="s">
        <v>35</v>
      </c>
      <c r="K300" s="42"/>
    </row>
    <row r="301" spans="1:11" ht="15.75" thickBot="1" x14ac:dyDescent="0.3">
      <c r="A301" s="302"/>
      <c r="B301" s="302"/>
      <c r="C301" s="64" t="str">
        <f>VLOOKUP(D282,$N$211:$P$221,3,FALSE)</f>
        <v xml:space="preserve"> </v>
      </c>
      <c r="D301" s="169" t="e">
        <f>SUM(D299/D300)*100</f>
        <v>#VALUE!</v>
      </c>
      <c r="E301" s="154" t="s">
        <v>306</v>
      </c>
      <c r="G301" s="269"/>
      <c r="H301" s="292"/>
      <c r="I301" s="281"/>
      <c r="J301" s="63" t="s">
        <v>31</v>
      </c>
      <c r="K301" s="66" t="s">
        <v>218</v>
      </c>
    </row>
    <row r="302" spans="1:11" ht="15.75" thickBot="1" x14ac:dyDescent="0.3">
      <c r="A302" s="302"/>
      <c r="B302" s="302"/>
      <c r="C302" s="89" t="s">
        <v>284</v>
      </c>
      <c r="D302" s="148" t="s">
        <v>307</v>
      </c>
      <c r="E302" s="154" t="s">
        <v>306</v>
      </c>
      <c r="G302" s="270"/>
      <c r="H302" s="293"/>
      <c r="I302" s="282"/>
      <c r="J302" s="64" t="s">
        <v>196</v>
      </c>
      <c r="K302" s="67" t="s">
        <v>218</v>
      </c>
    </row>
    <row r="303" spans="1:11" ht="15" customHeight="1" thickBot="1" x14ac:dyDescent="0.3">
      <c r="A303" s="302"/>
      <c r="B303" s="302"/>
      <c r="C303" s="88" t="str">
        <f>VLOOKUP(D282,$N$224:$X$233,9,FALSE)</f>
        <v xml:space="preserve"> </v>
      </c>
      <c r="D303" s="153" t="str">
        <f>C303</f>
        <v xml:space="preserve"> </v>
      </c>
      <c r="E303" s="154" t="s">
        <v>306</v>
      </c>
    </row>
    <row r="304" spans="1:11" ht="15.75" thickBot="1" x14ac:dyDescent="0.3">
      <c r="A304" s="302"/>
      <c r="B304" s="302"/>
      <c r="C304" s="56" t="str">
        <f>VLOOKUP(D282,$N$211:$O$221,2,FALSE)</f>
        <v xml:space="preserve"> </v>
      </c>
      <c r="D304" s="156" t="s">
        <v>380</v>
      </c>
      <c r="E304" s="154" t="s">
        <v>306</v>
      </c>
    </row>
    <row r="305" spans="1:5" ht="15.75" thickBot="1" x14ac:dyDescent="0.3">
      <c r="A305" s="302"/>
      <c r="B305" s="302"/>
      <c r="C305" s="159" t="s">
        <v>379</v>
      </c>
      <c r="D305" s="156" t="s">
        <v>394</v>
      </c>
      <c r="E305" s="154" t="s">
        <v>306</v>
      </c>
    </row>
    <row r="306" spans="1:5" ht="15.75" thickBot="1" x14ac:dyDescent="0.3">
      <c r="A306" s="302"/>
      <c r="B306" s="302"/>
      <c r="C306" s="64" t="str">
        <f>VLOOKUP(D282,$N$211:$P$221,3,FALSE)</f>
        <v xml:space="preserve"> </v>
      </c>
      <c r="D306" s="169" t="e">
        <f>SUM(D304/D305)*100</f>
        <v>#VALUE!</v>
      </c>
      <c r="E306" s="154" t="s">
        <v>306</v>
      </c>
    </row>
    <row r="307" spans="1:5" ht="15.75" thickBot="1" x14ac:dyDescent="0.3">
      <c r="A307" s="302"/>
      <c r="B307" s="302"/>
      <c r="C307" s="89" t="s">
        <v>285</v>
      </c>
      <c r="D307" s="148" t="s">
        <v>307</v>
      </c>
      <c r="E307" s="154" t="s">
        <v>306</v>
      </c>
    </row>
    <row r="308" spans="1:5" ht="15.75" thickBot="1" x14ac:dyDescent="0.3">
      <c r="A308" s="302"/>
      <c r="B308" s="302"/>
      <c r="C308" s="70" t="str">
        <f>VLOOKUP(D282,$N$224:$X$1683,9,FALSE)</f>
        <v xml:space="preserve"> </v>
      </c>
      <c r="D308" s="153" t="str">
        <f>C308</f>
        <v xml:space="preserve"> </v>
      </c>
      <c r="E308" s="154" t="s">
        <v>306</v>
      </c>
    </row>
    <row r="309" spans="1:5" ht="15.75" thickBot="1" x14ac:dyDescent="0.3">
      <c r="A309" s="302"/>
      <c r="B309" s="302"/>
      <c r="C309" s="56" t="str">
        <f>VLOOKUP(D282,$N$211:$O$221,2,FALSE)</f>
        <v xml:space="preserve"> </v>
      </c>
      <c r="D309" s="156" t="s">
        <v>380</v>
      </c>
      <c r="E309" s="154" t="s">
        <v>306</v>
      </c>
    </row>
    <row r="310" spans="1:5" ht="15.75" thickBot="1" x14ac:dyDescent="0.3">
      <c r="A310" s="302"/>
      <c r="B310" s="302"/>
      <c r="C310" s="159" t="s">
        <v>379</v>
      </c>
      <c r="D310" s="156" t="s">
        <v>394</v>
      </c>
      <c r="E310" s="154" t="s">
        <v>306</v>
      </c>
    </row>
    <row r="311" spans="1:5" ht="15.75" thickBot="1" x14ac:dyDescent="0.3">
      <c r="A311" s="302"/>
      <c r="B311" s="302"/>
      <c r="C311" s="64" t="str">
        <f>VLOOKUP(D282,$N$211:$P$221,3,FALSE)</f>
        <v xml:space="preserve"> </v>
      </c>
      <c r="D311" s="169" t="e">
        <f>SUM(D309/D310)*100</f>
        <v>#VALUE!</v>
      </c>
      <c r="E311" s="154" t="s">
        <v>306</v>
      </c>
    </row>
    <row r="312" spans="1:5" ht="15" x14ac:dyDescent="0.25">
      <c r="A312" s="277" t="s">
        <v>26</v>
      </c>
      <c r="B312" s="280" t="s">
        <v>389</v>
      </c>
      <c r="C312" s="91" t="s">
        <v>96</v>
      </c>
      <c r="D312" s="28" t="s">
        <v>291</v>
      </c>
      <c r="E312" s="154" t="s">
        <v>306</v>
      </c>
    </row>
    <row r="313" spans="1:5" ht="15" x14ac:dyDescent="0.25">
      <c r="A313" s="278"/>
      <c r="B313" s="281"/>
      <c r="C313" s="92" t="s">
        <v>205</v>
      </c>
      <c r="D313" s="190" t="s">
        <v>278</v>
      </c>
      <c r="E313" s="154" t="s">
        <v>306</v>
      </c>
    </row>
    <row r="314" spans="1:5" ht="15" x14ac:dyDescent="0.25">
      <c r="A314" s="278"/>
      <c r="B314" s="281"/>
      <c r="C314" s="72" t="s">
        <v>301</v>
      </c>
      <c r="D314" s="173" t="str">
        <f>C314</f>
        <v xml:space="preserve"> To receive the indicator rating, the criteria for the additional measure of student academic growth was:</v>
      </c>
      <c r="E314" s="154" t="s">
        <v>306</v>
      </c>
    </row>
    <row r="315" spans="1:5" ht="15" x14ac:dyDescent="0.25">
      <c r="A315" s="278"/>
      <c r="B315" s="281"/>
      <c r="C315" s="35" t="s">
        <v>125</v>
      </c>
      <c r="D315" s="74" t="s">
        <v>270</v>
      </c>
      <c r="E315" s="154" t="s">
        <v>306</v>
      </c>
    </row>
    <row r="316" spans="1:5" ht="15" x14ac:dyDescent="0.25">
      <c r="A316" s="278"/>
      <c r="B316" s="281"/>
      <c r="C316" s="37" t="s">
        <v>126</v>
      </c>
      <c r="D316" s="74" t="s">
        <v>271</v>
      </c>
      <c r="E316" s="154" t="s">
        <v>306</v>
      </c>
    </row>
    <row r="317" spans="1:5" ht="15" x14ac:dyDescent="0.25">
      <c r="A317" s="278"/>
      <c r="B317" s="281"/>
      <c r="C317" s="38" t="s">
        <v>127</v>
      </c>
      <c r="D317" s="74" t="s">
        <v>272</v>
      </c>
      <c r="E317" s="154" t="s">
        <v>306</v>
      </c>
    </row>
    <row r="318" spans="1:5" ht="15" x14ac:dyDescent="0.25">
      <c r="A318" s="278"/>
      <c r="B318" s="281"/>
      <c r="C318" s="39" t="s">
        <v>128</v>
      </c>
      <c r="D318" s="192" t="s">
        <v>273</v>
      </c>
      <c r="E318" s="154" t="s">
        <v>306</v>
      </c>
    </row>
    <row r="319" spans="1:5" ht="15" x14ac:dyDescent="0.25">
      <c r="A319" s="278"/>
      <c r="B319" s="281"/>
      <c r="C319" s="41" t="s">
        <v>68</v>
      </c>
      <c r="D319" s="173" t="str">
        <f>C319</f>
        <v>Cut-point values for additional measure  of student academic growth were:</v>
      </c>
      <c r="E319" s="154" t="s">
        <v>306</v>
      </c>
    </row>
    <row r="320" spans="1:5" ht="15" x14ac:dyDescent="0.25">
      <c r="A320" s="278"/>
      <c r="B320" s="281"/>
      <c r="C320" s="35" t="s">
        <v>22</v>
      </c>
      <c r="D320" s="168">
        <v>80</v>
      </c>
      <c r="E320" s="154" t="s">
        <v>306</v>
      </c>
    </row>
    <row r="321" spans="1:5" ht="15" x14ac:dyDescent="0.25">
      <c r="A321" s="278"/>
      <c r="B321" s="281"/>
      <c r="C321" s="37" t="s">
        <v>23</v>
      </c>
      <c r="D321" s="168">
        <v>62</v>
      </c>
      <c r="E321" s="154" t="s">
        <v>306</v>
      </c>
    </row>
    <row r="322" spans="1:5" ht="15" x14ac:dyDescent="0.25">
      <c r="A322" s="278"/>
      <c r="B322" s="281"/>
      <c r="C322" s="38" t="s">
        <v>24</v>
      </c>
      <c r="D322" s="188">
        <v>40</v>
      </c>
      <c r="E322" s="154" t="s">
        <v>306</v>
      </c>
    </row>
    <row r="323" spans="1:5" ht="15" x14ac:dyDescent="0.25">
      <c r="A323" s="278"/>
      <c r="B323" s="281"/>
      <c r="C323" s="41" t="s">
        <v>302</v>
      </c>
      <c r="D323" s="173" t="str">
        <f>C323</f>
        <v>Your school's actual value for additional measure of student academic growth was:</v>
      </c>
      <c r="E323" s="154" t="s">
        <v>306</v>
      </c>
    </row>
    <row r="324" spans="1:5" ht="15" x14ac:dyDescent="0.25">
      <c r="A324" s="278"/>
      <c r="B324" s="281"/>
      <c r="C324" s="63" t="s">
        <v>372</v>
      </c>
      <c r="D324" s="156" t="s">
        <v>380</v>
      </c>
      <c r="E324" s="154" t="s">
        <v>306</v>
      </c>
    </row>
    <row r="325" spans="1:5" ht="15" x14ac:dyDescent="0.25">
      <c r="A325" s="278"/>
      <c r="B325" s="281"/>
      <c r="C325" s="159" t="s">
        <v>379</v>
      </c>
      <c r="D325" s="156" t="s">
        <v>394</v>
      </c>
      <c r="E325" s="154" t="s">
        <v>306</v>
      </c>
    </row>
    <row r="326" spans="1:5" ht="15.75" thickBot="1" x14ac:dyDescent="0.3">
      <c r="A326" s="278"/>
      <c r="B326" s="281"/>
      <c r="C326" s="64" t="s">
        <v>359</v>
      </c>
      <c r="D326" s="169" t="e">
        <f>SUM(D324/D325)*100</f>
        <v>#VALUE!</v>
      </c>
      <c r="E326" s="154" t="s">
        <v>306</v>
      </c>
    </row>
    <row r="327" spans="1:5" ht="15" x14ac:dyDescent="0.25">
      <c r="A327" s="304"/>
      <c r="B327" s="283"/>
      <c r="C327" s="91" t="s">
        <v>96</v>
      </c>
      <c r="D327" s="28" t="s">
        <v>291</v>
      </c>
      <c r="E327" s="154" t="s">
        <v>306</v>
      </c>
    </row>
    <row r="328" spans="1:5" ht="15" x14ac:dyDescent="0.25">
      <c r="A328" s="304"/>
      <c r="B328" s="283"/>
      <c r="C328" s="92" t="s">
        <v>205</v>
      </c>
      <c r="D328" s="193" t="s">
        <v>346</v>
      </c>
      <c r="E328" s="154" t="s">
        <v>306</v>
      </c>
    </row>
    <row r="329" spans="1:5" ht="15" x14ac:dyDescent="0.25">
      <c r="A329" s="304"/>
      <c r="B329" s="283"/>
      <c r="C329" s="72" t="s">
        <v>301</v>
      </c>
      <c r="D329" s="173" t="str">
        <f>C329</f>
        <v xml:space="preserve"> To receive the indicator rating, the criteria for the additional measure of student academic growth was:</v>
      </c>
      <c r="E329" s="154" t="s">
        <v>306</v>
      </c>
    </row>
    <row r="330" spans="1:5" ht="15" x14ac:dyDescent="0.25">
      <c r="A330" s="304"/>
      <c r="B330" s="283"/>
      <c r="C330" s="35" t="s">
        <v>125</v>
      </c>
      <c r="D330" s="74" t="s">
        <v>270</v>
      </c>
      <c r="E330" s="154" t="s">
        <v>306</v>
      </c>
    </row>
    <row r="331" spans="1:5" ht="15" x14ac:dyDescent="0.25">
      <c r="A331" s="304"/>
      <c r="B331" s="283"/>
      <c r="C331" s="37" t="s">
        <v>126</v>
      </c>
      <c r="D331" s="74" t="s">
        <v>271</v>
      </c>
      <c r="E331" s="154" t="s">
        <v>306</v>
      </c>
    </row>
    <row r="332" spans="1:5" ht="15" x14ac:dyDescent="0.25">
      <c r="A332" s="304"/>
      <c r="B332" s="283"/>
      <c r="C332" s="38" t="s">
        <v>127</v>
      </c>
      <c r="D332" s="74" t="s">
        <v>272</v>
      </c>
      <c r="E332" s="154" t="s">
        <v>306</v>
      </c>
    </row>
    <row r="333" spans="1:5" ht="15" x14ac:dyDescent="0.25">
      <c r="A333" s="304"/>
      <c r="B333" s="283"/>
      <c r="C333" s="39" t="s">
        <v>128</v>
      </c>
      <c r="D333" s="192" t="s">
        <v>273</v>
      </c>
      <c r="E333" s="154" t="s">
        <v>306</v>
      </c>
    </row>
    <row r="334" spans="1:5" ht="15" x14ac:dyDescent="0.25">
      <c r="A334" s="304"/>
      <c r="B334" s="283"/>
      <c r="C334" s="41" t="s">
        <v>68</v>
      </c>
      <c r="D334" s="173" t="str">
        <f>C334</f>
        <v>Cut-point values for additional measure  of student academic growth were:</v>
      </c>
      <c r="E334" s="154" t="s">
        <v>306</v>
      </c>
    </row>
    <row r="335" spans="1:5" ht="15" x14ac:dyDescent="0.25">
      <c r="A335" s="304"/>
      <c r="B335" s="283"/>
      <c r="C335" s="35" t="s">
        <v>22</v>
      </c>
      <c r="D335" s="168">
        <v>95</v>
      </c>
      <c r="E335" s="154" t="s">
        <v>306</v>
      </c>
    </row>
    <row r="336" spans="1:5" ht="15" x14ac:dyDescent="0.25">
      <c r="A336" s="304"/>
      <c r="B336" s="283"/>
      <c r="C336" s="37" t="s">
        <v>23</v>
      </c>
      <c r="D336" s="168">
        <v>70</v>
      </c>
      <c r="E336" s="154" t="s">
        <v>306</v>
      </c>
    </row>
    <row r="337" spans="1:5" ht="15" x14ac:dyDescent="0.25">
      <c r="A337" s="304"/>
      <c r="B337" s="283"/>
      <c r="C337" s="38" t="s">
        <v>24</v>
      </c>
      <c r="D337" s="188">
        <v>50</v>
      </c>
      <c r="E337" s="154" t="s">
        <v>306</v>
      </c>
    </row>
    <row r="338" spans="1:5" ht="15" x14ac:dyDescent="0.25">
      <c r="A338" s="304"/>
      <c r="B338" s="283"/>
      <c r="C338" s="41" t="s">
        <v>302</v>
      </c>
      <c r="D338" s="173" t="str">
        <f>C338</f>
        <v>Your school's actual value for additional measure of student academic growth was:</v>
      </c>
      <c r="E338" s="154" t="s">
        <v>306</v>
      </c>
    </row>
    <row r="339" spans="1:5" ht="15" x14ac:dyDescent="0.25">
      <c r="A339" s="304"/>
      <c r="B339" s="283"/>
      <c r="C339" s="63" t="s">
        <v>372</v>
      </c>
      <c r="D339" s="156" t="s">
        <v>380</v>
      </c>
      <c r="E339" s="154" t="s">
        <v>306</v>
      </c>
    </row>
    <row r="340" spans="1:5" ht="15" x14ac:dyDescent="0.25">
      <c r="A340" s="304"/>
      <c r="B340" s="283"/>
      <c r="C340" s="159" t="s">
        <v>379</v>
      </c>
      <c r="D340" s="156" t="s">
        <v>394</v>
      </c>
      <c r="E340" s="154" t="s">
        <v>306</v>
      </c>
    </row>
    <row r="341" spans="1:5" ht="15.75" thickBot="1" x14ac:dyDescent="0.3">
      <c r="A341" s="304"/>
      <c r="B341" s="283"/>
      <c r="C341" s="64" t="s">
        <v>359</v>
      </c>
      <c r="D341" s="169" t="e">
        <f>SUM(D339/D340)*100</f>
        <v>#VALUE!</v>
      </c>
      <c r="E341" s="154" t="s">
        <v>306</v>
      </c>
    </row>
    <row r="342" spans="1:5" ht="15" x14ac:dyDescent="0.25">
      <c r="A342" s="304"/>
      <c r="B342" s="283"/>
      <c r="C342" s="91" t="s">
        <v>96</v>
      </c>
      <c r="D342" s="28" t="s">
        <v>291</v>
      </c>
      <c r="E342" s="154" t="s">
        <v>306</v>
      </c>
    </row>
    <row r="343" spans="1:5" ht="15" x14ac:dyDescent="0.25">
      <c r="A343" s="304"/>
      <c r="B343" s="283"/>
      <c r="C343" s="92" t="s">
        <v>205</v>
      </c>
      <c r="D343" s="190" t="s">
        <v>384</v>
      </c>
      <c r="E343" s="154" t="s">
        <v>306</v>
      </c>
    </row>
    <row r="344" spans="1:5" ht="15" x14ac:dyDescent="0.25">
      <c r="A344" s="304"/>
      <c r="B344" s="283"/>
      <c r="C344" s="72" t="s">
        <v>301</v>
      </c>
      <c r="D344" s="173" t="str">
        <f>C344</f>
        <v xml:space="preserve"> To receive the indicator rating, the criteria for the additional measure of student academic growth was:</v>
      </c>
      <c r="E344" s="154" t="s">
        <v>306</v>
      </c>
    </row>
    <row r="345" spans="1:5" ht="15" x14ac:dyDescent="0.25">
      <c r="A345" s="304"/>
      <c r="B345" s="283"/>
      <c r="C345" s="35" t="s">
        <v>125</v>
      </c>
      <c r="D345" s="74" t="s">
        <v>270</v>
      </c>
      <c r="E345" s="154" t="s">
        <v>306</v>
      </c>
    </row>
    <row r="346" spans="1:5" ht="15" x14ac:dyDescent="0.25">
      <c r="A346" s="304"/>
      <c r="B346" s="283"/>
      <c r="C346" s="37" t="s">
        <v>126</v>
      </c>
      <c r="D346" s="74" t="s">
        <v>271</v>
      </c>
      <c r="E346" s="154" t="s">
        <v>306</v>
      </c>
    </row>
    <row r="347" spans="1:5" ht="15" x14ac:dyDescent="0.25">
      <c r="A347" s="304"/>
      <c r="B347" s="283"/>
      <c r="C347" s="38" t="s">
        <v>127</v>
      </c>
      <c r="D347" s="74" t="s">
        <v>272</v>
      </c>
      <c r="E347" s="154" t="s">
        <v>306</v>
      </c>
    </row>
    <row r="348" spans="1:5" ht="15" x14ac:dyDescent="0.25">
      <c r="A348" s="304"/>
      <c r="B348" s="283"/>
      <c r="C348" s="39" t="s">
        <v>128</v>
      </c>
      <c r="D348" s="192" t="s">
        <v>273</v>
      </c>
      <c r="E348" s="154" t="s">
        <v>306</v>
      </c>
    </row>
    <row r="349" spans="1:5" ht="15" x14ac:dyDescent="0.25">
      <c r="A349" s="304"/>
      <c r="B349" s="283"/>
      <c r="C349" s="41" t="s">
        <v>68</v>
      </c>
      <c r="D349" s="173" t="str">
        <f>C349</f>
        <v>Cut-point values for additional measure  of student academic growth were:</v>
      </c>
      <c r="E349" s="154" t="s">
        <v>306</v>
      </c>
    </row>
    <row r="350" spans="1:5" ht="15" x14ac:dyDescent="0.25">
      <c r="A350" s="304"/>
      <c r="B350" s="283"/>
      <c r="C350" s="35" t="s">
        <v>22</v>
      </c>
      <c r="D350" s="168">
        <v>85</v>
      </c>
      <c r="E350" s="154" t="s">
        <v>306</v>
      </c>
    </row>
    <row r="351" spans="1:5" ht="15" x14ac:dyDescent="0.25">
      <c r="A351" s="304"/>
      <c r="B351" s="283"/>
      <c r="C351" s="37" t="s">
        <v>23</v>
      </c>
      <c r="D351" s="168">
        <v>61</v>
      </c>
      <c r="E351" s="154" t="s">
        <v>306</v>
      </c>
    </row>
    <row r="352" spans="1:5" ht="15" x14ac:dyDescent="0.25">
      <c r="A352" s="304"/>
      <c r="B352" s="283"/>
      <c r="C352" s="38" t="s">
        <v>24</v>
      </c>
      <c r="D352" s="188">
        <v>45</v>
      </c>
      <c r="E352" s="154" t="s">
        <v>306</v>
      </c>
    </row>
    <row r="353" spans="1:5" ht="15" x14ac:dyDescent="0.25">
      <c r="A353" s="304"/>
      <c r="B353" s="283"/>
      <c r="C353" s="41" t="s">
        <v>302</v>
      </c>
      <c r="D353" s="173" t="str">
        <f>C353</f>
        <v>Your school's actual value for additional measure of student academic growth was:</v>
      </c>
      <c r="E353" s="154" t="s">
        <v>306</v>
      </c>
    </row>
    <row r="354" spans="1:5" ht="15" x14ac:dyDescent="0.25">
      <c r="A354" s="304"/>
      <c r="B354" s="283"/>
      <c r="C354" s="63" t="s">
        <v>372</v>
      </c>
      <c r="D354" s="156" t="s">
        <v>380</v>
      </c>
      <c r="E354" s="154" t="s">
        <v>306</v>
      </c>
    </row>
    <row r="355" spans="1:5" ht="15" x14ac:dyDescent="0.25">
      <c r="A355" s="304"/>
      <c r="B355" s="283"/>
      <c r="C355" s="159" t="s">
        <v>379</v>
      </c>
      <c r="D355" s="156" t="s">
        <v>394</v>
      </c>
      <c r="E355" s="154" t="s">
        <v>306</v>
      </c>
    </row>
    <row r="356" spans="1:5" ht="15.75" thickBot="1" x14ac:dyDescent="0.3">
      <c r="A356" s="305"/>
      <c r="B356" s="284"/>
      <c r="C356" s="64" t="s">
        <v>359</v>
      </c>
      <c r="D356" s="169" t="e">
        <f>SUM(D354/D355)*100</f>
        <v>#VALUE!</v>
      </c>
      <c r="E356" s="154" t="s">
        <v>306</v>
      </c>
    </row>
    <row r="357" spans="1:5" ht="15" customHeight="1" x14ac:dyDescent="0.25">
      <c r="A357" s="268" t="s">
        <v>26</v>
      </c>
      <c r="B357" s="280" t="s">
        <v>326</v>
      </c>
      <c r="C357" s="91" t="s">
        <v>96</v>
      </c>
      <c r="D357" s="156" t="s">
        <v>380</v>
      </c>
      <c r="E357" s="154" t="s">
        <v>306</v>
      </c>
    </row>
    <row r="358" spans="1:5" ht="15" customHeight="1" x14ac:dyDescent="0.25">
      <c r="A358" s="269"/>
      <c r="B358" s="281"/>
      <c r="C358" s="92" t="s">
        <v>205</v>
      </c>
      <c r="D358" s="25" t="s">
        <v>297</v>
      </c>
      <c r="E358" s="154" t="s">
        <v>306</v>
      </c>
    </row>
    <row r="359" spans="1:5" ht="15" customHeight="1" x14ac:dyDescent="0.25">
      <c r="A359" s="269"/>
      <c r="B359" s="281"/>
      <c r="C359" s="93" t="s">
        <v>97</v>
      </c>
      <c r="D359" s="190" t="s">
        <v>303</v>
      </c>
      <c r="E359" s="154" t="s">
        <v>306</v>
      </c>
    </row>
    <row r="360" spans="1:5" ht="15" x14ac:dyDescent="0.25">
      <c r="A360" s="269"/>
      <c r="B360" s="281"/>
      <c r="C360" s="72" t="s">
        <v>301</v>
      </c>
      <c r="D360" s="173" t="str">
        <f>C360</f>
        <v xml:space="preserve"> To receive the indicator rating, the criteria for the additional measure of student academic growth was:</v>
      </c>
      <c r="E360" s="154" t="s">
        <v>306</v>
      </c>
    </row>
    <row r="361" spans="1:5" ht="15" x14ac:dyDescent="0.25">
      <c r="A361" s="269"/>
      <c r="B361" s="281"/>
      <c r="C361" s="35" t="s">
        <v>125</v>
      </c>
      <c r="D361" s="26" t="s">
        <v>118</v>
      </c>
      <c r="E361" s="154" t="s">
        <v>306</v>
      </c>
    </row>
    <row r="362" spans="1:5" ht="15" customHeight="1" x14ac:dyDescent="0.25">
      <c r="A362" s="269"/>
      <c r="B362" s="281"/>
      <c r="C362" s="37" t="s">
        <v>126</v>
      </c>
      <c r="D362" s="26" t="s">
        <v>119</v>
      </c>
      <c r="E362" s="154" t="s">
        <v>306</v>
      </c>
    </row>
    <row r="363" spans="1:5" ht="15" x14ac:dyDescent="0.25">
      <c r="A363" s="269"/>
      <c r="B363" s="281"/>
      <c r="C363" s="38" t="s">
        <v>127</v>
      </c>
      <c r="D363" s="26" t="s">
        <v>120</v>
      </c>
      <c r="E363" s="154" t="s">
        <v>306</v>
      </c>
    </row>
    <row r="364" spans="1:5" ht="15" x14ac:dyDescent="0.25">
      <c r="A364" s="269"/>
      <c r="B364" s="281"/>
      <c r="C364" s="39" t="s">
        <v>128</v>
      </c>
      <c r="D364" s="191" t="s">
        <v>121</v>
      </c>
      <c r="E364" s="154" t="s">
        <v>306</v>
      </c>
    </row>
    <row r="365" spans="1:5" ht="15" customHeight="1" x14ac:dyDescent="0.25">
      <c r="A365" s="269"/>
      <c r="B365" s="281"/>
      <c r="C365" s="41" t="s">
        <v>68</v>
      </c>
      <c r="D365" s="173" t="str">
        <f>C365</f>
        <v>Cut-point values for additional measure  of student academic growth were:</v>
      </c>
      <c r="E365" s="154" t="s">
        <v>306</v>
      </c>
    </row>
    <row r="366" spans="1:5" ht="15" x14ac:dyDescent="0.25">
      <c r="A366" s="269"/>
      <c r="B366" s="281"/>
      <c r="C366" s="35" t="s">
        <v>22</v>
      </c>
      <c r="D366" s="27" t="s">
        <v>122</v>
      </c>
      <c r="E366" s="154" t="s">
        <v>306</v>
      </c>
    </row>
    <row r="367" spans="1:5" ht="15" x14ac:dyDescent="0.25">
      <c r="A367" s="269"/>
      <c r="B367" s="281"/>
      <c r="C367" s="37" t="s">
        <v>23</v>
      </c>
      <c r="D367" s="27" t="s">
        <v>123</v>
      </c>
      <c r="E367" s="154" t="s">
        <v>306</v>
      </c>
    </row>
    <row r="368" spans="1:5" ht="15" x14ac:dyDescent="0.25">
      <c r="A368" s="269"/>
      <c r="B368" s="281"/>
      <c r="C368" s="38" t="s">
        <v>24</v>
      </c>
      <c r="D368" s="189" t="s">
        <v>124</v>
      </c>
      <c r="E368" s="154" t="s">
        <v>306</v>
      </c>
    </row>
    <row r="369" spans="1:5" ht="15" x14ac:dyDescent="0.25">
      <c r="A369" s="269"/>
      <c r="B369" s="281"/>
      <c r="C369" s="41" t="s">
        <v>302</v>
      </c>
      <c r="D369" s="173" t="str">
        <f>C369</f>
        <v>Your school's actual value for additional measure of student academic growth was:</v>
      </c>
      <c r="E369" s="154" t="s">
        <v>306</v>
      </c>
    </row>
    <row r="370" spans="1:5" ht="15" customHeight="1" x14ac:dyDescent="0.25">
      <c r="A370" s="269"/>
      <c r="B370" s="281"/>
      <c r="C370" s="63" t="s">
        <v>372</v>
      </c>
      <c r="D370" s="156" t="s">
        <v>380</v>
      </c>
      <c r="E370" s="154" t="s">
        <v>306</v>
      </c>
    </row>
    <row r="371" spans="1:5" ht="15" customHeight="1" x14ac:dyDescent="0.25">
      <c r="A371" s="269"/>
      <c r="B371" s="281"/>
      <c r="C371" s="159" t="s">
        <v>379</v>
      </c>
      <c r="D371" s="156" t="s">
        <v>394</v>
      </c>
      <c r="E371" s="154" t="s">
        <v>306</v>
      </c>
    </row>
    <row r="372" spans="1:5" ht="15" customHeight="1" thickBot="1" x14ac:dyDescent="0.3">
      <c r="A372" s="270"/>
      <c r="B372" s="282"/>
      <c r="C372" s="64" t="s">
        <v>359</v>
      </c>
      <c r="D372" s="169" t="e">
        <f>D370/D371</f>
        <v>#VALUE!</v>
      </c>
      <c r="E372" s="154" t="s">
        <v>306</v>
      </c>
    </row>
    <row r="373" spans="1:5" ht="15" customHeight="1" x14ac:dyDescent="0.25">
      <c r="A373" s="268" t="s">
        <v>26</v>
      </c>
      <c r="B373" s="280" t="s">
        <v>327</v>
      </c>
      <c r="C373" s="91" t="s">
        <v>96</v>
      </c>
      <c r="D373" s="24" t="s">
        <v>296</v>
      </c>
      <c r="E373" s="154" t="s">
        <v>306</v>
      </c>
    </row>
    <row r="374" spans="1:5" ht="15" x14ac:dyDescent="0.25">
      <c r="A374" s="269"/>
      <c r="B374" s="281"/>
      <c r="C374" s="92" t="s">
        <v>205</v>
      </c>
      <c r="D374" s="25" t="s">
        <v>297</v>
      </c>
      <c r="E374" s="154" t="s">
        <v>306</v>
      </c>
    </row>
    <row r="375" spans="1:5" ht="15" x14ac:dyDescent="0.25">
      <c r="A375" s="269"/>
      <c r="B375" s="281"/>
      <c r="C375" s="93" t="s">
        <v>97</v>
      </c>
      <c r="D375" s="190" t="s">
        <v>303</v>
      </c>
      <c r="E375" s="154" t="s">
        <v>306</v>
      </c>
    </row>
    <row r="376" spans="1:5" ht="15" customHeight="1" x14ac:dyDescent="0.25">
      <c r="A376" s="269"/>
      <c r="B376" s="281"/>
      <c r="C376" s="72" t="s">
        <v>301</v>
      </c>
      <c r="D376" s="173" t="str">
        <f>C376</f>
        <v xml:space="preserve"> To receive the indicator rating, the criteria for the additional measure of student academic growth was:</v>
      </c>
      <c r="E376" s="154" t="s">
        <v>306</v>
      </c>
    </row>
    <row r="377" spans="1:5" ht="15" x14ac:dyDescent="0.25">
      <c r="A377" s="269"/>
      <c r="B377" s="281"/>
      <c r="C377" s="35" t="s">
        <v>125</v>
      </c>
      <c r="D377" s="26" t="s">
        <v>118</v>
      </c>
      <c r="E377" s="154" t="s">
        <v>306</v>
      </c>
    </row>
    <row r="378" spans="1:5" ht="15" x14ac:dyDescent="0.25">
      <c r="A378" s="269"/>
      <c r="B378" s="281"/>
      <c r="C378" s="37" t="s">
        <v>126</v>
      </c>
      <c r="D378" s="26" t="s">
        <v>119</v>
      </c>
      <c r="E378" s="154" t="s">
        <v>306</v>
      </c>
    </row>
    <row r="379" spans="1:5" ht="15" customHeight="1" x14ac:dyDescent="0.25">
      <c r="A379" s="269"/>
      <c r="B379" s="281"/>
      <c r="C379" s="38" t="s">
        <v>127</v>
      </c>
      <c r="D379" s="26" t="s">
        <v>120</v>
      </c>
      <c r="E379" s="154" t="s">
        <v>306</v>
      </c>
    </row>
    <row r="380" spans="1:5" ht="15" x14ac:dyDescent="0.25">
      <c r="A380" s="269"/>
      <c r="B380" s="281"/>
      <c r="C380" s="39" t="s">
        <v>128</v>
      </c>
      <c r="D380" s="191" t="s">
        <v>121</v>
      </c>
      <c r="E380" s="154" t="s">
        <v>306</v>
      </c>
    </row>
    <row r="381" spans="1:5" ht="15" x14ac:dyDescent="0.25">
      <c r="A381" s="269"/>
      <c r="B381" s="281"/>
      <c r="C381" s="41" t="s">
        <v>68</v>
      </c>
      <c r="D381" s="173" t="str">
        <f>C381</f>
        <v>Cut-point values for additional measure  of student academic growth were:</v>
      </c>
      <c r="E381" s="154" t="s">
        <v>306</v>
      </c>
    </row>
    <row r="382" spans="1:5" ht="15" x14ac:dyDescent="0.25">
      <c r="A382" s="269"/>
      <c r="B382" s="281"/>
      <c r="C382" s="35" t="s">
        <v>22</v>
      </c>
      <c r="D382" s="27" t="s">
        <v>122</v>
      </c>
      <c r="E382" s="154" t="s">
        <v>306</v>
      </c>
    </row>
    <row r="383" spans="1:5" ht="15" x14ac:dyDescent="0.25">
      <c r="A383" s="269"/>
      <c r="B383" s="281"/>
      <c r="C383" s="37" t="s">
        <v>23</v>
      </c>
      <c r="D383" s="27" t="s">
        <v>123</v>
      </c>
      <c r="E383" s="154" t="s">
        <v>306</v>
      </c>
    </row>
    <row r="384" spans="1:5" ht="15" customHeight="1" x14ac:dyDescent="0.25">
      <c r="A384" s="269"/>
      <c r="B384" s="281"/>
      <c r="C384" s="38" t="s">
        <v>24</v>
      </c>
      <c r="D384" s="189" t="s">
        <v>124</v>
      </c>
      <c r="E384" s="154" t="s">
        <v>306</v>
      </c>
    </row>
    <row r="385" spans="1:5" ht="15" customHeight="1" x14ac:dyDescent="0.25">
      <c r="A385" s="269"/>
      <c r="B385" s="281"/>
      <c r="C385" s="41" t="s">
        <v>302</v>
      </c>
      <c r="D385" s="173" t="str">
        <f>C385</f>
        <v>Your school's actual value for additional measure of student academic growth was:</v>
      </c>
      <c r="E385" s="154" t="s">
        <v>306</v>
      </c>
    </row>
    <row r="386" spans="1:5" ht="15" customHeight="1" x14ac:dyDescent="0.25">
      <c r="A386" s="269"/>
      <c r="B386" s="281"/>
      <c r="C386" s="63" t="s">
        <v>372</v>
      </c>
      <c r="D386" s="156" t="s">
        <v>380</v>
      </c>
      <c r="E386" s="154" t="s">
        <v>306</v>
      </c>
    </row>
    <row r="387" spans="1:5" ht="15" customHeight="1" x14ac:dyDescent="0.25">
      <c r="A387" s="269"/>
      <c r="B387" s="281"/>
      <c r="C387" s="159" t="s">
        <v>379</v>
      </c>
      <c r="D387" s="156" t="s">
        <v>394</v>
      </c>
      <c r="E387" s="154" t="s">
        <v>306</v>
      </c>
    </row>
    <row r="388" spans="1:5" ht="15.75" thickBot="1" x14ac:dyDescent="0.3">
      <c r="A388" s="270"/>
      <c r="B388" s="282"/>
      <c r="C388" s="64" t="s">
        <v>359</v>
      </c>
      <c r="D388" s="169" t="e">
        <f>SUM(D386/D387)*100</f>
        <v>#VALUE!</v>
      </c>
      <c r="E388" s="154" t="s">
        <v>306</v>
      </c>
    </row>
    <row r="389" spans="1:5" ht="15" x14ac:dyDescent="0.25">
      <c r="A389" s="268" t="s">
        <v>26</v>
      </c>
      <c r="B389" s="280" t="s">
        <v>328</v>
      </c>
      <c r="C389" s="91" t="s">
        <v>96</v>
      </c>
      <c r="D389" s="24" t="s">
        <v>296</v>
      </c>
      <c r="E389" s="154" t="s">
        <v>306</v>
      </c>
    </row>
    <row r="390" spans="1:5" ht="15.75" customHeight="1" x14ac:dyDescent="0.25">
      <c r="A390" s="269"/>
      <c r="B390" s="281"/>
      <c r="C390" s="92" t="s">
        <v>205</v>
      </c>
      <c r="D390" s="25" t="s">
        <v>297</v>
      </c>
      <c r="E390" s="154" t="s">
        <v>306</v>
      </c>
    </row>
    <row r="391" spans="1:5" ht="15" x14ac:dyDescent="0.25">
      <c r="A391" s="269"/>
      <c r="B391" s="281"/>
      <c r="C391" s="93" t="s">
        <v>97</v>
      </c>
      <c r="D391" s="190" t="s">
        <v>303</v>
      </c>
      <c r="E391" s="154" t="s">
        <v>306</v>
      </c>
    </row>
    <row r="392" spans="1:5" ht="15" x14ac:dyDescent="0.25">
      <c r="A392" s="269"/>
      <c r="B392" s="281"/>
      <c r="C392" s="72" t="s">
        <v>301</v>
      </c>
      <c r="D392" s="173" t="str">
        <f>C392</f>
        <v xml:space="preserve"> To receive the indicator rating, the criteria for the additional measure of student academic growth was:</v>
      </c>
      <c r="E392" s="154" t="s">
        <v>306</v>
      </c>
    </row>
    <row r="393" spans="1:5" ht="15" x14ac:dyDescent="0.25">
      <c r="A393" s="269"/>
      <c r="B393" s="281"/>
      <c r="C393" s="35" t="s">
        <v>125</v>
      </c>
      <c r="D393" s="26" t="s">
        <v>118</v>
      </c>
      <c r="E393" s="154" t="s">
        <v>306</v>
      </c>
    </row>
    <row r="394" spans="1:5" ht="15" x14ac:dyDescent="0.25">
      <c r="A394" s="269"/>
      <c r="B394" s="281"/>
      <c r="C394" s="37" t="s">
        <v>126</v>
      </c>
      <c r="D394" s="26" t="s">
        <v>119</v>
      </c>
      <c r="E394" s="154" t="s">
        <v>306</v>
      </c>
    </row>
    <row r="395" spans="1:5" ht="15" x14ac:dyDescent="0.25">
      <c r="A395" s="269"/>
      <c r="B395" s="281"/>
      <c r="C395" s="38" t="s">
        <v>127</v>
      </c>
      <c r="D395" s="26" t="s">
        <v>120</v>
      </c>
      <c r="E395" s="154" t="s">
        <v>306</v>
      </c>
    </row>
    <row r="396" spans="1:5" ht="15" x14ac:dyDescent="0.25">
      <c r="A396" s="269"/>
      <c r="B396" s="281"/>
      <c r="C396" s="39" t="s">
        <v>128</v>
      </c>
      <c r="D396" s="191" t="s">
        <v>121</v>
      </c>
      <c r="E396" s="154" t="s">
        <v>306</v>
      </c>
    </row>
    <row r="397" spans="1:5" ht="15" customHeight="1" x14ac:dyDescent="0.25">
      <c r="A397" s="269"/>
      <c r="B397" s="281"/>
      <c r="C397" s="41" t="s">
        <v>68</v>
      </c>
      <c r="D397" s="173" t="str">
        <f>C397</f>
        <v>Cut-point values for additional measure  of student academic growth were:</v>
      </c>
      <c r="E397" s="154" t="s">
        <v>306</v>
      </c>
    </row>
    <row r="398" spans="1:5" ht="15" customHeight="1" x14ac:dyDescent="0.25">
      <c r="A398" s="269"/>
      <c r="B398" s="281"/>
      <c r="C398" s="35" t="s">
        <v>22</v>
      </c>
      <c r="D398" s="27" t="s">
        <v>122</v>
      </c>
      <c r="E398" s="154" t="s">
        <v>306</v>
      </c>
    </row>
    <row r="399" spans="1:5" ht="15" customHeight="1" x14ac:dyDescent="0.25">
      <c r="A399" s="269"/>
      <c r="B399" s="281"/>
      <c r="C399" s="37" t="s">
        <v>23</v>
      </c>
      <c r="D399" s="27" t="s">
        <v>123</v>
      </c>
      <c r="E399" s="154" t="s">
        <v>306</v>
      </c>
    </row>
    <row r="400" spans="1:5" ht="15" x14ac:dyDescent="0.25">
      <c r="A400" s="269"/>
      <c r="B400" s="281"/>
      <c r="C400" s="38" t="s">
        <v>24</v>
      </c>
      <c r="D400" s="189" t="s">
        <v>124</v>
      </c>
      <c r="E400" s="154" t="s">
        <v>306</v>
      </c>
    </row>
    <row r="401" spans="1:26" ht="15" x14ac:dyDescent="0.25">
      <c r="A401" s="269"/>
      <c r="B401" s="281"/>
      <c r="C401" s="41" t="s">
        <v>302</v>
      </c>
      <c r="D401" s="173" t="str">
        <f>C401</f>
        <v>Your school's actual value for additional measure of student academic growth was:</v>
      </c>
      <c r="E401" s="154" t="s">
        <v>306</v>
      </c>
    </row>
    <row r="402" spans="1:26" ht="15" x14ac:dyDescent="0.25">
      <c r="A402" s="269"/>
      <c r="B402" s="281"/>
      <c r="C402" s="63" t="s">
        <v>372</v>
      </c>
      <c r="D402" s="156" t="s">
        <v>380</v>
      </c>
      <c r="E402" s="154" t="s">
        <v>306</v>
      </c>
    </row>
    <row r="403" spans="1:26" ht="15" x14ac:dyDescent="0.25">
      <c r="A403" s="269"/>
      <c r="B403" s="281"/>
      <c r="C403" s="159" t="s">
        <v>379</v>
      </c>
      <c r="D403" s="156" t="s">
        <v>394</v>
      </c>
      <c r="E403" s="154" t="s">
        <v>306</v>
      </c>
    </row>
    <row r="404" spans="1:26" ht="15.75" thickBot="1" x14ac:dyDescent="0.3">
      <c r="A404" s="270"/>
      <c r="B404" s="282"/>
      <c r="C404" s="64" t="s">
        <v>359</v>
      </c>
      <c r="D404" s="169" t="e">
        <f>SUM(D402/D403)*100</f>
        <v>#VALUE!</v>
      </c>
      <c r="E404" s="154" t="s">
        <v>306</v>
      </c>
    </row>
    <row r="405" spans="1:26" ht="15.75" thickBot="1" x14ac:dyDescent="0.3">
      <c r="A405" s="274" t="s">
        <v>314</v>
      </c>
      <c r="B405" s="296"/>
      <c r="C405" s="296"/>
      <c r="D405" s="297"/>
      <c r="E405" s="154" t="s">
        <v>306</v>
      </c>
    </row>
    <row r="406" spans="1:26" ht="19.5" thickBot="1" x14ac:dyDescent="0.35">
      <c r="A406" s="260" t="s">
        <v>93</v>
      </c>
      <c r="B406" s="261"/>
      <c r="C406" s="261"/>
      <c r="D406" s="262"/>
      <c r="E406" s="154" t="s">
        <v>306</v>
      </c>
    </row>
    <row r="407" spans="1:26" ht="15" x14ac:dyDescent="0.25">
      <c r="A407" s="298" t="s">
        <v>27</v>
      </c>
      <c r="B407" s="280" t="s">
        <v>373</v>
      </c>
      <c r="C407" s="33" t="s">
        <v>61</v>
      </c>
      <c r="D407" s="152" t="str">
        <f>C407</f>
        <v xml:space="preserve"> To receive the indicator rating, the AEC's average daily attendance rate was:</v>
      </c>
      <c r="E407" s="154" t="s">
        <v>306</v>
      </c>
    </row>
    <row r="408" spans="1:26" ht="15" x14ac:dyDescent="0.25">
      <c r="A408" s="299"/>
      <c r="B408" s="281"/>
      <c r="C408" s="35" t="s">
        <v>125</v>
      </c>
      <c r="D408" s="36" t="s">
        <v>18</v>
      </c>
      <c r="E408" s="154" t="s">
        <v>306</v>
      </c>
    </row>
    <row r="409" spans="1:26" ht="15.75" thickBot="1" x14ac:dyDescent="0.3">
      <c r="A409" s="299"/>
      <c r="B409" s="281"/>
      <c r="C409" s="37" t="s">
        <v>126</v>
      </c>
      <c r="D409" s="36" t="s">
        <v>19</v>
      </c>
      <c r="E409" s="154" t="s">
        <v>306</v>
      </c>
      <c r="O409" s="47" t="s">
        <v>171</v>
      </c>
      <c r="P409" s="35" t="s">
        <v>125</v>
      </c>
      <c r="Q409" s="37" t="s">
        <v>126</v>
      </c>
      <c r="R409" s="38" t="s">
        <v>127</v>
      </c>
      <c r="S409" s="39" t="s">
        <v>128</v>
      </c>
      <c r="T409" s="35" t="s">
        <v>22</v>
      </c>
      <c r="U409" s="37" t="s">
        <v>23</v>
      </c>
      <c r="V409" s="38" t="s">
        <v>24</v>
      </c>
      <c r="W409" s="47" t="s">
        <v>298</v>
      </c>
      <c r="X409" s="47" t="s">
        <v>299</v>
      </c>
      <c r="Y409" s="47" t="s">
        <v>300</v>
      </c>
    </row>
    <row r="410" spans="1:26" ht="15.75" thickBot="1" x14ac:dyDescent="0.3">
      <c r="A410" s="299"/>
      <c r="B410" s="281"/>
      <c r="C410" s="38" t="s">
        <v>127</v>
      </c>
      <c r="D410" s="36" t="s">
        <v>20</v>
      </c>
      <c r="E410" s="154" t="s">
        <v>306</v>
      </c>
      <c r="H410" s="268" t="s">
        <v>26</v>
      </c>
      <c r="I410" s="280" t="s">
        <v>90</v>
      </c>
      <c r="J410" s="33" t="s">
        <v>45</v>
      </c>
      <c r="K410" s="34"/>
      <c r="N410" s="47" t="s">
        <v>305</v>
      </c>
      <c r="O410" s="47" t="s">
        <v>306</v>
      </c>
      <c r="P410" s="47" t="s">
        <v>306</v>
      </c>
      <c r="Q410" s="47" t="s">
        <v>306</v>
      </c>
      <c r="R410" s="47" t="s">
        <v>306</v>
      </c>
      <c r="S410" s="47" t="s">
        <v>306</v>
      </c>
      <c r="T410" s="47" t="s">
        <v>306</v>
      </c>
      <c r="U410" s="47" t="s">
        <v>306</v>
      </c>
      <c r="V410" s="47" t="s">
        <v>306</v>
      </c>
      <c r="W410" s="47" t="s">
        <v>306</v>
      </c>
      <c r="X410" s="47" t="s">
        <v>306</v>
      </c>
      <c r="Y410" s="47" t="s">
        <v>306</v>
      </c>
      <c r="Z410" s="47" t="s">
        <v>306</v>
      </c>
    </row>
    <row r="411" spans="1:26" ht="15.75" thickBot="1" x14ac:dyDescent="0.3">
      <c r="A411" s="299"/>
      <c r="B411" s="281"/>
      <c r="C411" s="39" t="s">
        <v>128</v>
      </c>
      <c r="D411" s="40" t="s">
        <v>21</v>
      </c>
      <c r="E411" s="154" t="s">
        <v>306</v>
      </c>
      <c r="H411" s="269"/>
      <c r="I411" s="281"/>
      <c r="J411" s="35" t="s">
        <v>125</v>
      </c>
      <c r="K411" s="36" t="s">
        <v>129</v>
      </c>
      <c r="N411" s="47" t="s">
        <v>309</v>
      </c>
      <c r="O411" s="63" t="s">
        <v>116</v>
      </c>
      <c r="P411" s="36" t="s">
        <v>129</v>
      </c>
      <c r="Q411" s="36" t="s">
        <v>130</v>
      </c>
      <c r="R411" s="36" t="s">
        <v>131</v>
      </c>
      <c r="S411" s="40" t="s">
        <v>132</v>
      </c>
      <c r="T411" s="50">
        <v>65.3</v>
      </c>
      <c r="U411" s="50">
        <v>39.9</v>
      </c>
      <c r="V411" s="50">
        <v>30.7</v>
      </c>
      <c r="W411" s="33" t="s">
        <v>353</v>
      </c>
      <c r="X411" s="41" t="s">
        <v>354</v>
      </c>
      <c r="Y411" s="41" t="s">
        <v>352</v>
      </c>
      <c r="Z411" s="70" t="s">
        <v>367</v>
      </c>
    </row>
    <row r="412" spans="1:26" ht="15.75" thickBot="1" x14ac:dyDescent="0.3">
      <c r="A412" s="299"/>
      <c r="B412" s="281"/>
      <c r="C412" s="41" t="s">
        <v>62</v>
      </c>
      <c r="D412" s="173" t="str">
        <f>C412</f>
        <v>Cut-point values for average daily attendance rate were:</v>
      </c>
      <c r="E412" s="154" t="s">
        <v>306</v>
      </c>
      <c r="H412" s="269"/>
      <c r="I412" s="281"/>
      <c r="J412" s="37" t="s">
        <v>126</v>
      </c>
      <c r="K412" s="36" t="s">
        <v>130</v>
      </c>
      <c r="N412" s="47" t="s">
        <v>310</v>
      </c>
      <c r="O412" s="63" t="s">
        <v>115</v>
      </c>
      <c r="P412" s="36" t="s">
        <v>129</v>
      </c>
      <c r="Q412" s="36" t="s">
        <v>130</v>
      </c>
      <c r="R412" s="36" t="s">
        <v>131</v>
      </c>
      <c r="S412" s="40" t="s">
        <v>132</v>
      </c>
      <c r="T412" s="50">
        <v>90</v>
      </c>
      <c r="U412" s="50">
        <v>60</v>
      </c>
      <c r="V412" s="50">
        <v>40</v>
      </c>
      <c r="W412" s="33" t="s">
        <v>57</v>
      </c>
      <c r="X412" s="41" t="s">
        <v>58</v>
      </c>
      <c r="Y412" s="41" t="s">
        <v>59</v>
      </c>
      <c r="Z412" s="70" t="s">
        <v>368</v>
      </c>
    </row>
    <row r="413" spans="1:26" ht="15.75" thickBot="1" x14ac:dyDescent="0.3">
      <c r="A413" s="299"/>
      <c r="B413" s="281"/>
      <c r="C413" s="35" t="s">
        <v>22</v>
      </c>
      <c r="D413" s="43">
        <v>92.5</v>
      </c>
      <c r="E413" s="154" t="s">
        <v>306</v>
      </c>
      <c r="H413" s="269"/>
      <c r="I413" s="281"/>
      <c r="J413" s="38" t="s">
        <v>127</v>
      </c>
      <c r="K413" s="36" t="s">
        <v>131</v>
      </c>
      <c r="N413" s="47" t="s">
        <v>114</v>
      </c>
      <c r="O413" s="63" t="s">
        <v>78</v>
      </c>
      <c r="P413" s="36" t="s">
        <v>129</v>
      </c>
      <c r="Q413" s="36" t="s">
        <v>130</v>
      </c>
      <c r="R413" s="36" t="s">
        <v>131</v>
      </c>
      <c r="S413" s="40" t="s">
        <v>132</v>
      </c>
      <c r="T413" s="50">
        <v>90</v>
      </c>
      <c r="U413" s="50">
        <v>60</v>
      </c>
      <c r="V413" s="50">
        <v>40</v>
      </c>
      <c r="W413" s="33" t="s">
        <v>75</v>
      </c>
      <c r="X413" s="41" t="s">
        <v>76</v>
      </c>
      <c r="Y413" s="41" t="s">
        <v>77</v>
      </c>
      <c r="Z413" s="70" t="s">
        <v>369</v>
      </c>
    </row>
    <row r="414" spans="1:26" ht="15.75" thickBot="1" x14ac:dyDescent="0.3">
      <c r="A414" s="299"/>
      <c r="B414" s="281"/>
      <c r="C414" s="37" t="s">
        <v>23</v>
      </c>
      <c r="D414" s="43">
        <v>86.2</v>
      </c>
      <c r="E414" s="154" t="s">
        <v>306</v>
      </c>
      <c r="H414" s="269"/>
      <c r="I414" s="281"/>
      <c r="J414" s="39" t="s">
        <v>128</v>
      </c>
      <c r="K414" s="40" t="s">
        <v>132</v>
      </c>
      <c r="N414" s="47" t="s">
        <v>55</v>
      </c>
      <c r="O414" s="63" t="s">
        <v>117</v>
      </c>
      <c r="P414" s="36" t="s">
        <v>129</v>
      </c>
      <c r="Q414" s="36" t="s">
        <v>130</v>
      </c>
      <c r="R414" s="36" t="s">
        <v>131</v>
      </c>
      <c r="S414" s="40" t="s">
        <v>132</v>
      </c>
      <c r="T414" s="50">
        <v>90</v>
      </c>
      <c r="U414" s="50">
        <v>60</v>
      </c>
      <c r="V414" s="50">
        <v>40</v>
      </c>
      <c r="W414" s="33" t="s">
        <v>69</v>
      </c>
      <c r="X414" s="41" t="s">
        <v>70</v>
      </c>
      <c r="Y414" s="41" t="s">
        <v>71</v>
      </c>
      <c r="Z414" s="70" t="s">
        <v>370</v>
      </c>
    </row>
    <row r="415" spans="1:26" ht="15" x14ac:dyDescent="0.25">
      <c r="A415" s="299"/>
      <c r="B415" s="281"/>
      <c r="C415" s="38" t="s">
        <v>24</v>
      </c>
      <c r="D415" s="180">
        <v>81.3</v>
      </c>
      <c r="E415" s="154" t="s">
        <v>306</v>
      </c>
      <c r="H415" s="269"/>
      <c r="I415" s="281"/>
      <c r="J415" s="41" t="s">
        <v>46</v>
      </c>
      <c r="K415" s="42"/>
      <c r="N415" s="47" t="s">
        <v>311</v>
      </c>
      <c r="O415" s="63" t="s">
        <v>60</v>
      </c>
      <c r="P415" s="36" t="s">
        <v>129</v>
      </c>
      <c r="Q415" s="36" t="s">
        <v>130</v>
      </c>
      <c r="R415" s="36" t="s">
        <v>131</v>
      </c>
      <c r="S415" s="40" t="s">
        <v>132</v>
      </c>
      <c r="T415" s="50">
        <v>90</v>
      </c>
      <c r="U415" s="50">
        <v>60</v>
      </c>
      <c r="V415" s="50">
        <v>40</v>
      </c>
      <c r="W415" s="33" t="s">
        <v>72</v>
      </c>
      <c r="X415" s="41" t="s">
        <v>73</v>
      </c>
      <c r="Y415" s="41" t="s">
        <v>74</v>
      </c>
      <c r="Z415" s="70" t="s">
        <v>371</v>
      </c>
    </row>
    <row r="416" spans="1:26" ht="15" x14ac:dyDescent="0.25">
      <c r="A416" s="299"/>
      <c r="B416" s="281"/>
      <c r="C416" s="41" t="s">
        <v>63</v>
      </c>
      <c r="D416" s="173" t="str">
        <f>C416</f>
        <v>Your school's actual average daily attendance rate rate was:</v>
      </c>
      <c r="E416" s="154" t="s">
        <v>306</v>
      </c>
      <c r="H416" s="269"/>
      <c r="I416" s="281"/>
      <c r="J416" s="35" t="s">
        <v>22</v>
      </c>
      <c r="K416" s="50">
        <v>65.3</v>
      </c>
    </row>
    <row r="417" spans="1:11" ht="15" x14ac:dyDescent="0.25">
      <c r="A417" s="299"/>
      <c r="B417" s="281"/>
      <c r="C417" s="63" t="s">
        <v>64</v>
      </c>
      <c r="D417" s="45" t="s">
        <v>395</v>
      </c>
      <c r="E417" s="154" t="s">
        <v>306</v>
      </c>
      <c r="H417" s="269"/>
      <c r="I417" s="281"/>
      <c r="J417" s="37" t="s">
        <v>23</v>
      </c>
      <c r="K417" s="50">
        <v>39.9</v>
      </c>
    </row>
    <row r="418" spans="1:11" ht="15.75" thickBot="1" x14ac:dyDescent="0.3">
      <c r="A418" s="300"/>
      <c r="B418" s="282"/>
      <c r="C418" s="64" t="s">
        <v>194</v>
      </c>
      <c r="D418" s="45" t="s">
        <v>395</v>
      </c>
      <c r="E418" s="154" t="s">
        <v>306</v>
      </c>
      <c r="H418" s="269"/>
      <c r="I418" s="281"/>
      <c r="J418" s="38" t="s">
        <v>24</v>
      </c>
      <c r="K418" s="50">
        <v>30.7</v>
      </c>
    </row>
    <row r="419" spans="1:11" ht="15" x14ac:dyDescent="0.25">
      <c r="A419" s="298" t="s">
        <v>27</v>
      </c>
      <c r="B419" s="280" t="s">
        <v>347</v>
      </c>
      <c r="C419" s="33" t="s">
        <v>86</v>
      </c>
      <c r="D419" s="152" t="str">
        <f>C419</f>
        <v xml:space="preserve"> To receive the indicator rating, the AEC's truancy rate was:</v>
      </c>
      <c r="E419" s="154" t="s">
        <v>306</v>
      </c>
      <c r="H419" s="269"/>
      <c r="I419" s="281"/>
      <c r="J419" s="41" t="s">
        <v>50</v>
      </c>
      <c r="K419" s="42"/>
    </row>
    <row r="420" spans="1:11" ht="15" x14ac:dyDescent="0.25">
      <c r="A420" s="299"/>
      <c r="B420" s="281"/>
      <c r="C420" s="35" t="s">
        <v>125</v>
      </c>
      <c r="D420" s="36" t="s">
        <v>18</v>
      </c>
      <c r="E420" s="154" t="s">
        <v>306</v>
      </c>
      <c r="H420" s="269"/>
      <c r="I420" s="281"/>
      <c r="J420" s="63" t="s">
        <v>116</v>
      </c>
      <c r="K420" s="68" t="s">
        <v>218</v>
      </c>
    </row>
    <row r="421" spans="1:11" ht="15.75" thickBot="1" x14ac:dyDescent="0.3">
      <c r="A421" s="299"/>
      <c r="B421" s="281"/>
      <c r="C421" s="37" t="s">
        <v>126</v>
      </c>
      <c r="D421" s="36" t="s">
        <v>19</v>
      </c>
      <c r="E421" s="154" t="s">
        <v>306</v>
      </c>
      <c r="H421" s="270"/>
      <c r="I421" s="282"/>
      <c r="J421" s="64" t="s">
        <v>194</v>
      </c>
      <c r="K421" s="69" t="s">
        <v>218</v>
      </c>
    </row>
    <row r="422" spans="1:11" ht="15" x14ac:dyDescent="0.25">
      <c r="A422" s="299"/>
      <c r="B422" s="281"/>
      <c r="C422" s="38" t="s">
        <v>127</v>
      </c>
      <c r="D422" s="36" t="s">
        <v>20</v>
      </c>
      <c r="E422" s="154" t="s">
        <v>306</v>
      </c>
      <c r="H422" s="269"/>
      <c r="I422" s="281"/>
      <c r="J422" s="39" t="s">
        <v>128</v>
      </c>
      <c r="K422" s="40" t="s">
        <v>132</v>
      </c>
    </row>
    <row r="423" spans="1:11" ht="15" x14ac:dyDescent="0.25">
      <c r="A423" s="299"/>
      <c r="B423" s="281"/>
      <c r="C423" s="39" t="s">
        <v>128</v>
      </c>
      <c r="D423" s="40" t="s">
        <v>21</v>
      </c>
      <c r="E423" s="154" t="s">
        <v>306</v>
      </c>
      <c r="H423" s="269"/>
      <c r="I423" s="281"/>
      <c r="J423" s="41" t="s">
        <v>70</v>
      </c>
      <c r="K423" s="42"/>
    </row>
    <row r="424" spans="1:11" ht="15" x14ac:dyDescent="0.25">
      <c r="A424" s="299"/>
      <c r="B424" s="281"/>
      <c r="C424" s="41" t="s">
        <v>87</v>
      </c>
      <c r="D424" s="173" t="str">
        <f>C424</f>
        <v>Cut-point values for truancy rate were:</v>
      </c>
      <c r="E424" s="154" t="s">
        <v>306</v>
      </c>
      <c r="H424" s="269"/>
      <c r="I424" s="281"/>
      <c r="J424" s="35" t="s">
        <v>22</v>
      </c>
      <c r="K424" s="50">
        <v>90</v>
      </c>
    </row>
    <row r="425" spans="1:11" ht="15" x14ac:dyDescent="0.25">
      <c r="A425" s="299"/>
      <c r="B425" s="281"/>
      <c r="C425" s="35" t="s">
        <v>22</v>
      </c>
      <c r="D425" s="43">
        <v>0.8</v>
      </c>
      <c r="E425" s="154" t="s">
        <v>306</v>
      </c>
      <c r="H425" s="269"/>
      <c r="I425" s="281"/>
      <c r="J425" s="37" t="s">
        <v>23</v>
      </c>
      <c r="K425" s="50">
        <v>60</v>
      </c>
    </row>
    <row r="426" spans="1:11" ht="15" x14ac:dyDescent="0.25">
      <c r="A426" s="299"/>
      <c r="B426" s="281"/>
      <c r="C426" s="37" t="s">
        <v>23</v>
      </c>
      <c r="D426" s="43">
        <v>7.7</v>
      </c>
      <c r="E426" s="154" t="s">
        <v>306</v>
      </c>
      <c r="H426" s="269"/>
      <c r="I426" s="281"/>
      <c r="J426" s="38" t="s">
        <v>24</v>
      </c>
      <c r="K426" s="50">
        <v>40</v>
      </c>
    </row>
    <row r="427" spans="1:11" ht="15" x14ac:dyDescent="0.25">
      <c r="A427" s="299"/>
      <c r="B427" s="281"/>
      <c r="C427" s="38" t="s">
        <v>24</v>
      </c>
      <c r="D427" s="180">
        <v>12.1</v>
      </c>
      <c r="E427" s="154" t="s">
        <v>306</v>
      </c>
      <c r="H427" s="269"/>
      <c r="I427" s="281"/>
      <c r="J427" s="41" t="s">
        <v>71</v>
      </c>
      <c r="K427" s="42"/>
    </row>
    <row r="428" spans="1:11" ht="15" x14ac:dyDescent="0.25">
      <c r="A428" s="299"/>
      <c r="B428" s="281"/>
      <c r="C428" s="41" t="s">
        <v>88</v>
      </c>
      <c r="D428" s="173" t="str">
        <f>C428</f>
        <v>Your school's actual truancy rate rate was:</v>
      </c>
      <c r="E428" s="154" t="s">
        <v>306</v>
      </c>
      <c r="H428" s="269"/>
      <c r="I428" s="281"/>
      <c r="J428" s="63" t="s">
        <v>117</v>
      </c>
      <c r="K428" s="58"/>
    </row>
    <row r="429" spans="1:11" ht="15.75" thickBot="1" x14ac:dyDescent="0.3">
      <c r="A429" s="299"/>
      <c r="B429" s="281"/>
      <c r="C429" s="63" t="s">
        <v>89</v>
      </c>
      <c r="D429" s="45" t="s">
        <v>395</v>
      </c>
      <c r="E429" s="154" t="s">
        <v>306</v>
      </c>
      <c r="H429" s="270"/>
      <c r="I429" s="282"/>
      <c r="J429" s="64" t="s">
        <v>194</v>
      </c>
      <c r="K429" s="65"/>
    </row>
    <row r="430" spans="1:11" ht="15.75" thickBot="1" x14ac:dyDescent="0.3">
      <c r="A430" s="300"/>
      <c r="B430" s="282"/>
      <c r="C430" s="64" t="s">
        <v>194</v>
      </c>
      <c r="D430" s="45" t="s">
        <v>395</v>
      </c>
      <c r="E430" s="154" t="s">
        <v>306</v>
      </c>
      <c r="H430" s="268" t="s">
        <v>26</v>
      </c>
      <c r="I430" s="280" t="s">
        <v>56</v>
      </c>
      <c r="J430" s="33" t="s">
        <v>72</v>
      </c>
      <c r="K430" s="34"/>
    </row>
    <row r="431" spans="1:11" ht="15" x14ac:dyDescent="0.25">
      <c r="A431" s="277" t="s">
        <v>26</v>
      </c>
      <c r="B431" s="280" t="s">
        <v>320</v>
      </c>
      <c r="C431" s="183" t="s">
        <v>96</v>
      </c>
      <c r="D431" s="197" t="s">
        <v>305</v>
      </c>
      <c r="E431" s="154" t="s">
        <v>306</v>
      </c>
      <c r="H431" s="269"/>
      <c r="I431" s="281"/>
      <c r="J431" s="35" t="s">
        <v>125</v>
      </c>
      <c r="K431" s="36" t="s">
        <v>129</v>
      </c>
    </row>
    <row r="432" spans="1:11" ht="15" customHeight="1" x14ac:dyDescent="0.25">
      <c r="A432" s="294"/>
      <c r="B432" s="294"/>
      <c r="C432" s="157" t="str">
        <f>VLOOKUP(D431,$N$468:$Y$472,10,FALSE)</f>
        <v xml:space="preserve"> </v>
      </c>
      <c r="D432" s="173" t="str">
        <f>C432</f>
        <v xml:space="preserve"> </v>
      </c>
      <c r="E432" s="154" t="s">
        <v>306</v>
      </c>
      <c r="H432" s="269"/>
      <c r="I432" s="281"/>
      <c r="J432" s="37" t="s">
        <v>126</v>
      </c>
      <c r="K432" s="36" t="s">
        <v>130</v>
      </c>
    </row>
    <row r="433" spans="1:11" ht="15" customHeight="1" x14ac:dyDescent="0.25">
      <c r="A433" s="294"/>
      <c r="B433" s="294"/>
      <c r="C433" s="35" t="s">
        <v>125</v>
      </c>
      <c r="D433" s="101" t="str">
        <f>VLOOKUP(D431,$N$468:$Y$472,3,FALSE)</f>
        <v xml:space="preserve"> </v>
      </c>
      <c r="E433" s="154" t="s">
        <v>306</v>
      </c>
      <c r="H433" s="269"/>
      <c r="I433" s="281"/>
      <c r="J433" s="38" t="s">
        <v>127</v>
      </c>
      <c r="K433" s="36" t="s">
        <v>131</v>
      </c>
    </row>
    <row r="434" spans="1:11" ht="15" customHeight="1" x14ac:dyDescent="0.25">
      <c r="A434" s="294"/>
      <c r="B434" s="294"/>
      <c r="C434" s="37" t="s">
        <v>126</v>
      </c>
      <c r="D434" s="101" t="str">
        <f>VLOOKUP(D431,$N$468:$Y$472,4,FALSE)</f>
        <v xml:space="preserve"> </v>
      </c>
      <c r="E434" s="154" t="s">
        <v>306</v>
      </c>
      <c r="H434" s="269"/>
      <c r="I434" s="281"/>
      <c r="J434" s="39" t="s">
        <v>128</v>
      </c>
      <c r="K434" s="40" t="s">
        <v>132</v>
      </c>
    </row>
    <row r="435" spans="1:11" ht="15" x14ac:dyDescent="0.25">
      <c r="A435" s="294"/>
      <c r="B435" s="294"/>
      <c r="C435" s="38" t="s">
        <v>127</v>
      </c>
      <c r="D435" s="101" t="str">
        <f>VLOOKUP(D431,$N$468:$Y$472,5,FALSE)</f>
        <v xml:space="preserve"> </v>
      </c>
      <c r="E435" s="154" t="s">
        <v>306</v>
      </c>
      <c r="H435" s="269"/>
      <c r="I435" s="281"/>
      <c r="J435" s="41" t="s">
        <v>73</v>
      </c>
      <c r="K435" s="42"/>
    </row>
    <row r="436" spans="1:11" ht="15" x14ac:dyDescent="0.25">
      <c r="A436" s="294"/>
      <c r="B436" s="294"/>
      <c r="C436" s="39" t="s">
        <v>128</v>
      </c>
      <c r="D436" s="102" t="str">
        <f>VLOOKUP(D431,$N$468:$Y$472,6,FALSE)</f>
        <v xml:space="preserve"> </v>
      </c>
      <c r="E436" s="154" t="s">
        <v>306</v>
      </c>
      <c r="H436" s="269"/>
      <c r="I436" s="281"/>
      <c r="J436" s="70"/>
      <c r="K436" s="71"/>
    </row>
    <row r="437" spans="1:11" ht="15" x14ac:dyDescent="0.25">
      <c r="A437" s="294"/>
      <c r="B437" s="294"/>
      <c r="C437" s="41" t="str">
        <f>VLOOKUP(D431,$N$468:$Y$472,11,FALSE)</f>
        <v xml:space="preserve"> </v>
      </c>
      <c r="D437" s="153" t="str">
        <f>C437</f>
        <v xml:space="preserve"> </v>
      </c>
      <c r="E437" s="154" t="s">
        <v>306</v>
      </c>
      <c r="H437" s="269"/>
      <c r="I437" s="281"/>
      <c r="J437" s="35" t="s">
        <v>22</v>
      </c>
      <c r="K437" s="50">
        <v>90</v>
      </c>
    </row>
    <row r="438" spans="1:11" ht="15" x14ac:dyDescent="0.25">
      <c r="A438" s="294"/>
      <c r="B438" s="294"/>
      <c r="C438" s="35" t="s">
        <v>22</v>
      </c>
      <c r="D438" s="103" t="str">
        <f>VLOOKUP(D431,$N$468:$Y$472,7,FALSE)</f>
        <v xml:space="preserve"> </v>
      </c>
      <c r="E438" s="154" t="s">
        <v>306</v>
      </c>
      <c r="H438" s="269"/>
      <c r="I438" s="281"/>
      <c r="J438" s="37" t="s">
        <v>23</v>
      </c>
      <c r="K438" s="50">
        <v>60</v>
      </c>
    </row>
    <row r="439" spans="1:11" ht="15" customHeight="1" x14ac:dyDescent="0.25">
      <c r="A439" s="294"/>
      <c r="B439" s="294"/>
      <c r="C439" s="37" t="s">
        <v>23</v>
      </c>
      <c r="D439" s="103" t="str">
        <f>VLOOKUP(D431,$N$468:$Y$472,8,FALSE)</f>
        <v xml:space="preserve"> </v>
      </c>
      <c r="E439" s="154" t="s">
        <v>306</v>
      </c>
      <c r="H439" s="269"/>
      <c r="I439" s="281"/>
      <c r="J439" s="38" t="s">
        <v>24</v>
      </c>
      <c r="K439" s="50">
        <v>40</v>
      </c>
    </row>
    <row r="440" spans="1:11" ht="15" x14ac:dyDescent="0.25">
      <c r="A440" s="294"/>
      <c r="B440" s="294"/>
      <c r="C440" s="38" t="s">
        <v>24</v>
      </c>
      <c r="D440" s="103" t="str">
        <f>VLOOKUP(D431,$N$468:$Y$472,9,FALSE)</f>
        <v xml:space="preserve"> </v>
      </c>
      <c r="E440" s="154" t="s">
        <v>306</v>
      </c>
      <c r="H440" s="269"/>
      <c r="I440" s="281"/>
      <c r="J440" s="41" t="s">
        <v>74</v>
      </c>
      <c r="K440" s="42"/>
    </row>
    <row r="441" spans="1:11" ht="15" x14ac:dyDescent="0.25">
      <c r="A441" s="294"/>
      <c r="B441" s="294"/>
      <c r="C441" s="41" t="str">
        <f>VLOOKUP(D431,$N$468:$Y$472,12,FALSE)</f>
        <v xml:space="preserve"> </v>
      </c>
      <c r="D441" s="153" t="str">
        <f>C441</f>
        <v xml:space="preserve"> </v>
      </c>
      <c r="E441" s="154" t="s">
        <v>306</v>
      </c>
      <c r="H441" s="269"/>
      <c r="I441" s="281"/>
      <c r="J441" s="63" t="s">
        <v>60</v>
      </c>
      <c r="K441" s="58"/>
    </row>
    <row r="442" spans="1:11" ht="15.75" thickBot="1" x14ac:dyDescent="0.3">
      <c r="A442" s="294"/>
      <c r="B442" s="294"/>
      <c r="C442" s="63" t="str">
        <f>VLOOKUP(D431,$N$468:$AA$472,13,FALSE)</f>
        <v xml:space="preserve"> </v>
      </c>
      <c r="D442" s="156" t="s">
        <v>380</v>
      </c>
      <c r="E442" s="154" t="s">
        <v>306</v>
      </c>
      <c r="H442" s="270"/>
      <c r="I442" s="282"/>
      <c r="J442" s="64" t="s">
        <v>194</v>
      </c>
      <c r="K442" s="65"/>
    </row>
    <row r="443" spans="1:11" ht="15" x14ac:dyDescent="0.25">
      <c r="A443" s="294"/>
      <c r="B443" s="294"/>
      <c r="C443" s="159" t="s">
        <v>378</v>
      </c>
      <c r="D443" s="156" t="s">
        <v>394</v>
      </c>
      <c r="E443" s="154" t="s">
        <v>306</v>
      </c>
    </row>
    <row r="444" spans="1:11" ht="15.75" thickBot="1" x14ac:dyDescent="0.3">
      <c r="A444" s="295"/>
      <c r="B444" s="295"/>
      <c r="C444" s="64" t="str">
        <f>VLOOKUP(D431,$N$468:$AA$472,2,FALSE)</f>
        <v xml:space="preserve"> </v>
      </c>
      <c r="D444" s="169" t="e">
        <f>SUM(D442/D443)*100</f>
        <v>#VALUE!</v>
      </c>
      <c r="E444" s="154" t="s">
        <v>306</v>
      </c>
    </row>
    <row r="445" spans="1:11" ht="15" customHeight="1" x14ac:dyDescent="0.25">
      <c r="A445" s="277" t="s">
        <v>26</v>
      </c>
      <c r="B445" s="280" t="s">
        <v>321</v>
      </c>
      <c r="C445" s="183" t="s">
        <v>96</v>
      </c>
      <c r="D445" s="28" t="s">
        <v>305</v>
      </c>
      <c r="E445" s="154" t="s">
        <v>306</v>
      </c>
    </row>
    <row r="446" spans="1:11" ht="15" customHeight="1" x14ac:dyDescent="0.25">
      <c r="A446" s="294"/>
      <c r="B446" s="294"/>
      <c r="C446" s="157" t="str">
        <f>VLOOKUP(D445,$N$468:$Y$472,10,FALSE)</f>
        <v xml:space="preserve"> </v>
      </c>
      <c r="D446" s="153" t="str">
        <f>C446</f>
        <v xml:space="preserve"> </v>
      </c>
      <c r="E446" s="154" t="s">
        <v>306</v>
      </c>
    </row>
    <row r="447" spans="1:11" ht="15" customHeight="1" x14ac:dyDescent="0.25">
      <c r="A447" s="294"/>
      <c r="B447" s="294"/>
      <c r="C447" s="35" t="s">
        <v>125</v>
      </c>
      <c r="D447" s="101" t="str">
        <f>VLOOKUP(D445,$N$468:$Y$472,3,FALSE)</f>
        <v xml:space="preserve"> </v>
      </c>
      <c r="E447" s="154" t="s">
        <v>306</v>
      </c>
    </row>
    <row r="448" spans="1:11" ht="15" x14ac:dyDescent="0.25">
      <c r="A448" s="294"/>
      <c r="B448" s="294"/>
      <c r="C448" s="37" t="s">
        <v>126</v>
      </c>
      <c r="D448" s="101" t="str">
        <f>VLOOKUP(D445,$N$468:$Y$472,4,FALSE)</f>
        <v xml:space="preserve"> </v>
      </c>
      <c r="E448" s="154" t="s">
        <v>306</v>
      </c>
    </row>
    <row r="449" spans="1:5" ht="15" x14ac:dyDescent="0.25">
      <c r="A449" s="294"/>
      <c r="B449" s="294"/>
      <c r="C449" s="38" t="s">
        <v>127</v>
      </c>
      <c r="D449" s="101" t="str">
        <f>VLOOKUP(D445,$N$468:$Y$472,5,FALSE)</f>
        <v xml:space="preserve"> </v>
      </c>
      <c r="E449" s="154" t="s">
        <v>306</v>
      </c>
    </row>
    <row r="450" spans="1:5" ht="15" customHeight="1" x14ac:dyDescent="0.25">
      <c r="A450" s="294"/>
      <c r="B450" s="294"/>
      <c r="C450" s="39" t="s">
        <v>128</v>
      </c>
      <c r="D450" s="102" t="str">
        <f>VLOOKUP(D445,$N$468:$Y$472,6,FALSE)</f>
        <v xml:space="preserve"> </v>
      </c>
      <c r="E450" s="154" t="s">
        <v>306</v>
      </c>
    </row>
    <row r="451" spans="1:5" ht="15" x14ac:dyDescent="0.25">
      <c r="A451" s="294"/>
      <c r="B451" s="294"/>
      <c r="C451" s="41" t="str">
        <f>VLOOKUP(D445,$N$468:$Y$472,11,FALSE)</f>
        <v xml:space="preserve"> </v>
      </c>
      <c r="D451" s="153" t="str">
        <f>C451</f>
        <v xml:space="preserve"> </v>
      </c>
      <c r="E451" s="154" t="s">
        <v>306</v>
      </c>
    </row>
    <row r="452" spans="1:5" ht="15" x14ac:dyDescent="0.25">
      <c r="A452" s="294"/>
      <c r="B452" s="294"/>
      <c r="C452" s="35" t="s">
        <v>22</v>
      </c>
      <c r="D452" s="103" t="str">
        <f>VLOOKUP(D445,$N$468:$Y$472,7,FALSE)</f>
        <v xml:space="preserve"> </v>
      </c>
      <c r="E452" s="154" t="s">
        <v>306</v>
      </c>
    </row>
    <row r="453" spans="1:5" ht="15" customHeight="1" x14ac:dyDescent="0.25">
      <c r="A453" s="294"/>
      <c r="B453" s="294"/>
      <c r="C453" s="37" t="s">
        <v>23</v>
      </c>
      <c r="D453" s="103" t="str">
        <f>VLOOKUP(D445,$N$468:$Y$472,8,FALSE)</f>
        <v xml:space="preserve"> </v>
      </c>
      <c r="E453" s="154" t="s">
        <v>306</v>
      </c>
    </row>
    <row r="454" spans="1:5" ht="15" x14ac:dyDescent="0.25">
      <c r="A454" s="294"/>
      <c r="B454" s="294"/>
      <c r="C454" s="38" t="s">
        <v>24</v>
      </c>
      <c r="D454" s="103" t="str">
        <f>VLOOKUP(D445,$N$468:$Y$472,9,FALSE)</f>
        <v xml:space="preserve"> </v>
      </c>
      <c r="E454" s="154" t="s">
        <v>306</v>
      </c>
    </row>
    <row r="455" spans="1:5" ht="15" x14ac:dyDescent="0.25">
      <c r="A455" s="294"/>
      <c r="B455" s="294"/>
      <c r="C455" s="41" t="str">
        <f>VLOOKUP(D445,$N$468:$Y$472,12,FALSE)</f>
        <v xml:space="preserve"> </v>
      </c>
      <c r="D455" s="153" t="str">
        <f>C455</f>
        <v xml:space="preserve"> </v>
      </c>
      <c r="E455" s="154" t="s">
        <v>306</v>
      </c>
    </row>
    <row r="456" spans="1:5" ht="15" x14ac:dyDescent="0.25">
      <c r="A456" s="294"/>
      <c r="B456" s="294"/>
      <c r="C456" s="63" t="str">
        <f>VLOOKUP(D445,$N$468:$AA$472,13,FALSE)</f>
        <v xml:space="preserve"> </v>
      </c>
      <c r="D456" s="156" t="s">
        <v>380</v>
      </c>
      <c r="E456" s="154" t="s">
        <v>306</v>
      </c>
    </row>
    <row r="457" spans="1:5" ht="15" x14ac:dyDescent="0.25">
      <c r="A457" s="294"/>
      <c r="B457" s="294"/>
      <c r="C457" s="159" t="s">
        <v>378</v>
      </c>
      <c r="D457" s="156" t="s">
        <v>394</v>
      </c>
      <c r="E457" s="154" t="s">
        <v>306</v>
      </c>
    </row>
    <row r="458" spans="1:5" ht="15.75" thickBot="1" x14ac:dyDescent="0.3">
      <c r="A458" s="295"/>
      <c r="B458" s="295"/>
      <c r="C458" s="64" t="str">
        <f>VLOOKUP(D445,$N$468:$AA$472,2,FALSE)</f>
        <v xml:space="preserve"> </v>
      </c>
      <c r="D458" s="169" t="e">
        <f>SUM(D456/D457)*100</f>
        <v>#VALUE!</v>
      </c>
      <c r="E458" s="154" t="s">
        <v>306</v>
      </c>
    </row>
    <row r="459" spans="1:5" ht="15" customHeight="1" x14ac:dyDescent="0.25">
      <c r="A459" s="277" t="s">
        <v>26</v>
      </c>
      <c r="B459" s="280" t="s">
        <v>322</v>
      </c>
      <c r="C459" s="183" t="s">
        <v>96</v>
      </c>
      <c r="D459" s="28" t="s">
        <v>305</v>
      </c>
      <c r="E459" s="154" t="s">
        <v>306</v>
      </c>
    </row>
    <row r="460" spans="1:5" ht="15" customHeight="1" x14ac:dyDescent="0.25">
      <c r="A460" s="294"/>
      <c r="B460" s="294"/>
      <c r="C460" s="157" t="str">
        <f>VLOOKUP(D459,$N$468:$Y$472,10,FALSE)</f>
        <v xml:space="preserve"> </v>
      </c>
      <c r="D460" s="153" t="str">
        <f>C460</f>
        <v xml:space="preserve"> </v>
      </c>
      <c r="E460" s="154" t="s">
        <v>306</v>
      </c>
    </row>
    <row r="461" spans="1:5" ht="15" customHeight="1" x14ac:dyDescent="0.25">
      <c r="A461" s="294"/>
      <c r="B461" s="294"/>
      <c r="C461" s="35" t="s">
        <v>125</v>
      </c>
      <c r="D461" s="101" t="str">
        <f>VLOOKUP(D459,$N$468:$Y$472,3,FALSE)</f>
        <v xml:space="preserve"> </v>
      </c>
      <c r="E461" s="154" t="s">
        <v>306</v>
      </c>
    </row>
    <row r="462" spans="1:5" ht="15" x14ac:dyDescent="0.25">
      <c r="A462" s="294"/>
      <c r="B462" s="294"/>
      <c r="C462" s="37" t="s">
        <v>126</v>
      </c>
      <c r="D462" s="101" t="str">
        <f>VLOOKUP(D459,$N$468:$Y$472,4,FALSE)</f>
        <v xml:space="preserve"> </v>
      </c>
      <c r="E462" s="154" t="s">
        <v>306</v>
      </c>
    </row>
    <row r="463" spans="1:5" ht="15" x14ac:dyDescent="0.25">
      <c r="A463" s="294"/>
      <c r="B463" s="294"/>
      <c r="C463" s="38" t="s">
        <v>127</v>
      </c>
      <c r="D463" s="101" t="str">
        <f>VLOOKUP(D459,$N$468:$Y$472,5,FALSE)</f>
        <v xml:space="preserve"> </v>
      </c>
      <c r="E463" s="154" t="s">
        <v>306</v>
      </c>
    </row>
    <row r="464" spans="1:5" ht="15" customHeight="1" x14ac:dyDescent="0.25">
      <c r="A464" s="294"/>
      <c r="B464" s="294"/>
      <c r="C464" s="39" t="s">
        <v>128</v>
      </c>
      <c r="D464" s="102" t="str">
        <f>VLOOKUP(D459,$N$468:$Y$472,6,FALSE)</f>
        <v xml:space="preserve"> </v>
      </c>
      <c r="E464" s="154" t="s">
        <v>306</v>
      </c>
    </row>
    <row r="465" spans="1:26" ht="15" customHeight="1" x14ac:dyDescent="0.25">
      <c r="A465" s="294"/>
      <c r="B465" s="294"/>
      <c r="C465" s="41" t="str">
        <f>VLOOKUP(D459,$N$468:$Y$472,11,FALSE)</f>
        <v xml:space="preserve"> </v>
      </c>
      <c r="D465" s="153" t="str">
        <f>C465</f>
        <v xml:space="preserve"> </v>
      </c>
      <c r="E465" s="154" t="s">
        <v>306</v>
      </c>
    </row>
    <row r="466" spans="1:26" ht="15" customHeight="1" x14ac:dyDescent="0.25">
      <c r="A466" s="294"/>
      <c r="B466" s="294"/>
      <c r="C466" s="35" t="s">
        <v>22</v>
      </c>
      <c r="D466" s="103" t="str">
        <f>VLOOKUP(D459,$N$468:$Y$472,7,FALSE)</f>
        <v xml:space="preserve"> </v>
      </c>
      <c r="E466" s="154" t="s">
        <v>306</v>
      </c>
    </row>
    <row r="467" spans="1:26" ht="15" customHeight="1" thickBot="1" x14ac:dyDescent="0.3">
      <c r="A467" s="294"/>
      <c r="B467" s="294"/>
      <c r="C467" s="37" t="s">
        <v>23</v>
      </c>
      <c r="D467" s="103" t="str">
        <f>VLOOKUP(D459,$N$468:$Y$472,8,FALSE)</f>
        <v xml:space="preserve"> </v>
      </c>
      <c r="E467" s="154" t="s">
        <v>306</v>
      </c>
    </row>
    <row r="468" spans="1:26" ht="15" customHeight="1" x14ac:dyDescent="0.25">
      <c r="A468" s="294"/>
      <c r="B468" s="294"/>
      <c r="C468" s="38" t="s">
        <v>24</v>
      </c>
      <c r="D468" s="103" t="str">
        <f>VLOOKUP(D459,$N$468:$Y$472,9,FALSE)</f>
        <v xml:space="preserve"> </v>
      </c>
      <c r="E468" s="154" t="s">
        <v>306</v>
      </c>
      <c r="H468" s="268" t="s">
        <v>26</v>
      </c>
      <c r="I468" s="280" t="s">
        <v>103</v>
      </c>
      <c r="J468" s="33" t="s">
        <v>104</v>
      </c>
      <c r="K468" s="34"/>
      <c r="O468" s="47" t="s">
        <v>171</v>
      </c>
      <c r="P468" s="35" t="s">
        <v>125</v>
      </c>
      <c r="Q468" s="37" t="s">
        <v>126</v>
      </c>
      <c r="R468" s="38" t="s">
        <v>127</v>
      </c>
      <c r="S468" s="39" t="s">
        <v>128</v>
      </c>
      <c r="T468" s="35" t="s">
        <v>22</v>
      </c>
      <c r="U468" s="37" t="s">
        <v>23</v>
      </c>
      <c r="V468" s="38" t="s">
        <v>24</v>
      </c>
      <c r="W468" s="47" t="s">
        <v>298</v>
      </c>
      <c r="X468" s="47" t="s">
        <v>299</v>
      </c>
      <c r="Y468" s="47" t="s">
        <v>300</v>
      </c>
    </row>
    <row r="469" spans="1:26" ht="15" customHeight="1" thickBot="1" x14ac:dyDescent="0.3">
      <c r="A469" s="294"/>
      <c r="B469" s="294"/>
      <c r="C469" s="41" t="str">
        <f>VLOOKUP(D459,$N$468:$Y$472,12,FALSE)</f>
        <v xml:space="preserve"> </v>
      </c>
      <c r="D469" s="153" t="str">
        <f>C469</f>
        <v xml:space="preserve"> </v>
      </c>
      <c r="E469" s="154" t="s">
        <v>306</v>
      </c>
      <c r="H469" s="269"/>
      <c r="I469" s="281"/>
      <c r="J469" s="35" t="s">
        <v>125</v>
      </c>
      <c r="K469" s="36" t="s">
        <v>129</v>
      </c>
      <c r="N469" s="47" t="s">
        <v>305</v>
      </c>
      <c r="O469" s="47" t="s">
        <v>306</v>
      </c>
      <c r="P469" s="47" t="s">
        <v>306</v>
      </c>
      <c r="Q469" s="47" t="s">
        <v>306</v>
      </c>
      <c r="R469" s="47" t="s">
        <v>306</v>
      </c>
      <c r="S469" s="47" t="s">
        <v>306</v>
      </c>
      <c r="T469" s="47" t="s">
        <v>306</v>
      </c>
      <c r="U469" s="47" t="s">
        <v>306</v>
      </c>
      <c r="V469" s="47" t="s">
        <v>306</v>
      </c>
      <c r="W469" s="47" t="s">
        <v>306</v>
      </c>
      <c r="X469" s="47" t="s">
        <v>306</v>
      </c>
      <c r="Y469" s="47" t="s">
        <v>306</v>
      </c>
      <c r="Z469" s="47" t="s">
        <v>306</v>
      </c>
    </row>
    <row r="470" spans="1:26" ht="15" customHeight="1" thickBot="1" x14ac:dyDescent="0.3">
      <c r="A470" s="294"/>
      <c r="B470" s="294"/>
      <c r="C470" s="63" t="str">
        <f>VLOOKUP(D459,$N$468:$AA$472,13,FALSE)</f>
        <v xml:space="preserve"> </v>
      </c>
      <c r="D470" s="156" t="s">
        <v>380</v>
      </c>
      <c r="E470" s="154" t="s">
        <v>306</v>
      </c>
      <c r="H470" s="269"/>
      <c r="I470" s="281"/>
      <c r="J470" s="37" t="s">
        <v>126</v>
      </c>
      <c r="K470" s="36" t="s">
        <v>130</v>
      </c>
      <c r="N470" s="47" t="s">
        <v>103</v>
      </c>
      <c r="O470" s="63" t="s">
        <v>107</v>
      </c>
      <c r="P470" s="36" t="s">
        <v>129</v>
      </c>
      <c r="Q470" s="36" t="s">
        <v>130</v>
      </c>
      <c r="R470" s="36" t="s">
        <v>131</v>
      </c>
      <c r="S470" s="40" t="s">
        <v>132</v>
      </c>
      <c r="T470" s="50">
        <v>90</v>
      </c>
      <c r="U470" s="50">
        <v>60</v>
      </c>
      <c r="V470" s="50">
        <v>40</v>
      </c>
      <c r="W470" s="33" t="s">
        <v>104</v>
      </c>
      <c r="X470" s="41" t="s">
        <v>105</v>
      </c>
      <c r="Y470" s="41" t="s">
        <v>106</v>
      </c>
      <c r="Z470" s="70" t="s">
        <v>377</v>
      </c>
    </row>
    <row r="471" spans="1:26" ht="15" customHeight="1" thickBot="1" x14ac:dyDescent="0.3">
      <c r="A471" s="294"/>
      <c r="B471" s="294"/>
      <c r="C471" s="159" t="s">
        <v>378</v>
      </c>
      <c r="D471" s="156" t="s">
        <v>394</v>
      </c>
      <c r="E471" s="154" t="s">
        <v>306</v>
      </c>
      <c r="H471" s="269"/>
      <c r="I471" s="281"/>
      <c r="J471" s="38" t="s">
        <v>127</v>
      </c>
      <c r="K471" s="36" t="s">
        <v>131</v>
      </c>
      <c r="N471" s="47" t="s">
        <v>108</v>
      </c>
      <c r="O471" s="63" t="s">
        <v>109</v>
      </c>
      <c r="P471" s="36" t="s">
        <v>129</v>
      </c>
      <c r="Q471" s="36" t="s">
        <v>130</v>
      </c>
      <c r="R471" s="36" t="s">
        <v>131</v>
      </c>
      <c r="S471" s="40" t="s">
        <v>132</v>
      </c>
      <c r="T471" s="50">
        <v>90</v>
      </c>
      <c r="U471" s="50">
        <v>60</v>
      </c>
      <c r="V471" s="50">
        <v>40</v>
      </c>
      <c r="W471" s="33" t="s">
        <v>102</v>
      </c>
      <c r="X471" s="41" t="s">
        <v>100</v>
      </c>
      <c r="Y471" s="41" t="s">
        <v>101</v>
      </c>
      <c r="Z471" s="70" t="s">
        <v>375</v>
      </c>
    </row>
    <row r="472" spans="1:26" ht="15" customHeight="1" thickBot="1" x14ac:dyDescent="0.3">
      <c r="A472" s="295"/>
      <c r="B472" s="295"/>
      <c r="C472" s="159" t="str">
        <f>VLOOKUP(D459,$N$468:$AA$472,2,FALSE)</f>
        <v xml:space="preserve"> </v>
      </c>
      <c r="D472" s="169" t="e">
        <f>SUM(D470/D471)*100</f>
        <v>#VALUE!</v>
      </c>
      <c r="E472" s="154" t="s">
        <v>306</v>
      </c>
      <c r="H472" s="269"/>
      <c r="I472" s="281"/>
      <c r="J472" s="39" t="s">
        <v>128</v>
      </c>
      <c r="K472" s="40" t="s">
        <v>132</v>
      </c>
      <c r="N472" s="47" t="s">
        <v>312</v>
      </c>
      <c r="O472" s="63" t="s">
        <v>113</v>
      </c>
      <c r="P472" s="36" t="s">
        <v>129</v>
      </c>
      <c r="Q472" s="36" t="s">
        <v>130</v>
      </c>
      <c r="R472" s="36" t="s">
        <v>131</v>
      </c>
      <c r="S472" s="40" t="s">
        <v>132</v>
      </c>
      <c r="T472" s="50">
        <v>90</v>
      </c>
      <c r="U472" s="50">
        <v>60</v>
      </c>
      <c r="V472" s="50">
        <v>40</v>
      </c>
      <c r="W472" s="33" t="s">
        <v>110</v>
      </c>
      <c r="X472" s="41" t="s">
        <v>111</v>
      </c>
      <c r="Y472" s="41" t="s">
        <v>112</v>
      </c>
      <c r="Z472" s="70" t="s">
        <v>376</v>
      </c>
    </row>
    <row r="473" spans="1:26" ht="15" customHeight="1" x14ac:dyDescent="0.25">
      <c r="A473" s="268" t="s">
        <v>26</v>
      </c>
      <c r="B473" s="280" t="s">
        <v>374</v>
      </c>
      <c r="C473" s="91" t="s">
        <v>96</v>
      </c>
      <c r="D473" s="24" t="s">
        <v>296</v>
      </c>
      <c r="E473" s="154" t="s">
        <v>306</v>
      </c>
      <c r="H473" s="269"/>
      <c r="I473" s="281"/>
      <c r="J473" s="41" t="s">
        <v>105</v>
      </c>
      <c r="K473" s="42"/>
    </row>
    <row r="474" spans="1:26" ht="15" customHeight="1" x14ac:dyDescent="0.25">
      <c r="A474" s="269"/>
      <c r="B474" s="281"/>
      <c r="C474" s="92" t="s">
        <v>97</v>
      </c>
      <c r="D474" s="190" t="s">
        <v>303</v>
      </c>
      <c r="E474" s="154" t="s">
        <v>306</v>
      </c>
      <c r="H474" s="269"/>
      <c r="I474" s="281"/>
      <c r="J474" s="35" t="s">
        <v>22</v>
      </c>
      <c r="K474" s="50">
        <v>90</v>
      </c>
    </row>
    <row r="475" spans="1:26" ht="15" customHeight="1" x14ac:dyDescent="0.25">
      <c r="A475" s="269"/>
      <c r="B475" s="281"/>
      <c r="C475" s="72" t="s">
        <v>79</v>
      </c>
      <c r="D475" s="173" t="str">
        <f>C475</f>
        <v xml:space="preserve"> To receive the indicator rating, the criteria for the additional measure  of student engagement was:</v>
      </c>
      <c r="E475" s="154" t="s">
        <v>306</v>
      </c>
      <c r="H475" s="269"/>
      <c r="I475" s="281"/>
      <c r="J475" s="37" t="s">
        <v>23</v>
      </c>
      <c r="K475" s="50">
        <v>60</v>
      </c>
    </row>
    <row r="476" spans="1:26" ht="15" customHeight="1" x14ac:dyDescent="0.25">
      <c r="A476" s="269"/>
      <c r="B476" s="281"/>
      <c r="C476" s="35" t="s">
        <v>125</v>
      </c>
      <c r="D476" s="26" t="s">
        <v>118</v>
      </c>
      <c r="E476" s="154" t="s">
        <v>306</v>
      </c>
      <c r="H476" s="269"/>
      <c r="I476" s="281"/>
      <c r="J476" s="38" t="s">
        <v>24</v>
      </c>
      <c r="K476" s="50">
        <v>40</v>
      </c>
    </row>
    <row r="477" spans="1:26" ht="15" customHeight="1" x14ac:dyDescent="0.25">
      <c r="A477" s="269"/>
      <c r="B477" s="281"/>
      <c r="C477" s="37" t="s">
        <v>126</v>
      </c>
      <c r="D477" s="26" t="s">
        <v>119</v>
      </c>
      <c r="E477" s="154" t="s">
        <v>306</v>
      </c>
      <c r="H477" s="269"/>
      <c r="I477" s="281"/>
      <c r="J477" s="41" t="s">
        <v>106</v>
      </c>
      <c r="K477" s="42"/>
    </row>
    <row r="478" spans="1:26" ht="15" customHeight="1" x14ac:dyDescent="0.25">
      <c r="A478" s="269"/>
      <c r="B478" s="281"/>
      <c r="C478" s="38" t="s">
        <v>127</v>
      </c>
      <c r="D478" s="26" t="s">
        <v>120</v>
      </c>
      <c r="E478" s="154" t="s">
        <v>306</v>
      </c>
      <c r="H478" s="269"/>
      <c r="I478" s="281"/>
      <c r="J478" s="63" t="s">
        <v>107</v>
      </c>
      <c r="K478" s="58"/>
    </row>
    <row r="479" spans="1:26" ht="15" customHeight="1" thickBot="1" x14ac:dyDescent="0.3">
      <c r="A479" s="269"/>
      <c r="B479" s="281"/>
      <c r="C479" s="39" t="s">
        <v>128</v>
      </c>
      <c r="D479" s="191" t="s">
        <v>121</v>
      </c>
      <c r="E479" s="154" t="s">
        <v>306</v>
      </c>
      <c r="H479" s="270"/>
      <c r="I479" s="282"/>
      <c r="J479" s="64" t="s">
        <v>194</v>
      </c>
      <c r="K479" s="65"/>
    </row>
    <row r="480" spans="1:26" ht="15.75" thickBot="1" x14ac:dyDescent="0.3">
      <c r="A480" s="269"/>
      <c r="B480" s="281"/>
      <c r="C480" s="41" t="s">
        <v>80</v>
      </c>
      <c r="D480" s="173" t="str">
        <f>C480</f>
        <v>Cut-point values for additional measure  of student engagement were:</v>
      </c>
      <c r="E480" s="154" t="s">
        <v>306</v>
      </c>
      <c r="H480" s="53"/>
      <c r="I480" s="55"/>
      <c r="J480" s="56" t="s">
        <v>178</v>
      </c>
      <c r="K480" s="57" t="e">
        <f>IF(#REF!="YES","YES","NO")</f>
        <v>#REF!</v>
      </c>
    </row>
    <row r="481" spans="1:11" ht="15" x14ac:dyDescent="0.25">
      <c r="A481" s="269"/>
      <c r="B481" s="281"/>
      <c r="C481" s="35" t="s">
        <v>22</v>
      </c>
      <c r="D481" s="27" t="s">
        <v>122</v>
      </c>
      <c r="E481" s="154" t="s">
        <v>306</v>
      </c>
      <c r="H481" s="268" t="s">
        <v>26</v>
      </c>
      <c r="I481" s="280" t="s">
        <v>108</v>
      </c>
      <c r="J481" s="33" t="s">
        <v>102</v>
      </c>
      <c r="K481" s="34"/>
    </row>
    <row r="482" spans="1:11" ht="15" customHeight="1" x14ac:dyDescent="0.25">
      <c r="A482" s="269"/>
      <c r="B482" s="281"/>
      <c r="C482" s="37" t="s">
        <v>23</v>
      </c>
      <c r="D482" s="27" t="s">
        <v>123</v>
      </c>
      <c r="E482" s="154" t="s">
        <v>306</v>
      </c>
      <c r="H482" s="269"/>
      <c r="I482" s="281"/>
      <c r="J482" s="35" t="s">
        <v>125</v>
      </c>
      <c r="K482" s="36" t="s">
        <v>129</v>
      </c>
    </row>
    <row r="483" spans="1:11" ht="15" customHeight="1" x14ac:dyDescent="0.25">
      <c r="A483" s="269"/>
      <c r="B483" s="281"/>
      <c r="C483" s="38" t="s">
        <v>24</v>
      </c>
      <c r="D483" s="189" t="s">
        <v>124</v>
      </c>
      <c r="E483" s="154" t="s">
        <v>306</v>
      </c>
      <c r="H483" s="269"/>
      <c r="I483" s="281"/>
      <c r="J483" s="37" t="s">
        <v>126</v>
      </c>
      <c r="K483" s="36" t="s">
        <v>130</v>
      </c>
    </row>
    <row r="484" spans="1:11" ht="15" x14ac:dyDescent="0.25">
      <c r="A484" s="269"/>
      <c r="B484" s="281"/>
      <c r="C484" s="41" t="s">
        <v>81</v>
      </c>
      <c r="D484" s="173" t="str">
        <f>C484</f>
        <v>Your school's actual value for additional measure  of student engagement was:</v>
      </c>
      <c r="E484" s="154" t="s">
        <v>306</v>
      </c>
      <c r="H484" s="269"/>
      <c r="I484" s="281"/>
      <c r="J484" s="38" t="s">
        <v>127</v>
      </c>
      <c r="K484" s="36" t="s">
        <v>131</v>
      </c>
    </row>
    <row r="485" spans="1:11" ht="15" x14ac:dyDescent="0.25">
      <c r="A485" s="269"/>
      <c r="B485" s="281"/>
      <c r="C485" s="63" t="s">
        <v>372</v>
      </c>
      <c r="D485" s="28" t="s">
        <v>380</v>
      </c>
      <c r="E485" s="154" t="s">
        <v>306</v>
      </c>
      <c r="H485" s="269"/>
      <c r="I485" s="281"/>
      <c r="J485" s="39" t="s">
        <v>128</v>
      </c>
      <c r="K485" s="40" t="s">
        <v>132</v>
      </c>
    </row>
    <row r="486" spans="1:11" ht="15" x14ac:dyDescent="0.25">
      <c r="A486" s="269"/>
      <c r="B486" s="281"/>
      <c r="C486" s="159" t="s">
        <v>378</v>
      </c>
      <c r="D486" s="156" t="s">
        <v>394</v>
      </c>
      <c r="E486" s="154" t="s">
        <v>306</v>
      </c>
      <c r="H486" s="269"/>
      <c r="I486" s="281"/>
      <c r="J486" s="41" t="s">
        <v>100</v>
      </c>
      <c r="K486" s="42"/>
    </row>
    <row r="487" spans="1:11" ht="15.75" thickBot="1" x14ac:dyDescent="0.3">
      <c r="A487" s="270"/>
      <c r="B487" s="282"/>
      <c r="C487" s="64" t="s">
        <v>194</v>
      </c>
      <c r="D487" s="169" t="e">
        <f>SUM(D485/D486)*100</f>
        <v>#VALUE!</v>
      </c>
      <c r="E487" s="154" t="s">
        <v>306</v>
      </c>
      <c r="H487" s="269"/>
      <c r="I487" s="281"/>
      <c r="J487" s="35" t="s">
        <v>22</v>
      </c>
      <c r="K487" s="50">
        <v>90</v>
      </c>
    </row>
    <row r="488" spans="1:11" ht="15.75" thickBot="1" x14ac:dyDescent="0.3">
      <c r="A488" s="274" t="s">
        <v>314</v>
      </c>
      <c r="B488" s="296"/>
      <c r="C488" s="296"/>
      <c r="D488" s="297"/>
      <c r="E488" s="154" t="s">
        <v>306</v>
      </c>
      <c r="H488" s="269"/>
      <c r="I488" s="281"/>
      <c r="J488" s="37" t="s">
        <v>23</v>
      </c>
      <c r="K488" s="50">
        <v>60</v>
      </c>
    </row>
    <row r="489" spans="1:11" ht="19.5" thickBot="1" x14ac:dyDescent="0.35">
      <c r="A489" s="260" t="s">
        <v>94</v>
      </c>
      <c r="B489" s="261"/>
      <c r="C489" s="261"/>
      <c r="D489" s="262"/>
      <c r="E489" s="154" t="s">
        <v>306</v>
      </c>
      <c r="H489" s="269"/>
      <c r="I489" s="281"/>
      <c r="J489" s="38" t="s">
        <v>24</v>
      </c>
      <c r="K489" s="50">
        <v>40</v>
      </c>
    </row>
    <row r="490" spans="1:11" ht="15" x14ac:dyDescent="0.25">
      <c r="A490" s="298" t="s">
        <v>27</v>
      </c>
      <c r="B490" s="280" t="s">
        <v>338</v>
      </c>
      <c r="C490" s="33" t="s">
        <v>40</v>
      </c>
      <c r="D490" s="152" t="str">
        <f>C490</f>
        <v xml:space="preserve"> To receive the indicator rating, the AEC's completion rate was:</v>
      </c>
      <c r="E490" s="154" t="s">
        <v>306</v>
      </c>
      <c r="H490" s="269"/>
      <c r="I490" s="281"/>
      <c r="J490" s="41" t="s">
        <v>101</v>
      </c>
      <c r="K490" s="42"/>
    </row>
    <row r="491" spans="1:11" ht="15" x14ac:dyDescent="0.25">
      <c r="A491" s="299"/>
      <c r="B491" s="281"/>
      <c r="C491" s="35" t="s">
        <v>125</v>
      </c>
      <c r="D491" s="36" t="s">
        <v>18</v>
      </c>
      <c r="E491" s="154" t="s">
        <v>306</v>
      </c>
      <c r="H491" s="269"/>
      <c r="I491" s="281"/>
      <c r="J491" s="63" t="s">
        <v>109</v>
      </c>
      <c r="K491" s="58"/>
    </row>
    <row r="492" spans="1:11" ht="15.75" thickBot="1" x14ac:dyDescent="0.3">
      <c r="A492" s="299"/>
      <c r="B492" s="281"/>
      <c r="C492" s="37" t="s">
        <v>126</v>
      </c>
      <c r="D492" s="36" t="s">
        <v>19</v>
      </c>
      <c r="E492" s="154" t="s">
        <v>306</v>
      </c>
      <c r="H492" s="270"/>
      <c r="I492" s="282"/>
      <c r="J492" s="64" t="s">
        <v>194</v>
      </c>
      <c r="K492" s="65"/>
    </row>
    <row r="493" spans="1:11" ht="15" x14ac:dyDescent="0.25">
      <c r="A493" s="299"/>
      <c r="B493" s="281"/>
      <c r="C493" s="38" t="s">
        <v>127</v>
      </c>
      <c r="D493" s="36" t="s">
        <v>20</v>
      </c>
      <c r="E493" s="154" t="s">
        <v>306</v>
      </c>
      <c r="H493" s="53"/>
      <c r="I493" s="55"/>
      <c r="J493" s="56" t="s">
        <v>178</v>
      </c>
      <c r="K493" s="57" t="e">
        <f>IF(#REF!="YES","YES","NO")</f>
        <v>#REF!</v>
      </c>
    </row>
    <row r="494" spans="1:11" ht="15" x14ac:dyDescent="0.25">
      <c r="A494" s="299"/>
      <c r="B494" s="281"/>
      <c r="C494" s="39" t="s">
        <v>128</v>
      </c>
      <c r="D494" s="40" t="s">
        <v>21</v>
      </c>
      <c r="E494" s="154" t="s">
        <v>306</v>
      </c>
      <c r="H494" s="269"/>
      <c r="I494" s="281"/>
      <c r="J494" s="72" t="s">
        <v>79</v>
      </c>
      <c r="K494" s="73"/>
    </row>
    <row r="495" spans="1:11" ht="15" x14ac:dyDescent="0.25">
      <c r="A495" s="299"/>
      <c r="B495" s="281"/>
      <c r="C495" s="41" t="s">
        <v>41</v>
      </c>
      <c r="D495" s="173" t="str">
        <f>C495</f>
        <v>Cut-point values for completion rate were:</v>
      </c>
      <c r="E495" s="154" t="s">
        <v>306</v>
      </c>
      <c r="H495" s="269"/>
      <c r="I495" s="281"/>
      <c r="J495" s="35" t="s">
        <v>125</v>
      </c>
      <c r="K495" s="74" t="s">
        <v>118</v>
      </c>
    </row>
    <row r="496" spans="1:11" ht="15" x14ac:dyDescent="0.25">
      <c r="A496" s="299"/>
      <c r="B496" s="281"/>
      <c r="C496" s="35" t="s">
        <v>22</v>
      </c>
      <c r="D496" s="50">
        <v>70.900000000000006</v>
      </c>
      <c r="E496" s="154" t="s">
        <v>306</v>
      </c>
      <c r="H496" s="269"/>
      <c r="I496" s="281"/>
      <c r="J496" s="37" t="s">
        <v>126</v>
      </c>
      <c r="K496" s="74" t="s">
        <v>119</v>
      </c>
    </row>
    <row r="497" spans="1:11" ht="15" x14ac:dyDescent="0.25">
      <c r="A497" s="299"/>
      <c r="B497" s="281"/>
      <c r="C497" s="37" t="s">
        <v>23</v>
      </c>
      <c r="D497" s="50">
        <v>55.4</v>
      </c>
      <c r="E497" s="154" t="s">
        <v>306</v>
      </c>
      <c r="H497" s="269"/>
      <c r="I497" s="281"/>
      <c r="J497" s="38" t="s">
        <v>127</v>
      </c>
      <c r="K497" s="74" t="s">
        <v>120</v>
      </c>
    </row>
    <row r="498" spans="1:11" ht="15" x14ac:dyDescent="0.25">
      <c r="A498" s="299"/>
      <c r="B498" s="281"/>
      <c r="C498" s="38" t="s">
        <v>24</v>
      </c>
      <c r="D498" s="194">
        <v>44.2</v>
      </c>
      <c r="E498" s="154" t="s">
        <v>306</v>
      </c>
      <c r="H498" s="269"/>
      <c r="I498" s="281"/>
      <c r="J498" s="39" t="s">
        <v>128</v>
      </c>
      <c r="K498" s="74" t="s">
        <v>121</v>
      </c>
    </row>
    <row r="499" spans="1:11" ht="15" x14ac:dyDescent="0.25">
      <c r="A499" s="299"/>
      <c r="B499" s="281"/>
      <c r="C499" s="41" t="s">
        <v>49</v>
      </c>
      <c r="D499" s="173" t="str">
        <f>C499</f>
        <v>Your school's reported completion rate was:</v>
      </c>
      <c r="E499" s="154" t="s">
        <v>306</v>
      </c>
      <c r="H499" s="269"/>
      <c r="I499" s="281"/>
      <c r="J499" s="41" t="s">
        <v>80</v>
      </c>
      <c r="K499" s="42"/>
    </row>
    <row r="500" spans="1:11" ht="15" x14ac:dyDescent="0.25">
      <c r="A500" s="299"/>
      <c r="B500" s="281"/>
      <c r="C500" s="63" t="s">
        <v>42</v>
      </c>
      <c r="D500" s="45" t="s">
        <v>395</v>
      </c>
      <c r="E500" s="154" t="s">
        <v>306</v>
      </c>
      <c r="H500" s="269"/>
      <c r="I500" s="281"/>
      <c r="J500" s="35" t="s">
        <v>22</v>
      </c>
      <c r="K500" s="50" t="s">
        <v>122</v>
      </c>
    </row>
    <row r="501" spans="1:11" ht="15.75" thickBot="1" x14ac:dyDescent="0.3">
      <c r="A501" s="300"/>
      <c r="B501" s="282"/>
      <c r="C501" s="64" t="s">
        <v>194</v>
      </c>
      <c r="D501" s="45" t="s">
        <v>395</v>
      </c>
      <c r="E501" s="154" t="s">
        <v>306</v>
      </c>
      <c r="H501" s="269"/>
      <c r="I501" s="281"/>
      <c r="J501" s="37" t="s">
        <v>23</v>
      </c>
      <c r="K501" s="50" t="s">
        <v>123</v>
      </c>
    </row>
    <row r="502" spans="1:11" ht="15" x14ac:dyDescent="0.25">
      <c r="A502" s="298" t="s">
        <v>27</v>
      </c>
      <c r="B502" s="280" t="s">
        <v>339</v>
      </c>
      <c r="C502" s="33" t="s">
        <v>43</v>
      </c>
      <c r="D502" s="152" t="str">
        <f>C502</f>
        <v xml:space="preserve"> To receive the indicator rating, the AEC's average dropout rate over three years was:</v>
      </c>
      <c r="E502" s="154" t="s">
        <v>306</v>
      </c>
      <c r="H502" s="269"/>
      <c r="I502" s="281"/>
      <c r="J502" s="38" t="s">
        <v>24</v>
      </c>
      <c r="K502" s="50" t="s">
        <v>124</v>
      </c>
    </row>
    <row r="503" spans="1:11" ht="15" x14ac:dyDescent="0.25">
      <c r="A503" s="299"/>
      <c r="B503" s="281"/>
      <c r="C503" s="35" t="s">
        <v>125</v>
      </c>
      <c r="D503" s="36" t="s">
        <v>18</v>
      </c>
      <c r="E503" s="154" t="s">
        <v>306</v>
      </c>
      <c r="H503" s="269"/>
      <c r="I503" s="281"/>
      <c r="J503" s="41" t="s">
        <v>81</v>
      </c>
      <c r="K503" s="42"/>
    </row>
    <row r="504" spans="1:11" ht="15" x14ac:dyDescent="0.25">
      <c r="A504" s="299"/>
      <c r="B504" s="281"/>
      <c r="C504" s="37" t="s">
        <v>126</v>
      </c>
      <c r="D504" s="36" t="s">
        <v>19</v>
      </c>
      <c r="E504" s="154" t="s">
        <v>306</v>
      </c>
      <c r="H504" s="269"/>
      <c r="I504" s="281"/>
      <c r="J504" s="63" t="s">
        <v>99</v>
      </c>
      <c r="K504" s="58" t="s">
        <v>98</v>
      </c>
    </row>
    <row r="505" spans="1:11" ht="15.75" thickBot="1" x14ac:dyDescent="0.3">
      <c r="A505" s="299"/>
      <c r="B505" s="281"/>
      <c r="C505" s="38" t="s">
        <v>127</v>
      </c>
      <c r="D505" s="36" t="s">
        <v>20</v>
      </c>
      <c r="E505" s="154" t="s">
        <v>306</v>
      </c>
      <c r="H505" s="270"/>
      <c r="I505" s="282"/>
      <c r="J505" s="64" t="s">
        <v>194</v>
      </c>
      <c r="K505" s="65" t="s">
        <v>195</v>
      </c>
    </row>
    <row r="506" spans="1:11" ht="15" x14ac:dyDescent="0.25">
      <c r="A506" s="299"/>
      <c r="B506" s="281"/>
      <c r="C506" s="39" t="s">
        <v>128</v>
      </c>
      <c r="D506" s="40" t="s">
        <v>21</v>
      </c>
      <c r="E506" s="154" t="s">
        <v>306</v>
      </c>
    </row>
    <row r="507" spans="1:11" ht="15" x14ac:dyDescent="0.25">
      <c r="A507" s="299"/>
      <c r="B507" s="281"/>
      <c r="C507" s="41" t="s">
        <v>47</v>
      </c>
      <c r="D507" s="173" t="str">
        <f>C507</f>
        <v>Cut-point values for average dropout rate over three years were:</v>
      </c>
      <c r="E507" s="154" t="s">
        <v>306</v>
      </c>
    </row>
    <row r="508" spans="1:11" ht="15" x14ac:dyDescent="0.25">
      <c r="A508" s="299"/>
      <c r="B508" s="281"/>
      <c r="C508" s="35" t="s">
        <v>22</v>
      </c>
      <c r="D508" s="50">
        <v>4.5599999999999996</v>
      </c>
      <c r="E508" s="154" t="s">
        <v>306</v>
      </c>
    </row>
    <row r="509" spans="1:11" ht="15" x14ac:dyDescent="0.25">
      <c r="A509" s="299"/>
      <c r="B509" s="281"/>
      <c r="C509" s="37" t="s">
        <v>23</v>
      </c>
      <c r="D509" s="50">
        <v>11.4</v>
      </c>
      <c r="E509" s="154" t="s">
        <v>306</v>
      </c>
    </row>
    <row r="510" spans="1:11" ht="15" x14ac:dyDescent="0.25">
      <c r="A510" s="299"/>
      <c r="B510" s="281"/>
      <c r="C510" s="38" t="s">
        <v>24</v>
      </c>
      <c r="D510" s="194">
        <v>17.7</v>
      </c>
      <c r="E510" s="154" t="s">
        <v>306</v>
      </c>
    </row>
    <row r="511" spans="1:11" ht="15" x14ac:dyDescent="0.25">
      <c r="A511" s="299"/>
      <c r="B511" s="281"/>
      <c r="C511" s="41" t="s">
        <v>48</v>
      </c>
      <c r="D511" s="173" t="str">
        <f>C511</f>
        <v>Your school's reported average dropout rate over three years rate was:</v>
      </c>
      <c r="E511" s="154" t="s">
        <v>306</v>
      </c>
    </row>
    <row r="512" spans="1:11" ht="15" x14ac:dyDescent="0.25">
      <c r="A512" s="299"/>
      <c r="B512" s="281"/>
      <c r="C512" s="63" t="s">
        <v>44</v>
      </c>
      <c r="D512" s="45" t="s">
        <v>395</v>
      </c>
      <c r="E512" s="154" t="s">
        <v>306</v>
      </c>
    </row>
    <row r="513" spans="1:5" ht="15.75" thickBot="1" x14ac:dyDescent="0.3">
      <c r="A513" s="300"/>
      <c r="B513" s="282"/>
      <c r="C513" s="64" t="s">
        <v>194</v>
      </c>
      <c r="D513" s="45" t="s">
        <v>395</v>
      </c>
      <c r="E513" s="154" t="s">
        <v>306</v>
      </c>
    </row>
    <row r="514" spans="1:5" ht="15" x14ac:dyDescent="0.25">
      <c r="A514" s="298" t="s">
        <v>27</v>
      </c>
      <c r="B514" s="280" t="s">
        <v>340</v>
      </c>
      <c r="C514" s="33" t="s">
        <v>51</v>
      </c>
      <c r="D514" s="152" t="str">
        <f>C514</f>
        <v xml:space="preserve"> To receive the indicator rating, the AEC's average Colorado ACT composite score was:</v>
      </c>
      <c r="E514" s="154" t="s">
        <v>306</v>
      </c>
    </row>
    <row r="515" spans="1:5" ht="15" customHeight="1" x14ac:dyDescent="0.25">
      <c r="A515" s="299"/>
      <c r="B515" s="281"/>
      <c r="C515" s="35" t="s">
        <v>125</v>
      </c>
      <c r="D515" s="36" t="s">
        <v>18</v>
      </c>
      <c r="E515" s="154" t="s">
        <v>306</v>
      </c>
    </row>
    <row r="516" spans="1:5" ht="15" customHeight="1" x14ac:dyDescent="0.25">
      <c r="A516" s="299"/>
      <c r="B516" s="281"/>
      <c r="C516" s="37" t="s">
        <v>126</v>
      </c>
      <c r="D516" s="36" t="s">
        <v>19</v>
      </c>
      <c r="E516" s="154" t="s">
        <v>306</v>
      </c>
    </row>
    <row r="517" spans="1:5" ht="15" customHeight="1" x14ac:dyDescent="0.25">
      <c r="A517" s="299"/>
      <c r="B517" s="281"/>
      <c r="C517" s="38" t="s">
        <v>127</v>
      </c>
      <c r="D517" s="36" t="s">
        <v>20</v>
      </c>
      <c r="E517" s="154" t="s">
        <v>306</v>
      </c>
    </row>
    <row r="518" spans="1:5" ht="15" x14ac:dyDescent="0.25">
      <c r="A518" s="299"/>
      <c r="B518" s="281"/>
      <c r="C518" s="39" t="s">
        <v>128</v>
      </c>
      <c r="D518" s="40" t="s">
        <v>21</v>
      </c>
      <c r="E518" s="154" t="s">
        <v>306</v>
      </c>
    </row>
    <row r="519" spans="1:5" ht="15" customHeight="1" x14ac:dyDescent="0.25">
      <c r="A519" s="299"/>
      <c r="B519" s="281"/>
      <c r="C519" s="41" t="s">
        <v>52</v>
      </c>
      <c r="D519" s="173" t="str">
        <f>C519</f>
        <v>Cut-point values for average Colorado ACT composite score were:</v>
      </c>
      <c r="E519" s="154" t="s">
        <v>306</v>
      </c>
    </row>
    <row r="520" spans="1:5" ht="15" customHeight="1" x14ac:dyDescent="0.25">
      <c r="A520" s="299"/>
      <c r="B520" s="281"/>
      <c r="C520" s="35" t="s">
        <v>22</v>
      </c>
      <c r="D520" s="50">
        <v>16.600000000000001</v>
      </c>
      <c r="E520" s="154" t="s">
        <v>306</v>
      </c>
    </row>
    <row r="521" spans="1:5" ht="15" x14ac:dyDescent="0.25">
      <c r="A521" s="299"/>
      <c r="B521" s="281"/>
      <c r="C521" s="37" t="s">
        <v>23</v>
      </c>
      <c r="D521" s="50">
        <v>15.5</v>
      </c>
      <c r="E521" s="154" t="s">
        <v>306</v>
      </c>
    </row>
    <row r="522" spans="1:5" ht="15" x14ac:dyDescent="0.25">
      <c r="A522" s="299"/>
      <c r="B522" s="281"/>
      <c r="C522" s="38" t="s">
        <v>24</v>
      </c>
      <c r="D522" s="194">
        <v>14.9</v>
      </c>
      <c r="E522" s="154" t="s">
        <v>306</v>
      </c>
    </row>
    <row r="523" spans="1:5" ht="15" customHeight="1" x14ac:dyDescent="0.25">
      <c r="A523" s="299"/>
      <c r="B523" s="281"/>
      <c r="C523" s="41" t="s">
        <v>53</v>
      </c>
      <c r="D523" s="173" t="str">
        <f>C523</f>
        <v>Your school's actual average Colorado ACT composite score was:</v>
      </c>
      <c r="E523" s="154" t="s">
        <v>306</v>
      </c>
    </row>
    <row r="524" spans="1:5" ht="15" x14ac:dyDescent="0.25">
      <c r="A524" s="299"/>
      <c r="B524" s="281"/>
      <c r="C524" s="63" t="s">
        <v>54</v>
      </c>
      <c r="D524" s="45" t="s">
        <v>395</v>
      </c>
      <c r="E524" s="154" t="s">
        <v>306</v>
      </c>
    </row>
    <row r="525" spans="1:5" ht="15.75" thickBot="1" x14ac:dyDescent="0.3">
      <c r="A525" s="300"/>
      <c r="B525" s="282"/>
      <c r="C525" s="64" t="s">
        <v>194</v>
      </c>
      <c r="D525" s="45" t="s">
        <v>395</v>
      </c>
      <c r="E525" s="154" t="s">
        <v>306</v>
      </c>
    </row>
    <row r="526" spans="1:5" ht="15" customHeight="1" x14ac:dyDescent="0.25">
      <c r="A526" s="277" t="s">
        <v>26</v>
      </c>
      <c r="B526" s="280" t="s">
        <v>325</v>
      </c>
      <c r="C526" s="87" t="s">
        <v>96</v>
      </c>
      <c r="D526" s="24" t="s">
        <v>305</v>
      </c>
      <c r="E526" s="154" t="s">
        <v>306</v>
      </c>
    </row>
    <row r="527" spans="1:5" ht="15" customHeight="1" x14ac:dyDescent="0.25">
      <c r="A527" s="294"/>
      <c r="B527" s="294"/>
      <c r="C527" s="88" t="str">
        <f>VLOOKUP(D526,$N$410:$Y$415,10,FALSE)</f>
        <v xml:space="preserve"> </v>
      </c>
      <c r="D527" s="153" t="str">
        <f>C527</f>
        <v xml:space="preserve"> </v>
      </c>
      <c r="E527" s="154" t="s">
        <v>306</v>
      </c>
    </row>
    <row r="528" spans="1:5" ht="15" customHeight="1" x14ac:dyDescent="0.25">
      <c r="A528" s="294"/>
      <c r="B528" s="294"/>
      <c r="C528" s="35" t="s">
        <v>125</v>
      </c>
      <c r="D528" s="74" t="str">
        <f>VLOOKUP(D526,$N$410:$Y$415,3,FALSE)</f>
        <v xml:space="preserve"> </v>
      </c>
      <c r="E528" s="154" t="s">
        <v>306</v>
      </c>
    </row>
    <row r="529" spans="1:5" ht="15" x14ac:dyDescent="0.25">
      <c r="A529" s="294"/>
      <c r="B529" s="294"/>
      <c r="C529" s="37" t="s">
        <v>126</v>
      </c>
      <c r="D529" s="74" t="str">
        <f>VLOOKUP(D526,$N$410:$Y$415,4,FALSE)</f>
        <v xml:space="preserve"> </v>
      </c>
      <c r="E529" s="154" t="s">
        <v>306</v>
      </c>
    </row>
    <row r="530" spans="1:5" ht="15" x14ac:dyDescent="0.25">
      <c r="A530" s="294"/>
      <c r="B530" s="294"/>
      <c r="C530" s="38" t="s">
        <v>127</v>
      </c>
      <c r="D530" s="74" t="str">
        <f>VLOOKUP(D526,$N$410:$Y$415,5,FALSE)</f>
        <v xml:space="preserve"> </v>
      </c>
      <c r="E530" s="154" t="s">
        <v>306</v>
      </c>
    </row>
    <row r="531" spans="1:5" ht="15" customHeight="1" x14ac:dyDescent="0.25">
      <c r="A531" s="294"/>
      <c r="B531" s="294"/>
      <c r="C531" s="39" t="s">
        <v>128</v>
      </c>
      <c r="D531" s="74" t="str">
        <f>VLOOKUP(D526,$N$410:$Y$415,6,FALSE)</f>
        <v xml:space="preserve"> </v>
      </c>
      <c r="E531" s="154" t="s">
        <v>306</v>
      </c>
    </row>
    <row r="532" spans="1:5" ht="15" x14ac:dyDescent="0.25">
      <c r="A532" s="294"/>
      <c r="B532" s="294"/>
      <c r="C532" s="88" t="str">
        <f>VLOOKUP(D526,$N$410:$Y$415,11,FALSE)</f>
        <v xml:space="preserve"> </v>
      </c>
      <c r="D532" s="153" t="str">
        <f>C532</f>
        <v xml:space="preserve"> </v>
      </c>
      <c r="E532" s="154" t="s">
        <v>306</v>
      </c>
    </row>
    <row r="533" spans="1:5" ht="15" x14ac:dyDescent="0.25">
      <c r="A533" s="294"/>
      <c r="B533" s="294"/>
      <c r="C533" s="35" t="s">
        <v>22</v>
      </c>
      <c r="D533" s="50" t="str">
        <f>VLOOKUP(D526,$N$410:$Y$415,7,FALSE)</f>
        <v xml:space="preserve"> </v>
      </c>
      <c r="E533" s="154" t="s">
        <v>306</v>
      </c>
    </row>
    <row r="534" spans="1:5" ht="15" x14ac:dyDescent="0.25">
      <c r="A534" s="294"/>
      <c r="B534" s="294"/>
      <c r="C534" s="37" t="s">
        <v>23</v>
      </c>
      <c r="D534" s="50" t="str">
        <f>VLOOKUP(D526,$N$410:$Y$415,8,FALSE)</f>
        <v xml:space="preserve"> </v>
      </c>
      <c r="E534" s="154" t="s">
        <v>306</v>
      </c>
    </row>
    <row r="535" spans="1:5" ht="15" x14ac:dyDescent="0.25">
      <c r="A535" s="294"/>
      <c r="B535" s="294"/>
      <c r="C535" s="195" t="s">
        <v>24</v>
      </c>
      <c r="D535" s="50" t="str">
        <f>VLOOKUP(D526,$N$410:$Y$415,9,FALSE)</f>
        <v xml:space="preserve"> </v>
      </c>
      <c r="E535" s="154" t="s">
        <v>306</v>
      </c>
    </row>
    <row r="536" spans="1:5" ht="15" x14ac:dyDescent="0.25">
      <c r="A536" s="294"/>
      <c r="B536" s="294"/>
      <c r="C536" s="94" t="str">
        <f>VLOOKUP(D526,$N$410:$Y$415,12,FALSE)</f>
        <v xml:space="preserve"> </v>
      </c>
      <c r="D536" s="153" t="str">
        <f>C536</f>
        <v xml:space="preserve"> </v>
      </c>
      <c r="E536" s="154" t="s">
        <v>306</v>
      </c>
    </row>
    <row r="537" spans="1:5" ht="15" x14ac:dyDescent="0.25">
      <c r="A537" s="294"/>
      <c r="B537" s="294"/>
      <c r="C537" s="89" t="str">
        <f>VLOOKUP(D526,$N$410:$Z$415,13,FALSE)</f>
        <v xml:space="preserve"> </v>
      </c>
      <c r="D537" s="156" t="s">
        <v>380</v>
      </c>
      <c r="E537" s="154" t="s">
        <v>306</v>
      </c>
    </row>
    <row r="538" spans="1:5" ht="15" x14ac:dyDescent="0.25">
      <c r="A538" s="294"/>
      <c r="B538" s="294"/>
      <c r="C538" s="159" t="s">
        <v>378</v>
      </c>
      <c r="D538" s="156" t="s">
        <v>394</v>
      </c>
      <c r="E538" s="154" t="s">
        <v>306</v>
      </c>
    </row>
    <row r="539" spans="1:5" ht="15.75" thickBot="1" x14ac:dyDescent="0.3">
      <c r="A539" s="295"/>
      <c r="B539" s="295"/>
      <c r="C539" s="64" t="str">
        <f>VLOOKUP(D526,$N$410:$Z$415,2,FALSE)</f>
        <v xml:space="preserve"> </v>
      </c>
      <c r="D539" s="169" t="e">
        <f>SUM(D537/D538)*100</f>
        <v>#VALUE!</v>
      </c>
      <c r="E539" s="154" t="s">
        <v>306</v>
      </c>
    </row>
    <row r="540" spans="1:5" ht="15" customHeight="1" x14ac:dyDescent="0.25">
      <c r="A540" s="277" t="s">
        <v>26</v>
      </c>
      <c r="B540" s="280" t="s">
        <v>324</v>
      </c>
      <c r="C540" s="87" t="s">
        <v>96</v>
      </c>
      <c r="D540" s="24" t="s">
        <v>305</v>
      </c>
      <c r="E540" s="154" t="s">
        <v>306</v>
      </c>
    </row>
    <row r="541" spans="1:5" ht="15" customHeight="1" x14ac:dyDescent="0.25">
      <c r="A541" s="294"/>
      <c r="B541" s="294"/>
      <c r="C541" s="88" t="str">
        <f>VLOOKUP(D540,$N$410:$Y$415,10,FALSE)</f>
        <v xml:space="preserve"> </v>
      </c>
      <c r="D541" s="153" t="str">
        <f>C541</f>
        <v xml:space="preserve"> </v>
      </c>
      <c r="E541" s="154" t="s">
        <v>306</v>
      </c>
    </row>
    <row r="542" spans="1:5" ht="15" customHeight="1" x14ac:dyDescent="0.25">
      <c r="A542" s="294"/>
      <c r="B542" s="294"/>
      <c r="C542" s="35" t="s">
        <v>125</v>
      </c>
      <c r="D542" s="74" t="str">
        <f>VLOOKUP(D540,$N$410:$Y$415,3,FALSE)</f>
        <v xml:space="preserve"> </v>
      </c>
      <c r="E542" s="154" t="s">
        <v>306</v>
      </c>
    </row>
    <row r="543" spans="1:5" ht="15" customHeight="1" x14ac:dyDescent="0.25">
      <c r="A543" s="294"/>
      <c r="B543" s="294"/>
      <c r="C543" s="37" t="s">
        <v>126</v>
      </c>
      <c r="D543" s="74" t="str">
        <f>VLOOKUP(D540,$N$410:$Y$415,4,FALSE)</f>
        <v xml:space="preserve"> </v>
      </c>
      <c r="E543" s="154" t="s">
        <v>306</v>
      </c>
    </row>
    <row r="544" spans="1:5" ht="15" customHeight="1" x14ac:dyDescent="0.25">
      <c r="A544" s="294"/>
      <c r="B544" s="294"/>
      <c r="C544" s="38" t="s">
        <v>127</v>
      </c>
      <c r="D544" s="74" t="str">
        <f>VLOOKUP(D540,$N$410:$Y$415,5,FALSE)</f>
        <v xml:space="preserve"> </v>
      </c>
      <c r="E544" s="154" t="s">
        <v>306</v>
      </c>
    </row>
    <row r="545" spans="1:5" ht="15" x14ac:dyDescent="0.25">
      <c r="A545" s="294"/>
      <c r="B545" s="294"/>
      <c r="C545" s="39" t="s">
        <v>128</v>
      </c>
      <c r="D545" s="74" t="str">
        <f>VLOOKUP(D540,$N$410:$Y$415,6,FALSE)</f>
        <v xml:space="preserve"> </v>
      </c>
      <c r="E545" s="154" t="s">
        <v>306</v>
      </c>
    </row>
    <row r="546" spans="1:5" ht="15" x14ac:dyDescent="0.25">
      <c r="A546" s="294"/>
      <c r="B546" s="294"/>
      <c r="C546" s="88" t="str">
        <f>VLOOKUP(D540,$N$410:$Y$415,11,FALSE)</f>
        <v xml:space="preserve"> </v>
      </c>
      <c r="D546" s="153" t="str">
        <f>C546</f>
        <v xml:space="preserve"> </v>
      </c>
      <c r="E546" s="154" t="s">
        <v>306</v>
      </c>
    </row>
    <row r="547" spans="1:5" ht="15" x14ac:dyDescent="0.25">
      <c r="A547" s="294"/>
      <c r="B547" s="294"/>
      <c r="C547" s="35" t="s">
        <v>22</v>
      </c>
      <c r="D547" s="50" t="str">
        <f>VLOOKUP(D540,$N$410:$Y$415,7,FALSE)</f>
        <v xml:space="preserve"> </v>
      </c>
      <c r="E547" s="154" t="s">
        <v>306</v>
      </c>
    </row>
    <row r="548" spans="1:5" ht="15" x14ac:dyDescent="0.25">
      <c r="A548" s="294"/>
      <c r="B548" s="294"/>
      <c r="C548" s="37" t="s">
        <v>23</v>
      </c>
      <c r="D548" s="50" t="str">
        <f>VLOOKUP(D540,$N$410:$Y$415,8,FALSE)</f>
        <v xml:space="preserve"> </v>
      </c>
      <c r="E548" s="154" t="s">
        <v>306</v>
      </c>
    </row>
    <row r="549" spans="1:5" ht="15" x14ac:dyDescent="0.25">
      <c r="A549" s="294"/>
      <c r="B549" s="294"/>
      <c r="C549" s="195" t="s">
        <v>24</v>
      </c>
      <c r="D549" s="50" t="str">
        <f>VLOOKUP(D540,$N$410:$Y$415,9,FALSE)</f>
        <v xml:space="preserve"> </v>
      </c>
      <c r="E549" s="154" t="s">
        <v>306</v>
      </c>
    </row>
    <row r="550" spans="1:5" ht="15" x14ac:dyDescent="0.25">
      <c r="A550" s="294"/>
      <c r="B550" s="294"/>
      <c r="C550" s="94" t="str">
        <f>VLOOKUP(D540,$N$410:$Y$415,12,FALSE)</f>
        <v xml:space="preserve"> </v>
      </c>
      <c r="D550" s="153" t="str">
        <f>C550</f>
        <v xml:space="preserve"> </v>
      </c>
      <c r="E550" s="154" t="s">
        <v>306</v>
      </c>
    </row>
    <row r="551" spans="1:5" ht="15" x14ac:dyDescent="0.25">
      <c r="A551" s="294"/>
      <c r="B551" s="294"/>
      <c r="C551" s="89" t="str">
        <f>VLOOKUP(D540,$N$410:$Z$415,13,FALSE)</f>
        <v xml:space="preserve"> </v>
      </c>
      <c r="D551" s="156" t="s">
        <v>380</v>
      </c>
      <c r="E551" s="154" t="s">
        <v>306</v>
      </c>
    </row>
    <row r="552" spans="1:5" ht="15" x14ac:dyDescent="0.25">
      <c r="A552" s="294"/>
      <c r="B552" s="294"/>
      <c r="C552" s="159" t="s">
        <v>378</v>
      </c>
      <c r="D552" s="156" t="s">
        <v>394</v>
      </c>
      <c r="E552" s="154" t="s">
        <v>306</v>
      </c>
    </row>
    <row r="553" spans="1:5" ht="15.75" thickBot="1" x14ac:dyDescent="0.3">
      <c r="A553" s="295"/>
      <c r="B553" s="295"/>
      <c r="C553" s="90" t="str">
        <f>VLOOKUP(D540,$N$410:$Z$415,2,FALSE)</f>
        <v xml:space="preserve"> </v>
      </c>
      <c r="D553" s="169" t="e">
        <f>SUM(D551/D552)*100</f>
        <v>#VALUE!</v>
      </c>
      <c r="E553" s="154" t="s">
        <v>306</v>
      </c>
    </row>
    <row r="554" spans="1:5" ht="15" x14ac:dyDescent="0.25">
      <c r="A554" s="277" t="s">
        <v>26</v>
      </c>
      <c r="B554" s="280" t="s">
        <v>323</v>
      </c>
      <c r="C554" s="87" t="s">
        <v>96</v>
      </c>
      <c r="D554" s="24" t="s">
        <v>305</v>
      </c>
      <c r="E554" s="154" t="s">
        <v>306</v>
      </c>
    </row>
    <row r="555" spans="1:5" ht="15" x14ac:dyDescent="0.25">
      <c r="A555" s="294"/>
      <c r="B555" s="294"/>
      <c r="C555" s="88" t="str">
        <f>VLOOKUP(D554,$N$410:$Y$415,10,FALSE)</f>
        <v xml:space="preserve"> </v>
      </c>
      <c r="D555" s="42" t="str">
        <f>C555</f>
        <v xml:space="preserve"> </v>
      </c>
      <c r="E555" s="154" t="s">
        <v>306</v>
      </c>
    </row>
    <row r="556" spans="1:5" ht="15" customHeight="1" x14ac:dyDescent="0.25">
      <c r="A556" s="294"/>
      <c r="B556" s="294"/>
      <c r="C556" s="35" t="s">
        <v>125</v>
      </c>
      <c r="D556" s="74" t="str">
        <f>VLOOKUP(D554,$N$410:$Y$415,3,FALSE)</f>
        <v xml:space="preserve"> </v>
      </c>
      <c r="E556" s="154" t="s">
        <v>306</v>
      </c>
    </row>
    <row r="557" spans="1:5" ht="15" customHeight="1" x14ac:dyDescent="0.25">
      <c r="A557" s="294"/>
      <c r="B557" s="294"/>
      <c r="C557" s="37" t="s">
        <v>126</v>
      </c>
      <c r="D557" s="74" t="str">
        <f>VLOOKUP(D554,$N$410:$Y$415,4,FALSE)</f>
        <v xml:space="preserve"> </v>
      </c>
      <c r="E557" s="154" t="s">
        <v>306</v>
      </c>
    </row>
    <row r="558" spans="1:5" ht="15" customHeight="1" x14ac:dyDescent="0.25">
      <c r="A558" s="294"/>
      <c r="B558" s="294"/>
      <c r="C558" s="38" t="s">
        <v>127</v>
      </c>
      <c r="D558" s="74" t="str">
        <f>VLOOKUP(D554,$N$410:$Y$415,5,FALSE)</f>
        <v xml:space="preserve"> </v>
      </c>
      <c r="E558" s="154" t="s">
        <v>306</v>
      </c>
    </row>
    <row r="559" spans="1:5" ht="15" customHeight="1" x14ac:dyDescent="0.25">
      <c r="A559" s="294"/>
      <c r="B559" s="294"/>
      <c r="C559" s="39" t="s">
        <v>128</v>
      </c>
      <c r="D559" s="74" t="str">
        <f>VLOOKUP(D554,$N$410:$Y$415,6,FALSE)</f>
        <v xml:space="preserve"> </v>
      </c>
      <c r="E559" s="154" t="s">
        <v>306</v>
      </c>
    </row>
    <row r="560" spans="1:5" ht="15" customHeight="1" x14ac:dyDescent="0.25">
      <c r="A560" s="294"/>
      <c r="B560" s="294"/>
      <c r="C560" s="88" t="str">
        <f>VLOOKUP(D554,$N$410:$Y$415,11,FALSE)</f>
        <v xml:space="preserve"> </v>
      </c>
      <c r="D560" s="42" t="str">
        <f>C560</f>
        <v xml:space="preserve"> </v>
      </c>
      <c r="E560" s="154" t="s">
        <v>306</v>
      </c>
    </row>
    <row r="561" spans="1:5" ht="15" x14ac:dyDescent="0.25">
      <c r="A561" s="294"/>
      <c r="B561" s="294"/>
      <c r="C561" s="35" t="s">
        <v>22</v>
      </c>
      <c r="D561" s="50" t="str">
        <f>VLOOKUP(D554,$N$410:$Y$415,7,FALSE)</f>
        <v xml:space="preserve"> </v>
      </c>
      <c r="E561" s="154" t="s">
        <v>306</v>
      </c>
    </row>
    <row r="562" spans="1:5" ht="15" x14ac:dyDescent="0.25">
      <c r="A562" s="294"/>
      <c r="B562" s="294"/>
      <c r="C562" s="37" t="s">
        <v>23</v>
      </c>
      <c r="D562" s="50" t="str">
        <f>VLOOKUP(D554,$N$410:$Y$415,8,FALSE)</f>
        <v xml:space="preserve"> </v>
      </c>
      <c r="E562" s="154" t="s">
        <v>306</v>
      </c>
    </row>
    <row r="563" spans="1:5" ht="15" x14ac:dyDescent="0.25">
      <c r="A563" s="294"/>
      <c r="B563" s="294"/>
      <c r="C563" s="195" t="s">
        <v>24</v>
      </c>
      <c r="D563" s="50" t="str">
        <f>VLOOKUP(D554,$N$410:$Y$415,9,FALSE)</f>
        <v xml:space="preserve"> </v>
      </c>
      <c r="E563" s="154" t="s">
        <v>306</v>
      </c>
    </row>
    <row r="564" spans="1:5" ht="15" x14ac:dyDescent="0.25">
      <c r="A564" s="294"/>
      <c r="B564" s="294"/>
      <c r="C564" s="94" t="str">
        <f>VLOOKUP(D554,$N$410:$Y$415,12,FALSE)</f>
        <v xml:space="preserve"> </v>
      </c>
      <c r="D564" s="153" t="str">
        <f>C564</f>
        <v xml:space="preserve"> </v>
      </c>
      <c r="E564" s="154" t="s">
        <v>306</v>
      </c>
    </row>
    <row r="565" spans="1:5" ht="15" x14ac:dyDescent="0.25">
      <c r="A565" s="294"/>
      <c r="B565" s="294"/>
      <c r="C565" s="89" t="str">
        <f>VLOOKUP(D554,$N$410:$Z$415,13,FALSE)</f>
        <v xml:space="preserve"> </v>
      </c>
      <c r="D565" s="156" t="s">
        <v>380</v>
      </c>
      <c r="E565" s="154" t="s">
        <v>306</v>
      </c>
    </row>
    <row r="566" spans="1:5" ht="15" x14ac:dyDescent="0.25">
      <c r="A566" s="294"/>
      <c r="B566" s="294"/>
      <c r="C566" s="159" t="s">
        <v>378</v>
      </c>
      <c r="D566" s="156" t="s">
        <v>394</v>
      </c>
      <c r="E566" s="154" t="s">
        <v>306</v>
      </c>
    </row>
    <row r="567" spans="1:5" ht="15.75" thickBot="1" x14ac:dyDescent="0.3">
      <c r="A567" s="295"/>
      <c r="B567" s="295"/>
      <c r="C567" s="90"/>
      <c r="D567" s="169" t="e">
        <f>SUM(D565/D566)*100</f>
        <v>#VALUE!</v>
      </c>
      <c r="E567" s="154" t="s">
        <v>306</v>
      </c>
    </row>
    <row r="568" spans="1:5" ht="15" x14ac:dyDescent="0.25">
      <c r="A568" s="268" t="s">
        <v>26</v>
      </c>
      <c r="B568" s="280" t="s">
        <v>308</v>
      </c>
      <c r="C568" s="91" t="s">
        <v>96</v>
      </c>
      <c r="D568" s="24" t="s">
        <v>296</v>
      </c>
      <c r="E568" s="154" t="s">
        <v>306</v>
      </c>
    </row>
    <row r="569" spans="1:5" ht="15" x14ac:dyDescent="0.25">
      <c r="A569" s="269"/>
      <c r="B569" s="281"/>
      <c r="C569" s="196" t="s">
        <v>97</v>
      </c>
      <c r="D569" s="190" t="s">
        <v>303</v>
      </c>
      <c r="E569" s="154" t="s">
        <v>306</v>
      </c>
    </row>
    <row r="570" spans="1:5" ht="15" x14ac:dyDescent="0.25">
      <c r="A570" s="269"/>
      <c r="B570" s="281"/>
      <c r="C570" s="72" t="s">
        <v>65</v>
      </c>
      <c r="D570" s="173" t="str">
        <f>C570</f>
        <v xml:space="preserve"> To receive the indicator rating, the criteria for the additional measure of post-secondary and workforce readiness was:</v>
      </c>
      <c r="E570" s="154" t="s">
        <v>306</v>
      </c>
    </row>
    <row r="571" spans="1:5" ht="15" x14ac:dyDescent="0.25">
      <c r="A571" s="269"/>
      <c r="B571" s="281"/>
      <c r="C571" s="35" t="s">
        <v>125</v>
      </c>
      <c r="D571" s="26" t="s">
        <v>118</v>
      </c>
      <c r="E571" s="154" t="s">
        <v>306</v>
      </c>
    </row>
    <row r="572" spans="1:5" ht="15" customHeight="1" x14ac:dyDescent="0.25">
      <c r="A572" s="269"/>
      <c r="B572" s="281"/>
      <c r="C572" s="37" t="s">
        <v>126</v>
      </c>
      <c r="D572" s="26" t="s">
        <v>119</v>
      </c>
      <c r="E572" s="154" t="s">
        <v>306</v>
      </c>
    </row>
    <row r="573" spans="1:5" ht="15" customHeight="1" x14ac:dyDescent="0.25">
      <c r="A573" s="269"/>
      <c r="B573" s="281"/>
      <c r="C573" s="38" t="s">
        <v>127</v>
      </c>
      <c r="D573" s="26" t="s">
        <v>120</v>
      </c>
      <c r="E573" s="154" t="s">
        <v>306</v>
      </c>
    </row>
    <row r="574" spans="1:5" ht="15" customHeight="1" x14ac:dyDescent="0.25">
      <c r="A574" s="269"/>
      <c r="B574" s="281"/>
      <c r="C574" s="39" t="s">
        <v>128</v>
      </c>
      <c r="D574" s="191" t="s">
        <v>121</v>
      </c>
      <c r="E574" s="154" t="s">
        <v>306</v>
      </c>
    </row>
    <row r="575" spans="1:5" ht="15" customHeight="1" x14ac:dyDescent="0.25">
      <c r="A575" s="269"/>
      <c r="B575" s="281"/>
      <c r="C575" s="41" t="s">
        <v>82</v>
      </c>
      <c r="D575" s="173" t="str">
        <f>C575</f>
        <v>Cut-point values for additional measure of post-secondary and workforce readiness were:</v>
      </c>
      <c r="E575" s="154" t="s">
        <v>306</v>
      </c>
    </row>
    <row r="576" spans="1:5" ht="15" customHeight="1" x14ac:dyDescent="0.25">
      <c r="A576" s="269"/>
      <c r="B576" s="281"/>
      <c r="C576" s="35" t="s">
        <v>22</v>
      </c>
      <c r="D576" s="27" t="s">
        <v>122</v>
      </c>
      <c r="E576" s="154" t="s">
        <v>306</v>
      </c>
    </row>
    <row r="577" spans="1:5" ht="15" x14ac:dyDescent="0.25">
      <c r="A577" s="269"/>
      <c r="B577" s="281"/>
      <c r="C577" s="37" t="s">
        <v>23</v>
      </c>
      <c r="D577" s="27" t="s">
        <v>123</v>
      </c>
      <c r="E577" s="154" t="s">
        <v>306</v>
      </c>
    </row>
    <row r="578" spans="1:5" ht="15" x14ac:dyDescent="0.25">
      <c r="A578" s="269"/>
      <c r="B578" s="281"/>
      <c r="C578" s="38" t="s">
        <v>24</v>
      </c>
      <c r="D578" s="189" t="s">
        <v>124</v>
      </c>
      <c r="E578" s="154" t="s">
        <v>306</v>
      </c>
    </row>
    <row r="579" spans="1:5" ht="15" x14ac:dyDescent="0.25">
      <c r="A579" s="269"/>
      <c r="B579" s="281"/>
      <c r="C579" s="41" t="s">
        <v>83</v>
      </c>
      <c r="D579" s="173" t="str">
        <f>C579</f>
        <v>Your school's actual value for additional measure of post-secondary and workforce readiness was:</v>
      </c>
      <c r="E579" s="154" t="s">
        <v>306</v>
      </c>
    </row>
    <row r="580" spans="1:5" ht="15" x14ac:dyDescent="0.25">
      <c r="A580" s="269"/>
      <c r="B580" s="281"/>
      <c r="C580" s="63" t="s">
        <v>372</v>
      </c>
      <c r="D580" s="156" t="s">
        <v>380</v>
      </c>
      <c r="E580" s="154" t="s">
        <v>306</v>
      </c>
    </row>
    <row r="581" spans="1:5" ht="15" x14ac:dyDescent="0.25">
      <c r="A581" s="269"/>
      <c r="B581" s="281"/>
      <c r="C581" s="159" t="s">
        <v>378</v>
      </c>
      <c r="D581" s="156" t="s">
        <v>394</v>
      </c>
      <c r="E581" s="154" t="s">
        <v>306</v>
      </c>
    </row>
    <row r="582" spans="1:5" ht="15.75" thickBot="1" x14ac:dyDescent="0.3">
      <c r="A582" s="270"/>
      <c r="B582" s="282"/>
      <c r="C582" s="64" t="s">
        <v>359</v>
      </c>
      <c r="D582" s="169" t="e">
        <f>SUM(D580/D581)*100</f>
        <v>#VALUE!</v>
      </c>
      <c r="E582" s="154" t="s">
        <v>306</v>
      </c>
    </row>
    <row r="583" spans="1:5" ht="15.75" thickBot="1" x14ac:dyDescent="0.3">
      <c r="A583" s="274" t="s">
        <v>314</v>
      </c>
      <c r="B583" s="296"/>
      <c r="C583" s="296"/>
      <c r="D583" s="297"/>
      <c r="E583" s="154" t="s">
        <v>306</v>
      </c>
    </row>
    <row r="588" spans="1:5" ht="15" customHeight="1" x14ac:dyDescent="0.3"/>
    <row r="590" spans="1:5" ht="15" customHeight="1" x14ac:dyDescent="0.3"/>
    <row r="593" spans="1:4" ht="15.75" x14ac:dyDescent="0.25">
      <c r="A593" s="98"/>
      <c r="B593" s="163"/>
      <c r="C593" s="99"/>
      <c r="D593" s="100"/>
    </row>
    <row r="594" spans="1:4" ht="15.75" x14ac:dyDescent="0.25">
      <c r="A594" s="98"/>
    </row>
    <row r="601" spans="1:4" ht="15" customHeight="1" x14ac:dyDescent="0.3"/>
    <row r="602" spans="1:4" ht="15" customHeight="1" x14ac:dyDescent="0.3"/>
    <row r="613" ht="15" customHeight="1" x14ac:dyDescent="0.3"/>
    <row r="614" ht="15" customHeight="1" x14ac:dyDescent="0.3"/>
    <row r="623" ht="15" customHeight="1" x14ac:dyDescent="0.3"/>
    <row r="625" ht="15" customHeight="1" x14ac:dyDescent="0.3"/>
    <row r="626" ht="15" customHeight="1" x14ac:dyDescent="0.3"/>
    <row r="627" ht="15" customHeight="1" x14ac:dyDescent="0.3"/>
    <row r="629" ht="15" customHeight="1" x14ac:dyDescent="0.3"/>
    <row r="638" ht="15" customHeight="1" x14ac:dyDescent="0.3"/>
    <row r="639" ht="15" customHeight="1" x14ac:dyDescent="0.3"/>
    <row r="640" ht="15" customHeight="1" x14ac:dyDescent="0.3"/>
    <row r="644" ht="15" customHeight="1" x14ac:dyDescent="0.3"/>
    <row r="651" ht="15" customHeight="1" x14ac:dyDescent="0.3"/>
    <row r="652" ht="15" customHeight="1" x14ac:dyDescent="0.3"/>
    <row r="653" ht="15" customHeight="1" x14ac:dyDescent="0.3"/>
    <row r="659" ht="15" customHeight="1" x14ac:dyDescent="0.3"/>
    <row r="664" ht="15" customHeight="1" x14ac:dyDescent="0.3"/>
    <row r="665" ht="15" customHeight="1" x14ac:dyDescent="0.3"/>
    <row r="666" ht="15" customHeight="1" x14ac:dyDescent="0.3"/>
    <row r="676" spans="8:11" x14ac:dyDescent="0.3">
      <c r="H676" s="75"/>
      <c r="I676" s="75"/>
      <c r="J676" s="75"/>
      <c r="K676" s="75"/>
    </row>
    <row r="677" spans="8:11" ht="15" customHeight="1" x14ac:dyDescent="0.3">
      <c r="H677" s="75"/>
      <c r="I677" s="75"/>
      <c r="J677" s="75"/>
      <c r="K677" s="75"/>
    </row>
    <row r="678" spans="8:11" ht="15" customHeight="1" x14ac:dyDescent="0.3">
      <c r="H678" s="75"/>
      <c r="I678" s="75"/>
      <c r="J678" s="75"/>
      <c r="K678" s="75"/>
    </row>
    <row r="679" spans="8:11" ht="15" customHeight="1" x14ac:dyDescent="0.3">
      <c r="H679" s="75"/>
      <c r="I679" s="75"/>
      <c r="J679" s="75"/>
      <c r="K679" s="75"/>
    </row>
    <row r="680" spans="8:11" x14ac:dyDescent="0.3">
      <c r="H680" s="75"/>
      <c r="I680" s="75"/>
      <c r="J680" s="75"/>
      <c r="K680" s="75"/>
    </row>
    <row r="681" spans="8:11" x14ac:dyDescent="0.3">
      <c r="H681" s="75"/>
      <c r="I681" s="75"/>
      <c r="J681" s="75"/>
      <c r="K681" s="75"/>
    </row>
    <row r="682" spans="8:11" x14ac:dyDescent="0.3">
      <c r="H682" s="75"/>
      <c r="I682" s="75"/>
      <c r="J682" s="75"/>
      <c r="K682" s="75"/>
    </row>
    <row r="683" spans="8:11" x14ac:dyDescent="0.3">
      <c r="H683" s="75"/>
      <c r="I683" s="75"/>
      <c r="J683" s="75"/>
      <c r="K683" s="75"/>
    </row>
    <row r="684" spans="8:11" x14ac:dyDescent="0.3">
      <c r="H684" s="75"/>
      <c r="I684" s="75"/>
      <c r="J684" s="75"/>
      <c r="K684" s="75"/>
    </row>
    <row r="685" spans="8:11" x14ac:dyDescent="0.3">
      <c r="H685" s="75"/>
      <c r="I685" s="75"/>
      <c r="J685" s="75"/>
      <c r="K685" s="75"/>
    </row>
    <row r="686" spans="8:11" x14ac:dyDescent="0.3">
      <c r="H686" s="75"/>
      <c r="I686" s="75"/>
      <c r="J686" s="75"/>
      <c r="K686" s="75"/>
    </row>
    <row r="687" spans="8:11" x14ac:dyDescent="0.3">
      <c r="H687" s="75"/>
      <c r="I687" s="75"/>
      <c r="J687" s="75"/>
      <c r="K687" s="75"/>
    </row>
    <row r="688" spans="8:11" x14ac:dyDescent="0.3">
      <c r="H688" s="75"/>
      <c r="I688" s="75"/>
      <c r="J688" s="75"/>
      <c r="K688" s="75"/>
    </row>
    <row r="689" spans="8:11" x14ac:dyDescent="0.3">
      <c r="H689" s="75"/>
      <c r="I689" s="75"/>
      <c r="J689" s="75"/>
      <c r="K689" s="75"/>
    </row>
    <row r="690" spans="8:11" ht="15" customHeight="1" x14ac:dyDescent="0.3">
      <c r="H690" s="75"/>
      <c r="I690" s="75"/>
      <c r="J690" s="75"/>
      <c r="K690" s="75"/>
    </row>
    <row r="691" spans="8:11" ht="15" customHeight="1" x14ac:dyDescent="0.3">
      <c r="H691" s="75"/>
      <c r="I691" s="75"/>
      <c r="J691" s="75"/>
      <c r="K691" s="75"/>
    </row>
    <row r="692" spans="8:11" ht="15" customHeight="1" x14ac:dyDescent="0.3">
      <c r="H692" s="75"/>
      <c r="I692" s="75"/>
      <c r="J692" s="75"/>
      <c r="K692" s="75"/>
    </row>
    <row r="693" spans="8:11" x14ac:dyDescent="0.3">
      <c r="H693" s="75"/>
      <c r="I693" s="75"/>
      <c r="J693" s="75"/>
      <c r="K693" s="75"/>
    </row>
    <row r="694" spans="8:11" x14ac:dyDescent="0.3">
      <c r="H694" s="75"/>
      <c r="I694" s="75"/>
      <c r="J694" s="75"/>
      <c r="K694" s="75"/>
    </row>
    <row r="695" spans="8:11" x14ac:dyDescent="0.3">
      <c r="H695" s="75"/>
      <c r="I695" s="75"/>
      <c r="J695" s="75"/>
      <c r="K695" s="75"/>
    </row>
    <row r="696" spans="8:11" x14ac:dyDescent="0.3">
      <c r="H696" s="75"/>
      <c r="I696" s="75"/>
      <c r="J696" s="75"/>
      <c r="K696" s="75"/>
    </row>
    <row r="697" spans="8:11" x14ac:dyDescent="0.3">
      <c r="H697" s="75"/>
      <c r="I697" s="75"/>
      <c r="J697" s="75"/>
      <c r="K697" s="75"/>
    </row>
    <row r="698" spans="8:11" x14ac:dyDescent="0.3">
      <c r="H698" s="75"/>
      <c r="I698" s="75"/>
      <c r="J698" s="75"/>
      <c r="K698" s="75"/>
    </row>
    <row r="699" spans="8:11" x14ac:dyDescent="0.3">
      <c r="H699" s="75"/>
      <c r="I699" s="75"/>
      <c r="J699" s="75"/>
      <c r="K699" s="75"/>
    </row>
    <row r="700" spans="8:11" x14ac:dyDescent="0.3">
      <c r="H700" s="75"/>
      <c r="I700" s="75"/>
      <c r="J700" s="75"/>
      <c r="K700" s="75"/>
    </row>
    <row r="701" spans="8:11" x14ac:dyDescent="0.3">
      <c r="H701" s="75"/>
      <c r="I701" s="75"/>
      <c r="J701" s="75"/>
      <c r="K701" s="75"/>
    </row>
    <row r="702" spans="8:11" x14ac:dyDescent="0.3">
      <c r="H702" s="75"/>
      <c r="I702" s="75"/>
      <c r="J702" s="75"/>
      <c r="K702" s="75"/>
    </row>
    <row r="703" spans="8:11" ht="15" customHeight="1" x14ac:dyDescent="0.3">
      <c r="H703" s="75"/>
      <c r="I703" s="75"/>
      <c r="J703" s="75"/>
      <c r="K703" s="75"/>
    </row>
    <row r="704" spans="8:11" ht="15" customHeight="1" x14ac:dyDescent="0.3">
      <c r="H704" s="75"/>
      <c r="I704" s="75"/>
      <c r="J704" s="75"/>
      <c r="K704" s="75"/>
    </row>
    <row r="705" spans="8:11" ht="15" customHeight="1" x14ac:dyDescent="0.3">
      <c r="H705" s="75"/>
      <c r="I705" s="75"/>
      <c r="J705" s="75"/>
      <c r="K705" s="75"/>
    </row>
    <row r="706" spans="8:11" x14ac:dyDescent="0.3">
      <c r="H706" s="75"/>
      <c r="I706" s="75"/>
      <c r="J706" s="75"/>
      <c r="K706" s="75"/>
    </row>
    <row r="707" spans="8:11" x14ac:dyDescent="0.3">
      <c r="H707" s="75"/>
      <c r="I707" s="75"/>
      <c r="J707" s="75"/>
      <c r="K707" s="75"/>
    </row>
    <row r="708" spans="8:11" x14ac:dyDescent="0.3">
      <c r="H708" s="75"/>
      <c r="I708" s="75"/>
      <c r="J708" s="75"/>
      <c r="K708" s="75"/>
    </row>
    <row r="709" spans="8:11" x14ac:dyDescent="0.3">
      <c r="H709" s="75"/>
      <c r="I709" s="75"/>
      <c r="J709" s="75"/>
      <c r="K709" s="75"/>
    </row>
    <row r="710" spans="8:11" x14ac:dyDescent="0.3">
      <c r="H710" s="75"/>
      <c r="I710" s="75"/>
      <c r="J710" s="75"/>
      <c r="K710" s="75"/>
    </row>
    <row r="711" spans="8:11" ht="15" customHeight="1" x14ac:dyDescent="0.3">
      <c r="H711" s="75"/>
      <c r="I711" s="75"/>
      <c r="J711" s="75"/>
      <c r="K711" s="75"/>
    </row>
    <row r="712" spans="8:11" x14ac:dyDescent="0.3">
      <c r="H712" s="75"/>
      <c r="I712" s="75"/>
      <c r="J712" s="75"/>
      <c r="K712" s="75"/>
    </row>
    <row r="713" spans="8:11" x14ac:dyDescent="0.3">
      <c r="H713" s="75"/>
      <c r="I713" s="75"/>
      <c r="J713" s="75"/>
      <c r="K713" s="75"/>
    </row>
    <row r="714" spans="8:11" x14ac:dyDescent="0.3">
      <c r="H714" s="75"/>
      <c r="I714" s="75"/>
      <c r="J714" s="75"/>
      <c r="K714" s="75"/>
    </row>
    <row r="715" spans="8:11" x14ac:dyDescent="0.3">
      <c r="H715" s="75"/>
      <c r="I715" s="75"/>
      <c r="J715" s="75"/>
      <c r="K715" s="75"/>
    </row>
    <row r="716" spans="8:11" ht="15" customHeight="1" x14ac:dyDescent="0.3">
      <c r="H716" s="75"/>
      <c r="I716" s="75"/>
      <c r="J716" s="75"/>
      <c r="K716" s="75"/>
    </row>
    <row r="717" spans="8:11" ht="15" customHeight="1" x14ac:dyDescent="0.3">
      <c r="H717" s="75"/>
      <c r="I717" s="75"/>
      <c r="J717" s="75"/>
      <c r="K717" s="75"/>
    </row>
    <row r="718" spans="8:11" ht="15" customHeight="1" x14ac:dyDescent="0.3">
      <c r="H718" s="75"/>
      <c r="I718" s="75"/>
      <c r="J718" s="75"/>
      <c r="K718" s="75"/>
    </row>
    <row r="719" spans="8:11" x14ac:dyDescent="0.3">
      <c r="H719" s="75"/>
      <c r="I719" s="75"/>
      <c r="J719" s="75"/>
      <c r="K719" s="75"/>
    </row>
    <row r="720" spans="8:11" x14ac:dyDescent="0.3">
      <c r="H720" s="75"/>
      <c r="I720" s="75"/>
      <c r="J720" s="75"/>
      <c r="K720" s="75"/>
    </row>
    <row r="721" spans="7:11" x14ac:dyDescent="0.3">
      <c r="H721" s="75"/>
      <c r="I721" s="75"/>
      <c r="J721" s="75"/>
      <c r="K721" s="75"/>
    </row>
    <row r="722" spans="7:11" x14ac:dyDescent="0.3">
      <c r="H722" s="75"/>
      <c r="I722" s="75"/>
      <c r="J722" s="75"/>
      <c r="K722" s="75"/>
    </row>
    <row r="723" spans="7:11" x14ac:dyDescent="0.3">
      <c r="H723" s="75"/>
      <c r="I723" s="75"/>
      <c r="J723" s="75"/>
      <c r="K723" s="75"/>
    </row>
    <row r="724" spans="7:11" ht="15" customHeight="1" x14ac:dyDescent="0.3">
      <c r="H724" s="75"/>
      <c r="I724" s="75"/>
      <c r="J724" s="75"/>
      <c r="K724" s="75"/>
    </row>
    <row r="725" spans="7:11" x14ac:dyDescent="0.3">
      <c r="H725" s="75"/>
      <c r="I725" s="75"/>
      <c r="J725" s="75"/>
      <c r="K725" s="75"/>
    </row>
    <row r="726" spans="7:11" x14ac:dyDescent="0.3">
      <c r="H726" s="75"/>
      <c r="I726" s="75"/>
      <c r="J726" s="75"/>
      <c r="K726" s="75"/>
    </row>
    <row r="727" spans="7:11" x14ac:dyDescent="0.3">
      <c r="H727" s="75"/>
      <c r="I727" s="75"/>
      <c r="J727" s="75"/>
      <c r="K727" s="75"/>
    </row>
    <row r="728" spans="7:11" x14ac:dyDescent="0.3">
      <c r="G728" s="75"/>
      <c r="H728" s="75"/>
      <c r="I728" s="75"/>
      <c r="J728" s="75"/>
      <c r="K728" s="75"/>
    </row>
    <row r="729" spans="7:11" ht="15" customHeight="1" x14ac:dyDescent="0.3">
      <c r="G729" s="75"/>
      <c r="H729" s="75"/>
      <c r="I729" s="75"/>
      <c r="J729" s="75"/>
      <c r="K729" s="75"/>
    </row>
    <row r="730" spans="7:11" ht="15" customHeight="1" x14ac:dyDescent="0.3">
      <c r="G730" s="75"/>
      <c r="H730" s="75"/>
      <c r="I730" s="75"/>
      <c r="J730" s="75"/>
      <c r="K730" s="75"/>
    </row>
    <row r="731" spans="7:11" ht="15" customHeight="1" x14ac:dyDescent="0.3">
      <c r="G731" s="75"/>
      <c r="H731" s="75"/>
      <c r="I731" s="75"/>
      <c r="J731" s="75"/>
      <c r="K731" s="75"/>
    </row>
    <row r="732" spans="7:11" x14ac:dyDescent="0.3">
      <c r="G732" s="75"/>
      <c r="H732" s="75"/>
      <c r="I732" s="75"/>
      <c r="J732" s="75"/>
      <c r="K732" s="75"/>
    </row>
    <row r="733" spans="7:11" x14ac:dyDescent="0.3">
      <c r="G733" s="75"/>
      <c r="H733" s="75"/>
      <c r="I733" s="75"/>
      <c r="J733" s="75"/>
      <c r="K733" s="75"/>
    </row>
    <row r="734" spans="7:11" x14ac:dyDescent="0.3">
      <c r="G734" s="75"/>
      <c r="H734" s="75"/>
      <c r="I734" s="75"/>
      <c r="J734" s="75"/>
      <c r="K734" s="75"/>
    </row>
    <row r="735" spans="7:11" x14ac:dyDescent="0.3">
      <c r="G735" s="75"/>
      <c r="H735" s="75"/>
      <c r="I735" s="75"/>
      <c r="J735" s="75"/>
      <c r="K735" s="75"/>
    </row>
    <row r="736" spans="7:11" x14ac:dyDescent="0.3">
      <c r="G736" s="75"/>
      <c r="H736" s="75"/>
      <c r="I736" s="75"/>
      <c r="J736" s="75"/>
      <c r="K736" s="75"/>
    </row>
    <row r="737" spans="7:11" ht="15" customHeight="1" x14ac:dyDescent="0.3">
      <c r="G737" s="75"/>
      <c r="H737" s="75"/>
      <c r="I737" s="75"/>
      <c r="J737" s="75"/>
      <c r="K737" s="75"/>
    </row>
    <row r="738" spans="7:11" x14ac:dyDescent="0.3">
      <c r="G738" s="75"/>
      <c r="H738" s="75"/>
      <c r="I738" s="75"/>
      <c r="J738" s="75"/>
      <c r="K738" s="75"/>
    </row>
    <row r="739" spans="7:11" x14ac:dyDescent="0.3">
      <c r="G739" s="75"/>
      <c r="H739" s="75"/>
      <c r="I739" s="75"/>
      <c r="J739" s="75"/>
      <c r="K739" s="75"/>
    </row>
    <row r="740" spans="7:11" x14ac:dyDescent="0.3">
      <c r="G740" s="75"/>
      <c r="H740" s="75"/>
      <c r="I740" s="75"/>
      <c r="J740" s="75"/>
      <c r="K740" s="75"/>
    </row>
    <row r="741" spans="7:11" x14ac:dyDescent="0.3">
      <c r="G741" s="75"/>
      <c r="H741" s="75"/>
      <c r="I741" s="75"/>
      <c r="J741" s="75"/>
      <c r="K741" s="75"/>
    </row>
    <row r="742" spans="7:11" ht="15" customHeight="1" x14ac:dyDescent="0.3">
      <c r="G742" s="75"/>
      <c r="H742" s="75"/>
      <c r="I742" s="75"/>
      <c r="J742" s="75"/>
      <c r="K742" s="75"/>
    </row>
    <row r="743" spans="7:11" ht="15" customHeight="1" x14ac:dyDescent="0.3">
      <c r="G743" s="75"/>
      <c r="H743" s="75"/>
      <c r="I743" s="75"/>
      <c r="J743" s="75"/>
      <c r="K743" s="75"/>
    </row>
    <row r="744" spans="7:11" ht="15" customHeight="1" x14ac:dyDescent="0.3">
      <c r="G744" s="75"/>
      <c r="H744" s="75"/>
      <c r="I744" s="75"/>
      <c r="J744" s="75"/>
      <c r="K744" s="75"/>
    </row>
    <row r="745" spans="7:11" x14ac:dyDescent="0.3">
      <c r="G745" s="75"/>
      <c r="H745" s="75"/>
      <c r="I745" s="75"/>
      <c r="J745" s="75"/>
      <c r="K745" s="75"/>
    </row>
    <row r="746" spans="7:11" x14ac:dyDescent="0.3">
      <c r="G746" s="75"/>
      <c r="H746" s="75"/>
      <c r="I746" s="75"/>
      <c r="J746" s="75"/>
      <c r="K746" s="75"/>
    </row>
    <row r="747" spans="7:11" x14ac:dyDescent="0.3">
      <c r="G747" s="75"/>
      <c r="H747" s="75"/>
      <c r="I747" s="75"/>
      <c r="J747" s="75"/>
      <c r="K747" s="75"/>
    </row>
    <row r="748" spans="7:11" x14ac:dyDescent="0.3">
      <c r="G748" s="75"/>
      <c r="H748" s="75"/>
      <c r="I748" s="75"/>
      <c r="J748" s="75"/>
      <c r="K748" s="75"/>
    </row>
    <row r="749" spans="7:11" x14ac:dyDescent="0.3">
      <c r="G749" s="75"/>
      <c r="H749" s="75"/>
      <c r="I749" s="75"/>
      <c r="J749" s="75"/>
      <c r="K749" s="75"/>
    </row>
    <row r="750" spans="7:11" ht="15" customHeight="1" x14ac:dyDescent="0.3">
      <c r="G750" s="75"/>
      <c r="H750" s="75"/>
      <c r="I750" s="75"/>
      <c r="J750" s="75"/>
      <c r="K750" s="75"/>
    </row>
    <row r="751" spans="7:11" x14ac:dyDescent="0.3">
      <c r="G751" s="75"/>
      <c r="H751" s="75"/>
      <c r="I751" s="75"/>
      <c r="J751" s="75"/>
      <c r="K751" s="75"/>
    </row>
    <row r="752" spans="7:11" x14ac:dyDescent="0.3">
      <c r="G752" s="75"/>
    </row>
    <row r="753" spans="7:7" x14ac:dyDescent="0.3">
      <c r="G753" s="75"/>
    </row>
    <row r="754" spans="7:7" x14ac:dyDescent="0.3">
      <c r="G754" s="75"/>
    </row>
    <row r="755" spans="7:7" ht="15" customHeight="1" x14ac:dyDescent="0.3">
      <c r="G755" s="75"/>
    </row>
    <row r="756" spans="7:7" ht="15" customHeight="1" x14ac:dyDescent="0.3">
      <c r="G756" s="75"/>
    </row>
    <row r="757" spans="7:7" ht="15" customHeight="1" x14ac:dyDescent="0.3">
      <c r="G757" s="75"/>
    </row>
    <row r="758" spans="7:7" x14ac:dyDescent="0.3">
      <c r="G758" s="75"/>
    </row>
    <row r="759" spans="7:7" x14ac:dyDescent="0.3">
      <c r="G759" s="75"/>
    </row>
    <row r="760" spans="7:7" x14ac:dyDescent="0.3">
      <c r="G760" s="75"/>
    </row>
    <row r="761" spans="7:7" x14ac:dyDescent="0.3">
      <c r="G761" s="75"/>
    </row>
    <row r="762" spans="7:7" x14ac:dyDescent="0.3">
      <c r="G762" s="75"/>
    </row>
    <row r="763" spans="7:7" ht="15" customHeight="1" x14ac:dyDescent="0.3">
      <c r="G763" s="75"/>
    </row>
    <row r="764" spans="7:7" x14ac:dyDescent="0.3">
      <c r="G764" s="75"/>
    </row>
    <row r="765" spans="7:7" x14ac:dyDescent="0.3">
      <c r="G765" s="75"/>
    </row>
    <row r="766" spans="7:7" x14ac:dyDescent="0.3">
      <c r="G766" s="75"/>
    </row>
    <row r="767" spans="7:7" x14ac:dyDescent="0.3">
      <c r="G767" s="75"/>
    </row>
    <row r="768" spans="7:7" ht="15" customHeight="1" x14ac:dyDescent="0.3">
      <c r="G768" s="75"/>
    </row>
    <row r="769" spans="7:11" ht="15" customHeight="1" x14ac:dyDescent="0.3">
      <c r="G769" s="75"/>
      <c r="H769" s="76"/>
      <c r="I769" s="76"/>
      <c r="J769" s="76"/>
      <c r="K769" s="76"/>
    </row>
    <row r="770" spans="7:11" ht="15" customHeight="1" x14ac:dyDescent="0.3">
      <c r="G770" s="75"/>
    </row>
    <row r="771" spans="7:11" x14ac:dyDescent="0.3">
      <c r="G771" s="75"/>
    </row>
    <row r="772" spans="7:11" x14ac:dyDescent="0.3">
      <c r="G772" s="75"/>
    </row>
    <row r="773" spans="7:11" x14ac:dyDescent="0.3">
      <c r="G773" s="75"/>
    </row>
    <row r="774" spans="7:11" x14ac:dyDescent="0.3">
      <c r="G774" s="75"/>
    </row>
    <row r="775" spans="7:11" ht="15" customHeight="1" x14ac:dyDescent="0.3">
      <c r="G775" s="75"/>
    </row>
    <row r="776" spans="7:11" x14ac:dyDescent="0.3">
      <c r="G776" s="75"/>
    </row>
    <row r="777" spans="7:11" x14ac:dyDescent="0.3">
      <c r="G777" s="75"/>
    </row>
    <row r="778" spans="7:11" x14ac:dyDescent="0.3">
      <c r="G778" s="75"/>
    </row>
    <row r="779" spans="7:11" x14ac:dyDescent="0.3">
      <c r="G779" s="75"/>
    </row>
    <row r="780" spans="7:11" x14ac:dyDescent="0.3">
      <c r="G780" s="75"/>
    </row>
    <row r="781" spans="7:11" ht="15" customHeight="1" x14ac:dyDescent="0.3">
      <c r="G781" s="75"/>
    </row>
    <row r="782" spans="7:11" ht="15" customHeight="1" x14ac:dyDescent="0.3">
      <c r="G782" s="75"/>
    </row>
    <row r="783" spans="7:11" ht="15" customHeight="1" x14ac:dyDescent="0.3">
      <c r="G783" s="75"/>
    </row>
    <row r="784" spans="7:11" x14ac:dyDescent="0.3">
      <c r="G784" s="75"/>
    </row>
    <row r="785" spans="7:7" x14ac:dyDescent="0.3">
      <c r="G785" s="75"/>
    </row>
    <row r="786" spans="7:7" x14ac:dyDescent="0.3">
      <c r="G786" s="75"/>
    </row>
    <row r="787" spans="7:7" x14ac:dyDescent="0.3">
      <c r="G787" s="75"/>
    </row>
    <row r="788" spans="7:7" x14ac:dyDescent="0.3">
      <c r="G788" s="75"/>
    </row>
    <row r="789" spans="7:7" ht="15" customHeight="1" x14ac:dyDescent="0.3">
      <c r="G789" s="75"/>
    </row>
    <row r="790" spans="7:7" x14ac:dyDescent="0.3">
      <c r="G790" s="75"/>
    </row>
    <row r="791" spans="7:7" x14ac:dyDescent="0.3">
      <c r="G791" s="75"/>
    </row>
    <row r="792" spans="7:7" x14ac:dyDescent="0.3">
      <c r="G792" s="75"/>
    </row>
    <row r="793" spans="7:7" x14ac:dyDescent="0.3">
      <c r="G793" s="75"/>
    </row>
    <row r="794" spans="7:7" ht="15" customHeight="1" x14ac:dyDescent="0.3">
      <c r="G794" s="75"/>
    </row>
    <row r="795" spans="7:7" ht="15" customHeight="1" x14ac:dyDescent="0.3">
      <c r="G795" s="75"/>
    </row>
    <row r="796" spans="7:7" ht="15" customHeight="1" x14ac:dyDescent="0.3">
      <c r="G796" s="75"/>
    </row>
    <row r="797" spans="7:7" x14ac:dyDescent="0.3">
      <c r="G797" s="75"/>
    </row>
    <row r="798" spans="7:7" x14ac:dyDescent="0.3">
      <c r="G798" s="75"/>
    </row>
    <row r="799" spans="7:7" x14ac:dyDescent="0.3">
      <c r="G799" s="75"/>
    </row>
    <row r="800" spans="7:7" x14ac:dyDescent="0.3">
      <c r="G800" s="75"/>
    </row>
    <row r="801" spans="7:7" x14ac:dyDescent="0.3">
      <c r="G801" s="75"/>
    </row>
    <row r="802" spans="7:7" x14ac:dyDescent="0.3">
      <c r="G802" s="75"/>
    </row>
    <row r="803" spans="7:7" x14ac:dyDescent="0.3">
      <c r="G803" s="75"/>
    </row>
    <row r="807" spans="7:7" ht="15" customHeight="1" x14ac:dyDescent="0.3"/>
    <row r="808" spans="7:7" ht="15" customHeight="1" x14ac:dyDescent="0.3"/>
    <row r="809" spans="7:7" ht="15" customHeight="1" x14ac:dyDescent="0.3"/>
    <row r="820" spans="7:7" ht="15" customHeight="1" x14ac:dyDescent="0.3"/>
    <row r="821" spans="7:7" ht="15" customHeight="1" x14ac:dyDescent="0.3">
      <c r="G821" s="76"/>
    </row>
    <row r="822" spans="7:7" ht="15" customHeight="1" x14ac:dyDescent="0.3"/>
    <row r="829" spans="7:7" ht="15" customHeight="1" x14ac:dyDescent="0.3"/>
    <row r="833" ht="15" customHeight="1" x14ac:dyDescent="0.3"/>
    <row r="834" ht="15" customHeight="1" x14ac:dyDescent="0.3"/>
    <row r="835" ht="15" customHeight="1" x14ac:dyDescent="0.3"/>
    <row r="842" ht="15" customHeight="1" x14ac:dyDescent="0.3"/>
    <row r="846" ht="15" customHeight="1" x14ac:dyDescent="0.3"/>
    <row r="847" ht="15" customHeight="1" x14ac:dyDescent="0.3"/>
    <row r="848" ht="15" customHeight="1" x14ac:dyDescent="0.3"/>
    <row r="855" ht="15" customHeight="1" x14ac:dyDescent="0.3"/>
    <row r="859" ht="15" customHeight="1" x14ac:dyDescent="0.3"/>
    <row r="860" ht="15" customHeight="1" x14ac:dyDescent="0.3"/>
    <row r="861" ht="15" customHeight="1" x14ac:dyDescent="0.3"/>
    <row r="867" ht="15" customHeight="1" x14ac:dyDescent="0.3"/>
    <row r="872" ht="15" customHeight="1" x14ac:dyDescent="0.3"/>
    <row r="873" ht="15" customHeight="1" x14ac:dyDescent="0.3"/>
    <row r="874" ht="15" customHeight="1" x14ac:dyDescent="0.3"/>
    <row r="881" ht="15" customHeight="1" x14ac:dyDescent="0.3"/>
    <row r="885" ht="15" customHeight="1" x14ac:dyDescent="0.3"/>
    <row r="886" ht="15" customHeight="1" x14ac:dyDescent="0.3"/>
    <row r="887" ht="15" customHeight="1" x14ac:dyDescent="0.3"/>
    <row r="898" ht="15" customHeight="1" x14ac:dyDescent="0.3"/>
    <row r="899" ht="15" hidden="1" customHeight="1" thickBot="1" x14ac:dyDescent="0.3"/>
    <row r="900" ht="15" customHeight="1" x14ac:dyDescent="0.3"/>
    <row r="911" ht="15" customHeight="1" x14ac:dyDescent="0.3"/>
    <row r="912" ht="15" customHeight="1" x14ac:dyDescent="0.3"/>
    <row r="913" ht="15" customHeight="1" x14ac:dyDescent="0.3"/>
    <row r="914" ht="15" customHeight="1" x14ac:dyDescent="0.3"/>
    <row r="915" ht="15" customHeight="1" x14ac:dyDescent="0.3"/>
    <row r="926" ht="15" customHeight="1" x14ac:dyDescent="0.3"/>
    <row r="927" ht="15" customHeight="1" x14ac:dyDescent="0.3"/>
    <row r="928" ht="15" customHeight="1" x14ac:dyDescent="0.3"/>
    <row r="929" ht="15" customHeight="1" x14ac:dyDescent="0.3"/>
    <row r="930" ht="15" customHeight="1" x14ac:dyDescent="0.3"/>
    <row r="941" ht="15" customHeight="1" x14ac:dyDescent="0.3"/>
    <row r="942" ht="15" customHeight="1" x14ac:dyDescent="0.3"/>
    <row r="943" ht="15" customHeight="1" x14ac:dyDescent="0.3"/>
    <row r="944" ht="15" customHeight="1" x14ac:dyDescent="0.3"/>
    <row r="945" ht="15" customHeight="1" x14ac:dyDescent="0.3"/>
    <row r="956" ht="15" customHeight="1" x14ac:dyDescent="0.3"/>
    <row r="958" ht="15" customHeight="1" x14ac:dyDescent="0.3"/>
    <row r="969" ht="15" customHeight="1" x14ac:dyDescent="0.3"/>
    <row r="970" ht="15" customHeight="1" x14ac:dyDescent="0.3"/>
    <row r="981" ht="15" customHeight="1" x14ac:dyDescent="0.3"/>
    <row r="982" ht="15" customHeight="1" x14ac:dyDescent="0.3"/>
    <row r="992" ht="15" customHeight="1" x14ac:dyDescent="0.3"/>
    <row r="993" ht="15" customHeight="1" x14ac:dyDescent="0.3"/>
    <row r="994" ht="15" hidden="1" customHeight="1" thickBot="1" x14ac:dyDescent="0.3"/>
    <row r="995" ht="15" customHeight="1" x14ac:dyDescent="0.3"/>
    <row r="1006" ht="15" customHeight="1" x14ac:dyDescent="0.3"/>
    <row r="1007" ht="15" hidden="1" customHeight="1" thickBot="1" x14ac:dyDescent="0.3"/>
    <row r="1008" ht="15" customHeight="1" x14ac:dyDescent="0.3"/>
    <row r="1019" ht="15" customHeight="1" x14ac:dyDescent="0.3"/>
    <row r="1020" ht="15" hidden="1" customHeight="1" thickBot="1" x14ac:dyDescent="0.3"/>
    <row r="1021" ht="15" customHeight="1" x14ac:dyDescent="0.3"/>
    <row r="1032" ht="15" customHeight="1" x14ac:dyDescent="0.3"/>
    <row r="1033" ht="15" hidden="1" customHeight="1" thickBot="1" x14ac:dyDescent="0.3"/>
    <row r="1034" ht="15" customHeight="1" x14ac:dyDescent="0.3"/>
    <row r="1045" ht="15" customHeight="1" x14ac:dyDescent="0.3"/>
    <row r="1046" ht="15" hidden="1" customHeight="1" thickBot="1" x14ac:dyDescent="0.3"/>
    <row r="1047" ht="15" customHeight="1" x14ac:dyDescent="0.3"/>
    <row r="1058" ht="15" customHeight="1" x14ac:dyDescent="0.3"/>
    <row r="1059" ht="15" customHeight="1" x14ac:dyDescent="0.3"/>
    <row r="1060" ht="15" customHeight="1" x14ac:dyDescent="0.3"/>
    <row r="1061" ht="15" customHeight="1" x14ac:dyDescent="0.3"/>
    <row r="1072" ht="15" customHeight="1" x14ac:dyDescent="0.3"/>
    <row r="1073" ht="15" customHeight="1" x14ac:dyDescent="0.3"/>
    <row r="1074" ht="15" customHeight="1" x14ac:dyDescent="0.3"/>
    <row r="1075" ht="15" customHeight="1" x14ac:dyDescent="0.3"/>
    <row r="1086" ht="15" customHeight="1" x14ac:dyDescent="0.3"/>
    <row r="1088" ht="15" customHeight="1" x14ac:dyDescent="0.3"/>
    <row r="1099" ht="15" customHeight="1" x14ac:dyDescent="0.3"/>
    <row r="1100" ht="15" customHeight="1" x14ac:dyDescent="0.3"/>
    <row r="1111" ht="15" customHeight="1" x14ac:dyDescent="0.3"/>
    <row r="1112" ht="15" hidden="1" customHeight="1" thickBot="1" x14ac:dyDescent="0.3"/>
    <row r="1113" ht="15" customHeight="1" x14ac:dyDescent="0.3"/>
    <row r="1124" spans="13:13" ht="15" customHeight="1" x14ac:dyDescent="0.3"/>
    <row r="1125" spans="13:13" ht="15" hidden="1" customHeight="1" thickBot="1" x14ac:dyDescent="0.35"/>
    <row r="1126" spans="13:13" ht="15" customHeight="1" x14ac:dyDescent="0.3"/>
    <row r="1127" spans="13:13" x14ac:dyDescent="0.3">
      <c r="M1127" s="75"/>
    </row>
    <row r="1128" spans="13:13" x14ac:dyDescent="0.3">
      <c r="M1128" s="75"/>
    </row>
    <row r="1129" spans="13:13" x14ac:dyDescent="0.3">
      <c r="M1129" s="75"/>
    </row>
    <row r="1130" spans="13:13" x14ac:dyDescent="0.3">
      <c r="M1130" s="75"/>
    </row>
    <row r="1131" spans="13:13" x14ac:dyDescent="0.3">
      <c r="M1131" s="75"/>
    </row>
    <row r="1132" spans="13:13" x14ac:dyDescent="0.3">
      <c r="M1132" s="75"/>
    </row>
    <row r="1133" spans="13:13" x14ac:dyDescent="0.3">
      <c r="M1133" s="75"/>
    </row>
    <row r="1134" spans="13:13" x14ac:dyDescent="0.3">
      <c r="M1134" s="75"/>
    </row>
    <row r="1135" spans="13:13" x14ac:dyDescent="0.3">
      <c r="M1135" s="75"/>
    </row>
    <row r="1136" spans="13:13" x14ac:dyDescent="0.3">
      <c r="M1136" s="75"/>
    </row>
    <row r="1137" spans="13:13" ht="15" customHeight="1" x14ac:dyDescent="0.3">
      <c r="M1137" s="75"/>
    </row>
    <row r="1138" spans="13:13" ht="15" hidden="1" customHeight="1" thickBot="1" x14ac:dyDescent="0.35">
      <c r="M1138" s="75"/>
    </row>
    <row r="1139" spans="13:13" ht="15" customHeight="1" x14ac:dyDescent="0.3">
      <c r="M1139" s="75"/>
    </row>
    <row r="1140" spans="13:13" x14ac:dyDescent="0.3">
      <c r="M1140" s="75"/>
    </row>
    <row r="1141" spans="13:13" x14ac:dyDescent="0.3">
      <c r="M1141" s="75"/>
    </row>
    <row r="1142" spans="13:13" x14ac:dyDescent="0.3">
      <c r="M1142" s="75"/>
    </row>
    <row r="1143" spans="13:13" x14ac:dyDescent="0.3">
      <c r="M1143" s="75"/>
    </row>
    <row r="1144" spans="13:13" x14ac:dyDescent="0.3">
      <c r="M1144" s="75"/>
    </row>
    <row r="1145" spans="13:13" x14ac:dyDescent="0.3">
      <c r="M1145" s="75"/>
    </row>
    <row r="1146" spans="13:13" x14ac:dyDescent="0.3">
      <c r="M1146" s="75"/>
    </row>
    <row r="1147" spans="13:13" x14ac:dyDescent="0.3">
      <c r="M1147" s="75"/>
    </row>
    <row r="1148" spans="13:13" x14ac:dyDescent="0.3">
      <c r="M1148" s="75"/>
    </row>
    <row r="1149" spans="13:13" x14ac:dyDescent="0.3">
      <c r="M1149" s="75"/>
    </row>
    <row r="1150" spans="13:13" ht="15" customHeight="1" x14ac:dyDescent="0.3">
      <c r="M1150" s="75"/>
    </row>
    <row r="1151" spans="13:13" ht="15" customHeight="1" x14ac:dyDescent="0.3">
      <c r="M1151" s="75"/>
    </row>
    <row r="1152" spans="13:13" ht="15" customHeight="1" x14ac:dyDescent="0.3">
      <c r="M1152" s="75"/>
    </row>
    <row r="1153" spans="13:13" ht="15" customHeight="1" x14ac:dyDescent="0.3">
      <c r="M1153" s="75"/>
    </row>
    <row r="1154" spans="13:13" x14ac:dyDescent="0.3">
      <c r="M1154" s="75"/>
    </row>
    <row r="1155" spans="13:13" x14ac:dyDescent="0.3">
      <c r="M1155" s="75"/>
    </row>
    <row r="1156" spans="13:13" x14ac:dyDescent="0.3">
      <c r="M1156" s="75"/>
    </row>
    <row r="1157" spans="13:13" x14ac:dyDescent="0.3">
      <c r="M1157" s="75"/>
    </row>
    <row r="1158" spans="13:13" x14ac:dyDescent="0.3">
      <c r="M1158" s="75"/>
    </row>
    <row r="1159" spans="13:13" x14ac:dyDescent="0.3">
      <c r="M1159" s="75"/>
    </row>
    <row r="1160" spans="13:13" x14ac:dyDescent="0.3">
      <c r="M1160" s="75"/>
    </row>
    <row r="1161" spans="13:13" x14ac:dyDescent="0.3">
      <c r="M1161" s="75"/>
    </row>
    <row r="1162" spans="13:13" x14ac:dyDescent="0.3">
      <c r="M1162" s="75"/>
    </row>
    <row r="1163" spans="13:13" x14ac:dyDescent="0.3">
      <c r="M1163" s="75"/>
    </row>
    <row r="1164" spans="13:13" ht="15" customHeight="1" x14ac:dyDescent="0.3">
      <c r="M1164" s="75"/>
    </row>
    <row r="1165" spans="13:13" ht="15" customHeight="1" x14ac:dyDescent="0.3">
      <c r="M1165" s="75"/>
    </row>
    <row r="1166" spans="13:13" ht="15" customHeight="1" x14ac:dyDescent="0.3">
      <c r="M1166" s="75"/>
    </row>
    <row r="1167" spans="13:13" ht="15" customHeight="1" x14ac:dyDescent="0.3">
      <c r="M1167" s="75"/>
    </row>
    <row r="1168" spans="13:13" x14ac:dyDescent="0.3">
      <c r="M1168" s="75"/>
    </row>
    <row r="1169" spans="1:28" x14ac:dyDescent="0.3">
      <c r="M1169" s="75"/>
    </row>
    <row r="1170" spans="1:28" x14ac:dyDescent="0.3">
      <c r="M1170" s="75"/>
    </row>
    <row r="1171" spans="1:28" x14ac:dyDescent="0.3">
      <c r="M1171" s="75"/>
    </row>
    <row r="1172" spans="1:28" x14ac:dyDescent="0.3">
      <c r="M1172" s="75"/>
    </row>
    <row r="1173" spans="1:28" x14ac:dyDescent="0.3">
      <c r="M1173" s="75"/>
    </row>
    <row r="1174" spans="1:28" x14ac:dyDescent="0.3">
      <c r="M1174" s="75"/>
    </row>
    <row r="1175" spans="1:28" x14ac:dyDescent="0.3">
      <c r="M1175" s="75"/>
    </row>
    <row r="1176" spans="1:28" x14ac:dyDescent="0.3">
      <c r="M1176" s="75"/>
    </row>
    <row r="1177" spans="1:28" x14ac:dyDescent="0.3">
      <c r="M1177" s="75"/>
    </row>
    <row r="1178" spans="1:28" ht="15" customHeight="1" x14ac:dyDescent="0.3">
      <c r="M1178" s="75"/>
    </row>
    <row r="1179" spans="1:28" s="75" customFormat="1" x14ac:dyDescent="0.3">
      <c r="A1179" s="95"/>
      <c r="B1179" s="162"/>
      <c r="C1179" s="96"/>
      <c r="D1179" s="97"/>
      <c r="E1179" s="154"/>
      <c r="G1179" s="47"/>
      <c r="H1179" s="47"/>
      <c r="I1179" s="47"/>
      <c r="J1179" s="47"/>
      <c r="K1179" s="47"/>
      <c r="L1179" s="47"/>
      <c r="N1179" s="47"/>
      <c r="O1179" s="47"/>
      <c r="P1179" s="47"/>
      <c r="Q1179" s="47"/>
      <c r="R1179" s="47"/>
      <c r="S1179" s="47"/>
      <c r="T1179" s="47"/>
      <c r="U1179" s="47"/>
      <c r="V1179" s="47"/>
      <c r="W1179" s="47"/>
      <c r="X1179" s="47"/>
      <c r="Y1179" s="47"/>
      <c r="Z1179" s="47"/>
      <c r="AA1179" s="47"/>
      <c r="AB1179" s="47"/>
    </row>
    <row r="1180" spans="1:28" s="75" customFormat="1" x14ac:dyDescent="0.3">
      <c r="A1180" s="95"/>
      <c r="B1180" s="162"/>
      <c r="C1180" s="96"/>
      <c r="D1180" s="97"/>
      <c r="E1180" s="154"/>
      <c r="G1180" s="47"/>
      <c r="H1180" s="47"/>
      <c r="I1180" s="47"/>
      <c r="J1180" s="47"/>
      <c r="K1180" s="47"/>
      <c r="L1180" s="47"/>
      <c r="N1180" s="47"/>
      <c r="O1180" s="47"/>
      <c r="P1180" s="47"/>
      <c r="Q1180" s="47"/>
      <c r="R1180" s="47"/>
      <c r="S1180" s="47"/>
      <c r="T1180" s="47"/>
      <c r="U1180" s="47"/>
      <c r="V1180" s="47"/>
      <c r="W1180" s="47"/>
      <c r="X1180" s="47"/>
      <c r="Y1180" s="47"/>
      <c r="Z1180" s="47"/>
      <c r="AA1180" s="47"/>
      <c r="AB1180" s="47"/>
    </row>
    <row r="1181" spans="1:28" s="75" customFormat="1" x14ac:dyDescent="0.3">
      <c r="A1181" s="95"/>
      <c r="B1181" s="162"/>
      <c r="C1181" s="96"/>
      <c r="D1181" s="97"/>
      <c r="E1181" s="154"/>
      <c r="G1181" s="47"/>
      <c r="H1181" s="47"/>
      <c r="I1181" s="47"/>
      <c r="J1181" s="47"/>
      <c r="K1181" s="47"/>
      <c r="L1181" s="47"/>
      <c r="N1181" s="47"/>
      <c r="O1181" s="47"/>
      <c r="P1181" s="47"/>
      <c r="Q1181" s="47"/>
      <c r="R1181" s="47"/>
      <c r="S1181" s="47"/>
      <c r="T1181" s="47"/>
      <c r="U1181" s="47"/>
      <c r="V1181" s="47"/>
      <c r="W1181" s="47"/>
      <c r="X1181" s="47"/>
      <c r="Y1181" s="47"/>
      <c r="Z1181" s="47"/>
      <c r="AA1181" s="47"/>
      <c r="AB1181" s="47"/>
    </row>
    <row r="1182" spans="1:28" s="75" customFormat="1" x14ac:dyDescent="0.3">
      <c r="A1182" s="95"/>
      <c r="B1182" s="162"/>
      <c r="C1182" s="96"/>
      <c r="D1182" s="97"/>
      <c r="E1182" s="154"/>
      <c r="G1182" s="47"/>
      <c r="H1182" s="47"/>
      <c r="I1182" s="47"/>
      <c r="J1182" s="47"/>
      <c r="K1182" s="47"/>
      <c r="L1182" s="47"/>
      <c r="N1182" s="47"/>
      <c r="O1182" s="47"/>
      <c r="P1182" s="47"/>
      <c r="Q1182" s="47"/>
      <c r="R1182" s="47"/>
      <c r="S1182" s="47"/>
      <c r="T1182" s="47"/>
      <c r="U1182" s="47"/>
      <c r="V1182" s="47"/>
      <c r="W1182" s="47"/>
      <c r="X1182" s="47"/>
      <c r="Y1182" s="47"/>
      <c r="Z1182" s="47"/>
      <c r="AA1182" s="47"/>
      <c r="AB1182" s="47"/>
    </row>
    <row r="1183" spans="1:28" s="75" customFormat="1" hidden="1" x14ac:dyDescent="0.3">
      <c r="A1183" s="95"/>
      <c r="B1183" s="162"/>
      <c r="C1183" s="96"/>
      <c r="D1183" s="97"/>
      <c r="E1183" s="154"/>
      <c r="G1183" s="47"/>
      <c r="H1183" s="47"/>
      <c r="I1183" s="47"/>
      <c r="J1183" s="47"/>
      <c r="K1183" s="47"/>
      <c r="L1183" s="47"/>
      <c r="N1183" s="47"/>
      <c r="O1183" s="47"/>
      <c r="P1183" s="47"/>
      <c r="Q1183" s="47"/>
      <c r="R1183" s="47"/>
      <c r="S1183" s="47"/>
      <c r="T1183" s="47"/>
      <c r="U1183" s="47"/>
      <c r="V1183" s="47"/>
      <c r="W1183" s="47"/>
      <c r="X1183" s="47"/>
      <c r="Y1183" s="47"/>
      <c r="Z1183" s="47"/>
      <c r="AA1183" s="47"/>
      <c r="AB1183" s="47"/>
    </row>
    <row r="1184" spans="1:28" s="75" customFormat="1" hidden="1" x14ac:dyDescent="0.3">
      <c r="A1184" s="95"/>
      <c r="B1184" s="162"/>
      <c r="C1184" s="96"/>
      <c r="D1184" s="97"/>
      <c r="E1184" s="154"/>
      <c r="G1184" s="47"/>
      <c r="H1184" s="47"/>
      <c r="I1184" s="47"/>
      <c r="J1184" s="47"/>
      <c r="K1184" s="47"/>
      <c r="L1184" s="47"/>
      <c r="N1184" s="47"/>
      <c r="O1184" s="47"/>
      <c r="P1184" s="47"/>
      <c r="Q1184" s="47"/>
      <c r="R1184" s="47"/>
      <c r="S1184" s="47"/>
      <c r="T1184" s="47"/>
      <c r="U1184" s="47"/>
      <c r="V1184" s="47"/>
      <c r="W1184" s="47"/>
      <c r="X1184" s="47"/>
      <c r="Y1184" s="47"/>
      <c r="Z1184" s="47"/>
      <c r="AA1184" s="47"/>
      <c r="AB1184" s="47"/>
    </row>
    <row r="1185" spans="1:28" s="75" customFormat="1" x14ac:dyDescent="0.3">
      <c r="A1185" s="95"/>
      <c r="B1185" s="162"/>
      <c r="C1185" s="96"/>
      <c r="D1185" s="97"/>
      <c r="E1185" s="154"/>
      <c r="G1185" s="47"/>
      <c r="H1185" s="47"/>
      <c r="I1185" s="47"/>
      <c r="J1185" s="47"/>
      <c r="K1185" s="47"/>
      <c r="L1185" s="47"/>
      <c r="N1185" s="47"/>
      <c r="O1185" s="47"/>
      <c r="P1185" s="47"/>
      <c r="Q1185" s="47"/>
      <c r="R1185" s="47"/>
      <c r="S1185" s="47"/>
      <c r="T1185" s="47"/>
      <c r="U1185" s="47"/>
      <c r="V1185" s="47"/>
      <c r="W1185" s="47"/>
      <c r="X1185" s="47"/>
      <c r="Y1185" s="47"/>
      <c r="Z1185" s="47"/>
      <c r="AA1185" s="47"/>
      <c r="AB1185" s="47"/>
    </row>
    <row r="1186" spans="1:28" s="75" customFormat="1" x14ac:dyDescent="0.3">
      <c r="A1186" s="95"/>
      <c r="B1186" s="162"/>
      <c r="C1186" s="96"/>
      <c r="D1186" s="97"/>
      <c r="E1186" s="154"/>
      <c r="G1186" s="47"/>
      <c r="H1186" s="47"/>
      <c r="I1186" s="47"/>
      <c r="J1186" s="47"/>
      <c r="K1186" s="47"/>
      <c r="L1186" s="47"/>
      <c r="N1186" s="47"/>
      <c r="O1186" s="47"/>
      <c r="P1186" s="47"/>
      <c r="Q1186" s="47"/>
      <c r="R1186" s="47"/>
      <c r="S1186" s="47"/>
      <c r="T1186" s="47"/>
      <c r="U1186" s="47"/>
      <c r="V1186" s="47"/>
      <c r="W1186" s="47"/>
      <c r="X1186" s="47"/>
      <c r="Y1186" s="47"/>
      <c r="Z1186" s="47"/>
      <c r="AA1186" s="47"/>
      <c r="AB1186" s="47"/>
    </row>
    <row r="1187" spans="1:28" s="75" customFormat="1" x14ac:dyDescent="0.3">
      <c r="A1187" s="95"/>
      <c r="B1187" s="162"/>
      <c r="C1187" s="96"/>
      <c r="D1187" s="97"/>
      <c r="E1187" s="154"/>
      <c r="G1187" s="47"/>
      <c r="H1187" s="47"/>
      <c r="I1187" s="47"/>
      <c r="J1187" s="47"/>
      <c r="K1187" s="47"/>
      <c r="L1187" s="47"/>
      <c r="N1187" s="47"/>
      <c r="O1187" s="47"/>
      <c r="P1187" s="47"/>
      <c r="Q1187" s="47"/>
      <c r="R1187" s="47"/>
      <c r="S1187" s="47"/>
      <c r="T1187" s="47"/>
      <c r="U1187" s="47"/>
      <c r="V1187" s="47"/>
      <c r="W1187" s="47"/>
      <c r="X1187" s="47"/>
      <c r="Y1187" s="47"/>
      <c r="Z1187" s="47"/>
      <c r="AA1187" s="47"/>
      <c r="AB1187" s="47"/>
    </row>
    <row r="1188" spans="1:28" s="75" customFormat="1" x14ac:dyDescent="0.3">
      <c r="A1188" s="95"/>
      <c r="B1188" s="162"/>
      <c r="C1188" s="96"/>
      <c r="D1188" s="97"/>
      <c r="E1188" s="154"/>
      <c r="G1188" s="47"/>
      <c r="H1188" s="47"/>
      <c r="I1188" s="47"/>
      <c r="J1188" s="47"/>
      <c r="K1188" s="47"/>
      <c r="L1188" s="47"/>
      <c r="N1188" s="47"/>
      <c r="O1188" s="47"/>
      <c r="P1188" s="47"/>
      <c r="Q1188" s="47"/>
      <c r="R1188" s="47"/>
      <c r="S1188" s="47"/>
      <c r="T1188" s="47"/>
      <c r="U1188" s="47"/>
      <c r="V1188" s="47"/>
      <c r="W1188" s="47"/>
      <c r="X1188" s="47"/>
      <c r="Y1188" s="47"/>
      <c r="Z1188" s="47"/>
      <c r="AA1188" s="47"/>
      <c r="AB1188" s="47"/>
    </row>
    <row r="1189" spans="1:28" s="75" customFormat="1" x14ac:dyDescent="0.3">
      <c r="A1189" s="95"/>
      <c r="B1189" s="162"/>
      <c r="C1189" s="96"/>
      <c r="D1189" s="97"/>
      <c r="E1189" s="154"/>
      <c r="G1189" s="47"/>
      <c r="H1189" s="47"/>
      <c r="I1189" s="47"/>
      <c r="J1189" s="47"/>
      <c r="K1189" s="47"/>
      <c r="L1189" s="47"/>
      <c r="N1189" s="47"/>
      <c r="O1189" s="47"/>
      <c r="P1189" s="47"/>
      <c r="Q1189" s="47"/>
      <c r="R1189" s="47"/>
      <c r="S1189" s="47"/>
      <c r="T1189" s="47"/>
      <c r="U1189" s="47"/>
      <c r="V1189" s="47"/>
      <c r="W1189" s="47"/>
      <c r="X1189" s="47"/>
      <c r="Y1189" s="47"/>
      <c r="Z1189" s="47"/>
      <c r="AA1189" s="47"/>
      <c r="AB1189" s="47"/>
    </row>
    <row r="1190" spans="1:28" s="75" customFormat="1" x14ac:dyDescent="0.3">
      <c r="A1190" s="95"/>
      <c r="B1190" s="162"/>
      <c r="C1190" s="96"/>
      <c r="D1190" s="97"/>
      <c r="E1190" s="154"/>
      <c r="G1190" s="47"/>
      <c r="H1190" s="47"/>
      <c r="I1190" s="47"/>
      <c r="J1190" s="47"/>
      <c r="K1190" s="47"/>
      <c r="L1190" s="47"/>
      <c r="N1190" s="47"/>
      <c r="O1190" s="47"/>
      <c r="P1190" s="47"/>
      <c r="Q1190" s="47"/>
      <c r="R1190" s="47"/>
      <c r="S1190" s="47"/>
      <c r="T1190" s="47"/>
      <c r="U1190" s="47"/>
      <c r="V1190" s="47"/>
      <c r="W1190" s="47"/>
      <c r="X1190" s="47"/>
      <c r="Y1190" s="47"/>
      <c r="Z1190" s="47"/>
      <c r="AA1190" s="47"/>
      <c r="AB1190" s="47"/>
    </row>
    <row r="1191" spans="1:28" s="75" customFormat="1" x14ac:dyDescent="0.3">
      <c r="A1191" s="95"/>
      <c r="B1191" s="162"/>
      <c r="C1191" s="96"/>
      <c r="D1191" s="97"/>
      <c r="E1191" s="154"/>
      <c r="G1191" s="47"/>
      <c r="H1191" s="47"/>
      <c r="I1191" s="47"/>
      <c r="J1191" s="47"/>
      <c r="K1191" s="47"/>
      <c r="L1191" s="47"/>
      <c r="N1191" s="47"/>
      <c r="O1191" s="47"/>
      <c r="P1191" s="47"/>
      <c r="Q1191" s="47"/>
      <c r="R1191" s="47"/>
      <c r="S1191" s="47"/>
      <c r="T1191" s="47"/>
      <c r="U1191" s="47"/>
      <c r="V1191" s="47"/>
      <c r="W1191" s="47"/>
      <c r="X1191" s="47"/>
      <c r="Y1191" s="47"/>
      <c r="Z1191" s="47"/>
      <c r="AA1191" s="47"/>
      <c r="AB1191" s="47"/>
    </row>
    <row r="1192" spans="1:28" s="75" customFormat="1" x14ac:dyDescent="0.3">
      <c r="A1192" s="95"/>
      <c r="B1192" s="162"/>
      <c r="C1192" s="96"/>
      <c r="D1192" s="97"/>
      <c r="E1192" s="154"/>
      <c r="G1192" s="47"/>
      <c r="H1192" s="47"/>
      <c r="I1192" s="47"/>
      <c r="J1192" s="47"/>
      <c r="K1192" s="47"/>
      <c r="L1192" s="47"/>
      <c r="N1192" s="47"/>
      <c r="O1192" s="47"/>
      <c r="P1192" s="47"/>
      <c r="Q1192" s="47"/>
      <c r="R1192" s="47"/>
      <c r="S1192" s="47"/>
      <c r="T1192" s="47"/>
      <c r="U1192" s="47"/>
      <c r="V1192" s="47"/>
      <c r="W1192" s="47"/>
      <c r="X1192" s="47"/>
      <c r="Y1192" s="47"/>
      <c r="Z1192" s="47"/>
      <c r="AA1192" s="47"/>
      <c r="AB1192" s="47"/>
    </row>
    <row r="1193" spans="1:28" s="75" customFormat="1" x14ac:dyDescent="0.3">
      <c r="A1193" s="95"/>
      <c r="B1193" s="162"/>
      <c r="C1193" s="96"/>
      <c r="D1193" s="97"/>
      <c r="E1193" s="154"/>
      <c r="G1193" s="47"/>
      <c r="H1193" s="47"/>
      <c r="I1193" s="47"/>
      <c r="J1193" s="47"/>
      <c r="K1193" s="47"/>
      <c r="L1193" s="47"/>
      <c r="N1193" s="47"/>
      <c r="O1193" s="47"/>
      <c r="P1193" s="47"/>
      <c r="Q1193" s="47"/>
      <c r="R1193" s="47"/>
      <c r="S1193" s="47"/>
      <c r="T1193" s="47"/>
      <c r="U1193" s="47"/>
      <c r="V1193" s="47"/>
      <c r="W1193" s="47"/>
      <c r="X1193" s="47"/>
      <c r="Y1193" s="47"/>
      <c r="Z1193" s="47"/>
      <c r="AA1193" s="47"/>
      <c r="AB1193" s="47"/>
    </row>
    <row r="1194" spans="1:28" s="75" customFormat="1" x14ac:dyDescent="0.3">
      <c r="A1194" s="95"/>
      <c r="B1194" s="162"/>
      <c r="C1194" s="96"/>
      <c r="D1194" s="97"/>
      <c r="E1194" s="154"/>
      <c r="G1194" s="47"/>
      <c r="H1194" s="47"/>
      <c r="I1194" s="47"/>
      <c r="J1194" s="47"/>
      <c r="K1194" s="47"/>
      <c r="L1194" s="47"/>
      <c r="N1194" s="47"/>
      <c r="O1194" s="47"/>
      <c r="P1194" s="47"/>
      <c r="Q1194" s="47"/>
      <c r="R1194" s="47"/>
      <c r="S1194" s="47"/>
      <c r="T1194" s="47"/>
      <c r="U1194" s="47"/>
      <c r="V1194" s="47"/>
      <c r="W1194" s="47"/>
      <c r="X1194" s="47"/>
      <c r="Y1194" s="47"/>
      <c r="Z1194" s="47"/>
      <c r="AA1194" s="47"/>
      <c r="AB1194" s="47"/>
    </row>
    <row r="1195" spans="1:28" s="75" customFormat="1" x14ac:dyDescent="0.3">
      <c r="A1195" s="95"/>
      <c r="B1195" s="162"/>
      <c r="C1195" s="96"/>
      <c r="D1195" s="97"/>
      <c r="E1195" s="154"/>
      <c r="G1195" s="47"/>
      <c r="H1195" s="47"/>
      <c r="I1195" s="47"/>
      <c r="J1195" s="47"/>
      <c r="K1195" s="47"/>
      <c r="L1195" s="47"/>
      <c r="N1195" s="47"/>
      <c r="O1195" s="47"/>
      <c r="P1195" s="47"/>
      <c r="Q1195" s="47"/>
      <c r="R1195" s="47"/>
      <c r="S1195" s="47"/>
      <c r="T1195" s="47"/>
      <c r="U1195" s="47"/>
      <c r="V1195" s="47"/>
      <c r="W1195" s="47"/>
      <c r="X1195" s="47"/>
      <c r="Y1195" s="47"/>
      <c r="Z1195" s="47"/>
      <c r="AA1195" s="47"/>
      <c r="AB1195" s="47"/>
    </row>
    <row r="1196" spans="1:28" s="75" customFormat="1" x14ac:dyDescent="0.3">
      <c r="A1196" s="95"/>
      <c r="B1196" s="162"/>
      <c r="C1196" s="96"/>
      <c r="D1196" s="97"/>
      <c r="E1196" s="154"/>
      <c r="G1196" s="47"/>
      <c r="H1196" s="47"/>
      <c r="I1196" s="47"/>
      <c r="J1196" s="47"/>
      <c r="K1196" s="47"/>
      <c r="L1196" s="47"/>
      <c r="N1196" s="47"/>
      <c r="O1196" s="47"/>
      <c r="P1196" s="47"/>
      <c r="Q1196" s="47"/>
      <c r="R1196" s="47"/>
      <c r="S1196" s="47"/>
      <c r="T1196" s="47"/>
      <c r="U1196" s="47"/>
      <c r="V1196" s="47"/>
      <c r="W1196" s="47"/>
      <c r="X1196" s="47"/>
      <c r="Y1196" s="47"/>
      <c r="Z1196" s="47"/>
      <c r="AA1196" s="47"/>
      <c r="AB1196" s="47"/>
    </row>
    <row r="1197" spans="1:28" s="75" customFormat="1" x14ac:dyDescent="0.3">
      <c r="A1197" s="95"/>
      <c r="B1197" s="162"/>
      <c r="C1197" s="96"/>
      <c r="D1197" s="97"/>
      <c r="E1197" s="154"/>
      <c r="G1197" s="47"/>
      <c r="H1197" s="47"/>
      <c r="I1197" s="47"/>
      <c r="J1197" s="47"/>
      <c r="K1197" s="47"/>
      <c r="L1197" s="47"/>
      <c r="N1197" s="47"/>
      <c r="O1197" s="47"/>
      <c r="P1197" s="47"/>
      <c r="Q1197" s="47"/>
      <c r="R1197" s="47"/>
      <c r="S1197" s="47"/>
      <c r="T1197" s="47"/>
      <c r="U1197" s="47"/>
      <c r="V1197" s="47"/>
      <c r="W1197" s="47"/>
      <c r="X1197" s="47"/>
      <c r="Y1197" s="47"/>
      <c r="Z1197" s="47"/>
      <c r="AA1197" s="47"/>
      <c r="AB1197" s="47"/>
    </row>
    <row r="1198" spans="1:28" s="75" customFormat="1" x14ac:dyDescent="0.3">
      <c r="A1198" s="95"/>
      <c r="B1198" s="162"/>
      <c r="C1198" s="96"/>
      <c r="D1198" s="97"/>
      <c r="E1198" s="154"/>
      <c r="G1198" s="47"/>
      <c r="H1198" s="47"/>
      <c r="I1198" s="47"/>
      <c r="J1198" s="47"/>
      <c r="K1198" s="47"/>
      <c r="N1198" s="47"/>
      <c r="O1198" s="47"/>
      <c r="P1198" s="47"/>
      <c r="Q1198" s="47"/>
      <c r="R1198" s="47"/>
      <c r="S1198" s="47"/>
      <c r="T1198" s="47"/>
      <c r="U1198" s="47"/>
      <c r="V1198" s="47"/>
      <c r="W1198" s="47"/>
      <c r="X1198" s="47"/>
      <c r="Y1198" s="47"/>
    </row>
    <row r="1199" spans="1:28" s="75" customFormat="1" x14ac:dyDescent="0.3">
      <c r="A1199" s="95"/>
      <c r="B1199" s="162"/>
      <c r="C1199" s="96"/>
      <c r="D1199" s="97"/>
      <c r="E1199" s="154"/>
      <c r="G1199" s="47"/>
      <c r="H1199" s="47"/>
      <c r="I1199" s="47"/>
      <c r="J1199" s="47"/>
      <c r="K1199" s="47"/>
      <c r="O1199" s="47"/>
      <c r="P1199" s="47"/>
      <c r="Q1199" s="47"/>
      <c r="R1199" s="47"/>
      <c r="S1199" s="47"/>
      <c r="T1199" s="47"/>
      <c r="U1199" s="47"/>
      <c r="V1199" s="47"/>
      <c r="W1199" s="47"/>
      <c r="X1199" s="47"/>
    </row>
    <row r="1200" spans="1:28" s="75" customFormat="1" x14ac:dyDescent="0.3">
      <c r="A1200" s="95"/>
      <c r="B1200" s="162"/>
      <c r="C1200" s="96"/>
      <c r="D1200" s="97"/>
      <c r="E1200" s="154"/>
      <c r="G1200" s="47"/>
      <c r="H1200" s="47"/>
      <c r="I1200" s="47"/>
      <c r="J1200" s="47"/>
      <c r="K1200" s="47"/>
    </row>
    <row r="1201" spans="1:13" s="75" customFormat="1" x14ac:dyDescent="0.3">
      <c r="A1201" s="95"/>
      <c r="B1201" s="162"/>
      <c r="C1201" s="96"/>
      <c r="D1201" s="97"/>
      <c r="E1201" s="154"/>
      <c r="G1201" s="47"/>
      <c r="H1201" s="47"/>
      <c r="I1201" s="47"/>
      <c r="J1201" s="47"/>
      <c r="K1201" s="47"/>
    </row>
    <row r="1202" spans="1:13" s="75" customFormat="1" x14ac:dyDescent="0.3">
      <c r="A1202" s="95"/>
      <c r="B1202" s="162"/>
      <c r="C1202" s="96"/>
      <c r="D1202" s="97"/>
      <c r="E1202" s="154"/>
      <c r="G1202" s="47"/>
      <c r="H1202" s="47"/>
      <c r="I1202" s="47"/>
      <c r="J1202" s="47"/>
      <c r="K1202" s="47"/>
    </row>
    <row r="1203" spans="1:13" s="75" customFormat="1" x14ac:dyDescent="0.3">
      <c r="A1203" s="95"/>
      <c r="B1203" s="162"/>
      <c r="C1203" s="96"/>
      <c r="D1203" s="97"/>
      <c r="E1203" s="154"/>
      <c r="G1203" s="47"/>
      <c r="H1203" s="47"/>
      <c r="I1203" s="47"/>
      <c r="J1203" s="47"/>
      <c r="K1203" s="47"/>
      <c r="M1203" s="47"/>
    </row>
    <row r="1204" spans="1:13" s="75" customFormat="1" x14ac:dyDescent="0.3">
      <c r="A1204" s="95"/>
      <c r="B1204" s="162"/>
      <c r="C1204" s="96"/>
      <c r="D1204" s="97"/>
      <c r="E1204" s="154"/>
      <c r="G1204" s="47"/>
      <c r="H1204" s="47"/>
      <c r="I1204" s="47"/>
      <c r="J1204" s="47"/>
      <c r="K1204" s="47"/>
      <c r="M1204" s="47"/>
    </row>
    <row r="1205" spans="1:13" s="75" customFormat="1" x14ac:dyDescent="0.3">
      <c r="A1205" s="95"/>
      <c r="B1205" s="162"/>
      <c r="C1205" s="96"/>
      <c r="D1205" s="97"/>
      <c r="E1205" s="154"/>
      <c r="G1205" s="47"/>
      <c r="H1205" s="47"/>
      <c r="I1205" s="47"/>
      <c r="J1205" s="47"/>
      <c r="K1205" s="47"/>
      <c r="M1205" s="47"/>
    </row>
    <row r="1206" spans="1:13" s="75" customFormat="1" x14ac:dyDescent="0.3">
      <c r="A1206" s="95"/>
      <c r="B1206" s="162"/>
      <c r="C1206" s="96"/>
      <c r="D1206" s="97"/>
      <c r="E1206" s="154"/>
      <c r="G1206" s="47"/>
      <c r="H1206" s="47"/>
      <c r="I1206" s="47"/>
      <c r="J1206" s="47"/>
      <c r="K1206" s="47"/>
      <c r="M1206" s="47"/>
    </row>
    <row r="1207" spans="1:13" s="75" customFormat="1" x14ac:dyDescent="0.3">
      <c r="A1207" s="95"/>
      <c r="B1207" s="162"/>
      <c r="C1207" s="96"/>
      <c r="D1207" s="97"/>
      <c r="E1207" s="154"/>
      <c r="G1207" s="47"/>
      <c r="H1207" s="47"/>
      <c r="I1207" s="47"/>
      <c r="J1207" s="47"/>
      <c r="K1207" s="47"/>
      <c r="M1207" s="47"/>
    </row>
    <row r="1208" spans="1:13" s="75" customFormat="1" x14ac:dyDescent="0.3">
      <c r="A1208" s="95"/>
      <c r="B1208" s="162"/>
      <c r="C1208" s="96"/>
      <c r="D1208" s="97"/>
      <c r="E1208" s="154"/>
      <c r="G1208" s="47"/>
      <c r="H1208" s="47"/>
      <c r="I1208" s="47"/>
      <c r="J1208" s="47"/>
      <c r="K1208" s="47"/>
      <c r="M1208" s="47"/>
    </row>
    <row r="1209" spans="1:13" s="75" customFormat="1" x14ac:dyDescent="0.3">
      <c r="A1209" s="95"/>
      <c r="B1209" s="162"/>
      <c r="C1209" s="96"/>
      <c r="D1209" s="97"/>
      <c r="E1209" s="154"/>
      <c r="G1209" s="47"/>
      <c r="H1209" s="47"/>
      <c r="I1209" s="47"/>
      <c r="J1209" s="47"/>
      <c r="K1209" s="47"/>
      <c r="M1209" s="47"/>
    </row>
    <row r="1210" spans="1:13" s="75" customFormat="1" x14ac:dyDescent="0.3">
      <c r="A1210" s="95"/>
      <c r="B1210" s="162"/>
      <c r="C1210" s="96"/>
      <c r="D1210" s="97"/>
      <c r="E1210" s="154"/>
      <c r="G1210" s="47"/>
      <c r="H1210" s="47"/>
      <c r="I1210" s="47"/>
      <c r="J1210" s="47"/>
      <c r="K1210" s="47"/>
      <c r="M1210" s="47"/>
    </row>
    <row r="1211" spans="1:13" s="75" customFormat="1" x14ac:dyDescent="0.3">
      <c r="A1211" s="95"/>
      <c r="B1211" s="162"/>
      <c r="C1211" s="96"/>
      <c r="D1211" s="97"/>
      <c r="E1211" s="154"/>
      <c r="G1211" s="47"/>
      <c r="H1211" s="47"/>
      <c r="I1211" s="47"/>
      <c r="J1211" s="47"/>
      <c r="K1211" s="47"/>
      <c r="M1211" s="47"/>
    </row>
    <row r="1212" spans="1:13" s="75" customFormat="1" x14ac:dyDescent="0.3">
      <c r="A1212" s="95"/>
      <c r="B1212" s="162"/>
      <c r="C1212" s="96"/>
      <c r="D1212" s="97"/>
      <c r="E1212" s="154"/>
      <c r="G1212" s="47"/>
      <c r="H1212" s="47"/>
      <c r="I1212" s="47"/>
      <c r="J1212" s="47"/>
      <c r="K1212" s="47"/>
      <c r="M1212" s="47"/>
    </row>
    <row r="1213" spans="1:13" s="75" customFormat="1" x14ac:dyDescent="0.3">
      <c r="A1213" s="95"/>
      <c r="B1213" s="162"/>
      <c r="C1213" s="96"/>
      <c r="D1213" s="97"/>
      <c r="E1213" s="154"/>
      <c r="G1213" s="47"/>
      <c r="H1213" s="47"/>
      <c r="I1213" s="47"/>
      <c r="J1213" s="47"/>
      <c r="K1213" s="47"/>
      <c r="M1213" s="47"/>
    </row>
    <row r="1214" spans="1:13" s="75" customFormat="1" x14ac:dyDescent="0.3">
      <c r="A1214" s="95"/>
      <c r="B1214" s="162"/>
      <c r="C1214" s="96"/>
      <c r="D1214" s="97"/>
      <c r="E1214" s="154"/>
      <c r="G1214" s="47"/>
      <c r="H1214" s="47"/>
      <c r="I1214" s="47"/>
      <c r="J1214" s="47"/>
      <c r="K1214" s="47"/>
      <c r="M1214" s="47"/>
    </row>
    <row r="1215" spans="1:13" s="75" customFormat="1" x14ac:dyDescent="0.3">
      <c r="A1215" s="95"/>
      <c r="B1215" s="162"/>
      <c r="C1215" s="96"/>
      <c r="D1215" s="97"/>
      <c r="E1215" s="154"/>
      <c r="G1215" s="47"/>
      <c r="H1215" s="47"/>
      <c r="I1215" s="47"/>
      <c r="J1215" s="47"/>
      <c r="K1215" s="47"/>
      <c r="M1215" s="47"/>
    </row>
    <row r="1216" spans="1:13" s="75" customFormat="1" x14ac:dyDescent="0.3">
      <c r="A1216" s="95"/>
      <c r="B1216" s="162"/>
      <c r="C1216" s="96"/>
      <c r="D1216" s="97"/>
      <c r="E1216" s="154"/>
      <c r="G1216" s="47"/>
      <c r="H1216" s="47"/>
      <c r="I1216" s="47"/>
      <c r="J1216" s="47"/>
      <c r="K1216" s="47"/>
      <c r="M1216" s="47"/>
    </row>
    <row r="1217" spans="1:13" s="75" customFormat="1" x14ac:dyDescent="0.3">
      <c r="A1217" s="95"/>
      <c r="B1217" s="162"/>
      <c r="C1217" s="96"/>
      <c r="D1217" s="97"/>
      <c r="E1217" s="154"/>
      <c r="G1217" s="47"/>
      <c r="H1217" s="47"/>
      <c r="I1217" s="47"/>
      <c r="J1217" s="47"/>
      <c r="K1217" s="47"/>
      <c r="M1217" s="47"/>
    </row>
    <row r="1218" spans="1:13" s="75" customFormat="1" x14ac:dyDescent="0.3">
      <c r="A1218" s="95"/>
      <c r="B1218" s="162"/>
      <c r="C1218" s="96"/>
      <c r="D1218" s="97"/>
      <c r="E1218" s="154"/>
      <c r="G1218" s="47"/>
      <c r="H1218" s="47"/>
      <c r="I1218" s="47"/>
      <c r="J1218" s="47"/>
      <c r="K1218" s="47"/>
      <c r="M1218" s="47"/>
    </row>
    <row r="1219" spans="1:13" s="75" customFormat="1" x14ac:dyDescent="0.3">
      <c r="A1219" s="95"/>
      <c r="B1219" s="162"/>
      <c r="C1219" s="96"/>
      <c r="D1219" s="97"/>
      <c r="E1219" s="154"/>
      <c r="G1219" s="47"/>
      <c r="H1219" s="47"/>
      <c r="I1219" s="47"/>
      <c r="J1219" s="47"/>
      <c r="K1219" s="47"/>
      <c r="M1219" s="47"/>
    </row>
    <row r="1220" spans="1:13" s="75" customFormat="1" x14ac:dyDescent="0.3">
      <c r="A1220" s="95"/>
      <c r="B1220" s="162"/>
      <c r="C1220" s="96"/>
      <c r="D1220" s="97"/>
      <c r="E1220" s="154"/>
      <c r="G1220" s="47"/>
      <c r="H1220" s="47"/>
      <c r="I1220" s="47"/>
      <c r="J1220" s="47"/>
      <c r="K1220" s="47"/>
      <c r="M1220" s="76"/>
    </row>
    <row r="1221" spans="1:13" s="75" customFormat="1" x14ac:dyDescent="0.3">
      <c r="A1221" s="95"/>
      <c r="B1221" s="162"/>
      <c r="C1221" s="96"/>
      <c r="D1221" s="97"/>
      <c r="E1221" s="154"/>
      <c r="G1221" s="47"/>
      <c r="H1221" s="47"/>
      <c r="I1221" s="47"/>
      <c r="J1221" s="47"/>
      <c r="K1221" s="47"/>
      <c r="M1221" s="47"/>
    </row>
    <row r="1222" spans="1:13" s="75" customFormat="1" x14ac:dyDescent="0.3">
      <c r="A1222" s="95"/>
      <c r="B1222" s="162"/>
      <c r="C1222" s="96"/>
      <c r="D1222" s="97"/>
      <c r="E1222" s="154"/>
      <c r="G1222" s="47"/>
      <c r="H1222" s="47"/>
      <c r="I1222" s="47"/>
      <c r="J1222" s="47"/>
      <c r="K1222" s="47"/>
      <c r="M1222" s="47"/>
    </row>
    <row r="1223" spans="1:13" s="75" customFormat="1" x14ac:dyDescent="0.3">
      <c r="A1223" s="95"/>
      <c r="B1223" s="162"/>
      <c r="C1223" s="96"/>
      <c r="D1223" s="97"/>
      <c r="E1223" s="154"/>
      <c r="G1223" s="47"/>
      <c r="H1223" s="47"/>
      <c r="I1223" s="47"/>
      <c r="J1223" s="47"/>
      <c r="K1223" s="47"/>
      <c r="M1223" s="47"/>
    </row>
    <row r="1224" spans="1:13" s="75" customFormat="1" x14ac:dyDescent="0.3">
      <c r="A1224" s="95"/>
      <c r="B1224" s="162"/>
      <c r="C1224" s="96"/>
      <c r="D1224" s="97"/>
      <c r="E1224" s="154"/>
      <c r="G1224" s="47"/>
      <c r="H1224" s="47"/>
      <c r="I1224" s="47"/>
      <c r="J1224" s="47"/>
      <c r="K1224" s="47"/>
      <c r="M1224" s="47"/>
    </row>
    <row r="1225" spans="1:13" s="75" customFormat="1" x14ac:dyDescent="0.3">
      <c r="A1225" s="95"/>
      <c r="B1225" s="162"/>
      <c r="C1225" s="96"/>
      <c r="D1225" s="97"/>
      <c r="E1225" s="154"/>
      <c r="G1225" s="47"/>
      <c r="H1225" s="47"/>
      <c r="I1225" s="47"/>
      <c r="J1225" s="47"/>
      <c r="K1225" s="47"/>
      <c r="M1225" s="47"/>
    </row>
    <row r="1226" spans="1:13" s="75" customFormat="1" x14ac:dyDescent="0.3">
      <c r="A1226" s="95"/>
      <c r="B1226" s="162"/>
      <c r="C1226" s="96"/>
      <c r="D1226" s="97"/>
      <c r="E1226" s="154"/>
      <c r="G1226" s="47"/>
      <c r="H1226" s="47"/>
      <c r="I1226" s="47"/>
      <c r="J1226" s="47"/>
      <c r="K1226" s="47"/>
      <c r="M1226" s="47"/>
    </row>
    <row r="1227" spans="1:13" s="75" customFormat="1" x14ac:dyDescent="0.3">
      <c r="A1227" s="95"/>
      <c r="B1227" s="162"/>
      <c r="C1227" s="96"/>
      <c r="D1227" s="97"/>
      <c r="E1227" s="154"/>
      <c r="G1227" s="47"/>
      <c r="H1227" s="47"/>
      <c r="I1227" s="47"/>
      <c r="J1227" s="47"/>
      <c r="K1227" s="47"/>
      <c r="M1227" s="47"/>
    </row>
    <row r="1228" spans="1:13" s="75" customFormat="1" x14ac:dyDescent="0.3">
      <c r="A1228" s="95"/>
      <c r="B1228" s="162"/>
      <c r="C1228" s="96"/>
      <c r="D1228" s="97"/>
      <c r="E1228" s="154"/>
      <c r="G1228" s="47"/>
      <c r="H1228" s="47"/>
      <c r="I1228" s="47"/>
      <c r="J1228" s="47"/>
      <c r="K1228" s="47"/>
      <c r="M1228" s="47"/>
    </row>
    <row r="1229" spans="1:13" s="75" customFormat="1" x14ac:dyDescent="0.3">
      <c r="A1229" s="95"/>
      <c r="B1229" s="162"/>
      <c r="C1229" s="96"/>
      <c r="D1229" s="97"/>
      <c r="E1229" s="154"/>
      <c r="G1229" s="47"/>
      <c r="H1229" s="47"/>
      <c r="I1229" s="47"/>
      <c r="J1229" s="47"/>
      <c r="K1229" s="47"/>
      <c r="M1229" s="47"/>
    </row>
    <row r="1230" spans="1:13" s="75" customFormat="1" x14ac:dyDescent="0.3">
      <c r="A1230" s="95"/>
      <c r="B1230" s="162"/>
      <c r="C1230" s="96"/>
      <c r="D1230" s="97"/>
      <c r="E1230" s="154"/>
      <c r="G1230" s="47"/>
      <c r="H1230" s="47"/>
      <c r="I1230" s="47"/>
      <c r="J1230" s="47"/>
      <c r="K1230" s="47"/>
      <c r="M1230" s="47"/>
    </row>
    <row r="1231" spans="1:13" s="75" customFormat="1" x14ac:dyDescent="0.3">
      <c r="A1231" s="95"/>
      <c r="B1231" s="162"/>
      <c r="C1231" s="96"/>
      <c r="D1231" s="97"/>
      <c r="E1231" s="154"/>
      <c r="G1231" s="47"/>
      <c r="H1231" s="47"/>
      <c r="I1231" s="47"/>
      <c r="J1231" s="47"/>
      <c r="K1231" s="47"/>
      <c r="M1231" s="47"/>
    </row>
    <row r="1232" spans="1:13" s="75" customFormat="1" x14ac:dyDescent="0.3">
      <c r="A1232" s="95"/>
      <c r="B1232" s="162"/>
      <c r="C1232" s="96"/>
      <c r="D1232" s="97"/>
      <c r="E1232" s="154"/>
      <c r="G1232" s="47"/>
      <c r="H1232" s="47"/>
      <c r="I1232" s="47"/>
      <c r="J1232" s="47"/>
      <c r="K1232" s="47"/>
      <c r="M1232" s="47"/>
    </row>
    <row r="1233" spans="1:13" s="75" customFormat="1" x14ac:dyDescent="0.3">
      <c r="A1233" s="95"/>
      <c r="B1233" s="162"/>
      <c r="C1233" s="96"/>
      <c r="D1233" s="97"/>
      <c r="E1233" s="154"/>
      <c r="G1233" s="47"/>
      <c r="H1233" s="47"/>
      <c r="I1233" s="47"/>
      <c r="J1233" s="47"/>
      <c r="K1233" s="47"/>
      <c r="M1233" s="47"/>
    </row>
    <row r="1234" spans="1:13" s="75" customFormat="1" x14ac:dyDescent="0.3">
      <c r="A1234" s="95"/>
      <c r="B1234" s="162"/>
      <c r="C1234" s="96"/>
      <c r="D1234" s="97"/>
      <c r="E1234" s="154"/>
      <c r="G1234" s="47"/>
      <c r="H1234" s="47"/>
      <c r="I1234" s="47"/>
      <c r="J1234" s="47"/>
      <c r="K1234" s="47"/>
      <c r="M1234" s="47"/>
    </row>
    <row r="1235" spans="1:13" s="75" customFormat="1" x14ac:dyDescent="0.3">
      <c r="A1235" s="95"/>
      <c r="B1235" s="162"/>
      <c r="C1235" s="96"/>
      <c r="D1235" s="97"/>
      <c r="E1235" s="154"/>
      <c r="G1235" s="47"/>
      <c r="H1235" s="47"/>
      <c r="I1235" s="47"/>
      <c r="J1235" s="47"/>
      <c r="K1235" s="47"/>
      <c r="M1235" s="47"/>
    </row>
    <row r="1236" spans="1:13" s="75" customFormat="1" x14ac:dyDescent="0.3">
      <c r="A1236" s="95"/>
      <c r="B1236" s="162"/>
      <c r="C1236" s="96"/>
      <c r="D1236" s="97"/>
      <c r="E1236" s="154"/>
      <c r="G1236" s="47"/>
      <c r="H1236" s="47"/>
      <c r="I1236" s="47"/>
      <c r="J1236" s="47"/>
      <c r="K1236" s="47"/>
      <c r="M1236" s="47"/>
    </row>
    <row r="1237" spans="1:13" s="75" customFormat="1" x14ac:dyDescent="0.3">
      <c r="A1237" s="95"/>
      <c r="B1237" s="162"/>
      <c r="C1237" s="96"/>
      <c r="D1237" s="97"/>
      <c r="E1237" s="154"/>
      <c r="G1237" s="47"/>
      <c r="H1237" s="47"/>
      <c r="I1237" s="47"/>
      <c r="J1237" s="47"/>
      <c r="K1237" s="47"/>
      <c r="M1237" s="47"/>
    </row>
    <row r="1238" spans="1:13" s="75" customFormat="1" x14ac:dyDescent="0.3">
      <c r="A1238" s="95"/>
      <c r="B1238" s="162"/>
      <c r="C1238" s="96"/>
      <c r="D1238" s="97"/>
      <c r="E1238" s="154"/>
      <c r="G1238" s="47"/>
      <c r="H1238" s="47"/>
      <c r="I1238" s="47"/>
      <c r="J1238" s="47"/>
      <c r="K1238" s="47"/>
      <c r="M1238" s="47"/>
    </row>
    <row r="1239" spans="1:13" s="75" customFormat="1" x14ac:dyDescent="0.3">
      <c r="A1239" s="95"/>
      <c r="B1239" s="162"/>
      <c r="C1239" s="96"/>
      <c r="D1239" s="97"/>
      <c r="E1239" s="154"/>
      <c r="G1239" s="47"/>
      <c r="H1239" s="47"/>
      <c r="I1239" s="47"/>
      <c r="J1239" s="47"/>
      <c r="K1239" s="47"/>
      <c r="M1239" s="47"/>
    </row>
    <row r="1240" spans="1:13" s="75" customFormat="1" x14ac:dyDescent="0.3">
      <c r="A1240" s="95"/>
      <c r="B1240" s="162"/>
      <c r="C1240" s="96"/>
      <c r="D1240" s="97"/>
      <c r="E1240" s="154"/>
      <c r="G1240" s="47"/>
      <c r="H1240" s="47"/>
      <c r="I1240" s="47"/>
      <c r="J1240" s="47"/>
      <c r="K1240" s="47"/>
      <c r="M1240" s="47"/>
    </row>
    <row r="1241" spans="1:13" s="75" customFormat="1" x14ac:dyDescent="0.3">
      <c r="A1241" s="95"/>
      <c r="B1241" s="162"/>
      <c r="C1241" s="96"/>
      <c r="D1241" s="97"/>
      <c r="E1241" s="154"/>
      <c r="G1241" s="47"/>
      <c r="H1241" s="47"/>
      <c r="I1241" s="47"/>
      <c r="J1241" s="47"/>
      <c r="K1241" s="47"/>
      <c r="M1241" s="47"/>
    </row>
    <row r="1242" spans="1:13" s="75" customFormat="1" x14ac:dyDescent="0.3">
      <c r="A1242" s="95"/>
      <c r="B1242" s="162"/>
      <c r="C1242" s="96"/>
      <c r="D1242" s="97"/>
      <c r="E1242" s="154"/>
      <c r="G1242" s="47"/>
      <c r="H1242" s="47"/>
      <c r="I1242" s="47"/>
      <c r="J1242" s="47"/>
      <c r="K1242" s="47"/>
      <c r="M1242" s="47"/>
    </row>
    <row r="1243" spans="1:13" s="75" customFormat="1" x14ac:dyDescent="0.3">
      <c r="A1243" s="95"/>
      <c r="B1243" s="162"/>
      <c r="C1243" s="96"/>
      <c r="D1243" s="97"/>
      <c r="E1243" s="154"/>
      <c r="G1243" s="47"/>
      <c r="H1243" s="47"/>
      <c r="I1243" s="47"/>
      <c r="J1243" s="47"/>
      <c r="K1243" s="47"/>
      <c r="M1243" s="47"/>
    </row>
    <row r="1244" spans="1:13" s="75" customFormat="1" x14ac:dyDescent="0.3">
      <c r="A1244" s="95"/>
      <c r="B1244" s="162"/>
      <c r="C1244" s="96"/>
      <c r="D1244" s="97"/>
      <c r="E1244" s="154"/>
      <c r="G1244" s="47"/>
      <c r="H1244" s="47"/>
      <c r="I1244" s="47"/>
      <c r="J1244" s="47"/>
      <c r="K1244" s="47"/>
      <c r="M1244" s="47"/>
    </row>
    <row r="1245" spans="1:13" s="75" customFormat="1" x14ac:dyDescent="0.3">
      <c r="A1245" s="95"/>
      <c r="B1245" s="162"/>
      <c r="C1245" s="96"/>
      <c r="D1245" s="97"/>
      <c r="E1245" s="154"/>
      <c r="G1245" s="47"/>
      <c r="H1245" s="47"/>
      <c r="I1245" s="47"/>
      <c r="J1245" s="47"/>
      <c r="K1245" s="47"/>
      <c r="M1245" s="47"/>
    </row>
    <row r="1246" spans="1:13" s="75" customFormat="1" x14ac:dyDescent="0.3">
      <c r="A1246" s="95"/>
      <c r="B1246" s="162"/>
      <c r="C1246" s="96"/>
      <c r="D1246" s="97"/>
      <c r="E1246" s="154"/>
      <c r="G1246" s="47"/>
      <c r="H1246" s="47"/>
      <c r="I1246" s="47"/>
      <c r="J1246" s="47"/>
      <c r="K1246" s="47"/>
      <c r="M1246" s="47"/>
    </row>
    <row r="1247" spans="1:13" s="75" customFormat="1" x14ac:dyDescent="0.3">
      <c r="A1247" s="95"/>
      <c r="B1247" s="162"/>
      <c r="C1247" s="96"/>
      <c r="D1247" s="97"/>
      <c r="E1247" s="154"/>
      <c r="G1247" s="47"/>
      <c r="H1247" s="47"/>
      <c r="I1247" s="47"/>
      <c r="J1247" s="47"/>
      <c r="K1247" s="47"/>
      <c r="M1247" s="47"/>
    </row>
    <row r="1248" spans="1:13" s="75" customFormat="1" x14ac:dyDescent="0.3">
      <c r="A1248" s="95"/>
      <c r="B1248" s="162"/>
      <c r="C1248" s="96"/>
      <c r="D1248" s="97"/>
      <c r="E1248" s="154"/>
      <c r="G1248" s="47"/>
      <c r="H1248" s="47"/>
      <c r="I1248" s="47"/>
      <c r="J1248" s="47"/>
      <c r="K1248" s="47"/>
      <c r="M1248" s="47"/>
    </row>
    <row r="1249" spans="1:28" s="75" customFormat="1" x14ac:dyDescent="0.3">
      <c r="A1249" s="95"/>
      <c r="B1249" s="162"/>
      <c r="C1249" s="96"/>
      <c r="D1249" s="97"/>
      <c r="E1249" s="154"/>
      <c r="G1249" s="47"/>
      <c r="H1249" s="47"/>
      <c r="I1249" s="47"/>
      <c r="J1249" s="47"/>
      <c r="K1249" s="47"/>
      <c r="M1249" s="47"/>
    </row>
    <row r="1250" spans="1:28" s="75" customFormat="1" x14ac:dyDescent="0.3">
      <c r="A1250" s="95"/>
      <c r="B1250" s="162"/>
      <c r="C1250" s="96"/>
      <c r="D1250" s="97"/>
      <c r="E1250" s="154"/>
      <c r="G1250" s="47"/>
      <c r="H1250" s="47"/>
      <c r="I1250" s="47"/>
      <c r="J1250" s="47"/>
      <c r="K1250" s="47"/>
      <c r="M1250" s="47"/>
    </row>
    <row r="1251" spans="1:28" s="75" customFormat="1" x14ac:dyDescent="0.3">
      <c r="A1251" s="95"/>
      <c r="B1251" s="162"/>
      <c r="C1251" s="96"/>
      <c r="D1251" s="97"/>
      <c r="E1251" s="154"/>
      <c r="G1251" s="47"/>
      <c r="H1251" s="47"/>
      <c r="I1251" s="47"/>
      <c r="J1251" s="47"/>
      <c r="K1251" s="47"/>
      <c r="M1251" s="47"/>
    </row>
    <row r="1252" spans="1:28" s="75" customFormat="1" x14ac:dyDescent="0.3">
      <c r="A1252" s="95"/>
      <c r="B1252" s="162"/>
      <c r="C1252" s="96"/>
      <c r="D1252" s="97"/>
      <c r="E1252" s="154"/>
      <c r="G1252" s="47"/>
      <c r="H1252" s="47"/>
      <c r="I1252" s="47"/>
      <c r="J1252" s="47"/>
      <c r="K1252" s="47"/>
      <c r="M1252" s="47"/>
    </row>
    <row r="1253" spans="1:28" s="75" customFormat="1" x14ac:dyDescent="0.3">
      <c r="A1253" s="95"/>
      <c r="B1253" s="162"/>
      <c r="C1253" s="96"/>
      <c r="D1253" s="97"/>
      <c r="E1253" s="154"/>
      <c r="G1253" s="47"/>
      <c r="H1253" s="47"/>
      <c r="I1253" s="47"/>
      <c r="J1253" s="47"/>
      <c r="K1253" s="47"/>
      <c r="M1253" s="47"/>
    </row>
    <row r="1254" spans="1:28" s="75" customFormat="1" x14ac:dyDescent="0.3">
      <c r="A1254" s="95"/>
      <c r="B1254" s="162"/>
      <c r="C1254" s="96"/>
      <c r="D1254" s="97"/>
      <c r="E1254" s="154"/>
      <c r="G1254" s="47"/>
      <c r="H1254" s="47"/>
      <c r="I1254" s="47"/>
      <c r="J1254" s="47"/>
      <c r="K1254" s="47"/>
      <c r="M1254" s="47"/>
    </row>
    <row r="1255" spans="1:28" x14ac:dyDescent="0.3">
      <c r="L1255" s="75"/>
      <c r="N1255" s="75"/>
      <c r="O1255" s="75"/>
      <c r="P1255" s="75"/>
      <c r="Q1255" s="75"/>
      <c r="R1255" s="75"/>
      <c r="S1255" s="75"/>
      <c r="T1255" s="75"/>
      <c r="U1255" s="75"/>
      <c r="V1255" s="75"/>
      <c r="W1255" s="75"/>
      <c r="X1255" s="75"/>
      <c r="Y1255" s="75"/>
      <c r="Z1255" s="75"/>
      <c r="AA1255" s="75"/>
      <c r="AB1255" s="75"/>
    </row>
    <row r="1256" spans="1:28" x14ac:dyDescent="0.3">
      <c r="L1256" s="75"/>
      <c r="N1256" s="75"/>
      <c r="O1256" s="75"/>
      <c r="P1256" s="75"/>
      <c r="Q1256" s="75"/>
      <c r="R1256" s="75"/>
      <c r="S1256" s="75"/>
      <c r="T1256" s="75"/>
      <c r="U1256" s="75"/>
      <c r="V1256" s="75"/>
      <c r="W1256" s="75"/>
      <c r="X1256" s="75"/>
      <c r="Y1256" s="75"/>
      <c r="Z1256" s="75"/>
      <c r="AA1256" s="75"/>
      <c r="AB1256" s="75"/>
    </row>
    <row r="1257" spans="1:28" x14ac:dyDescent="0.3">
      <c r="L1257" s="75"/>
      <c r="N1257" s="75"/>
      <c r="O1257" s="75"/>
      <c r="P1257" s="75"/>
      <c r="Q1257" s="75"/>
      <c r="R1257" s="75"/>
      <c r="S1257" s="75"/>
      <c r="T1257" s="75"/>
      <c r="U1257" s="75"/>
      <c r="V1257" s="75"/>
      <c r="W1257" s="75"/>
      <c r="X1257" s="75"/>
      <c r="Y1257" s="75"/>
      <c r="Z1257" s="75"/>
      <c r="AA1257" s="75"/>
      <c r="AB1257" s="75"/>
    </row>
    <row r="1258" spans="1:28" x14ac:dyDescent="0.3">
      <c r="L1258" s="75"/>
      <c r="N1258" s="75"/>
      <c r="O1258" s="75"/>
      <c r="P1258" s="75"/>
      <c r="Q1258" s="75"/>
      <c r="R1258" s="75"/>
      <c r="S1258" s="75"/>
      <c r="T1258" s="75"/>
      <c r="U1258" s="75"/>
      <c r="V1258" s="75"/>
      <c r="W1258" s="75"/>
      <c r="X1258" s="75"/>
      <c r="Y1258" s="75"/>
      <c r="Z1258" s="75"/>
      <c r="AA1258" s="75"/>
      <c r="AB1258" s="75"/>
    </row>
    <row r="1259" spans="1:28" x14ac:dyDescent="0.3">
      <c r="L1259" s="75"/>
      <c r="N1259" s="75"/>
      <c r="O1259" s="75"/>
      <c r="P1259" s="75"/>
      <c r="Q1259" s="75"/>
      <c r="R1259" s="75"/>
      <c r="S1259" s="75"/>
      <c r="T1259" s="75"/>
      <c r="U1259" s="75"/>
      <c r="V1259" s="75"/>
      <c r="W1259" s="75"/>
      <c r="X1259" s="75"/>
      <c r="Y1259" s="75"/>
      <c r="Z1259" s="75"/>
      <c r="AA1259" s="75"/>
      <c r="AB1259" s="75"/>
    </row>
    <row r="1260" spans="1:28" x14ac:dyDescent="0.3">
      <c r="L1260" s="75"/>
      <c r="N1260" s="75"/>
      <c r="O1260" s="75"/>
      <c r="P1260" s="75"/>
      <c r="Q1260" s="75"/>
      <c r="R1260" s="75"/>
      <c r="S1260" s="75"/>
      <c r="T1260" s="75"/>
      <c r="U1260" s="75"/>
      <c r="V1260" s="75"/>
      <c r="W1260" s="75"/>
      <c r="X1260" s="75"/>
      <c r="Y1260" s="75"/>
      <c r="Z1260" s="75"/>
      <c r="AA1260" s="75"/>
      <c r="AB1260" s="75"/>
    </row>
    <row r="1261" spans="1:28" x14ac:dyDescent="0.3">
      <c r="L1261" s="75"/>
      <c r="N1261" s="75"/>
      <c r="O1261" s="75"/>
      <c r="P1261" s="75"/>
      <c r="Q1261" s="75"/>
      <c r="R1261" s="75"/>
      <c r="S1261" s="75"/>
      <c r="T1261" s="75"/>
      <c r="U1261" s="75"/>
      <c r="V1261" s="75"/>
      <c r="W1261" s="75"/>
      <c r="X1261" s="75"/>
      <c r="Y1261" s="75"/>
      <c r="Z1261" s="75"/>
      <c r="AA1261" s="75"/>
      <c r="AB1261" s="75"/>
    </row>
    <row r="1262" spans="1:28" x14ac:dyDescent="0.3">
      <c r="L1262" s="75"/>
      <c r="N1262" s="75"/>
      <c r="O1262" s="75"/>
      <c r="P1262" s="75"/>
      <c r="Q1262" s="75"/>
      <c r="R1262" s="75"/>
      <c r="S1262" s="75"/>
      <c r="T1262" s="75"/>
      <c r="U1262" s="75"/>
      <c r="V1262" s="75"/>
      <c r="W1262" s="75"/>
      <c r="X1262" s="75"/>
      <c r="Y1262" s="75"/>
      <c r="Z1262" s="75"/>
      <c r="AA1262" s="75"/>
      <c r="AB1262" s="75"/>
    </row>
    <row r="1263" spans="1:28" x14ac:dyDescent="0.3">
      <c r="L1263" s="75"/>
      <c r="N1263" s="75"/>
      <c r="O1263" s="75"/>
      <c r="P1263" s="75"/>
      <c r="Q1263" s="75"/>
      <c r="R1263" s="75"/>
      <c r="S1263" s="75"/>
      <c r="T1263" s="75"/>
      <c r="U1263" s="75"/>
      <c r="V1263" s="75"/>
      <c r="W1263" s="75"/>
      <c r="X1263" s="75"/>
      <c r="Y1263" s="75"/>
      <c r="Z1263" s="75"/>
      <c r="AA1263" s="75"/>
      <c r="AB1263" s="75"/>
    </row>
    <row r="1264" spans="1:28" x14ac:dyDescent="0.3">
      <c r="L1264" s="75"/>
      <c r="N1264" s="75"/>
      <c r="O1264" s="75"/>
      <c r="P1264" s="75"/>
      <c r="Q1264" s="75"/>
      <c r="R1264" s="75"/>
      <c r="S1264" s="75"/>
      <c r="T1264" s="75"/>
      <c r="U1264" s="75"/>
      <c r="V1264" s="75"/>
      <c r="W1264" s="75"/>
      <c r="X1264" s="75"/>
      <c r="Y1264" s="75"/>
      <c r="Z1264" s="75"/>
      <c r="AA1264" s="75"/>
      <c r="AB1264" s="75"/>
    </row>
    <row r="1265" spans="1:28" x14ac:dyDescent="0.3">
      <c r="L1265" s="75"/>
      <c r="N1265" s="75"/>
      <c r="O1265" s="75"/>
      <c r="P1265" s="75"/>
      <c r="Q1265" s="75"/>
      <c r="R1265" s="75"/>
      <c r="S1265" s="75"/>
      <c r="T1265" s="75"/>
      <c r="U1265" s="75"/>
      <c r="V1265" s="75"/>
      <c r="W1265" s="75"/>
      <c r="X1265" s="75"/>
      <c r="Y1265" s="75"/>
      <c r="Z1265" s="75"/>
      <c r="AA1265" s="75"/>
      <c r="AB1265" s="75"/>
    </row>
    <row r="1266" spans="1:28" x14ac:dyDescent="0.3">
      <c r="L1266" s="75"/>
      <c r="N1266" s="75"/>
      <c r="O1266" s="75"/>
      <c r="P1266" s="75"/>
      <c r="Q1266" s="75"/>
      <c r="R1266" s="75"/>
      <c r="S1266" s="75"/>
      <c r="T1266" s="75"/>
      <c r="U1266" s="75"/>
      <c r="V1266" s="75"/>
      <c r="W1266" s="75"/>
      <c r="X1266" s="75"/>
      <c r="Y1266" s="75"/>
      <c r="Z1266" s="75"/>
      <c r="AA1266" s="75"/>
      <c r="AB1266" s="75"/>
    </row>
    <row r="1267" spans="1:28" x14ac:dyDescent="0.3">
      <c r="L1267" s="75"/>
      <c r="N1267" s="75"/>
      <c r="O1267" s="75"/>
      <c r="P1267" s="75"/>
      <c r="Q1267" s="75"/>
      <c r="R1267" s="75"/>
      <c r="S1267" s="75"/>
      <c r="T1267" s="75"/>
      <c r="U1267" s="75"/>
      <c r="V1267" s="75"/>
      <c r="W1267" s="75"/>
      <c r="X1267" s="75"/>
      <c r="Y1267" s="75"/>
      <c r="Z1267" s="75"/>
      <c r="AA1267" s="75"/>
      <c r="AB1267" s="75"/>
    </row>
    <row r="1268" spans="1:28" x14ac:dyDescent="0.3">
      <c r="L1268" s="75"/>
      <c r="N1268" s="75"/>
      <c r="O1268" s="75"/>
      <c r="P1268" s="75"/>
      <c r="Q1268" s="75"/>
      <c r="R1268" s="75"/>
      <c r="S1268" s="75"/>
      <c r="T1268" s="75"/>
      <c r="U1268" s="75"/>
      <c r="V1268" s="75"/>
      <c r="W1268" s="75"/>
      <c r="X1268" s="75"/>
      <c r="Y1268" s="75"/>
      <c r="Z1268" s="75"/>
      <c r="AA1268" s="75"/>
      <c r="AB1268" s="75"/>
    </row>
    <row r="1269" spans="1:28" x14ac:dyDescent="0.3">
      <c r="L1269" s="75"/>
      <c r="N1269" s="75"/>
      <c r="O1269" s="75"/>
      <c r="P1269" s="75"/>
      <c r="Q1269" s="75"/>
      <c r="R1269" s="75"/>
      <c r="S1269" s="75"/>
      <c r="T1269" s="75"/>
      <c r="U1269" s="75"/>
      <c r="V1269" s="75"/>
      <c r="W1269" s="75"/>
      <c r="X1269" s="75"/>
      <c r="Y1269" s="75"/>
      <c r="Z1269" s="75"/>
      <c r="AA1269" s="75"/>
      <c r="AB1269" s="75"/>
    </row>
    <row r="1270" spans="1:28" x14ac:dyDescent="0.3">
      <c r="L1270" s="75"/>
      <c r="N1270" s="75"/>
      <c r="O1270" s="75"/>
      <c r="P1270" s="75"/>
      <c r="Q1270" s="75"/>
      <c r="R1270" s="75"/>
      <c r="S1270" s="75"/>
      <c r="T1270" s="75"/>
      <c r="U1270" s="75"/>
      <c r="V1270" s="75"/>
      <c r="W1270" s="75"/>
      <c r="X1270" s="75"/>
      <c r="Y1270" s="75"/>
      <c r="Z1270" s="75"/>
      <c r="AA1270" s="75"/>
      <c r="AB1270" s="75"/>
    </row>
    <row r="1271" spans="1:28" hidden="1" x14ac:dyDescent="0.3">
      <c r="L1271" s="75"/>
      <c r="N1271" s="75"/>
      <c r="O1271" s="75"/>
      <c r="P1271" s="75"/>
      <c r="Q1271" s="75"/>
      <c r="R1271" s="75"/>
      <c r="S1271" s="75"/>
      <c r="T1271" s="75"/>
      <c r="U1271" s="75"/>
      <c r="V1271" s="75"/>
      <c r="W1271" s="75"/>
      <c r="X1271" s="75"/>
      <c r="Y1271" s="75"/>
      <c r="Z1271" s="75"/>
      <c r="AA1271" s="75"/>
      <c r="AB1271" s="75"/>
    </row>
    <row r="1272" spans="1:28" s="76" customFormat="1" hidden="1" x14ac:dyDescent="0.3">
      <c r="A1272" s="95"/>
      <c r="B1272" s="162"/>
      <c r="C1272" s="96"/>
      <c r="D1272" s="97"/>
      <c r="E1272" s="155"/>
      <c r="G1272" s="47"/>
      <c r="H1272" s="47"/>
      <c r="I1272" s="47"/>
      <c r="J1272" s="47"/>
      <c r="K1272" s="47"/>
      <c r="L1272" s="75"/>
      <c r="M1272" s="47"/>
      <c r="N1272" s="75"/>
      <c r="O1272" s="75"/>
      <c r="P1272" s="75"/>
      <c r="Q1272" s="75"/>
      <c r="R1272" s="75"/>
      <c r="S1272" s="75"/>
      <c r="T1272" s="75"/>
      <c r="U1272" s="75"/>
      <c r="V1272" s="75"/>
      <c r="W1272" s="75"/>
      <c r="X1272" s="75"/>
      <c r="Y1272" s="75"/>
      <c r="Z1272" s="75"/>
      <c r="AA1272" s="75"/>
      <c r="AB1272" s="75"/>
    </row>
    <row r="1273" spans="1:28" hidden="1" x14ac:dyDescent="0.3">
      <c r="L1273" s="75"/>
      <c r="N1273" s="75"/>
      <c r="O1273" s="75"/>
      <c r="P1273" s="75"/>
      <c r="Q1273" s="75"/>
      <c r="R1273" s="75"/>
      <c r="S1273" s="75"/>
      <c r="T1273" s="75"/>
      <c r="U1273" s="75"/>
      <c r="V1273" s="75"/>
      <c r="W1273" s="75"/>
      <c r="X1273" s="75"/>
      <c r="Y1273" s="75"/>
      <c r="Z1273" s="75"/>
      <c r="AA1273" s="75"/>
      <c r="AB1273" s="75"/>
    </row>
    <row r="1274" spans="1:28" hidden="1" x14ac:dyDescent="0.3">
      <c r="N1274" s="75"/>
      <c r="O1274" s="75"/>
      <c r="P1274" s="75"/>
      <c r="Q1274" s="75"/>
      <c r="R1274" s="75"/>
      <c r="S1274" s="75"/>
      <c r="T1274" s="75"/>
      <c r="U1274" s="75"/>
      <c r="V1274" s="75"/>
      <c r="W1274" s="75"/>
      <c r="X1274" s="75"/>
      <c r="Y1274" s="75"/>
    </row>
    <row r="1275" spans="1:28" x14ac:dyDescent="0.3">
      <c r="O1275" s="75"/>
      <c r="P1275" s="75"/>
      <c r="Q1275" s="75"/>
      <c r="R1275" s="75"/>
      <c r="S1275" s="75"/>
      <c r="T1275" s="75"/>
      <c r="U1275" s="75"/>
      <c r="V1275" s="75"/>
      <c r="W1275" s="75"/>
      <c r="X1275" s="75"/>
    </row>
    <row r="1291" spans="12:28" x14ac:dyDescent="0.3">
      <c r="L1291" s="76"/>
      <c r="Z1291" s="76"/>
      <c r="AA1291" s="76"/>
      <c r="AB1291" s="76"/>
    </row>
    <row r="1292" spans="12:28" x14ac:dyDescent="0.3">
      <c r="N1292" s="76"/>
      <c r="Y1292" s="76"/>
    </row>
    <row r="1293" spans="12:28" x14ac:dyDescent="0.3">
      <c r="O1293" s="76"/>
      <c r="P1293" s="76"/>
      <c r="Q1293" s="76"/>
      <c r="R1293" s="76"/>
      <c r="S1293" s="76"/>
      <c r="T1293" s="76"/>
      <c r="U1293" s="76"/>
      <c r="V1293" s="76"/>
      <c r="W1293" s="76"/>
      <c r="X1293" s="76"/>
    </row>
  </sheetData>
  <sheetProtection password="CDF6" sheet="1" objects="1" scenarios="1"/>
  <sortState ref="N132:N140">
    <sortCondition ref="N132"/>
  </sortState>
  <mergeCells count="143">
    <mergeCell ref="A252:A281"/>
    <mergeCell ref="A445:A458"/>
    <mergeCell ref="B445:B458"/>
    <mergeCell ref="H11:H13"/>
    <mergeCell ref="H228:H230"/>
    <mergeCell ref="H231:H239"/>
    <mergeCell ref="H240:H241"/>
    <mergeCell ref="H242:H250"/>
    <mergeCell ref="A357:A372"/>
    <mergeCell ref="G240:G250"/>
    <mergeCell ref="H251:H252"/>
    <mergeCell ref="B252:B281"/>
    <mergeCell ref="G24:G35"/>
    <mergeCell ref="A90:A120"/>
    <mergeCell ref="B90:B120"/>
    <mergeCell ref="A216:A227"/>
    <mergeCell ref="A228:A239"/>
    <mergeCell ref="A240:A251"/>
    <mergeCell ref="B216:B227"/>
    <mergeCell ref="B166:B181"/>
    <mergeCell ref="A182:A197"/>
    <mergeCell ref="B182:B197"/>
    <mergeCell ref="I11:I22"/>
    <mergeCell ref="H14:H22"/>
    <mergeCell ref="I216:I227"/>
    <mergeCell ref="H216:H218"/>
    <mergeCell ref="H219:H227"/>
    <mergeCell ref="H24:H26"/>
    <mergeCell ref="I24:I35"/>
    <mergeCell ref="H27:H35"/>
    <mergeCell ref="H93:H95"/>
    <mergeCell ref="I93:I104"/>
    <mergeCell ref="H50:H52"/>
    <mergeCell ref="I50:I61"/>
    <mergeCell ref="H53:H61"/>
    <mergeCell ref="B357:B372"/>
    <mergeCell ref="A389:A404"/>
    <mergeCell ref="A407:A418"/>
    <mergeCell ref="A282:A311"/>
    <mergeCell ref="B282:B311"/>
    <mergeCell ref="A540:A553"/>
    <mergeCell ref="B540:B553"/>
    <mergeCell ref="B312:B356"/>
    <mergeCell ref="A312:A356"/>
    <mergeCell ref="A473:A487"/>
    <mergeCell ref="B473:B487"/>
    <mergeCell ref="A459:A472"/>
    <mergeCell ref="B459:B472"/>
    <mergeCell ref="A373:A388"/>
    <mergeCell ref="B373:B388"/>
    <mergeCell ref="A583:D583"/>
    <mergeCell ref="A406:D406"/>
    <mergeCell ref="A419:A430"/>
    <mergeCell ref="H481:H492"/>
    <mergeCell ref="H494:H505"/>
    <mergeCell ref="B389:B404"/>
    <mergeCell ref="A490:A501"/>
    <mergeCell ref="A502:A513"/>
    <mergeCell ref="B490:B501"/>
    <mergeCell ref="B502:B513"/>
    <mergeCell ref="A526:A539"/>
    <mergeCell ref="A405:D405"/>
    <mergeCell ref="B431:B444"/>
    <mergeCell ref="A431:A444"/>
    <mergeCell ref="H430:H442"/>
    <mergeCell ref="A568:A582"/>
    <mergeCell ref="B568:B582"/>
    <mergeCell ref="A514:A525"/>
    <mergeCell ref="B514:B525"/>
    <mergeCell ref="B419:B430"/>
    <mergeCell ref="H468:H479"/>
    <mergeCell ref="A554:A567"/>
    <mergeCell ref="B554:B567"/>
    <mergeCell ref="I494:I505"/>
    <mergeCell ref="I481:I492"/>
    <mergeCell ref="H410:H421"/>
    <mergeCell ref="I410:I421"/>
    <mergeCell ref="I468:I479"/>
    <mergeCell ref="B407:B418"/>
    <mergeCell ref="H422:H429"/>
    <mergeCell ref="I422:I429"/>
    <mergeCell ref="B526:B539"/>
    <mergeCell ref="I430:I442"/>
    <mergeCell ref="A489:D489"/>
    <mergeCell ref="A488:D488"/>
    <mergeCell ref="I290:I302"/>
    <mergeCell ref="G263:G277"/>
    <mergeCell ref="I263:I277"/>
    <mergeCell ref="H253:H261"/>
    <mergeCell ref="H263:H266"/>
    <mergeCell ref="H267:H277"/>
    <mergeCell ref="H278:H281"/>
    <mergeCell ref="H282:H289"/>
    <mergeCell ref="I278:I289"/>
    <mergeCell ref="H294:H302"/>
    <mergeCell ref="G290:G302"/>
    <mergeCell ref="H290:H293"/>
    <mergeCell ref="I240:I250"/>
    <mergeCell ref="G251:G261"/>
    <mergeCell ref="I251:I261"/>
    <mergeCell ref="G228:G239"/>
    <mergeCell ref="I228:I239"/>
    <mergeCell ref="G278:G289"/>
    <mergeCell ref="B240:B251"/>
    <mergeCell ref="B228:B239"/>
    <mergeCell ref="H37:H39"/>
    <mergeCell ref="I37:I48"/>
    <mergeCell ref="H40:H48"/>
    <mergeCell ref="H96:H104"/>
    <mergeCell ref="G77:G91"/>
    <mergeCell ref="H77:H80"/>
    <mergeCell ref="I77:I91"/>
    <mergeCell ref="H81:H91"/>
    <mergeCell ref="G63:G75"/>
    <mergeCell ref="H63:H65"/>
    <mergeCell ref="I63:I75"/>
    <mergeCell ref="H66:H75"/>
    <mergeCell ref="G93:G104"/>
    <mergeCell ref="B198:B213"/>
    <mergeCell ref="A1:D1"/>
    <mergeCell ref="A10:D10"/>
    <mergeCell ref="A215:D215"/>
    <mergeCell ref="G50:G61"/>
    <mergeCell ref="G11:G22"/>
    <mergeCell ref="G216:G227"/>
    <mergeCell ref="C6:C9"/>
    <mergeCell ref="A214:D214"/>
    <mergeCell ref="A11:A22"/>
    <mergeCell ref="B11:B22"/>
    <mergeCell ref="A35:A46"/>
    <mergeCell ref="A47:A58"/>
    <mergeCell ref="B47:B58"/>
    <mergeCell ref="B35:B46"/>
    <mergeCell ref="A23:A34"/>
    <mergeCell ref="B23:B34"/>
    <mergeCell ref="A121:A165"/>
    <mergeCell ref="B121:B165"/>
    <mergeCell ref="G37:G48"/>
    <mergeCell ref="A198:A213"/>
    <mergeCell ref="A59:A89"/>
    <mergeCell ref="B59:B89"/>
    <mergeCell ref="A2:B3"/>
    <mergeCell ref="A166:A181"/>
  </mergeCells>
  <conditionalFormatting sqref="D62:D65 D59 D67:D70 D526 D88:D89 D259:D261 D75 D80 D85 D267 D272 D277 D252 D281">
    <cfRule type="expression" dxfId="458" priority="402">
      <formula>#REF!="YES"</formula>
    </cfRule>
  </conditionalFormatting>
  <conditionalFormatting sqref="K249:K250">
    <cfRule type="expression" dxfId="457" priority="398">
      <formula>$H$240="YES"</formula>
    </cfRule>
  </conditionalFormatting>
  <conditionalFormatting sqref="K260:K262">
    <cfRule type="expression" dxfId="456" priority="397">
      <formula>$H$251="YES"</formula>
    </cfRule>
  </conditionalFormatting>
  <conditionalFormatting sqref="K276:K277">
    <cfRule type="expression" dxfId="455" priority="396">
      <formula>$H$263="YES"</formula>
    </cfRule>
  </conditionalFormatting>
  <conditionalFormatting sqref="K288:K289">
    <cfRule type="expression" dxfId="454" priority="395">
      <formula>$H$278="YES"</formula>
    </cfRule>
  </conditionalFormatting>
  <conditionalFormatting sqref="K428:K429">
    <cfRule type="expression" dxfId="453" priority="391">
      <formula>#REF!="YES"</formula>
    </cfRule>
  </conditionalFormatting>
  <conditionalFormatting sqref="K441:K442">
    <cfRule type="expression" dxfId="452" priority="390">
      <formula>#REF!="YES"</formula>
    </cfRule>
  </conditionalFormatting>
  <conditionalFormatting sqref="D568:D569 D571:D574 D576:D578">
    <cfRule type="expression" dxfId="451" priority="389">
      <formula>#REF!="YES"</formula>
    </cfRule>
  </conditionalFormatting>
  <conditionalFormatting sqref="K478:K479">
    <cfRule type="expression" dxfId="450" priority="388">
      <formula>#REF!="YES"</formula>
    </cfRule>
  </conditionalFormatting>
  <conditionalFormatting sqref="K491:K492">
    <cfRule type="expression" dxfId="449" priority="387">
      <formula>#REF!="YES"</formula>
    </cfRule>
  </conditionalFormatting>
  <conditionalFormatting sqref="K238:K239">
    <cfRule type="expression" dxfId="448" priority="382">
      <formula>$H$228="YES"</formula>
    </cfRule>
  </conditionalFormatting>
  <conditionalFormatting sqref="K495:K498 K500:K502 K504:K505">
    <cfRule type="expression" dxfId="447" priority="354">
      <formula>#REF!="YES"</formula>
    </cfRule>
  </conditionalFormatting>
  <conditionalFormatting sqref="K226:K227">
    <cfRule type="expression" dxfId="446" priority="314">
      <formula>$H$216="YES"</formula>
    </cfRule>
  </conditionalFormatting>
  <conditionalFormatting sqref="K301:K302">
    <cfRule type="expression" dxfId="445" priority="300">
      <formula>$H$290="YES"</formula>
    </cfRule>
  </conditionalFormatting>
  <conditionalFormatting sqref="D202:D205 D207:D209 D361:D364 D366:D368 D170:D173 D175:D177 D191:D193 D198:D199 D181">
    <cfRule type="expression" dxfId="444" priority="298">
      <formula>#REF!="YES"</formula>
    </cfRule>
  </conditionalFormatting>
  <conditionalFormatting sqref="K24 K34:K35">
    <cfRule type="expression" dxfId="443" priority="447">
      <formula>#REF!="YES"</formula>
    </cfRule>
  </conditionalFormatting>
  <conditionalFormatting sqref="K37 K47:K48">
    <cfRule type="expression" dxfId="442" priority="449">
      <formula>#REF!="YES"</formula>
    </cfRule>
  </conditionalFormatting>
  <conditionalFormatting sqref="K50 K60:K61">
    <cfRule type="expression" dxfId="441" priority="451">
      <formula>#REF!="YES"</formula>
    </cfRule>
  </conditionalFormatting>
  <conditionalFormatting sqref="K63 K73:K75">
    <cfRule type="expression" dxfId="440" priority="453">
      <formula>#REF!="YES"</formula>
    </cfRule>
  </conditionalFormatting>
  <conditionalFormatting sqref="K90:K91 K77">
    <cfRule type="expression" dxfId="439" priority="479">
      <formula>#REF!="YES"</formula>
    </cfRule>
  </conditionalFormatting>
  <conditionalFormatting sqref="K11 K21:K22">
    <cfRule type="expression" dxfId="438" priority="489">
      <formula>#REF!="YES"</formula>
    </cfRule>
  </conditionalFormatting>
  <conditionalFormatting sqref="K103:K104">
    <cfRule type="expression" dxfId="437" priority="491">
      <formula>#REF!="YES"</formula>
    </cfRule>
  </conditionalFormatting>
  <conditionalFormatting sqref="D73">
    <cfRule type="expression" dxfId="436" priority="259">
      <formula>#REF!="YES"</formula>
    </cfRule>
  </conditionalFormatting>
  <conditionalFormatting sqref="D78">
    <cfRule type="expression" dxfId="435" priority="258">
      <formula>#REF!="YES"</formula>
    </cfRule>
  </conditionalFormatting>
  <conditionalFormatting sqref="D83">
    <cfRule type="expression" dxfId="434" priority="257">
      <formula>#REF!="YES"</formula>
    </cfRule>
  </conditionalFormatting>
  <conditionalFormatting sqref="D254:D257">
    <cfRule type="expression" dxfId="433" priority="255">
      <formula>#REF!="YES"</formula>
    </cfRule>
  </conditionalFormatting>
  <conditionalFormatting sqref="D358">
    <cfRule type="expression" dxfId="432" priority="254">
      <formula>#REF!="YES"</formula>
    </cfRule>
  </conditionalFormatting>
  <conditionalFormatting sqref="D166:D168">
    <cfRule type="expression" dxfId="431" priority="250">
      <formula>#REF!="YES"</formula>
    </cfRule>
  </conditionalFormatting>
  <conditionalFormatting sqref="D186:D189">
    <cfRule type="expression" dxfId="430" priority="249">
      <formula>#REF!="YES"</formula>
    </cfRule>
  </conditionalFormatting>
  <conditionalFormatting sqref="D182:D183">
    <cfRule type="expression" dxfId="429" priority="248">
      <formula>#REF!="YES"</formula>
    </cfRule>
  </conditionalFormatting>
  <conditionalFormatting sqref="D377:D380 D382:D384">
    <cfRule type="expression" dxfId="428" priority="247">
      <formula>#REF!="YES"</formula>
    </cfRule>
  </conditionalFormatting>
  <conditionalFormatting sqref="D373:D375">
    <cfRule type="expression" dxfId="427" priority="246">
      <formula>#REF!="YES"</formula>
    </cfRule>
  </conditionalFormatting>
  <conditionalFormatting sqref="D393:D396 D398:D400">
    <cfRule type="expression" dxfId="426" priority="245">
      <formula>#REF!="YES"</formula>
    </cfRule>
  </conditionalFormatting>
  <conditionalFormatting sqref="D389:D390">
    <cfRule type="expression" dxfId="425" priority="244">
      <formula>#REF!="YES"</formula>
    </cfRule>
  </conditionalFormatting>
  <conditionalFormatting sqref="D391">
    <cfRule type="expression" dxfId="424" priority="243">
      <formula>#REF!="YES"</formula>
    </cfRule>
  </conditionalFormatting>
  <conditionalFormatting sqref="D359">
    <cfRule type="expression" dxfId="423" priority="242">
      <formula>#REF!="YES"</formula>
    </cfRule>
  </conditionalFormatting>
  <conditionalFormatting sqref="D184">
    <cfRule type="expression" dxfId="422" priority="241">
      <formula>#REF!="YES"</formula>
    </cfRule>
  </conditionalFormatting>
  <conditionalFormatting sqref="D200">
    <cfRule type="expression" dxfId="421" priority="240">
      <formula>#REF!="YES"</formula>
    </cfRule>
  </conditionalFormatting>
  <conditionalFormatting sqref="D533:D535">
    <cfRule type="expression" dxfId="420" priority="238">
      <formula>#REF!="YES"</formula>
    </cfRule>
  </conditionalFormatting>
  <conditionalFormatting sqref="D528:D531">
    <cfRule type="expression" dxfId="419" priority="237">
      <formula>#REF!="YES"</formula>
    </cfRule>
  </conditionalFormatting>
  <conditionalFormatting sqref="D442 D444">
    <cfRule type="expression" dxfId="418" priority="232">
      <formula>#REF!="YES"</formula>
    </cfRule>
  </conditionalFormatting>
  <conditionalFormatting sqref="D473:D474 D476:D479 D481:D483">
    <cfRule type="expression" dxfId="417" priority="231">
      <formula>#REF!="YES"</formula>
    </cfRule>
  </conditionalFormatting>
  <conditionalFormatting sqref="D540">
    <cfRule type="expression" dxfId="416" priority="226">
      <formula>#REF!="YES"</formula>
    </cfRule>
  </conditionalFormatting>
  <conditionalFormatting sqref="D547:D549">
    <cfRule type="expression" dxfId="415" priority="225">
      <formula>#REF!="YES"</formula>
    </cfRule>
  </conditionalFormatting>
  <conditionalFormatting sqref="D542:D545">
    <cfRule type="expression" dxfId="414" priority="224">
      <formula>#REF!="YES"</formula>
    </cfRule>
  </conditionalFormatting>
  <conditionalFormatting sqref="D554 D567">
    <cfRule type="expression" dxfId="413" priority="223">
      <formula>#REF!="YES"</formula>
    </cfRule>
  </conditionalFormatting>
  <conditionalFormatting sqref="D561:D563">
    <cfRule type="expression" dxfId="412" priority="222">
      <formula>#REF!="YES"</formula>
    </cfRule>
  </conditionalFormatting>
  <conditionalFormatting sqref="D556:D559">
    <cfRule type="expression" dxfId="411" priority="221">
      <formula>#REF!="YES"</formula>
    </cfRule>
  </conditionalFormatting>
  <conditionalFormatting sqref="A1:A88 A357:A1048576 A121:A326">
    <cfRule type="containsText" dxfId="410" priority="219" operator="containsText" text="OPTIONAL">
      <formula>NOT(ISERROR(SEARCH("OPTIONAL",A1)))</formula>
    </cfRule>
    <cfRule type="containsText" dxfId="409" priority="220" operator="containsText" text="REQUIRED">
      <formula>NOT(ISERROR(SEARCH("REQUIRED",A1)))</formula>
    </cfRule>
  </conditionalFormatting>
  <conditionalFormatting sqref="D280">
    <cfRule type="expression" dxfId="408" priority="162">
      <formula>#REF!="YES"</formula>
    </cfRule>
  </conditionalFormatting>
  <conditionalFormatting sqref="D180">
    <cfRule type="expression" dxfId="407" priority="172">
      <formula>#REF!="YES"</formula>
    </cfRule>
  </conditionalFormatting>
  <conditionalFormatting sqref="D197">
    <cfRule type="expression" dxfId="406" priority="169">
      <formula>#REF!="YES"</formula>
    </cfRule>
  </conditionalFormatting>
  <conditionalFormatting sqref="D196">
    <cfRule type="expression" dxfId="405" priority="168">
      <formula>#REF!="YES"</formula>
    </cfRule>
  </conditionalFormatting>
  <conditionalFormatting sqref="D213">
    <cfRule type="expression" dxfId="404" priority="167">
      <formula>#REF!="YES"</formula>
    </cfRule>
  </conditionalFormatting>
  <conditionalFormatting sqref="D212">
    <cfRule type="expression" dxfId="403" priority="166">
      <formula>#REF!="YES"</formula>
    </cfRule>
  </conditionalFormatting>
  <conditionalFormatting sqref="D265">
    <cfRule type="expression" dxfId="402" priority="165">
      <formula>#REF!="YES"</formula>
    </cfRule>
  </conditionalFormatting>
  <conditionalFormatting sqref="D270">
    <cfRule type="expression" dxfId="401" priority="164">
      <formula>#REF!="YES"</formula>
    </cfRule>
  </conditionalFormatting>
  <conditionalFormatting sqref="D275">
    <cfRule type="expression" dxfId="400" priority="163">
      <formula>#REF!="YES"</formula>
    </cfRule>
  </conditionalFormatting>
  <conditionalFormatting sqref="D289:D291 D297 D302 D307 D282">
    <cfRule type="expression" dxfId="399" priority="161">
      <formula>#REF!="YES"</formula>
    </cfRule>
  </conditionalFormatting>
  <conditionalFormatting sqref="D284:D287">
    <cfRule type="expression" dxfId="398" priority="160">
      <formula>#REF!="YES"</formula>
    </cfRule>
  </conditionalFormatting>
  <conditionalFormatting sqref="D295">
    <cfRule type="expression" dxfId="397" priority="154">
      <formula>#REF!="YES"</formula>
    </cfRule>
  </conditionalFormatting>
  <conditionalFormatting sqref="D300">
    <cfRule type="expression" dxfId="396" priority="153">
      <formula>#REF!="YES"</formula>
    </cfRule>
  </conditionalFormatting>
  <conditionalFormatting sqref="D305">
    <cfRule type="expression" dxfId="395" priority="152">
      <formula>#REF!="YES"</formula>
    </cfRule>
  </conditionalFormatting>
  <conditionalFormatting sqref="D310">
    <cfRule type="expression" dxfId="394" priority="151">
      <formula>#REF!="YES"</formula>
    </cfRule>
  </conditionalFormatting>
  <conditionalFormatting sqref="D580">
    <cfRule type="expression" dxfId="393" priority="111">
      <formula>#REF!="YES"</formula>
    </cfRule>
  </conditionalFormatting>
  <conditionalFormatting sqref="D553">
    <cfRule type="expression" dxfId="392" priority="148">
      <formula>#REF!="YES"</formula>
    </cfRule>
  </conditionalFormatting>
  <conditionalFormatting sqref="D539">
    <cfRule type="expression" dxfId="391" priority="147">
      <formula>#REF!="YES"</formula>
    </cfRule>
  </conditionalFormatting>
  <conditionalFormatting sqref="D582">
    <cfRule type="expression" dxfId="390" priority="146">
      <formula>#REF!="YES"</formula>
    </cfRule>
  </conditionalFormatting>
  <conditionalFormatting sqref="D195">
    <cfRule type="expression" dxfId="389" priority="109">
      <formula>#REF!="YES"</formula>
    </cfRule>
  </conditionalFormatting>
  <conditionalFormatting sqref="D458">
    <cfRule type="expression" dxfId="388" priority="140">
      <formula>#REF!="YES"</formula>
    </cfRule>
  </conditionalFormatting>
  <conditionalFormatting sqref="D472">
    <cfRule type="expression" dxfId="387" priority="139">
      <formula>#REF!="YES"</formula>
    </cfRule>
  </conditionalFormatting>
  <conditionalFormatting sqref="D487">
    <cfRule type="expression" dxfId="386" priority="138">
      <formula>#REF!="YES"</formula>
    </cfRule>
  </conditionalFormatting>
  <conditionalFormatting sqref="D87">
    <cfRule type="expression" dxfId="385" priority="106">
      <formula>#REF!="YES"</formula>
    </cfRule>
  </conditionalFormatting>
  <conditionalFormatting sqref="D72">
    <cfRule type="expression" dxfId="384" priority="103">
      <formula>#REF!="YES"</formula>
    </cfRule>
  </conditionalFormatting>
  <conditionalFormatting sqref="D386">
    <cfRule type="expression" dxfId="383" priority="88">
      <formula>#REF!="YES"</formula>
    </cfRule>
  </conditionalFormatting>
  <conditionalFormatting sqref="D264">
    <cfRule type="expression" dxfId="382" priority="98">
      <formula>#REF!="YES"</formula>
    </cfRule>
  </conditionalFormatting>
  <conditionalFormatting sqref="D372">
    <cfRule type="expression" dxfId="381" priority="131">
      <formula>#REF!="YES"</formula>
    </cfRule>
  </conditionalFormatting>
  <conditionalFormatting sqref="D371">
    <cfRule type="expression" dxfId="380" priority="130">
      <formula>#REF!="YES"</formula>
    </cfRule>
  </conditionalFormatting>
  <conditionalFormatting sqref="D387">
    <cfRule type="expression" dxfId="379" priority="128">
      <formula>#REF!="YES"</formula>
    </cfRule>
  </conditionalFormatting>
  <conditionalFormatting sqref="D403">
    <cfRule type="expression" dxfId="378" priority="126">
      <formula>#REF!="YES"</formula>
    </cfRule>
  </conditionalFormatting>
  <conditionalFormatting sqref="D538">
    <cfRule type="expression" dxfId="377" priority="125">
      <formula>#REF!="YES"</formula>
    </cfRule>
  </conditionalFormatting>
  <conditionalFormatting sqref="D552">
    <cfRule type="expression" dxfId="376" priority="124">
      <formula>#REF!="YES"</formula>
    </cfRule>
  </conditionalFormatting>
  <conditionalFormatting sqref="D566">
    <cfRule type="expression" dxfId="375" priority="123">
      <formula>#REF!="YES"</formula>
    </cfRule>
  </conditionalFormatting>
  <conditionalFormatting sqref="D581">
    <cfRule type="expression" dxfId="374" priority="122">
      <formula>#REF!="YES"</formula>
    </cfRule>
  </conditionalFormatting>
  <conditionalFormatting sqref="D486">
    <cfRule type="expression" dxfId="373" priority="121">
      <formula>#REF!="YES"</formula>
    </cfRule>
  </conditionalFormatting>
  <conditionalFormatting sqref="D471">
    <cfRule type="expression" dxfId="372" priority="120">
      <formula>#REF!="YES"</formula>
    </cfRule>
  </conditionalFormatting>
  <conditionalFormatting sqref="D457">
    <cfRule type="expression" dxfId="371" priority="119">
      <formula>#REF!="YES"</formula>
    </cfRule>
  </conditionalFormatting>
  <conditionalFormatting sqref="D443">
    <cfRule type="expression" dxfId="370" priority="118">
      <formula>#REF!="YES"</formula>
    </cfRule>
  </conditionalFormatting>
  <conditionalFormatting sqref="D456">
    <cfRule type="expression" dxfId="369" priority="117">
      <formula>#REF!="YES"</formula>
    </cfRule>
  </conditionalFormatting>
  <conditionalFormatting sqref="D470">
    <cfRule type="expression" dxfId="368" priority="116">
      <formula>#REF!="YES"</formula>
    </cfRule>
  </conditionalFormatting>
  <conditionalFormatting sqref="D485">
    <cfRule type="expression" dxfId="367" priority="115">
      <formula>#REF!="YES"</formula>
    </cfRule>
  </conditionalFormatting>
  <conditionalFormatting sqref="D537">
    <cfRule type="expression" dxfId="366" priority="114">
      <formula>#REF!="YES"</formula>
    </cfRule>
  </conditionalFormatting>
  <conditionalFormatting sqref="D551">
    <cfRule type="expression" dxfId="365" priority="113">
      <formula>#REF!="YES"</formula>
    </cfRule>
  </conditionalFormatting>
  <conditionalFormatting sqref="D565">
    <cfRule type="expression" dxfId="364" priority="112">
      <formula>#REF!="YES"</formula>
    </cfRule>
  </conditionalFormatting>
  <conditionalFormatting sqref="D211">
    <cfRule type="expression" dxfId="363" priority="110">
      <formula>#REF!="YES"</formula>
    </cfRule>
  </conditionalFormatting>
  <conditionalFormatting sqref="D179">
    <cfRule type="expression" dxfId="362" priority="108">
      <formula>#REF!="YES"</formula>
    </cfRule>
  </conditionalFormatting>
  <conditionalFormatting sqref="D294">
    <cfRule type="expression" dxfId="361" priority="94">
      <formula>#REF!="YES"</formula>
    </cfRule>
  </conditionalFormatting>
  <conditionalFormatting sqref="D82">
    <cfRule type="expression" dxfId="360" priority="105">
      <formula>#REF!="YES"</formula>
    </cfRule>
  </conditionalFormatting>
  <conditionalFormatting sqref="D77">
    <cfRule type="expression" dxfId="359" priority="104">
      <formula>#REF!="YES"</formula>
    </cfRule>
  </conditionalFormatting>
  <conditionalFormatting sqref="D370">
    <cfRule type="expression" dxfId="358" priority="89">
      <formula>#REF!="YES"</formula>
    </cfRule>
  </conditionalFormatting>
  <conditionalFormatting sqref="D402">
    <cfRule type="expression" dxfId="357" priority="87">
      <formula>#REF!="YES"</formula>
    </cfRule>
  </conditionalFormatting>
  <conditionalFormatting sqref="D129:D131 D135">
    <cfRule type="expression" dxfId="356" priority="86">
      <formula>#REF!="YES"</formula>
    </cfRule>
  </conditionalFormatting>
  <conditionalFormatting sqref="D269">
    <cfRule type="expression" dxfId="355" priority="97">
      <formula>#REF!="YES"</formula>
    </cfRule>
  </conditionalFormatting>
  <conditionalFormatting sqref="D274">
    <cfRule type="expression" dxfId="354" priority="96">
      <formula>#REF!="YES"</formula>
    </cfRule>
  </conditionalFormatting>
  <conditionalFormatting sqref="D279">
    <cfRule type="expression" dxfId="353" priority="95">
      <formula>#REF!="YES"</formula>
    </cfRule>
  </conditionalFormatting>
  <conditionalFormatting sqref="D299">
    <cfRule type="expression" dxfId="352" priority="93">
      <formula>#REF!="YES"</formula>
    </cfRule>
  </conditionalFormatting>
  <conditionalFormatting sqref="D304">
    <cfRule type="expression" dxfId="351" priority="92">
      <formula>#REF!="YES"</formula>
    </cfRule>
  </conditionalFormatting>
  <conditionalFormatting sqref="D309">
    <cfRule type="expression" dxfId="350" priority="91">
      <formula>#REF!="YES"</formula>
    </cfRule>
  </conditionalFormatting>
  <conditionalFormatting sqref="D357">
    <cfRule type="expression" dxfId="349" priority="90">
      <formula>#REF!="YES"</formula>
    </cfRule>
  </conditionalFormatting>
  <conditionalFormatting sqref="D121:D122">
    <cfRule type="expression" dxfId="348" priority="85">
      <formula>#REF!="YES"</formula>
    </cfRule>
  </conditionalFormatting>
  <conditionalFormatting sqref="D134">
    <cfRule type="expression" dxfId="347" priority="84">
      <formula>#REF!="YES"</formula>
    </cfRule>
  </conditionalFormatting>
  <conditionalFormatting sqref="D133">
    <cfRule type="expression" dxfId="346" priority="83">
      <formula>#REF!="YES"</formula>
    </cfRule>
  </conditionalFormatting>
  <conditionalFormatting sqref="D124:D127">
    <cfRule type="expression" dxfId="345" priority="82">
      <formula>#REF!="YES"</formula>
    </cfRule>
  </conditionalFormatting>
  <conditionalFormatting sqref="D144:D146 D150">
    <cfRule type="expression" dxfId="344" priority="81">
      <formula>#REF!="YES"</formula>
    </cfRule>
  </conditionalFormatting>
  <conditionalFormatting sqref="D136:D137">
    <cfRule type="expression" dxfId="343" priority="80">
      <formula>#REF!="YES"</formula>
    </cfRule>
  </conditionalFormatting>
  <conditionalFormatting sqref="D149">
    <cfRule type="expression" dxfId="342" priority="79">
      <formula>#REF!="YES"</formula>
    </cfRule>
  </conditionalFormatting>
  <conditionalFormatting sqref="D148">
    <cfRule type="expression" dxfId="341" priority="78">
      <formula>#REF!="YES"</formula>
    </cfRule>
  </conditionalFormatting>
  <conditionalFormatting sqref="D139:D142">
    <cfRule type="expression" dxfId="340" priority="77">
      <formula>#REF!="YES"</formula>
    </cfRule>
  </conditionalFormatting>
  <conditionalFormatting sqref="D159:D161 D165">
    <cfRule type="expression" dxfId="339" priority="76">
      <formula>#REF!="YES"</formula>
    </cfRule>
  </conditionalFormatting>
  <conditionalFormatting sqref="D151:D152">
    <cfRule type="expression" dxfId="338" priority="75">
      <formula>#REF!="YES"</formula>
    </cfRule>
  </conditionalFormatting>
  <conditionalFormatting sqref="D164">
    <cfRule type="expression" dxfId="337" priority="74">
      <formula>#REF!="YES"</formula>
    </cfRule>
  </conditionalFormatting>
  <conditionalFormatting sqref="D163">
    <cfRule type="expression" dxfId="336" priority="73">
      <formula>#REF!="YES"</formula>
    </cfRule>
  </conditionalFormatting>
  <conditionalFormatting sqref="D154:D157">
    <cfRule type="expression" dxfId="335" priority="72">
      <formula>#REF!="YES"</formula>
    </cfRule>
  </conditionalFormatting>
  <conditionalFormatting sqref="D313">
    <cfRule type="expression" dxfId="334" priority="70">
      <formula>#REF!="YES"</formula>
    </cfRule>
  </conditionalFormatting>
  <conditionalFormatting sqref="D312">
    <cfRule type="expression" dxfId="333" priority="64">
      <formula>#REF!="YES"</formula>
    </cfRule>
  </conditionalFormatting>
  <conditionalFormatting sqref="D340">
    <cfRule type="expression" dxfId="332" priority="56">
      <formula>#REF!="YES"</formula>
    </cfRule>
  </conditionalFormatting>
  <conditionalFormatting sqref="D339">
    <cfRule type="expression" dxfId="331" priority="54">
      <formula>#REF!="YES"</formula>
    </cfRule>
  </conditionalFormatting>
  <conditionalFormatting sqref="D343">
    <cfRule type="expression" dxfId="330" priority="52">
      <formula>#REF!="YES"</formula>
    </cfRule>
  </conditionalFormatting>
  <conditionalFormatting sqref="D355">
    <cfRule type="expression" dxfId="329" priority="47">
      <formula>#REF!="YES"</formula>
    </cfRule>
  </conditionalFormatting>
  <conditionalFormatting sqref="D354">
    <cfRule type="expression" dxfId="328" priority="45">
      <formula>#REF!="YES"</formula>
    </cfRule>
  </conditionalFormatting>
  <conditionalFormatting sqref="D315:D318">
    <cfRule type="expression" dxfId="327" priority="44">
      <formula>#REF!="YES"</formula>
    </cfRule>
  </conditionalFormatting>
  <conditionalFormatting sqref="D330:D333">
    <cfRule type="expression" dxfId="326" priority="43">
      <formula>#REF!="YES"</formula>
    </cfRule>
  </conditionalFormatting>
  <conditionalFormatting sqref="D345:D348">
    <cfRule type="expression" dxfId="325" priority="42">
      <formula>#REF!="YES"</formula>
    </cfRule>
  </conditionalFormatting>
  <conditionalFormatting sqref="D320:D322">
    <cfRule type="expression" dxfId="324" priority="41">
      <formula>#REF!="YES"</formula>
    </cfRule>
  </conditionalFormatting>
  <conditionalFormatting sqref="D328">
    <cfRule type="expression" dxfId="323" priority="38">
      <formula>#REF!="YES"</formula>
    </cfRule>
  </conditionalFormatting>
  <conditionalFormatting sqref="D342">
    <cfRule type="expression" dxfId="322" priority="39">
      <formula>#REF!="YES"</formula>
    </cfRule>
  </conditionalFormatting>
  <conditionalFormatting sqref="D327">
    <cfRule type="expression" dxfId="321" priority="37">
      <formula>#REF!="YES"</formula>
    </cfRule>
  </conditionalFormatting>
  <conditionalFormatting sqref="D325">
    <cfRule type="expression" dxfId="320" priority="36">
      <formula>#REF!="YES"</formula>
    </cfRule>
  </conditionalFormatting>
  <conditionalFormatting sqref="D324">
    <cfRule type="expression" dxfId="319" priority="35">
      <formula>#REF!="YES"</formula>
    </cfRule>
  </conditionalFormatting>
  <conditionalFormatting sqref="D335:D337">
    <cfRule type="expression" dxfId="318" priority="34">
      <formula>#REF!="YES"</formula>
    </cfRule>
  </conditionalFormatting>
  <conditionalFormatting sqref="D350:D352">
    <cfRule type="expression" dxfId="317" priority="33">
      <formula>#REF!="YES"</formula>
    </cfRule>
  </conditionalFormatting>
  <conditionalFormatting sqref="D266">
    <cfRule type="expression" dxfId="316" priority="31">
      <formula>#REF!="YES"</formula>
    </cfRule>
  </conditionalFormatting>
  <conditionalFormatting sqref="D271">
    <cfRule type="expression" dxfId="315" priority="30">
      <formula>#REF!="YES"</formula>
    </cfRule>
  </conditionalFormatting>
  <conditionalFormatting sqref="D276">
    <cfRule type="expression" dxfId="314" priority="29">
      <formula>#REF!="YES"</formula>
    </cfRule>
  </conditionalFormatting>
  <conditionalFormatting sqref="D296">
    <cfRule type="expression" dxfId="313" priority="28">
      <formula>#REF!="YES"</formula>
    </cfRule>
  </conditionalFormatting>
  <conditionalFormatting sqref="D301">
    <cfRule type="expression" dxfId="312" priority="27">
      <formula>#REF!="YES"</formula>
    </cfRule>
  </conditionalFormatting>
  <conditionalFormatting sqref="D306">
    <cfRule type="expression" dxfId="311" priority="26">
      <formula>#REF!="YES"</formula>
    </cfRule>
  </conditionalFormatting>
  <conditionalFormatting sqref="D311">
    <cfRule type="expression" dxfId="310" priority="25">
      <formula>#REF!="YES"</formula>
    </cfRule>
  </conditionalFormatting>
  <conditionalFormatting sqref="D326">
    <cfRule type="expression" dxfId="309" priority="24">
      <formula>#REF!="YES"</formula>
    </cfRule>
  </conditionalFormatting>
  <conditionalFormatting sqref="D341">
    <cfRule type="expression" dxfId="308" priority="23">
      <formula>#REF!="YES"</formula>
    </cfRule>
  </conditionalFormatting>
  <conditionalFormatting sqref="D356">
    <cfRule type="expression" dxfId="307" priority="22">
      <formula>#REF!="YES"</formula>
    </cfRule>
  </conditionalFormatting>
  <conditionalFormatting sqref="D388">
    <cfRule type="expression" dxfId="306" priority="21">
      <formula>#REF!="YES"</formula>
    </cfRule>
  </conditionalFormatting>
  <conditionalFormatting sqref="D404">
    <cfRule type="expression" dxfId="305" priority="20">
      <formula>#REF!="YES"</formula>
    </cfRule>
  </conditionalFormatting>
  <conditionalFormatting sqref="D74">
    <cfRule type="expression" dxfId="304" priority="16">
      <formula>#REF!="YES"</formula>
    </cfRule>
  </conditionalFormatting>
  <conditionalFormatting sqref="D84">
    <cfRule type="expression" dxfId="303" priority="18">
      <formula>#REF!="YES"</formula>
    </cfRule>
  </conditionalFormatting>
  <conditionalFormatting sqref="D79">
    <cfRule type="expression" dxfId="302" priority="17">
      <formula>#REF!="YES"</formula>
    </cfRule>
  </conditionalFormatting>
  <conditionalFormatting sqref="D105">
    <cfRule type="expression" dxfId="301" priority="3">
      <formula>#REF!="YES"</formula>
    </cfRule>
  </conditionalFormatting>
  <conditionalFormatting sqref="D93:D96 D90 D98:D101 D119:D120 D106 D111 D116">
    <cfRule type="expression" dxfId="300" priority="15">
      <formula>#REF!="YES"</formula>
    </cfRule>
  </conditionalFormatting>
  <conditionalFormatting sqref="D104">
    <cfRule type="expression" dxfId="299" priority="14">
      <formula>#REF!="YES"</formula>
    </cfRule>
  </conditionalFormatting>
  <conditionalFormatting sqref="D109">
    <cfRule type="expression" dxfId="298" priority="13">
      <formula>#REF!="YES"</formula>
    </cfRule>
  </conditionalFormatting>
  <conditionalFormatting sqref="D114">
    <cfRule type="expression" dxfId="297" priority="12">
      <formula>#REF!="YES"</formula>
    </cfRule>
  </conditionalFormatting>
  <conditionalFormatting sqref="A90:A119">
    <cfRule type="containsText" dxfId="296" priority="10" operator="containsText" text="OPTIONAL">
      <formula>NOT(ISERROR(SEARCH("OPTIONAL",A90)))</formula>
    </cfRule>
    <cfRule type="containsText" dxfId="295" priority="11" operator="containsText" text="REQUIRED">
      <formula>NOT(ISERROR(SEARCH("REQUIRED",A90)))</formula>
    </cfRule>
  </conditionalFormatting>
  <conditionalFormatting sqref="D118">
    <cfRule type="expression" dxfId="294" priority="9">
      <formula>#REF!="YES"</formula>
    </cfRule>
  </conditionalFormatting>
  <conditionalFormatting sqref="D103">
    <cfRule type="expression" dxfId="293" priority="6">
      <formula>#REF!="YES"</formula>
    </cfRule>
  </conditionalFormatting>
  <conditionalFormatting sqref="D113">
    <cfRule type="expression" dxfId="292" priority="8">
      <formula>#REF!="YES"</formula>
    </cfRule>
  </conditionalFormatting>
  <conditionalFormatting sqref="D108">
    <cfRule type="expression" dxfId="291" priority="7">
      <formula>#REF!="YES"</formula>
    </cfRule>
  </conditionalFormatting>
  <conditionalFormatting sqref="D115">
    <cfRule type="expression" dxfId="290" priority="5">
      <formula>#REF!="YES"</formula>
    </cfRule>
  </conditionalFormatting>
  <conditionalFormatting sqref="D110">
    <cfRule type="expression" dxfId="289" priority="4">
      <formula>#REF!="YES"</formula>
    </cfRule>
  </conditionalFormatting>
  <conditionalFormatting sqref="D262">
    <cfRule type="expression" dxfId="288" priority="2">
      <formula>#REF!="YES"</formula>
    </cfRule>
  </conditionalFormatting>
  <conditionalFormatting sqref="D292">
    <cfRule type="expression" dxfId="287" priority="1">
      <formula>#REF!="YES"</formula>
    </cfRule>
  </conditionalFormatting>
  <dataValidations count="10">
    <dataValidation type="list" allowBlank="1" showInputMessage="1" showErrorMessage="1" sqref="K63 K50 K37 K24 K11 K77">
      <formula1>$A$593:$A$594</formula1>
    </dataValidation>
    <dataValidation type="list" allowBlank="1" showInputMessage="1" showErrorMessage="1" sqref="D60 D91">
      <formula1>$M$36:$M$37</formula1>
    </dataValidation>
    <dataValidation type="list" allowBlank="1" showInputMessage="1" showErrorMessage="1" sqref="D526 D540 D554">
      <formula1>$N$410:$N$415</formula1>
    </dataValidation>
    <dataValidation type="list" allowBlank="1" showInputMessage="1" showErrorMessage="1" sqref="Q11:Q14">
      <formula1>$M$8:$M$11</formula1>
    </dataValidation>
    <dataValidation type="list" allowBlank="1" showInputMessage="1" showErrorMessage="1" sqref="D267 D272 D277 D297 D302 D70 D75 D80 D85 D307 D101 D106 D111 D116 D262 D292">
      <formula1>$M$6:$M$15</formula1>
    </dataValidation>
    <dataValidation type="list" allowBlank="1" showInputMessage="1" showErrorMessage="1" sqref="D431 D459 D445">
      <formula1>$N$469:$N$472</formula1>
    </dataValidation>
    <dataValidation type="list" allowBlank="1" showInputMessage="1" showErrorMessage="1" prompt="Select Yes/No" sqref="H77:H80 H290:H293 H93:H95 H278:H281 H263:H266 H251:H252 H240:H241 H228:H230 H216:H218 H11:H13 H63:H65 H50:H52 H37:H39 H24:H26">
      <formula1>#REF!</formula1>
    </dataValidation>
    <dataValidation type="list" allowBlank="1" showInputMessage="1" showErrorMessage="1" sqref="D90">
      <formula1>$M$15:$M$22</formula1>
    </dataValidation>
    <dataValidation type="list" allowBlank="1" showInputMessage="1" showErrorMessage="1" sqref="D59">
      <formula1>$M$15:$M$22</formula1>
    </dataValidation>
    <dataValidation type="list" allowBlank="1" showInputMessage="1" showErrorMessage="1" sqref="D252 D282">
      <formula1>$N$212:$N$221</formula1>
    </dataValidation>
  </dataValidations>
  <hyperlinks>
    <hyperlink ref="D6" location="'Select Measures-High School'!A10" display="ACADEMIC ACHIEVEMENT"/>
    <hyperlink ref="D7" location="'Select Measures-High School'!A171" display="ACADEMIC GROWTH"/>
    <hyperlink ref="D9" location="'Select Measures-High School'!A306" display="POST-SECONDARY &amp; WORKFORCE READINESS"/>
    <hyperlink ref="D8" location="'Select Measures-High School'!A307" display="STUDENT ENGAGEMENT"/>
    <hyperlink ref="A214:D214" location="'Select Measures-High School'!A1" display="BACK TO TOP"/>
  </hyperlinks>
  <pageMargins left="0.7" right="0.7" top="0.4" bottom="0.56000000000000005" header="0.3" footer="0.33"/>
  <pageSetup scale="51" fitToHeight="0" orientation="portrait" r:id="rId1"/>
  <headerFooter>
    <oddFooter>&amp;CSelection of Measures 2013-14, HIGH SCHOOL page &amp;P</oddFooter>
  </headerFooter>
  <rowBreaks count="16" manualBreakCount="16">
    <brk id="58" max="3" man="1"/>
    <brk id="120" max="3" man="1"/>
    <brk id="165" max="16383" man="1"/>
    <brk id="214" max="3" man="1"/>
    <brk id="244" min="6" max="10" man="1"/>
    <brk id="251" max="3" man="1"/>
    <brk id="283" min="6" max="10" man="1"/>
    <brk id="311" max="3" man="1"/>
    <brk id="356" max="16383" man="1"/>
    <brk id="405" max="16383" man="1"/>
    <brk id="430" max="3" man="1"/>
    <brk id="488" max="3" man="1"/>
    <brk id="553" max="3" man="1"/>
    <brk id="701" max="4" man="1"/>
    <brk id="766" max="4" man="1"/>
    <brk id="832" max="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B1016"/>
  <sheetViews>
    <sheetView zoomScaleNormal="100" zoomScalePageLayoutView="70" workbookViewId="0">
      <selection sqref="A1:D1"/>
    </sheetView>
  </sheetViews>
  <sheetFormatPr defaultColWidth="9.140625" defaultRowHeight="18.75" x14ac:dyDescent="0.3"/>
  <cols>
    <col min="1" max="1" width="4" style="95" customWidth="1"/>
    <col min="2" max="2" width="25" style="162" customWidth="1"/>
    <col min="3" max="3" width="89" style="96" customWidth="1"/>
    <col min="4" max="4" width="58.140625" style="97" customWidth="1"/>
    <col min="5" max="5" width="9.140625" style="154" customWidth="1"/>
    <col min="6" max="6" width="9.140625" style="47" hidden="1" customWidth="1"/>
    <col min="7" max="7" width="4" style="47" hidden="1" customWidth="1"/>
    <col min="8" max="8" width="3.5703125" style="47" hidden="1" customWidth="1"/>
    <col min="9" max="9" width="12.28515625" style="47" hidden="1" customWidth="1"/>
    <col min="10" max="10" width="28.5703125" style="47" hidden="1" customWidth="1"/>
    <col min="11" max="11" width="69.5703125" style="47" hidden="1" customWidth="1"/>
    <col min="12" max="13" width="9.140625" style="47" hidden="1" customWidth="1"/>
    <col min="14" max="14" width="22.42578125" style="47" hidden="1" customWidth="1"/>
    <col min="15" max="15" width="31.28515625" style="47" hidden="1" customWidth="1"/>
    <col min="16" max="16" width="27.5703125" style="47" hidden="1" customWidth="1"/>
    <col min="17" max="28" width="9.140625" style="47" hidden="1" customWidth="1"/>
    <col min="29" max="30" width="0" style="47" hidden="1" customWidth="1"/>
    <col min="31" max="16384" width="9.140625" style="47"/>
  </cols>
  <sheetData>
    <row r="1" spans="1:13" ht="19.5" thickBot="1" x14ac:dyDescent="0.35">
      <c r="A1" s="260" t="s">
        <v>393</v>
      </c>
      <c r="B1" s="261"/>
      <c r="C1" s="261"/>
      <c r="D1" s="262"/>
      <c r="E1" s="154" t="s">
        <v>306</v>
      </c>
    </row>
    <row r="2" spans="1:13" ht="18.75" customHeight="1" x14ac:dyDescent="0.25">
      <c r="A2" s="285"/>
      <c r="B2" s="286"/>
      <c r="C2" s="29" t="s">
        <v>12</v>
      </c>
      <c r="D2" s="30" t="str">
        <f>IF(Instructions!E19="YES",Instructions!E10,"Not submitting MIDDLE SCHOOL measurement selections")</f>
        <v>Not submitting MIDDLE SCHOOL measurement selections</v>
      </c>
      <c r="E2" s="154" t="s">
        <v>306</v>
      </c>
    </row>
    <row r="3" spans="1:13" ht="15" x14ac:dyDescent="0.25">
      <c r="A3" s="287"/>
      <c r="B3" s="288"/>
      <c r="C3" s="31" t="s">
        <v>11</v>
      </c>
      <c r="D3" s="32" t="str">
        <f>IF(Instructions!E19="YES",Instructions!E11,"Not submitting MIDDLE SCHOOL measurement selections")</f>
        <v>Not submitting MIDDLE SCHOOL measurement selections</v>
      </c>
      <c r="E3" s="154" t="s">
        <v>306</v>
      </c>
    </row>
    <row r="4" spans="1:13" ht="18.75" hidden="1" customHeight="1" x14ac:dyDescent="0.25">
      <c r="A4" s="81"/>
      <c r="B4" s="82"/>
      <c r="C4" s="83" t="s">
        <v>176</v>
      </c>
      <c r="D4" s="84" t="s">
        <v>153</v>
      </c>
      <c r="E4" s="154" t="s">
        <v>306</v>
      </c>
    </row>
    <row r="5" spans="1:13" ht="18.75" hidden="1" customHeight="1" x14ac:dyDescent="0.25">
      <c r="A5" s="81"/>
      <c r="B5" s="82"/>
      <c r="C5" s="85" t="s">
        <v>191</v>
      </c>
      <c r="D5" s="84" t="e">
        <f>IF(Instructions!#REF!="2011-2012 ONLY","2011-2012 ONLY","2010-2011 &amp; 2011-2012")</f>
        <v>#REF!</v>
      </c>
      <c r="E5" s="154" t="s">
        <v>306</v>
      </c>
    </row>
    <row r="6" spans="1:13" ht="18.75" customHeight="1" x14ac:dyDescent="0.25">
      <c r="A6" s="81"/>
      <c r="B6" s="82"/>
      <c r="C6" s="271" t="s">
        <v>313</v>
      </c>
      <c r="D6" s="86" t="s">
        <v>91</v>
      </c>
      <c r="E6" s="154" t="s">
        <v>306</v>
      </c>
      <c r="M6" s="47" t="s">
        <v>307</v>
      </c>
    </row>
    <row r="7" spans="1:13" ht="18.75" customHeight="1" x14ac:dyDescent="0.25">
      <c r="A7" s="81"/>
      <c r="B7" s="82"/>
      <c r="C7" s="272"/>
      <c r="D7" s="86" t="s">
        <v>92</v>
      </c>
      <c r="E7" s="154" t="s">
        <v>306</v>
      </c>
      <c r="M7" s="47" t="s">
        <v>346</v>
      </c>
    </row>
    <row r="8" spans="1:13" ht="18.75" customHeight="1" x14ac:dyDescent="0.25">
      <c r="A8" s="81"/>
      <c r="B8" s="82"/>
      <c r="C8" s="272"/>
      <c r="D8" s="86" t="s">
        <v>93</v>
      </c>
      <c r="E8" s="154" t="s">
        <v>306</v>
      </c>
      <c r="M8" s="47" t="s">
        <v>279</v>
      </c>
    </row>
    <row r="9" spans="1:13" ht="18.75" customHeight="1" x14ac:dyDescent="0.25">
      <c r="A9" s="81"/>
      <c r="B9" s="82"/>
      <c r="C9" s="273"/>
      <c r="D9" s="86"/>
      <c r="E9" s="154" t="s">
        <v>306</v>
      </c>
      <c r="M9" s="47" t="s">
        <v>278</v>
      </c>
    </row>
    <row r="10" spans="1:13" ht="19.5" customHeight="1" thickBot="1" x14ac:dyDescent="0.35">
      <c r="A10" s="263" t="s">
        <v>91</v>
      </c>
      <c r="B10" s="264"/>
      <c r="C10" s="264"/>
      <c r="D10" s="265"/>
      <c r="E10" s="154" t="s">
        <v>306</v>
      </c>
      <c r="M10" s="47" t="s">
        <v>315</v>
      </c>
    </row>
    <row r="11" spans="1:13" ht="15" customHeight="1" x14ac:dyDescent="0.25">
      <c r="A11" s="277" t="s">
        <v>27</v>
      </c>
      <c r="B11" s="280" t="s">
        <v>334</v>
      </c>
      <c r="C11" s="33" t="s">
        <v>39</v>
      </c>
      <c r="D11" s="152" t="str">
        <f>C11</f>
        <v xml:space="preserve"> To receive the indicator rating, the AEC's percent of students scoring proficient and advanced was:</v>
      </c>
      <c r="E11" s="154" t="s">
        <v>306</v>
      </c>
      <c r="G11" s="268" t="s">
        <v>26</v>
      </c>
      <c r="H11" s="289"/>
      <c r="I11" s="280" t="s">
        <v>277</v>
      </c>
      <c r="J11" s="48" t="s">
        <v>133</v>
      </c>
      <c r="K11" s="49"/>
      <c r="M11" s="47" t="s">
        <v>318</v>
      </c>
    </row>
    <row r="12" spans="1:13" ht="15" x14ac:dyDescent="0.25">
      <c r="A12" s="278"/>
      <c r="B12" s="281"/>
      <c r="C12" s="35" t="s">
        <v>125</v>
      </c>
      <c r="D12" s="36" t="s">
        <v>18</v>
      </c>
      <c r="E12" s="154" t="s">
        <v>306</v>
      </c>
      <c r="G12" s="269"/>
      <c r="H12" s="290"/>
      <c r="I12" s="281"/>
      <c r="J12" s="35" t="s">
        <v>125</v>
      </c>
      <c r="K12" s="36" t="s">
        <v>129</v>
      </c>
      <c r="M12" s="47" t="s">
        <v>281</v>
      </c>
    </row>
    <row r="13" spans="1:13" ht="15" x14ac:dyDescent="0.25">
      <c r="A13" s="278"/>
      <c r="B13" s="281"/>
      <c r="C13" s="37" t="s">
        <v>126</v>
      </c>
      <c r="D13" s="36" t="s">
        <v>19</v>
      </c>
      <c r="E13" s="154" t="s">
        <v>306</v>
      </c>
      <c r="G13" s="269"/>
      <c r="H13" s="290"/>
      <c r="I13" s="281"/>
      <c r="J13" s="37" t="s">
        <v>126</v>
      </c>
      <c r="K13" s="36" t="s">
        <v>130</v>
      </c>
      <c r="M13" s="47" t="s">
        <v>316</v>
      </c>
    </row>
    <row r="14" spans="1:13" ht="15" customHeight="1" x14ac:dyDescent="0.25">
      <c r="A14" s="278"/>
      <c r="B14" s="281"/>
      <c r="C14" s="38" t="s">
        <v>127</v>
      </c>
      <c r="D14" s="36" t="s">
        <v>20</v>
      </c>
      <c r="E14" s="154" t="s">
        <v>306</v>
      </c>
      <c r="G14" s="269"/>
      <c r="H14" s="291" t="s">
        <v>177</v>
      </c>
      <c r="I14" s="281"/>
      <c r="J14" s="38" t="s">
        <v>127</v>
      </c>
      <c r="K14" s="36" t="s">
        <v>131</v>
      </c>
      <c r="M14" s="47" t="s">
        <v>317</v>
      </c>
    </row>
    <row r="15" spans="1:13" ht="15" x14ac:dyDescent="0.25">
      <c r="A15" s="278"/>
      <c r="B15" s="281"/>
      <c r="C15" s="39" t="s">
        <v>128</v>
      </c>
      <c r="D15" s="40" t="s">
        <v>21</v>
      </c>
      <c r="E15" s="154" t="s">
        <v>306</v>
      </c>
      <c r="G15" s="269"/>
      <c r="H15" s="292"/>
      <c r="I15" s="281"/>
      <c r="J15" s="39" t="s">
        <v>128</v>
      </c>
      <c r="K15" s="40" t="s">
        <v>132</v>
      </c>
      <c r="M15" s="47" t="s">
        <v>280</v>
      </c>
    </row>
    <row r="16" spans="1:13" ht="15" x14ac:dyDescent="0.25">
      <c r="A16" s="278"/>
      <c r="B16" s="281"/>
      <c r="C16" s="41" t="s">
        <v>37</v>
      </c>
      <c r="D16" s="173" t="str">
        <f>C16</f>
        <v>Cut-point values for percent of students scoring proficient and advanced were:</v>
      </c>
      <c r="E16" s="154" t="s">
        <v>306</v>
      </c>
      <c r="G16" s="269"/>
      <c r="H16" s="292"/>
      <c r="I16" s="281"/>
      <c r="J16" s="41" t="str">
        <f>IF(K11=G$545, "Cut-point values for percent of students increasing a grade level were:", "Cut-point values for percent of students scoring at grade level were:")</f>
        <v>Cut-point values for percent of students increasing a grade level were:</v>
      </c>
      <c r="K16" s="42"/>
      <c r="M16" s="47" t="s">
        <v>305</v>
      </c>
    </row>
    <row r="17" spans="1:20" ht="15" x14ac:dyDescent="0.25">
      <c r="A17" s="278"/>
      <c r="B17" s="281"/>
      <c r="C17" s="35" t="s">
        <v>22</v>
      </c>
      <c r="D17" s="43">
        <v>54.8</v>
      </c>
      <c r="E17" s="154" t="s">
        <v>306</v>
      </c>
      <c r="G17" s="269"/>
      <c r="H17" s="292"/>
      <c r="I17" s="281"/>
      <c r="J17" s="35" t="s">
        <v>22</v>
      </c>
      <c r="K17" s="50">
        <v>90</v>
      </c>
      <c r="M17" s="47" t="s">
        <v>291</v>
      </c>
    </row>
    <row r="18" spans="1:20" ht="15" x14ac:dyDescent="0.25">
      <c r="A18" s="278"/>
      <c r="B18" s="281"/>
      <c r="C18" s="37" t="s">
        <v>23</v>
      </c>
      <c r="D18" s="43">
        <v>35.4</v>
      </c>
      <c r="E18" s="154" t="s">
        <v>306</v>
      </c>
      <c r="G18" s="269"/>
      <c r="H18" s="292"/>
      <c r="I18" s="281"/>
      <c r="J18" s="37" t="s">
        <v>23</v>
      </c>
      <c r="K18" s="50">
        <v>60</v>
      </c>
      <c r="M18" s="47" t="s">
        <v>287</v>
      </c>
    </row>
    <row r="19" spans="1:20" ht="15" x14ac:dyDescent="0.25">
      <c r="A19" s="278"/>
      <c r="B19" s="281"/>
      <c r="C19" s="38" t="s">
        <v>24</v>
      </c>
      <c r="D19" s="180">
        <v>26.7</v>
      </c>
      <c r="E19" s="154" t="s">
        <v>306</v>
      </c>
      <c r="G19" s="269"/>
      <c r="H19" s="292"/>
      <c r="I19" s="281"/>
      <c r="J19" s="38" t="s">
        <v>24</v>
      </c>
      <c r="K19" s="50">
        <v>40</v>
      </c>
      <c r="M19" s="47" t="s">
        <v>288</v>
      </c>
    </row>
    <row r="20" spans="1:20" ht="15" x14ac:dyDescent="0.25">
      <c r="A20" s="278"/>
      <c r="B20" s="281"/>
      <c r="C20" s="41" t="s">
        <v>38</v>
      </c>
      <c r="D20" s="173" t="str">
        <f>C20</f>
        <v>Your school's actual percent of students scoring proficient and advanced was:</v>
      </c>
      <c r="E20" s="154" t="s">
        <v>306</v>
      </c>
      <c r="G20" s="269"/>
      <c r="H20" s="292"/>
      <c r="I20" s="281"/>
      <c r="J20" s="41" t="str">
        <f>IF(K11=G$545, "Your school's actual percent of students increasing a grade level was:", "Your school's actual percent of students scoring at grade level was:")</f>
        <v>Your school's actual percent of students increasing a grade level was:</v>
      </c>
      <c r="K20" s="42"/>
      <c r="M20" s="47" t="s">
        <v>277</v>
      </c>
    </row>
    <row r="21" spans="1:20" ht="15" x14ac:dyDescent="0.25">
      <c r="A21" s="278"/>
      <c r="B21" s="281"/>
      <c r="C21" s="62" t="s">
        <v>25</v>
      </c>
      <c r="D21" s="45" t="s">
        <v>395</v>
      </c>
      <c r="E21" s="154" t="s">
        <v>306</v>
      </c>
      <c r="G21" s="269"/>
      <c r="H21" s="292"/>
      <c r="I21" s="281"/>
      <c r="J21" s="44" t="s">
        <v>25</v>
      </c>
      <c r="K21" s="51"/>
      <c r="M21" s="47" t="s">
        <v>286</v>
      </c>
    </row>
    <row r="22" spans="1:20" ht="15" customHeight="1" thickBot="1" x14ac:dyDescent="0.3">
      <c r="A22" s="279"/>
      <c r="B22" s="282"/>
      <c r="C22" s="46" t="s">
        <v>194</v>
      </c>
      <c r="D22" s="45" t="s">
        <v>395</v>
      </c>
      <c r="E22" s="154" t="s">
        <v>306</v>
      </c>
      <c r="G22" s="270"/>
      <c r="H22" s="293"/>
      <c r="I22" s="282"/>
      <c r="J22" s="46" t="s">
        <v>194</v>
      </c>
      <c r="K22" s="52"/>
      <c r="M22" s="47" t="s">
        <v>400</v>
      </c>
    </row>
    <row r="23" spans="1:20" ht="15" customHeight="1" thickBot="1" x14ac:dyDescent="0.3">
      <c r="A23" s="277" t="s">
        <v>27</v>
      </c>
      <c r="B23" s="280" t="s">
        <v>335</v>
      </c>
      <c r="C23" s="160" t="s">
        <v>39</v>
      </c>
      <c r="D23" s="152" t="str">
        <f>C23</f>
        <v xml:space="preserve"> To receive the indicator rating, the AEC's percent of students scoring proficient and advanced was:</v>
      </c>
      <c r="E23" s="154" t="s">
        <v>306</v>
      </c>
      <c r="G23" s="165"/>
      <c r="H23" s="54"/>
      <c r="I23" s="164"/>
      <c r="J23" s="56" t="s">
        <v>178</v>
      </c>
      <c r="K23" s="57"/>
      <c r="M23" s="47" t="s">
        <v>290</v>
      </c>
    </row>
    <row r="24" spans="1:20" ht="15" customHeight="1" x14ac:dyDescent="0.25">
      <c r="A24" s="278"/>
      <c r="B24" s="281"/>
      <c r="C24" s="35" t="s">
        <v>125</v>
      </c>
      <c r="D24" s="36" t="s">
        <v>18</v>
      </c>
      <c r="E24" s="154" t="s">
        <v>306</v>
      </c>
      <c r="G24" s="268" t="s">
        <v>26</v>
      </c>
      <c r="H24" s="289"/>
      <c r="I24" s="280" t="s">
        <v>286</v>
      </c>
      <c r="J24" s="48" t="s">
        <v>133</v>
      </c>
      <c r="K24" s="49"/>
      <c r="M24" s="47" t="s">
        <v>289</v>
      </c>
    </row>
    <row r="25" spans="1:20" ht="15" x14ac:dyDescent="0.25">
      <c r="A25" s="278"/>
      <c r="B25" s="281"/>
      <c r="C25" s="37" t="s">
        <v>126</v>
      </c>
      <c r="D25" s="36" t="s">
        <v>19</v>
      </c>
      <c r="E25" s="154" t="s">
        <v>306</v>
      </c>
      <c r="G25" s="269"/>
      <c r="H25" s="290"/>
      <c r="I25" s="281"/>
      <c r="J25" s="35" t="s">
        <v>125</v>
      </c>
      <c r="K25" s="36" t="s">
        <v>129</v>
      </c>
      <c r="N25" s="35" t="s">
        <v>125</v>
      </c>
      <c r="O25" s="37" t="s">
        <v>126</v>
      </c>
      <c r="P25" s="38" t="s">
        <v>127</v>
      </c>
      <c r="Q25" s="39" t="s">
        <v>128</v>
      </c>
      <c r="R25" s="35" t="s">
        <v>22</v>
      </c>
      <c r="S25" s="37" t="s">
        <v>23</v>
      </c>
      <c r="T25" s="38" t="s">
        <v>24</v>
      </c>
    </row>
    <row r="26" spans="1:20" ht="15" x14ac:dyDescent="0.25">
      <c r="A26" s="278"/>
      <c r="B26" s="281"/>
      <c r="C26" s="38" t="s">
        <v>127</v>
      </c>
      <c r="D26" s="36" t="s">
        <v>20</v>
      </c>
      <c r="E26" s="154" t="s">
        <v>306</v>
      </c>
      <c r="G26" s="269"/>
      <c r="H26" s="290"/>
      <c r="I26" s="281"/>
      <c r="J26" s="37" t="s">
        <v>126</v>
      </c>
      <c r="K26" s="36" t="s">
        <v>130</v>
      </c>
      <c r="M26" s="47" t="s">
        <v>305</v>
      </c>
      <c r="N26" s="35" t="s">
        <v>306</v>
      </c>
      <c r="O26" s="37" t="s">
        <v>306</v>
      </c>
      <c r="P26" s="38" t="s">
        <v>306</v>
      </c>
      <c r="Q26" s="39" t="s">
        <v>306</v>
      </c>
      <c r="R26" s="35" t="s">
        <v>306</v>
      </c>
      <c r="S26" s="37" t="s">
        <v>306</v>
      </c>
      <c r="T26" s="38" t="s">
        <v>306</v>
      </c>
    </row>
    <row r="27" spans="1:20" ht="15" customHeight="1" x14ac:dyDescent="0.25">
      <c r="A27" s="278"/>
      <c r="B27" s="281"/>
      <c r="C27" s="39" t="s">
        <v>128</v>
      </c>
      <c r="D27" s="40" t="s">
        <v>21</v>
      </c>
      <c r="E27" s="154" t="s">
        <v>306</v>
      </c>
      <c r="G27" s="269"/>
      <c r="H27" s="291" t="s">
        <v>177</v>
      </c>
      <c r="I27" s="281"/>
      <c r="J27" s="38" t="s">
        <v>127</v>
      </c>
      <c r="K27" s="36" t="s">
        <v>131</v>
      </c>
      <c r="M27" s="47" t="s">
        <v>277</v>
      </c>
      <c r="N27" s="36" t="s">
        <v>129</v>
      </c>
      <c r="O27" s="36" t="s">
        <v>130</v>
      </c>
      <c r="P27" s="36" t="s">
        <v>131</v>
      </c>
      <c r="Q27" s="40" t="s">
        <v>132</v>
      </c>
      <c r="R27" s="50">
        <v>90</v>
      </c>
      <c r="S27" s="50">
        <v>60</v>
      </c>
      <c r="T27" s="50">
        <v>40</v>
      </c>
    </row>
    <row r="28" spans="1:20" ht="15" x14ac:dyDescent="0.25">
      <c r="A28" s="278"/>
      <c r="B28" s="281"/>
      <c r="C28" s="161" t="s">
        <v>37</v>
      </c>
      <c r="D28" s="173" t="str">
        <f>C28</f>
        <v>Cut-point values for percent of students scoring proficient and advanced were:</v>
      </c>
      <c r="E28" s="154" t="s">
        <v>306</v>
      </c>
      <c r="G28" s="269"/>
      <c r="H28" s="292"/>
      <c r="I28" s="281"/>
      <c r="J28" s="39" t="s">
        <v>128</v>
      </c>
      <c r="K28" s="40" t="s">
        <v>132</v>
      </c>
      <c r="M28" s="47" t="s">
        <v>286</v>
      </c>
      <c r="N28" s="36" t="s">
        <v>129</v>
      </c>
      <c r="O28" s="36" t="s">
        <v>130</v>
      </c>
      <c r="P28" s="36" t="s">
        <v>131</v>
      </c>
      <c r="Q28" s="40" t="s">
        <v>132</v>
      </c>
      <c r="R28" s="50">
        <v>90</v>
      </c>
      <c r="S28" s="50">
        <v>60</v>
      </c>
      <c r="T28" s="50">
        <v>40</v>
      </c>
    </row>
    <row r="29" spans="1:20" ht="15" x14ac:dyDescent="0.25">
      <c r="A29" s="278"/>
      <c r="B29" s="281"/>
      <c r="C29" s="35" t="s">
        <v>22</v>
      </c>
      <c r="D29" s="43">
        <v>28.6</v>
      </c>
      <c r="E29" s="154" t="s">
        <v>306</v>
      </c>
      <c r="G29" s="269"/>
      <c r="H29" s="292"/>
      <c r="I29" s="281"/>
      <c r="J29" s="41" t="str">
        <f>IF(K24=G$545, "Cut-point values for percent of students increasing a grade level were:", "Cut-point values for percent of students scoring at grade level were:")</f>
        <v>Cut-point values for percent of students increasing a grade level were:</v>
      </c>
      <c r="K29" s="42"/>
      <c r="M29" s="47" t="s">
        <v>287</v>
      </c>
      <c r="N29" s="36" t="s">
        <v>129</v>
      </c>
      <c r="O29" s="36" t="s">
        <v>130</v>
      </c>
      <c r="P29" s="36" t="s">
        <v>131</v>
      </c>
      <c r="Q29" s="40" t="s">
        <v>132</v>
      </c>
      <c r="R29" s="50">
        <v>90</v>
      </c>
      <c r="S29" s="50">
        <v>60</v>
      </c>
      <c r="T29" s="50">
        <v>40</v>
      </c>
    </row>
    <row r="30" spans="1:20" ht="15" x14ac:dyDescent="0.25">
      <c r="A30" s="278"/>
      <c r="B30" s="281"/>
      <c r="C30" s="37" t="s">
        <v>23</v>
      </c>
      <c r="D30" s="43">
        <v>14.6</v>
      </c>
      <c r="E30" s="154" t="s">
        <v>306</v>
      </c>
      <c r="G30" s="269"/>
      <c r="H30" s="292"/>
      <c r="I30" s="281"/>
      <c r="J30" s="35" t="s">
        <v>22</v>
      </c>
      <c r="K30" s="50">
        <v>90</v>
      </c>
      <c r="M30" s="47" t="s">
        <v>288</v>
      </c>
      <c r="N30" s="36" t="s">
        <v>129</v>
      </c>
      <c r="O30" s="36" t="s">
        <v>130</v>
      </c>
      <c r="P30" s="36" t="s">
        <v>131</v>
      </c>
      <c r="Q30" s="40" t="s">
        <v>132</v>
      </c>
      <c r="R30" s="50">
        <v>90</v>
      </c>
      <c r="S30" s="50">
        <v>60</v>
      </c>
      <c r="T30" s="50">
        <v>40</v>
      </c>
    </row>
    <row r="31" spans="1:20" ht="15" x14ac:dyDescent="0.25">
      <c r="A31" s="278"/>
      <c r="B31" s="281"/>
      <c r="C31" s="38" t="s">
        <v>24</v>
      </c>
      <c r="D31" s="180">
        <v>10</v>
      </c>
      <c r="E31" s="154" t="s">
        <v>306</v>
      </c>
      <c r="G31" s="269"/>
      <c r="H31" s="292"/>
      <c r="I31" s="281"/>
      <c r="J31" s="37" t="s">
        <v>23</v>
      </c>
      <c r="K31" s="50">
        <v>60</v>
      </c>
      <c r="M31" s="47" t="s">
        <v>289</v>
      </c>
      <c r="N31" s="36" t="s">
        <v>129</v>
      </c>
      <c r="O31" s="36" t="s">
        <v>130</v>
      </c>
      <c r="P31" s="36" t="s">
        <v>131</v>
      </c>
      <c r="Q31" s="40" t="s">
        <v>132</v>
      </c>
      <c r="R31" s="50">
        <v>90</v>
      </c>
      <c r="S31" s="50">
        <v>60</v>
      </c>
      <c r="T31" s="50">
        <v>40</v>
      </c>
    </row>
    <row r="32" spans="1:20" ht="15" x14ac:dyDescent="0.25">
      <c r="A32" s="278"/>
      <c r="B32" s="281"/>
      <c r="C32" s="161" t="s">
        <v>38</v>
      </c>
      <c r="D32" s="173" t="str">
        <f>C32</f>
        <v>Your school's actual percent of students scoring proficient and advanced was:</v>
      </c>
      <c r="E32" s="154" t="s">
        <v>306</v>
      </c>
      <c r="G32" s="269"/>
      <c r="H32" s="292"/>
      <c r="I32" s="281"/>
      <c r="J32" s="38" t="s">
        <v>24</v>
      </c>
      <c r="K32" s="50">
        <v>40</v>
      </c>
      <c r="M32" s="47" t="s">
        <v>290</v>
      </c>
      <c r="N32" s="36" t="s">
        <v>129</v>
      </c>
      <c r="O32" s="36" t="s">
        <v>130</v>
      </c>
      <c r="P32" s="36" t="s">
        <v>131</v>
      </c>
      <c r="Q32" s="40" t="s">
        <v>132</v>
      </c>
      <c r="R32" s="50">
        <v>90</v>
      </c>
      <c r="S32" s="50">
        <v>60</v>
      </c>
      <c r="T32" s="50">
        <v>40</v>
      </c>
    </row>
    <row r="33" spans="1:20" ht="15" x14ac:dyDescent="0.25">
      <c r="A33" s="278"/>
      <c r="B33" s="281"/>
      <c r="C33" s="62" t="s">
        <v>25</v>
      </c>
      <c r="D33" s="45" t="s">
        <v>395</v>
      </c>
      <c r="E33" s="154" t="s">
        <v>306</v>
      </c>
      <c r="G33" s="269"/>
      <c r="H33" s="292"/>
      <c r="I33" s="281"/>
      <c r="J33" s="41" t="str">
        <f>IF(K24=G$545, "Your school's actual percent of students increasing a grade level was:", "Your school's actual percent of students scoring at grade level was:")</f>
        <v>Your school's actual percent of students increasing a grade level was:</v>
      </c>
      <c r="K33" s="42"/>
      <c r="M33" s="47" t="s">
        <v>291</v>
      </c>
      <c r="N33" s="36" t="s">
        <v>270</v>
      </c>
      <c r="O33" s="36" t="s">
        <v>271</v>
      </c>
      <c r="P33" s="36" t="s">
        <v>272</v>
      </c>
      <c r="Q33" s="40" t="s">
        <v>273</v>
      </c>
      <c r="R33" s="50">
        <v>80</v>
      </c>
      <c r="S33" s="50">
        <v>62</v>
      </c>
      <c r="T33" s="50">
        <v>40</v>
      </c>
    </row>
    <row r="34" spans="1:20" ht="15" customHeight="1" thickBot="1" x14ac:dyDescent="0.3">
      <c r="A34" s="279"/>
      <c r="B34" s="282"/>
      <c r="C34" s="46" t="s">
        <v>194</v>
      </c>
      <c r="D34" s="45" t="s">
        <v>395</v>
      </c>
      <c r="E34" s="154" t="s">
        <v>306</v>
      </c>
      <c r="G34" s="269"/>
      <c r="H34" s="292"/>
      <c r="I34" s="281"/>
      <c r="J34" s="44" t="s">
        <v>25</v>
      </c>
      <c r="K34" s="51"/>
      <c r="M34" s="47" t="s">
        <v>400</v>
      </c>
      <c r="N34" s="36" t="s">
        <v>129</v>
      </c>
      <c r="O34" s="36" t="s">
        <v>130</v>
      </c>
      <c r="P34" s="36" t="s">
        <v>131</v>
      </c>
      <c r="Q34" s="40" t="s">
        <v>132</v>
      </c>
      <c r="R34" s="50">
        <v>90</v>
      </c>
      <c r="S34" s="50">
        <v>60</v>
      </c>
      <c r="T34" s="50">
        <v>40</v>
      </c>
    </row>
    <row r="35" spans="1:20" ht="15" customHeight="1" thickBot="1" x14ac:dyDescent="0.3">
      <c r="A35" s="277" t="s">
        <v>27</v>
      </c>
      <c r="B35" s="280" t="s">
        <v>336</v>
      </c>
      <c r="C35" s="160" t="s">
        <v>39</v>
      </c>
      <c r="D35" s="152" t="str">
        <f>C35</f>
        <v xml:space="preserve"> To receive the indicator rating, the AEC's percent of students scoring proficient and advanced was:</v>
      </c>
      <c r="E35" s="154" t="s">
        <v>306</v>
      </c>
      <c r="G35" s="270"/>
      <c r="H35" s="293"/>
      <c r="I35" s="282"/>
      <c r="J35" s="46" t="s">
        <v>194</v>
      </c>
      <c r="K35" s="52"/>
    </row>
    <row r="36" spans="1:20" ht="15.75" thickBot="1" x14ac:dyDescent="0.3">
      <c r="A36" s="278"/>
      <c r="B36" s="281"/>
      <c r="C36" s="35" t="s">
        <v>125</v>
      </c>
      <c r="D36" s="36" t="s">
        <v>18</v>
      </c>
      <c r="E36" s="154" t="s">
        <v>306</v>
      </c>
      <c r="G36" s="165"/>
      <c r="H36" s="54"/>
      <c r="I36" s="164"/>
      <c r="J36" s="56" t="s">
        <v>178</v>
      </c>
      <c r="K36" s="58"/>
      <c r="M36" s="47" t="s">
        <v>135</v>
      </c>
      <c r="Q36" s="47" t="s">
        <v>356</v>
      </c>
      <c r="R36" s="47" t="s">
        <v>350</v>
      </c>
    </row>
    <row r="37" spans="1:20" ht="15" customHeight="1" x14ac:dyDescent="0.25">
      <c r="A37" s="278"/>
      <c r="B37" s="281"/>
      <c r="C37" s="37" t="s">
        <v>126</v>
      </c>
      <c r="D37" s="36" t="s">
        <v>19</v>
      </c>
      <c r="E37" s="154" t="s">
        <v>306</v>
      </c>
      <c r="G37" s="268" t="s">
        <v>26</v>
      </c>
      <c r="H37" s="289"/>
      <c r="I37" s="280" t="s">
        <v>287</v>
      </c>
      <c r="J37" s="48" t="s">
        <v>133</v>
      </c>
      <c r="K37" s="49"/>
      <c r="M37" s="47" t="s">
        <v>134</v>
      </c>
      <c r="Q37" s="151" t="s">
        <v>357</v>
      </c>
      <c r="R37" s="151" t="s">
        <v>351</v>
      </c>
    </row>
    <row r="38" spans="1:20" ht="15" x14ac:dyDescent="0.25">
      <c r="A38" s="278"/>
      <c r="B38" s="281"/>
      <c r="C38" s="38" t="s">
        <v>127</v>
      </c>
      <c r="D38" s="36" t="s">
        <v>20</v>
      </c>
      <c r="E38" s="154" t="s">
        <v>306</v>
      </c>
      <c r="G38" s="269"/>
      <c r="H38" s="290"/>
      <c r="I38" s="281"/>
      <c r="J38" s="35" t="s">
        <v>125</v>
      </c>
      <c r="K38" s="36" t="s">
        <v>129</v>
      </c>
    </row>
    <row r="39" spans="1:20" ht="15" x14ac:dyDescent="0.25">
      <c r="A39" s="278"/>
      <c r="B39" s="281"/>
      <c r="C39" s="39" t="s">
        <v>128</v>
      </c>
      <c r="D39" s="40" t="s">
        <v>21</v>
      </c>
      <c r="E39" s="154" t="s">
        <v>306</v>
      </c>
      <c r="G39" s="269"/>
      <c r="H39" s="290"/>
      <c r="I39" s="281"/>
      <c r="J39" s="37" t="s">
        <v>126</v>
      </c>
      <c r="K39" s="36" t="s">
        <v>130</v>
      </c>
      <c r="M39" s="47" t="s">
        <v>305</v>
      </c>
      <c r="N39" s="47" t="s">
        <v>306</v>
      </c>
    </row>
    <row r="40" spans="1:20" ht="15" customHeight="1" x14ac:dyDescent="0.25">
      <c r="A40" s="278"/>
      <c r="B40" s="281"/>
      <c r="C40" s="161" t="s">
        <v>37</v>
      </c>
      <c r="D40" s="173" t="str">
        <f>C40</f>
        <v>Cut-point values for percent of students scoring proficient and advanced were:</v>
      </c>
      <c r="E40" s="154" t="s">
        <v>306</v>
      </c>
      <c r="G40" s="269"/>
      <c r="H40" s="291" t="s">
        <v>177</v>
      </c>
      <c r="I40" s="281"/>
      <c r="J40" s="38" t="s">
        <v>127</v>
      </c>
      <c r="K40" s="36" t="s">
        <v>131</v>
      </c>
      <c r="M40" s="47" t="s">
        <v>277</v>
      </c>
      <c r="N40" s="47" t="s">
        <v>292</v>
      </c>
    </row>
    <row r="41" spans="1:20" ht="15" x14ac:dyDescent="0.25">
      <c r="A41" s="278"/>
      <c r="B41" s="281"/>
      <c r="C41" s="35" t="s">
        <v>22</v>
      </c>
      <c r="D41" s="43">
        <v>9.4</v>
      </c>
      <c r="E41" s="154" t="s">
        <v>306</v>
      </c>
      <c r="G41" s="269"/>
      <c r="H41" s="292"/>
      <c r="I41" s="281"/>
      <c r="J41" s="39" t="s">
        <v>128</v>
      </c>
      <c r="K41" s="40" t="s">
        <v>132</v>
      </c>
      <c r="M41" s="47" t="s">
        <v>286</v>
      </c>
      <c r="N41" s="47" t="s">
        <v>292</v>
      </c>
    </row>
    <row r="42" spans="1:20" ht="15" x14ac:dyDescent="0.25">
      <c r="A42" s="278"/>
      <c r="B42" s="281"/>
      <c r="C42" s="37" t="s">
        <v>23</v>
      </c>
      <c r="D42" s="43">
        <v>4.4000000000000004</v>
      </c>
      <c r="E42" s="154" t="s">
        <v>306</v>
      </c>
      <c r="G42" s="269"/>
      <c r="H42" s="292"/>
      <c r="I42" s="281"/>
      <c r="J42" s="41" t="str">
        <f>IF(K37=G$545, "Cut-point values for percent of students increasing a grade level were:", "Cut-point values for percent of students scoring at grade level were:")</f>
        <v>Cut-point values for percent of students increasing a grade level were:</v>
      </c>
      <c r="K42" s="42"/>
      <c r="M42" s="47" t="s">
        <v>287</v>
      </c>
      <c r="N42" s="47" t="s">
        <v>292</v>
      </c>
    </row>
    <row r="43" spans="1:20" ht="15" x14ac:dyDescent="0.25">
      <c r="A43" s="278"/>
      <c r="B43" s="281"/>
      <c r="C43" s="38" t="s">
        <v>24</v>
      </c>
      <c r="D43" s="180">
        <v>2</v>
      </c>
      <c r="E43" s="154" t="s">
        <v>306</v>
      </c>
      <c r="G43" s="269"/>
      <c r="H43" s="292"/>
      <c r="I43" s="281"/>
      <c r="J43" s="35" t="s">
        <v>22</v>
      </c>
      <c r="K43" s="50">
        <v>90</v>
      </c>
      <c r="M43" s="47" t="s">
        <v>288</v>
      </c>
      <c r="N43" s="47" t="s">
        <v>292</v>
      </c>
    </row>
    <row r="44" spans="1:20" ht="15" x14ac:dyDescent="0.25">
      <c r="A44" s="278"/>
      <c r="B44" s="281"/>
      <c r="C44" s="161" t="s">
        <v>38</v>
      </c>
      <c r="D44" s="173" t="str">
        <f>C44</f>
        <v>Your school's actual percent of students scoring proficient and advanced was:</v>
      </c>
      <c r="E44" s="154" t="s">
        <v>306</v>
      </c>
      <c r="G44" s="269"/>
      <c r="H44" s="292"/>
      <c r="I44" s="281"/>
      <c r="J44" s="37" t="s">
        <v>23</v>
      </c>
      <c r="K44" s="50">
        <v>60</v>
      </c>
      <c r="M44" s="47" t="s">
        <v>289</v>
      </c>
      <c r="N44" s="47" t="s">
        <v>292</v>
      </c>
    </row>
    <row r="45" spans="1:20" ht="15" x14ac:dyDescent="0.25">
      <c r="A45" s="278"/>
      <c r="B45" s="281"/>
      <c r="C45" s="62" t="s">
        <v>25</v>
      </c>
      <c r="D45" s="45" t="s">
        <v>395</v>
      </c>
      <c r="E45" s="154" t="s">
        <v>306</v>
      </c>
      <c r="G45" s="269"/>
      <c r="H45" s="292"/>
      <c r="I45" s="281"/>
      <c r="J45" s="38" t="s">
        <v>24</v>
      </c>
      <c r="K45" s="50">
        <v>40</v>
      </c>
      <c r="M45" s="47" t="s">
        <v>290</v>
      </c>
      <c r="N45" s="47" t="s">
        <v>292</v>
      </c>
    </row>
    <row r="46" spans="1:20" ht="15" customHeight="1" thickBot="1" x14ac:dyDescent="0.3">
      <c r="A46" s="279"/>
      <c r="B46" s="282"/>
      <c r="C46" s="46" t="s">
        <v>194</v>
      </c>
      <c r="D46" s="45" t="s">
        <v>395</v>
      </c>
      <c r="E46" s="154" t="s">
        <v>306</v>
      </c>
      <c r="G46" s="269"/>
      <c r="H46" s="292"/>
      <c r="I46" s="281"/>
      <c r="J46" s="41" t="str">
        <f>IF(K37=G$545, "Your school's actual percent of students increasing a grade level was:", "Your school's actual percent of students scoring at grade level was:")</f>
        <v>Your school's actual percent of students increasing a grade level was:</v>
      </c>
      <c r="K46" s="42"/>
      <c r="M46" s="47" t="s">
        <v>291</v>
      </c>
      <c r="N46" s="47" t="s">
        <v>293</v>
      </c>
    </row>
    <row r="47" spans="1:20" ht="15" customHeight="1" x14ac:dyDescent="0.25">
      <c r="A47" s="277" t="s">
        <v>27</v>
      </c>
      <c r="B47" s="280" t="s">
        <v>337</v>
      </c>
      <c r="C47" s="33" t="s">
        <v>39</v>
      </c>
      <c r="D47" s="152" t="str">
        <f>C47</f>
        <v xml:space="preserve"> To receive the indicator rating, the AEC's percent of students scoring proficient and advanced was:</v>
      </c>
      <c r="E47" s="154" t="s">
        <v>306</v>
      </c>
      <c r="G47" s="269"/>
      <c r="H47" s="292"/>
      <c r="I47" s="281"/>
      <c r="J47" s="44" t="s">
        <v>25</v>
      </c>
      <c r="K47" s="51"/>
      <c r="M47" s="47" t="s">
        <v>319</v>
      </c>
      <c r="N47" s="47" t="s">
        <v>292</v>
      </c>
    </row>
    <row r="48" spans="1:20" ht="15.75" thickBot="1" x14ac:dyDescent="0.3">
      <c r="A48" s="278"/>
      <c r="B48" s="281"/>
      <c r="C48" s="35" t="s">
        <v>125</v>
      </c>
      <c r="D48" s="36" t="s">
        <v>18</v>
      </c>
      <c r="E48" s="154" t="s">
        <v>306</v>
      </c>
      <c r="G48" s="270"/>
      <c r="H48" s="293"/>
      <c r="I48" s="282"/>
      <c r="J48" s="46" t="s">
        <v>194</v>
      </c>
      <c r="K48" s="52"/>
      <c r="M48" s="47" t="s">
        <v>400</v>
      </c>
      <c r="N48" s="47" t="s">
        <v>292</v>
      </c>
    </row>
    <row r="49" spans="1:13" ht="15.75" thickBot="1" x14ac:dyDescent="0.3">
      <c r="A49" s="278"/>
      <c r="B49" s="281"/>
      <c r="C49" s="37" t="s">
        <v>126</v>
      </c>
      <c r="D49" s="36" t="s">
        <v>19</v>
      </c>
      <c r="E49" s="154" t="s">
        <v>306</v>
      </c>
      <c r="G49" s="165"/>
      <c r="H49" s="54"/>
      <c r="I49" s="164"/>
      <c r="J49" s="56" t="s">
        <v>178</v>
      </c>
      <c r="K49" s="58" t="e">
        <f>IF(#REF!="YES","YES","NO")</f>
        <v>#REF!</v>
      </c>
      <c r="M49" s="47" t="s">
        <v>277</v>
      </c>
    </row>
    <row r="50" spans="1:13" ht="15" customHeight="1" x14ac:dyDescent="0.25">
      <c r="A50" s="278"/>
      <c r="B50" s="281"/>
      <c r="C50" s="38" t="s">
        <v>127</v>
      </c>
      <c r="D50" s="36" t="s">
        <v>20</v>
      </c>
      <c r="E50" s="154" t="s">
        <v>306</v>
      </c>
      <c r="G50" s="268" t="s">
        <v>26</v>
      </c>
      <c r="H50" s="289"/>
      <c r="I50" s="280" t="s">
        <v>288</v>
      </c>
      <c r="J50" s="48" t="s">
        <v>133</v>
      </c>
      <c r="K50" s="49"/>
      <c r="M50" s="47" t="s">
        <v>286</v>
      </c>
    </row>
    <row r="51" spans="1:13" ht="15" x14ac:dyDescent="0.25">
      <c r="A51" s="278"/>
      <c r="B51" s="281"/>
      <c r="C51" s="39" t="s">
        <v>128</v>
      </c>
      <c r="D51" s="40" t="s">
        <v>21</v>
      </c>
      <c r="E51" s="154" t="s">
        <v>306</v>
      </c>
      <c r="G51" s="269"/>
      <c r="H51" s="290"/>
      <c r="I51" s="281"/>
      <c r="J51" s="35" t="s">
        <v>125</v>
      </c>
      <c r="K51" s="36" t="s">
        <v>129</v>
      </c>
      <c r="M51" s="47" t="s">
        <v>287</v>
      </c>
    </row>
    <row r="52" spans="1:13" ht="15" x14ac:dyDescent="0.25">
      <c r="A52" s="278"/>
      <c r="B52" s="281"/>
      <c r="C52" s="41" t="s">
        <v>37</v>
      </c>
      <c r="D52" s="173" t="str">
        <f>C52</f>
        <v>Cut-point values for percent of students scoring proficient and advanced were:</v>
      </c>
      <c r="E52" s="154" t="s">
        <v>306</v>
      </c>
      <c r="G52" s="269"/>
      <c r="H52" s="290"/>
      <c r="I52" s="281"/>
      <c r="J52" s="37" t="s">
        <v>126</v>
      </c>
      <c r="K52" s="36" t="s">
        <v>130</v>
      </c>
      <c r="M52" s="47" t="s">
        <v>288</v>
      </c>
    </row>
    <row r="53" spans="1:13" ht="15" customHeight="1" x14ac:dyDescent="0.25">
      <c r="A53" s="278"/>
      <c r="B53" s="281"/>
      <c r="C53" s="35" t="s">
        <v>22</v>
      </c>
      <c r="D53" s="43">
        <v>30.3</v>
      </c>
      <c r="E53" s="154" t="s">
        <v>306</v>
      </c>
      <c r="G53" s="269"/>
      <c r="H53" s="291" t="s">
        <v>177</v>
      </c>
      <c r="I53" s="281"/>
      <c r="J53" s="38" t="s">
        <v>127</v>
      </c>
      <c r="K53" s="36" t="s">
        <v>131</v>
      </c>
      <c r="M53" s="47" t="s">
        <v>289</v>
      </c>
    </row>
    <row r="54" spans="1:13" ht="15" x14ac:dyDescent="0.25">
      <c r="A54" s="278"/>
      <c r="B54" s="281"/>
      <c r="C54" s="37" t="s">
        <v>23</v>
      </c>
      <c r="D54" s="43">
        <v>16.399999999999999</v>
      </c>
      <c r="E54" s="154" t="s">
        <v>306</v>
      </c>
      <c r="G54" s="269"/>
      <c r="H54" s="292"/>
      <c r="I54" s="281"/>
      <c r="J54" s="39" t="s">
        <v>128</v>
      </c>
      <c r="K54" s="40" t="s">
        <v>132</v>
      </c>
      <c r="M54" s="47" t="s">
        <v>290</v>
      </c>
    </row>
    <row r="55" spans="1:13" ht="15" x14ac:dyDescent="0.25">
      <c r="A55" s="278"/>
      <c r="B55" s="281"/>
      <c r="C55" s="38" t="s">
        <v>24</v>
      </c>
      <c r="D55" s="180">
        <v>10.8</v>
      </c>
      <c r="E55" s="154" t="s">
        <v>306</v>
      </c>
      <c r="G55" s="269"/>
      <c r="H55" s="292"/>
      <c r="I55" s="281"/>
      <c r="J55" s="41" t="str">
        <f>IF(K50=G$545, "Cut-point values for percent of students increasing a grade level were:", "Cut-point values for percent of students scoring at grade level were:")</f>
        <v>Cut-point values for percent of students increasing a grade level were:</v>
      </c>
      <c r="K55" s="42"/>
      <c r="M55" s="47" t="s">
        <v>291</v>
      </c>
    </row>
    <row r="56" spans="1:13" ht="15" x14ac:dyDescent="0.25">
      <c r="A56" s="278"/>
      <c r="B56" s="281"/>
      <c r="C56" s="41" t="s">
        <v>38</v>
      </c>
      <c r="D56" s="173" t="str">
        <f>C56</f>
        <v>Your school's actual percent of students scoring proficient and advanced was:</v>
      </c>
      <c r="E56" s="154" t="s">
        <v>306</v>
      </c>
      <c r="G56" s="269"/>
      <c r="H56" s="292"/>
      <c r="I56" s="281"/>
      <c r="J56" s="35" t="s">
        <v>22</v>
      </c>
      <c r="K56" s="50">
        <v>90</v>
      </c>
      <c r="M56" s="47" t="s">
        <v>295</v>
      </c>
    </row>
    <row r="57" spans="1:13" ht="15" x14ac:dyDescent="0.25">
      <c r="A57" s="278"/>
      <c r="B57" s="281"/>
      <c r="C57" s="158" t="s">
        <v>25</v>
      </c>
      <c r="D57" s="45" t="s">
        <v>395</v>
      </c>
      <c r="E57" s="154" t="s">
        <v>306</v>
      </c>
      <c r="G57" s="269"/>
      <c r="H57" s="292"/>
      <c r="I57" s="281"/>
      <c r="J57" s="37" t="s">
        <v>23</v>
      </c>
      <c r="K57" s="50">
        <v>60</v>
      </c>
    </row>
    <row r="58" spans="1:13" ht="15" customHeight="1" thickBot="1" x14ac:dyDescent="0.3">
      <c r="A58" s="279"/>
      <c r="B58" s="282"/>
      <c r="C58" s="46" t="s">
        <v>194</v>
      </c>
      <c r="D58" s="45" t="s">
        <v>395</v>
      </c>
      <c r="E58" s="154" t="s">
        <v>306</v>
      </c>
      <c r="G58" s="269"/>
      <c r="H58" s="292"/>
      <c r="I58" s="281"/>
      <c r="J58" s="38" t="s">
        <v>24</v>
      </c>
      <c r="K58" s="50">
        <v>40</v>
      </c>
    </row>
    <row r="59" spans="1:13" ht="15" customHeight="1" x14ac:dyDescent="0.25">
      <c r="A59" s="310" t="s">
        <v>26</v>
      </c>
      <c r="B59" s="280" t="s">
        <v>385</v>
      </c>
      <c r="C59" s="183" t="s">
        <v>96</v>
      </c>
      <c r="D59" s="184" t="s">
        <v>305</v>
      </c>
      <c r="E59" s="154" t="s">
        <v>306</v>
      </c>
      <c r="G59" s="269"/>
      <c r="H59" s="292"/>
      <c r="I59" s="281"/>
      <c r="J59" s="41" t="str">
        <f>IF(K50=G$545, "Your school's actual percent of students increasing a grade level was:", "Your school's actual percent of students scoring at grade level was:")</f>
        <v>Your school's actual percent of students increasing a grade level was:</v>
      </c>
      <c r="K59" s="42"/>
    </row>
    <row r="60" spans="1:13" ht="15" customHeight="1" x14ac:dyDescent="0.25">
      <c r="A60" s="311"/>
      <c r="B60" s="281"/>
      <c r="C60" s="182" t="s">
        <v>294</v>
      </c>
      <c r="D60" s="186" t="s">
        <v>135</v>
      </c>
      <c r="E60" s="154" t="s">
        <v>306</v>
      </c>
      <c r="G60" s="269"/>
      <c r="H60" s="292"/>
      <c r="I60" s="281"/>
      <c r="J60" s="44" t="s">
        <v>25</v>
      </c>
      <c r="K60" s="51"/>
    </row>
    <row r="61" spans="1:13" ht="15.75" thickBot="1" x14ac:dyDescent="0.3">
      <c r="A61" s="311"/>
      <c r="B61" s="281"/>
      <c r="C61" s="88" t="s">
        <v>95</v>
      </c>
      <c r="D61" s="173" t="str">
        <f>C61</f>
        <v xml:space="preserve"> To receive the indicator rating, the criteria for the additional measure of student academic achievement was:</v>
      </c>
      <c r="E61" s="154" t="s">
        <v>306</v>
      </c>
      <c r="G61" s="270"/>
      <c r="H61" s="293"/>
      <c r="I61" s="282"/>
      <c r="J61" s="46" t="s">
        <v>194</v>
      </c>
      <c r="K61" s="52"/>
    </row>
    <row r="62" spans="1:13" ht="15.75" thickBot="1" x14ac:dyDescent="0.3">
      <c r="A62" s="311"/>
      <c r="B62" s="281"/>
      <c r="C62" s="35" t="s">
        <v>125</v>
      </c>
      <c r="D62" s="74" t="str">
        <f>VLOOKUP(D59,$M$25:$T$34,2,FALSE)</f>
        <v xml:space="preserve"> </v>
      </c>
      <c r="E62" s="154" t="s">
        <v>306</v>
      </c>
      <c r="G62" s="165"/>
      <c r="H62" s="54"/>
      <c r="I62" s="164"/>
      <c r="J62" s="56" t="s">
        <v>178</v>
      </c>
      <c r="K62" s="58" t="e">
        <f>IF(#REF!="YES","YES","NO")</f>
        <v>#REF!</v>
      </c>
    </row>
    <row r="63" spans="1:13" ht="15" customHeight="1" x14ac:dyDescent="0.25">
      <c r="A63" s="311"/>
      <c r="B63" s="281"/>
      <c r="C63" s="37" t="s">
        <v>126</v>
      </c>
      <c r="D63" s="74" t="str">
        <f>VLOOKUP(D59,$M$25:$T$34,3,FALSE)</f>
        <v xml:space="preserve"> </v>
      </c>
      <c r="E63" s="154" t="s">
        <v>306</v>
      </c>
      <c r="G63" s="268" t="s">
        <v>26</v>
      </c>
      <c r="H63" s="289"/>
      <c r="I63" s="280" t="s">
        <v>289</v>
      </c>
      <c r="J63" s="48" t="s">
        <v>133</v>
      </c>
      <c r="K63" s="49"/>
    </row>
    <row r="64" spans="1:13" ht="15.75" customHeight="1" x14ac:dyDescent="0.25">
      <c r="A64" s="311"/>
      <c r="B64" s="281"/>
      <c r="C64" s="38" t="s">
        <v>127</v>
      </c>
      <c r="D64" s="74" t="str">
        <f>VLOOKUP(D59,$M$25:$T$34,4,FALSE)</f>
        <v xml:space="preserve"> </v>
      </c>
      <c r="E64" s="154" t="s">
        <v>306</v>
      </c>
      <c r="G64" s="269"/>
      <c r="H64" s="290"/>
      <c r="I64" s="281"/>
      <c r="J64" s="35" t="s">
        <v>125</v>
      </c>
      <c r="K64" s="36" t="s">
        <v>129</v>
      </c>
    </row>
    <row r="65" spans="1:11" ht="15" x14ac:dyDescent="0.25">
      <c r="A65" s="311"/>
      <c r="B65" s="281"/>
      <c r="C65" s="39" t="s">
        <v>128</v>
      </c>
      <c r="D65" s="201" t="str">
        <f>VLOOKUP(D59,$M$25:$T$34,5,FALSE)</f>
        <v xml:space="preserve"> </v>
      </c>
      <c r="E65" s="154" t="s">
        <v>306</v>
      </c>
      <c r="G65" s="269"/>
      <c r="H65" s="290"/>
      <c r="I65" s="281"/>
      <c r="J65" s="37" t="s">
        <v>126</v>
      </c>
      <c r="K65" s="36" t="s">
        <v>130</v>
      </c>
    </row>
    <row r="66" spans="1:11" ht="15" customHeight="1" x14ac:dyDescent="0.25">
      <c r="A66" s="311"/>
      <c r="B66" s="281"/>
      <c r="C66" s="88" t="s">
        <v>67</v>
      </c>
      <c r="D66" s="173" t="str">
        <f>C66</f>
        <v>Cut-point values for additional measure  of student academic achievement were:</v>
      </c>
      <c r="E66" s="154" t="s">
        <v>306</v>
      </c>
      <c r="G66" s="269"/>
      <c r="H66" s="291" t="s">
        <v>177</v>
      </c>
      <c r="I66" s="281"/>
      <c r="J66" s="38" t="s">
        <v>127</v>
      </c>
      <c r="K66" s="36" t="s">
        <v>131</v>
      </c>
    </row>
    <row r="67" spans="1:11" ht="15" x14ac:dyDescent="0.25">
      <c r="A67" s="311"/>
      <c r="B67" s="281"/>
      <c r="C67" s="35" t="s">
        <v>22</v>
      </c>
      <c r="D67" s="50" t="str">
        <f>VLOOKUP(D59,$M$25:$T$34,6,FALSE)</f>
        <v xml:space="preserve"> </v>
      </c>
      <c r="E67" s="154" t="s">
        <v>306</v>
      </c>
      <c r="G67" s="269"/>
      <c r="H67" s="292"/>
      <c r="I67" s="281"/>
      <c r="J67" s="39" t="s">
        <v>128</v>
      </c>
      <c r="K67" s="40" t="s">
        <v>132</v>
      </c>
    </row>
    <row r="68" spans="1:11" ht="15" x14ac:dyDescent="0.25">
      <c r="A68" s="311"/>
      <c r="B68" s="281"/>
      <c r="C68" s="37" t="s">
        <v>23</v>
      </c>
      <c r="D68" s="50" t="str">
        <f>VLOOKUP(D59,$M$25:$T$34,7,FALSE)</f>
        <v xml:space="preserve"> </v>
      </c>
      <c r="E68" s="154" t="s">
        <v>306</v>
      </c>
      <c r="G68" s="269"/>
      <c r="H68" s="292"/>
      <c r="I68" s="281"/>
      <c r="J68" s="41" t="str">
        <f>IF(K63=G$545, "Cut-point values for percent of students increasing a grade level were:", "Cut-point values for percent of students scoring at grade level were:")</f>
        <v>Cut-point values for percent of students increasing a grade level were:</v>
      </c>
      <c r="K68" s="42"/>
    </row>
    <row r="69" spans="1:11" ht="15.75" thickBot="1" x14ac:dyDescent="0.3">
      <c r="A69" s="311"/>
      <c r="B69" s="281"/>
      <c r="C69" s="38" t="s">
        <v>24</v>
      </c>
      <c r="D69" s="50" t="str">
        <f>VLOOKUP(D59,$M$25:$T$34,8,FALSE)</f>
        <v xml:space="preserve"> </v>
      </c>
      <c r="E69" s="154" t="s">
        <v>306</v>
      </c>
      <c r="G69" s="269"/>
      <c r="H69" s="292"/>
      <c r="I69" s="281"/>
      <c r="J69" s="35" t="s">
        <v>22</v>
      </c>
      <c r="K69" s="50">
        <v>90</v>
      </c>
    </row>
    <row r="70" spans="1:11" ht="15" x14ac:dyDescent="0.25">
      <c r="A70" s="311"/>
      <c r="B70" s="281"/>
      <c r="C70" s="91" t="s">
        <v>282</v>
      </c>
      <c r="D70" s="24" t="s">
        <v>307</v>
      </c>
      <c r="E70" s="154" t="s">
        <v>306</v>
      </c>
      <c r="G70" s="269"/>
      <c r="H70" s="292"/>
      <c r="I70" s="281"/>
      <c r="J70" s="37" t="s">
        <v>23</v>
      </c>
      <c r="K70" s="50">
        <v>60</v>
      </c>
    </row>
    <row r="71" spans="1:11" ht="15" customHeight="1" x14ac:dyDescent="0.25">
      <c r="A71" s="311"/>
      <c r="B71" s="281"/>
      <c r="C71" s="171" t="str">
        <f>IF(D60=M112, "Your school's actual percent of students increasing a grade level was:", "Your school's actual percent of students scoring at grade level was:")</f>
        <v>Your school's actual percent of students scoring at grade level was:</v>
      </c>
      <c r="D71" s="173" t="str">
        <f>C71</f>
        <v>Your school's actual percent of students scoring at grade level was:</v>
      </c>
      <c r="E71" s="154" t="s">
        <v>306</v>
      </c>
      <c r="G71" s="269"/>
      <c r="H71" s="292"/>
      <c r="I71" s="281"/>
      <c r="J71" s="38" t="s">
        <v>24</v>
      </c>
      <c r="K71" s="50">
        <v>40</v>
      </c>
    </row>
    <row r="72" spans="1:11" ht="15" customHeight="1" x14ac:dyDescent="0.25">
      <c r="A72" s="311"/>
      <c r="B72" s="281"/>
      <c r="C72" s="159" t="str">
        <f>IF(D60=$M$36,$Q$36,$Q$37)</f>
        <v>Number of students increasing at least one grade level</v>
      </c>
      <c r="D72" s="156" t="s">
        <v>380</v>
      </c>
      <c r="E72" s="154" t="s">
        <v>306</v>
      </c>
      <c r="G72" s="269"/>
      <c r="H72" s="292"/>
      <c r="I72" s="281"/>
      <c r="J72" s="41" t="str">
        <f>IF(K63=G$545, "Your school's actual percent of students increasing a grade level was:", "Your school's actual percent of students scoring at grade level was:")</f>
        <v>Your school's actual percent of students increasing a grade level was:</v>
      </c>
      <c r="K72" s="42"/>
    </row>
    <row r="73" spans="1:11" ht="15" customHeight="1" x14ac:dyDescent="0.25">
      <c r="A73" s="311"/>
      <c r="B73" s="281"/>
      <c r="C73" s="159" t="s">
        <v>378</v>
      </c>
      <c r="D73" s="156" t="s">
        <v>394</v>
      </c>
      <c r="E73" s="154" t="s">
        <v>306</v>
      </c>
      <c r="G73" s="269"/>
      <c r="H73" s="292"/>
      <c r="I73" s="281"/>
      <c r="J73" s="44" t="s">
        <v>25</v>
      </c>
      <c r="K73" s="51"/>
    </row>
    <row r="74" spans="1:11" ht="15.75" thickBot="1" x14ac:dyDescent="0.3">
      <c r="A74" s="311"/>
      <c r="B74" s="281"/>
      <c r="C74" s="64" t="str">
        <f>IF(D70=$M$36,$R$36,$R$37)</f>
        <v>Percent of students scoring at grade level</v>
      </c>
      <c r="D74" s="169" t="e">
        <f>SUM(D72/D73)*100</f>
        <v>#VALUE!</v>
      </c>
      <c r="E74" s="154" t="s">
        <v>306</v>
      </c>
      <c r="G74" s="270"/>
      <c r="H74" s="293"/>
      <c r="I74" s="282"/>
      <c r="J74" s="46" t="s">
        <v>194</v>
      </c>
      <c r="K74" s="52"/>
    </row>
    <row r="75" spans="1:11" ht="15.75" thickBot="1" x14ac:dyDescent="0.3">
      <c r="A75" s="311"/>
      <c r="B75" s="281"/>
      <c r="C75" s="91" t="s">
        <v>283</v>
      </c>
      <c r="D75" s="24" t="s">
        <v>307</v>
      </c>
      <c r="E75" s="154" t="s">
        <v>306</v>
      </c>
      <c r="G75" s="165"/>
      <c r="H75" s="54"/>
      <c r="I75" s="164"/>
      <c r="J75" s="56" t="s">
        <v>178</v>
      </c>
      <c r="K75" s="58" t="e">
        <f>IF(#REF!="YES","YES","NO")</f>
        <v>#REF!</v>
      </c>
    </row>
    <row r="76" spans="1:11" ht="15" customHeight="1" x14ac:dyDescent="0.25">
      <c r="A76" s="311"/>
      <c r="B76" s="281"/>
      <c r="C76" s="171" t="str">
        <f>IF(D60=M112, "Your school's actual percent of students increasing a grade level was:", "Your school's actual percent of students scoring at grade level was:")</f>
        <v>Your school's actual percent of students scoring at grade level was:</v>
      </c>
      <c r="D76" s="173" t="str">
        <f>C76</f>
        <v>Your school's actual percent of students scoring at grade level was:</v>
      </c>
      <c r="E76" s="154" t="s">
        <v>306</v>
      </c>
      <c r="G76" s="268" t="s">
        <v>26</v>
      </c>
      <c r="H76" s="289"/>
      <c r="I76" s="280" t="s">
        <v>290</v>
      </c>
      <c r="J76" s="48" t="s">
        <v>133</v>
      </c>
      <c r="K76" s="49"/>
    </row>
    <row r="77" spans="1:11" ht="15" x14ac:dyDescent="0.25">
      <c r="A77" s="311"/>
      <c r="B77" s="281"/>
      <c r="C77" s="159" t="str">
        <f>IF(D60=$M$36,$Q$36,$Q$37)</f>
        <v>Number of students increasing at least one grade level</v>
      </c>
      <c r="D77" s="156" t="s">
        <v>380</v>
      </c>
      <c r="E77" s="154" t="s">
        <v>306</v>
      </c>
      <c r="G77" s="269"/>
      <c r="H77" s="290"/>
      <c r="I77" s="281"/>
      <c r="J77" s="35" t="s">
        <v>125</v>
      </c>
      <c r="K77" s="36" t="s">
        <v>129</v>
      </c>
    </row>
    <row r="78" spans="1:11" ht="15" x14ac:dyDescent="0.25">
      <c r="A78" s="311"/>
      <c r="B78" s="281"/>
      <c r="C78" s="159" t="s">
        <v>378</v>
      </c>
      <c r="D78" s="156" t="s">
        <v>394</v>
      </c>
      <c r="E78" s="154" t="s">
        <v>306</v>
      </c>
      <c r="G78" s="269"/>
      <c r="H78" s="290"/>
      <c r="I78" s="281"/>
      <c r="J78" s="37" t="s">
        <v>126</v>
      </c>
      <c r="K78" s="36" t="s">
        <v>130</v>
      </c>
    </row>
    <row r="79" spans="1:11" ht="15" customHeight="1" thickBot="1" x14ac:dyDescent="0.3">
      <c r="A79" s="311"/>
      <c r="B79" s="281"/>
      <c r="C79" s="64" t="str">
        <f>IF(D75=$M$36,$R$36,$R$37)</f>
        <v>Percent of students scoring at grade level</v>
      </c>
      <c r="D79" s="169" t="e">
        <f>SUM(D77/D78)*100</f>
        <v>#VALUE!</v>
      </c>
      <c r="E79" s="154" t="s">
        <v>306</v>
      </c>
      <c r="G79" s="269"/>
      <c r="H79" s="291" t="s">
        <v>177</v>
      </c>
      <c r="I79" s="281"/>
      <c r="J79" s="38" t="s">
        <v>127</v>
      </c>
      <c r="K79" s="36" t="s">
        <v>131</v>
      </c>
    </row>
    <row r="80" spans="1:11" ht="15" customHeight="1" x14ac:dyDescent="0.25">
      <c r="A80" s="311"/>
      <c r="B80" s="281"/>
      <c r="C80" s="91" t="s">
        <v>284</v>
      </c>
      <c r="D80" s="24" t="s">
        <v>307</v>
      </c>
      <c r="E80" s="154" t="s">
        <v>306</v>
      </c>
      <c r="G80" s="269"/>
      <c r="H80" s="292"/>
      <c r="I80" s="281"/>
      <c r="J80" s="39" t="s">
        <v>128</v>
      </c>
      <c r="K80" s="40" t="s">
        <v>132</v>
      </c>
    </row>
    <row r="81" spans="1:11" ht="15" x14ac:dyDescent="0.25">
      <c r="A81" s="311"/>
      <c r="B81" s="281"/>
      <c r="C81" s="171" t="str">
        <f>IF(D60=M112, "Your school's actual percent of students increasing a grade level was:", "Your school's actual percent of students scoring at grade level was:")</f>
        <v>Your school's actual percent of students scoring at grade level was:</v>
      </c>
      <c r="D81" s="173" t="str">
        <f>C81</f>
        <v>Your school's actual percent of students scoring at grade level was:</v>
      </c>
      <c r="E81" s="154" t="s">
        <v>306</v>
      </c>
      <c r="G81" s="269"/>
      <c r="H81" s="292"/>
      <c r="I81" s="281"/>
      <c r="J81" s="41" t="str">
        <f>IF(K76=G$545, "Cut-point values for percent of students increasing a grade level were:", "Cut-point values for percent of students scoring at grade level were:")</f>
        <v>Cut-point values for percent of students increasing a grade level were:</v>
      </c>
      <c r="K81" s="42"/>
    </row>
    <row r="82" spans="1:11" ht="15" x14ac:dyDescent="0.25">
      <c r="A82" s="311"/>
      <c r="B82" s="281"/>
      <c r="C82" s="159" t="str">
        <f>IF(D60=$M$36,$Q$36,$Q$37)</f>
        <v>Number of students increasing at least one grade level</v>
      </c>
      <c r="D82" s="156" t="s">
        <v>380</v>
      </c>
      <c r="E82" s="154" t="s">
        <v>306</v>
      </c>
      <c r="G82" s="269"/>
      <c r="H82" s="292"/>
      <c r="I82" s="281"/>
      <c r="J82" s="35" t="s">
        <v>22</v>
      </c>
      <c r="K82" s="50">
        <v>90</v>
      </c>
    </row>
    <row r="83" spans="1:11" ht="15" customHeight="1" x14ac:dyDescent="0.25">
      <c r="A83" s="311"/>
      <c r="B83" s="281"/>
      <c r="C83" s="159" t="s">
        <v>378</v>
      </c>
      <c r="D83" s="156" t="s">
        <v>394</v>
      </c>
      <c r="E83" s="154" t="s">
        <v>306</v>
      </c>
      <c r="G83" s="269"/>
      <c r="H83" s="292"/>
      <c r="I83" s="281"/>
      <c r="J83" s="37" t="s">
        <v>23</v>
      </c>
      <c r="K83" s="50">
        <v>60</v>
      </c>
    </row>
    <row r="84" spans="1:11" ht="15.75" thickBot="1" x14ac:dyDescent="0.3">
      <c r="A84" s="311"/>
      <c r="B84" s="281"/>
      <c r="C84" s="64" t="str">
        <f>IF(D80=$M$36,$R$36,$R$37)</f>
        <v>Percent of students scoring at grade level</v>
      </c>
      <c r="D84" s="169" t="e">
        <f>SUM(D82/D83)*100</f>
        <v>#VALUE!</v>
      </c>
      <c r="E84" s="154" t="s">
        <v>306</v>
      </c>
      <c r="G84" s="269"/>
      <c r="H84" s="292"/>
      <c r="I84" s="281"/>
      <c r="J84" s="38" t="s">
        <v>24</v>
      </c>
      <c r="K84" s="50">
        <v>40</v>
      </c>
    </row>
    <row r="85" spans="1:11" ht="15" x14ac:dyDescent="0.25">
      <c r="A85" s="311"/>
      <c r="B85" s="281"/>
      <c r="C85" s="91" t="s">
        <v>285</v>
      </c>
      <c r="D85" s="24" t="s">
        <v>307</v>
      </c>
      <c r="E85" s="154" t="s">
        <v>306</v>
      </c>
      <c r="G85" s="269"/>
      <c r="H85" s="292"/>
      <c r="I85" s="281"/>
      <c r="J85" s="41" t="str">
        <f>IF(K76=G$545, "Your school's actual percent of students increasing a grade level was:", "Your school's actual percent of students scoring at grade level was:")</f>
        <v>Your school's actual percent of students increasing a grade level was:</v>
      </c>
      <c r="K85" s="42"/>
    </row>
    <row r="86" spans="1:11" ht="15" x14ac:dyDescent="0.25">
      <c r="A86" s="311"/>
      <c r="B86" s="281"/>
      <c r="C86" s="171" t="str">
        <f>IF(D60=M112, "Your school's actual percent of students increasing a grade level was:", "Your school's actual percent of students scoring at grade level was:")</f>
        <v>Your school's actual percent of students scoring at grade level was:</v>
      </c>
      <c r="D86" s="173" t="str">
        <f>C86</f>
        <v>Your school's actual percent of students scoring at grade level was:</v>
      </c>
      <c r="E86" s="154" t="s">
        <v>306</v>
      </c>
      <c r="G86" s="269"/>
      <c r="H86" s="292"/>
      <c r="I86" s="281"/>
      <c r="J86" s="157"/>
      <c r="K86" s="71"/>
    </row>
    <row r="87" spans="1:11" ht="15.75" customHeight="1" x14ac:dyDescent="0.25">
      <c r="A87" s="311"/>
      <c r="B87" s="281"/>
      <c r="C87" s="159" t="str">
        <f>IF(D60=$M$36,$Q$36,$Q$37)</f>
        <v>Number of students increasing at least one grade level</v>
      </c>
      <c r="D87" s="156" t="s">
        <v>380</v>
      </c>
      <c r="E87" s="154" t="s">
        <v>306</v>
      </c>
      <c r="G87" s="269"/>
      <c r="H87" s="292"/>
      <c r="I87" s="281"/>
      <c r="J87" s="44" t="s">
        <v>25</v>
      </c>
      <c r="K87" s="59"/>
    </row>
    <row r="88" spans="1:11" ht="15.75" customHeight="1" thickBot="1" x14ac:dyDescent="0.3">
      <c r="A88" s="311"/>
      <c r="B88" s="281"/>
      <c r="C88" s="159" t="s">
        <v>378</v>
      </c>
      <c r="D88" s="156" t="s">
        <v>394</v>
      </c>
      <c r="E88" s="154" t="s">
        <v>306</v>
      </c>
      <c r="G88" s="270"/>
      <c r="H88" s="293"/>
      <c r="I88" s="282"/>
      <c r="J88" s="46" t="s">
        <v>194</v>
      </c>
      <c r="K88" s="52"/>
    </row>
    <row r="89" spans="1:11" ht="15" customHeight="1" thickBot="1" x14ac:dyDescent="0.3">
      <c r="A89" s="312"/>
      <c r="B89" s="282"/>
      <c r="C89" s="64" t="str">
        <f>IF(D85=$M$36,$R$36,$R$37)</f>
        <v>Percent of students scoring at grade level</v>
      </c>
      <c r="D89" s="169" t="e">
        <f>SUM(D87/D88)*100</f>
        <v>#VALUE!</v>
      </c>
      <c r="E89" s="154" t="s">
        <v>306</v>
      </c>
      <c r="G89" s="165"/>
      <c r="H89" s="54"/>
      <c r="I89" s="164"/>
      <c r="J89" s="56" t="s">
        <v>178</v>
      </c>
      <c r="K89" s="58" t="e">
        <f>IF(#REF!="YES","YES","NO")</f>
        <v>#REF!</v>
      </c>
    </row>
    <row r="90" spans="1:11" ht="15" customHeight="1" x14ac:dyDescent="0.25">
      <c r="A90" s="277" t="s">
        <v>26</v>
      </c>
      <c r="B90" s="280" t="s">
        <v>391</v>
      </c>
      <c r="C90" s="183" t="s">
        <v>96</v>
      </c>
      <c r="D90" s="184" t="s">
        <v>305</v>
      </c>
      <c r="E90" s="154" t="s">
        <v>306</v>
      </c>
      <c r="G90" s="268" t="s">
        <v>26</v>
      </c>
      <c r="H90" s="289"/>
      <c r="I90" s="280" t="s">
        <v>291</v>
      </c>
      <c r="J90" s="60" t="s">
        <v>269</v>
      </c>
      <c r="K90" s="61"/>
    </row>
    <row r="91" spans="1:11" ht="15" customHeight="1" x14ac:dyDescent="0.25">
      <c r="A91" s="278"/>
      <c r="B91" s="281"/>
      <c r="C91" s="185" t="s">
        <v>294</v>
      </c>
      <c r="D91" s="186" t="s">
        <v>135</v>
      </c>
      <c r="E91" s="154" t="s">
        <v>306</v>
      </c>
      <c r="G91" s="269"/>
      <c r="H91" s="290"/>
      <c r="I91" s="281"/>
      <c r="J91" s="35" t="s">
        <v>125</v>
      </c>
      <c r="K91" s="36" t="s">
        <v>270</v>
      </c>
    </row>
    <row r="92" spans="1:11" ht="15" customHeight="1" x14ac:dyDescent="0.25">
      <c r="A92" s="278"/>
      <c r="B92" s="281"/>
      <c r="C92" s="70" t="s">
        <v>95</v>
      </c>
      <c r="D92" s="173" t="str">
        <f>C92</f>
        <v xml:space="preserve"> To receive the indicator rating, the criteria for the additional measure of student academic achievement was:</v>
      </c>
      <c r="E92" s="154" t="s">
        <v>306</v>
      </c>
      <c r="G92" s="269"/>
      <c r="H92" s="290"/>
      <c r="I92" s="281"/>
      <c r="J92" s="37" t="s">
        <v>126</v>
      </c>
      <c r="K92" s="36" t="s">
        <v>271</v>
      </c>
    </row>
    <row r="93" spans="1:11" ht="15" customHeight="1" x14ac:dyDescent="0.25">
      <c r="A93" s="278"/>
      <c r="B93" s="281"/>
      <c r="C93" s="35" t="s">
        <v>125</v>
      </c>
      <c r="D93" s="74" t="str">
        <f>VLOOKUP(D90,$M$25:$T$34,2,FALSE)</f>
        <v xml:space="preserve"> </v>
      </c>
      <c r="E93" s="154" t="s">
        <v>306</v>
      </c>
      <c r="G93" s="269"/>
      <c r="H93" s="291" t="s">
        <v>177</v>
      </c>
      <c r="I93" s="281"/>
      <c r="J93" s="38" t="s">
        <v>127</v>
      </c>
      <c r="K93" s="36" t="s">
        <v>272</v>
      </c>
    </row>
    <row r="94" spans="1:11" ht="15" customHeight="1" x14ac:dyDescent="0.25">
      <c r="A94" s="278"/>
      <c r="B94" s="281"/>
      <c r="C94" s="37" t="s">
        <v>126</v>
      </c>
      <c r="D94" s="74" t="str">
        <f>VLOOKUP(D90,$M$25:$T$34,3,FALSE)</f>
        <v xml:space="preserve"> </v>
      </c>
      <c r="E94" s="154" t="s">
        <v>306</v>
      </c>
      <c r="G94" s="269"/>
      <c r="H94" s="292"/>
      <c r="I94" s="281"/>
      <c r="J94" s="39" t="s">
        <v>128</v>
      </c>
      <c r="K94" s="40" t="s">
        <v>273</v>
      </c>
    </row>
    <row r="95" spans="1:11" ht="15" x14ac:dyDescent="0.25">
      <c r="A95" s="278"/>
      <c r="B95" s="281"/>
      <c r="C95" s="38" t="s">
        <v>127</v>
      </c>
      <c r="D95" s="74" t="str">
        <f>VLOOKUP(D90,$M$25:$T$34,4,FALSE)</f>
        <v xml:space="preserve"> </v>
      </c>
      <c r="E95" s="154" t="s">
        <v>306</v>
      </c>
      <c r="G95" s="269"/>
      <c r="H95" s="292"/>
      <c r="I95" s="281"/>
      <c r="J95" s="41" t="str">
        <f>IF(K90=G$545, "Cut-point values for percent of students increasing a grade level were:", "Cut-point values for percent of students scoring at grade level were:")</f>
        <v>Cut-point values for percent of students increasing a grade level were:</v>
      </c>
      <c r="K95" s="42"/>
    </row>
    <row r="96" spans="1:11" ht="15" customHeight="1" x14ac:dyDescent="0.25">
      <c r="A96" s="278"/>
      <c r="B96" s="281"/>
      <c r="C96" s="39" t="s">
        <v>128</v>
      </c>
      <c r="D96" s="192" t="str">
        <f>VLOOKUP(D90,$M$25:$T$34,5,FALSE)</f>
        <v xml:space="preserve"> </v>
      </c>
      <c r="E96" s="154" t="s">
        <v>306</v>
      </c>
      <c r="G96" s="269"/>
      <c r="H96" s="292"/>
      <c r="I96" s="281"/>
      <c r="J96" s="35" t="s">
        <v>22</v>
      </c>
      <c r="K96" s="50">
        <v>80</v>
      </c>
    </row>
    <row r="97" spans="1:11" ht="15" customHeight="1" x14ac:dyDescent="0.25">
      <c r="A97" s="278"/>
      <c r="B97" s="281"/>
      <c r="C97" s="88" t="s">
        <v>67</v>
      </c>
      <c r="D97" s="173" t="str">
        <f>C97</f>
        <v>Cut-point values for additional measure  of student academic achievement were:</v>
      </c>
      <c r="E97" s="154" t="s">
        <v>306</v>
      </c>
      <c r="G97" s="269"/>
      <c r="H97" s="292"/>
      <c r="I97" s="281"/>
      <c r="J97" s="37" t="s">
        <v>23</v>
      </c>
      <c r="K97" s="50">
        <v>62</v>
      </c>
    </row>
    <row r="98" spans="1:11" ht="15" x14ac:dyDescent="0.25">
      <c r="A98" s="278"/>
      <c r="B98" s="281"/>
      <c r="C98" s="35" t="s">
        <v>22</v>
      </c>
      <c r="D98" s="50" t="str">
        <f>VLOOKUP(D90,$M$25:$T$34,6,FALSE)</f>
        <v xml:space="preserve"> </v>
      </c>
      <c r="E98" s="154" t="s">
        <v>306</v>
      </c>
      <c r="G98" s="269"/>
      <c r="H98" s="292"/>
      <c r="I98" s="281"/>
      <c r="J98" s="38" t="s">
        <v>24</v>
      </c>
      <c r="K98" s="50">
        <v>40</v>
      </c>
    </row>
    <row r="99" spans="1:11" ht="15" x14ac:dyDescent="0.25">
      <c r="A99" s="278"/>
      <c r="B99" s="281"/>
      <c r="C99" s="37" t="s">
        <v>23</v>
      </c>
      <c r="D99" s="50" t="str">
        <f>VLOOKUP(D90,$M$25:$T$34,7,FALSE)</f>
        <v xml:space="preserve"> </v>
      </c>
      <c r="E99" s="154" t="s">
        <v>306</v>
      </c>
      <c r="G99" s="269"/>
      <c r="H99" s="292"/>
      <c r="I99" s="281"/>
      <c r="J99" s="41" t="s">
        <v>274</v>
      </c>
      <c r="K99" s="42"/>
    </row>
    <row r="100" spans="1:11" ht="15" customHeight="1" thickBot="1" x14ac:dyDescent="0.3">
      <c r="A100" s="278"/>
      <c r="B100" s="281"/>
      <c r="C100" s="38" t="s">
        <v>24</v>
      </c>
      <c r="D100" s="50" t="str">
        <f>VLOOKUP(D90,$M$25:$T$34,8,FALSE)</f>
        <v xml:space="preserve"> </v>
      </c>
      <c r="E100" s="154" t="s">
        <v>306</v>
      </c>
      <c r="G100" s="269"/>
      <c r="H100" s="292"/>
      <c r="I100" s="281"/>
      <c r="J100" s="62" t="s">
        <v>275</v>
      </c>
      <c r="K100" s="51"/>
    </row>
    <row r="101" spans="1:11" ht="15.75" thickBot="1" x14ac:dyDescent="0.3">
      <c r="A101" s="278"/>
      <c r="B101" s="281"/>
      <c r="C101" s="172" t="s">
        <v>282</v>
      </c>
      <c r="D101" s="199" t="s">
        <v>307</v>
      </c>
      <c r="E101" s="154" t="s">
        <v>306</v>
      </c>
      <c r="G101" s="270"/>
      <c r="H101" s="293"/>
      <c r="I101" s="282"/>
      <c r="J101" s="46" t="s">
        <v>194</v>
      </c>
      <c r="K101" s="52"/>
    </row>
    <row r="102" spans="1:11" ht="15" customHeight="1" x14ac:dyDescent="0.25">
      <c r="A102" s="278"/>
      <c r="B102" s="281"/>
      <c r="C102" s="171" t="str">
        <f>IF(D91=M143, "Your school's actual percent of students increasing a grade level was:", "Your school's actual percent of students scoring at grade level was:")</f>
        <v>Your school's actual percent of students scoring at grade level was:</v>
      </c>
      <c r="D102" s="173" t="str">
        <f>C102</f>
        <v>Your school's actual percent of students scoring at grade level was:</v>
      </c>
      <c r="E102" s="154" t="s">
        <v>306</v>
      </c>
      <c r="G102" s="165"/>
      <c r="H102" s="54"/>
      <c r="I102" s="164"/>
      <c r="J102" s="56" t="s">
        <v>178</v>
      </c>
      <c r="K102" s="58" t="e">
        <f>IF(#REF!="YES","YES","NO")</f>
        <v>#REF!</v>
      </c>
    </row>
    <row r="103" spans="1:11" ht="15" customHeight="1" x14ac:dyDescent="0.25">
      <c r="A103" s="278"/>
      <c r="B103" s="281"/>
      <c r="C103" s="174" t="str">
        <f>IF(D91=$M$36,$Q$36,$Q$37)</f>
        <v>Number of students increasing at least one grade level</v>
      </c>
      <c r="D103" s="200" t="s">
        <v>380</v>
      </c>
      <c r="E103" s="154" t="s">
        <v>306</v>
      </c>
    </row>
    <row r="104" spans="1:11" ht="15" customHeight="1" x14ac:dyDescent="0.25">
      <c r="A104" s="278"/>
      <c r="B104" s="281"/>
      <c r="C104" s="174" t="s">
        <v>378</v>
      </c>
      <c r="D104" s="200" t="s">
        <v>394</v>
      </c>
      <c r="E104" s="154" t="s">
        <v>306</v>
      </c>
    </row>
    <row r="105" spans="1:11" ht="15" customHeight="1" thickBot="1" x14ac:dyDescent="0.3">
      <c r="A105" s="278"/>
      <c r="B105" s="281"/>
      <c r="C105" s="175" t="str">
        <f>IF(D101=$M$36,$R$36,$R$37)</f>
        <v>Percent of students scoring at grade level</v>
      </c>
      <c r="D105" s="209" t="e">
        <f>SUM(D103/D104)*100</f>
        <v>#VALUE!</v>
      </c>
      <c r="E105" s="154" t="s">
        <v>306</v>
      </c>
    </row>
    <row r="106" spans="1:11" ht="15" x14ac:dyDescent="0.25">
      <c r="A106" s="278"/>
      <c r="B106" s="281"/>
      <c r="C106" s="172" t="s">
        <v>283</v>
      </c>
      <c r="D106" s="199" t="s">
        <v>307</v>
      </c>
      <c r="E106" s="154" t="s">
        <v>306</v>
      </c>
    </row>
    <row r="107" spans="1:11" ht="15" customHeight="1" x14ac:dyDescent="0.25">
      <c r="A107" s="278"/>
      <c r="B107" s="281"/>
      <c r="C107" s="171" t="str">
        <f>IF(D91=M143, "Your school's actual percent of students increasing a grade level was:", "Your school's actual percent of students scoring at grade level was:")</f>
        <v>Your school's actual percent of students scoring at grade level was:</v>
      </c>
      <c r="D107" s="173" t="str">
        <f>C107</f>
        <v>Your school's actual percent of students scoring at grade level was:</v>
      </c>
      <c r="E107" s="154" t="s">
        <v>306</v>
      </c>
    </row>
    <row r="108" spans="1:11" ht="15" customHeight="1" x14ac:dyDescent="0.25">
      <c r="A108" s="278"/>
      <c r="B108" s="281"/>
      <c r="C108" s="174" t="str">
        <f>IF(D91=$M$36,$Q$36,$Q$37)</f>
        <v>Number of students increasing at least one grade level</v>
      </c>
      <c r="D108" s="200" t="s">
        <v>380</v>
      </c>
      <c r="E108" s="154" t="s">
        <v>306</v>
      </c>
    </row>
    <row r="109" spans="1:11" ht="15" x14ac:dyDescent="0.25">
      <c r="A109" s="278"/>
      <c r="B109" s="281"/>
      <c r="C109" s="174" t="s">
        <v>378</v>
      </c>
      <c r="D109" s="200" t="s">
        <v>394</v>
      </c>
      <c r="E109" s="154" t="s">
        <v>306</v>
      </c>
    </row>
    <row r="110" spans="1:11" ht="15.75" thickBot="1" x14ac:dyDescent="0.3">
      <c r="A110" s="278"/>
      <c r="B110" s="281"/>
      <c r="C110" s="175" t="str">
        <f>IF(D106=$M$36,$R$36,$R$37)</f>
        <v>Percent of students scoring at grade level</v>
      </c>
      <c r="D110" s="209" t="e">
        <f>SUM(D108/D109)*100</f>
        <v>#VALUE!</v>
      </c>
      <c r="E110" s="154" t="s">
        <v>306</v>
      </c>
    </row>
    <row r="111" spans="1:11" ht="15" customHeight="1" x14ac:dyDescent="0.25">
      <c r="A111" s="278"/>
      <c r="B111" s="281"/>
      <c r="C111" s="172" t="s">
        <v>284</v>
      </c>
      <c r="D111" s="199" t="s">
        <v>307</v>
      </c>
      <c r="E111" s="154" t="s">
        <v>306</v>
      </c>
    </row>
    <row r="112" spans="1:11" ht="15" customHeight="1" x14ac:dyDescent="0.25">
      <c r="A112" s="278"/>
      <c r="B112" s="281"/>
      <c r="C112" s="171" t="str">
        <f>IF(D91=M143, "Your school's actual percent of students increasing a grade level was:", "Your school's actual percent of students scoring at grade level was:")</f>
        <v>Your school's actual percent of students scoring at grade level was:</v>
      </c>
      <c r="D112" s="173" t="str">
        <f>C112</f>
        <v>Your school's actual percent of students scoring at grade level was:</v>
      </c>
      <c r="E112" s="154" t="s">
        <v>306</v>
      </c>
    </row>
    <row r="113" spans="1:5" ht="15" customHeight="1" x14ac:dyDescent="0.25">
      <c r="A113" s="278"/>
      <c r="B113" s="281"/>
      <c r="C113" s="174" t="str">
        <f>IF(D91=$M$36,$Q$36,$Q$37)</f>
        <v>Number of students increasing at least one grade level</v>
      </c>
      <c r="D113" s="200" t="s">
        <v>380</v>
      </c>
      <c r="E113" s="154" t="s">
        <v>306</v>
      </c>
    </row>
    <row r="114" spans="1:5" ht="15" x14ac:dyDescent="0.25">
      <c r="A114" s="278"/>
      <c r="B114" s="281"/>
      <c r="C114" s="174" t="s">
        <v>378</v>
      </c>
      <c r="D114" s="200" t="s">
        <v>394</v>
      </c>
      <c r="E114" s="154" t="s">
        <v>306</v>
      </c>
    </row>
    <row r="115" spans="1:5" ht="15.75" thickBot="1" x14ac:dyDescent="0.3">
      <c r="A115" s="278"/>
      <c r="B115" s="281"/>
      <c r="C115" s="175" t="str">
        <f>IF(D111=$M$36,$R$36,$R$37)</f>
        <v>Percent of students scoring at grade level</v>
      </c>
      <c r="D115" s="209" t="e">
        <f>SUM(D113/D114)*100</f>
        <v>#VALUE!</v>
      </c>
      <c r="E115" s="154" t="s">
        <v>306</v>
      </c>
    </row>
    <row r="116" spans="1:5" ht="15" x14ac:dyDescent="0.25">
      <c r="A116" s="278"/>
      <c r="B116" s="281"/>
      <c r="C116" s="172" t="s">
        <v>285</v>
      </c>
      <c r="D116" s="199" t="s">
        <v>307</v>
      </c>
      <c r="E116" s="154" t="s">
        <v>306</v>
      </c>
    </row>
    <row r="117" spans="1:5" ht="15" x14ac:dyDescent="0.25">
      <c r="A117" s="278"/>
      <c r="B117" s="281"/>
      <c r="C117" s="171" t="str">
        <f>IF(D91=M143, "Your school's actual percent of students increasing a grade level was:", "Your school's actual percent of students scoring at grade level was:")</f>
        <v>Your school's actual percent of students scoring at grade level was:</v>
      </c>
      <c r="D117" s="173" t="str">
        <f>C117</f>
        <v>Your school's actual percent of students scoring at grade level was:</v>
      </c>
      <c r="E117" s="154" t="s">
        <v>306</v>
      </c>
    </row>
    <row r="118" spans="1:5" ht="15" x14ac:dyDescent="0.25">
      <c r="A118" s="278"/>
      <c r="B118" s="281"/>
      <c r="C118" s="174" t="str">
        <f>IF(D91=$M$36,$Q$36,$Q$37)</f>
        <v>Number of students increasing at least one grade level</v>
      </c>
      <c r="D118" s="200" t="s">
        <v>380</v>
      </c>
      <c r="E118" s="154" t="s">
        <v>306</v>
      </c>
    </row>
    <row r="119" spans="1:5" ht="15" x14ac:dyDescent="0.25">
      <c r="A119" s="278"/>
      <c r="B119" s="281"/>
      <c r="C119" s="174" t="s">
        <v>378</v>
      </c>
      <c r="D119" s="200" t="s">
        <v>394</v>
      </c>
      <c r="E119" s="154" t="s">
        <v>306</v>
      </c>
    </row>
    <row r="120" spans="1:5" ht="15.75" thickBot="1" x14ac:dyDescent="0.3">
      <c r="A120" s="279"/>
      <c r="B120" s="282"/>
      <c r="C120" s="175" t="str">
        <f>IF(D116=$M$36,$R$36,$R$37)</f>
        <v>Percent of students scoring at grade level</v>
      </c>
      <c r="D120" s="209" t="e">
        <f>SUM(D118/D119)*100</f>
        <v>#VALUE!</v>
      </c>
      <c r="E120" s="154" t="s">
        <v>306</v>
      </c>
    </row>
    <row r="121" spans="1:5" ht="15" x14ac:dyDescent="0.25">
      <c r="A121" s="277" t="s">
        <v>26</v>
      </c>
      <c r="B121" s="280" t="s">
        <v>390</v>
      </c>
      <c r="C121" s="91" t="s">
        <v>96</v>
      </c>
      <c r="D121" s="167" t="s">
        <v>291</v>
      </c>
      <c r="E121" s="154" t="s">
        <v>306</v>
      </c>
    </row>
    <row r="122" spans="1:5" ht="15" x14ac:dyDescent="0.25">
      <c r="A122" s="278"/>
      <c r="B122" s="281"/>
      <c r="C122" s="92" t="s">
        <v>205</v>
      </c>
      <c r="D122" s="187" t="s">
        <v>278</v>
      </c>
      <c r="E122" s="154" t="s">
        <v>306</v>
      </c>
    </row>
    <row r="123" spans="1:5" ht="15" x14ac:dyDescent="0.25">
      <c r="A123" s="278"/>
      <c r="B123" s="281"/>
      <c r="C123" s="72" t="s">
        <v>95</v>
      </c>
      <c r="D123" s="173" t="str">
        <f>C123</f>
        <v xml:space="preserve"> To receive the indicator rating, the criteria for the additional measure of student academic achievement was:</v>
      </c>
      <c r="E123" s="154" t="s">
        <v>306</v>
      </c>
    </row>
    <row r="124" spans="1:5" ht="15" x14ac:dyDescent="0.25">
      <c r="A124" s="278"/>
      <c r="B124" s="281"/>
      <c r="C124" s="35" t="s">
        <v>125</v>
      </c>
      <c r="D124" s="74" t="s">
        <v>270</v>
      </c>
      <c r="E124" s="154" t="s">
        <v>306</v>
      </c>
    </row>
    <row r="125" spans="1:5" ht="15" x14ac:dyDescent="0.25">
      <c r="A125" s="278"/>
      <c r="B125" s="281"/>
      <c r="C125" s="37" t="s">
        <v>126</v>
      </c>
      <c r="D125" s="74" t="s">
        <v>271</v>
      </c>
      <c r="E125" s="154" t="s">
        <v>306</v>
      </c>
    </row>
    <row r="126" spans="1:5" ht="15" x14ac:dyDescent="0.25">
      <c r="A126" s="278"/>
      <c r="B126" s="281"/>
      <c r="C126" s="38" t="s">
        <v>127</v>
      </c>
      <c r="D126" s="74" t="s">
        <v>272</v>
      </c>
      <c r="E126" s="154" t="s">
        <v>306</v>
      </c>
    </row>
    <row r="127" spans="1:5" ht="15" x14ac:dyDescent="0.25">
      <c r="A127" s="278"/>
      <c r="B127" s="281"/>
      <c r="C127" s="39" t="s">
        <v>128</v>
      </c>
      <c r="D127" s="74" t="s">
        <v>273</v>
      </c>
      <c r="E127" s="154" t="s">
        <v>306</v>
      </c>
    </row>
    <row r="128" spans="1:5" ht="15" x14ac:dyDescent="0.25">
      <c r="A128" s="278"/>
      <c r="B128" s="281"/>
      <c r="C128" s="41" t="s">
        <v>67</v>
      </c>
      <c r="D128" s="153" t="str">
        <f>C128</f>
        <v>Cut-point values for additional measure  of student academic achievement were:</v>
      </c>
      <c r="E128" s="154" t="s">
        <v>306</v>
      </c>
    </row>
    <row r="129" spans="1:5" ht="15" x14ac:dyDescent="0.25">
      <c r="A129" s="278"/>
      <c r="B129" s="281"/>
      <c r="C129" s="35" t="s">
        <v>22</v>
      </c>
      <c r="D129" s="168">
        <v>80</v>
      </c>
      <c r="E129" s="154" t="s">
        <v>306</v>
      </c>
    </row>
    <row r="130" spans="1:5" ht="15" x14ac:dyDescent="0.25">
      <c r="A130" s="278"/>
      <c r="B130" s="281"/>
      <c r="C130" s="37" t="s">
        <v>23</v>
      </c>
      <c r="D130" s="168">
        <v>62</v>
      </c>
      <c r="E130" s="154" t="s">
        <v>306</v>
      </c>
    </row>
    <row r="131" spans="1:5" ht="15" x14ac:dyDescent="0.25">
      <c r="A131" s="278"/>
      <c r="B131" s="281"/>
      <c r="C131" s="38" t="s">
        <v>24</v>
      </c>
      <c r="D131" s="188">
        <v>40</v>
      </c>
      <c r="E131" s="154" t="s">
        <v>306</v>
      </c>
    </row>
    <row r="132" spans="1:5" ht="15" x14ac:dyDescent="0.25">
      <c r="A132" s="278"/>
      <c r="B132" s="281"/>
      <c r="C132" s="41" t="s">
        <v>66</v>
      </c>
      <c r="D132" s="173" t="str">
        <f>C132</f>
        <v>Your school's actual value for additional measure of student academic achievement was:</v>
      </c>
      <c r="E132" s="154" t="s">
        <v>306</v>
      </c>
    </row>
    <row r="133" spans="1:5" ht="15" x14ac:dyDescent="0.25">
      <c r="A133" s="278"/>
      <c r="B133" s="281"/>
      <c r="C133" s="63" t="s">
        <v>358</v>
      </c>
      <c r="D133" s="156" t="s">
        <v>380</v>
      </c>
      <c r="E133" s="154" t="s">
        <v>306</v>
      </c>
    </row>
    <row r="134" spans="1:5" ht="15" x14ac:dyDescent="0.25">
      <c r="A134" s="278"/>
      <c r="B134" s="281"/>
      <c r="C134" s="159" t="s">
        <v>378</v>
      </c>
      <c r="D134" s="156" t="s">
        <v>394</v>
      </c>
      <c r="E134" s="154" t="s">
        <v>306</v>
      </c>
    </row>
    <row r="135" spans="1:5" ht="15.75" thickBot="1" x14ac:dyDescent="0.3">
      <c r="A135" s="278"/>
      <c r="B135" s="281"/>
      <c r="C135" s="64" t="s">
        <v>359</v>
      </c>
      <c r="D135" s="169" t="e">
        <f>SUM(D133/D134)*100</f>
        <v>#VALUE!</v>
      </c>
      <c r="E135" s="154" t="s">
        <v>306</v>
      </c>
    </row>
    <row r="136" spans="1:5" ht="15" x14ac:dyDescent="0.25">
      <c r="A136" s="278"/>
      <c r="B136" s="281"/>
      <c r="C136" s="91" t="s">
        <v>96</v>
      </c>
      <c r="D136" s="167" t="s">
        <v>291</v>
      </c>
      <c r="E136" s="154" t="s">
        <v>306</v>
      </c>
    </row>
    <row r="137" spans="1:5" ht="15" x14ac:dyDescent="0.25">
      <c r="A137" s="278"/>
      <c r="B137" s="281"/>
      <c r="C137" s="92" t="s">
        <v>205</v>
      </c>
      <c r="D137" s="187" t="s">
        <v>346</v>
      </c>
      <c r="E137" s="154" t="s">
        <v>306</v>
      </c>
    </row>
    <row r="138" spans="1:5" ht="15" x14ac:dyDescent="0.25">
      <c r="A138" s="278"/>
      <c r="B138" s="281"/>
      <c r="C138" s="72" t="s">
        <v>95</v>
      </c>
      <c r="D138" s="173" t="str">
        <f>C138</f>
        <v xml:space="preserve"> To receive the indicator rating, the criteria for the additional measure of student academic achievement was:</v>
      </c>
      <c r="E138" s="154" t="s">
        <v>306</v>
      </c>
    </row>
    <row r="139" spans="1:5" ht="15" x14ac:dyDescent="0.25">
      <c r="A139" s="278"/>
      <c r="B139" s="281"/>
      <c r="C139" s="35" t="s">
        <v>125</v>
      </c>
      <c r="D139" s="74" t="s">
        <v>270</v>
      </c>
      <c r="E139" s="154" t="s">
        <v>306</v>
      </c>
    </row>
    <row r="140" spans="1:5" ht="15" x14ac:dyDescent="0.25">
      <c r="A140" s="278"/>
      <c r="B140" s="281"/>
      <c r="C140" s="37" t="s">
        <v>126</v>
      </c>
      <c r="D140" s="74" t="s">
        <v>271</v>
      </c>
      <c r="E140" s="154" t="s">
        <v>306</v>
      </c>
    </row>
    <row r="141" spans="1:5" ht="15" x14ac:dyDescent="0.25">
      <c r="A141" s="278"/>
      <c r="B141" s="281"/>
      <c r="C141" s="38" t="s">
        <v>127</v>
      </c>
      <c r="D141" s="74" t="s">
        <v>272</v>
      </c>
      <c r="E141" s="154" t="s">
        <v>306</v>
      </c>
    </row>
    <row r="142" spans="1:5" ht="15" x14ac:dyDescent="0.25">
      <c r="A142" s="278"/>
      <c r="B142" s="281"/>
      <c r="C142" s="39" t="s">
        <v>128</v>
      </c>
      <c r="D142" s="74" t="s">
        <v>273</v>
      </c>
      <c r="E142" s="154" t="s">
        <v>306</v>
      </c>
    </row>
    <row r="143" spans="1:5" ht="15" x14ac:dyDescent="0.25">
      <c r="A143" s="278"/>
      <c r="B143" s="281"/>
      <c r="C143" s="41" t="s">
        <v>67</v>
      </c>
      <c r="D143" s="153" t="str">
        <f>C143</f>
        <v>Cut-point values for additional measure  of student academic achievement were:</v>
      </c>
      <c r="E143" s="154" t="s">
        <v>306</v>
      </c>
    </row>
    <row r="144" spans="1:5" ht="15" x14ac:dyDescent="0.25">
      <c r="A144" s="278"/>
      <c r="B144" s="281"/>
      <c r="C144" s="35" t="s">
        <v>22</v>
      </c>
      <c r="D144" s="168">
        <v>95</v>
      </c>
      <c r="E144" s="154" t="s">
        <v>306</v>
      </c>
    </row>
    <row r="145" spans="1:5" ht="15" x14ac:dyDescent="0.25">
      <c r="A145" s="278"/>
      <c r="B145" s="281"/>
      <c r="C145" s="37" t="s">
        <v>23</v>
      </c>
      <c r="D145" s="168">
        <v>70</v>
      </c>
      <c r="E145" s="154" t="s">
        <v>306</v>
      </c>
    </row>
    <row r="146" spans="1:5" ht="15" x14ac:dyDescent="0.25">
      <c r="A146" s="278"/>
      <c r="B146" s="281"/>
      <c r="C146" s="38" t="s">
        <v>24</v>
      </c>
      <c r="D146" s="188">
        <v>50</v>
      </c>
      <c r="E146" s="154" t="s">
        <v>306</v>
      </c>
    </row>
    <row r="147" spans="1:5" ht="15" customHeight="1" x14ac:dyDescent="0.25">
      <c r="A147" s="278"/>
      <c r="B147" s="281"/>
      <c r="C147" s="41" t="s">
        <v>66</v>
      </c>
      <c r="D147" s="173" t="str">
        <f>C147</f>
        <v>Your school's actual value for additional measure of student academic achievement was:</v>
      </c>
      <c r="E147" s="154" t="s">
        <v>306</v>
      </c>
    </row>
    <row r="148" spans="1:5" ht="15" x14ac:dyDescent="0.25">
      <c r="A148" s="278"/>
      <c r="B148" s="281"/>
      <c r="C148" s="63" t="s">
        <v>358</v>
      </c>
      <c r="D148" s="156" t="s">
        <v>380</v>
      </c>
      <c r="E148" s="154" t="s">
        <v>306</v>
      </c>
    </row>
    <row r="149" spans="1:5" ht="15" customHeight="1" x14ac:dyDescent="0.25">
      <c r="A149" s="278"/>
      <c r="B149" s="283"/>
      <c r="C149" s="159" t="s">
        <v>378</v>
      </c>
      <c r="D149" s="156" t="s">
        <v>394</v>
      </c>
      <c r="E149" s="154" t="s">
        <v>306</v>
      </c>
    </row>
    <row r="150" spans="1:5" ht="15" customHeight="1" thickBot="1" x14ac:dyDescent="0.3">
      <c r="A150" s="278"/>
      <c r="B150" s="283"/>
      <c r="C150" s="64" t="s">
        <v>359</v>
      </c>
      <c r="D150" s="169" t="e">
        <f>SUM(D148/D149)*100</f>
        <v>#VALUE!</v>
      </c>
      <c r="E150" s="154" t="s">
        <v>306</v>
      </c>
    </row>
    <row r="151" spans="1:5" ht="15" customHeight="1" x14ac:dyDescent="0.25">
      <c r="A151" s="278"/>
      <c r="B151" s="283"/>
      <c r="C151" s="91" t="s">
        <v>96</v>
      </c>
      <c r="D151" s="167" t="s">
        <v>291</v>
      </c>
      <c r="E151" s="154" t="s">
        <v>306</v>
      </c>
    </row>
    <row r="152" spans="1:5" ht="15" x14ac:dyDescent="0.25">
      <c r="A152" s="278"/>
      <c r="B152" s="283"/>
      <c r="C152" s="92" t="s">
        <v>205</v>
      </c>
      <c r="D152" s="187" t="s">
        <v>384</v>
      </c>
      <c r="E152" s="154" t="s">
        <v>306</v>
      </c>
    </row>
    <row r="153" spans="1:5" ht="15" customHeight="1" x14ac:dyDescent="0.25">
      <c r="A153" s="278"/>
      <c r="B153" s="283"/>
      <c r="C153" s="72" t="s">
        <v>95</v>
      </c>
      <c r="D153" s="173" t="str">
        <f>C153</f>
        <v xml:space="preserve"> To receive the indicator rating, the criteria for the additional measure of student academic achievement was:</v>
      </c>
      <c r="E153" s="154" t="s">
        <v>306</v>
      </c>
    </row>
    <row r="154" spans="1:5" ht="15" customHeight="1" x14ac:dyDescent="0.25">
      <c r="A154" s="278"/>
      <c r="B154" s="283"/>
      <c r="C154" s="35" t="s">
        <v>125</v>
      </c>
      <c r="D154" s="74" t="s">
        <v>270</v>
      </c>
      <c r="E154" s="154" t="s">
        <v>306</v>
      </c>
    </row>
    <row r="155" spans="1:5" ht="15" x14ac:dyDescent="0.25">
      <c r="A155" s="278"/>
      <c r="B155" s="283"/>
      <c r="C155" s="37" t="s">
        <v>126</v>
      </c>
      <c r="D155" s="74" t="s">
        <v>271</v>
      </c>
      <c r="E155" s="154" t="s">
        <v>306</v>
      </c>
    </row>
    <row r="156" spans="1:5" ht="15" customHeight="1" x14ac:dyDescent="0.25">
      <c r="A156" s="278"/>
      <c r="B156" s="283"/>
      <c r="C156" s="38" t="s">
        <v>127</v>
      </c>
      <c r="D156" s="74" t="s">
        <v>272</v>
      </c>
      <c r="E156" s="154" t="s">
        <v>306</v>
      </c>
    </row>
    <row r="157" spans="1:5" ht="15" customHeight="1" x14ac:dyDescent="0.25">
      <c r="A157" s="278"/>
      <c r="B157" s="283"/>
      <c r="C157" s="39" t="s">
        <v>128</v>
      </c>
      <c r="D157" s="74" t="s">
        <v>273</v>
      </c>
      <c r="E157" s="154" t="s">
        <v>306</v>
      </c>
    </row>
    <row r="158" spans="1:5" ht="15" x14ac:dyDescent="0.25">
      <c r="A158" s="278"/>
      <c r="B158" s="283"/>
      <c r="C158" s="41" t="s">
        <v>67</v>
      </c>
      <c r="D158" s="153" t="str">
        <f>C158</f>
        <v>Cut-point values for additional measure  of student academic achievement were:</v>
      </c>
      <c r="E158" s="154" t="s">
        <v>306</v>
      </c>
    </row>
    <row r="159" spans="1:5" ht="15" x14ac:dyDescent="0.25">
      <c r="A159" s="278"/>
      <c r="B159" s="283"/>
      <c r="C159" s="35" t="s">
        <v>22</v>
      </c>
      <c r="D159" s="168">
        <v>85</v>
      </c>
      <c r="E159" s="154" t="s">
        <v>306</v>
      </c>
    </row>
    <row r="160" spans="1:5" ht="15" x14ac:dyDescent="0.25">
      <c r="A160" s="278"/>
      <c r="B160" s="283"/>
      <c r="C160" s="37" t="s">
        <v>23</v>
      </c>
      <c r="D160" s="168">
        <v>61</v>
      </c>
      <c r="E160" s="154" t="s">
        <v>306</v>
      </c>
    </row>
    <row r="161" spans="1:5" ht="15" x14ac:dyDescent="0.25">
      <c r="A161" s="278"/>
      <c r="B161" s="283"/>
      <c r="C161" s="38" t="s">
        <v>24</v>
      </c>
      <c r="D161" s="188">
        <v>45</v>
      </c>
      <c r="E161" s="154" t="s">
        <v>306</v>
      </c>
    </row>
    <row r="162" spans="1:5" ht="15" x14ac:dyDescent="0.25">
      <c r="A162" s="278"/>
      <c r="B162" s="283"/>
      <c r="C162" s="41" t="s">
        <v>66</v>
      </c>
      <c r="D162" s="173" t="str">
        <f>C162</f>
        <v>Your school's actual value for additional measure of student academic achievement was:</v>
      </c>
      <c r="E162" s="154" t="s">
        <v>306</v>
      </c>
    </row>
    <row r="163" spans="1:5" ht="15" customHeight="1" x14ac:dyDescent="0.25">
      <c r="A163" s="278"/>
      <c r="B163" s="283"/>
      <c r="C163" s="63" t="s">
        <v>358</v>
      </c>
      <c r="D163" s="28" t="s">
        <v>380</v>
      </c>
      <c r="E163" s="154" t="s">
        <v>306</v>
      </c>
    </row>
    <row r="164" spans="1:5" ht="15" customHeight="1" x14ac:dyDescent="0.25">
      <c r="A164" s="278"/>
      <c r="B164" s="283"/>
      <c r="C164" s="159" t="s">
        <v>378</v>
      </c>
      <c r="D164" s="156" t="s">
        <v>394</v>
      </c>
      <c r="E164" s="154" t="s">
        <v>306</v>
      </c>
    </row>
    <row r="165" spans="1:5" ht="15" customHeight="1" thickBot="1" x14ac:dyDescent="0.3">
      <c r="A165" s="278"/>
      <c r="B165" s="284"/>
      <c r="C165" s="64" t="s">
        <v>359</v>
      </c>
      <c r="D165" s="169" t="e">
        <f>SUM(D163/D164)*100</f>
        <v>#VALUE!</v>
      </c>
      <c r="E165" s="154" t="s">
        <v>306</v>
      </c>
    </row>
    <row r="166" spans="1:5" ht="15" customHeight="1" x14ac:dyDescent="0.25">
      <c r="A166" s="277" t="s">
        <v>26</v>
      </c>
      <c r="B166" s="280" t="s">
        <v>329</v>
      </c>
      <c r="C166" s="91" t="s">
        <v>96</v>
      </c>
      <c r="D166" s="24" t="s">
        <v>296</v>
      </c>
      <c r="E166" s="154" t="s">
        <v>306</v>
      </c>
    </row>
    <row r="167" spans="1:5" ht="15" x14ac:dyDescent="0.25">
      <c r="A167" s="278"/>
      <c r="B167" s="281"/>
      <c r="C167" s="92" t="s">
        <v>205</v>
      </c>
      <c r="D167" s="25" t="s">
        <v>297</v>
      </c>
      <c r="E167" s="154" t="s">
        <v>306</v>
      </c>
    </row>
    <row r="168" spans="1:5" ht="15" customHeight="1" x14ac:dyDescent="0.25">
      <c r="A168" s="278"/>
      <c r="B168" s="281"/>
      <c r="C168" s="93" t="s">
        <v>97</v>
      </c>
      <c r="D168" s="190" t="s">
        <v>304</v>
      </c>
      <c r="E168" s="154" t="s">
        <v>306</v>
      </c>
    </row>
    <row r="169" spans="1:5" ht="18.75" customHeight="1" x14ac:dyDescent="0.25">
      <c r="A169" s="278"/>
      <c r="B169" s="281"/>
      <c r="C169" s="72" t="s">
        <v>95</v>
      </c>
      <c r="D169" s="173" t="str">
        <f>C169</f>
        <v xml:space="preserve"> To receive the indicator rating, the criteria for the additional measure of student academic achievement was:</v>
      </c>
      <c r="E169" s="154" t="s">
        <v>306</v>
      </c>
    </row>
    <row r="170" spans="1:5" ht="15" x14ac:dyDescent="0.25">
      <c r="A170" s="278"/>
      <c r="B170" s="281"/>
      <c r="C170" s="35" t="s">
        <v>125</v>
      </c>
      <c r="D170" s="26" t="s">
        <v>118</v>
      </c>
      <c r="E170" s="154" t="s">
        <v>306</v>
      </c>
    </row>
    <row r="171" spans="1:5" ht="15" x14ac:dyDescent="0.25">
      <c r="A171" s="278"/>
      <c r="B171" s="281"/>
      <c r="C171" s="37" t="s">
        <v>126</v>
      </c>
      <c r="D171" s="26" t="s">
        <v>119</v>
      </c>
      <c r="E171" s="154" t="s">
        <v>306</v>
      </c>
    </row>
    <row r="172" spans="1:5" ht="15" customHeight="1" x14ac:dyDescent="0.25">
      <c r="A172" s="278"/>
      <c r="B172" s="281"/>
      <c r="C172" s="38" t="s">
        <v>127</v>
      </c>
      <c r="D172" s="26" t="s">
        <v>120</v>
      </c>
      <c r="E172" s="154" t="s">
        <v>306</v>
      </c>
    </row>
    <row r="173" spans="1:5" ht="15" x14ac:dyDescent="0.25">
      <c r="A173" s="278"/>
      <c r="B173" s="281"/>
      <c r="C173" s="39" t="s">
        <v>128</v>
      </c>
      <c r="D173" s="26" t="s">
        <v>121</v>
      </c>
      <c r="E173" s="154" t="s">
        <v>306</v>
      </c>
    </row>
    <row r="174" spans="1:5" ht="15" x14ac:dyDescent="0.25">
      <c r="A174" s="278"/>
      <c r="B174" s="281"/>
      <c r="C174" s="41" t="s">
        <v>67</v>
      </c>
      <c r="D174" s="153" t="str">
        <f>C174</f>
        <v>Cut-point values for additional measure  of student academic achievement were:</v>
      </c>
      <c r="E174" s="154" t="s">
        <v>306</v>
      </c>
    </row>
    <row r="175" spans="1:5" ht="15" x14ac:dyDescent="0.25">
      <c r="A175" s="278"/>
      <c r="B175" s="281"/>
      <c r="C175" s="35" t="s">
        <v>22</v>
      </c>
      <c r="D175" s="27" t="s">
        <v>122</v>
      </c>
      <c r="E175" s="154" t="s">
        <v>306</v>
      </c>
    </row>
    <row r="176" spans="1:5" ht="15" x14ac:dyDescent="0.25">
      <c r="A176" s="278"/>
      <c r="B176" s="281"/>
      <c r="C176" s="37" t="s">
        <v>23</v>
      </c>
      <c r="D176" s="27" t="s">
        <v>123</v>
      </c>
      <c r="E176" s="154" t="s">
        <v>306</v>
      </c>
    </row>
    <row r="177" spans="1:15" ht="15" x14ac:dyDescent="0.25">
      <c r="A177" s="278"/>
      <c r="B177" s="281"/>
      <c r="C177" s="38" t="s">
        <v>24</v>
      </c>
      <c r="D177" s="189" t="s">
        <v>124</v>
      </c>
      <c r="E177" s="154" t="s">
        <v>306</v>
      </c>
    </row>
    <row r="178" spans="1:15" ht="15" x14ac:dyDescent="0.25">
      <c r="A178" s="278"/>
      <c r="B178" s="281"/>
      <c r="C178" s="41" t="s">
        <v>66</v>
      </c>
      <c r="D178" s="173" t="str">
        <f>C178</f>
        <v>Your school's actual value for additional measure of student academic achievement was:</v>
      </c>
      <c r="E178" s="154" t="s">
        <v>306</v>
      </c>
    </row>
    <row r="179" spans="1:15" ht="15" customHeight="1" x14ac:dyDescent="0.25">
      <c r="A179" s="278"/>
      <c r="B179" s="281"/>
      <c r="C179" s="63" t="s">
        <v>358</v>
      </c>
      <c r="D179" s="156" t="s">
        <v>380</v>
      </c>
      <c r="E179" s="154" t="s">
        <v>306</v>
      </c>
    </row>
    <row r="180" spans="1:15" ht="15" x14ac:dyDescent="0.25">
      <c r="A180" s="278"/>
      <c r="B180" s="281"/>
      <c r="C180" s="159" t="s">
        <v>378</v>
      </c>
      <c r="D180" s="156" t="s">
        <v>394</v>
      </c>
      <c r="E180" s="154" t="s">
        <v>306</v>
      </c>
    </row>
    <row r="181" spans="1:15" ht="15.75" thickBot="1" x14ac:dyDescent="0.3">
      <c r="A181" s="279"/>
      <c r="B181" s="282"/>
      <c r="C181" s="64" t="s">
        <v>359</v>
      </c>
      <c r="D181" s="169" t="e">
        <f>SUM(D179/D180)*100</f>
        <v>#VALUE!</v>
      </c>
      <c r="E181" s="154" t="s">
        <v>306</v>
      </c>
    </row>
    <row r="182" spans="1:15" ht="15" x14ac:dyDescent="0.25">
      <c r="A182" s="277" t="s">
        <v>26</v>
      </c>
      <c r="B182" s="280" t="s">
        <v>330</v>
      </c>
      <c r="C182" s="91" t="s">
        <v>96</v>
      </c>
      <c r="D182" s="24" t="s">
        <v>296</v>
      </c>
      <c r="E182" s="154" t="s">
        <v>306</v>
      </c>
    </row>
    <row r="183" spans="1:15" ht="15" x14ac:dyDescent="0.25">
      <c r="A183" s="278"/>
      <c r="B183" s="281"/>
      <c r="C183" s="92" t="s">
        <v>205</v>
      </c>
      <c r="D183" s="25" t="s">
        <v>297</v>
      </c>
      <c r="E183" s="154" t="s">
        <v>306</v>
      </c>
    </row>
    <row r="184" spans="1:15" ht="15" x14ac:dyDescent="0.25">
      <c r="A184" s="278"/>
      <c r="B184" s="281"/>
      <c r="C184" s="93" t="s">
        <v>97</v>
      </c>
      <c r="D184" s="190" t="s">
        <v>304</v>
      </c>
      <c r="E184" s="154" t="s">
        <v>306</v>
      </c>
    </row>
    <row r="185" spans="1:15" ht="15" x14ac:dyDescent="0.25">
      <c r="A185" s="278"/>
      <c r="B185" s="281"/>
      <c r="C185" s="72" t="s">
        <v>95</v>
      </c>
      <c r="D185" s="173" t="str">
        <f>C185</f>
        <v xml:space="preserve"> To receive the indicator rating, the criteria for the additional measure of student academic achievement was:</v>
      </c>
      <c r="E185" s="154" t="s">
        <v>306</v>
      </c>
    </row>
    <row r="186" spans="1:15" ht="15" x14ac:dyDescent="0.25">
      <c r="A186" s="278"/>
      <c r="B186" s="281"/>
      <c r="C186" s="35" t="s">
        <v>125</v>
      </c>
      <c r="D186" s="26" t="s">
        <v>118</v>
      </c>
      <c r="E186" s="154" t="s">
        <v>306</v>
      </c>
    </row>
    <row r="187" spans="1:15" ht="15" x14ac:dyDescent="0.25">
      <c r="A187" s="278"/>
      <c r="B187" s="281"/>
      <c r="C187" s="37" t="s">
        <v>126</v>
      </c>
      <c r="D187" s="26" t="s">
        <v>119</v>
      </c>
      <c r="E187" s="154" t="s">
        <v>306</v>
      </c>
    </row>
    <row r="188" spans="1:15" ht="15" x14ac:dyDescent="0.25">
      <c r="A188" s="278"/>
      <c r="B188" s="281"/>
      <c r="C188" s="38" t="s">
        <v>127</v>
      </c>
      <c r="D188" s="26" t="s">
        <v>120</v>
      </c>
      <c r="E188" s="154" t="s">
        <v>306</v>
      </c>
    </row>
    <row r="189" spans="1:15" ht="15" x14ac:dyDescent="0.25">
      <c r="A189" s="278"/>
      <c r="B189" s="281"/>
      <c r="C189" s="39" t="s">
        <v>128</v>
      </c>
      <c r="D189" s="191" t="s">
        <v>121</v>
      </c>
      <c r="E189" s="154" t="s">
        <v>306</v>
      </c>
    </row>
    <row r="190" spans="1:15" ht="15.75" customHeight="1" x14ac:dyDescent="0.25">
      <c r="A190" s="278"/>
      <c r="B190" s="281"/>
      <c r="C190" s="41" t="s">
        <v>67</v>
      </c>
      <c r="D190" s="173" t="str">
        <f>C190</f>
        <v>Cut-point values for additional measure  of student academic achievement were:</v>
      </c>
      <c r="E190" s="154" t="s">
        <v>306</v>
      </c>
    </row>
    <row r="191" spans="1:15" ht="15" x14ac:dyDescent="0.25">
      <c r="A191" s="278"/>
      <c r="B191" s="281"/>
      <c r="C191" s="35" t="s">
        <v>22</v>
      </c>
      <c r="D191" s="27" t="s">
        <v>122</v>
      </c>
      <c r="E191" s="154" t="s">
        <v>306</v>
      </c>
    </row>
    <row r="192" spans="1:15" ht="15" x14ac:dyDescent="0.25">
      <c r="A192" s="278"/>
      <c r="B192" s="281"/>
      <c r="C192" s="37" t="s">
        <v>23</v>
      </c>
      <c r="D192" s="27" t="s">
        <v>123</v>
      </c>
      <c r="E192" s="154" t="s">
        <v>306</v>
      </c>
      <c r="O192" s="47" t="s">
        <v>306</v>
      </c>
    </row>
    <row r="193" spans="1:24" ht="15" x14ac:dyDescent="0.25">
      <c r="A193" s="278"/>
      <c r="B193" s="281"/>
      <c r="C193" s="38" t="s">
        <v>24</v>
      </c>
      <c r="D193" s="189" t="s">
        <v>124</v>
      </c>
      <c r="E193" s="154" t="s">
        <v>306</v>
      </c>
      <c r="N193" s="47" t="s">
        <v>305</v>
      </c>
      <c r="O193" s="47" t="s">
        <v>306</v>
      </c>
      <c r="P193" s="47" t="s">
        <v>306</v>
      </c>
    </row>
    <row r="194" spans="1:24" ht="15" x14ac:dyDescent="0.25">
      <c r="A194" s="278"/>
      <c r="B194" s="281"/>
      <c r="C194" s="41" t="s">
        <v>66</v>
      </c>
      <c r="D194" s="173" t="str">
        <f>C194</f>
        <v>Your school's actual value for additional measure of student academic achievement was:</v>
      </c>
      <c r="E194" s="154" t="s">
        <v>306</v>
      </c>
      <c r="N194" s="47" t="s">
        <v>291</v>
      </c>
      <c r="O194" s="150" t="s">
        <v>364</v>
      </c>
      <c r="P194" s="150" t="s">
        <v>30</v>
      </c>
    </row>
    <row r="195" spans="1:24" ht="15" x14ac:dyDescent="0.25">
      <c r="A195" s="278"/>
      <c r="B195" s="281"/>
      <c r="C195" s="63" t="s">
        <v>358</v>
      </c>
      <c r="D195" s="156" t="s">
        <v>380</v>
      </c>
      <c r="E195" s="154" t="s">
        <v>306</v>
      </c>
      <c r="N195" s="47" t="s">
        <v>287</v>
      </c>
      <c r="O195" s="149" t="s">
        <v>365</v>
      </c>
      <c r="P195" s="149" t="s">
        <v>214</v>
      </c>
    </row>
    <row r="196" spans="1:24" ht="15.75" thickBot="1" x14ac:dyDescent="0.3">
      <c r="A196" s="278"/>
      <c r="B196" s="281"/>
      <c r="C196" s="159" t="s">
        <v>378</v>
      </c>
      <c r="D196" s="156" t="s">
        <v>394</v>
      </c>
      <c r="E196" s="154" t="s">
        <v>306</v>
      </c>
      <c r="N196" s="47" t="s">
        <v>319</v>
      </c>
      <c r="O196" s="150" t="s">
        <v>366</v>
      </c>
      <c r="P196" s="150" t="s">
        <v>31</v>
      </c>
    </row>
    <row r="197" spans="1:24" ht="15" customHeight="1" thickBot="1" x14ac:dyDescent="0.3">
      <c r="A197" s="279"/>
      <c r="B197" s="282"/>
      <c r="C197" s="64" t="s">
        <v>359</v>
      </c>
      <c r="D197" s="169" t="e">
        <f>SUM(D195/D196)*100</f>
        <v>#VALUE!</v>
      </c>
      <c r="E197" s="154" t="s">
        <v>306</v>
      </c>
      <c r="G197" s="268" t="s">
        <v>26</v>
      </c>
      <c r="H197" s="306"/>
      <c r="I197" s="280" t="s">
        <v>201</v>
      </c>
      <c r="J197" s="33" t="s">
        <v>29</v>
      </c>
      <c r="K197" s="34"/>
      <c r="N197" s="47" t="s">
        <v>288</v>
      </c>
      <c r="O197" s="150" t="s">
        <v>364</v>
      </c>
      <c r="P197" s="150" t="s">
        <v>30</v>
      </c>
    </row>
    <row r="198" spans="1:24" ht="15" x14ac:dyDescent="0.25">
      <c r="A198" s="277" t="s">
        <v>26</v>
      </c>
      <c r="B198" s="280" t="s">
        <v>331</v>
      </c>
      <c r="C198" s="91" t="s">
        <v>96</v>
      </c>
      <c r="D198" s="24" t="s">
        <v>296</v>
      </c>
      <c r="E198" s="154" t="s">
        <v>306</v>
      </c>
      <c r="G198" s="269"/>
      <c r="H198" s="307"/>
      <c r="I198" s="281"/>
      <c r="J198" s="35" t="s">
        <v>125</v>
      </c>
      <c r="K198" s="36" t="s">
        <v>129</v>
      </c>
      <c r="N198" s="47" t="s">
        <v>277</v>
      </c>
      <c r="O198" s="150" t="s">
        <v>364</v>
      </c>
      <c r="P198" s="150" t="s">
        <v>30</v>
      </c>
    </row>
    <row r="199" spans="1:24" ht="15" x14ac:dyDescent="0.25">
      <c r="A199" s="278"/>
      <c r="B199" s="281"/>
      <c r="C199" s="92" t="s">
        <v>205</v>
      </c>
      <c r="D199" s="25" t="s">
        <v>297</v>
      </c>
      <c r="E199" s="154" t="s">
        <v>306</v>
      </c>
      <c r="G199" s="269"/>
      <c r="H199" s="307"/>
      <c r="I199" s="281"/>
      <c r="J199" s="37" t="s">
        <v>126</v>
      </c>
      <c r="K199" s="36" t="s">
        <v>130</v>
      </c>
      <c r="N199" s="47" t="s">
        <v>286</v>
      </c>
      <c r="O199" s="150" t="s">
        <v>364</v>
      </c>
      <c r="P199" s="150" t="s">
        <v>30</v>
      </c>
    </row>
    <row r="200" spans="1:24" ht="15" customHeight="1" x14ac:dyDescent="0.25">
      <c r="A200" s="278"/>
      <c r="B200" s="281"/>
      <c r="C200" s="93" t="s">
        <v>97</v>
      </c>
      <c r="D200" s="190" t="s">
        <v>304</v>
      </c>
      <c r="E200" s="154" t="s">
        <v>306</v>
      </c>
      <c r="G200" s="269"/>
      <c r="H200" s="308" t="s">
        <v>177</v>
      </c>
      <c r="I200" s="281"/>
      <c r="J200" s="38" t="s">
        <v>127</v>
      </c>
      <c r="K200" s="36" t="s">
        <v>131</v>
      </c>
      <c r="N200" s="47" t="s">
        <v>400</v>
      </c>
      <c r="O200" s="150" t="s">
        <v>364</v>
      </c>
      <c r="P200" s="150" t="s">
        <v>30</v>
      </c>
    </row>
    <row r="201" spans="1:24" ht="15" x14ac:dyDescent="0.25">
      <c r="A201" s="278"/>
      <c r="B201" s="281"/>
      <c r="C201" s="72" t="s">
        <v>95</v>
      </c>
      <c r="D201" s="173" t="str">
        <f>C201</f>
        <v xml:space="preserve"> To receive the indicator rating, the criteria for the additional measure of student academic achievement was:</v>
      </c>
      <c r="E201" s="154" t="s">
        <v>306</v>
      </c>
      <c r="G201" s="269"/>
      <c r="H201" s="308"/>
      <c r="I201" s="281"/>
      <c r="J201" s="39" t="s">
        <v>128</v>
      </c>
      <c r="K201" s="40" t="s">
        <v>132</v>
      </c>
      <c r="N201" s="47" t="s">
        <v>290</v>
      </c>
      <c r="O201" s="150" t="s">
        <v>364</v>
      </c>
      <c r="P201" s="150" t="s">
        <v>30</v>
      </c>
    </row>
    <row r="202" spans="1:24" ht="15" x14ac:dyDescent="0.25">
      <c r="A202" s="278"/>
      <c r="B202" s="281"/>
      <c r="C202" s="35" t="s">
        <v>125</v>
      </c>
      <c r="D202" s="26" t="s">
        <v>118</v>
      </c>
      <c r="E202" s="154" t="s">
        <v>306</v>
      </c>
      <c r="G202" s="269"/>
      <c r="H202" s="308"/>
      <c r="I202" s="281"/>
      <c r="J202" s="41" t="s">
        <v>34</v>
      </c>
      <c r="K202" s="42"/>
      <c r="N202" s="47" t="s">
        <v>289</v>
      </c>
      <c r="O202" s="150" t="s">
        <v>364</v>
      </c>
      <c r="P202" s="150" t="s">
        <v>30</v>
      </c>
    </row>
    <row r="203" spans="1:24" ht="15.75" customHeight="1" x14ac:dyDescent="0.25">
      <c r="A203" s="278"/>
      <c r="B203" s="281"/>
      <c r="C203" s="37" t="s">
        <v>126</v>
      </c>
      <c r="D203" s="26" t="s">
        <v>119</v>
      </c>
      <c r="E203" s="154" t="s">
        <v>306</v>
      </c>
      <c r="G203" s="269"/>
      <c r="H203" s="308"/>
      <c r="I203" s="281"/>
      <c r="J203" s="35" t="s">
        <v>22</v>
      </c>
      <c r="K203" s="50">
        <v>90</v>
      </c>
    </row>
    <row r="204" spans="1:24" ht="15" x14ac:dyDescent="0.25">
      <c r="A204" s="278"/>
      <c r="B204" s="281"/>
      <c r="C204" s="38" t="s">
        <v>127</v>
      </c>
      <c r="D204" s="26" t="s">
        <v>120</v>
      </c>
      <c r="E204" s="154" t="s">
        <v>306</v>
      </c>
      <c r="G204" s="269"/>
      <c r="H204" s="308"/>
      <c r="I204" s="281"/>
      <c r="J204" s="37" t="s">
        <v>23</v>
      </c>
      <c r="K204" s="50">
        <v>60</v>
      </c>
    </row>
    <row r="205" spans="1:24" ht="15" customHeight="1" x14ac:dyDescent="0.25">
      <c r="A205" s="278"/>
      <c r="B205" s="281"/>
      <c r="C205" s="39" t="s">
        <v>128</v>
      </c>
      <c r="D205" s="191" t="s">
        <v>121</v>
      </c>
      <c r="E205" s="154" t="s">
        <v>306</v>
      </c>
      <c r="G205" s="269"/>
      <c r="H205" s="308"/>
      <c r="I205" s="281"/>
      <c r="J205" s="38" t="s">
        <v>24</v>
      </c>
      <c r="K205" s="50">
        <v>40</v>
      </c>
      <c r="O205" s="35" t="s">
        <v>125</v>
      </c>
      <c r="P205" s="37" t="s">
        <v>126</v>
      </c>
      <c r="Q205" s="38" t="s">
        <v>127</v>
      </c>
      <c r="R205" s="39" t="s">
        <v>128</v>
      </c>
      <c r="S205" s="35" t="s">
        <v>22</v>
      </c>
      <c r="T205" s="37" t="s">
        <v>23</v>
      </c>
      <c r="U205" s="38" t="s">
        <v>24</v>
      </c>
      <c r="V205" s="47" t="s">
        <v>298</v>
      </c>
      <c r="W205" s="47" t="s">
        <v>299</v>
      </c>
      <c r="X205" s="47" t="s">
        <v>300</v>
      </c>
    </row>
    <row r="206" spans="1:24" ht="15" customHeight="1" thickBot="1" x14ac:dyDescent="0.3">
      <c r="A206" s="278"/>
      <c r="B206" s="281"/>
      <c r="C206" s="41" t="s">
        <v>67</v>
      </c>
      <c r="D206" s="173" t="str">
        <f>C206</f>
        <v>Cut-point values for additional measure  of student academic achievement were:</v>
      </c>
      <c r="E206" s="154" t="s">
        <v>306</v>
      </c>
      <c r="G206" s="269"/>
      <c r="H206" s="308"/>
      <c r="I206" s="281"/>
      <c r="J206" s="41" t="s">
        <v>33</v>
      </c>
      <c r="K206" s="42"/>
      <c r="N206" s="47" t="s">
        <v>305</v>
      </c>
      <c r="O206" s="35" t="s">
        <v>306</v>
      </c>
      <c r="P206" s="37" t="s">
        <v>306</v>
      </c>
      <c r="Q206" s="38" t="s">
        <v>306</v>
      </c>
      <c r="R206" s="39" t="s">
        <v>306</v>
      </c>
      <c r="S206" s="35" t="s">
        <v>306</v>
      </c>
      <c r="T206" s="37" t="s">
        <v>306</v>
      </c>
      <c r="U206" s="38" t="s">
        <v>306</v>
      </c>
      <c r="V206" s="47" t="s">
        <v>306</v>
      </c>
      <c r="W206" s="47" t="s">
        <v>306</v>
      </c>
      <c r="X206" s="47" t="s">
        <v>306</v>
      </c>
    </row>
    <row r="207" spans="1:24" ht="15.75" thickBot="1" x14ac:dyDescent="0.3">
      <c r="A207" s="278"/>
      <c r="B207" s="281"/>
      <c r="C207" s="35" t="s">
        <v>22</v>
      </c>
      <c r="D207" s="27" t="s">
        <v>122</v>
      </c>
      <c r="E207" s="154" t="s">
        <v>306</v>
      </c>
      <c r="G207" s="269"/>
      <c r="H207" s="308"/>
      <c r="I207" s="281"/>
      <c r="J207" s="63" t="s">
        <v>30</v>
      </c>
      <c r="K207" s="58"/>
      <c r="N207" s="47" t="s">
        <v>277</v>
      </c>
      <c r="O207" s="36" t="s">
        <v>129</v>
      </c>
      <c r="P207" s="36" t="s">
        <v>130</v>
      </c>
      <c r="Q207" s="36" t="s">
        <v>131</v>
      </c>
      <c r="R207" s="40" t="s">
        <v>132</v>
      </c>
      <c r="S207" s="50">
        <v>90</v>
      </c>
      <c r="T207" s="50">
        <v>60</v>
      </c>
      <c r="U207" s="50">
        <v>40</v>
      </c>
      <c r="V207" s="33" t="s">
        <v>29</v>
      </c>
      <c r="W207" s="41" t="s">
        <v>34</v>
      </c>
      <c r="X207" s="41" t="s">
        <v>33</v>
      </c>
    </row>
    <row r="208" spans="1:24" ht="15.75" thickBot="1" x14ac:dyDescent="0.3">
      <c r="A208" s="278"/>
      <c r="B208" s="281"/>
      <c r="C208" s="37" t="s">
        <v>23</v>
      </c>
      <c r="D208" s="27" t="s">
        <v>123</v>
      </c>
      <c r="E208" s="154" t="s">
        <v>306</v>
      </c>
      <c r="G208" s="270"/>
      <c r="H208" s="309"/>
      <c r="I208" s="282"/>
      <c r="J208" s="64" t="s">
        <v>194</v>
      </c>
      <c r="K208" s="65"/>
      <c r="N208" s="47" t="s">
        <v>286</v>
      </c>
      <c r="O208" s="36" t="s">
        <v>129</v>
      </c>
      <c r="P208" s="36" t="s">
        <v>130</v>
      </c>
      <c r="Q208" s="36" t="s">
        <v>131</v>
      </c>
      <c r="R208" s="40" t="s">
        <v>132</v>
      </c>
      <c r="S208" s="50">
        <v>90</v>
      </c>
      <c r="T208" s="50">
        <v>60</v>
      </c>
      <c r="U208" s="50">
        <v>40</v>
      </c>
      <c r="V208" s="33" t="s">
        <v>29</v>
      </c>
      <c r="W208" s="41" t="s">
        <v>32</v>
      </c>
      <c r="X208" s="41" t="s">
        <v>33</v>
      </c>
    </row>
    <row r="209" spans="1:24" ht="15.75" customHeight="1" thickBot="1" x14ac:dyDescent="0.3">
      <c r="A209" s="278"/>
      <c r="B209" s="281"/>
      <c r="C209" s="38" t="s">
        <v>24</v>
      </c>
      <c r="D209" s="189" t="s">
        <v>124</v>
      </c>
      <c r="E209" s="154" t="s">
        <v>306</v>
      </c>
      <c r="G209" s="268" t="s">
        <v>26</v>
      </c>
      <c r="H209" s="306"/>
      <c r="I209" s="280" t="s">
        <v>202</v>
      </c>
      <c r="J209" s="33" t="s">
        <v>29</v>
      </c>
      <c r="K209" s="34"/>
      <c r="N209" s="47" t="s">
        <v>287</v>
      </c>
      <c r="O209" s="36" t="s">
        <v>129</v>
      </c>
      <c r="P209" s="36" t="s">
        <v>130</v>
      </c>
      <c r="Q209" s="36" t="s">
        <v>131</v>
      </c>
      <c r="R209" s="40" t="s">
        <v>132</v>
      </c>
      <c r="S209" s="50">
        <v>90</v>
      </c>
      <c r="T209" s="50">
        <v>60</v>
      </c>
      <c r="U209" s="50">
        <v>40</v>
      </c>
      <c r="V209" s="33" t="s">
        <v>217</v>
      </c>
      <c r="W209" s="41" t="s">
        <v>216</v>
      </c>
      <c r="X209" s="41" t="s">
        <v>215</v>
      </c>
    </row>
    <row r="210" spans="1:24" ht="15.75" thickBot="1" x14ac:dyDescent="0.3">
      <c r="A210" s="278"/>
      <c r="B210" s="281"/>
      <c r="C210" s="41" t="s">
        <v>66</v>
      </c>
      <c r="D210" s="173" t="str">
        <f>C210</f>
        <v>Your school's actual value for additional measure of student academic achievement was:</v>
      </c>
      <c r="E210" s="154" t="s">
        <v>306</v>
      </c>
      <c r="G210" s="269"/>
      <c r="H210" s="307"/>
      <c r="I210" s="281"/>
      <c r="J210" s="35" t="s">
        <v>125</v>
      </c>
      <c r="K210" s="36" t="s">
        <v>129</v>
      </c>
      <c r="N210" s="47" t="s">
        <v>288</v>
      </c>
      <c r="O210" s="36" t="s">
        <v>129</v>
      </c>
      <c r="P210" s="36" t="s">
        <v>130</v>
      </c>
      <c r="Q210" s="36" t="s">
        <v>131</v>
      </c>
      <c r="R210" s="40" t="s">
        <v>132</v>
      </c>
      <c r="S210" s="50">
        <v>90</v>
      </c>
      <c r="T210" s="50">
        <v>60</v>
      </c>
      <c r="U210" s="50">
        <v>40</v>
      </c>
      <c r="V210" s="33" t="s">
        <v>29</v>
      </c>
      <c r="W210" s="41" t="s">
        <v>32</v>
      </c>
      <c r="X210" s="41" t="s">
        <v>33</v>
      </c>
    </row>
    <row r="211" spans="1:24" ht="15.75" thickBot="1" x14ac:dyDescent="0.3">
      <c r="A211" s="278"/>
      <c r="B211" s="281"/>
      <c r="C211" s="63" t="s">
        <v>358</v>
      </c>
      <c r="D211" s="156" t="s">
        <v>380</v>
      </c>
      <c r="E211" s="154" t="s">
        <v>306</v>
      </c>
      <c r="G211" s="269"/>
      <c r="H211" s="307"/>
      <c r="I211" s="281"/>
      <c r="J211" s="37" t="s">
        <v>126</v>
      </c>
      <c r="K211" s="36" t="s">
        <v>130</v>
      </c>
      <c r="N211" s="47" t="s">
        <v>289</v>
      </c>
      <c r="O211" s="36" t="s">
        <v>129</v>
      </c>
      <c r="P211" s="36" t="s">
        <v>130</v>
      </c>
      <c r="Q211" s="36" t="s">
        <v>131</v>
      </c>
      <c r="R211" s="40" t="s">
        <v>132</v>
      </c>
      <c r="S211" s="50">
        <v>90</v>
      </c>
      <c r="T211" s="50">
        <v>60</v>
      </c>
      <c r="U211" s="50">
        <v>40</v>
      </c>
      <c r="V211" s="33" t="s">
        <v>29</v>
      </c>
      <c r="W211" s="41" t="s">
        <v>32</v>
      </c>
      <c r="X211" s="41" t="s">
        <v>33</v>
      </c>
    </row>
    <row r="212" spans="1:24" ht="15.75" customHeight="1" thickBot="1" x14ac:dyDescent="0.3">
      <c r="A212" s="278"/>
      <c r="B212" s="281"/>
      <c r="C212" s="159" t="s">
        <v>378</v>
      </c>
      <c r="D212" s="156" t="s">
        <v>394</v>
      </c>
      <c r="E212" s="154" t="s">
        <v>306</v>
      </c>
      <c r="G212" s="269"/>
      <c r="H212" s="308" t="s">
        <v>177</v>
      </c>
      <c r="I212" s="281"/>
      <c r="J212" s="38" t="s">
        <v>127</v>
      </c>
      <c r="K212" s="36" t="s">
        <v>131</v>
      </c>
      <c r="N212" s="47" t="s">
        <v>290</v>
      </c>
      <c r="O212" s="36" t="s">
        <v>129</v>
      </c>
      <c r="P212" s="36" t="s">
        <v>130</v>
      </c>
      <c r="Q212" s="36" t="s">
        <v>131</v>
      </c>
      <c r="R212" s="40" t="s">
        <v>132</v>
      </c>
      <c r="S212" s="50">
        <v>90</v>
      </c>
      <c r="T212" s="50">
        <v>60</v>
      </c>
      <c r="U212" s="50">
        <v>40</v>
      </c>
      <c r="V212" s="33" t="s">
        <v>29</v>
      </c>
      <c r="W212" s="41" t="s">
        <v>32</v>
      </c>
      <c r="X212" s="41" t="s">
        <v>33</v>
      </c>
    </row>
    <row r="213" spans="1:24" ht="15.75" customHeight="1" thickBot="1" x14ac:dyDescent="0.3">
      <c r="A213" s="279"/>
      <c r="B213" s="282"/>
      <c r="C213" s="64" t="s">
        <v>359</v>
      </c>
      <c r="D213" s="169" t="e">
        <f>SUM(D211/D212)*100</f>
        <v>#VALUE!</v>
      </c>
      <c r="E213" s="154" t="s">
        <v>306</v>
      </c>
      <c r="G213" s="269"/>
      <c r="H213" s="308"/>
      <c r="I213" s="281"/>
      <c r="J213" s="39" t="s">
        <v>128</v>
      </c>
      <c r="K213" s="40" t="s">
        <v>132</v>
      </c>
      <c r="N213" s="47" t="s">
        <v>291</v>
      </c>
      <c r="O213" s="36" t="s">
        <v>270</v>
      </c>
      <c r="P213" s="36" t="s">
        <v>271</v>
      </c>
      <c r="Q213" s="36" t="s">
        <v>272</v>
      </c>
      <c r="R213" s="40" t="s">
        <v>273</v>
      </c>
      <c r="S213" s="50">
        <v>80</v>
      </c>
      <c r="T213" s="50">
        <v>62</v>
      </c>
      <c r="U213" s="50">
        <v>40</v>
      </c>
      <c r="V213" s="33" t="s">
        <v>29</v>
      </c>
      <c r="W213" s="41" t="s">
        <v>32</v>
      </c>
      <c r="X213" s="41" t="s">
        <v>33</v>
      </c>
    </row>
    <row r="214" spans="1:24" ht="15" customHeight="1" thickBot="1" x14ac:dyDescent="0.3">
      <c r="A214" s="274" t="s">
        <v>314</v>
      </c>
      <c r="B214" s="275"/>
      <c r="C214" s="275"/>
      <c r="D214" s="276"/>
      <c r="E214" s="154" t="s">
        <v>306</v>
      </c>
      <c r="G214" s="269"/>
      <c r="H214" s="308"/>
      <c r="I214" s="281"/>
      <c r="J214" s="41" t="s">
        <v>32</v>
      </c>
      <c r="K214" s="42"/>
      <c r="N214" s="47" t="s">
        <v>319</v>
      </c>
      <c r="O214" s="36" t="s">
        <v>129</v>
      </c>
      <c r="P214" s="36" t="s">
        <v>130</v>
      </c>
      <c r="Q214" s="36" t="s">
        <v>131</v>
      </c>
      <c r="R214" s="40" t="s">
        <v>132</v>
      </c>
      <c r="S214" s="50">
        <v>57</v>
      </c>
      <c r="T214" s="50">
        <v>46</v>
      </c>
      <c r="U214" s="50">
        <v>36</v>
      </c>
      <c r="V214" s="33" t="s">
        <v>28</v>
      </c>
      <c r="W214" s="41" t="s">
        <v>36</v>
      </c>
      <c r="X214" s="41" t="s">
        <v>35</v>
      </c>
    </row>
    <row r="215" spans="1:24" ht="15" customHeight="1" thickBot="1" x14ac:dyDescent="0.35">
      <c r="A215" s="260" t="s">
        <v>92</v>
      </c>
      <c r="B215" s="266"/>
      <c r="C215" s="266"/>
      <c r="D215" s="267"/>
      <c r="E215" s="154" t="s">
        <v>306</v>
      </c>
      <c r="G215" s="269"/>
      <c r="H215" s="308"/>
      <c r="I215" s="281"/>
      <c r="J215" s="35" t="s">
        <v>22</v>
      </c>
      <c r="K215" s="50">
        <v>90</v>
      </c>
      <c r="N215" s="47" t="s">
        <v>400</v>
      </c>
      <c r="O215" s="36" t="s">
        <v>129</v>
      </c>
      <c r="P215" s="36" t="s">
        <v>130</v>
      </c>
      <c r="Q215" s="36" t="s">
        <v>131</v>
      </c>
      <c r="R215" s="40" t="s">
        <v>132</v>
      </c>
      <c r="S215" s="50">
        <v>57</v>
      </c>
      <c r="T215" s="50">
        <v>46</v>
      </c>
      <c r="U215" s="50">
        <v>36</v>
      </c>
      <c r="V215" s="33" t="s">
        <v>28</v>
      </c>
      <c r="W215" s="41" t="s">
        <v>36</v>
      </c>
      <c r="X215" s="41" t="s">
        <v>35</v>
      </c>
    </row>
    <row r="216" spans="1:24" ht="15" customHeight="1" x14ac:dyDescent="0.25">
      <c r="A216" s="298" t="s">
        <v>27</v>
      </c>
      <c r="B216" s="280" t="s">
        <v>361</v>
      </c>
      <c r="C216" s="33" t="s">
        <v>28</v>
      </c>
      <c r="D216" s="152" t="str">
        <f>C216</f>
        <v xml:space="preserve"> To receive the indicator rating, the AEC's median growth percentile was:</v>
      </c>
      <c r="E216" s="154" t="s">
        <v>306</v>
      </c>
      <c r="G216" s="269"/>
      <c r="H216" s="308"/>
      <c r="I216" s="281"/>
      <c r="J216" s="37" t="s">
        <v>23</v>
      </c>
      <c r="K216" s="50">
        <v>60</v>
      </c>
    </row>
    <row r="217" spans="1:24" ht="15" customHeight="1" x14ac:dyDescent="0.25">
      <c r="A217" s="299"/>
      <c r="B217" s="281"/>
      <c r="C217" s="35" t="s">
        <v>125</v>
      </c>
      <c r="D217" s="36" t="s">
        <v>18</v>
      </c>
      <c r="E217" s="154" t="s">
        <v>306</v>
      </c>
      <c r="G217" s="269"/>
      <c r="H217" s="308"/>
      <c r="I217" s="281"/>
      <c r="J217" s="38" t="s">
        <v>24</v>
      </c>
      <c r="K217" s="50">
        <v>40</v>
      </c>
    </row>
    <row r="218" spans="1:24" ht="15.75" customHeight="1" x14ac:dyDescent="0.25">
      <c r="A218" s="299"/>
      <c r="B218" s="281"/>
      <c r="C218" s="37" t="s">
        <v>126</v>
      </c>
      <c r="D218" s="36" t="s">
        <v>19</v>
      </c>
      <c r="E218" s="154" t="s">
        <v>306</v>
      </c>
      <c r="G218" s="269"/>
      <c r="H218" s="308"/>
      <c r="I218" s="281"/>
      <c r="J218" s="41" t="s">
        <v>33</v>
      </c>
      <c r="K218" s="42"/>
    </row>
    <row r="219" spans="1:24" ht="15" customHeight="1" x14ac:dyDescent="0.25">
      <c r="A219" s="299"/>
      <c r="B219" s="281"/>
      <c r="C219" s="38" t="s">
        <v>127</v>
      </c>
      <c r="D219" s="36" t="s">
        <v>20</v>
      </c>
      <c r="E219" s="154" t="s">
        <v>306</v>
      </c>
      <c r="G219" s="269"/>
      <c r="H219" s="308"/>
      <c r="I219" s="281"/>
      <c r="J219" s="63" t="s">
        <v>30</v>
      </c>
      <c r="K219" s="58"/>
    </row>
    <row r="220" spans="1:24" ht="15" customHeight="1" thickBot="1" x14ac:dyDescent="0.3">
      <c r="A220" s="299"/>
      <c r="B220" s="281"/>
      <c r="C220" s="39" t="s">
        <v>128</v>
      </c>
      <c r="D220" s="40" t="s">
        <v>21</v>
      </c>
      <c r="E220" s="154" t="s">
        <v>306</v>
      </c>
      <c r="G220" s="270"/>
      <c r="H220" s="309"/>
      <c r="I220" s="282"/>
      <c r="J220" s="64" t="s">
        <v>194</v>
      </c>
      <c r="K220" s="65"/>
    </row>
    <row r="221" spans="1:24" ht="15" customHeight="1" x14ac:dyDescent="0.25">
      <c r="A221" s="299"/>
      <c r="B221" s="281"/>
      <c r="C221" s="41" t="s">
        <v>36</v>
      </c>
      <c r="D221" s="173" t="str">
        <f>C221</f>
        <v>Cut-point values for the median growth percentile were:</v>
      </c>
      <c r="E221" s="154" t="s">
        <v>306</v>
      </c>
      <c r="G221" s="268" t="s">
        <v>26</v>
      </c>
      <c r="H221" s="306"/>
      <c r="I221" s="280" t="s">
        <v>203</v>
      </c>
      <c r="J221" s="33" t="s">
        <v>217</v>
      </c>
      <c r="K221" s="34"/>
    </row>
    <row r="222" spans="1:24" ht="15" x14ac:dyDescent="0.25">
      <c r="A222" s="299"/>
      <c r="B222" s="281"/>
      <c r="C222" s="35" t="s">
        <v>22</v>
      </c>
      <c r="D222" s="43">
        <v>57.4</v>
      </c>
      <c r="E222" s="154" t="s">
        <v>306</v>
      </c>
      <c r="G222" s="269"/>
      <c r="H222" s="307"/>
      <c r="I222" s="281"/>
      <c r="J222" s="35" t="s">
        <v>125</v>
      </c>
      <c r="K222" s="36" t="s">
        <v>129</v>
      </c>
    </row>
    <row r="223" spans="1:24" ht="15" x14ac:dyDescent="0.25">
      <c r="A223" s="299"/>
      <c r="B223" s="281"/>
      <c r="C223" s="37" t="s">
        <v>23</v>
      </c>
      <c r="D223" s="43">
        <v>46.8</v>
      </c>
      <c r="E223" s="154" t="s">
        <v>306</v>
      </c>
      <c r="G223" s="269"/>
      <c r="H223" s="291" t="s">
        <v>177</v>
      </c>
      <c r="I223" s="281"/>
      <c r="J223" s="38" t="s">
        <v>127</v>
      </c>
      <c r="K223" s="36" t="s">
        <v>131</v>
      </c>
    </row>
    <row r="224" spans="1:24" ht="15" customHeight="1" x14ac:dyDescent="0.25">
      <c r="A224" s="299"/>
      <c r="B224" s="281"/>
      <c r="C224" s="38" t="s">
        <v>24</v>
      </c>
      <c r="D224" s="180">
        <v>41.2</v>
      </c>
      <c r="E224" s="154" t="s">
        <v>306</v>
      </c>
      <c r="G224" s="269"/>
      <c r="H224" s="292"/>
      <c r="I224" s="281"/>
      <c r="J224" s="39" t="s">
        <v>128</v>
      </c>
      <c r="K224" s="40" t="s">
        <v>132</v>
      </c>
    </row>
    <row r="225" spans="1:11" ht="15.75" customHeight="1" x14ac:dyDescent="0.25">
      <c r="A225" s="299"/>
      <c r="B225" s="281"/>
      <c r="C225" s="41" t="s">
        <v>35</v>
      </c>
      <c r="D225" s="173" t="str">
        <f>C225</f>
        <v>Your school's actual median growth percentile was:</v>
      </c>
      <c r="E225" s="154" t="s">
        <v>306</v>
      </c>
      <c r="G225" s="269"/>
      <c r="H225" s="292"/>
      <c r="I225" s="281"/>
      <c r="J225" s="41" t="s">
        <v>216</v>
      </c>
      <c r="K225" s="42"/>
    </row>
    <row r="226" spans="1:11" ht="18.75" customHeight="1" x14ac:dyDescent="0.25">
      <c r="A226" s="299"/>
      <c r="B226" s="281"/>
      <c r="C226" s="63" t="s">
        <v>31</v>
      </c>
      <c r="D226" s="68" t="s">
        <v>395</v>
      </c>
      <c r="E226" s="154" t="s">
        <v>306</v>
      </c>
      <c r="G226" s="269"/>
      <c r="H226" s="292"/>
      <c r="I226" s="281"/>
      <c r="J226" s="35" t="s">
        <v>22</v>
      </c>
      <c r="K226" s="50">
        <v>90</v>
      </c>
    </row>
    <row r="227" spans="1:11" ht="15" customHeight="1" thickBot="1" x14ac:dyDescent="0.3">
      <c r="A227" s="300"/>
      <c r="B227" s="282"/>
      <c r="C227" s="64" t="s">
        <v>196</v>
      </c>
      <c r="D227" s="52" t="s">
        <v>395</v>
      </c>
      <c r="E227" s="154" t="s">
        <v>306</v>
      </c>
      <c r="G227" s="269"/>
      <c r="H227" s="292"/>
      <c r="I227" s="281"/>
      <c r="J227" s="37" t="s">
        <v>23</v>
      </c>
      <c r="K227" s="50">
        <v>60</v>
      </c>
    </row>
    <row r="228" spans="1:11" ht="18.75" customHeight="1" x14ac:dyDescent="0.25">
      <c r="A228" s="298" t="s">
        <v>27</v>
      </c>
      <c r="B228" s="280" t="s">
        <v>362</v>
      </c>
      <c r="C228" s="33" t="s">
        <v>28</v>
      </c>
      <c r="D228" s="152" t="str">
        <f>C228</f>
        <v xml:space="preserve"> To receive the indicator rating, the AEC's median growth percentile was:</v>
      </c>
      <c r="E228" s="154" t="s">
        <v>306</v>
      </c>
      <c r="G228" s="269"/>
      <c r="H228" s="292"/>
      <c r="I228" s="281"/>
      <c r="J228" s="38" t="s">
        <v>24</v>
      </c>
      <c r="K228" s="50">
        <v>40</v>
      </c>
    </row>
    <row r="229" spans="1:11" ht="18.75" customHeight="1" x14ac:dyDescent="0.25">
      <c r="A229" s="299"/>
      <c r="B229" s="281"/>
      <c r="C229" s="35" t="s">
        <v>125</v>
      </c>
      <c r="D229" s="36" t="s">
        <v>18</v>
      </c>
      <c r="E229" s="154" t="s">
        <v>306</v>
      </c>
      <c r="G229" s="269"/>
      <c r="H229" s="292"/>
      <c r="I229" s="281"/>
      <c r="J229" s="41" t="s">
        <v>215</v>
      </c>
      <c r="K229" s="42"/>
    </row>
    <row r="230" spans="1:11" ht="18.75" customHeight="1" x14ac:dyDescent="0.25">
      <c r="A230" s="299"/>
      <c r="B230" s="281"/>
      <c r="C230" s="37" t="s">
        <v>126</v>
      </c>
      <c r="D230" s="36" t="s">
        <v>19</v>
      </c>
      <c r="E230" s="154" t="s">
        <v>306</v>
      </c>
      <c r="G230" s="269"/>
      <c r="H230" s="292"/>
      <c r="I230" s="281"/>
      <c r="J230" s="63" t="s">
        <v>214</v>
      </c>
      <c r="K230" s="58"/>
    </row>
    <row r="231" spans="1:11" ht="18.75" customHeight="1" thickBot="1" x14ac:dyDescent="0.3">
      <c r="A231" s="299"/>
      <c r="B231" s="281"/>
      <c r="C231" s="38" t="s">
        <v>127</v>
      </c>
      <c r="D231" s="36" t="s">
        <v>20</v>
      </c>
      <c r="E231" s="154" t="s">
        <v>306</v>
      </c>
      <c r="G231" s="270"/>
      <c r="H231" s="293"/>
      <c r="I231" s="282"/>
      <c r="J231" s="64" t="s">
        <v>194</v>
      </c>
      <c r="K231" s="65"/>
    </row>
    <row r="232" spans="1:11" ht="15" customHeight="1" x14ac:dyDescent="0.25">
      <c r="A232" s="299"/>
      <c r="B232" s="281"/>
      <c r="C232" s="39" t="s">
        <v>128</v>
      </c>
      <c r="D232" s="40" t="s">
        <v>21</v>
      </c>
      <c r="E232" s="154" t="s">
        <v>306</v>
      </c>
      <c r="G232" s="268" t="s">
        <v>26</v>
      </c>
      <c r="H232" s="289"/>
      <c r="I232" s="280" t="s">
        <v>206</v>
      </c>
      <c r="J232" s="33" t="s">
        <v>29</v>
      </c>
      <c r="K232" s="34"/>
    </row>
    <row r="233" spans="1:11" ht="15" customHeight="1" x14ac:dyDescent="0.25">
      <c r="A233" s="299"/>
      <c r="B233" s="281"/>
      <c r="C233" s="41" t="s">
        <v>36</v>
      </c>
      <c r="D233" s="173" t="str">
        <f>C233</f>
        <v>Cut-point values for the median growth percentile were:</v>
      </c>
      <c r="E233" s="154" t="s">
        <v>306</v>
      </c>
      <c r="G233" s="269"/>
      <c r="H233" s="290"/>
      <c r="I233" s="281"/>
      <c r="J233" s="35" t="s">
        <v>125</v>
      </c>
      <c r="K233" s="36" t="s">
        <v>129</v>
      </c>
    </row>
    <row r="234" spans="1:11" ht="15" customHeight="1" x14ac:dyDescent="0.25">
      <c r="A234" s="299"/>
      <c r="B234" s="281"/>
      <c r="C234" s="35" t="s">
        <v>22</v>
      </c>
      <c r="D234" s="43">
        <v>57.2</v>
      </c>
      <c r="E234" s="154" t="s">
        <v>306</v>
      </c>
      <c r="G234" s="269"/>
      <c r="H234" s="290"/>
      <c r="I234" s="281"/>
      <c r="J234" s="37" t="s">
        <v>126</v>
      </c>
      <c r="K234" s="36" t="s">
        <v>130</v>
      </c>
    </row>
    <row r="235" spans="1:11" ht="15" x14ac:dyDescent="0.25">
      <c r="A235" s="299"/>
      <c r="B235" s="281"/>
      <c r="C235" s="37" t="s">
        <v>23</v>
      </c>
      <c r="D235" s="43">
        <v>43.4</v>
      </c>
      <c r="E235" s="154" t="s">
        <v>306</v>
      </c>
      <c r="G235" s="269"/>
      <c r="H235" s="291" t="s">
        <v>177</v>
      </c>
      <c r="I235" s="281"/>
      <c r="J235" s="38" t="s">
        <v>127</v>
      </c>
      <c r="K235" s="36" t="s">
        <v>131</v>
      </c>
    </row>
    <row r="236" spans="1:11" ht="15" customHeight="1" x14ac:dyDescent="0.25">
      <c r="A236" s="299"/>
      <c r="B236" s="281"/>
      <c r="C236" s="38" t="s">
        <v>24</v>
      </c>
      <c r="D236" s="180">
        <v>38.6</v>
      </c>
      <c r="E236" s="154" t="s">
        <v>306</v>
      </c>
      <c r="G236" s="269"/>
      <c r="H236" s="292"/>
      <c r="I236" s="281"/>
      <c r="J236" s="39" t="s">
        <v>128</v>
      </c>
      <c r="K236" s="40" t="s">
        <v>132</v>
      </c>
    </row>
    <row r="237" spans="1:11" ht="15" customHeight="1" x14ac:dyDescent="0.25">
      <c r="A237" s="299"/>
      <c r="B237" s="281"/>
      <c r="C237" s="41" t="s">
        <v>35</v>
      </c>
      <c r="D237" s="173" t="str">
        <f>C237</f>
        <v>Your school's actual median growth percentile was:</v>
      </c>
      <c r="E237" s="154" t="s">
        <v>306</v>
      </c>
      <c r="G237" s="269"/>
      <c r="H237" s="292"/>
      <c r="I237" s="281"/>
      <c r="J237" s="41" t="s">
        <v>32</v>
      </c>
      <c r="K237" s="42"/>
    </row>
    <row r="238" spans="1:11" ht="18.75" customHeight="1" x14ac:dyDescent="0.25">
      <c r="A238" s="299"/>
      <c r="B238" s="281"/>
      <c r="C238" s="63" t="s">
        <v>31</v>
      </c>
      <c r="D238" s="45" t="s">
        <v>395</v>
      </c>
      <c r="E238" s="154" t="s">
        <v>306</v>
      </c>
      <c r="G238" s="269"/>
      <c r="H238" s="292"/>
      <c r="I238" s="281"/>
      <c r="J238" s="35" t="s">
        <v>22</v>
      </c>
      <c r="K238" s="50">
        <v>90</v>
      </c>
    </row>
    <row r="239" spans="1:11" ht="18.75" customHeight="1" thickBot="1" x14ac:dyDescent="0.3">
      <c r="A239" s="300"/>
      <c r="B239" s="282"/>
      <c r="C239" s="64" t="s">
        <v>196</v>
      </c>
      <c r="D239" s="45" t="s">
        <v>395</v>
      </c>
      <c r="E239" s="154" t="s">
        <v>306</v>
      </c>
      <c r="G239" s="269"/>
      <c r="H239" s="292"/>
      <c r="I239" s="281"/>
      <c r="J239" s="37" t="s">
        <v>23</v>
      </c>
      <c r="K239" s="50">
        <v>60</v>
      </c>
    </row>
    <row r="240" spans="1:11" ht="15" customHeight="1" x14ac:dyDescent="0.25">
      <c r="A240" s="298" t="s">
        <v>27</v>
      </c>
      <c r="B240" s="280" t="s">
        <v>363</v>
      </c>
      <c r="C240" s="33" t="s">
        <v>28</v>
      </c>
      <c r="D240" s="152" t="str">
        <f>C240</f>
        <v xml:space="preserve"> To receive the indicator rating, the AEC's median growth percentile was:</v>
      </c>
      <c r="E240" s="154" t="s">
        <v>306</v>
      </c>
      <c r="G240" s="269"/>
      <c r="H240" s="292"/>
      <c r="I240" s="281"/>
      <c r="J240" s="38" t="s">
        <v>24</v>
      </c>
      <c r="K240" s="50">
        <v>40</v>
      </c>
    </row>
    <row r="241" spans="1:11" ht="18.75" customHeight="1" x14ac:dyDescent="0.25">
      <c r="A241" s="299"/>
      <c r="B241" s="281"/>
      <c r="C241" s="35" t="s">
        <v>125</v>
      </c>
      <c r="D241" s="36" t="s">
        <v>18</v>
      </c>
      <c r="E241" s="154" t="s">
        <v>306</v>
      </c>
      <c r="G241" s="269"/>
      <c r="H241" s="292"/>
      <c r="I241" s="281"/>
      <c r="J241" s="41" t="s">
        <v>33</v>
      </c>
      <c r="K241" s="42"/>
    </row>
    <row r="242" spans="1:11" ht="18.75" customHeight="1" x14ac:dyDescent="0.25">
      <c r="A242" s="299"/>
      <c r="B242" s="281"/>
      <c r="C242" s="37" t="s">
        <v>126</v>
      </c>
      <c r="D242" s="36" t="s">
        <v>19</v>
      </c>
      <c r="E242" s="154" t="s">
        <v>306</v>
      </c>
      <c r="G242" s="269"/>
      <c r="H242" s="292"/>
      <c r="I242" s="281"/>
      <c r="J242" s="63" t="s">
        <v>30</v>
      </c>
      <c r="K242" s="58"/>
    </row>
    <row r="243" spans="1:11" ht="15.75" thickBot="1" x14ac:dyDescent="0.3">
      <c r="A243" s="299"/>
      <c r="B243" s="281"/>
      <c r="C243" s="38" t="s">
        <v>127</v>
      </c>
      <c r="D243" s="36" t="s">
        <v>20</v>
      </c>
      <c r="E243" s="154" t="s">
        <v>306</v>
      </c>
      <c r="G243" s="270"/>
      <c r="H243" s="293"/>
      <c r="I243" s="282"/>
      <c r="J243" s="64" t="s">
        <v>194</v>
      </c>
      <c r="K243" s="65"/>
    </row>
    <row r="244" spans="1:11" ht="15" x14ac:dyDescent="0.25">
      <c r="A244" s="299"/>
      <c r="B244" s="281"/>
      <c r="C244" s="39" t="s">
        <v>128</v>
      </c>
      <c r="D244" s="40" t="s">
        <v>21</v>
      </c>
      <c r="E244" s="154" t="s">
        <v>306</v>
      </c>
      <c r="G244" s="268" t="s">
        <v>26</v>
      </c>
      <c r="H244" s="289"/>
      <c r="I244" s="280" t="s">
        <v>204</v>
      </c>
      <c r="J244" s="33" t="s">
        <v>29</v>
      </c>
      <c r="K244" s="34"/>
    </row>
    <row r="245" spans="1:11" ht="15" customHeight="1" x14ac:dyDescent="0.25">
      <c r="A245" s="299"/>
      <c r="B245" s="281"/>
      <c r="C245" s="41" t="s">
        <v>36</v>
      </c>
      <c r="D245" s="173" t="str">
        <f>C245</f>
        <v>Cut-point values for the median growth percentile were:</v>
      </c>
      <c r="E245" s="154" t="s">
        <v>306</v>
      </c>
      <c r="G245" s="269"/>
      <c r="H245" s="290"/>
      <c r="I245" s="281"/>
      <c r="J245" s="35" t="s">
        <v>125</v>
      </c>
      <c r="K245" s="36" t="s">
        <v>129</v>
      </c>
    </row>
    <row r="246" spans="1:11" ht="15" customHeight="1" x14ac:dyDescent="0.25">
      <c r="A246" s="299"/>
      <c r="B246" s="281"/>
      <c r="C246" s="35" t="s">
        <v>22</v>
      </c>
      <c r="D246" s="43">
        <v>50.6</v>
      </c>
      <c r="E246" s="154" t="s">
        <v>306</v>
      </c>
      <c r="G246" s="269"/>
      <c r="H246" s="290"/>
      <c r="I246" s="281"/>
      <c r="J246" s="35"/>
      <c r="K246" s="36"/>
    </row>
    <row r="247" spans="1:11" ht="15" customHeight="1" x14ac:dyDescent="0.25">
      <c r="A247" s="299"/>
      <c r="B247" s="281"/>
      <c r="C247" s="37" t="s">
        <v>23</v>
      </c>
      <c r="D247" s="43">
        <v>42</v>
      </c>
      <c r="E247" s="154" t="s">
        <v>306</v>
      </c>
      <c r="G247" s="269"/>
      <c r="H247" s="290"/>
      <c r="I247" s="281"/>
      <c r="J247" s="37" t="s">
        <v>126</v>
      </c>
      <c r="K247" s="36" t="s">
        <v>130</v>
      </c>
    </row>
    <row r="248" spans="1:11" ht="15" customHeight="1" x14ac:dyDescent="0.25">
      <c r="A248" s="299"/>
      <c r="B248" s="281"/>
      <c r="C248" s="38" t="s">
        <v>24</v>
      </c>
      <c r="D248" s="180">
        <v>33.6</v>
      </c>
      <c r="E248" s="154" t="s">
        <v>306</v>
      </c>
      <c r="G248" s="269"/>
      <c r="H248" s="291" t="s">
        <v>177</v>
      </c>
      <c r="I248" s="281"/>
      <c r="J248" s="38" t="s">
        <v>127</v>
      </c>
      <c r="K248" s="36" t="s">
        <v>131</v>
      </c>
    </row>
    <row r="249" spans="1:11" ht="15" x14ac:dyDescent="0.25">
      <c r="A249" s="299"/>
      <c r="B249" s="281"/>
      <c r="C249" s="41" t="s">
        <v>35</v>
      </c>
      <c r="D249" s="173" t="str">
        <f>C249</f>
        <v>Your school's actual median growth percentile was:</v>
      </c>
      <c r="E249" s="154" t="s">
        <v>306</v>
      </c>
      <c r="G249" s="269"/>
      <c r="H249" s="292"/>
      <c r="I249" s="281"/>
      <c r="J249" s="39" t="s">
        <v>128</v>
      </c>
      <c r="K249" s="40" t="s">
        <v>132</v>
      </c>
    </row>
    <row r="250" spans="1:11" ht="15" x14ac:dyDescent="0.25">
      <c r="A250" s="299"/>
      <c r="B250" s="281"/>
      <c r="C250" s="63" t="s">
        <v>31</v>
      </c>
      <c r="D250" s="45" t="s">
        <v>395</v>
      </c>
      <c r="E250" s="154" t="s">
        <v>306</v>
      </c>
      <c r="G250" s="269"/>
      <c r="H250" s="292"/>
      <c r="I250" s="281"/>
      <c r="J250" s="41" t="s">
        <v>32</v>
      </c>
      <c r="K250" s="42"/>
    </row>
    <row r="251" spans="1:11" ht="15.75" thickBot="1" x14ac:dyDescent="0.3">
      <c r="A251" s="300"/>
      <c r="B251" s="282"/>
      <c r="C251" s="64" t="s">
        <v>196</v>
      </c>
      <c r="D251" s="45" t="s">
        <v>395</v>
      </c>
      <c r="E251" s="154" t="s">
        <v>306</v>
      </c>
      <c r="G251" s="269"/>
      <c r="H251" s="292"/>
      <c r="I251" s="281"/>
      <c r="J251" s="70"/>
      <c r="K251" s="71"/>
    </row>
    <row r="252" spans="1:11" ht="15" customHeight="1" thickBot="1" x14ac:dyDescent="0.3">
      <c r="A252" s="301" t="s">
        <v>26</v>
      </c>
      <c r="B252" s="303" t="s">
        <v>345</v>
      </c>
      <c r="C252" s="183" t="s">
        <v>96</v>
      </c>
      <c r="D252" s="24" t="s">
        <v>305</v>
      </c>
      <c r="E252" s="154" t="s">
        <v>306</v>
      </c>
      <c r="G252" s="269"/>
      <c r="H252" s="292"/>
      <c r="I252" s="281"/>
      <c r="J252" s="35" t="s">
        <v>22</v>
      </c>
      <c r="K252" s="50">
        <v>90</v>
      </c>
    </row>
    <row r="253" spans="1:11" ht="18.75" customHeight="1" thickBot="1" x14ac:dyDescent="0.3">
      <c r="A253" s="301"/>
      <c r="B253" s="303"/>
      <c r="C253" s="88" t="str">
        <f>VLOOKUP(D252,$N$205:$X$214,10,FALSE)</f>
        <v xml:space="preserve"> </v>
      </c>
      <c r="D253" s="153" t="str">
        <f>C253</f>
        <v xml:space="preserve"> </v>
      </c>
      <c r="E253" s="154" t="s">
        <v>306</v>
      </c>
      <c r="G253" s="269"/>
      <c r="H253" s="292"/>
      <c r="I253" s="281"/>
      <c r="J253" s="38" t="s">
        <v>24</v>
      </c>
      <c r="K253" s="50">
        <v>40</v>
      </c>
    </row>
    <row r="254" spans="1:11" ht="15" customHeight="1" thickBot="1" x14ac:dyDescent="0.3">
      <c r="A254" s="301"/>
      <c r="B254" s="303"/>
      <c r="C254" s="35" t="s">
        <v>125</v>
      </c>
      <c r="D254" s="74" t="str">
        <f>VLOOKUP(D252,$N$205:$U$215,2,FALSE)</f>
        <v xml:space="preserve"> </v>
      </c>
      <c r="E254" s="154" t="s">
        <v>306</v>
      </c>
      <c r="G254" s="269"/>
      <c r="H254" s="292"/>
      <c r="I254" s="281"/>
      <c r="J254" s="41" t="s">
        <v>33</v>
      </c>
      <c r="K254" s="42"/>
    </row>
    <row r="255" spans="1:11" ht="15" customHeight="1" thickBot="1" x14ac:dyDescent="0.3">
      <c r="A255" s="301"/>
      <c r="B255" s="303"/>
      <c r="C255" s="37" t="s">
        <v>126</v>
      </c>
      <c r="D255" s="74" t="str">
        <f>VLOOKUP(D252,$N$205:$U$215,3,FALSE)</f>
        <v xml:space="preserve"> </v>
      </c>
      <c r="E255" s="154" t="s">
        <v>306</v>
      </c>
      <c r="G255" s="269"/>
      <c r="H255" s="292"/>
      <c r="I255" s="281"/>
      <c r="J255" s="157"/>
      <c r="K255" s="71"/>
    </row>
    <row r="256" spans="1:11" ht="18.75" customHeight="1" thickBot="1" x14ac:dyDescent="0.3">
      <c r="A256" s="301"/>
      <c r="B256" s="303"/>
      <c r="C256" s="38" t="s">
        <v>127</v>
      </c>
      <c r="D256" s="74" t="str">
        <f>VLOOKUP(D252,$N$205:$U$215,4,FALSE)</f>
        <v xml:space="preserve"> </v>
      </c>
      <c r="E256" s="154" t="s">
        <v>306</v>
      </c>
      <c r="G256" s="269"/>
      <c r="H256" s="292"/>
      <c r="I256" s="281"/>
      <c r="J256" s="63" t="s">
        <v>30</v>
      </c>
      <c r="K256" s="58"/>
    </row>
    <row r="257" spans="1:11" ht="18.75" customHeight="1" thickBot="1" x14ac:dyDescent="0.3">
      <c r="A257" s="301"/>
      <c r="B257" s="303"/>
      <c r="C257" s="39" t="s">
        <v>128</v>
      </c>
      <c r="D257" s="74" t="str">
        <f>VLOOKUP(D252,$N$205:$U$215,5,FALSE)</f>
        <v xml:space="preserve"> </v>
      </c>
      <c r="E257" s="154" t="s">
        <v>306</v>
      </c>
      <c r="G257" s="270"/>
      <c r="H257" s="293"/>
      <c r="I257" s="282"/>
      <c r="J257" s="64" t="s">
        <v>194</v>
      </c>
      <c r="K257" s="65"/>
    </row>
    <row r="258" spans="1:11" ht="15.75" thickBot="1" x14ac:dyDescent="0.3">
      <c r="A258" s="301"/>
      <c r="B258" s="303"/>
      <c r="C258" s="88" t="str">
        <f>VLOOKUP(D252,$N$205:$X$214,11,FALSE)</f>
        <v xml:space="preserve"> </v>
      </c>
      <c r="D258" s="153" t="str">
        <f>C258</f>
        <v xml:space="preserve"> </v>
      </c>
      <c r="E258" s="154" t="s">
        <v>306</v>
      </c>
      <c r="G258" s="268" t="s">
        <v>26</v>
      </c>
      <c r="H258" s="289"/>
      <c r="I258" s="280" t="s">
        <v>207</v>
      </c>
      <c r="J258" s="33" t="s">
        <v>29</v>
      </c>
      <c r="K258" s="34"/>
    </row>
    <row r="259" spans="1:11" ht="15.75" thickBot="1" x14ac:dyDescent="0.3">
      <c r="A259" s="301"/>
      <c r="B259" s="303"/>
      <c r="C259" s="35" t="s">
        <v>22</v>
      </c>
      <c r="D259" s="50" t="str">
        <f>VLOOKUP(D252,$N$205:$U$215,6,FALSE)</f>
        <v xml:space="preserve"> </v>
      </c>
      <c r="E259" s="154" t="s">
        <v>306</v>
      </c>
      <c r="G259" s="269"/>
      <c r="H259" s="290"/>
      <c r="I259" s="281"/>
      <c r="J259" s="35" t="s">
        <v>125</v>
      </c>
      <c r="K259" s="36" t="s">
        <v>129</v>
      </c>
    </row>
    <row r="260" spans="1:11" ht="15.75" thickBot="1" x14ac:dyDescent="0.3">
      <c r="A260" s="301"/>
      <c r="B260" s="303"/>
      <c r="C260" s="37" t="s">
        <v>23</v>
      </c>
      <c r="D260" s="50" t="str">
        <f>VLOOKUP(D252,$N$205:$U$215,7,FALSE)</f>
        <v xml:space="preserve"> </v>
      </c>
      <c r="E260" s="154" t="s">
        <v>306</v>
      </c>
      <c r="G260" s="269"/>
      <c r="H260" s="290"/>
      <c r="I260" s="281"/>
      <c r="J260" s="35"/>
      <c r="K260" s="36"/>
    </row>
    <row r="261" spans="1:11" ht="15" customHeight="1" thickBot="1" x14ac:dyDescent="0.3">
      <c r="A261" s="301"/>
      <c r="B261" s="303"/>
      <c r="C261" s="203" t="s">
        <v>24</v>
      </c>
      <c r="D261" s="204" t="str">
        <f>VLOOKUP(D252,$N$205:$U$215,8,FALSE)</f>
        <v xml:space="preserve"> </v>
      </c>
      <c r="E261" s="154" t="s">
        <v>306</v>
      </c>
      <c r="G261" s="269"/>
      <c r="H261" s="290"/>
      <c r="I261" s="281"/>
      <c r="J261" s="37" t="s">
        <v>126</v>
      </c>
      <c r="K261" s="36" t="s">
        <v>130</v>
      </c>
    </row>
    <row r="262" spans="1:11" ht="15" customHeight="1" thickBot="1" x14ac:dyDescent="0.3">
      <c r="A262" s="301"/>
      <c r="B262" s="303"/>
      <c r="C262" s="89" t="s">
        <v>282</v>
      </c>
      <c r="D262" s="190" t="s">
        <v>307</v>
      </c>
      <c r="G262" s="269"/>
      <c r="H262" s="178"/>
      <c r="I262" s="281"/>
      <c r="J262" s="37"/>
      <c r="K262" s="36"/>
    </row>
    <row r="263" spans="1:11" ht="15" customHeight="1" thickBot="1" x14ac:dyDescent="0.3">
      <c r="A263" s="301"/>
      <c r="B263" s="303"/>
      <c r="C263" s="88" t="str">
        <f>VLOOKUP(D252,$N$205:$X$214,9,FALSE)</f>
        <v xml:space="preserve"> </v>
      </c>
      <c r="D263" s="153" t="str">
        <f>C263</f>
        <v xml:space="preserve"> </v>
      </c>
      <c r="E263" s="154" t="s">
        <v>306</v>
      </c>
      <c r="G263" s="269"/>
      <c r="H263" s="291" t="s">
        <v>177</v>
      </c>
      <c r="I263" s="281"/>
      <c r="J263" s="38" t="s">
        <v>127</v>
      </c>
      <c r="K263" s="36" t="s">
        <v>131</v>
      </c>
    </row>
    <row r="264" spans="1:11" ht="15" customHeight="1" thickBot="1" x14ac:dyDescent="0.3">
      <c r="A264" s="301"/>
      <c r="B264" s="303"/>
      <c r="C264" s="56" t="str">
        <f>VLOOKUP(D252,$N$192:$P$202,2,FALSE)</f>
        <v xml:space="preserve"> </v>
      </c>
      <c r="D264" s="156" t="s">
        <v>380</v>
      </c>
      <c r="E264" s="154" t="s">
        <v>306</v>
      </c>
      <c r="G264" s="269"/>
      <c r="H264" s="292"/>
      <c r="I264" s="281"/>
      <c r="J264" s="39" t="s">
        <v>128</v>
      </c>
      <c r="K264" s="40" t="s">
        <v>132</v>
      </c>
    </row>
    <row r="265" spans="1:11" ht="15.75" thickBot="1" x14ac:dyDescent="0.3">
      <c r="A265" s="301"/>
      <c r="B265" s="303"/>
      <c r="C265" s="159" t="s">
        <v>379</v>
      </c>
      <c r="D265" s="156" t="s">
        <v>394</v>
      </c>
      <c r="E265" s="154" t="s">
        <v>306</v>
      </c>
      <c r="G265" s="269"/>
      <c r="H265" s="292"/>
      <c r="I265" s="281"/>
      <c r="J265" s="41" t="s">
        <v>32</v>
      </c>
      <c r="K265" s="42"/>
    </row>
    <row r="266" spans="1:11" ht="15.75" thickBot="1" x14ac:dyDescent="0.3">
      <c r="A266" s="301"/>
      <c r="B266" s="303"/>
      <c r="C266" s="64" t="str">
        <f>VLOOKUP(D252,$N$192:$P$202,3,FALSE)</f>
        <v xml:space="preserve"> </v>
      </c>
      <c r="D266" s="169" t="e">
        <f>SUM(D264/D265)*100</f>
        <v>#VALUE!</v>
      </c>
      <c r="E266" s="154" t="s">
        <v>306</v>
      </c>
      <c r="G266" s="269"/>
      <c r="H266" s="292"/>
      <c r="I266" s="281"/>
      <c r="J266" s="35" t="s">
        <v>22</v>
      </c>
      <c r="K266" s="50">
        <v>90</v>
      </c>
    </row>
    <row r="267" spans="1:11" ht="15" customHeight="1" thickBot="1" x14ac:dyDescent="0.3">
      <c r="A267" s="301"/>
      <c r="B267" s="303"/>
      <c r="C267" s="89" t="s">
        <v>283</v>
      </c>
      <c r="D267" s="148" t="s">
        <v>307</v>
      </c>
      <c r="E267" s="154" t="s">
        <v>306</v>
      </c>
      <c r="G267" s="269"/>
      <c r="H267" s="292"/>
      <c r="I267" s="281"/>
      <c r="J267" s="37" t="s">
        <v>23</v>
      </c>
      <c r="K267" s="50">
        <v>60</v>
      </c>
    </row>
    <row r="268" spans="1:11" ht="15.75" thickBot="1" x14ac:dyDescent="0.3">
      <c r="A268" s="302"/>
      <c r="B268" s="302"/>
      <c r="C268" s="88" t="str">
        <f>VLOOKUP(D252,$N$205:$X$214,9,FALSE)</f>
        <v xml:space="preserve"> </v>
      </c>
      <c r="D268" s="153" t="str">
        <f>C268</f>
        <v xml:space="preserve"> </v>
      </c>
      <c r="E268" s="154" t="s">
        <v>306</v>
      </c>
      <c r="G268" s="269"/>
      <c r="H268" s="292"/>
      <c r="I268" s="281"/>
      <c r="J268" s="38" t="s">
        <v>24</v>
      </c>
      <c r="K268" s="50">
        <v>40</v>
      </c>
    </row>
    <row r="269" spans="1:11" ht="15.75" thickBot="1" x14ac:dyDescent="0.3">
      <c r="A269" s="302"/>
      <c r="B269" s="302"/>
      <c r="C269" s="56" t="str">
        <f>VLOOKUP(D252,$N$192:$O$202,2,FALSE)</f>
        <v xml:space="preserve"> </v>
      </c>
      <c r="D269" s="156" t="s">
        <v>380</v>
      </c>
      <c r="E269" s="154" t="s">
        <v>306</v>
      </c>
      <c r="G269" s="269"/>
      <c r="H269" s="292"/>
      <c r="I269" s="281"/>
      <c r="J269" s="41" t="s">
        <v>33</v>
      </c>
      <c r="K269" s="42"/>
    </row>
    <row r="270" spans="1:11" ht="15" customHeight="1" thickBot="1" x14ac:dyDescent="0.3">
      <c r="A270" s="302"/>
      <c r="B270" s="302"/>
      <c r="C270" s="159" t="s">
        <v>379</v>
      </c>
      <c r="D270" s="156" t="s">
        <v>394</v>
      </c>
      <c r="E270" s="154" t="s">
        <v>306</v>
      </c>
      <c r="G270" s="269"/>
      <c r="H270" s="292"/>
      <c r="I270" s="281"/>
      <c r="J270" s="63" t="s">
        <v>30</v>
      </c>
      <c r="K270" s="58"/>
    </row>
    <row r="271" spans="1:11" ht="15.75" thickBot="1" x14ac:dyDescent="0.3">
      <c r="A271" s="302"/>
      <c r="B271" s="302"/>
      <c r="C271" s="64" t="str">
        <f>VLOOKUP(D252,$N$192:$P$202,3,FALSE)</f>
        <v xml:space="preserve"> </v>
      </c>
      <c r="D271" s="169" t="e">
        <f>SUM(D269/D270)*100</f>
        <v>#VALUE!</v>
      </c>
      <c r="E271" s="154" t="s">
        <v>306</v>
      </c>
      <c r="G271" s="270"/>
      <c r="H271" s="293"/>
      <c r="I271" s="282"/>
      <c r="J271" s="64" t="s">
        <v>194</v>
      </c>
      <c r="K271" s="65"/>
    </row>
    <row r="272" spans="1:11" ht="15.75" thickBot="1" x14ac:dyDescent="0.3">
      <c r="A272" s="302"/>
      <c r="B272" s="302"/>
      <c r="C272" s="89" t="s">
        <v>284</v>
      </c>
      <c r="D272" s="148" t="s">
        <v>307</v>
      </c>
      <c r="E272" s="154" t="s">
        <v>306</v>
      </c>
      <c r="G272" s="268" t="s">
        <v>26</v>
      </c>
      <c r="H272" s="289"/>
      <c r="I272" s="280" t="s">
        <v>341</v>
      </c>
      <c r="J272" s="33" t="s">
        <v>28</v>
      </c>
      <c r="K272" s="34"/>
    </row>
    <row r="273" spans="1:11" ht="15.75" thickBot="1" x14ac:dyDescent="0.3">
      <c r="A273" s="302"/>
      <c r="B273" s="302"/>
      <c r="C273" s="88" t="str">
        <f>VLOOKUP(D252,$N$205:$X$214,9,FALSE)</f>
        <v xml:space="preserve"> </v>
      </c>
      <c r="D273" s="153" t="str">
        <f>C273</f>
        <v xml:space="preserve"> </v>
      </c>
      <c r="E273" s="154" t="s">
        <v>306</v>
      </c>
      <c r="G273" s="269"/>
      <c r="H273" s="290"/>
      <c r="I273" s="281"/>
      <c r="J273" s="35" t="s">
        <v>125</v>
      </c>
      <c r="K273" s="36" t="s">
        <v>129</v>
      </c>
    </row>
    <row r="274" spans="1:11" ht="15.75" thickBot="1" x14ac:dyDescent="0.3">
      <c r="A274" s="302"/>
      <c r="B274" s="302"/>
      <c r="C274" s="56" t="str">
        <f>VLOOKUP(D252,$N$192:$O$202,2,FALSE)</f>
        <v xml:space="preserve"> </v>
      </c>
      <c r="D274" s="156" t="s">
        <v>380</v>
      </c>
      <c r="E274" s="154" t="s">
        <v>306</v>
      </c>
      <c r="G274" s="269"/>
      <c r="H274" s="290"/>
      <c r="I274" s="281"/>
      <c r="J274" s="37" t="s">
        <v>126</v>
      </c>
      <c r="K274" s="36" t="s">
        <v>130</v>
      </c>
    </row>
    <row r="275" spans="1:11" ht="15" customHeight="1" thickBot="1" x14ac:dyDescent="0.3">
      <c r="A275" s="302"/>
      <c r="B275" s="302"/>
      <c r="C275" s="159" t="s">
        <v>379</v>
      </c>
      <c r="D275" s="156" t="s">
        <v>394</v>
      </c>
      <c r="E275" s="154" t="s">
        <v>306</v>
      </c>
      <c r="G275" s="269"/>
      <c r="H275" s="291" t="s">
        <v>177</v>
      </c>
      <c r="I275" s="281"/>
      <c r="J275" s="38" t="s">
        <v>127</v>
      </c>
      <c r="K275" s="36" t="s">
        <v>131</v>
      </c>
    </row>
    <row r="276" spans="1:11" ht="15" customHeight="1" thickBot="1" x14ac:dyDescent="0.3">
      <c r="A276" s="302"/>
      <c r="B276" s="302"/>
      <c r="C276" s="64" t="str">
        <f>VLOOKUP(D252,$N$192:$P$202,3,FALSE)</f>
        <v xml:space="preserve"> </v>
      </c>
      <c r="D276" s="169" t="e">
        <f>SUM(D274/D275)*100</f>
        <v>#VALUE!</v>
      </c>
      <c r="E276" s="154" t="s">
        <v>306</v>
      </c>
      <c r="G276" s="269"/>
      <c r="H276" s="292"/>
      <c r="I276" s="281"/>
      <c r="J276" s="39" t="s">
        <v>128</v>
      </c>
      <c r="K276" s="40" t="s">
        <v>132</v>
      </c>
    </row>
    <row r="277" spans="1:11" ht="15" customHeight="1" thickBot="1" x14ac:dyDescent="0.3">
      <c r="A277" s="302"/>
      <c r="B277" s="302"/>
      <c r="C277" s="183" t="s">
        <v>285</v>
      </c>
      <c r="D277" s="148" t="s">
        <v>307</v>
      </c>
      <c r="E277" s="154" t="s">
        <v>306</v>
      </c>
      <c r="G277" s="269"/>
      <c r="H277" s="292"/>
      <c r="I277" s="281"/>
      <c r="J277" s="41" t="s">
        <v>36</v>
      </c>
      <c r="K277" s="42"/>
    </row>
    <row r="278" spans="1:11" ht="15.75" thickBot="1" x14ac:dyDescent="0.3">
      <c r="A278" s="302"/>
      <c r="B278" s="302"/>
      <c r="C278" s="70" t="str">
        <f>VLOOKUP(D252,$N$205:$X$1406,9,FALSE)</f>
        <v xml:space="preserve"> </v>
      </c>
      <c r="D278" s="153" t="str">
        <f>C278</f>
        <v xml:space="preserve"> </v>
      </c>
      <c r="E278" s="154" t="s">
        <v>306</v>
      </c>
      <c r="G278" s="269"/>
      <c r="H278" s="292"/>
      <c r="I278" s="281"/>
      <c r="J278" s="35" t="s">
        <v>22</v>
      </c>
      <c r="K278" s="50">
        <v>57</v>
      </c>
    </row>
    <row r="279" spans="1:11" ht="15.75" thickBot="1" x14ac:dyDescent="0.3">
      <c r="A279" s="302"/>
      <c r="B279" s="302"/>
      <c r="C279" s="56" t="str">
        <f>VLOOKUP(D252,$N$192:$O$202,2,FALSE)</f>
        <v xml:space="preserve"> </v>
      </c>
      <c r="D279" s="156" t="s">
        <v>380</v>
      </c>
      <c r="E279" s="154" t="s">
        <v>306</v>
      </c>
      <c r="G279" s="269"/>
      <c r="H279" s="292"/>
      <c r="I279" s="281"/>
      <c r="J279" s="37" t="s">
        <v>23</v>
      </c>
      <c r="K279" s="50">
        <v>46</v>
      </c>
    </row>
    <row r="280" spans="1:11" ht="15" customHeight="1" thickBot="1" x14ac:dyDescent="0.3">
      <c r="A280" s="302"/>
      <c r="B280" s="302"/>
      <c r="C280" s="159" t="s">
        <v>379</v>
      </c>
      <c r="D280" s="156" t="s">
        <v>394</v>
      </c>
      <c r="E280" s="154" t="s">
        <v>306</v>
      </c>
      <c r="G280" s="269"/>
      <c r="H280" s="292"/>
      <c r="I280" s="281"/>
      <c r="J280" s="38" t="s">
        <v>24</v>
      </c>
      <c r="K280" s="50">
        <v>36</v>
      </c>
    </row>
    <row r="281" spans="1:11" ht="15" customHeight="1" thickBot="1" x14ac:dyDescent="0.3">
      <c r="A281" s="302"/>
      <c r="B281" s="302"/>
      <c r="C281" s="64" t="str">
        <f>VLOOKUP(D252,$N$192:$P$202,3,FALSE)</f>
        <v xml:space="preserve"> </v>
      </c>
      <c r="D281" s="169" t="e">
        <f>SUM(D279/D280)*100</f>
        <v>#VALUE!</v>
      </c>
      <c r="E281" s="154" t="s">
        <v>306</v>
      </c>
      <c r="G281" s="269"/>
      <c r="H281" s="292"/>
      <c r="I281" s="281"/>
      <c r="J281" s="41" t="s">
        <v>35</v>
      </c>
      <c r="K281" s="42"/>
    </row>
    <row r="282" spans="1:11" ht="15.75" customHeight="1" thickBot="1" x14ac:dyDescent="0.3">
      <c r="A282" s="301" t="s">
        <v>26</v>
      </c>
      <c r="B282" s="303" t="s">
        <v>345</v>
      </c>
      <c r="C282" s="183" t="s">
        <v>96</v>
      </c>
      <c r="D282" s="24" t="s">
        <v>305</v>
      </c>
      <c r="E282" s="154" t="s">
        <v>306</v>
      </c>
      <c r="G282" s="269"/>
      <c r="H282" s="292"/>
      <c r="I282" s="281"/>
      <c r="J282" s="63" t="s">
        <v>31</v>
      </c>
      <c r="K282" s="66" t="s">
        <v>218</v>
      </c>
    </row>
    <row r="283" spans="1:11" ht="15" customHeight="1" thickBot="1" x14ac:dyDescent="0.3">
      <c r="A283" s="301"/>
      <c r="B283" s="303"/>
      <c r="C283" s="88" t="str">
        <f>VLOOKUP(D282,$N$205:$X$214,10,FALSE)</f>
        <v xml:space="preserve"> </v>
      </c>
      <c r="D283" s="153" t="str">
        <f>C283</f>
        <v xml:space="preserve"> </v>
      </c>
      <c r="E283" s="154" t="s">
        <v>306</v>
      </c>
    </row>
    <row r="284" spans="1:11" ht="15.75" thickBot="1" x14ac:dyDescent="0.3">
      <c r="A284" s="301"/>
      <c r="B284" s="303"/>
      <c r="C284" s="35" t="s">
        <v>125</v>
      </c>
      <c r="D284" s="74" t="str">
        <f>VLOOKUP(D282,$N$205:$U$215,2,FALSE)</f>
        <v xml:space="preserve"> </v>
      </c>
      <c r="E284" s="154" t="s">
        <v>306</v>
      </c>
    </row>
    <row r="285" spans="1:11" ht="15.75" thickBot="1" x14ac:dyDescent="0.3">
      <c r="A285" s="301"/>
      <c r="B285" s="303"/>
      <c r="C285" s="37" t="s">
        <v>126</v>
      </c>
      <c r="D285" s="74" t="str">
        <f>VLOOKUP(D282,$N$205:$U$215,3,FALSE)</f>
        <v xml:space="preserve"> </v>
      </c>
      <c r="E285" s="154" t="s">
        <v>306</v>
      </c>
    </row>
    <row r="286" spans="1:11" ht="15.75" thickBot="1" x14ac:dyDescent="0.3">
      <c r="A286" s="301"/>
      <c r="B286" s="303"/>
      <c r="C286" s="38" t="s">
        <v>127</v>
      </c>
      <c r="D286" s="74" t="str">
        <f>VLOOKUP(D282,$N$205:$U$215,4,FALSE)</f>
        <v xml:space="preserve"> </v>
      </c>
      <c r="E286" s="154" t="s">
        <v>306</v>
      </c>
    </row>
    <row r="287" spans="1:11" ht="15.75" thickBot="1" x14ac:dyDescent="0.3">
      <c r="A287" s="301"/>
      <c r="B287" s="303"/>
      <c r="C287" s="39" t="s">
        <v>128</v>
      </c>
      <c r="D287" s="74" t="str">
        <f>VLOOKUP(D282,$N$205:$U$215,5,FALSE)</f>
        <v xml:space="preserve"> </v>
      </c>
      <c r="E287" s="154" t="s">
        <v>306</v>
      </c>
    </row>
    <row r="288" spans="1:11" ht="15.75" thickBot="1" x14ac:dyDescent="0.3">
      <c r="A288" s="301"/>
      <c r="B288" s="303"/>
      <c r="C288" s="88" t="str">
        <f>VLOOKUP(D282,$N$205:$X$214,11,FALSE)</f>
        <v xml:space="preserve"> </v>
      </c>
      <c r="D288" s="153" t="str">
        <f>C288</f>
        <v xml:space="preserve"> </v>
      </c>
      <c r="E288" s="154" t="s">
        <v>306</v>
      </c>
    </row>
    <row r="289" spans="1:5" ht="15.75" thickBot="1" x14ac:dyDescent="0.3">
      <c r="A289" s="301"/>
      <c r="B289" s="303"/>
      <c r="C289" s="35" t="s">
        <v>22</v>
      </c>
      <c r="D289" s="50" t="str">
        <f>VLOOKUP(D282,$N$205:$U$215,6,FALSE)</f>
        <v xml:space="preserve"> </v>
      </c>
      <c r="E289" s="154" t="s">
        <v>306</v>
      </c>
    </row>
    <row r="290" spans="1:5" ht="15.75" thickBot="1" x14ac:dyDescent="0.3">
      <c r="A290" s="301"/>
      <c r="B290" s="303"/>
      <c r="C290" s="37" t="s">
        <v>23</v>
      </c>
      <c r="D290" s="50" t="str">
        <f>VLOOKUP(D282,$N$205:$U$215,7,FALSE)</f>
        <v xml:space="preserve"> </v>
      </c>
      <c r="E290" s="154" t="s">
        <v>306</v>
      </c>
    </row>
    <row r="291" spans="1:5" ht="15.75" thickBot="1" x14ac:dyDescent="0.3">
      <c r="A291" s="301"/>
      <c r="B291" s="303"/>
      <c r="C291" s="203" t="s">
        <v>24</v>
      </c>
      <c r="D291" s="204" t="str">
        <f>VLOOKUP(D282,$N$205:$U$215,8,FALSE)</f>
        <v xml:space="preserve"> </v>
      </c>
      <c r="E291" s="154" t="s">
        <v>306</v>
      </c>
    </row>
    <row r="292" spans="1:5" ht="15.75" thickBot="1" x14ac:dyDescent="0.3">
      <c r="A292" s="301"/>
      <c r="B292" s="303"/>
      <c r="C292" s="89" t="s">
        <v>282</v>
      </c>
      <c r="D292" s="190" t="s">
        <v>307</v>
      </c>
    </row>
    <row r="293" spans="1:5" ht="15" customHeight="1" thickBot="1" x14ac:dyDescent="0.3">
      <c r="A293" s="301"/>
      <c r="B293" s="303"/>
      <c r="C293" s="88" t="str">
        <f>VLOOKUP(D282,$N$205:$X$214,9,FALSE)</f>
        <v xml:space="preserve"> </v>
      </c>
      <c r="D293" s="153" t="str">
        <f>C293</f>
        <v xml:space="preserve"> </v>
      </c>
      <c r="E293" s="154" t="s">
        <v>306</v>
      </c>
    </row>
    <row r="294" spans="1:5" ht="15" customHeight="1" thickBot="1" x14ac:dyDescent="0.3">
      <c r="A294" s="301"/>
      <c r="B294" s="303"/>
      <c r="C294" s="56" t="str">
        <f>VLOOKUP(D282,$N$192:$P$202,2,FALSE)</f>
        <v xml:space="preserve"> </v>
      </c>
      <c r="D294" s="156" t="s">
        <v>380</v>
      </c>
      <c r="E294" s="154" t="s">
        <v>306</v>
      </c>
    </row>
    <row r="295" spans="1:5" ht="15" customHeight="1" thickBot="1" x14ac:dyDescent="0.3">
      <c r="A295" s="301"/>
      <c r="B295" s="303"/>
      <c r="C295" s="159" t="s">
        <v>379</v>
      </c>
      <c r="D295" s="156" t="s">
        <v>394</v>
      </c>
      <c r="E295" s="154" t="s">
        <v>306</v>
      </c>
    </row>
    <row r="296" spans="1:5" ht="15.75" thickBot="1" x14ac:dyDescent="0.3">
      <c r="A296" s="301"/>
      <c r="B296" s="303"/>
      <c r="C296" s="64" t="str">
        <f>VLOOKUP(D282,$N$192:$P$202,3,FALSE)</f>
        <v xml:space="preserve"> </v>
      </c>
      <c r="D296" s="169" t="e">
        <f>SUM(D294/D295)*100</f>
        <v>#VALUE!</v>
      </c>
      <c r="E296" s="154" t="s">
        <v>306</v>
      </c>
    </row>
    <row r="297" spans="1:5" ht="15.75" thickBot="1" x14ac:dyDescent="0.3">
      <c r="A297" s="301"/>
      <c r="B297" s="303"/>
      <c r="C297" s="89" t="s">
        <v>283</v>
      </c>
      <c r="D297" s="148" t="s">
        <v>307</v>
      </c>
      <c r="E297" s="154" t="s">
        <v>306</v>
      </c>
    </row>
    <row r="298" spans="1:5" ht="15" customHeight="1" thickBot="1" x14ac:dyDescent="0.3">
      <c r="A298" s="302"/>
      <c r="B298" s="302"/>
      <c r="C298" s="88" t="str">
        <f>VLOOKUP(D282,$N$205:$X$214,9,FALSE)</f>
        <v xml:space="preserve"> </v>
      </c>
      <c r="D298" s="153" t="str">
        <f>C298</f>
        <v xml:space="preserve"> </v>
      </c>
      <c r="E298" s="154" t="s">
        <v>306</v>
      </c>
    </row>
    <row r="299" spans="1:5" ht="15.75" thickBot="1" x14ac:dyDescent="0.3">
      <c r="A299" s="302"/>
      <c r="B299" s="302"/>
      <c r="C299" s="56" t="str">
        <f>VLOOKUP(D282,$N$192:$O$202,2,FALSE)</f>
        <v xml:space="preserve"> </v>
      </c>
      <c r="D299" s="156" t="s">
        <v>380</v>
      </c>
      <c r="E299" s="154" t="s">
        <v>306</v>
      </c>
    </row>
    <row r="300" spans="1:5" ht="15.75" thickBot="1" x14ac:dyDescent="0.3">
      <c r="A300" s="302"/>
      <c r="B300" s="302"/>
      <c r="C300" s="159" t="s">
        <v>379</v>
      </c>
      <c r="D300" s="156" t="s">
        <v>394</v>
      </c>
      <c r="E300" s="154" t="s">
        <v>306</v>
      </c>
    </row>
    <row r="301" spans="1:5" ht="15" customHeight="1" thickBot="1" x14ac:dyDescent="0.3">
      <c r="A301" s="302"/>
      <c r="B301" s="302"/>
      <c r="C301" s="64" t="str">
        <f>VLOOKUP(D282,$N$192:$P$202,3,FALSE)</f>
        <v xml:space="preserve"> </v>
      </c>
      <c r="D301" s="169" t="e">
        <f>SUM(D299/D300)*100</f>
        <v>#VALUE!</v>
      </c>
      <c r="E301" s="154" t="s">
        <v>306</v>
      </c>
    </row>
    <row r="302" spans="1:5" ht="15.75" thickBot="1" x14ac:dyDescent="0.3">
      <c r="A302" s="302"/>
      <c r="B302" s="302"/>
      <c r="C302" s="89" t="s">
        <v>284</v>
      </c>
      <c r="D302" s="148" t="s">
        <v>307</v>
      </c>
      <c r="E302" s="154" t="s">
        <v>306</v>
      </c>
    </row>
    <row r="303" spans="1:5" ht="15.75" thickBot="1" x14ac:dyDescent="0.3">
      <c r="A303" s="302"/>
      <c r="B303" s="302"/>
      <c r="C303" s="88" t="str">
        <f>VLOOKUP(D282,$N$205:$X$214,9,FALSE)</f>
        <v xml:space="preserve"> </v>
      </c>
      <c r="D303" s="153" t="str">
        <f>C303</f>
        <v xml:space="preserve"> </v>
      </c>
      <c r="E303" s="154" t="s">
        <v>306</v>
      </c>
    </row>
    <row r="304" spans="1:5" ht="15.75" thickBot="1" x14ac:dyDescent="0.3">
      <c r="A304" s="302"/>
      <c r="B304" s="302"/>
      <c r="C304" s="56" t="str">
        <f>VLOOKUP(D282,$N$192:$O$202,2,FALSE)</f>
        <v xml:space="preserve"> </v>
      </c>
      <c r="D304" s="156" t="s">
        <v>380</v>
      </c>
      <c r="E304" s="154" t="s">
        <v>306</v>
      </c>
    </row>
    <row r="305" spans="1:5" ht="15.75" thickBot="1" x14ac:dyDescent="0.3">
      <c r="A305" s="302"/>
      <c r="B305" s="302"/>
      <c r="C305" s="159" t="s">
        <v>379</v>
      </c>
      <c r="D305" s="156" t="s">
        <v>394</v>
      </c>
      <c r="E305" s="154" t="s">
        <v>306</v>
      </c>
    </row>
    <row r="306" spans="1:5" ht="15" customHeight="1" thickBot="1" x14ac:dyDescent="0.3">
      <c r="A306" s="302"/>
      <c r="B306" s="302"/>
      <c r="C306" s="64" t="str">
        <f>VLOOKUP(D282,$N$192:$P$202,3,FALSE)</f>
        <v xml:space="preserve"> </v>
      </c>
      <c r="D306" s="169" t="e">
        <f>SUM(D304/D305)*100</f>
        <v>#VALUE!</v>
      </c>
      <c r="E306" s="154" t="s">
        <v>306</v>
      </c>
    </row>
    <row r="307" spans="1:5" ht="15" customHeight="1" thickBot="1" x14ac:dyDescent="0.3">
      <c r="A307" s="302"/>
      <c r="B307" s="302"/>
      <c r="C307" s="183" t="s">
        <v>285</v>
      </c>
      <c r="D307" s="148" t="s">
        <v>307</v>
      </c>
      <c r="E307" s="154" t="s">
        <v>306</v>
      </c>
    </row>
    <row r="308" spans="1:5" ht="15" customHeight="1" thickBot="1" x14ac:dyDescent="0.3">
      <c r="A308" s="302"/>
      <c r="B308" s="302"/>
      <c r="C308" s="70" t="str">
        <f>VLOOKUP(D282,$N$205:$X$1406,9,FALSE)</f>
        <v xml:space="preserve"> </v>
      </c>
      <c r="D308" s="153" t="str">
        <f>C308</f>
        <v xml:space="preserve"> </v>
      </c>
      <c r="E308" s="154" t="s">
        <v>306</v>
      </c>
    </row>
    <row r="309" spans="1:5" ht="15" customHeight="1" thickBot="1" x14ac:dyDescent="0.3">
      <c r="A309" s="302"/>
      <c r="B309" s="302"/>
      <c r="C309" s="56" t="str">
        <f>VLOOKUP(D282,$N$192:$O$202,2,FALSE)</f>
        <v xml:space="preserve"> </v>
      </c>
      <c r="D309" s="156" t="s">
        <v>380</v>
      </c>
      <c r="E309" s="154" t="s">
        <v>306</v>
      </c>
    </row>
    <row r="310" spans="1:5" ht="15.75" thickBot="1" x14ac:dyDescent="0.3">
      <c r="A310" s="302"/>
      <c r="B310" s="302"/>
      <c r="C310" s="159" t="s">
        <v>379</v>
      </c>
      <c r="D310" s="156" t="s">
        <v>394</v>
      </c>
      <c r="E310" s="154" t="s">
        <v>306</v>
      </c>
    </row>
    <row r="311" spans="1:5" ht="15.75" thickBot="1" x14ac:dyDescent="0.3">
      <c r="A311" s="302"/>
      <c r="B311" s="302"/>
      <c r="C311" s="64" t="str">
        <f>VLOOKUP(D282,$N$192:$P$202,3,FALSE)</f>
        <v xml:space="preserve"> </v>
      </c>
      <c r="D311" s="169" t="e">
        <f>SUM(D309/D310)*100</f>
        <v>#VALUE!</v>
      </c>
      <c r="E311" s="154" t="s">
        <v>306</v>
      </c>
    </row>
    <row r="312" spans="1:5" ht="15" customHeight="1" x14ac:dyDescent="0.25">
      <c r="A312" s="268" t="s">
        <v>26</v>
      </c>
      <c r="B312" s="280" t="s">
        <v>326</v>
      </c>
      <c r="C312" s="91" t="s">
        <v>96</v>
      </c>
      <c r="D312" s="28" t="s">
        <v>380</v>
      </c>
      <c r="E312" s="154" t="s">
        <v>306</v>
      </c>
    </row>
    <row r="313" spans="1:5" ht="15" x14ac:dyDescent="0.25">
      <c r="A313" s="269"/>
      <c r="B313" s="281"/>
      <c r="C313" s="92" t="s">
        <v>205</v>
      </c>
      <c r="D313" s="25" t="s">
        <v>297</v>
      </c>
      <c r="E313" s="154" t="s">
        <v>306</v>
      </c>
    </row>
    <row r="314" spans="1:5" ht="15" x14ac:dyDescent="0.25">
      <c r="A314" s="269"/>
      <c r="B314" s="281"/>
      <c r="C314" s="93" t="s">
        <v>97</v>
      </c>
      <c r="D314" s="190" t="s">
        <v>303</v>
      </c>
      <c r="E314" s="154" t="s">
        <v>306</v>
      </c>
    </row>
    <row r="315" spans="1:5" ht="15" customHeight="1" x14ac:dyDescent="0.25">
      <c r="A315" s="269"/>
      <c r="B315" s="281"/>
      <c r="C315" s="72" t="s">
        <v>301</v>
      </c>
      <c r="D315" s="173" t="str">
        <f>C315</f>
        <v xml:space="preserve"> To receive the indicator rating, the criteria for the additional measure of student academic growth was:</v>
      </c>
      <c r="E315" s="154" t="s">
        <v>306</v>
      </c>
    </row>
    <row r="316" spans="1:5" ht="15" x14ac:dyDescent="0.25">
      <c r="A316" s="269"/>
      <c r="B316" s="281"/>
      <c r="C316" s="35" t="s">
        <v>125</v>
      </c>
      <c r="D316" s="26" t="s">
        <v>118</v>
      </c>
      <c r="E316" s="154" t="s">
        <v>306</v>
      </c>
    </row>
    <row r="317" spans="1:5" ht="15" x14ac:dyDescent="0.25">
      <c r="A317" s="269"/>
      <c r="B317" s="281"/>
      <c r="C317" s="37" t="s">
        <v>126</v>
      </c>
      <c r="D317" s="26" t="s">
        <v>119</v>
      </c>
      <c r="E317" s="154" t="s">
        <v>306</v>
      </c>
    </row>
    <row r="318" spans="1:5" ht="15" x14ac:dyDescent="0.25">
      <c r="A318" s="269"/>
      <c r="B318" s="281"/>
      <c r="C318" s="38" t="s">
        <v>127</v>
      </c>
      <c r="D318" s="26" t="s">
        <v>120</v>
      </c>
      <c r="E318" s="154" t="s">
        <v>306</v>
      </c>
    </row>
    <row r="319" spans="1:5" ht="15" x14ac:dyDescent="0.25">
      <c r="A319" s="269"/>
      <c r="B319" s="281"/>
      <c r="C319" s="39" t="s">
        <v>128</v>
      </c>
      <c r="D319" s="191" t="s">
        <v>121</v>
      </c>
      <c r="E319" s="154" t="s">
        <v>306</v>
      </c>
    </row>
    <row r="320" spans="1:5" ht="15" customHeight="1" x14ac:dyDescent="0.25">
      <c r="A320" s="269"/>
      <c r="B320" s="281"/>
      <c r="C320" s="41" t="s">
        <v>68</v>
      </c>
      <c r="D320" s="173" t="str">
        <f>C320</f>
        <v>Cut-point values for additional measure  of student academic growth were:</v>
      </c>
      <c r="E320" s="154" t="s">
        <v>306</v>
      </c>
    </row>
    <row r="321" spans="1:5" ht="15" customHeight="1" x14ac:dyDescent="0.25">
      <c r="A321" s="269"/>
      <c r="B321" s="281"/>
      <c r="C321" s="35" t="s">
        <v>22</v>
      </c>
      <c r="D321" s="27" t="s">
        <v>122</v>
      </c>
      <c r="E321" s="154" t="s">
        <v>306</v>
      </c>
    </row>
    <row r="322" spans="1:5" ht="15" customHeight="1" x14ac:dyDescent="0.25">
      <c r="A322" s="269"/>
      <c r="B322" s="281"/>
      <c r="C322" s="37" t="s">
        <v>23</v>
      </c>
      <c r="D322" s="27" t="s">
        <v>123</v>
      </c>
      <c r="E322" s="154" t="s">
        <v>306</v>
      </c>
    </row>
    <row r="323" spans="1:5" ht="15" customHeight="1" x14ac:dyDescent="0.25">
      <c r="A323" s="269"/>
      <c r="B323" s="281"/>
      <c r="C323" s="38" t="s">
        <v>24</v>
      </c>
      <c r="D323" s="189" t="s">
        <v>124</v>
      </c>
      <c r="E323" s="154" t="s">
        <v>306</v>
      </c>
    </row>
    <row r="324" spans="1:5" ht="15" x14ac:dyDescent="0.25">
      <c r="A324" s="269"/>
      <c r="B324" s="281"/>
      <c r="C324" s="41" t="s">
        <v>302</v>
      </c>
      <c r="D324" s="173" t="str">
        <f>C324</f>
        <v>Your school's actual value for additional measure of student academic growth was:</v>
      </c>
      <c r="E324" s="154" t="s">
        <v>306</v>
      </c>
    </row>
    <row r="325" spans="1:5" ht="15" x14ac:dyDescent="0.25">
      <c r="A325" s="269"/>
      <c r="B325" s="281"/>
      <c r="C325" s="63" t="s">
        <v>372</v>
      </c>
      <c r="D325" s="156" t="s">
        <v>380</v>
      </c>
      <c r="E325" s="154" t="s">
        <v>306</v>
      </c>
    </row>
    <row r="326" spans="1:5" ht="15.75" customHeight="1" x14ac:dyDescent="0.25">
      <c r="A326" s="269"/>
      <c r="B326" s="281"/>
      <c r="C326" s="159" t="s">
        <v>379</v>
      </c>
      <c r="D326" s="156" t="s">
        <v>394</v>
      </c>
      <c r="E326" s="154" t="s">
        <v>306</v>
      </c>
    </row>
    <row r="327" spans="1:5" ht="15.75" thickBot="1" x14ac:dyDescent="0.3">
      <c r="A327" s="270"/>
      <c r="B327" s="282"/>
      <c r="C327" s="64" t="s">
        <v>359</v>
      </c>
      <c r="D327" s="169" t="e">
        <f>SUM(D325/D326)*100</f>
        <v>#VALUE!</v>
      </c>
      <c r="E327" s="154" t="s">
        <v>306</v>
      </c>
    </row>
    <row r="328" spans="1:5" ht="15" x14ac:dyDescent="0.25">
      <c r="A328" s="268" t="s">
        <v>26</v>
      </c>
      <c r="B328" s="280" t="s">
        <v>327</v>
      </c>
      <c r="C328" s="91" t="s">
        <v>96</v>
      </c>
      <c r="D328" s="24" t="s">
        <v>296</v>
      </c>
      <c r="E328" s="154" t="s">
        <v>306</v>
      </c>
    </row>
    <row r="329" spans="1:5" ht="15" x14ac:dyDescent="0.25">
      <c r="A329" s="269"/>
      <c r="B329" s="281"/>
      <c r="C329" s="92" t="s">
        <v>205</v>
      </c>
      <c r="D329" s="25" t="s">
        <v>297</v>
      </c>
      <c r="E329" s="154" t="s">
        <v>306</v>
      </c>
    </row>
    <row r="330" spans="1:5" ht="15" x14ac:dyDescent="0.25">
      <c r="A330" s="269"/>
      <c r="B330" s="281"/>
      <c r="C330" s="93" t="s">
        <v>97</v>
      </c>
      <c r="D330" s="190" t="s">
        <v>303</v>
      </c>
      <c r="E330" s="154" t="s">
        <v>306</v>
      </c>
    </row>
    <row r="331" spans="1:5" ht="15" x14ac:dyDescent="0.25">
      <c r="A331" s="269"/>
      <c r="B331" s="281"/>
      <c r="C331" s="72" t="s">
        <v>301</v>
      </c>
      <c r="D331" s="173" t="str">
        <f>C331</f>
        <v xml:space="preserve"> To receive the indicator rating, the criteria for the additional measure of student academic growth was:</v>
      </c>
      <c r="E331" s="154" t="s">
        <v>306</v>
      </c>
    </row>
    <row r="332" spans="1:5" ht="15" x14ac:dyDescent="0.25">
      <c r="A332" s="269"/>
      <c r="B332" s="281"/>
      <c r="C332" s="35" t="s">
        <v>125</v>
      </c>
      <c r="D332" s="26" t="s">
        <v>118</v>
      </c>
      <c r="E332" s="154" t="s">
        <v>306</v>
      </c>
    </row>
    <row r="333" spans="1:5" ht="15" customHeight="1" x14ac:dyDescent="0.25">
      <c r="A333" s="269"/>
      <c r="B333" s="281"/>
      <c r="C333" s="37" t="s">
        <v>126</v>
      </c>
      <c r="D333" s="26" t="s">
        <v>119</v>
      </c>
      <c r="E333" s="154" t="s">
        <v>306</v>
      </c>
    </row>
    <row r="334" spans="1:5" ht="15" customHeight="1" x14ac:dyDescent="0.25">
      <c r="A334" s="269"/>
      <c r="B334" s="281"/>
      <c r="C334" s="38" t="s">
        <v>127</v>
      </c>
      <c r="D334" s="26" t="s">
        <v>120</v>
      </c>
      <c r="E334" s="154" t="s">
        <v>306</v>
      </c>
    </row>
    <row r="335" spans="1:5" ht="15" customHeight="1" x14ac:dyDescent="0.25">
      <c r="A335" s="269"/>
      <c r="B335" s="281"/>
      <c r="C335" s="39" t="s">
        <v>128</v>
      </c>
      <c r="D335" s="191" t="s">
        <v>121</v>
      </c>
      <c r="E335" s="154" t="s">
        <v>306</v>
      </c>
    </row>
    <row r="336" spans="1:5" ht="15" x14ac:dyDescent="0.25">
      <c r="A336" s="269"/>
      <c r="B336" s="281"/>
      <c r="C336" s="41" t="s">
        <v>68</v>
      </c>
      <c r="D336" s="173" t="str">
        <f>C336</f>
        <v>Cut-point values for additional measure  of student academic growth were:</v>
      </c>
      <c r="E336" s="154" t="s">
        <v>306</v>
      </c>
    </row>
    <row r="337" spans="1:26" ht="15" x14ac:dyDescent="0.25">
      <c r="A337" s="269"/>
      <c r="B337" s="281"/>
      <c r="C337" s="35" t="s">
        <v>22</v>
      </c>
      <c r="D337" s="27" t="s">
        <v>122</v>
      </c>
      <c r="E337" s="154" t="s">
        <v>306</v>
      </c>
    </row>
    <row r="338" spans="1:26" ht="15" x14ac:dyDescent="0.25">
      <c r="A338" s="269"/>
      <c r="B338" s="281"/>
      <c r="C338" s="37" t="s">
        <v>23</v>
      </c>
      <c r="D338" s="27" t="s">
        <v>123</v>
      </c>
      <c r="E338" s="154" t="s">
        <v>306</v>
      </c>
    </row>
    <row r="339" spans="1:26" ht="15" x14ac:dyDescent="0.25">
      <c r="A339" s="269"/>
      <c r="B339" s="281"/>
      <c r="C339" s="38" t="s">
        <v>24</v>
      </c>
      <c r="D339" s="189" t="s">
        <v>124</v>
      </c>
      <c r="E339" s="154" t="s">
        <v>306</v>
      </c>
    </row>
    <row r="340" spans="1:26" ht="15" x14ac:dyDescent="0.25">
      <c r="A340" s="269"/>
      <c r="B340" s="281"/>
      <c r="C340" s="41" t="s">
        <v>302</v>
      </c>
      <c r="D340" s="173" t="str">
        <f>C340</f>
        <v>Your school's actual value for additional measure of student academic growth was:</v>
      </c>
      <c r="E340" s="154" t="s">
        <v>306</v>
      </c>
    </row>
    <row r="341" spans="1:26" ht="15" x14ac:dyDescent="0.25">
      <c r="A341" s="269"/>
      <c r="B341" s="281"/>
      <c r="C341" s="63" t="s">
        <v>372</v>
      </c>
      <c r="D341" s="156" t="s">
        <v>380</v>
      </c>
      <c r="E341" s="154" t="s">
        <v>306</v>
      </c>
    </row>
    <row r="342" spans="1:26" ht="15" x14ac:dyDescent="0.25">
      <c r="A342" s="269"/>
      <c r="B342" s="281"/>
      <c r="C342" s="159" t="s">
        <v>379</v>
      </c>
      <c r="D342" s="156" t="s">
        <v>394</v>
      </c>
      <c r="E342" s="154" t="s">
        <v>306</v>
      </c>
    </row>
    <row r="343" spans="1:26" ht="15.75" thickBot="1" x14ac:dyDescent="0.3">
      <c r="A343" s="270"/>
      <c r="B343" s="282"/>
      <c r="C343" s="64" t="s">
        <v>359</v>
      </c>
      <c r="D343" s="169" t="e">
        <f>SUM(D341/D342)*100</f>
        <v>#VALUE!</v>
      </c>
      <c r="E343" s="154" t="s">
        <v>306</v>
      </c>
    </row>
    <row r="344" spans="1:26" ht="15" x14ac:dyDescent="0.25">
      <c r="A344" s="268" t="s">
        <v>26</v>
      </c>
      <c r="B344" s="280" t="s">
        <v>328</v>
      </c>
      <c r="C344" s="91" t="s">
        <v>96</v>
      </c>
      <c r="D344" s="24" t="s">
        <v>296</v>
      </c>
      <c r="E344" s="154" t="s">
        <v>306</v>
      </c>
    </row>
    <row r="345" spans="1:26" ht="15.75" thickBot="1" x14ac:dyDescent="0.3">
      <c r="A345" s="269"/>
      <c r="B345" s="281"/>
      <c r="C345" s="92" t="s">
        <v>205</v>
      </c>
      <c r="D345" s="25" t="s">
        <v>297</v>
      </c>
      <c r="E345" s="154" t="s">
        <v>306</v>
      </c>
      <c r="O345" s="47" t="s">
        <v>171</v>
      </c>
      <c r="P345" s="35" t="s">
        <v>125</v>
      </c>
      <c r="Q345" s="37" t="s">
        <v>126</v>
      </c>
      <c r="R345" s="38" t="s">
        <v>127</v>
      </c>
      <c r="S345" s="39" t="s">
        <v>128</v>
      </c>
      <c r="T345" s="35" t="s">
        <v>22</v>
      </c>
      <c r="U345" s="37" t="s">
        <v>23</v>
      </c>
      <c r="V345" s="38" t="s">
        <v>24</v>
      </c>
      <c r="W345" s="47" t="s">
        <v>298</v>
      </c>
      <c r="X345" s="47" t="s">
        <v>299</v>
      </c>
      <c r="Y345" s="47" t="s">
        <v>300</v>
      </c>
    </row>
    <row r="346" spans="1:26" ht="15.75" thickBot="1" x14ac:dyDescent="0.3">
      <c r="A346" s="269"/>
      <c r="B346" s="281"/>
      <c r="C346" s="93" t="s">
        <v>97</v>
      </c>
      <c r="D346" s="190" t="s">
        <v>303</v>
      </c>
      <c r="E346" s="154" t="s">
        <v>306</v>
      </c>
      <c r="H346" s="268" t="s">
        <v>26</v>
      </c>
      <c r="I346" s="280" t="s">
        <v>90</v>
      </c>
      <c r="J346" s="33" t="s">
        <v>45</v>
      </c>
      <c r="K346" s="34"/>
      <c r="N346" s="47" t="s">
        <v>305</v>
      </c>
      <c r="O346" s="47" t="s">
        <v>306</v>
      </c>
      <c r="P346" s="47" t="s">
        <v>306</v>
      </c>
      <c r="Q346" s="47" t="s">
        <v>306</v>
      </c>
      <c r="R346" s="47" t="s">
        <v>306</v>
      </c>
      <c r="S346" s="47" t="s">
        <v>306</v>
      </c>
      <c r="T346" s="47" t="s">
        <v>306</v>
      </c>
      <c r="U346" s="47" t="s">
        <v>306</v>
      </c>
      <c r="V346" s="47" t="s">
        <v>306</v>
      </c>
      <c r="W346" s="47" t="s">
        <v>306</v>
      </c>
      <c r="X346" s="47" t="s">
        <v>306</v>
      </c>
      <c r="Y346" s="47" t="s">
        <v>306</v>
      </c>
      <c r="Z346" s="47" t="s">
        <v>306</v>
      </c>
    </row>
    <row r="347" spans="1:26" ht="15.75" thickBot="1" x14ac:dyDescent="0.3">
      <c r="A347" s="269"/>
      <c r="B347" s="281"/>
      <c r="C347" s="72" t="s">
        <v>301</v>
      </c>
      <c r="D347" s="173" t="str">
        <f>C347</f>
        <v xml:space="preserve"> To receive the indicator rating, the criteria for the additional measure of student academic growth was:</v>
      </c>
      <c r="E347" s="154" t="s">
        <v>306</v>
      </c>
      <c r="H347" s="269"/>
      <c r="I347" s="281"/>
      <c r="J347" s="35" t="s">
        <v>125</v>
      </c>
      <c r="K347" s="36" t="s">
        <v>129</v>
      </c>
      <c r="N347" s="47" t="s">
        <v>309</v>
      </c>
      <c r="O347" s="63" t="s">
        <v>116</v>
      </c>
      <c r="P347" s="36" t="s">
        <v>129</v>
      </c>
      <c r="Q347" s="36" t="s">
        <v>130</v>
      </c>
      <c r="R347" s="36" t="s">
        <v>131</v>
      </c>
      <c r="S347" s="40" t="s">
        <v>132</v>
      </c>
      <c r="T347" s="50">
        <v>65.3</v>
      </c>
      <c r="U347" s="50">
        <v>39.9</v>
      </c>
      <c r="V347" s="50">
        <v>30.7</v>
      </c>
      <c r="W347" s="33" t="s">
        <v>353</v>
      </c>
      <c r="X347" s="41" t="s">
        <v>354</v>
      </c>
      <c r="Y347" s="41" t="s">
        <v>352</v>
      </c>
      <c r="Z347" s="70" t="s">
        <v>367</v>
      </c>
    </row>
    <row r="348" spans="1:26" ht="15.75" thickBot="1" x14ac:dyDescent="0.3">
      <c r="A348" s="269"/>
      <c r="B348" s="281"/>
      <c r="C348" s="35" t="s">
        <v>125</v>
      </c>
      <c r="D348" s="26" t="s">
        <v>118</v>
      </c>
      <c r="E348" s="154" t="s">
        <v>306</v>
      </c>
      <c r="H348" s="269"/>
      <c r="I348" s="281"/>
      <c r="J348" s="37" t="s">
        <v>126</v>
      </c>
      <c r="K348" s="36" t="s">
        <v>130</v>
      </c>
      <c r="N348" s="47" t="s">
        <v>310</v>
      </c>
      <c r="O348" s="63" t="s">
        <v>115</v>
      </c>
      <c r="P348" s="36" t="s">
        <v>129</v>
      </c>
      <c r="Q348" s="36" t="s">
        <v>130</v>
      </c>
      <c r="R348" s="36" t="s">
        <v>131</v>
      </c>
      <c r="S348" s="40" t="s">
        <v>132</v>
      </c>
      <c r="T348" s="50">
        <v>90</v>
      </c>
      <c r="U348" s="50">
        <v>60</v>
      </c>
      <c r="V348" s="50">
        <v>40</v>
      </c>
      <c r="W348" s="33" t="s">
        <v>57</v>
      </c>
      <c r="X348" s="41" t="s">
        <v>58</v>
      </c>
      <c r="Y348" s="41" t="s">
        <v>59</v>
      </c>
      <c r="Z348" s="70" t="s">
        <v>368</v>
      </c>
    </row>
    <row r="349" spans="1:26" ht="15.75" thickBot="1" x14ac:dyDescent="0.3">
      <c r="A349" s="269"/>
      <c r="B349" s="281"/>
      <c r="C349" s="37" t="s">
        <v>126</v>
      </c>
      <c r="D349" s="26" t="s">
        <v>119</v>
      </c>
      <c r="E349" s="154" t="s">
        <v>306</v>
      </c>
      <c r="H349" s="269"/>
      <c r="I349" s="281"/>
      <c r="J349" s="38" t="s">
        <v>127</v>
      </c>
      <c r="K349" s="36" t="s">
        <v>131</v>
      </c>
      <c r="N349" s="47" t="s">
        <v>114</v>
      </c>
      <c r="O349" s="63" t="s">
        <v>78</v>
      </c>
      <c r="P349" s="36" t="s">
        <v>129</v>
      </c>
      <c r="Q349" s="36" t="s">
        <v>130</v>
      </c>
      <c r="R349" s="36" t="s">
        <v>131</v>
      </c>
      <c r="S349" s="40" t="s">
        <v>132</v>
      </c>
      <c r="T349" s="50">
        <v>90</v>
      </c>
      <c r="U349" s="50">
        <v>60</v>
      </c>
      <c r="V349" s="50">
        <v>40</v>
      </c>
      <c r="W349" s="33" t="s">
        <v>75</v>
      </c>
      <c r="X349" s="41" t="s">
        <v>76</v>
      </c>
      <c r="Y349" s="41" t="s">
        <v>77</v>
      </c>
      <c r="Z349" s="70" t="s">
        <v>369</v>
      </c>
    </row>
    <row r="350" spans="1:26" ht="15.75" thickBot="1" x14ac:dyDescent="0.3">
      <c r="A350" s="269"/>
      <c r="B350" s="281"/>
      <c r="C350" s="38" t="s">
        <v>127</v>
      </c>
      <c r="D350" s="26" t="s">
        <v>120</v>
      </c>
      <c r="E350" s="154" t="s">
        <v>306</v>
      </c>
      <c r="H350" s="269"/>
      <c r="I350" s="281"/>
      <c r="J350" s="39" t="s">
        <v>128</v>
      </c>
      <c r="K350" s="40" t="s">
        <v>132</v>
      </c>
      <c r="N350" s="47" t="s">
        <v>55</v>
      </c>
      <c r="O350" s="63" t="s">
        <v>117</v>
      </c>
      <c r="P350" s="36" t="s">
        <v>129</v>
      </c>
      <c r="Q350" s="36" t="s">
        <v>130</v>
      </c>
      <c r="R350" s="36" t="s">
        <v>131</v>
      </c>
      <c r="S350" s="40" t="s">
        <v>132</v>
      </c>
      <c r="T350" s="50">
        <v>90</v>
      </c>
      <c r="U350" s="50">
        <v>60</v>
      </c>
      <c r="V350" s="50">
        <v>40</v>
      </c>
      <c r="W350" s="33" t="s">
        <v>69</v>
      </c>
      <c r="X350" s="41" t="s">
        <v>70</v>
      </c>
      <c r="Y350" s="41" t="s">
        <v>71</v>
      </c>
      <c r="Z350" s="70" t="s">
        <v>370</v>
      </c>
    </row>
    <row r="351" spans="1:26" ht="15" x14ac:dyDescent="0.25">
      <c r="A351" s="269"/>
      <c r="B351" s="281"/>
      <c r="C351" s="39" t="s">
        <v>128</v>
      </c>
      <c r="D351" s="191" t="s">
        <v>121</v>
      </c>
      <c r="E351" s="154" t="s">
        <v>306</v>
      </c>
      <c r="H351" s="269"/>
      <c r="I351" s="281"/>
      <c r="J351" s="41" t="s">
        <v>46</v>
      </c>
      <c r="K351" s="42"/>
      <c r="N351" s="47" t="s">
        <v>311</v>
      </c>
      <c r="O351" s="63" t="s">
        <v>60</v>
      </c>
      <c r="P351" s="36" t="s">
        <v>129</v>
      </c>
      <c r="Q351" s="36" t="s">
        <v>130</v>
      </c>
      <c r="R351" s="36" t="s">
        <v>131</v>
      </c>
      <c r="S351" s="40" t="s">
        <v>132</v>
      </c>
      <c r="T351" s="50">
        <v>90</v>
      </c>
      <c r="U351" s="50">
        <v>60</v>
      </c>
      <c r="V351" s="50">
        <v>40</v>
      </c>
      <c r="W351" s="33" t="s">
        <v>72</v>
      </c>
      <c r="X351" s="41" t="s">
        <v>73</v>
      </c>
      <c r="Y351" s="41" t="s">
        <v>74</v>
      </c>
      <c r="Z351" s="70" t="s">
        <v>371</v>
      </c>
    </row>
    <row r="352" spans="1:26" ht="15" x14ac:dyDescent="0.25">
      <c r="A352" s="269"/>
      <c r="B352" s="281"/>
      <c r="C352" s="41" t="s">
        <v>68</v>
      </c>
      <c r="D352" s="173" t="str">
        <f>C352</f>
        <v>Cut-point values for additional measure  of student academic growth were:</v>
      </c>
      <c r="E352" s="154" t="s">
        <v>306</v>
      </c>
      <c r="H352" s="269"/>
      <c r="I352" s="281"/>
      <c r="J352" s="35" t="s">
        <v>22</v>
      </c>
      <c r="K352" s="50">
        <v>65.3</v>
      </c>
    </row>
    <row r="353" spans="1:11" ht="15" x14ac:dyDescent="0.25">
      <c r="A353" s="269"/>
      <c r="B353" s="281"/>
      <c r="C353" s="35" t="s">
        <v>22</v>
      </c>
      <c r="D353" s="27" t="s">
        <v>122</v>
      </c>
      <c r="E353" s="154" t="s">
        <v>306</v>
      </c>
      <c r="H353" s="269"/>
      <c r="I353" s="281"/>
      <c r="J353" s="37" t="s">
        <v>23</v>
      </c>
      <c r="K353" s="50">
        <v>39.9</v>
      </c>
    </row>
    <row r="354" spans="1:11" ht="15" x14ac:dyDescent="0.25">
      <c r="A354" s="269"/>
      <c r="B354" s="281"/>
      <c r="C354" s="37" t="s">
        <v>23</v>
      </c>
      <c r="D354" s="27" t="s">
        <v>123</v>
      </c>
      <c r="E354" s="154" t="s">
        <v>306</v>
      </c>
      <c r="H354" s="269"/>
      <c r="I354" s="281"/>
      <c r="J354" s="38" t="s">
        <v>24</v>
      </c>
      <c r="K354" s="50">
        <v>30.7</v>
      </c>
    </row>
    <row r="355" spans="1:11" ht="15" x14ac:dyDescent="0.25">
      <c r="A355" s="269"/>
      <c r="B355" s="281"/>
      <c r="C355" s="38" t="s">
        <v>24</v>
      </c>
      <c r="D355" s="189" t="s">
        <v>124</v>
      </c>
      <c r="E355" s="154" t="s">
        <v>306</v>
      </c>
      <c r="H355" s="269"/>
      <c r="I355" s="281"/>
      <c r="J355" s="41" t="s">
        <v>50</v>
      </c>
      <c r="K355" s="42"/>
    </row>
    <row r="356" spans="1:11" ht="15" x14ac:dyDescent="0.25">
      <c r="A356" s="269"/>
      <c r="B356" s="281"/>
      <c r="C356" s="41" t="s">
        <v>302</v>
      </c>
      <c r="D356" s="173" t="str">
        <f>C356</f>
        <v>Your school's actual value for additional measure of student academic growth was:</v>
      </c>
      <c r="E356" s="154" t="s">
        <v>306</v>
      </c>
      <c r="H356" s="269"/>
      <c r="I356" s="281"/>
      <c r="J356" s="63" t="s">
        <v>116</v>
      </c>
      <c r="K356" s="68" t="s">
        <v>218</v>
      </c>
    </row>
    <row r="357" spans="1:11" ht="15.75" thickBot="1" x14ac:dyDescent="0.3">
      <c r="A357" s="269"/>
      <c r="B357" s="281"/>
      <c r="C357" s="63" t="s">
        <v>372</v>
      </c>
      <c r="D357" s="156" t="s">
        <v>380</v>
      </c>
      <c r="E357" s="154" t="s">
        <v>306</v>
      </c>
      <c r="H357" s="270"/>
      <c r="I357" s="282"/>
      <c r="J357" s="64" t="s">
        <v>194</v>
      </c>
      <c r="K357" s="69" t="s">
        <v>218</v>
      </c>
    </row>
    <row r="358" spans="1:11" ht="15" x14ac:dyDescent="0.25">
      <c r="A358" s="269"/>
      <c r="B358" s="281"/>
      <c r="C358" s="159" t="s">
        <v>379</v>
      </c>
      <c r="D358" s="156" t="s">
        <v>394</v>
      </c>
      <c r="E358" s="154" t="s">
        <v>306</v>
      </c>
      <c r="H358" s="269"/>
      <c r="I358" s="281"/>
      <c r="J358" s="39" t="s">
        <v>128</v>
      </c>
      <c r="K358" s="40" t="s">
        <v>132</v>
      </c>
    </row>
    <row r="359" spans="1:11" ht="15.75" thickBot="1" x14ac:dyDescent="0.3">
      <c r="A359" s="270"/>
      <c r="B359" s="282"/>
      <c r="C359" s="64" t="s">
        <v>359</v>
      </c>
      <c r="D359" s="169" t="e">
        <f>SUM(D357/D358)*100</f>
        <v>#VALUE!</v>
      </c>
      <c r="E359" s="154" t="s">
        <v>306</v>
      </c>
      <c r="H359" s="269"/>
      <c r="I359" s="281"/>
      <c r="J359" s="41" t="s">
        <v>70</v>
      </c>
      <c r="K359" s="42"/>
    </row>
    <row r="360" spans="1:11" ht="15.75" thickBot="1" x14ac:dyDescent="0.3">
      <c r="A360" s="274" t="s">
        <v>314</v>
      </c>
      <c r="B360" s="296"/>
      <c r="C360" s="296"/>
      <c r="D360" s="297"/>
      <c r="E360" s="154" t="s">
        <v>306</v>
      </c>
      <c r="H360" s="269"/>
      <c r="I360" s="281"/>
      <c r="J360" s="35" t="s">
        <v>22</v>
      </c>
      <c r="K360" s="50">
        <v>90</v>
      </c>
    </row>
    <row r="361" spans="1:11" ht="19.5" thickBot="1" x14ac:dyDescent="0.35">
      <c r="A361" s="260" t="s">
        <v>93</v>
      </c>
      <c r="B361" s="261"/>
      <c r="C361" s="261"/>
      <c r="D361" s="262"/>
      <c r="E361" s="154" t="s">
        <v>306</v>
      </c>
      <c r="H361" s="269"/>
      <c r="I361" s="281"/>
      <c r="J361" s="37" t="s">
        <v>23</v>
      </c>
      <c r="K361" s="50">
        <v>60</v>
      </c>
    </row>
    <row r="362" spans="1:11" ht="15" x14ac:dyDescent="0.25">
      <c r="A362" s="298" t="s">
        <v>27</v>
      </c>
      <c r="B362" s="280" t="s">
        <v>373</v>
      </c>
      <c r="C362" s="33" t="s">
        <v>61</v>
      </c>
      <c r="D362" s="152" t="str">
        <f>C362</f>
        <v xml:space="preserve"> To receive the indicator rating, the AEC's average daily attendance rate was:</v>
      </c>
      <c r="E362" s="154" t="s">
        <v>306</v>
      </c>
      <c r="H362" s="269"/>
      <c r="I362" s="281"/>
      <c r="J362" s="38" t="s">
        <v>24</v>
      </c>
      <c r="K362" s="50">
        <v>40</v>
      </c>
    </row>
    <row r="363" spans="1:11" ht="15" x14ac:dyDescent="0.25">
      <c r="A363" s="299"/>
      <c r="B363" s="281"/>
      <c r="C363" s="35" t="s">
        <v>125</v>
      </c>
      <c r="D363" s="36" t="s">
        <v>18</v>
      </c>
      <c r="E363" s="154" t="s">
        <v>306</v>
      </c>
      <c r="H363" s="269"/>
      <c r="I363" s="281"/>
      <c r="J363" s="41" t="s">
        <v>71</v>
      </c>
      <c r="K363" s="42"/>
    </row>
    <row r="364" spans="1:11" ht="15" x14ac:dyDescent="0.25">
      <c r="A364" s="299"/>
      <c r="B364" s="281"/>
      <c r="C364" s="37" t="s">
        <v>126</v>
      </c>
      <c r="D364" s="36" t="s">
        <v>19</v>
      </c>
      <c r="E364" s="154" t="s">
        <v>306</v>
      </c>
      <c r="H364" s="269"/>
      <c r="I364" s="281"/>
      <c r="J364" s="63" t="s">
        <v>117</v>
      </c>
      <c r="K364" s="58"/>
    </row>
    <row r="365" spans="1:11" ht="15.75" thickBot="1" x14ac:dyDescent="0.3">
      <c r="A365" s="299"/>
      <c r="B365" s="281"/>
      <c r="C365" s="38" t="s">
        <v>127</v>
      </c>
      <c r="D365" s="36" t="s">
        <v>20</v>
      </c>
      <c r="E365" s="154" t="s">
        <v>306</v>
      </c>
      <c r="H365" s="270"/>
      <c r="I365" s="282"/>
      <c r="J365" s="64" t="s">
        <v>194</v>
      </c>
      <c r="K365" s="65"/>
    </row>
    <row r="366" spans="1:11" ht="15" x14ac:dyDescent="0.25">
      <c r="A366" s="299"/>
      <c r="B366" s="281"/>
      <c r="C366" s="39" t="s">
        <v>128</v>
      </c>
      <c r="D366" s="40" t="s">
        <v>21</v>
      </c>
      <c r="E366" s="154" t="s">
        <v>306</v>
      </c>
      <c r="H366" s="268" t="s">
        <v>26</v>
      </c>
      <c r="I366" s="280" t="s">
        <v>56</v>
      </c>
      <c r="J366" s="33" t="s">
        <v>72</v>
      </c>
      <c r="K366" s="34"/>
    </row>
    <row r="367" spans="1:11" ht="15" x14ac:dyDescent="0.25">
      <c r="A367" s="299"/>
      <c r="B367" s="281"/>
      <c r="C367" s="41" t="s">
        <v>62</v>
      </c>
      <c r="D367" s="173" t="str">
        <f>C367</f>
        <v>Cut-point values for average daily attendance rate were:</v>
      </c>
      <c r="E367" s="154" t="s">
        <v>306</v>
      </c>
      <c r="H367" s="269"/>
      <c r="I367" s="281"/>
      <c r="J367" s="35" t="s">
        <v>125</v>
      </c>
      <c r="K367" s="36" t="s">
        <v>129</v>
      </c>
    </row>
    <row r="368" spans="1:11" ht="15" customHeight="1" x14ac:dyDescent="0.25">
      <c r="A368" s="299"/>
      <c r="B368" s="281"/>
      <c r="C368" s="35" t="s">
        <v>22</v>
      </c>
      <c r="D368" s="43">
        <v>92.5</v>
      </c>
      <c r="E368" s="154" t="s">
        <v>306</v>
      </c>
      <c r="H368" s="269"/>
      <c r="I368" s="281"/>
      <c r="J368" s="37" t="s">
        <v>126</v>
      </c>
      <c r="K368" s="36" t="s">
        <v>130</v>
      </c>
    </row>
    <row r="369" spans="1:11" ht="15" customHeight="1" x14ac:dyDescent="0.25">
      <c r="A369" s="299"/>
      <c r="B369" s="281"/>
      <c r="C369" s="37" t="s">
        <v>23</v>
      </c>
      <c r="D369" s="43">
        <v>86.2</v>
      </c>
      <c r="E369" s="154" t="s">
        <v>306</v>
      </c>
      <c r="H369" s="269"/>
      <c r="I369" s="281"/>
      <c r="J369" s="38" t="s">
        <v>127</v>
      </c>
      <c r="K369" s="36" t="s">
        <v>131</v>
      </c>
    </row>
    <row r="370" spans="1:11" ht="15" customHeight="1" x14ac:dyDescent="0.25">
      <c r="A370" s="299"/>
      <c r="B370" s="281"/>
      <c r="C370" s="38" t="s">
        <v>24</v>
      </c>
      <c r="D370" s="180">
        <v>81.3</v>
      </c>
      <c r="E370" s="154" t="s">
        <v>306</v>
      </c>
      <c r="H370" s="269"/>
      <c r="I370" s="281"/>
      <c r="J370" s="39" t="s">
        <v>128</v>
      </c>
      <c r="K370" s="40" t="s">
        <v>132</v>
      </c>
    </row>
    <row r="371" spans="1:11" ht="15" x14ac:dyDescent="0.25">
      <c r="A371" s="299"/>
      <c r="B371" s="281"/>
      <c r="C371" s="41" t="s">
        <v>63</v>
      </c>
      <c r="D371" s="173" t="str">
        <f>C371</f>
        <v>Your school's actual average daily attendance rate rate was:</v>
      </c>
      <c r="E371" s="154" t="s">
        <v>306</v>
      </c>
      <c r="H371" s="269"/>
      <c r="I371" s="281"/>
      <c r="J371" s="41" t="s">
        <v>73</v>
      </c>
      <c r="K371" s="42"/>
    </row>
    <row r="372" spans="1:11" ht="15" x14ac:dyDescent="0.25">
      <c r="A372" s="299"/>
      <c r="B372" s="281"/>
      <c r="C372" s="63" t="s">
        <v>64</v>
      </c>
      <c r="D372" s="45" t="s">
        <v>395</v>
      </c>
      <c r="E372" s="154" t="s">
        <v>306</v>
      </c>
      <c r="H372" s="269"/>
      <c r="I372" s="281"/>
      <c r="J372" s="70"/>
      <c r="K372" s="71"/>
    </row>
    <row r="373" spans="1:11" ht="15.75" thickBot="1" x14ac:dyDescent="0.3">
      <c r="A373" s="300"/>
      <c r="B373" s="282"/>
      <c r="C373" s="64" t="s">
        <v>194</v>
      </c>
      <c r="D373" s="45" t="s">
        <v>395</v>
      </c>
      <c r="E373" s="154" t="s">
        <v>306</v>
      </c>
      <c r="H373" s="269"/>
      <c r="I373" s="281"/>
      <c r="J373" s="35" t="s">
        <v>22</v>
      </c>
      <c r="K373" s="50">
        <v>90</v>
      </c>
    </row>
    <row r="374" spans="1:11" ht="15" x14ac:dyDescent="0.25">
      <c r="A374" s="298" t="s">
        <v>27</v>
      </c>
      <c r="B374" s="280" t="s">
        <v>347</v>
      </c>
      <c r="C374" s="33" t="s">
        <v>86</v>
      </c>
      <c r="D374" s="152" t="str">
        <f>C374</f>
        <v xml:space="preserve"> To receive the indicator rating, the AEC's truancy rate was:</v>
      </c>
      <c r="E374" s="154" t="s">
        <v>306</v>
      </c>
      <c r="H374" s="269"/>
      <c r="I374" s="281"/>
      <c r="J374" s="37" t="s">
        <v>23</v>
      </c>
      <c r="K374" s="50">
        <v>60</v>
      </c>
    </row>
    <row r="375" spans="1:11" ht="15" customHeight="1" x14ac:dyDescent="0.25">
      <c r="A375" s="299"/>
      <c r="B375" s="281"/>
      <c r="C375" s="35" t="s">
        <v>125</v>
      </c>
      <c r="D375" s="36" t="s">
        <v>18</v>
      </c>
      <c r="E375" s="154" t="s">
        <v>306</v>
      </c>
      <c r="H375" s="269"/>
      <c r="I375" s="281"/>
      <c r="J375" s="38" t="s">
        <v>24</v>
      </c>
      <c r="K375" s="50">
        <v>40</v>
      </c>
    </row>
    <row r="376" spans="1:11" ht="15" x14ac:dyDescent="0.25">
      <c r="A376" s="299"/>
      <c r="B376" s="281"/>
      <c r="C376" s="37" t="s">
        <v>126</v>
      </c>
      <c r="D376" s="36" t="s">
        <v>19</v>
      </c>
      <c r="E376" s="154" t="s">
        <v>306</v>
      </c>
      <c r="H376" s="269"/>
      <c r="I376" s="281"/>
      <c r="J376" s="41" t="s">
        <v>74</v>
      </c>
      <c r="K376" s="42"/>
    </row>
    <row r="377" spans="1:11" ht="15" x14ac:dyDescent="0.25">
      <c r="A377" s="299"/>
      <c r="B377" s="281"/>
      <c r="C377" s="38" t="s">
        <v>127</v>
      </c>
      <c r="D377" s="36" t="s">
        <v>20</v>
      </c>
      <c r="E377" s="154" t="s">
        <v>306</v>
      </c>
      <c r="H377" s="269"/>
      <c r="I377" s="281"/>
      <c r="J377" s="63" t="s">
        <v>60</v>
      </c>
      <c r="K377" s="58"/>
    </row>
    <row r="378" spans="1:11" ht="15.75" thickBot="1" x14ac:dyDescent="0.3">
      <c r="A378" s="299"/>
      <c r="B378" s="281"/>
      <c r="C378" s="39" t="s">
        <v>128</v>
      </c>
      <c r="D378" s="40" t="s">
        <v>21</v>
      </c>
      <c r="E378" s="154" t="s">
        <v>306</v>
      </c>
      <c r="H378" s="270"/>
      <c r="I378" s="282"/>
      <c r="J378" s="64" t="s">
        <v>194</v>
      </c>
      <c r="K378" s="65"/>
    </row>
    <row r="379" spans="1:11" ht="15" x14ac:dyDescent="0.25">
      <c r="A379" s="299"/>
      <c r="B379" s="281"/>
      <c r="C379" s="41" t="s">
        <v>87</v>
      </c>
      <c r="D379" s="173" t="str">
        <f>C379</f>
        <v>Cut-point values for truancy rate were:</v>
      </c>
      <c r="E379" s="154" t="s">
        <v>306</v>
      </c>
    </row>
    <row r="380" spans="1:11" ht="15" x14ac:dyDescent="0.25">
      <c r="A380" s="299"/>
      <c r="B380" s="281"/>
      <c r="C380" s="35" t="s">
        <v>22</v>
      </c>
      <c r="D380" s="43">
        <v>0.8</v>
      </c>
      <c r="E380" s="154" t="s">
        <v>306</v>
      </c>
    </row>
    <row r="381" spans="1:11" ht="15" customHeight="1" x14ac:dyDescent="0.25">
      <c r="A381" s="299"/>
      <c r="B381" s="281"/>
      <c r="C381" s="37" t="s">
        <v>23</v>
      </c>
      <c r="D381" s="43">
        <v>7.7</v>
      </c>
      <c r="E381" s="154" t="s">
        <v>306</v>
      </c>
    </row>
    <row r="382" spans="1:11" ht="15" customHeight="1" x14ac:dyDescent="0.25">
      <c r="A382" s="299"/>
      <c r="B382" s="281"/>
      <c r="C382" s="38" t="s">
        <v>24</v>
      </c>
      <c r="D382" s="180">
        <v>12.1</v>
      </c>
      <c r="E382" s="154" t="s">
        <v>306</v>
      </c>
    </row>
    <row r="383" spans="1:11" ht="15" customHeight="1" x14ac:dyDescent="0.25">
      <c r="A383" s="299"/>
      <c r="B383" s="281"/>
      <c r="C383" s="41" t="s">
        <v>88</v>
      </c>
      <c r="D383" s="173" t="str">
        <f>C383</f>
        <v>Your school's actual truancy rate rate was:</v>
      </c>
      <c r="E383" s="154" t="s">
        <v>306</v>
      </c>
    </row>
    <row r="384" spans="1:11" ht="15" x14ac:dyDescent="0.25">
      <c r="A384" s="299"/>
      <c r="B384" s="281"/>
      <c r="C384" s="63" t="s">
        <v>89</v>
      </c>
      <c r="D384" s="45" t="s">
        <v>395</v>
      </c>
      <c r="E384" s="154" t="s">
        <v>306</v>
      </c>
    </row>
    <row r="385" spans="1:5" ht="15.75" thickBot="1" x14ac:dyDescent="0.3">
      <c r="A385" s="300"/>
      <c r="B385" s="282"/>
      <c r="C385" s="64" t="s">
        <v>194</v>
      </c>
      <c r="D385" s="45" t="s">
        <v>395</v>
      </c>
      <c r="E385" s="154" t="s">
        <v>306</v>
      </c>
    </row>
    <row r="386" spans="1:5" ht="15" customHeight="1" x14ac:dyDescent="0.25">
      <c r="A386" s="277" t="s">
        <v>26</v>
      </c>
      <c r="B386" s="280" t="s">
        <v>320</v>
      </c>
      <c r="C386" s="183" t="s">
        <v>96</v>
      </c>
      <c r="D386" s="197" t="s">
        <v>305</v>
      </c>
      <c r="E386" s="154" t="s">
        <v>306</v>
      </c>
    </row>
    <row r="387" spans="1:5" ht="15" x14ac:dyDescent="0.25">
      <c r="A387" s="294"/>
      <c r="B387" s="294"/>
      <c r="C387" s="157" t="str">
        <f>VLOOKUP(D386,$N$404:$Y$408,10,FALSE)</f>
        <v xml:space="preserve"> </v>
      </c>
      <c r="D387" s="173" t="str">
        <f>C387</f>
        <v xml:space="preserve"> </v>
      </c>
      <c r="E387" s="154" t="s">
        <v>306</v>
      </c>
    </row>
    <row r="388" spans="1:5" ht="15" x14ac:dyDescent="0.25">
      <c r="A388" s="294"/>
      <c r="B388" s="294"/>
      <c r="C388" s="35" t="s">
        <v>125</v>
      </c>
      <c r="D388" s="101" t="str">
        <f>VLOOKUP(D386,$N$404:$Y$408,3,FALSE)</f>
        <v xml:space="preserve"> </v>
      </c>
      <c r="E388" s="154" t="s">
        <v>306</v>
      </c>
    </row>
    <row r="389" spans="1:5" ht="15" customHeight="1" x14ac:dyDescent="0.25">
      <c r="A389" s="294"/>
      <c r="B389" s="294"/>
      <c r="C389" s="37" t="s">
        <v>126</v>
      </c>
      <c r="D389" s="101" t="str">
        <f>VLOOKUP(D386,$N$404:$Y$408,4,FALSE)</f>
        <v xml:space="preserve"> </v>
      </c>
      <c r="E389" s="154" t="s">
        <v>306</v>
      </c>
    </row>
    <row r="390" spans="1:5" ht="15" x14ac:dyDescent="0.25">
      <c r="A390" s="294"/>
      <c r="B390" s="294"/>
      <c r="C390" s="38" t="s">
        <v>127</v>
      </c>
      <c r="D390" s="101" t="str">
        <f>VLOOKUP(D386,$N$404:$Y$408,5,FALSE)</f>
        <v xml:space="preserve"> </v>
      </c>
      <c r="E390" s="154" t="s">
        <v>306</v>
      </c>
    </row>
    <row r="391" spans="1:5" ht="15" x14ac:dyDescent="0.25">
      <c r="A391" s="294"/>
      <c r="B391" s="294"/>
      <c r="C391" s="39" t="s">
        <v>128</v>
      </c>
      <c r="D391" s="102" t="str">
        <f>VLOOKUP(D386,$N$404:$Y$408,6,FALSE)</f>
        <v xml:space="preserve"> </v>
      </c>
      <c r="E391" s="154" t="s">
        <v>306</v>
      </c>
    </row>
    <row r="392" spans="1:5" ht="15" x14ac:dyDescent="0.25">
      <c r="A392" s="294"/>
      <c r="B392" s="294"/>
      <c r="C392" s="41" t="str">
        <f>VLOOKUP(D386,$N$404:$Y$408,11,FALSE)</f>
        <v xml:space="preserve"> </v>
      </c>
      <c r="D392" s="153" t="str">
        <f>C392</f>
        <v xml:space="preserve"> </v>
      </c>
      <c r="E392" s="154" t="s">
        <v>306</v>
      </c>
    </row>
    <row r="393" spans="1:5" ht="15" x14ac:dyDescent="0.25">
      <c r="A393" s="294"/>
      <c r="B393" s="294"/>
      <c r="C393" s="35" t="s">
        <v>22</v>
      </c>
      <c r="D393" s="103" t="str">
        <f>VLOOKUP(D386,$N$404:$Y$408,7,FALSE)</f>
        <v xml:space="preserve"> </v>
      </c>
      <c r="E393" s="154" t="s">
        <v>306</v>
      </c>
    </row>
    <row r="394" spans="1:5" ht="15" x14ac:dyDescent="0.25">
      <c r="A394" s="294"/>
      <c r="B394" s="294"/>
      <c r="C394" s="37" t="s">
        <v>23</v>
      </c>
      <c r="D394" s="103" t="str">
        <f>VLOOKUP(D386,$N$404:$Y$408,8,FALSE)</f>
        <v xml:space="preserve"> </v>
      </c>
      <c r="E394" s="154" t="s">
        <v>306</v>
      </c>
    </row>
    <row r="395" spans="1:5" ht="15" customHeight="1" x14ac:dyDescent="0.25">
      <c r="A395" s="294"/>
      <c r="B395" s="294"/>
      <c r="C395" s="38" t="s">
        <v>24</v>
      </c>
      <c r="D395" s="103" t="str">
        <f>VLOOKUP(D386,$N$404:$Y$408,9,FALSE)</f>
        <v xml:space="preserve"> </v>
      </c>
      <c r="E395" s="154" t="s">
        <v>306</v>
      </c>
    </row>
    <row r="396" spans="1:5" ht="15" customHeight="1" x14ac:dyDescent="0.25">
      <c r="A396" s="294"/>
      <c r="B396" s="294"/>
      <c r="C396" s="41" t="str">
        <f>VLOOKUP(D386,$N$404:$Y$408,12,FALSE)</f>
        <v xml:space="preserve"> </v>
      </c>
      <c r="D396" s="153" t="str">
        <f>C396</f>
        <v xml:space="preserve"> </v>
      </c>
      <c r="E396" s="154" t="s">
        <v>306</v>
      </c>
    </row>
    <row r="397" spans="1:5" ht="15" customHeight="1" x14ac:dyDescent="0.25">
      <c r="A397" s="294"/>
      <c r="B397" s="294"/>
      <c r="C397" s="63" t="str">
        <f>VLOOKUP(D386,$N$404:$AA$408,13,FALSE)</f>
        <v xml:space="preserve"> </v>
      </c>
      <c r="D397" s="156" t="s">
        <v>380</v>
      </c>
      <c r="E397" s="154" t="s">
        <v>306</v>
      </c>
    </row>
    <row r="398" spans="1:5" ht="15" x14ac:dyDescent="0.25">
      <c r="A398" s="294"/>
      <c r="B398" s="294"/>
      <c r="C398" s="159" t="s">
        <v>378</v>
      </c>
      <c r="D398" s="156" t="s">
        <v>394</v>
      </c>
      <c r="E398" s="154" t="s">
        <v>306</v>
      </c>
    </row>
    <row r="399" spans="1:5" ht="15.75" thickBot="1" x14ac:dyDescent="0.3">
      <c r="A399" s="295"/>
      <c r="B399" s="295"/>
      <c r="C399" s="64" t="str">
        <f>VLOOKUP(D386,$N$404:$AA$408,2,FALSE)</f>
        <v xml:space="preserve"> </v>
      </c>
      <c r="D399" s="169" t="e">
        <f>SUM(D397/D398)*100</f>
        <v>#VALUE!</v>
      </c>
      <c r="E399" s="154" t="s">
        <v>306</v>
      </c>
    </row>
    <row r="400" spans="1:5" ht="15" customHeight="1" x14ac:dyDescent="0.25">
      <c r="A400" s="277" t="s">
        <v>26</v>
      </c>
      <c r="B400" s="280" t="s">
        <v>321</v>
      </c>
      <c r="C400" s="183" t="s">
        <v>96</v>
      </c>
      <c r="D400" s="28" t="s">
        <v>305</v>
      </c>
      <c r="E400" s="154" t="s">
        <v>306</v>
      </c>
    </row>
    <row r="401" spans="1:26" ht="15" customHeight="1" x14ac:dyDescent="0.25">
      <c r="A401" s="294"/>
      <c r="B401" s="294"/>
      <c r="C401" s="157" t="str">
        <f>VLOOKUP(D400,$N$404:$Y$408,10,FALSE)</f>
        <v xml:space="preserve"> </v>
      </c>
      <c r="D401" s="153" t="str">
        <f>C401</f>
        <v xml:space="preserve"> </v>
      </c>
      <c r="E401" s="154" t="s">
        <v>306</v>
      </c>
    </row>
    <row r="402" spans="1:26" ht="15" customHeight="1" x14ac:dyDescent="0.25">
      <c r="A402" s="294"/>
      <c r="B402" s="294"/>
      <c r="C402" s="35" t="s">
        <v>125</v>
      </c>
      <c r="D402" s="101" t="str">
        <f>VLOOKUP(D400,$N$404:$Y$408,3,FALSE)</f>
        <v xml:space="preserve"> </v>
      </c>
      <c r="E402" s="154" t="s">
        <v>306</v>
      </c>
    </row>
    <row r="403" spans="1:26" ht="15" customHeight="1" thickBot="1" x14ac:dyDescent="0.3">
      <c r="A403" s="294"/>
      <c r="B403" s="294"/>
      <c r="C403" s="37" t="s">
        <v>126</v>
      </c>
      <c r="D403" s="101" t="str">
        <f>VLOOKUP(D400,$N$404:$Y$408,4,FALSE)</f>
        <v xml:space="preserve"> </v>
      </c>
      <c r="E403" s="154" t="s">
        <v>306</v>
      </c>
    </row>
    <row r="404" spans="1:26" ht="15" customHeight="1" x14ac:dyDescent="0.25">
      <c r="A404" s="294"/>
      <c r="B404" s="294"/>
      <c r="C404" s="38" t="s">
        <v>127</v>
      </c>
      <c r="D404" s="101" t="str">
        <f>VLOOKUP(D400,$N$404:$Y$408,5,FALSE)</f>
        <v xml:space="preserve"> </v>
      </c>
      <c r="E404" s="154" t="s">
        <v>306</v>
      </c>
      <c r="H404" s="268" t="s">
        <v>26</v>
      </c>
      <c r="I404" s="280" t="s">
        <v>103</v>
      </c>
      <c r="J404" s="33" t="s">
        <v>104</v>
      </c>
      <c r="K404" s="34"/>
      <c r="O404" s="47" t="s">
        <v>171</v>
      </c>
      <c r="P404" s="35" t="s">
        <v>125</v>
      </c>
      <c r="Q404" s="37" t="s">
        <v>126</v>
      </c>
      <c r="R404" s="38" t="s">
        <v>127</v>
      </c>
      <c r="S404" s="39" t="s">
        <v>128</v>
      </c>
      <c r="T404" s="35" t="s">
        <v>22</v>
      </c>
      <c r="U404" s="37" t="s">
        <v>23</v>
      </c>
      <c r="V404" s="38" t="s">
        <v>24</v>
      </c>
      <c r="W404" s="47" t="s">
        <v>298</v>
      </c>
      <c r="X404" s="47" t="s">
        <v>299</v>
      </c>
      <c r="Y404" s="47" t="s">
        <v>300</v>
      </c>
    </row>
    <row r="405" spans="1:26" ht="15" customHeight="1" thickBot="1" x14ac:dyDescent="0.3">
      <c r="A405" s="294"/>
      <c r="B405" s="294"/>
      <c r="C405" s="39" t="s">
        <v>128</v>
      </c>
      <c r="D405" s="102" t="str">
        <f>VLOOKUP(D400,$N$404:$Y$408,6,FALSE)</f>
        <v xml:space="preserve"> </v>
      </c>
      <c r="E405" s="154" t="s">
        <v>306</v>
      </c>
      <c r="H405" s="269"/>
      <c r="I405" s="281"/>
      <c r="J405" s="35" t="s">
        <v>125</v>
      </c>
      <c r="K405" s="36" t="s">
        <v>129</v>
      </c>
      <c r="N405" s="47" t="s">
        <v>305</v>
      </c>
      <c r="O405" s="47" t="s">
        <v>306</v>
      </c>
      <c r="P405" s="47" t="s">
        <v>306</v>
      </c>
      <c r="Q405" s="47" t="s">
        <v>306</v>
      </c>
      <c r="R405" s="47" t="s">
        <v>306</v>
      </c>
      <c r="S405" s="47" t="s">
        <v>306</v>
      </c>
      <c r="T405" s="47" t="s">
        <v>306</v>
      </c>
      <c r="U405" s="47" t="s">
        <v>306</v>
      </c>
      <c r="V405" s="47" t="s">
        <v>306</v>
      </c>
      <c r="W405" s="47" t="s">
        <v>306</v>
      </c>
      <c r="X405" s="47" t="s">
        <v>306</v>
      </c>
      <c r="Y405" s="47" t="s">
        <v>306</v>
      </c>
      <c r="Z405" s="47" t="s">
        <v>306</v>
      </c>
    </row>
    <row r="406" spans="1:26" ht="15" customHeight="1" thickBot="1" x14ac:dyDescent="0.3">
      <c r="A406" s="294"/>
      <c r="B406" s="294"/>
      <c r="C406" s="41" t="str">
        <f>VLOOKUP(D400,$N$404:$Y$408,11,FALSE)</f>
        <v xml:space="preserve"> </v>
      </c>
      <c r="D406" s="153" t="str">
        <f>C406</f>
        <v xml:space="preserve"> </v>
      </c>
      <c r="E406" s="154" t="s">
        <v>306</v>
      </c>
      <c r="H406" s="269"/>
      <c r="I406" s="281"/>
      <c r="J406" s="37" t="s">
        <v>126</v>
      </c>
      <c r="K406" s="36" t="s">
        <v>130</v>
      </c>
      <c r="N406" s="47" t="s">
        <v>103</v>
      </c>
      <c r="O406" s="63" t="s">
        <v>107</v>
      </c>
      <c r="P406" s="36" t="s">
        <v>129</v>
      </c>
      <c r="Q406" s="36" t="s">
        <v>130</v>
      </c>
      <c r="R406" s="36" t="s">
        <v>131</v>
      </c>
      <c r="S406" s="40" t="s">
        <v>132</v>
      </c>
      <c r="T406" s="50">
        <v>90</v>
      </c>
      <c r="U406" s="50">
        <v>60</v>
      </c>
      <c r="V406" s="50">
        <v>40</v>
      </c>
      <c r="W406" s="33" t="s">
        <v>104</v>
      </c>
      <c r="X406" s="41" t="s">
        <v>105</v>
      </c>
      <c r="Y406" s="41" t="s">
        <v>106</v>
      </c>
      <c r="Z406" s="70" t="s">
        <v>377</v>
      </c>
    </row>
    <row r="407" spans="1:26" ht="15" customHeight="1" thickBot="1" x14ac:dyDescent="0.3">
      <c r="A407" s="294"/>
      <c r="B407" s="294"/>
      <c r="C407" s="35" t="s">
        <v>22</v>
      </c>
      <c r="D407" s="103" t="str">
        <f>VLOOKUP(D400,$N$404:$Y$408,7,FALSE)</f>
        <v xml:space="preserve"> </v>
      </c>
      <c r="E407" s="154" t="s">
        <v>306</v>
      </c>
      <c r="H407" s="269"/>
      <c r="I407" s="281"/>
      <c r="J407" s="38" t="s">
        <v>127</v>
      </c>
      <c r="K407" s="36" t="s">
        <v>131</v>
      </c>
      <c r="N407" s="47" t="s">
        <v>108</v>
      </c>
      <c r="O407" s="63" t="s">
        <v>109</v>
      </c>
      <c r="P407" s="36" t="s">
        <v>129</v>
      </c>
      <c r="Q407" s="36" t="s">
        <v>130</v>
      </c>
      <c r="R407" s="36" t="s">
        <v>131</v>
      </c>
      <c r="S407" s="40" t="s">
        <v>132</v>
      </c>
      <c r="T407" s="50">
        <v>90</v>
      </c>
      <c r="U407" s="50">
        <v>60</v>
      </c>
      <c r="V407" s="50">
        <v>40</v>
      </c>
      <c r="W407" s="33" t="s">
        <v>102</v>
      </c>
      <c r="X407" s="41" t="s">
        <v>100</v>
      </c>
      <c r="Y407" s="41" t="s">
        <v>101</v>
      </c>
      <c r="Z407" s="70" t="s">
        <v>375</v>
      </c>
    </row>
    <row r="408" spans="1:26" ht="15" customHeight="1" x14ac:dyDescent="0.25">
      <c r="A408" s="294"/>
      <c r="B408" s="294"/>
      <c r="C408" s="37" t="s">
        <v>23</v>
      </c>
      <c r="D408" s="103" t="str">
        <f>VLOOKUP(D400,$N$404:$Y$408,8,FALSE)</f>
        <v xml:space="preserve"> </v>
      </c>
      <c r="E408" s="154" t="s">
        <v>306</v>
      </c>
      <c r="H408" s="269"/>
      <c r="I408" s="281"/>
      <c r="J408" s="39" t="s">
        <v>128</v>
      </c>
      <c r="K408" s="40" t="s">
        <v>132</v>
      </c>
      <c r="N408" s="47" t="s">
        <v>312</v>
      </c>
      <c r="O408" s="63" t="s">
        <v>113</v>
      </c>
      <c r="P408" s="36" t="s">
        <v>129</v>
      </c>
      <c r="Q408" s="36" t="s">
        <v>130</v>
      </c>
      <c r="R408" s="36" t="s">
        <v>131</v>
      </c>
      <c r="S408" s="40" t="s">
        <v>132</v>
      </c>
      <c r="T408" s="50">
        <v>90</v>
      </c>
      <c r="U408" s="50">
        <v>60</v>
      </c>
      <c r="V408" s="50">
        <v>40</v>
      </c>
      <c r="W408" s="33" t="s">
        <v>110</v>
      </c>
      <c r="X408" s="41" t="s">
        <v>111</v>
      </c>
      <c r="Y408" s="41" t="s">
        <v>112</v>
      </c>
      <c r="Z408" s="70" t="s">
        <v>376</v>
      </c>
    </row>
    <row r="409" spans="1:26" ht="15" customHeight="1" x14ac:dyDescent="0.25">
      <c r="A409" s="294"/>
      <c r="B409" s="294"/>
      <c r="C409" s="38" t="s">
        <v>24</v>
      </c>
      <c r="D409" s="103" t="str">
        <f>VLOOKUP(D400,$N$404:$Y$408,9,FALSE)</f>
        <v xml:space="preserve"> </v>
      </c>
      <c r="E409" s="154" t="s">
        <v>306</v>
      </c>
      <c r="H409" s="269"/>
      <c r="I409" s="281"/>
      <c r="J409" s="41" t="s">
        <v>105</v>
      </c>
      <c r="K409" s="42"/>
    </row>
    <row r="410" spans="1:26" ht="15" customHeight="1" x14ac:dyDescent="0.25">
      <c r="A410" s="294"/>
      <c r="B410" s="294"/>
      <c r="C410" s="41" t="str">
        <f>VLOOKUP(D400,$N$404:$Y$408,12,FALSE)</f>
        <v xml:space="preserve"> </v>
      </c>
      <c r="D410" s="153" t="str">
        <f>C410</f>
        <v xml:space="preserve"> </v>
      </c>
      <c r="E410" s="154" t="s">
        <v>306</v>
      </c>
      <c r="H410" s="269"/>
      <c r="I410" s="281"/>
      <c r="J410" s="35" t="s">
        <v>22</v>
      </c>
      <c r="K410" s="50">
        <v>90</v>
      </c>
    </row>
    <row r="411" spans="1:26" ht="15" customHeight="1" x14ac:dyDescent="0.25">
      <c r="A411" s="294"/>
      <c r="B411" s="294"/>
      <c r="C411" s="63" t="str">
        <f>VLOOKUP(D400,$N$404:$AA$408,13,FALSE)</f>
        <v xml:space="preserve"> </v>
      </c>
      <c r="D411" s="156" t="s">
        <v>380</v>
      </c>
      <c r="E411" s="154" t="s">
        <v>306</v>
      </c>
      <c r="H411" s="269"/>
      <c r="I411" s="281"/>
      <c r="J411" s="37" t="s">
        <v>23</v>
      </c>
      <c r="K411" s="50">
        <v>60</v>
      </c>
    </row>
    <row r="412" spans="1:26" ht="15" customHeight="1" x14ac:dyDescent="0.25">
      <c r="A412" s="294"/>
      <c r="B412" s="294"/>
      <c r="C412" s="159" t="s">
        <v>378</v>
      </c>
      <c r="D412" s="156" t="s">
        <v>394</v>
      </c>
      <c r="E412" s="154" t="s">
        <v>306</v>
      </c>
      <c r="H412" s="269"/>
      <c r="I412" s="281"/>
      <c r="J412" s="38" t="s">
        <v>24</v>
      </c>
      <c r="K412" s="50">
        <v>40</v>
      </c>
    </row>
    <row r="413" spans="1:26" ht="15" customHeight="1" thickBot="1" x14ac:dyDescent="0.3">
      <c r="A413" s="295"/>
      <c r="B413" s="295"/>
      <c r="C413" s="64" t="str">
        <f>VLOOKUP(D400,$N$404:$AA$408,2,FALSE)</f>
        <v xml:space="preserve"> </v>
      </c>
      <c r="D413" s="169" t="e">
        <f>SUM(D411/D412)*100</f>
        <v>#VALUE!</v>
      </c>
      <c r="E413" s="154" t="s">
        <v>306</v>
      </c>
      <c r="H413" s="269"/>
      <c r="I413" s="281"/>
      <c r="J413" s="41" t="s">
        <v>106</v>
      </c>
      <c r="K413" s="42"/>
    </row>
    <row r="414" spans="1:26" ht="15" customHeight="1" x14ac:dyDescent="0.25">
      <c r="A414" s="277" t="s">
        <v>26</v>
      </c>
      <c r="B414" s="280" t="s">
        <v>322</v>
      </c>
      <c r="C414" s="183" t="s">
        <v>96</v>
      </c>
      <c r="D414" s="28" t="s">
        <v>305</v>
      </c>
      <c r="E414" s="154" t="s">
        <v>306</v>
      </c>
      <c r="H414" s="269"/>
      <c r="I414" s="281"/>
      <c r="J414" s="63" t="s">
        <v>107</v>
      </c>
      <c r="K414" s="58"/>
    </row>
    <row r="415" spans="1:26" ht="15" customHeight="1" thickBot="1" x14ac:dyDescent="0.3">
      <c r="A415" s="294"/>
      <c r="B415" s="294"/>
      <c r="C415" s="157" t="str">
        <f>VLOOKUP(D414,$N$404:$Y$408,10,FALSE)</f>
        <v xml:space="preserve"> </v>
      </c>
      <c r="D415" s="153" t="str">
        <f>C415</f>
        <v xml:space="preserve"> </v>
      </c>
      <c r="E415" s="154" t="s">
        <v>306</v>
      </c>
      <c r="H415" s="270"/>
      <c r="I415" s="282"/>
      <c r="J415" s="64" t="s">
        <v>194</v>
      </c>
      <c r="K415" s="65"/>
    </row>
    <row r="416" spans="1:26" ht="15.75" thickBot="1" x14ac:dyDescent="0.3">
      <c r="A416" s="294"/>
      <c r="B416" s="294"/>
      <c r="C416" s="35" t="s">
        <v>125</v>
      </c>
      <c r="D416" s="101" t="str">
        <f>VLOOKUP(D414,$N$404:$Y$408,3,FALSE)</f>
        <v xml:space="preserve"> </v>
      </c>
      <c r="E416" s="154" t="s">
        <v>306</v>
      </c>
      <c r="H416" s="165"/>
      <c r="I416" s="164"/>
      <c r="J416" s="56" t="s">
        <v>178</v>
      </c>
      <c r="K416" s="57" t="e">
        <f>IF(#REF!="YES","YES","NO")</f>
        <v>#REF!</v>
      </c>
    </row>
    <row r="417" spans="1:11" ht="15" x14ac:dyDescent="0.25">
      <c r="A417" s="294"/>
      <c r="B417" s="294"/>
      <c r="C417" s="37" t="s">
        <v>126</v>
      </c>
      <c r="D417" s="101" t="str">
        <f>VLOOKUP(D414,$N$404:$Y$408,4,FALSE)</f>
        <v xml:space="preserve"> </v>
      </c>
      <c r="E417" s="154" t="s">
        <v>306</v>
      </c>
      <c r="H417" s="268" t="s">
        <v>26</v>
      </c>
      <c r="I417" s="280" t="s">
        <v>108</v>
      </c>
      <c r="J417" s="33" t="s">
        <v>102</v>
      </c>
      <c r="K417" s="34"/>
    </row>
    <row r="418" spans="1:11" ht="15" customHeight="1" x14ac:dyDescent="0.25">
      <c r="A418" s="294"/>
      <c r="B418" s="294"/>
      <c r="C418" s="38" t="s">
        <v>127</v>
      </c>
      <c r="D418" s="101" t="str">
        <f>VLOOKUP(D414,$N$404:$Y$408,5,FALSE)</f>
        <v xml:space="preserve"> </v>
      </c>
      <c r="E418" s="154" t="s">
        <v>306</v>
      </c>
      <c r="H418" s="269"/>
      <c r="I418" s="281"/>
      <c r="J418" s="35" t="s">
        <v>125</v>
      </c>
      <c r="K418" s="36" t="s">
        <v>129</v>
      </c>
    </row>
    <row r="419" spans="1:11" ht="15" customHeight="1" x14ac:dyDescent="0.25">
      <c r="A419" s="294"/>
      <c r="B419" s="294"/>
      <c r="C419" s="39" t="s">
        <v>128</v>
      </c>
      <c r="D419" s="102" t="str">
        <f>VLOOKUP(D414,$N$404:$Y$408,6,FALSE)</f>
        <v xml:space="preserve"> </v>
      </c>
      <c r="E419" s="154" t="s">
        <v>306</v>
      </c>
      <c r="H419" s="269"/>
      <c r="I419" s="281"/>
      <c r="J419" s="37" t="s">
        <v>126</v>
      </c>
      <c r="K419" s="36" t="s">
        <v>130</v>
      </c>
    </row>
    <row r="420" spans="1:11" ht="15" x14ac:dyDescent="0.25">
      <c r="A420" s="294"/>
      <c r="B420" s="294"/>
      <c r="C420" s="41" t="str">
        <f>VLOOKUP(D414,$N$404:$Y$408,11,FALSE)</f>
        <v xml:space="preserve"> </v>
      </c>
      <c r="D420" s="153" t="str">
        <f>C420</f>
        <v xml:space="preserve"> </v>
      </c>
      <c r="E420" s="154" t="s">
        <v>306</v>
      </c>
      <c r="H420" s="269"/>
      <c r="I420" s="281"/>
      <c r="J420" s="38" t="s">
        <v>127</v>
      </c>
      <c r="K420" s="36" t="s">
        <v>131</v>
      </c>
    </row>
    <row r="421" spans="1:11" ht="15" x14ac:dyDescent="0.25">
      <c r="A421" s="294"/>
      <c r="B421" s="294"/>
      <c r="C421" s="35" t="s">
        <v>22</v>
      </c>
      <c r="D421" s="103" t="str">
        <f>VLOOKUP(D414,$N$404:$Y$408,7,FALSE)</f>
        <v xml:space="preserve"> </v>
      </c>
      <c r="E421" s="154" t="s">
        <v>306</v>
      </c>
      <c r="H421" s="269"/>
      <c r="I421" s="281"/>
      <c r="J421" s="39" t="s">
        <v>128</v>
      </c>
      <c r="K421" s="40" t="s">
        <v>132</v>
      </c>
    </row>
    <row r="422" spans="1:11" ht="15" x14ac:dyDescent="0.25">
      <c r="A422" s="294"/>
      <c r="B422" s="294"/>
      <c r="C422" s="37" t="s">
        <v>23</v>
      </c>
      <c r="D422" s="103" t="str">
        <f>VLOOKUP(D414,$N$404:$Y$408,8,FALSE)</f>
        <v xml:space="preserve"> </v>
      </c>
      <c r="E422" s="154" t="s">
        <v>306</v>
      </c>
      <c r="H422" s="269"/>
      <c r="I422" s="281"/>
      <c r="J422" s="41" t="s">
        <v>100</v>
      </c>
      <c r="K422" s="42"/>
    </row>
    <row r="423" spans="1:11" ht="15" x14ac:dyDescent="0.25">
      <c r="A423" s="294"/>
      <c r="B423" s="294"/>
      <c r="C423" s="38" t="s">
        <v>24</v>
      </c>
      <c r="D423" s="103" t="str">
        <f>VLOOKUP(D414,$N$404:$Y$408,9,FALSE)</f>
        <v xml:space="preserve"> </v>
      </c>
      <c r="E423" s="154" t="s">
        <v>306</v>
      </c>
      <c r="H423" s="269"/>
      <c r="I423" s="281"/>
      <c r="J423" s="35" t="s">
        <v>22</v>
      </c>
      <c r="K423" s="50">
        <v>90</v>
      </c>
    </row>
    <row r="424" spans="1:11" ht="15" x14ac:dyDescent="0.25">
      <c r="A424" s="294"/>
      <c r="B424" s="294"/>
      <c r="C424" s="41" t="str">
        <f>VLOOKUP(D414,$N$404:$Y$408,12,FALSE)</f>
        <v xml:space="preserve"> </v>
      </c>
      <c r="D424" s="153" t="str">
        <f>C424</f>
        <v xml:space="preserve"> </v>
      </c>
      <c r="E424" s="154" t="s">
        <v>306</v>
      </c>
      <c r="H424" s="269"/>
      <c r="I424" s="281"/>
      <c r="J424" s="37" t="s">
        <v>23</v>
      </c>
      <c r="K424" s="50">
        <v>60</v>
      </c>
    </row>
    <row r="425" spans="1:11" ht="15" x14ac:dyDescent="0.25">
      <c r="A425" s="294"/>
      <c r="B425" s="294"/>
      <c r="C425" s="63" t="str">
        <f>VLOOKUP(D414,$N$404:$AA$408,13,FALSE)</f>
        <v xml:space="preserve"> </v>
      </c>
      <c r="D425" s="156" t="s">
        <v>380</v>
      </c>
      <c r="E425" s="154" t="s">
        <v>306</v>
      </c>
      <c r="H425" s="75"/>
      <c r="I425" s="75"/>
      <c r="J425" s="75"/>
      <c r="K425" s="75"/>
    </row>
    <row r="426" spans="1:11" ht="15" customHeight="1" x14ac:dyDescent="0.25">
      <c r="A426" s="294"/>
      <c r="B426" s="294"/>
      <c r="C426" s="159" t="s">
        <v>378</v>
      </c>
      <c r="D426" s="156" t="s">
        <v>394</v>
      </c>
      <c r="E426" s="154" t="s">
        <v>306</v>
      </c>
      <c r="H426" s="75"/>
      <c r="I426" s="75"/>
      <c r="J426" s="75"/>
      <c r="K426" s="75"/>
    </row>
    <row r="427" spans="1:11" ht="15" customHeight="1" thickBot="1" x14ac:dyDescent="0.3">
      <c r="A427" s="295"/>
      <c r="B427" s="295"/>
      <c r="C427" s="159" t="str">
        <f>VLOOKUP(D414,$N$404:$AA$408,2,FALSE)</f>
        <v xml:space="preserve"> </v>
      </c>
      <c r="D427" s="169" t="e">
        <f>SUM(D425/D426)*100</f>
        <v>#VALUE!</v>
      </c>
      <c r="E427" s="154" t="s">
        <v>306</v>
      </c>
      <c r="H427" s="75"/>
      <c r="I427" s="75"/>
      <c r="J427" s="75"/>
      <c r="K427" s="75"/>
    </row>
    <row r="428" spans="1:11" ht="15" customHeight="1" x14ac:dyDescent="0.25">
      <c r="A428" s="268" t="s">
        <v>26</v>
      </c>
      <c r="B428" s="280" t="s">
        <v>374</v>
      </c>
      <c r="C428" s="91" t="s">
        <v>96</v>
      </c>
      <c r="D428" s="24" t="s">
        <v>296</v>
      </c>
      <c r="E428" s="154" t="s">
        <v>306</v>
      </c>
      <c r="H428" s="75"/>
      <c r="I428" s="75"/>
      <c r="J428" s="75"/>
      <c r="K428" s="75"/>
    </row>
    <row r="429" spans="1:11" ht="15" x14ac:dyDescent="0.25">
      <c r="A429" s="269"/>
      <c r="B429" s="281"/>
      <c r="C429" s="92" t="s">
        <v>97</v>
      </c>
      <c r="D429" s="190" t="s">
        <v>303</v>
      </c>
      <c r="E429" s="154" t="s">
        <v>306</v>
      </c>
      <c r="H429" s="75"/>
      <c r="I429" s="75"/>
      <c r="J429" s="75"/>
      <c r="K429" s="75"/>
    </row>
    <row r="430" spans="1:11" ht="15" x14ac:dyDescent="0.25">
      <c r="A430" s="269"/>
      <c r="B430" s="281"/>
      <c r="C430" s="72" t="s">
        <v>79</v>
      </c>
      <c r="D430" s="173" t="str">
        <f>C430</f>
        <v xml:space="preserve"> To receive the indicator rating, the criteria for the additional measure  of student engagement was:</v>
      </c>
      <c r="E430" s="154" t="s">
        <v>306</v>
      </c>
      <c r="H430" s="75"/>
      <c r="I430" s="75"/>
      <c r="J430" s="75"/>
      <c r="K430" s="75"/>
    </row>
    <row r="431" spans="1:11" ht="15" x14ac:dyDescent="0.25">
      <c r="A431" s="269"/>
      <c r="B431" s="281"/>
      <c r="C431" s="35" t="s">
        <v>125</v>
      </c>
      <c r="D431" s="26" t="s">
        <v>118</v>
      </c>
      <c r="E431" s="154" t="s">
        <v>306</v>
      </c>
      <c r="H431" s="75"/>
      <c r="I431" s="75"/>
      <c r="J431" s="75"/>
      <c r="K431" s="75"/>
    </row>
    <row r="432" spans="1:11" ht="15" x14ac:dyDescent="0.25">
      <c r="A432" s="269"/>
      <c r="B432" s="281"/>
      <c r="C432" s="37" t="s">
        <v>126</v>
      </c>
      <c r="D432" s="26" t="s">
        <v>119</v>
      </c>
      <c r="E432" s="154" t="s">
        <v>306</v>
      </c>
      <c r="H432" s="75"/>
      <c r="I432" s="75"/>
      <c r="J432" s="75"/>
      <c r="K432" s="75"/>
    </row>
    <row r="433" spans="1:11" ht="15" x14ac:dyDescent="0.25">
      <c r="A433" s="269"/>
      <c r="B433" s="281"/>
      <c r="C433" s="38" t="s">
        <v>127</v>
      </c>
      <c r="D433" s="26" t="s">
        <v>120</v>
      </c>
      <c r="E433" s="154" t="s">
        <v>306</v>
      </c>
      <c r="H433" s="75"/>
      <c r="I433" s="75"/>
      <c r="J433" s="75"/>
      <c r="K433" s="75"/>
    </row>
    <row r="434" spans="1:11" ht="15" customHeight="1" x14ac:dyDescent="0.25">
      <c r="A434" s="269"/>
      <c r="B434" s="281"/>
      <c r="C434" s="39" t="s">
        <v>128</v>
      </c>
      <c r="D434" s="191" t="s">
        <v>121</v>
      </c>
      <c r="E434" s="154" t="s">
        <v>306</v>
      </c>
      <c r="H434" s="75"/>
      <c r="I434" s="75"/>
      <c r="J434" s="75"/>
      <c r="K434" s="75"/>
    </row>
    <row r="435" spans="1:11" ht="15" x14ac:dyDescent="0.25">
      <c r="A435" s="269"/>
      <c r="B435" s="281"/>
      <c r="C435" s="41" t="s">
        <v>80</v>
      </c>
      <c r="D435" s="173" t="str">
        <f>C435</f>
        <v>Cut-point values for additional measure  of student engagement were:</v>
      </c>
      <c r="E435" s="154" t="s">
        <v>306</v>
      </c>
      <c r="H435" s="75"/>
      <c r="I435" s="75"/>
      <c r="J435" s="75"/>
      <c r="K435" s="75"/>
    </row>
    <row r="436" spans="1:11" ht="15" x14ac:dyDescent="0.25">
      <c r="A436" s="269"/>
      <c r="B436" s="281"/>
      <c r="C436" s="35" t="s">
        <v>22</v>
      </c>
      <c r="D436" s="27" t="s">
        <v>122</v>
      </c>
      <c r="E436" s="154" t="s">
        <v>306</v>
      </c>
      <c r="H436" s="75"/>
      <c r="I436" s="75"/>
      <c r="J436" s="75"/>
      <c r="K436" s="75"/>
    </row>
    <row r="437" spans="1:11" ht="15" x14ac:dyDescent="0.25">
      <c r="A437" s="269"/>
      <c r="B437" s="281"/>
      <c r="C437" s="37" t="s">
        <v>23</v>
      </c>
      <c r="D437" s="27" t="s">
        <v>123</v>
      </c>
      <c r="E437" s="154" t="s">
        <v>306</v>
      </c>
      <c r="H437" s="75"/>
      <c r="I437" s="75"/>
      <c r="J437" s="75"/>
      <c r="K437" s="75"/>
    </row>
    <row r="438" spans="1:11" ht="15" x14ac:dyDescent="0.25">
      <c r="A438" s="269"/>
      <c r="B438" s="281"/>
      <c r="C438" s="38" t="s">
        <v>24</v>
      </c>
      <c r="D438" s="189" t="s">
        <v>124</v>
      </c>
      <c r="E438" s="154" t="s">
        <v>306</v>
      </c>
      <c r="H438" s="75"/>
      <c r="I438" s="75"/>
      <c r="J438" s="75"/>
      <c r="K438" s="75"/>
    </row>
    <row r="439" spans="1:11" ht="15" customHeight="1" x14ac:dyDescent="0.25">
      <c r="A439" s="269"/>
      <c r="B439" s="281"/>
      <c r="C439" s="41" t="s">
        <v>81</v>
      </c>
      <c r="D439" s="173" t="str">
        <f>C439</f>
        <v>Your school's actual value for additional measure  of student engagement was:</v>
      </c>
      <c r="E439" s="154" t="s">
        <v>306</v>
      </c>
      <c r="H439" s="75"/>
      <c r="I439" s="75"/>
      <c r="J439" s="75"/>
      <c r="K439" s="75"/>
    </row>
    <row r="440" spans="1:11" ht="15" customHeight="1" x14ac:dyDescent="0.25">
      <c r="A440" s="269"/>
      <c r="B440" s="281"/>
      <c r="C440" s="63" t="s">
        <v>372</v>
      </c>
      <c r="D440" s="156" t="s">
        <v>380</v>
      </c>
      <c r="E440" s="154" t="s">
        <v>306</v>
      </c>
      <c r="H440" s="75"/>
      <c r="I440" s="75"/>
      <c r="J440" s="75"/>
      <c r="K440" s="75"/>
    </row>
    <row r="441" spans="1:11" ht="15" customHeight="1" x14ac:dyDescent="0.25">
      <c r="A441" s="269"/>
      <c r="B441" s="281"/>
      <c r="C441" s="159" t="s">
        <v>378</v>
      </c>
      <c r="D441" s="156" t="s">
        <v>394</v>
      </c>
      <c r="E441" s="154" t="s">
        <v>306</v>
      </c>
      <c r="H441" s="75"/>
      <c r="I441" s="75"/>
      <c r="J441" s="75"/>
      <c r="K441" s="75"/>
    </row>
    <row r="442" spans="1:11" ht="15.75" thickBot="1" x14ac:dyDescent="0.3">
      <c r="A442" s="270"/>
      <c r="B442" s="282"/>
      <c r="C442" s="64" t="s">
        <v>194</v>
      </c>
      <c r="D442" s="169" t="e">
        <f>SUM(D440/D441)*100</f>
        <v>#VALUE!</v>
      </c>
      <c r="E442" s="154" t="s">
        <v>306</v>
      </c>
      <c r="H442" s="75"/>
      <c r="I442" s="75"/>
      <c r="J442" s="75"/>
      <c r="K442" s="75"/>
    </row>
    <row r="443" spans="1:11" ht="15.75" thickBot="1" x14ac:dyDescent="0.3">
      <c r="A443" s="274" t="s">
        <v>314</v>
      </c>
      <c r="B443" s="296"/>
      <c r="C443" s="296"/>
      <c r="D443" s="297"/>
      <c r="E443" s="154" t="s">
        <v>306</v>
      </c>
      <c r="H443" s="75"/>
      <c r="I443" s="75"/>
      <c r="J443" s="75"/>
      <c r="K443" s="75"/>
    </row>
    <row r="444" spans="1:11" x14ac:dyDescent="0.3">
      <c r="H444" s="75"/>
      <c r="I444" s="75"/>
      <c r="J444" s="75"/>
      <c r="K444" s="75"/>
    </row>
    <row r="445" spans="1:11" x14ac:dyDescent="0.3">
      <c r="H445" s="75"/>
      <c r="I445" s="75"/>
      <c r="J445" s="75"/>
      <c r="K445" s="75"/>
    </row>
    <row r="446" spans="1:11" x14ac:dyDescent="0.3">
      <c r="H446" s="75"/>
      <c r="I446" s="75"/>
      <c r="J446" s="75"/>
      <c r="K446" s="75"/>
    </row>
    <row r="447" spans="1:11" ht="15" customHeight="1" x14ac:dyDescent="0.3">
      <c r="H447" s="75"/>
      <c r="I447" s="75"/>
      <c r="J447" s="75"/>
      <c r="K447" s="75"/>
    </row>
    <row r="448" spans="1:11" x14ac:dyDescent="0.3">
      <c r="H448" s="75"/>
      <c r="I448" s="75"/>
      <c r="J448" s="75"/>
      <c r="K448" s="75"/>
    </row>
    <row r="449" spans="7:11" x14ac:dyDescent="0.3">
      <c r="H449" s="75"/>
      <c r="I449" s="75"/>
      <c r="J449" s="75"/>
      <c r="K449" s="75"/>
    </row>
    <row r="450" spans="7:11" x14ac:dyDescent="0.3">
      <c r="H450" s="75"/>
      <c r="I450" s="75"/>
      <c r="J450" s="75"/>
      <c r="K450" s="75"/>
    </row>
    <row r="451" spans="7:11" x14ac:dyDescent="0.3">
      <c r="G451" s="75"/>
      <c r="H451" s="75"/>
      <c r="I451" s="75"/>
      <c r="J451" s="75"/>
      <c r="K451" s="75"/>
    </row>
    <row r="452" spans="7:11" ht="15" customHeight="1" x14ac:dyDescent="0.3">
      <c r="G452" s="75"/>
      <c r="H452" s="75"/>
      <c r="I452" s="75"/>
      <c r="J452" s="75"/>
      <c r="K452" s="75"/>
    </row>
    <row r="453" spans="7:11" ht="15" customHeight="1" x14ac:dyDescent="0.3">
      <c r="G453" s="75"/>
      <c r="H453" s="75"/>
      <c r="I453" s="75"/>
      <c r="J453" s="75"/>
      <c r="K453" s="75"/>
    </row>
    <row r="454" spans="7:11" ht="15" customHeight="1" x14ac:dyDescent="0.3">
      <c r="G454" s="75"/>
      <c r="H454" s="75"/>
      <c r="I454" s="75"/>
      <c r="J454" s="75"/>
      <c r="K454" s="75"/>
    </row>
    <row r="455" spans="7:11" x14ac:dyDescent="0.3">
      <c r="G455" s="75"/>
      <c r="H455" s="75"/>
      <c r="I455" s="75"/>
      <c r="J455" s="75"/>
      <c r="K455" s="75"/>
    </row>
    <row r="456" spans="7:11" x14ac:dyDescent="0.3">
      <c r="G456" s="75"/>
      <c r="H456" s="75"/>
      <c r="I456" s="75"/>
      <c r="J456" s="75"/>
      <c r="K456" s="75"/>
    </row>
    <row r="457" spans="7:11" x14ac:dyDescent="0.3">
      <c r="G457" s="75"/>
      <c r="H457" s="75"/>
      <c r="I457" s="75"/>
      <c r="J457" s="75"/>
      <c r="K457" s="75"/>
    </row>
    <row r="458" spans="7:11" x14ac:dyDescent="0.3">
      <c r="G458" s="75"/>
      <c r="H458" s="75"/>
      <c r="I458" s="75"/>
      <c r="J458" s="75"/>
      <c r="K458" s="75"/>
    </row>
    <row r="459" spans="7:11" x14ac:dyDescent="0.3">
      <c r="G459" s="75"/>
      <c r="H459" s="75"/>
      <c r="I459" s="75"/>
      <c r="J459" s="75"/>
      <c r="K459" s="75"/>
    </row>
    <row r="460" spans="7:11" ht="15" customHeight="1" x14ac:dyDescent="0.3">
      <c r="G460" s="75"/>
      <c r="H460" s="75"/>
      <c r="I460" s="75"/>
      <c r="J460" s="75"/>
      <c r="K460" s="75"/>
    </row>
    <row r="461" spans="7:11" x14ac:dyDescent="0.3">
      <c r="G461" s="75"/>
      <c r="H461" s="75"/>
      <c r="I461" s="75"/>
      <c r="J461" s="75"/>
      <c r="K461" s="75"/>
    </row>
    <row r="462" spans="7:11" x14ac:dyDescent="0.3">
      <c r="G462" s="75"/>
      <c r="H462" s="75"/>
      <c r="I462" s="75"/>
      <c r="J462" s="75"/>
      <c r="K462" s="75"/>
    </row>
    <row r="463" spans="7:11" x14ac:dyDescent="0.3">
      <c r="G463" s="75"/>
      <c r="H463" s="75"/>
      <c r="I463" s="75"/>
      <c r="J463" s="75"/>
      <c r="K463" s="75"/>
    </row>
    <row r="464" spans="7:11" x14ac:dyDescent="0.3">
      <c r="G464" s="75"/>
      <c r="H464" s="75"/>
      <c r="I464" s="75"/>
      <c r="J464" s="75"/>
      <c r="K464" s="75"/>
    </row>
    <row r="465" spans="7:11" ht="15" customHeight="1" x14ac:dyDescent="0.3">
      <c r="G465" s="75"/>
      <c r="H465" s="75"/>
      <c r="I465" s="75"/>
      <c r="J465" s="75"/>
      <c r="K465" s="75"/>
    </row>
    <row r="466" spans="7:11" ht="15" customHeight="1" x14ac:dyDescent="0.3">
      <c r="G466" s="75"/>
      <c r="H466" s="75"/>
      <c r="I466" s="75"/>
      <c r="J466" s="75"/>
      <c r="K466" s="75"/>
    </row>
    <row r="467" spans="7:11" ht="15" customHeight="1" x14ac:dyDescent="0.3">
      <c r="G467" s="75"/>
      <c r="H467" s="75"/>
      <c r="I467" s="75"/>
      <c r="J467" s="75"/>
      <c r="K467" s="75"/>
    </row>
    <row r="468" spans="7:11" x14ac:dyDescent="0.3">
      <c r="G468" s="75"/>
      <c r="H468" s="75"/>
      <c r="I468" s="75"/>
      <c r="J468" s="75"/>
      <c r="K468" s="75"/>
    </row>
    <row r="469" spans="7:11" x14ac:dyDescent="0.3">
      <c r="G469" s="75"/>
      <c r="H469" s="75"/>
      <c r="I469" s="75"/>
      <c r="J469" s="75"/>
      <c r="K469" s="75"/>
    </row>
    <row r="470" spans="7:11" x14ac:dyDescent="0.3">
      <c r="G470" s="75"/>
      <c r="H470" s="75"/>
      <c r="I470" s="75"/>
      <c r="J470" s="75"/>
      <c r="K470" s="75"/>
    </row>
    <row r="471" spans="7:11" x14ac:dyDescent="0.3">
      <c r="G471" s="75"/>
      <c r="H471" s="75"/>
      <c r="I471" s="75"/>
      <c r="J471" s="75"/>
      <c r="K471" s="75"/>
    </row>
    <row r="472" spans="7:11" x14ac:dyDescent="0.3">
      <c r="G472" s="75"/>
      <c r="H472" s="75"/>
      <c r="I472" s="75"/>
      <c r="J472" s="75"/>
      <c r="K472" s="75"/>
    </row>
    <row r="473" spans="7:11" ht="15" customHeight="1" x14ac:dyDescent="0.3">
      <c r="G473" s="75"/>
      <c r="H473" s="75"/>
      <c r="I473" s="75"/>
      <c r="J473" s="75"/>
      <c r="K473" s="75"/>
    </row>
    <row r="474" spans="7:11" x14ac:dyDescent="0.3">
      <c r="G474" s="75"/>
      <c r="H474" s="75"/>
      <c r="I474" s="75"/>
      <c r="J474" s="75"/>
      <c r="K474" s="75"/>
    </row>
    <row r="475" spans="7:11" x14ac:dyDescent="0.3">
      <c r="G475" s="75"/>
    </row>
    <row r="476" spans="7:11" x14ac:dyDescent="0.3">
      <c r="G476" s="75"/>
    </row>
    <row r="477" spans="7:11" x14ac:dyDescent="0.3">
      <c r="G477" s="75"/>
    </row>
    <row r="478" spans="7:11" ht="15" customHeight="1" x14ac:dyDescent="0.3">
      <c r="G478" s="75"/>
    </row>
    <row r="479" spans="7:11" ht="15" customHeight="1" x14ac:dyDescent="0.3">
      <c r="G479" s="75"/>
    </row>
    <row r="480" spans="7:11" ht="15" customHeight="1" x14ac:dyDescent="0.3">
      <c r="G480" s="75"/>
    </row>
    <row r="481" spans="7:11" x14ac:dyDescent="0.3">
      <c r="G481" s="75"/>
    </row>
    <row r="482" spans="7:11" x14ac:dyDescent="0.3">
      <c r="G482" s="75"/>
    </row>
    <row r="483" spans="7:11" x14ac:dyDescent="0.3">
      <c r="G483" s="75"/>
    </row>
    <row r="484" spans="7:11" x14ac:dyDescent="0.3">
      <c r="G484" s="75"/>
    </row>
    <row r="485" spans="7:11" x14ac:dyDescent="0.3">
      <c r="G485" s="75"/>
    </row>
    <row r="486" spans="7:11" ht="15" customHeight="1" x14ac:dyDescent="0.3">
      <c r="G486" s="75"/>
    </row>
    <row r="487" spans="7:11" x14ac:dyDescent="0.3">
      <c r="G487" s="75"/>
    </row>
    <row r="488" spans="7:11" x14ac:dyDescent="0.3">
      <c r="G488" s="75"/>
    </row>
    <row r="489" spans="7:11" x14ac:dyDescent="0.3">
      <c r="G489" s="75"/>
    </row>
    <row r="490" spans="7:11" x14ac:dyDescent="0.3">
      <c r="G490" s="75"/>
    </row>
    <row r="491" spans="7:11" ht="15" customHeight="1" x14ac:dyDescent="0.3">
      <c r="G491" s="75"/>
    </row>
    <row r="492" spans="7:11" ht="15" customHeight="1" x14ac:dyDescent="0.3">
      <c r="G492" s="75"/>
      <c r="H492" s="76"/>
      <c r="I492" s="76"/>
      <c r="J492" s="76"/>
      <c r="K492" s="76"/>
    </row>
    <row r="493" spans="7:11" ht="15" customHeight="1" x14ac:dyDescent="0.3">
      <c r="G493" s="75"/>
    </row>
    <row r="494" spans="7:11" x14ac:dyDescent="0.3">
      <c r="G494" s="75"/>
    </row>
    <row r="495" spans="7:11" x14ac:dyDescent="0.3">
      <c r="G495" s="75"/>
    </row>
    <row r="496" spans="7:11" x14ac:dyDescent="0.3">
      <c r="G496" s="75"/>
    </row>
    <row r="497" spans="7:7" x14ac:dyDescent="0.3">
      <c r="G497" s="75"/>
    </row>
    <row r="498" spans="7:7" ht="15" customHeight="1" x14ac:dyDescent="0.3">
      <c r="G498" s="75"/>
    </row>
    <row r="499" spans="7:7" x14ac:dyDescent="0.3">
      <c r="G499" s="75"/>
    </row>
    <row r="500" spans="7:7" x14ac:dyDescent="0.3">
      <c r="G500" s="75"/>
    </row>
    <row r="501" spans="7:7" x14ac:dyDescent="0.3">
      <c r="G501" s="75"/>
    </row>
    <row r="502" spans="7:7" x14ac:dyDescent="0.3">
      <c r="G502" s="75"/>
    </row>
    <row r="503" spans="7:7" x14ac:dyDescent="0.3">
      <c r="G503" s="75"/>
    </row>
    <row r="504" spans="7:7" ht="15" customHeight="1" x14ac:dyDescent="0.3">
      <c r="G504" s="75"/>
    </row>
    <row r="505" spans="7:7" ht="15" customHeight="1" x14ac:dyDescent="0.3">
      <c r="G505" s="75"/>
    </row>
    <row r="506" spans="7:7" ht="15" customHeight="1" x14ac:dyDescent="0.3">
      <c r="G506" s="75"/>
    </row>
    <row r="507" spans="7:7" x14ac:dyDescent="0.3">
      <c r="G507" s="75"/>
    </row>
    <row r="508" spans="7:7" x14ac:dyDescent="0.3">
      <c r="G508" s="75"/>
    </row>
    <row r="509" spans="7:7" x14ac:dyDescent="0.3">
      <c r="G509" s="75"/>
    </row>
    <row r="510" spans="7:7" x14ac:dyDescent="0.3">
      <c r="G510" s="75"/>
    </row>
    <row r="511" spans="7:7" x14ac:dyDescent="0.3">
      <c r="G511" s="75"/>
    </row>
    <row r="512" spans="7:7" ht="15" customHeight="1" x14ac:dyDescent="0.3">
      <c r="G512" s="75"/>
    </row>
    <row r="513" spans="7:7" x14ac:dyDescent="0.3">
      <c r="G513" s="75"/>
    </row>
    <row r="514" spans="7:7" x14ac:dyDescent="0.3">
      <c r="G514" s="75"/>
    </row>
    <row r="515" spans="7:7" x14ac:dyDescent="0.3">
      <c r="G515" s="75"/>
    </row>
    <row r="516" spans="7:7" x14ac:dyDescent="0.3">
      <c r="G516" s="75"/>
    </row>
    <row r="517" spans="7:7" ht="15" customHeight="1" x14ac:dyDescent="0.3">
      <c r="G517" s="75"/>
    </row>
    <row r="518" spans="7:7" ht="15" customHeight="1" x14ac:dyDescent="0.3">
      <c r="G518" s="75"/>
    </row>
    <row r="519" spans="7:7" ht="15" customHeight="1" x14ac:dyDescent="0.3">
      <c r="G519" s="75"/>
    </row>
    <row r="520" spans="7:7" x14ac:dyDescent="0.3">
      <c r="G520" s="75"/>
    </row>
    <row r="521" spans="7:7" x14ac:dyDescent="0.3">
      <c r="G521" s="75"/>
    </row>
    <row r="522" spans="7:7" x14ac:dyDescent="0.3">
      <c r="G522" s="75"/>
    </row>
    <row r="523" spans="7:7" x14ac:dyDescent="0.3">
      <c r="G523" s="75"/>
    </row>
    <row r="524" spans="7:7" x14ac:dyDescent="0.3">
      <c r="G524" s="75"/>
    </row>
    <row r="525" spans="7:7" x14ac:dyDescent="0.3">
      <c r="G525" s="75"/>
    </row>
    <row r="526" spans="7:7" x14ac:dyDescent="0.3">
      <c r="G526" s="75"/>
    </row>
    <row r="530" spans="7:7" ht="15" customHeight="1" x14ac:dyDescent="0.3"/>
    <row r="531" spans="7:7" ht="15" customHeight="1" x14ac:dyDescent="0.3"/>
    <row r="532" spans="7:7" ht="15" customHeight="1" x14ac:dyDescent="0.3"/>
    <row r="543" spans="7:7" ht="15" customHeight="1" x14ac:dyDescent="0.3"/>
    <row r="544" spans="7:7" ht="15" customHeight="1" x14ac:dyDescent="0.3">
      <c r="G544" s="76"/>
    </row>
    <row r="545" spans="2:28" ht="15" customHeight="1" x14ac:dyDescent="0.3"/>
    <row r="552" spans="2:28" ht="15" customHeight="1" x14ac:dyDescent="0.3"/>
    <row r="556" spans="2:28" s="95" customFormat="1" ht="15" customHeight="1" x14ac:dyDescent="0.3">
      <c r="B556" s="162"/>
      <c r="C556" s="96"/>
      <c r="D556" s="97"/>
      <c r="E556" s="154"/>
      <c r="F556" s="47"/>
      <c r="G556" s="47"/>
      <c r="H556" s="47"/>
      <c r="I556" s="47"/>
      <c r="J556" s="47"/>
      <c r="K556" s="47"/>
      <c r="L556" s="47"/>
      <c r="M556" s="47"/>
      <c r="N556" s="47"/>
      <c r="O556" s="47"/>
      <c r="P556" s="47"/>
      <c r="Q556" s="47"/>
      <c r="R556" s="47"/>
      <c r="S556" s="47"/>
      <c r="T556" s="47"/>
      <c r="U556" s="47"/>
      <c r="V556" s="47"/>
      <c r="W556" s="47"/>
      <c r="X556" s="47"/>
      <c r="Y556" s="47"/>
      <c r="Z556" s="47"/>
      <c r="AA556" s="47"/>
      <c r="AB556" s="47"/>
    </row>
    <row r="557" spans="2:28" s="95" customFormat="1" ht="15" customHeight="1" x14ac:dyDescent="0.3">
      <c r="B557" s="162"/>
      <c r="C557" s="96"/>
      <c r="D557" s="97"/>
      <c r="E557" s="154"/>
      <c r="F557" s="47"/>
      <c r="G557" s="47"/>
      <c r="H557" s="47"/>
      <c r="I557" s="47"/>
      <c r="J557" s="47"/>
      <c r="K557" s="47"/>
      <c r="L557" s="47"/>
      <c r="M557" s="47"/>
      <c r="N557" s="47"/>
      <c r="O557" s="47"/>
      <c r="P557" s="47"/>
      <c r="Q557" s="47"/>
      <c r="R557" s="47"/>
      <c r="S557" s="47"/>
      <c r="T557" s="47"/>
      <c r="U557" s="47"/>
      <c r="V557" s="47"/>
      <c r="W557" s="47"/>
      <c r="X557" s="47"/>
      <c r="Y557" s="47"/>
      <c r="Z557" s="47"/>
      <c r="AA557" s="47"/>
      <c r="AB557" s="47"/>
    </row>
    <row r="558" spans="2:28" s="95" customFormat="1" ht="15" customHeight="1" x14ac:dyDescent="0.3">
      <c r="B558" s="162"/>
      <c r="C558" s="96"/>
      <c r="D558" s="97"/>
      <c r="E558" s="154"/>
      <c r="F558" s="47"/>
      <c r="G558" s="47"/>
      <c r="H558" s="47"/>
      <c r="I558" s="47"/>
      <c r="J558" s="47"/>
      <c r="K558" s="47"/>
      <c r="L558" s="47"/>
      <c r="M558" s="47"/>
      <c r="N558" s="47"/>
      <c r="O558" s="47"/>
      <c r="P558" s="47"/>
      <c r="Q558" s="47"/>
      <c r="R558" s="47"/>
      <c r="S558" s="47"/>
      <c r="T558" s="47"/>
      <c r="U558" s="47"/>
      <c r="V558" s="47"/>
      <c r="W558" s="47"/>
      <c r="X558" s="47"/>
      <c r="Y558" s="47"/>
      <c r="Z558" s="47"/>
      <c r="AA558" s="47"/>
      <c r="AB558" s="47"/>
    </row>
    <row r="565" spans="2:28" s="95" customFormat="1" ht="15" customHeight="1" x14ac:dyDescent="0.3">
      <c r="B565" s="162"/>
      <c r="C565" s="96"/>
      <c r="D565" s="97"/>
      <c r="E565" s="154"/>
      <c r="F565" s="47"/>
      <c r="G565" s="47"/>
      <c r="H565" s="47"/>
      <c r="I565" s="47"/>
      <c r="J565" s="47"/>
      <c r="K565" s="47"/>
      <c r="L565" s="47"/>
      <c r="M565" s="47"/>
      <c r="N565" s="47"/>
      <c r="O565" s="47"/>
      <c r="P565" s="47"/>
      <c r="Q565" s="47"/>
      <c r="R565" s="47"/>
      <c r="S565" s="47"/>
      <c r="T565" s="47"/>
      <c r="U565" s="47"/>
      <c r="V565" s="47"/>
      <c r="W565" s="47"/>
      <c r="X565" s="47"/>
      <c r="Y565" s="47"/>
      <c r="Z565" s="47"/>
      <c r="AA565" s="47"/>
      <c r="AB565" s="47"/>
    </row>
    <row r="569" spans="2:28" s="95" customFormat="1" ht="15" customHeight="1" x14ac:dyDescent="0.3">
      <c r="B569" s="162"/>
      <c r="C569" s="96"/>
      <c r="D569" s="97"/>
      <c r="E569" s="154"/>
      <c r="F569" s="47"/>
      <c r="G569" s="47"/>
      <c r="H569" s="47"/>
      <c r="I569" s="47"/>
      <c r="J569" s="47"/>
      <c r="K569" s="47"/>
      <c r="L569" s="47"/>
      <c r="M569" s="47"/>
      <c r="N569" s="47"/>
      <c r="O569" s="47"/>
      <c r="P569" s="47"/>
      <c r="Q569" s="47"/>
      <c r="R569" s="47"/>
      <c r="S569" s="47"/>
      <c r="T569" s="47"/>
      <c r="U569" s="47"/>
      <c r="V569" s="47"/>
      <c r="W569" s="47"/>
      <c r="X569" s="47"/>
      <c r="Y569" s="47"/>
      <c r="Z569" s="47"/>
      <c r="AA569" s="47"/>
      <c r="AB569" s="47"/>
    </row>
    <row r="570" spans="2:28" s="95" customFormat="1" ht="15" customHeight="1" x14ac:dyDescent="0.3">
      <c r="B570" s="162"/>
      <c r="C570" s="96"/>
      <c r="D570" s="97"/>
      <c r="E570" s="154"/>
      <c r="F570" s="47"/>
      <c r="G570" s="47"/>
      <c r="H570" s="47"/>
      <c r="I570" s="47"/>
      <c r="J570" s="47"/>
      <c r="K570" s="47"/>
      <c r="L570" s="47"/>
      <c r="M570" s="47"/>
      <c r="N570" s="47"/>
      <c r="O570" s="47"/>
      <c r="P570" s="47"/>
      <c r="Q570" s="47"/>
      <c r="R570" s="47"/>
      <c r="S570" s="47"/>
      <c r="T570" s="47"/>
      <c r="U570" s="47"/>
      <c r="V570" s="47"/>
      <c r="W570" s="47"/>
      <c r="X570" s="47"/>
      <c r="Y570" s="47"/>
      <c r="Z570" s="47"/>
      <c r="AA570" s="47"/>
      <c r="AB570" s="47"/>
    </row>
    <row r="571" spans="2:28" s="95" customFormat="1" ht="15" customHeight="1" x14ac:dyDescent="0.3">
      <c r="B571" s="162"/>
      <c r="C571" s="96"/>
      <c r="D571" s="97"/>
      <c r="E571" s="154"/>
      <c r="F571" s="47"/>
      <c r="G571" s="47"/>
      <c r="H571" s="47"/>
      <c r="I571" s="47"/>
      <c r="J571" s="47"/>
      <c r="K571" s="47"/>
      <c r="L571" s="47"/>
      <c r="M571" s="47"/>
      <c r="N571" s="47"/>
      <c r="O571" s="47"/>
      <c r="P571" s="47"/>
      <c r="Q571" s="47"/>
      <c r="R571" s="47"/>
      <c r="S571" s="47"/>
      <c r="T571" s="47"/>
      <c r="U571" s="47"/>
      <c r="V571" s="47"/>
      <c r="W571" s="47"/>
      <c r="X571" s="47"/>
      <c r="Y571" s="47"/>
      <c r="Z571" s="47"/>
      <c r="AA571" s="47"/>
      <c r="AB571" s="47"/>
    </row>
    <row r="578" spans="2:28" s="95" customFormat="1" ht="15" customHeight="1" x14ac:dyDescent="0.3">
      <c r="B578" s="162"/>
      <c r="C578" s="96"/>
      <c r="D578" s="97"/>
      <c r="E578" s="154"/>
      <c r="F578" s="47"/>
      <c r="G578" s="47"/>
      <c r="H578" s="47"/>
      <c r="I578" s="47"/>
      <c r="J578" s="47"/>
      <c r="K578" s="47"/>
      <c r="L578" s="47"/>
      <c r="M578" s="47"/>
      <c r="N578" s="47"/>
      <c r="O578" s="47"/>
      <c r="P578" s="47"/>
      <c r="Q578" s="47"/>
      <c r="R578" s="47"/>
      <c r="S578" s="47"/>
      <c r="T578" s="47"/>
      <c r="U578" s="47"/>
      <c r="V578" s="47"/>
      <c r="W578" s="47"/>
      <c r="X578" s="47"/>
      <c r="Y578" s="47"/>
      <c r="Z578" s="47"/>
      <c r="AA578" s="47"/>
      <c r="AB578" s="47"/>
    </row>
    <row r="582" spans="2:28" s="95" customFormat="1" ht="15" customHeight="1" x14ac:dyDescent="0.3">
      <c r="B582" s="162"/>
      <c r="C582" s="96"/>
      <c r="D582" s="97"/>
      <c r="E582" s="154"/>
      <c r="F582" s="47"/>
      <c r="G582" s="47"/>
      <c r="H582" s="47"/>
      <c r="I582" s="47"/>
      <c r="J582" s="47"/>
      <c r="K582" s="47"/>
      <c r="L582" s="47"/>
      <c r="M582" s="47"/>
      <c r="N582" s="47"/>
      <c r="O582" s="47"/>
      <c r="P582" s="47"/>
      <c r="Q582" s="47"/>
      <c r="R582" s="47"/>
      <c r="S582" s="47"/>
      <c r="T582" s="47"/>
      <c r="U582" s="47"/>
      <c r="V582" s="47"/>
      <c r="W582" s="47"/>
      <c r="X582" s="47"/>
      <c r="Y582" s="47"/>
      <c r="Z582" s="47"/>
      <c r="AA582" s="47"/>
      <c r="AB582" s="47"/>
    </row>
    <row r="583" spans="2:28" s="95" customFormat="1" ht="15" customHeight="1" x14ac:dyDescent="0.3">
      <c r="B583" s="162"/>
      <c r="C583" s="96"/>
      <c r="D583" s="97"/>
      <c r="E583" s="154"/>
      <c r="F583" s="47"/>
      <c r="G583" s="47"/>
      <c r="H583" s="47"/>
      <c r="I583" s="47"/>
      <c r="J583" s="47"/>
      <c r="K583" s="47"/>
      <c r="L583" s="47"/>
      <c r="M583" s="47"/>
      <c r="N583" s="47"/>
      <c r="O583" s="47"/>
      <c r="P583" s="47"/>
      <c r="Q583" s="47"/>
      <c r="R583" s="47"/>
      <c r="S583" s="47"/>
      <c r="T583" s="47"/>
      <c r="U583" s="47"/>
      <c r="V583" s="47"/>
      <c r="W583" s="47"/>
      <c r="X583" s="47"/>
      <c r="Y583" s="47"/>
      <c r="Z583" s="47"/>
      <c r="AA583" s="47"/>
      <c r="AB583" s="47"/>
    </row>
    <row r="584" spans="2:28" s="95" customFormat="1" ht="15" customHeight="1" x14ac:dyDescent="0.3">
      <c r="B584" s="162"/>
      <c r="C584" s="96"/>
      <c r="D584" s="97"/>
      <c r="E584" s="154"/>
      <c r="F584" s="47"/>
      <c r="G584" s="47"/>
      <c r="H584" s="47"/>
      <c r="I584" s="47"/>
      <c r="J584" s="47"/>
      <c r="K584" s="47"/>
      <c r="L584" s="47"/>
      <c r="M584" s="47"/>
      <c r="N584" s="47"/>
      <c r="O584" s="47"/>
      <c r="P584" s="47"/>
      <c r="Q584" s="47"/>
      <c r="R584" s="47"/>
      <c r="S584" s="47"/>
      <c r="T584" s="47"/>
      <c r="U584" s="47"/>
      <c r="V584" s="47"/>
      <c r="W584" s="47"/>
      <c r="X584" s="47"/>
      <c r="Y584" s="47"/>
      <c r="Z584" s="47"/>
      <c r="AA584" s="47"/>
      <c r="AB584" s="47"/>
    </row>
    <row r="590" spans="2:28" s="95" customFormat="1" ht="15" customHeight="1" x14ac:dyDescent="0.3">
      <c r="B590" s="162"/>
      <c r="C590" s="96"/>
      <c r="D590" s="97"/>
      <c r="E590" s="154"/>
      <c r="F590" s="47"/>
      <c r="G590" s="47"/>
      <c r="H590" s="47"/>
      <c r="I590" s="47"/>
      <c r="J590" s="47"/>
      <c r="K590" s="47"/>
      <c r="L590" s="47"/>
      <c r="M590" s="47"/>
      <c r="N590" s="47"/>
      <c r="O590" s="47"/>
      <c r="P590" s="47"/>
      <c r="Q590" s="47"/>
      <c r="R590" s="47"/>
      <c r="S590" s="47"/>
      <c r="T590" s="47"/>
      <c r="U590" s="47"/>
      <c r="V590" s="47"/>
      <c r="W590" s="47"/>
      <c r="X590" s="47"/>
      <c r="Y590" s="47"/>
      <c r="Z590" s="47"/>
      <c r="AA590" s="47"/>
      <c r="AB590" s="47"/>
    </row>
    <row r="595" spans="2:28" s="95" customFormat="1" ht="15" customHeight="1" x14ac:dyDescent="0.3">
      <c r="B595" s="162"/>
      <c r="C595" s="96"/>
      <c r="D595" s="97"/>
      <c r="E595" s="154"/>
      <c r="F595" s="47"/>
      <c r="G595" s="47"/>
      <c r="H595" s="47"/>
      <c r="I595" s="47"/>
      <c r="J595" s="47"/>
      <c r="K595" s="47"/>
      <c r="L595" s="47"/>
      <c r="M595" s="47"/>
      <c r="N595" s="47"/>
      <c r="O595" s="47"/>
      <c r="P595" s="47"/>
      <c r="Q595" s="47"/>
      <c r="R595" s="47"/>
      <c r="S595" s="47"/>
      <c r="T595" s="47"/>
      <c r="U595" s="47"/>
      <c r="V595" s="47"/>
      <c r="W595" s="47"/>
      <c r="X595" s="47"/>
      <c r="Y595" s="47"/>
      <c r="Z595" s="47"/>
      <c r="AA595" s="47"/>
      <c r="AB595" s="47"/>
    </row>
    <row r="596" spans="2:28" s="95" customFormat="1" ht="15" customHeight="1" x14ac:dyDescent="0.3">
      <c r="B596" s="162"/>
      <c r="C596" s="96"/>
      <c r="D596" s="97"/>
      <c r="E596" s="154"/>
      <c r="F596" s="47"/>
      <c r="G596" s="47"/>
      <c r="H596" s="47"/>
      <c r="I596" s="47"/>
      <c r="J596" s="47"/>
      <c r="K596" s="47"/>
      <c r="L596" s="47"/>
      <c r="M596" s="47"/>
      <c r="N596" s="47"/>
      <c r="O596" s="47"/>
      <c r="P596" s="47"/>
      <c r="Q596" s="47"/>
      <c r="R596" s="47"/>
      <c r="S596" s="47"/>
      <c r="T596" s="47"/>
      <c r="U596" s="47"/>
      <c r="V596" s="47"/>
      <c r="W596" s="47"/>
      <c r="X596" s="47"/>
      <c r="Y596" s="47"/>
      <c r="Z596" s="47"/>
      <c r="AA596" s="47"/>
      <c r="AB596" s="47"/>
    </row>
    <row r="597" spans="2:28" s="95" customFormat="1" ht="15" customHeight="1" x14ac:dyDescent="0.3">
      <c r="B597" s="162"/>
      <c r="C597" s="96"/>
      <c r="D597" s="97"/>
      <c r="E597" s="154"/>
      <c r="F597" s="47"/>
      <c r="G597" s="47"/>
      <c r="H597" s="47"/>
      <c r="I597" s="47"/>
      <c r="J597" s="47"/>
      <c r="K597" s="47"/>
      <c r="L597" s="47"/>
      <c r="M597" s="47"/>
      <c r="N597" s="47"/>
      <c r="O597" s="47"/>
      <c r="P597" s="47"/>
      <c r="Q597" s="47"/>
      <c r="R597" s="47"/>
      <c r="S597" s="47"/>
      <c r="T597" s="47"/>
      <c r="U597" s="47"/>
      <c r="V597" s="47"/>
      <c r="W597" s="47"/>
      <c r="X597" s="47"/>
      <c r="Y597" s="47"/>
      <c r="Z597" s="47"/>
      <c r="AA597" s="47"/>
      <c r="AB597" s="47"/>
    </row>
    <row r="604" spans="2:28" s="95" customFormat="1" ht="15" customHeight="1" x14ac:dyDescent="0.3">
      <c r="B604" s="162"/>
      <c r="C604" s="96"/>
      <c r="D604" s="97"/>
      <c r="E604" s="154"/>
      <c r="F604" s="47"/>
      <c r="G604" s="47"/>
      <c r="H604" s="47"/>
      <c r="I604" s="47"/>
      <c r="J604" s="47"/>
      <c r="K604" s="47"/>
      <c r="L604" s="47"/>
      <c r="M604" s="47"/>
      <c r="N604" s="47"/>
      <c r="O604" s="47"/>
      <c r="P604" s="47"/>
      <c r="Q604" s="47"/>
      <c r="R604" s="47"/>
      <c r="S604" s="47"/>
      <c r="T604" s="47"/>
      <c r="U604" s="47"/>
      <c r="V604" s="47"/>
      <c r="W604" s="47"/>
      <c r="X604" s="47"/>
      <c r="Y604" s="47"/>
      <c r="Z604" s="47"/>
      <c r="AA604" s="47"/>
      <c r="AB604" s="47"/>
    </row>
    <row r="608" spans="2:28" s="95" customFormat="1" ht="15" customHeight="1" x14ac:dyDescent="0.3">
      <c r="B608" s="162"/>
      <c r="C608" s="96"/>
      <c r="D608" s="97"/>
      <c r="E608" s="154"/>
      <c r="F608" s="47"/>
      <c r="G608" s="47"/>
      <c r="H608" s="47"/>
      <c r="I608" s="47"/>
      <c r="J608" s="47"/>
      <c r="K608" s="47"/>
      <c r="L608" s="47"/>
      <c r="M608" s="47"/>
      <c r="N608" s="47"/>
      <c r="O608" s="47"/>
      <c r="P608" s="47"/>
      <c r="Q608" s="47"/>
      <c r="R608" s="47"/>
      <c r="S608" s="47"/>
      <c r="T608" s="47"/>
      <c r="U608" s="47"/>
      <c r="V608" s="47"/>
      <c r="W608" s="47"/>
      <c r="X608" s="47"/>
      <c r="Y608" s="47"/>
      <c r="Z608" s="47"/>
      <c r="AA608" s="47"/>
      <c r="AB608" s="47"/>
    </row>
    <row r="609" spans="2:28" s="95" customFormat="1" ht="15" customHeight="1" x14ac:dyDescent="0.3">
      <c r="B609" s="162"/>
      <c r="C609" s="96"/>
      <c r="D609" s="97"/>
      <c r="E609" s="154"/>
      <c r="F609" s="47"/>
      <c r="G609" s="47"/>
      <c r="H609" s="47"/>
      <c r="I609" s="47"/>
      <c r="J609" s="47"/>
      <c r="K609" s="47"/>
      <c r="L609" s="47"/>
      <c r="M609" s="47"/>
      <c r="N609" s="47"/>
      <c r="O609" s="47"/>
      <c r="P609" s="47"/>
      <c r="Q609" s="47"/>
      <c r="R609" s="47"/>
      <c r="S609" s="47"/>
      <c r="T609" s="47"/>
      <c r="U609" s="47"/>
      <c r="V609" s="47"/>
      <c r="W609" s="47"/>
      <c r="X609" s="47"/>
      <c r="Y609" s="47"/>
      <c r="Z609" s="47"/>
      <c r="AA609" s="47"/>
      <c r="AB609" s="47"/>
    </row>
    <row r="610" spans="2:28" s="95" customFormat="1" ht="15" customHeight="1" x14ac:dyDescent="0.3">
      <c r="B610" s="162"/>
      <c r="C610" s="96"/>
      <c r="D610" s="97"/>
      <c r="E610" s="154"/>
      <c r="F610" s="47"/>
      <c r="G610" s="47"/>
      <c r="H610" s="47"/>
      <c r="I610" s="47"/>
      <c r="J610" s="47"/>
      <c r="K610" s="47"/>
      <c r="L610" s="47"/>
      <c r="M610" s="47"/>
      <c r="N610" s="47"/>
      <c r="O610" s="47"/>
      <c r="P610" s="47"/>
      <c r="Q610" s="47"/>
      <c r="R610" s="47"/>
      <c r="S610" s="47"/>
      <c r="T610" s="47"/>
      <c r="U610" s="47"/>
      <c r="V610" s="47"/>
      <c r="W610" s="47"/>
      <c r="X610" s="47"/>
      <c r="Y610" s="47"/>
      <c r="Z610" s="47"/>
      <c r="AA610" s="47"/>
      <c r="AB610" s="47"/>
    </row>
    <row r="621" spans="2:28" s="95" customFormat="1" ht="15" customHeight="1" x14ac:dyDescent="0.3">
      <c r="B621" s="162"/>
      <c r="C621" s="96"/>
      <c r="D621" s="97"/>
      <c r="E621" s="154"/>
      <c r="F621" s="47"/>
      <c r="G621" s="47"/>
      <c r="H621" s="47"/>
      <c r="I621" s="47"/>
      <c r="J621" s="47"/>
      <c r="K621" s="47"/>
      <c r="L621" s="47"/>
      <c r="M621" s="47"/>
      <c r="N621" s="47"/>
      <c r="O621" s="47"/>
      <c r="P621" s="47"/>
      <c r="Q621" s="47"/>
      <c r="R621" s="47"/>
      <c r="S621" s="47"/>
      <c r="T621" s="47"/>
      <c r="U621" s="47"/>
      <c r="V621" s="47"/>
      <c r="W621" s="47"/>
      <c r="X621" s="47"/>
      <c r="Y621" s="47"/>
      <c r="Z621" s="47"/>
      <c r="AA621" s="47"/>
      <c r="AB621" s="47"/>
    </row>
    <row r="622" spans="2:28" s="95" customFormat="1" ht="15" hidden="1" customHeight="1" thickBot="1" x14ac:dyDescent="0.3">
      <c r="B622" s="162"/>
      <c r="C622" s="96"/>
      <c r="D622" s="97"/>
      <c r="E622" s="154"/>
      <c r="F622" s="47"/>
      <c r="G622" s="47"/>
      <c r="H622" s="47"/>
      <c r="I622" s="47"/>
      <c r="J622" s="47"/>
      <c r="K622" s="47"/>
      <c r="L622" s="47"/>
      <c r="M622" s="47"/>
      <c r="N622" s="47"/>
      <c r="O622" s="47"/>
      <c r="P622" s="47"/>
      <c r="Q622" s="47"/>
      <c r="R622" s="47"/>
      <c r="S622" s="47"/>
      <c r="T622" s="47"/>
      <c r="U622" s="47"/>
      <c r="V622" s="47"/>
      <c r="W622" s="47"/>
      <c r="X622" s="47"/>
      <c r="Y622" s="47"/>
      <c r="Z622" s="47"/>
      <c r="AA622" s="47"/>
      <c r="AB622" s="47"/>
    </row>
    <row r="623" spans="2:28" s="95" customFormat="1" ht="15" customHeight="1" x14ac:dyDescent="0.3">
      <c r="B623" s="162"/>
      <c r="C623" s="96"/>
      <c r="D623" s="97"/>
      <c r="E623" s="154"/>
      <c r="F623" s="47"/>
      <c r="G623" s="47"/>
      <c r="H623" s="47"/>
      <c r="I623" s="47"/>
      <c r="J623" s="47"/>
      <c r="K623" s="47"/>
      <c r="L623" s="47"/>
      <c r="M623" s="47"/>
      <c r="N623" s="47"/>
      <c r="O623" s="47"/>
      <c r="P623" s="47"/>
      <c r="Q623" s="47"/>
      <c r="R623" s="47"/>
      <c r="S623" s="47"/>
      <c r="T623" s="47"/>
      <c r="U623" s="47"/>
      <c r="V623" s="47"/>
      <c r="W623" s="47"/>
      <c r="X623" s="47"/>
      <c r="Y623" s="47"/>
      <c r="Z623" s="47"/>
      <c r="AA623" s="47"/>
      <c r="AB623" s="47"/>
    </row>
    <row r="634" spans="2:28" s="95" customFormat="1" ht="15" customHeight="1" x14ac:dyDescent="0.3">
      <c r="B634" s="162"/>
      <c r="C634" s="96"/>
      <c r="D634" s="97"/>
      <c r="E634" s="154"/>
      <c r="F634" s="47"/>
      <c r="G634" s="47"/>
      <c r="H634" s="47"/>
      <c r="I634" s="47"/>
      <c r="J634" s="47"/>
      <c r="K634" s="47"/>
      <c r="L634" s="47"/>
      <c r="M634" s="47"/>
      <c r="N634" s="47"/>
      <c r="O634" s="47"/>
      <c r="P634" s="47"/>
      <c r="Q634" s="47"/>
      <c r="R634" s="47"/>
      <c r="S634" s="47"/>
      <c r="T634" s="47"/>
      <c r="U634" s="47"/>
      <c r="V634" s="47"/>
      <c r="W634" s="47"/>
      <c r="X634" s="47"/>
      <c r="Y634" s="47"/>
      <c r="Z634" s="47"/>
      <c r="AA634" s="47"/>
      <c r="AB634" s="47"/>
    </row>
    <row r="635" spans="2:28" s="95" customFormat="1" ht="15" customHeight="1" x14ac:dyDescent="0.3">
      <c r="B635" s="162"/>
      <c r="C635" s="96"/>
      <c r="D635" s="97"/>
      <c r="E635" s="154"/>
      <c r="F635" s="47"/>
      <c r="G635" s="47"/>
      <c r="H635" s="47"/>
      <c r="I635" s="47"/>
      <c r="J635" s="47"/>
      <c r="K635" s="47"/>
      <c r="L635" s="47"/>
      <c r="M635" s="47"/>
      <c r="N635" s="47"/>
      <c r="O635" s="47"/>
      <c r="P635" s="47"/>
      <c r="Q635" s="47"/>
      <c r="R635" s="47"/>
      <c r="S635" s="47"/>
      <c r="T635" s="47"/>
      <c r="U635" s="47"/>
      <c r="V635" s="47"/>
      <c r="W635" s="47"/>
      <c r="X635" s="47"/>
      <c r="Y635" s="47"/>
      <c r="Z635" s="47"/>
      <c r="AA635" s="47"/>
      <c r="AB635" s="47"/>
    </row>
    <row r="636" spans="2:28" s="95" customFormat="1" ht="15" customHeight="1" x14ac:dyDescent="0.3">
      <c r="B636" s="162"/>
      <c r="C636" s="96"/>
      <c r="D636" s="97"/>
      <c r="E636" s="154"/>
      <c r="F636" s="47"/>
      <c r="G636" s="47"/>
      <c r="H636" s="47"/>
      <c r="I636" s="47"/>
      <c r="J636" s="47"/>
      <c r="K636" s="47"/>
      <c r="L636" s="47"/>
      <c r="M636" s="47"/>
      <c r="N636" s="47"/>
      <c r="O636" s="47"/>
      <c r="P636" s="47"/>
      <c r="Q636" s="47"/>
      <c r="R636" s="47"/>
      <c r="S636" s="47"/>
      <c r="T636" s="47"/>
      <c r="U636" s="47"/>
      <c r="V636" s="47"/>
      <c r="W636" s="47"/>
      <c r="X636" s="47"/>
      <c r="Y636" s="47"/>
      <c r="Z636" s="47"/>
      <c r="AA636" s="47"/>
      <c r="AB636" s="47"/>
    </row>
    <row r="637" spans="2:28" s="95" customFormat="1" ht="15" customHeight="1" x14ac:dyDescent="0.3">
      <c r="B637" s="162"/>
      <c r="C637" s="96"/>
      <c r="D637" s="97"/>
      <c r="E637" s="154"/>
      <c r="F637" s="47"/>
      <c r="G637" s="47"/>
      <c r="H637" s="47"/>
      <c r="I637" s="47"/>
      <c r="J637" s="47"/>
      <c r="K637" s="47"/>
      <c r="L637" s="47"/>
      <c r="M637" s="47"/>
      <c r="N637" s="47"/>
      <c r="O637" s="47"/>
      <c r="P637" s="47"/>
      <c r="Q637" s="47"/>
      <c r="R637" s="47"/>
      <c r="S637" s="47"/>
      <c r="T637" s="47"/>
      <c r="U637" s="47"/>
      <c r="V637" s="47"/>
      <c r="W637" s="47"/>
      <c r="X637" s="47"/>
      <c r="Y637" s="47"/>
      <c r="Z637" s="47"/>
      <c r="AA637" s="47"/>
      <c r="AB637" s="47"/>
    </row>
    <row r="638" spans="2:28" s="95" customFormat="1" ht="15" customHeight="1" x14ac:dyDescent="0.3">
      <c r="B638" s="162"/>
      <c r="C638" s="96"/>
      <c r="D638" s="97"/>
      <c r="E638" s="154"/>
      <c r="F638" s="47"/>
      <c r="G638" s="47"/>
      <c r="H638" s="47"/>
      <c r="I638" s="47"/>
      <c r="J638" s="47"/>
      <c r="K638" s="47"/>
      <c r="L638" s="47"/>
      <c r="M638" s="47"/>
      <c r="N638" s="47"/>
      <c r="O638" s="47"/>
      <c r="P638" s="47"/>
      <c r="Q638" s="47"/>
      <c r="R638" s="47"/>
      <c r="S638" s="47"/>
      <c r="T638" s="47"/>
      <c r="U638" s="47"/>
      <c r="V638" s="47"/>
      <c r="W638" s="47"/>
      <c r="X638" s="47"/>
      <c r="Y638" s="47"/>
      <c r="Z638" s="47"/>
      <c r="AA638" s="47"/>
      <c r="AB638" s="47"/>
    </row>
    <row r="649" spans="2:28" s="95" customFormat="1" ht="15" customHeight="1" x14ac:dyDescent="0.3">
      <c r="B649" s="162"/>
      <c r="C649" s="96"/>
      <c r="D649" s="97"/>
      <c r="E649" s="154"/>
      <c r="F649" s="47"/>
      <c r="G649" s="47"/>
      <c r="H649" s="47"/>
      <c r="I649" s="47"/>
      <c r="J649" s="47"/>
      <c r="K649" s="47"/>
      <c r="L649" s="47"/>
      <c r="M649" s="47"/>
      <c r="N649" s="47"/>
      <c r="O649" s="47"/>
      <c r="P649" s="47"/>
      <c r="Q649" s="47"/>
      <c r="R649" s="47"/>
      <c r="S649" s="47"/>
      <c r="T649" s="47"/>
      <c r="U649" s="47"/>
      <c r="V649" s="47"/>
      <c r="W649" s="47"/>
      <c r="X649" s="47"/>
      <c r="Y649" s="47"/>
      <c r="Z649" s="47"/>
      <c r="AA649" s="47"/>
      <c r="AB649" s="47"/>
    </row>
    <row r="650" spans="2:28" s="95" customFormat="1" ht="15" customHeight="1" x14ac:dyDescent="0.3">
      <c r="B650" s="162"/>
      <c r="C650" s="96"/>
      <c r="D650" s="97"/>
      <c r="E650" s="154"/>
      <c r="F650" s="47"/>
      <c r="G650" s="47"/>
      <c r="H650" s="47"/>
      <c r="I650" s="47"/>
      <c r="J650" s="47"/>
      <c r="K650" s="47"/>
      <c r="L650" s="47"/>
      <c r="M650" s="47"/>
      <c r="N650" s="47"/>
      <c r="O650" s="47"/>
      <c r="P650" s="47"/>
      <c r="Q650" s="47"/>
      <c r="R650" s="47"/>
      <c r="S650" s="47"/>
      <c r="T650" s="47"/>
      <c r="U650" s="47"/>
      <c r="V650" s="47"/>
      <c r="W650" s="47"/>
      <c r="X650" s="47"/>
      <c r="Y650" s="47"/>
      <c r="Z650" s="47"/>
      <c r="AA650" s="47"/>
      <c r="AB650" s="47"/>
    </row>
    <row r="651" spans="2:28" s="95" customFormat="1" ht="15" customHeight="1" x14ac:dyDescent="0.3">
      <c r="B651" s="162"/>
      <c r="C651" s="96"/>
      <c r="D651" s="97"/>
      <c r="E651" s="154"/>
      <c r="F651" s="47"/>
      <c r="G651" s="47"/>
      <c r="H651" s="47"/>
      <c r="I651" s="47"/>
      <c r="J651" s="47"/>
      <c r="K651" s="47"/>
      <c r="L651" s="47"/>
      <c r="M651" s="47"/>
      <c r="N651" s="47"/>
      <c r="O651" s="47"/>
      <c r="P651" s="47"/>
      <c r="Q651" s="47"/>
      <c r="R651" s="47"/>
      <c r="S651" s="47"/>
      <c r="T651" s="47"/>
      <c r="U651" s="47"/>
      <c r="V651" s="47"/>
      <c r="W651" s="47"/>
      <c r="X651" s="47"/>
      <c r="Y651" s="47"/>
      <c r="Z651" s="47"/>
      <c r="AA651" s="47"/>
      <c r="AB651" s="47"/>
    </row>
    <row r="652" spans="2:28" s="95" customFormat="1" ht="15" customHeight="1" x14ac:dyDescent="0.3">
      <c r="B652" s="162"/>
      <c r="C652" s="96"/>
      <c r="D652" s="97"/>
      <c r="E652" s="154"/>
      <c r="F652" s="47"/>
      <c r="G652" s="47"/>
      <c r="H652" s="47"/>
      <c r="I652" s="47"/>
      <c r="J652" s="47"/>
      <c r="K652" s="47"/>
      <c r="L652" s="47"/>
      <c r="M652" s="47"/>
      <c r="N652" s="47"/>
      <c r="O652" s="47"/>
      <c r="P652" s="47"/>
      <c r="Q652" s="47"/>
      <c r="R652" s="47"/>
      <c r="S652" s="47"/>
      <c r="T652" s="47"/>
      <c r="U652" s="47"/>
      <c r="V652" s="47"/>
      <c r="W652" s="47"/>
      <c r="X652" s="47"/>
      <c r="Y652" s="47"/>
      <c r="Z652" s="47"/>
      <c r="AA652" s="47"/>
      <c r="AB652" s="47"/>
    </row>
    <row r="653" spans="2:28" s="95" customFormat="1" ht="15" customHeight="1" x14ac:dyDescent="0.3">
      <c r="B653" s="162"/>
      <c r="C653" s="96"/>
      <c r="D653" s="97"/>
      <c r="E653" s="154"/>
      <c r="F653" s="47"/>
      <c r="G653" s="47"/>
      <c r="H653" s="47"/>
      <c r="I653" s="47"/>
      <c r="J653" s="47"/>
      <c r="K653" s="47"/>
      <c r="L653" s="47"/>
      <c r="M653" s="47"/>
      <c r="N653" s="47"/>
      <c r="O653" s="47"/>
      <c r="P653" s="47"/>
      <c r="Q653" s="47"/>
      <c r="R653" s="47"/>
      <c r="S653" s="47"/>
      <c r="T653" s="47"/>
      <c r="U653" s="47"/>
      <c r="V653" s="47"/>
      <c r="W653" s="47"/>
      <c r="X653" s="47"/>
      <c r="Y653" s="47"/>
      <c r="Z653" s="47"/>
      <c r="AA653" s="47"/>
      <c r="AB653" s="47"/>
    </row>
    <row r="664" spans="2:28" s="95" customFormat="1" ht="15" customHeight="1" x14ac:dyDescent="0.3">
      <c r="B664" s="162"/>
      <c r="C664" s="96"/>
      <c r="D664" s="97"/>
      <c r="E664" s="154"/>
      <c r="F664" s="47"/>
      <c r="G664" s="47"/>
      <c r="H664" s="47"/>
      <c r="I664" s="47"/>
      <c r="J664" s="47"/>
      <c r="K664" s="47"/>
      <c r="L664" s="47"/>
      <c r="M664" s="47"/>
      <c r="N664" s="47"/>
      <c r="O664" s="47"/>
      <c r="P664" s="47"/>
      <c r="Q664" s="47"/>
      <c r="R664" s="47"/>
      <c r="S664" s="47"/>
      <c r="T664" s="47"/>
      <c r="U664" s="47"/>
      <c r="V664" s="47"/>
      <c r="W664" s="47"/>
      <c r="X664" s="47"/>
      <c r="Y664" s="47"/>
      <c r="Z664" s="47"/>
      <c r="AA664" s="47"/>
      <c r="AB664" s="47"/>
    </row>
    <row r="665" spans="2:28" s="95" customFormat="1" ht="15" customHeight="1" x14ac:dyDescent="0.3">
      <c r="B665" s="162"/>
      <c r="C665" s="96"/>
      <c r="D665" s="97"/>
      <c r="E665" s="154"/>
      <c r="F665" s="47"/>
      <c r="G665" s="47"/>
      <c r="H665" s="47"/>
      <c r="I665" s="47"/>
      <c r="J665" s="47"/>
      <c r="K665" s="47"/>
      <c r="L665" s="47"/>
      <c r="M665" s="47"/>
      <c r="N665" s="47"/>
      <c r="O665" s="47"/>
      <c r="P665" s="47"/>
      <c r="Q665" s="47"/>
      <c r="R665" s="47"/>
      <c r="S665" s="47"/>
      <c r="T665" s="47"/>
      <c r="U665" s="47"/>
      <c r="V665" s="47"/>
      <c r="W665" s="47"/>
      <c r="X665" s="47"/>
      <c r="Y665" s="47"/>
      <c r="Z665" s="47"/>
      <c r="AA665" s="47"/>
      <c r="AB665" s="47"/>
    </row>
    <row r="666" spans="2:28" s="95" customFormat="1" ht="15" customHeight="1" x14ac:dyDescent="0.3">
      <c r="B666" s="162"/>
      <c r="C666" s="96"/>
      <c r="D666" s="97"/>
      <c r="E666" s="154"/>
      <c r="F666" s="47"/>
      <c r="G666" s="47"/>
      <c r="H666" s="47"/>
      <c r="I666" s="47"/>
      <c r="J666" s="47"/>
      <c r="K666" s="47"/>
      <c r="L666" s="47"/>
      <c r="M666" s="47"/>
      <c r="N666" s="47"/>
      <c r="O666" s="47"/>
      <c r="P666" s="47"/>
      <c r="Q666" s="47"/>
      <c r="R666" s="47"/>
      <c r="S666" s="47"/>
      <c r="T666" s="47"/>
      <c r="U666" s="47"/>
      <c r="V666" s="47"/>
      <c r="W666" s="47"/>
      <c r="X666" s="47"/>
      <c r="Y666" s="47"/>
      <c r="Z666" s="47"/>
      <c r="AA666" s="47"/>
      <c r="AB666" s="47"/>
    </row>
    <row r="667" spans="2:28" s="95" customFormat="1" ht="15" customHeight="1" x14ac:dyDescent="0.3">
      <c r="B667" s="162"/>
      <c r="C667" s="96"/>
      <c r="D667" s="97"/>
      <c r="E667" s="154"/>
      <c r="F667" s="47"/>
      <c r="G667" s="47"/>
      <c r="H667" s="47"/>
      <c r="I667" s="47"/>
      <c r="J667" s="47"/>
      <c r="K667" s="47"/>
      <c r="L667" s="47"/>
      <c r="M667" s="47"/>
      <c r="N667" s="47"/>
      <c r="O667" s="47"/>
      <c r="P667" s="47"/>
      <c r="Q667" s="47"/>
      <c r="R667" s="47"/>
      <c r="S667" s="47"/>
      <c r="T667" s="47"/>
      <c r="U667" s="47"/>
      <c r="V667" s="47"/>
      <c r="W667" s="47"/>
      <c r="X667" s="47"/>
      <c r="Y667" s="47"/>
      <c r="Z667" s="47"/>
      <c r="AA667" s="47"/>
      <c r="AB667" s="47"/>
    </row>
    <row r="668" spans="2:28" s="95" customFormat="1" ht="15" customHeight="1" x14ac:dyDescent="0.3">
      <c r="B668" s="162"/>
      <c r="C668" s="96"/>
      <c r="D668" s="97"/>
      <c r="E668" s="154"/>
      <c r="F668" s="47"/>
      <c r="G668" s="47"/>
      <c r="H668" s="47"/>
      <c r="I668" s="47"/>
      <c r="J668" s="47"/>
      <c r="K668" s="47"/>
      <c r="L668" s="47"/>
      <c r="M668" s="47"/>
      <c r="N668" s="47"/>
      <c r="O668" s="47"/>
      <c r="P668" s="47"/>
      <c r="Q668" s="47"/>
      <c r="R668" s="47"/>
      <c r="S668" s="47"/>
      <c r="T668" s="47"/>
      <c r="U668" s="47"/>
      <c r="V668" s="47"/>
      <c r="W668" s="47"/>
      <c r="X668" s="47"/>
      <c r="Y668" s="47"/>
      <c r="Z668" s="47"/>
      <c r="AA668" s="47"/>
      <c r="AB668" s="47"/>
    </row>
    <row r="679" spans="2:28" s="95" customFormat="1" ht="15" customHeight="1" x14ac:dyDescent="0.3">
      <c r="B679" s="162"/>
      <c r="C679" s="96"/>
      <c r="D679" s="97"/>
      <c r="E679" s="154"/>
      <c r="F679" s="47"/>
      <c r="G679" s="47"/>
      <c r="H679" s="47"/>
      <c r="I679" s="47"/>
      <c r="J679" s="47"/>
      <c r="K679" s="47"/>
      <c r="L679" s="47"/>
      <c r="M679" s="47"/>
      <c r="N679" s="47"/>
      <c r="O679" s="47"/>
      <c r="P679" s="47"/>
      <c r="Q679" s="47"/>
      <c r="R679" s="47"/>
      <c r="S679" s="47"/>
      <c r="T679" s="47"/>
      <c r="U679" s="47"/>
      <c r="V679" s="47"/>
      <c r="W679" s="47"/>
      <c r="X679" s="47"/>
      <c r="Y679" s="47"/>
      <c r="Z679" s="47"/>
      <c r="AA679" s="47"/>
      <c r="AB679" s="47"/>
    </row>
    <row r="681" spans="2:28" s="95" customFormat="1" ht="15" customHeight="1" x14ac:dyDescent="0.3">
      <c r="B681" s="162"/>
      <c r="C681" s="96"/>
      <c r="D681" s="97"/>
      <c r="E681" s="154"/>
      <c r="F681" s="47"/>
      <c r="G681" s="47"/>
      <c r="H681" s="47"/>
      <c r="I681" s="47"/>
      <c r="J681" s="47"/>
      <c r="K681" s="47"/>
      <c r="L681" s="47"/>
      <c r="M681" s="47"/>
      <c r="N681" s="47"/>
      <c r="O681" s="47"/>
      <c r="P681" s="47"/>
      <c r="Q681" s="47"/>
      <c r="R681" s="47"/>
      <c r="S681" s="47"/>
      <c r="T681" s="47"/>
      <c r="U681" s="47"/>
      <c r="V681" s="47"/>
      <c r="W681" s="47"/>
      <c r="X681" s="47"/>
      <c r="Y681" s="47"/>
      <c r="Z681" s="47"/>
      <c r="AA681" s="47"/>
      <c r="AB681" s="47"/>
    </row>
    <row r="692" spans="2:28" s="95" customFormat="1" ht="15" customHeight="1" x14ac:dyDescent="0.3">
      <c r="B692" s="162"/>
      <c r="C692" s="96"/>
      <c r="D692" s="97"/>
      <c r="E692" s="154"/>
      <c r="F692" s="47"/>
      <c r="G692" s="47"/>
      <c r="H692" s="47"/>
      <c r="I692" s="47"/>
      <c r="J692" s="47"/>
      <c r="K692" s="47"/>
      <c r="L692" s="47"/>
      <c r="M692" s="47"/>
      <c r="N692" s="47"/>
      <c r="O692" s="47"/>
      <c r="P692" s="47"/>
      <c r="Q692" s="47"/>
      <c r="R692" s="47"/>
      <c r="S692" s="47"/>
      <c r="T692" s="47"/>
      <c r="U692" s="47"/>
      <c r="V692" s="47"/>
      <c r="W692" s="47"/>
      <c r="X692" s="47"/>
      <c r="Y692" s="47"/>
      <c r="Z692" s="47"/>
      <c r="AA692" s="47"/>
      <c r="AB692" s="47"/>
    </row>
    <row r="693" spans="2:28" s="95" customFormat="1" ht="15" customHeight="1" x14ac:dyDescent="0.3">
      <c r="B693" s="162"/>
      <c r="C693" s="96"/>
      <c r="D693" s="97"/>
      <c r="E693" s="154"/>
      <c r="F693" s="47"/>
      <c r="G693" s="47"/>
      <c r="H693" s="47"/>
      <c r="I693" s="47"/>
      <c r="J693" s="47"/>
      <c r="K693" s="47"/>
      <c r="L693" s="47"/>
      <c r="M693" s="47"/>
      <c r="N693" s="47"/>
      <c r="O693" s="47"/>
      <c r="P693" s="47"/>
      <c r="Q693" s="47"/>
      <c r="R693" s="47"/>
      <c r="S693" s="47"/>
      <c r="T693" s="47"/>
      <c r="U693" s="47"/>
      <c r="V693" s="47"/>
      <c r="W693" s="47"/>
      <c r="X693" s="47"/>
      <c r="Y693" s="47"/>
      <c r="Z693" s="47"/>
      <c r="AA693" s="47"/>
      <c r="AB693" s="47"/>
    </row>
    <row r="704" spans="2:28" s="95" customFormat="1" ht="15" customHeight="1" x14ac:dyDescent="0.3">
      <c r="B704" s="162"/>
      <c r="C704" s="96"/>
      <c r="D704" s="97"/>
      <c r="E704" s="154"/>
      <c r="F704" s="47"/>
      <c r="G704" s="47"/>
      <c r="H704" s="47"/>
      <c r="I704" s="47"/>
      <c r="J704" s="47"/>
      <c r="K704" s="47"/>
      <c r="L704" s="47"/>
      <c r="M704" s="47"/>
      <c r="N704" s="47"/>
      <c r="O704" s="47"/>
      <c r="P704" s="47"/>
      <c r="Q704" s="47"/>
      <c r="R704" s="47"/>
      <c r="S704" s="47"/>
      <c r="T704" s="47"/>
      <c r="U704" s="47"/>
      <c r="V704" s="47"/>
      <c r="W704" s="47"/>
      <c r="X704" s="47"/>
      <c r="Y704" s="47"/>
      <c r="Z704" s="47"/>
      <c r="AA704" s="47"/>
      <c r="AB704" s="47"/>
    </row>
    <row r="705" spans="2:28" s="95" customFormat="1" ht="15" customHeight="1" x14ac:dyDescent="0.3">
      <c r="B705" s="162"/>
      <c r="C705" s="96"/>
      <c r="D705" s="97"/>
      <c r="E705" s="154"/>
      <c r="F705" s="47"/>
      <c r="G705" s="47"/>
      <c r="H705" s="47"/>
      <c r="I705" s="47"/>
      <c r="J705" s="47"/>
      <c r="K705" s="47"/>
      <c r="L705" s="47"/>
      <c r="M705" s="47"/>
      <c r="N705" s="47"/>
      <c r="O705" s="47"/>
      <c r="P705" s="47"/>
      <c r="Q705" s="47"/>
      <c r="R705" s="47"/>
      <c r="S705" s="47"/>
      <c r="T705" s="47"/>
      <c r="U705" s="47"/>
      <c r="V705" s="47"/>
      <c r="W705" s="47"/>
      <c r="X705" s="47"/>
      <c r="Y705" s="47"/>
      <c r="Z705" s="47"/>
      <c r="AA705" s="47"/>
      <c r="AB705" s="47"/>
    </row>
    <row r="715" spans="2:28" s="95" customFormat="1" ht="15" customHeight="1" x14ac:dyDescent="0.3">
      <c r="B715" s="162"/>
      <c r="C715" s="96"/>
      <c r="D715" s="97"/>
      <c r="E715" s="154"/>
      <c r="F715" s="47"/>
      <c r="G715" s="47"/>
      <c r="H715" s="47"/>
      <c r="I715" s="47"/>
      <c r="J715" s="47"/>
      <c r="K715" s="47"/>
      <c r="L715" s="47"/>
      <c r="M715" s="47"/>
      <c r="N715" s="47"/>
      <c r="O715" s="47"/>
      <c r="P715" s="47"/>
      <c r="Q715" s="47"/>
      <c r="R715" s="47"/>
      <c r="S715" s="47"/>
      <c r="T715" s="47"/>
      <c r="U715" s="47"/>
      <c r="V715" s="47"/>
      <c r="W715" s="47"/>
      <c r="X715" s="47"/>
      <c r="Y715" s="47"/>
      <c r="Z715" s="47"/>
      <c r="AA715" s="47"/>
      <c r="AB715" s="47"/>
    </row>
    <row r="716" spans="2:28" s="95" customFormat="1" ht="15" customHeight="1" x14ac:dyDescent="0.3">
      <c r="B716" s="162"/>
      <c r="C716" s="96"/>
      <c r="D716" s="97"/>
      <c r="E716" s="154"/>
      <c r="F716" s="47"/>
      <c r="G716" s="47"/>
      <c r="H716" s="47"/>
      <c r="I716" s="47"/>
      <c r="J716" s="47"/>
      <c r="K716" s="47"/>
      <c r="L716" s="47"/>
      <c r="M716" s="47"/>
      <c r="N716" s="47"/>
      <c r="O716" s="47"/>
      <c r="P716" s="47"/>
      <c r="Q716" s="47"/>
      <c r="R716" s="47"/>
      <c r="S716" s="47"/>
      <c r="T716" s="47"/>
      <c r="U716" s="47"/>
      <c r="V716" s="47"/>
      <c r="W716" s="47"/>
      <c r="X716" s="47"/>
      <c r="Y716" s="47"/>
      <c r="Z716" s="47"/>
      <c r="AA716" s="47"/>
      <c r="AB716" s="47"/>
    </row>
    <row r="717" spans="2:28" s="95" customFormat="1" ht="15" hidden="1" customHeight="1" thickBot="1" x14ac:dyDescent="0.3">
      <c r="B717" s="162"/>
      <c r="C717" s="96"/>
      <c r="D717" s="97"/>
      <c r="E717" s="154"/>
      <c r="F717" s="47"/>
      <c r="G717" s="47"/>
      <c r="H717" s="47"/>
      <c r="I717" s="47"/>
      <c r="J717" s="47"/>
      <c r="K717" s="47"/>
      <c r="L717" s="47"/>
      <c r="M717" s="47"/>
      <c r="N717" s="47"/>
      <c r="O717" s="47"/>
      <c r="P717" s="47"/>
      <c r="Q717" s="47"/>
      <c r="R717" s="47"/>
      <c r="S717" s="47"/>
      <c r="T717" s="47"/>
      <c r="U717" s="47"/>
      <c r="V717" s="47"/>
      <c r="W717" s="47"/>
      <c r="X717" s="47"/>
      <c r="Y717" s="47"/>
      <c r="Z717" s="47"/>
      <c r="AA717" s="47"/>
      <c r="AB717" s="47"/>
    </row>
    <row r="718" spans="2:28" s="95" customFormat="1" ht="15" customHeight="1" x14ac:dyDescent="0.3">
      <c r="B718" s="162"/>
      <c r="C718" s="96"/>
      <c r="D718" s="97"/>
      <c r="E718" s="154"/>
      <c r="F718" s="47"/>
      <c r="G718" s="47"/>
      <c r="H718" s="47"/>
      <c r="I718" s="47"/>
      <c r="J718" s="47"/>
      <c r="K718" s="47"/>
      <c r="L718" s="47"/>
      <c r="M718" s="47"/>
      <c r="N718" s="47"/>
      <c r="O718" s="47"/>
      <c r="P718" s="47"/>
      <c r="Q718" s="47"/>
      <c r="R718" s="47"/>
      <c r="S718" s="47"/>
      <c r="T718" s="47"/>
      <c r="U718" s="47"/>
      <c r="V718" s="47"/>
      <c r="W718" s="47"/>
      <c r="X718" s="47"/>
      <c r="Y718" s="47"/>
      <c r="Z718" s="47"/>
      <c r="AA718" s="47"/>
      <c r="AB718" s="47"/>
    </row>
    <row r="729" spans="2:28" s="95" customFormat="1" ht="15" customHeight="1" x14ac:dyDescent="0.3">
      <c r="B729" s="162"/>
      <c r="C729" s="96"/>
      <c r="D729" s="97"/>
      <c r="E729" s="154"/>
      <c r="F729" s="47"/>
      <c r="G729" s="47"/>
      <c r="H729" s="47"/>
      <c r="I729" s="47"/>
      <c r="J729" s="47"/>
      <c r="K729" s="47"/>
      <c r="L729" s="47"/>
      <c r="M729" s="47"/>
      <c r="N729" s="47"/>
      <c r="O729" s="47"/>
      <c r="P729" s="47"/>
      <c r="Q729" s="47"/>
      <c r="R729" s="47"/>
      <c r="S729" s="47"/>
      <c r="T729" s="47"/>
      <c r="U729" s="47"/>
      <c r="V729" s="47"/>
      <c r="W729" s="47"/>
      <c r="X729" s="47"/>
      <c r="Y729" s="47"/>
      <c r="Z729" s="47"/>
      <c r="AA729" s="47"/>
      <c r="AB729" s="47"/>
    </row>
    <row r="730" spans="2:28" s="95" customFormat="1" ht="15" hidden="1" customHeight="1" thickBot="1" x14ac:dyDescent="0.3">
      <c r="B730" s="162"/>
      <c r="C730" s="96"/>
      <c r="D730" s="97"/>
      <c r="E730" s="154"/>
      <c r="F730" s="47"/>
      <c r="G730" s="47"/>
      <c r="H730" s="47"/>
      <c r="I730" s="47"/>
      <c r="J730" s="47"/>
      <c r="K730" s="47"/>
      <c r="L730" s="47"/>
      <c r="M730" s="47"/>
      <c r="N730" s="47"/>
      <c r="O730" s="47"/>
      <c r="P730" s="47"/>
      <c r="Q730" s="47"/>
      <c r="R730" s="47"/>
      <c r="S730" s="47"/>
      <c r="T730" s="47"/>
      <c r="U730" s="47"/>
      <c r="V730" s="47"/>
      <c r="W730" s="47"/>
      <c r="X730" s="47"/>
      <c r="Y730" s="47"/>
      <c r="Z730" s="47"/>
      <c r="AA730" s="47"/>
      <c r="AB730" s="47"/>
    </row>
    <row r="731" spans="2:28" s="95" customFormat="1" ht="15" customHeight="1" x14ac:dyDescent="0.3">
      <c r="B731" s="162"/>
      <c r="C731" s="96"/>
      <c r="D731" s="97"/>
      <c r="E731" s="154"/>
      <c r="F731" s="47"/>
      <c r="G731" s="47"/>
      <c r="H731" s="47"/>
      <c r="I731" s="47"/>
      <c r="J731" s="47"/>
      <c r="K731" s="47"/>
      <c r="L731" s="47"/>
      <c r="M731" s="47"/>
      <c r="N731" s="47"/>
      <c r="O731" s="47"/>
      <c r="P731" s="47"/>
      <c r="Q731" s="47"/>
      <c r="R731" s="47"/>
      <c r="S731" s="47"/>
      <c r="T731" s="47"/>
      <c r="U731" s="47"/>
      <c r="V731" s="47"/>
      <c r="W731" s="47"/>
      <c r="X731" s="47"/>
      <c r="Y731" s="47"/>
      <c r="Z731" s="47"/>
      <c r="AA731" s="47"/>
      <c r="AB731" s="47"/>
    </row>
    <row r="742" spans="2:28" s="95" customFormat="1" ht="15" customHeight="1" x14ac:dyDescent="0.3">
      <c r="B742" s="162"/>
      <c r="C742" s="96"/>
      <c r="D742" s="97"/>
      <c r="E742" s="154"/>
      <c r="F742" s="47"/>
      <c r="G742" s="47"/>
      <c r="H742" s="47"/>
      <c r="I742" s="47"/>
      <c r="J742" s="47"/>
      <c r="K742" s="47"/>
      <c r="L742" s="47"/>
      <c r="M742" s="47"/>
      <c r="N742" s="47"/>
      <c r="O742" s="47"/>
      <c r="P742" s="47"/>
      <c r="Q742" s="47"/>
      <c r="R742" s="47"/>
      <c r="S742" s="47"/>
      <c r="T742" s="47"/>
      <c r="U742" s="47"/>
      <c r="V742" s="47"/>
      <c r="W742" s="47"/>
      <c r="X742" s="47"/>
      <c r="Y742" s="47"/>
      <c r="Z742" s="47"/>
      <c r="AA742" s="47"/>
      <c r="AB742" s="47"/>
    </row>
    <row r="743" spans="2:28" s="95" customFormat="1" ht="15" hidden="1" customHeight="1" thickBot="1" x14ac:dyDescent="0.3">
      <c r="B743" s="162"/>
      <c r="C743" s="96"/>
      <c r="D743" s="97"/>
      <c r="E743" s="154"/>
      <c r="F743" s="47"/>
      <c r="G743" s="47"/>
      <c r="H743" s="47"/>
      <c r="I743" s="47"/>
      <c r="J743" s="47"/>
      <c r="K743" s="47"/>
      <c r="L743" s="47"/>
      <c r="M743" s="47"/>
      <c r="N743" s="47"/>
      <c r="O743" s="47"/>
      <c r="P743" s="47"/>
      <c r="Q743" s="47"/>
      <c r="R743" s="47"/>
      <c r="S743" s="47"/>
      <c r="T743" s="47"/>
      <c r="U743" s="47"/>
      <c r="V743" s="47"/>
      <c r="W743" s="47"/>
      <c r="X743" s="47"/>
      <c r="Y743" s="47"/>
      <c r="Z743" s="47"/>
      <c r="AA743" s="47"/>
      <c r="AB743" s="47"/>
    </row>
    <row r="744" spans="2:28" s="95" customFormat="1" ht="15" customHeight="1" x14ac:dyDescent="0.3">
      <c r="B744" s="162"/>
      <c r="C744" s="96"/>
      <c r="D744" s="97"/>
      <c r="E744" s="154"/>
      <c r="F744" s="47"/>
      <c r="G744" s="47"/>
      <c r="H744" s="47"/>
      <c r="I744" s="47"/>
      <c r="J744" s="47"/>
      <c r="K744" s="47"/>
      <c r="L744" s="47"/>
      <c r="M744" s="47"/>
      <c r="N744" s="47"/>
      <c r="O744" s="47"/>
      <c r="P744" s="47"/>
      <c r="Q744" s="47"/>
      <c r="R744" s="47"/>
      <c r="S744" s="47"/>
      <c r="T744" s="47"/>
      <c r="U744" s="47"/>
      <c r="V744" s="47"/>
      <c r="W744" s="47"/>
      <c r="X744" s="47"/>
      <c r="Y744" s="47"/>
      <c r="Z744" s="47"/>
      <c r="AA744" s="47"/>
      <c r="AB744" s="47"/>
    </row>
    <row r="755" spans="2:28" s="95" customFormat="1" ht="15" customHeight="1" x14ac:dyDescent="0.3">
      <c r="B755" s="162"/>
      <c r="C755" s="96"/>
      <c r="D755" s="97"/>
      <c r="E755" s="154"/>
      <c r="F755" s="47"/>
      <c r="G755" s="47"/>
      <c r="H755" s="47"/>
      <c r="I755" s="47"/>
      <c r="J755" s="47"/>
      <c r="K755" s="47"/>
      <c r="L755" s="47"/>
      <c r="M755" s="47"/>
      <c r="N755" s="47"/>
      <c r="O755" s="47"/>
      <c r="P755" s="47"/>
      <c r="Q755" s="47"/>
      <c r="R755" s="47"/>
      <c r="S755" s="47"/>
      <c r="T755" s="47"/>
      <c r="U755" s="47"/>
      <c r="V755" s="47"/>
      <c r="W755" s="47"/>
      <c r="X755" s="47"/>
      <c r="Y755" s="47"/>
      <c r="Z755" s="47"/>
      <c r="AA755" s="47"/>
      <c r="AB755" s="47"/>
    </row>
    <row r="756" spans="2:28" s="95" customFormat="1" ht="15" hidden="1" customHeight="1" thickBot="1" x14ac:dyDescent="0.3">
      <c r="B756" s="162"/>
      <c r="C756" s="96"/>
      <c r="D756" s="97"/>
      <c r="E756" s="154"/>
      <c r="F756" s="47"/>
      <c r="G756" s="47"/>
      <c r="H756" s="47"/>
      <c r="I756" s="47"/>
      <c r="J756" s="47"/>
      <c r="K756" s="47"/>
      <c r="L756" s="47"/>
      <c r="M756" s="47"/>
      <c r="N756" s="47"/>
      <c r="O756" s="47"/>
      <c r="P756" s="47"/>
      <c r="Q756" s="47"/>
      <c r="R756" s="47"/>
      <c r="S756" s="47"/>
      <c r="T756" s="47"/>
      <c r="U756" s="47"/>
      <c r="V756" s="47"/>
      <c r="W756" s="47"/>
      <c r="X756" s="47"/>
      <c r="Y756" s="47"/>
      <c r="Z756" s="47"/>
      <c r="AA756" s="47"/>
      <c r="AB756" s="47"/>
    </row>
    <row r="757" spans="2:28" s="95" customFormat="1" ht="15" customHeight="1" x14ac:dyDescent="0.3">
      <c r="B757" s="162"/>
      <c r="C757" s="96"/>
      <c r="D757" s="97"/>
      <c r="E757" s="154"/>
      <c r="F757" s="47"/>
      <c r="G757" s="47"/>
      <c r="H757" s="47"/>
      <c r="I757" s="47"/>
      <c r="J757" s="47"/>
      <c r="K757" s="47"/>
      <c r="L757" s="47"/>
      <c r="M757" s="47"/>
      <c r="N757" s="47"/>
      <c r="O757" s="47"/>
      <c r="P757" s="47"/>
      <c r="Q757" s="47"/>
      <c r="R757" s="47"/>
      <c r="S757" s="47"/>
      <c r="T757" s="47"/>
      <c r="U757" s="47"/>
      <c r="V757" s="47"/>
      <c r="W757" s="47"/>
      <c r="X757" s="47"/>
      <c r="Y757" s="47"/>
      <c r="Z757" s="47"/>
      <c r="AA757" s="47"/>
      <c r="AB757" s="47"/>
    </row>
    <row r="768" spans="2:28" s="95" customFormat="1" ht="15" customHeight="1" x14ac:dyDescent="0.3">
      <c r="B768" s="162"/>
      <c r="C768" s="96"/>
      <c r="D768" s="97"/>
      <c r="E768" s="154"/>
      <c r="F768" s="47"/>
      <c r="G768" s="47"/>
      <c r="H768" s="47"/>
      <c r="I768" s="47"/>
      <c r="J768" s="47"/>
      <c r="K768" s="47"/>
      <c r="L768" s="47"/>
      <c r="M768" s="47"/>
      <c r="N768" s="47"/>
      <c r="O768" s="47"/>
      <c r="P768" s="47"/>
      <c r="Q768" s="47"/>
      <c r="R768" s="47"/>
      <c r="S768" s="47"/>
      <c r="T768" s="47"/>
      <c r="U768" s="47"/>
      <c r="V768" s="47"/>
      <c r="W768" s="47"/>
      <c r="X768" s="47"/>
      <c r="Y768" s="47"/>
      <c r="Z768" s="47"/>
      <c r="AA768" s="47"/>
      <c r="AB768" s="47"/>
    </row>
    <row r="769" spans="2:28" s="95" customFormat="1" ht="15" hidden="1" customHeight="1" thickBot="1" x14ac:dyDescent="0.3">
      <c r="B769" s="162"/>
      <c r="C769" s="96"/>
      <c r="D769" s="97"/>
      <c r="E769" s="154"/>
      <c r="F769" s="47"/>
      <c r="G769" s="47"/>
      <c r="H769" s="47"/>
      <c r="I769" s="47"/>
      <c r="J769" s="47"/>
      <c r="K769" s="47"/>
      <c r="L769" s="47"/>
      <c r="M769" s="47"/>
      <c r="N769" s="47"/>
      <c r="O769" s="47"/>
      <c r="P769" s="47"/>
      <c r="Q769" s="47"/>
      <c r="R769" s="47"/>
      <c r="S769" s="47"/>
      <c r="T769" s="47"/>
      <c r="U769" s="47"/>
      <c r="V769" s="47"/>
      <c r="W769" s="47"/>
      <c r="X769" s="47"/>
      <c r="Y769" s="47"/>
      <c r="Z769" s="47"/>
      <c r="AA769" s="47"/>
      <c r="AB769" s="47"/>
    </row>
    <row r="770" spans="2:28" s="95" customFormat="1" ht="15" customHeight="1" x14ac:dyDescent="0.3">
      <c r="B770" s="162"/>
      <c r="C770" s="96"/>
      <c r="D770" s="97"/>
      <c r="E770" s="154"/>
      <c r="F770" s="47"/>
      <c r="G770" s="47"/>
      <c r="H770" s="47"/>
      <c r="I770" s="47"/>
      <c r="J770" s="47"/>
      <c r="K770" s="47"/>
      <c r="L770" s="47"/>
      <c r="M770" s="47"/>
      <c r="N770" s="47"/>
      <c r="O770" s="47"/>
      <c r="P770" s="47"/>
      <c r="Q770" s="47"/>
      <c r="R770" s="47"/>
      <c r="S770" s="47"/>
      <c r="T770" s="47"/>
      <c r="U770" s="47"/>
      <c r="V770" s="47"/>
      <c r="W770" s="47"/>
      <c r="X770" s="47"/>
      <c r="Y770" s="47"/>
      <c r="Z770" s="47"/>
      <c r="AA770" s="47"/>
      <c r="AB770" s="47"/>
    </row>
    <row r="781" spans="2:28" s="95" customFormat="1" ht="15" customHeight="1" x14ac:dyDescent="0.3">
      <c r="B781" s="162"/>
      <c r="C781" s="96"/>
      <c r="D781" s="97"/>
      <c r="E781" s="154"/>
      <c r="F781" s="47"/>
      <c r="G781" s="47"/>
      <c r="H781" s="47"/>
      <c r="I781" s="47"/>
      <c r="J781" s="47"/>
      <c r="K781" s="47"/>
      <c r="L781" s="47"/>
      <c r="M781" s="47"/>
      <c r="N781" s="47"/>
      <c r="O781" s="47"/>
      <c r="P781" s="47"/>
      <c r="Q781" s="47"/>
      <c r="R781" s="47"/>
      <c r="S781" s="47"/>
      <c r="T781" s="47"/>
      <c r="U781" s="47"/>
      <c r="V781" s="47"/>
      <c r="W781" s="47"/>
      <c r="X781" s="47"/>
      <c r="Y781" s="47"/>
      <c r="Z781" s="47"/>
      <c r="AA781" s="47"/>
      <c r="AB781" s="47"/>
    </row>
    <row r="782" spans="2:28" s="95" customFormat="1" ht="15" customHeight="1" x14ac:dyDescent="0.3">
      <c r="B782" s="162"/>
      <c r="C782" s="96"/>
      <c r="D782" s="97"/>
      <c r="E782" s="154"/>
      <c r="F782" s="47"/>
      <c r="G782" s="47"/>
      <c r="H782" s="47"/>
      <c r="I782" s="47"/>
      <c r="J782" s="47"/>
      <c r="K782" s="47"/>
      <c r="L782" s="47"/>
      <c r="M782" s="47"/>
      <c r="N782" s="47"/>
      <c r="O782" s="47"/>
      <c r="P782" s="47"/>
      <c r="Q782" s="47"/>
      <c r="R782" s="47"/>
      <c r="S782" s="47"/>
      <c r="T782" s="47"/>
      <c r="U782" s="47"/>
      <c r="V782" s="47"/>
      <c r="W782" s="47"/>
      <c r="X782" s="47"/>
      <c r="Y782" s="47"/>
      <c r="Z782" s="47"/>
      <c r="AA782" s="47"/>
      <c r="AB782" s="47"/>
    </row>
    <row r="783" spans="2:28" s="95" customFormat="1" ht="15" customHeight="1" x14ac:dyDescent="0.3">
      <c r="B783" s="162"/>
      <c r="C783" s="96"/>
      <c r="D783" s="97"/>
      <c r="E783" s="154"/>
      <c r="F783" s="47"/>
      <c r="G783" s="47"/>
      <c r="H783" s="47"/>
      <c r="I783" s="47"/>
      <c r="J783" s="47"/>
      <c r="K783" s="47"/>
      <c r="L783" s="47"/>
      <c r="M783" s="47"/>
      <c r="N783" s="47"/>
      <c r="O783" s="47"/>
      <c r="P783" s="47"/>
      <c r="Q783" s="47"/>
      <c r="R783" s="47"/>
      <c r="S783" s="47"/>
      <c r="T783" s="47"/>
      <c r="U783" s="47"/>
      <c r="V783" s="47"/>
      <c r="W783" s="47"/>
      <c r="X783" s="47"/>
      <c r="Y783" s="47"/>
      <c r="Z783" s="47"/>
      <c r="AA783" s="47"/>
      <c r="AB783" s="47"/>
    </row>
    <row r="784" spans="2:28" s="95" customFormat="1" ht="15" customHeight="1" x14ac:dyDescent="0.3">
      <c r="B784" s="162"/>
      <c r="C784" s="96"/>
      <c r="D784" s="97"/>
      <c r="E784" s="154"/>
      <c r="F784" s="47"/>
      <c r="G784" s="47"/>
      <c r="H784" s="47"/>
      <c r="I784" s="47"/>
      <c r="J784" s="47"/>
      <c r="K784" s="47"/>
      <c r="L784" s="47"/>
      <c r="M784" s="47"/>
      <c r="N784" s="47"/>
      <c r="O784" s="47"/>
      <c r="P784" s="47"/>
      <c r="Q784" s="47"/>
      <c r="R784" s="47"/>
      <c r="S784" s="47"/>
      <c r="T784" s="47"/>
      <c r="U784" s="47"/>
      <c r="V784" s="47"/>
      <c r="W784" s="47"/>
      <c r="X784" s="47"/>
      <c r="Y784" s="47"/>
      <c r="Z784" s="47"/>
      <c r="AA784" s="47"/>
      <c r="AB784" s="47"/>
    </row>
    <row r="795" spans="2:28" s="95" customFormat="1" ht="15" customHeight="1" x14ac:dyDescent="0.3">
      <c r="B795" s="162"/>
      <c r="C795" s="96"/>
      <c r="D795" s="97"/>
      <c r="E795" s="154"/>
      <c r="F795" s="47"/>
      <c r="G795" s="47"/>
      <c r="H795" s="47"/>
      <c r="I795" s="47"/>
      <c r="J795" s="47"/>
      <c r="K795" s="47"/>
      <c r="L795" s="47"/>
      <c r="M795" s="47"/>
      <c r="N795" s="47"/>
      <c r="O795" s="47"/>
      <c r="P795" s="47"/>
      <c r="Q795" s="47"/>
      <c r="R795" s="47"/>
      <c r="S795" s="47"/>
      <c r="T795" s="47"/>
      <c r="U795" s="47"/>
      <c r="V795" s="47"/>
      <c r="W795" s="47"/>
      <c r="X795" s="47"/>
      <c r="Y795" s="47"/>
      <c r="Z795" s="47"/>
      <c r="AA795" s="47"/>
      <c r="AB795" s="47"/>
    </row>
    <row r="796" spans="2:28" s="95" customFormat="1" ht="15" customHeight="1" x14ac:dyDescent="0.3">
      <c r="B796" s="162"/>
      <c r="C796" s="96"/>
      <c r="D796" s="97"/>
      <c r="E796" s="154"/>
      <c r="F796" s="47"/>
      <c r="G796" s="47"/>
      <c r="H796" s="47"/>
      <c r="I796" s="47"/>
      <c r="J796" s="47"/>
      <c r="K796" s="47"/>
      <c r="L796" s="47"/>
      <c r="M796" s="47"/>
      <c r="N796" s="47"/>
      <c r="O796" s="47"/>
      <c r="P796" s="47"/>
      <c r="Q796" s="47"/>
      <c r="R796" s="47"/>
      <c r="S796" s="47"/>
      <c r="T796" s="47"/>
      <c r="U796" s="47"/>
      <c r="V796" s="47"/>
      <c r="W796" s="47"/>
      <c r="X796" s="47"/>
      <c r="Y796" s="47"/>
      <c r="Z796" s="47"/>
      <c r="AA796" s="47"/>
      <c r="AB796" s="47"/>
    </row>
    <row r="797" spans="2:28" s="95" customFormat="1" ht="15" customHeight="1" x14ac:dyDescent="0.3">
      <c r="B797" s="162"/>
      <c r="C797" s="96"/>
      <c r="D797" s="97"/>
      <c r="E797" s="154"/>
      <c r="F797" s="47"/>
      <c r="G797" s="47"/>
      <c r="H797" s="47"/>
      <c r="I797" s="47"/>
      <c r="J797" s="47"/>
      <c r="K797" s="47"/>
      <c r="L797" s="47"/>
      <c r="M797" s="47"/>
      <c r="N797" s="47"/>
      <c r="O797" s="47"/>
      <c r="P797" s="47"/>
      <c r="Q797" s="47"/>
      <c r="R797" s="47"/>
      <c r="S797" s="47"/>
      <c r="T797" s="47"/>
      <c r="U797" s="47"/>
      <c r="V797" s="47"/>
      <c r="W797" s="47"/>
      <c r="X797" s="47"/>
      <c r="Y797" s="47"/>
      <c r="Z797" s="47"/>
      <c r="AA797" s="47"/>
      <c r="AB797" s="47"/>
    </row>
    <row r="798" spans="2:28" s="95" customFormat="1" ht="15" customHeight="1" x14ac:dyDescent="0.3">
      <c r="B798" s="162"/>
      <c r="C798" s="96"/>
      <c r="D798" s="97"/>
      <c r="E798" s="154"/>
      <c r="F798" s="47"/>
      <c r="G798" s="47"/>
      <c r="H798" s="47"/>
      <c r="I798" s="47"/>
      <c r="J798" s="47"/>
      <c r="K798" s="47"/>
      <c r="L798" s="47"/>
      <c r="M798" s="47"/>
      <c r="N798" s="47"/>
      <c r="O798" s="47"/>
      <c r="P798" s="47"/>
      <c r="Q798" s="47"/>
      <c r="R798" s="47"/>
      <c r="S798" s="47"/>
      <c r="T798" s="47"/>
      <c r="U798" s="47"/>
      <c r="V798" s="47"/>
      <c r="W798" s="47"/>
      <c r="X798" s="47"/>
      <c r="Y798" s="47"/>
      <c r="Z798" s="47"/>
      <c r="AA798" s="47"/>
      <c r="AB798" s="47"/>
    </row>
    <row r="809" spans="2:28" s="95" customFormat="1" ht="15" customHeight="1" x14ac:dyDescent="0.3">
      <c r="B809" s="162"/>
      <c r="C809" s="96"/>
      <c r="D809" s="97"/>
      <c r="E809" s="154"/>
      <c r="F809" s="47"/>
      <c r="G809" s="47"/>
      <c r="H809" s="47"/>
      <c r="I809" s="47"/>
      <c r="J809" s="47"/>
      <c r="K809" s="47"/>
      <c r="L809" s="47"/>
      <c r="M809" s="47"/>
      <c r="N809" s="47"/>
      <c r="O809" s="47"/>
      <c r="P809" s="47"/>
      <c r="Q809" s="47"/>
      <c r="R809" s="47"/>
      <c r="S809" s="47"/>
      <c r="T809" s="47"/>
      <c r="U809" s="47"/>
      <c r="V809" s="47"/>
      <c r="W809" s="47"/>
      <c r="X809" s="47"/>
      <c r="Y809" s="47"/>
      <c r="Z809" s="47"/>
      <c r="AA809" s="47"/>
      <c r="AB809" s="47"/>
    </row>
    <row r="811" spans="2:28" s="95" customFormat="1" ht="15" customHeight="1" x14ac:dyDescent="0.3">
      <c r="B811" s="162"/>
      <c r="C811" s="96"/>
      <c r="D811" s="97"/>
      <c r="E811" s="154"/>
      <c r="F811" s="47"/>
      <c r="G811" s="47"/>
      <c r="H811" s="47"/>
      <c r="I811" s="47"/>
      <c r="J811" s="47"/>
      <c r="K811" s="47"/>
      <c r="L811" s="47"/>
      <c r="M811" s="47"/>
      <c r="N811" s="47"/>
      <c r="O811" s="47"/>
      <c r="P811" s="47"/>
      <c r="Q811" s="47"/>
      <c r="R811" s="47"/>
      <c r="S811" s="47"/>
      <c r="T811" s="47"/>
      <c r="U811" s="47"/>
      <c r="V811" s="47"/>
      <c r="W811" s="47"/>
      <c r="X811" s="47"/>
      <c r="Y811" s="47"/>
      <c r="Z811" s="47"/>
      <c r="AA811" s="47"/>
      <c r="AB811" s="47"/>
    </row>
    <row r="822" spans="2:28" s="95" customFormat="1" ht="15" customHeight="1" x14ac:dyDescent="0.3">
      <c r="B822" s="162"/>
      <c r="C822" s="96"/>
      <c r="D822" s="97"/>
      <c r="E822" s="154"/>
      <c r="F822" s="47"/>
      <c r="G822" s="47"/>
      <c r="H822" s="47"/>
      <c r="I822" s="47"/>
      <c r="J822" s="47"/>
      <c r="K822" s="47"/>
      <c r="L822" s="47"/>
      <c r="M822" s="47"/>
      <c r="N822" s="47"/>
      <c r="O822" s="47"/>
      <c r="P822" s="47"/>
      <c r="Q822" s="47"/>
      <c r="R822" s="47"/>
      <c r="S822" s="47"/>
      <c r="T822" s="47"/>
      <c r="U822" s="47"/>
      <c r="V822" s="47"/>
      <c r="W822" s="47"/>
      <c r="X822" s="47"/>
      <c r="Y822" s="47"/>
      <c r="Z822" s="47"/>
      <c r="AA822" s="47"/>
      <c r="AB822" s="47"/>
    </row>
    <row r="823" spans="2:28" s="95" customFormat="1" ht="15" customHeight="1" x14ac:dyDescent="0.3">
      <c r="B823" s="162"/>
      <c r="C823" s="96"/>
      <c r="D823" s="97"/>
      <c r="E823" s="154"/>
      <c r="F823" s="47"/>
      <c r="G823" s="47"/>
      <c r="H823" s="47"/>
      <c r="I823" s="47"/>
      <c r="J823" s="47"/>
      <c r="K823" s="47"/>
      <c r="L823" s="47"/>
      <c r="M823" s="47"/>
      <c r="N823" s="47"/>
      <c r="O823" s="47"/>
      <c r="P823" s="47"/>
      <c r="Q823" s="47"/>
      <c r="R823" s="47"/>
      <c r="S823" s="47"/>
      <c r="T823" s="47"/>
      <c r="U823" s="47"/>
      <c r="V823" s="47"/>
      <c r="W823" s="47"/>
      <c r="X823" s="47"/>
      <c r="Y823" s="47"/>
      <c r="Z823" s="47"/>
      <c r="AA823" s="47"/>
      <c r="AB823" s="47"/>
    </row>
    <row r="834" spans="2:28" s="95" customFormat="1" ht="15" customHeight="1" x14ac:dyDescent="0.3">
      <c r="B834" s="162"/>
      <c r="C834" s="96"/>
      <c r="D834" s="97"/>
      <c r="E834" s="154"/>
      <c r="F834" s="47"/>
      <c r="G834" s="47"/>
      <c r="H834" s="47"/>
      <c r="I834" s="47"/>
      <c r="J834" s="47"/>
      <c r="K834" s="47"/>
      <c r="L834" s="47"/>
      <c r="M834" s="47"/>
      <c r="N834" s="47"/>
      <c r="O834" s="47"/>
      <c r="P834" s="47"/>
      <c r="Q834" s="47"/>
      <c r="R834" s="47"/>
      <c r="S834" s="47"/>
      <c r="T834" s="47"/>
      <c r="U834" s="47"/>
      <c r="V834" s="47"/>
      <c r="W834" s="47"/>
      <c r="X834" s="47"/>
      <c r="Y834" s="47"/>
      <c r="Z834" s="47"/>
      <c r="AA834" s="47"/>
      <c r="AB834" s="47"/>
    </row>
    <row r="835" spans="2:28" s="95" customFormat="1" ht="15" hidden="1" customHeight="1" thickBot="1" x14ac:dyDescent="0.3">
      <c r="B835" s="162"/>
      <c r="C835" s="96"/>
      <c r="D835" s="97"/>
      <c r="E835" s="154"/>
      <c r="F835" s="47"/>
      <c r="G835" s="47"/>
      <c r="H835" s="47"/>
      <c r="I835" s="47"/>
      <c r="J835" s="47"/>
      <c r="K835" s="47"/>
      <c r="L835" s="47"/>
      <c r="M835" s="47"/>
      <c r="N835" s="47"/>
      <c r="O835" s="47"/>
      <c r="P835" s="47"/>
      <c r="Q835" s="47"/>
      <c r="R835" s="47"/>
      <c r="S835" s="47"/>
      <c r="T835" s="47"/>
      <c r="U835" s="47"/>
      <c r="V835" s="47"/>
      <c r="W835" s="47"/>
      <c r="X835" s="47"/>
      <c r="Y835" s="47"/>
      <c r="Z835" s="47"/>
      <c r="AA835" s="47"/>
      <c r="AB835" s="47"/>
    </row>
    <row r="836" spans="2:28" s="95" customFormat="1" ht="15" customHeight="1" x14ac:dyDescent="0.3">
      <c r="B836" s="162"/>
      <c r="C836" s="96"/>
      <c r="D836" s="97"/>
      <c r="E836" s="154"/>
      <c r="F836" s="47"/>
      <c r="G836" s="47"/>
      <c r="H836" s="47"/>
      <c r="I836" s="47"/>
      <c r="J836" s="47"/>
      <c r="K836" s="47"/>
      <c r="L836" s="47"/>
      <c r="M836" s="47"/>
      <c r="N836" s="47"/>
      <c r="O836" s="47"/>
      <c r="P836" s="47"/>
      <c r="Q836" s="47"/>
      <c r="R836" s="47"/>
      <c r="S836" s="47"/>
      <c r="T836" s="47"/>
      <c r="U836" s="47"/>
      <c r="V836" s="47"/>
      <c r="W836" s="47"/>
      <c r="X836" s="47"/>
      <c r="Y836" s="47"/>
      <c r="Z836" s="47"/>
      <c r="AA836" s="47"/>
      <c r="AB836" s="47"/>
    </row>
    <row r="847" spans="2:28" ht="15" customHeight="1" x14ac:dyDescent="0.3"/>
    <row r="848" spans="2:28" ht="15" hidden="1" customHeight="1" thickBot="1" x14ac:dyDescent="0.3"/>
    <row r="849" spans="13:13" ht="15" customHeight="1" x14ac:dyDescent="0.3"/>
    <row r="850" spans="13:13" x14ac:dyDescent="0.3">
      <c r="M850" s="75"/>
    </row>
    <row r="851" spans="13:13" x14ac:dyDescent="0.3">
      <c r="M851" s="75"/>
    </row>
    <row r="852" spans="13:13" x14ac:dyDescent="0.3">
      <c r="M852" s="75"/>
    </row>
    <row r="853" spans="13:13" x14ac:dyDescent="0.3">
      <c r="M853" s="75"/>
    </row>
    <row r="854" spans="13:13" x14ac:dyDescent="0.3">
      <c r="M854" s="75"/>
    </row>
    <row r="855" spans="13:13" x14ac:dyDescent="0.3">
      <c r="M855" s="75"/>
    </row>
    <row r="856" spans="13:13" x14ac:dyDescent="0.3">
      <c r="M856" s="75"/>
    </row>
    <row r="857" spans="13:13" x14ac:dyDescent="0.3">
      <c r="M857" s="75"/>
    </row>
    <row r="858" spans="13:13" x14ac:dyDescent="0.3">
      <c r="M858" s="75"/>
    </row>
    <row r="859" spans="13:13" x14ac:dyDescent="0.3">
      <c r="M859" s="75"/>
    </row>
    <row r="860" spans="13:13" ht="15" customHeight="1" x14ac:dyDescent="0.3">
      <c r="M860" s="75"/>
    </row>
    <row r="861" spans="13:13" ht="15" hidden="1" customHeight="1" thickBot="1" x14ac:dyDescent="0.3">
      <c r="M861" s="75"/>
    </row>
    <row r="862" spans="13:13" ht="15" customHeight="1" x14ac:dyDescent="0.3">
      <c r="M862" s="75"/>
    </row>
    <row r="863" spans="13:13" x14ac:dyDescent="0.3">
      <c r="M863" s="75"/>
    </row>
    <row r="864" spans="13:13" x14ac:dyDescent="0.3">
      <c r="M864" s="75"/>
    </row>
    <row r="865" spans="13:13" x14ac:dyDescent="0.3">
      <c r="M865" s="75"/>
    </row>
    <row r="866" spans="13:13" x14ac:dyDescent="0.3">
      <c r="M866" s="75"/>
    </row>
    <row r="867" spans="13:13" x14ac:dyDescent="0.3">
      <c r="M867" s="75"/>
    </row>
    <row r="868" spans="13:13" x14ac:dyDescent="0.3">
      <c r="M868" s="75"/>
    </row>
    <row r="869" spans="13:13" x14ac:dyDescent="0.3">
      <c r="M869" s="75"/>
    </row>
    <row r="870" spans="13:13" x14ac:dyDescent="0.3">
      <c r="M870" s="75"/>
    </row>
    <row r="871" spans="13:13" x14ac:dyDescent="0.3">
      <c r="M871" s="75"/>
    </row>
    <row r="872" spans="13:13" x14ac:dyDescent="0.3">
      <c r="M872" s="75"/>
    </row>
    <row r="873" spans="13:13" ht="15" customHeight="1" x14ac:dyDescent="0.3">
      <c r="M873" s="75"/>
    </row>
    <row r="874" spans="13:13" ht="15" customHeight="1" x14ac:dyDescent="0.3">
      <c r="M874" s="75"/>
    </row>
    <row r="875" spans="13:13" ht="15" customHeight="1" x14ac:dyDescent="0.3">
      <c r="M875" s="75"/>
    </row>
    <row r="876" spans="13:13" ht="15" customHeight="1" x14ac:dyDescent="0.3">
      <c r="M876" s="75"/>
    </row>
    <row r="877" spans="13:13" x14ac:dyDescent="0.3">
      <c r="M877" s="75"/>
    </row>
    <row r="878" spans="13:13" x14ac:dyDescent="0.3">
      <c r="M878" s="75"/>
    </row>
    <row r="879" spans="13:13" x14ac:dyDescent="0.3">
      <c r="M879" s="75"/>
    </row>
    <row r="880" spans="13:13" x14ac:dyDescent="0.3">
      <c r="M880" s="75"/>
    </row>
    <row r="881" spans="13:13" x14ac:dyDescent="0.3">
      <c r="M881" s="75"/>
    </row>
    <row r="882" spans="13:13" x14ac:dyDescent="0.3">
      <c r="M882" s="75"/>
    </row>
    <row r="883" spans="13:13" x14ac:dyDescent="0.3">
      <c r="M883" s="75"/>
    </row>
    <row r="884" spans="13:13" x14ac:dyDescent="0.3">
      <c r="M884" s="75"/>
    </row>
    <row r="885" spans="13:13" x14ac:dyDescent="0.3">
      <c r="M885" s="75"/>
    </row>
    <row r="886" spans="13:13" x14ac:dyDescent="0.3">
      <c r="M886" s="75"/>
    </row>
    <row r="887" spans="13:13" ht="15" customHeight="1" x14ac:dyDescent="0.3">
      <c r="M887" s="75"/>
    </row>
    <row r="888" spans="13:13" ht="15" customHeight="1" x14ac:dyDescent="0.3">
      <c r="M888" s="75"/>
    </row>
    <row r="889" spans="13:13" ht="15" customHeight="1" x14ac:dyDescent="0.3">
      <c r="M889" s="75"/>
    </row>
    <row r="890" spans="13:13" ht="15" customHeight="1" x14ac:dyDescent="0.3">
      <c r="M890" s="75"/>
    </row>
    <row r="891" spans="13:13" x14ac:dyDescent="0.3">
      <c r="M891" s="75"/>
    </row>
    <row r="892" spans="13:13" x14ac:dyDescent="0.3">
      <c r="M892" s="75"/>
    </row>
    <row r="893" spans="13:13" x14ac:dyDescent="0.3">
      <c r="M893" s="75"/>
    </row>
    <row r="894" spans="13:13" x14ac:dyDescent="0.3">
      <c r="M894" s="75"/>
    </row>
    <row r="895" spans="13:13" x14ac:dyDescent="0.3">
      <c r="M895" s="75"/>
    </row>
    <row r="896" spans="13:13" x14ac:dyDescent="0.3">
      <c r="M896" s="75"/>
    </row>
    <row r="897" spans="1:28" x14ac:dyDescent="0.3">
      <c r="M897" s="75"/>
    </row>
    <row r="898" spans="1:28" x14ac:dyDescent="0.3">
      <c r="M898" s="75"/>
    </row>
    <row r="899" spans="1:28" x14ac:dyDescent="0.3">
      <c r="M899" s="75"/>
    </row>
    <row r="900" spans="1:28" x14ac:dyDescent="0.3">
      <c r="M900" s="75"/>
    </row>
    <row r="901" spans="1:28" ht="15" customHeight="1" x14ac:dyDescent="0.3">
      <c r="M901" s="75"/>
    </row>
    <row r="902" spans="1:28" s="75" customFormat="1" x14ac:dyDescent="0.3">
      <c r="A902" s="95"/>
      <c r="B902" s="162"/>
      <c r="C902" s="96"/>
      <c r="D902" s="97"/>
      <c r="E902" s="154"/>
      <c r="G902" s="47"/>
      <c r="H902" s="47"/>
      <c r="I902" s="47"/>
      <c r="J902" s="47"/>
      <c r="K902" s="47"/>
      <c r="L902" s="47"/>
      <c r="N902" s="47"/>
      <c r="O902" s="47"/>
      <c r="P902" s="47"/>
      <c r="Q902" s="47"/>
      <c r="R902" s="47"/>
      <c r="S902" s="47"/>
      <c r="T902" s="47"/>
      <c r="U902" s="47"/>
      <c r="V902" s="47"/>
      <c r="W902" s="47"/>
      <c r="X902" s="47"/>
      <c r="Y902" s="47"/>
      <c r="Z902" s="47"/>
      <c r="AA902" s="47"/>
      <c r="AB902" s="47"/>
    </row>
    <row r="903" spans="1:28" s="75" customFormat="1" x14ac:dyDescent="0.3">
      <c r="A903" s="95"/>
      <c r="B903" s="162"/>
      <c r="C903" s="96"/>
      <c r="D903" s="97"/>
      <c r="E903" s="154"/>
      <c r="G903" s="47"/>
      <c r="H903" s="47"/>
      <c r="I903" s="47"/>
      <c r="J903" s="47"/>
      <c r="K903" s="47"/>
      <c r="L903" s="47"/>
      <c r="N903" s="47"/>
      <c r="O903" s="47"/>
      <c r="P903" s="47"/>
      <c r="Q903" s="47"/>
      <c r="R903" s="47"/>
      <c r="S903" s="47"/>
      <c r="T903" s="47"/>
      <c r="U903" s="47"/>
      <c r="V903" s="47"/>
      <c r="W903" s="47"/>
      <c r="X903" s="47"/>
      <c r="Y903" s="47"/>
      <c r="Z903" s="47"/>
      <c r="AA903" s="47"/>
      <c r="AB903" s="47"/>
    </row>
    <row r="904" spans="1:28" s="75" customFormat="1" x14ac:dyDescent="0.3">
      <c r="A904" s="95"/>
      <c r="B904" s="162"/>
      <c r="C904" s="96"/>
      <c r="D904" s="97"/>
      <c r="E904" s="154"/>
      <c r="G904" s="47"/>
      <c r="H904" s="47"/>
      <c r="I904" s="47"/>
      <c r="J904" s="47"/>
      <c r="K904" s="47"/>
      <c r="L904" s="47"/>
      <c r="N904" s="47"/>
      <c r="O904" s="47"/>
      <c r="P904" s="47"/>
      <c r="Q904" s="47"/>
      <c r="R904" s="47"/>
      <c r="S904" s="47"/>
      <c r="T904" s="47"/>
      <c r="U904" s="47"/>
      <c r="V904" s="47"/>
      <c r="W904" s="47"/>
      <c r="X904" s="47"/>
      <c r="Y904" s="47"/>
      <c r="Z904" s="47"/>
      <c r="AA904" s="47"/>
      <c r="AB904" s="47"/>
    </row>
    <row r="905" spans="1:28" s="75" customFormat="1" x14ac:dyDescent="0.3">
      <c r="A905" s="95"/>
      <c r="B905" s="162"/>
      <c r="C905" s="96"/>
      <c r="D905" s="97"/>
      <c r="E905" s="154"/>
      <c r="G905" s="47"/>
      <c r="H905" s="47"/>
      <c r="I905" s="47"/>
      <c r="J905" s="47"/>
      <c r="K905" s="47"/>
      <c r="L905" s="47"/>
      <c r="N905" s="47"/>
      <c r="O905" s="47"/>
      <c r="P905" s="47"/>
      <c r="Q905" s="47"/>
      <c r="R905" s="47"/>
      <c r="S905" s="47"/>
      <c r="T905" s="47"/>
      <c r="U905" s="47"/>
      <c r="V905" s="47"/>
      <c r="W905" s="47"/>
      <c r="X905" s="47"/>
      <c r="Y905" s="47"/>
      <c r="Z905" s="47"/>
      <c r="AA905" s="47"/>
      <c r="AB905" s="47"/>
    </row>
    <row r="906" spans="1:28" s="75" customFormat="1" hidden="1" x14ac:dyDescent="0.3">
      <c r="A906" s="95"/>
      <c r="B906" s="162"/>
      <c r="C906" s="96"/>
      <c r="D906" s="97"/>
      <c r="E906" s="154"/>
      <c r="G906" s="47"/>
      <c r="H906" s="47"/>
      <c r="I906" s="47"/>
      <c r="J906" s="47"/>
      <c r="K906" s="47"/>
      <c r="L906" s="47"/>
      <c r="N906" s="47"/>
      <c r="O906" s="47"/>
      <c r="P906" s="47"/>
      <c r="Q906" s="47"/>
      <c r="R906" s="47"/>
      <c r="S906" s="47"/>
      <c r="T906" s="47"/>
      <c r="U906" s="47"/>
      <c r="V906" s="47"/>
      <c r="W906" s="47"/>
      <c r="X906" s="47"/>
      <c r="Y906" s="47"/>
      <c r="Z906" s="47"/>
      <c r="AA906" s="47"/>
      <c r="AB906" s="47"/>
    </row>
    <row r="907" spans="1:28" s="75" customFormat="1" hidden="1" x14ac:dyDescent="0.3">
      <c r="A907" s="95"/>
      <c r="B907" s="162"/>
      <c r="C907" s="96"/>
      <c r="D907" s="97"/>
      <c r="E907" s="154"/>
      <c r="G907" s="47"/>
      <c r="H907" s="47"/>
      <c r="I907" s="47"/>
      <c r="J907" s="47"/>
      <c r="K907" s="47"/>
      <c r="L907" s="47"/>
      <c r="N907" s="47"/>
      <c r="O907" s="47"/>
      <c r="P907" s="47"/>
      <c r="Q907" s="47"/>
      <c r="R907" s="47"/>
      <c r="S907" s="47"/>
      <c r="T907" s="47"/>
      <c r="U907" s="47"/>
      <c r="V907" s="47"/>
      <c r="W907" s="47"/>
      <c r="X907" s="47"/>
      <c r="Y907" s="47"/>
      <c r="Z907" s="47"/>
      <c r="AA907" s="47"/>
      <c r="AB907" s="47"/>
    </row>
    <row r="908" spans="1:28" s="75" customFormat="1" x14ac:dyDescent="0.3">
      <c r="A908" s="95"/>
      <c r="B908" s="162"/>
      <c r="C908" s="96"/>
      <c r="D908" s="97"/>
      <c r="E908" s="154"/>
      <c r="G908" s="47"/>
      <c r="H908" s="47"/>
      <c r="I908" s="47"/>
      <c r="J908" s="47"/>
      <c r="K908" s="47"/>
      <c r="L908" s="47"/>
      <c r="N908" s="47"/>
      <c r="O908" s="47"/>
      <c r="P908" s="47"/>
      <c r="Q908" s="47"/>
      <c r="R908" s="47"/>
      <c r="S908" s="47"/>
      <c r="T908" s="47"/>
      <c r="U908" s="47"/>
      <c r="V908" s="47"/>
      <c r="W908" s="47"/>
      <c r="X908" s="47"/>
      <c r="Y908" s="47"/>
      <c r="Z908" s="47"/>
      <c r="AA908" s="47"/>
      <c r="AB908" s="47"/>
    </row>
    <row r="909" spans="1:28" s="75" customFormat="1" x14ac:dyDescent="0.3">
      <c r="A909" s="95"/>
      <c r="B909" s="162"/>
      <c r="C909" s="96"/>
      <c r="D909" s="97"/>
      <c r="E909" s="154"/>
      <c r="G909" s="47"/>
      <c r="H909" s="47"/>
      <c r="I909" s="47"/>
      <c r="J909" s="47"/>
      <c r="K909" s="47"/>
      <c r="L909" s="47"/>
      <c r="N909" s="47"/>
      <c r="O909" s="47"/>
      <c r="P909" s="47"/>
      <c r="Q909" s="47"/>
      <c r="R909" s="47"/>
      <c r="S909" s="47"/>
      <c r="T909" s="47"/>
      <c r="U909" s="47"/>
      <c r="V909" s="47"/>
      <c r="W909" s="47"/>
      <c r="X909" s="47"/>
      <c r="Y909" s="47"/>
      <c r="Z909" s="47"/>
      <c r="AA909" s="47"/>
      <c r="AB909" s="47"/>
    </row>
    <row r="910" spans="1:28" s="75" customFormat="1" x14ac:dyDescent="0.3">
      <c r="A910" s="95"/>
      <c r="B910" s="162"/>
      <c r="C910" s="96"/>
      <c r="D910" s="97"/>
      <c r="E910" s="154"/>
      <c r="G910" s="47"/>
      <c r="H910" s="47"/>
      <c r="I910" s="47"/>
      <c r="J910" s="47"/>
      <c r="K910" s="47"/>
      <c r="L910" s="47"/>
      <c r="N910" s="47"/>
      <c r="O910" s="47"/>
      <c r="P910" s="47"/>
      <c r="Q910" s="47"/>
      <c r="R910" s="47"/>
      <c r="S910" s="47"/>
      <c r="T910" s="47"/>
      <c r="U910" s="47"/>
      <c r="V910" s="47"/>
      <c r="W910" s="47"/>
      <c r="X910" s="47"/>
      <c r="Y910" s="47"/>
      <c r="Z910" s="47"/>
      <c r="AA910" s="47"/>
      <c r="AB910" s="47"/>
    </row>
    <row r="911" spans="1:28" s="75" customFormat="1" x14ac:dyDescent="0.3">
      <c r="A911" s="95"/>
      <c r="B911" s="162"/>
      <c r="C911" s="96"/>
      <c r="D911" s="97"/>
      <c r="E911" s="154"/>
      <c r="G911" s="47"/>
      <c r="H911" s="47"/>
      <c r="I911" s="47"/>
      <c r="J911" s="47"/>
      <c r="K911" s="47"/>
      <c r="L911" s="47"/>
      <c r="N911" s="47"/>
      <c r="O911" s="47"/>
      <c r="P911" s="47"/>
      <c r="Q911" s="47"/>
      <c r="R911" s="47"/>
      <c r="S911" s="47"/>
      <c r="T911" s="47"/>
      <c r="U911" s="47"/>
      <c r="V911" s="47"/>
      <c r="W911" s="47"/>
      <c r="X911" s="47"/>
      <c r="Y911" s="47"/>
      <c r="Z911" s="47"/>
      <c r="AA911" s="47"/>
      <c r="AB911" s="47"/>
    </row>
    <row r="912" spans="1:28" s="75" customFormat="1" x14ac:dyDescent="0.3">
      <c r="A912" s="95"/>
      <c r="B912" s="162"/>
      <c r="C912" s="96"/>
      <c r="D912" s="97"/>
      <c r="E912" s="154"/>
      <c r="G912" s="47"/>
      <c r="H912" s="47"/>
      <c r="I912" s="47"/>
      <c r="J912" s="47"/>
      <c r="K912" s="47"/>
      <c r="L912" s="47"/>
      <c r="N912" s="47"/>
      <c r="O912" s="47"/>
      <c r="P912" s="47"/>
      <c r="Q912" s="47"/>
      <c r="R912" s="47"/>
      <c r="S912" s="47"/>
      <c r="T912" s="47"/>
      <c r="U912" s="47"/>
      <c r="V912" s="47"/>
      <c r="W912" s="47"/>
      <c r="X912" s="47"/>
      <c r="Y912" s="47"/>
      <c r="Z912" s="47"/>
      <c r="AA912" s="47"/>
      <c r="AB912" s="47"/>
    </row>
    <row r="913" spans="1:28" s="75" customFormat="1" x14ac:dyDescent="0.3">
      <c r="A913" s="95"/>
      <c r="B913" s="162"/>
      <c r="C913" s="96"/>
      <c r="D913" s="97"/>
      <c r="E913" s="154"/>
      <c r="G913" s="47"/>
      <c r="H913" s="47"/>
      <c r="I913" s="47"/>
      <c r="J913" s="47"/>
      <c r="K913" s="47"/>
      <c r="L913" s="47"/>
      <c r="N913" s="47"/>
      <c r="O913" s="47"/>
      <c r="P913" s="47"/>
      <c r="Q913" s="47"/>
      <c r="R913" s="47"/>
      <c r="S913" s="47"/>
      <c r="T913" s="47"/>
      <c r="U913" s="47"/>
      <c r="V913" s="47"/>
      <c r="W913" s="47"/>
      <c r="X913" s="47"/>
      <c r="Y913" s="47"/>
      <c r="Z913" s="47"/>
      <c r="AA913" s="47"/>
      <c r="AB913" s="47"/>
    </row>
    <row r="914" spans="1:28" s="75" customFormat="1" x14ac:dyDescent="0.3">
      <c r="A914" s="95"/>
      <c r="B914" s="162"/>
      <c r="C914" s="96"/>
      <c r="D914" s="97"/>
      <c r="E914" s="154"/>
      <c r="G914" s="47"/>
      <c r="H914" s="47"/>
      <c r="I914" s="47"/>
      <c r="J914" s="47"/>
      <c r="K914" s="47"/>
      <c r="L914" s="47"/>
      <c r="N914" s="47"/>
      <c r="O914" s="47"/>
      <c r="P914" s="47"/>
      <c r="Q914" s="47"/>
      <c r="R914" s="47"/>
      <c r="S914" s="47"/>
      <c r="T914" s="47"/>
      <c r="U914" s="47"/>
      <c r="V914" s="47"/>
      <c r="W914" s="47"/>
      <c r="X914" s="47"/>
      <c r="Y914" s="47"/>
      <c r="Z914" s="47"/>
      <c r="AA914" s="47"/>
      <c r="AB914" s="47"/>
    </row>
    <row r="915" spans="1:28" s="75" customFormat="1" x14ac:dyDescent="0.3">
      <c r="A915" s="95"/>
      <c r="B915" s="162"/>
      <c r="C915" s="96"/>
      <c r="D915" s="97"/>
      <c r="E915" s="154"/>
      <c r="G915" s="47"/>
      <c r="H915" s="47"/>
      <c r="I915" s="47"/>
      <c r="J915" s="47"/>
      <c r="K915" s="47"/>
      <c r="L915" s="47"/>
      <c r="N915" s="47"/>
      <c r="O915" s="47"/>
      <c r="P915" s="47"/>
      <c r="Q915" s="47"/>
      <c r="R915" s="47"/>
      <c r="S915" s="47"/>
      <c r="T915" s="47"/>
      <c r="U915" s="47"/>
      <c r="V915" s="47"/>
      <c r="W915" s="47"/>
      <c r="X915" s="47"/>
      <c r="Y915" s="47"/>
      <c r="Z915" s="47"/>
      <c r="AA915" s="47"/>
      <c r="AB915" s="47"/>
    </row>
    <row r="916" spans="1:28" s="75" customFormat="1" x14ac:dyDescent="0.3">
      <c r="A916" s="95"/>
      <c r="B916" s="162"/>
      <c r="C916" s="96"/>
      <c r="D916" s="97"/>
      <c r="E916" s="154"/>
      <c r="G916" s="47"/>
      <c r="H916" s="47"/>
      <c r="I916" s="47"/>
      <c r="J916" s="47"/>
      <c r="K916" s="47"/>
      <c r="L916" s="47"/>
      <c r="N916" s="47"/>
      <c r="O916" s="47"/>
      <c r="P916" s="47"/>
      <c r="Q916" s="47"/>
      <c r="R916" s="47"/>
      <c r="S916" s="47"/>
      <c r="T916" s="47"/>
      <c r="U916" s="47"/>
      <c r="V916" s="47"/>
      <c r="W916" s="47"/>
      <c r="X916" s="47"/>
      <c r="Y916" s="47"/>
      <c r="Z916" s="47"/>
      <c r="AA916" s="47"/>
      <c r="AB916" s="47"/>
    </row>
    <row r="917" spans="1:28" s="75" customFormat="1" x14ac:dyDescent="0.3">
      <c r="A917" s="95"/>
      <c r="B917" s="162"/>
      <c r="C917" s="96"/>
      <c r="D917" s="97"/>
      <c r="E917" s="154"/>
      <c r="G917" s="47"/>
      <c r="H917" s="47"/>
      <c r="I917" s="47"/>
      <c r="J917" s="47"/>
      <c r="K917" s="47"/>
      <c r="L917" s="47"/>
      <c r="N917" s="47"/>
      <c r="O917" s="47"/>
      <c r="P917" s="47"/>
      <c r="Q917" s="47"/>
      <c r="R917" s="47"/>
      <c r="S917" s="47"/>
      <c r="T917" s="47"/>
      <c r="U917" s="47"/>
      <c r="V917" s="47"/>
      <c r="W917" s="47"/>
      <c r="X917" s="47"/>
      <c r="Y917" s="47"/>
      <c r="Z917" s="47"/>
      <c r="AA917" s="47"/>
      <c r="AB917" s="47"/>
    </row>
    <row r="918" spans="1:28" s="75" customFormat="1" x14ac:dyDescent="0.3">
      <c r="A918" s="95"/>
      <c r="B918" s="162"/>
      <c r="C918" s="96"/>
      <c r="D918" s="97"/>
      <c r="E918" s="154"/>
      <c r="G918" s="47"/>
      <c r="H918" s="47"/>
      <c r="I918" s="47"/>
      <c r="J918" s="47"/>
      <c r="K918" s="47"/>
      <c r="L918" s="47"/>
      <c r="N918" s="47"/>
      <c r="O918" s="47"/>
      <c r="P918" s="47"/>
      <c r="Q918" s="47"/>
      <c r="R918" s="47"/>
      <c r="S918" s="47"/>
      <c r="T918" s="47"/>
      <c r="U918" s="47"/>
      <c r="V918" s="47"/>
      <c r="W918" s="47"/>
      <c r="X918" s="47"/>
      <c r="Y918" s="47"/>
      <c r="Z918" s="47"/>
      <c r="AA918" s="47"/>
      <c r="AB918" s="47"/>
    </row>
    <row r="919" spans="1:28" s="75" customFormat="1" x14ac:dyDescent="0.3">
      <c r="A919" s="95"/>
      <c r="B919" s="162"/>
      <c r="C919" s="96"/>
      <c r="D919" s="97"/>
      <c r="E919" s="154"/>
      <c r="G919" s="47"/>
      <c r="H919" s="47"/>
      <c r="I919" s="47"/>
      <c r="J919" s="47"/>
      <c r="K919" s="47"/>
      <c r="L919" s="47"/>
      <c r="N919" s="47"/>
      <c r="O919" s="47"/>
      <c r="P919" s="47"/>
      <c r="Q919" s="47"/>
      <c r="R919" s="47"/>
      <c r="S919" s="47"/>
      <c r="T919" s="47"/>
      <c r="U919" s="47"/>
      <c r="V919" s="47"/>
      <c r="W919" s="47"/>
      <c r="X919" s="47"/>
      <c r="Y919" s="47"/>
      <c r="Z919" s="47"/>
      <c r="AA919" s="47"/>
      <c r="AB919" s="47"/>
    </row>
    <row r="920" spans="1:28" s="75" customFormat="1" x14ac:dyDescent="0.3">
      <c r="A920" s="95"/>
      <c r="B920" s="162"/>
      <c r="C920" s="96"/>
      <c r="D920" s="97"/>
      <c r="E920" s="154"/>
      <c r="G920" s="47"/>
      <c r="H920" s="47"/>
      <c r="I920" s="47"/>
      <c r="J920" s="47"/>
      <c r="K920" s="47"/>
      <c r="L920" s="47"/>
      <c r="N920" s="47"/>
      <c r="O920" s="47"/>
      <c r="P920" s="47"/>
      <c r="Q920" s="47"/>
      <c r="R920" s="47"/>
      <c r="S920" s="47"/>
      <c r="T920" s="47"/>
      <c r="U920" s="47"/>
      <c r="V920" s="47"/>
      <c r="W920" s="47"/>
      <c r="X920" s="47"/>
      <c r="Y920" s="47"/>
      <c r="Z920" s="47"/>
      <c r="AA920" s="47"/>
      <c r="AB920" s="47"/>
    </row>
    <row r="921" spans="1:28" s="75" customFormat="1" x14ac:dyDescent="0.3">
      <c r="A921" s="95"/>
      <c r="B921" s="162"/>
      <c r="C921" s="96"/>
      <c r="D921" s="97"/>
      <c r="E921" s="154"/>
      <c r="G921" s="47"/>
      <c r="H921" s="47"/>
      <c r="I921" s="47"/>
      <c r="J921" s="47"/>
      <c r="K921" s="47"/>
      <c r="N921" s="47"/>
      <c r="O921" s="47"/>
      <c r="P921" s="47"/>
      <c r="Q921" s="47"/>
      <c r="R921" s="47"/>
      <c r="S921" s="47"/>
      <c r="T921" s="47"/>
      <c r="U921" s="47"/>
      <c r="V921" s="47"/>
      <c r="W921" s="47"/>
      <c r="X921" s="47"/>
      <c r="Y921" s="47"/>
    </row>
    <row r="922" spans="1:28" s="75" customFormat="1" x14ac:dyDescent="0.3">
      <c r="A922" s="95"/>
      <c r="B922" s="162"/>
      <c r="C922" s="96"/>
      <c r="D922" s="97"/>
      <c r="E922" s="154"/>
      <c r="G922" s="47"/>
      <c r="H922" s="47"/>
      <c r="I922" s="47"/>
      <c r="J922" s="47"/>
      <c r="K922" s="47"/>
      <c r="O922" s="47"/>
      <c r="P922" s="47"/>
      <c r="Q922" s="47"/>
      <c r="R922" s="47"/>
      <c r="S922" s="47"/>
      <c r="T922" s="47"/>
      <c r="U922" s="47"/>
      <c r="V922" s="47"/>
      <c r="W922" s="47"/>
      <c r="X922" s="47"/>
    </row>
    <row r="923" spans="1:28" s="75" customFormat="1" x14ac:dyDescent="0.3">
      <c r="A923" s="95"/>
      <c r="B923" s="162"/>
      <c r="C923" s="96"/>
      <c r="D923" s="97"/>
      <c r="E923" s="154"/>
      <c r="G923" s="47"/>
      <c r="H923" s="47"/>
      <c r="I923" s="47"/>
      <c r="J923" s="47"/>
      <c r="K923" s="47"/>
    </row>
    <row r="924" spans="1:28" s="75" customFormat="1" x14ac:dyDescent="0.3">
      <c r="A924" s="95"/>
      <c r="B924" s="162"/>
      <c r="C924" s="96"/>
      <c r="D924" s="97"/>
      <c r="E924" s="154"/>
      <c r="G924" s="47"/>
      <c r="H924" s="47"/>
      <c r="I924" s="47"/>
      <c r="J924" s="47"/>
      <c r="K924" s="47"/>
    </row>
    <row r="925" spans="1:28" s="75" customFormat="1" x14ac:dyDescent="0.3">
      <c r="A925" s="95"/>
      <c r="B925" s="162"/>
      <c r="C925" s="96"/>
      <c r="D925" s="97"/>
      <c r="E925" s="154"/>
      <c r="G925" s="47"/>
      <c r="H925" s="47"/>
      <c r="I925" s="47"/>
      <c r="J925" s="47"/>
      <c r="K925" s="47"/>
    </row>
    <row r="926" spans="1:28" s="75" customFormat="1" x14ac:dyDescent="0.3">
      <c r="A926" s="95"/>
      <c r="B926" s="162"/>
      <c r="C926" s="96"/>
      <c r="D926" s="97"/>
      <c r="E926" s="154"/>
      <c r="G926" s="47"/>
      <c r="H926" s="47"/>
      <c r="I926" s="47"/>
      <c r="J926" s="47"/>
      <c r="K926" s="47"/>
      <c r="M926" s="47"/>
    </row>
    <row r="927" spans="1:28" s="75" customFormat="1" x14ac:dyDescent="0.3">
      <c r="A927" s="95"/>
      <c r="B927" s="162"/>
      <c r="C927" s="96"/>
      <c r="D927" s="97"/>
      <c r="E927" s="154"/>
      <c r="G927" s="47"/>
      <c r="H927" s="47"/>
      <c r="I927" s="47"/>
      <c r="J927" s="47"/>
      <c r="K927" s="47"/>
      <c r="M927" s="47"/>
    </row>
    <row r="928" spans="1:28" s="75" customFormat="1" x14ac:dyDescent="0.3">
      <c r="A928" s="95"/>
      <c r="B928" s="162"/>
      <c r="C928" s="96"/>
      <c r="D928" s="97"/>
      <c r="E928" s="154"/>
      <c r="G928" s="47"/>
      <c r="H928" s="47"/>
      <c r="I928" s="47"/>
      <c r="J928" s="47"/>
      <c r="K928" s="47"/>
      <c r="M928" s="47"/>
    </row>
    <row r="929" spans="1:13" s="75" customFormat="1" x14ac:dyDescent="0.3">
      <c r="A929" s="95"/>
      <c r="B929" s="162"/>
      <c r="C929" s="96"/>
      <c r="D929" s="97"/>
      <c r="E929" s="154"/>
      <c r="G929" s="47"/>
      <c r="H929" s="47"/>
      <c r="I929" s="47"/>
      <c r="J929" s="47"/>
      <c r="K929" s="47"/>
      <c r="M929" s="47"/>
    </row>
    <row r="930" spans="1:13" s="75" customFormat="1" x14ac:dyDescent="0.3">
      <c r="A930" s="95"/>
      <c r="B930" s="162"/>
      <c r="C930" s="96"/>
      <c r="D930" s="97"/>
      <c r="E930" s="154"/>
      <c r="G930" s="47"/>
      <c r="H930" s="47"/>
      <c r="I930" s="47"/>
      <c r="J930" s="47"/>
      <c r="K930" s="47"/>
      <c r="M930" s="47"/>
    </row>
    <row r="931" spans="1:13" s="75" customFormat="1" x14ac:dyDescent="0.3">
      <c r="A931" s="95"/>
      <c r="B931" s="162"/>
      <c r="C931" s="96"/>
      <c r="D931" s="97"/>
      <c r="E931" s="154"/>
      <c r="G931" s="47"/>
      <c r="H931" s="47"/>
      <c r="I931" s="47"/>
      <c r="J931" s="47"/>
      <c r="K931" s="47"/>
      <c r="M931" s="47"/>
    </row>
    <row r="932" spans="1:13" s="75" customFormat="1" x14ac:dyDescent="0.3">
      <c r="A932" s="95"/>
      <c r="B932" s="162"/>
      <c r="C932" s="96"/>
      <c r="D932" s="97"/>
      <c r="E932" s="154"/>
      <c r="G932" s="47"/>
      <c r="H932" s="47"/>
      <c r="I932" s="47"/>
      <c r="J932" s="47"/>
      <c r="K932" s="47"/>
      <c r="M932" s="47"/>
    </row>
    <row r="933" spans="1:13" s="75" customFormat="1" x14ac:dyDescent="0.3">
      <c r="A933" s="95"/>
      <c r="B933" s="162"/>
      <c r="C933" s="96"/>
      <c r="D933" s="97"/>
      <c r="E933" s="154"/>
      <c r="G933" s="47"/>
      <c r="H933" s="47"/>
      <c r="I933" s="47"/>
      <c r="J933" s="47"/>
      <c r="K933" s="47"/>
      <c r="M933" s="47"/>
    </row>
    <row r="934" spans="1:13" s="75" customFormat="1" x14ac:dyDescent="0.3">
      <c r="A934" s="95"/>
      <c r="B934" s="162"/>
      <c r="C934" s="96"/>
      <c r="D934" s="97"/>
      <c r="E934" s="154"/>
      <c r="G934" s="47"/>
      <c r="H934" s="47"/>
      <c r="I934" s="47"/>
      <c r="J934" s="47"/>
      <c r="K934" s="47"/>
      <c r="M934" s="47"/>
    </row>
    <row r="935" spans="1:13" s="75" customFormat="1" x14ac:dyDescent="0.3">
      <c r="A935" s="95"/>
      <c r="B935" s="162"/>
      <c r="C935" s="96"/>
      <c r="D935" s="97"/>
      <c r="E935" s="154"/>
      <c r="G935" s="47"/>
      <c r="H935" s="47"/>
      <c r="I935" s="47"/>
      <c r="J935" s="47"/>
      <c r="K935" s="47"/>
      <c r="M935" s="47"/>
    </row>
    <row r="936" spans="1:13" s="75" customFormat="1" x14ac:dyDescent="0.3">
      <c r="A936" s="95"/>
      <c r="B936" s="162"/>
      <c r="C936" s="96"/>
      <c r="D936" s="97"/>
      <c r="E936" s="154"/>
      <c r="G936" s="47"/>
      <c r="H936" s="47"/>
      <c r="I936" s="47"/>
      <c r="J936" s="47"/>
      <c r="K936" s="47"/>
      <c r="M936" s="47"/>
    </row>
    <row r="937" spans="1:13" s="75" customFormat="1" x14ac:dyDescent="0.3">
      <c r="A937" s="95"/>
      <c r="B937" s="162"/>
      <c r="C937" s="96"/>
      <c r="D937" s="97"/>
      <c r="E937" s="154"/>
      <c r="G937" s="47"/>
      <c r="H937" s="47"/>
      <c r="I937" s="47"/>
      <c r="J937" s="47"/>
      <c r="K937" s="47"/>
      <c r="M937" s="47"/>
    </row>
    <row r="938" spans="1:13" s="75" customFormat="1" x14ac:dyDescent="0.3">
      <c r="A938" s="95"/>
      <c r="B938" s="162"/>
      <c r="C938" s="96"/>
      <c r="D938" s="97"/>
      <c r="E938" s="154"/>
      <c r="G938" s="47"/>
      <c r="H938" s="47"/>
      <c r="I938" s="47"/>
      <c r="J938" s="47"/>
      <c r="K938" s="47"/>
      <c r="M938" s="47"/>
    </row>
    <row r="939" spans="1:13" s="75" customFormat="1" x14ac:dyDescent="0.3">
      <c r="A939" s="95"/>
      <c r="B939" s="162"/>
      <c r="C939" s="96"/>
      <c r="D939" s="97"/>
      <c r="E939" s="154"/>
      <c r="G939" s="47"/>
      <c r="H939" s="47"/>
      <c r="I939" s="47"/>
      <c r="J939" s="47"/>
      <c r="K939" s="47"/>
      <c r="M939" s="47"/>
    </row>
    <row r="940" spans="1:13" s="75" customFormat="1" x14ac:dyDescent="0.3">
      <c r="A940" s="95"/>
      <c r="B940" s="162"/>
      <c r="C940" s="96"/>
      <c r="D940" s="97"/>
      <c r="E940" s="154"/>
      <c r="G940" s="47"/>
      <c r="H940" s="47"/>
      <c r="I940" s="47"/>
      <c r="J940" s="47"/>
      <c r="K940" s="47"/>
      <c r="M940" s="47"/>
    </row>
    <row r="941" spans="1:13" s="75" customFormat="1" x14ac:dyDescent="0.3">
      <c r="A941" s="95"/>
      <c r="B941" s="162"/>
      <c r="C941" s="96"/>
      <c r="D941" s="97"/>
      <c r="E941" s="154"/>
      <c r="G941" s="47"/>
      <c r="H941" s="47"/>
      <c r="I941" s="47"/>
      <c r="J941" s="47"/>
      <c r="K941" s="47"/>
      <c r="M941" s="47"/>
    </row>
    <row r="942" spans="1:13" s="75" customFormat="1" x14ac:dyDescent="0.3">
      <c r="A942" s="95"/>
      <c r="B942" s="162"/>
      <c r="C942" s="96"/>
      <c r="D942" s="97"/>
      <c r="E942" s="154"/>
      <c r="G942" s="47"/>
      <c r="H942" s="47"/>
      <c r="I942" s="47"/>
      <c r="J942" s="47"/>
      <c r="K942" s="47"/>
      <c r="M942" s="47"/>
    </row>
    <row r="943" spans="1:13" s="75" customFormat="1" x14ac:dyDescent="0.3">
      <c r="A943" s="95"/>
      <c r="B943" s="162"/>
      <c r="C943" s="96"/>
      <c r="D943" s="97"/>
      <c r="E943" s="154"/>
      <c r="G943" s="47"/>
      <c r="H943" s="47"/>
      <c r="I943" s="47"/>
      <c r="J943" s="47"/>
      <c r="K943" s="47"/>
      <c r="M943" s="76"/>
    </row>
    <row r="944" spans="1:13" s="75" customFormat="1" x14ac:dyDescent="0.3">
      <c r="A944" s="95"/>
      <c r="B944" s="162"/>
      <c r="C944" s="96"/>
      <c r="D944" s="97"/>
      <c r="E944" s="154"/>
      <c r="G944" s="47"/>
      <c r="H944" s="47"/>
      <c r="I944" s="47"/>
      <c r="J944" s="47"/>
      <c r="K944" s="47"/>
      <c r="M944" s="47"/>
    </row>
    <row r="945" spans="1:13" s="75" customFormat="1" x14ac:dyDescent="0.3">
      <c r="A945" s="95"/>
      <c r="B945" s="162"/>
      <c r="C945" s="96"/>
      <c r="D945" s="97"/>
      <c r="E945" s="154"/>
      <c r="G945" s="47"/>
      <c r="H945" s="47"/>
      <c r="I945" s="47"/>
      <c r="J945" s="47"/>
      <c r="K945" s="47"/>
      <c r="M945" s="47"/>
    </row>
    <row r="946" spans="1:13" s="75" customFormat="1" x14ac:dyDescent="0.3">
      <c r="A946" s="95"/>
      <c r="B946" s="162"/>
      <c r="C946" s="96"/>
      <c r="D946" s="97"/>
      <c r="E946" s="154"/>
      <c r="G946" s="47"/>
      <c r="H946" s="47"/>
      <c r="I946" s="47"/>
      <c r="J946" s="47"/>
      <c r="K946" s="47"/>
      <c r="M946" s="47"/>
    </row>
    <row r="947" spans="1:13" s="75" customFormat="1" x14ac:dyDescent="0.3">
      <c r="A947" s="95"/>
      <c r="B947" s="162"/>
      <c r="C947" s="96"/>
      <c r="D947" s="97"/>
      <c r="E947" s="154"/>
      <c r="G947" s="47"/>
      <c r="H947" s="47"/>
      <c r="I947" s="47"/>
      <c r="J947" s="47"/>
      <c r="K947" s="47"/>
      <c r="M947" s="47"/>
    </row>
    <row r="948" spans="1:13" s="75" customFormat="1" x14ac:dyDescent="0.3">
      <c r="A948" s="95"/>
      <c r="B948" s="162"/>
      <c r="C948" s="96"/>
      <c r="D948" s="97"/>
      <c r="E948" s="154"/>
      <c r="G948" s="47"/>
      <c r="H948" s="47"/>
      <c r="I948" s="47"/>
      <c r="J948" s="47"/>
      <c r="K948" s="47"/>
      <c r="M948" s="47"/>
    </row>
    <row r="949" spans="1:13" s="75" customFormat="1" x14ac:dyDescent="0.3">
      <c r="A949" s="95"/>
      <c r="B949" s="162"/>
      <c r="C949" s="96"/>
      <c r="D949" s="97"/>
      <c r="E949" s="154"/>
      <c r="G949" s="47"/>
      <c r="H949" s="47"/>
      <c r="I949" s="47"/>
      <c r="J949" s="47"/>
      <c r="K949" s="47"/>
      <c r="M949" s="47"/>
    </row>
    <row r="950" spans="1:13" s="75" customFormat="1" x14ac:dyDescent="0.3">
      <c r="A950" s="95"/>
      <c r="B950" s="162"/>
      <c r="C950" s="96"/>
      <c r="D950" s="97"/>
      <c r="E950" s="154"/>
      <c r="G950" s="47"/>
      <c r="H950" s="47"/>
      <c r="I950" s="47"/>
      <c r="J950" s="47"/>
      <c r="K950" s="47"/>
      <c r="M950" s="47"/>
    </row>
    <row r="951" spans="1:13" s="75" customFormat="1" x14ac:dyDescent="0.3">
      <c r="A951" s="95"/>
      <c r="B951" s="162"/>
      <c r="C951" s="96"/>
      <c r="D951" s="97"/>
      <c r="E951" s="154"/>
      <c r="G951" s="47"/>
      <c r="H951" s="47"/>
      <c r="I951" s="47"/>
      <c r="J951" s="47"/>
      <c r="K951" s="47"/>
      <c r="M951" s="47"/>
    </row>
    <row r="952" spans="1:13" s="75" customFormat="1" x14ac:dyDescent="0.3">
      <c r="A952" s="95"/>
      <c r="B952" s="162"/>
      <c r="C952" s="96"/>
      <c r="D952" s="97"/>
      <c r="E952" s="154"/>
      <c r="G952" s="47"/>
      <c r="H952" s="47"/>
      <c r="I952" s="47"/>
      <c r="J952" s="47"/>
      <c r="K952" s="47"/>
      <c r="M952" s="47"/>
    </row>
    <row r="953" spans="1:13" s="75" customFormat="1" x14ac:dyDescent="0.3">
      <c r="A953" s="95"/>
      <c r="B953" s="162"/>
      <c r="C953" s="96"/>
      <c r="D953" s="97"/>
      <c r="E953" s="154"/>
      <c r="G953" s="47"/>
      <c r="H953" s="47"/>
      <c r="I953" s="47"/>
      <c r="J953" s="47"/>
      <c r="K953" s="47"/>
      <c r="M953" s="47"/>
    </row>
    <row r="954" spans="1:13" s="75" customFormat="1" x14ac:dyDescent="0.3">
      <c r="A954" s="95"/>
      <c r="B954" s="162"/>
      <c r="C954" s="96"/>
      <c r="D954" s="97"/>
      <c r="E954" s="154"/>
      <c r="G954" s="47"/>
      <c r="H954" s="47"/>
      <c r="I954" s="47"/>
      <c r="J954" s="47"/>
      <c r="K954" s="47"/>
      <c r="M954" s="47"/>
    </row>
    <row r="955" spans="1:13" s="75" customFormat="1" x14ac:dyDescent="0.3">
      <c r="A955" s="95"/>
      <c r="B955" s="162"/>
      <c r="C955" s="96"/>
      <c r="D955" s="97"/>
      <c r="E955" s="154"/>
      <c r="G955" s="47"/>
      <c r="H955" s="47"/>
      <c r="I955" s="47"/>
      <c r="J955" s="47"/>
      <c r="K955" s="47"/>
      <c r="M955" s="47"/>
    </row>
    <row r="956" spans="1:13" s="75" customFormat="1" x14ac:dyDescent="0.3">
      <c r="A956" s="95"/>
      <c r="B956" s="162"/>
      <c r="C956" s="96"/>
      <c r="D956" s="97"/>
      <c r="E956" s="154"/>
      <c r="G956" s="47"/>
      <c r="H956" s="47"/>
      <c r="I956" s="47"/>
      <c r="J956" s="47"/>
      <c r="K956" s="47"/>
      <c r="M956" s="47"/>
    </row>
    <row r="957" spans="1:13" s="75" customFormat="1" x14ac:dyDescent="0.3">
      <c r="A957" s="95"/>
      <c r="B957" s="162"/>
      <c r="C957" s="96"/>
      <c r="D957" s="97"/>
      <c r="E957" s="154"/>
      <c r="G957" s="47"/>
      <c r="H957" s="47"/>
      <c r="I957" s="47"/>
      <c r="J957" s="47"/>
      <c r="K957" s="47"/>
      <c r="M957" s="47"/>
    </row>
    <row r="958" spans="1:13" s="75" customFormat="1" x14ac:dyDescent="0.3">
      <c r="A958" s="95"/>
      <c r="B958" s="162"/>
      <c r="C958" s="96"/>
      <c r="D958" s="97"/>
      <c r="E958" s="154"/>
      <c r="G958" s="47"/>
      <c r="H958" s="47"/>
      <c r="I958" s="47"/>
      <c r="J958" s="47"/>
      <c r="K958" s="47"/>
      <c r="M958" s="47"/>
    </row>
    <row r="959" spans="1:13" s="75" customFormat="1" x14ac:dyDescent="0.3">
      <c r="A959" s="95"/>
      <c r="B959" s="162"/>
      <c r="C959" s="96"/>
      <c r="D959" s="97"/>
      <c r="E959" s="154"/>
      <c r="G959" s="47"/>
      <c r="H959" s="47"/>
      <c r="I959" s="47"/>
      <c r="J959" s="47"/>
      <c r="K959" s="47"/>
      <c r="M959" s="47"/>
    </row>
    <row r="960" spans="1:13" s="75" customFormat="1" x14ac:dyDescent="0.3">
      <c r="A960" s="95"/>
      <c r="B960" s="162"/>
      <c r="C960" s="96"/>
      <c r="D960" s="97"/>
      <c r="E960" s="154"/>
      <c r="G960" s="47"/>
      <c r="H960" s="47"/>
      <c r="I960" s="47"/>
      <c r="J960" s="47"/>
      <c r="K960" s="47"/>
      <c r="M960" s="47"/>
    </row>
    <row r="961" spans="1:13" s="75" customFormat="1" x14ac:dyDescent="0.3">
      <c r="A961" s="95"/>
      <c r="B961" s="162"/>
      <c r="C961" s="96"/>
      <c r="D961" s="97"/>
      <c r="E961" s="154"/>
      <c r="G961" s="47"/>
      <c r="H961" s="47"/>
      <c r="I961" s="47"/>
      <c r="J961" s="47"/>
      <c r="K961" s="47"/>
      <c r="M961" s="47"/>
    </row>
    <row r="962" spans="1:13" s="75" customFormat="1" x14ac:dyDescent="0.3">
      <c r="A962" s="95"/>
      <c r="B962" s="162"/>
      <c r="C962" s="96"/>
      <c r="D962" s="97"/>
      <c r="E962" s="154"/>
      <c r="G962" s="47"/>
      <c r="H962" s="47"/>
      <c r="I962" s="47"/>
      <c r="J962" s="47"/>
      <c r="K962" s="47"/>
      <c r="M962" s="47"/>
    </row>
    <row r="963" spans="1:13" s="75" customFormat="1" x14ac:dyDescent="0.3">
      <c r="A963" s="95"/>
      <c r="B963" s="162"/>
      <c r="C963" s="96"/>
      <c r="D963" s="97"/>
      <c r="E963" s="154"/>
      <c r="G963" s="47"/>
      <c r="H963" s="47"/>
      <c r="I963" s="47"/>
      <c r="J963" s="47"/>
      <c r="K963" s="47"/>
      <c r="M963" s="47"/>
    </row>
    <row r="964" spans="1:13" s="75" customFormat="1" x14ac:dyDescent="0.3">
      <c r="A964" s="95"/>
      <c r="B964" s="162"/>
      <c r="C964" s="96"/>
      <c r="D964" s="97"/>
      <c r="E964" s="154"/>
      <c r="G964" s="47"/>
      <c r="H964" s="47"/>
      <c r="I964" s="47"/>
      <c r="J964" s="47"/>
      <c r="K964" s="47"/>
      <c r="M964" s="47"/>
    </row>
    <row r="965" spans="1:13" s="75" customFormat="1" x14ac:dyDescent="0.3">
      <c r="A965" s="95"/>
      <c r="B965" s="162"/>
      <c r="C965" s="96"/>
      <c r="D965" s="97"/>
      <c r="E965" s="154"/>
      <c r="G965" s="47"/>
      <c r="H965" s="47"/>
      <c r="I965" s="47"/>
      <c r="J965" s="47"/>
      <c r="K965" s="47"/>
      <c r="M965" s="47"/>
    </row>
    <row r="966" spans="1:13" s="75" customFormat="1" x14ac:dyDescent="0.3">
      <c r="A966" s="95"/>
      <c r="B966" s="162"/>
      <c r="C966" s="96"/>
      <c r="D966" s="97"/>
      <c r="E966" s="154"/>
      <c r="G966" s="47"/>
      <c r="H966" s="47"/>
      <c r="I966" s="47"/>
      <c r="J966" s="47"/>
      <c r="K966" s="47"/>
      <c r="M966" s="47"/>
    </row>
    <row r="967" spans="1:13" s="75" customFormat="1" x14ac:dyDescent="0.3">
      <c r="A967" s="95"/>
      <c r="B967" s="162"/>
      <c r="C967" s="96"/>
      <c r="D967" s="97"/>
      <c r="E967" s="154"/>
      <c r="G967" s="47"/>
      <c r="H967" s="47"/>
      <c r="I967" s="47"/>
      <c r="J967" s="47"/>
      <c r="K967" s="47"/>
      <c r="M967" s="47"/>
    </row>
    <row r="968" spans="1:13" s="75" customFormat="1" x14ac:dyDescent="0.3">
      <c r="A968" s="95"/>
      <c r="B968" s="162"/>
      <c r="C968" s="96"/>
      <c r="D968" s="97"/>
      <c r="E968" s="154"/>
      <c r="G968" s="47"/>
      <c r="H968" s="47"/>
      <c r="I968" s="47"/>
      <c r="J968" s="47"/>
      <c r="K968" s="47"/>
      <c r="M968" s="47"/>
    </row>
    <row r="969" spans="1:13" s="75" customFormat="1" x14ac:dyDescent="0.3">
      <c r="A969" s="95"/>
      <c r="B969" s="162"/>
      <c r="C969" s="96"/>
      <c r="D969" s="97"/>
      <c r="E969" s="154"/>
      <c r="G969" s="47"/>
      <c r="H969" s="47"/>
      <c r="I969" s="47"/>
      <c r="J969" s="47"/>
      <c r="K969" s="47"/>
      <c r="M969" s="47"/>
    </row>
    <row r="970" spans="1:13" s="75" customFormat="1" x14ac:dyDescent="0.3">
      <c r="A970" s="95"/>
      <c r="B970" s="162"/>
      <c r="C970" s="96"/>
      <c r="D970" s="97"/>
      <c r="E970" s="154"/>
      <c r="G970" s="47"/>
      <c r="H970" s="47"/>
      <c r="I970" s="47"/>
      <c r="J970" s="47"/>
      <c r="K970" s="47"/>
      <c r="M970" s="47"/>
    </row>
    <row r="971" spans="1:13" s="75" customFormat="1" x14ac:dyDescent="0.3">
      <c r="A971" s="95"/>
      <c r="B971" s="162"/>
      <c r="C971" s="96"/>
      <c r="D971" s="97"/>
      <c r="E971" s="154"/>
      <c r="G971" s="47"/>
      <c r="H971" s="47"/>
      <c r="I971" s="47"/>
      <c r="J971" s="47"/>
      <c r="K971" s="47"/>
      <c r="M971" s="47"/>
    </row>
    <row r="972" spans="1:13" s="75" customFormat="1" x14ac:dyDescent="0.3">
      <c r="A972" s="95"/>
      <c r="B972" s="162"/>
      <c r="C972" s="96"/>
      <c r="D972" s="97"/>
      <c r="E972" s="154"/>
      <c r="G972" s="47"/>
      <c r="H972" s="47"/>
      <c r="I972" s="47"/>
      <c r="J972" s="47"/>
      <c r="K972" s="47"/>
      <c r="M972" s="47"/>
    </row>
    <row r="973" spans="1:13" s="75" customFormat="1" x14ac:dyDescent="0.3">
      <c r="A973" s="95"/>
      <c r="B973" s="162"/>
      <c r="C973" s="96"/>
      <c r="D973" s="97"/>
      <c r="E973" s="154"/>
      <c r="G973" s="47"/>
      <c r="H973" s="47"/>
      <c r="I973" s="47"/>
      <c r="J973" s="47"/>
      <c r="K973" s="47"/>
      <c r="M973" s="47"/>
    </row>
    <row r="974" spans="1:13" s="75" customFormat="1" x14ac:dyDescent="0.3">
      <c r="A974" s="95"/>
      <c r="B974" s="162"/>
      <c r="C974" s="96"/>
      <c r="D974" s="97"/>
      <c r="E974" s="154"/>
      <c r="G974" s="47"/>
      <c r="H974" s="47"/>
      <c r="I974" s="47"/>
      <c r="J974" s="47"/>
      <c r="K974" s="47"/>
      <c r="M974" s="47"/>
    </row>
    <row r="975" spans="1:13" s="75" customFormat="1" x14ac:dyDescent="0.3">
      <c r="A975" s="95"/>
      <c r="B975" s="162"/>
      <c r="C975" s="96"/>
      <c r="D975" s="97"/>
      <c r="E975" s="154"/>
      <c r="G975" s="47"/>
      <c r="H975" s="47"/>
      <c r="I975" s="47"/>
      <c r="J975" s="47"/>
      <c r="K975" s="47"/>
      <c r="M975" s="47"/>
    </row>
    <row r="976" spans="1:13" s="75" customFormat="1" x14ac:dyDescent="0.3">
      <c r="A976" s="95"/>
      <c r="B976" s="162"/>
      <c r="C976" s="96"/>
      <c r="D976" s="97"/>
      <c r="E976" s="154"/>
      <c r="G976" s="47"/>
      <c r="H976" s="47"/>
      <c r="I976" s="47"/>
      <c r="J976" s="47"/>
      <c r="K976" s="47"/>
      <c r="M976" s="47"/>
    </row>
    <row r="977" spans="1:28" s="75" customFormat="1" x14ac:dyDescent="0.3">
      <c r="A977" s="95"/>
      <c r="B977" s="162"/>
      <c r="C977" s="96"/>
      <c r="D977" s="97"/>
      <c r="E977" s="154"/>
      <c r="G977" s="47"/>
      <c r="H977" s="47"/>
      <c r="I977" s="47"/>
      <c r="J977" s="47"/>
      <c r="K977" s="47"/>
      <c r="M977" s="47"/>
    </row>
    <row r="978" spans="1:28" x14ac:dyDescent="0.3">
      <c r="L978" s="75"/>
      <c r="N978" s="75"/>
      <c r="O978" s="75"/>
      <c r="P978" s="75"/>
      <c r="Q978" s="75"/>
      <c r="R978" s="75"/>
      <c r="S978" s="75"/>
      <c r="T978" s="75"/>
      <c r="U978" s="75"/>
      <c r="V978" s="75"/>
      <c r="W978" s="75"/>
      <c r="X978" s="75"/>
      <c r="Y978" s="75"/>
      <c r="Z978" s="75"/>
      <c r="AA978" s="75"/>
      <c r="AB978" s="75"/>
    </row>
    <row r="979" spans="1:28" x14ac:dyDescent="0.3">
      <c r="L979" s="75"/>
      <c r="N979" s="75"/>
      <c r="O979" s="75"/>
      <c r="P979" s="75"/>
      <c r="Q979" s="75"/>
      <c r="R979" s="75"/>
      <c r="S979" s="75"/>
      <c r="T979" s="75"/>
      <c r="U979" s="75"/>
      <c r="V979" s="75"/>
      <c r="W979" s="75"/>
      <c r="X979" s="75"/>
      <c r="Y979" s="75"/>
      <c r="Z979" s="75"/>
      <c r="AA979" s="75"/>
      <c r="AB979" s="75"/>
    </row>
    <row r="980" spans="1:28" x14ac:dyDescent="0.3">
      <c r="L980" s="75"/>
      <c r="N980" s="75"/>
      <c r="O980" s="75"/>
      <c r="P980" s="75"/>
      <c r="Q980" s="75"/>
      <c r="R980" s="75"/>
      <c r="S980" s="75"/>
      <c r="T980" s="75"/>
      <c r="U980" s="75"/>
      <c r="V980" s="75"/>
      <c r="W980" s="75"/>
      <c r="X980" s="75"/>
      <c r="Y980" s="75"/>
      <c r="Z980" s="75"/>
      <c r="AA980" s="75"/>
      <c r="AB980" s="75"/>
    </row>
    <row r="981" spans="1:28" x14ac:dyDescent="0.3">
      <c r="L981" s="75"/>
      <c r="N981" s="75"/>
      <c r="O981" s="75"/>
      <c r="P981" s="75"/>
      <c r="Q981" s="75"/>
      <c r="R981" s="75"/>
      <c r="S981" s="75"/>
      <c r="T981" s="75"/>
      <c r="U981" s="75"/>
      <c r="V981" s="75"/>
      <c r="W981" s="75"/>
      <c r="X981" s="75"/>
      <c r="Y981" s="75"/>
      <c r="Z981" s="75"/>
      <c r="AA981" s="75"/>
      <c r="AB981" s="75"/>
    </row>
    <row r="982" spans="1:28" x14ac:dyDescent="0.3">
      <c r="L982" s="75"/>
      <c r="N982" s="75"/>
      <c r="O982" s="75"/>
      <c r="P982" s="75"/>
      <c r="Q982" s="75"/>
      <c r="R982" s="75"/>
      <c r="S982" s="75"/>
      <c r="T982" s="75"/>
      <c r="U982" s="75"/>
      <c r="V982" s="75"/>
      <c r="W982" s="75"/>
      <c r="X982" s="75"/>
      <c r="Y982" s="75"/>
      <c r="Z982" s="75"/>
      <c r="AA982" s="75"/>
      <c r="AB982" s="75"/>
    </row>
    <row r="983" spans="1:28" x14ac:dyDescent="0.3">
      <c r="L983" s="75"/>
      <c r="N983" s="75"/>
      <c r="O983" s="75"/>
      <c r="P983" s="75"/>
      <c r="Q983" s="75"/>
      <c r="R983" s="75"/>
      <c r="S983" s="75"/>
      <c r="T983" s="75"/>
      <c r="U983" s="75"/>
      <c r="V983" s="75"/>
      <c r="W983" s="75"/>
      <c r="X983" s="75"/>
      <c r="Y983" s="75"/>
      <c r="Z983" s="75"/>
      <c r="AA983" s="75"/>
      <c r="AB983" s="75"/>
    </row>
    <row r="984" spans="1:28" x14ac:dyDescent="0.3">
      <c r="L984" s="75"/>
      <c r="N984" s="75"/>
      <c r="O984" s="75"/>
      <c r="P984" s="75"/>
      <c r="Q984" s="75"/>
      <c r="R984" s="75"/>
      <c r="S984" s="75"/>
      <c r="T984" s="75"/>
      <c r="U984" s="75"/>
      <c r="V984" s="75"/>
      <c r="W984" s="75"/>
      <c r="X984" s="75"/>
      <c r="Y984" s="75"/>
      <c r="Z984" s="75"/>
      <c r="AA984" s="75"/>
      <c r="AB984" s="75"/>
    </row>
    <row r="985" spans="1:28" x14ac:dyDescent="0.3">
      <c r="L985" s="75"/>
      <c r="N985" s="75"/>
      <c r="O985" s="75"/>
      <c r="P985" s="75"/>
      <c r="Q985" s="75"/>
      <c r="R985" s="75"/>
      <c r="S985" s="75"/>
      <c r="T985" s="75"/>
      <c r="U985" s="75"/>
      <c r="V985" s="75"/>
      <c r="W985" s="75"/>
      <c r="X985" s="75"/>
      <c r="Y985" s="75"/>
      <c r="Z985" s="75"/>
      <c r="AA985" s="75"/>
      <c r="AB985" s="75"/>
    </row>
    <row r="986" spans="1:28" x14ac:dyDescent="0.3">
      <c r="L986" s="75"/>
      <c r="N986" s="75"/>
      <c r="O986" s="75"/>
      <c r="P986" s="75"/>
      <c r="Q986" s="75"/>
      <c r="R986" s="75"/>
      <c r="S986" s="75"/>
      <c r="T986" s="75"/>
      <c r="U986" s="75"/>
      <c r="V986" s="75"/>
      <c r="W986" s="75"/>
      <c r="X986" s="75"/>
      <c r="Y986" s="75"/>
      <c r="Z986" s="75"/>
      <c r="AA986" s="75"/>
      <c r="AB986" s="75"/>
    </row>
    <row r="987" spans="1:28" x14ac:dyDescent="0.3">
      <c r="L987" s="75"/>
      <c r="N987" s="75"/>
      <c r="O987" s="75"/>
      <c r="P987" s="75"/>
      <c r="Q987" s="75"/>
      <c r="R987" s="75"/>
      <c r="S987" s="75"/>
      <c r="T987" s="75"/>
      <c r="U987" s="75"/>
      <c r="V987" s="75"/>
      <c r="W987" s="75"/>
      <c r="X987" s="75"/>
      <c r="Y987" s="75"/>
      <c r="Z987" s="75"/>
      <c r="AA987" s="75"/>
      <c r="AB987" s="75"/>
    </row>
    <row r="988" spans="1:28" x14ac:dyDescent="0.3">
      <c r="L988" s="75"/>
      <c r="N988" s="75"/>
      <c r="O988" s="75"/>
      <c r="P988" s="75"/>
      <c r="Q988" s="75"/>
      <c r="R988" s="75"/>
      <c r="S988" s="75"/>
      <c r="T988" s="75"/>
      <c r="U988" s="75"/>
      <c r="V988" s="75"/>
      <c r="W988" s="75"/>
      <c r="X988" s="75"/>
      <c r="Y988" s="75"/>
      <c r="Z988" s="75"/>
      <c r="AA988" s="75"/>
      <c r="AB988" s="75"/>
    </row>
    <row r="989" spans="1:28" x14ac:dyDescent="0.3">
      <c r="L989" s="75"/>
      <c r="N989" s="75"/>
      <c r="O989" s="75"/>
      <c r="P989" s="75"/>
      <c r="Q989" s="75"/>
      <c r="R989" s="75"/>
      <c r="S989" s="75"/>
      <c r="T989" s="75"/>
      <c r="U989" s="75"/>
      <c r="V989" s="75"/>
      <c r="W989" s="75"/>
      <c r="X989" s="75"/>
      <c r="Y989" s="75"/>
      <c r="Z989" s="75"/>
      <c r="AA989" s="75"/>
      <c r="AB989" s="75"/>
    </row>
    <row r="990" spans="1:28" x14ac:dyDescent="0.3">
      <c r="L990" s="75"/>
      <c r="N990" s="75"/>
      <c r="O990" s="75"/>
      <c r="P990" s="75"/>
      <c r="Q990" s="75"/>
      <c r="R990" s="75"/>
      <c r="S990" s="75"/>
      <c r="T990" s="75"/>
      <c r="U990" s="75"/>
      <c r="V990" s="75"/>
      <c r="W990" s="75"/>
      <c r="X990" s="75"/>
      <c r="Y990" s="75"/>
      <c r="Z990" s="75"/>
      <c r="AA990" s="75"/>
      <c r="AB990" s="75"/>
    </row>
    <row r="991" spans="1:28" x14ac:dyDescent="0.3">
      <c r="L991" s="75"/>
      <c r="N991" s="75"/>
      <c r="O991" s="75"/>
      <c r="P991" s="75"/>
      <c r="Q991" s="75"/>
      <c r="R991" s="75"/>
      <c r="S991" s="75"/>
      <c r="T991" s="75"/>
      <c r="U991" s="75"/>
      <c r="V991" s="75"/>
      <c r="W991" s="75"/>
      <c r="X991" s="75"/>
      <c r="Y991" s="75"/>
      <c r="Z991" s="75"/>
      <c r="AA991" s="75"/>
      <c r="AB991" s="75"/>
    </row>
    <row r="992" spans="1:28" x14ac:dyDescent="0.3">
      <c r="L992" s="75"/>
      <c r="N992" s="75"/>
      <c r="O992" s="75"/>
      <c r="P992" s="75"/>
      <c r="Q992" s="75"/>
      <c r="R992" s="75"/>
      <c r="S992" s="75"/>
      <c r="T992" s="75"/>
      <c r="U992" s="75"/>
      <c r="V992" s="75"/>
      <c r="W992" s="75"/>
      <c r="X992" s="75"/>
      <c r="Y992" s="75"/>
      <c r="Z992" s="75"/>
      <c r="AA992" s="75"/>
      <c r="AB992" s="75"/>
    </row>
    <row r="993" spans="1:28" x14ac:dyDescent="0.3">
      <c r="L993" s="75"/>
      <c r="N993" s="75"/>
      <c r="O993" s="75"/>
      <c r="P993" s="75"/>
      <c r="Q993" s="75"/>
      <c r="R993" s="75"/>
      <c r="S993" s="75"/>
      <c r="T993" s="75"/>
      <c r="U993" s="75"/>
      <c r="V993" s="75"/>
      <c r="W993" s="75"/>
      <c r="X993" s="75"/>
      <c r="Y993" s="75"/>
      <c r="Z993" s="75"/>
      <c r="AA993" s="75"/>
      <c r="AB993" s="75"/>
    </row>
    <row r="994" spans="1:28" hidden="1" x14ac:dyDescent="0.3">
      <c r="L994" s="75"/>
      <c r="N994" s="75"/>
      <c r="O994" s="75"/>
      <c r="P994" s="75"/>
      <c r="Q994" s="75"/>
      <c r="R994" s="75"/>
      <c r="S994" s="75"/>
      <c r="T994" s="75"/>
      <c r="U994" s="75"/>
      <c r="V994" s="75"/>
      <c r="W994" s="75"/>
      <c r="X994" s="75"/>
      <c r="Y994" s="75"/>
      <c r="Z994" s="75"/>
      <c r="AA994" s="75"/>
      <c r="AB994" s="75"/>
    </row>
    <row r="995" spans="1:28" s="76" customFormat="1" hidden="1" x14ac:dyDescent="0.3">
      <c r="A995" s="95"/>
      <c r="B995" s="162"/>
      <c r="C995" s="96"/>
      <c r="D995" s="97"/>
      <c r="E995" s="155"/>
      <c r="G995" s="47"/>
      <c r="H995" s="47"/>
      <c r="I995" s="47"/>
      <c r="J995" s="47"/>
      <c r="K995" s="47"/>
      <c r="L995" s="75"/>
      <c r="M995" s="47"/>
      <c r="N995" s="75"/>
      <c r="O995" s="75"/>
      <c r="P995" s="75"/>
      <c r="Q995" s="75"/>
      <c r="R995" s="75"/>
      <c r="S995" s="75"/>
      <c r="T995" s="75"/>
      <c r="U995" s="75"/>
      <c r="V995" s="75"/>
      <c r="W995" s="75"/>
      <c r="X995" s="75"/>
      <c r="Y995" s="75"/>
      <c r="Z995" s="75"/>
      <c r="AA995" s="75"/>
      <c r="AB995" s="75"/>
    </row>
    <row r="996" spans="1:28" hidden="1" x14ac:dyDescent="0.3">
      <c r="L996" s="75"/>
      <c r="N996" s="75"/>
      <c r="O996" s="75"/>
      <c r="P996" s="75"/>
      <c r="Q996" s="75"/>
      <c r="R996" s="75"/>
      <c r="S996" s="75"/>
      <c r="T996" s="75"/>
      <c r="U996" s="75"/>
      <c r="V996" s="75"/>
      <c r="W996" s="75"/>
      <c r="X996" s="75"/>
      <c r="Y996" s="75"/>
      <c r="Z996" s="75"/>
      <c r="AA996" s="75"/>
      <c r="AB996" s="75"/>
    </row>
    <row r="997" spans="1:28" hidden="1" x14ac:dyDescent="0.3">
      <c r="N997" s="75"/>
      <c r="O997" s="75"/>
      <c r="P997" s="75"/>
      <c r="Q997" s="75"/>
      <c r="R997" s="75"/>
      <c r="S997" s="75"/>
      <c r="T997" s="75"/>
      <c r="U997" s="75"/>
      <c r="V997" s="75"/>
      <c r="W997" s="75"/>
      <c r="X997" s="75"/>
      <c r="Y997" s="75"/>
    </row>
    <row r="998" spans="1:28" x14ac:dyDescent="0.3">
      <c r="O998" s="75"/>
      <c r="P998" s="75"/>
      <c r="Q998" s="75"/>
      <c r="R998" s="75"/>
      <c r="S998" s="75"/>
      <c r="T998" s="75"/>
      <c r="U998" s="75"/>
      <c r="V998" s="75"/>
      <c r="W998" s="75"/>
      <c r="X998" s="75"/>
    </row>
    <row r="1014" spans="12:28" x14ac:dyDescent="0.3">
      <c r="L1014" s="76"/>
      <c r="Z1014" s="76"/>
      <c r="AA1014" s="76"/>
      <c r="AB1014" s="76"/>
    </row>
    <row r="1015" spans="12:28" x14ac:dyDescent="0.3">
      <c r="N1015" s="76"/>
      <c r="Y1015" s="76"/>
    </row>
    <row r="1016" spans="12:28" x14ac:dyDescent="0.3">
      <c r="O1016" s="76"/>
      <c r="P1016" s="76"/>
      <c r="Q1016" s="76"/>
      <c r="R1016" s="76"/>
      <c r="S1016" s="76"/>
      <c r="T1016" s="76"/>
      <c r="U1016" s="76"/>
      <c r="V1016" s="76"/>
      <c r="W1016" s="76"/>
      <c r="X1016" s="76"/>
    </row>
  </sheetData>
  <sheetProtection password="CDF6" sheet="1" objects="1" scenarios="1"/>
  <mergeCells count="123">
    <mergeCell ref="A1:D1"/>
    <mergeCell ref="A2:B3"/>
    <mergeCell ref="C6:C9"/>
    <mergeCell ref="A10:D10"/>
    <mergeCell ref="A11:A22"/>
    <mergeCell ref="B11:B22"/>
    <mergeCell ref="A121:A165"/>
    <mergeCell ref="B121:B165"/>
    <mergeCell ref="A166:A181"/>
    <mergeCell ref="B166:B181"/>
    <mergeCell ref="G11:G22"/>
    <mergeCell ref="H11:H13"/>
    <mergeCell ref="I11:I22"/>
    <mergeCell ref="H14:H22"/>
    <mergeCell ref="A23:A34"/>
    <mergeCell ref="B23:B34"/>
    <mergeCell ref="G24:G35"/>
    <mergeCell ref="H24:H26"/>
    <mergeCell ref="I24:I35"/>
    <mergeCell ref="H27:H35"/>
    <mergeCell ref="A35:A46"/>
    <mergeCell ref="B35:B46"/>
    <mergeCell ref="G37:G48"/>
    <mergeCell ref="H37:H39"/>
    <mergeCell ref="I37:I48"/>
    <mergeCell ref="H40:H48"/>
    <mergeCell ref="A47:A58"/>
    <mergeCell ref="B47:B58"/>
    <mergeCell ref="G50:G61"/>
    <mergeCell ref="H50:H52"/>
    <mergeCell ref="G90:G101"/>
    <mergeCell ref="H90:H92"/>
    <mergeCell ref="I90:I101"/>
    <mergeCell ref="H93:H101"/>
    <mergeCell ref="A59:A89"/>
    <mergeCell ref="B59:B89"/>
    <mergeCell ref="A90:A120"/>
    <mergeCell ref="B90:B120"/>
    <mergeCell ref="G63:G74"/>
    <mergeCell ref="H63:H65"/>
    <mergeCell ref="I63:I74"/>
    <mergeCell ref="H66:H74"/>
    <mergeCell ref="G76:G88"/>
    <mergeCell ref="H76:H78"/>
    <mergeCell ref="I50:I61"/>
    <mergeCell ref="H53:H61"/>
    <mergeCell ref="I76:I88"/>
    <mergeCell ref="H79:H88"/>
    <mergeCell ref="G209:G220"/>
    <mergeCell ref="H209:H211"/>
    <mergeCell ref="I209:I220"/>
    <mergeCell ref="H212:H220"/>
    <mergeCell ref="A214:D214"/>
    <mergeCell ref="A215:D215"/>
    <mergeCell ref="A216:A227"/>
    <mergeCell ref="B216:B227"/>
    <mergeCell ref="A198:A213"/>
    <mergeCell ref="B198:B213"/>
    <mergeCell ref="I197:I208"/>
    <mergeCell ref="H200:H208"/>
    <mergeCell ref="G197:G208"/>
    <mergeCell ref="H197:H199"/>
    <mergeCell ref="A182:A197"/>
    <mergeCell ref="B182:B197"/>
    <mergeCell ref="A240:A251"/>
    <mergeCell ref="B240:B251"/>
    <mergeCell ref="G221:G231"/>
    <mergeCell ref="H221:H222"/>
    <mergeCell ref="I221:I231"/>
    <mergeCell ref="H223:H231"/>
    <mergeCell ref="G232:G243"/>
    <mergeCell ref="H232:H234"/>
    <mergeCell ref="I232:I243"/>
    <mergeCell ref="A228:A239"/>
    <mergeCell ref="B228:B239"/>
    <mergeCell ref="I272:I282"/>
    <mergeCell ref="H275:H282"/>
    <mergeCell ref="B252:B281"/>
    <mergeCell ref="H235:H243"/>
    <mergeCell ref="G244:G257"/>
    <mergeCell ref="H244:H247"/>
    <mergeCell ref="I244:I257"/>
    <mergeCell ref="H248:H257"/>
    <mergeCell ref="G258:G271"/>
    <mergeCell ref="H258:H261"/>
    <mergeCell ref="I258:I271"/>
    <mergeCell ref="A312:A327"/>
    <mergeCell ref="B312:B327"/>
    <mergeCell ref="A328:A343"/>
    <mergeCell ref="B328:B343"/>
    <mergeCell ref="A344:A359"/>
    <mergeCell ref="B344:B359"/>
    <mergeCell ref="A282:A311"/>
    <mergeCell ref="B282:B311"/>
    <mergeCell ref="H263:H271"/>
    <mergeCell ref="G272:G282"/>
    <mergeCell ref="H272:H274"/>
    <mergeCell ref="H346:H357"/>
    <mergeCell ref="A252:A281"/>
    <mergeCell ref="A428:A442"/>
    <mergeCell ref="B428:B442"/>
    <mergeCell ref="H417:H424"/>
    <mergeCell ref="I417:I424"/>
    <mergeCell ref="A443:D443"/>
    <mergeCell ref="I346:I357"/>
    <mergeCell ref="A374:A385"/>
    <mergeCell ref="B374:B385"/>
    <mergeCell ref="H358:H365"/>
    <mergeCell ref="I358:I365"/>
    <mergeCell ref="A414:A427"/>
    <mergeCell ref="B414:B427"/>
    <mergeCell ref="H404:H415"/>
    <mergeCell ref="I404:I415"/>
    <mergeCell ref="I366:I378"/>
    <mergeCell ref="A386:A399"/>
    <mergeCell ref="B386:B399"/>
    <mergeCell ref="A400:A413"/>
    <mergeCell ref="B400:B413"/>
    <mergeCell ref="A360:D360"/>
    <mergeCell ref="A361:D361"/>
    <mergeCell ref="A362:A373"/>
    <mergeCell ref="B362:B373"/>
    <mergeCell ref="H366:H378"/>
  </mergeCells>
  <conditionalFormatting sqref="D259:D261 D267 D272 D277 D252">
    <cfRule type="expression" dxfId="286" priority="230">
      <formula>#REF!="YES"</formula>
    </cfRule>
  </conditionalFormatting>
  <conditionalFormatting sqref="K230:K231">
    <cfRule type="expression" dxfId="285" priority="229">
      <formula>$H$221="YES"</formula>
    </cfRule>
  </conditionalFormatting>
  <conditionalFormatting sqref="K242:K243">
    <cfRule type="expression" dxfId="284" priority="228">
      <formula>$H$232="YES"</formula>
    </cfRule>
  </conditionalFormatting>
  <conditionalFormatting sqref="K256:K257">
    <cfRule type="expression" dxfId="283" priority="227">
      <formula>$H$244="YES"</formula>
    </cfRule>
  </conditionalFormatting>
  <conditionalFormatting sqref="K270:K271">
    <cfRule type="expression" dxfId="282" priority="226">
      <formula>$H$258="YES"</formula>
    </cfRule>
  </conditionalFormatting>
  <conditionalFormatting sqref="K364:K365">
    <cfRule type="expression" dxfId="281" priority="225">
      <formula>#REF!="YES"</formula>
    </cfRule>
  </conditionalFormatting>
  <conditionalFormatting sqref="K377:K378">
    <cfRule type="expression" dxfId="280" priority="224">
      <formula>#REF!="YES"</formula>
    </cfRule>
  </conditionalFormatting>
  <conditionalFormatting sqref="K414:K415">
    <cfRule type="expression" dxfId="279" priority="222">
      <formula>#REF!="YES"</formula>
    </cfRule>
  </conditionalFormatting>
  <conditionalFormatting sqref="K219:K220">
    <cfRule type="expression" dxfId="278" priority="220">
      <formula>$H$209="YES"</formula>
    </cfRule>
  </conditionalFormatting>
  <conditionalFormatting sqref="K207:K208">
    <cfRule type="expression" dxfId="277" priority="218">
      <formula>$H$197="YES"</formula>
    </cfRule>
  </conditionalFormatting>
  <conditionalFormatting sqref="K282">
    <cfRule type="expression" dxfId="276" priority="217">
      <formula>$H$272="YES"</formula>
    </cfRule>
  </conditionalFormatting>
  <conditionalFormatting sqref="D202:D205 D207:D209 D316:D319 D321:D323 D170:D173 D175:D177 D191:D193 D198:D199 D181">
    <cfRule type="expression" dxfId="275" priority="216">
      <formula>#REF!="YES"</formula>
    </cfRule>
  </conditionalFormatting>
  <conditionalFormatting sqref="K24 K34:K35">
    <cfRule type="expression" dxfId="274" priority="231">
      <formula>#REF!="YES"</formula>
    </cfRule>
  </conditionalFormatting>
  <conditionalFormatting sqref="K37 K47:K48">
    <cfRule type="expression" dxfId="273" priority="232">
      <formula>#REF!="YES"</formula>
    </cfRule>
  </conditionalFormatting>
  <conditionalFormatting sqref="K50 K60:K61">
    <cfRule type="expression" dxfId="272" priority="233">
      <formula>#REF!="YES"</formula>
    </cfRule>
  </conditionalFormatting>
  <conditionalFormatting sqref="K63 K73:K74">
    <cfRule type="expression" dxfId="271" priority="234">
      <formula>#REF!="YES"</formula>
    </cfRule>
  </conditionalFormatting>
  <conditionalFormatting sqref="K87:K88 K76">
    <cfRule type="expression" dxfId="270" priority="235">
      <formula>#REF!="YES"</formula>
    </cfRule>
  </conditionalFormatting>
  <conditionalFormatting sqref="K11 K21:K22">
    <cfRule type="expression" dxfId="269" priority="236">
      <formula>#REF!="YES"</formula>
    </cfRule>
  </conditionalFormatting>
  <conditionalFormatting sqref="K100:K101">
    <cfRule type="expression" dxfId="268" priority="237">
      <formula>#REF!="YES"</formula>
    </cfRule>
  </conditionalFormatting>
  <conditionalFormatting sqref="D254:D257">
    <cfRule type="expression" dxfId="267" priority="212">
      <formula>#REF!="YES"</formula>
    </cfRule>
  </conditionalFormatting>
  <conditionalFormatting sqref="D313">
    <cfRule type="expression" dxfId="266" priority="211">
      <formula>#REF!="YES"</formula>
    </cfRule>
  </conditionalFormatting>
  <conditionalFormatting sqref="D166:D168">
    <cfRule type="expression" dxfId="265" priority="207">
      <formula>#REF!="YES"</formula>
    </cfRule>
  </conditionalFormatting>
  <conditionalFormatting sqref="D186:D189">
    <cfRule type="expression" dxfId="264" priority="206">
      <formula>#REF!="YES"</formula>
    </cfRule>
  </conditionalFormatting>
  <conditionalFormatting sqref="D182:D183">
    <cfRule type="expression" dxfId="263" priority="205">
      <formula>#REF!="YES"</formula>
    </cfRule>
  </conditionalFormatting>
  <conditionalFormatting sqref="D332:D335 D337:D339">
    <cfRule type="expression" dxfId="262" priority="204">
      <formula>#REF!="YES"</formula>
    </cfRule>
  </conditionalFormatting>
  <conditionalFormatting sqref="D328:D330">
    <cfRule type="expression" dxfId="261" priority="203">
      <formula>#REF!="YES"</formula>
    </cfRule>
  </conditionalFormatting>
  <conditionalFormatting sqref="D348:D351 D353:D355">
    <cfRule type="expression" dxfId="260" priority="202">
      <formula>#REF!="YES"</formula>
    </cfRule>
  </conditionalFormatting>
  <conditionalFormatting sqref="D344:D345">
    <cfRule type="expression" dxfId="259" priority="201">
      <formula>#REF!="YES"</formula>
    </cfRule>
  </conditionalFormatting>
  <conditionalFormatting sqref="D346">
    <cfRule type="expression" dxfId="258" priority="200">
      <formula>#REF!="YES"</formula>
    </cfRule>
  </conditionalFormatting>
  <conditionalFormatting sqref="D314">
    <cfRule type="expression" dxfId="257" priority="199">
      <formula>#REF!="YES"</formula>
    </cfRule>
  </conditionalFormatting>
  <conditionalFormatting sqref="D184">
    <cfRule type="expression" dxfId="256" priority="198">
      <formula>#REF!="YES"</formula>
    </cfRule>
  </conditionalFormatting>
  <conditionalFormatting sqref="D200">
    <cfRule type="expression" dxfId="255" priority="197">
      <formula>#REF!="YES"</formula>
    </cfRule>
  </conditionalFormatting>
  <conditionalFormatting sqref="D397">
    <cfRule type="expression" dxfId="254" priority="194">
      <formula>#REF!="YES"</formula>
    </cfRule>
  </conditionalFormatting>
  <conditionalFormatting sqref="D428:D429 D431:D434 D436:D438">
    <cfRule type="expression" dxfId="253" priority="193">
      <formula>#REF!="YES"</formula>
    </cfRule>
  </conditionalFormatting>
  <conditionalFormatting sqref="A1:A58 A166:A281 A312:A1048576">
    <cfRule type="containsText" dxfId="252" priority="185" operator="containsText" text="OPTIONAL">
      <formula>NOT(ISERROR(SEARCH("OPTIONAL",A1)))</formula>
    </cfRule>
    <cfRule type="containsText" dxfId="251" priority="186" operator="containsText" text="REQUIRED">
      <formula>NOT(ISERROR(SEARCH("REQUIRED",A1)))</formula>
    </cfRule>
  </conditionalFormatting>
  <conditionalFormatting sqref="D180">
    <cfRule type="expression" dxfId="250" priority="178">
      <formula>#REF!="YES"</formula>
    </cfRule>
  </conditionalFormatting>
  <conditionalFormatting sqref="D197">
    <cfRule type="expression" dxfId="249" priority="175">
      <formula>#REF!="YES"</formula>
    </cfRule>
  </conditionalFormatting>
  <conditionalFormatting sqref="D196">
    <cfRule type="expression" dxfId="248" priority="174">
      <formula>#REF!="YES"</formula>
    </cfRule>
  </conditionalFormatting>
  <conditionalFormatting sqref="D213">
    <cfRule type="expression" dxfId="247" priority="173">
      <formula>#REF!="YES"</formula>
    </cfRule>
  </conditionalFormatting>
  <conditionalFormatting sqref="D212">
    <cfRule type="expression" dxfId="246" priority="172">
      <formula>#REF!="YES"</formula>
    </cfRule>
  </conditionalFormatting>
  <conditionalFormatting sqref="D265">
    <cfRule type="expression" dxfId="245" priority="171">
      <formula>#REF!="YES"</formula>
    </cfRule>
  </conditionalFormatting>
  <conditionalFormatting sqref="D270">
    <cfRule type="expression" dxfId="244" priority="170">
      <formula>#REF!="YES"</formula>
    </cfRule>
  </conditionalFormatting>
  <conditionalFormatting sqref="D275">
    <cfRule type="expression" dxfId="243" priority="169">
      <formula>#REF!="YES"</formula>
    </cfRule>
  </conditionalFormatting>
  <conditionalFormatting sqref="D280">
    <cfRule type="expression" dxfId="242" priority="168">
      <formula>#REF!="YES"</formula>
    </cfRule>
  </conditionalFormatting>
  <conditionalFormatting sqref="D413">
    <cfRule type="expression" dxfId="241" priority="153">
      <formula>#REF!="YES"</formula>
    </cfRule>
  </conditionalFormatting>
  <conditionalFormatting sqref="D427">
    <cfRule type="expression" dxfId="240" priority="152">
      <formula>#REF!="YES"</formula>
    </cfRule>
  </conditionalFormatting>
  <conditionalFormatting sqref="D442">
    <cfRule type="expression" dxfId="239" priority="151">
      <formula>#REF!="YES"</formula>
    </cfRule>
  </conditionalFormatting>
  <conditionalFormatting sqref="D326">
    <cfRule type="expression" dxfId="238" priority="149">
      <formula>#REF!="YES"</formula>
    </cfRule>
  </conditionalFormatting>
  <conditionalFormatting sqref="D342">
    <cfRule type="expression" dxfId="237" priority="147">
      <formula>#REF!="YES"</formula>
    </cfRule>
  </conditionalFormatting>
  <conditionalFormatting sqref="D358">
    <cfRule type="expression" dxfId="236" priority="145">
      <formula>#REF!="YES"</formula>
    </cfRule>
  </conditionalFormatting>
  <conditionalFormatting sqref="D441">
    <cfRule type="expression" dxfId="235" priority="140">
      <formula>#REF!="YES"</formula>
    </cfRule>
  </conditionalFormatting>
  <conditionalFormatting sqref="D426">
    <cfRule type="expression" dxfId="234" priority="139">
      <formula>#REF!="YES"</formula>
    </cfRule>
  </conditionalFormatting>
  <conditionalFormatting sqref="D412">
    <cfRule type="expression" dxfId="233" priority="138">
      <formula>#REF!="YES"</formula>
    </cfRule>
  </conditionalFormatting>
  <conditionalFormatting sqref="D398">
    <cfRule type="expression" dxfId="232" priority="137">
      <formula>#REF!="YES"</formula>
    </cfRule>
  </conditionalFormatting>
  <conditionalFormatting sqref="D411">
    <cfRule type="expression" dxfId="231" priority="136">
      <formula>#REF!="YES"</formula>
    </cfRule>
  </conditionalFormatting>
  <conditionalFormatting sqref="D425">
    <cfRule type="expression" dxfId="230" priority="135">
      <formula>#REF!="YES"</formula>
    </cfRule>
  </conditionalFormatting>
  <conditionalFormatting sqref="D440">
    <cfRule type="expression" dxfId="229" priority="134">
      <formula>#REF!="YES"</formula>
    </cfRule>
  </conditionalFormatting>
  <conditionalFormatting sqref="D211">
    <cfRule type="expression" dxfId="228" priority="129">
      <formula>#REF!="YES"</formula>
    </cfRule>
  </conditionalFormatting>
  <conditionalFormatting sqref="D195">
    <cfRule type="expression" dxfId="227" priority="128">
      <formula>#REF!="YES"</formula>
    </cfRule>
  </conditionalFormatting>
  <conditionalFormatting sqref="D179">
    <cfRule type="expression" dxfId="226" priority="127">
      <formula>#REF!="YES"</formula>
    </cfRule>
  </conditionalFormatting>
  <conditionalFormatting sqref="D264">
    <cfRule type="expression" dxfId="225" priority="118">
      <formula>#REF!="YES"</formula>
    </cfRule>
  </conditionalFormatting>
  <conditionalFormatting sqref="D269">
    <cfRule type="expression" dxfId="224" priority="117">
      <formula>#REF!="YES"</formula>
    </cfRule>
  </conditionalFormatting>
  <conditionalFormatting sqref="D274">
    <cfRule type="expression" dxfId="223" priority="116">
      <formula>#REF!="YES"</formula>
    </cfRule>
  </conditionalFormatting>
  <conditionalFormatting sqref="D279">
    <cfRule type="expression" dxfId="222" priority="115">
      <formula>#REF!="YES"</formula>
    </cfRule>
  </conditionalFormatting>
  <conditionalFormatting sqref="D312">
    <cfRule type="expression" dxfId="221" priority="110">
      <formula>#REF!="YES"</formula>
    </cfRule>
  </conditionalFormatting>
  <conditionalFormatting sqref="D325">
    <cfRule type="expression" dxfId="220" priority="109">
      <formula>#REF!="YES"</formula>
    </cfRule>
  </conditionalFormatting>
  <conditionalFormatting sqref="D341">
    <cfRule type="expression" dxfId="219" priority="108">
      <formula>#REF!="YES"</formula>
    </cfRule>
  </conditionalFormatting>
  <conditionalFormatting sqref="D357">
    <cfRule type="expression" dxfId="218" priority="107">
      <formula>#REF!="YES"</formula>
    </cfRule>
  </conditionalFormatting>
  <conditionalFormatting sqref="D266">
    <cfRule type="expression" dxfId="217" priority="104">
      <formula>#REF!="YES"</formula>
    </cfRule>
  </conditionalFormatting>
  <conditionalFormatting sqref="D271">
    <cfRule type="expression" dxfId="216" priority="103">
      <formula>#REF!="YES"</formula>
    </cfRule>
  </conditionalFormatting>
  <conditionalFormatting sqref="D276">
    <cfRule type="expression" dxfId="215" priority="102">
      <formula>#REF!="YES"</formula>
    </cfRule>
  </conditionalFormatting>
  <conditionalFormatting sqref="D281">
    <cfRule type="expression" dxfId="214" priority="101">
      <formula>#REF!="YES"</formula>
    </cfRule>
  </conditionalFormatting>
  <conditionalFormatting sqref="D327">
    <cfRule type="expression" dxfId="213" priority="96">
      <formula>#REF!="YES"</formula>
    </cfRule>
  </conditionalFormatting>
  <conditionalFormatting sqref="D343">
    <cfRule type="expression" dxfId="212" priority="95">
      <formula>#REF!="YES"</formula>
    </cfRule>
  </conditionalFormatting>
  <conditionalFormatting sqref="D359">
    <cfRule type="expression" dxfId="211" priority="94">
      <formula>#REF!="YES"</formula>
    </cfRule>
  </conditionalFormatting>
  <conditionalFormatting sqref="D399">
    <cfRule type="expression" dxfId="210" priority="93">
      <formula>#REF!="YES"</formula>
    </cfRule>
  </conditionalFormatting>
  <conditionalFormatting sqref="D262">
    <cfRule type="expression" dxfId="209" priority="36">
      <formula>#REF!="YES"</formula>
    </cfRule>
  </conditionalFormatting>
  <conditionalFormatting sqref="D292">
    <cfRule type="expression" dxfId="208" priority="1">
      <formula>#REF!="YES"</formula>
    </cfRule>
  </conditionalFormatting>
  <conditionalFormatting sqref="D289:D291 D297 D302 D307 D282">
    <cfRule type="expression" dxfId="166" priority="17">
      <formula>#REF!="YES"</formula>
    </cfRule>
  </conditionalFormatting>
  <conditionalFormatting sqref="D284:D287">
    <cfRule type="expression" dxfId="165" priority="16">
      <formula>#REF!="YES"</formula>
    </cfRule>
  </conditionalFormatting>
  <conditionalFormatting sqref="A282:A311">
    <cfRule type="containsText" dxfId="164" priority="14" operator="containsText" text="OPTIONAL">
      <formula>NOT(ISERROR(SEARCH("OPTIONAL",A282)))</formula>
    </cfRule>
    <cfRule type="containsText" dxfId="163" priority="15" operator="containsText" text="REQUIRED">
      <formula>NOT(ISERROR(SEARCH("REQUIRED",A282)))</formula>
    </cfRule>
  </conditionalFormatting>
  <conditionalFormatting sqref="D295">
    <cfRule type="expression" dxfId="162" priority="13">
      <formula>#REF!="YES"</formula>
    </cfRule>
  </conditionalFormatting>
  <conditionalFormatting sqref="D300">
    <cfRule type="expression" dxfId="161" priority="12">
      <formula>#REF!="YES"</formula>
    </cfRule>
  </conditionalFormatting>
  <conditionalFormatting sqref="D305">
    <cfRule type="expression" dxfId="160" priority="11">
      <formula>#REF!="YES"</formula>
    </cfRule>
  </conditionalFormatting>
  <conditionalFormatting sqref="D310">
    <cfRule type="expression" dxfId="159" priority="10">
      <formula>#REF!="YES"</formula>
    </cfRule>
  </conditionalFormatting>
  <conditionalFormatting sqref="D294">
    <cfRule type="expression" dxfId="158" priority="9">
      <formula>#REF!="YES"</formula>
    </cfRule>
  </conditionalFormatting>
  <conditionalFormatting sqref="D299">
    <cfRule type="expression" dxfId="157" priority="8">
      <formula>#REF!="YES"</formula>
    </cfRule>
  </conditionalFormatting>
  <conditionalFormatting sqref="D304">
    <cfRule type="expression" dxfId="156" priority="7">
      <formula>#REF!="YES"</formula>
    </cfRule>
  </conditionalFormatting>
  <conditionalFormatting sqref="D309">
    <cfRule type="expression" dxfId="155" priority="6">
      <formula>#REF!="YES"</formula>
    </cfRule>
  </conditionalFormatting>
  <conditionalFormatting sqref="D296">
    <cfRule type="expression" dxfId="154" priority="5">
      <formula>#REF!="YES"</formula>
    </cfRule>
  </conditionalFormatting>
  <conditionalFormatting sqref="D301">
    <cfRule type="expression" dxfId="153" priority="4">
      <formula>#REF!="YES"</formula>
    </cfRule>
  </conditionalFormatting>
  <conditionalFormatting sqref="D306">
    <cfRule type="expression" dxfId="152" priority="3">
      <formula>#REF!="YES"</formula>
    </cfRule>
  </conditionalFormatting>
  <conditionalFormatting sqref="D311">
    <cfRule type="expression" dxfId="151" priority="2">
      <formula>#REF!="YES"</formula>
    </cfRule>
  </conditionalFormatting>
  <dataValidations count="8">
    <dataValidation type="list" allowBlank="1" showInputMessage="1" showErrorMessage="1" prompt="Select Yes/No" sqref="H76:H78 H272:H274 H90:H92 H258:H262 H244:H247 H232:H234 H221:H222 H209:H211 H197:H199 H11:H13 H63:H65 H50:H52 H37:H39 H24:H26">
      <formula1>#REF!</formula1>
    </dataValidation>
    <dataValidation type="list" allowBlank="1" showInputMessage="1" showErrorMessage="1" sqref="D386 D414 D400">
      <formula1>$N$405:$N$408</formula1>
    </dataValidation>
    <dataValidation type="list" allowBlank="1" showInputMessage="1" showErrorMessage="1" sqref="D267 D272 D277 D111 D116 D262 D70 D75 D80 D85 D101 D106 D297 D302 D307 D292">
      <formula1>$M$6:$M$15</formula1>
    </dataValidation>
    <dataValidation type="list" allowBlank="1" showInputMessage="1" showErrorMessage="1" sqref="Q11:Q14">
      <formula1>$M$8:$M$11</formula1>
    </dataValidation>
    <dataValidation type="list" allowBlank="1" showInputMessage="1" showErrorMessage="1" sqref="K63 K76 K11 K24 K37 K50">
      <formula1>#REF!</formula1>
    </dataValidation>
    <dataValidation type="list" allowBlank="1" showInputMessage="1" showErrorMessage="1" sqref="D90 D59">
      <formula1>$M$16:$M$24</formula1>
    </dataValidation>
    <dataValidation type="list" allowBlank="1" showInputMessage="1" showErrorMessage="1" sqref="D60 D91">
      <formula1>$M$36:$M$37</formula1>
    </dataValidation>
    <dataValidation type="list" allowBlank="1" showInputMessage="1" showErrorMessage="1" sqref="D252 D282">
      <formula1>$N$193:$N$202</formula1>
    </dataValidation>
  </dataValidations>
  <hyperlinks>
    <hyperlink ref="D6" location="'Select Measures-High School'!A10" display="ACADEMIC ACHIEVEMENT"/>
    <hyperlink ref="D7" location="'Select Measures-High School'!A171" display="ACADEMIC GROWTH"/>
    <hyperlink ref="D8" location="'Select Measures-High School'!A307" display="STUDENT ENGAGEMENT"/>
    <hyperlink ref="A214:D214" location="'Select Measures-High School'!A1" display="BACK TO TOP"/>
  </hyperlinks>
  <pageMargins left="0.7" right="0.7" top="0.4" bottom="0.56000000000000005" header="0.3" footer="0.33"/>
  <pageSetup scale="51" fitToHeight="0" orientation="portrait" r:id="rId1"/>
  <headerFooter>
    <oddFooter>&amp;CSelection of Measures 2013-14, HIGH SCHOOL page &amp;P</oddFooter>
  </headerFooter>
  <rowBreaks count="12" manualBreakCount="12">
    <brk id="58" max="3" man="1"/>
    <brk id="120" max="3" man="1"/>
    <brk id="165" max="3" man="1"/>
    <brk id="214" max="3" man="1"/>
    <brk id="251" max="3" man="1"/>
    <brk id="225" min="6" max="10" man="1"/>
    <brk id="265" min="6" max="10" man="1"/>
    <brk id="311" max="3" man="1"/>
    <brk id="360" max="3" man="1"/>
    <brk id="385" max="3" man="1"/>
    <brk id="489" max="4" man="1"/>
    <brk id="555" max="4" man="1"/>
  </rowBreaks>
  <extLst>
    <ext xmlns:x14="http://schemas.microsoft.com/office/spreadsheetml/2009/9/main" uri="{78C0D931-6437-407d-A8EE-F0AAD7539E65}">
      <x14:conditionalFormattings>
        <x14:conditionalFormatting xmlns:xm="http://schemas.microsoft.com/office/excel/2006/main">
          <x14:cfRule type="containsText" priority="91" operator="containsText" text="OPTIONAL" id="{0FE08528-56A8-49E7-9C24-46613FF68BB6}">
            <xm:f>NOT(ISERROR(SEARCH("OPTIONAL",'Select Measures-High School'!A135)))</xm:f>
            <x14:dxf>
              <font>
                <color auto="1"/>
              </font>
              <fill>
                <patternFill>
                  <bgColor rgb="FF92D050"/>
                </patternFill>
              </fill>
            </x14:dxf>
          </x14:cfRule>
          <x14:cfRule type="containsText" priority="92" operator="containsText" text="REQUIRED" id="{BF87F8D0-3B23-451A-AA11-3EE2194E40BE}">
            <xm:f>NOT(ISERROR(SEARCH("REQUIRED",'Select Measures-High School'!A135)))</xm:f>
            <x14:dxf>
              <font>
                <color auto="1"/>
              </font>
              <fill>
                <patternFill>
                  <bgColor rgb="FFFF0000"/>
                </patternFill>
              </fill>
            </x14:dxf>
          </x14:cfRule>
          <xm:sqref>A90:A119 A59:A88</xm:sqref>
        </x14:conditionalFormatting>
        <x14:conditionalFormatting xmlns:xm="http://schemas.microsoft.com/office/excel/2006/main">
          <x14:cfRule type="expression" priority="90" id="{352AE417-D700-4E09-8E71-BD021F3ED510}">
            <xm:f>'Select Measures-High School'!#REF!="YES"</xm:f>
            <x14:dxf>
              <fill>
                <patternFill>
                  <bgColor rgb="FFFFFF00"/>
                </patternFill>
              </fill>
            </x14:dxf>
          </x14:cfRule>
          <xm:sqref>D129:D131 D135</xm:sqref>
        </x14:conditionalFormatting>
        <x14:conditionalFormatting xmlns:xm="http://schemas.microsoft.com/office/excel/2006/main">
          <x14:cfRule type="expression" priority="89" id="{0CF9719A-5EA7-46F3-820D-5BF33420F964}">
            <xm:f>'Select Measures-High School'!#REF!="YES"</xm:f>
            <x14:dxf>
              <fill>
                <patternFill>
                  <bgColor rgb="FFFFFF00"/>
                </patternFill>
              </fill>
            </x14:dxf>
          </x14:cfRule>
          <xm:sqref>D121:D122</xm:sqref>
        </x14:conditionalFormatting>
        <x14:conditionalFormatting xmlns:xm="http://schemas.microsoft.com/office/excel/2006/main">
          <x14:cfRule type="expression" priority="88" id="{84689F06-D0C1-4144-8093-D9BC1483FF89}">
            <xm:f>'Select Measures-High School'!#REF!="YES"</xm:f>
            <x14:dxf>
              <fill>
                <patternFill>
                  <bgColor rgb="FFFFFF00"/>
                </patternFill>
              </fill>
            </x14:dxf>
          </x14:cfRule>
          <xm:sqref>D134</xm:sqref>
        </x14:conditionalFormatting>
        <x14:conditionalFormatting xmlns:xm="http://schemas.microsoft.com/office/excel/2006/main">
          <x14:cfRule type="expression" priority="87" id="{42B749D3-1554-44BE-9770-2A0DAAC79485}">
            <xm:f>'Select Measures-High School'!#REF!="YES"</xm:f>
            <x14:dxf>
              <fill>
                <patternFill>
                  <bgColor rgb="FFFFFF00"/>
                </patternFill>
              </fill>
            </x14:dxf>
          </x14:cfRule>
          <xm:sqref>D133</xm:sqref>
        </x14:conditionalFormatting>
        <x14:conditionalFormatting xmlns:xm="http://schemas.microsoft.com/office/excel/2006/main">
          <x14:cfRule type="expression" priority="86" id="{D36BDCBC-BDB4-4ED4-AB87-55CFA3B06363}">
            <xm:f>'Select Measures-High School'!#REF!="YES"</xm:f>
            <x14:dxf>
              <fill>
                <patternFill>
                  <bgColor rgb="FFFFFF00"/>
                </patternFill>
              </fill>
            </x14:dxf>
          </x14:cfRule>
          <xm:sqref>D124:D127</xm:sqref>
        </x14:conditionalFormatting>
        <x14:conditionalFormatting xmlns:xm="http://schemas.microsoft.com/office/excel/2006/main">
          <x14:cfRule type="expression" priority="85" id="{D85B8E6A-CFBC-4DB3-AA0D-0E0E7406996B}">
            <xm:f>'Select Measures-High School'!#REF!="YES"</xm:f>
            <x14:dxf>
              <fill>
                <patternFill>
                  <bgColor rgb="FFFFFF00"/>
                </patternFill>
              </fill>
            </x14:dxf>
          </x14:cfRule>
          <xm:sqref>D144:D146 D150</xm:sqref>
        </x14:conditionalFormatting>
        <x14:conditionalFormatting xmlns:xm="http://schemas.microsoft.com/office/excel/2006/main">
          <x14:cfRule type="expression" priority="84" id="{4B4E7DC1-341D-40A1-8A4D-17253D063F92}">
            <xm:f>'Select Measures-High School'!#REF!="YES"</xm:f>
            <x14:dxf>
              <fill>
                <patternFill>
                  <bgColor rgb="FFFFFF00"/>
                </patternFill>
              </fill>
            </x14:dxf>
          </x14:cfRule>
          <xm:sqref>D136:D137</xm:sqref>
        </x14:conditionalFormatting>
        <x14:conditionalFormatting xmlns:xm="http://schemas.microsoft.com/office/excel/2006/main">
          <x14:cfRule type="expression" priority="83" id="{1C83F645-F1A5-4272-8B4B-174B9C663554}">
            <xm:f>'Select Measures-High School'!#REF!="YES"</xm:f>
            <x14:dxf>
              <fill>
                <patternFill>
                  <bgColor rgb="FFFFFF00"/>
                </patternFill>
              </fill>
            </x14:dxf>
          </x14:cfRule>
          <xm:sqref>D149</xm:sqref>
        </x14:conditionalFormatting>
        <x14:conditionalFormatting xmlns:xm="http://schemas.microsoft.com/office/excel/2006/main">
          <x14:cfRule type="expression" priority="82" id="{6D76BF36-3FA7-4D2F-B6A1-BA193ADFF7F5}">
            <xm:f>'Select Measures-High School'!#REF!="YES"</xm:f>
            <x14:dxf>
              <fill>
                <patternFill>
                  <bgColor rgb="FFFFFF00"/>
                </patternFill>
              </fill>
            </x14:dxf>
          </x14:cfRule>
          <xm:sqref>D148</xm:sqref>
        </x14:conditionalFormatting>
        <x14:conditionalFormatting xmlns:xm="http://schemas.microsoft.com/office/excel/2006/main">
          <x14:cfRule type="expression" priority="81" id="{3DF7C8BD-93A3-4C21-8490-9D59D35E23B3}">
            <xm:f>'Select Measures-High School'!#REF!="YES"</xm:f>
            <x14:dxf>
              <fill>
                <patternFill>
                  <bgColor rgb="FFFFFF00"/>
                </patternFill>
              </fill>
            </x14:dxf>
          </x14:cfRule>
          <xm:sqref>D139:D142</xm:sqref>
        </x14:conditionalFormatting>
        <x14:conditionalFormatting xmlns:xm="http://schemas.microsoft.com/office/excel/2006/main">
          <x14:cfRule type="expression" priority="80" id="{AE8A3E18-9007-4B7F-BFC0-CBDD936841D0}">
            <xm:f>'Select Measures-High School'!#REF!="YES"</xm:f>
            <x14:dxf>
              <fill>
                <patternFill>
                  <bgColor rgb="FFFFFF00"/>
                </patternFill>
              </fill>
            </x14:dxf>
          </x14:cfRule>
          <xm:sqref>D159:D161 D165</xm:sqref>
        </x14:conditionalFormatting>
        <x14:conditionalFormatting xmlns:xm="http://schemas.microsoft.com/office/excel/2006/main">
          <x14:cfRule type="expression" priority="79" id="{F2AD6E90-179A-4D63-B876-6991B90C8D30}">
            <xm:f>'Select Measures-High School'!#REF!="YES"</xm:f>
            <x14:dxf>
              <fill>
                <patternFill>
                  <bgColor rgb="FFFFFF00"/>
                </patternFill>
              </fill>
            </x14:dxf>
          </x14:cfRule>
          <xm:sqref>D151:D152</xm:sqref>
        </x14:conditionalFormatting>
        <x14:conditionalFormatting xmlns:xm="http://schemas.microsoft.com/office/excel/2006/main">
          <x14:cfRule type="expression" priority="78" id="{243D89A1-18C4-4E57-8F30-1D031214287E}">
            <xm:f>'Select Measures-High School'!#REF!="YES"</xm:f>
            <x14:dxf>
              <fill>
                <patternFill>
                  <bgColor rgb="FFFFFF00"/>
                </patternFill>
              </fill>
            </x14:dxf>
          </x14:cfRule>
          <xm:sqref>D164</xm:sqref>
        </x14:conditionalFormatting>
        <x14:conditionalFormatting xmlns:xm="http://schemas.microsoft.com/office/excel/2006/main">
          <x14:cfRule type="expression" priority="77" id="{D15B8B09-8603-42D5-8055-123AAF8624A1}">
            <xm:f>'Select Measures-High School'!#REF!="YES"</xm:f>
            <x14:dxf>
              <fill>
                <patternFill>
                  <bgColor rgb="FFFFFF00"/>
                </patternFill>
              </fill>
            </x14:dxf>
          </x14:cfRule>
          <xm:sqref>D163</xm:sqref>
        </x14:conditionalFormatting>
        <x14:conditionalFormatting xmlns:xm="http://schemas.microsoft.com/office/excel/2006/main">
          <x14:cfRule type="expression" priority="76" id="{15966673-E015-41E8-9BBC-4AAE4F226168}">
            <xm:f>'Select Measures-High School'!#REF!="YES"</xm:f>
            <x14:dxf>
              <fill>
                <patternFill>
                  <bgColor rgb="FFFFFF00"/>
                </patternFill>
              </fill>
            </x14:dxf>
          </x14:cfRule>
          <xm:sqref>D154:D157</xm:sqref>
        </x14:conditionalFormatting>
        <x14:conditionalFormatting xmlns:xm="http://schemas.microsoft.com/office/excel/2006/main">
          <x14:cfRule type="expression" priority="62" id="{58946887-90ED-41D5-9003-EDAF6218FB62}">
            <xm:f>'Select Measures-High School'!#REF!="YES"</xm:f>
            <x14:dxf>
              <fill>
                <patternFill>
                  <bgColor rgb="FFFFFF00"/>
                </patternFill>
              </fill>
            </x14:dxf>
          </x14:cfRule>
          <xm:sqref>D62:D65 D59 D67:D70 D88:D89 D75 D80 D85</xm:sqref>
        </x14:conditionalFormatting>
        <x14:conditionalFormatting xmlns:xm="http://schemas.microsoft.com/office/excel/2006/main">
          <x14:cfRule type="expression" priority="61" id="{775E4EA6-4226-40AB-B569-6D6314F75D3D}">
            <xm:f>'Select Measures-High School'!#REF!="YES"</xm:f>
            <x14:dxf>
              <fill>
                <patternFill>
                  <bgColor rgb="FFFFFF00"/>
                </patternFill>
              </fill>
            </x14:dxf>
          </x14:cfRule>
          <xm:sqref>D73</xm:sqref>
        </x14:conditionalFormatting>
        <x14:conditionalFormatting xmlns:xm="http://schemas.microsoft.com/office/excel/2006/main">
          <x14:cfRule type="expression" priority="60" id="{803EB409-C34A-419D-AB78-2FF96694F199}">
            <xm:f>'Select Measures-High School'!#REF!="YES"</xm:f>
            <x14:dxf>
              <fill>
                <patternFill>
                  <bgColor rgb="FFFFFF00"/>
                </patternFill>
              </fill>
            </x14:dxf>
          </x14:cfRule>
          <xm:sqref>D78</xm:sqref>
        </x14:conditionalFormatting>
        <x14:conditionalFormatting xmlns:xm="http://schemas.microsoft.com/office/excel/2006/main">
          <x14:cfRule type="expression" priority="59" id="{BA493412-9DD7-46D6-973E-8AA9507E03B3}">
            <xm:f>'Select Measures-High School'!#REF!="YES"</xm:f>
            <x14:dxf>
              <fill>
                <patternFill>
                  <bgColor rgb="FFFFFF00"/>
                </patternFill>
              </fill>
            </x14:dxf>
          </x14:cfRule>
          <xm:sqref>D83</xm:sqref>
        </x14:conditionalFormatting>
        <x14:conditionalFormatting xmlns:xm="http://schemas.microsoft.com/office/excel/2006/main">
          <x14:cfRule type="expression" priority="56" id="{8C9AD1B4-BF50-47C7-A9DD-8DC7055294B4}">
            <xm:f>'Select Measures-High School'!#REF!="YES"</xm:f>
            <x14:dxf>
              <fill>
                <patternFill>
                  <bgColor rgb="FFFFFF00"/>
                </patternFill>
              </fill>
            </x14:dxf>
          </x14:cfRule>
          <xm:sqref>D87</xm:sqref>
        </x14:conditionalFormatting>
        <x14:conditionalFormatting xmlns:xm="http://schemas.microsoft.com/office/excel/2006/main">
          <x14:cfRule type="expression" priority="53" id="{64F5C7A0-8C20-4924-A4DF-2BFCA71D25FB}">
            <xm:f>'Select Measures-High School'!#REF!="YES"</xm:f>
            <x14:dxf>
              <fill>
                <patternFill>
                  <bgColor rgb="FFFFFF00"/>
                </patternFill>
              </fill>
            </x14:dxf>
          </x14:cfRule>
          <xm:sqref>D72</xm:sqref>
        </x14:conditionalFormatting>
        <x14:conditionalFormatting xmlns:xm="http://schemas.microsoft.com/office/excel/2006/main">
          <x14:cfRule type="expression" priority="55" id="{4A81CEA3-E26F-460B-A60D-06C2CBFC85CF}">
            <xm:f>'Select Measures-High School'!#REF!="YES"</xm:f>
            <x14:dxf>
              <fill>
                <patternFill>
                  <bgColor rgb="FFFFFF00"/>
                </patternFill>
              </fill>
            </x14:dxf>
          </x14:cfRule>
          <xm:sqref>D82</xm:sqref>
        </x14:conditionalFormatting>
        <x14:conditionalFormatting xmlns:xm="http://schemas.microsoft.com/office/excel/2006/main">
          <x14:cfRule type="expression" priority="54" id="{88D57E91-EB68-47DC-AFDE-51E66ACFC00E}">
            <xm:f>'Select Measures-High School'!#REF!="YES"</xm:f>
            <x14:dxf>
              <fill>
                <patternFill>
                  <bgColor rgb="FFFFFF00"/>
                </patternFill>
              </fill>
            </x14:dxf>
          </x14:cfRule>
          <xm:sqref>D77</xm:sqref>
        </x14:conditionalFormatting>
        <x14:conditionalFormatting xmlns:xm="http://schemas.microsoft.com/office/excel/2006/main">
          <x14:cfRule type="expression" priority="50" id="{7CE8431D-3B07-4BD2-B44B-0A5053A9EF31}">
            <xm:f>'Select Measures-High School'!#REF!="YES"</xm:f>
            <x14:dxf>
              <fill>
                <patternFill>
                  <bgColor rgb="FFFFFF00"/>
                </patternFill>
              </fill>
            </x14:dxf>
          </x14:cfRule>
          <xm:sqref>D74</xm:sqref>
        </x14:conditionalFormatting>
        <x14:conditionalFormatting xmlns:xm="http://schemas.microsoft.com/office/excel/2006/main">
          <x14:cfRule type="expression" priority="52" id="{96013B0C-A3B4-4F64-81AE-DF27AA8C31AF}">
            <xm:f>'Select Measures-High School'!#REF!="YES"</xm:f>
            <x14:dxf>
              <fill>
                <patternFill>
                  <bgColor rgb="FFFFFF00"/>
                </patternFill>
              </fill>
            </x14:dxf>
          </x14:cfRule>
          <xm:sqref>D84</xm:sqref>
        </x14:conditionalFormatting>
        <x14:conditionalFormatting xmlns:xm="http://schemas.microsoft.com/office/excel/2006/main">
          <x14:cfRule type="expression" priority="51" id="{DA38AADC-41BE-41FD-8209-02D8004A3C05}">
            <xm:f>'Select Measures-High School'!#REF!="YES"</xm:f>
            <x14:dxf>
              <fill>
                <patternFill>
                  <bgColor rgb="FFFFFF00"/>
                </patternFill>
              </fill>
            </x14:dxf>
          </x14:cfRule>
          <xm:sqref>D79</xm:sqref>
        </x14:conditionalFormatting>
        <x14:conditionalFormatting xmlns:xm="http://schemas.microsoft.com/office/excel/2006/main">
          <x14:cfRule type="expression" priority="37" id="{AD166F19-083F-43B1-A4C0-A310B7D5AA93}">
            <xm:f>'Select Measures-High School'!#REF!="YES"</xm:f>
            <x14:dxf>
              <fill>
                <patternFill>
                  <bgColor rgb="FFFFFF00"/>
                </patternFill>
              </fill>
            </x14:dxf>
          </x14:cfRule>
          <xm:sqref>D105</xm:sqref>
        </x14:conditionalFormatting>
        <x14:conditionalFormatting xmlns:xm="http://schemas.microsoft.com/office/excel/2006/main">
          <x14:cfRule type="expression" priority="49" id="{5BC4B5B7-341B-4FF0-97A1-A4F310A50210}">
            <xm:f>'Select Measures-High School'!#REF!="YES"</xm:f>
            <x14:dxf>
              <fill>
                <patternFill>
                  <bgColor rgb="FFFFFF00"/>
                </patternFill>
              </fill>
            </x14:dxf>
          </x14:cfRule>
          <xm:sqref>D93:D96 D90 D98:D101 D119:D120 D106 D111 D116</xm:sqref>
        </x14:conditionalFormatting>
        <x14:conditionalFormatting xmlns:xm="http://schemas.microsoft.com/office/excel/2006/main">
          <x14:cfRule type="expression" priority="48" id="{1BC8D131-8F45-42F9-9ED5-BBC07C11FF7B}">
            <xm:f>'Select Measures-High School'!#REF!="YES"</xm:f>
            <x14:dxf>
              <fill>
                <patternFill>
                  <bgColor rgb="FFFFFF00"/>
                </patternFill>
              </fill>
            </x14:dxf>
          </x14:cfRule>
          <xm:sqref>D104</xm:sqref>
        </x14:conditionalFormatting>
        <x14:conditionalFormatting xmlns:xm="http://schemas.microsoft.com/office/excel/2006/main">
          <x14:cfRule type="expression" priority="47" id="{605AE239-D0C7-49AC-8ED3-C18DE023ECA1}">
            <xm:f>'Select Measures-High School'!#REF!="YES"</xm:f>
            <x14:dxf>
              <fill>
                <patternFill>
                  <bgColor rgb="FFFFFF00"/>
                </patternFill>
              </fill>
            </x14:dxf>
          </x14:cfRule>
          <xm:sqref>D109</xm:sqref>
        </x14:conditionalFormatting>
        <x14:conditionalFormatting xmlns:xm="http://schemas.microsoft.com/office/excel/2006/main">
          <x14:cfRule type="expression" priority="46" id="{8E996F90-5D42-4DDF-8D7C-53AB71690CE5}">
            <xm:f>'Select Measures-High School'!#REF!="YES"</xm:f>
            <x14:dxf>
              <fill>
                <patternFill>
                  <bgColor rgb="FFFFFF00"/>
                </patternFill>
              </fill>
            </x14:dxf>
          </x14:cfRule>
          <xm:sqref>D114</xm:sqref>
        </x14:conditionalFormatting>
        <x14:conditionalFormatting xmlns:xm="http://schemas.microsoft.com/office/excel/2006/main">
          <x14:cfRule type="expression" priority="43" id="{B3A61584-C920-4BF3-8A6F-5A1489F797BD}">
            <xm:f>'Select Measures-High School'!#REF!="YES"</xm:f>
            <x14:dxf>
              <fill>
                <patternFill>
                  <bgColor rgb="FFFFFF00"/>
                </patternFill>
              </fill>
            </x14:dxf>
          </x14:cfRule>
          <xm:sqref>D118</xm:sqref>
        </x14:conditionalFormatting>
        <x14:conditionalFormatting xmlns:xm="http://schemas.microsoft.com/office/excel/2006/main">
          <x14:cfRule type="expression" priority="40" id="{FEC305CB-BF2D-4280-A8D6-7C689CF4847D}">
            <xm:f>'Select Measures-High School'!#REF!="YES"</xm:f>
            <x14:dxf>
              <fill>
                <patternFill>
                  <bgColor rgb="FFFFFF00"/>
                </patternFill>
              </fill>
            </x14:dxf>
          </x14:cfRule>
          <xm:sqref>D103</xm:sqref>
        </x14:conditionalFormatting>
        <x14:conditionalFormatting xmlns:xm="http://schemas.microsoft.com/office/excel/2006/main">
          <x14:cfRule type="expression" priority="42" id="{3ABB415A-293A-438D-B732-4491CEB5880B}">
            <xm:f>'Select Measures-High School'!#REF!="YES"</xm:f>
            <x14:dxf>
              <fill>
                <patternFill>
                  <bgColor rgb="FFFFFF00"/>
                </patternFill>
              </fill>
            </x14:dxf>
          </x14:cfRule>
          <xm:sqref>D113</xm:sqref>
        </x14:conditionalFormatting>
        <x14:conditionalFormatting xmlns:xm="http://schemas.microsoft.com/office/excel/2006/main">
          <x14:cfRule type="expression" priority="41" id="{574B18C3-37B2-40B7-9E79-D4C8A06D8AB2}">
            <xm:f>'Select Measures-High School'!#REF!="YES"</xm:f>
            <x14:dxf>
              <fill>
                <patternFill>
                  <bgColor rgb="FFFFFF00"/>
                </patternFill>
              </fill>
            </x14:dxf>
          </x14:cfRule>
          <xm:sqref>D108</xm:sqref>
        </x14:conditionalFormatting>
        <x14:conditionalFormatting xmlns:xm="http://schemas.microsoft.com/office/excel/2006/main">
          <x14:cfRule type="expression" priority="39" id="{355DB242-80CF-4648-A953-044296CAEC37}">
            <xm:f>'Select Measures-High School'!#REF!="YES"</xm:f>
            <x14:dxf>
              <fill>
                <patternFill>
                  <bgColor rgb="FFFFFF00"/>
                </patternFill>
              </fill>
            </x14:dxf>
          </x14:cfRule>
          <xm:sqref>D115</xm:sqref>
        </x14:conditionalFormatting>
        <x14:conditionalFormatting xmlns:xm="http://schemas.microsoft.com/office/excel/2006/main">
          <x14:cfRule type="expression" priority="38" id="{DB95C9F9-9998-4ECD-8F60-A4B63E312AE0}">
            <xm:f>'Select Measures-High School'!#REF!="YES"</xm:f>
            <x14:dxf>
              <fill>
                <patternFill>
                  <bgColor rgb="FFFFFF00"/>
                </patternFill>
              </fill>
            </x14:dxf>
          </x14:cfRule>
          <xm:sqref>D110</xm:sqref>
        </x14:conditionalFormatting>
        <x14:conditionalFormatting xmlns:xm="http://schemas.microsoft.com/office/excel/2006/main">
          <x14:cfRule type="containsText" priority="526" operator="containsText" text="OPTIONAL" id="{0FE08528-56A8-49E7-9C24-46613FF68BB6}">
            <xm:f>NOT(ISERROR(SEARCH("OPTIONAL",'Select Measures-High School'!A90)))</xm:f>
            <x14:dxf>
              <font>
                <color auto="1"/>
              </font>
              <fill>
                <patternFill>
                  <bgColor rgb="FF92D050"/>
                </patternFill>
              </fill>
            </x14:dxf>
          </x14:cfRule>
          <x14:cfRule type="containsText" priority="527" operator="containsText" text="REQUIRED" id="{BF87F8D0-3B23-451A-AA11-3EE2194E40BE}">
            <xm:f>NOT(ISERROR(SEARCH("REQUIRED",'Select Measures-High School'!A90)))</xm:f>
            <x14:dxf>
              <font>
                <color auto="1"/>
              </font>
              <fill>
                <patternFill>
                  <bgColor rgb="FFFF0000"/>
                </patternFill>
              </fill>
            </x14:dxf>
          </x14:cfRule>
          <xm:sqref>A121:A165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D1000"/>
  <sheetViews>
    <sheetView zoomScaleNormal="100" zoomScalePageLayoutView="70" workbookViewId="0">
      <selection activeCell="F177" sqref="F1:AD1048576"/>
    </sheetView>
  </sheetViews>
  <sheetFormatPr defaultColWidth="9.140625" defaultRowHeight="18.75" x14ac:dyDescent="0.3"/>
  <cols>
    <col min="1" max="1" width="4" style="95" customWidth="1"/>
    <col min="2" max="2" width="25" style="162" customWidth="1"/>
    <col min="3" max="3" width="89" style="96" customWidth="1"/>
    <col min="4" max="4" width="58.140625" style="97" customWidth="1"/>
    <col min="5" max="5" width="9.140625" style="154" customWidth="1"/>
    <col min="6" max="6" width="9.140625" style="47" hidden="1" customWidth="1"/>
    <col min="7" max="7" width="4" style="47" hidden="1" customWidth="1"/>
    <col min="8" max="8" width="3.5703125" style="47" hidden="1" customWidth="1"/>
    <col min="9" max="9" width="12.28515625" style="47" hidden="1" customWidth="1"/>
    <col min="10" max="10" width="28.5703125" style="47" hidden="1" customWidth="1"/>
    <col min="11" max="11" width="69.5703125" style="47" hidden="1" customWidth="1"/>
    <col min="12" max="13" width="9.140625" style="47" hidden="1" customWidth="1"/>
    <col min="14" max="14" width="22.42578125" style="47" hidden="1" customWidth="1"/>
    <col min="15" max="15" width="31.28515625" style="47" hidden="1" customWidth="1"/>
    <col min="16" max="16" width="27.5703125" style="47" hidden="1" customWidth="1"/>
    <col min="17" max="30" width="9.140625" style="47" hidden="1" customWidth="1"/>
    <col min="31" max="16384" width="9.140625" style="47"/>
  </cols>
  <sheetData>
    <row r="1" spans="1:13" ht="19.5" thickBot="1" x14ac:dyDescent="0.35">
      <c r="A1" s="260" t="s">
        <v>392</v>
      </c>
      <c r="B1" s="261"/>
      <c r="C1" s="261"/>
      <c r="D1" s="262"/>
      <c r="E1" s="154" t="s">
        <v>306</v>
      </c>
    </row>
    <row r="2" spans="1:13" ht="18.75" customHeight="1" x14ac:dyDescent="0.25">
      <c r="A2" s="285"/>
      <c r="B2" s="286"/>
      <c r="C2" s="29" t="s">
        <v>12</v>
      </c>
      <c r="D2" s="30" t="str">
        <f>IF(Instructions!E18="YES",Instructions!E10,"Not submitting ELEMENTARY SCHOOL measurement selections")</f>
        <v>Not submitting ELEMENTARY SCHOOL measurement selections</v>
      </c>
      <c r="E2" s="154" t="s">
        <v>306</v>
      </c>
    </row>
    <row r="3" spans="1:13" ht="15" x14ac:dyDescent="0.25">
      <c r="A3" s="287"/>
      <c r="B3" s="288"/>
      <c r="C3" s="31" t="s">
        <v>11</v>
      </c>
      <c r="D3" s="32" t="str">
        <f>IF(Instructions!E18="YES",Instructions!E11,"Not submitting ELEMENTARY SCHOOL measurement selections")</f>
        <v>Not submitting ELEMENTARY SCHOOL measurement selections</v>
      </c>
      <c r="E3" s="154" t="s">
        <v>306</v>
      </c>
    </row>
    <row r="4" spans="1:13" ht="18.75" hidden="1" customHeight="1" x14ac:dyDescent="0.25">
      <c r="A4" s="81"/>
      <c r="B4" s="82"/>
      <c r="C4" s="83" t="s">
        <v>176</v>
      </c>
      <c r="D4" s="84" t="s">
        <v>153</v>
      </c>
      <c r="E4" s="154" t="s">
        <v>306</v>
      </c>
    </row>
    <row r="5" spans="1:13" ht="18.75" hidden="1" customHeight="1" x14ac:dyDescent="0.25">
      <c r="A5" s="81"/>
      <c r="B5" s="82"/>
      <c r="C5" s="85" t="s">
        <v>191</v>
      </c>
      <c r="D5" s="84" t="e">
        <f>IF(Instructions!#REF!="2011-2012 ONLY","2011-2012 ONLY","2010-2011 &amp; 2011-2012")</f>
        <v>#REF!</v>
      </c>
      <c r="E5" s="154" t="s">
        <v>306</v>
      </c>
    </row>
    <row r="6" spans="1:13" ht="18.75" customHeight="1" x14ac:dyDescent="0.25">
      <c r="A6" s="81"/>
      <c r="B6" s="82"/>
      <c r="C6" s="271" t="s">
        <v>313</v>
      </c>
      <c r="D6" s="86" t="s">
        <v>91</v>
      </c>
      <c r="E6" s="154" t="s">
        <v>306</v>
      </c>
      <c r="M6" s="47" t="s">
        <v>307</v>
      </c>
    </row>
    <row r="7" spans="1:13" ht="18.75" customHeight="1" x14ac:dyDescent="0.25">
      <c r="A7" s="81"/>
      <c r="B7" s="82"/>
      <c r="C7" s="272"/>
      <c r="D7" s="86" t="s">
        <v>92</v>
      </c>
      <c r="E7" s="154" t="s">
        <v>306</v>
      </c>
      <c r="M7" s="47" t="s">
        <v>346</v>
      </c>
    </row>
    <row r="8" spans="1:13" ht="18.75" customHeight="1" x14ac:dyDescent="0.25">
      <c r="A8" s="81"/>
      <c r="B8" s="82"/>
      <c r="C8" s="272"/>
      <c r="D8" s="86" t="s">
        <v>93</v>
      </c>
      <c r="E8" s="154" t="s">
        <v>306</v>
      </c>
      <c r="M8" s="47" t="s">
        <v>279</v>
      </c>
    </row>
    <row r="9" spans="1:13" ht="18.75" customHeight="1" x14ac:dyDescent="0.25">
      <c r="A9" s="81"/>
      <c r="B9" s="82"/>
      <c r="C9" s="273"/>
      <c r="D9" s="86"/>
      <c r="E9" s="154" t="s">
        <v>306</v>
      </c>
      <c r="M9" s="47" t="s">
        <v>278</v>
      </c>
    </row>
    <row r="10" spans="1:13" ht="19.5" customHeight="1" thickBot="1" x14ac:dyDescent="0.35">
      <c r="A10" s="263" t="s">
        <v>91</v>
      </c>
      <c r="B10" s="264"/>
      <c r="C10" s="264"/>
      <c r="D10" s="265"/>
      <c r="E10" s="154" t="s">
        <v>306</v>
      </c>
      <c r="M10" s="47" t="s">
        <v>315</v>
      </c>
    </row>
    <row r="11" spans="1:13" ht="15" customHeight="1" x14ac:dyDescent="0.25">
      <c r="A11" s="277" t="s">
        <v>27</v>
      </c>
      <c r="B11" s="280" t="s">
        <v>334</v>
      </c>
      <c r="C11" s="33" t="s">
        <v>39</v>
      </c>
      <c r="D11" s="152" t="str">
        <f>C11</f>
        <v xml:space="preserve"> To receive the indicator rating, the AEC's percent of students scoring proficient and advanced was:</v>
      </c>
      <c r="E11" s="154" t="s">
        <v>306</v>
      </c>
      <c r="G11" s="268" t="s">
        <v>26</v>
      </c>
      <c r="H11" s="289"/>
      <c r="I11" s="280" t="s">
        <v>277</v>
      </c>
      <c r="J11" s="48" t="s">
        <v>133</v>
      </c>
      <c r="K11" s="49"/>
      <c r="M11" s="47" t="s">
        <v>318</v>
      </c>
    </row>
    <row r="12" spans="1:13" ht="15" x14ac:dyDescent="0.25">
      <c r="A12" s="278"/>
      <c r="B12" s="281"/>
      <c r="C12" s="35" t="s">
        <v>125</v>
      </c>
      <c r="D12" s="36" t="s">
        <v>18</v>
      </c>
      <c r="E12" s="154" t="s">
        <v>306</v>
      </c>
      <c r="G12" s="269"/>
      <c r="H12" s="290"/>
      <c r="I12" s="281"/>
      <c r="J12" s="35" t="s">
        <v>125</v>
      </c>
      <c r="K12" s="36" t="s">
        <v>129</v>
      </c>
      <c r="M12" s="47" t="s">
        <v>281</v>
      </c>
    </row>
    <row r="13" spans="1:13" ht="15" x14ac:dyDescent="0.25">
      <c r="A13" s="278"/>
      <c r="B13" s="281"/>
      <c r="C13" s="37" t="s">
        <v>126</v>
      </c>
      <c r="D13" s="36" t="s">
        <v>19</v>
      </c>
      <c r="E13" s="154" t="s">
        <v>306</v>
      </c>
      <c r="G13" s="269"/>
      <c r="H13" s="290"/>
      <c r="I13" s="281"/>
      <c r="J13" s="37" t="s">
        <v>126</v>
      </c>
      <c r="K13" s="36" t="s">
        <v>130</v>
      </c>
      <c r="M13" s="47" t="s">
        <v>316</v>
      </c>
    </row>
    <row r="14" spans="1:13" ht="15" customHeight="1" x14ac:dyDescent="0.25">
      <c r="A14" s="278"/>
      <c r="B14" s="281"/>
      <c r="C14" s="38" t="s">
        <v>127</v>
      </c>
      <c r="D14" s="36" t="s">
        <v>20</v>
      </c>
      <c r="E14" s="154" t="s">
        <v>306</v>
      </c>
      <c r="G14" s="269"/>
      <c r="H14" s="291" t="s">
        <v>177</v>
      </c>
      <c r="I14" s="281"/>
      <c r="J14" s="38" t="s">
        <v>127</v>
      </c>
      <c r="K14" s="36" t="s">
        <v>131</v>
      </c>
      <c r="M14" s="47" t="s">
        <v>317</v>
      </c>
    </row>
    <row r="15" spans="1:13" ht="15" x14ac:dyDescent="0.25">
      <c r="A15" s="278"/>
      <c r="B15" s="281"/>
      <c r="C15" s="39" t="s">
        <v>128</v>
      </c>
      <c r="D15" s="40" t="s">
        <v>21</v>
      </c>
      <c r="E15" s="154" t="s">
        <v>306</v>
      </c>
      <c r="G15" s="269"/>
      <c r="H15" s="292"/>
      <c r="I15" s="281"/>
      <c r="J15" s="39" t="s">
        <v>128</v>
      </c>
      <c r="K15" s="40" t="s">
        <v>132</v>
      </c>
      <c r="M15" s="47" t="s">
        <v>280</v>
      </c>
    </row>
    <row r="16" spans="1:13" ht="15" x14ac:dyDescent="0.25">
      <c r="A16" s="278"/>
      <c r="B16" s="281"/>
      <c r="C16" s="41" t="s">
        <v>37</v>
      </c>
      <c r="D16" s="173" t="str">
        <f>C16</f>
        <v>Cut-point values for percent of students scoring proficient and advanced were:</v>
      </c>
      <c r="E16" s="154" t="s">
        <v>306</v>
      </c>
      <c r="G16" s="269"/>
      <c r="H16" s="292"/>
      <c r="I16" s="281"/>
      <c r="J16" s="41" t="str">
        <f>IF(K11=G$529, "Cut-point values for percent of students increasing a grade level were:", "Cut-point values for percent of students scoring at grade level were:")</f>
        <v>Cut-point values for percent of students increasing a grade level were:</v>
      </c>
      <c r="K16" s="42"/>
      <c r="M16" s="47" t="s">
        <v>305</v>
      </c>
    </row>
    <row r="17" spans="1:20" ht="15" x14ac:dyDescent="0.25">
      <c r="A17" s="278"/>
      <c r="B17" s="281"/>
      <c r="C17" s="35" t="s">
        <v>22</v>
      </c>
      <c r="D17" s="43">
        <v>54.8</v>
      </c>
      <c r="E17" s="154" t="s">
        <v>306</v>
      </c>
      <c r="G17" s="269"/>
      <c r="H17" s="292"/>
      <c r="I17" s="281"/>
      <c r="J17" s="35" t="s">
        <v>22</v>
      </c>
      <c r="K17" s="50">
        <v>90</v>
      </c>
      <c r="M17" s="47" t="s">
        <v>291</v>
      </c>
    </row>
    <row r="18" spans="1:20" ht="15" x14ac:dyDescent="0.25">
      <c r="A18" s="278"/>
      <c r="B18" s="281"/>
      <c r="C18" s="37" t="s">
        <v>23</v>
      </c>
      <c r="D18" s="43">
        <v>35.4</v>
      </c>
      <c r="E18" s="154" t="s">
        <v>306</v>
      </c>
      <c r="G18" s="269"/>
      <c r="H18" s="292"/>
      <c r="I18" s="281"/>
      <c r="J18" s="37" t="s">
        <v>23</v>
      </c>
      <c r="K18" s="50">
        <v>60</v>
      </c>
      <c r="M18" s="47" t="s">
        <v>287</v>
      </c>
    </row>
    <row r="19" spans="1:20" ht="15" x14ac:dyDescent="0.25">
      <c r="A19" s="278"/>
      <c r="B19" s="281"/>
      <c r="C19" s="38" t="s">
        <v>24</v>
      </c>
      <c r="D19" s="180">
        <v>26.7</v>
      </c>
      <c r="E19" s="154" t="s">
        <v>306</v>
      </c>
      <c r="G19" s="269"/>
      <c r="H19" s="292"/>
      <c r="I19" s="281"/>
      <c r="J19" s="38" t="s">
        <v>24</v>
      </c>
      <c r="K19" s="50">
        <v>40</v>
      </c>
      <c r="M19" s="47" t="s">
        <v>288</v>
      </c>
    </row>
    <row r="20" spans="1:20" ht="15" x14ac:dyDescent="0.25">
      <c r="A20" s="278"/>
      <c r="B20" s="281"/>
      <c r="C20" s="41" t="s">
        <v>38</v>
      </c>
      <c r="D20" s="173" t="str">
        <f>C20</f>
        <v>Your school's actual percent of students scoring proficient and advanced was:</v>
      </c>
      <c r="E20" s="154" t="s">
        <v>306</v>
      </c>
      <c r="G20" s="269"/>
      <c r="H20" s="292"/>
      <c r="I20" s="281"/>
      <c r="J20" s="41" t="str">
        <f>IF(K11=G$529, "Your school's actual percent of students increasing a grade level was:", "Your school's actual percent of students scoring at grade level was:")</f>
        <v>Your school's actual percent of students increasing a grade level was:</v>
      </c>
      <c r="K20" s="42"/>
      <c r="M20" s="47" t="s">
        <v>277</v>
      </c>
    </row>
    <row r="21" spans="1:20" ht="15" x14ac:dyDescent="0.25">
      <c r="A21" s="278"/>
      <c r="B21" s="281"/>
      <c r="C21" s="62" t="s">
        <v>25</v>
      </c>
      <c r="D21" s="45" t="s">
        <v>395</v>
      </c>
      <c r="E21" s="154" t="s">
        <v>306</v>
      </c>
      <c r="G21" s="269"/>
      <c r="H21" s="292"/>
      <c r="I21" s="281"/>
      <c r="J21" s="44" t="s">
        <v>25</v>
      </c>
      <c r="K21" s="51"/>
      <c r="M21" s="47" t="s">
        <v>286</v>
      </c>
    </row>
    <row r="22" spans="1:20" ht="15" customHeight="1" thickBot="1" x14ac:dyDescent="0.3">
      <c r="A22" s="279"/>
      <c r="B22" s="282"/>
      <c r="C22" s="46" t="s">
        <v>194</v>
      </c>
      <c r="D22" s="45" t="s">
        <v>395</v>
      </c>
      <c r="E22" s="154" t="s">
        <v>306</v>
      </c>
      <c r="G22" s="270"/>
      <c r="H22" s="293"/>
      <c r="I22" s="282"/>
      <c r="J22" s="46" t="s">
        <v>194</v>
      </c>
      <c r="K22" s="52"/>
      <c r="M22" s="47" t="s">
        <v>400</v>
      </c>
    </row>
    <row r="23" spans="1:20" ht="15" customHeight="1" thickBot="1" x14ac:dyDescent="0.3">
      <c r="A23" s="277" t="s">
        <v>27</v>
      </c>
      <c r="B23" s="280" t="s">
        <v>335</v>
      </c>
      <c r="C23" s="160" t="s">
        <v>39</v>
      </c>
      <c r="D23" s="152" t="str">
        <f>C23</f>
        <v xml:space="preserve"> To receive the indicator rating, the AEC's percent of students scoring proficient and advanced was:</v>
      </c>
      <c r="E23" s="154" t="s">
        <v>306</v>
      </c>
      <c r="G23" s="165"/>
      <c r="H23" s="54"/>
      <c r="I23" s="164"/>
      <c r="J23" s="56" t="s">
        <v>178</v>
      </c>
      <c r="K23" s="57"/>
      <c r="M23" s="47" t="s">
        <v>290</v>
      </c>
    </row>
    <row r="24" spans="1:20" ht="15" customHeight="1" x14ac:dyDescent="0.25">
      <c r="A24" s="278"/>
      <c r="B24" s="281"/>
      <c r="C24" s="35" t="s">
        <v>125</v>
      </c>
      <c r="D24" s="36" t="s">
        <v>18</v>
      </c>
      <c r="E24" s="154" t="s">
        <v>306</v>
      </c>
      <c r="G24" s="268" t="s">
        <v>26</v>
      </c>
      <c r="H24" s="289"/>
      <c r="I24" s="280" t="s">
        <v>286</v>
      </c>
      <c r="J24" s="48" t="s">
        <v>133</v>
      </c>
      <c r="K24" s="49"/>
      <c r="M24" s="47" t="s">
        <v>289</v>
      </c>
    </row>
    <row r="25" spans="1:20" ht="15" x14ac:dyDescent="0.25">
      <c r="A25" s="278"/>
      <c r="B25" s="281"/>
      <c r="C25" s="37" t="s">
        <v>126</v>
      </c>
      <c r="D25" s="36" t="s">
        <v>19</v>
      </c>
      <c r="E25" s="154" t="s">
        <v>306</v>
      </c>
      <c r="G25" s="269"/>
      <c r="H25" s="290"/>
      <c r="I25" s="281"/>
      <c r="J25" s="35" t="s">
        <v>125</v>
      </c>
      <c r="K25" s="36" t="s">
        <v>129</v>
      </c>
      <c r="N25" s="35" t="s">
        <v>125</v>
      </c>
      <c r="O25" s="37" t="s">
        <v>126</v>
      </c>
      <c r="P25" s="38" t="s">
        <v>127</v>
      </c>
      <c r="Q25" s="39" t="s">
        <v>128</v>
      </c>
      <c r="R25" s="35" t="s">
        <v>22</v>
      </c>
      <c r="S25" s="37" t="s">
        <v>23</v>
      </c>
      <c r="T25" s="38" t="s">
        <v>24</v>
      </c>
    </row>
    <row r="26" spans="1:20" ht="15" x14ac:dyDescent="0.25">
      <c r="A26" s="278"/>
      <c r="B26" s="281"/>
      <c r="C26" s="38" t="s">
        <v>127</v>
      </c>
      <c r="D26" s="36" t="s">
        <v>20</v>
      </c>
      <c r="E26" s="154" t="s">
        <v>306</v>
      </c>
      <c r="G26" s="269"/>
      <c r="H26" s="290"/>
      <c r="I26" s="281"/>
      <c r="J26" s="37" t="s">
        <v>126</v>
      </c>
      <c r="K26" s="36" t="s">
        <v>130</v>
      </c>
      <c r="M26" s="47" t="s">
        <v>305</v>
      </c>
      <c r="N26" s="35" t="s">
        <v>306</v>
      </c>
      <c r="O26" s="37" t="s">
        <v>306</v>
      </c>
      <c r="P26" s="38" t="s">
        <v>306</v>
      </c>
      <c r="Q26" s="39" t="s">
        <v>306</v>
      </c>
      <c r="R26" s="35" t="s">
        <v>306</v>
      </c>
      <c r="S26" s="37" t="s">
        <v>306</v>
      </c>
      <c r="T26" s="38" t="s">
        <v>306</v>
      </c>
    </row>
    <row r="27" spans="1:20" ht="15" customHeight="1" x14ac:dyDescent="0.25">
      <c r="A27" s="278"/>
      <c r="B27" s="281"/>
      <c r="C27" s="39" t="s">
        <v>128</v>
      </c>
      <c r="D27" s="40" t="s">
        <v>21</v>
      </c>
      <c r="E27" s="154" t="s">
        <v>306</v>
      </c>
      <c r="G27" s="269"/>
      <c r="H27" s="291" t="s">
        <v>177</v>
      </c>
      <c r="I27" s="281"/>
      <c r="J27" s="38" t="s">
        <v>127</v>
      </c>
      <c r="K27" s="36" t="s">
        <v>131</v>
      </c>
      <c r="M27" s="47" t="s">
        <v>277</v>
      </c>
      <c r="N27" s="36" t="s">
        <v>129</v>
      </c>
      <c r="O27" s="36" t="s">
        <v>130</v>
      </c>
      <c r="P27" s="36" t="s">
        <v>131</v>
      </c>
      <c r="Q27" s="40" t="s">
        <v>132</v>
      </c>
      <c r="R27" s="50">
        <v>90</v>
      </c>
      <c r="S27" s="50">
        <v>60</v>
      </c>
      <c r="T27" s="50">
        <v>40</v>
      </c>
    </row>
    <row r="28" spans="1:20" ht="15" x14ac:dyDescent="0.25">
      <c r="A28" s="278"/>
      <c r="B28" s="281"/>
      <c r="C28" s="161" t="s">
        <v>37</v>
      </c>
      <c r="D28" s="173" t="str">
        <f>C28</f>
        <v>Cut-point values for percent of students scoring proficient and advanced were:</v>
      </c>
      <c r="E28" s="154" t="s">
        <v>306</v>
      </c>
      <c r="G28" s="269"/>
      <c r="H28" s="292"/>
      <c r="I28" s="281"/>
      <c r="J28" s="39" t="s">
        <v>128</v>
      </c>
      <c r="K28" s="40" t="s">
        <v>132</v>
      </c>
      <c r="M28" s="47" t="s">
        <v>286</v>
      </c>
      <c r="N28" s="36" t="s">
        <v>129</v>
      </c>
      <c r="O28" s="36" t="s">
        <v>130</v>
      </c>
      <c r="P28" s="36" t="s">
        <v>131</v>
      </c>
      <c r="Q28" s="40" t="s">
        <v>132</v>
      </c>
      <c r="R28" s="50">
        <v>90</v>
      </c>
      <c r="S28" s="50">
        <v>60</v>
      </c>
      <c r="T28" s="50">
        <v>40</v>
      </c>
    </row>
    <row r="29" spans="1:20" ht="15" x14ac:dyDescent="0.25">
      <c r="A29" s="278"/>
      <c r="B29" s="281"/>
      <c r="C29" s="35" t="s">
        <v>22</v>
      </c>
      <c r="D29" s="43">
        <v>28.6</v>
      </c>
      <c r="E29" s="154" t="s">
        <v>306</v>
      </c>
      <c r="G29" s="269"/>
      <c r="H29" s="292"/>
      <c r="I29" s="281"/>
      <c r="J29" s="41" t="str">
        <f>IF(K24=G$529, "Cut-point values for percent of students increasing a grade level were:", "Cut-point values for percent of students scoring at grade level were:")</f>
        <v>Cut-point values for percent of students increasing a grade level were:</v>
      </c>
      <c r="K29" s="42"/>
      <c r="M29" s="47" t="s">
        <v>287</v>
      </c>
      <c r="N29" s="36" t="s">
        <v>129</v>
      </c>
      <c r="O29" s="36" t="s">
        <v>130</v>
      </c>
      <c r="P29" s="36" t="s">
        <v>131</v>
      </c>
      <c r="Q29" s="40" t="s">
        <v>132</v>
      </c>
      <c r="R29" s="50">
        <v>90</v>
      </c>
      <c r="S29" s="50">
        <v>60</v>
      </c>
      <c r="T29" s="50">
        <v>40</v>
      </c>
    </row>
    <row r="30" spans="1:20" ht="15" x14ac:dyDescent="0.25">
      <c r="A30" s="278"/>
      <c r="B30" s="281"/>
      <c r="C30" s="37" t="s">
        <v>23</v>
      </c>
      <c r="D30" s="43">
        <v>14.6</v>
      </c>
      <c r="E30" s="154" t="s">
        <v>306</v>
      </c>
      <c r="G30" s="269"/>
      <c r="H30" s="292"/>
      <c r="I30" s="281"/>
      <c r="J30" s="35" t="s">
        <v>22</v>
      </c>
      <c r="K30" s="50">
        <v>90</v>
      </c>
      <c r="M30" s="47" t="s">
        <v>288</v>
      </c>
      <c r="N30" s="36" t="s">
        <v>129</v>
      </c>
      <c r="O30" s="36" t="s">
        <v>130</v>
      </c>
      <c r="P30" s="36" t="s">
        <v>131</v>
      </c>
      <c r="Q30" s="40" t="s">
        <v>132</v>
      </c>
      <c r="R30" s="50">
        <v>90</v>
      </c>
      <c r="S30" s="50">
        <v>60</v>
      </c>
      <c r="T30" s="50">
        <v>40</v>
      </c>
    </row>
    <row r="31" spans="1:20" ht="15" x14ac:dyDescent="0.25">
      <c r="A31" s="278"/>
      <c r="B31" s="281"/>
      <c r="C31" s="38" t="s">
        <v>24</v>
      </c>
      <c r="D31" s="180">
        <v>10</v>
      </c>
      <c r="E31" s="154" t="s">
        <v>306</v>
      </c>
      <c r="G31" s="269"/>
      <c r="H31" s="292"/>
      <c r="I31" s="281"/>
      <c r="J31" s="37" t="s">
        <v>23</v>
      </c>
      <c r="K31" s="50">
        <v>60</v>
      </c>
      <c r="M31" s="47" t="s">
        <v>289</v>
      </c>
      <c r="N31" s="36" t="s">
        <v>129</v>
      </c>
      <c r="O31" s="36" t="s">
        <v>130</v>
      </c>
      <c r="P31" s="36" t="s">
        <v>131</v>
      </c>
      <c r="Q31" s="40" t="s">
        <v>132</v>
      </c>
      <c r="R31" s="50">
        <v>90</v>
      </c>
      <c r="S31" s="50">
        <v>60</v>
      </c>
      <c r="T31" s="50">
        <v>40</v>
      </c>
    </row>
    <row r="32" spans="1:20" ht="15" x14ac:dyDescent="0.25">
      <c r="A32" s="278"/>
      <c r="B32" s="281"/>
      <c r="C32" s="161" t="s">
        <v>38</v>
      </c>
      <c r="D32" s="173" t="str">
        <f>C32</f>
        <v>Your school's actual percent of students scoring proficient and advanced was:</v>
      </c>
      <c r="E32" s="154" t="s">
        <v>306</v>
      </c>
      <c r="G32" s="269"/>
      <c r="H32" s="292"/>
      <c r="I32" s="281"/>
      <c r="J32" s="38" t="s">
        <v>24</v>
      </c>
      <c r="K32" s="50">
        <v>40</v>
      </c>
      <c r="M32" s="47" t="s">
        <v>290</v>
      </c>
      <c r="N32" s="36" t="s">
        <v>129</v>
      </c>
      <c r="O32" s="36" t="s">
        <v>130</v>
      </c>
      <c r="P32" s="36" t="s">
        <v>131</v>
      </c>
      <c r="Q32" s="40" t="s">
        <v>132</v>
      </c>
      <c r="R32" s="50">
        <v>90</v>
      </c>
      <c r="S32" s="50">
        <v>60</v>
      </c>
      <c r="T32" s="50">
        <v>40</v>
      </c>
    </row>
    <row r="33" spans="1:20" ht="15" x14ac:dyDescent="0.25">
      <c r="A33" s="278"/>
      <c r="B33" s="281"/>
      <c r="C33" s="62" t="s">
        <v>25</v>
      </c>
      <c r="D33" s="45" t="s">
        <v>395</v>
      </c>
      <c r="E33" s="154" t="s">
        <v>306</v>
      </c>
      <c r="G33" s="269"/>
      <c r="H33" s="292"/>
      <c r="I33" s="281"/>
      <c r="J33" s="41" t="str">
        <f>IF(K24=G$529, "Your school's actual percent of students increasing a grade level was:", "Your school's actual percent of students scoring at grade level was:")</f>
        <v>Your school's actual percent of students increasing a grade level was:</v>
      </c>
      <c r="K33" s="42"/>
      <c r="M33" s="47" t="s">
        <v>291</v>
      </c>
      <c r="N33" s="36" t="s">
        <v>270</v>
      </c>
      <c r="O33" s="36" t="s">
        <v>271</v>
      </c>
      <c r="P33" s="36" t="s">
        <v>272</v>
      </c>
      <c r="Q33" s="40" t="s">
        <v>273</v>
      </c>
      <c r="R33" s="50">
        <v>80</v>
      </c>
      <c r="S33" s="50">
        <v>62</v>
      </c>
      <c r="T33" s="50">
        <v>40</v>
      </c>
    </row>
    <row r="34" spans="1:20" ht="15" customHeight="1" thickBot="1" x14ac:dyDescent="0.3">
      <c r="A34" s="279"/>
      <c r="B34" s="282"/>
      <c r="C34" s="46" t="s">
        <v>194</v>
      </c>
      <c r="D34" s="45" t="s">
        <v>395</v>
      </c>
      <c r="E34" s="154" t="s">
        <v>306</v>
      </c>
      <c r="G34" s="269"/>
      <c r="H34" s="292"/>
      <c r="I34" s="281"/>
      <c r="J34" s="44" t="s">
        <v>25</v>
      </c>
      <c r="K34" s="51"/>
      <c r="M34" s="47" t="s">
        <v>400</v>
      </c>
      <c r="N34" s="36" t="s">
        <v>129</v>
      </c>
      <c r="O34" s="36" t="s">
        <v>130</v>
      </c>
      <c r="P34" s="36" t="s">
        <v>131</v>
      </c>
      <c r="Q34" s="40" t="s">
        <v>132</v>
      </c>
      <c r="R34" s="50">
        <v>90</v>
      </c>
      <c r="S34" s="50">
        <v>60</v>
      </c>
      <c r="T34" s="50">
        <v>40</v>
      </c>
    </row>
    <row r="35" spans="1:20" ht="15" customHeight="1" thickBot="1" x14ac:dyDescent="0.3">
      <c r="A35" s="277" t="s">
        <v>27</v>
      </c>
      <c r="B35" s="280" t="s">
        <v>336</v>
      </c>
      <c r="C35" s="160" t="s">
        <v>39</v>
      </c>
      <c r="D35" s="152" t="str">
        <f>C35</f>
        <v xml:space="preserve"> To receive the indicator rating, the AEC's percent of students scoring proficient and advanced was:</v>
      </c>
      <c r="E35" s="154" t="s">
        <v>306</v>
      </c>
      <c r="G35" s="270"/>
      <c r="H35" s="293"/>
      <c r="I35" s="282"/>
      <c r="J35" s="46" t="s">
        <v>194</v>
      </c>
      <c r="K35" s="52"/>
    </row>
    <row r="36" spans="1:20" ht="15.75" thickBot="1" x14ac:dyDescent="0.3">
      <c r="A36" s="278"/>
      <c r="B36" s="281"/>
      <c r="C36" s="35" t="s">
        <v>125</v>
      </c>
      <c r="D36" s="36" t="s">
        <v>18</v>
      </c>
      <c r="E36" s="154" t="s">
        <v>306</v>
      </c>
      <c r="G36" s="165"/>
      <c r="H36" s="54"/>
      <c r="I36" s="164"/>
      <c r="J36" s="56" t="s">
        <v>178</v>
      </c>
      <c r="K36" s="58"/>
      <c r="M36" s="47" t="s">
        <v>135</v>
      </c>
      <c r="Q36" s="47" t="s">
        <v>356</v>
      </c>
      <c r="R36" s="47" t="s">
        <v>350</v>
      </c>
    </row>
    <row r="37" spans="1:20" ht="15" customHeight="1" x14ac:dyDescent="0.25">
      <c r="A37" s="278"/>
      <c r="B37" s="281"/>
      <c r="C37" s="37" t="s">
        <v>126</v>
      </c>
      <c r="D37" s="36" t="s">
        <v>19</v>
      </c>
      <c r="E37" s="154" t="s">
        <v>306</v>
      </c>
      <c r="G37" s="268" t="s">
        <v>26</v>
      </c>
      <c r="H37" s="289"/>
      <c r="I37" s="280" t="s">
        <v>287</v>
      </c>
      <c r="J37" s="48" t="s">
        <v>133</v>
      </c>
      <c r="K37" s="49"/>
      <c r="M37" s="47" t="s">
        <v>134</v>
      </c>
      <c r="Q37" s="151" t="s">
        <v>357</v>
      </c>
      <c r="R37" s="151" t="s">
        <v>351</v>
      </c>
    </row>
    <row r="38" spans="1:20" ht="15" x14ac:dyDescent="0.25">
      <c r="A38" s="278"/>
      <c r="B38" s="281"/>
      <c r="C38" s="38" t="s">
        <v>127</v>
      </c>
      <c r="D38" s="36" t="s">
        <v>20</v>
      </c>
      <c r="E38" s="154" t="s">
        <v>306</v>
      </c>
      <c r="G38" s="269"/>
      <c r="H38" s="290"/>
      <c r="I38" s="281"/>
      <c r="J38" s="35" t="s">
        <v>125</v>
      </c>
      <c r="K38" s="36" t="s">
        <v>129</v>
      </c>
    </row>
    <row r="39" spans="1:20" ht="15" x14ac:dyDescent="0.25">
      <c r="A39" s="278"/>
      <c r="B39" s="281"/>
      <c r="C39" s="39" t="s">
        <v>128</v>
      </c>
      <c r="D39" s="40" t="s">
        <v>21</v>
      </c>
      <c r="E39" s="154" t="s">
        <v>306</v>
      </c>
      <c r="G39" s="269"/>
      <c r="H39" s="290"/>
      <c r="I39" s="281"/>
      <c r="J39" s="37" t="s">
        <v>126</v>
      </c>
      <c r="K39" s="36" t="s">
        <v>130</v>
      </c>
      <c r="M39" s="47" t="s">
        <v>305</v>
      </c>
      <c r="N39" s="47" t="s">
        <v>306</v>
      </c>
    </row>
    <row r="40" spans="1:20" ht="15" customHeight="1" x14ac:dyDescent="0.25">
      <c r="A40" s="278"/>
      <c r="B40" s="281"/>
      <c r="C40" s="161" t="s">
        <v>37</v>
      </c>
      <c r="D40" s="173" t="str">
        <f>C40</f>
        <v>Cut-point values for percent of students scoring proficient and advanced were:</v>
      </c>
      <c r="E40" s="154" t="s">
        <v>306</v>
      </c>
      <c r="G40" s="269"/>
      <c r="H40" s="291" t="s">
        <v>177</v>
      </c>
      <c r="I40" s="281"/>
      <c r="J40" s="38" t="s">
        <v>127</v>
      </c>
      <c r="K40" s="36" t="s">
        <v>131</v>
      </c>
      <c r="M40" s="47" t="s">
        <v>277</v>
      </c>
      <c r="N40" s="47" t="s">
        <v>292</v>
      </c>
    </row>
    <row r="41" spans="1:20" ht="15" x14ac:dyDescent="0.25">
      <c r="A41" s="278"/>
      <c r="B41" s="281"/>
      <c r="C41" s="35" t="s">
        <v>22</v>
      </c>
      <c r="D41" s="43">
        <v>9.4</v>
      </c>
      <c r="E41" s="154" t="s">
        <v>306</v>
      </c>
      <c r="G41" s="269"/>
      <c r="H41" s="292"/>
      <c r="I41" s="281"/>
      <c r="J41" s="39" t="s">
        <v>128</v>
      </c>
      <c r="K41" s="40" t="s">
        <v>132</v>
      </c>
      <c r="M41" s="47" t="s">
        <v>286</v>
      </c>
      <c r="N41" s="47" t="s">
        <v>292</v>
      </c>
    </row>
    <row r="42" spans="1:20" ht="15" x14ac:dyDescent="0.25">
      <c r="A42" s="278"/>
      <c r="B42" s="281"/>
      <c r="C42" s="37" t="s">
        <v>23</v>
      </c>
      <c r="D42" s="43">
        <v>4.4000000000000004</v>
      </c>
      <c r="E42" s="154" t="s">
        <v>306</v>
      </c>
      <c r="G42" s="269"/>
      <c r="H42" s="292"/>
      <c r="I42" s="281"/>
      <c r="J42" s="41" t="str">
        <f>IF(K37=G$529, "Cut-point values for percent of students increasing a grade level were:", "Cut-point values for percent of students scoring at grade level were:")</f>
        <v>Cut-point values for percent of students increasing a grade level were:</v>
      </c>
      <c r="K42" s="42"/>
      <c r="M42" s="47" t="s">
        <v>287</v>
      </c>
      <c r="N42" s="47" t="s">
        <v>292</v>
      </c>
    </row>
    <row r="43" spans="1:20" ht="15" x14ac:dyDescent="0.25">
      <c r="A43" s="278"/>
      <c r="B43" s="281"/>
      <c r="C43" s="38" t="s">
        <v>24</v>
      </c>
      <c r="D43" s="180">
        <v>2</v>
      </c>
      <c r="E43" s="154" t="s">
        <v>306</v>
      </c>
      <c r="G43" s="269"/>
      <c r="H43" s="292"/>
      <c r="I43" s="281"/>
      <c r="J43" s="35" t="s">
        <v>22</v>
      </c>
      <c r="K43" s="50">
        <v>90</v>
      </c>
      <c r="M43" s="47" t="s">
        <v>288</v>
      </c>
      <c r="N43" s="47" t="s">
        <v>292</v>
      </c>
    </row>
    <row r="44" spans="1:20" ht="15" x14ac:dyDescent="0.25">
      <c r="A44" s="278"/>
      <c r="B44" s="281"/>
      <c r="C44" s="161" t="s">
        <v>38</v>
      </c>
      <c r="D44" s="173" t="str">
        <f>C44</f>
        <v>Your school's actual percent of students scoring proficient and advanced was:</v>
      </c>
      <c r="E44" s="154" t="s">
        <v>306</v>
      </c>
      <c r="G44" s="269"/>
      <c r="H44" s="292"/>
      <c r="I44" s="281"/>
      <c r="J44" s="37" t="s">
        <v>23</v>
      </c>
      <c r="K44" s="50">
        <v>60</v>
      </c>
      <c r="M44" s="47" t="s">
        <v>289</v>
      </c>
      <c r="N44" s="47" t="s">
        <v>292</v>
      </c>
    </row>
    <row r="45" spans="1:20" ht="15" x14ac:dyDescent="0.25">
      <c r="A45" s="278"/>
      <c r="B45" s="281"/>
      <c r="C45" s="62" t="s">
        <v>25</v>
      </c>
      <c r="D45" s="45" t="s">
        <v>395</v>
      </c>
      <c r="E45" s="154" t="s">
        <v>306</v>
      </c>
      <c r="G45" s="269"/>
      <c r="H45" s="292"/>
      <c r="I45" s="281"/>
      <c r="J45" s="38" t="s">
        <v>24</v>
      </c>
      <c r="K45" s="50">
        <v>40</v>
      </c>
      <c r="M45" s="47" t="s">
        <v>290</v>
      </c>
      <c r="N45" s="47" t="s">
        <v>292</v>
      </c>
    </row>
    <row r="46" spans="1:20" ht="15" customHeight="1" thickBot="1" x14ac:dyDescent="0.3">
      <c r="A46" s="279"/>
      <c r="B46" s="282"/>
      <c r="C46" s="46" t="s">
        <v>194</v>
      </c>
      <c r="D46" s="45" t="s">
        <v>395</v>
      </c>
      <c r="E46" s="154" t="s">
        <v>306</v>
      </c>
      <c r="G46" s="269"/>
      <c r="H46" s="292"/>
      <c r="I46" s="281"/>
      <c r="J46" s="41" t="str">
        <f>IF(K37=G$529, "Your school's actual percent of students increasing a grade level was:", "Your school's actual percent of students scoring at grade level was:")</f>
        <v>Your school's actual percent of students increasing a grade level was:</v>
      </c>
      <c r="K46" s="42"/>
      <c r="M46" s="47" t="s">
        <v>291</v>
      </c>
      <c r="N46" s="47" t="s">
        <v>293</v>
      </c>
    </row>
    <row r="47" spans="1:20" ht="15" customHeight="1" x14ac:dyDescent="0.25">
      <c r="A47" s="277" t="s">
        <v>27</v>
      </c>
      <c r="B47" s="280" t="s">
        <v>337</v>
      </c>
      <c r="C47" s="33" t="s">
        <v>39</v>
      </c>
      <c r="D47" s="152" t="str">
        <f>C47</f>
        <v xml:space="preserve"> To receive the indicator rating, the AEC's percent of students scoring proficient and advanced was:</v>
      </c>
      <c r="E47" s="154" t="s">
        <v>306</v>
      </c>
      <c r="G47" s="269"/>
      <c r="H47" s="292"/>
      <c r="I47" s="281"/>
      <c r="J47" s="44" t="s">
        <v>25</v>
      </c>
      <c r="K47" s="51"/>
      <c r="M47" s="47" t="s">
        <v>319</v>
      </c>
      <c r="N47" s="47" t="s">
        <v>292</v>
      </c>
    </row>
    <row r="48" spans="1:20" ht="15.75" thickBot="1" x14ac:dyDescent="0.3">
      <c r="A48" s="278"/>
      <c r="B48" s="281"/>
      <c r="C48" s="35" t="s">
        <v>125</v>
      </c>
      <c r="D48" s="36" t="s">
        <v>18</v>
      </c>
      <c r="E48" s="154" t="s">
        <v>306</v>
      </c>
      <c r="G48" s="270"/>
      <c r="H48" s="293"/>
      <c r="I48" s="282"/>
      <c r="J48" s="46" t="s">
        <v>194</v>
      </c>
      <c r="K48" s="52"/>
      <c r="M48" s="47" t="s">
        <v>400</v>
      </c>
      <c r="N48" s="47" t="s">
        <v>292</v>
      </c>
    </row>
    <row r="49" spans="1:13" ht="15.75" thickBot="1" x14ac:dyDescent="0.3">
      <c r="A49" s="278"/>
      <c r="B49" s="281"/>
      <c r="C49" s="37" t="s">
        <v>126</v>
      </c>
      <c r="D49" s="36" t="s">
        <v>19</v>
      </c>
      <c r="E49" s="154" t="s">
        <v>306</v>
      </c>
      <c r="G49" s="165"/>
      <c r="H49" s="54"/>
      <c r="I49" s="164"/>
      <c r="J49" s="56" t="s">
        <v>178</v>
      </c>
      <c r="K49" s="58" t="e">
        <f>IF(#REF!="YES","YES","NO")</f>
        <v>#REF!</v>
      </c>
      <c r="M49" s="47" t="s">
        <v>277</v>
      </c>
    </row>
    <row r="50" spans="1:13" ht="15" customHeight="1" x14ac:dyDescent="0.25">
      <c r="A50" s="278"/>
      <c r="B50" s="281"/>
      <c r="C50" s="38" t="s">
        <v>127</v>
      </c>
      <c r="D50" s="36" t="s">
        <v>20</v>
      </c>
      <c r="E50" s="154" t="s">
        <v>306</v>
      </c>
      <c r="G50" s="268" t="s">
        <v>26</v>
      </c>
      <c r="H50" s="289"/>
      <c r="I50" s="280" t="s">
        <v>288</v>
      </c>
      <c r="J50" s="48" t="s">
        <v>133</v>
      </c>
      <c r="K50" s="49"/>
      <c r="M50" s="47" t="s">
        <v>286</v>
      </c>
    </row>
    <row r="51" spans="1:13" ht="15" x14ac:dyDescent="0.25">
      <c r="A51" s="278"/>
      <c r="B51" s="281"/>
      <c r="C51" s="39" t="s">
        <v>128</v>
      </c>
      <c r="D51" s="40" t="s">
        <v>21</v>
      </c>
      <c r="E51" s="154" t="s">
        <v>306</v>
      </c>
      <c r="G51" s="269"/>
      <c r="H51" s="290"/>
      <c r="I51" s="281"/>
      <c r="J51" s="35" t="s">
        <v>125</v>
      </c>
      <c r="K51" s="36" t="s">
        <v>129</v>
      </c>
      <c r="M51" s="47" t="s">
        <v>287</v>
      </c>
    </row>
    <row r="52" spans="1:13" ht="15" x14ac:dyDescent="0.25">
      <c r="A52" s="278"/>
      <c r="B52" s="281"/>
      <c r="C52" s="41" t="s">
        <v>37</v>
      </c>
      <c r="D52" s="173" t="str">
        <f>C52</f>
        <v>Cut-point values for percent of students scoring proficient and advanced were:</v>
      </c>
      <c r="E52" s="154" t="s">
        <v>306</v>
      </c>
      <c r="G52" s="269"/>
      <c r="H52" s="290"/>
      <c r="I52" s="281"/>
      <c r="J52" s="37" t="s">
        <v>126</v>
      </c>
      <c r="K52" s="36" t="s">
        <v>130</v>
      </c>
      <c r="M52" s="47" t="s">
        <v>288</v>
      </c>
    </row>
    <row r="53" spans="1:13" ht="15" customHeight="1" x14ac:dyDescent="0.25">
      <c r="A53" s="278"/>
      <c r="B53" s="281"/>
      <c r="C53" s="35" t="s">
        <v>22</v>
      </c>
      <c r="D53" s="43">
        <v>30.3</v>
      </c>
      <c r="E53" s="154" t="s">
        <v>306</v>
      </c>
      <c r="G53" s="269"/>
      <c r="H53" s="291" t="s">
        <v>177</v>
      </c>
      <c r="I53" s="281"/>
      <c r="J53" s="38" t="s">
        <v>127</v>
      </c>
      <c r="K53" s="36" t="s">
        <v>131</v>
      </c>
      <c r="M53" s="47" t="s">
        <v>289</v>
      </c>
    </row>
    <row r="54" spans="1:13" ht="15" x14ac:dyDescent="0.25">
      <c r="A54" s="278"/>
      <c r="B54" s="281"/>
      <c r="C54" s="37" t="s">
        <v>23</v>
      </c>
      <c r="D54" s="43">
        <v>16.399999999999999</v>
      </c>
      <c r="E54" s="154" t="s">
        <v>306</v>
      </c>
      <c r="G54" s="269"/>
      <c r="H54" s="292"/>
      <c r="I54" s="281"/>
      <c r="J54" s="39" t="s">
        <v>128</v>
      </c>
      <c r="K54" s="40" t="s">
        <v>132</v>
      </c>
      <c r="M54" s="47" t="s">
        <v>290</v>
      </c>
    </row>
    <row r="55" spans="1:13" ht="15" x14ac:dyDescent="0.25">
      <c r="A55" s="278"/>
      <c r="B55" s="281"/>
      <c r="C55" s="38" t="s">
        <v>24</v>
      </c>
      <c r="D55" s="180">
        <v>10.8</v>
      </c>
      <c r="E55" s="154" t="s">
        <v>306</v>
      </c>
      <c r="G55" s="269"/>
      <c r="H55" s="292"/>
      <c r="I55" s="281"/>
      <c r="J55" s="41" t="str">
        <f>IF(K50=G$529, "Cut-point values for percent of students increasing a grade level were:", "Cut-point values for percent of students scoring at grade level were:")</f>
        <v>Cut-point values for percent of students increasing a grade level were:</v>
      </c>
      <c r="K55" s="42"/>
      <c r="M55" s="47" t="s">
        <v>291</v>
      </c>
    </row>
    <row r="56" spans="1:13" ht="15" x14ac:dyDescent="0.25">
      <c r="A56" s="278"/>
      <c r="B56" s="281"/>
      <c r="C56" s="41" t="s">
        <v>38</v>
      </c>
      <c r="D56" s="173" t="str">
        <f>C56</f>
        <v>Your school's actual percent of students scoring proficient and advanced was:</v>
      </c>
      <c r="E56" s="154" t="s">
        <v>306</v>
      </c>
      <c r="G56" s="269"/>
      <c r="H56" s="292"/>
      <c r="I56" s="281"/>
      <c r="J56" s="35" t="s">
        <v>22</v>
      </c>
      <c r="K56" s="50">
        <v>90</v>
      </c>
      <c r="M56" s="47" t="s">
        <v>295</v>
      </c>
    </row>
    <row r="57" spans="1:13" ht="15" x14ac:dyDescent="0.25">
      <c r="A57" s="278"/>
      <c r="B57" s="281"/>
      <c r="C57" s="158" t="s">
        <v>25</v>
      </c>
      <c r="D57" s="45" t="s">
        <v>395</v>
      </c>
      <c r="E57" s="154" t="s">
        <v>306</v>
      </c>
      <c r="G57" s="269"/>
      <c r="H57" s="292"/>
      <c r="I57" s="281"/>
      <c r="J57" s="37" t="s">
        <v>23</v>
      </c>
      <c r="K57" s="50">
        <v>60</v>
      </c>
    </row>
    <row r="58" spans="1:13" ht="15" customHeight="1" thickBot="1" x14ac:dyDescent="0.3">
      <c r="A58" s="279"/>
      <c r="B58" s="282"/>
      <c r="C58" s="46" t="s">
        <v>194</v>
      </c>
      <c r="D58" s="45" t="s">
        <v>395</v>
      </c>
      <c r="E58" s="154" t="s">
        <v>306</v>
      </c>
      <c r="G58" s="269"/>
      <c r="H58" s="292"/>
      <c r="I58" s="281"/>
      <c r="J58" s="38" t="s">
        <v>24</v>
      </c>
      <c r="K58" s="50">
        <v>40</v>
      </c>
    </row>
    <row r="59" spans="1:13" ht="15" customHeight="1" x14ac:dyDescent="0.25">
      <c r="A59" s="310" t="s">
        <v>26</v>
      </c>
      <c r="B59" s="280" t="s">
        <v>385</v>
      </c>
      <c r="C59" s="183" t="s">
        <v>96</v>
      </c>
      <c r="D59" s="184" t="s">
        <v>305</v>
      </c>
      <c r="E59" s="154" t="s">
        <v>306</v>
      </c>
      <c r="G59" s="269"/>
      <c r="H59" s="292"/>
      <c r="I59" s="281"/>
      <c r="J59" s="41" t="str">
        <f>IF(K50=G$529, "Your school's actual percent of students increasing a grade level was:", "Your school's actual percent of students scoring at grade level was:")</f>
        <v>Your school's actual percent of students increasing a grade level was:</v>
      </c>
      <c r="K59" s="42"/>
    </row>
    <row r="60" spans="1:13" ht="15" customHeight="1" x14ac:dyDescent="0.25">
      <c r="A60" s="311"/>
      <c r="B60" s="281"/>
      <c r="C60" s="182" t="s">
        <v>294</v>
      </c>
      <c r="D60" s="186" t="s">
        <v>135</v>
      </c>
      <c r="E60" s="154" t="s">
        <v>306</v>
      </c>
      <c r="G60" s="269"/>
      <c r="H60" s="292"/>
      <c r="I60" s="281"/>
      <c r="J60" s="44" t="s">
        <v>25</v>
      </c>
      <c r="K60" s="51"/>
    </row>
    <row r="61" spans="1:13" ht="15.75" thickBot="1" x14ac:dyDescent="0.3">
      <c r="A61" s="311"/>
      <c r="B61" s="281"/>
      <c r="C61" s="88" t="s">
        <v>95</v>
      </c>
      <c r="D61" s="173" t="str">
        <f>C61</f>
        <v xml:space="preserve"> To receive the indicator rating, the criteria for the additional measure of student academic achievement was:</v>
      </c>
      <c r="E61" s="154" t="s">
        <v>306</v>
      </c>
      <c r="G61" s="270"/>
      <c r="H61" s="293"/>
      <c r="I61" s="282"/>
      <c r="J61" s="46" t="s">
        <v>194</v>
      </c>
      <c r="K61" s="52"/>
    </row>
    <row r="62" spans="1:13" ht="15.75" thickBot="1" x14ac:dyDescent="0.3">
      <c r="A62" s="311"/>
      <c r="B62" s="281"/>
      <c r="C62" s="35" t="s">
        <v>125</v>
      </c>
      <c r="D62" s="74" t="str">
        <f>VLOOKUP(D59,$M$25:$T$34,2,FALSE)</f>
        <v xml:space="preserve"> </v>
      </c>
      <c r="E62" s="154" t="s">
        <v>306</v>
      </c>
      <c r="G62" s="165"/>
      <c r="H62" s="54"/>
      <c r="I62" s="164"/>
      <c r="J62" s="56" t="s">
        <v>178</v>
      </c>
      <c r="K62" s="58" t="e">
        <f>IF(#REF!="YES","YES","NO")</f>
        <v>#REF!</v>
      </c>
    </row>
    <row r="63" spans="1:13" ht="15" customHeight="1" x14ac:dyDescent="0.25">
      <c r="A63" s="311"/>
      <c r="B63" s="281"/>
      <c r="C63" s="37" t="s">
        <v>126</v>
      </c>
      <c r="D63" s="74" t="str">
        <f>VLOOKUP(D59,$M$25:$T$34,3,FALSE)</f>
        <v xml:space="preserve"> </v>
      </c>
      <c r="E63" s="154" t="s">
        <v>306</v>
      </c>
      <c r="G63" s="268" t="s">
        <v>26</v>
      </c>
      <c r="H63" s="289"/>
      <c r="I63" s="280" t="s">
        <v>289</v>
      </c>
      <c r="J63" s="48" t="s">
        <v>133</v>
      </c>
      <c r="K63" s="49"/>
    </row>
    <row r="64" spans="1:13" ht="15.75" customHeight="1" x14ac:dyDescent="0.25">
      <c r="A64" s="311"/>
      <c r="B64" s="281"/>
      <c r="C64" s="38" t="s">
        <v>127</v>
      </c>
      <c r="D64" s="74" t="str">
        <f>VLOOKUP(D59,$M$25:$T$34,4,FALSE)</f>
        <v xml:space="preserve"> </v>
      </c>
      <c r="E64" s="154" t="s">
        <v>306</v>
      </c>
      <c r="G64" s="269"/>
      <c r="H64" s="290"/>
      <c r="I64" s="281"/>
      <c r="J64" s="35" t="s">
        <v>125</v>
      </c>
      <c r="K64" s="36" t="s">
        <v>129</v>
      </c>
    </row>
    <row r="65" spans="1:11" ht="15" x14ac:dyDescent="0.25">
      <c r="A65" s="311"/>
      <c r="B65" s="281"/>
      <c r="C65" s="39" t="s">
        <v>128</v>
      </c>
      <c r="D65" s="201" t="str">
        <f>VLOOKUP(D59,$M$25:$T$34,5,FALSE)</f>
        <v xml:space="preserve"> </v>
      </c>
      <c r="E65" s="154" t="s">
        <v>306</v>
      </c>
      <c r="G65" s="269"/>
      <c r="H65" s="290"/>
      <c r="I65" s="281"/>
      <c r="J65" s="37" t="s">
        <v>126</v>
      </c>
      <c r="K65" s="36" t="s">
        <v>130</v>
      </c>
    </row>
    <row r="66" spans="1:11" ht="15" customHeight="1" x14ac:dyDescent="0.25">
      <c r="A66" s="311"/>
      <c r="B66" s="281"/>
      <c r="C66" s="88" t="s">
        <v>67</v>
      </c>
      <c r="D66" s="173" t="str">
        <f>C66</f>
        <v>Cut-point values for additional measure  of student academic achievement were:</v>
      </c>
      <c r="E66" s="154" t="s">
        <v>306</v>
      </c>
      <c r="G66" s="269"/>
      <c r="H66" s="291" t="s">
        <v>177</v>
      </c>
      <c r="I66" s="281"/>
      <c r="J66" s="38" t="s">
        <v>127</v>
      </c>
      <c r="K66" s="36" t="s">
        <v>131</v>
      </c>
    </row>
    <row r="67" spans="1:11" ht="15" x14ac:dyDescent="0.25">
      <c r="A67" s="311"/>
      <c r="B67" s="281"/>
      <c r="C67" s="35" t="s">
        <v>22</v>
      </c>
      <c r="D67" s="50" t="str">
        <f>VLOOKUP(D59,$M$25:$T$34,6,FALSE)</f>
        <v xml:space="preserve"> </v>
      </c>
      <c r="E67" s="154" t="s">
        <v>306</v>
      </c>
      <c r="G67" s="269"/>
      <c r="H67" s="292"/>
      <c r="I67" s="281"/>
      <c r="J67" s="39" t="s">
        <v>128</v>
      </c>
      <c r="K67" s="40" t="s">
        <v>132</v>
      </c>
    </row>
    <row r="68" spans="1:11" ht="15" x14ac:dyDescent="0.25">
      <c r="A68" s="311"/>
      <c r="B68" s="281"/>
      <c r="C68" s="37" t="s">
        <v>23</v>
      </c>
      <c r="D68" s="50" t="str">
        <f>VLOOKUP(D59,$M$25:$T$34,7,FALSE)</f>
        <v xml:space="preserve"> </v>
      </c>
      <c r="E68" s="154" t="s">
        <v>306</v>
      </c>
      <c r="G68" s="269"/>
      <c r="H68" s="292"/>
      <c r="I68" s="281"/>
      <c r="J68" s="41" t="str">
        <f>IF(K63=G$529, "Cut-point values for percent of students increasing a grade level were:", "Cut-point values for percent of students scoring at grade level were:")</f>
        <v>Cut-point values for percent of students increasing a grade level were:</v>
      </c>
      <c r="K68" s="42"/>
    </row>
    <row r="69" spans="1:11" ht="15.75" thickBot="1" x14ac:dyDescent="0.3">
      <c r="A69" s="311"/>
      <c r="B69" s="281"/>
      <c r="C69" s="38" t="s">
        <v>24</v>
      </c>
      <c r="D69" s="50" t="str">
        <f>VLOOKUP(D59,$M$25:$T$34,8,FALSE)</f>
        <v xml:space="preserve"> </v>
      </c>
      <c r="E69" s="154" t="s">
        <v>306</v>
      </c>
      <c r="G69" s="269"/>
      <c r="H69" s="292"/>
      <c r="I69" s="281"/>
      <c r="J69" s="35" t="s">
        <v>22</v>
      </c>
      <c r="K69" s="50">
        <v>90</v>
      </c>
    </row>
    <row r="70" spans="1:11" ht="15" x14ac:dyDescent="0.25">
      <c r="A70" s="311"/>
      <c r="B70" s="281"/>
      <c r="C70" s="91" t="s">
        <v>282</v>
      </c>
      <c r="D70" s="24" t="s">
        <v>307</v>
      </c>
      <c r="E70" s="154" t="s">
        <v>306</v>
      </c>
      <c r="G70" s="269"/>
      <c r="H70" s="292"/>
      <c r="I70" s="281"/>
      <c r="J70" s="37" t="s">
        <v>23</v>
      </c>
      <c r="K70" s="50">
        <v>60</v>
      </c>
    </row>
    <row r="71" spans="1:11" ht="15" customHeight="1" x14ac:dyDescent="0.25">
      <c r="A71" s="311"/>
      <c r="B71" s="281"/>
      <c r="C71" s="171" t="str">
        <f>IF(D60=M112, "Your school's actual percent of students increasing a grade level was:", "Your school's actual percent of students scoring at grade level was:")</f>
        <v>Your school's actual percent of students scoring at grade level was:</v>
      </c>
      <c r="D71" s="173" t="str">
        <f>C71</f>
        <v>Your school's actual percent of students scoring at grade level was:</v>
      </c>
      <c r="E71" s="154" t="s">
        <v>306</v>
      </c>
      <c r="G71" s="269"/>
      <c r="H71" s="292"/>
      <c r="I71" s="281"/>
      <c r="J71" s="38" t="s">
        <v>24</v>
      </c>
      <c r="K71" s="50">
        <v>40</v>
      </c>
    </row>
    <row r="72" spans="1:11" ht="15" customHeight="1" x14ac:dyDescent="0.25">
      <c r="A72" s="311"/>
      <c r="B72" s="281"/>
      <c r="C72" s="159" t="str">
        <f>IF(D60=$M$36,$Q$36,$Q$37)</f>
        <v>Number of students increasing at least one grade level</v>
      </c>
      <c r="D72" s="156" t="s">
        <v>380</v>
      </c>
      <c r="E72" s="154" t="s">
        <v>306</v>
      </c>
      <c r="G72" s="269"/>
      <c r="H72" s="292"/>
      <c r="I72" s="281"/>
      <c r="J72" s="41" t="str">
        <f>IF(K63=G$529, "Your school's actual percent of students increasing a grade level was:", "Your school's actual percent of students scoring at grade level was:")</f>
        <v>Your school's actual percent of students increasing a grade level was:</v>
      </c>
      <c r="K72" s="42"/>
    </row>
    <row r="73" spans="1:11" ht="15" customHeight="1" x14ac:dyDescent="0.25">
      <c r="A73" s="311"/>
      <c r="B73" s="281"/>
      <c r="C73" s="159" t="s">
        <v>378</v>
      </c>
      <c r="D73" s="156" t="s">
        <v>394</v>
      </c>
      <c r="E73" s="154" t="s">
        <v>306</v>
      </c>
      <c r="G73" s="269"/>
      <c r="H73" s="292"/>
      <c r="I73" s="281"/>
      <c r="J73" s="44" t="s">
        <v>25</v>
      </c>
      <c r="K73" s="51"/>
    </row>
    <row r="74" spans="1:11" ht="15.75" thickBot="1" x14ac:dyDescent="0.3">
      <c r="A74" s="311"/>
      <c r="B74" s="281"/>
      <c r="C74" s="64" t="str">
        <f>IF(D70=$M$36,$R$36,$R$37)</f>
        <v>Percent of students scoring at grade level</v>
      </c>
      <c r="D74" s="169" t="e">
        <f>SUM(D72/D73)*100</f>
        <v>#VALUE!</v>
      </c>
      <c r="E74" s="154" t="s">
        <v>306</v>
      </c>
      <c r="G74" s="270"/>
      <c r="H74" s="293"/>
      <c r="I74" s="282"/>
      <c r="J74" s="46" t="s">
        <v>194</v>
      </c>
      <c r="K74" s="52"/>
    </row>
    <row r="75" spans="1:11" ht="15.75" thickBot="1" x14ac:dyDescent="0.3">
      <c r="A75" s="311"/>
      <c r="B75" s="281"/>
      <c r="C75" s="91" t="s">
        <v>283</v>
      </c>
      <c r="D75" s="24" t="s">
        <v>307</v>
      </c>
      <c r="E75" s="154" t="s">
        <v>306</v>
      </c>
      <c r="G75" s="165"/>
      <c r="H75" s="54"/>
      <c r="I75" s="164"/>
      <c r="J75" s="56" t="s">
        <v>178</v>
      </c>
      <c r="K75" s="58" t="e">
        <f>IF(#REF!="YES","YES","NO")</f>
        <v>#REF!</v>
      </c>
    </row>
    <row r="76" spans="1:11" ht="15" customHeight="1" x14ac:dyDescent="0.25">
      <c r="A76" s="311"/>
      <c r="B76" s="281"/>
      <c r="C76" s="171" t="str">
        <f>IF(D60=M112, "Your school's actual percent of students increasing a grade level was:", "Your school's actual percent of students scoring at grade level was:")</f>
        <v>Your school's actual percent of students scoring at grade level was:</v>
      </c>
      <c r="D76" s="173" t="str">
        <f>C76</f>
        <v>Your school's actual percent of students scoring at grade level was:</v>
      </c>
      <c r="E76" s="154" t="s">
        <v>306</v>
      </c>
      <c r="G76" s="268" t="s">
        <v>26</v>
      </c>
      <c r="H76" s="289"/>
      <c r="I76" s="280" t="s">
        <v>290</v>
      </c>
      <c r="J76" s="48" t="s">
        <v>133</v>
      </c>
      <c r="K76" s="49"/>
    </row>
    <row r="77" spans="1:11" ht="15" x14ac:dyDescent="0.25">
      <c r="A77" s="311"/>
      <c r="B77" s="281"/>
      <c r="C77" s="159" t="str">
        <f>IF(D60=$M$36,$Q$36,$Q$37)</f>
        <v>Number of students increasing at least one grade level</v>
      </c>
      <c r="D77" s="156" t="s">
        <v>380</v>
      </c>
      <c r="E77" s="154" t="s">
        <v>306</v>
      </c>
      <c r="G77" s="269"/>
      <c r="H77" s="290"/>
      <c r="I77" s="281"/>
      <c r="J77" s="35" t="s">
        <v>125</v>
      </c>
      <c r="K77" s="36" t="s">
        <v>129</v>
      </c>
    </row>
    <row r="78" spans="1:11" ht="15" x14ac:dyDescent="0.25">
      <c r="A78" s="311"/>
      <c r="B78" s="281"/>
      <c r="C78" s="159" t="s">
        <v>378</v>
      </c>
      <c r="D78" s="156" t="s">
        <v>394</v>
      </c>
      <c r="E78" s="154" t="s">
        <v>306</v>
      </c>
      <c r="G78" s="269"/>
      <c r="H78" s="290"/>
      <c r="I78" s="281"/>
      <c r="J78" s="37" t="s">
        <v>126</v>
      </c>
      <c r="K78" s="36" t="s">
        <v>130</v>
      </c>
    </row>
    <row r="79" spans="1:11" ht="15" customHeight="1" thickBot="1" x14ac:dyDescent="0.3">
      <c r="A79" s="311"/>
      <c r="B79" s="281"/>
      <c r="C79" s="64" t="str">
        <f>IF(D75=$M$36,$R$36,$R$37)</f>
        <v>Percent of students scoring at grade level</v>
      </c>
      <c r="D79" s="169" t="e">
        <f>SUM(D77/D78)*100</f>
        <v>#VALUE!</v>
      </c>
      <c r="E79" s="154" t="s">
        <v>306</v>
      </c>
      <c r="G79" s="269"/>
      <c r="H79" s="291" t="s">
        <v>177</v>
      </c>
      <c r="I79" s="281"/>
      <c r="J79" s="38" t="s">
        <v>127</v>
      </c>
      <c r="K79" s="36" t="s">
        <v>131</v>
      </c>
    </row>
    <row r="80" spans="1:11" ht="15" customHeight="1" x14ac:dyDescent="0.25">
      <c r="A80" s="311"/>
      <c r="B80" s="281"/>
      <c r="C80" s="91" t="s">
        <v>284</v>
      </c>
      <c r="D80" s="24" t="s">
        <v>307</v>
      </c>
      <c r="E80" s="154" t="s">
        <v>306</v>
      </c>
      <c r="G80" s="269"/>
      <c r="H80" s="292"/>
      <c r="I80" s="281"/>
      <c r="J80" s="39" t="s">
        <v>128</v>
      </c>
      <c r="K80" s="40" t="s">
        <v>132</v>
      </c>
    </row>
    <row r="81" spans="1:11" ht="15" x14ac:dyDescent="0.25">
      <c r="A81" s="311"/>
      <c r="B81" s="281"/>
      <c r="C81" s="171" t="str">
        <f>IF(D60=M112, "Your school's actual percent of students increasing a grade level was:", "Your school's actual percent of students scoring at grade level was:")</f>
        <v>Your school's actual percent of students scoring at grade level was:</v>
      </c>
      <c r="D81" s="173" t="str">
        <f>C81</f>
        <v>Your school's actual percent of students scoring at grade level was:</v>
      </c>
      <c r="E81" s="154" t="s">
        <v>306</v>
      </c>
      <c r="G81" s="269"/>
      <c r="H81" s="292"/>
      <c r="I81" s="281"/>
      <c r="J81" s="41" t="str">
        <f>IF(K76=G$529, "Cut-point values for percent of students increasing a grade level were:", "Cut-point values for percent of students scoring at grade level were:")</f>
        <v>Cut-point values for percent of students increasing a grade level were:</v>
      </c>
      <c r="K81" s="42"/>
    </row>
    <row r="82" spans="1:11" ht="15" x14ac:dyDescent="0.25">
      <c r="A82" s="311"/>
      <c r="B82" s="281"/>
      <c r="C82" s="159" t="str">
        <f>IF(D60=$M$36,$Q$36,$Q$37)</f>
        <v>Number of students increasing at least one grade level</v>
      </c>
      <c r="D82" s="156" t="s">
        <v>380</v>
      </c>
      <c r="E82" s="154" t="s">
        <v>306</v>
      </c>
      <c r="G82" s="269"/>
      <c r="H82" s="292"/>
      <c r="I82" s="281"/>
      <c r="J82" s="35" t="s">
        <v>22</v>
      </c>
      <c r="K82" s="50">
        <v>90</v>
      </c>
    </row>
    <row r="83" spans="1:11" ht="15" customHeight="1" x14ac:dyDescent="0.25">
      <c r="A83" s="311"/>
      <c r="B83" s="281"/>
      <c r="C83" s="159" t="s">
        <v>378</v>
      </c>
      <c r="D83" s="156" t="s">
        <v>394</v>
      </c>
      <c r="E83" s="154" t="s">
        <v>306</v>
      </c>
      <c r="G83" s="269"/>
      <c r="H83" s="292"/>
      <c r="I83" s="281"/>
      <c r="J83" s="37" t="s">
        <v>23</v>
      </c>
      <c r="K83" s="50">
        <v>60</v>
      </c>
    </row>
    <row r="84" spans="1:11" ht="15.75" thickBot="1" x14ac:dyDescent="0.3">
      <c r="A84" s="311"/>
      <c r="B84" s="281"/>
      <c r="C84" s="64" t="str">
        <f>IF(D80=$M$36,$R$36,$R$37)</f>
        <v>Percent of students scoring at grade level</v>
      </c>
      <c r="D84" s="169" t="e">
        <f>SUM(D82/D83)*100</f>
        <v>#VALUE!</v>
      </c>
      <c r="E84" s="154" t="s">
        <v>306</v>
      </c>
      <c r="G84" s="269"/>
      <c r="H84" s="292"/>
      <c r="I84" s="281"/>
      <c r="J84" s="38" t="s">
        <v>24</v>
      </c>
      <c r="K84" s="50">
        <v>40</v>
      </c>
    </row>
    <row r="85" spans="1:11" ht="15" x14ac:dyDescent="0.25">
      <c r="A85" s="311"/>
      <c r="B85" s="281"/>
      <c r="C85" s="91" t="s">
        <v>285</v>
      </c>
      <c r="D85" s="24" t="s">
        <v>307</v>
      </c>
      <c r="E85" s="154" t="s">
        <v>306</v>
      </c>
      <c r="G85" s="269"/>
      <c r="H85" s="292"/>
      <c r="I85" s="281"/>
      <c r="J85" s="41" t="str">
        <f>IF(K76=G$529, "Your school's actual percent of students increasing a grade level was:", "Your school's actual percent of students scoring at grade level was:")</f>
        <v>Your school's actual percent of students increasing a grade level was:</v>
      </c>
      <c r="K85" s="42"/>
    </row>
    <row r="86" spans="1:11" ht="15" x14ac:dyDescent="0.25">
      <c r="A86" s="311"/>
      <c r="B86" s="281"/>
      <c r="C86" s="171" t="str">
        <f>IF(D60=M112, "Your school's actual percent of students increasing a grade level was:", "Your school's actual percent of students scoring at grade level was:")</f>
        <v>Your school's actual percent of students scoring at grade level was:</v>
      </c>
      <c r="D86" s="173" t="str">
        <f>C86</f>
        <v>Your school's actual percent of students scoring at grade level was:</v>
      </c>
      <c r="E86" s="154" t="s">
        <v>306</v>
      </c>
      <c r="G86" s="269"/>
      <c r="H86" s="292"/>
      <c r="I86" s="281"/>
      <c r="J86" s="157"/>
      <c r="K86" s="71"/>
    </row>
    <row r="87" spans="1:11" ht="15.75" customHeight="1" x14ac:dyDescent="0.25">
      <c r="A87" s="311"/>
      <c r="B87" s="281"/>
      <c r="C87" s="159" t="str">
        <f>IF(D60=$M$36,$Q$36,$Q$37)</f>
        <v>Number of students increasing at least one grade level</v>
      </c>
      <c r="D87" s="156" t="s">
        <v>380</v>
      </c>
      <c r="E87" s="154" t="s">
        <v>306</v>
      </c>
      <c r="G87" s="269"/>
      <c r="H87" s="292"/>
      <c r="I87" s="281"/>
      <c r="J87" s="44" t="s">
        <v>25</v>
      </c>
      <c r="K87" s="59"/>
    </row>
    <row r="88" spans="1:11" ht="15.75" customHeight="1" thickBot="1" x14ac:dyDescent="0.3">
      <c r="A88" s="311"/>
      <c r="B88" s="281"/>
      <c r="C88" s="159" t="s">
        <v>378</v>
      </c>
      <c r="D88" s="156" t="s">
        <v>394</v>
      </c>
      <c r="E88" s="154" t="s">
        <v>306</v>
      </c>
      <c r="G88" s="270"/>
      <c r="H88" s="293"/>
      <c r="I88" s="282"/>
      <c r="J88" s="46" t="s">
        <v>194</v>
      </c>
      <c r="K88" s="52"/>
    </row>
    <row r="89" spans="1:11" ht="15" customHeight="1" thickBot="1" x14ac:dyDescent="0.3">
      <c r="A89" s="312"/>
      <c r="B89" s="282"/>
      <c r="C89" s="64" t="str">
        <f>IF(D85=$M$36,$R$36,$R$37)</f>
        <v>Percent of students scoring at grade level</v>
      </c>
      <c r="D89" s="169" t="e">
        <f>SUM(D87/D88)*100</f>
        <v>#VALUE!</v>
      </c>
      <c r="E89" s="154" t="s">
        <v>306</v>
      </c>
      <c r="G89" s="165"/>
      <c r="H89" s="54"/>
      <c r="I89" s="164"/>
      <c r="J89" s="56" t="s">
        <v>178</v>
      </c>
      <c r="K89" s="58" t="e">
        <f>IF(#REF!="YES","YES","NO")</f>
        <v>#REF!</v>
      </c>
    </row>
    <row r="90" spans="1:11" ht="15" customHeight="1" x14ac:dyDescent="0.25">
      <c r="A90" s="277" t="s">
        <v>26</v>
      </c>
      <c r="B90" s="280" t="s">
        <v>391</v>
      </c>
      <c r="C90" s="183" t="s">
        <v>96</v>
      </c>
      <c r="D90" s="184" t="s">
        <v>305</v>
      </c>
      <c r="E90" s="154" t="s">
        <v>306</v>
      </c>
      <c r="G90" s="268" t="s">
        <v>26</v>
      </c>
      <c r="H90" s="289"/>
      <c r="I90" s="280" t="s">
        <v>291</v>
      </c>
      <c r="J90" s="60" t="s">
        <v>269</v>
      </c>
      <c r="K90" s="61"/>
    </row>
    <row r="91" spans="1:11" ht="15" customHeight="1" x14ac:dyDescent="0.25">
      <c r="A91" s="278"/>
      <c r="B91" s="281"/>
      <c r="C91" s="185" t="s">
        <v>294</v>
      </c>
      <c r="D91" s="186" t="s">
        <v>135</v>
      </c>
      <c r="E91" s="154" t="s">
        <v>306</v>
      </c>
      <c r="G91" s="269"/>
      <c r="H91" s="290"/>
      <c r="I91" s="281"/>
      <c r="J91" s="35" t="s">
        <v>125</v>
      </c>
      <c r="K91" s="36" t="s">
        <v>270</v>
      </c>
    </row>
    <row r="92" spans="1:11" ht="15" customHeight="1" x14ac:dyDescent="0.25">
      <c r="A92" s="278"/>
      <c r="B92" s="281"/>
      <c r="C92" s="70" t="s">
        <v>95</v>
      </c>
      <c r="D92" s="173" t="str">
        <f>C92</f>
        <v xml:space="preserve"> To receive the indicator rating, the criteria for the additional measure of student academic achievement was:</v>
      </c>
      <c r="E92" s="154" t="s">
        <v>306</v>
      </c>
      <c r="G92" s="269"/>
      <c r="H92" s="290"/>
      <c r="I92" s="281"/>
      <c r="J92" s="37" t="s">
        <v>126</v>
      </c>
      <c r="K92" s="36" t="s">
        <v>271</v>
      </c>
    </row>
    <row r="93" spans="1:11" ht="15" customHeight="1" x14ac:dyDescent="0.25">
      <c r="A93" s="278"/>
      <c r="B93" s="281"/>
      <c r="C93" s="35" t="s">
        <v>125</v>
      </c>
      <c r="D93" s="74" t="str">
        <f>VLOOKUP(D90,$M$25:$T$34,2,FALSE)</f>
        <v xml:space="preserve"> </v>
      </c>
      <c r="E93" s="154" t="s">
        <v>306</v>
      </c>
      <c r="G93" s="269"/>
      <c r="H93" s="291" t="s">
        <v>177</v>
      </c>
      <c r="I93" s="281"/>
      <c r="J93" s="38" t="s">
        <v>127</v>
      </c>
      <c r="K93" s="36" t="s">
        <v>272</v>
      </c>
    </row>
    <row r="94" spans="1:11" ht="15" customHeight="1" x14ac:dyDescent="0.25">
      <c r="A94" s="278"/>
      <c r="B94" s="281"/>
      <c r="C94" s="37" t="s">
        <v>126</v>
      </c>
      <c r="D94" s="74" t="str">
        <f>VLOOKUP(D90,$M$25:$T$34,3,FALSE)</f>
        <v xml:space="preserve"> </v>
      </c>
      <c r="E94" s="154" t="s">
        <v>306</v>
      </c>
      <c r="G94" s="269"/>
      <c r="H94" s="292"/>
      <c r="I94" s="281"/>
      <c r="J94" s="39" t="s">
        <v>128</v>
      </c>
      <c r="K94" s="40" t="s">
        <v>273</v>
      </c>
    </row>
    <row r="95" spans="1:11" ht="15" x14ac:dyDescent="0.25">
      <c r="A95" s="278"/>
      <c r="B95" s="281"/>
      <c r="C95" s="38" t="s">
        <v>127</v>
      </c>
      <c r="D95" s="74" t="str">
        <f>VLOOKUP(D90,$M$25:$T$34,4,FALSE)</f>
        <v xml:space="preserve"> </v>
      </c>
      <c r="E95" s="154" t="s">
        <v>306</v>
      </c>
      <c r="G95" s="269"/>
      <c r="H95" s="292"/>
      <c r="I95" s="281"/>
      <c r="J95" s="41" t="str">
        <f>IF(K90=G$529, "Cut-point values for percent of students increasing a grade level were:", "Cut-point values for percent of students scoring at grade level were:")</f>
        <v>Cut-point values for percent of students increasing a grade level were:</v>
      </c>
      <c r="K95" s="42"/>
    </row>
    <row r="96" spans="1:11" ht="15" customHeight="1" x14ac:dyDescent="0.25">
      <c r="A96" s="278"/>
      <c r="B96" s="281"/>
      <c r="C96" s="39" t="s">
        <v>128</v>
      </c>
      <c r="D96" s="192" t="str">
        <f>VLOOKUP(D90,$M$25:$T$34,5,FALSE)</f>
        <v xml:space="preserve"> </v>
      </c>
      <c r="E96" s="154" t="s">
        <v>306</v>
      </c>
      <c r="G96" s="269"/>
      <c r="H96" s="292"/>
      <c r="I96" s="281"/>
      <c r="J96" s="35" t="s">
        <v>22</v>
      </c>
      <c r="K96" s="50">
        <v>80</v>
      </c>
    </row>
    <row r="97" spans="1:11" ht="15" customHeight="1" x14ac:dyDescent="0.25">
      <c r="A97" s="278"/>
      <c r="B97" s="281"/>
      <c r="C97" s="88" t="s">
        <v>67</v>
      </c>
      <c r="D97" s="173" t="str">
        <f>C97</f>
        <v>Cut-point values for additional measure  of student academic achievement were:</v>
      </c>
      <c r="E97" s="154" t="s">
        <v>306</v>
      </c>
      <c r="G97" s="269"/>
      <c r="H97" s="292"/>
      <c r="I97" s="281"/>
      <c r="J97" s="37" t="s">
        <v>23</v>
      </c>
      <c r="K97" s="50">
        <v>62</v>
      </c>
    </row>
    <row r="98" spans="1:11" ht="15" x14ac:dyDescent="0.25">
      <c r="A98" s="278"/>
      <c r="B98" s="281"/>
      <c r="C98" s="35" t="s">
        <v>22</v>
      </c>
      <c r="D98" s="50" t="str">
        <f>VLOOKUP(D90,$M$25:$T$34,6,FALSE)</f>
        <v xml:space="preserve"> </v>
      </c>
      <c r="E98" s="154" t="s">
        <v>306</v>
      </c>
      <c r="G98" s="269"/>
      <c r="H98" s="292"/>
      <c r="I98" s="281"/>
      <c r="J98" s="38" t="s">
        <v>24</v>
      </c>
      <c r="K98" s="50">
        <v>40</v>
      </c>
    </row>
    <row r="99" spans="1:11" ht="15" x14ac:dyDescent="0.25">
      <c r="A99" s="278"/>
      <c r="B99" s="281"/>
      <c r="C99" s="37" t="s">
        <v>23</v>
      </c>
      <c r="D99" s="50" t="str">
        <f>VLOOKUP(D90,$M$25:$T$34,7,FALSE)</f>
        <v xml:space="preserve"> </v>
      </c>
      <c r="E99" s="154" t="s">
        <v>306</v>
      </c>
      <c r="G99" s="269"/>
      <c r="H99" s="292"/>
      <c r="I99" s="281"/>
      <c r="J99" s="41" t="s">
        <v>274</v>
      </c>
      <c r="K99" s="42"/>
    </row>
    <row r="100" spans="1:11" ht="15" customHeight="1" thickBot="1" x14ac:dyDescent="0.3">
      <c r="A100" s="278"/>
      <c r="B100" s="281"/>
      <c r="C100" s="38" t="s">
        <v>24</v>
      </c>
      <c r="D100" s="50" t="str">
        <f>VLOOKUP(D90,$M$25:$T$34,8,FALSE)</f>
        <v xml:space="preserve"> </v>
      </c>
      <c r="E100" s="154" t="s">
        <v>306</v>
      </c>
      <c r="G100" s="269"/>
      <c r="H100" s="292"/>
      <c r="I100" s="281"/>
      <c r="J100" s="62" t="s">
        <v>275</v>
      </c>
      <c r="K100" s="51"/>
    </row>
    <row r="101" spans="1:11" ht="15.75" thickBot="1" x14ac:dyDescent="0.3">
      <c r="A101" s="278"/>
      <c r="B101" s="281"/>
      <c r="C101" s="172" t="s">
        <v>282</v>
      </c>
      <c r="D101" s="199" t="s">
        <v>307</v>
      </c>
      <c r="E101" s="154" t="s">
        <v>306</v>
      </c>
      <c r="G101" s="270"/>
      <c r="H101" s="293"/>
      <c r="I101" s="282"/>
      <c r="J101" s="46" t="s">
        <v>194</v>
      </c>
      <c r="K101" s="52"/>
    </row>
    <row r="102" spans="1:11" ht="15" customHeight="1" x14ac:dyDescent="0.25">
      <c r="A102" s="278"/>
      <c r="B102" s="281"/>
      <c r="C102" s="171" t="str">
        <f>IF(D91=M143, "Your school's actual percent of students increasing a grade level was:", "Your school's actual percent of students scoring at grade level was:")</f>
        <v>Your school's actual percent of students scoring at grade level was:</v>
      </c>
      <c r="D102" s="173" t="str">
        <f>C102</f>
        <v>Your school's actual percent of students scoring at grade level was:</v>
      </c>
      <c r="E102" s="154" t="s">
        <v>306</v>
      </c>
      <c r="G102" s="165"/>
      <c r="H102" s="54"/>
      <c r="I102" s="164"/>
      <c r="J102" s="56" t="s">
        <v>178</v>
      </c>
      <c r="K102" s="58" t="e">
        <f>IF(#REF!="YES","YES","NO")</f>
        <v>#REF!</v>
      </c>
    </row>
    <row r="103" spans="1:11" ht="15" customHeight="1" x14ac:dyDescent="0.25">
      <c r="A103" s="278"/>
      <c r="B103" s="281"/>
      <c r="C103" s="174" t="str">
        <f>IF(D91=$M$36,$Q$36,$Q$37)</f>
        <v>Number of students increasing at least one grade level</v>
      </c>
      <c r="D103" s="200" t="s">
        <v>380</v>
      </c>
      <c r="E103" s="154" t="s">
        <v>306</v>
      </c>
    </row>
    <row r="104" spans="1:11" ht="15" customHeight="1" x14ac:dyDescent="0.25">
      <c r="A104" s="278"/>
      <c r="B104" s="281"/>
      <c r="C104" s="174" t="s">
        <v>378</v>
      </c>
      <c r="D104" s="200" t="s">
        <v>394</v>
      </c>
      <c r="E104" s="154" t="s">
        <v>306</v>
      </c>
    </row>
    <row r="105" spans="1:11" ht="15" customHeight="1" thickBot="1" x14ac:dyDescent="0.3">
      <c r="A105" s="278"/>
      <c r="B105" s="281"/>
      <c r="C105" s="175" t="str">
        <f>IF(D101=$M$36,$R$36,$R$37)</f>
        <v>Percent of students scoring at grade level</v>
      </c>
      <c r="D105" s="209" t="e">
        <f>SUM(D103/D104)*100</f>
        <v>#VALUE!</v>
      </c>
      <c r="E105" s="154" t="s">
        <v>306</v>
      </c>
    </row>
    <row r="106" spans="1:11" ht="15" x14ac:dyDescent="0.25">
      <c r="A106" s="278"/>
      <c r="B106" s="281"/>
      <c r="C106" s="172" t="s">
        <v>283</v>
      </c>
      <c r="D106" s="199" t="s">
        <v>307</v>
      </c>
      <c r="E106" s="154" t="s">
        <v>306</v>
      </c>
    </row>
    <row r="107" spans="1:11" ht="15" customHeight="1" x14ac:dyDescent="0.25">
      <c r="A107" s="278"/>
      <c r="B107" s="281"/>
      <c r="C107" s="171" t="str">
        <f>IF(D91=M143, "Your school's actual percent of students increasing a grade level was:", "Your school's actual percent of students scoring at grade level was:")</f>
        <v>Your school's actual percent of students scoring at grade level was:</v>
      </c>
      <c r="D107" s="173" t="str">
        <f>C107</f>
        <v>Your school's actual percent of students scoring at grade level was:</v>
      </c>
      <c r="E107" s="154" t="s">
        <v>306</v>
      </c>
    </row>
    <row r="108" spans="1:11" ht="15" customHeight="1" x14ac:dyDescent="0.25">
      <c r="A108" s="278"/>
      <c r="B108" s="281"/>
      <c r="C108" s="174" t="str">
        <f>IF(D91=$M$36,$Q$36,$Q$37)</f>
        <v>Number of students increasing at least one grade level</v>
      </c>
      <c r="D108" s="200" t="s">
        <v>380</v>
      </c>
      <c r="E108" s="154" t="s">
        <v>306</v>
      </c>
    </row>
    <row r="109" spans="1:11" ht="15" x14ac:dyDescent="0.25">
      <c r="A109" s="278"/>
      <c r="B109" s="281"/>
      <c r="C109" s="174" t="s">
        <v>378</v>
      </c>
      <c r="D109" s="200" t="s">
        <v>394</v>
      </c>
      <c r="E109" s="154" t="s">
        <v>306</v>
      </c>
    </row>
    <row r="110" spans="1:11" ht="15.75" thickBot="1" x14ac:dyDescent="0.3">
      <c r="A110" s="278"/>
      <c r="B110" s="281"/>
      <c r="C110" s="175" t="str">
        <f>IF(D106=$M$36,$R$36,$R$37)</f>
        <v>Percent of students scoring at grade level</v>
      </c>
      <c r="D110" s="209" t="e">
        <f>SUM(D108/D109)*100</f>
        <v>#VALUE!</v>
      </c>
      <c r="E110" s="154" t="s">
        <v>306</v>
      </c>
    </row>
    <row r="111" spans="1:11" ht="15" customHeight="1" x14ac:dyDescent="0.25">
      <c r="A111" s="278"/>
      <c r="B111" s="281"/>
      <c r="C111" s="172" t="s">
        <v>284</v>
      </c>
      <c r="D111" s="199" t="s">
        <v>307</v>
      </c>
      <c r="E111" s="154" t="s">
        <v>306</v>
      </c>
    </row>
    <row r="112" spans="1:11" ht="15" customHeight="1" x14ac:dyDescent="0.25">
      <c r="A112" s="278"/>
      <c r="B112" s="281"/>
      <c r="C112" s="171" t="str">
        <f>IF(D91=M143, "Your school's actual percent of students increasing a grade level was:", "Your school's actual percent of students scoring at grade level was:")</f>
        <v>Your school's actual percent of students scoring at grade level was:</v>
      </c>
      <c r="D112" s="173" t="str">
        <f>C112</f>
        <v>Your school's actual percent of students scoring at grade level was:</v>
      </c>
      <c r="E112" s="154" t="s">
        <v>306</v>
      </c>
    </row>
    <row r="113" spans="1:5" ht="15" customHeight="1" x14ac:dyDescent="0.25">
      <c r="A113" s="278"/>
      <c r="B113" s="281"/>
      <c r="C113" s="174" t="str">
        <f>IF(D91=$M$36,$Q$36,$Q$37)</f>
        <v>Number of students increasing at least one grade level</v>
      </c>
      <c r="D113" s="200" t="s">
        <v>380</v>
      </c>
      <c r="E113" s="154" t="s">
        <v>306</v>
      </c>
    </row>
    <row r="114" spans="1:5" ht="15" x14ac:dyDescent="0.25">
      <c r="A114" s="278"/>
      <c r="B114" s="281"/>
      <c r="C114" s="174" t="s">
        <v>378</v>
      </c>
      <c r="D114" s="200" t="s">
        <v>394</v>
      </c>
      <c r="E114" s="154" t="s">
        <v>306</v>
      </c>
    </row>
    <row r="115" spans="1:5" ht="15.75" thickBot="1" x14ac:dyDescent="0.3">
      <c r="A115" s="278"/>
      <c r="B115" s="281"/>
      <c r="C115" s="175" t="str">
        <f>IF(D111=$M$36,$R$36,$R$37)</f>
        <v>Percent of students scoring at grade level</v>
      </c>
      <c r="D115" s="209" t="e">
        <f>SUM(D113/D114)*100</f>
        <v>#VALUE!</v>
      </c>
      <c r="E115" s="154" t="s">
        <v>306</v>
      </c>
    </row>
    <row r="116" spans="1:5" ht="15" x14ac:dyDescent="0.25">
      <c r="A116" s="278"/>
      <c r="B116" s="281"/>
      <c r="C116" s="172" t="s">
        <v>285</v>
      </c>
      <c r="D116" s="199" t="s">
        <v>307</v>
      </c>
      <c r="E116" s="154" t="s">
        <v>306</v>
      </c>
    </row>
    <row r="117" spans="1:5" ht="15" x14ac:dyDescent="0.25">
      <c r="A117" s="278"/>
      <c r="B117" s="281"/>
      <c r="C117" s="171" t="str">
        <f>IF(D91=M143, "Your school's actual percent of students increasing a grade level was:", "Your school's actual percent of students scoring at grade level was:")</f>
        <v>Your school's actual percent of students scoring at grade level was:</v>
      </c>
      <c r="D117" s="173" t="str">
        <f>C117</f>
        <v>Your school's actual percent of students scoring at grade level was:</v>
      </c>
      <c r="E117" s="154" t="s">
        <v>306</v>
      </c>
    </row>
    <row r="118" spans="1:5" ht="15" x14ac:dyDescent="0.25">
      <c r="A118" s="278"/>
      <c r="B118" s="281"/>
      <c r="C118" s="174" t="str">
        <f>IF(D91=$M$36,$Q$36,$Q$37)</f>
        <v>Number of students increasing at least one grade level</v>
      </c>
      <c r="D118" s="200" t="s">
        <v>380</v>
      </c>
      <c r="E118" s="154" t="s">
        <v>306</v>
      </c>
    </row>
    <row r="119" spans="1:5" ht="15" x14ac:dyDescent="0.25">
      <c r="A119" s="278"/>
      <c r="B119" s="281"/>
      <c r="C119" s="174" t="s">
        <v>378</v>
      </c>
      <c r="D119" s="200" t="s">
        <v>394</v>
      </c>
      <c r="E119" s="154" t="s">
        <v>306</v>
      </c>
    </row>
    <row r="120" spans="1:5" ht="15.75" thickBot="1" x14ac:dyDescent="0.3">
      <c r="A120" s="279"/>
      <c r="B120" s="282"/>
      <c r="C120" s="175" t="str">
        <f>IF(D116=$M$36,$R$36,$R$37)</f>
        <v>Percent of students scoring at grade level</v>
      </c>
      <c r="D120" s="209" t="e">
        <f>SUM(D118/D119)*100</f>
        <v>#VALUE!</v>
      </c>
      <c r="E120" s="154" t="s">
        <v>306</v>
      </c>
    </row>
    <row r="121" spans="1:5" ht="15.75" customHeight="1" x14ac:dyDescent="0.25">
      <c r="A121" s="277" t="s">
        <v>26</v>
      </c>
      <c r="B121" s="280" t="s">
        <v>329</v>
      </c>
      <c r="C121" s="91" t="s">
        <v>96</v>
      </c>
      <c r="D121" s="24" t="s">
        <v>296</v>
      </c>
      <c r="E121" s="154" t="s">
        <v>306</v>
      </c>
    </row>
    <row r="122" spans="1:5" ht="15" x14ac:dyDescent="0.25">
      <c r="A122" s="278"/>
      <c r="B122" s="281"/>
      <c r="C122" s="92" t="s">
        <v>205</v>
      </c>
      <c r="D122" s="25" t="s">
        <v>297</v>
      </c>
      <c r="E122" s="154" t="s">
        <v>306</v>
      </c>
    </row>
    <row r="123" spans="1:5" ht="15" x14ac:dyDescent="0.25">
      <c r="A123" s="278"/>
      <c r="B123" s="281"/>
      <c r="C123" s="93" t="s">
        <v>97</v>
      </c>
      <c r="D123" s="190" t="s">
        <v>304</v>
      </c>
      <c r="E123" s="154" t="s">
        <v>306</v>
      </c>
    </row>
    <row r="124" spans="1:5" ht="15" x14ac:dyDescent="0.25">
      <c r="A124" s="278"/>
      <c r="B124" s="281"/>
      <c r="C124" s="72" t="s">
        <v>95</v>
      </c>
      <c r="D124" s="173" t="str">
        <f>C124</f>
        <v xml:space="preserve"> To receive the indicator rating, the criteria for the additional measure of student academic achievement was:</v>
      </c>
      <c r="E124" s="154" t="s">
        <v>306</v>
      </c>
    </row>
    <row r="125" spans="1:5" ht="15" x14ac:dyDescent="0.25">
      <c r="A125" s="278"/>
      <c r="B125" s="281"/>
      <c r="C125" s="35" t="s">
        <v>125</v>
      </c>
      <c r="D125" s="26" t="s">
        <v>118</v>
      </c>
      <c r="E125" s="154" t="s">
        <v>306</v>
      </c>
    </row>
    <row r="126" spans="1:5" ht="15" x14ac:dyDescent="0.25">
      <c r="A126" s="278"/>
      <c r="B126" s="281"/>
      <c r="C126" s="37" t="s">
        <v>126</v>
      </c>
      <c r="D126" s="26" t="s">
        <v>119</v>
      </c>
      <c r="E126" s="154" t="s">
        <v>306</v>
      </c>
    </row>
    <row r="127" spans="1:5" ht="15" x14ac:dyDescent="0.25">
      <c r="A127" s="278"/>
      <c r="B127" s="281"/>
      <c r="C127" s="38" t="s">
        <v>127</v>
      </c>
      <c r="D127" s="26" t="s">
        <v>120</v>
      </c>
      <c r="E127" s="154" t="s">
        <v>306</v>
      </c>
    </row>
    <row r="128" spans="1:5" ht="15" x14ac:dyDescent="0.25">
      <c r="A128" s="278"/>
      <c r="B128" s="281"/>
      <c r="C128" s="39" t="s">
        <v>128</v>
      </c>
      <c r="D128" s="26" t="s">
        <v>121</v>
      </c>
      <c r="E128" s="154" t="s">
        <v>306</v>
      </c>
    </row>
    <row r="129" spans="1:5" ht="15" x14ac:dyDescent="0.25">
      <c r="A129" s="278"/>
      <c r="B129" s="281"/>
      <c r="C129" s="41" t="s">
        <v>67</v>
      </c>
      <c r="D129" s="153" t="str">
        <f>C129</f>
        <v>Cut-point values for additional measure  of student academic achievement were:</v>
      </c>
      <c r="E129" s="154" t="s">
        <v>306</v>
      </c>
    </row>
    <row r="130" spans="1:5" ht="15" x14ac:dyDescent="0.25">
      <c r="A130" s="278"/>
      <c r="B130" s="281"/>
      <c r="C130" s="35" t="s">
        <v>22</v>
      </c>
      <c r="D130" s="27" t="s">
        <v>122</v>
      </c>
      <c r="E130" s="154" t="s">
        <v>306</v>
      </c>
    </row>
    <row r="131" spans="1:5" ht="15" customHeight="1" x14ac:dyDescent="0.25">
      <c r="A131" s="278"/>
      <c r="B131" s="281"/>
      <c r="C131" s="37" t="s">
        <v>23</v>
      </c>
      <c r="D131" s="27" t="s">
        <v>123</v>
      </c>
      <c r="E131" s="154" t="s">
        <v>306</v>
      </c>
    </row>
    <row r="132" spans="1:5" ht="15" x14ac:dyDescent="0.25">
      <c r="A132" s="278"/>
      <c r="B132" s="281"/>
      <c r="C132" s="38" t="s">
        <v>24</v>
      </c>
      <c r="D132" s="189" t="s">
        <v>124</v>
      </c>
      <c r="E132" s="154" t="s">
        <v>306</v>
      </c>
    </row>
    <row r="133" spans="1:5" ht="15" customHeight="1" x14ac:dyDescent="0.25">
      <c r="A133" s="278"/>
      <c r="B133" s="281"/>
      <c r="C133" s="41" t="s">
        <v>66</v>
      </c>
      <c r="D133" s="173" t="str">
        <f>C133</f>
        <v>Your school's actual value for additional measure of student academic achievement was:</v>
      </c>
      <c r="E133" s="154" t="s">
        <v>306</v>
      </c>
    </row>
    <row r="134" spans="1:5" ht="15" customHeight="1" x14ac:dyDescent="0.25">
      <c r="A134" s="278"/>
      <c r="B134" s="281"/>
      <c r="C134" s="63" t="s">
        <v>358</v>
      </c>
      <c r="D134" s="156" t="s">
        <v>380</v>
      </c>
      <c r="E134" s="154" t="s">
        <v>306</v>
      </c>
    </row>
    <row r="135" spans="1:5" ht="15" customHeight="1" x14ac:dyDescent="0.25">
      <c r="A135" s="278"/>
      <c r="B135" s="281"/>
      <c r="C135" s="159" t="s">
        <v>378</v>
      </c>
      <c r="D135" s="156" t="s">
        <v>394</v>
      </c>
      <c r="E135" s="154" t="s">
        <v>306</v>
      </c>
    </row>
    <row r="136" spans="1:5" ht="15.75" thickBot="1" x14ac:dyDescent="0.3">
      <c r="A136" s="279"/>
      <c r="B136" s="282"/>
      <c r="C136" s="64" t="s">
        <v>359</v>
      </c>
      <c r="D136" s="166" t="e">
        <f>SUM(D134/D135)*100</f>
        <v>#VALUE!</v>
      </c>
      <c r="E136" s="154" t="s">
        <v>306</v>
      </c>
    </row>
    <row r="137" spans="1:5" ht="15" customHeight="1" x14ac:dyDescent="0.25">
      <c r="A137" s="277" t="s">
        <v>26</v>
      </c>
      <c r="B137" s="280" t="s">
        <v>330</v>
      </c>
      <c r="C137" s="91" t="s">
        <v>96</v>
      </c>
      <c r="D137" s="24" t="s">
        <v>296</v>
      </c>
      <c r="E137" s="154" t="s">
        <v>306</v>
      </c>
    </row>
    <row r="138" spans="1:5" ht="15" customHeight="1" x14ac:dyDescent="0.25">
      <c r="A138" s="278"/>
      <c r="B138" s="281"/>
      <c r="C138" s="92" t="s">
        <v>205</v>
      </c>
      <c r="D138" s="25" t="s">
        <v>297</v>
      </c>
      <c r="E138" s="154" t="s">
        <v>306</v>
      </c>
    </row>
    <row r="139" spans="1:5" ht="15" x14ac:dyDescent="0.25">
      <c r="A139" s="278"/>
      <c r="B139" s="281"/>
      <c r="C139" s="93" t="s">
        <v>97</v>
      </c>
      <c r="D139" s="190" t="s">
        <v>304</v>
      </c>
      <c r="E139" s="154" t="s">
        <v>306</v>
      </c>
    </row>
    <row r="140" spans="1:5" ht="15" customHeight="1" x14ac:dyDescent="0.25">
      <c r="A140" s="278"/>
      <c r="B140" s="281"/>
      <c r="C140" s="72" t="s">
        <v>95</v>
      </c>
      <c r="D140" s="173" t="str">
        <f>C140</f>
        <v xml:space="preserve"> To receive the indicator rating, the criteria for the additional measure of student academic achievement was:</v>
      </c>
      <c r="E140" s="154" t="s">
        <v>306</v>
      </c>
    </row>
    <row r="141" spans="1:5" ht="15" customHeight="1" x14ac:dyDescent="0.25">
      <c r="A141" s="278"/>
      <c r="B141" s="281"/>
      <c r="C141" s="35" t="s">
        <v>125</v>
      </c>
      <c r="D141" s="26" t="s">
        <v>118</v>
      </c>
      <c r="E141" s="154" t="s">
        <v>306</v>
      </c>
    </row>
    <row r="142" spans="1:5" ht="15" x14ac:dyDescent="0.25">
      <c r="A142" s="278"/>
      <c r="B142" s="281"/>
      <c r="C142" s="37" t="s">
        <v>126</v>
      </c>
      <c r="D142" s="26" t="s">
        <v>119</v>
      </c>
      <c r="E142" s="154" t="s">
        <v>306</v>
      </c>
    </row>
    <row r="143" spans="1:5" ht="15" x14ac:dyDescent="0.25">
      <c r="A143" s="278"/>
      <c r="B143" s="281"/>
      <c r="C143" s="38" t="s">
        <v>127</v>
      </c>
      <c r="D143" s="26" t="s">
        <v>120</v>
      </c>
      <c r="E143" s="154" t="s">
        <v>306</v>
      </c>
    </row>
    <row r="144" spans="1:5" ht="15" x14ac:dyDescent="0.25">
      <c r="A144" s="278"/>
      <c r="B144" s="281"/>
      <c r="C144" s="39" t="s">
        <v>128</v>
      </c>
      <c r="D144" s="191" t="s">
        <v>121</v>
      </c>
      <c r="E144" s="154" t="s">
        <v>306</v>
      </c>
    </row>
    <row r="145" spans="1:5" ht="15" x14ac:dyDescent="0.25">
      <c r="A145" s="278"/>
      <c r="B145" s="281"/>
      <c r="C145" s="41" t="s">
        <v>67</v>
      </c>
      <c r="D145" s="173" t="str">
        <f>C145</f>
        <v>Cut-point values for additional measure  of student academic achievement were:</v>
      </c>
      <c r="E145" s="154" t="s">
        <v>306</v>
      </c>
    </row>
    <row r="146" spans="1:5" ht="15" x14ac:dyDescent="0.25">
      <c r="A146" s="278"/>
      <c r="B146" s="281"/>
      <c r="C146" s="35" t="s">
        <v>22</v>
      </c>
      <c r="D146" s="27" t="s">
        <v>122</v>
      </c>
      <c r="E146" s="154" t="s">
        <v>306</v>
      </c>
    </row>
    <row r="147" spans="1:5" ht="15" customHeight="1" x14ac:dyDescent="0.25">
      <c r="A147" s="278"/>
      <c r="B147" s="281"/>
      <c r="C147" s="37" t="s">
        <v>23</v>
      </c>
      <c r="D147" s="27" t="s">
        <v>123</v>
      </c>
      <c r="E147" s="154" t="s">
        <v>306</v>
      </c>
    </row>
    <row r="148" spans="1:5" ht="15" customHeight="1" x14ac:dyDescent="0.25">
      <c r="A148" s="278"/>
      <c r="B148" s="281"/>
      <c r="C148" s="38" t="s">
        <v>24</v>
      </c>
      <c r="D148" s="189" t="s">
        <v>124</v>
      </c>
      <c r="E148" s="154" t="s">
        <v>306</v>
      </c>
    </row>
    <row r="149" spans="1:5" ht="15" customHeight="1" x14ac:dyDescent="0.25">
      <c r="A149" s="278"/>
      <c r="B149" s="281"/>
      <c r="C149" s="41" t="s">
        <v>66</v>
      </c>
      <c r="D149" s="173" t="str">
        <f>C149</f>
        <v>Your school's actual value for additional measure of student academic achievement was:</v>
      </c>
      <c r="E149" s="154" t="s">
        <v>306</v>
      </c>
    </row>
    <row r="150" spans="1:5" ht="15" customHeight="1" x14ac:dyDescent="0.25">
      <c r="A150" s="278"/>
      <c r="B150" s="281"/>
      <c r="C150" s="63" t="s">
        <v>358</v>
      </c>
      <c r="D150" s="156" t="s">
        <v>380</v>
      </c>
      <c r="E150" s="154" t="s">
        <v>306</v>
      </c>
    </row>
    <row r="151" spans="1:5" ht="15" x14ac:dyDescent="0.25">
      <c r="A151" s="278"/>
      <c r="B151" s="281"/>
      <c r="C151" s="159" t="s">
        <v>378</v>
      </c>
      <c r="D151" s="156" t="s">
        <v>394</v>
      </c>
      <c r="E151" s="154" t="s">
        <v>306</v>
      </c>
    </row>
    <row r="152" spans="1:5" ht="15" customHeight="1" thickBot="1" x14ac:dyDescent="0.3">
      <c r="A152" s="279"/>
      <c r="B152" s="282"/>
      <c r="C152" s="64" t="s">
        <v>359</v>
      </c>
      <c r="D152" s="166" t="e">
        <f>SUM(D150/D151)*100</f>
        <v>#VALUE!</v>
      </c>
      <c r="E152" s="154" t="s">
        <v>306</v>
      </c>
    </row>
    <row r="153" spans="1:5" ht="18.75" customHeight="1" x14ac:dyDescent="0.25">
      <c r="A153" s="277" t="s">
        <v>26</v>
      </c>
      <c r="B153" s="280" t="s">
        <v>331</v>
      </c>
      <c r="C153" s="91" t="s">
        <v>96</v>
      </c>
      <c r="D153" s="24" t="s">
        <v>296</v>
      </c>
      <c r="E153" s="154" t="s">
        <v>306</v>
      </c>
    </row>
    <row r="154" spans="1:5" ht="15" x14ac:dyDescent="0.25">
      <c r="A154" s="278"/>
      <c r="B154" s="281"/>
      <c r="C154" s="92" t="s">
        <v>205</v>
      </c>
      <c r="D154" s="25" t="s">
        <v>297</v>
      </c>
      <c r="E154" s="154" t="s">
        <v>306</v>
      </c>
    </row>
    <row r="155" spans="1:5" ht="15" x14ac:dyDescent="0.25">
      <c r="A155" s="278"/>
      <c r="B155" s="281"/>
      <c r="C155" s="93" t="s">
        <v>97</v>
      </c>
      <c r="D155" s="190" t="s">
        <v>304</v>
      </c>
      <c r="E155" s="154" t="s">
        <v>306</v>
      </c>
    </row>
    <row r="156" spans="1:5" ht="15" customHeight="1" x14ac:dyDescent="0.25">
      <c r="A156" s="278"/>
      <c r="B156" s="281"/>
      <c r="C156" s="72" t="s">
        <v>95</v>
      </c>
      <c r="D156" s="173" t="str">
        <f>C156</f>
        <v xml:space="preserve"> To receive the indicator rating, the criteria for the additional measure of student academic achievement was:</v>
      </c>
      <c r="E156" s="154" t="s">
        <v>306</v>
      </c>
    </row>
    <row r="157" spans="1:5" ht="15" x14ac:dyDescent="0.25">
      <c r="A157" s="278"/>
      <c r="B157" s="281"/>
      <c r="C157" s="35" t="s">
        <v>125</v>
      </c>
      <c r="D157" s="26" t="s">
        <v>118</v>
      </c>
      <c r="E157" s="154" t="s">
        <v>306</v>
      </c>
    </row>
    <row r="158" spans="1:5" ht="15" x14ac:dyDescent="0.25">
      <c r="A158" s="278"/>
      <c r="B158" s="281"/>
      <c r="C158" s="37" t="s">
        <v>126</v>
      </c>
      <c r="D158" s="26" t="s">
        <v>119</v>
      </c>
      <c r="E158" s="154" t="s">
        <v>306</v>
      </c>
    </row>
    <row r="159" spans="1:5" ht="15" x14ac:dyDescent="0.25">
      <c r="A159" s="278"/>
      <c r="B159" s="281"/>
      <c r="C159" s="38" t="s">
        <v>127</v>
      </c>
      <c r="D159" s="26" t="s">
        <v>120</v>
      </c>
      <c r="E159" s="154" t="s">
        <v>306</v>
      </c>
    </row>
    <row r="160" spans="1:5" ht="15" x14ac:dyDescent="0.25">
      <c r="A160" s="278"/>
      <c r="B160" s="281"/>
      <c r="C160" s="39" t="s">
        <v>128</v>
      </c>
      <c r="D160" s="191" t="s">
        <v>121</v>
      </c>
      <c r="E160" s="154" t="s">
        <v>306</v>
      </c>
    </row>
    <row r="161" spans="1:15" ht="15" x14ac:dyDescent="0.25">
      <c r="A161" s="278"/>
      <c r="B161" s="281"/>
      <c r="C161" s="41" t="s">
        <v>67</v>
      </c>
      <c r="D161" s="173" t="str">
        <f>C161</f>
        <v>Cut-point values for additional measure  of student academic achievement were:</v>
      </c>
      <c r="E161" s="154" t="s">
        <v>306</v>
      </c>
    </row>
    <row r="162" spans="1:15" ht="15" x14ac:dyDescent="0.25">
      <c r="A162" s="278"/>
      <c r="B162" s="281"/>
      <c r="C162" s="35" t="s">
        <v>22</v>
      </c>
      <c r="D162" s="27" t="s">
        <v>122</v>
      </c>
      <c r="E162" s="154" t="s">
        <v>306</v>
      </c>
    </row>
    <row r="163" spans="1:15" ht="15" customHeight="1" x14ac:dyDescent="0.25">
      <c r="A163" s="278"/>
      <c r="B163" s="281"/>
      <c r="C163" s="37" t="s">
        <v>23</v>
      </c>
      <c r="D163" s="27" t="s">
        <v>123</v>
      </c>
      <c r="E163" s="154" t="s">
        <v>306</v>
      </c>
    </row>
    <row r="164" spans="1:15" ht="15" x14ac:dyDescent="0.25">
      <c r="A164" s="278"/>
      <c r="B164" s="281"/>
      <c r="C164" s="38" t="s">
        <v>24</v>
      </c>
      <c r="D164" s="189" t="s">
        <v>124</v>
      </c>
      <c r="E164" s="154" t="s">
        <v>306</v>
      </c>
    </row>
    <row r="165" spans="1:15" ht="15" x14ac:dyDescent="0.25">
      <c r="A165" s="278"/>
      <c r="B165" s="281"/>
      <c r="C165" s="41" t="s">
        <v>66</v>
      </c>
      <c r="D165" s="173" t="str">
        <f>C165</f>
        <v>Your school's actual value for additional measure of student academic achievement was:</v>
      </c>
      <c r="E165" s="154" t="s">
        <v>306</v>
      </c>
    </row>
    <row r="166" spans="1:15" ht="15" x14ac:dyDescent="0.25">
      <c r="A166" s="278"/>
      <c r="B166" s="281"/>
      <c r="C166" s="63" t="s">
        <v>358</v>
      </c>
      <c r="D166" s="156" t="s">
        <v>380</v>
      </c>
      <c r="E166" s="154" t="s">
        <v>306</v>
      </c>
    </row>
    <row r="167" spans="1:15" ht="15" x14ac:dyDescent="0.25">
      <c r="A167" s="278"/>
      <c r="B167" s="281"/>
      <c r="C167" s="159" t="s">
        <v>378</v>
      </c>
      <c r="D167" s="156" t="s">
        <v>394</v>
      </c>
      <c r="E167" s="154" t="s">
        <v>306</v>
      </c>
    </row>
    <row r="168" spans="1:15" ht="15.75" thickBot="1" x14ac:dyDescent="0.3">
      <c r="A168" s="279"/>
      <c r="B168" s="282"/>
      <c r="C168" s="64" t="s">
        <v>359</v>
      </c>
      <c r="D168" s="166" t="e">
        <f>SUM(D166/D167)*100</f>
        <v>#VALUE!</v>
      </c>
      <c r="E168" s="154" t="s">
        <v>306</v>
      </c>
    </row>
    <row r="169" spans="1:15" ht="15.75" thickBot="1" x14ac:dyDescent="0.3">
      <c r="A169" s="274" t="s">
        <v>314</v>
      </c>
      <c r="B169" s="296"/>
      <c r="C169" s="296"/>
      <c r="D169" s="297"/>
      <c r="E169" s="154" t="s">
        <v>306</v>
      </c>
    </row>
    <row r="170" spans="1:15" ht="19.5" thickBot="1" x14ac:dyDescent="0.35">
      <c r="A170" s="260" t="s">
        <v>92</v>
      </c>
      <c r="B170" s="261"/>
      <c r="C170" s="261"/>
      <c r="D170" s="262"/>
      <c r="E170" s="154" t="s">
        <v>306</v>
      </c>
    </row>
    <row r="171" spans="1:15" ht="15" x14ac:dyDescent="0.25">
      <c r="A171" s="298" t="s">
        <v>27</v>
      </c>
      <c r="B171" s="280" t="s">
        <v>361</v>
      </c>
      <c r="C171" s="33" t="s">
        <v>28</v>
      </c>
      <c r="D171" s="152" t="str">
        <f>C171</f>
        <v xml:space="preserve"> To receive the indicator rating, the AEC's median growth percentile was:</v>
      </c>
      <c r="E171" s="154" t="s">
        <v>306</v>
      </c>
    </row>
    <row r="172" spans="1:15" ht="15" x14ac:dyDescent="0.25">
      <c r="A172" s="299"/>
      <c r="B172" s="281"/>
      <c r="C172" s="35" t="s">
        <v>125</v>
      </c>
      <c r="D172" s="36" t="s">
        <v>18</v>
      </c>
      <c r="E172" s="154" t="s">
        <v>306</v>
      </c>
    </row>
    <row r="173" spans="1:15" ht="15" x14ac:dyDescent="0.25">
      <c r="A173" s="299"/>
      <c r="B173" s="281"/>
      <c r="C173" s="37" t="s">
        <v>126</v>
      </c>
      <c r="D173" s="36" t="s">
        <v>19</v>
      </c>
      <c r="E173" s="154" t="s">
        <v>306</v>
      </c>
    </row>
    <row r="174" spans="1:15" ht="15.75" customHeight="1" x14ac:dyDescent="0.25">
      <c r="A174" s="299"/>
      <c r="B174" s="281"/>
      <c r="C174" s="38" t="s">
        <v>127</v>
      </c>
      <c r="D174" s="36" t="s">
        <v>20</v>
      </c>
      <c r="E174" s="154" t="s">
        <v>306</v>
      </c>
    </row>
    <row r="175" spans="1:15" ht="15" x14ac:dyDescent="0.25">
      <c r="A175" s="299"/>
      <c r="B175" s="281"/>
      <c r="C175" s="39" t="s">
        <v>128</v>
      </c>
      <c r="D175" s="40" t="s">
        <v>21</v>
      </c>
      <c r="E175" s="154" t="s">
        <v>306</v>
      </c>
    </row>
    <row r="176" spans="1:15" ht="15" x14ac:dyDescent="0.25">
      <c r="A176" s="299"/>
      <c r="B176" s="281"/>
      <c r="C176" s="41" t="s">
        <v>36</v>
      </c>
      <c r="D176" s="173" t="str">
        <f>C176</f>
        <v>Cut-point values for the median growth percentile were:</v>
      </c>
      <c r="E176" s="154" t="s">
        <v>306</v>
      </c>
      <c r="O176" s="47" t="s">
        <v>306</v>
      </c>
    </row>
    <row r="177" spans="1:24" ht="15" x14ac:dyDescent="0.25">
      <c r="A177" s="299"/>
      <c r="B177" s="281"/>
      <c r="C177" s="35" t="s">
        <v>22</v>
      </c>
      <c r="D177" s="43">
        <v>57.4</v>
      </c>
      <c r="E177" s="154" t="s">
        <v>306</v>
      </c>
      <c r="N177" s="47" t="s">
        <v>305</v>
      </c>
      <c r="O177" s="47" t="s">
        <v>306</v>
      </c>
      <c r="P177" s="47" t="s">
        <v>306</v>
      </c>
    </row>
    <row r="178" spans="1:24" ht="15" x14ac:dyDescent="0.25">
      <c r="A178" s="299"/>
      <c r="B178" s="281"/>
      <c r="C178" s="37" t="s">
        <v>23</v>
      </c>
      <c r="D178" s="43">
        <v>46.8</v>
      </c>
      <c r="E178" s="154" t="s">
        <v>306</v>
      </c>
      <c r="N178" s="47" t="s">
        <v>291</v>
      </c>
      <c r="O178" s="150" t="s">
        <v>364</v>
      </c>
      <c r="P178" s="150" t="s">
        <v>30</v>
      </c>
    </row>
    <row r="179" spans="1:24" ht="15" x14ac:dyDescent="0.25">
      <c r="A179" s="299"/>
      <c r="B179" s="281"/>
      <c r="C179" s="38" t="s">
        <v>24</v>
      </c>
      <c r="D179" s="180">
        <v>41.2</v>
      </c>
      <c r="E179" s="154" t="s">
        <v>306</v>
      </c>
      <c r="N179" s="47" t="s">
        <v>287</v>
      </c>
      <c r="O179" s="149" t="s">
        <v>365</v>
      </c>
      <c r="P179" s="149" t="s">
        <v>214</v>
      </c>
    </row>
    <row r="180" spans="1:24" ht="15.75" thickBot="1" x14ac:dyDescent="0.3">
      <c r="A180" s="299"/>
      <c r="B180" s="281"/>
      <c r="C180" s="41" t="s">
        <v>35</v>
      </c>
      <c r="D180" s="173" t="str">
        <f>C180</f>
        <v>Your school's actual median growth percentile was:</v>
      </c>
      <c r="E180" s="154" t="s">
        <v>306</v>
      </c>
      <c r="N180" s="47" t="s">
        <v>319</v>
      </c>
      <c r="O180" s="150" t="s">
        <v>366</v>
      </c>
      <c r="P180" s="150" t="s">
        <v>31</v>
      </c>
    </row>
    <row r="181" spans="1:24" ht="15" x14ac:dyDescent="0.25">
      <c r="A181" s="299"/>
      <c r="B181" s="281"/>
      <c r="C181" s="63" t="s">
        <v>31</v>
      </c>
      <c r="D181" s="68" t="s">
        <v>395</v>
      </c>
      <c r="E181" s="154" t="s">
        <v>306</v>
      </c>
      <c r="G181" s="268" t="s">
        <v>26</v>
      </c>
      <c r="H181" s="289"/>
      <c r="I181" s="280" t="s">
        <v>201</v>
      </c>
      <c r="J181" s="33" t="s">
        <v>29</v>
      </c>
      <c r="K181" s="34"/>
      <c r="N181" s="47" t="s">
        <v>288</v>
      </c>
      <c r="O181" s="150" t="s">
        <v>364</v>
      </c>
      <c r="P181" s="150" t="s">
        <v>30</v>
      </c>
    </row>
    <row r="182" spans="1:24" ht="15.75" thickBot="1" x14ac:dyDescent="0.3">
      <c r="A182" s="300"/>
      <c r="B182" s="282"/>
      <c r="C182" s="64" t="s">
        <v>196</v>
      </c>
      <c r="D182" s="52" t="s">
        <v>395</v>
      </c>
      <c r="E182" s="154" t="s">
        <v>306</v>
      </c>
      <c r="G182" s="269"/>
      <c r="H182" s="290"/>
      <c r="I182" s="281"/>
      <c r="J182" s="35" t="s">
        <v>125</v>
      </c>
      <c r="K182" s="36" t="s">
        <v>129</v>
      </c>
      <c r="N182" s="47" t="s">
        <v>277</v>
      </c>
      <c r="O182" s="150" t="s">
        <v>364</v>
      </c>
      <c r="P182" s="150" t="s">
        <v>30</v>
      </c>
    </row>
    <row r="183" spans="1:24" ht="15" x14ac:dyDescent="0.25">
      <c r="A183" s="298" t="s">
        <v>27</v>
      </c>
      <c r="B183" s="280" t="s">
        <v>362</v>
      </c>
      <c r="C183" s="33" t="s">
        <v>28</v>
      </c>
      <c r="D183" s="152" t="str">
        <f>C183</f>
        <v xml:space="preserve"> To receive the indicator rating, the AEC's median growth percentile was:</v>
      </c>
      <c r="E183" s="154" t="s">
        <v>306</v>
      </c>
      <c r="G183" s="269"/>
      <c r="H183" s="290"/>
      <c r="I183" s="281"/>
      <c r="J183" s="37" t="s">
        <v>126</v>
      </c>
      <c r="K183" s="36" t="s">
        <v>130</v>
      </c>
      <c r="N183" s="47" t="s">
        <v>286</v>
      </c>
      <c r="O183" s="150" t="s">
        <v>364</v>
      </c>
      <c r="P183" s="150" t="s">
        <v>30</v>
      </c>
    </row>
    <row r="184" spans="1:24" ht="15" x14ac:dyDescent="0.25">
      <c r="A184" s="299"/>
      <c r="B184" s="281"/>
      <c r="C184" s="35" t="s">
        <v>125</v>
      </c>
      <c r="D184" s="36" t="s">
        <v>18</v>
      </c>
      <c r="E184" s="154" t="s">
        <v>306</v>
      </c>
      <c r="G184" s="269"/>
      <c r="H184" s="291" t="s">
        <v>177</v>
      </c>
      <c r="I184" s="281"/>
      <c r="J184" s="38" t="s">
        <v>127</v>
      </c>
      <c r="K184" s="36" t="s">
        <v>131</v>
      </c>
      <c r="N184" s="47" t="s">
        <v>290</v>
      </c>
      <c r="O184" s="150" t="s">
        <v>364</v>
      </c>
      <c r="P184" s="150" t="s">
        <v>30</v>
      </c>
    </row>
    <row r="185" spans="1:24" ht="15" x14ac:dyDescent="0.25">
      <c r="A185" s="299"/>
      <c r="B185" s="281"/>
      <c r="C185" s="37" t="s">
        <v>126</v>
      </c>
      <c r="D185" s="36" t="s">
        <v>19</v>
      </c>
      <c r="E185" s="154" t="s">
        <v>306</v>
      </c>
      <c r="G185" s="269"/>
      <c r="H185" s="292"/>
      <c r="I185" s="281"/>
      <c r="J185" s="39" t="s">
        <v>128</v>
      </c>
      <c r="K185" s="40" t="s">
        <v>132</v>
      </c>
      <c r="N185" s="47" t="s">
        <v>289</v>
      </c>
      <c r="O185" s="150" t="s">
        <v>364</v>
      </c>
      <c r="P185" s="150" t="s">
        <v>30</v>
      </c>
    </row>
    <row r="186" spans="1:24" ht="15" x14ac:dyDescent="0.25">
      <c r="A186" s="299"/>
      <c r="B186" s="281"/>
      <c r="C186" s="38" t="s">
        <v>127</v>
      </c>
      <c r="D186" s="36" t="s">
        <v>20</v>
      </c>
      <c r="E186" s="154" t="s">
        <v>306</v>
      </c>
      <c r="G186" s="269"/>
      <c r="H186" s="292"/>
      <c r="I186" s="281"/>
      <c r="J186" s="41" t="s">
        <v>34</v>
      </c>
      <c r="K186" s="42"/>
      <c r="N186" s="47" t="s">
        <v>400</v>
      </c>
      <c r="O186" s="150" t="s">
        <v>364</v>
      </c>
      <c r="P186" s="150" t="s">
        <v>30</v>
      </c>
    </row>
    <row r="187" spans="1:24" ht="15.75" customHeight="1" x14ac:dyDescent="0.25">
      <c r="A187" s="299"/>
      <c r="B187" s="281"/>
      <c r="C187" s="39" t="s">
        <v>128</v>
      </c>
      <c r="D187" s="40" t="s">
        <v>21</v>
      </c>
      <c r="E187" s="154" t="s">
        <v>306</v>
      </c>
      <c r="G187" s="269"/>
      <c r="H187" s="292"/>
      <c r="I187" s="281"/>
      <c r="J187" s="35" t="s">
        <v>22</v>
      </c>
      <c r="K187" s="50">
        <v>90</v>
      </c>
    </row>
    <row r="188" spans="1:24" ht="15" x14ac:dyDescent="0.25">
      <c r="A188" s="299"/>
      <c r="B188" s="281"/>
      <c r="C188" s="41" t="s">
        <v>36</v>
      </c>
      <c r="D188" s="173" t="str">
        <f>C188</f>
        <v>Cut-point values for the median growth percentile were:</v>
      </c>
      <c r="E188" s="154" t="s">
        <v>306</v>
      </c>
      <c r="G188" s="269"/>
      <c r="H188" s="292"/>
      <c r="I188" s="281"/>
      <c r="J188" s="37" t="s">
        <v>23</v>
      </c>
      <c r="K188" s="50">
        <v>60</v>
      </c>
    </row>
    <row r="189" spans="1:24" ht="15" customHeight="1" x14ac:dyDescent="0.25">
      <c r="A189" s="299"/>
      <c r="B189" s="281"/>
      <c r="C189" s="35" t="s">
        <v>22</v>
      </c>
      <c r="D189" s="43">
        <v>57.2</v>
      </c>
      <c r="E189" s="154" t="s">
        <v>306</v>
      </c>
      <c r="G189" s="269"/>
      <c r="H189" s="292"/>
      <c r="I189" s="281"/>
      <c r="J189" s="38" t="s">
        <v>24</v>
      </c>
      <c r="K189" s="50">
        <v>40</v>
      </c>
      <c r="O189" s="35" t="s">
        <v>125</v>
      </c>
      <c r="P189" s="37" t="s">
        <v>126</v>
      </c>
      <c r="Q189" s="38" t="s">
        <v>127</v>
      </c>
      <c r="R189" s="39" t="s">
        <v>128</v>
      </c>
      <c r="S189" s="35" t="s">
        <v>22</v>
      </c>
      <c r="T189" s="37" t="s">
        <v>23</v>
      </c>
      <c r="U189" s="38" t="s">
        <v>24</v>
      </c>
      <c r="V189" s="47" t="s">
        <v>298</v>
      </c>
      <c r="W189" s="47" t="s">
        <v>299</v>
      </c>
      <c r="X189" s="47" t="s">
        <v>300</v>
      </c>
    </row>
    <row r="190" spans="1:24" ht="15" customHeight="1" thickBot="1" x14ac:dyDescent="0.3">
      <c r="A190" s="299"/>
      <c r="B190" s="281"/>
      <c r="C190" s="37" t="s">
        <v>23</v>
      </c>
      <c r="D190" s="43">
        <v>43.4</v>
      </c>
      <c r="E190" s="154" t="s">
        <v>306</v>
      </c>
      <c r="G190" s="269"/>
      <c r="H190" s="292"/>
      <c r="I190" s="281"/>
      <c r="J190" s="41" t="s">
        <v>33</v>
      </c>
      <c r="K190" s="42"/>
      <c r="N190" s="47" t="s">
        <v>305</v>
      </c>
      <c r="O190" s="35" t="s">
        <v>306</v>
      </c>
      <c r="P190" s="37" t="s">
        <v>306</v>
      </c>
      <c r="Q190" s="38" t="s">
        <v>306</v>
      </c>
      <c r="R190" s="39" t="s">
        <v>306</v>
      </c>
      <c r="S190" s="35" t="s">
        <v>306</v>
      </c>
      <c r="T190" s="37" t="s">
        <v>306</v>
      </c>
      <c r="U190" s="38" t="s">
        <v>306</v>
      </c>
      <c r="V190" s="47" t="s">
        <v>306</v>
      </c>
      <c r="W190" s="47" t="s">
        <v>306</v>
      </c>
      <c r="X190" s="47" t="s">
        <v>306</v>
      </c>
    </row>
    <row r="191" spans="1:24" ht="15.75" thickBot="1" x14ac:dyDescent="0.3">
      <c r="A191" s="299"/>
      <c r="B191" s="281"/>
      <c r="C191" s="38" t="s">
        <v>24</v>
      </c>
      <c r="D191" s="180">
        <v>38.6</v>
      </c>
      <c r="E191" s="154" t="s">
        <v>306</v>
      </c>
      <c r="G191" s="269"/>
      <c r="H191" s="292"/>
      <c r="I191" s="281"/>
      <c r="J191" s="63" t="s">
        <v>30</v>
      </c>
      <c r="K191" s="58"/>
      <c r="N191" s="47" t="s">
        <v>277</v>
      </c>
      <c r="O191" s="36" t="s">
        <v>129</v>
      </c>
      <c r="P191" s="36" t="s">
        <v>130</v>
      </c>
      <c r="Q191" s="36" t="s">
        <v>131</v>
      </c>
      <c r="R191" s="40" t="s">
        <v>132</v>
      </c>
      <c r="S191" s="50">
        <v>90</v>
      </c>
      <c r="T191" s="50">
        <v>60</v>
      </c>
      <c r="U191" s="50">
        <v>40</v>
      </c>
      <c r="V191" s="33" t="s">
        <v>29</v>
      </c>
      <c r="W191" s="41" t="s">
        <v>34</v>
      </c>
      <c r="X191" s="41" t="s">
        <v>33</v>
      </c>
    </row>
    <row r="192" spans="1:24" ht="15.75" thickBot="1" x14ac:dyDescent="0.3">
      <c r="A192" s="299"/>
      <c r="B192" s="281"/>
      <c r="C192" s="41" t="s">
        <v>35</v>
      </c>
      <c r="D192" s="173" t="str">
        <f>C192</f>
        <v>Your school's actual median growth percentile was:</v>
      </c>
      <c r="E192" s="154" t="s">
        <v>306</v>
      </c>
      <c r="G192" s="270"/>
      <c r="H192" s="293"/>
      <c r="I192" s="282"/>
      <c r="J192" s="64" t="s">
        <v>194</v>
      </c>
      <c r="K192" s="65"/>
      <c r="N192" s="47" t="s">
        <v>286</v>
      </c>
      <c r="O192" s="36" t="s">
        <v>129</v>
      </c>
      <c r="P192" s="36" t="s">
        <v>130</v>
      </c>
      <c r="Q192" s="36" t="s">
        <v>131</v>
      </c>
      <c r="R192" s="40" t="s">
        <v>132</v>
      </c>
      <c r="S192" s="50">
        <v>90</v>
      </c>
      <c r="T192" s="50">
        <v>60</v>
      </c>
      <c r="U192" s="50">
        <v>40</v>
      </c>
      <c r="V192" s="33" t="s">
        <v>29</v>
      </c>
      <c r="W192" s="41" t="s">
        <v>32</v>
      </c>
      <c r="X192" s="41" t="s">
        <v>33</v>
      </c>
    </row>
    <row r="193" spans="1:24" ht="15.75" thickBot="1" x14ac:dyDescent="0.3">
      <c r="A193" s="299"/>
      <c r="B193" s="281"/>
      <c r="C193" s="63" t="s">
        <v>31</v>
      </c>
      <c r="D193" s="45" t="s">
        <v>395</v>
      </c>
      <c r="E193" s="154" t="s">
        <v>306</v>
      </c>
      <c r="G193" s="268" t="s">
        <v>26</v>
      </c>
      <c r="H193" s="289"/>
      <c r="I193" s="280" t="s">
        <v>202</v>
      </c>
      <c r="J193" s="33" t="s">
        <v>29</v>
      </c>
      <c r="K193" s="34"/>
      <c r="N193" s="47" t="s">
        <v>287</v>
      </c>
      <c r="O193" s="36" t="s">
        <v>129</v>
      </c>
      <c r="P193" s="36" t="s">
        <v>130</v>
      </c>
      <c r="Q193" s="36" t="s">
        <v>131</v>
      </c>
      <c r="R193" s="40" t="s">
        <v>132</v>
      </c>
      <c r="S193" s="50">
        <v>90</v>
      </c>
      <c r="T193" s="50">
        <v>60</v>
      </c>
      <c r="U193" s="50">
        <v>40</v>
      </c>
      <c r="V193" s="33" t="s">
        <v>217</v>
      </c>
      <c r="W193" s="41" t="s">
        <v>216</v>
      </c>
      <c r="X193" s="41" t="s">
        <v>215</v>
      </c>
    </row>
    <row r="194" spans="1:24" ht="15.75" thickBot="1" x14ac:dyDescent="0.3">
      <c r="A194" s="300"/>
      <c r="B194" s="282"/>
      <c r="C194" s="64" t="s">
        <v>196</v>
      </c>
      <c r="D194" s="45" t="s">
        <v>395</v>
      </c>
      <c r="E194" s="154" t="s">
        <v>306</v>
      </c>
      <c r="G194" s="269"/>
      <c r="H194" s="290"/>
      <c r="I194" s="281"/>
      <c r="J194" s="35" t="s">
        <v>125</v>
      </c>
      <c r="K194" s="36" t="s">
        <v>129</v>
      </c>
      <c r="N194" s="47" t="s">
        <v>288</v>
      </c>
      <c r="O194" s="36" t="s">
        <v>129</v>
      </c>
      <c r="P194" s="36" t="s">
        <v>130</v>
      </c>
      <c r="Q194" s="36" t="s">
        <v>131</v>
      </c>
      <c r="R194" s="40" t="s">
        <v>132</v>
      </c>
      <c r="S194" s="50">
        <v>90</v>
      </c>
      <c r="T194" s="50">
        <v>60</v>
      </c>
      <c r="U194" s="50">
        <v>40</v>
      </c>
      <c r="V194" s="33" t="s">
        <v>29</v>
      </c>
      <c r="W194" s="41" t="s">
        <v>32</v>
      </c>
      <c r="X194" s="41" t="s">
        <v>33</v>
      </c>
    </row>
    <row r="195" spans="1:24" ht="15.75" thickBot="1" x14ac:dyDescent="0.3">
      <c r="A195" s="298" t="s">
        <v>27</v>
      </c>
      <c r="B195" s="280" t="s">
        <v>363</v>
      </c>
      <c r="C195" s="33" t="s">
        <v>28</v>
      </c>
      <c r="D195" s="152" t="str">
        <f>C195</f>
        <v xml:space="preserve"> To receive the indicator rating, the AEC's median growth percentile was:</v>
      </c>
      <c r="E195" s="154" t="s">
        <v>306</v>
      </c>
      <c r="G195" s="269"/>
      <c r="H195" s="290"/>
      <c r="I195" s="281"/>
      <c r="J195" s="37" t="s">
        <v>126</v>
      </c>
      <c r="K195" s="36" t="s">
        <v>130</v>
      </c>
      <c r="N195" s="47" t="s">
        <v>289</v>
      </c>
      <c r="O195" s="36" t="s">
        <v>129</v>
      </c>
      <c r="P195" s="36" t="s">
        <v>130</v>
      </c>
      <c r="Q195" s="36" t="s">
        <v>131</v>
      </c>
      <c r="R195" s="40" t="s">
        <v>132</v>
      </c>
      <c r="S195" s="50">
        <v>90</v>
      </c>
      <c r="T195" s="50">
        <v>60</v>
      </c>
      <c r="U195" s="50">
        <v>40</v>
      </c>
      <c r="V195" s="33" t="s">
        <v>29</v>
      </c>
      <c r="W195" s="41" t="s">
        <v>32</v>
      </c>
      <c r="X195" s="41" t="s">
        <v>33</v>
      </c>
    </row>
    <row r="196" spans="1:24" ht="15.75" thickBot="1" x14ac:dyDescent="0.3">
      <c r="A196" s="299"/>
      <c r="B196" s="281"/>
      <c r="C196" s="35" t="s">
        <v>125</v>
      </c>
      <c r="D196" s="36" t="s">
        <v>18</v>
      </c>
      <c r="E196" s="154" t="s">
        <v>306</v>
      </c>
      <c r="G196" s="269"/>
      <c r="H196" s="291" t="s">
        <v>177</v>
      </c>
      <c r="I196" s="281"/>
      <c r="J196" s="38" t="s">
        <v>127</v>
      </c>
      <c r="K196" s="36" t="s">
        <v>131</v>
      </c>
      <c r="N196" s="47" t="s">
        <v>290</v>
      </c>
      <c r="O196" s="36" t="s">
        <v>129</v>
      </c>
      <c r="P196" s="36" t="s">
        <v>130</v>
      </c>
      <c r="Q196" s="36" t="s">
        <v>131</v>
      </c>
      <c r="R196" s="40" t="s">
        <v>132</v>
      </c>
      <c r="S196" s="50">
        <v>90</v>
      </c>
      <c r="T196" s="50">
        <v>60</v>
      </c>
      <c r="U196" s="50">
        <v>40</v>
      </c>
      <c r="V196" s="33" t="s">
        <v>29</v>
      </c>
      <c r="W196" s="41" t="s">
        <v>32</v>
      </c>
      <c r="X196" s="41" t="s">
        <v>33</v>
      </c>
    </row>
    <row r="197" spans="1:24" ht="15.75" customHeight="1" thickBot="1" x14ac:dyDescent="0.3">
      <c r="A197" s="299"/>
      <c r="B197" s="281"/>
      <c r="C197" s="37" t="s">
        <v>126</v>
      </c>
      <c r="D197" s="36" t="s">
        <v>19</v>
      </c>
      <c r="E197" s="154" t="s">
        <v>306</v>
      </c>
      <c r="G197" s="269"/>
      <c r="H197" s="292"/>
      <c r="I197" s="281"/>
      <c r="J197" s="39" t="s">
        <v>128</v>
      </c>
      <c r="K197" s="40" t="s">
        <v>132</v>
      </c>
      <c r="N197" s="47" t="s">
        <v>291</v>
      </c>
      <c r="O197" s="36" t="s">
        <v>270</v>
      </c>
      <c r="P197" s="36" t="s">
        <v>271</v>
      </c>
      <c r="Q197" s="36" t="s">
        <v>272</v>
      </c>
      <c r="R197" s="40" t="s">
        <v>273</v>
      </c>
      <c r="S197" s="50">
        <v>80</v>
      </c>
      <c r="T197" s="50">
        <v>62</v>
      </c>
      <c r="U197" s="50">
        <v>40</v>
      </c>
      <c r="V197" s="33" t="s">
        <v>29</v>
      </c>
      <c r="W197" s="41" t="s">
        <v>32</v>
      </c>
      <c r="X197" s="41" t="s">
        <v>33</v>
      </c>
    </row>
    <row r="198" spans="1:24" ht="15" customHeight="1" thickBot="1" x14ac:dyDescent="0.3">
      <c r="A198" s="299"/>
      <c r="B198" s="281"/>
      <c r="C198" s="38" t="s">
        <v>127</v>
      </c>
      <c r="D198" s="36" t="s">
        <v>20</v>
      </c>
      <c r="E198" s="154" t="s">
        <v>306</v>
      </c>
      <c r="G198" s="269"/>
      <c r="H198" s="292"/>
      <c r="I198" s="281"/>
      <c r="J198" s="41" t="s">
        <v>32</v>
      </c>
      <c r="K198" s="42"/>
      <c r="N198" s="47" t="s">
        <v>319</v>
      </c>
      <c r="O198" s="36" t="s">
        <v>129</v>
      </c>
      <c r="P198" s="36" t="s">
        <v>130</v>
      </c>
      <c r="Q198" s="36" t="s">
        <v>131</v>
      </c>
      <c r="R198" s="40" t="s">
        <v>132</v>
      </c>
      <c r="S198" s="50">
        <v>57</v>
      </c>
      <c r="T198" s="50">
        <v>46</v>
      </c>
      <c r="U198" s="50">
        <v>36</v>
      </c>
      <c r="V198" s="33" t="s">
        <v>28</v>
      </c>
      <c r="W198" s="41" t="s">
        <v>36</v>
      </c>
      <c r="X198" s="41" t="s">
        <v>35</v>
      </c>
    </row>
    <row r="199" spans="1:24" ht="15" customHeight="1" x14ac:dyDescent="0.25">
      <c r="A199" s="299"/>
      <c r="B199" s="281"/>
      <c r="C199" s="39" t="s">
        <v>128</v>
      </c>
      <c r="D199" s="40" t="s">
        <v>21</v>
      </c>
      <c r="E199" s="154" t="s">
        <v>306</v>
      </c>
      <c r="G199" s="269"/>
      <c r="H199" s="292"/>
      <c r="I199" s="281"/>
      <c r="J199" s="35" t="s">
        <v>22</v>
      </c>
      <c r="K199" s="50">
        <v>90</v>
      </c>
      <c r="N199" s="47" t="s">
        <v>400</v>
      </c>
      <c r="O199" s="36" t="s">
        <v>129</v>
      </c>
      <c r="P199" s="36" t="s">
        <v>130</v>
      </c>
      <c r="Q199" s="36" t="s">
        <v>131</v>
      </c>
      <c r="R199" s="40" t="s">
        <v>132</v>
      </c>
      <c r="S199" s="50">
        <v>57</v>
      </c>
      <c r="T199" s="50">
        <v>46</v>
      </c>
      <c r="U199" s="50">
        <v>36</v>
      </c>
      <c r="V199" s="33" t="s">
        <v>28</v>
      </c>
      <c r="W199" s="41" t="s">
        <v>36</v>
      </c>
      <c r="X199" s="41" t="s">
        <v>35</v>
      </c>
    </row>
    <row r="200" spans="1:24" ht="15" customHeight="1" x14ac:dyDescent="0.25">
      <c r="A200" s="299"/>
      <c r="B200" s="281"/>
      <c r="C200" s="41" t="s">
        <v>36</v>
      </c>
      <c r="D200" s="173" t="str">
        <f>C200</f>
        <v>Cut-point values for the median growth percentile were:</v>
      </c>
      <c r="E200" s="154" t="s">
        <v>306</v>
      </c>
      <c r="G200" s="269"/>
      <c r="H200" s="292"/>
      <c r="I200" s="281"/>
      <c r="J200" s="37" t="s">
        <v>23</v>
      </c>
      <c r="K200" s="50">
        <v>60</v>
      </c>
    </row>
    <row r="201" spans="1:24" ht="15" customHeight="1" x14ac:dyDescent="0.25">
      <c r="A201" s="299"/>
      <c r="B201" s="281"/>
      <c r="C201" s="35" t="s">
        <v>22</v>
      </c>
      <c r="D201" s="43">
        <v>50.6</v>
      </c>
      <c r="E201" s="154" t="s">
        <v>306</v>
      </c>
      <c r="G201" s="269"/>
      <c r="H201" s="292"/>
      <c r="I201" s="281"/>
      <c r="J201" s="38" t="s">
        <v>24</v>
      </c>
      <c r="K201" s="50">
        <v>40</v>
      </c>
    </row>
    <row r="202" spans="1:24" ht="15.75" customHeight="1" x14ac:dyDescent="0.25">
      <c r="A202" s="299"/>
      <c r="B202" s="281"/>
      <c r="C202" s="37" t="s">
        <v>23</v>
      </c>
      <c r="D202" s="43">
        <v>42</v>
      </c>
      <c r="E202" s="154" t="s">
        <v>306</v>
      </c>
      <c r="G202" s="269"/>
      <c r="H202" s="292"/>
      <c r="I202" s="281"/>
      <c r="J202" s="41" t="s">
        <v>33</v>
      </c>
      <c r="K202" s="42"/>
    </row>
    <row r="203" spans="1:24" ht="15" customHeight="1" x14ac:dyDescent="0.25">
      <c r="A203" s="299"/>
      <c r="B203" s="281"/>
      <c r="C203" s="38" t="s">
        <v>24</v>
      </c>
      <c r="D203" s="180">
        <v>33.6</v>
      </c>
      <c r="E203" s="154" t="s">
        <v>306</v>
      </c>
      <c r="G203" s="269"/>
      <c r="H203" s="292"/>
      <c r="I203" s="281"/>
      <c r="J203" s="63" t="s">
        <v>30</v>
      </c>
      <c r="K203" s="58"/>
    </row>
    <row r="204" spans="1:24" ht="15" customHeight="1" thickBot="1" x14ac:dyDescent="0.3">
      <c r="A204" s="299"/>
      <c r="B204" s="281"/>
      <c r="C204" s="41" t="s">
        <v>35</v>
      </c>
      <c r="D204" s="173" t="str">
        <f>C204</f>
        <v>Your school's actual median growth percentile was:</v>
      </c>
      <c r="E204" s="154" t="s">
        <v>306</v>
      </c>
      <c r="G204" s="270"/>
      <c r="H204" s="293"/>
      <c r="I204" s="282"/>
      <c r="J204" s="64" t="s">
        <v>194</v>
      </c>
      <c r="K204" s="65"/>
    </row>
    <row r="205" spans="1:24" ht="15" customHeight="1" x14ac:dyDescent="0.25">
      <c r="A205" s="299"/>
      <c r="B205" s="281"/>
      <c r="C205" s="63" t="s">
        <v>31</v>
      </c>
      <c r="D205" s="45" t="s">
        <v>395</v>
      </c>
      <c r="E205" s="154" t="s">
        <v>306</v>
      </c>
      <c r="G205" s="268" t="s">
        <v>26</v>
      </c>
      <c r="H205" s="289"/>
      <c r="I205" s="280" t="s">
        <v>203</v>
      </c>
      <c r="J205" s="33" t="s">
        <v>217</v>
      </c>
      <c r="K205" s="34"/>
    </row>
    <row r="206" spans="1:24" ht="15.75" thickBot="1" x14ac:dyDescent="0.3">
      <c r="A206" s="300"/>
      <c r="B206" s="282"/>
      <c r="C206" s="64" t="s">
        <v>196</v>
      </c>
      <c r="D206" s="45" t="s">
        <v>395</v>
      </c>
      <c r="E206" s="154" t="s">
        <v>306</v>
      </c>
      <c r="G206" s="269"/>
      <c r="H206" s="290"/>
      <c r="I206" s="281"/>
      <c r="J206" s="35" t="s">
        <v>125</v>
      </c>
      <c r="K206" s="36" t="s">
        <v>129</v>
      </c>
    </row>
    <row r="207" spans="1:24" ht="15.75" customHeight="1" x14ac:dyDescent="0.25">
      <c r="A207" s="277" t="s">
        <v>26</v>
      </c>
      <c r="B207" s="280" t="s">
        <v>345</v>
      </c>
      <c r="C207" s="183" t="s">
        <v>96</v>
      </c>
      <c r="D207" s="24" t="s">
        <v>305</v>
      </c>
      <c r="E207" s="154" t="s">
        <v>306</v>
      </c>
      <c r="G207" s="269"/>
      <c r="H207" s="291" t="s">
        <v>177</v>
      </c>
      <c r="I207" s="281"/>
      <c r="J207" s="38" t="s">
        <v>127</v>
      </c>
      <c r="K207" s="36" t="s">
        <v>131</v>
      </c>
    </row>
    <row r="208" spans="1:24" ht="15.75" customHeight="1" x14ac:dyDescent="0.25">
      <c r="A208" s="278"/>
      <c r="B208" s="281"/>
      <c r="C208" s="88" t="str">
        <f>VLOOKUP(D207,$N$189:$X$198,10,FALSE)</f>
        <v xml:space="preserve"> </v>
      </c>
      <c r="D208" s="153" t="str">
        <f>C208</f>
        <v xml:space="preserve"> </v>
      </c>
      <c r="E208" s="154" t="s">
        <v>306</v>
      </c>
      <c r="G208" s="269"/>
      <c r="H208" s="292"/>
      <c r="I208" s="281"/>
      <c r="J208" s="41" t="s">
        <v>216</v>
      </c>
      <c r="K208" s="42"/>
    </row>
    <row r="209" spans="1:11" ht="18.75" customHeight="1" x14ac:dyDescent="0.25">
      <c r="A209" s="278"/>
      <c r="B209" s="281"/>
      <c r="C209" s="35" t="s">
        <v>125</v>
      </c>
      <c r="D209" s="74" t="str">
        <f>VLOOKUP(D207,$N$189:$X$199,2,FALSE)</f>
        <v xml:space="preserve"> </v>
      </c>
      <c r="E209" s="154" t="s">
        <v>306</v>
      </c>
      <c r="G209" s="269"/>
      <c r="H209" s="292"/>
      <c r="I209" s="281"/>
      <c r="J209" s="35" t="s">
        <v>22</v>
      </c>
      <c r="K209" s="50">
        <v>90</v>
      </c>
    </row>
    <row r="210" spans="1:11" ht="15" customHeight="1" x14ac:dyDescent="0.25">
      <c r="A210" s="278"/>
      <c r="B210" s="281"/>
      <c r="C210" s="37" t="s">
        <v>126</v>
      </c>
      <c r="D210" s="74" t="str">
        <f>VLOOKUP(D207,$N$189:$X$199,3,FALSE)</f>
        <v xml:space="preserve"> </v>
      </c>
      <c r="E210" s="154" t="s">
        <v>306</v>
      </c>
      <c r="G210" s="269"/>
      <c r="H210" s="292"/>
      <c r="I210" s="281"/>
      <c r="J210" s="37" t="s">
        <v>23</v>
      </c>
      <c r="K210" s="50">
        <v>60</v>
      </c>
    </row>
    <row r="211" spans="1:11" ht="18.75" customHeight="1" x14ac:dyDescent="0.25">
      <c r="A211" s="278"/>
      <c r="B211" s="281"/>
      <c r="C211" s="38" t="s">
        <v>127</v>
      </c>
      <c r="D211" s="74" t="str">
        <f>VLOOKUP(D207,$N$189:$X$199,4,FALSE)</f>
        <v xml:space="preserve"> </v>
      </c>
      <c r="E211" s="154" t="s">
        <v>306</v>
      </c>
      <c r="G211" s="269"/>
      <c r="H211" s="292"/>
      <c r="I211" s="281"/>
      <c r="J211" s="38" t="s">
        <v>24</v>
      </c>
      <c r="K211" s="50">
        <v>40</v>
      </c>
    </row>
    <row r="212" spans="1:11" ht="18.75" customHeight="1" x14ac:dyDescent="0.25">
      <c r="A212" s="278"/>
      <c r="B212" s="281"/>
      <c r="C212" s="39" t="s">
        <v>128</v>
      </c>
      <c r="D212" s="74" t="str">
        <f>VLOOKUP(D207,$N$189:$X$199,5,FALSE)</f>
        <v xml:space="preserve"> </v>
      </c>
      <c r="E212" s="154" t="s">
        <v>306</v>
      </c>
      <c r="G212" s="269"/>
      <c r="H212" s="292"/>
      <c r="I212" s="281"/>
      <c r="J212" s="41" t="s">
        <v>215</v>
      </c>
      <c r="K212" s="42"/>
    </row>
    <row r="213" spans="1:11" ht="18.75" customHeight="1" x14ac:dyDescent="0.25">
      <c r="A213" s="278"/>
      <c r="B213" s="281"/>
      <c r="C213" s="88" t="str">
        <f>VLOOKUP(D207,$N$189:$X$198,11,FALSE)</f>
        <v xml:space="preserve"> </v>
      </c>
      <c r="D213" s="153" t="str">
        <f>C213</f>
        <v xml:space="preserve"> </v>
      </c>
      <c r="E213" s="154" t="s">
        <v>306</v>
      </c>
      <c r="G213" s="269"/>
      <c r="H213" s="292"/>
      <c r="I213" s="281"/>
      <c r="J213" s="63" t="s">
        <v>214</v>
      </c>
      <c r="K213" s="58"/>
    </row>
    <row r="214" spans="1:11" ht="18.75" customHeight="1" thickBot="1" x14ac:dyDescent="0.3">
      <c r="A214" s="278"/>
      <c r="B214" s="281"/>
      <c r="C214" s="35" t="s">
        <v>22</v>
      </c>
      <c r="D214" s="50" t="str">
        <f>VLOOKUP(D207,$N$189:$X$199,6,FALSE)</f>
        <v xml:space="preserve"> </v>
      </c>
      <c r="E214" s="154" t="s">
        <v>306</v>
      </c>
      <c r="G214" s="270"/>
      <c r="H214" s="293"/>
      <c r="I214" s="282"/>
      <c r="J214" s="64" t="s">
        <v>194</v>
      </c>
      <c r="K214" s="65"/>
    </row>
    <row r="215" spans="1:11" ht="15" customHeight="1" x14ac:dyDescent="0.25">
      <c r="A215" s="278"/>
      <c r="B215" s="281"/>
      <c r="C215" s="37" t="s">
        <v>23</v>
      </c>
      <c r="D215" s="50" t="str">
        <f>VLOOKUP(D207,$N$189:$X$199,7,FALSE)</f>
        <v xml:space="preserve"> </v>
      </c>
      <c r="E215" s="154" t="s">
        <v>306</v>
      </c>
      <c r="G215" s="268" t="s">
        <v>26</v>
      </c>
      <c r="H215" s="289"/>
      <c r="I215" s="280" t="s">
        <v>206</v>
      </c>
      <c r="J215" s="33" t="s">
        <v>29</v>
      </c>
      <c r="K215" s="34"/>
    </row>
    <row r="216" spans="1:11" ht="15" customHeight="1" thickBot="1" x14ac:dyDescent="0.3">
      <c r="A216" s="278"/>
      <c r="B216" s="281"/>
      <c r="C216" s="203" t="s">
        <v>24</v>
      </c>
      <c r="D216" s="204" t="str">
        <f>VLOOKUP(D207,$N$189:$X$199,8,FALSE)</f>
        <v xml:space="preserve"> </v>
      </c>
      <c r="E216" s="154" t="s">
        <v>306</v>
      </c>
      <c r="G216" s="269"/>
      <c r="H216" s="290"/>
      <c r="I216" s="281"/>
      <c r="J216" s="35" t="s">
        <v>125</v>
      </c>
      <c r="K216" s="36" t="s">
        <v>129</v>
      </c>
    </row>
    <row r="217" spans="1:11" ht="15" customHeight="1" x14ac:dyDescent="0.25">
      <c r="A217" s="278"/>
      <c r="B217" s="281"/>
      <c r="C217" s="89" t="s">
        <v>282</v>
      </c>
      <c r="D217" s="190" t="s">
        <v>307</v>
      </c>
      <c r="G217" s="269"/>
      <c r="H217" s="290"/>
      <c r="I217" s="281"/>
      <c r="J217" s="35"/>
      <c r="K217" s="36"/>
    </row>
    <row r="218" spans="1:11" ht="15" customHeight="1" x14ac:dyDescent="0.25">
      <c r="A218" s="278"/>
      <c r="B218" s="281"/>
      <c r="C218" s="88" t="str">
        <f>VLOOKUP(D207,$N$189:$X$198,9,FALSE)</f>
        <v xml:space="preserve"> </v>
      </c>
      <c r="D218" s="153" t="str">
        <f>C218</f>
        <v xml:space="preserve"> </v>
      </c>
      <c r="E218" s="154" t="s">
        <v>306</v>
      </c>
      <c r="G218" s="269"/>
      <c r="H218" s="290"/>
      <c r="I218" s="281"/>
      <c r="J218" s="37" t="s">
        <v>126</v>
      </c>
      <c r="K218" s="36" t="s">
        <v>130</v>
      </c>
    </row>
    <row r="219" spans="1:11" ht="15" x14ac:dyDescent="0.25">
      <c r="A219" s="278"/>
      <c r="B219" s="281"/>
      <c r="C219" s="56" t="str">
        <f>VLOOKUP(D207,$N$176:$P$185,2,FALSE)</f>
        <v xml:space="preserve"> </v>
      </c>
      <c r="D219" s="156" t="s">
        <v>380</v>
      </c>
      <c r="E219" s="154" t="s">
        <v>306</v>
      </c>
      <c r="G219" s="269"/>
      <c r="H219" s="291" t="s">
        <v>177</v>
      </c>
      <c r="I219" s="281"/>
      <c r="J219" s="38" t="s">
        <v>127</v>
      </c>
      <c r="K219" s="36" t="s">
        <v>131</v>
      </c>
    </row>
    <row r="220" spans="1:11" ht="15" customHeight="1" x14ac:dyDescent="0.25">
      <c r="A220" s="278"/>
      <c r="B220" s="281"/>
      <c r="C220" s="159" t="s">
        <v>379</v>
      </c>
      <c r="D220" s="156" t="s">
        <v>394</v>
      </c>
      <c r="E220" s="154" t="s">
        <v>306</v>
      </c>
      <c r="G220" s="269"/>
      <c r="H220" s="292"/>
      <c r="I220" s="281"/>
      <c r="J220" s="39" t="s">
        <v>128</v>
      </c>
      <c r="K220" s="40" t="s">
        <v>132</v>
      </c>
    </row>
    <row r="221" spans="1:11" ht="15" customHeight="1" thickBot="1" x14ac:dyDescent="0.3">
      <c r="A221" s="278"/>
      <c r="B221" s="281"/>
      <c r="C221" s="64" t="str">
        <f>VLOOKUP(D207,$N$176:$P$185,3,FALSE)</f>
        <v xml:space="preserve"> </v>
      </c>
      <c r="D221" s="166" t="e">
        <f>SUM(D219/D220)*100</f>
        <v>#VALUE!</v>
      </c>
      <c r="E221" s="154" t="s">
        <v>306</v>
      </c>
      <c r="G221" s="269"/>
      <c r="H221" s="292"/>
      <c r="I221" s="281"/>
      <c r="J221" s="41" t="s">
        <v>32</v>
      </c>
      <c r="K221" s="42"/>
    </row>
    <row r="222" spans="1:11" ht="18.75" customHeight="1" x14ac:dyDescent="0.25">
      <c r="A222" s="278"/>
      <c r="B222" s="281"/>
      <c r="C222" s="89" t="s">
        <v>283</v>
      </c>
      <c r="D222" s="148" t="s">
        <v>307</v>
      </c>
      <c r="E222" s="154" t="s">
        <v>306</v>
      </c>
      <c r="G222" s="269"/>
      <c r="H222" s="292"/>
      <c r="I222" s="281"/>
      <c r="J222" s="35" t="s">
        <v>22</v>
      </c>
      <c r="K222" s="50">
        <v>90</v>
      </c>
    </row>
    <row r="223" spans="1:11" ht="18.75" customHeight="1" x14ac:dyDescent="0.25">
      <c r="A223" s="278"/>
      <c r="B223" s="281"/>
      <c r="C223" s="88" t="str">
        <f>VLOOKUP(D207,$N$189:$X$198,9,FALSE)</f>
        <v xml:space="preserve"> </v>
      </c>
      <c r="D223" s="153" t="str">
        <f>C223</f>
        <v xml:space="preserve"> </v>
      </c>
      <c r="E223" s="154" t="s">
        <v>306</v>
      </c>
      <c r="G223" s="269"/>
      <c r="H223" s="292"/>
      <c r="I223" s="281"/>
      <c r="J223" s="37" t="s">
        <v>23</v>
      </c>
      <c r="K223" s="50">
        <v>60</v>
      </c>
    </row>
    <row r="224" spans="1:11" ht="15" customHeight="1" x14ac:dyDescent="0.25">
      <c r="A224" s="278"/>
      <c r="B224" s="281"/>
      <c r="C224" s="56" t="str">
        <f>VLOOKUP(D207,$N$176:$O$185,2,FALSE)</f>
        <v xml:space="preserve"> </v>
      </c>
      <c r="D224" s="156" t="s">
        <v>380</v>
      </c>
      <c r="E224" s="154" t="s">
        <v>306</v>
      </c>
      <c r="G224" s="269"/>
      <c r="H224" s="292"/>
      <c r="I224" s="281"/>
      <c r="J224" s="38" t="s">
        <v>24</v>
      </c>
      <c r="K224" s="50">
        <v>40</v>
      </c>
    </row>
    <row r="225" spans="1:11" ht="18.75" customHeight="1" x14ac:dyDescent="0.25">
      <c r="A225" s="278"/>
      <c r="B225" s="281"/>
      <c r="C225" s="159" t="s">
        <v>379</v>
      </c>
      <c r="D225" s="156" t="s">
        <v>394</v>
      </c>
      <c r="E225" s="154" t="s">
        <v>306</v>
      </c>
      <c r="G225" s="269"/>
      <c r="H225" s="292"/>
      <c r="I225" s="281"/>
      <c r="J225" s="41" t="s">
        <v>33</v>
      </c>
      <c r="K225" s="42"/>
    </row>
    <row r="226" spans="1:11" ht="18.75" customHeight="1" thickBot="1" x14ac:dyDescent="0.3">
      <c r="A226" s="278"/>
      <c r="B226" s="281"/>
      <c r="C226" s="64" t="str">
        <f>VLOOKUP(D207,$N$176:$P$185,3,FALSE)</f>
        <v xml:space="preserve"> </v>
      </c>
      <c r="D226" s="166" t="e">
        <f>SUM(D224/D225)*100</f>
        <v>#VALUE!</v>
      </c>
      <c r="E226" s="154" t="s">
        <v>306</v>
      </c>
      <c r="G226" s="269"/>
      <c r="H226" s="292"/>
      <c r="I226" s="281"/>
      <c r="J226" s="63" t="s">
        <v>30</v>
      </c>
      <c r="K226" s="58"/>
    </row>
    <row r="227" spans="1:11" ht="15.75" thickBot="1" x14ac:dyDescent="0.3">
      <c r="A227" s="278"/>
      <c r="B227" s="281"/>
      <c r="C227" s="89" t="s">
        <v>284</v>
      </c>
      <c r="D227" s="148" t="s">
        <v>307</v>
      </c>
      <c r="E227" s="154" t="s">
        <v>306</v>
      </c>
      <c r="G227" s="270"/>
      <c r="H227" s="293"/>
      <c r="I227" s="282"/>
      <c r="J227" s="64" t="s">
        <v>194</v>
      </c>
      <c r="K227" s="65"/>
    </row>
    <row r="228" spans="1:11" ht="15" x14ac:dyDescent="0.25">
      <c r="A228" s="278"/>
      <c r="B228" s="281"/>
      <c r="C228" s="88" t="str">
        <f>VLOOKUP(D207,$N$189:$X$198,9,FALSE)</f>
        <v xml:space="preserve"> </v>
      </c>
      <c r="D228" s="153" t="str">
        <f>C228</f>
        <v xml:space="preserve"> </v>
      </c>
      <c r="E228" s="154" t="s">
        <v>306</v>
      </c>
      <c r="G228" s="268" t="s">
        <v>26</v>
      </c>
      <c r="H228" s="289"/>
      <c r="I228" s="280" t="s">
        <v>204</v>
      </c>
      <c r="J228" s="33" t="s">
        <v>29</v>
      </c>
      <c r="K228" s="34"/>
    </row>
    <row r="229" spans="1:11" ht="15" customHeight="1" x14ac:dyDescent="0.25">
      <c r="A229" s="278"/>
      <c r="B229" s="281"/>
      <c r="C229" s="56" t="str">
        <f>VLOOKUP(D207,$N$176:$O$185,2,FALSE)</f>
        <v xml:space="preserve"> </v>
      </c>
      <c r="D229" s="156" t="s">
        <v>380</v>
      </c>
      <c r="E229" s="154" t="s">
        <v>306</v>
      </c>
      <c r="G229" s="269"/>
      <c r="H229" s="290"/>
      <c r="I229" s="281"/>
      <c r="J229" s="35" t="s">
        <v>125</v>
      </c>
      <c r="K229" s="36" t="s">
        <v>129</v>
      </c>
    </row>
    <row r="230" spans="1:11" ht="15" customHeight="1" x14ac:dyDescent="0.25">
      <c r="A230" s="278"/>
      <c r="B230" s="281"/>
      <c r="C230" s="159" t="s">
        <v>379</v>
      </c>
      <c r="D230" s="156" t="s">
        <v>394</v>
      </c>
      <c r="E230" s="154" t="s">
        <v>306</v>
      </c>
      <c r="G230" s="269"/>
      <c r="H230" s="290"/>
      <c r="I230" s="281"/>
      <c r="J230" s="35"/>
      <c r="K230" s="36"/>
    </row>
    <row r="231" spans="1:11" ht="15" customHeight="1" thickBot="1" x14ac:dyDescent="0.3">
      <c r="A231" s="278"/>
      <c r="B231" s="281"/>
      <c r="C231" s="64" t="str">
        <f>VLOOKUP(D207,$N$176:$P$185,3,FALSE)</f>
        <v xml:space="preserve"> </v>
      </c>
      <c r="D231" s="166" t="e">
        <f>SUM(D229/D230)*100</f>
        <v>#VALUE!</v>
      </c>
      <c r="E231" s="154" t="s">
        <v>306</v>
      </c>
      <c r="G231" s="269"/>
      <c r="H231" s="290"/>
      <c r="I231" s="281"/>
      <c r="J231" s="37" t="s">
        <v>126</v>
      </c>
      <c r="K231" s="36" t="s">
        <v>130</v>
      </c>
    </row>
    <row r="232" spans="1:11" ht="15" customHeight="1" x14ac:dyDescent="0.25">
      <c r="A232" s="278"/>
      <c r="B232" s="281"/>
      <c r="C232" s="89" t="s">
        <v>285</v>
      </c>
      <c r="D232" s="148" t="s">
        <v>307</v>
      </c>
      <c r="E232" s="154" t="s">
        <v>306</v>
      </c>
      <c r="G232" s="269"/>
      <c r="H232" s="291" t="s">
        <v>177</v>
      </c>
      <c r="I232" s="281"/>
      <c r="J232" s="38" t="s">
        <v>127</v>
      </c>
      <c r="K232" s="36" t="s">
        <v>131</v>
      </c>
    </row>
    <row r="233" spans="1:11" ht="15" x14ac:dyDescent="0.25">
      <c r="A233" s="278"/>
      <c r="B233" s="281"/>
      <c r="C233" s="70" t="str">
        <f>VLOOKUP(D207,$N$189:$X$1390,9,FALSE)</f>
        <v xml:space="preserve"> </v>
      </c>
      <c r="D233" s="153" t="str">
        <f>C233</f>
        <v xml:space="preserve"> </v>
      </c>
      <c r="E233" s="154" t="s">
        <v>306</v>
      </c>
      <c r="G233" s="269"/>
      <c r="H233" s="292"/>
      <c r="I233" s="281"/>
      <c r="J233" s="39" t="s">
        <v>128</v>
      </c>
      <c r="K233" s="40" t="s">
        <v>132</v>
      </c>
    </row>
    <row r="234" spans="1:11" ht="15" x14ac:dyDescent="0.25">
      <c r="A234" s="278"/>
      <c r="B234" s="281"/>
      <c r="C234" s="56" t="str">
        <f>VLOOKUP(D207,$N$176:$O$185,2,FALSE)</f>
        <v xml:space="preserve"> </v>
      </c>
      <c r="D234" s="156" t="s">
        <v>380</v>
      </c>
      <c r="E234" s="154" t="s">
        <v>306</v>
      </c>
      <c r="G234" s="269"/>
      <c r="H234" s="292"/>
      <c r="I234" s="281"/>
      <c r="J234" s="41" t="s">
        <v>32</v>
      </c>
      <c r="K234" s="42"/>
    </row>
    <row r="235" spans="1:11" ht="15" x14ac:dyDescent="0.25">
      <c r="A235" s="278"/>
      <c r="B235" s="281"/>
      <c r="C235" s="159" t="s">
        <v>379</v>
      </c>
      <c r="D235" s="156" t="s">
        <v>394</v>
      </c>
      <c r="E235" s="154" t="s">
        <v>306</v>
      </c>
      <c r="G235" s="269"/>
      <c r="H235" s="292"/>
      <c r="I235" s="281"/>
      <c r="J235" s="70"/>
      <c r="K235" s="71"/>
    </row>
    <row r="236" spans="1:11" ht="15" customHeight="1" thickBot="1" x14ac:dyDescent="0.3">
      <c r="A236" s="279"/>
      <c r="B236" s="282"/>
      <c r="C236" s="64" t="str">
        <f>VLOOKUP(D207,$N$176:$P$185,3,FALSE)</f>
        <v xml:space="preserve"> </v>
      </c>
      <c r="D236" s="166" t="e">
        <f>SUM(D234/D235)*100</f>
        <v>#VALUE!</v>
      </c>
      <c r="E236" s="154" t="s">
        <v>306</v>
      </c>
      <c r="G236" s="269"/>
      <c r="H236" s="292"/>
      <c r="I236" s="281"/>
      <c r="J236" s="35" t="s">
        <v>22</v>
      </c>
      <c r="K236" s="50">
        <v>90</v>
      </c>
    </row>
    <row r="237" spans="1:11" ht="18.75" customHeight="1" x14ac:dyDescent="0.25">
      <c r="A237" s="277" t="s">
        <v>26</v>
      </c>
      <c r="B237" s="280" t="s">
        <v>344</v>
      </c>
      <c r="C237" s="183" t="s">
        <v>96</v>
      </c>
      <c r="D237" s="24" t="s">
        <v>305</v>
      </c>
      <c r="E237" s="154" t="s">
        <v>306</v>
      </c>
      <c r="G237" s="269"/>
      <c r="H237" s="292"/>
      <c r="I237" s="281"/>
      <c r="J237" s="37" t="s">
        <v>23</v>
      </c>
      <c r="K237" s="50">
        <v>60</v>
      </c>
    </row>
    <row r="238" spans="1:11" ht="15" customHeight="1" x14ac:dyDescent="0.25">
      <c r="A238" s="278"/>
      <c r="B238" s="281"/>
      <c r="C238" s="88" t="str">
        <f>VLOOKUP(D237,$N$189:$X$198,10,FALSE)</f>
        <v xml:space="preserve"> </v>
      </c>
      <c r="D238" s="153" t="str">
        <f>C238</f>
        <v xml:space="preserve"> </v>
      </c>
      <c r="E238" s="154" t="s">
        <v>306</v>
      </c>
      <c r="G238" s="269"/>
      <c r="H238" s="292"/>
      <c r="I238" s="281"/>
      <c r="J238" s="41" t="s">
        <v>33</v>
      </c>
      <c r="K238" s="42"/>
    </row>
    <row r="239" spans="1:11" ht="15" customHeight="1" x14ac:dyDescent="0.25">
      <c r="A239" s="278"/>
      <c r="B239" s="281"/>
      <c r="C239" s="35" t="s">
        <v>125</v>
      </c>
      <c r="D239" s="74" t="str">
        <f>VLOOKUP(D237,$N$189:$X$199,2,FALSE)</f>
        <v xml:space="preserve"> </v>
      </c>
      <c r="E239" s="154" t="s">
        <v>306</v>
      </c>
      <c r="G239" s="269"/>
      <c r="H239" s="292"/>
      <c r="I239" s="281"/>
      <c r="J239" s="157"/>
      <c r="K239" s="71"/>
    </row>
    <row r="240" spans="1:11" ht="18.75" customHeight="1" x14ac:dyDescent="0.25">
      <c r="A240" s="278"/>
      <c r="B240" s="281"/>
      <c r="C240" s="37" t="s">
        <v>126</v>
      </c>
      <c r="D240" s="74" t="str">
        <f>VLOOKUP(D237,$N$189:$X$199,3,FALSE)</f>
        <v xml:space="preserve"> </v>
      </c>
      <c r="E240" s="154" t="s">
        <v>306</v>
      </c>
      <c r="G240" s="269"/>
      <c r="H240" s="292"/>
      <c r="I240" s="281"/>
      <c r="J240" s="63" t="s">
        <v>30</v>
      </c>
      <c r="K240" s="58"/>
    </row>
    <row r="241" spans="1:11" ht="18.75" customHeight="1" thickBot="1" x14ac:dyDescent="0.3">
      <c r="A241" s="278"/>
      <c r="B241" s="281"/>
      <c r="C241" s="38" t="s">
        <v>127</v>
      </c>
      <c r="D241" s="74" t="str">
        <f>VLOOKUP(D237,$N$189:$X$199,4,FALSE)</f>
        <v xml:space="preserve"> </v>
      </c>
      <c r="E241" s="154" t="s">
        <v>306</v>
      </c>
      <c r="G241" s="270"/>
      <c r="H241" s="293"/>
      <c r="I241" s="282"/>
      <c r="J241" s="64" t="s">
        <v>194</v>
      </c>
      <c r="K241" s="65"/>
    </row>
    <row r="242" spans="1:11" ht="15" x14ac:dyDescent="0.25">
      <c r="A242" s="278"/>
      <c r="B242" s="281"/>
      <c r="C242" s="39" t="s">
        <v>128</v>
      </c>
      <c r="D242" s="74" t="str">
        <f>VLOOKUP(D237,$N$189:$X$199,5,FALSE)</f>
        <v xml:space="preserve"> </v>
      </c>
      <c r="E242" s="154" t="s">
        <v>306</v>
      </c>
      <c r="G242" s="268" t="s">
        <v>26</v>
      </c>
      <c r="H242" s="289"/>
      <c r="I242" s="280" t="s">
        <v>207</v>
      </c>
      <c r="J242" s="33" t="s">
        <v>29</v>
      </c>
      <c r="K242" s="34"/>
    </row>
    <row r="243" spans="1:11" ht="15" x14ac:dyDescent="0.25">
      <c r="A243" s="278"/>
      <c r="B243" s="281"/>
      <c r="C243" s="88" t="str">
        <f>VLOOKUP(D237,$N$189:$X$198,11,FALSE)</f>
        <v xml:space="preserve"> </v>
      </c>
      <c r="D243" s="153" t="str">
        <f>C243</f>
        <v xml:space="preserve"> </v>
      </c>
      <c r="E243" s="154" t="s">
        <v>306</v>
      </c>
      <c r="G243" s="269"/>
      <c r="H243" s="290"/>
      <c r="I243" s="281"/>
      <c r="J243" s="35" t="s">
        <v>125</v>
      </c>
      <c r="K243" s="36" t="s">
        <v>129</v>
      </c>
    </row>
    <row r="244" spans="1:11" ht="15" x14ac:dyDescent="0.25">
      <c r="A244" s="278"/>
      <c r="B244" s="281"/>
      <c r="C244" s="35" t="s">
        <v>22</v>
      </c>
      <c r="D244" s="50" t="str">
        <f>VLOOKUP(D237,$N$189:$X$199,6,FALSE)</f>
        <v xml:space="preserve"> </v>
      </c>
      <c r="E244" s="154" t="s">
        <v>306</v>
      </c>
      <c r="G244" s="269"/>
      <c r="H244" s="290"/>
      <c r="I244" s="281"/>
      <c r="J244" s="35"/>
      <c r="K244" s="36"/>
    </row>
    <row r="245" spans="1:11" ht="15" customHeight="1" x14ac:dyDescent="0.25">
      <c r="A245" s="278"/>
      <c r="B245" s="281"/>
      <c r="C245" s="37" t="s">
        <v>23</v>
      </c>
      <c r="D245" s="50" t="str">
        <f>VLOOKUP(D237,$N$189:$X$199,7,FALSE)</f>
        <v xml:space="preserve"> </v>
      </c>
      <c r="E245" s="154" t="s">
        <v>306</v>
      </c>
      <c r="G245" s="269"/>
      <c r="H245" s="290"/>
      <c r="I245" s="281"/>
      <c r="J245" s="37" t="s">
        <v>126</v>
      </c>
      <c r="K245" s="36" t="s">
        <v>130</v>
      </c>
    </row>
    <row r="246" spans="1:11" ht="15" customHeight="1" thickBot="1" x14ac:dyDescent="0.3">
      <c r="A246" s="278"/>
      <c r="B246" s="281"/>
      <c r="C246" s="203" t="s">
        <v>24</v>
      </c>
      <c r="D246" s="204" t="str">
        <f>VLOOKUP(D237,$N$189:$X$199,8,FALSE)</f>
        <v xml:space="preserve"> </v>
      </c>
      <c r="E246" s="154" t="s">
        <v>306</v>
      </c>
      <c r="G246" s="269"/>
      <c r="H246" s="291" t="s">
        <v>177</v>
      </c>
      <c r="I246" s="281"/>
      <c r="J246" s="38" t="s">
        <v>127</v>
      </c>
      <c r="K246" s="36" t="s">
        <v>131</v>
      </c>
    </row>
    <row r="247" spans="1:11" ht="15" customHeight="1" x14ac:dyDescent="0.25">
      <c r="A247" s="278"/>
      <c r="B247" s="281"/>
      <c r="C247" s="89" t="s">
        <v>282</v>
      </c>
      <c r="D247" s="190" t="s">
        <v>307</v>
      </c>
      <c r="G247" s="269"/>
      <c r="H247" s="291"/>
      <c r="I247" s="281"/>
      <c r="J247" s="38"/>
      <c r="K247" s="36"/>
    </row>
    <row r="248" spans="1:11" ht="15" customHeight="1" x14ac:dyDescent="0.25">
      <c r="A248" s="278"/>
      <c r="B248" s="281"/>
      <c r="C248" s="88" t="str">
        <f>VLOOKUP(D237,$N$189:$X$198,9,FALSE)</f>
        <v xml:space="preserve"> </v>
      </c>
      <c r="D248" s="153" t="str">
        <f>C248</f>
        <v xml:space="preserve"> </v>
      </c>
      <c r="E248" s="154" t="s">
        <v>306</v>
      </c>
      <c r="G248" s="269"/>
      <c r="H248" s="292"/>
      <c r="I248" s="281"/>
      <c r="J248" s="39" t="s">
        <v>128</v>
      </c>
      <c r="K248" s="40" t="s">
        <v>132</v>
      </c>
    </row>
    <row r="249" spans="1:11" ht="15" x14ac:dyDescent="0.25">
      <c r="A249" s="278"/>
      <c r="B249" s="281"/>
      <c r="C249" s="56" t="str">
        <f>VLOOKUP(D237,$N$176:$P$185,2,FALSE)</f>
        <v xml:space="preserve"> </v>
      </c>
      <c r="D249" s="156" t="s">
        <v>380</v>
      </c>
      <c r="E249" s="154" t="s">
        <v>306</v>
      </c>
      <c r="G249" s="269"/>
      <c r="H249" s="292"/>
      <c r="I249" s="281"/>
      <c r="J249" s="41" t="s">
        <v>32</v>
      </c>
      <c r="K249" s="42"/>
    </row>
    <row r="250" spans="1:11" ht="15" x14ac:dyDescent="0.25">
      <c r="A250" s="278"/>
      <c r="B250" s="281"/>
      <c r="C250" s="159" t="s">
        <v>379</v>
      </c>
      <c r="D250" s="156" t="s">
        <v>394</v>
      </c>
      <c r="E250" s="154" t="s">
        <v>306</v>
      </c>
      <c r="G250" s="269"/>
      <c r="H250" s="292"/>
      <c r="I250" s="281"/>
      <c r="J250" s="35" t="s">
        <v>22</v>
      </c>
      <c r="K250" s="50">
        <v>90</v>
      </c>
    </row>
    <row r="251" spans="1:11" ht="15" customHeight="1" thickBot="1" x14ac:dyDescent="0.3">
      <c r="A251" s="278"/>
      <c r="B251" s="281"/>
      <c r="C251" s="64" t="str">
        <f>VLOOKUP(D237,$N$176:$P$185,3,FALSE)</f>
        <v xml:space="preserve"> </v>
      </c>
      <c r="D251" s="166" t="e">
        <f>SUM(D249/D250)*100</f>
        <v>#VALUE!</v>
      </c>
      <c r="E251" s="154" t="s">
        <v>306</v>
      </c>
      <c r="G251" s="269"/>
      <c r="H251" s="292"/>
      <c r="I251" s="281"/>
      <c r="J251" s="37" t="s">
        <v>23</v>
      </c>
      <c r="K251" s="50">
        <v>60</v>
      </c>
    </row>
    <row r="252" spans="1:11" ht="15" x14ac:dyDescent="0.25">
      <c r="A252" s="278"/>
      <c r="B252" s="281"/>
      <c r="C252" s="89" t="s">
        <v>283</v>
      </c>
      <c r="D252" s="148" t="s">
        <v>307</v>
      </c>
      <c r="E252" s="154" t="s">
        <v>306</v>
      </c>
      <c r="G252" s="269"/>
      <c r="H252" s="292"/>
      <c r="I252" s="281"/>
      <c r="J252" s="38" t="s">
        <v>24</v>
      </c>
      <c r="K252" s="50">
        <v>40</v>
      </c>
    </row>
    <row r="253" spans="1:11" ht="15" x14ac:dyDescent="0.25">
      <c r="A253" s="278"/>
      <c r="B253" s="281"/>
      <c r="C253" s="88" t="str">
        <f>VLOOKUP(D237,$N$189:$X$198,9,FALSE)</f>
        <v xml:space="preserve"> </v>
      </c>
      <c r="D253" s="153" t="str">
        <f>C253</f>
        <v xml:space="preserve"> </v>
      </c>
      <c r="E253" s="154" t="s">
        <v>306</v>
      </c>
      <c r="G253" s="269"/>
      <c r="H253" s="292"/>
      <c r="I253" s="281"/>
      <c r="J253" s="41" t="s">
        <v>33</v>
      </c>
      <c r="K253" s="42"/>
    </row>
    <row r="254" spans="1:11" ht="15" customHeight="1" x14ac:dyDescent="0.25">
      <c r="A254" s="278"/>
      <c r="B254" s="281"/>
      <c r="C254" s="56" t="str">
        <f>VLOOKUP(D237,$N$176:$O$185,2,FALSE)</f>
        <v xml:space="preserve"> </v>
      </c>
      <c r="D254" s="156" t="s">
        <v>380</v>
      </c>
      <c r="E254" s="154" t="s">
        <v>306</v>
      </c>
      <c r="G254" s="269"/>
      <c r="H254" s="292"/>
      <c r="I254" s="281"/>
      <c r="J254" s="63" t="s">
        <v>30</v>
      </c>
      <c r="K254" s="58"/>
    </row>
    <row r="255" spans="1:11" ht="15.75" thickBot="1" x14ac:dyDescent="0.3">
      <c r="A255" s="278"/>
      <c r="B255" s="281"/>
      <c r="C255" s="159" t="s">
        <v>379</v>
      </c>
      <c r="D255" s="156" t="s">
        <v>394</v>
      </c>
      <c r="E255" s="154" t="s">
        <v>306</v>
      </c>
      <c r="G255" s="270"/>
      <c r="H255" s="293"/>
      <c r="I255" s="282"/>
      <c r="J255" s="64" t="s">
        <v>194</v>
      </c>
      <c r="K255" s="65"/>
    </row>
    <row r="256" spans="1:11" ht="15.75" thickBot="1" x14ac:dyDescent="0.3">
      <c r="A256" s="278"/>
      <c r="B256" s="281"/>
      <c r="C256" s="64" t="str">
        <f>VLOOKUP(D237,$N$176:$P$185,3,FALSE)</f>
        <v xml:space="preserve"> </v>
      </c>
      <c r="D256" s="166" t="e">
        <f>SUM(D254/D255)*100</f>
        <v>#VALUE!</v>
      </c>
      <c r="E256" s="154" t="s">
        <v>306</v>
      </c>
      <c r="G256" s="268" t="s">
        <v>26</v>
      </c>
      <c r="H256" s="289"/>
      <c r="I256" s="280" t="s">
        <v>341</v>
      </c>
      <c r="J256" s="33" t="s">
        <v>28</v>
      </c>
      <c r="K256" s="34"/>
    </row>
    <row r="257" spans="1:11" ht="15" x14ac:dyDescent="0.25">
      <c r="A257" s="278"/>
      <c r="B257" s="281"/>
      <c r="C257" s="89" t="s">
        <v>284</v>
      </c>
      <c r="D257" s="148" t="s">
        <v>307</v>
      </c>
      <c r="E257" s="154" t="s">
        <v>306</v>
      </c>
      <c r="G257" s="269"/>
      <c r="H257" s="290"/>
      <c r="I257" s="281"/>
      <c r="J257" s="35" t="s">
        <v>125</v>
      </c>
      <c r="K257" s="36" t="s">
        <v>129</v>
      </c>
    </row>
    <row r="258" spans="1:11" ht="15" x14ac:dyDescent="0.25">
      <c r="A258" s="278"/>
      <c r="B258" s="281"/>
      <c r="C258" s="88" t="str">
        <f>VLOOKUP(D237,$N$189:$X$198,9,FALSE)</f>
        <v xml:space="preserve"> </v>
      </c>
      <c r="D258" s="153" t="str">
        <f>C258</f>
        <v xml:space="preserve"> </v>
      </c>
      <c r="E258" s="154" t="s">
        <v>306</v>
      </c>
      <c r="G258" s="269"/>
      <c r="H258" s="290"/>
      <c r="I258" s="281"/>
      <c r="J258" s="37" t="s">
        <v>126</v>
      </c>
      <c r="K258" s="36" t="s">
        <v>130</v>
      </c>
    </row>
    <row r="259" spans="1:11" ht="15" customHeight="1" x14ac:dyDescent="0.25">
      <c r="A259" s="278"/>
      <c r="B259" s="281"/>
      <c r="C259" s="56" t="str">
        <f>VLOOKUP(D237,$N$176:$O$185,2,FALSE)</f>
        <v xml:space="preserve"> </v>
      </c>
      <c r="D259" s="156" t="s">
        <v>380</v>
      </c>
      <c r="E259" s="154" t="s">
        <v>306</v>
      </c>
      <c r="G259" s="269"/>
      <c r="H259" s="291" t="s">
        <v>177</v>
      </c>
      <c r="I259" s="281"/>
      <c r="J259" s="38" t="s">
        <v>127</v>
      </c>
      <c r="K259" s="36" t="s">
        <v>131</v>
      </c>
    </row>
    <row r="260" spans="1:11" ht="15" customHeight="1" x14ac:dyDescent="0.25">
      <c r="A260" s="278"/>
      <c r="B260" s="281"/>
      <c r="C260" s="159" t="s">
        <v>379</v>
      </c>
      <c r="D260" s="156" t="s">
        <v>394</v>
      </c>
      <c r="E260" s="154" t="s">
        <v>306</v>
      </c>
      <c r="G260" s="269"/>
      <c r="H260" s="292"/>
      <c r="I260" s="281"/>
      <c r="J260" s="39" t="s">
        <v>128</v>
      </c>
      <c r="K260" s="40" t="s">
        <v>132</v>
      </c>
    </row>
    <row r="261" spans="1:11" ht="15" customHeight="1" thickBot="1" x14ac:dyDescent="0.3">
      <c r="A261" s="278"/>
      <c r="B261" s="281"/>
      <c r="C261" s="64" t="str">
        <f>VLOOKUP(D237,$N$176:$P$185,3,FALSE)</f>
        <v xml:space="preserve"> </v>
      </c>
      <c r="D261" s="166" t="e">
        <f>SUM(D259/D260)*100</f>
        <v>#VALUE!</v>
      </c>
      <c r="E261" s="154" t="s">
        <v>306</v>
      </c>
      <c r="G261" s="269"/>
      <c r="H261" s="292"/>
      <c r="I261" s="281"/>
      <c r="J261" s="41" t="s">
        <v>36</v>
      </c>
      <c r="K261" s="42"/>
    </row>
    <row r="262" spans="1:11" ht="15" x14ac:dyDescent="0.25">
      <c r="A262" s="278"/>
      <c r="B262" s="281"/>
      <c r="C262" s="89" t="s">
        <v>285</v>
      </c>
      <c r="D262" s="148" t="s">
        <v>307</v>
      </c>
      <c r="E262" s="154" t="s">
        <v>306</v>
      </c>
      <c r="G262" s="269"/>
      <c r="H262" s="292"/>
      <c r="I262" s="281"/>
      <c r="J262" s="35" t="s">
        <v>22</v>
      </c>
      <c r="K262" s="50">
        <v>57</v>
      </c>
    </row>
    <row r="263" spans="1:11" ht="15" x14ac:dyDescent="0.25">
      <c r="A263" s="278"/>
      <c r="B263" s="281"/>
      <c r="C263" s="70" t="str">
        <f>VLOOKUP(D237,$N$189:$X$1390,9,FALSE)</f>
        <v xml:space="preserve"> </v>
      </c>
      <c r="D263" s="153" t="str">
        <f>C263</f>
        <v xml:space="preserve"> </v>
      </c>
      <c r="E263" s="154" t="s">
        <v>306</v>
      </c>
      <c r="G263" s="269"/>
      <c r="H263" s="292"/>
      <c r="I263" s="281"/>
      <c r="J263" s="37" t="s">
        <v>23</v>
      </c>
      <c r="K263" s="50">
        <v>46</v>
      </c>
    </row>
    <row r="264" spans="1:11" ht="15" customHeight="1" x14ac:dyDescent="0.25">
      <c r="A264" s="278"/>
      <c r="B264" s="281"/>
      <c r="C264" s="56" t="str">
        <f>VLOOKUP(D237,$N$176:$O$185,2,FALSE)</f>
        <v xml:space="preserve"> </v>
      </c>
      <c r="D264" s="156" t="s">
        <v>380</v>
      </c>
      <c r="E264" s="154" t="s">
        <v>306</v>
      </c>
      <c r="G264" s="269"/>
      <c r="H264" s="292"/>
      <c r="I264" s="281"/>
      <c r="J264" s="38" t="s">
        <v>24</v>
      </c>
      <c r="K264" s="50">
        <v>36</v>
      </c>
    </row>
    <row r="265" spans="1:11" ht="15" customHeight="1" x14ac:dyDescent="0.25">
      <c r="A265" s="278"/>
      <c r="B265" s="281"/>
      <c r="C265" s="159" t="s">
        <v>379</v>
      </c>
      <c r="D265" s="156" t="s">
        <v>394</v>
      </c>
      <c r="E265" s="154" t="s">
        <v>306</v>
      </c>
      <c r="G265" s="269"/>
      <c r="H265" s="292"/>
      <c r="I265" s="281"/>
      <c r="J265" s="41" t="s">
        <v>35</v>
      </c>
      <c r="K265" s="42"/>
    </row>
    <row r="266" spans="1:11" ht="15.75" thickBot="1" x14ac:dyDescent="0.3">
      <c r="A266" s="279"/>
      <c r="B266" s="282"/>
      <c r="C266" s="64" t="str">
        <f>VLOOKUP(D237,$N$176:$P$185,3,FALSE)</f>
        <v xml:space="preserve"> </v>
      </c>
      <c r="D266" s="166" t="e">
        <f>SUM(D264/D265)*100</f>
        <v>#VALUE!</v>
      </c>
      <c r="E266" s="154" t="s">
        <v>306</v>
      </c>
      <c r="G266" s="269"/>
      <c r="H266" s="292"/>
      <c r="I266" s="281"/>
      <c r="J266" s="63" t="s">
        <v>31</v>
      </c>
      <c r="K266" s="66" t="s">
        <v>218</v>
      </c>
    </row>
    <row r="267" spans="1:11" ht="15.75" thickBot="1" x14ac:dyDescent="0.3">
      <c r="A267" s="268" t="s">
        <v>26</v>
      </c>
      <c r="B267" s="280" t="s">
        <v>326</v>
      </c>
      <c r="C267" s="91" t="s">
        <v>96</v>
      </c>
      <c r="D267" s="28" t="s">
        <v>380</v>
      </c>
      <c r="E267" s="154" t="s">
        <v>306</v>
      </c>
      <c r="G267" s="270"/>
      <c r="H267" s="293"/>
      <c r="I267" s="282"/>
      <c r="J267" s="64" t="s">
        <v>196</v>
      </c>
      <c r="K267" s="67" t="s">
        <v>218</v>
      </c>
    </row>
    <row r="268" spans="1:11" ht="15" customHeight="1" x14ac:dyDescent="0.25">
      <c r="A268" s="269"/>
      <c r="B268" s="281"/>
      <c r="C268" s="92" t="s">
        <v>205</v>
      </c>
      <c r="D268" s="25" t="s">
        <v>297</v>
      </c>
      <c r="E268" s="154" t="s">
        <v>306</v>
      </c>
    </row>
    <row r="269" spans="1:11" ht="15" x14ac:dyDescent="0.25">
      <c r="A269" s="269"/>
      <c r="B269" s="281"/>
      <c r="C269" s="93" t="s">
        <v>97</v>
      </c>
      <c r="D269" s="190" t="s">
        <v>303</v>
      </c>
      <c r="E269" s="154" t="s">
        <v>306</v>
      </c>
    </row>
    <row r="270" spans="1:11" ht="15" x14ac:dyDescent="0.25">
      <c r="A270" s="269"/>
      <c r="B270" s="281"/>
      <c r="C270" s="72" t="s">
        <v>301</v>
      </c>
      <c r="D270" s="173" t="str">
        <f>C270</f>
        <v xml:space="preserve"> To receive the indicator rating, the criteria for the additional measure of student academic growth was:</v>
      </c>
      <c r="E270" s="154" t="s">
        <v>306</v>
      </c>
    </row>
    <row r="271" spans="1:11" ht="15" x14ac:dyDescent="0.25">
      <c r="A271" s="269"/>
      <c r="B271" s="281"/>
      <c r="C271" s="35" t="s">
        <v>125</v>
      </c>
      <c r="D271" s="26" t="s">
        <v>118</v>
      </c>
      <c r="E271" s="154" t="s">
        <v>306</v>
      </c>
    </row>
    <row r="272" spans="1:11" ht="15" x14ac:dyDescent="0.25">
      <c r="A272" s="269"/>
      <c r="B272" s="281"/>
      <c r="C272" s="37" t="s">
        <v>126</v>
      </c>
      <c r="D272" s="26" t="s">
        <v>119</v>
      </c>
      <c r="E272" s="154" t="s">
        <v>306</v>
      </c>
    </row>
    <row r="273" spans="1:5" ht="15" x14ac:dyDescent="0.25">
      <c r="A273" s="269"/>
      <c r="B273" s="281"/>
      <c r="C273" s="38" t="s">
        <v>127</v>
      </c>
      <c r="D273" s="26" t="s">
        <v>120</v>
      </c>
      <c r="E273" s="154" t="s">
        <v>306</v>
      </c>
    </row>
    <row r="274" spans="1:5" ht="15" x14ac:dyDescent="0.25">
      <c r="A274" s="269"/>
      <c r="B274" s="281"/>
      <c r="C274" s="39" t="s">
        <v>128</v>
      </c>
      <c r="D274" s="191" t="s">
        <v>121</v>
      </c>
      <c r="E274" s="154" t="s">
        <v>306</v>
      </c>
    </row>
    <row r="275" spans="1:5" ht="15" x14ac:dyDescent="0.25">
      <c r="A275" s="269"/>
      <c r="B275" s="281"/>
      <c r="C275" s="41" t="s">
        <v>68</v>
      </c>
      <c r="D275" s="173" t="str">
        <f>C275</f>
        <v>Cut-point values for additional measure  of student academic growth were:</v>
      </c>
      <c r="E275" s="154" t="s">
        <v>306</v>
      </c>
    </row>
    <row r="276" spans="1:5" ht="15" x14ac:dyDescent="0.25">
      <c r="A276" s="269"/>
      <c r="B276" s="281"/>
      <c r="C276" s="35" t="s">
        <v>22</v>
      </c>
      <c r="D276" s="27" t="s">
        <v>122</v>
      </c>
      <c r="E276" s="154" t="s">
        <v>306</v>
      </c>
    </row>
    <row r="277" spans="1:5" ht="15" customHeight="1" x14ac:dyDescent="0.25">
      <c r="A277" s="269"/>
      <c r="B277" s="281"/>
      <c r="C277" s="37" t="s">
        <v>23</v>
      </c>
      <c r="D277" s="27" t="s">
        <v>123</v>
      </c>
      <c r="E277" s="154" t="s">
        <v>306</v>
      </c>
    </row>
    <row r="278" spans="1:5" ht="15" customHeight="1" x14ac:dyDescent="0.25">
      <c r="A278" s="269"/>
      <c r="B278" s="281"/>
      <c r="C278" s="38" t="s">
        <v>24</v>
      </c>
      <c r="D278" s="189" t="s">
        <v>124</v>
      </c>
      <c r="E278" s="154" t="s">
        <v>306</v>
      </c>
    </row>
    <row r="279" spans="1:5" ht="15" customHeight="1" x14ac:dyDescent="0.25">
      <c r="A279" s="269"/>
      <c r="B279" s="281"/>
      <c r="C279" s="41" t="s">
        <v>302</v>
      </c>
      <c r="D279" s="173" t="str">
        <f>C279</f>
        <v>Your school's actual value for additional measure of student academic growth was:</v>
      </c>
      <c r="E279" s="154" t="s">
        <v>306</v>
      </c>
    </row>
    <row r="280" spans="1:5" ht="15" x14ac:dyDescent="0.25">
      <c r="A280" s="269"/>
      <c r="B280" s="281"/>
      <c r="C280" s="63" t="s">
        <v>372</v>
      </c>
      <c r="D280" s="156" t="s">
        <v>380</v>
      </c>
      <c r="E280" s="154" t="s">
        <v>306</v>
      </c>
    </row>
    <row r="281" spans="1:5" ht="15" x14ac:dyDescent="0.25">
      <c r="A281" s="269"/>
      <c r="B281" s="281"/>
      <c r="C281" s="159" t="s">
        <v>379</v>
      </c>
      <c r="D281" s="156" t="s">
        <v>394</v>
      </c>
      <c r="E281" s="154" t="s">
        <v>306</v>
      </c>
    </row>
    <row r="282" spans="1:5" ht="15" customHeight="1" thickBot="1" x14ac:dyDescent="0.3">
      <c r="A282" s="270"/>
      <c r="B282" s="282"/>
      <c r="C282" s="64" t="s">
        <v>359</v>
      </c>
      <c r="D282" s="166" t="e">
        <f>SUM(D280/D281)*100</f>
        <v>#VALUE!</v>
      </c>
      <c r="E282" s="154" t="s">
        <v>306</v>
      </c>
    </row>
    <row r="283" spans="1:5" ht="15" x14ac:dyDescent="0.25">
      <c r="A283" s="268" t="s">
        <v>26</v>
      </c>
      <c r="B283" s="280" t="s">
        <v>327</v>
      </c>
      <c r="C283" s="91" t="s">
        <v>96</v>
      </c>
      <c r="D283" s="24" t="s">
        <v>296</v>
      </c>
      <c r="E283" s="154" t="s">
        <v>306</v>
      </c>
    </row>
    <row r="284" spans="1:5" ht="15" x14ac:dyDescent="0.25">
      <c r="A284" s="269"/>
      <c r="B284" s="281"/>
      <c r="C284" s="92" t="s">
        <v>205</v>
      </c>
      <c r="D284" s="25" t="s">
        <v>297</v>
      </c>
      <c r="E284" s="154" t="s">
        <v>306</v>
      </c>
    </row>
    <row r="285" spans="1:5" ht="15" customHeight="1" x14ac:dyDescent="0.25">
      <c r="A285" s="269"/>
      <c r="B285" s="281"/>
      <c r="C285" s="93" t="s">
        <v>97</v>
      </c>
      <c r="D285" s="190" t="s">
        <v>303</v>
      </c>
      <c r="E285" s="154" t="s">
        <v>306</v>
      </c>
    </row>
    <row r="286" spans="1:5" ht="15" x14ac:dyDescent="0.25">
      <c r="A286" s="269"/>
      <c r="B286" s="281"/>
      <c r="C286" s="72" t="s">
        <v>301</v>
      </c>
      <c r="D286" s="173" t="str">
        <f>C286</f>
        <v xml:space="preserve"> To receive the indicator rating, the criteria for the additional measure of student academic growth was:</v>
      </c>
      <c r="E286" s="154" t="s">
        <v>306</v>
      </c>
    </row>
    <row r="287" spans="1:5" ht="15" x14ac:dyDescent="0.25">
      <c r="A287" s="269"/>
      <c r="B287" s="281"/>
      <c r="C287" s="35" t="s">
        <v>125</v>
      </c>
      <c r="D287" s="26" t="s">
        <v>118</v>
      </c>
      <c r="E287" s="154" t="s">
        <v>306</v>
      </c>
    </row>
    <row r="288" spans="1:5" ht="15" x14ac:dyDescent="0.25">
      <c r="A288" s="269"/>
      <c r="B288" s="281"/>
      <c r="C288" s="37" t="s">
        <v>126</v>
      </c>
      <c r="D288" s="26" t="s">
        <v>119</v>
      </c>
      <c r="E288" s="154" t="s">
        <v>306</v>
      </c>
    </row>
    <row r="289" spans="1:5" ht="15" x14ac:dyDescent="0.25">
      <c r="A289" s="269"/>
      <c r="B289" s="281"/>
      <c r="C289" s="38" t="s">
        <v>127</v>
      </c>
      <c r="D289" s="26" t="s">
        <v>120</v>
      </c>
      <c r="E289" s="154" t="s">
        <v>306</v>
      </c>
    </row>
    <row r="290" spans="1:5" ht="15" customHeight="1" x14ac:dyDescent="0.25">
      <c r="A290" s="269"/>
      <c r="B290" s="281"/>
      <c r="C290" s="39" t="s">
        <v>128</v>
      </c>
      <c r="D290" s="191" t="s">
        <v>121</v>
      </c>
      <c r="E290" s="154" t="s">
        <v>306</v>
      </c>
    </row>
    <row r="291" spans="1:5" ht="15" customHeight="1" x14ac:dyDescent="0.25">
      <c r="A291" s="269"/>
      <c r="B291" s="281"/>
      <c r="C291" s="41" t="s">
        <v>68</v>
      </c>
      <c r="D291" s="173" t="str">
        <f>C291</f>
        <v>Cut-point values for additional measure  of student academic growth were:</v>
      </c>
      <c r="E291" s="154" t="s">
        <v>306</v>
      </c>
    </row>
    <row r="292" spans="1:5" ht="15" customHeight="1" x14ac:dyDescent="0.25">
      <c r="A292" s="269"/>
      <c r="B292" s="281"/>
      <c r="C292" s="35" t="s">
        <v>22</v>
      </c>
      <c r="D292" s="27" t="s">
        <v>122</v>
      </c>
      <c r="E292" s="154" t="s">
        <v>306</v>
      </c>
    </row>
    <row r="293" spans="1:5" ht="15" customHeight="1" x14ac:dyDescent="0.25">
      <c r="A293" s="269"/>
      <c r="B293" s="281"/>
      <c r="C293" s="37" t="s">
        <v>23</v>
      </c>
      <c r="D293" s="27" t="s">
        <v>123</v>
      </c>
      <c r="E293" s="154" t="s">
        <v>306</v>
      </c>
    </row>
    <row r="294" spans="1:5" ht="15" x14ac:dyDescent="0.25">
      <c r="A294" s="269"/>
      <c r="B294" s="281"/>
      <c r="C294" s="38" t="s">
        <v>24</v>
      </c>
      <c r="D294" s="189" t="s">
        <v>124</v>
      </c>
      <c r="E294" s="154" t="s">
        <v>306</v>
      </c>
    </row>
    <row r="295" spans="1:5" ht="15" x14ac:dyDescent="0.25">
      <c r="A295" s="269"/>
      <c r="B295" s="281"/>
      <c r="C295" s="41" t="s">
        <v>302</v>
      </c>
      <c r="D295" s="173" t="str">
        <f>C295</f>
        <v>Your school's actual value for additional measure of student academic growth was:</v>
      </c>
      <c r="E295" s="154" t="s">
        <v>306</v>
      </c>
    </row>
    <row r="296" spans="1:5" ht="15" customHeight="1" x14ac:dyDescent="0.25">
      <c r="A296" s="269"/>
      <c r="B296" s="281"/>
      <c r="C296" s="63" t="s">
        <v>372</v>
      </c>
      <c r="D296" s="156" t="s">
        <v>380</v>
      </c>
      <c r="E296" s="154" t="s">
        <v>306</v>
      </c>
    </row>
    <row r="297" spans="1:5" ht="15" x14ac:dyDescent="0.25">
      <c r="A297" s="269"/>
      <c r="B297" s="281"/>
      <c r="C297" s="159" t="s">
        <v>379</v>
      </c>
      <c r="D297" s="156" t="s">
        <v>394</v>
      </c>
      <c r="E297" s="154" t="s">
        <v>306</v>
      </c>
    </row>
    <row r="298" spans="1:5" ht="15.75" thickBot="1" x14ac:dyDescent="0.3">
      <c r="A298" s="270"/>
      <c r="B298" s="282"/>
      <c r="C298" s="64" t="s">
        <v>359</v>
      </c>
      <c r="D298" s="166" t="e">
        <f>SUM(D296/D297)*100</f>
        <v>#VALUE!</v>
      </c>
      <c r="E298" s="154" t="s">
        <v>306</v>
      </c>
    </row>
    <row r="299" spans="1:5" ht="15" customHeight="1" x14ac:dyDescent="0.25">
      <c r="A299" s="268" t="s">
        <v>26</v>
      </c>
      <c r="B299" s="280" t="s">
        <v>328</v>
      </c>
      <c r="C299" s="91" t="s">
        <v>96</v>
      </c>
      <c r="D299" s="24" t="s">
        <v>296</v>
      </c>
      <c r="E299" s="154" t="s">
        <v>306</v>
      </c>
    </row>
    <row r="300" spans="1:5" ht="15" x14ac:dyDescent="0.25">
      <c r="A300" s="269"/>
      <c r="B300" s="281"/>
      <c r="C300" s="92" t="s">
        <v>205</v>
      </c>
      <c r="D300" s="25" t="s">
        <v>297</v>
      </c>
      <c r="E300" s="154" t="s">
        <v>306</v>
      </c>
    </row>
    <row r="301" spans="1:5" ht="15" x14ac:dyDescent="0.25">
      <c r="A301" s="269"/>
      <c r="B301" s="281"/>
      <c r="C301" s="93" t="s">
        <v>97</v>
      </c>
      <c r="D301" s="190" t="s">
        <v>303</v>
      </c>
      <c r="E301" s="154" t="s">
        <v>306</v>
      </c>
    </row>
    <row r="302" spans="1:5" ht="15" x14ac:dyDescent="0.25">
      <c r="A302" s="269"/>
      <c r="B302" s="281"/>
      <c r="C302" s="72" t="s">
        <v>301</v>
      </c>
      <c r="D302" s="173" t="str">
        <f>C302</f>
        <v xml:space="preserve"> To receive the indicator rating, the criteria for the additional measure of student academic growth was:</v>
      </c>
      <c r="E302" s="154" t="s">
        <v>306</v>
      </c>
    </row>
    <row r="303" spans="1:5" ht="15" x14ac:dyDescent="0.25">
      <c r="A303" s="269"/>
      <c r="B303" s="281"/>
      <c r="C303" s="35" t="s">
        <v>125</v>
      </c>
      <c r="D303" s="26" t="s">
        <v>118</v>
      </c>
      <c r="E303" s="154" t="s">
        <v>306</v>
      </c>
    </row>
    <row r="304" spans="1:5" ht="15" customHeight="1" x14ac:dyDescent="0.25">
      <c r="A304" s="269"/>
      <c r="B304" s="281"/>
      <c r="C304" s="37" t="s">
        <v>126</v>
      </c>
      <c r="D304" s="26" t="s">
        <v>119</v>
      </c>
      <c r="E304" s="154" t="s">
        <v>306</v>
      </c>
    </row>
    <row r="305" spans="1:5" ht="15" customHeight="1" x14ac:dyDescent="0.25">
      <c r="A305" s="269"/>
      <c r="B305" s="281"/>
      <c r="C305" s="38" t="s">
        <v>127</v>
      </c>
      <c r="D305" s="26" t="s">
        <v>120</v>
      </c>
      <c r="E305" s="154" t="s">
        <v>306</v>
      </c>
    </row>
    <row r="306" spans="1:5" ht="15" customHeight="1" x14ac:dyDescent="0.25">
      <c r="A306" s="269"/>
      <c r="B306" s="281"/>
      <c r="C306" s="39" t="s">
        <v>128</v>
      </c>
      <c r="D306" s="191" t="s">
        <v>121</v>
      </c>
      <c r="E306" s="154" t="s">
        <v>306</v>
      </c>
    </row>
    <row r="307" spans="1:5" ht="15" customHeight="1" x14ac:dyDescent="0.25">
      <c r="A307" s="269"/>
      <c r="B307" s="281"/>
      <c r="C307" s="41" t="s">
        <v>68</v>
      </c>
      <c r="D307" s="173" t="str">
        <f>C307</f>
        <v>Cut-point values for additional measure  of student academic growth were:</v>
      </c>
      <c r="E307" s="154" t="s">
        <v>306</v>
      </c>
    </row>
    <row r="308" spans="1:5" ht="15" x14ac:dyDescent="0.25">
      <c r="A308" s="269"/>
      <c r="B308" s="281"/>
      <c r="C308" s="35" t="s">
        <v>22</v>
      </c>
      <c r="D308" s="27" t="s">
        <v>122</v>
      </c>
      <c r="E308" s="154" t="s">
        <v>306</v>
      </c>
    </row>
    <row r="309" spans="1:5" ht="15" x14ac:dyDescent="0.25">
      <c r="A309" s="269"/>
      <c r="B309" s="281"/>
      <c r="C309" s="37" t="s">
        <v>23</v>
      </c>
      <c r="D309" s="27" t="s">
        <v>123</v>
      </c>
      <c r="E309" s="154" t="s">
        <v>306</v>
      </c>
    </row>
    <row r="310" spans="1:5" ht="15.75" customHeight="1" x14ac:dyDescent="0.25">
      <c r="A310" s="269"/>
      <c r="B310" s="281"/>
      <c r="C310" s="38" t="s">
        <v>24</v>
      </c>
      <c r="D310" s="189" t="s">
        <v>124</v>
      </c>
      <c r="E310" s="154" t="s">
        <v>306</v>
      </c>
    </row>
    <row r="311" spans="1:5" ht="15" x14ac:dyDescent="0.25">
      <c r="A311" s="269"/>
      <c r="B311" s="281"/>
      <c r="C311" s="41" t="s">
        <v>302</v>
      </c>
      <c r="D311" s="173" t="str">
        <f>C311</f>
        <v>Your school's actual value for additional measure of student academic growth was:</v>
      </c>
      <c r="E311" s="154" t="s">
        <v>306</v>
      </c>
    </row>
    <row r="312" spans="1:5" ht="15" x14ac:dyDescent="0.25">
      <c r="A312" s="269"/>
      <c r="B312" s="281"/>
      <c r="C312" s="63" t="s">
        <v>372</v>
      </c>
      <c r="D312" s="156" t="s">
        <v>380</v>
      </c>
      <c r="E312" s="154" t="s">
        <v>306</v>
      </c>
    </row>
    <row r="313" spans="1:5" ht="15" x14ac:dyDescent="0.25">
      <c r="A313" s="269"/>
      <c r="B313" s="281"/>
      <c r="C313" s="159" t="s">
        <v>379</v>
      </c>
      <c r="D313" s="156" t="s">
        <v>394</v>
      </c>
      <c r="E313" s="154" t="s">
        <v>306</v>
      </c>
    </row>
    <row r="314" spans="1:5" ht="15.75" thickBot="1" x14ac:dyDescent="0.3">
      <c r="A314" s="270"/>
      <c r="B314" s="282"/>
      <c r="C314" s="64" t="s">
        <v>359</v>
      </c>
      <c r="D314" s="166" t="e">
        <f>SUM(D312/D313)*100</f>
        <v>#VALUE!</v>
      </c>
      <c r="E314" s="154" t="s">
        <v>306</v>
      </c>
    </row>
    <row r="315" spans="1:5" ht="15.75" thickBot="1" x14ac:dyDescent="0.3">
      <c r="A315" s="274" t="s">
        <v>314</v>
      </c>
      <c r="B315" s="296"/>
      <c r="C315" s="296"/>
      <c r="D315" s="297"/>
      <c r="E315" s="154" t="s">
        <v>306</v>
      </c>
    </row>
    <row r="316" spans="1:5" ht="19.5" thickBot="1" x14ac:dyDescent="0.35">
      <c r="A316" s="260" t="s">
        <v>93</v>
      </c>
      <c r="B316" s="261"/>
      <c r="C316" s="261"/>
      <c r="D316" s="262"/>
      <c r="E316" s="154" t="s">
        <v>306</v>
      </c>
    </row>
    <row r="317" spans="1:5" ht="15" customHeight="1" x14ac:dyDescent="0.25">
      <c r="A317" s="298" t="s">
        <v>27</v>
      </c>
      <c r="B317" s="280" t="s">
        <v>373</v>
      </c>
      <c r="C317" s="33" t="s">
        <v>61</v>
      </c>
      <c r="D317" s="152" t="str">
        <f>C317</f>
        <v xml:space="preserve"> To receive the indicator rating, the AEC's average daily attendance rate was:</v>
      </c>
      <c r="E317" s="154" t="s">
        <v>306</v>
      </c>
    </row>
    <row r="318" spans="1:5" ht="15" customHeight="1" x14ac:dyDescent="0.25">
      <c r="A318" s="299"/>
      <c r="B318" s="281"/>
      <c r="C318" s="35" t="s">
        <v>125</v>
      </c>
      <c r="D318" s="36" t="s">
        <v>18</v>
      </c>
      <c r="E318" s="154" t="s">
        <v>306</v>
      </c>
    </row>
    <row r="319" spans="1:5" ht="15" customHeight="1" x14ac:dyDescent="0.25">
      <c r="A319" s="299"/>
      <c r="B319" s="281"/>
      <c r="C319" s="37" t="s">
        <v>126</v>
      </c>
      <c r="D319" s="36" t="s">
        <v>19</v>
      </c>
      <c r="E319" s="154" t="s">
        <v>306</v>
      </c>
    </row>
    <row r="320" spans="1:5" ht="15" x14ac:dyDescent="0.25">
      <c r="A320" s="299"/>
      <c r="B320" s="281"/>
      <c r="C320" s="38" t="s">
        <v>127</v>
      </c>
      <c r="D320" s="36" t="s">
        <v>20</v>
      </c>
      <c r="E320" s="154" t="s">
        <v>306</v>
      </c>
    </row>
    <row r="321" spans="1:26" ht="15" x14ac:dyDescent="0.25">
      <c r="A321" s="299"/>
      <c r="B321" s="281"/>
      <c r="C321" s="39" t="s">
        <v>128</v>
      </c>
      <c r="D321" s="40" t="s">
        <v>21</v>
      </c>
      <c r="E321" s="154" t="s">
        <v>306</v>
      </c>
    </row>
    <row r="322" spans="1:26" ht="15" x14ac:dyDescent="0.25">
      <c r="A322" s="299"/>
      <c r="B322" s="281"/>
      <c r="C322" s="41" t="s">
        <v>62</v>
      </c>
      <c r="D322" s="173" t="str">
        <f>C322</f>
        <v>Cut-point values for average daily attendance rate were:</v>
      </c>
      <c r="E322" s="154" t="s">
        <v>306</v>
      </c>
    </row>
    <row r="323" spans="1:26" ht="15" x14ac:dyDescent="0.25">
      <c r="A323" s="299"/>
      <c r="B323" s="281"/>
      <c r="C323" s="35" t="s">
        <v>22</v>
      </c>
      <c r="D323" s="43">
        <v>92.5</v>
      </c>
      <c r="E323" s="154" t="s">
        <v>306</v>
      </c>
    </row>
    <row r="324" spans="1:26" ht="15" x14ac:dyDescent="0.25">
      <c r="A324" s="299"/>
      <c r="B324" s="281"/>
      <c r="C324" s="37" t="s">
        <v>23</v>
      </c>
      <c r="D324" s="43">
        <v>86.2</v>
      </c>
      <c r="E324" s="154" t="s">
        <v>306</v>
      </c>
    </row>
    <row r="325" spans="1:26" ht="15" x14ac:dyDescent="0.25">
      <c r="A325" s="299"/>
      <c r="B325" s="281"/>
      <c r="C325" s="38" t="s">
        <v>24</v>
      </c>
      <c r="D325" s="180">
        <v>81.3</v>
      </c>
      <c r="E325" s="154" t="s">
        <v>306</v>
      </c>
    </row>
    <row r="326" spans="1:26" ht="15" x14ac:dyDescent="0.25">
      <c r="A326" s="299"/>
      <c r="B326" s="281"/>
      <c r="C326" s="41" t="s">
        <v>63</v>
      </c>
      <c r="D326" s="173" t="str">
        <f>C326</f>
        <v>Your school's actual average daily attendance rate rate was:</v>
      </c>
      <c r="E326" s="154" t="s">
        <v>306</v>
      </c>
    </row>
    <row r="327" spans="1:26" ht="15" x14ac:dyDescent="0.25">
      <c r="A327" s="299"/>
      <c r="B327" s="281"/>
      <c r="C327" s="63" t="s">
        <v>64</v>
      </c>
      <c r="D327" s="45" t="s">
        <v>395</v>
      </c>
      <c r="E327" s="154" t="s">
        <v>306</v>
      </c>
    </row>
    <row r="328" spans="1:26" ht="15.75" thickBot="1" x14ac:dyDescent="0.3">
      <c r="A328" s="300"/>
      <c r="B328" s="282"/>
      <c r="C328" s="64" t="s">
        <v>194</v>
      </c>
      <c r="D328" s="45" t="s">
        <v>395</v>
      </c>
      <c r="E328" s="154" t="s">
        <v>306</v>
      </c>
    </row>
    <row r="329" spans="1:26" ht="15.75" thickBot="1" x14ac:dyDescent="0.3">
      <c r="A329" s="298" t="s">
        <v>27</v>
      </c>
      <c r="B329" s="280" t="s">
        <v>347</v>
      </c>
      <c r="C329" s="33" t="s">
        <v>86</v>
      </c>
      <c r="D329" s="152" t="str">
        <f>C329</f>
        <v xml:space="preserve"> To receive the indicator rating, the AEC's truancy rate was:</v>
      </c>
      <c r="E329" s="154" t="s">
        <v>306</v>
      </c>
      <c r="O329" s="47" t="s">
        <v>171</v>
      </c>
      <c r="P329" s="35" t="s">
        <v>125</v>
      </c>
      <c r="Q329" s="37" t="s">
        <v>126</v>
      </c>
      <c r="R329" s="38" t="s">
        <v>127</v>
      </c>
      <c r="S329" s="39" t="s">
        <v>128</v>
      </c>
      <c r="T329" s="35" t="s">
        <v>22</v>
      </c>
      <c r="U329" s="37" t="s">
        <v>23</v>
      </c>
      <c r="V329" s="38" t="s">
        <v>24</v>
      </c>
      <c r="W329" s="47" t="s">
        <v>298</v>
      </c>
      <c r="X329" s="47" t="s">
        <v>299</v>
      </c>
      <c r="Y329" s="47" t="s">
        <v>300</v>
      </c>
    </row>
    <row r="330" spans="1:26" ht="15.75" thickBot="1" x14ac:dyDescent="0.3">
      <c r="A330" s="299"/>
      <c r="B330" s="281"/>
      <c r="C330" s="35" t="s">
        <v>125</v>
      </c>
      <c r="D330" s="36" t="s">
        <v>18</v>
      </c>
      <c r="E330" s="154" t="s">
        <v>306</v>
      </c>
      <c r="H330" s="268" t="s">
        <v>26</v>
      </c>
      <c r="I330" s="280" t="s">
        <v>90</v>
      </c>
      <c r="J330" s="33" t="s">
        <v>45</v>
      </c>
      <c r="K330" s="34"/>
      <c r="N330" s="47" t="s">
        <v>305</v>
      </c>
      <c r="O330" s="47" t="s">
        <v>306</v>
      </c>
      <c r="P330" s="47" t="s">
        <v>306</v>
      </c>
      <c r="Q330" s="47" t="s">
        <v>306</v>
      </c>
      <c r="R330" s="47" t="s">
        <v>306</v>
      </c>
      <c r="S330" s="47" t="s">
        <v>306</v>
      </c>
      <c r="T330" s="47" t="s">
        <v>306</v>
      </c>
      <c r="U330" s="47" t="s">
        <v>306</v>
      </c>
      <c r="V330" s="47" t="s">
        <v>306</v>
      </c>
      <c r="W330" s="47" t="s">
        <v>306</v>
      </c>
      <c r="X330" s="47" t="s">
        <v>306</v>
      </c>
      <c r="Y330" s="47" t="s">
        <v>306</v>
      </c>
      <c r="Z330" s="47" t="s">
        <v>306</v>
      </c>
    </row>
    <row r="331" spans="1:26" ht="15.75" thickBot="1" x14ac:dyDescent="0.3">
      <c r="A331" s="299"/>
      <c r="B331" s="281"/>
      <c r="C331" s="37" t="s">
        <v>126</v>
      </c>
      <c r="D331" s="36" t="s">
        <v>19</v>
      </c>
      <c r="E331" s="154" t="s">
        <v>306</v>
      </c>
      <c r="H331" s="269"/>
      <c r="I331" s="281"/>
      <c r="J331" s="35" t="s">
        <v>125</v>
      </c>
      <c r="K331" s="36" t="s">
        <v>129</v>
      </c>
      <c r="N331" s="47" t="s">
        <v>309</v>
      </c>
      <c r="O331" s="63" t="s">
        <v>116</v>
      </c>
      <c r="P331" s="36" t="s">
        <v>129</v>
      </c>
      <c r="Q331" s="36" t="s">
        <v>130</v>
      </c>
      <c r="R331" s="36" t="s">
        <v>131</v>
      </c>
      <c r="S331" s="40" t="s">
        <v>132</v>
      </c>
      <c r="T331" s="50">
        <v>65.3</v>
      </c>
      <c r="U331" s="50">
        <v>39.9</v>
      </c>
      <c r="V331" s="50">
        <v>30.7</v>
      </c>
      <c r="W331" s="33" t="s">
        <v>353</v>
      </c>
      <c r="X331" s="41" t="s">
        <v>354</v>
      </c>
      <c r="Y331" s="41" t="s">
        <v>352</v>
      </c>
      <c r="Z331" s="70" t="s">
        <v>367</v>
      </c>
    </row>
    <row r="332" spans="1:26" ht="15.75" thickBot="1" x14ac:dyDescent="0.3">
      <c r="A332" s="299"/>
      <c r="B332" s="281"/>
      <c r="C332" s="38" t="s">
        <v>127</v>
      </c>
      <c r="D332" s="36" t="s">
        <v>20</v>
      </c>
      <c r="E332" s="154" t="s">
        <v>306</v>
      </c>
      <c r="H332" s="269"/>
      <c r="I332" s="281"/>
      <c r="J332" s="37" t="s">
        <v>126</v>
      </c>
      <c r="K332" s="36" t="s">
        <v>130</v>
      </c>
      <c r="N332" s="47" t="s">
        <v>310</v>
      </c>
      <c r="O332" s="63" t="s">
        <v>115</v>
      </c>
      <c r="P332" s="36" t="s">
        <v>129</v>
      </c>
      <c r="Q332" s="36" t="s">
        <v>130</v>
      </c>
      <c r="R332" s="36" t="s">
        <v>131</v>
      </c>
      <c r="S332" s="40" t="s">
        <v>132</v>
      </c>
      <c r="T332" s="50">
        <v>90</v>
      </c>
      <c r="U332" s="50">
        <v>60</v>
      </c>
      <c r="V332" s="50">
        <v>40</v>
      </c>
      <c r="W332" s="33" t="s">
        <v>57</v>
      </c>
      <c r="X332" s="41" t="s">
        <v>58</v>
      </c>
      <c r="Y332" s="41" t="s">
        <v>59</v>
      </c>
      <c r="Z332" s="70" t="s">
        <v>368</v>
      </c>
    </row>
    <row r="333" spans="1:26" ht="15.75" thickBot="1" x14ac:dyDescent="0.3">
      <c r="A333" s="299"/>
      <c r="B333" s="281"/>
      <c r="C333" s="39" t="s">
        <v>128</v>
      </c>
      <c r="D333" s="36" t="s">
        <v>21</v>
      </c>
      <c r="E333" s="154" t="s">
        <v>306</v>
      </c>
      <c r="H333" s="269"/>
      <c r="I333" s="281"/>
      <c r="J333" s="38" t="s">
        <v>127</v>
      </c>
      <c r="K333" s="36" t="s">
        <v>131</v>
      </c>
      <c r="N333" s="47" t="s">
        <v>114</v>
      </c>
      <c r="O333" s="63" t="s">
        <v>78</v>
      </c>
      <c r="P333" s="36" t="s">
        <v>129</v>
      </c>
      <c r="Q333" s="36" t="s">
        <v>130</v>
      </c>
      <c r="R333" s="36" t="s">
        <v>131</v>
      </c>
      <c r="S333" s="40" t="s">
        <v>132</v>
      </c>
      <c r="T333" s="50">
        <v>90</v>
      </c>
      <c r="U333" s="50">
        <v>60</v>
      </c>
      <c r="V333" s="50">
        <v>40</v>
      </c>
      <c r="W333" s="33" t="s">
        <v>75</v>
      </c>
      <c r="X333" s="41" t="s">
        <v>76</v>
      </c>
      <c r="Y333" s="41" t="s">
        <v>77</v>
      </c>
      <c r="Z333" s="70" t="s">
        <v>369</v>
      </c>
    </row>
    <row r="334" spans="1:26" ht="15.75" thickBot="1" x14ac:dyDescent="0.3">
      <c r="A334" s="299"/>
      <c r="B334" s="281"/>
      <c r="C334" s="41" t="s">
        <v>87</v>
      </c>
      <c r="D334" s="202" t="str">
        <f>C334</f>
        <v>Cut-point values for truancy rate were:</v>
      </c>
      <c r="E334" s="154" t="s">
        <v>306</v>
      </c>
      <c r="H334" s="269"/>
      <c r="I334" s="281"/>
      <c r="J334" s="39" t="s">
        <v>128</v>
      </c>
      <c r="K334" s="40" t="s">
        <v>132</v>
      </c>
      <c r="N334" s="47" t="s">
        <v>55</v>
      </c>
      <c r="O334" s="63" t="s">
        <v>117</v>
      </c>
      <c r="P334" s="36" t="s">
        <v>129</v>
      </c>
      <c r="Q334" s="36" t="s">
        <v>130</v>
      </c>
      <c r="R334" s="36" t="s">
        <v>131</v>
      </c>
      <c r="S334" s="40" t="s">
        <v>132</v>
      </c>
      <c r="T334" s="50">
        <v>90</v>
      </c>
      <c r="U334" s="50">
        <v>60</v>
      </c>
      <c r="V334" s="50">
        <v>40</v>
      </c>
      <c r="W334" s="33" t="s">
        <v>69</v>
      </c>
      <c r="X334" s="41" t="s">
        <v>70</v>
      </c>
      <c r="Y334" s="41" t="s">
        <v>71</v>
      </c>
      <c r="Z334" s="70" t="s">
        <v>370</v>
      </c>
    </row>
    <row r="335" spans="1:26" ht="15" x14ac:dyDescent="0.25">
      <c r="A335" s="299"/>
      <c r="B335" s="281"/>
      <c r="C335" s="35" t="s">
        <v>22</v>
      </c>
      <c r="D335" s="43">
        <v>0.8</v>
      </c>
      <c r="E335" s="154" t="s">
        <v>306</v>
      </c>
      <c r="H335" s="269"/>
      <c r="I335" s="281"/>
      <c r="J335" s="41" t="s">
        <v>46</v>
      </c>
      <c r="K335" s="42"/>
      <c r="N335" s="47" t="s">
        <v>311</v>
      </c>
      <c r="O335" s="63" t="s">
        <v>60</v>
      </c>
      <c r="P335" s="36" t="s">
        <v>129</v>
      </c>
      <c r="Q335" s="36" t="s">
        <v>130</v>
      </c>
      <c r="R335" s="36" t="s">
        <v>131</v>
      </c>
      <c r="S335" s="40" t="s">
        <v>132</v>
      </c>
      <c r="T335" s="50">
        <v>90</v>
      </c>
      <c r="U335" s="50">
        <v>60</v>
      </c>
      <c r="V335" s="50">
        <v>40</v>
      </c>
      <c r="W335" s="33" t="s">
        <v>72</v>
      </c>
      <c r="X335" s="41" t="s">
        <v>73</v>
      </c>
      <c r="Y335" s="41" t="s">
        <v>74</v>
      </c>
      <c r="Z335" s="70" t="s">
        <v>371</v>
      </c>
    </row>
    <row r="336" spans="1:26" ht="15" x14ac:dyDescent="0.25">
      <c r="A336" s="299"/>
      <c r="B336" s="281"/>
      <c r="C336" s="37" t="s">
        <v>23</v>
      </c>
      <c r="D336" s="43">
        <v>7.7</v>
      </c>
      <c r="E336" s="154" t="s">
        <v>306</v>
      </c>
      <c r="H336" s="269"/>
      <c r="I336" s="281"/>
      <c r="J336" s="35" t="s">
        <v>22</v>
      </c>
      <c r="K336" s="50">
        <v>65.3</v>
      </c>
    </row>
    <row r="337" spans="1:11" ht="15" x14ac:dyDescent="0.25">
      <c r="A337" s="299"/>
      <c r="B337" s="281"/>
      <c r="C337" s="38" t="s">
        <v>24</v>
      </c>
      <c r="D337" s="180">
        <v>12.1</v>
      </c>
      <c r="E337" s="154" t="s">
        <v>306</v>
      </c>
      <c r="H337" s="269"/>
      <c r="I337" s="281"/>
      <c r="J337" s="37" t="s">
        <v>23</v>
      </c>
      <c r="K337" s="50">
        <v>39.9</v>
      </c>
    </row>
    <row r="338" spans="1:11" ht="15" x14ac:dyDescent="0.25">
      <c r="A338" s="299"/>
      <c r="B338" s="281"/>
      <c r="C338" s="41" t="s">
        <v>88</v>
      </c>
      <c r="D338" s="173" t="str">
        <f>C338</f>
        <v>Your school's actual truancy rate rate was:</v>
      </c>
      <c r="E338" s="154" t="s">
        <v>306</v>
      </c>
      <c r="H338" s="269"/>
      <c r="I338" s="281"/>
      <c r="J338" s="38" t="s">
        <v>24</v>
      </c>
      <c r="K338" s="50">
        <v>30.7</v>
      </c>
    </row>
    <row r="339" spans="1:11" ht="15" x14ac:dyDescent="0.25">
      <c r="A339" s="299"/>
      <c r="B339" s="281"/>
      <c r="C339" s="63" t="s">
        <v>89</v>
      </c>
      <c r="D339" s="45" t="s">
        <v>395</v>
      </c>
      <c r="E339" s="154" t="s">
        <v>306</v>
      </c>
      <c r="H339" s="269"/>
      <c r="I339" s="281"/>
      <c r="J339" s="41" t="s">
        <v>50</v>
      </c>
      <c r="K339" s="42"/>
    </row>
    <row r="340" spans="1:11" ht="15.75" thickBot="1" x14ac:dyDescent="0.3">
      <c r="A340" s="300"/>
      <c r="B340" s="282"/>
      <c r="C340" s="64" t="s">
        <v>194</v>
      </c>
      <c r="D340" s="45" t="s">
        <v>395</v>
      </c>
      <c r="E340" s="154" t="s">
        <v>306</v>
      </c>
      <c r="H340" s="269"/>
      <c r="I340" s="281"/>
      <c r="J340" s="63" t="s">
        <v>116</v>
      </c>
      <c r="K340" s="68" t="s">
        <v>218</v>
      </c>
    </row>
    <row r="341" spans="1:11" ht="15.75" thickBot="1" x14ac:dyDescent="0.3">
      <c r="A341" s="277" t="s">
        <v>26</v>
      </c>
      <c r="B341" s="280" t="s">
        <v>320</v>
      </c>
      <c r="C341" s="183" t="s">
        <v>96</v>
      </c>
      <c r="D341" s="197" t="s">
        <v>305</v>
      </c>
      <c r="E341" s="154" t="s">
        <v>306</v>
      </c>
      <c r="H341" s="270"/>
      <c r="I341" s="282"/>
      <c r="J341" s="64" t="s">
        <v>194</v>
      </c>
      <c r="K341" s="69" t="s">
        <v>218</v>
      </c>
    </row>
    <row r="342" spans="1:11" ht="15" x14ac:dyDescent="0.25">
      <c r="A342" s="294"/>
      <c r="B342" s="294"/>
      <c r="C342" s="157" t="str">
        <f>VLOOKUP(D341,$N$388:$Y$392,10,FALSE)</f>
        <v xml:space="preserve"> </v>
      </c>
      <c r="D342" s="173" t="str">
        <f>C342</f>
        <v xml:space="preserve"> </v>
      </c>
      <c r="E342" s="154" t="s">
        <v>306</v>
      </c>
      <c r="H342" s="269"/>
      <c r="I342" s="281"/>
      <c r="J342" s="39" t="s">
        <v>128</v>
      </c>
      <c r="K342" s="40" t="s">
        <v>132</v>
      </c>
    </row>
    <row r="343" spans="1:11" ht="15" x14ac:dyDescent="0.25">
      <c r="A343" s="294"/>
      <c r="B343" s="294"/>
      <c r="C343" s="35" t="s">
        <v>125</v>
      </c>
      <c r="D343" s="101" t="str">
        <f>VLOOKUP(D341,$N$388:$Y$392,3,FALSE)</f>
        <v xml:space="preserve"> </v>
      </c>
      <c r="E343" s="154" t="s">
        <v>306</v>
      </c>
      <c r="H343" s="269"/>
      <c r="I343" s="281"/>
      <c r="J343" s="41" t="s">
        <v>70</v>
      </c>
      <c r="K343" s="42"/>
    </row>
    <row r="344" spans="1:11" ht="15" x14ac:dyDescent="0.25">
      <c r="A344" s="294"/>
      <c r="B344" s="294"/>
      <c r="C344" s="37" t="s">
        <v>126</v>
      </c>
      <c r="D344" s="101" t="str">
        <f>VLOOKUP(D341,$N$388:$Y$392,4,FALSE)</f>
        <v xml:space="preserve"> </v>
      </c>
      <c r="E344" s="154" t="s">
        <v>306</v>
      </c>
      <c r="H344" s="269"/>
      <c r="I344" s="281"/>
      <c r="J344" s="35" t="s">
        <v>22</v>
      </c>
      <c r="K344" s="50">
        <v>90</v>
      </c>
    </row>
    <row r="345" spans="1:11" ht="15" x14ac:dyDescent="0.25">
      <c r="A345" s="294"/>
      <c r="B345" s="294"/>
      <c r="C345" s="38" t="s">
        <v>127</v>
      </c>
      <c r="D345" s="101" t="str">
        <f>VLOOKUP(D341,$N$388:$Y$392,5,FALSE)</f>
        <v xml:space="preserve"> </v>
      </c>
      <c r="E345" s="154" t="s">
        <v>306</v>
      </c>
      <c r="H345" s="269"/>
      <c r="I345" s="281"/>
      <c r="J345" s="37" t="s">
        <v>23</v>
      </c>
      <c r="K345" s="50">
        <v>60</v>
      </c>
    </row>
    <row r="346" spans="1:11" ht="15" x14ac:dyDescent="0.25">
      <c r="A346" s="294"/>
      <c r="B346" s="294"/>
      <c r="C346" s="39" t="s">
        <v>128</v>
      </c>
      <c r="D346" s="102" t="str">
        <f>VLOOKUP(D341,$N$388:$Y$392,6,FALSE)</f>
        <v xml:space="preserve"> </v>
      </c>
      <c r="E346" s="154" t="s">
        <v>306</v>
      </c>
      <c r="H346" s="269"/>
      <c r="I346" s="281"/>
      <c r="J346" s="38" t="s">
        <v>24</v>
      </c>
      <c r="K346" s="50">
        <v>40</v>
      </c>
    </row>
    <row r="347" spans="1:11" ht="15" x14ac:dyDescent="0.25">
      <c r="A347" s="294"/>
      <c r="B347" s="294"/>
      <c r="C347" s="41" t="str">
        <f>VLOOKUP(D341,$N$388:$Y$392,11,FALSE)</f>
        <v xml:space="preserve"> </v>
      </c>
      <c r="D347" s="153" t="str">
        <f>C347</f>
        <v xml:space="preserve"> </v>
      </c>
      <c r="E347" s="154" t="s">
        <v>306</v>
      </c>
      <c r="H347" s="269"/>
      <c r="I347" s="281"/>
      <c r="J347" s="41" t="s">
        <v>71</v>
      </c>
      <c r="K347" s="42"/>
    </row>
    <row r="348" spans="1:11" ht="15" x14ac:dyDescent="0.25">
      <c r="A348" s="294"/>
      <c r="B348" s="294"/>
      <c r="C348" s="35" t="s">
        <v>22</v>
      </c>
      <c r="D348" s="103" t="str">
        <f>VLOOKUP(D341,$N$388:$Y$392,7,FALSE)</f>
        <v xml:space="preserve"> </v>
      </c>
      <c r="E348" s="154" t="s">
        <v>306</v>
      </c>
      <c r="H348" s="269"/>
      <c r="I348" s="281"/>
      <c r="J348" s="63" t="s">
        <v>117</v>
      </c>
      <c r="K348" s="58"/>
    </row>
    <row r="349" spans="1:11" ht="15.75" thickBot="1" x14ac:dyDescent="0.3">
      <c r="A349" s="294"/>
      <c r="B349" s="294"/>
      <c r="C349" s="37" t="s">
        <v>23</v>
      </c>
      <c r="D349" s="103" t="str">
        <f>VLOOKUP(D341,$N$388:$Y$392,8,FALSE)</f>
        <v xml:space="preserve"> </v>
      </c>
      <c r="E349" s="154" t="s">
        <v>306</v>
      </c>
      <c r="H349" s="270"/>
      <c r="I349" s="282"/>
      <c r="J349" s="64" t="s">
        <v>194</v>
      </c>
      <c r="K349" s="65"/>
    </row>
    <row r="350" spans="1:11" ht="15" x14ac:dyDescent="0.25">
      <c r="A350" s="294"/>
      <c r="B350" s="294"/>
      <c r="C350" s="38" t="s">
        <v>24</v>
      </c>
      <c r="D350" s="103" t="str">
        <f>VLOOKUP(D341,$N$388:$Y$392,9,FALSE)</f>
        <v xml:space="preserve"> </v>
      </c>
      <c r="E350" s="154" t="s">
        <v>306</v>
      </c>
      <c r="H350" s="268" t="s">
        <v>26</v>
      </c>
      <c r="I350" s="280" t="s">
        <v>56</v>
      </c>
      <c r="J350" s="33" t="s">
        <v>72</v>
      </c>
      <c r="K350" s="34"/>
    </row>
    <row r="351" spans="1:11" ht="15" x14ac:dyDescent="0.25">
      <c r="A351" s="294"/>
      <c r="B351" s="294"/>
      <c r="C351" s="41" t="str">
        <f>VLOOKUP(D341,$N$388:$Y$392,12,FALSE)</f>
        <v xml:space="preserve"> </v>
      </c>
      <c r="D351" s="153" t="str">
        <f>C351</f>
        <v xml:space="preserve"> </v>
      </c>
      <c r="E351" s="154" t="s">
        <v>306</v>
      </c>
      <c r="H351" s="269"/>
      <c r="I351" s="281"/>
      <c r="J351" s="35" t="s">
        <v>125</v>
      </c>
      <c r="K351" s="36" t="s">
        <v>129</v>
      </c>
    </row>
    <row r="352" spans="1:11" ht="15" customHeight="1" x14ac:dyDescent="0.25">
      <c r="A352" s="294"/>
      <c r="B352" s="294"/>
      <c r="C352" s="63" t="str">
        <f>VLOOKUP(D341,$N$388:$AA$392,13,FALSE)</f>
        <v xml:space="preserve"> </v>
      </c>
      <c r="D352" s="156" t="s">
        <v>380</v>
      </c>
      <c r="E352" s="154" t="s">
        <v>306</v>
      </c>
      <c r="H352" s="269"/>
      <c r="I352" s="281"/>
      <c r="J352" s="37" t="s">
        <v>126</v>
      </c>
      <c r="K352" s="36" t="s">
        <v>130</v>
      </c>
    </row>
    <row r="353" spans="1:11" ht="15" customHeight="1" x14ac:dyDescent="0.25">
      <c r="A353" s="294"/>
      <c r="B353" s="294"/>
      <c r="C353" s="159" t="s">
        <v>378</v>
      </c>
      <c r="D353" s="156" t="s">
        <v>394</v>
      </c>
      <c r="E353" s="154" t="s">
        <v>306</v>
      </c>
      <c r="H353" s="269"/>
      <c r="I353" s="281"/>
      <c r="J353" s="38" t="s">
        <v>127</v>
      </c>
      <c r="K353" s="36" t="s">
        <v>131</v>
      </c>
    </row>
    <row r="354" spans="1:11" ht="15" customHeight="1" thickBot="1" x14ac:dyDescent="0.3">
      <c r="A354" s="295"/>
      <c r="B354" s="295"/>
      <c r="C354" s="64" t="str">
        <f>VLOOKUP(D341,$N$388:$AA$392,2,FALSE)</f>
        <v xml:space="preserve"> </v>
      </c>
      <c r="D354" s="166" t="e">
        <f>SUM(D352/D353)*100</f>
        <v>#VALUE!</v>
      </c>
      <c r="E354" s="154" t="s">
        <v>306</v>
      </c>
      <c r="H354" s="269"/>
      <c r="I354" s="281"/>
      <c r="J354" s="39" t="s">
        <v>128</v>
      </c>
      <c r="K354" s="40" t="s">
        <v>132</v>
      </c>
    </row>
    <row r="355" spans="1:11" ht="15" x14ac:dyDescent="0.25">
      <c r="A355" s="277" t="s">
        <v>26</v>
      </c>
      <c r="B355" s="280" t="s">
        <v>321</v>
      </c>
      <c r="C355" s="183" t="s">
        <v>96</v>
      </c>
      <c r="D355" s="28" t="s">
        <v>305</v>
      </c>
      <c r="E355" s="154" t="s">
        <v>306</v>
      </c>
      <c r="H355" s="269"/>
      <c r="I355" s="281"/>
      <c r="J355" s="41" t="s">
        <v>73</v>
      </c>
      <c r="K355" s="42"/>
    </row>
    <row r="356" spans="1:11" ht="15" x14ac:dyDescent="0.25">
      <c r="A356" s="294"/>
      <c r="B356" s="294"/>
      <c r="C356" s="157" t="str">
        <f>VLOOKUP(D355,$N$388:$Y$392,10,FALSE)</f>
        <v xml:space="preserve"> </v>
      </c>
      <c r="D356" s="153" t="str">
        <f>C356</f>
        <v xml:space="preserve"> </v>
      </c>
      <c r="E356" s="154" t="s">
        <v>306</v>
      </c>
      <c r="H356" s="269"/>
      <c r="I356" s="281"/>
      <c r="J356" s="70"/>
      <c r="K356" s="71"/>
    </row>
    <row r="357" spans="1:11" ht="15" x14ac:dyDescent="0.25">
      <c r="A357" s="294"/>
      <c r="B357" s="294"/>
      <c r="C357" s="35" t="s">
        <v>125</v>
      </c>
      <c r="D357" s="101" t="str">
        <f>VLOOKUP(D355,$N$388:$Y$392,3,FALSE)</f>
        <v xml:space="preserve"> </v>
      </c>
      <c r="E357" s="154" t="s">
        <v>306</v>
      </c>
      <c r="H357" s="269"/>
      <c r="I357" s="281"/>
      <c r="J357" s="35" t="s">
        <v>22</v>
      </c>
      <c r="K357" s="50">
        <v>90</v>
      </c>
    </row>
    <row r="358" spans="1:11" ht="15" x14ac:dyDescent="0.25">
      <c r="A358" s="294"/>
      <c r="B358" s="294"/>
      <c r="C358" s="37" t="s">
        <v>126</v>
      </c>
      <c r="D358" s="101" t="str">
        <f>VLOOKUP(D355,$N$388:$Y$392,4,FALSE)</f>
        <v xml:space="preserve"> </v>
      </c>
      <c r="E358" s="154" t="s">
        <v>306</v>
      </c>
      <c r="H358" s="269"/>
      <c r="I358" s="281"/>
      <c r="J358" s="37" t="s">
        <v>23</v>
      </c>
      <c r="K358" s="50">
        <v>60</v>
      </c>
    </row>
    <row r="359" spans="1:11" ht="15" customHeight="1" x14ac:dyDescent="0.25">
      <c r="A359" s="294"/>
      <c r="B359" s="294"/>
      <c r="C359" s="38" t="s">
        <v>127</v>
      </c>
      <c r="D359" s="101" t="str">
        <f>VLOOKUP(D355,$N$388:$Y$392,5,FALSE)</f>
        <v xml:space="preserve"> </v>
      </c>
      <c r="E359" s="154" t="s">
        <v>306</v>
      </c>
      <c r="H359" s="269"/>
      <c r="I359" s="281"/>
      <c r="J359" s="38" t="s">
        <v>24</v>
      </c>
      <c r="K359" s="50">
        <v>40</v>
      </c>
    </row>
    <row r="360" spans="1:11" ht="15" x14ac:dyDescent="0.25">
      <c r="A360" s="294"/>
      <c r="B360" s="294"/>
      <c r="C360" s="39" t="s">
        <v>128</v>
      </c>
      <c r="D360" s="102" t="str">
        <f>VLOOKUP(D355,$N$388:$Y$392,6,FALSE)</f>
        <v xml:space="preserve"> </v>
      </c>
      <c r="E360" s="154" t="s">
        <v>306</v>
      </c>
      <c r="H360" s="269"/>
      <c r="I360" s="281"/>
      <c r="J360" s="41" t="s">
        <v>74</v>
      </c>
      <c r="K360" s="42"/>
    </row>
    <row r="361" spans="1:11" ht="15" x14ac:dyDescent="0.25">
      <c r="A361" s="294"/>
      <c r="B361" s="294"/>
      <c r="C361" s="41" t="str">
        <f>VLOOKUP(D355,$N$388:$Y$392,11,FALSE)</f>
        <v xml:space="preserve"> </v>
      </c>
      <c r="D361" s="153" t="str">
        <f>C361</f>
        <v xml:space="preserve"> </v>
      </c>
      <c r="E361" s="154" t="s">
        <v>306</v>
      </c>
      <c r="H361" s="269"/>
      <c r="I361" s="281"/>
      <c r="J361" s="63" t="s">
        <v>60</v>
      </c>
      <c r="K361" s="58"/>
    </row>
    <row r="362" spans="1:11" ht="15.75" thickBot="1" x14ac:dyDescent="0.3">
      <c r="A362" s="294"/>
      <c r="B362" s="294"/>
      <c r="C362" s="35" t="s">
        <v>22</v>
      </c>
      <c r="D362" s="103" t="str">
        <f>VLOOKUP(D355,$N$388:$Y$392,7,FALSE)</f>
        <v xml:space="preserve"> </v>
      </c>
      <c r="E362" s="154" t="s">
        <v>306</v>
      </c>
      <c r="H362" s="270"/>
      <c r="I362" s="282"/>
      <c r="J362" s="64" t="s">
        <v>194</v>
      </c>
      <c r="K362" s="65"/>
    </row>
    <row r="363" spans="1:11" ht="15" x14ac:dyDescent="0.25">
      <c r="A363" s="294"/>
      <c r="B363" s="294"/>
      <c r="C363" s="37" t="s">
        <v>23</v>
      </c>
      <c r="D363" s="103" t="str">
        <f>VLOOKUP(D355,$N$388:$Y$392,8,FALSE)</f>
        <v xml:space="preserve"> </v>
      </c>
      <c r="E363" s="154" t="s">
        <v>306</v>
      </c>
    </row>
    <row r="364" spans="1:11" ht="15" x14ac:dyDescent="0.25">
      <c r="A364" s="294"/>
      <c r="B364" s="294"/>
      <c r="C364" s="38" t="s">
        <v>24</v>
      </c>
      <c r="D364" s="103" t="str">
        <f>VLOOKUP(D355,$N$388:$Y$392,9,FALSE)</f>
        <v xml:space="preserve"> </v>
      </c>
      <c r="E364" s="154" t="s">
        <v>306</v>
      </c>
    </row>
    <row r="365" spans="1:11" ht="15" customHeight="1" x14ac:dyDescent="0.25">
      <c r="A365" s="294"/>
      <c r="B365" s="294"/>
      <c r="C365" s="41" t="str">
        <f>VLOOKUP(D355,$N$388:$Y$392,12,FALSE)</f>
        <v xml:space="preserve"> </v>
      </c>
      <c r="D365" s="153" t="str">
        <f>C365</f>
        <v xml:space="preserve"> </v>
      </c>
      <c r="E365" s="154" t="s">
        <v>306</v>
      </c>
    </row>
    <row r="366" spans="1:11" ht="15" customHeight="1" x14ac:dyDescent="0.25">
      <c r="A366" s="294"/>
      <c r="B366" s="294"/>
      <c r="C366" s="63" t="str">
        <f>VLOOKUP(D355,$N$388:$AA$392,13,FALSE)</f>
        <v xml:space="preserve"> </v>
      </c>
      <c r="D366" s="156" t="s">
        <v>380</v>
      </c>
      <c r="E366" s="154" t="s">
        <v>306</v>
      </c>
    </row>
    <row r="367" spans="1:11" ht="15" customHeight="1" x14ac:dyDescent="0.25">
      <c r="A367" s="294"/>
      <c r="B367" s="294"/>
      <c r="C367" s="159" t="s">
        <v>378</v>
      </c>
      <c r="D367" s="156" t="s">
        <v>394</v>
      </c>
      <c r="E367" s="154" t="s">
        <v>306</v>
      </c>
    </row>
    <row r="368" spans="1:11" ht="15.75" thickBot="1" x14ac:dyDescent="0.3">
      <c r="A368" s="295"/>
      <c r="B368" s="295"/>
      <c r="C368" s="64" t="str">
        <f>VLOOKUP(D355,$N$388:$AA$392,2,FALSE)</f>
        <v xml:space="preserve"> </v>
      </c>
      <c r="D368" s="166" t="e">
        <f>SUM(D366/D367)*100</f>
        <v>#VALUE!</v>
      </c>
      <c r="E368" s="154" t="s">
        <v>306</v>
      </c>
    </row>
    <row r="369" spans="1:5" ht="15" x14ac:dyDescent="0.25">
      <c r="A369" s="277" t="s">
        <v>26</v>
      </c>
      <c r="B369" s="280" t="s">
        <v>322</v>
      </c>
      <c r="C369" s="183" t="s">
        <v>96</v>
      </c>
      <c r="D369" s="28" t="s">
        <v>305</v>
      </c>
      <c r="E369" s="154" t="s">
        <v>306</v>
      </c>
    </row>
    <row r="370" spans="1:5" ht="15" customHeight="1" x14ac:dyDescent="0.25">
      <c r="A370" s="294"/>
      <c r="B370" s="294"/>
      <c r="C370" s="157" t="str">
        <f>VLOOKUP(D369,$N$388:$Y$392,10,FALSE)</f>
        <v xml:space="preserve"> </v>
      </c>
      <c r="D370" s="153" t="str">
        <f>C370</f>
        <v xml:space="preserve"> </v>
      </c>
      <c r="E370" s="154" t="s">
        <v>306</v>
      </c>
    </row>
    <row r="371" spans="1:5" ht="15" x14ac:dyDescent="0.25">
      <c r="A371" s="294"/>
      <c r="B371" s="294"/>
      <c r="C371" s="35" t="s">
        <v>125</v>
      </c>
      <c r="D371" s="101" t="str">
        <f>VLOOKUP(D369,$N$388:$Y$392,3,FALSE)</f>
        <v xml:space="preserve"> </v>
      </c>
      <c r="E371" s="154" t="s">
        <v>306</v>
      </c>
    </row>
    <row r="372" spans="1:5" ht="15" x14ac:dyDescent="0.25">
      <c r="A372" s="294"/>
      <c r="B372" s="294"/>
      <c r="C372" s="37" t="s">
        <v>126</v>
      </c>
      <c r="D372" s="101" t="str">
        <f>VLOOKUP(D369,$N$388:$Y$392,4,FALSE)</f>
        <v xml:space="preserve"> </v>
      </c>
      <c r="E372" s="154" t="s">
        <v>306</v>
      </c>
    </row>
    <row r="373" spans="1:5" ht="15" customHeight="1" x14ac:dyDescent="0.25">
      <c r="A373" s="294"/>
      <c r="B373" s="294"/>
      <c r="C373" s="38" t="s">
        <v>127</v>
      </c>
      <c r="D373" s="101" t="str">
        <f>VLOOKUP(D369,$N$388:$Y$392,5,FALSE)</f>
        <v xml:space="preserve"> </v>
      </c>
      <c r="E373" s="154" t="s">
        <v>306</v>
      </c>
    </row>
    <row r="374" spans="1:5" ht="15" x14ac:dyDescent="0.25">
      <c r="A374" s="294"/>
      <c r="B374" s="294"/>
      <c r="C374" s="39" t="s">
        <v>128</v>
      </c>
      <c r="D374" s="102" t="str">
        <f>VLOOKUP(D369,$N$388:$Y$392,6,FALSE)</f>
        <v xml:space="preserve"> </v>
      </c>
      <c r="E374" s="154" t="s">
        <v>306</v>
      </c>
    </row>
    <row r="375" spans="1:5" ht="15" x14ac:dyDescent="0.25">
      <c r="A375" s="294"/>
      <c r="B375" s="294"/>
      <c r="C375" s="41" t="str">
        <f>VLOOKUP(D369,$N$388:$Y$392,11,FALSE)</f>
        <v xml:space="preserve"> </v>
      </c>
      <c r="D375" s="153" t="str">
        <f>C375</f>
        <v xml:space="preserve"> </v>
      </c>
      <c r="E375" s="154" t="s">
        <v>306</v>
      </c>
    </row>
    <row r="376" spans="1:5" ht="15" x14ac:dyDescent="0.25">
      <c r="A376" s="294"/>
      <c r="B376" s="294"/>
      <c r="C376" s="35" t="s">
        <v>22</v>
      </c>
      <c r="D376" s="103" t="str">
        <f>VLOOKUP(D369,$N$388:$Y$392,7,FALSE)</f>
        <v xml:space="preserve"> </v>
      </c>
      <c r="E376" s="154" t="s">
        <v>306</v>
      </c>
    </row>
    <row r="377" spans="1:5" ht="15" x14ac:dyDescent="0.25">
      <c r="A377" s="294"/>
      <c r="B377" s="294"/>
      <c r="C377" s="37" t="s">
        <v>23</v>
      </c>
      <c r="D377" s="103" t="str">
        <f>VLOOKUP(D369,$N$388:$Y$392,8,FALSE)</f>
        <v xml:space="preserve"> </v>
      </c>
      <c r="E377" s="154" t="s">
        <v>306</v>
      </c>
    </row>
    <row r="378" spans="1:5" ht="15" x14ac:dyDescent="0.25">
      <c r="A378" s="294"/>
      <c r="B378" s="294"/>
      <c r="C378" s="38" t="s">
        <v>24</v>
      </c>
      <c r="D378" s="103" t="str">
        <f>VLOOKUP(D369,$N$388:$Y$392,9,FALSE)</f>
        <v xml:space="preserve"> </v>
      </c>
      <c r="E378" s="154" t="s">
        <v>306</v>
      </c>
    </row>
    <row r="379" spans="1:5" ht="15" customHeight="1" x14ac:dyDescent="0.25">
      <c r="A379" s="294"/>
      <c r="B379" s="294"/>
      <c r="C379" s="41" t="str">
        <f>VLOOKUP(D369,$N$388:$Y$392,12,FALSE)</f>
        <v xml:space="preserve"> </v>
      </c>
      <c r="D379" s="153" t="str">
        <f>C379</f>
        <v xml:space="preserve"> </v>
      </c>
      <c r="E379" s="154" t="s">
        <v>306</v>
      </c>
    </row>
    <row r="380" spans="1:5" ht="15" customHeight="1" x14ac:dyDescent="0.25">
      <c r="A380" s="294"/>
      <c r="B380" s="294"/>
      <c r="C380" s="63" t="str">
        <f>VLOOKUP(D369,$N$388:$AA$392,13,FALSE)</f>
        <v xml:space="preserve"> </v>
      </c>
      <c r="D380" s="156" t="s">
        <v>380</v>
      </c>
      <c r="E380" s="154" t="s">
        <v>306</v>
      </c>
    </row>
    <row r="381" spans="1:5" ht="15" customHeight="1" x14ac:dyDescent="0.25">
      <c r="A381" s="294"/>
      <c r="B381" s="294"/>
      <c r="C381" s="159" t="s">
        <v>378</v>
      </c>
      <c r="D381" s="156" t="s">
        <v>394</v>
      </c>
      <c r="E381" s="154" t="s">
        <v>306</v>
      </c>
    </row>
    <row r="382" spans="1:5" ht="15.75" thickBot="1" x14ac:dyDescent="0.3">
      <c r="A382" s="295"/>
      <c r="B382" s="295"/>
      <c r="C382" s="159" t="str">
        <f>VLOOKUP(D369,$N$388:$AA$392,2,FALSE)</f>
        <v xml:space="preserve"> </v>
      </c>
      <c r="D382" s="166" t="e">
        <f>SUM(D380/D381)*100</f>
        <v>#VALUE!</v>
      </c>
      <c r="E382" s="154" t="s">
        <v>306</v>
      </c>
    </row>
    <row r="383" spans="1:5" ht="15" x14ac:dyDescent="0.25">
      <c r="A383" s="268" t="s">
        <v>26</v>
      </c>
      <c r="B383" s="280" t="s">
        <v>374</v>
      </c>
      <c r="C383" s="91" t="s">
        <v>96</v>
      </c>
      <c r="D383" s="24" t="s">
        <v>296</v>
      </c>
      <c r="E383" s="154" t="s">
        <v>306</v>
      </c>
    </row>
    <row r="384" spans="1:5" ht="15" customHeight="1" x14ac:dyDescent="0.25">
      <c r="A384" s="269"/>
      <c r="B384" s="281"/>
      <c r="C384" s="92" t="s">
        <v>97</v>
      </c>
      <c r="D384" s="190" t="s">
        <v>303</v>
      </c>
      <c r="E384" s="154" t="s">
        <v>306</v>
      </c>
    </row>
    <row r="385" spans="1:26" ht="15" customHeight="1" x14ac:dyDescent="0.25">
      <c r="A385" s="269"/>
      <c r="B385" s="281"/>
      <c r="C385" s="72" t="s">
        <v>79</v>
      </c>
      <c r="D385" s="173" t="str">
        <f>C385</f>
        <v xml:space="preserve"> To receive the indicator rating, the criteria for the additional measure  of student engagement was:</v>
      </c>
      <c r="E385" s="154" t="s">
        <v>306</v>
      </c>
    </row>
    <row r="386" spans="1:26" ht="15" customHeight="1" x14ac:dyDescent="0.25">
      <c r="A386" s="269"/>
      <c r="B386" s="281"/>
      <c r="C386" s="35" t="s">
        <v>125</v>
      </c>
      <c r="D386" s="26" t="s">
        <v>118</v>
      </c>
      <c r="E386" s="154" t="s">
        <v>306</v>
      </c>
    </row>
    <row r="387" spans="1:26" ht="15" customHeight="1" thickBot="1" x14ac:dyDescent="0.3">
      <c r="A387" s="269"/>
      <c r="B387" s="281"/>
      <c r="C387" s="37" t="s">
        <v>126</v>
      </c>
      <c r="D387" s="26" t="s">
        <v>119</v>
      </c>
      <c r="E387" s="154" t="s">
        <v>306</v>
      </c>
    </row>
    <row r="388" spans="1:26" ht="15" customHeight="1" x14ac:dyDescent="0.25">
      <c r="A388" s="269"/>
      <c r="B388" s="281"/>
      <c r="C388" s="38" t="s">
        <v>127</v>
      </c>
      <c r="D388" s="26" t="s">
        <v>120</v>
      </c>
      <c r="E388" s="154" t="s">
        <v>306</v>
      </c>
      <c r="H388" s="268" t="s">
        <v>26</v>
      </c>
      <c r="I388" s="280" t="s">
        <v>103</v>
      </c>
      <c r="J388" s="33" t="s">
        <v>104</v>
      </c>
      <c r="K388" s="34"/>
      <c r="O388" s="47" t="s">
        <v>171</v>
      </c>
      <c r="P388" s="35" t="s">
        <v>125</v>
      </c>
      <c r="Q388" s="37" t="s">
        <v>126</v>
      </c>
      <c r="R388" s="38" t="s">
        <v>127</v>
      </c>
      <c r="S388" s="39" t="s">
        <v>128</v>
      </c>
      <c r="T388" s="35" t="s">
        <v>22</v>
      </c>
      <c r="U388" s="37" t="s">
        <v>23</v>
      </c>
      <c r="V388" s="38" t="s">
        <v>24</v>
      </c>
      <c r="W388" s="47" t="s">
        <v>298</v>
      </c>
      <c r="X388" s="47" t="s">
        <v>299</v>
      </c>
      <c r="Y388" s="47" t="s">
        <v>300</v>
      </c>
    </row>
    <row r="389" spans="1:26" ht="15" customHeight="1" thickBot="1" x14ac:dyDescent="0.3">
      <c r="A389" s="269"/>
      <c r="B389" s="281"/>
      <c r="C389" s="39" t="s">
        <v>128</v>
      </c>
      <c r="D389" s="191" t="s">
        <v>121</v>
      </c>
      <c r="E389" s="154" t="s">
        <v>306</v>
      </c>
      <c r="H389" s="269"/>
      <c r="I389" s="281"/>
      <c r="J389" s="35" t="s">
        <v>125</v>
      </c>
      <c r="K389" s="36" t="s">
        <v>129</v>
      </c>
      <c r="N389" s="47" t="s">
        <v>305</v>
      </c>
      <c r="O389" s="47" t="s">
        <v>306</v>
      </c>
      <c r="P389" s="47" t="s">
        <v>306</v>
      </c>
      <c r="Q389" s="47" t="s">
        <v>306</v>
      </c>
      <c r="R389" s="47" t="s">
        <v>306</v>
      </c>
      <c r="S389" s="47" t="s">
        <v>306</v>
      </c>
      <c r="T389" s="47" t="s">
        <v>306</v>
      </c>
      <c r="U389" s="47" t="s">
        <v>306</v>
      </c>
      <c r="V389" s="47" t="s">
        <v>306</v>
      </c>
      <c r="W389" s="47" t="s">
        <v>306</v>
      </c>
      <c r="X389" s="47" t="s">
        <v>306</v>
      </c>
      <c r="Y389" s="47" t="s">
        <v>306</v>
      </c>
      <c r="Z389" s="47" t="s">
        <v>306</v>
      </c>
    </row>
    <row r="390" spans="1:26" ht="15" customHeight="1" thickBot="1" x14ac:dyDescent="0.3">
      <c r="A390" s="269"/>
      <c r="B390" s="281"/>
      <c r="C390" s="41" t="s">
        <v>80</v>
      </c>
      <c r="D390" s="173" t="str">
        <f>C390</f>
        <v>Cut-point values for additional measure  of student engagement were:</v>
      </c>
      <c r="E390" s="154" t="s">
        <v>306</v>
      </c>
      <c r="H390" s="269"/>
      <c r="I390" s="281"/>
      <c r="J390" s="37" t="s">
        <v>126</v>
      </c>
      <c r="K390" s="36" t="s">
        <v>130</v>
      </c>
      <c r="N390" s="47" t="s">
        <v>103</v>
      </c>
      <c r="O390" s="63" t="s">
        <v>107</v>
      </c>
      <c r="P390" s="36" t="s">
        <v>129</v>
      </c>
      <c r="Q390" s="36" t="s">
        <v>130</v>
      </c>
      <c r="R390" s="36" t="s">
        <v>131</v>
      </c>
      <c r="S390" s="40" t="s">
        <v>132</v>
      </c>
      <c r="T390" s="50">
        <v>90</v>
      </c>
      <c r="U390" s="50">
        <v>60</v>
      </c>
      <c r="V390" s="50">
        <v>40</v>
      </c>
      <c r="W390" s="33" t="s">
        <v>104</v>
      </c>
      <c r="X390" s="41" t="s">
        <v>105</v>
      </c>
      <c r="Y390" s="41" t="s">
        <v>106</v>
      </c>
      <c r="Z390" s="70" t="s">
        <v>377</v>
      </c>
    </row>
    <row r="391" spans="1:26" ht="15" customHeight="1" thickBot="1" x14ac:dyDescent="0.3">
      <c r="A391" s="269"/>
      <c r="B391" s="281"/>
      <c r="C391" s="35" t="s">
        <v>22</v>
      </c>
      <c r="D391" s="27" t="s">
        <v>122</v>
      </c>
      <c r="E391" s="154" t="s">
        <v>306</v>
      </c>
      <c r="H391" s="269"/>
      <c r="I391" s="281"/>
      <c r="J391" s="38" t="s">
        <v>127</v>
      </c>
      <c r="K391" s="36" t="s">
        <v>131</v>
      </c>
      <c r="N391" s="47" t="s">
        <v>108</v>
      </c>
      <c r="O391" s="63" t="s">
        <v>109</v>
      </c>
      <c r="P391" s="36" t="s">
        <v>129</v>
      </c>
      <c r="Q391" s="36" t="s">
        <v>130</v>
      </c>
      <c r="R391" s="36" t="s">
        <v>131</v>
      </c>
      <c r="S391" s="40" t="s">
        <v>132</v>
      </c>
      <c r="T391" s="50">
        <v>90</v>
      </c>
      <c r="U391" s="50">
        <v>60</v>
      </c>
      <c r="V391" s="50">
        <v>40</v>
      </c>
      <c r="W391" s="33" t="s">
        <v>102</v>
      </c>
      <c r="X391" s="41" t="s">
        <v>100</v>
      </c>
      <c r="Y391" s="41" t="s">
        <v>101</v>
      </c>
      <c r="Z391" s="70" t="s">
        <v>375</v>
      </c>
    </row>
    <row r="392" spans="1:26" ht="15" customHeight="1" x14ac:dyDescent="0.25">
      <c r="A392" s="269"/>
      <c r="B392" s="281"/>
      <c r="C392" s="37" t="s">
        <v>23</v>
      </c>
      <c r="D392" s="27" t="s">
        <v>123</v>
      </c>
      <c r="E392" s="154" t="s">
        <v>306</v>
      </c>
      <c r="H392" s="269"/>
      <c r="I392" s="281"/>
      <c r="J392" s="39" t="s">
        <v>128</v>
      </c>
      <c r="K392" s="40" t="s">
        <v>132</v>
      </c>
      <c r="N392" s="47" t="s">
        <v>312</v>
      </c>
      <c r="O392" s="63" t="s">
        <v>113</v>
      </c>
      <c r="P392" s="36" t="s">
        <v>129</v>
      </c>
      <c r="Q392" s="36" t="s">
        <v>130</v>
      </c>
      <c r="R392" s="36" t="s">
        <v>131</v>
      </c>
      <c r="S392" s="40" t="s">
        <v>132</v>
      </c>
      <c r="T392" s="50">
        <v>90</v>
      </c>
      <c r="U392" s="50">
        <v>60</v>
      </c>
      <c r="V392" s="50">
        <v>40</v>
      </c>
      <c r="W392" s="33" t="s">
        <v>110</v>
      </c>
      <c r="X392" s="41" t="s">
        <v>111</v>
      </c>
      <c r="Y392" s="41" t="s">
        <v>112</v>
      </c>
      <c r="Z392" s="70" t="s">
        <v>376</v>
      </c>
    </row>
    <row r="393" spans="1:26" ht="15" customHeight="1" x14ac:dyDescent="0.25">
      <c r="A393" s="269"/>
      <c r="B393" s="281"/>
      <c r="C393" s="38" t="s">
        <v>24</v>
      </c>
      <c r="D393" s="189" t="s">
        <v>124</v>
      </c>
      <c r="E393" s="154" t="s">
        <v>306</v>
      </c>
      <c r="H393" s="269"/>
      <c r="I393" s="281"/>
      <c r="J393" s="41" t="s">
        <v>105</v>
      </c>
      <c r="K393" s="42"/>
    </row>
    <row r="394" spans="1:26" ht="15" customHeight="1" x14ac:dyDescent="0.25">
      <c r="A394" s="269"/>
      <c r="B394" s="281"/>
      <c r="C394" s="41" t="s">
        <v>81</v>
      </c>
      <c r="D394" s="173" t="str">
        <f>C394</f>
        <v>Your school's actual value for additional measure  of student engagement was:</v>
      </c>
      <c r="E394" s="154" t="s">
        <v>306</v>
      </c>
      <c r="H394" s="269"/>
      <c r="I394" s="281"/>
      <c r="J394" s="35" t="s">
        <v>22</v>
      </c>
      <c r="K394" s="50">
        <v>90</v>
      </c>
    </row>
    <row r="395" spans="1:26" ht="15" customHeight="1" x14ac:dyDescent="0.25">
      <c r="A395" s="269"/>
      <c r="B395" s="281"/>
      <c r="C395" s="63" t="s">
        <v>372</v>
      </c>
      <c r="D395" s="156" t="s">
        <v>380</v>
      </c>
      <c r="E395" s="154" t="s">
        <v>306</v>
      </c>
      <c r="H395" s="269"/>
      <c r="I395" s="281"/>
      <c r="J395" s="37" t="s">
        <v>23</v>
      </c>
      <c r="K395" s="50">
        <v>60</v>
      </c>
    </row>
    <row r="396" spans="1:26" ht="15" customHeight="1" x14ac:dyDescent="0.25">
      <c r="A396" s="269"/>
      <c r="B396" s="281"/>
      <c r="C396" s="159" t="s">
        <v>378</v>
      </c>
      <c r="D396" s="156" t="s">
        <v>394</v>
      </c>
      <c r="E396" s="154" t="s">
        <v>306</v>
      </c>
      <c r="H396" s="269"/>
      <c r="I396" s="281"/>
      <c r="J396" s="38" t="s">
        <v>24</v>
      </c>
      <c r="K396" s="50">
        <v>40</v>
      </c>
    </row>
    <row r="397" spans="1:26" ht="15" customHeight="1" thickBot="1" x14ac:dyDescent="0.3">
      <c r="A397" s="270"/>
      <c r="B397" s="282"/>
      <c r="C397" s="64" t="s">
        <v>194</v>
      </c>
      <c r="D397" s="166" t="e">
        <f>SUM(D395/D396)*100</f>
        <v>#VALUE!</v>
      </c>
      <c r="E397" s="154" t="s">
        <v>306</v>
      </c>
      <c r="H397" s="269"/>
      <c r="I397" s="281"/>
      <c r="J397" s="41" t="s">
        <v>106</v>
      </c>
      <c r="K397" s="42"/>
    </row>
    <row r="398" spans="1:26" ht="15" customHeight="1" thickBot="1" x14ac:dyDescent="0.3">
      <c r="A398" s="274" t="s">
        <v>314</v>
      </c>
      <c r="B398" s="296"/>
      <c r="C398" s="296"/>
      <c r="D398" s="297"/>
      <c r="E398" s="154" t="s">
        <v>306</v>
      </c>
      <c r="H398" s="269"/>
      <c r="I398" s="281"/>
      <c r="J398" s="63" t="s">
        <v>107</v>
      </c>
      <c r="K398" s="58"/>
    </row>
    <row r="399" spans="1:26" ht="15" customHeight="1" thickBot="1" x14ac:dyDescent="0.35">
      <c r="E399" s="154" t="s">
        <v>306</v>
      </c>
      <c r="H399" s="270"/>
      <c r="I399" s="282"/>
      <c r="J399" s="64" t="s">
        <v>194</v>
      </c>
      <c r="K399" s="65"/>
    </row>
    <row r="400" spans="1:26" ht="19.5" thickBot="1" x14ac:dyDescent="0.35">
      <c r="E400" s="154" t="s">
        <v>306</v>
      </c>
      <c r="H400" s="165"/>
      <c r="I400" s="164"/>
      <c r="J400" s="56" t="s">
        <v>178</v>
      </c>
      <c r="K400" s="57" t="e">
        <f>IF(#REF!="YES","YES","NO")</f>
        <v>#REF!</v>
      </c>
    </row>
    <row r="401" spans="5:11" x14ac:dyDescent="0.3">
      <c r="E401" s="154" t="s">
        <v>306</v>
      </c>
      <c r="H401" s="268" t="s">
        <v>26</v>
      </c>
      <c r="I401" s="280" t="s">
        <v>108</v>
      </c>
      <c r="J401" s="33" t="s">
        <v>102</v>
      </c>
      <c r="K401" s="34"/>
    </row>
    <row r="402" spans="5:11" ht="15" customHeight="1" x14ac:dyDescent="0.3">
      <c r="E402" s="154" t="s">
        <v>306</v>
      </c>
      <c r="H402" s="269"/>
      <c r="I402" s="281"/>
      <c r="J402" s="35" t="s">
        <v>125</v>
      </c>
      <c r="K402" s="36" t="s">
        <v>129</v>
      </c>
    </row>
    <row r="403" spans="5:11" ht="15" customHeight="1" x14ac:dyDescent="0.3">
      <c r="H403" s="269"/>
      <c r="I403" s="281"/>
      <c r="J403" s="37" t="s">
        <v>126</v>
      </c>
      <c r="K403" s="36" t="s">
        <v>130</v>
      </c>
    </row>
    <row r="404" spans="5:11" x14ac:dyDescent="0.3">
      <c r="E404" s="154" t="s">
        <v>306</v>
      </c>
      <c r="H404" s="269"/>
      <c r="I404" s="281"/>
      <c r="J404" s="38" t="s">
        <v>127</v>
      </c>
      <c r="K404" s="36" t="s">
        <v>131</v>
      </c>
    </row>
    <row r="405" spans="5:11" x14ac:dyDescent="0.3">
      <c r="E405" s="154" t="s">
        <v>306</v>
      </c>
      <c r="H405" s="269"/>
      <c r="I405" s="281"/>
      <c r="J405" s="39" t="s">
        <v>128</v>
      </c>
      <c r="K405" s="40" t="s">
        <v>132</v>
      </c>
    </row>
    <row r="406" spans="5:11" x14ac:dyDescent="0.3">
      <c r="E406" s="154" t="s">
        <v>306</v>
      </c>
      <c r="H406" s="269"/>
      <c r="I406" s="281"/>
      <c r="J406" s="41" t="s">
        <v>100</v>
      </c>
      <c r="K406" s="42"/>
    </row>
    <row r="407" spans="5:11" x14ac:dyDescent="0.3">
      <c r="E407" s="154" t="s">
        <v>306</v>
      </c>
      <c r="H407" s="269"/>
      <c r="I407" s="281"/>
      <c r="J407" s="35" t="s">
        <v>22</v>
      </c>
      <c r="K407" s="50">
        <v>90</v>
      </c>
    </row>
    <row r="408" spans="5:11" x14ac:dyDescent="0.3">
      <c r="E408" s="154" t="s">
        <v>306</v>
      </c>
      <c r="H408" s="269"/>
      <c r="I408" s="281"/>
      <c r="J408" s="37" t="s">
        <v>23</v>
      </c>
      <c r="K408" s="50">
        <v>60</v>
      </c>
    </row>
    <row r="409" spans="5:11" x14ac:dyDescent="0.3">
      <c r="H409" s="75"/>
      <c r="I409" s="75"/>
      <c r="J409" s="75"/>
      <c r="K409" s="75"/>
    </row>
    <row r="410" spans="5:11" ht="15" customHeight="1" x14ac:dyDescent="0.3">
      <c r="H410" s="75"/>
      <c r="I410" s="75"/>
      <c r="J410" s="75"/>
      <c r="K410" s="75"/>
    </row>
    <row r="411" spans="5:11" ht="15" customHeight="1" x14ac:dyDescent="0.3">
      <c r="H411" s="75"/>
      <c r="I411" s="75"/>
      <c r="J411" s="75"/>
      <c r="K411" s="75"/>
    </row>
    <row r="412" spans="5:11" ht="15" customHeight="1" x14ac:dyDescent="0.3">
      <c r="H412" s="75"/>
      <c r="I412" s="75"/>
      <c r="J412" s="75"/>
      <c r="K412" s="75"/>
    </row>
    <row r="413" spans="5:11" x14ac:dyDescent="0.3">
      <c r="H413" s="75"/>
      <c r="I413" s="75"/>
      <c r="J413" s="75"/>
      <c r="K413" s="75"/>
    </row>
    <row r="414" spans="5:11" x14ac:dyDescent="0.3">
      <c r="H414" s="75"/>
      <c r="I414" s="75"/>
      <c r="J414" s="75"/>
      <c r="K414" s="75"/>
    </row>
    <row r="415" spans="5:11" x14ac:dyDescent="0.3">
      <c r="H415" s="75"/>
      <c r="I415" s="75"/>
      <c r="J415" s="75"/>
      <c r="K415" s="75"/>
    </row>
    <row r="416" spans="5:11" x14ac:dyDescent="0.3">
      <c r="H416" s="75"/>
      <c r="I416" s="75"/>
      <c r="J416" s="75"/>
      <c r="K416" s="75"/>
    </row>
    <row r="417" spans="8:11" x14ac:dyDescent="0.3">
      <c r="H417" s="75"/>
      <c r="I417" s="75"/>
      <c r="J417" s="75"/>
      <c r="K417" s="75"/>
    </row>
    <row r="418" spans="8:11" ht="15" customHeight="1" x14ac:dyDescent="0.3">
      <c r="H418" s="75"/>
      <c r="I418" s="75"/>
      <c r="J418" s="75"/>
      <c r="K418" s="75"/>
    </row>
    <row r="419" spans="8:11" x14ac:dyDescent="0.3">
      <c r="H419" s="75"/>
      <c r="I419" s="75"/>
      <c r="J419" s="75"/>
      <c r="K419" s="75"/>
    </row>
    <row r="420" spans="8:11" x14ac:dyDescent="0.3">
      <c r="H420" s="75"/>
      <c r="I420" s="75"/>
      <c r="J420" s="75"/>
      <c r="K420" s="75"/>
    </row>
    <row r="421" spans="8:11" x14ac:dyDescent="0.3">
      <c r="H421" s="75"/>
      <c r="I421" s="75"/>
      <c r="J421" s="75"/>
      <c r="K421" s="75"/>
    </row>
    <row r="422" spans="8:11" x14ac:dyDescent="0.3">
      <c r="H422" s="75"/>
      <c r="I422" s="75"/>
      <c r="J422" s="75"/>
      <c r="K422" s="75"/>
    </row>
    <row r="423" spans="8:11" ht="15" customHeight="1" x14ac:dyDescent="0.3">
      <c r="H423" s="75"/>
      <c r="I423" s="75"/>
      <c r="J423" s="75"/>
      <c r="K423" s="75"/>
    </row>
    <row r="424" spans="8:11" ht="15" customHeight="1" x14ac:dyDescent="0.3">
      <c r="H424" s="75"/>
      <c r="I424" s="75"/>
      <c r="J424" s="75"/>
      <c r="K424" s="75"/>
    </row>
    <row r="425" spans="8:11" ht="15" customHeight="1" x14ac:dyDescent="0.3">
      <c r="H425" s="75"/>
      <c r="I425" s="75"/>
      <c r="J425" s="75"/>
      <c r="K425" s="75"/>
    </row>
    <row r="426" spans="8:11" x14ac:dyDescent="0.3">
      <c r="H426" s="75"/>
      <c r="I426" s="75"/>
      <c r="J426" s="75"/>
      <c r="K426" s="75"/>
    </row>
    <row r="427" spans="8:11" x14ac:dyDescent="0.3">
      <c r="H427" s="75"/>
      <c r="I427" s="75"/>
      <c r="J427" s="75"/>
      <c r="K427" s="75"/>
    </row>
    <row r="428" spans="8:11" x14ac:dyDescent="0.3">
      <c r="H428" s="75"/>
      <c r="I428" s="75"/>
      <c r="J428" s="75"/>
      <c r="K428" s="75"/>
    </row>
    <row r="429" spans="8:11" x14ac:dyDescent="0.3">
      <c r="H429" s="75"/>
      <c r="I429" s="75"/>
      <c r="J429" s="75"/>
      <c r="K429" s="75"/>
    </row>
    <row r="430" spans="8:11" x14ac:dyDescent="0.3">
      <c r="H430" s="75"/>
      <c r="I430" s="75"/>
      <c r="J430" s="75"/>
      <c r="K430" s="75"/>
    </row>
    <row r="431" spans="8:11" ht="15" customHeight="1" x14ac:dyDescent="0.3">
      <c r="H431" s="75"/>
      <c r="I431" s="75"/>
      <c r="J431" s="75"/>
      <c r="K431" s="75"/>
    </row>
    <row r="432" spans="8:11" x14ac:dyDescent="0.3">
      <c r="H432" s="75"/>
      <c r="I432" s="75"/>
      <c r="J432" s="75"/>
      <c r="K432" s="75"/>
    </row>
    <row r="433" spans="7:11" x14ac:dyDescent="0.3">
      <c r="H433" s="75"/>
      <c r="I433" s="75"/>
      <c r="J433" s="75"/>
      <c r="K433" s="75"/>
    </row>
    <row r="434" spans="7:11" x14ac:dyDescent="0.3">
      <c r="H434" s="75"/>
      <c r="I434" s="75"/>
      <c r="J434" s="75"/>
      <c r="K434" s="75"/>
    </row>
    <row r="435" spans="7:11" x14ac:dyDescent="0.3">
      <c r="G435" s="75"/>
      <c r="H435" s="75"/>
      <c r="I435" s="75"/>
      <c r="J435" s="75"/>
      <c r="K435" s="75"/>
    </row>
    <row r="436" spans="7:11" ht="15" customHeight="1" x14ac:dyDescent="0.3">
      <c r="G436" s="75"/>
      <c r="H436" s="75"/>
      <c r="I436" s="75"/>
      <c r="J436" s="75"/>
      <c r="K436" s="75"/>
    </row>
    <row r="437" spans="7:11" ht="15" customHeight="1" x14ac:dyDescent="0.3">
      <c r="G437" s="75"/>
      <c r="H437" s="75"/>
      <c r="I437" s="75"/>
      <c r="J437" s="75"/>
      <c r="K437" s="75"/>
    </row>
    <row r="438" spans="7:11" ht="15" customHeight="1" x14ac:dyDescent="0.3">
      <c r="G438" s="75"/>
      <c r="H438" s="75"/>
      <c r="I438" s="75"/>
      <c r="J438" s="75"/>
      <c r="K438" s="75"/>
    </row>
    <row r="439" spans="7:11" x14ac:dyDescent="0.3">
      <c r="G439" s="75"/>
      <c r="H439" s="75"/>
      <c r="I439" s="75"/>
      <c r="J439" s="75"/>
      <c r="K439" s="75"/>
    </row>
    <row r="440" spans="7:11" x14ac:dyDescent="0.3">
      <c r="G440" s="75"/>
      <c r="H440" s="75"/>
      <c r="I440" s="75"/>
      <c r="J440" s="75"/>
      <c r="K440" s="75"/>
    </row>
    <row r="441" spans="7:11" x14ac:dyDescent="0.3">
      <c r="G441" s="75"/>
      <c r="H441" s="75"/>
      <c r="I441" s="75"/>
      <c r="J441" s="75"/>
      <c r="K441" s="75"/>
    </row>
    <row r="442" spans="7:11" x14ac:dyDescent="0.3">
      <c r="G442" s="75"/>
      <c r="H442" s="75"/>
      <c r="I442" s="75"/>
      <c r="J442" s="75"/>
      <c r="K442" s="75"/>
    </row>
    <row r="443" spans="7:11" x14ac:dyDescent="0.3">
      <c r="G443" s="75"/>
      <c r="H443" s="75"/>
      <c r="I443" s="75"/>
      <c r="J443" s="75"/>
      <c r="K443" s="75"/>
    </row>
    <row r="444" spans="7:11" ht="15" customHeight="1" x14ac:dyDescent="0.3">
      <c r="G444" s="75"/>
      <c r="H444" s="75"/>
      <c r="I444" s="75"/>
      <c r="J444" s="75"/>
      <c r="K444" s="75"/>
    </row>
    <row r="445" spans="7:11" x14ac:dyDescent="0.3">
      <c r="G445" s="75"/>
      <c r="H445" s="75"/>
      <c r="I445" s="75"/>
      <c r="J445" s="75"/>
      <c r="K445" s="75"/>
    </row>
    <row r="446" spans="7:11" x14ac:dyDescent="0.3">
      <c r="G446" s="75"/>
      <c r="H446" s="75"/>
      <c r="I446" s="75"/>
      <c r="J446" s="75"/>
      <c r="K446" s="75"/>
    </row>
    <row r="447" spans="7:11" x14ac:dyDescent="0.3">
      <c r="G447" s="75"/>
      <c r="H447" s="75"/>
      <c r="I447" s="75"/>
      <c r="J447" s="75"/>
      <c r="K447" s="75"/>
    </row>
    <row r="448" spans="7:11" x14ac:dyDescent="0.3">
      <c r="G448" s="75"/>
      <c r="H448" s="75"/>
      <c r="I448" s="75"/>
      <c r="J448" s="75"/>
      <c r="K448" s="75"/>
    </row>
    <row r="449" spans="7:11" ht="15" customHeight="1" x14ac:dyDescent="0.3">
      <c r="G449" s="75"/>
      <c r="H449" s="75"/>
      <c r="I449" s="75"/>
      <c r="J449" s="75"/>
      <c r="K449" s="75"/>
    </row>
    <row r="450" spans="7:11" ht="15" customHeight="1" x14ac:dyDescent="0.3">
      <c r="G450" s="75"/>
      <c r="H450" s="75"/>
      <c r="I450" s="75"/>
      <c r="J450" s="75"/>
      <c r="K450" s="75"/>
    </row>
    <row r="451" spans="7:11" ht="15" customHeight="1" x14ac:dyDescent="0.3">
      <c r="G451" s="75"/>
      <c r="H451" s="75"/>
      <c r="I451" s="75"/>
      <c r="J451" s="75"/>
      <c r="K451" s="75"/>
    </row>
    <row r="452" spans="7:11" x14ac:dyDescent="0.3">
      <c r="G452" s="75"/>
      <c r="H452" s="75"/>
      <c r="I452" s="75"/>
      <c r="J452" s="75"/>
      <c r="K452" s="75"/>
    </row>
    <row r="453" spans="7:11" x14ac:dyDescent="0.3">
      <c r="G453" s="75"/>
      <c r="H453" s="75"/>
      <c r="I453" s="75"/>
      <c r="J453" s="75"/>
      <c r="K453" s="75"/>
    </row>
    <row r="454" spans="7:11" x14ac:dyDescent="0.3">
      <c r="G454" s="75"/>
      <c r="H454" s="75"/>
      <c r="I454" s="75"/>
      <c r="J454" s="75"/>
      <c r="K454" s="75"/>
    </row>
    <row r="455" spans="7:11" x14ac:dyDescent="0.3">
      <c r="G455" s="75"/>
      <c r="H455" s="75"/>
      <c r="I455" s="75"/>
      <c r="J455" s="75"/>
      <c r="K455" s="75"/>
    </row>
    <row r="456" spans="7:11" x14ac:dyDescent="0.3">
      <c r="G456" s="75"/>
      <c r="H456" s="75"/>
      <c r="I456" s="75"/>
      <c r="J456" s="75"/>
      <c r="K456" s="75"/>
    </row>
    <row r="457" spans="7:11" ht="15" customHeight="1" x14ac:dyDescent="0.3">
      <c r="G457" s="75"/>
      <c r="H457" s="75"/>
      <c r="I457" s="75"/>
      <c r="J457" s="75"/>
      <c r="K457" s="75"/>
    </row>
    <row r="458" spans="7:11" x14ac:dyDescent="0.3">
      <c r="G458" s="75"/>
      <c r="H458" s="75"/>
      <c r="I458" s="75"/>
      <c r="J458" s="75"/>
      <c r="K458" s="75"/>
    </row>
    <row r="459" spans="7:11" x14ac:dyDescent="0.3">
      <c r="G459" s="75"/>
    </row>
    <row r="460" spans="7:11" x14ac:dyDescent="0.3">
      <c r="G460" s="75"/>
    </row>
    <row r="461" spans="7:11" x14ac:dyDescent="0.3">
      <c r="G461" s="75"/>
    </row>
    <row r="462" spans="7:11" ht="15" customHeight="1" x14ac:dyDescent="0.3">
      <c r="G462" s="75"/>
    </row>
    <row r="463" spans="7:11" ht="15" customHeight="1" x14ac:dyDescent="0.3">
      <c r="G463" s="75"/>
    </row>
    <row r="464" spans="7:11" ht="15" customHeight="1" x14ac:dyDescent="0.3">
      <c r="G464" s="75"/>
    </row>
    <row r="465" spans="7:11" x14ac:dyDescent="0.3">
      <c r="G465" s="75"/>
    </row>
    <row r="466" spans="7:11" x14ac:dyDescent="0.3">
      <c r="G466" s="75"/>
    </row>
    <row r="467" spans="7:11" x14ac:dyDescent="0.3">
      <c r="G467" s="75"/>
    </row>
    <row r="468" spans="7:11" x14ac:dyDescent="0.3">
      <c r="G468" s="75"/>
    </row>
    <row r="469" spans="7:11" x14ac:dyDescent="0.3">
      <c r="G469" s="75"/>
    </row>
    <row r="470" spans="7:11" ht="15" customHeight="1" x14ac:dyDescent="0.3">
      <c r="G470" s="75"/>
    </row>
    <row r="471" spans="7:11" x14ac:dyDescent="0.3">
      <c r="G471" s="75"/>
    </row>
    <row r="472" spans="7:11" x14ac:dyDescent="0.3">
      <c r="G472" s="75"/>
    </row>
    <row r="473" spans="7:11" x14ac:dyDescent="0.3">
      <c r="G473" s="75"/>
    </row>
    <row r="474" spans="7:11" x14ac:dyDescent="0.3">
      <c r="G474" s="75"/>
    </row>
    <row r="475" spans="7:11" ht="15" customHeight="1" x14ac:dyDescent="0.3">
      <c r="G475" s="75"/>
    </row>
    <row r="476" spans="7:11" ht="15" customHeight="1" x14ac:dyDescent="0.3">
      <c r="G476" s="75"/>
      <c r="H476" s="76"/>
      <c r="I476" s="76"/>
      <c r="J476" s="76"/>
      <c r="K476" s="76"/>
    </row>
    <row r="477" spans="7:11" ht="15" customHeight="1" x14ac:dyDescent="0.3">
      <c r="G477" s="75"/>
    </row>
    <row r="478" spans="7:11" x14ac:dyDescent="0.3">
      <c r="G478" s="75"/>
    </row>
    <row r="479" spans="7:11" x14ac:dyDescent="0.3">
      <c r="G479" s="75"/>
    </row>
    <row r="480" spans="7:11" x14ac:dyDescent="0.3">
      <c r="G480" s="75"/>
    </row>
    <row r="481" spans="7:7" x14ac:dyDescent="0.3">
      <c r="G481" s="75"/>
    </row>
    <row r="482" spans="7:7" ht="15" customHeight="1" x14ac:dyDescent="0.3">
      <c r="G482" s="75"/>
    </row>
    <row r="483" spans="7:7" x14ac:dyDescent="0.3">
      <c r="G483" s="75"/>
    </row>
    <row r="484" spans="7:7" x14ac:dyDescent="0.3">
      <c r="G484" s="75"/>
    </row>
    <row r="485" spans="7:7" x14ac:dyDescent="0.3">
      <c r="G485" s="75"/>
    </row>
    <row r="486" spans="7:7" x14ac:dyDescent="0.3">
      <c r="G486" s="75"/>
    </row>
    <row r="487" spans="7:7" x14ac:dyDescent="0.3">
      <c r="G487" s="75"/>
    </row>
    <row r="488" spans="7:7" ht="15" customHeight="1" x14ac:dyDescent="0.3">
      <c r="G488" s="75"/>
    </row>
    <row r="489" spans="7:7" ht="15" customHeight="1" x14ac:dyDescent="0.3">
      <c r="G489" s="75"/>
    </row>
    <row r="490" spans="7:7" ht="15" customHeight="1" x14ac:dyDescent="0.3">
      <c r="G490" s="75"/>
    </row>
    <row r="491" spans="7:7" x14ac:dyDescent="0.3">
      <c r="G491" s="75"/>
    </row>
    <row r="492" spans="7:7" x14ac:dyDescent="0.3">
      <c r="G492" s="75"/>
    </row>
    <row r="493" spans="7:7" x14ac:dyDescent="0.3">
      <c r="G493" s="75"/>
    </row>
    <row r="494" spans="7:7" x14ac:dyDescent="0.3">
      <c r="G494" s="75"/>
    </row>
    <row r="495" spans="7:7" x14ac:dyDescent="0.3">
      <c r="G495" s="75"/>
    </row>
    <row r="496" spans="7:7" ht="15" customHeight="1" x14ac:dyDescent="0.3">
      <c r="G496" s="75"/>
    </row>
    <row r="497" spans="7:7" x14ac:dyDescent="0.3">
      <c r="G497" s="75"/>
    </row>
    <row r="498" spans="7:7" x14ac:dyDescent="0.3">
      <c r="G498" s="75"/>
    </row>
    <row r="499" spans="7:7" x14ac:dyDescent="0.3">
      <c r="G499" s="75"/>
    </row>
    <row r="500" spans="7:7" x14ac:dyDescent="0.3">
      <c r="G500" s="75"/>
    </row>
    <row r="501" spans="7:7" ht="15" customHeight="1" x14ac:dyDescent="0.3">
      <c r="G501" s="75"/>
    </row>
    <row r="502" spans="7:7" ht="15" customHeight="1" x14ac:dyDescent="0.3">
      <c r="G502" s="75"/>
    </row>
    <row r="503" spans="7:7" ht="15" customHeight="1" x14ac:dyDescent="0.3">
      <c r="G503" s="75"/>
    </row>
    <row r="504" spans="7:7" x14ac:dyDescent="0.3">
      <c r="G504" s="75"/>
    </row>
    <row r="505" spans="7:7" x14ac:dyDescent="0.3">
      <c r="G505" s="75"/>
    </row>
    <row r="506" spans="7:7" x14ac:dyDescent="0.3">
      <c r="G506" s="75"/>
    </row>
    <row r="507" spans="7:7" x14ac:dyDescent="0.3">
      <c r="G507" s="75"/>
    </row>
    <row r="508" spans="7:7" x14ac:dyDescent="0.3">
      <c r="G508" s="75"/>
    </row>
    <row r="509" spans="7:7" x14ac:dyDescent="0.3">
      <c r="G509" s="75"/>
    </row>
    <row r="510" spans="7:7" x14ac:dyDescent="0.3">
      <c r="G510" s="75"/>
    </row>
    <row r="514" spans="7:7" ht="15" customHeight="1" x14ac:dyDescent="0.3"/>
    <row r="515" spans="7:7" ht="15" customHeight="1" x14ac:dyDescent="0.3"/>
    <row r="516" spans="7:7" ht="15" customHeight="1" x14ac:dyDescent="0.3"/>
    <row r="527" spans="7:7" ht="15" customHeight="1" x14ac:dyDescent="0.3"/>
    <row r="528" spans="7:7" ht="15" customHeight="1" x14ac:dyDescent="0.3">
      <c r="G528" s="76"/>
    </row>
    <row r="529" spans="2:28" ht="15" customHeight="1" x14ac:dyDescent="0.3"/>
    <row r="536" spans="2:28" ht="15" customHeight="1" x14ac:dyDescent="0.3"/>
    <row r="540" spans="2:28" s="95" customFormat="1" ht="15" customHeight="1" x14ac:dyDescent="0.3">
      <c r="B540" s="162"/>
      <c r="C540" s="96"/>
      <c r="D540" s="97"/>
      <c r="E540" s="154"/>
      <c r="F540" s="47"/>
      <c r="G540" s="47"/>
      <c r="H540" s="47"/>
      <c r="I540" s="47"/>
      <c r="J540" s="47"/>
      <c r="K540" s="47"/>
      <c r="L540" s="47"/>
      <c r="M540" s="47"/>
      <c r="N540" s="47"/>
      <c r="O540" s="47"/>
      <c r="P540" s="47"/>
      <c r="Q540" s="47"/>
      <c r="R540" s="47"/>
      <c r="S540" s="47"/>
      <c r="T540" s="47"/>
      <c r="U540" s="47"/>
      <c r="V540" s="47"/>
      <c r="W540" s="47"/>
      <c r="X540" s="47"/>
      <c r="Y540" s="47"/>
      <c r="Z540" s="47"/>
      <c r="AA540" s="47"/>
      <c r="AB540" s="47"/>
    </row>
    <row r="541" spans="2:28" s="95" customFormat="1" ht="15" customHeight="1" x14ac:dyDescent="0.3">
      <c r="B541" s="162"/>
      <c r="C541" s="96"/>
      <c r="D541" s="97"/>
      <c r="E541" s="154"/>
      <c r="F541" s="47"/>
      <c r="G541" s="47"/>
      <c r="H541" s="47"/>
      <c r="I541" s="47"/>
      <c r="J541" s="47"/>
      <c r="K541" s="47"/>
      <c r="L541" s="47"/>
      <c r="M541" s="47"/>
      <c r="N541" s="47"/>
      <c r="O541" s="47"/>
      <c r="P541" s="47"/>
      <c r="Q541" s="47"/>
      <c r="R541" s="47"/>
      <c r="S541" s="47"/>
      <c r="T541" s="47"/>
      <c r="U541" s="47"/>
      <c r="V541" s="47"/>
      <c r="W541" s="47"/>
      <c r="X541" s="47"/>
      <c r="Y541" s="47"/>
      <c r="Z541" s="47"/>
      <c r="AA541" s="47"/>
      <c r="AB541" s="47"/>
    </row>
    <row r="542" spans="2:28" s="95" customFormat="1" ht="15" customHeight="1" x14ac:dyDescent="0.3">
      <c r="B542" s="162"/>
      <c r="C542" s="96"/>
      <c r="D542" s="97"/>
      <c r="E542" s="154"/>
      <c r="F542" s="47"/>
      <c r="G542" s="47"/>
      <c r="H542" s="47"/>
      <c r="I542" s="47"/>
      <c r="J542" s="47"/>
      <c r="K542" s="47"/>
      <c r="L542" s="47"/>
      <c r="M542" s="47"/>
      <c r="N542" s="47"/>
      <c r="O542" s="47"/>
      <c r="P542" s="47"/>
      <c r="Q542" s="47"/>
      <c r="R542" s="47"/>
      <c r="S542" s="47"/>
      <c r="T542" s="47"/>
      <c r="U542" s="47"/>
      <c r="V542" s="47"/>
      <c r="W542" s="47"/>
      <c r="X542" s="47"/>
      <c r="Y542" s="47"/>
      <c r="Z542" s="47"/>
      <c r="AA542" s="47"/>
      <c r="AB542" s="47"/>
    </row>
    <row r="549" spans="2:28" s="95" customFormat="1" ht="15" customHeight="1" x14ac:dyDescent="0.3">
      <c r="B549" s="162"/>
      <c r="C549" s="96"/>
      <c r="D549" s="97"/>
      <c r="E549" s="154"/>
      <c r="F549" s="47"/>
      <c r="G549" s="47"/>
      <c r="H549" s="47"/>
      <c r="I549" s="47"/>
      <c r="J549" s="47"/>
      <c r="K549" s="47"/>
      <c r="L549" s="47"/>
      <c r="M549" s="47"/>
      <c r="N549" s="47"/>
      <c r="O549" s="47"/>
      <c r="P549" s="47"/>
      <c r="Q549" s="47"/>
      <c r="R549" s="47"/>
      <c r="S549" s="47"/>
      <c r="T549" s="47"/>
      <c r="U549" s="47"/>
      <c r="V549" s="47"/>
      <c r="W549" s="47"/>
      <c r="X549" s="47"/>
      <c r="Y549" s="47"/>
      <c r="Z549" s="47"/>
      <c r="AA549" s="47"/>
      <c r="AB549" s="47"/>
    </row>
    <row r="553" spans="2:28" s="95" customFormat="1" ht="15" customHeight="1" x14ac:dyDescent="0.3">
      <c r="B553" s="162"/>
      <c r="C553" s="96"/>
      <c r="D553" s="97"/>
      <c r="E553" s="154"/>
      <c r="F553" s="47"/>
      <c r="G553" s="47"/>
      <c r="H553" s="47"/>
      <c r="I553" s="47"/>
      <c r="J553" s="47"/>
      <c r="K553" s="47"/>
      <c r="L553" s="47"/>
      <c r="M553" s="47"/>
      <c r="N553" s="47"/>
      <c r="O553" s="47"/>
      <c r="P553" s="47"/>
      <c r="Q553" s="47"/>
      <c r="R553" s="47"/>
      <c r="S553" s="47"/>
      <c r="T553" s="47"/>
      <c r="U553" s="47"/>
      <c r="V553" s="47"/>
      <c r="W553" s="47"/>
      <c r="X553" s="47"/>
      <c r="Y553" s="47"/>
      <c r="Z553" s="47"/>
      <c r="AA553" s="47"/>
      <c r="AB553" s="47"/>
    </row>
    <row r="554" spans="2:28" s="95" customFormat="1" ht="15" customHeight="1" x14ac:dyDescent="0.3">
      <c r="B554" s="162"/>
      <c r="C554" s="96"/>
      <c r="D554" s="97"/>
      <c r="E554" s="154"/>
      <c r="F554" s="47"/>
      <c r="G554" s="47"/>
      <c r="H554" s="47"/>
      <c r="I554" s="47"/>
      <c r="J554" s="47"/>
      <c r="K554" s="47"/>
      <c r="L554" s="47"/>
      <c r="M554" s="47"/>
      <c r="N554" s="47"/>
      <c r="O554" s="47"/>
      <c r="P554" s="47"/>
      <c r="Q554" s="47"/>
      <c r="R554" s="47"/>
      <c r="S554" s="47"/>
      <c r="T554" s="47"/>
      <c r="U554" s="47"/>
      <c r="V554" s="47"/>
      <c r="W554" s="47"/>
      <c r="X554" s="47"/>
      <c r="Y554" s="47"/>
      <c r="Z554" s="47"/>
      <c r="AA554" s="47"/>
      <c r="AB554" s="47"/>
    </row>
    <row r="555" spans="2:28" s="95" customFormat="1" ht="15" customHeight="1" x14ac:dyDescent="0.3">
      <c r="B555" s="162"/>
      <c r="C555" s="96"/>
      <c r="D555" s="97"/>
      <c r="E555" s="154"/>
      <c r="F555" s="47"/>
      <c r="G555" s="47"/>
      <c r="H555" s="47"/>
      <c r="I555" s="47"/>
      <c r="J555" s="47"/>
      <c r="K555" s="47"/>
      <c r="L555" s="47"/>
      <c r="M555" s="47"/>
      <c r="N555" s="47"/>
      <c r="O555" s="47"/>
      <c r="P555" s="47"/>
      <c r="Q555" s="47"/>
      <c r="R555" s="47"/>
      <c r="S555" s="47"/>
      <c r="T555" s="47"/>
      <c r="U555" s="47"/>
      <c r="V555" s="47"/>
      <c r="W555" s="47"/>
      <c r="X555" s="47"/>
      <c r="Y555" s="47"/>
      <c r="Z555" s="47"/>
      <c r="AA555" s="47"/>
      <c r="AB555" s="47"/>
    </row>
    <row r="562" spans="2:28" s="95" customFormat="1" ht="15" customHeight="1" x14ac:dyDescent="0.3">
      <c r="B562" s="162"/>
      <c r="C562" s="96"/>
      <c r="D562" s="97"/>
      <c r="E562" s="154"/>
      <c r="F562" s="47"/>
      <c r="G562" s="47"/>
      <c r="H562" s="47"/>
      <c r="I562" s="47"/>
      <c r="J562" s="47"/>
      <c r="K562" s="47"/>
      <c r="L562" s="47"/>
      <c r="M562" s="47"/>
      <c r="N562" s="47"/>
      <c r="O562" s="47"/>
      <c r="P562" s="47"/>
      <c r="Q562" s="47"/>
      <c r="R562" s="47"/>
      <c r="S562" s="47"/>
      <c r="T562" s="47"/>
      <c r="U562" s="47"/>
      <c r="V562" s="47"/>
      <c r="W562" s="47"/>
      <c r="X562" s="47"/>
      <c r="Y562" s="47"/>
      <c r="Z562" s="47"/>
      <c r="AA562" s="47"/>
      <c r="AB562" s="47"/>
    </row>
    <row r="566" spans="2:28" s="95" customFormat="1" ht="15" customHeight="1" x14ac:dyDescent="0.3">
      <c r="B566" s="162"/>
      <c r="C566" s="96"/>
      <c r="D566" s="97"/>
      <c r="E566" s="154"/>
      <c r="F566" s="47"/>
      <c r="G566" s="47"/>
      <c r="H566" s="47"/>
      <c r="I566" s="47"/>
      <c r="J566" s="47"/>
      <c r="K566" s="47"/>
      <c r="L566" s="47"/>
      <c r="M566" s="47"/>
      <c r="N566" s="47"/>
      <c r="O566" s="47"/>
      <c r="P566" s="47"/>
      <c r="Q566" s="47"/>
      <c r="R566" s="47"/>
      <c r="S566" s="47"/>
      <c r="T566" s="47"/>
      <c r="U566" s="47"/>
      <c r="V566" s="47"/>
      <c r="W566" s="47"/>
      <c r="X566" s="47"/>
      <c r="Y566" s="47"/>
      <c r="Z566" s="47"/>
      <c r="AA566" s="47"/>
      <c r="AB566" s="47"/>
    </row>
    <row r="567" spans="2:28" s="95" customFormat="1" ht="15" customHeight="1" x14ac:dyDescent="0.3">
      <c r="B567" s="162"/>
      <c r="C567" s="96"/>
      <c r="D567" s="97"/>
      <c r="E567" s="154"/>
      <c r="F567" s="47"/>
      <c r="G567" s="47"/>
      <c r="H567" s="47"/>
      <c r="I567" s="47"/>
      <c r="J567" s="47"/>
      <c r="K567" s="47"/>
      <c r="L567" s="47"/>
      <c r="M567" s="47"/>
      <c r="N567" s="47"/>
      <c r="O567" s="47"/>
      <c r="P567" s="47"/>
      <c r="Q567" s="47"/>
      <c r="R567" s="47"/>
      <c r="S567" s="47"/>
      <c r="T567" s="47"/>
      <c r="U567" s="47"/>
      <c r="V567" s="47"/>
      <c r="W567" s="47"/>
      <c r="X567" s="47"/>
      <c r="Y567" s="47"/>
      <c r="Z567" s="47"/>
      <c r="AA567" s="47"/>
      <c r="AB567" s="47"/>
    </row>
    <row r="568" spans="2:28" s="95" customFormat="1" ht="15" customHeight="1" x14ac:dyDescent="0.3">
      <c r="B568" s="162"/>
      <c r="C568" s="96"/>
      <c r="D568" s="97"/>
      <c r="E568" s="154"/>
      <c r="F568" s="47"/>
      <c r="G568" s="47"/>
      <c r="H568" s="47"/>
      <c r="I568" s="47"/>
      <c r="J568" s="47"/>
      <c r="K568" s="47"/>
      <c r="L568" s="47"/>
      <c r="M568" s="47"/>
      <c r="N568" s="47"/>
      <c r="O568" s="47"/>
      <c r="P568" s="47"/>
      <c r="Q568" s="47"/>
      <c r="R568" s="47"/>
      <c r="S568" s="47"/>
      <c r="T568" s="47"/>
      <c r="U568" s="47"/>
      <c r="V568" s="47"/>
      <c r="W568" s="47"/>
      <c r="X568" s="47"/>
      <c r="Y568" s="47"/>
      <c r="Z568" s="47"/>
      <c r="AA568" s="47"/>
      <c r="AB568" s="47"/>
    </row>
    <row r="574" spans="2:28" s="95" customFormat="1" ht="15" customHeight="1" x14ac:dyDescent="0.3">
      <c r="B574" s="162"/>
      <c r="C574" s="96"/>
      <c r="D574" s="97"/>
      <c r="E574" s="154"/>
      <c r="F574" s="47"/>
      <c r="G574" s="47"/>
      <c r="H574" s="47"/>
      <c r="I574" s="47"/>
      <c r="J574" s="47"/>
      <c r="K574" s="47"/>
      <c r="L574" s="47"/>
      <c r="M574" s="47"/>
      <c r="N574" s="47"/>
      <c r="O574" s="47"/>
      <c r="P574" s="47"/>
      <c r="Q574" s="47"/>
      <c r="R574" s="47"/>
      <c r="S574" s="47"/>
      <c r="T574" s="47"/>
      <c r="U574" s="47"/>
      <c r="V574" s="47"/>
      <c r="W574" s="47"/>
      <c r="X574" s="47"/>
      <c r="Y574" s="47"/>
      <c r="Z574" s="47"/>
      <c r="AA574" s="47"/>
      <c r="AB574" s="47"/>
    </row>
    <row r="579" spans="2:28" s="95" customFormat="1" ht="15" customHeight="1" x14ac:dyDescent="0.3">
      <c r="B579" s="162"/>
      <c r="C579" s="96"/>
      <c r="D579" s="97"/>
      <c r="E579" s="154"/>
      <c r="F579" s="47"/>
      <c r="G579" s="47"/>
      <c r="H579" s="47"/>
      <c r="I579" s="47"/>
      <c r="J579" s="47"/>
      <c r="K579" s="47"/>
      <c r="L579" s="47"/>
      <c r="M579" s="47"/>
      <c r="N579" s="47"/>
      <c r="O579" s="47"/>
      <c r="P579" s="47"/>
      <c r="Q579" s="47"/>
      <c r="R579" s="47"/>
      <c r="S579" s="47"/>
      <c r="T579" s="47"/>
      <c r="U579" s="47"/>
      <c r="V579" s="47"/>
      <c r="W579" s="47"/>
      <c r="X579" s="47"/>
      <c r="Y579" s="47"/>
      <c r="Z579" s="47"/>
      <c r="AA579" s="47"/>
      <c r="AB579" s="47"/>
    </row>
    <row r="580" spans="2:28" s="95" customFormat="1" ht="15" customHeight="1" x14ac:dyDescent="0.3">
      <c r="B580" s="162"/>
      <c r="C580" s="96"/>
      <c r="D580" s="97"/>
      <c r="E580" s="154"/>
      <c r="F580" s="47"/>
      <c r="G580" s="47"/>
      <c r="H580" s="47"/>
      <c r="I580" s="47"/>
      <c r="J580" s="47"/>
      <c r="K580" s="47"/>
      <c r="L580" s="47"/>
      <c r="M580" s="47"/>
      <c r="N580" s="47"/>
      <c r="O580" s="47"/>
      <c r="P580" s="47"/>
      <c r="Q580" s="47"/>
      <c r="R580" s="47"/>
      <c r="S580" s="47"/>
      <c r="T580" s="47"/>
      <c r="U580" s="47"/>
      <c r="V580" s="47"/>
      <c r="W580" s="47"/>
      <c r="X580" s="47"/>
      <c r="Y580" s="47"/>
      <c r="Z580" s="47"/>
      <c r="AA580" s="47"/>
      <c r="AB580" s="47"/>
    </row>
    <row r="581" spans="2:28" s="95" customFormat="1" ht="15" customHeight="1" x14ac:dyDescent="0.3">
      <c r="B581" s="162"/>
      <c r="C581" s="96"/>
      <c r="D581" s="97"/>
      <c r="E581" s="154"/>
      <c r="F581" s="47"/>
      <c r="G581" s="47"/>
      <c r="H581" s="47"/>
      <c r="I581" s="47"/>
      <c r="J581" s="47"/>
      <c r="K581" s="47"/>
      <c r="L581" s="47"/>
      <c r="M581" s="47"/>
      <c r="N581" s="47"/>
      <c r="O581" s="47"/>
      <c r="P581" s="47"/>
      <c r="Q581" s="47"/>
      <c r="R581" s="47"/>
      <c r="S581" s="47"/>
      <c r="T581" s="47"/>
      <c r="U581" s="47"/>
      <c r="V581" s="47"/>
      <c r="W581" s="47"/>
      <c r="X581" s="47"/>
      <c r="Y581" s="47"/>
      <c r="Z581" s="47"/>
      <c r="AA581" s="47"/>
      <c r="AB581" s="47"/>
    </row>
    <row r="588" spans="2:28" s="95" customFormat="1" ht="15" customHeight="1" x14ac:dyDescent="0.3">
      <c r="B588" s="162"/>
      <c r="C588" s="96"/>
      <c r="D588" s="97"/>
      <c r="E588" s="154"/>
      <c r="F588" s="47"/>
      <c r="G588" s="47"/>
      <c r="H588" s="47"/>
      <c r="I588" s="47"/>
      <c r="J588" s="47"/>
      <c r="K588" s="47"/>
      <c r="L588" s="47"/>
      <c r="M588" s="47"/>
      <c r="N588" s="47"/>
      <c r="O588" s="47"/>
      <c r="P588" s="47"/>
      <c r="Q588" s="47"/>
      <c r="R588" s="47"/>
      <c r="S588" s="47"/>
      <c r="T588" s="47"/>
      <c r="U588" s="47"/>
      <c r="V588" s="47"/>
      <c r="W588" s="47"/>
      <c r="X588" s="47"/>
      <c r="Y588" s="47"/>
      <c r="Z588" s="47"/>
      <c r="AA588" s="47"/>
      <c r="AB588" s="47"/>
    </row>
    <row r="592" spans="2:28" s="95" customFormat="1" ht="15" customHeight="1" x14ac:dyDescent="0.3">
      <c r="B592" s="162"/>
      <c r="C592" s="96"/>
      <c r="D592" s="97"/>
      <c r="E592" s="154"/>
      <c r="F592" s="47"/>
      <c r="G592" s="47"/>
      <c r="H592" s="47"/>
      <c r="I592" s="47"/>
      <c r="J592" s="47"/>
      <c r="K592" s="47"/>
      <c r="L592" s="47"/>
      <c r="M592" s="47"/>
      <c r="N592" s="47"/>
      <c r="O592" s="47"/>
      <c r="P592" s="47"/>
      <c r="Q592" s="47"/>
      <c r="R592" s="47"/>
      <c r="S592" s="47"/>
      <c r="T592" s="47"/>
      <c r="U592" s="47"/>
      <c r="V592" s="47"/>
      <c r="W592" s="47"/>
      <c r="X592" s="47"/>
      <c r="Y592" s="47"/>
      <c r="Z592" s="47"/>
      <c r="AA592" s="47"/>
      <c r="AB592" s="47"/>
    </row>
    <row r="593" spans="2:28" s="95" customFormat="1" ht="15" customHeight="1" x14ac:dyDescent="0.3">
      <c r="B593" s="162"/>
      <c r="C593" s="96"/>
      <c r="D593" s="97"/>
      <c r="E593" s="154"/>
      <c r="F593" s="47"/>
      <c r="G593" s="47"/>
      <c r="H593" s="47"/>
      <c r="I593" s="47"/>
      <c r="J593" s="47"/>
      <c r="K593" s="47"/>
      <c r="L593" s="47"/>
      <c r="M593" s="47"/>
      <c r="N593" s="47"/>
      <c r="O593" s="47"/>
      <c r="P593" s="47"/>
      <c r="Q593" s="47"/>
      <c r="R593" s="47"/>
      <c r="S593" s="47"/>
      <c r="T593" s="47"/>
      <c r="U593" s="47"/>
      <c r="V593" s="47"/>
      <c r="W593" s="47"/>
      <c r="X593" s="47"/>
      <c r="Y593" s="47"/>
      <c r="Z593" s="47"/>
      <c r="AA593" s="47"/>
      <c r="AB593" s="47"/>
    </row>
    <row r="594" spans="2:28" s="95" customFormat="1" ht="15" customHeight="1" x14ac:dyDescent="0.3">
      <c r="B594" s="162"/>
      <c r="C594" s="96"/>
      <c r="D594" s="97"/>
      <c r="E594" s="154"/>
      <c r="F594" s="47"/>
      <c r="G594" s="47"/>
      <c r="H594" s="47"/>
      <c r="I594" s="47"/>
      <c r="J594" s="47"/>
      <c r="K594" s="47"/>
      <c r="L594" s="47"/>
      <c r="M594" s="47"/>
      <c r="N594" s="47"/>
      <c r="O594" s="47"/>
      <c r="P594" s="47"/>
      <c r="Q594" s="47"/>
      <c r="R594" s="47"/>
      <c r="S594" s="47"/>
      <c r="T594" s="47"/>
      <c r="U594" s="47"/>
      <c r="V594" s="47"/>
      <c r="W594" s="47"/>
      <c r="X594" s="47"/>
      <c r="Y594" s="47"/>
      <c r="Z594" s="47"/>
      <c r="AA594" s="47"/>
      <c r="AB594" s="47"/>
    </row>
    <row r="605" spans="2:28" s="95" customFormat="1" ht="15" customHeight="1" x14ac:dyDescent="0.3">
      <c r="B605" s="162"/>
      <c r="C605" s="96"/>
      <c r="D605" s="97"/>
      <c r="E605" s="154"/>
      <c r="F605" s="47"/>
      <c r="G605" s="47"/>
      <c r="H605" s="47"/>
      <c r="I605" s="47"/>
      <c r="J605" s="47"/>
      <c r="K605" s="47"/>
      <c r="L605" s="47"/>
      <c r="M605" s="47"/>
      <c r="N605" s="47"/>
      <c r="O605" s="47"/>
      <c r="P605" s="47"/>
      <c r="Q605" s="47"/>
      <c r="R605" s="47"/>
      <c r="S605" s="47"/>
      <c r="T605" s="47"/>
      <c r="U605" s="47"/>
      <c r="V605" s="47"/>
      <c r="W605" s="47"/>
      <c r="X605" s="47"/>
      <c r="Y605" s="47"/>
      <c r="Z605" s="47"/>
      <c r="AA605" s="47"/>
      <c r="AB605" s="47"/>
    </row>
    <row r="606" spans="2:28" s="95" customFormat="1" ht="15" hidden="1" customHeight="1" thickBot="1" x14ac:dyDescent="0.3">
      <c r="B606" s="162"/>
      <c r="C606" s="96"/>
      <c r="D606" s="97"/>
      <c r="E606" s="154"/>
      <c r="F606" s="47"/>
      <c r="G606" s="47"/>
      <c r="H606" s="47"/>
      <c r="I606" s="47"/>
      <c r="J606" s="47"/>
      <c r="K606" s="47"/>
      <c r="L606" s="47"/>
      <c r="M606" s="47"/>
      <c r="N606" s="47"/>
      <c r="O606" s="47"/>
      <c r="P606" s="47"/>
      <c r="Q606" s="47"/>
      <c r="R606" s="47"/>
      <c r="S606" s="47"/>
      <c r="T606" s="47"/>
      <c r="U606" s="47"/>
      <c r="V606" s="47"/>
      <c r="W606" s="47"/>
      <c r="X606" s="47"/>
      <c r="Y606" s="47"/>
      <c r="Z606" s="47"/>
      <c r="AA606" s="47"/>
      <c r="AB606" s="47"/>
    </row>
    <row r="607" spans="2:28" s="95" customFormat="1" ht="15" customHeight="1" x14ac:dyDescent="0.3">
      <c r="B607" s="162"/>
      <c r="C607" s="96"/>
      <c r="D607" s="97"/>
      <c r="E607" s="154"/>
      <c r="F607" s="47"/>
      <c r="G607" s="47"/>
      <c r="H607" s="47"/>
      <c r="I607" s="47"/>
      <c r="J607" s="47"/>
      <c r="K607" s="47"/>
      <c r="L607" s="47"/>
      <c r="M607" s="47"/>
      <c r="N607" s="47"/>
      <c r="O607" s="47"/>
      <c r="P607" s="47"/>
      <c r="Q607" s="47"/>
      <c r="R607" s="47"/>
      <c r="S607" s="47"/>
      <c r="T607" s="47"/>
      <c r="U607" s="47"/>
      <c r="V607" s="47"/>
      <c r="W607" s="47"/>
      <c r="X607" s="47"/>
      <c r="Y607" s="47"/>
      <c r="Z607" s="47"/>
      <c r="AA607" s="47"/>
      <c r="AB607" s="47"/>
    </row>
    <row r="618" spans="2:28" s="95" customFormat="1" ht="15" customHeight="1" x14ac:dyDescent="0.3">
      <c r="B618" s="162"/>
      <c r="C618" s="96"/>
      <c r="D618" s="97"/>
      <c r="E618" s="154"/>
      <c r="F618" s="47"/>
      <c r="G618" s="47"/>
      <c r="H618" s="47"/>
      <c r="I618" s="47"/>
      <c r="J618" s="47"/>
      <c r="K618" s="47"/>
      <c r="L618" s="47"/>
      <c r="M618" s="47"/>
      <c r="N618" s="47"/>
      <c r="O618" s="47"/>
      <c r="P618" s="47"/>
      <c r="Q618" s="47"/>
      <c r="R618" s="47"/>
      <c r="S618" s="47"/>
      <c r="T618" s="47"/>
      <c r="U618" s="47"/>
      <c r="V618" s="47"/>
      <c r="W618" s="47"/>
      <c r="X618" s="47"/>
      <c r="Y618" s="47"/>
      <c r="Z618" s="47"/>
      <c r="AA618" s="47"/>
      <c r="AB618" s="47"/>
    </row>
    <row r="619" spans="2:28" s="95" customFormat="1" ht="15" customHeight="1" x14ac:dyDescent="0.3">
      <c r="B619" s="162"/>
      <c r="C619" s="96"/>
      <c r="D619" s="97"/>
      <c r="E619" s="154"/>
      <c r="F619" s="47"/>
      <c r="G619" s="47"/>
      <c r="H619" s="47"/>
      <c r="I619" s="47"/>
      <c r="J619" s="47"/>
      <c r="K619" s="47"/>
      <c r="L619" s="47"/>
      <c r="M619" s="47"/>
      <c r="N619" s="47"/>
      <c r="O619" s="47"/>
      <c r="P619" s="47"/>
      <c r="Q619" s="47"/>
      <c r="R619" s="47"/>
      <c r="S619" s="47"/>
      <c r="T619" s="47"/>
      <c r="U619" s="47"/>
      <c r="V619" s="47"/>
      <c r="W619" s="47"/>
      <c r="X619" s="47"/>
      <c r="Y619" s="47"/>
      <c r="Z619" s="47"/>
      <c r="AA619" s="47"/>
      <c r="AB619" s="47"/>
    </row>
    <row r="620" spans="2:28" s="95" customFormat="1" ht="15" customHeight="1" x14ac:dyDescent="0.3">
      <c r="B620" s="162"/>
      <c r="C620" s="96"/>
      <c r="D620" s="97"/>
      <c r="E620" s="154"/>
      <c r="F620" s="47"/>
      <c r="G620" s="47"/>
      <c r="H620" s="47"/>
      <c r="I620" s="47"/>
      <c r="J620" s="47"/>
      <c r="K620" s="47"/>
      <c r="L620" s="47"/>
      <c r="M620" s="47"/>
      <c r="N620" s="47"/>
      <c r="O620" s="47"/>
      <c r="P620" s="47"/>
      <c r="Q620" s="47"/>
      <c r="R620" s="47"/>
      <c r="S620" s="47"/>
      <c r="T620" s="47"/>
      <c r="U620" s="47"/>
      <c r="V620" s="47"/>
      <c r="W620" s="47"/>
      <c r="X620" s="47"/>
      <c r="Y620" s="47"/>
      <c r="Z620" s="47"/>
      <c r="AA620" s="47"/>
      <c r="AB620" s="47"/>
    </row>
    <row r="621" spans="2:28" s="95" customFormat="1" ht="15" customHeight="1" x14ac:dyDescent="0.3">
      <c r="B621" s="162"/>
      <c r="C621" s="96"/>
      <c r="D621" s="97"/>
      <c r="E621" s="154"/>
      <c r="F621" s="47"/>
      <c r="G621" s="47"/>
      <c r="H621" s="47"/>
      <c r="I621" s="47"/>
      <c r="J621" s="47"/>
      <c r="K621" s="47"/>
      <c r="L621" s="47"/>
      <c r="M621" s="47"/>
      <c r="N621" s="47"/>
      <c r="O621" s="47"/>
      <c r="P621" s="47"/>
      <c r="Q621" s="47"/>
      <c r="R621" s="47"/>
      <c r="S621" s="47"/>
      <c r="T621" s="47"/>
      <c r="U621" s="47"/>
      <c r="V621" s="47"/>
      <c r="W621" s="47"/>
      <c r="X621" s="47"/>
      <c r="Y621" s="47"/>
      <c r="Z621" s="47"/>
      <c r="AA621" s="47"/>
      <c r="AB621" s="47"/>
    </row>
    <row r="622" spans="2:28" s="95" customFormat="1" ht="15" customHeight="1" x14ac:dyDescent="0.3">
      <c r="B622" s="162"/>
      <c r="C622" s="96"/>
      <c r="D622" s="97"/>
      <c r="E622" s="154"/>
      <c r="F622" s="47"/>
      <c r="G622" s="47"/>
      <c r="H622" s="47"/>
      <c r="I622" s="47"/>
      <c r="J622" s="47"/>
      <c r="K622" s="47"/>
      <c r="L622" s="47"/>
      <c r="M622" s="47"/>
      <c r="N622" s="47"/>
      <c r="O622" s="47"/>
      <c r="P622" s="47"/>
      <c r="Q622" s="47"/>
      <c r="R622" s="47"/>
      <c r="S622" s="47"/>
      <c r="T622" s="47"/>
      <c r="U622" s="47"/>
      <c r="V622" s="47"/>
      <c r="W622" s="47"/>
      <c r="X622" s="47"/>
      <c r="Y622" s="47"/>
      <c r="Z622" s="47"/>
      <c r="AA622" s="47"/>
      <c r="AB622" s="47"/>
    </row>
    <row r="633" spans="2:28" s="95" customFormat="1" ht="15" customHeight="1" x14ac:dyDescent="0.3">
      <c r="B633" s="162"/>
      <c r="C633" s="96"/>
      <c r="D633" s="97"/>
      <c r="E633" s="154"/>
      <c r="F633" s="47"/>
      <c r="G633" s="47"/>
      <c r="H633" s="47"/>
      <c r="I633" s="47"/>
      <c r="J633" s="47"/>
      <c r="K633" s="47"/>
      <c r="L633" s="47"/>
      <c r="M633" s="47"/>
      <c r="N633" s="47"/>
      <c r="O633" s="47"/>
      <c r="P633" s="47"/>
      <c r="Q633" s="47"/>
      <c r="R633" s="47"/>
      <c r="S633" s="47"/>
      <c r="T633" s="47"/>
      <c r="U633" s="47"/>
      <c r="V633" s="47"/>
      <c r="W633" s="47"/>
      <c r="X633" s="47"/>
      <c r="Y633" s="47"/>
      <c r="Z633" s="47"/>
      <c r="AA633" s="47"/>
      <c r="AB633" s="47"/>
    </row>
    <row r="634" spans="2:28" s="95" customFormat="1" ht="15" customHeight="1" x14ac:dyDescent="0.3">
      <c r="B634" s="162"/>
      <c r="C634" s="96"/>
      <c r="D634" s="97"/>
      <c r="E634" s="154"/>
      <c r="F634" s="47"/>
      <c r="G634" s="47"/>
      <c r="H634" s="47"/>
      <c r="I634" s="47"/>
      <c r="J634" s="47"/>
      <c r="K634" s="47"/>
      <c r="L634" s="47"/>
      <c r="M634" s="47"/>
      <c r="N634" s="47"/>
      <c r="O634" s="47"/>
      <c r="P634" s="47"/>
      <c r="Q634" s="47"/>
      <c r="R634" s="47"/>
      <c r="S634" s="47"/>
      <c r="T634" s="47"/>
      <c r="U634" s="47"/>
      <c r="V634" s="47"/>
      <c r="W634" s="47"/>
      <c r="X634" s="47"/>
      <c r="Y634" s="47"/>
      <c r="Z634" s="47"/>
      <c r="AA634" s="47"/>
      <c r="AB634" s="47"/>
    </row>
    <row r="635" spans="2:28" s="95" customFormat="1" ht="15" customHeight="1" x14ac:dyDescent="0.3">
      <c r="B635" s="162"/>
      <c r="C635" s="96"/>
      <c r="D635" s="97"/>
      <c r="E635" s="154"/>
      <c r="F635" s="47"/>
      <c r="G635" s="47"/>
      <c r="H635" s="47"/>
      <c r="I635" s="47"/>
      <c r="J635" s="47"/>
      <c r="K635" s="47"/>
      <c r="L635" s="47"/>
      <c r="M635" s="47"/>
      <c r="N635" s="47"/>
      <c r="O635" s="47"/>
      <c r="P635" s="47"/>
      <c r="Q635" s="47"/>
      <c r="R635" s="47"/>
      <c r="S635" s="47"/>
      <c r="T635" s="47"/>
      <c r="U635" s="47"/>
      <c r="V635" s="47"/>
      <c r="W635" s="47"/>
      <c r="X635" s="47"/>
      <c r="Y635" s="47"/>
      <c r="Z635" s="47"/>
      <c r="AA635" s="47"/>
      <c r="AB635" s="47"/>
    </row>
    <row r="636" spans="2:28" s="95" customFormat="1" ht="15" customHeight="1" x14ac:dyDescent="0.3">
      <c r="B636" s="162"/>
      <c r="C636" s="96"/>
      <c r="D636" s="97"/>
      <c r="E636" s="154"/>
      <c r="F636" s="47"/>
      <c r="G636" s="47"/>
      <c r="H636" s="47"/>
      <c r="I636" s="47"/>
      <c r="J636" s="47"/>
      <c r="K636" s="47"/>
      <c r="L636" s="47"/>
      <c r="M636" s="47"/>
      <c r="N636" s="47"/>
      <c r="O636" s="47"/>
      <c r="P636" s="47"/>
      <c r="Q636" s="47"/>
      <c r="R636" s="47"/>
      <c r="S636" s="47"/>
      <c r="T636" s="47"/>
      <c r="U636" s="47"/>
      <c r="V636" s="47"/>
      <c r="W636" s="47"/>
      <c r="X636" s="47"/>
      <c r="Y636" s="47"/>
      <c r="Z636" s="47"/>
      <c r="AA636" s="47"/>
      <c r="AB636" s="47"/>
    </row>
    <row r="637" spans="2:28" s="95" customFormat="1" ht="15" customHeight="1" x14ac:dyDescent="0.3">
      <c r="B637" s="162"/>
      <c r="C637" s="96"/>
      <c r="D637" s="97"/>
      <c r="E637" s="154"/>
      <c r="F637" s="47"/>
      <c r="G637" s="47"/>
      <c r="H637" s="47"/>
      <c r="I637" s="47"/>
      <c r="J637" s="47"/>
      <c r="K637" s="47"/>
      <c r="L637" s="47"/>
      <c r="M637" s="47"/>
      <c r="N637" s="47"/>
      <c r="O637" s="47"/>
      <c r="P637" s="47"/>
      <c r="Q637" s="47"/>
      <c r="R637" s="47"/>
      <c r="S637" s="47"/>
      <c r="T637" s="47"/>
      <c r="U637" s="47"/>
      <c r="V637" s="47"/>
      <c r="W637" s="47"/>
      <c r="X637" s="47"/>
      <c r="Y637" s="47"/>
      <c r="Z637" s="47"/>
      <c r="AA637" s="47"/>
      <c r="AB637" s="47"/>
    </row>
    <row r="648" spans="2:28" s="95" customFormat="1" ht="15" customHeight="1" x14ac:dyDescent="0.3">
      <c r="B648" s="162"/>
      <c r="C648" s="96"/>
      <c r="D648" s="97"/>
      <c r="E648" s="154"/>
      <c r="F648" s="47"/>
      <c r="G648" s="47"/>
      <c r="H648" s="47"/>
      <c r="I648" s="47"/>
      <c r="J648" s="47"/>
      <c r="K648" s="47"/>
      <c r="L648" s="47"/>
      <c r="M648" s="47"/>
      <c r="N648" s="47"/>
      <c r="O648" s="47"/>
      <c r="P648" s="47"/>
      <c r="Q648" s="47"/>
      <c r="R648" s="47"/>
      <c r="S648" s="47"/>
      <c r="T648" s="47"/>
      <c r="U648" s="47"/>
      <c r="V648" s="47"/>
      <c r="W648" s="47"/>
      <c r="X648" s="47"/>
      <c r="Y648" s="47"/>
      <c r="Z648" s="47"/>
      <c r="AA648" s="47"/>
      <c r="AB648" s="47"/>
    </row>
    <row r="649" spans="2:28" s="95" customFormat="1" ht="15" customHeight="1" x14ac:dyDescent="0.3">
      <c r="B649" s="162"/>
      <c r="C649" s="96"/>
      <c r="D649" s="97"/>
      <c r="E649" s="154"/>
      <c r="F649" s="47"/>
      <c r="G649" s="47"/>
      <c r="H649" s="47"/>
      <c r="I649" s="47"/>
      <c r="J649" s="47"/>
      <c r="K649" s="47"/>
      <c r="L649" s="47"/>
      <c r="M649" s="47"/>
      <c r="N649" s="47"/>
      <c r="O649" s="47"/>
      <c r="P649" s="47"/>
      <c r="Q649" s="47"/>
      <c r="R649" s="47"/>
      <c r="S649" s="47"/>
      <c r="T649" s="47"/>
      <c r="U649" s="47"/>
      <c r="V649" s="47"/>
      <c r="W649" s="47"/>
      <c r="X649" s="47"/>
      <c r="Y649" s="47"/>
      <c r="Z649" s="47"/>
      <c r="AA649" s="47"/>
      <c r="AB649" s="47"/>
    </row>
    <row r="650" spans="2:28" s="95" customFormat="1" ht="15" customHeight="1" x14ac:dyDescent="0.3">
      <c r="B650" s="162"/>
      <c r="C650" s="96"/>
      <c r="D650" s="97"/>
      <c r="E650" s="154"/>
      <c r="F650" s="47"/>
      <c r="G650" s="47"/>
      <c r="H650" s="47"/>
      <c r="I650" s="47"/>
      <c r="J650" s="47"/>
      <c r="K650" s="47"/>
      <c r="L650" s="47"/>
      <c r="M650" s="47"/>
      <c r="N650" s="47"/>
      <c r="O650" s="47"/>
      <c r="P650" s="47"/>
      <c r="Q650" s="47"/>
      <c r="R650" s="47"/>
      <c r="S650" s="47"/>
      <c r="T650" s="47"/>
      <c r="U650" s="47"/>
      <c r="V650" s="47"/>
      <c r="W650" s="47"/>
      <c r="X650" s="47"/>
      <c r="Y650" s="47"/>
      <c r="Z650" s="47"/>
      <c r="AA650" s="47"/>
      <c r="AB650" s="47"/>
    </row>
    <row r="651" spans="2:28" s="95" customFormat="1" ht="15" customHeight="1" x14ac:dyDescent="0.3">
      <c r="B651" s="162"/>
      <c r="C651" s="96"/>
      <c r="D651" s="97"/>
      <c r="E651" s="154"/>
      <c r="F651" s="47"/>
      <c r="G651" s="47"/>
      <c r="H651" s="47"/>
      <c r="I651" s="47"/>
      <c r="J651" s="47"/>
      <c r="K651" s="47"/>
      <c r="L651" s="47"/>
      <c r="M651" s="47"/>
      <c r="N651" s="47"/>
      <c r="O651" s="47"/>
      <c r="P651" s="47"/>
      <c r="Q651" s="47"/>
      <c r="R651" s="47"/>
      <c r="S651" s="47"/>
      <c r="T651" s="47"/>
      <c r="U651" s="47"/>
      <c r="V651" s="47"/>
      <c r="W651" s="47"/>
      <c r="X651" s="47"/>
      <c r="Y651" s="47"/>
      <c r="Z651" s="47"/>
      <c r="AA651" s="47"/>
      <c r="AB651" s="47"/>
    </row>
    <row r="652" spans="2:28" s="95" customFormat="1" ht="15" customHeight="1" x14ac:dyDescent="0.3">
      <c r="B652" s="162"/>
      <c r="C652" s="96"/>
      <c r="D652" s="97"/>
      <c r="E652" s="154"/>
      <c r="F652" s="47"/>
      <c r="G652" s="47"/>
      <c r="H652" s="47"/>
      <c r="I652" s="47"/>
      <c r="J652" s="47"/>
      <c r="K652" s="47"/>
      <c r="L652" s="47"/>
      <c r="M652" s="47"/>
      <c r="N652" s="47"/>
      <c r="O652" s="47"/>
      <c r="P652" s="47"/>
      <c r="Q652" s="47"/>
      <c r="R652" s="47"/>
      <c r="S652" s="47"/>
      <c r="T652" s="47"/>
      <c r="U652" s="47"/>
      <c r="V652" s="47"/>
      <c r="W652" s="47"/>
      <c r="X652" s="47"/>
      <c r="Y652" s="47"/>
      <c r="Z652" s="47"/>
      <c r="AA652" s="47"/>
      <c r="AB652" s="47"/>
    </row>
    <row r="663" spans="2:28" s="95" customFormat="1" ht="15" customHeight="1" x14ac:dyDescent="0.3">
      <c r="B663" s="162"/>
      <c r="C663" s="96"/>
      <c r="D663" s="97"/>
      <c r="E663" s="154"/>
      <c r="F663" s="47"/>
      <c r="G663" s="47"/>
      <c r="H663" s="47"/>
      <c r="I663" s="47"/>
      <c r="J663" s="47"/>
      <c r="K663" s="47"/>
      <c r="L663" s="47"/>
      <c r="M663" s="47"/>
      <c r="N663" s="47"/>
      <c r="O663" s="47"/>
      <c r="P663" s="47"/>
      <c r="Q663" s="47"/>
      <c r="R663" s="47"/>
      <c r="S663" s="47"/>
      <c r="T663" s="47"/>
      <c r="U663" s="47"/>
      <c r="V663" s="47"/>
      <c r="W663" s="47"/>
      <c r="X663" s="47"/>
      <c r="Y663" s="47"/>
      <c r="Z663" s="47"/>
      <c r="AA663" s="47"/>
      <c r="AB663" s="47"/>
    </row>
    <row r="665" spans="2:28" s="95" customFormat="1" ht="15" customHeight="1" x14ac:dyDescent="0.3">
      <c r="B665" s="162"/>
      <c r="C665" s="96"/>
      <c r="D665" s="97"/>
      <c r="E665" s="154"/>
      <c r="F665" s="47"/>
      <c r="G665" s="47"/>
      <c r="H665" s="47"/>
      <c r="I665" s="47"/>
      <c r="J665" s="47"/>
      <c r="K665" s="47"/>
      <c r="L665" s="47"/>
      <c r="M665" s="47"/>
      <c r="N665" s="47"/>
      <c r="O665" s="47"/>
      <c r="P665" s="47"/>
      <c r="Q665" s="47"/>
      <c r="R665" s="47"/>
      <c r="S665" s="47"/>
      <c r="T665" s="47"/>
      <c r="U665" s="47"/>
      <c r="V665" s="47"/>
      <c r="W665" s="47"/>
      <c r="X665" s="47"/>
      <c r="Y665" s="47"/>
      <c r="Z665" s="47"/>
      <c r="AA665" s="47"/>
      <c r="AB665" s="47"/>
    </row>
    <row r="676" spans="2:28" s="95" customFormat="1" ht="15" customHeight="1" x14ac:dyDescent="0.3">
      <c r="B676" s="162"/>
      <c r="C676" s="96"/>
      <c r="D676" s="97"/>
      <c r="E676" s="154"/>
      <c r="F676" s="47"/>
      <c r="G676" s="47"/>
      <c r="H676" s="47"/>
      <c r="I676" s="47"/>
      <c r="J676" s="47"/>
      <c r="K676" s="47"/>
      <c r="L676" s="47"/>
      <c r="M676" s="47"/>
      <c r="N676" s="47"/>
      <c r="O676" s="47"/>
      <c r="P676" s="47"/>
      <c r="Q676" s="47"/>
      <c r="R676" s="47"/>
      <c r="S676" s="47"/>
      <c r="T676" s="47"/>
      <c r="U676" s="47"/>
      <c r="V676" s="47"/>
      <c r="W676" s="47"/>
      <c r="X676" s="47"/>
      <c r="Y676" s="47"/>
      <c r="Z676" s="47"/>
      <c r="AA676" s="47"/>
      <c r="AB676" s="47"/>
    </row>
    <row r="677" spans="2:28" s="95" customFormat="1" ht="15" customHeight="1" x14ac:dyDescent="0.3">
      <c r="B677" s="162"/>
      <c r="C677" s="96"/>
      <c r="D677" s="97"/>
      <c r="E677" s="154"/>
      <c r="F677" s="47"/>
      <c r="G677" s="47"/>
      <c r="H677" s="47"/>
      <c r="I677" s="47"/>
      <c r="J677" s="47"/>
      <c r="K677" s="47"/>
      <c r="L677" s="47"/>
      <c r="M677" s="47"/>
      <c r="N677" s="47"/>
      <c r="O677" s="47"/>
      <c r="P677" s="47"/>
      <c r="Q677" s="47"/>
      <c r="R677" s="47"/>
      <c r="S677" s="47"/>
      <c r="T677" s="47"/>
      <c r="U677" s="47"/>
      <c r="V677" s="47"/>
      <c r="W677" s="47"/>
      <c r="X677" s="47"/>
      <c r="Y677" s="47"/>
      <c r="Z677" s="47"/>
      <c r="AA677" s="47"/>
      <c r="AB677" s="47"/>
    </row>
    <row r="688" spans="2:28" s="95" customFormat="1" ht="15" customHeight="1" x14ac:dyDescent="0.3">
      <c r="B688" s="162"/>
      <c r="C688" s="96"/>
      <c r="D688" s="97"/>
      <c r="E688" s="154"/>
      <c r="F688" s="47"/>
      <c r="G688" s="47"/>
      <c r="H688" s="47"/>
      <c r="I688" s="47"/>
      <c r="J688" s="47"/>
      <c r="K688" s="47"/>
      <c r="L688" s="47"/>
      <c r="M688" s="47"/>
      <c r="N688" s="47"/>
      <c r="O688" s="47"/>
      <c r="P688" s="47"/>
      <c r="Q688" s="47"/>
      <c r="R688" s="47"/>
      <c r="S688" s="47"/>
      <c r="T688" s="47"/>
      <c r="U688" s="47"/>
      <c r="V688" s="47"/>
      <c r="W688" s="47"/>
      <c r="X688" s="47"/>
      <c r="Y688" s="47"/>
      <c r="Z688" s="47"/>
      <c r="AA688" s="47"/>
      <c r="AB688" s="47"/>
    </row>
    <row r="689" spans="2:28" s="95" customFormat="1" ht="15" customHeight="1" x14ac:dyDescent="0.3">
      <c r="B689" s="162"/>
      <c r="C689" s="96"/>
      <c r="D689" s="97"/>
      <c r="E689" s="154"/>
      <c r="F689" s="47"/>
      <c r="G689" s="47"/>
      <c r="H689" s="47"/>
      <c r="I689" s="47"/>
      <c r="J689" s="47"/>
      <c r="K689" s="47"/>
      <c r="L689" s="47"/>
      <c r="M689" s="47"/>
      <c r="N689" s="47"/>
      <c r="O689" s="47"/>
      <c r="P689" s="47"/>
      <c r="Q689" s="47"/>
      <c r="R689" s="47"/>
      <c r="S689" s="47"/>
      <c r="T689" s="47"/>
      <c r="U689" s="47"/>
      <c r="V689" s="47"/>
      <c r="W689" s="47"/>
      <c r="X689" s="47"/>
      <c r="Y689" s="47"/>
      <c r="Z689" s="47"/>
      <c r="AA689" s="47"/>
      <c r="AB689" s="47"/>
    </row>
    <row r="699" spans="2:28" s="95" customFormat="1" ht="15" customHeight="1" x14ac:dyDescent="0.3">
      <c r="B699" s="162"/>
      <c r="C699" s="96"/>
      <c r="D699" s="97"/>
      <c r="E699" s="154"/>
      <c r="F699" s="47"/>
      <c r="G699" s="47"/>
      <c r="H699" s="47"/>
      <c r="I699" s="47"/>
      <c r="J699" s="47"/>
      <c r="K699" s="47"/>
      <c r="L699" s="47"/>
      <c r="M699" s="47"/>
      <c r="N699" s="47"/>
      <c r="O699" s="47"/>
      <c r="P699" s="47"/>
      <c r="Q699" s="47"/>
      <c r="R699" s="47"/>
      <c r="S699" s="47"/>
      <c r="T699" s="47"/>
      <c r="U699" s="47"/>
      <c r="V699" s="47"/>
      <c r="W699" s="47"/>
      <c r="X699" s="47"/>
      <c r="Y699" s="47"/>
      <c r="Z699" s="47"/>
      <c r="AA699" s="47"/>
      <c r="AB699" s="47"/>
    </row>
    <row r="700" spans="2:28" s="95" customFormat="1" ht="15" customHeight="1" x14ac:dyDescent="0.3">
      <c r="B700" s="162"/>
      <c r="C700" s="96"/>
      <c r="D700" s="97"/>
      <c r="E700" s="154"/>
      <c r="F700" s="47"/>
      <c r="G700" s="47"/>
      <c r="H700" s="47"/>
      <c r="I700" s="47"/>
      <c r="J700" s="47"/>
      <c r="K700" s="47"/>
      <c r="L700" s="47"/>
      <c r="M700" s="47"/>
      <c r="N700" s="47"/>
      <c r="O700" s="47"/>
      <c r="P700" s="47"/>
      <c r="Q700" s="47"/>
      <c r="R700" s="47"/>
      <c r="S700" s="47"/>
      <c r="T700" s="47"/>
      <c r="U700" s="47"/>
      <c r="V700" s="47"/>
      <c r="W700" s="47"/>
      <c r="X700" s="47"/>
      <c r="Y700" s="47"/>
      <c r="Z700" s="47"/>
      <c r="AA700" s="47"/>
      <c r="AB700" s="47"/>
    </row>
    <row r="701" spans="2:28" s="95" customFormat="1" ht="15" hidden="1" customHeight="1" thickBot="1" x14ac:dyDescent="0.3">
      <c r="B701" s="162"/>
      <c r="C701" s="96"/>
      <c r="D701" s="97"/>
      <c r="E701" s="154"/>
      <c r="F701" s="47"/>
      <c r="G701" s="47"/>
      <c r="H701" s="47"/>
      <c r="I701" s="47"/>
      <c r="J701" s="47"/>
      <c r="K701" s="47"/>
      <c r="L701" s="47"/>
      <c r="M701" s="47"/>
      <c r="N701" s="47"/>
      <c r="O701" s="47"/>
      <c r="P701" s="47"/>
      <c r="Q701" s="47"/>
      <c r="R701" s="47"/>
      <c r="S701" s="47"/>
      <c r="T701" s="47"/>
      <c r="U701" s="47"/>
      <c r="V701" s="47"/>
      <c r="W701" s="47"/>
      <c r="X701" s="47"/>
      <c r="Y701" s="47"/>
      <c r="Z701" s="47"/>
      <c r="AA701" s="47"/>
      <c r="AB701" s="47"/>
    </row>
    <row r="702" spans="2:28" s="95" customFormat="1" ht="15" customHeight="1" x14ac:dyDescent="0.3">
      <c r="B702" s="162"/>
      <c r="C702" s="96"/>
      <c r="D702" s="97"/>
      <c r="E702" s="154"/>
      <c r="F702" s="47"/>
      <c r="G702" s="47"/>
      <c r="H702" s="47"/>
      <c r="I702" s="47"/>
      <c r="J702" s="47"/>
      <c r="K702" s="47"/>
      <c r="L702" s="47"/>
      <c r="M702" s="47"/>
      <c r="N702" s="47"/>
      <c r="O702" s="47"/>
      <c r="P702" s="47"/>
      <c r="Q702" s="47"/>
      <c r="R702" s="47"/>
      <c r="S702" s="47"/>
      <c r="T702" s="47"/>
      <c r="U702" s="47"/>
      <c r="V702" s="47"/>
      <c r="W702" s="47"/>
      <c r="X702" s="47"/>
      <c r="Y702" s="47"/>
      <c r="Z702" s="47"/>
      <c r="AA702" s="47"/>
      <c r="AB702" s="47"/>
    </row>
    <row r="713" spans="2:28" s="95" customFormat="1" ht="15" customHeight="1" x14ac:dyDescent="0.3">
      <c r="B713" s="162"/>
      <c r="C713" s="96"/>
      <c r="D713" s="97"/>
      <c r="E713" s="154"/>
      <c r="F713" s="47"/>
      <c r="G713" s="47"/>
      <c r="H713" s="47"/>
      <c r="I713" s="47"/>
      <c r="J713" s="47"/>
      <c r="K713" s="47"/>
      <c r="L713" s="47"/>
      <c r="M713" s="47"/>
      <c r="N713" s="47"/>
      <c r="O713" s="47"/>
      <c r="P713" s="47"/>
      <c r="Q713" s="47"/>
      <c r="R713" s="47"/>
      <c r="S713" s="47"/>
      <c r="T713" s="47"/>
      <c r="U713" s="47"/>
      <c r="V713" s="47"/>
      <c r="W713" s="47"/>
      <c r="X713" s="47"/>
      <c r="Y713" s="47"/>
      <c r="Z713" s="47"/>
      <c r="AA713" s="47"/>
      <c r="AB713" s="47"/>
    </row>
    <row r="714" spans="2:28" s="95" customFormat="1" ht="15" hidden="1" customHeight="1" thickBot="1" x14ac:dyDescent="0.3">
      <c r="B714" s="162"/>
      <c r="C714" s="96"/>
      <c r="D714" s="97"/>
      <c r="E714" s="154"/>
      <c r="F714" s="47"/>
      <c r="G714" s="47"/>
      <c r="H714" s="47"/>
      <c r="I714" s="47"/>
      <c r="J714" s="47"/>
      <c r="K714" s="47"/>
      <c r="L714" s="47"/>
      <c r="M714" s="47"/>
      <c r="N714" s="47"/>
      <c r="O714" s="47"/>
      <c r="P714" s="47"/>
      <c r="Q714" s="47"/>
      <c r="R714" s="47"/>
      <c r="S714" s="47"/>
      <c r="T714" s="47"/>
      <c r="U714" s="47"/>
      <c r="V714" s="47"/>
      <c r="W714" s="47"/>
      <c r="X714" s="47"/>
      <c r="Y714" s="47"/>
      <c r="Z714" s="47"/>
      <c r="AA714" s="47"/>
      <c r="AB714" s="47"/>
    </row>
    <row r="715" spans="2:28" s="95" customFormat="1" ht="15" customHeight="1" x14ac:dyDescent="0.3">
      <c r="B715" s="162"/>
      <c r="C715" s="96"/>
      <c r="D715" s="97"/>
      <c r="E715" s="154"/>
      <c r="F715" s="47"/>
      <c r="G715" s="47"/>
      <c r="H715" s="47"/>
      <c r="I715" s="47"/>
      <c r="J715" s="47"/>
      <c r="K715" s="47"/>
      <c r="L715" s="47"/>
      <c r="M715" s="47"/>
      <c r="N715" s="47"/>
      <c r="O715" s="47"/>
      <c r="P715" s="47"/>
      <c r="Q715" s="47"/>
      <c r="R715" s="47"/>
      <c r="S715" s="47"/>
      <c r="T715" s="47"/>
      <c r="U715" s="47"/>
      <c r="V715" s="47"/>
      <c r="W715" s="47"/>
      <c r="X715" s="47"/>
      <c r="Y715" s="47"/>
      <c r="Z715" s="47"/>
      <c r="AA715" s="47"/>
      <c r="AB715" s="47"/>
    </row>
    <row r="726" spans="2:28" s="95" customFormat="1" ht="15" customHeight="1" x14ac:dyDescent="0.3">
      <c r="B726" s="162"/>
      <c r="C726" s="96"/>
      <c r="D726" s="97"/>
      <c r="E726" s="154"/>
      <c r="F726" s="47"/>
      <c r="G726" s="47"/>
      <c r="H726" s="47"/>
      <c r="I726" s="47"/>
      <c r="J726" s="47"/>
      <c r="K726" s="47"/>
      <c r="L726" s="47"/>
      <c r="M726" s="47"/>
      <c r="N726" s="47"/>
      <c r="O726" s="47"/>
      <c r="P726" s="47"/>
      <c r="Q726" s="47"/>
      <c r="R726" s="47"/>
      <c r="S726" s="47"/>
      <c r="T726" s="47"/>
      <c r="U726" s="47"/>
      <c r="V726" s="47"/>
      <c r="W726" s="47"/>
      <c r="X726" s="47"/>
      <c r="Y726" s="47"/>
      <c r="Z726" s="47"/>
      <c r="AA726" s="47"/>
      <c r="AB726" s="47"/>
    </row>
    <row r="727" spans="2:28" s="95" customFormat="1" ht="15" hidden="1" customHeight="1" thickBot="1" x14ac:dyDescent="0.3">
      <c r="B727" s="162"/>
      <c r="C727" s="96"/>
      <c r="D727" s="97"/>
      <c r="E727" s="154"/>
      <c r="F727" s="47"/>
      <c r="G727" s="47"/>
      <c r="H727" s="47"/>
      <c r="I727" s="47"/>
      <c r="J727" s="47"/>
      <c r="K727" s="47"/>
      <c r="L727" s="47"/>
      <c r="M727" s="47"/>
      <c r="N727" s="47"/>
      <c r="O727" s="47"/>
      <c r="P727" s="47"/>
      <c r="Q727" s="47"/>
      <c r="R727" s="47"/>
      <c r="S727" s="47"/>
      <c r="T727" s="47"/>
      <c r="U727" s="47"/>
      <c r="V727" s="47"/>
      <c r="W727" s="47"/>
      <c r="X727" s="47"/>
      <c r="Y727" s="47"/>
      <c r="Z727" s="47"/>
      <c r="AA727" s="47"/>
      <c r="AB727" s="47"/>
    </row>
    <row r="728" spans="2:28" s="95" customFormat="1" ht="15" customHeight="1" x14ac:dyDescent="0.3">
      <c r="B728" s="162"/>
      <c r="C728" s="96"/>
      <c r="D728" s="97"/>
      <c r="E728" s="154"/>
      <c r="F728" s="47"/>
      <c r="G728" s="47"/>
      <c r="H728" s="47"/>
      <c r="I728" s="47"/>
      <c r="J728" s="47"/>
      <c r="K728" s="47"/>
      <c r="L728" s="47"/>
      <c r="M728" s="47"/>
      <c r="N728" s="47"/>
      <c r="O728" s="47"/>
      <c r="P728" s="47"/>
      <c r="Q728" s="47"/>
      <c r="R728" s="47"/>
      <c r="S728" s="47"/>
      <c r="T728" s="47"/>
      <c r="U728" s="47"/>
      <c r="V728" s="47"/>
      <c r="W728" s="47"/>
      <c r="X728" s="47"/>
      <c r="Y728" s="47"/>
      <c r="Z728" s="47"/>
      <c r="AA728" s="47"/>
      <c r="AB728" s="47"/>
    </row>
    <row r="739" spans="2:28" s="95" customFormat="1" ht="15" customHeight="1" x14ac:dyDescent="0.3">
      <c r="B739" s="162"/>
      <c r="C739" s="96"/>
      <c r="D739" s="97"/>
      <c r="E739" s="154"/>
      <c r="F739" s="47"/>
      <c r="G739" s="47"/>
      <c r="H739" s="47"/>
      <c r="I739" s="47"/>
      <c r="J739" s="47"/>
      <c r="K739" s="47"/>
      <c r="L739" s="47"/>
      <c r="M739" s="47"/>
      <c r="N739" s="47"/>
      <c r="O739" s="47"/>
      <c r="P739" s="47"/>
      <c r="Q739" s="47"/>
      <c r="R739" s="47"/>
      <c r="S739" s="47"/>
      <c r="T739" s="47"/>
      <c r="U739" s="47"/>
      <c r="V739" s="47"/>
      <c r="W739" s="47"/>
      <c r="X739" s="47"/>
      <c r="Y739" s="47"/>
      <c r="Z739" s="47"/>
      <c r="AA739" s="47"/>
      <c r="AB739" s="47"/>
    </row>
    <row r="740" spans="2:28" s="95" customFormat="1" ht="15" hidden="1" customHeight="1" thickBot="1" x14ac:dyDescent="0.3">
      <c r="B740" s="162"/>
      <c r="C740" s="96"/>
      <c r="D740" s="97"/>
      <c r="E740" s="154"/>
      <c r="F740" s="47"/>
      <c r="G740" s="47"/>
      <c r="H740" s="47"/>
      <c r="I740" s="47"/>
      <c r="J740" s="47"/>
      <c r="K740" s="47"/>
      <c r="L740" s="47"/>
      <c r="M740" s="47"/>
      <c r="N740" s="47"/>
      <c r="O740" s="47"/>
      <c r="P740" s="47"/>
      <c r="Q740" s="47"/>
      <c r="R740" s="47"/>
      <c r="S740" s="47"/>
      <c r="T740" s="47"/>
      <c r="U740" s="47"/>
      <c r="V740" s="47"/>
      <c r="W740" s="47"/>
      <c r="X740" s="47"/>
      <c r="Y740" s="47"/>
      <c r="Z740" s="47"/>
      <c r="AA740" s="47"/>
      <c r="AB740" s="47"/>
    </row>
    <row r="741" spans="2:28" s="95" customFormat="1" ht="15" customHeight="1" x14ac:dyDescent="0.3">
      <c r="B741" s="162"/>
      <c r="C741" s="96"/>
      <c r="D741" s="97"/>
      <c r="E741" s="154"/>
      <c r="F741" s="47"/>
      <c r="G741" s="47"/>
      <c r="H741" s="47"/>
      <c r="I741" s="47"/>
      <c r="J741" s="47"/>
      <c r="K741" s="47"/>
      <c r="L741" s="47"/>
      <c r="M741" s="47"/>
      <c r="N741" s="47"/>
      <c r="O741" s="47"/>
      <c r="P741" s="47"/>
      <c r="Q741" s="47"/>
      <c r="R741" s="47"/>
      <c r="S741" s="47"/>
      <c r="T741" s="47"/>
      <c r="U741" s="47"/>
      <c r="V741" s="47"/>
      <c r="W741" s="47"/>
      <c r="X741" s="47"/>
      <c r="Y741" s="47"/>
      <c r="Z741" s="47"/>
      <c r="AA741" s="47"/>
      <c r="AB741" s="47"/>
    </row>
    <row r="752" spans="2:28" s="95" customFormat="1" ht="15" customHeight="1" x14ac:dyDescent="0.3">
      <c r="B752" s="162"/>
      <c r="C752" s="96"/>
      <c r="D752" s="97"/>
      <c r="E752" s="154"/>
      <c r="F752" s="47"/>
      <c r="G752" s="47"/>
      <c r="H752" s="47"/>
      <c r="I752" s="47"/>
      <c r="J752" s="47"/>
      <c r="K752" s="47"/>
      <c r="L752" s="47"/>
      <c r="M752" s="47"/>
      <c r="N752" s="47"/>
      <c r="O752" s="47"/>
      <c r="P752" s="47"/>
      <c r="Q752" s="47"/>
      <c r="R752" s="47"/>
      <c r="S752" s="47"/>
      <c r="T752" s="47"/>
      <c r="U752" s="47"/>
      <c r="V752" s="47"/>
      <c r="W752" s="47"/>
      <c r="X752" s="47"/>
      <c r="Y752" s="47"/>
      <c r="Z752" s="47"/>
      <c r="AA752" s="47"/>
      <c r="AB752" s="47"/>
    </row>
    <row r="753" spans="2:28" s="95" customFormat="1" ht="15" hidden="1" customHeight="1" thickBot="1" x14ac:dyDescent="0.3">
      <c r="B753" s="162"/>
      <c r="C753" s="96"/>
      <c r="D753" s="97"/>
      <c r="E753" s="154"/>
      <c r="F753" s="47"/>
      <c r="G753" s="47"/>
      <c r="H753" s="47"/>
      <c r="I753" s="47"/>
      <c r="J753" s="47"/>
      <c r="K753" s="47"/>
      <c r="L753" s="47"/>
      <c r="M753" s="47"/>
      <c r="N753" s="47"/>
      <c r="O753" s="47"/>
      <c r="P753" s="47"/>
      <c r="Q753" s="47"/>
      <c r="R753" s="47"/>
      <c r="S753" s="47"/>
      <c r="T753" s="47"/>
      <c r="U753" s="47"/>
      <c r="V753" s="47"/>
      <c r="W753" s="47"/>
      <c r="X753" s="47"/>
      <c r="Y753" s="47"/>
      <c r="Z753" s="47"/>
      <c r="AA753" s="47"/>
      <c r="AB753" s="47"/>
    </row>
    <row r="754" spans="2:28" s="95" customFormat="1" ht="15" customHeight="1" x14ac:dyDescent="0.3">
      <c r="B754" s="162"/>
      <c r="C754" s="96"/>
      <c r="D754" s="97"/>
      <c r="E754" s="154"/>
      <c r="F754" s="47"/>
      <c r="G754" s="47"/>
      <c r="H754" s="47"/>
      <c r="I754" s="47"/>
      <c r="J754" s="47"/>
      <c r="K754" s="47"/>
      <c r="L754" s="47"/>
      <c r="M754" s="47"/>
      <c r="N754" s="47"/>
      <c r="O754" s="47"/>
      <c r="P754" s="47"/>
      <c r="Q754" s="47"/>
      <c r="R754" s="47"/>
      <c r="S754" s="47"/>
      <c r="T754" s="47"/>
      <c r="U754" s="47"/>
      <c r="V754" s="47"/>
      <c r="W754" s="47"/>
      <c r="X754" s="47"/>
      <c r="Y754" s="47"/>
      <c r="Z754" s="47"/>
      <c r="AA754" s="47"/>
      <c r="AB754" s="47"/>
    </row>
    <row r="765" spans="2:28" s="95" customFormat="1" ht="15" customHeight="1" x14ac:dyDescent="0.3">
      <c r="B765" s="162"/>
      <c r="C765" s="96"/>
      <c r="D765" s="97"/>
      <c r="E765" s="154"/>
      <c r="F765" s="47"/>
      <c r="G765" s="47"/>
      <c r="H765" s="47"/>
      <c r="I765" s="47"/>
      <c r="J765" s="47"/>
      <c r="K765" s="47"/>
      <c r="L765" s="47"/>
      <c r="M765" s="47"/>
      <c r="N765" s="47"/>
      <c r="O765" s="47"/>
      <c r="P765" s="47"/>
      <c r="Q765" s="47"/>
      <c r="R765" s="47"/>
      <c r="S765" s="47"/>
      <c r="T765" s="47"/>
      <c r="U765" s="47"/>
      <c r="V765" s="47"/>
      <c r="W765" s="47"/>
      <c r="X765" s="47"/>
      <c r="Y765" s="47"/>
      <c r="Z765" s="47"/>
      <c r="AA765" s="47"/>
      <c r="AB765" s="47"/>
    </row>
    <row r="766" spans="2:28" s="95" customFormat="1" ht="15" customHeight="1" x14ac:dyDescent="0.3">
      <c r="B766" s="162"/>
      <c r="C766" s="96"/>
      <c r="D766" s="97"/>
      <c r="E766" s="154"/>
      <c r="F766" s="47"/>
      <c r="G766" s="47"/>
      <c r="H766" s="47"/>
      <c r="I766" s="47"/>
      <c r="J766" s="47"/>
      <c r="K766" s="47"/>
      <c r="L766" s="47"/>
      <c r="M766" s="47"/>
      <c r="N766" s="47"/>
      <c r="O766" s="47"/>
      <c r="P766" s="47"/>
      <c r="Q766" s="47"/>
      <c r="R766" s="47"/>
      <c r="S766" s="47"/>
      <c r="T766" s="47"/>
      <c r="U766" s="47"/>
      <c r="V766" s="47"/>
      <c r="W766" s="47"/>
      <c r="X766" s="47"/>
      <c r="Y766" s="47"/>
      <c r="Z766" s="47"/>
      <c r="AA766" s="47"/>
      <c r="AB766" s="47"/>
    </row>
    <row r="767" spans="2:28" s="95" customFormat="1" ht="15" customHeight="1" x14ac:dyDescent="0.3">
      <c r="B767" s="162"/>
      <c r="C767" s="96"/>
      <c r="D767" s="97"/>
      <c r="E767" s="154"/>
      <c r="F767" s="47"/>
      <c r="G767" s="47"/>
      <c r="H767" s="47"/>
      <c r="I767" s="47"/>
      <c r="J767" s="47"/>
      <c r="K767" s="47"/>
      <c r="L767" s="47"/>
      <c r="M767" s="47"/>
      <c r="N767" s="47"/>
      <c r="O767" s="47"/>
      <c r="P767" s="47"/>
      <c r="Q767" s="47"/>
      <c r="R767" s="47"/>
      <c r="S767" s="47"/>
      <c r="T767" s="47"/>
      <c r="U767" s="47"/>
      <c r="V767" s="47"/>
      <c r="W767" s="47"/>
      <c r="X767" s="47"/>
      <c r="Y767" s="47"/>
      <c r="Z767" s="47"/>
      <c r="AA767" s="47"/>
      <c r="AB767" s="47"/>
    </row>
    <row r="768" spans="2:28" s="95" customFormat="1" ht="15" customHeight="1" x14ac:dyDescent="0.3">
      <c r="B768" s="162"/>
      <c r="C768" s="96"/>
      <c r="D768" s="97"/>
      <c r="E768" s="154"/>
      <c r="F768" s="47"/>
      <c r="G768" s="47"/>
      <c r="H768" s="47"/>
      <c r="I768" s="47"/>
      <c r="J768" s="47"/>
      <c r="K768" s="47"/>
      <c r="L768" s="47"/>
      <c r="M768" s="47"/>
      <c r="N768" s="47"/>
      <c r="O768" s="47"/>
      <c r="P768" s="47"/>
      <c r="Q768" s="47"/>
      <c r="R768" s="47"/>
      <c r="S768" s="47"/>
      <c r="T768" s="47"/>
      <c r="U768" s="47"/>
      <c r="V768" s="47"/>
      <c r="W768" s="47"/>
      <c r="X768" s="47"/>
      <c r="Y768" s="47"/>
      <c r="Z768" s="47"/>
      <c r="AA768" s="47"/>
      <c r="AB768" s="47"/>
    </row>
    <row r="779" spans="2:28" s="95" customFormat="1" ht="15" customHeight="1" x14ac:dyDescent="0.3">
      <c r="B779" s="162"/>
      <c r="C779" s="96"/>
      <c r="D779" s="97"/>
      <c r="E779" s="154"/>
      <c r="F779" s="47"/>
      <c r="G779" s="47"/>
      <c r="H779" s="47"/>
      <c r="I779" s="47"/>
      <c r="J779" s="47"/>
      <c r="K779" s="47"/>
      <c r="L779" s="47"/>
      <c r="M779" s="47"/>
      <c r="N779" s="47"/>
      <c r="O779" s="47"/>
      <c r="P779" s="47"/>
      <c r="Q779" s="47"/>
      <c r="R779" s="47"/>
      <c r="S779" s="47"/>
      <c r="T779" s="47"/>
      <c r="U779" s="47"/>
      <c r="V779" s="47"/>
      <c r="W779" s="47"/>
      <c r="X779" s="47"/>
      <c r="Y779" s="47"/>
      <c r="Z779" s="47"/>
      <c r="AA779" s="47"/>
      <c r="AB779" s="47"/>
    </row>
    <row r="780" spans="2:28" s="95" customFormat="1" ht="15" customHeight="1" x14ac:dyDescent="0.3">
      <c r="B780" s="162"/>
      <c r="C780" s="96"/>
      <c r="D780" s="97"/>
      <c r="E780" s="154"/>
      <c r="F780" s="47"/>
      <c r="G780" s="47"/>
      <c r="H780" s="47"/>
      <c r="I780" s="47"/>
      <c r="J780" s="47"/>
      <c r="K780" s="47"/>
      <c r="L780" s="47"/>
      <c r="M780" s="47"/>
      <c r="N780" s="47"/>
      <c r="O780" s="47"/>
      <c r="P780" s="47"/>
      <c r="Q780" s="47"/>
      <c r="R780" s="47"/>
      <c r="S780" s="47"/>
      <c r="T780" s="47"/>
      <c r="U780" s="47"/>
      <c r="V780" s="47"/>
      <c r="W780" s="47"/>
      <c r="X780" s="47"/>
      <c r="Y780" s="47"/>
      <c r="Z780" s="47"/>
      <c r="AA780" s="47"/>
      <c r="AB780" s="47"/>
    </row>
    <row r="781" spans="2:28" s="95" customFormat="1" ht="15" customHeight="1" x14ac:dyDescent="0.3">
      <c r="B781" s="162"/>
      <c r="C781" s="96"/>
      <c r="D781" s="97"/>
      <c r="E781" s="154"/>
      <c r="F781" s="47"/>
      <c r="G781" s="47"/>
      <c r="H781" s="47"/>
      <c r="I781" s="47"/>
      <c r="J781" s="47"/>
      <c r="K781" s="47"/>
      <c r="L781" s="47"/>
      <c r="M781" s="47"/>
      <c r="N781" s="47"/>
      <c r="O781" s="47"/>
      <c r="P781" s="47"/>
      <c r="Q781" s="47"/>
      <c r="R781" s="47"/>
      <c r="S781" s="47"/>
      <c r="T781" s="47"/>
      <c r="U781" s="47"/>
      <c r="V781" s="47"/>
      <c r="W781" s="47"/>
      <c r="X781" s="47"/>
      <c r="Y781" s="47"/>
      <c r="Z781" s="47"/>
      <c r="AA781" s="47"/>
      <c r="AB781" s="47"/>
    </row>
    <row r="782" spans="2:28" s="95" customFormat="1" ht="15" customHeight="1" x14ac:dyDescent="0.3">
      <c r="B782" s="162"/>
      <c r="C782" s="96"/>
      <c r="D782" s="97"/>
      <c r="E782" s="154"/>
      <c r="F782" s="47"/>
      <c r="G782" s="47"/>
      <c r="H782" s="47"/>
      <c r="I782" s="47"/>
      <c r="J782" s="47"/>
      <c r="K782" s="47"/>
      <c r="L782" s="47"/>
      <c r="M782" s="47"/>
      <c r="N782" s="47"/>
      <c r="O782" s="47"/>
      <c r="P782" s="47"/>
      <c r="Q782" s="47"/>
      <c r="R782" s="47"/>
      <c r="S782" s="47"/>
      <c r="T782" s="47"/>
      <c r="U782" s="47"/>
      <c r="V782" s="47"/>
      <c r="W782" s="47"/>
      <c r="X782" s="47"/>
      <c r="Y782" s="47"/>
      <c r="Z782" s="47"/>
      <c r="AA782" s="47"/>
      <c r="AB782" s="47"/>
    </row>
    <row r="793" spans="2:28" s="95" customFormat="1" ht="15" customHeight="1" x14ac:dyDescent="0.3">
      <c r="B793" s="162"/>
      <c r="C793" s="96"/>
      <c r="D793" s="97"/>
      <c r="E793" s="154"/>
      <c r="F793" s="47"/>
      <c r="G793" s="47"/>
      <c r="H793" s="47"/>
      <c r="I793" s="47"/>
      <c r="J793" s="47"/>
      <c r="K793" s="47"/>
      <c r="L793" s="47"/>
      <c r="M793" s="47"/>
      <c r="N793" s="47"/>
      <c r="O793" s="47"/>
      <c r="P793" s="47"/>
      <c r="Q793" s="47"/>
      <c r="R793" s="47"/>
      <c r="S793" s="47"/>
      <c r="T793" s="47"/>
      <c r="U793" s="47"/>
      <c r="V793" s="47"/>
      <c r="W793" s="47"/>
      <c r="X793" s="47"/>
      <c r="Y793" s="47"/>
      <c r="Z793" s="47"/>
      <c r="AA793" s="47"/>
      <c r="AB793" s="47"/>
    </row>
    <row r="795" spans="2:28" s="95" customFormat="1" ht="15" customHeight="1" x14ac:dyDescent="0.3">
      <c r="B795" s="162"/>
      <c r="C795" s="96"/>
      <c r="D795" s="97"/>
      <c r="E795" s="154"/>
      <c r="F795" s="47"/>
      <c r="G795" s="47"/>
      <c r="H795" s="47"/>
      <c r="I795" s="47"/>
      <c r="J795" s="47"/>
      <c r="K795" s="47"/>
      <c r="L795" s="47"/>
      <c r="M795" s="47"/>
      <c r="N795" s="47"/>
      <c r="O795" s="47"/>
      <c r="P795" s="47"/>
      <c r="Q795" s="47"/>
      <c r="R795" s="47"/>
      <c r="S795" s="47"/>
      <c r="T795" s="47"/>
      <c r="U795" s="47"/>
      <c r="V795" s="47"/>
      <c r="W795" s="47"/>
      <c r="X795" s="47"/>
      <c r="Y795" s="47"/>
      <c r="Z795" s="47"/>
      <c r="AA795" s="47"/>
      <c r="AB795" s="47"/>
    </row>
    <row r="806" spans="2:28" s="95" customFormat="1" ht="15" customHeight="1" x14ac:dyDescent="0.3">
      <c r="B806" s="162"/>
      <c r="C806" s="96"/>
      <c r="D806" s="97"/>
      <c r="E806" s="154"/>
      <c r="F806" s="47"/>
      <c r="G806" s="47"/>
      <c r="H806" s="47"/>
      <c r="I806" s="47"/>
      <c r="J806" s="47"/>
      <c r="K806" s="47"/>
      <c r="L806" s="47"/>
      <c r="M806" s="47"/>
      <c r="N806" s="47"/>
      <c r="O806" s="47"/>
      <c r="P806" s="47"/>
      <c r="Q806" s="47"/>
      <c r="R806" s="47"/>
      <c r="S806" s="47"/>
      <c r="T806" s="47"/>
      <c r="U806" s="47"/>
      <c r="V806" s="47"/>
      <c r="W806" s="47"/>
      <c r="X806" s="47"/>
      <c r="Y806" s="47"/>
      <c r="Z806" s="47"/>
      <c r="AA806" s="47"/>
      <c r="AB806" s="47"/>
    </row>
    <row r="807" spans="2:28" s="95" customFormat="1" ht="15" customHeight="1" x14ac:dyDescent="0.3">
      <c r="B807" s="162"/>
      <c r="C807" s="96"/>
      <c r="D807" s="97"/>
      <c r="E807" s="154"/>
      <c r="F807" s="47"/>
      <c r="G807" s="47"/>
      <c r="H807" s="47"/>
      <c r="I807" s="47"/>
      <c r="J807" s="47"/>
      <c r="K807" s="47"/>
      <c r="L807" s="47"/>
      <c r="M807" s="47"/>
      <c r="N807" s="47"/>
      <c r="O807" s="47"/>
      <c r="P807" s="47"/>
      <c r="Q807" s="47"/>
      <c r="R807" s="47"/>
      <c r="S807" s="47"/>
      <c r="T807" s="47"/>
      <c r="U807" s="47"/>
      <c r="V807" s="47"/>
      <c r="W807" s="47"/>
      <c r="X807" s="47"/>
      <c r="Y807" s="47"/>
      <c r="Z807" s="47"/>
      <c r="AA807" s="47"/>
      <c r="AB807" s="47"/>
    </row>
    <row r="818" spans="2:28" s="95" customFormat="1" ht="15" customHeight="1" x14ac:dyDescent="0.3">
      <c r="B818" s="162"/>
      <c r="C818" s="96"/>
      <c r="D818" s="97"/>
      <c r="E818" s="154"/>
      <c r="F818" s="47"/>
      <c r="G818" s="47"/>
      <c r="H818" s="47"/>
      <c r="I818" s="47"/>
      <c r="J818" s="47"/>
      <c r="K818" s="47"/>
      <c r="L818" s="47"/>
      <c r="M818" s="47"/>
      <c r="N818" s="47"/>
      <c r="O818" s="47"/>
      <c r="P818" s="47"/>
      <c r="Q818" s="47"/>
      <c r="R818" s="47"/>
      <c r="S818" s="47"/>
      <c r="T818" s="47"/>
      <c r="U818" s="47"/>
      <c r="V818" s="47"/>
      <c r="W818" s="47"/>
      <c r="X818" s="47"/>
      <c r="Y818" s="47"/>
      <c r="Z818" s="47"/>
      <c r="AA818" s="47"/>
      <c r="AB818" s="47"/>
    </row>
    <row r="819" spans="2:28" s="95" customFormat="1" ht="15" hidden="1" customHeight="1" thickBot="1" x14ac:dyDescent="0.3">
      <c r="B819" s="162"/>
      <c r="C819" s="96"/>
      <c r="D819" s="97"/>
      <c r="E819" s="154"/>
      <c r="F819" s="47"/>
      <c r="G819" s="47"/>
      <c r="H819" s="47"/>
      <c r="I819" s="47"/>
      <c r="J819" s="47"/>
      <c r="K819" s="47"/>
      <c r="L819" s="47"/>
      <c r="M819" s="47"/>
      <c r="N819" s="47"/>
      <c r="O819" s="47"/>
      <c r="P819" s="47"/>
      <c r="Q819" s="47"/>
      <c r="R819" s="47"/>
      <c r="S819" s="47"/>
      <c r="T819" s="47"/>
      <c r="U819" s="47"/>
      <c r="V819" s="47"/>
      <c r="W819" s="47"/>
      <c r="X819" s="47"/>
      <c r="Y819" s="47"/>
      <c r="Z819" s="47"/>
      <c r="AA819" s="47"/>
      <c r="AB819" s="47"/>
    </row>
    <row r="820" spans="2:28" s="95" customFormat="1" ht="15" customHeight="1" x14ac:dyDescent="0.3">
      <c r="B820" s="162"/>
      <c r="C820" s="96"/>
      <c r="D820" s="97"/>
      <c r="E820" s="154"/>
      <c r="F820" s="47"/>
      <c r="G820" s="47"/>
      <c r="H820" s="47"/>
      <c r="I820" s="47"/>
      <c r="J820" s="47"/>
      <c r="K820" s="47"/>
      <c r="L820" s="47"/>
      <c r="M820" s="47"/>
      <c r="N820" s="47"/>
      <c r="O820" s="47"/>
      <c r="P820" s="47"/>
      <c r="Q820" s="47"/>
      <c r="R820" s="47"/>
      <c r="S820" s="47"/>
      <c r="T820" s="47"/>
      <c r="U820" s="47"/>
      <c r="V820" s="47"/>
      <c r="W820" s="47"/>
      <c r="X820" s="47"/>
      <c r="Y820" s="47"/>
      <c r="Z820" s="47"/>
      <c r="AA820" s="47"/>
      <c r="AB820" s="47"/>
    </row>
    <row r="831" spans="2:28" ht="15" customHeight="1" x14ac:dyDescent="0.3"/>
    <row r="832" spans="2:28" ht="15" hidden="1" customHeight="1" thickBot="1" x14ac:dyDescent="0.3"/>
    <row r="833" spans="13:13" ht="15" customHeight="1" x14ac:dyDescent="0.3"/>
    <row r="834" spans="13:13" x14ac:dyDescent="0.3">
      <c r="M834" s="75"/>
    </row>
    <row r="835" spans="13:13" x14ac:dyDescent="0.3">
      <c r="M835" s="75"/>
    </row>
    <row r="836" spans="13:13" x14ac:dyDescent="0.3">
      <c r="M836" s="75"/>
    </row>
    <row r="837" spans="13:13" x14ac:dyDescent="0.3">
      <c r="M837" s="75"/>
    </row>
    <row r="838" spans="13:13" x14ac:dyDescent="0.3">
      <c r="M838" s="75"/>
    </row>
    <row r="839" spans="13:13" x14ac:dyDescent="0.3">
      <c r="M839" s="75"/>
    </row>
    <row r="840" spans="13:13" x14ac:dyDescent="0.3">
      <c r="M840" s="75"/>
    </row>
    <row r="841" spans="13:13" x14ac:dyDescent="0.3">
      <c r="M841" s="75"/>
    </row>
    <row r="842" spans="13:13" x14ac:dyDescent="0.3">
      <c r="M842" s="75"/>
    </row>
    <row r="843" spans="13:13" x14ac:dyDescent="0.3">
      <c r="M843" s="75"/>
    </row>
    <row r="844" spans="13:13" ht="15" customHeight="1" x14ac:dyDescent="0.3">
      <c r="M844" s="75"/>
    </row>
    <row r="845" spans="13:13" ht="15" hidden="1" customHeight="1" thickBot="1" x14ac:dyDescent="0.3">
      <c r="M845" s="75"/>
    </row>
    <row r="846" spans="13:13" ht="15" customHeight="1" x14ac:dyDescent="0.3">
      <c r="M846" s="75"/>
    </row>
    <row r="847" spans="13:13" x14ac:dyDescent="0.3">
      <c r="M847" s="75"/>
    </row>
    <row r="848" spans="13:13" x14ac:dyDescent="0.3">
      <c r="M848" s="75"/>
    </row>
    <row r="849" spans="13:13" x14ac:dyDescent="0.3">
      <c r="M849" s="75"/>
    </row>
    <row r="850" spans="13:13" x14ac:dyDescent="0.3">
      <c r="M850" s="75"/>
    </row>
    <row r="851" spans="13:13" x14ac:dyDescent="0.3">
      <c r="M851" s="75"/>
    </row>
    <row r="852" spans="13:13" x14ac:dyDescent="0.3">
      <c r="M852" s="75"/>
    </row>
    <row r="853" spans="13:13" x14ac:dyDescent="0.3">
      <c r="M853" s="75"/>
    </row>
    <row r="854" spans="13:13" x14ac:dyDescent="0.3">
      <c r="M854" s="75"/>
    </row>
    <row r="855" spans="13:13" x14ac:dyDescent="0.3">
      <c r="M855" s="75"/>
    </row>
    <row r="856" spans="13:13" x14ac:dyDescent="0.3">
      <c r="M856" s="75"/>
    </row>
    <row r="857" spans="13:13" ht="15" customHeight="1" x14ac:dyDescent="0.3">
      <c r="M857" s="75"/>
    </row>
    <row r="858" spans="13:13" ht="15" customHeight="1" x14ac:dyDescent="0.3">
      <c r="M858" s="75"/>
    </row>
    <row r="859" spans="13:13" ht="15" customHeight="1" x14ac:dyDescent="0.3">
      <c r="M859" s="75"/>
    </row>
    <row r="860" spans="13:13" ht="15" customHeight="1" x14ac:dyDescent="0.3">
      <c r="M860" s="75"/>
    </row>
    <row r="861" spans="13:13" x14ac:dyDescent="0.3">
      <c r="M861" s="75"/>
    </row>
    <row r="862" spans="13:13" x14ac:dyDescent="0.3">
      <c r="M862" s="75"/>
    </row>
    <row r="863" spans="13:13" x14ac:dyDescent="0.3">
      <c r="M863" s="75"/>
    </row>
    <row r="864" spans="13:13" x14ac:dyDescent="0.3">
      <c r="M864" s="75"/>
    </row>
    <row r="865" spans="13:13" x14ac:dyDescent="0.3">
      <c r="M865" s="75"/>
    </row>
    <row r="866" spans="13:13" x14ac:dyDescent="0.3">
      <c r="M866" s="75"/>
    </row>
    <row r="867" spans="13:13" x14ac:dyDescent="0.3">
      <c r="M867" s="75"/>
    </row>
    <row r="868" spans="13:13" x14ac:dyDescent="0.3">
      <c r="M868" s="75"/>
    </row>
    <row r="869" spans="13:13" x14ac:dyDescent="0.3">
      <c r="M869" s="75"/>
    </row>
    <row r="870" spans="13:13" x14ac:dyDescent="0.3">
      <c r="M870" s="75"/>
    </row>
    <row r="871" spans="13:13" ht="15" customHeight="1" x14ac:dyDescent="0.3">
      <c r="M871" s="75"/>
    </row>
    <row r="872" spans="13:13" ht="15" customHeight="1" x14ac:dyDescent="0.3">
      <c r="M872" s="75"/>
    </row>
    <row r="873" spans="13:13" ht="15" customHeight="1" x14ac:dyDescent="0.3">
      <c r="M873" s="75"/>
    </row>
    <row r="874" spans="13:13" ht="15" customHeight="1" x14ac:dyDescent="0.3">
      <c r="M874" s="75"/>
    </row>
    <row r="875" spans="13:13" x14ac:dyDescent="0.3">
      <c r="M875" s="75"/>
    </row>
    <row r="876" spans="13:13" x14ac:dyDescent="0.3">
      <c r="M876" s="75"/>
    </row>
    <row r="877" spans="13:13" x14ac:dyDescent="0.3">
      <c r="M877" s="75"/>
    </row>
    <row r="878" spans="13:13" x14ac:dyDescent="0.3">
      <c r="M878" s="75"/>
    </row>
    <row r="879" spans="13:13" x14ac:dyDescent="0.3">
      <c r="M879" s="75"/>
    </row>
    <row r="880" spans="13:13" x14ac:dyDescent="0.3">
      <c r="M880" s="75"/>
    </row>
    <row r="881" spans="1:28" x14ac:dyDescent="0.3">
      <c r="M881" s="75"/>
    </row>
    <row r="882" spans="1:28" x14ac:dyDescent="0.3">
      <c r="M882" s="75"/>
    </row>
    <row r="883" spans="1:28" x14ac:dyDescent="0.3">
      <c r="M883" s="75"/>
    </row>
    <row r="884" spans="1:28" x14ac:dyDescent="0.3">
      <c r="M884" s="75"/>
    </row>
    <row r="885" spans="1:28" ht="15" customHeight="1" x14ac:dyDescent="0.3">
      <c r="M885" s="75"/>
    </row>
    <row r="886" spans="1:28" s="75" customFormat="1" x14ac:dyDescent="0.3">
      <c r="A886" s="95"/>
      <c r="B886" s="162"/>
      <c r="C886" s="96"/>
      <c r="D886" s="97"/>
      <c r="E886" s="154"/>
      <c r="G886" s="47"/>
      <c r="H886" s="47"/>
      <c r="I886" s="47"/>
      <c r="J886" s="47"/>
      <c r="K886" s="47"/>
      <c r="L886" s="47"/>
      <c r="N886" s="47"/>
      <c r="O886" s="47"/>
      <c r="P886" s="47"/>
      <c r="Q886" s="47"/>
      <c r="R886" s="47"/>
      <c r="S886" s="47"/>
      <c r="T886" s="47"/>
      <c r="U886" s="47"/>
      <c r="V886" s="47"/>
      <c r="W886" s="47"/>
      <c r="X886" s="47"/>
      <c r="Y886" s="47"/>
      <c r="Z886" s="47"/>
      <c r="AA886" s="47"/>
      <c r="AB886" s="47"/>
    </row>
    <row r="887" spans="1:28" s="75" customFormat="1" x14ac:dyDescent="0.3">
      <c r="A887" s="95"/>
      <c r="B887" s="162"/>
      <c r="C887" s="96"/>
      <c r="D887" s="97"/>
      <c r="E887" s="154"/>
      <c r="G887" s="47"/>
      <c r="H887" s="47"/>
      <c r="I887" s="47"/>
      <c r="J887" s="47"/>
      <c r="K887" s="47"/>
      <c r="L887" s="47"/>
      <c r="N887" s="47"/>
      <c r="O887" s="47"/>
      <c r="P887" s="47"/>
      <c r="Q887" s="47"/>
      <c r="R887" s="47"/>
      <c r="S887" s="47"/>
      <c r="T887" s="47"/>
      <c r="U887" s="47"/>
      <c r="V887" s="47"/>
      <c r="W887" s="47"/>
      <c r="X887" s="47"/>
      <c r="Y887" s="47"/>
      <c r="Z887" s="47"/>
      <c r="AA887" s="47"/>
      <c r="AB887" s="47"/>
    </row>
    <row r="888" spans="1:28" s="75" customFormat="1" x14ac:dyDescent="0.3">
      <c r="A888" s="95"/>
      <c r="B888" s="162"/>
      <c r="C888" s="96"/>
      <c r="D888" s="97"/>
      <c r="E888" s="154"/>
      <c r="G888" s="47"/>
      <c r="H888" s="47"/>
      <c r="I888" s="47"/>
      <c r="J888" s="47"/>
      <c r="K888" s="47"/>
      <c r="L888" s="47"/>
      <c r="N888" s="47"/>
      <c r="O888" s="47"/>
      <c r="P888" s="47"/>
      <c r="Q888" s="47"/>
      <c r="R888" s="47"/>
      <c r="S888" s="47"/>
      <c r="T888" s="47"/>
      <c r="U888" s="47"/>
      <c r="V888" s="47"/>
      <c r="W888" s="47"/>
      <c r="X888" s="47"/>
      <c r="Y888" s="47"/>
      <c r="Z888" s="47"/>
      <c r="AA888" s="47"/>
      <c r="AB888" s="47"/>
    </row>
    <row r="889" spans="1:28" s="75" customFormat="1" x14ac:dyDescent="0.3">
      <c r="A889" s="95"/>
      <c r="B889" s="162"/>
      <c r="C889" s="96"/>
      <c r="D889" s="97"/>
      <c r="E889" s="154"/>
      <c r="G889" s="47"/>
      <c r="H889" s="47"/>
      <c r="I889" s="47"/>
      <c r="J889" s="47"/>
      <c r="K889" s="47"/>
      <c r="L889" s="47"/>
      <c r="N889" s="47"/>
      <c r="O889" s="47"/>
      <c r="P889" s="47"/>
      <c r="Q889" s="47"/>
      <c r="R889" s="47"/>
      <c r="S889" s="47"/>
      <c r="T889" s="47"/>
      <c r="U889" s="47"/>
      <c r="V889" s="47"/>
      <c r="W889" s="47"/>
      <c r="X889" s="47"/>
      <c r="Y889" s="47"/>
      <c r="Z889" s="47"/>
      <c r="AA889" s="47"/>
      <c r="AB889" s="47"/>
    </row>
    <row r="890" spans="1:28" s="75" customFormat="1" hidden="1" x14ac:dyDescent="0.3">
      <c r="A890" s="95"/>
      <c r="B890" s="162"/>
      <c r="C890" s="96"/>
      <c r="D890" s="97"/>
      <c r="E890" s="154"/>
      <c r="G890" s="47"/>
      <c r="H890" s="47"/>
      <c r="I890" s="47"/>
      <c r="J890" s="47"/>
      <c r="K890" s="47"/>
      <c r="L890" s="47"/>
      <c r="N890" s="47"/>
      <c r="O890" s="47"/>
      <c r="P890" s="47"/>
      <c r="Q890" s="47"/>
      <c r="R890" s="47"/>
      <c r="S890" s="47"/>
      <c r="T890" s="47"/>
      <c r="U890" s="47"/>
      <c r="V890" s="47"/>
      <c r="W890" s="47"/>
      <c r="X890" s="47"/>
      <c r="Y890" s="47"/>
      <c r="Z890" s="47"/>
      <c r="AA890" s="47"/>
      <c r="AB890" s="47"/>
    </row>
    <row r="891" spans="1:28" s="75" customFormat="1" hidden="1" x14ac:dyDescent="0.3">
      <c r="A891" s="95"/>
      <c r="B891" s="162"/>
      <c r="C891" s="96"/>
      <c r="D891" s="97"/>
      <c r="E891" s="154"/>
      <c r="G891" s="47"/>
      <c r="H891" s="47"/>
      <c r="I891" s="47"/>
      <c r="J891" s="47"/>
      <c r="K891" s="47"/>
      <c r="L891" s="47"/>
      <c r="N891" s="47"/>
      <c r="O891" s="47"/>
      <c r="P891" s="47"/>
      <c r="Q891" s="47"/>
      <c r="R891" s="47"/>
      <c r="S891" s="47"/>
      <c r="T891" s="47"/>
      <c r="U891" s="47"/>
      <c r="V891" s="47"/>
      <c r="W891" s="47"/>
      <c r="X891" s="47"/>
      <c r="Y891" s="47"/>
      <c r="Z891" s="47"/>
      <c r="AA891" s="47"/>
      <c r="AB891" s="47"/>
    </row>
    <row r="892" spans="1:28" s="75" customFormat="1" x14ac:dyDescent="0.3">
      <c r="A892" s="95"/>
      <c r="B892" s="162"/>
      <c r="C892" s="96"/>
      <c r="D892" s="97"/>
      <c r="E892" s="154"/>
      <c r="G892" s="47"/>
      <c r="H892" s="47"/>
      <c r="I892" s="47"/>
      <c r="J892" s="47"/>
      <c r="K892" s="47"/>
      <c r="L892" s="47"/>
      <c r="N892" s="47"/>
      <c r="O892" s="47"/>
      <c r="P892" s="47"/>
      <c r="Q892" s="47"/>
      <c r="R892" s="47"/>
      <c r="S892" s="47"/>
      <c r="T892" s="47"/>
      <c r="U892" s="47"/>
      <c r="V892" s="47"/>
      <c r="W892" s="47"/>
      <c r="X892" s="47"/>
      <c r="Y892" s="47"/>
      <c r="Z892" s="47"/>
      <c r="AA892" s="47"/>
      <c r="AB892" s="47"/>
    </row>
    <row r="893" spans="1:28" s="75" customFormat="1" x14ac:dyDescent="0.3">
      <c r="A893" s="95"/>
      <c r="B893" s="162"/>
      <c r="C893" s="96"/>
      <c r="D893" s="97"/>
      <c r="E893" s="154"/>
      <c r="G893" s="47"/>
      <c r="H893" s="47"/>
      <c r="I893" s="47"/>
      <c r="J893" s="47"/>
      <c r="K893" s="47"/>
      <c r="L893" s="47"/>
      <c r="N893" s="47"/>
      <c r="O893" s="47"/>
      <c r="P893" s="47"/>
      <c r="Q893" s="47"/>
      <c r="R893" s="47"/>
      <c r="S893" s="47"/>
      <c r="T893" s="47"/>
      <c r="U893" s="47"/>
      <c r="V893" s="47"/>
      <c r="W893" s="47"/>
      <c r="X893" s="47"/>
      <c r="Y893" s="47"/>
      <c r="Z893" s="47"/>
      <c r="AA893" s="47"/>
      <c r="AB893" s="47"/>
    </row>
    <row r="894" spans="1:28" s="75" customFormat="1" x14ac:dyDescent="0.3">
      <c r="A894" s="95"/>
      <c r="B894" s="162"/>
      <c r="C894" s="96"/>
      <c r="D894" s="97"/>
      <c r="E894" s="154"/>
      <c r="G894" s="47"/>
      <c r="H894" s="47"/>
      <c r="I894" s="47"/>
      <c r="J894" s="47"/>
      <c r="K894" s="47"/>
      <c r="L894" s="47"/>
      <c r="N894" s="47"/>
      <c r="O894" s="47"/>
      <c r="P894" s="47"/>
      <c r="Q894" s="47"/>
      <c r="R894" s="47"/>
      <c r="S894" s="47"/>
      <c r="T894" s="47"/>
      <c r="U894" s="47"/>
      <c r="V894" s="47"/>
      <c r="W894" s="47"/>
      <c r="X894" s="47"/>
      <c r="Y894" s="47"/>
      <c r="Z894" s="47"/>
      <c r="AA894" s="47"/>
      <c r="AB894" s="47"/>
    </row>
    <row r="895" spans="1:28" s="75" customFormat="1" x14ac:dyDescent="0.3">
      <c r="A895" s="95"/>
      <c r="B895" s="162"/>
      <c r="C895" s="96"/>
      <c r="D895" s="97"/>
      <c r="E895" s="154"/>
      <c r="G895" s="47"/>
      <c r="H895" s="47"/>
      <c r="I895" s="47"/>
      <c r="J895" s="47"/>
      <c r="K895" s="47"/>
      <c r="L895" s="47"/>
      <c r="N895" s="47"/>
      <c r="O895" s="47"/>
      <c r="P895" s="47"/>
      <c r="Q895" s="47"/>
      <c r="R895" s="47"/>
      <c r="S895" s="47"/>
      <c r="T895" s="47"/>
      <c r="U895" s="47"/>
      <c r="V895" s="47"/>
      <c r="W895" s="47"/>
      <c r="X895" s="47"/>
      <c r="Y895" s="47"/>
      <c r="Z895" s="47"/>
      <c r="AA895" s="47"/>
      <c r="AB895" s="47"/>
    </row>
    <row r="896" spans="1:28" s="75" customFormat="1" x14ac:dyDescent="0.3">
      <c r="A896" s="95"/>
      <c r="B896" s="162"/>
      <c r="C896" s="96"/>
      <c r="D896" s="97"/>
      <c r="E896" s="154"/>
      <c r="G896" s="47"/>
      <c r="H896" s="47"/>
      <c r="I896" s="47"/>
      <c r="J896" s="47"/>
      <c r="K896" s="47"/>
      <c r="L896" s="47"/>
      <c r="N896" s="47"/>
      <c r="O896" s="47"/>
      <c r="P896" s="47"/>
      <c r="Q896" s="47"/>
      <c r="R896" s="47"/>
      <c r="S896" s="47"/>
      <c r="T896" s="47"/>
      <c r="U896" s="47"/>
      <c r="V896" s="47"/>
      <c r="W896" s="47"/>
      <c r="X896" s="47"/>
      <c r="Y896" s="47"/>
      <c r="Z896" s="47"/>
      <c r="AA896" s="47"/>
      <c r="AB896" s="47"/>
    </row>
    <row r="897" spans="1:28" s="75" customFormat="1" x14ac:dyDescent="0.3">
      <c r="A897" s="95"/>
      <c r="B897" s="162"/>
      <c r="C897" s="96"/>
      <c r="D897" s="97"/>
      <c r="E897" s="154"/>
      <c r="G897" s="47"/>
      <c r="H897" s="47"/>
      <c r="I897" s="47"/>
      <c r="J897" s="47"/>
      <c r="K897" s="47"/>
      <c r="L897" s="47"/>
      <c r="N897" s="47"/>
      <c r="O897" s="47"/>
      <c r="P897" s="47"/>
      <c r="Q897" s="47"/>
      <c r="R897" s="47"/>
      <c r="S897" s="47"/>
      <c r="T897" s="47"/>
      <c r="U897" s="47"/>
      <c r="V897" s="47"/>
      <c r="W897" s="47"/>
      <c r="X897" s="47"/>
      <c r="Y897" s="47"/>
      <c r="Z897" s="47"/>
      <c r="AA897" s="47"/>
      <c r="AB897" s="47"/>
    </row>
    <row r="898" spans="1:28" s="75" customFormat="1" x14ac:dyDescent="0.3">
      <c r="A898" s="95"/>
      <c r="B898" s="162"/>
      <c r="C898" s="96"/>
      <c r="D898" s="97"/>
      <c r="E898" s="154"/>
      <c r="G898" s="47"/>
      <c r="H898" s="47"/>
      <c r="I898" s="47"/>
      <c r="J898" s="47"/>
      <c r="K898" s="47"/>
      <c r="L898" s="47"/>
      <c r="N898" s="47"/>
      <c r="O898" s="47"/>
      <c r="P898" s="47"/>
      <c r="Q898" s="47"/>
      <c r="R898" s="47"/>
      <c r="S898" s="47"/>
      <c r="T898" s="47"/>
      <c r="U898" s="47"/>
      <c r="V898" s="47"/>
      <c r="W898" s="47"/>
      <c r="X898" s="47"/>
      <c r="Y898" s="47"/>
      <c r="Z898" s="47"/>
      <c r="AA898" s="47"/>
      <c r="AB898" s="47"/>
    </row>
    <row r="899" spans="1:28" s="75" customFormat="1" x14ac:dyDescent="0.3">
      <c r="A899" s="95"/>
      <c r="B899" s="162"/>
      <c r="C899" s="96"/>
      <c r="D899" s="97"/>
      <c r="E899" s="154"/>
      <c r="G899" s="47"/>
      <c r="H899" s="47"/>
      <c r="I899" s="47"/>
      <c r="J899" s="47"/>
      <c r="K899" s="47"/>
      <c r="L899" s="47"/>
      <c r="N899" s="47"/>
      <c r="O899" s="47"/>
      <c r="P899" s="47"/>
      <c r="Q899" s="47"/>
      <c r="R899" s="47"/>
      <c r="S899" s="47"/>
      <c r="T899" s="47"/>
      <c r="U899" s="47"/>
      <c r="V899" s="47"/>
      <c r="W899" s="47"/>
      <c r="X899" s="47"/>
      <c r="Y899" s="47"/>
      <c r="Z899" s="47"/>
      <c r="AA899" s="47"/>
      <c r="AB899" s="47"/>
    </row>
    <row r="900" spans="1:28" s="75" customFormat="1" x14ac:dyDescent="0.3">
      <c r="A900" s="95"/>
      <c r="B900" s="162"/>
      <c r="C900" s="96"/>
      <c r="D900" s="97"/>
      <c r="E900" s="154"/>
      <c r="G900" s="47"/>
      <c r="H900" s="47"/>
      <c r="I900" s="47"/>
      <c r="J900" s="47"/>
      <c r="K900" s="47"/>
      <c r="L900" s="47"/>
      <c r="N900" s="47"/>
      <c r="O900" s="47"/>
      <c r="P900" s="47"/>
      <c r="Q900" s="47"/>
      <c r="R900" s="47"/>
      <c r="S900" s="47"/>
      <c r="T900" s="47"/>
      <c r="U900" s="47"/>
      <c r="V900" s="47"/>
      <c r="W900" s="47"/>
      <c r="X900" s="47"/>
      <c r="Y900" s="47"/>
      <c r="Z900" s="47"/>
      <c r="AA900" s="47"/>
      <c r="AB900" s="47"/>
    </row>
    <row r="901" spans="1:28" s="75" customFormat="1" x14ac:dyDescent="0.3">
      <c r="A901" s="95"/>
      <c r="B901" s="162"/>
      <c r="C901" s="96"/>
      <c r="D901" s="97"/>
      <c r="E901" s="154"/>
      <c r="G901" s="47"/>
      <c r="H901" s="47"/>
      <c r="I901" s="47"/>
      <c r="J901" s="47"/>
      <c r="K901" s="47"/>
      <c r="L901" s="47"/>
      <c r="N901" s="47"/>
      <c r="O901" s="47"/>
      <c r="P901" s="47"/>
      <c r="Q901" s="47"/>
      <c r="R901" s="47"/>
      <c r="S901" s="47"/>
      <c r="T901" s="47"/>
      <c r="U901" s="47"/>
      <c r="V901" s="47"/>
      <c r="W901" s="47"/>
      <c r="X901" s="47"/>
      <c r="Y901" s="47"/>
      <c r="Z901" s="47"/>
      <c r="AA901" s="47"/>
      <c r="AB901" s="47"/>
    </row>
    <row r="902" spans="1:28" s="75" customFormat="1" x14ac:dyDescent="0.3">
      <c r="A902" s="95"/>
      <c r="B902" s="162"/>
      <c r="C902" s="96"/>
      <c r="D902" s="97"/>
      <c r="E902" s="154"/>
      <c r="G902" s="47"/>
      <c r="H902" s="47"/>
      <c r="I902" s="47"/>
      <c r="J902" s="47"/>
      <c r="K902" s="47"/>
      <c r="L902" s="47"/>
      <c r="N902" s="47"/>
      <c r="O902" s="47"/>
      <c r="P902" s="47"/>
      <c r="Q902" s="47"/>
      <c r="R902" s="47"/>
      <c r="S902" s="47"/>
      <c r="T902" s="47"/>
      <c r="U902" s="47"/>
      <c r="V902" s="47"/>
      <c r="W902" s="47"/>
      <c r="X902" s="47"/>
      <c r="Y902" s="47"/>
      <c r="Z902" s="47"/>
      <c r="AA902" s="47"/>
      <c r="AB902" s="47"/>
    </row>
    <row r="903" spans="1:28" s="75" customFormat="1" x14ac:dyDescent="0.3">
      <c r="A903" s="95"/>
      <c r="B903" s="162"/>
      <c r="C903" s="96"/>
      <c r="D903" s="97"/>
      <c r="E903" s="154"/>
      <c r="G903" s="47"/>
      <c r="H903" s="47"/>
      <c r="I903" s="47"/>
      <c r="J903" s="47"/>
      <c r="K903" s="47"/>
      <c r="L903" s="47"/>
      <c r="N903" s="47"/>
      <c r="O903" s="47"/>
      <c r="P903" s="47"/>
      <c r="Q903" s="47"/>
      <c r="R903" s="47"/>
      <c r="S903" s="47"/>
      <c r="T903" s="47"/>
      <c r="U903" s="47"/>
      <c r="V903" s="47"/>
      <c r="W903" s="47"/>
      <c r="X903" s="47"/>
      <c r="Y903" s="47"/>
      <c r="Z903" s="47"/>
      <c r="AA903" s="47"/>
      <c r="AB903" s="47"/>
    </row>
    <row r="904" spans="1:28" s="75" customFormat="1" x14ac:dyDescent="0.3">
      <c r="A904" s="95"/>
      <c r="B904" s="162"/>
      <c r="C904" s="96"/>
      <c r="D904" s="97"/>
      <c r="E904" s="154"/>
      <c r="G904" s="47"/>
      <c r="H904" s="47"/>
      <c r="I904" s="47"/>
      <c r="J904" s="47"/>
      <c r="K904" s="47"/>
      <c r="L904" s="47"/>
      <c r="N904" s="47"/>
      <c r="O904" s="47"/>
      <c r="P904" s="47"/>
      <c r="Q904" s="47"/>
      <c r="R904" s="47"/>
      <c r="S904" s="47"/>
      <c r="T904" s="47"/>
      <c r="U904" s="47"/>
      <c r="V904" s="47"/>
      <c r="W904" s="47"/>
      <c r="X904" s="47"/>
      <c r="Y904" s="47"/>
      <c r="Z904" s="47"/>
      <c r="AA904" s="47"/>
      <c r="AB904" s="47"/>
    </row>
    <row r="905" spans="1:28" s="75" customFormat="1" x14ac:dyDescent="0.3">
      <c r="A905" s="95"/>
      <c r="B905" s="162"/>
      <c r="C905" s="96"/>
      <c r="D905" s="97"/>
      <c r="E905" s="154"/>
      <c r="G905" s="47"/>
      <c r="H905" s="47"/>
      <c r="I905" s="47"/>
      <c r="J905" s="47"/>
      <c r="K905" s="47"/>
      <c r="N905" s="47"/>
      <c r="O905" s="47"/>
      <c r="P905" s="47"/>
      <c r="Q905" s="47"/>
      <c r="R905" s="47"/>
      <c r="S905" s="47"/>
      <c r="T905" s="47"/>
      <c r="U905" s="47"/>
      <c r="V905" s="47"/>
      <c r="W905" s="47"/>
      <c r="X905" s="47"/>
      <c r="Y905" s="47"/>
    </row>
    <row r="906" spans="1:28" s="75" customFormat="1" x14ac:dyDescent="0.3">
      <c r="A906" s="95"/>
      <c r="B906" s="162"/>
      <c r="C906" s="96"/>
      <c r="D906" s="97"/>
      <c r="E906" s="154"/>
      <c r="G906" s="47"/>
      <c r="H906" s="47"/>
      <c r="I906" s="47"/>
      <c r="J906" s="47"/>
      <c r="K906" s="47"/>
      <c r="O906" s="47"/>
      <c r="P906" s="47"/>
      <c r="Q906" s="47"/>
      <c r="R906" s="47"/>
      <c r="S906" s="47"/>
      <c r="T906" s="47"/>
      <c r="U906" s="47"/>
      <c r="V906" s="47"/>
      <c r="W906" s="47"/>
      <c r="X906" s="47"/>
    </row>
    <row r="907" spans="1:28" s="75" customFormat="1" x14ac:dyDescent="0.3">
      <c r="A907" s="95"/>
      <c r="B907" s="162"/>
      <c r="C907" s="96"/>
      <c r="D907" s="97"/>
      <c r="E907" s="154"/>
      <c r="G907" s="47"/>
      <c r="H907" s="47"/>
      <c r="I907" s="47"/>
      <c r="J907" s="47"/>
      <c r="K907" s="47"/>
    </row>
    <row r="908" spans="1:28" s="75" customFormat="1" x14ac:dyDescent="0.3">
      <c r="A908" s="95"/>
      <c r="B908" s="162"/>
      <c r="C908" s="96"/>
      <c r="D908" s="97"/>
      <c r="E908" s="154"/>
      <c r="G908" s="47"/>
      <c r="H908" s="47"/>
      <c r="I908" s="47"/>
      <c r="J908" s="47"/>
      <c r="K908" s="47"/>
    </row>
    <row r="909" spans="1:28" s="75" customFormat="1" x14ac:dyDescent="0.3">
      <c r="A909" s="95"/>
      <c r="B909" s="162"/>
      <c r="C909" s="96"/>
      <c r="D909" s="97"/>
      <c r="E909" s="154"/>
      <c r="G909" s="47"/>
      <c r="H909" s="47"/>
      <c r="I909" s="47"/>
      <c r="J909" s="47"/>
      <c r="K909" s="47"/>
    </row>
    <row r="910" spans="1:28" s="75" customFormat="1" x14ac:dyDescent="0.3">
      <c r="A910" s="95"/>
      <c r="B910" s="162"/>
      <c r="C910" s="96"/>
      <c r="D910" s="97"/>
      <c r="E910" s="154"/>
      <c r="G910" s="47"/>
      <c r="H910" s="47"/>
      <c r="I910" s="47"/>
      <c r="J910" s="47"/>
      <c r="K910" s="47"/>
      <c r="M910" s="47"/>
    </row>
    <row r="911" spans="1:28" s="75" customFormat="1" x14ac:dyDescent="0.3">
      <c r="A911" s="95"/>
      <c r="B911" s="162"/>
      <c r="C911" s="96"/>
      <c r="D911" s="97"/>
      <c r="E911" s="154"/>
      <c r="G911" s="47"/>
      <c r="H911" s="47"/>
      <c r="I911" s="47"/>
      <c r="J911" s="47"/>
      <c r="K911" s="47"/>
      <c r="M911" s="47"/>
    </row>
    <row r="912" spans="1:28" s="75" customFormat="1" x14ac:dyDescent="0.3">
      <c r="A912" s="95"/>
      <c r="B912" s="162"/>
      <c r="C912" s="96"/>
      <c r="D912" s="97"/>
      <c r="E912" s="154"/>
      <c r="G912" s="47"/>
      <c r="H912" s="47"/>
      <c r="I912" s="47"/>
      <c r="J912" s="47"/>
      <c r="K912" s="47"/>
      <c r="M912" s="47"/>
    </row>
    <row r="913" spans="1:13" s="75" customFormat="1" x14ac:dyDescent="0.3">
      <c r="A913" s="95"/>
      <c r="B913" s="162"/>
      <c r="C913" s="96"/>
      <c r="D913" s="97"/>
      <c r="E913" s="154"/>
      <c r="G913" s="47"/>
      <c r="H913" s="47"/>
      <c r="I913" s="47"/>
      <c r="J913" s="47"/>
      <c r="K913" s="47"/>
      <c r="M913" s="47"/>
    </row>
    <row r="914" spans="1:13" s="75" customFormat="1" x14ac:dyDescent="0.3">
      <c r="A914" s="95"/>
      <c r="B914" s="162"/>
      <c r="C914" s="96"/>
      <c r="D914" s="97"/>
      <c r="E914" s="154"/>
      <c r="G914" s="47"/>
      <c r="H914" s="47"/>
      <c r="I914" s="47"/>
      <c r="J914" s="47"/>
      <c r="K914" s="47"/>
      <c r="M914" s="47"/>
    </row>
    <row r="915" spans="1:13" s="75" customFormat="1" x14ac:dyDescent="0.3">
      <c r="A915" s="95"/>
      <c r="B915" s="162"/>
      <c r="C915" s="96"/>
      <c r="D915" s="97"/>
      <c r="E915" s="154"/>
      <c r="G915" s="47"/>
      <c r="H915" s="47"/>
      <c r="I915" s="47"/>
      <c r="J915" s="47"/>
      <c r="K915" s="47"/>
      <c r="M915" s="47"/>
    </row>
    <row r="916" spans="1:13" s="75" customFormat="1" x14ac:dyDescent="0.3">
      <c r="A916" s="95"/>
      <c r="B916" s="162"/>
      <c r="C916" s="96"/>
      <c r="D916" s="97"/>
      <c r="E916" s="154"/>
      <c r="G916" s="47"/>
      <c r="H916" s="47"/>
      <c r="I916" s="47"/>
      <c r="J916" s="47"/>
      <c r="K916" s="47"/>
      <c r="M916" s="47"/>
    </row>
    <row r="917" spans="1:13" s="75" customFormat="1" x14ac:dyDescent="0.3">
      <c r="A917" s="95"/>
      <c r="B917" s="162"/>
      <c r="C917" s="96"/>
      <c r="D917" s="97"/>
      <c r="E917" s="154"/>
      <c r="G917" s="47"/>
      <c r="H917" s="47"/>
      <c r="I917" s="47"/>
      <c r="J917" s="47"/>
      <c r="K917" s="47"/>
      <c r="M917" s="47"/>
    </row>
    <row r="918" spans="1:13" s="75" customFormat="1" x14ac:dyDescent="0.3">
      <c r="A918" s="95"/>
      <c r="B918" s="162"/>
      <c r="C918" s="96"/>
      <c r="D918" s="97"/>
      <c r="E918" s="154"/>
      <c r="G918" s="47"/>
      <c r="H918" s="47"/>
      <c r="I918" s="47"/>
      <c r="J918" s="47"/>
      <c r="K918" s="47"/>
      <c r="M918" s="47"/>
    </row>
    <row r="919" spans="1:13" s="75" customFormat="1" x14ac:dyDescent="0.3">
      <c r="A919" s="95"/>
      <c r="B919" s="162"/>
      <c r="C919" s="96"/>
      <c r="D919" s="97"/>
      <c r="E919" s="154"/>
      <c r="G919" s="47"/>
      <c r="H919" s="47"/>
      <c r="I919" s="47"/>
      <c r="J919" s="47"/>
      <c r="K919" s="47"/>
      <c r="M919" s="47"/>
    </row>
    <row r="920" spans="1:13" s="75" customFormat="1" x14ac:dyDescent="0.3">
      <c r="A920" s="95"/>
      <c r="B920" s="162"/>
      <c r="C920" s="96"/>
      <c r="D920" s="97"/>
      <c r="E920" s="154"/>
      <c r="G920" s="47"/>
      <c r="H920" s="47"/>
      <c r="I920" s="47"/>
      <c r="J920" s="47"/>
      <c r="K920" s="47"/>
      <c r="M920" s="47"/>
    </row>
    <row r="921" spans="1:13" s="75" customFormat="1" x14ac:dyDescent="0.3">
      <c r="A921" s="95"/>
      <c r="B921" s="162"/>
      <c r="C921" s="96"/>
      <c r="D921" s="97"/>
      <c r="E921" s="154"/>
      <c r="G921" s="47"/>
      <c r="H921" s="47"/>
      <c r="I921" s="47"/>
      <c r="J921" s="47"/>
      <c r="K921" s="47"/>
      <c r="M921" s="47"/>
    </row>
    <row r="922" spans="1:13" s="75" customFormat="1" x14ac:dyDescent="0.3">
      <c r="A922" s="95"/>
      <c r="B922" s="162"/>
      <c r="C922" s="96"/>
      <c r="D922" s="97"/>
      <c r="E922" s="154"/>
      <c r="G922" s="47"/>
      <c r="H922" s="47"/>
      <c r="I922" s="47"/>
      <c r="J922" s="47"/>
      <c r="K922" s="47"/>
      <c r="M922" s="47"/>
    </row>
    <row r="923" spans="1:13" s="75" customFormat="1" x14ac:dyDescent="0.3">
      <c r="A923" s="95"/>
      <c r="B923" s="162"/>
      <c r="C923" s="96"/>
      <c r="D923" s="97"/>
      <c r="E923" s="154"/>
      <c r="G923" s="47"/>
      <c r="H923" s="47"/>
      <c r="I923" s="47"/>
      <c r="J923" s="47"/>
      <c r="K923" s="47"/>
      <c r="M923" s="47"/>
    </row>
    <row r="924" spans="1:13" s="75" customFormat="1" x14ac:dyDescent="0.3">
      <c r="A924" s="95"/>
      <c r="B924" s="162"/>
      <c r="C924" s="96"/>
      <c r="D924" s="97"/>
      <c r="E924" s="154"/>
      <c r="G924" s="47"/>
      <c r="H924" s="47"/>
      <c r="I924" s="47"/>
      <c r="J924" s="47"/>
      <c r="K924" s="47"/>
      <c r="M924" s="47"/>
    </row>
    <row r="925" spans="1:13" s="75" customFormat="1" x14ac:dyDescent="0.3">
      <c r="A925" s="95"/>
      <c r="B925" s="162"/>
      <c r="C925" s="96"/>
      <c r="D925" s="97"/>
      <c r="E925" s="154"/>
      <c r="G925" s="47"/>
      <c r="H925" s="47"/>
      <c r="I925" s="47"/>
      <c r="J925" s="47"/>
      <c r="K925" s="47"/>
      <c r="M925" s="47"/>
    </row>
    <row r="926" spans="1:13" s="75" customFormat="1" x14ac:dyDescent="0.3">
      <c r="A926" s="95"/>
      <c r="B926" s="162"/>
      <c r="C926" s="96"/>
      <c r="D926" s="97"/>
      <c r="E926" s="154"/>
      <c r="G926" s="47"/>
      <c r="H926" s="47"/>
      <c r="I926" s="47"/>
      <c r="J926" s="47"/>
      <c r="K926" s="47"/>
      <c r="M926" s="47"/>
    </row>
    <row r="927" spans="1:13" s="75" customFormat="1" x14ac:dyDescent="0.3">
      <c r="A927" s="95"/>
      <c r="B927" s="162"/>
      <c r="C927" s="96"/>
      <c r="D927" s="97"/>
      <c r="E927" s="154"/>
      <c r="G927" s="47"/>
      <c r="H927" s="47"/>
      <c r="I927" s="47"/>
      <c r="J927" s="47"/>
      <c r="K927" s="47"/>
      <c r="M927" s="76"/>
    </row>
    <row r="928" spans="1:13" s="75" customFormat="1" x14ac:dyDescent="0.3">
      <c r="A928" s="95"/>
      <c r="B928" s="162"/>
      <c r="C928" s="96"/>
      <c r="D928" s="97"/>
      <c r="E928" s="154"/>
      <c r="G928" s="47"/>
      <c r="H928" s="47"/>
      <c r="I928" s="47"/>
      <c r="J928" s="47"/>
      <c r="K928" s="47"/>
      <c r="M928" s="47"/>
    </row>
    <row r="929" spans="1:13" s="75" customFormat="1" x14ac:dyDescent="0.3">
      <c r="A929" s="95"/>
      <c r="B929" s="162"/>
      <c r="C929" s="96"/>
      <c r="D929" s="97"/>
      <c r="E929" s="154"/>
      <c r="G929" s="47"/>
      <c r="H929" s="47"/>
      <c r="I929" s="47"/>
      <c r="J929" s="47"/>
      <c r="K929" s="47"/>
      <c r="M929" s="47"/>
    </row>
    <row r="930" spans="1:13" s="75" customFormat="1" x14ac:dyDescent="0.3">
      <c r="A930" s="95"/>
      <c r="B930" s="162"/>
      <c r="C930" s="96"/>
      <c r="D930" s="97"/>
      <c r="E930" s="154"/>
      <c r="G930" s="47"/>
      <c r="H930" s="47"/>
      <c r="I930" s="47"/>
      <c r="J930" s="47"/>
      <c r="K930" s="47"/>
      <c r="M930" s="47"/>
    </row>
    <row r="931" spans="1:13" s="75" customFormat="1" x14ac:dyDescent="0.3">
      <c r="A931" s="95"/>
      <c r="B931" s="162"/>
      <c r="C931" s="96"/>
      <c r="D931" s="97"/>
      <c r="E931" s="154"/>
      <c r="G931" s="47"/>
      <c r="H931" s="47"/>
      <c r="I931" s="47"/>
      <c r="J931" s="47"/>
      <c r="K931" s="47"/>
      <c r="M931" s="47"/>
    </row>
    <row r="932" spans="1:13" s="75" customFormat="1" x14ac:dyDescent="0.3">
      <c r="A932" s="95"/>
      <c r="B932" s="162"/>
      <c r="C932" s="96"/>
      <c r="D932" s="97"/>
      <c r="E932" s="154"/>
      <c r="G932" s="47"/>
      <c r="H932" s="47"/>
      <c r="I932" s="47"/>
      <c r="J932" s="47"/>
      <c r="K932" s="47"/>
      <c r="M932" s="47"/>
    </row>
    <row r="933" spans="1:13" s="75" customFormat="1" x14ac:dyDescent="0.3">
      <c r="A933" s="95"/>
      <c r="B933" s="162"/>
      <c r="C933" s="96"/>
      <c r="D933" s="97"/>
      <c r="E933" s="154"/>
      <c r="G933" s="47"/>
      <c r="H933" s="47"/>
      <c r="I933" s="47"/>
      <c r="J933" s="47"/>
      <c r="K933" s="47"/>
      <c r="M933" s="47"/>
    </row>
    <row r="934" spans="1:13" s="75" customFormat="1" x14ac:dyDescent="0.3">
      <c r="A934" s="95"/>
      <c r="B934" s="162"/>
      <c r="C934" s="96"/>
      <c r="D934" s="97"/>
      <c r="E934" s="154"/>
      <c r="G934" s="47"/>
      <c r="H934" s="47"/>
      <c r="I934" s="47"/>
      <c r="J934" s="47"/>
      <c r="K934" s="47"/>
      <c r="M934" s="47"/>
    </row>
    <row r="935" spans="1:13" s="75" customFormat="1" x14ac:dyDescent="0.3">
      <c r="A935" s="95"/>
      <c r="B935" s="162"/>
      <c r="C935" s="96"/>
      <c r="D935" s="97"/>
      <c r="E935" s="154"/>
      <c r="G935" s="47"/>
      <c r="H935" s="47"/>
      <c r="I935" s="47"/>
      <c r="J935" s="47"/>
      <c r="K935" s="47"/>
      <c r="M935" s="47"/>
    </row>
    <row r="936" spans="1:13" s="75" customFormat="1" x14ac:dyDescent="0.3">
      <c r="A936" s="95"/>
      <c r="B936" s="162"/>
      <c r="C936" s="96"/>
      <c r="D936" s="97"/>
      <c r="E936" s="154"/>
      <c r="G936" s="47"/>
      <c r="H936" s="47"/>
      <c r="I936" s="47"/>
      <c r="J936" s="47"/>
      <c r="K936" s="47"/>
      <c r="M936" s="47"/>
    </row>
    <row r="937" spans="1:13" s="75" customFormat="1" x14ac:dyDescent="0.3">
      <c r="A937" s="95"/>
      <c r="B937" s="162"/>
      <c r="C937" s="96"/>
      <c r="D937" s="97"/>
      <c r="E937" s="154"/>
      <c r="G937" s="47"/>
      <c r="H937" s="47"/>
      <c r="I937" s="47"/>
      <c r="J937" s="47"/>
      <c r="K937" s="47"/>
      <c r="M937" s="47"/>
    </row>
    <row r="938" spans="1:13" s="75" customFormat="1" x14ac:dyDescent="0.3">
      <c r="A938" s="95"/>
      <c r="B938" s="162"/>
      <c r="C938" s="96"/>
      <c r="D938" s="97"/>
      <c r="E938" s="154"/>
      <c r="G938" s="47"/>
      <c r="H938" s="47"/>
      <c r="I938" s="47"/>
      <c r="J938" s="47"/>
      <c r="K938" s="47"/>
      <c r="M938" s="47"/>
    </row>
    <row r="939" spans="1:13" s="75" customFormat="1" x14ac:dyDescent="0.3">
      <c r="A939" s="95"/>
      <c r="B939" s="162"/>
      <c r="C939" s="96"/>
      <c r="D939" s="97"/>
      <c r="E939" s="154"/>
      <c r="G939" s="47"/>
      <c r="H939" s="47"/>
      <c r="I939" s="47"/>
      <c r="J939" s="47"/>
      <c r="K939" s="47"/>
      <c r="M939" s="47"/>
    </row>
    <row r="940" spans="1:13" s="75" customFormat="1" x14ac:dyDescent="0.3">
      <c r="A940" s="95"/>
      <c r="B940" s="162"/>
      <c r="C940" s="96"/>
      <c r="D940" s="97"/>
      <c r="E940" s="154"/>
      <c r="G940" s="47"/>
      <c r="H940" s="47"/>
      <c r="I940" s="47"/>
      <c r="J940" s="47"/>
      <c r="K940" s="47"/>
      <c r="M940" s="47"/>
    </row>
    <row r="941" spans="1:13" s="75" customFormat="1" x14ac:dyDescent="0.3">
      <c r="A941" s="95"/>
      <c r="B941" s="162"/>
      <c r="C941" s="96"/>
      <c r="D941" s="97"/>
      <c r="E941" s="154"/>
      <c r="G941" s="47"/>
      <c r="H941" s="47"/>
      <c r="I941" s="47"/>
      <c r="J941" s="47"/>
      <c r="K941" s="47"/>
      <c r="M941" s="47"/>
    </row>
    <row r="942" spans="1:13" s="75" customFormat="1" x14ac:dyDescent="0.3">
      <c r="A942" s="95"/>
      <c r="B942" s="162"/>
      <c r="C942" s="96"/>
      <c r="D942" s="97"/>
      <c r="E942" s="154"/>
      <c r="G942" s="47"/>
      <c r="H942" s="47"/>
      <c r="I942" s="47"/>
      <c r="J942" s="47"/>
      <c r="K942" s="47"/>
      <c r="M942" s="47"/>
    </row>
    <row r="943" spans="1:13" s="75" customFormat="1" x14ac:dyDescent="0.3">
      <c r="A943" s="95"/>
      <c r="B943" s="162"/>
      <c r="C943" s="96"/>
      <c r="D943" s="97"/>
      <c r="E943" s="154"/>
      <c r="G943" s="47"/>
      <c r="H943" s="47"/>
      <c r="I943" s="47"/>
      <c r="J943" s="47"/>
      <c r="K943" s="47"/>
      <c r="M943" s="47"/>
    </row>
    <row r="944" spans="1:13" s="75" customFormat="1" x14ac:dyDescent="0.3">
      <c r="A944" s="95"/>
      <c r="B944" s="162"/>
      <c r="C944" s="96"/>
      <c r="D944" s="97"/>
      <c r="E944" s="154"/>
      <c r="G944" s="47"/>
      <c r="H944" s="47"/>
      <c r="I944" s="47"/>
      <c r="J944" s="47"/>
      <c r="K944" s="47"/>
      <c r="M944" s="47"/>
    </row>
    <row r="945" spans="1:13" s="75" customFormat="1" x14ac:dyDescent="0.3">
      <c r="A945" s="95"/>
      <c r="B945" s="162"/>
      <c r="C945" s="96"/>
      <c r="D945" s="97"/>
      <c r="E945" s="154"/>
      <c r="G945" s="47"/>
      <c r="H945" s="47"/>
      <c r="I945" s="47"/>
      <c r="J945" s="47"/>
      <c r="K945" s="47"/>
      <c r="M945" s="47"/>
    </row>
    <row r="946" spans="1:13" s="75" customFormat="1" x14ac:dyDescent="0.3">
      <c r="A946" s="95"/>
      <c r="B946" s="162"/>
      <c r="C946" s="96"/>
      <c r="D946" s="97"/>
      <c r="E946" s="154"/>
      <c r="G946" s="47"/>
      <c r="H946" s="47"/>
      <c r="I946" s="47"/>
      <c r="J946" s="47"/>
      <c r="K946" s="47"/>
      <c r="M946" s="47"/>
    </row>
    <row r="947" spans="1:13" s="75" customFormat="1" x14ac:dyDescent="0.3">
      <c r="A947" s="95"/>
      <c r="B947" s="162"/>
      <c r="C947" s="96"/>
      <c r="D947" s="97"/>
      <c r="E947" s="154"/>
      <c r="G947" s="47"/>
      <c r="H947" s="47"/>
      <c r="I947" s="47"/>
      <c r="J947" s="47"/>
      <c r="K947" s="47"/>
      <c r="M947" s="47"/>
    </row>
    <row r="948" spans="1:13" s="75" customFormat="1" x14ac:dyDescent="0.3">
      <c r="A948" s="95"/>
      <c r="B948" s="162"/>
      <c r="C948" s="96"/>
      <c r="D948" s="97"/>
      <c r="E948" s="154"/>
      <c r="G948" s="47"/>
      <c r="H948" s="47"/>
      <c r="I948" s="47"/>
      <c r="J948" s="47"/>
      <c r="K948" s="47"/>
      <c r="M948" s="47"/>
    </row>
    <row r="949" spans="1:13" s="75" customFormat="1" x14ac:dyDescent="0.3">
      <c r="A949" s="95"/>
      <c r="B949" s="162"/>
      <c r="C949" s="96"/>
      <c r="D949" s="97"/>
      <c r="E949" s="154"/>
      <c r="G949" s="47"/>
      <c r="H949" s="47"/>
      <c r="I949" s="47"/>
      <c r="J949" s="47"/>
      <c r="K949" s="47"/>
      <c r="M949" s="47"/>
    </row>
    <row r="950" spans="1:13" s="75" customFormat="1" x14ac:dyDescent="0.3">
      <c r="A950" s="95"/>
      <c r="B950" s="162"/>
      <c r="C950" s="96"/>
      <c r="D950" s="97"/>
      <c r="E950" s="154"/>
      <c r="G950" s="47"/>
      <c r="H950" s="47"/>
      <c r="I950" s="47"/>
      <c r="J950" s="47"/>
      <c r="K950" s="47"/>
      <c r="M950" s="47"/>
    </row>
    <row r="951" spans="1:13" s="75" customFormat="1" x14ac:dyDescent="0.3">
      <c r="A951" s="95"/>
      <c r="B951" s="162"/>
      <c r="C951" s="96"/>
      <c r="D951" s="97"/>
      <c r="E951" s="154"/>
      <c r="G951" s="47"/>
      <c r="H951" s="47"/>
      <c r="I951" s="47"/>
      <c r="J951" s="47"/>
      <c r="K951" s="47"/>
      <c r="M951" s="47"/>
    </row>
    <row r="952" spans="1:13" s="75" customFormat="1" x14ac:dyDescent="0.3">
      <c r="A952" s="95"/>
      <c r="B952" s="162"/>
      <c r="C952" s="96"/>
      <c r="D952" s="97"/>
      <c r="E952" s="154"/>
      <c r="G952" s="47"/>
      <c r="H952" s="47"/>
      <c r="I952" s="47"/>
      <c r="J952" s="47"/>
      <c r="K952" s="47"/>
      <c r="M952" s="47"/>
    </row>
    <row r="953" spans="1:13" s="75" customFormat="1" x14ac:dyDescent="0.3">
      <c r="A953" s="95"/>
      <c r="B953" s="162"/>
      <c r="C953" s="96"/>
      <c r="D953" s="97"/>
      <c r="E953" s="154"/>
      <c r="G953" s="47"/>
      <c r="H953" s="47"/>
      <c r="I953" s="47"/>
      <c r="J953" s="47"/>
      <c r="K953" s="47"/>
      <c r="M953" s="47"/>
    </row>
    <row r="954" spans="1:13" s="75" customFormat="1" x14ac:dyDescent="0.3">
      <c r="A954" s="95"/>
      <c r="B954" s="162"/>
      <c r="C954" s="96"/>
      <c r="D954" s="97"/>
      <c r="E954" s="154"/>
      <c r="G954" s="47"/>
      <c r="H954" s="47"/>
      <c r="I954" s="47"/>
      <c r="J954" s="47"/>
      <c r="K954" s="47"/>
      <c r="M954" s="47"/>
    </row>
    <row r="955" spans="1:13" s="75" customFormat="1" x14ac:dyDescent="0.3">
      <c r="A955" s="95"/>
      <c r="B955" s="162"/>
      <c r="C955" s="96"/>
      <c r="D955" s="97"/>
      <c r="E955" s="154"/>
      <c r="G955" s="47"/>
      <c r="H955" s="47"/>
      <c r="I955" s="47"/>
      <c r="J955" s="47"/>
      <c r="K955" s="47"/>
      <c r="M955" s="47"/>
    </row>
    <row r="956" spans="1:13" s="75" customFormat="1" x14ac:dyDescent="0.3">
      <c r="A956" s="95"/>
      <c r="B956" s="162"/>
      <c r="C956" s="96"/>
      <c r="D956" s="97"/>
      <c r="E956" s="154"/>
      <c r="G956" s="47"/>
      <c r="H956" s="47"/>
      <c r="I956" s="47"/>
      <c r="J956" s="47"/>
      <c r="K956" s="47"/>
      <c r="M956" s="47"/>
    </row>
    <row r="957" spans="1:13" s="75" customFormat="1" x14ac:dyDescent="0.3">
      <c r="A957" s="95"/>
      <c r="B957" s="162"/>
      <c r="C957" s="96"/>
      <c r="D957" s="97"/>
      <c r="E957" s="154"/>
      <c r="G957" s="47"/>
      <c r="H957" s="47"/>
      <c r="I957" s="47"/>
      <c r="J957" s="47"/>
      <c r="K957" s="47"/>
      <c r="M957" s="47"/>
    </row>
    <row r="958" spans="1:13" s="75" customFormat="1" x14ac:dyDescent="0.3">
      <c r="A958" s="95"/>
      <c r="B958" s="162"/>
      <c r="C958" s="96"/>
      <c r="D958" s="97"/>
      <c r="E958" s="154"/>
      <c r="G958" s="47"/>
      <c r="H958" s="47"/>
      <c r="I958" s="47"/>
      <c r="J958" s="47"/>
      <c r="K958" s="47"/>
      <c r="M958" s="47"/>
    </row>
    <row r="959" spans="1:13" s="75" customFormat="1" x14ac:dyDescent="0.3">
      <c r="A959" s="95"/>
      <c r="B959" s="162"/>
      <c r="C959" s="96"/>
      <c r="D959" s="97"/>
      <c r="E959" s="154"/>
      <c r="G959" s="47"/>
      <c r="H959" s="47"/>
      <c r="I959" s="47"/>
      <c r="J959" s="47"/>
      <c r="K959" s="47"/>
      <c r="M959" s="47"/>
    </row>
    <row r="960" spans="1:13" s="75" customFormat="1" x14ac:dyDescent="0.3">
      <c r="A960" s="95"/>
      <c r="B960" s="162"/>
      <c r="C960" s="96"/>
      <c r="D960" s="97"/>
      <c r="E960" s="154"/>
      <c r="G960" s="47"/>
      <c r="H960" s="47"/>
      <c r="I960" s="47"/>
      <c r="J960" s="47"/>
      <c r="K960" s="47"/>
      <c r="M960" s="47"/>
    </row>
    <row r="961" spans="1:28" s="75" customFormat="1" x14ac:dyDescent="0.3">
      <c r="A961" s="95"/>
      <c r="B961" s="162"/>
      <c r="C961" s="96"/>
      <c r="D961" s="97"/>
      <c r="E961" s="154"/>
      <c r="G961" s="47"/>
      <c r="H961" s="47"/>
      <c r="I961" s="47"/>
      <c r="J961" s="47"/>
      <c r="K961" s="47"/>
      <c r="M961" s="47"/>
    </row>
    <row r="962" spans="1:28" x14ac:dyDescent="0.3">
      <c r="L962" s="75"/>
      <c r="N962" s="75"/>
      <c r="O962" s="75"/>
      <c r="P962" s="75"/>
      <c r="Q962" s="75"/>
      <c r="R962" s="75"/>
      <c r="S962" s="75"/>
      <c r="T962" s="75"/>
      <c r="U962" s="75"/>
      <c r="V962" s="75"/>
      <c r="W962" s="75"/>
      <c r="X962" s="75"/>
      <c r="Y962" s="75"/>
      <c r="Z962" s="75"/>
      <c r="AA962" s="75"/>
      <c r="AB962" s="75"/>
    </row>
    <row r="963" spans="1:28" x14ac:dyDescent="0.3">
      <c r="L963" s="75"/>
      <c r="N963" s="75"/>
      <c r="O963" s="75"/>
      <c r="P963" s="75"/>
      <c r="Q963" s="75"/>
      <c r="R963" s="75"/>
      <c r="S963" s="75"/>
      <c r="T963" s="75"/>
      <c r="U963" s="75"/>
      <c r="V963" s="75"/>
      <c r="W963" s="75"/>
      <c r="X963" s="75"/>
      <c r="Y963" s="75"/>
      <c r="Z963" s="75"/>
      <c r="AA963" s="75"/>
      <c r="AB963" s="75"/>
    </row>
    <row r="964" spans="1:28" x14ac:dyDescent="0.3">
      <c r="L964" s="75"/>
      <c r="N964" s="75"/>
      <c r="O964" s="75"/>
      <c r="P964" s="75"/>
      <c r="Q964" s="75"/>
      <c r="R964" s="75"/>
      <c r="S964" s="75"/>
      <c r="T964" s="75"/>
      <c r="U964" s="75"/>
      <c r="V964" s="75"/>
      <c r="W964" s="75"/>
      <c r="X964" s="75"/>
      <c r="Y964" s="75"/>
      <c r="Z964" s="75"/>
      <c r="AA964" s="75"/>
      <c r="AB964" s="75"/>
    </row>
    <row r="965" spans="1:28" x14ac:dyDescent="0.3">
      <c r="L965" s="75"/>
      <c r="N965" s="75"/>
      <c r="O965" s="75"/>
      <c r="P965" s="75"/>
      <c r="Q965" s="75"/>
      <c r="R965" s="75"/>
      <c r="S965" s="75"/>
      <c r="T965" s="75"/>
      <c r="U965" s="75"/>
      <c r="V965" s="75"/>
      <c r="W965" s="75"/>
      <c r="X965" s="75"/>
      <c r="Y965" s="75"/>
      <c r="Z965" s="75"/>
      <c r="AA965" s="75"/>
      <c r="AB965" s="75"/>
    </row>
    <row r="966" spans="1:28" x14ac:dyDescent="0.3">
      <c r="L966" s="75"/>
      <c r="N966" s="75"/>
      <c r="O966" s="75"/>
      <c r="P966" s="75"/>
      <c r="Q966" s="75"/>
      <c r="R966" s="75"/>
      <c r="S966" s="75"/>
      <c r="T966" s="75"/>
      <c r="U966" s="75"/>
      <c r="V966" s="75"/>
      <c r="W966" s="75"/>
      <c r="X966" s="75"/>
      <c r="Y966" s="75"/>
      <c r="Z966" s="75"/>
      <c r="AA966" s="75"/>
      <c r="AB966" s="75"/>
    </row>
    <row r="967" spans="1:28" x14ac:dyDescent="0.3">
      <c r="L967" s="75"/>
      <c r="N967" s="75"/>
      <c r="O967" s="75"/>
      <c r="P967" s="75"/>
      <c r="Q967" s="75"/>
      <c r="R967" s="75"/>
      <c r="S967" s="75"/>
      <c r="T967" s="75"/>
      <c r="U967" s="75"/>
      <c r="V967" s="75"/>
      <c r="W967" s="75"/>
      <c r="X967" s="75"/>
      <c r="Y967" s="75"/>
      <c r="Z967" s="75"/>
      <c r="AA967" s="75"/>
      <c r="AB967" s="75"/>
    </row>
    <row r="968" spans="1:28" x14ac:dyDescent="0.3">
      <c r="L968" s="75"/>
      <c r="N968" s="75"/>
      <c r="O968" s="75"/>
      <c r="P968" s="75"/>
      <c r="Q968" s="75"/>
      <c r="R968" s="75"/>
      <c r="S968" s="75"/>
      <c r="T968" s="75"/>
      <c r="U968" s="75"/>
      <c r="V968" s="75"/>
      <c r="W968" s="75"/>
      <c r="X968" s="75"/>
      <c r="Y968" s="75"/>
      <c r="Z968" s="75"/>
      <c r="AA968" s="75"/>
      <c r="AB968" s="75"/>
    </row>
    <row r="969" spans="1:28" x14ac:dyDescent="0.3">
      <c r="L969" s="75"/>
      <c r="N969" s="75"/>
      <c r="O969" s="75"/>
      <c r="P969" s="75"/>
      <c r="Q969" s="75"/>
      <c r="R969" s="75"/>
      <c r="S969" s="75"/>
      <c r="T969" s="75"/>
      <c r="U969" s="75"/>
      <c r="V969" s="75"/>
      <c r="W969" s="75"/>
      <c r="X969" s="75"/>
      <c r="Y969" s="75"/>
      <c r="Z969" s="75"/>
      <c r="AA969" s="75"/>
      <c r="AB969" s="75"/>
    </row>
    <row r="970" spans="1:28" x14ac:dyDescent="0.3">
      <c r="L970" s="75"/>
      <c r="N970" s="75"/>
      <c r="O970" s="75"/>
      <c r="P970" s="75"/>
      <c r="Q970" s="75"/>
      <c r="R970" s="75"/>
      <c r="S970" s="75"/>
      <c r="T970" s="75"/>
      <c r="U970" s="75"/>
      <c r="V970" s="75"/>
      <c r="W970" s="75"/>
      <c r="X970" s="75"/>
      <c r="Y970" s="75"/>
      <c r="Z970" s="75"/>
      <c r="AA970" s="75"/>
      <c r="AB970" s="75"/>
    </row>
    <row r="971" spans="1:28" x14ac:dyDescent="0.3">
      <c r="L971" s="75"/>
      <c r="N971" s="75"/>
      <c r="O971" s="75"/>
      <c r="P971" s="75"/>
      <c r="Q971" s="75"/>
      <c r="R971" s="75"/>
      <c r="S971" s="75"/>
      <c r="T971" s="75"/>
      <c r="U971" s="75"/>
      <c r="V971" s="75"/>
      <c r="W971" s="75"/>
      <c r="X971" s="75"/>
      <c r="Y971" s="75"/>
      <c r="Z971" s="75"/>
      <c r="AA971" s="75"/>
      <c r="AB971" s="75"/>
    </row>
    <row r="972" spans="1:28" x14ac:dyDescent="0.3">
      <c r="L972" s="75"/>
      <c r="N972" s="75"/>
      <c r="O972" s="75"/>
      <c r="P972" s="75"/>
      <c r="Q972" s="75"/>
      <c r="R972" s="75"/>
      <c r="S972" s="75"/>
      <c r="T972" s="75"/>
      <c r="U972" s="75"/>
      <c r="V972" s="75"/>
      <c r="W972" s="75"/>
      <c r="X972" s="75"/>
      <c r="Y972" s="75"/>
      <c r="Z972" s="75"/>
      <c r="AA972" s="75"/>
      <c r="AB972" s="75"/>
    </row>
    <row r="973" spans="1:28" x14ac:dyDescent="0.3">
      <c r="L973" s="75"/>
      <c r="N973" s="75"/>
      <c r="O973" s="75"/>
      <c r="P973" s="75"/>
      <c r="Q973" s="75"/>
      <c r="R973" s="75"/>
      <c r="S973" s="75"/>
      <c r="T973" s="75"/>
      <c r="U973" s="75"/>
      <c r="V973" s="75"/>
      <c r="W973" s="75"/>
      <c r="X973" s="75"/>
      <c r="Y973" s="75"/>
      <c r="Z973" s="75"/>
      <c r="AA973" s="75"/>
      <c r="AB973" s="75"/>
    </row>
    <row r="974" spans="1:28" x14ac:dyDescent="0.3">
      <c r="L974" s="75"/>
      <c r="N974" s="75"/>
      <c r="O974" s="75"/>
      <c r="P974" s="75"/>
      <c r="Q974" s="75"/>
      <c r="R974" s="75"/>
      <c r="S974" s="75"/>
      <c r="T974" s="75"/>
      <c r="U974" s="75"/>
      <c r="V974" s="75"/>
      <c r="W974" s="75"/>
      <c r="X974" s="75"/>
      <c r="Y974" s="75"/>
      <c r="Z974" s="75"/>
      <c r="AA974" s="75"/>
      <c r="AB974" s="75"/>
    </row>
    <row r="975" spans="1:28" x14ac:dyDescent="0.3">
      <c r="L975" s="75"/>
      <c r="N975" s="75"/>
      <c r="O975" s="75"/>
      <c r="P975" s="75"/>
      <c r="Q975" s="75"/>
      <c r="R975" s="75"/>
      <c r="S975" s="75"/>
      <c r="T975" s="75"/>
      <c r="U975" s="75"/>
      <c r="V975" s="75"/>
      <c r="W975" s="75"/>
      <c r="X975" s="75"/>
      <c r="Y975" s="75"/>
      <c r="Z975" s="75"/>
      <c r="AA975" s="75"/>
      <c r="AB975" s="75"/>
    </row>
    <row r="976" spans="1:28" x14ac:dyDescent="0.3">
      <c r="L976" s="75"/>
      <c r="N976" s="75"/>
      <c r="O976" s="75"/>
      <c r="P976" s="75"/>
      <c r="Q976" s="75"/>
      <c r="R976" s="75"/>
      <c r="S976" s="75"/>
      <c r="T976" s="75"/>
      <c r="U976" s="75"/>
      <c r="V976" s="75"/>
      <c r="W976" s="75"/>
      <c r="X976" s="75"/>
      <c r="Y976" s="75"/>
      <c r="Z976" s="75"/>
      <c r="AA976" s="75"/>
      <c r="AB976" s="75"/>
    </row>
    <row r="977" spans="1:28" x14ac:dyDescent="0.3">
      <c r="L977" s="75"/>
      <c r="N977" s="75"/>
      <c r="O977" s="75"/>
      <c r="P977" s="75"/>
      <c r="Q977" s="75"/>
      <c r="R977" s="75"/>
      <c r="S977" s="75"/>
      <c r="T977" s="75"/>
      <c r="U977" s="75"/>
      <c r="V977" s="75"/>
      <c r="W977" s="75"/>
      <c r="X977" s="75"/>
      <c r="Y977" s="75"/>
      <c r="Z977" s="75"/>
      <c r="AA977" s="75"/>
      <c r="AB977" s="75"/>
    </row>
    <row r="978" spans="1:28" hidden="1" x14ac:dyDescent="0.3">
      <c r="L978" s="75"/>
      <c r="N978" s="75"/>
      <c r="O978" s="75"/>
      <c r="P978" s="75"/>
      <c r="Q978" s="75"/>
      <c r="R978" s="75"/>
      <c r="S978" s="75"/>
      <c r="T978" s="75"/>
      <c r="U978" s="75"/>
      <c r="V978" s="75"/>
      <c r="W978" s="75"/>
      <c r="X978" s="75"/>
      <c r="Y978" s="75"/>
      <c r="Z978" s="75"/>
      <c r="AA978" s="75"/>
      <c r="AB978" s="75"/>
    </row>
    <row r="979" spans="1:28" s="76" customFormat="1" hidden="1" x14ac:dyDescent="0.3">
      <c r="A979" s="95"/>
      <c r="B979" s="162"/>
      <c r="C979" s="96"/>
      <c r="D979" s="97"/>
      <c r="E979" s="155"/>
      <c r="G979" s="47"/>
      <c r="H979" s="47"/>
      <c r="I979" s="47"/>
      <c r="J979" s="47"/>
      <c r="K979" s="47"/>
      <c r="L979" s="75"/>
      <c r="M979" s="47"/>
      <c r="N979" s="75"/>
      <c r="O979" s="75"/>
      <c r="P979" s="75"/>
      <c r="Q979" s="75"/>
      <c r="R979" s="75"/>
      <c r="S979" s="75"/>
      <c r="T979" s="75"/>
      <c r="U979" s="75"/>
      <c r="V979" s="75"/>
      <c r="W979" s="75"/>
      <c r="X979" s="75"/>
      <c r="Y979" s="75"/>
      <c r="Z979" s="75"/>
      <c r="AA979" s="75"/>
      <c r="AB979" s="75"/>
    </row>
    <row r="980" spans="1:28" hidden="1" x14ac:dyDescent="0.3">
      <c r="L980" s="75"/>
      <c r="N980" s="75"/>
      <c r="O980" s="75"/>
      <c r="P980" s="75"/>
      <c r="Q980" s="75"/>
      <c r="R980" s="75"/>
      <c r="S980" s="75"/>
      <c r="T980" s="75"/>
      <c r="U980" s="75"/>
      <c r="V980" s="75"/>
      <c r="W980" s="75"/>
      <c r="X980" s="75"/>
      <c r="Y980" s="75"/>
      <c r="Z980" s="75"/>
      <c r="AA980" s="75"/>
      <c r="AB980" s="75"/>
    </row>
    <row r="981" spans="1:28" hidden="1" x14ac:dyDescent="0.3">
      <c r="N981" s="75"/>
      <c r="O981" s="75"/>
      <c r="P981" s="75"/>
      <c r="Q981" s="75"/>
      <c r="R981" s="75"/>
      <c r="S981" s="75"/>
      <c r="T981" s="75"/>
      <c r="U981" s="75"/>
      <c r="V981" s="75"/>
      <c r="W981" s="75"/>
      <c r="X981" s="75"/>
      <c r="Y981" s="75"/>
    </row>
    <row r="982" spans="1:28" x14ac:dyDescent="0.3">
      <c r="O982" s="75"/>
      <c r="P982" s="75"/>
      <c r="Q982" s="75"/>
      <c r="R982" s="75"/>
      <c r="S982" s="75"/>
      <c r="T982" s="75"/>
      <c r="U982" s="75"/>
      <c r="V982" s="75"/>
      <c r="W982" s="75"/>
      <c r="X982" s="75"/>
    </row>
    <row r="998" spans="12:28" x14ac:dyDescent="0.3">
      <c r="L998" s="76"/>
      <c r="Z998" s="76"/>
      <c r="AA998" s="76"/>
      <c r="AB998" s="76"/>
    </row>
    <row r="999" spans="12:28" x14ac:dyDescent="0.3">
      <c r="N999" s="76"/>
      <c r="Y999" s="76"/>
    </row>
    <row r="1000" spans="12:28" x14ac:dyDescent="0.3">
      <c r="O1000" s="76"/>
      <c r="P1000" s="76"/>
      <c r="Q1000" s="76"/>
      <c r="R1000" s="76"/>
      <c r="S1000" s="76"/>
      <c r="T1000" s="76"/>
      <c r="U1000" s="76"/>
      <c r="V1000" s="76"/>
      <c r="W1000" s="76"/>
      <c r="X1000" s="76"/>
    </row>
  </sheetData>
  <sheetProtection password="CDF6" sheet="1" objects="1" scenarios="1"/>
  <mergeCells count="121">
    <mergeCell ref="A316:D316"/>
    <mergeCell ref="A315:D315"/>
    <mergeCell ref="A170:D170"/>
    <mergeCell ref="A169:D169"/>
    <mergeCell ref="A59:A89"/>
    <mergeCell ref="B59:B89"/>
    <mergeCell ref="A90:A120"/>
    <mergeCell ref="B90:B120"/>
    <mergeCell ref="A1:D1"/>
    <mergeCell ref="A2:B3"/>
    <mergeCell ref="C6:C9"/>
    <mergeCell ref="A10:D10"/>
    <mergeCell ref="A11:A22"/>
    <mergeCell ref="B11:B22"/>
    <mergeCell ref="A153:A168"/>
    <mergeCell ref="B153:B168"/>
    <mergeCell ref="A283:A298"/>
    <mergeCell ref="B283:B298"/>
    <mergeCell ref="A299:A314"/>
    <mergeCell ref="B299:B314"/>
    <mergeCell ref="G11:G22"/>
    <mergeCell ref="H11:H13"/>
    <mergeCell ref="I11:I22"/>
    <mergeCell ref="H14:H22"/>
    <mergeCell ref="A23:A34"/>
    <mergeCell ref="B23:B34"/>
    <mergeCell ref="G24:G35"/>
    <mergeCell ref="H24:H26"/>
    <mergeCell ref="I24:I35"/>
    <mergeCell ref="H27:H35"/>
    <mergeCell ref="A35:A46"/>
    <mergeCell ref="B35:B46"/>
    <mergeCell ref="G37:G48"/>
    <mergeCell ref="H37:H39"/>
    <mergeCell ref="I37:I48"/>
    <mergeCell ref="H40:H48"/>
    <mergeCell ref="A47:A58"/>
    <mergeCell ref="B47:B58"/>
    <mergeCell ref="G50:G61"/>
    <mergeCell ref="H50:H52"/>
    <mergeCell ref="I50:I61"/>
    <mergeCell ref="H53:H61"/>
    <mergeCell ref="G63:G74"/>
    <mergeCell ref="H63:H65"/>
    <mergeCell ref="I63:I74"/>
    <mergeCell ref="H66:H74"/>
    <mergeCell ref="G76:G88"/>
    <mergeCell ref="H76:H78"/>
    <mergeCell ref="A121:A136"/>
    <mergeCell ref="B121:B136"/>
    <mergeCell ref="A137:A152"/>
    <mergeCell ref="B137:B152"/>
    <mergeCell ref="I76:I88"/>
    <mergeCell ref="H79:H88"/>
    <mergeCell ref="G90:G101"/>
    <mergeCell ref="H90:H92"/>
    <mergeCell ref="I90:I101"/>
    <mergeCell ref="H93:H101"/>
    <mergeCell ref="I181:I192"/>
    <mergeCell ref="H184:H192"/>
    <mergeCell ref="A183:A194"/>
    <mergeCell ref="B183:B194"/>
    <mergeCell ref="G193:G204"/>
    <mergeCell ref="H193:H195"/>
    <mergeCell ref="I193:I204"/>
    <mergeCell ref="H196:H204"/>
    <mergeCell ref="A171:A182"/>
    <mergeCell ref="B171:B182"/>
    <mergeCell ref="G181:G192"/>
    <mergeCell ref="H181:H183"/>
    <mergeCell ref="A195:A206"/>
    <mergeCell ref="B195:B206"/>
    <mergeCell ref="G205:G214"/>
    <mergeCell ref="H205:H206"/>
    <mergeCell ref="I205:I214"/>
    <mergeCell ref="H207:H214"/>
    <mergeCell ref="G215:G227"/>
    <mergeCell ref="H215:H218"/>
    <mergeCell ref="I215:I227"/>
    <mergeCell ref="A207:A236"/>
    <mergeCell ref="I256:I267"/>
    <mergeCell ref="H259:H267"/>
    <mergeCell ref="B207:B236"/>
    <mergeCell ref="H219:H227"/>
    <mergeCell ref="G228:G241"/>
    <mergeCell ref="H228:H231"/>
    <mergeCell ref="I228:I241"/>
    <mergeCell ref="H232:H241"/>
    <mergeCell ref="G242:G255"/>
    <mergeCell ref="H242:H245"/>
    <mergeCell ref="I242:I255"/>
    <mergeCell ref="A267:A282"/>
    <mergeCell ref="B267:B282"/>
    <mergeCell ref="A237:A266"/>
    <mergeCell ref="B237:B266"/>
    <mergeCell ref="H246:H255"/>
    <mergeCell ref="G256:G267"/>
    <mergeCell ref="H256:H258"/>
    <mergeCell ref="H350:H362"/>
    <mergeCell ref="I350:I362"/>
    <mergeCell ref="A341:A354"/>
    <mergeCell ref="B341:B354"/>
    <mergeCell ref="A355:A368"/>
    <mergeCell ref="B355:B368"/>
    <mergeCell ref="A317:A328"/>
    <mergeCell ref="B317:B328"/>
    <mergeCell ref="H330:H341"/>
    <mergeCell ref="I330:I341"/>
    <mergeCell ref="A329:A340"/>
    <mergeCell ref="B329:B340"/>
    <mergeCell ref="H342:H349"/>
    <mergeCell ref="I342:I349"/>
    <mergeCell ref="A369:A382"/>
    <mergeCell ref="B369:B382"/>
    <mergeCell ref="H388:H399"/>
    <mergeCell ref="I388:I399"/>
    <mergeCell ref="A383:A397"/>
    <mergeCell ref="B383:B397"/>
    <mergeCell ref="H401:H408"/>
    <mergeCell ref="I401:I408"/>
    <mergeCell ref="A398:D398"/>
  </mergeCells>
  <conditionalFormatting sqref="D214:D216 D222 D227 D232 D207">
    <cfRule type="expression" dxfId="150" priority="171">
      <formula>#REF!="YES"</formula>
    </cfRule>
  </conditionalFormatting>
  <conditionalFormatting sqref="K213:K214">
    <cfRule type="expression" dxfId="149" priority="170">
      <formula>$H$205="YES"</formula>
    </cfRule>
  </conditionalFormatting>
  <conditionalFormatting sqref="K226:K227">
    <cfRule type="expression" dxfId="148" priority="169">
      <formula>$H$215="YES"</formula>
    </cfRule>
  </conditionalFormatting>
  <conditionalFormatting sqref="K240:K241">
    <cfRule type="expression" dxfId="147" priority="168">
      <formula>$H$228="YES"</formula>
    </cfRule>
  </conditionalFormatting>
  <conditionalFormatting sqref="K254:K255">
    <cfRule type="expression" dxfId="146" priority="167">
      <formula>$H$242="YES"</formula>
    </cfRule>
  </conditionalFormatting>
  <conditionalFormatting sqref="K348:K349">
    <cfRule type="expression" dxfId="145" priority="166">
      <formula>#REF!="YES"</formula>
    </cfRule>
  </conditionalFormatting>
  <conditionalFormatting sqref="K361:K362">
    <cfRule type="expression" dxfId="144" priority="165">
      <formula>#REF!="YES"</formula>
    </cfRule>
  </conditionalFormatting>
  <conditionalFormatting sqref="K398:K399">
    <cfRule type="expression" dxfId="143" priority="164">
      <formula>#REF!="YES"</formula>
    </cfRule>
  </conditionalFormatting>
  <conditionalFormatting sqref="K203:K204">
    <cfRule type="expression" dxfId="142" priority="163">
      <formula>$H$193="YES"</formula>
    </cfRule>
  </conditionalFormatting>
  <conditionalFormatting sqref="K191:K192">
    <cfRule type="expression" dxfId="141" priority="162">
      <formula>$H$181="YES"</formula>
    </cfRule>
  </conditionalFormatting>
  <conditionalFormatting sqref="K266:K267">
    <cfRule type="expression" dxfId="140" priority="161">
      <formula>$H$256="YES"</formula>
    </cfRule>
  </conditionalFormatting>
  <conditionalFormatting sqref="D157:D160 D162:D164 D271:D274 D276:D278 D125:D128 D130:D132 D146:D148 D153:D154 D136">
    <cfRule type="expression" dxfId="139" priority="160">
      <formula>#REF!="YES"</formula>
    </cfRule>
  </conditionalFormatting>
  <conditionalFormatting sqref="K24 K34:K35">
    <cfRule type="expression" dxfId="138" priority="172">
      <formula>#REF!="YES"</formula>
    </cfRule>
  </conditionalFormatting>
  <conditionalFormatting sqref="K37 K47:K48">
    <cfRule type="expression" dxfId="137" priority="173">
      <formula>#REF!="YES"</formula>
    </cfRule>
  </conditionalFormatting>
  <conditionalFormatting sqref="K50 K60:K61">
    <cfRule type="expression" dxfId="136" priority="174">
      <formula>#REF!="YES"</formula>
    </cfRule>
  </conditionalFormatting>
  <conditionalFormatting sqref="K63 K73:K74">
    <cfRule type="expression" dxfId="135" priority="175">
      <formula>#REF!="YES"</formula>
    </cfRule>
  </conditionalFormatting>
  <conditionalFormatting sqref="K87:K88 K76">
    <cfRule type="expression" dxfId="134" priority="176">
      <formula>#REF!="YES"</formula>
    </cfRule>
  </conditionalFormatting>
  <conditionalFormatting sqref="K11 K21:K22">
    <cfRule type="expression" dxfId="133" priority="177">
      <formula>#REF!="YES"</formula>
    </cfRule>
  </conditionalFormatting>
  <conditionalFormatting sqref="K100:K101">
    <cfRule type="expression" dxfId="132" priority="178">
      <formula>#REF!="YES"</formula>
    </cfRule>
  </conditionalFormatting>
  <conditionalFormatting sqref="D209:D212">
    <cfRule type="expression" dxfId="131" priority="156">
      <formula>#REF!="YES"</formula>
    </cfRule>
  </conditionalFormatting>
  <conditionalFormatting sqref="D268">
    <cfRule type="expression" dxfId="130" priority="155">
      <formula>#REF!="YES"</formula>
    </cfRule>
  </conditionalFormatting>
  <conditionalFormatting sqref="D121:D123">
    <cfRule type="expression" dxfId="129" priority="151">
      <formula>#REF!="YES"</formula>
    </cfRule>
  </conditionalFormatting>
  <conditionalFormatting sqref="D141:D144">
    <cfRule type="expression" dxfId="128" priority="150">
      <formula>#REF!="YES"</formula>
    </cfRule>
  </conditionalFormatting>
  <conditionalFormatting sqref="D137:D138">
    <cfRule type="expression" dxfId="127" priority="149">
      <formula>#REF!="YES"</formula>
    </cfRule>
  </conditionalFormatting>
  <conditionalFormatting sqref="D287:D290 D292:D294">
    <cfRule type="expression" dxfId="126" priority="148">
      <formula>#REF!="YES"</formula>
    </cfRule>
  </conditionalFormatting>
  <conditionalFormatting sqref="D283:D285">
    <cfRule type="expression" dxfId="125" priority="147">
      <formula>#REF!="YES"</formula>
    </cfRule>
  </conditionalFormatting>
  <conditionalFormatting sqref="D303:D306 D308:D310">
    <cfRule type="expression" dxfId="124" priority="146">
      <formula>#REF!="YES"</formula>
    </cfRule>
  </conditionalFormatting>
  <conditionalFormatting sqref="D299:D300">
    <cfRule type="expression" dxfId="123" priority="145">
      <formula>#REF!="YES"</formula>
    </cfRule>
  </conditionalFormatting>
  <conditionalFormatting sqref="D301">
    <cfRule type="expression" dxfId="122" priority="144">
      <formula>#REF!="YES"</formula>
    </cfRule>
  </conditionalFormatting>
  <conditionalFormatting sqref="D269">
    <cfRule type="expression" dxfId="121" priority="143">
      <formula>#REF!="YES"</formula>
    </cfRule>
  </conditionalFormatting>
  <conditionalFormatting sqref="D139">
    <cfRule type="expression" dxfId="120" priority="142">
      <formula>#REF!="YES"</formula>
    </cfRule>
  </conditionalFormatting>
  <conditionalFormatting sqref="D155">
    <cfRule type="expression" dxfId="119" priority="141">
      <formula>#REF!="YES"</formula>
    </cfRule>
  </conditionalFormatting>
  <conditionalFormatting sqref="D352">
    <cfRule type="expression" dxfId="118" priority="140">
      <formula>#REF!="YES"</formula>
    </cfRule>
  </conditionalFormatting>
  <conditionalFormatting sqref="D383:D384 D386:D389 D391:D393">
    <cfRule type="expression" dxfId="117" priority="139">
      <formula>#REF!="YES"</formula>
    </cfRule>
  </conditionalFormatting>
  <conditionalFormatting sqref="A1:A58 A121:A1048576">
    <cfRule type="containsText" dxfId="116" priority="137" operator="containsText" text="OPTIONAL">
      <formula>NOT(ISERROR(SEARCH("OPTIONAL",A1)))</formula>
    </cfRule>
    <cfRule type="containsText" dxfId="115" priority="138" operator="containsText" text="REQUIRED">
      <formula>NOT(ISERROR(SEARCH("REQUIRED",A1)))</formula>
    </cfRule>
  </conditionalFormatting>
  <conditionalFormatting sqref="D135">
    <cfRule type="expression" dxfId="114" priority="130">
      <formula>#REF!="YES"</formula>
    </cfRule>
  </conditionalFormatting>
  <conditionalFormatting sqref="D152">
    <cfRule type="expression" dxfId="113" priority="127">
      <formula>#REF!="YES"</formula>
    </cfRule>
  </conditionalFormatting>
  <conditionalFormatting sqref="D151">
    <cfRule type="expression" dxfId="112" priority="126">
      <formula>#REF!="YES"</formula>
    </cfRule>
  </conditionalFormatting>
  <conditionalFormatting sqref="D168">
    <cfRule type="expression" dxfId="111" priority="125">
      <formula>#REF!="YES"</formula>
    </cfRule>
  </conditionalFormatting>
  <conditionalFormatting sqref="D167">
    <cfRule type="expression" dxfId="110" priority="124">
      <formula>#REF!="YES"</formula>
    </cfRule>
  </conditionalFormatting>
  <conditionalFormatting sqref="D220">
    <cfRule type="expression" dxfId="109" priority="123">
      <formula>#REF!="YES"</formula>
    </cfRule>
  </conditionalFormatting>
  <conditionalFormatting sqref="D225">
    <cfRule type="expression" dxfId="108" priority="122">
      <formula>#REF!="YES"</formula>
    </cfRule>
  </conditionalFormatting>
  <conditionalFormatting sqref="D230">
    <cfRule type="expression" dxfId="107" priority="121">
      <formula>#REF!="YES"</formula>
    </cfRule>
  </conditionalFormatting>
  <conditionalFormatting sqref="D235">
    <cfRule type="expression" dxfId="106" priority="120">
      <formula>#REF!="YES"</formula>
    </cfRule>
  </conditionalFormatting>
  <conditionalFormatting sqref="D244:D246 D252 D257 D262 D237">
    <cfRule type="expression" dxfId="105" priority="119">
      <formula>#REF!="YES"</formula>
    </cfRule>
  </conditionalFormatting>
  <conditionalFormatting sqref="D239:D242">
    <cfRule type="expression" dxfId="104" priority="118">
      <formula>#REF!="YES"</formula>
    </cfRule>
  </conditionalFormatting>
  <conditionalFormatting sqref="D250">
    <cfRule type="expression" dxfId="103" priority="112">
      <formula>#REF!="YES"</formula>
    </cfRule>
  </conditionalFormatting>
  <conditionalFormatting sqref="D255">
    <cfRule type="expression" dxfId="102" priority="111">
      <formula>#REF!="YES"</formula>
    </cfRule>
  </conditionalFormatting>
  <conditionalFormatting sqref="D260">
    <cfRule type="expression" dxfId="101" priority="110">
      <formula>#REF!="YES"</formula>
    </cfRule>
  </conditionalFormatting>
  <conditionalFormatting sqref="D265">
    <cfRule type="expression" dxfId="100" priority="109">
      <formula>#REF!="YES"</formula>
    </cfRule>
  </conditionalFormatting>
  <conditionalFormatting sqref="D281">
    <cfRule type="expression" dxfId="99" priority="104">
      <formula>#REF!="YES"</formula>
    </cfRule>
  </conditionalFormatting>
  <conditionalFormatting sqref="D297">
    <cfRule type="expression" dxfId="98" priority="102">
      <formula>#REF!="YES"</formula>
    </cfRule>
  </conditionalFormatting>
  <conditionalFormatting sqref="D313">
    <cfRule type="expression" dxfId="97" priority="100">
      <formula>#REF!="YES"</formula>
    </cfRule>
  </conditionalFormatting>
  <conditionalFormatting sqref="D396">
    <cfRule type="expression" dxfId="96" priority="99">
      <formula>#REF!="YES"</formula>
    </cfRule>
  </conditionalFormatting>
  <conditionalFormatting sqref="D381">
    <cfRule type="expression" dxfId="95" priority="98">
      <formula>#REF!="YES"</formula>
    </cfRule>
  </conditionalFormatting>
  <conditionalFormatting sqref="D367">
    <cfRule type="expression" dxfId="94" priority="97">
      <formula>#REF!="YES"</formula>
    </cfRule>
  </conditionalFormatting>
  <conditionalFormatting sqref="D353">
    <cfRule type="expression" dxfId="93" priority="96">
      <formula>#REF!="YES"</formula>
    </cfRule>
  </conditionalFormatting>
  <conditionalFormatting sqref="D366">
    <cfRule type="expression" dxfId="92" priority="95">
      <formula>#REF!="YES"</formula>
    </cfRule>
  </conditionalFormatting>
  <conditionalFormatting sqref="D380">
    <cfRule type="expression" dxfId="91" priority="94">
      <formula>#REF!="YES"</formula>
    </cfRule>
  </conditionalFormatting>
  <conditionalFormatting sqref="D395">
    <cfRule type="expression" dxfId="90" priority="93">
      <formula>#REF!="YES"</formula>
    </cfRule>
  </conditionalFormatting>
  <conditionalFormatting sqref="D166">
    <cfRule type="expression" dxfId="89" priority="92">
      <formula>#REF!="YES"</formula>
    </cfRule>
  </conditionalFormatting>
  <conditionalFormatting sqref="D150">
    <cfRule type="expression" dxfId="88" priority="91">
      <formula>#REF!="YES"</formula>
    </cfRule>
  </conditionalFormatting>
  <conditionalFormatting sqref="D134">
    <cfRule type="expression" dxfId="87" priority="90">
      <formula>#REF!="YES"</formula>
    </cfRule>
  </conditionalFormatting>
  <conditionalFormatting sqref="D219">
    <cfRule type="expression" dxfId="86" priority="81">
      <formula>#REF!="YES"</formula>
    </cfRule>
  </conditionalFormatting>
  <conditionalFormatting sqref="D224">
    <cfRule type="expression" dxfId="85" priority="80">
      <formula>#REF!="YES"</formula>
    </cfRule>
  </conditionalFormatting>
  <conditionalFormatting sqref="D229">
    <cfRule type="expression" dxfId="84" priority="79">
      <formula>#REF!="YES"</formula>
    </cfRule>
  </conditionalFormatting>
  <conditionalFormatting sqref="D234">
    <cfRule type="expression" dxfId="83" priority="78">
      <formula>#REF!="YES"</formula>
    </cfRule>
  </conditionalFormatting>
  <conditionalFormatting sqref="D249">
    <cfRule type="expression" dxfId="82" priority="77">
      <formula>#REF!="YES"</formula>
    </cfRule>
  </conditionalFormatting>
  <conditionalFormatting sqref="D254">
    <cfRule type="expression" dxfId="81" priority="76">
      <formula>#REF!="YES"</formula>
    </cfRule>
  </conditionalFormatting>
  <conditionalFormatting sqref="D259">
    <cfRule type="expression" dxfId="80" priority="75">
      <formula>#REF!="YES"</formula>
    </cfRule>
  </conditionalFormatting>
  <conditionalFormatting sqref="D264">
    <cfRule type="expression" dxfId="79" priority="74">
      <formula>#REF!="YES"</formula>
    </cfRule>
  </conditionalFormatting>
  <conditionalFormatting sqref="D267">
    <cfRule type="expression" dxfId="78" priority="73">
      <formula>#REF!="YES"</formula>
    </cfRule>
  </conditionalFormatting>
  <conditionalFormatting sqref="D280">
    <cfRule type="expression" dxfId="77" priority="72">
      <formula>#REF!="YES"</formula>
    </cfRule>
  </conditionalFormatting>
  <conditionalFormatting sqref="D296">
    <cfRule type="expression" dxfId="76" priority="71">
      <formula>#REF!="YES"</formula>
    </cfRule>
  </conditionalFormatting>
  <conditionalFormatting sqref="D312">
    <cfRule type="expression" dxfId="75" priority="70">
      <formula>#REF!="YES"</formula>
    </cfRule>
  </conditionalFormatting>
  <conditionalFormatting sqref="D221">
    <cfRule type="expression" dxfId="74" priority="67">
      <formula>#REF!="YES"</formula>
    </cfRule>
  </conditionalFormatting>
  <conditionalFormatting sqref="D226">
    <cfRule type="expression" dxfId="73" priority="66">
      <formula>#REF!="YES"</formula>
    </cfRule>
  </conditionalFormatting>
  <conditionalFormatting sqref="D231">
    <cfRule type="expression" dxfId="72" priority="65">
      <formula>#REF!="YES"</formula>
    </cfRule>
  </conditionalFormatting>
  <conditionalFormatting sqref="D236">
    <cfRule type="expression" dxfId="71" priority="64">
      <formula>#REF!="YES"</formula>
    </cfRule>
  </conditionalFormatting>
  <conditionalFormatting sqref="D251">
    <cfRule type="expression" dxfId="70" priority="63">
      <formula>#REF!="YES"</formula>
    </cfRule>
  </conditionalFormatting>
  <conditionalFormatting sqref="D256">
    <cfRule type="expression" dxfId="69" priority="62">
      <formula>#REF!="YES"</formula>
    </cfRule>
  </conditionalFormatting>
  <conditionalFormatting sqref="D261">
    <cfRule type="expression" dxfId="68" priority="61">
      <formula>#REF!="YES"</formula>
    </cfRule>
  </conditionalFormatting>
  <conditionalFormatting sqref="D266">
    <cfRule type="expression" dxfId="67" priority="60">
      <formula>#REF!="YES"</formula>
    </cfRule>
  </conditionalFormatting>
  <conditionalFormatting sqref="D282">
    <cfRule type="expression" dxfId="66" priority="59">
      <formula>#REF!="YES"</formula>
    </cfRule>
  </conditionalFormatting>
  <conditionalFormatting sqref="D298">
    <cfRule type="expression" dxfId="65" priority="58">
      <formula>#REF!="YES"</formula>
    </cfRule>
  </conditionalFormatting>
  <conditionalFormatting sqref="D314">
    <cfRule type="expression" dxfId="64" priority="57">
      <formula>#REF!="YES"</formula>
    </cfRule>
  </conditionalFormatting>
  <conditionalFormatting sqref="D354">
    <cfRule type="expression" dxfId="63" priority="56">
      <formula>#REF!="YES"</formula>
    </cfRule>
  </conditionalFormatting>
  <conditionalFormatting sqref="D368">
    <cfRule type="expression" dxfId="62" priority="55">
      <formula>#REF!="YES"</formula>
    </cfRule>
  </conditionalFormatting>
  <conditionalFormatting sqref="D382">
    <cfRule type="expression" dxfId="61" priority="54">
      <formula>#REF!="YES"</formula>
    </cfRule>
  </conditionalFormatting>
  <conditionalFormatting sqref="D397">
    <cfRule type="expression" dxfId="60" priority="53">
      <formula>#REF!="YES"</formula>
    </cfRule>
  </conditionalFormatting>
  <conditionalFormatting sqref="D217">
    <cfRule type="expression" dxfId="59" priority="26">
      <formula>#REF!="YES"</formula>
    </cfRule>
  </conditionalFormatting>
  <conditionalFormatting sqref="D247">
    <cfRule type="expression" dxfId="58" priority="25">
      <formula>#REF!="YES"</formula>
    </cfRule>
  </conditionalFormatting>
  <dataValidations count="9">
    <dataValidation type="list" allowBlank="1" showInputMessage="1" showErrorMessage="1" sqref="K63 K76 K11 K24 K37 K50">
      <formula1>#REF!</formula1>
    </dataValidation>
    <dataValidation type="list" allowBlank="1" showInputMessage="1" showErrorMessage="1" sqref="D60 D91">
      <formula1>$M$36:$M$37</formula1>
    </dataValidation>
    <dataValidation type="list" allowBlank="1" showInputMessage="1" showErrorMessage="1" sqref="Q11:Q14">
      <formula1>$M$8:$M$11</formula1>
    </dataValidation>
    <dataValidation type="list" allowBlank="1" showInputMessage="1" showErrorMessage="1" sqref="D222 D227 D232 D252 D257 D262 D217 D247 D111 D116 D70 D75 D80 D85 D101 D106">
      <formula1>$M$6:$M$15</formula1>
    </dataValidation>
    <dataValidation type="list" allowBlank="1" showInputMessage="1" showErrorMessage="1" sqref="D237">
      <formula1>$N$177:$N$186</formula1>
    </dataValidation>
    <dataValidation type="list" allowBlank="1" showInputMessage="1" showErrorMessage="1" sqref="D341 D355 D369">
      <formula1>$N$389:$N$392</formula1>
    </dataValidation>
    <dataValidation type="list" allowBlank="1" showInputMessage="1" showErrorMessage="1" prompt="Select Yes/No" sqref="H76:H78 H256:H258 H90:H92 H242:H245 H228:H231 H215:H218 H205:H206 H193:H195 H181:H183 H11:H13 H63:H65 H50:H52 H37:H39 H24:H26">
      <formula1>#REF!</formula1>
    </dataValidation>
    <dataValidation type="list" allowBlank="1" showInputMessage="1" showErrorMessage="1" sqref="D90 D59">
      <formula1>$M$16:$M$24</formula1>
    </dataValidation>
    <dataValidation type="list" allowBlank="1" showInputMessage="1" showErrorMessage="1" sqref="D207">
      <formula1>$N$177:$N$186</formula1>
    </dataValidation>
  </dataValidations>
  <hyperlinks>
    <hyperlink ref="D6" location="'Select Measures-High School'!A10" display="ACADEMIC ACHIEVEMENT"/>
    <hyperlink ref="D7" location="'Select Measures-High School'!A171" display="ACADEMIC GROWTH"/>
    <hyperlink ref="D8" location="'Select Measures-High School'!A307" display="STUDENT ENGAGEMENT"/>
    <hyperlink ref="A169:D169" location="'Select Measures-High School'!A1" display="BACK TO TOP"/>
  </hyperlinks>
  <pageMargins left="0.7" right="0.7" top="0.4" bottom="0.56000000000000005" header="0.3" footer="0.33"/>
  <pageSetup scale="51" fitToHeight="0" orientation="portrait" r:id="rId1"/>
  <headerFooter>
    <oddFooter>&amp;CSelection of Measures 2013-14, HIGH SCHOOL page &amp;P</oddFooter>
  </headerFooter>
  <rowBreaks count="12" manualBreakCount="12">
    <brk id="58" max="3" man="1"/>
    <brk id="120" max="3" man="1"/>
    <brk id="169" max="3" man="1"/>
    <brk id="206" max="3" man="1"/>
    <brk id="208" min="6" max="10" man="1"/>
    <brk id="249" min="6" max="10" man="1"/>
    <brk id="266" max="3" man="1"/>
    <brk id="315" max="3" man="1"/>
    <brk id="340" max="3" man="1"/>
    <brk id="408" max="4" man="1"/>
    <brk id="473" max="4" man="1"/>
    <brk id="539" max="4" man="1"/>
  </rowBreaks>
  <extLst>
    <ext xmlns:x14="http://schemas.microsoft.com/office/spreadsheetml/2009/9/main" uri="{78C0D931-6437-407d-A8EE-F0AAD7539E65}">
      <x14:conditionalFormattings>
        <x14:conditionalFormatting xmlns:xm="http://schemas.microsoft.com/office/excel/2006/main">
          <x14:cfRule type="expression" priority="17" id="{436E8A9C-6A86-4704-9940-7204128D83D7}">
            <xm:f>'Select Measures-High School'!#REF!="YES"</xm:f>
            <x14:dxf>
              <fill>
                <patternFill>
                  <bgColor rgb="FFFFFF00"/>
                </patternFill>
              </fill>
            </x14:dxf>
          </x14:cfRule>
          <xm:sqref>D82</xm:sqref>
        </x14:conditionalFormatting>
        <x14:conditionalFormatting xmlns:xm="http://schemas.microsoft.com/office/excel/2006/main">
          <x14:cfRule type="expression" priority="3" id="{F1CD8B5E-83A1-42F0-8033-1135E6073240}">
            <xm:f>'Select Measures-High School'!#REF!="YES"</xm:f>
            <x14:dxf>
              <fill>
                <patternFill>
                  <bgColor rgb="FFFFFF00"/>
                </patternFill>
              </fill>
            </x14:dxf>
          </x14:cfRule>
          <xm:sqref>D115</xm:sqref>
        </x14:conditionalFormatting>
        <x14:conditionalFormatting xmlns:xm="http://schemas.microsoft.com/office/excel/2006/main">
          <x14:cfRule type="expression" priority="15" id="{83A56CED-B36A-4035-9662-EF844A7C14E7}">
            <xm:f>'Select Measures-High School'!#REF!="YES"</xm:f>
            <x14:dxf>
              <fill>
                <patternFill>
                  <bgColor rgb="FFFFFF00"/>
                </patternFill>
              </fill>
            </x14:dxf>
          </x14:cfRule>
          <xm:sqref>D72</xm:sqref>
        </x14:conditionalFormatting>
        <x14:conditionalFormatting xmlns:xm="http://schemas.microsoft.com/office/excel/2006/main">
          <x14:cfRule type="expression" priority="14" id="{953754A1-6B42-4A77-B76E-8CF1D58AE69B}">
            <xm:f>'Select Measures-High School'!#REF!="YES"</xm:f>
            <x14:dxf>
              <fill>
                <patternFill>
                  <bgColor rgb="FFFFFF00"/>
                </patternFill>
              </fill>
            </x14:dxf>
          </x14:cfRule>
          <xm:sqref>D84</xm:sqref>
        </x14:conditionalFormatting>
        <x14:conditionalFormatting xmlns:xm="http://schemas.microsoft.com/office/excel/2006/main">
          <x14:cfRule type="expression" priority="13" id="{8C470D61-531B-4DF6-9850-B98E7A6FDBB5}">
            <xm:f>'Select Measures-High School'!#REF!="YES"</xm:f>
            <x14:dxf>
              <fill>
                <patternFill>
                  <bgColor rgb="FFFFFF00"/>
                </patternFill>
              </fill>
            </x14:dxf>
          </x14:cfRule>
          <xm:sqref>D79</xm:sqref>
        </x14:conditionalFormatting>
        <x14:conditionalFormatting xmlns:xm="http://schemas.microsoft.com/office/excel/2006/main">
          <x14:cfRule type="expression" priority="12" id="{AC1ACAD4-45B4-48BF-B5C0-C94B85E8E304}">
            <xm:f>'Select Measures-High School'!#REF!="YES"</xm:f>
            <x14:dxf>
              <fill>
                <patternFill>
                  <bgColor rgb="FFFFFF00"/>
                </patternFill>
              </fill>
            </x14:dxf>
          </x14:cfRule>
          <xm:sqref>D74</xm:sqref>
        </x14:conditionalFormatting>
        <x14:conditionalFormatting xmlns:xm="http://schemas.microsoft.com/office/excel/2006/main">
          <x14:cfRule type="expression" priority="9" id="{226DB173-E01A-454F-9B52-DAA75A9BD157}">
            <xm:f>'Select Measures-High School'!#REF!="YES"</xm:f>
            <x14:dxf>
              <fill>
                <patternFill>
                  <bgColor rgb="FFFFFF00"/>
                </patternFill>
              </fill>
            </x14:dxf>
          </x14:cfRule>
          <xm:sqref>D109</xm:sqref>
        </x14:conditionalFormatting>
        <x14:conditionalFormatting xmlns:xm="http://schemas.microsoft.com/office/excel/2006/main">
          <x14:cfRule type="expression" priority="6" id="{0FF6B212-E517-46BE-9C98-A6AF058042D4}">
            <xm:f>'Select Measures-High School'!#REF!="YES"</xm:f>
            <x14:dxf>
              <fill>
                <patternFill>
                  <bgColor rgb="FFFFFF00"/>
                </patternFill>
              </fill>
            </x14:dxf>
          </x14:cfRule>
          <xm:sqref>D113</xm:sqref>
        </x14:conditionalFormatting>
        <x14:conditionalFormatting xmlns:xm="http://schemas.microsoft.com/office/excel/2006/main">
          <x14:cfRule type="expression" priority="8" id="{B2D4E417-DFC3-4FA0-8AD4-C4819A42CD95}">
            <xm:f>'Select Measures-High School'!#REF!="YES"</xm:f>
            <x14:dxf>
              <fill>
                <patternFill>
                  <bgColor rgb="FFFFFF00"/>
                </patternFill>
              </fill>
            </x14:dxf>
          </x14:cfRule>
          <xm:sqref>D114</xm:sqref>
        </x14:conditionalFormatting>
        <x14:conditionalFormatting xmlns:xm="http://schemas.microsoft.com/office/excel/2006/main">
          <x14:cfRule type="expression" priority="7" id="{AAF811EF-91EF-46D9-9B8F-DC86E86776F5}">
            <xm:f>'Select Measures-High School'!#REF!="YES"</xm:f>
            <x14:dxf>
              <fill>
                <patternFill>
                  <bgColor rgb="FFFFFF00"/>
                </patternFill>
              </fill>
            </x14:dxf>
          </x14:cfRule>
          <xm:sqref>D118</xm:sqref>
        </x14:conditionalFormatting>
        <x14:conditionalFormatting xmlns:xm="http://schemas.microsoft.com/office/excel/2006/main">
          <x14:cfRule type="expression" priority="5" id="{4F8F772C-4E0D-4DAF-939E-F85CA620017B}">
            <xm:f>'Select Measures-High School'!#REF!="YES"</xm:f>
            <x14:dxf>
              <fill>
                <patternFill>
                  <bgColor rgb="FFFFFF00"/>
                </patternFill>
              </fill>
            </x14:dxf>
          </x14:cfRule>
          <xm:sqref>D108</xm:sqref>
        </x14:conditionalFormatting>
        <x14:conditionalFormatting xmlns:xm="http://schemas.microsoft.com/office/excel/2006/main">
          <x14:cfRule type="expression" priority="4" id="{279CA017-6D07-49CE-9E17-6AE1D8B68793}">
            <xm:f>'Select Measures-High School'!#REF!="YES"</xm:f>
            <x14:dxf>
              <fill>
                <patternFill>
                  <bgColor rgb="FFFFFF00"/>
                </patternFill>
              </fill>
            </x14:dxf>
          </x14:cfRule>
          <xm:sqref>D103</xm:sqref>
        </x14:conditionalFormatting>
        <x14:conditionalFormatting xmlns:xm="http://schemas.microsoft.com/office/excel/2006/main">
          <x14:cfRule type="containsText" priority="23" operator="containsText" text="OPTIONAL" id="{9EE77F1A-5B99-4665-AE86-6A6334647530}">
            <xm:f>NOT(ISERROR(SEARCH("OPTIONAL",'Select Measures-High School'!A135)))</xm:f>
            <x14:dxf>
              <font>
                <color auto="1"/>
              </font>
              <fill>
                <patternFill>
                  <bgColor rgb="FF92D050"/>
                </patternFill>
              </fill>
            </x14:dxf>
          </x14:cfRule>
          <x14:cfRule type="containsText" priority="24" operator="containsText" text="REQUIRED" id="{69A10C40-0997-4B0A-BA5A-6B0E3846B482}">
            <xm:f>NOT(ISERROR(SEARCH("REQUIRED",'Select Measures-High School'!A135)))</xm:f>
            <x14:dxf>
              <font>
                <color auto="1"/>
              </font>
              <fill>
                <patternFill>
                  <bgColor rgb="FFFF0000"/>
                </patternFill>
              </fill>
            </x14:dxf>
          </x14:cfRule>
          <xm:sqref>A90:A119 A59:A88</xm:sqref>
        </x14:conditionalFormatting>
        <x14:conditionalFormatting xmlns:xm="http://schemas.microsoft.com/office/excel/2006/main">
          <x14:cfRule type="expression" priority="22" id="{BA20443C-CF92-41A6-9B44-2DA5EB5EBAF0}">
            <xm:f>'Select Measures-High School'!#REF!="YES"</xm:f>
            <x14:dxf>
              <fill>
                <patternFill>
                  <bgColor rgb="FFFFFF00"/>
                </patternFill>
              </fill>
            </x14:dxf>
          </x14:cfRule>
          <xm:sqref>D62:D65 D59 D67:D70 D88:D89 D75 D80 D85</xm:sqref>
        </x14:conditionalFormatting>
        <x14:conditionalFormatting xmlns:xm="http://schemas.microsoft.com/office/excel/2006/main">
          <x14:cfRule type="expression" priority="21" id="{48A69177-DEB1-4B46-8B91-742011C140EC}">
            <xm:f>'Select Measures-High School'!#REF!="YES"</xm:f>
            <x14:dxf>
              <fill>
                <patternFill>
                  <bgColor rgb="FFFFFF00"/>
                </patternFill>
              </fill>
            </x14:dxf>
          </x14:cfRule>
          <xm:sqref>D73</xm:sqref>
        </x14:conditionalFormatting>
        <x14:conditionalFormatting xmlns:xm="http://schemas.microsoft.com/office/excel/2006/main">
          <x14:cfRule type="expression" priority="20" id="{1FBDF4C5-9C68-42B1-BDB4-EE9BA6838395}">
            <xm:f>'Select Measures-High School'!#REF!="YES"</xm:f>
            <x14:dxf>
              <fill>
                <patternFill>
                  <bgColor rgb="FFFFFF00"/>
                </patternFill>
              </fill>
            </x14:dxf>
          </x14:cfRule>
          <xm:sqref>D78</xm:sqref>
        </x14:conditionalFormatting>
        <x14:conditionalFormatting xmlns:xm="http://schemas.microsoft.com/office/excel/2006/main">
          <x14:cfRule type="expression" priority="19" id="{D568AD59-93B3-454D-855F-574CF8B20EA2}">
            <xm:f>'Select Measures-High School'!#REF!="YES"</xm:f>
            <x14:dxf>
              <fill>
                <patternFill>
                  <bgColor rgb="FFFFFF00"/>
                </patternFill>
              </fill>
            </x14:dxf>
          </x14:cfRule>
          <xm:sqref>D83</xm:sqref>
        </x14:conditionalFormatting>
        <x14:conditionalFormatting xmlns:xm="http://schemas.microsoft.com/office/excel/2006/main">
          <x14:cfRule type="expression" priority="18" id="{E10A2D53-41B1-4FD5-BD5F-B12BF96C064F}">
            <xm:f>'Select Measures-High School'!#REF!="YES"</xm:f>
            <x14:dxf>
              <fill>
                <patternFill>
                  <bgColor rgb="FFFFFF00"/>
                </patternFill>
              </fill>
            </x14:dxf>
          </x14:cfRule>
          <xm:sqref>D87</xm:sqref>
        </x14:conditionalFormatting>
        <x14:conditionalFormatting xmlns:xm="http://schemas.microsoft.com/office/excel/2006/main">
          <x14:cfRule type="expression" priority="16" id="{B7947B70-79B5-4899-9996-0D05BF7C89E8}">
            <xm:f>'Select Measures-High School'!#REF!="YES"</xm:f>
            <x14:dxf>
              <fill>
                <patternFill>
                  <bgColor rgb="FFFFFF00"/>
                </patternFill>
              </fill>
            </x14:dxf>
          </x14:cfRule>
          <xm:sqref>D77</xm:sqref>
        </x14:conditionalFormatting>
        <x14:conditionalFormatting xmlns:xm="http://schemas.microsoft.com/office/excel/2006/main">
          <x14:cfRule type="expression" priority="1" id="{32B71648-84DC-42BF-8714-0554B7FCC6C9}">
            <xm:f>'Select Measures-High School'!#REF!="YES"</xm:f>
            <x14:dxf>
              <fill>
                <patternFill>
                  <bgColor rgb="FFFFFF00"/>
                </patternFill>
              </fill>
            </x14:dxf>
          </x14:cfRule>
          <xm:sqref>D105</xm:sqref>
        </x14:conditionalFormatting>
        <x14:conditionalFormatting xmlns:xm="http://schemas.microsoft.com/office/excel/2006/main">
          <x14:cfRule type="expression" priority="11" id="{5DA36452-D1D4-464A-85EC-B9E20827E2CE}">
            <xm:f>'Select Measures-High School'!#REF!="YES"</xm:f>
            <x14:dxf>
              <fill>
                <patternFill>
                  <bgColor rgb="FFFFFF00"/>
                </patternFill>
              </fill>
            </x14:dxf>
          </x14:cfRule>
          <xm:sqref>D93:D96 D90 D98:D101 D119:D120 D106 D111 D116</xm:sqref>
        </x14:conditionalFormatting>
        <x14:conditionalFormatting xmlns:xm="http://schemas.microsoft.com/office/excel/2006/main">
          <x14:cfRule type="expression" priority="10" id="{688626A9-03B9-4AC2-BE60-582FDEA850A7}">
            <xm:f>'Select Measures-High School'!#REF!="YES"</xm:f>
            <x14:dxf>
              <fill>
                <patternFill>
                  <bgColor rgb="FFFFFF00"/>
                </patternFill>
              </fill>
            </x14:dxf>
          </x14:cfRule>
          <xm:sqref>D104</xm:sqref>
        </x14:conditionalFormatting>
        <x14:conditionalFormatting xmlns:xm="http://schemas.microsoft.com/office/excel/2006/main">
          <x14:cfRule type="expression" priority="2" id="{86117ED4-86D0-4E69-8CC9-A2447AD1D021}">
            <xm:f>'Select Measures-High School'!#REF!="YES"</xm:f>
            <x14:dxf>
              <fill>
                <patternFill>
                  <bgColor rgb="FFFFFF00"/>
                </patternFill>
              </fill>
            </x14:dxf>
          </x14:cfRule>
          <xm:sqref>D110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7030A0"/>
  </sheetPr>
  <dimension ref="A1:D43"/>
  <sheetViews>
    <sheetView topLeftCell="A28" zoomScaleNormal="100" workbookViewId="0"/>
  </sheetViews>
  <sheetFormatPr defaultRowHeight="15" x14ac:dyDescent="0.25"/>
  <cols>
    <col min="1" max="1" width="18.42578125" style="1" customWidth="1"/>
    <col min="2" max="4" width="22.28515625" style="2" customWidth="1"/>
  </cols>
  <sheetData>
    <row r="1" spans="1:4" ht="19.5" thickBot="1" x14ac:dyDescent="0.35">
      <c r="A1" s="3" t="s">
        <v>355</v>
      </c>
      <c r="B1" s="3"/>
      <c r="C1" s="3"/>
      <c r="D1" s="3"/>
    </row>
    <row r="2" spans="1:4" x14ac:dyDescent="0.25">
      <c r="A2" s="4"/>
      <c r="B2" s="316" t="s">
        <v>170</v>
      </c>
      <c r="C2" s="316"/>
      <c r="D2" s="317"/>
    </row>
    <row r="3" spans="1:4" ht="17.25" x14ac:dyDescent="0.25">
      <c r="A3" s="5" t="s">
        <v>171</v>
      </c>
      <c r="B3" s="6" t="s">
        <v>148</v>
      </c>
      <c r="C3" s="6" t="s">
        <v>149</v>
      </c>
      <c r="D3" s="7" t="s">
        <v>150</v>
      </c>
    </row>
    <row r="4" spans="1:4" ht="15" customHeight="1" x14ac:dyDescent="0.25">
      <c r="A4" s="318" t="s">
        <v>163</v>
      </c>
      <c r="B4" s="319"/>
      <c r="C4" s="319"/>
      <c r="D4" s="320"/>
    </row>
    <row r="5" spans="1:4" x14ac:dyDescent="0.25">
      <c r="A5" s="8" t="s">
        <v>151</v>
      </c>
      <c r="B5" s="9" t="s">
        <v>219</v>
      </c>
      <c r="C5" s="9" t="s">
        <v>220</v>
      </c>
      <c r="D5" s="10" t="s">
        <v>221</v>
      </c>
    </row>
    <row r="6" spans="1:4" x14ac:dyDescent="0.25">
      <c r="A6" s="8" t="s">
        <v>152</v>
      </c>
      <c r="B6" s="9" t="s">
        <v>222</v>
      </c>
      <c r="C6" s="9" t="s">
        <v>223</v>
      </c>
      <c r="D6" s="10" t="s">
        <v>224</v>
      </c>
    </row>
    <row r="7" spans="1:4" x14ac:dyDescent="0.25">
      <c r="A7" s="8" t="s">
        <v>153</v>
      </c>
      <c r="B7" s="11" t="s">
        <v>225</v>
      </c>
      <c r="C7" s="11" t="s">
        <v>226</v>
      </c>
      <c r="D7" s="12" t="s">
        <v>227</v>
      </c>
    </row>
    <row r="8" spans="1:4" ht="15" customHeight="1" x14ac:dyDescent="0.25">
      <c r="A8" s="318" t="s">
        <v>164</v>
      </c>
      <c r="B8" s="319"/>
      <c r="C8" s="319"/>
      <c r="D8" s="320"/>
    </row>
    <row r="9" spans="1:4" x14ac:dyDescent="0.25">
      <c r="A9" s="8" t="s">
        <v>151</v>
      </c>
      <c r="B9" s="9" t="s">
        <v>228</v>
      </c>
      <c r="C9" s="9" t="s">
        <v>229</v>
      </c>
      <c r="D9" s="10" t="s">
        <v>230</v>
      </c>
    </row>
    <row r="10" spans="1:4" x14ac:dyDescent="0.25">
      <c r="A10" s="8" t="s">
        <v>152</v>
      </c>
      <c r="B10" s="9" t="s">
        <v>231</v>
      </c>
      <c r="C10" s="9" t="s">
        <v>219</v>
      </c>
      <c r="D10" s="10" t="s">
        <v>232</v>
      </c>
    </row>
    <row r="11" spans="1:4" x14ac:dyDescent="0.25">
      <c r="A11" s="8" t="s">
        <v>153</v>
      </c>
      <c r="B11" s="11" t="s">
        <v>233</v>
      </c>
      <c r="C11" s="11" t="s">
        <v>234</v>
      </c>
      <c r="D11" s="12" t="s">
        <v>235</v>
      </c>
    </row>
    <row r="12" spans="1:4" ht="15" customHeight="1" x14ac:dyDescent="0.25">
      <c r="A12" s="318" t="s">
        <v>165</v>
      </c>
      <c r="B12" s="319"/>
      <c r="C12" s="319"/>
      <c r="D12" s="320"/>
    </row>
    <row r="13" spans="1:4" x14ac:dyDescent="0.25">
      <c r="A13" s="8" t="s">
        <v>151</v>
      </c>
      <c r="B13" s="9" t="s">
        <v>236</v>
      </c>
      <c r="C13" s="9" t="s">
        <v>222</v>
      </c>
      <c r="D13" s="10" t="s">
        <v>237</v>
      </c>
    </row>
    <row r="14" spans="1:4" x14ac:dyDescent="0.25">
      <c r="A14" s="8" t="s">
        <v>152</v>
      </c>
      <c r="B14" s="9" t="s">
        <v>238</v>
      </c>
      <c r="C14" s="9" t="s">
        <v>233</v>
      </c>
      <c r="D14" s="10" t="s">
        <v>239</v>
      </c>
    </row>
    <row r="15" spans="1:4" x14ac:dyDescent="0.25">
      <c r="A15" s="8" t="s">
        <v>153</v>
      </c>
      <c r="B15" s="11" t="s">
        <v>240</v>
      </c>
      <c r="C15" s="11" t="s">
        <v>241</v>
      </c>
      <c r="D15" s="12" t="s">
        <v>242</v>
      </c>
    </row>
    <row r="16" spans="1:4" ht="15" customHeight="1" x14ac:dyDescent="0.25">
      <c r="A16" s="318" t="s">
        <v>166</v>
      </c>
      <c r="B16" s="319"/>
      <c r="C16" s="319"/>
      <c r="D16" s="320"/>
    </row>
    <row r="17" spans="1:4" x14ac:dyDescent="0.25">
      <c r="A17" s="8" t="s">
        <v>151</v>
      </c>
      <c r="B17" s="9" t="s">
        <v>243</v>
      </c>
      <c r="C17" s="9" t="s">
        <v>244</v>
      </c>
      <c r="D17" s="10" t="s">
        <v>245</v>
      </c>
    </row>
    <row r="18" spans="1:4" x14ac:dyDescent="0.25">
      <c r="A18" s="8" t="s">
        <v>152</v>
      </c>
      <c r="B18" s="9" t="s">
        <v>246</v>
      </c>
      <c r="C18" s="9" t="s">
        <v>247</v>
      </c>
      <c r="D18" s="10" t="s">
        <v>248</v>
      </c>
    </row>
    <row r="19" spans="1:4" x14ac:dyDescent="0.25">
      <c r="A19" s="8" t="s">
        <v>153</v>
      </c>
      <c r="B19" s="11" t="s">
        <v>249</v>
      </c>
      <c r="C19" s="11" t="s">
        <v>250</v>
      </c>
      <c r="D19" s="12" t="s">
        <v>251</v>
      </c>
    </row>
    <row r="20" spans="1:4" ht="15" customHeight="1" x14ac:dyDescent="0.25">
      <c r="A20" s="318" t="s">
        <v>167</v>
      </c>
      <c r="B20" s="319"/>
      <c r="C20" s="319"/>
      <c r="D20" s="320"/>
    </row>
    <row r="21" spans="1:4" x14ac:dyDescent="0.25">
      <c r="A21" s="8" t="s">
        <v>151</v>
      </c>
      <c r="B21" s="13" t="s">
        <v>154</v>
      </c>
      <c r="C21" s="13" t="s">
        <v>154</v>
      </c>
      <c r="D21" s="14" t="s">
        <v>154</v>
      </c>
    </row>
    <row r="22" spans="1:4" x14ac:dyDescent="0.25">
      <c r="A22" s="8" t="s">
        <v>152</v>
      </c>
      <c r="B22" s="15">
        <v>35.6</v>
      </c>
      <c r="C22" s="15">
        <v>43.2</v>
      </c>
      <c r="D22" s="16">
        <v>58</v>
      </c>
    </row>
    <row r="23" spans="1:4" x14ac:dyDescent="0.25">
      <c r="A23" s="8" t="s">
        <v>153</v>
      </c>
      <c r="B23" s="15">
        <v>41.2</v>
      </c>
      <c r="C23" s="15">
        <v>46.8</v>
      </c>
      <c r="D23" s="16">
        <v>57.4</v>
      </c>
    </row>
    <row r="24" spans="1:4" ht="15" customHeight="1" x14ac:dyDescent="0.25">
      <c r="A24" s="318" t="s">
        <v>168</v>
      </c>
      <c r="B24" s="319"/>
      <c r="C24" s="319"/>
      <c r="D24" s="320"/>
    </row>
    <row r="25" spans="1:4" ht="14.45" x14ac:dyDescent="0.3">
      <c r="A25" s="8" t="s">
        <v>151</v>
      </c>
      <c r="B25" s="13" t="s">
        <v>155</v>
      </c>
      <c r="C25" s="13" t="s">
        <v>155</v>
      </c>
      <c r="D25" s="14" t="s">
        <v>155</v>
      </c>
    </row>
    <row r="26" spans="1:4" x14ac:dyDescent="0.25">
      <c r="A26" s="8" t="s">
        <v>152</v>
      </c>
      <c r="B26" s="15">
        <v>34</v>
      </c>
      <c r="C26" s="15">
        <v>35.799999999999997</v>
      </c>
      <c r="D26" s="16">
        <v>52.8</v>
      </c>
    </row>
    <row r="27" spans="1:4" x14ac:dyDescent="0.25">
      <c r="A27" s="8" t="s">
        <v>153</v>
      </c>
      <c r="B27" s="15">
        <v>38.6</v>
      </c>
      <c r="C27" s="15">
        <v>43.4</v>
      </c>
      <c r="D27" s="16">
        <v>57.2</v>
      </c>
    </row>
    <row r="28" spans="1:4" ht="15" customHeight="1" x14ac:dyDescent="0.25">
      <c r="A28" s="318" t="s">
        <v>169</v>
      </c>
      <c r="B28" s="319"/>
      <c r="C28" s="319"/>
      <c r="D28" s="320"/>
    </row>
    <row r="29" spans="1:4" x14ac:dyDescent="0.25">
      <c r="A29" s="8" t="s">
        <v>151</v>
      </c>
      <c r="B29" s="13" t="s">
        <v>155</v>
      </c>
      <c r="C29" s="13" t="s">
        <v>155</v>
      </c>
      <c r="D29" s="14" t="s">
        <v>155</v>
      </c>
    </row>
    <row r="30" spans="1:4" x14ac:dyDescent="0.25">
      <c r="A30" s="8" t="s">
        <v>152</v>
      </c>
      <c r="B30" s="15">
        <v>25</v>
      </c>
      <c r="C30" s="15">
        <v>31.8</v>
      </c>
      <c r="D30" s="16">
        <v>57.6</v>
      </c>
    </row>
    <row r="31" spans="1:4" x14ac:dyDescent="0.25">
      <c r="A31" s="8" t="s">
        <v>153</v>
      </c>
      <c r="B31" s="15">
        <v>33.6</v>
      </c>
      <c r="C31" s="15">
        <v>42</v>
      </c>
      <c r="D31" s="16">
        <v>50.6</v>
      </c>
    </row>
    <row r="32" spans="1:4" ht="15" customHeight="1" x14ac:dyDescent="0.25">
      <c r="A32" s="321" t="s">
        <v>172</v>
      </c>
      <c r="B32" s="322"/>
      <c r="C32" s="322"/>
      <c r="D32" s="323"/>
    </row>
    <row r="33" spans="1:4" x14ac:dyDescent="0.25">
      <c r="A33" s="17" t="s">
        <v>252</v>
      </c>
      <c r="B33" s="18" t="s">
        <v>253</v>
      </c>
      <c r="C33" s="18" t="s">
        <v>254</v>
      </c>
      <c r="D33" s="19" t="s">
        <v>255</v>
      </c>
    </row>
    <row r="34" spans="1:4" ht="15" customHeight="1" x14ac:dyDescent="0.25">
      <c r="A34" s="313" t="s">
        <v>156</v>
      </c>
      <c r="B34" s="314"/>
      <c r="C34" s="314"/>
      <c r="D34" s="315"/>
    </row>
    <row r="35" spans="1:4" x14ac:dyDescent="0.25">
      <c r="A35" s="20" t="s">
        <v>252</v>
      </c>
      <c r="B35" s="18" t="s">
        <v>256</v>
      </c>
      <c r="C35" s="18" t="s">
        <v>257</v>
      </c>
      <c r="D35" s="19" t="s">
        <v>258</v>
      </c>
    </row>
    <row r="36" spans="1:4" ht="15" customHeight="1" x14ac:dyDescent="0.25">
      <c r="A36" s="313" t="s">
        <v>157</v>
      </c>
      <c r="B36" s="314"/>
      <c r="C36" s="314"/>
      <c r="D36" s="315"/>
    </row>
    <row r="37" spans="1:4" x14ac:dyDescent="0.25">
      <c r="A37" s="20" t="s">
        <v>153</v>
      </c>
      <c r="B37" s="18" t="s">
        <v>237</v>
      </c>
      <c r="C37" s="18" t="s">
        <v>259</v>
      </c>
      <c r="D37" s="19" t="s">
        <v>260</v>
      </c>
    </row>
    <row r="38" spans="1:4" ht="15" customHeight="1" x14ac:dyDescent="0.25">
      <c r="A38" s="313" t="s">
        <v>158</v>
      </c>
      <c r="B38" s="314"/>
      <c r="C38" s="314"/>
      <c r="D38" s="315"/>
    </row>
    <row r="39" spans="1:4" x14ac:dyDescent="0.25">
      <c r="A39" s="20" t="s">
        <v>153</v>
      </c>
      <c r="B39" s="18" t="s">
        <v>261</v>
      </c>
      <c r="C39" s="18" t="s">
        <v>262</v>
      </c>
      <c r="D39" s="19" t="s">
        <v>263</v>
      </c>
    </row>
    <row r="40" spans="1:4" ht="15" customHeight="1" x14ac:dyDescent="0.25">
      <c r="A40" s="313" t="s">
        <v>159</v>
      </c>
      <c r="B40" s="314"/>
      <c r="C40" s="314"/>
      <c r="D40" s="315"/>
    </row>
    <row r="41" spans="1:4" x14ac:dyDescent="0.25">
      <c r="A41" s="20" t="s">
        <v>160</v>
      </c>
      <c r="B41" s="18" t="s">
        <v>264</v>
      </c>
      <c r="C41" s="18" t="s">
        <v>265</v>
      </c>
      <c r="D41" s="19" t="s">
        <v>266</v>
      </c>
    </row>
    <row r="42" spans="1:4" ht="15" customHeight="1" x14ac:dyDescent="0.25">
      <c r="A42" s="313" t="s">
        <v>161</v>
      </c>
      <c r="B42" s="314"/>
      <c r="C42" s="314"/>
      <c r="D42" s="315"/>
    </row>
    <row r="43" spans="1:4" ht="15.75" thickBot="1" x14ac:dyDescent="0.3">
      <c r="A43" s="21" t="s">
        <v>162</v>
      </c>
      <c r="B43" s="22" t="s">
        <v>247</v>
      </c>
      <c r="C43" s="22" t="s">
        <v>267</v>
      </c>
      <c r="D43" s="23" t="s">
        <v>268</v>
      </c>
    </row>
  </sheetData>
  <sheetProtection password="CDF6" sheet="1" objects="1" scenarios="1"/>
  <mergeCells count="14">
    <mergeCell ref="A42:D42"/>
    <mergeCell ref="B2:D2"/>
    <mergeCell ref="A28:D28"/>
    <mergeCell ref="A34:D34"/>
    <mergeCell ref="A32:D32"/>
    <mergeCell ref="A36:D36"/>
    <mergeCell ref="A38:D38"/>
    <mergeCell ref="A40:D40"/>
    <mergeCell ref="A4:D4"/>
    <mergeCell ref="A8:D8"/>
    <mergeCell ref="A12:D12"/>
    <mergeCell ref="A16:D16"/>
    <mergeCell ref="A20:D20"/>
    <mergeCell ref="A24:D2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Instructions</vt:lpstr>
      <vt:lpstr>Select Measures-High School</vt:lpstr>
      <vt:lpstr>Select Measures-Middle School</vt:lpstr>
      <vt:lpstr>Select Measures-Elementary Sch</vt:lpstr>
      <vt:lpstr>Reference Cut-points</vt:lpstr>
      <vt:lpstr>Instructions!Print_Area</vt:lpstr>
      <vt:lpstr>'Reference Cut-points'!Print_Area</vt:lpstr>
      <vt:lpstr>'Select Measures-Elementary Sch'!Print_Area</vt:lpstr>
      <vt:lpstr>'Select Measures-High School'!Print_Area</vt:lpstr>
      <vt:lpstr>'Select Measures-Middle School'!Print_Area</vt:lpstr>
      <vt:lpstr>'Select Measures-Elementary Sch'!Print_Titles</vt:lpstr>
      <vt:lpstr>'Select Measures-High School'!Print_Titles</vt:lpstr>
      <vt:lpstr>'Select Measures-Middle School'!Print_Titles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Jody Ernst</dc:creator>
  <cp:lastModifiedBy>Knevals, Jessica</cp:lastModifiedBy>
  <cp:lastPrinted>2014-05-07T16:57:49Z</cp:lastPrinted>
  <dcterms:created xsi:type="dcterms:W3CDTF">2011-02-24T22:40:03Z</dcterms:created>
  <dcterms:modified xsi:type="dcterms:W3CDTF">2014-07-01T18:11:01Z</dcterms:modified>
</cp:coreProperties>
</file>