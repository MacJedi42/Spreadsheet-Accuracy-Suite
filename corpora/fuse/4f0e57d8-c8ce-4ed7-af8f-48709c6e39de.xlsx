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codeName="ThisWorkbook" defaultThemeVersion="124226"/>
  <bookViews>
    <workbookView xWindow="4845" yWindow="5565" windowWidth="11340" windowHeight="2925" tabRatio="968" activeTab="4"/>
  </bookViews>
  <sheets>
    <sheet name="AEFLA" sheetId="1" r:id="rId1"/>
    <sheet name="MATH &amp; SCIENCE TITLE IIB" sheetId="9" r:id="rId2"/>
    <sheet name="21st CENTURY COHORT 5" sheetId="2" r:id="rId3"/>
    <sheet name="21s Century COHORT 6" sheetId="6" state="hidden" r:id="rId4"/>
    <sheet name="21st CENTURY CO 6" sheetId="40" r:id="rId5"/>
    <sheet name="HOMELESS" sheetId="3" r:id="rId6"/>
    <sheet name="CO GRAD PATHWAY" sheetId="15" r:id="rId7"/>
    <sheet name="TIG Cohort 1 Yr 4 " sheetId="33" r:id="rId8"/>
    <sheet name="TIG Cohort 2 Yr 3" sheetId="42" r:id="rId9"/>
    <sheet name="TIG Cohort 3 Yr 2" sheetId="35" r:id="rId10"/>
    <sheet name="TIG Cohort 4 Yr 1" sheetId="46" r:id="rId11"/>
    <sheet name="TDIP Cohort 1 Yr 4" sheetId="30" r:id="rId12"/>
    <sheet name="TDIP Cohort 2 Yr 3" sheetId="10" r:id="rId13"/>
    <sheet name="TDIP Cohort 3 Yr 1" sheetId="44" r:id="rId14"/>
    <sheet name="SIS " sheetId="45" r:id="rId15"/>
    <sheet name="UVA Leadership Pilot" sheetId="39" r:id="rId16"/>
    <sheet name="Abstinence Education" sheetId="23" r:id="rId17"/>
    <sheet name="Title V-B Charter Schools Pgrm" sheetId="8" r:id="rId18"/>
    <sheet name="SIS-Fulton" sheetId="47" r:id="rId19"/>
    <sheet name="El-Civics" sheetId="48" r:id="rId20"/>
    <sheet name="Gill Foundation" sheetId="49" r:id="rId21"/>
    <sheet name="RTTT Early Childhood" sheetId="50" r:id="rId22"/>
  </sheets>
  <calcPr calcId="125725"/>
</workbook>
</file>

<file path=xl/calcChain.xml><?xml version="1.0" encoding="utf-8"?>
<calcChain xmlns="http://schemas.openxmlformats.org/spreadsheetml/2006/main">
  <c r="P20" i="8"/>
  <c r="P35" s="1"/>
  <c r="V35"/>
  <c r="U35"/>
  <c r="T35"/>
  <c r="S35"/>
  <c r="R35"/>
  <c r="Q35"/>
  <c r="P26"/>
  <c r="P25"/>
  <c r="G30" i="15" l="1"/>
  <c r="G22"/>
  <c r="G21"/>
  <c r="G17"/>
  <c r="G16"/>
  <c r="G15"/>
  <c r="G14"/>
  <c r="G13"/>
  <c r="G12"/>
  <c r="Q16"/>
  <c r="F24" i="50"/>
  <c r="F104" s="1"/>
  <c r="R104"/>
  <c r="Q104"/>
  <c r="P104"/>
  <c r="O104"/>
  <c r="N104"/>
  <c r="M104"/>
  <c r="L104"/>
  <c r="K104"/>
  <c r="J104"/>
  <c r="I104"/>
  <c r="H104"/>
  <c r="G104"/>
  <c r="C104"/>
  <c r="E102"/>
  <c r="E98"/>
  <c r="E94"/>
  <c r="E90"/>
  <c r="E70"/>
  <c r="E50"/>
  <c r="E42"/>
  <c r="E34"/>
  <c r="E30"/>
  <c r="E26"/>
  <c r="E22"/>
  <c r="E18"/>
  <c r="D102"/>
  <c r="D101"/>
  <c r="E101" s="1"/>
  <c r="D100"/>
  <c r="E100" s="1"/>
  <c r="D99"/>
  <c r="E99" s="1"/>
  <c r="D98"/>
  <c r="D97"/>
  <c r="E97" s="1"/>
  <c r="D96"/>
  <c r="E96" s="1"/>
  <c r="D95"/>
  <c r="E95" s="1"/>
  <c r="D94"/>
  <c r="D93"/>
  <c r="E93" s="1"/>
  <c r="D92"/>
  <c r="E92" s="1"/>
  <c r="D91"/>
  <c r="E91" s="1"/>
  <c r="D90"/>
  <c r="D89"/>
  <c r="E89" s="1"/>
  <c r="D88"/>
  <c r="E88" s="1"/>
  <c r="D87"/>
  <c r="E87" s="1"/>
  <c r="D86"/>
  <c r="E86" s="1"/>
  <c r="D85"/>
  <c r="E85" s="1"/>
  <c r="D84"/>
  <c r="E84" s="1"/>
  <c r="D83"/>
  <c r="E83" s="1"/>
  <c r="D82"/>
  <c r="E82" s="1"/>
  <c r="D81"/>
  <c r="E81" s="1"/>
  <c r="D80"/>
  <c r="E80" s="1"/>
  <c r="D79"/>
  <c r="E79" s="1"/>
  <c r="D78"/>
  <c r="E78" s="1"/>
  <c r="D77"/>
  <c r="E77" s="1"/>
  <c r="D76"/>
  <c r="E76" s="1"/>
  <c r="D75"/>
  <c r="E75" s="1"/>
  <c r="D74"/>
  <c r="E74" s="1"/>
  <c r="D73"/>
  <c r="E73" s="1"/>
  <c r="D72"/>
  <c r="E72" s="1"/>
  <c r="D71"/>
  <c r="E71" s="1"/>
  <c r="D70"/>
  <c r="D69"/>
  <c r="E69" s="1"/>
  <c r="D68"/>
  <c r="E68" s="1"/>
  <c r="D67"/>
  <c r="E67" s="1"/>
  <c r="D66"/>
  <c r="E66" s="1"/>
  <c r="D65"/>
  <c r="E65" s="1"/>
  <c r="D64"/>
  <c r="E64" s="1"/>
  <c r="D63"/>
  <c r="E63" s="1"/>
  <c r="D62"/>
  <c r="E62" s="1"/>
  <c r="D61"/>
  <c r="E61" s="1"/>
  <c r="D60"/>
  <c r="E60" s="1"/>
  <c r="D59"/>
  <c r="E59" s="1"/>
  <c r="D58"/>
  <c r="E58" s="1"/>
  <c r="D57"/>
  <c r="E57" s="1"/>
  <c r="D56"/>
  <c r="E56" s="1"/>
  <c r="D55"/>
  <c r="E55" s="1"/>
  <c r="D54"/>
  <c r="E54" s="1"/>
  <c r="D53"/>
  <c r="E53" s="1"/>
  <c r="D52"/>
  <c r="E52" s="1"/>
  <c r="D51"/>
  <c r="E51" s="1"/>
  <c r="D50"/>
  <c r="D49"/>
  <c r="E49" s="1"/>
  <c r="D48"/>
  <c r="E48" s="1"/>
  <c r="D47"/>
  <c r="E47" s="1"/>
  <c r="D46"/>
  <c r="E46" s="1"/>
  <c r="D45"/>
  <c r="E45" s="1"/>
  <c r="D44"/>
  <c r="E44" s="1"/>
  <c r="D43"/>
  <c r="E43" s="1"/>
  <c r="D42"/>
  <c r="D41"/>
  <c r="E41" s="1"/>
  <c r="D40"/>
  <c r="E40" s="1"/>
  <c r="D39"/>
  <c r="E39" s="1"/>
  <c r="D38"/>
  <c r="E38" s="1"/>
  <c r="D37"/>
  <c r="E37" s="1"/>
  <c r="D36"/>
  <c r="E36" s="1"/>
  <c r="D35"/>
  <c r="E35" s="1"/>
  <c r="D34"/>
  <c r="D33"/>
  <c r="E33" s="1"/>
  <c r="D32"/>
  <c r="E32" s="1"/>
  <c r="D31"/>
  <c r="E31" s="1"/>
  <c r="D30"/>
  <c r="D29"/>
  <c r="E29" s="1"/>
  <c r="D28"/>
  <c r="E28" s="1"/>
  <c r="D27"/>
  <c r="E27" s="1"/>
  <c r="D26"/>
  <c r="D25"/>
  <c r="E25" s="1"/>
  <c r="D24"/>
  <c r="E24" s="1"/>
  <c r="D23"/>
  <c r="E23" s="1"/>
  <c r="D22"/>
  <c r="D21"/>
  <c r="E21" s="1"/>
  <c r="D20"/>
  <c r="E20" s="1"/>
  <c r="D19"/>
  <c r="E19" s="1"/>
  <c r="D18"/>
  <c r="D17"/>
  <c r="E17" s="1"/>
  <c r="D16"/>
  <c r="E16" s="1"/>
  <c r="D15"/>
  <c r="E15" s="1"/>
  <c r="D14"/>
  <c r="E14" s="1"/>
  <c r="D13"/>
  <c r="E13" s="1"/>
  <c r="D12"/>
  <c r="E12" s="1"/>
  <c r="D11"/>
  <c r="E11" s="1"/>
  <c r="N2"/>
  <c r="N1"/>
  <c r="C18" i="49"/>
  <c r="E18" s="1"/>
  <c r="D18"/>
  <c r="D16"/>
  <c r="E16" s="1"/>
  <c r="D15"/>
  <c r="E15" s="1"/>
  <c r="D14"/>
  <c r="E14" s="1"/>
  <c r="D13"/>
  <c r="E13" s="1"/>
  <c r="D12"/>
  <c r="E12" s="1"/>
  <c r="D11"/>
  <c r="E11" s="1"/>
  <c r="I2"/>
  <c r="I1"/>
  <c r="E104" i="50" l="1"/>
  <c r="D104"/>
  <c r="O18" i="8"/>
  <c r="G18" s="1"/>
  <c r="I18" s="1"/>
  <c r="O11"/>
  <c r="G33"/>
  <c r="I33" s="1"/>
  <c r="G31"/>
  <c r="I31" s="1"/>
  <c r="G25"/>
  <c r="I25" s="1"/>
  <c r="G32"/>
  <c r="I32" s="1"/>
  <c r="G27"/>
  <c r="I27" s="1"/>
  <c r="G26"/>
  <c r="I26" s="1"/>
  <c r="G24"/>
  <c r="I24" s="1"/>
  <c r="G23"/>
  <c r="I23" s="1"/>
  <c r="G34"/>
  <c r="I34" s="1"/>
  <c r="G20"/>
  <c r="I20" s="1"/>
  <c r="G21"/>
  <c r="I21" s="1"/>
  <c r="G19"/>
  <c r="I19" s="1"/>
  <c r="G17"/>
  <c r="I17" s="1"/>
  <c r="G16"/>
  <c r="I16" s="1"/>
  <c r="G15"/>
  <c r="I15" s="1"/>
  <c r="G14"/>
  <c r="I14" s="1"/>
  <c r="G28"/>
  <c r="I28" s="1"/>
  <c r="G13"/>
  <c r="I13" s="1"/>
  <c r="G12"/>
  <c r="I12" s="1"/>
  <c r="G29"/>
  <c r="I29" s="1"/>
  <c r="G22"/>
  <c r="I22" s="1"/>
  <c r="F35" l="1"/>
  <c r="T26" i="48"/>
  <c r="S26"/>
  <c r="R26"/>
  <c r="Q26"/>
  <c r="P26"/>
  <c r="O26"/>
  <c r="N26"/>
  <c r="M26"/>
  <c r="L26"/>
  <c r="K26"/>
  <c r="J26"/>
  <c r="I26"/>
  <c r="H26"/>
  <c r="G26"/>
  <c r="F26"/>
  <c r="C26"/>
  <c r="D25"/>
  <c r="E25" s="1"/>
  <c r="D24"/>
  <c r="E24" s="1"/>
  <c r="E23"/>
  <c r="D23"/>
  <c r="D22"/>
  <c r="E22" s="1"/>
  <c r="D21"/>
  <c r="E21" s="1"/>
  <c r="D20"/>
  <c r="E20" s="1"/>
  <c r="E19"/>
  <c r="D19"/>
  <c r="D18"/>
  <c r="E18" s="1"/>
  <c r="E17"/>
  <c r="D17"/>
  <c r="E16"/>
  <c r="D16"/>
  <c r="D15"/>
  <c r="E15" s="1"/>
  <c r="D14"/>
  <c r="E14" s="1"/>
  <c r="D13"/>
  <c r="E13" s="1"/>
  <c r="D12"/>
  <c r="Q2"/>
  <c r="H2"/>
  <c r="Q1"/>
  <c r="H1"/>
  <c r="D11" i="47"/>
  <c r="E11" s="1"/>
  <c r="F2"/>
  <c r="F1"/>
  <c r="M14" i="42"/>
  <c r="M13"/>
  <c r="P47" i="40"/>
  <c r="E28" i="1"/>
  <c r="D28"/>
  <c r="D16" i="33"/>
  <c r="E16" s="1"/>
  <c r="D15"/>
  <c r="E15" s="1"/>
  <c r="N30" i="8"/>
  <c r="G30" s="1"/>
  <c r="I30" s="1"/>
  <c r="N20" i="45"/>
  <c r="O37" i="40"/>
  <c r="I14" i="23"/>
  <c r="K13" i="44"/>
  <c r="D12" i="42"/>
  <c r="E12" s="1"/>
  <c r="D26" i="48" l="1"/>
  <c r="E12"/>
  <c r="E26" s="1"/>
  <c r="K12" i="3"/>
  <c r="K13" i="9"/>
  <c r="G16" i="40"/>
  <c r="H16" s="1"/>
  <c r="F16"/>
  <c r="H13" i="23"/>
  <c r="K17" i="9"/>
  <c r="G14" i="2" l="1"/>
  <c r="G15"/>
  <c r="G16"/>
  <c r="G17"/>
  <c r="G18"/>
  <c r="G19"/>
  <c r="G20"/>
  <c r="G21"/>
  <c r="G22"/>
  <c r="G23"/>
  <c r="G24"/>
  <c r="G25"/>
  <c r="G26"/>
  <c r="G27"/>
  <c r="G28"/>
  <c r="G29"/>
  <c r="G30"/>
  <c r="G32"/>
  <c r="G33"/>
  <c r="G34"/>
  <c r="G35"/>
  <c r="G36"/>
  <c r="G37"/>
  <c r="G38"/>
  <c r="G39"/>
  <c r="G40"/>
  <c r="G41"/>
  <c r="G13"/>
  <c r="K20" i="9"/>
  <c r="M31" i="2"/>
  <c r="G31" s="1"/>
  <c r="J13" i="44"/>
  <c r="J30" i="1"/>
  <c r="J25"/>
  <c r="C48"/>
  <c r="I38"/>
  <c r="I16" i="9"/>
  <c r="I26" i="3"/>
  <c r="L43" i="2" l="1"/>
  <c r="G43" s="1"/>
  <c r="L42"/>
  <c r="G42" s="1"/>
  <c r="I41" i="1"/>
  <c r="I37"/>
  <c r="I18"/>
  <c r="W49" i="40"/>
  <c r="V49"/>
  <c r="U49"/>
  <c r="T49"/>
  <c r="S49"/>
  <c r="R49"/>
  <c r="Q49"/>
  <c r="P49"/>
  <c r="O49"/>
  <c r="N49"/>
  <c r="M49"/>
  <c r="D49"/>
  <c r="E49"/>
  <c r="L45"/>
  <c r="G43"/>
  <c r="H43" s="1"/>
  <c r="G44"/>
  <c r="H44" s="1"/>
  <c r="G46"/>
  <c r="H46" s="1"/>
  <c r="G47"/>
  <c r="H47" s="1"/>
  <c r="F45"/>
  <c r="F46"/>
  <c r="F47"/>
  <c r="L49" l="1"/>
  <c r="E12" i="45"/>
  <c r="F12" s="1"/>
  <c r="E13"/>
  <c r="F13" s="1"/>
  <c r="E14"/>
  <c r="F14" s="1"/>
  <c r="E15"/>
  <c r="F15" s="1"/>
  <c r="E16"/>
  <c r="F16" s="1"/>
  <c r="E17"/>
  <c r="F17" s="1"/>
  <c r="E18"/>
  <c r="F18" s="1"/>
  <c r="E19"/>
  <c r="F19" s="1"/>
  <c r="E20"/>
  <c r="F20" s="1"/>
  <c r="E21"/>
  <c r="F21" s="1"/>
  <c r="E22"/>
  <c r="F22" s="1"/>
  <c r="E23"/>
  <c r="F23" s="1"/>
  <c r="E24"/>
  <c r="F24" s="1"/>
  <c r="E25"/>
  <c r="F25" s="1"/>
  <c r="E26"/>
  <c r="F26" s="1"/>
  <c r="E27"/>
  <c r="F27" s="1"/>
  <c r="E28"/>
  <c r="F28" s="1"/>
  <c r="E29"/>
  <c r="F29" s="1"/>
  <c r="E30"/>
  <c r="F30" s="1"/>
  <c r="E31"/>
  <c r="F31" s="1"/>
  <c r="E32"/>
  <c r="F32" s="1"/>
  <c r="E33"/>
  <c r="F33" s="1"/>
  <c r="E34"/>
  <c r="F34" s="1"/>
  <c r="E35"/>
  <c r="F35" s="1"/>
  <c r="E36"/>
  <c r="F36" s="1"/>
  <c r="E37"/>
  <c r="F37" s="1"/>
  <c r="E38"/>
  <c r="F38" s="1"/>
  <c r="E39"/>
  <c r="F39" s="1"/>
  <c r="E40"/>
  <c r="F40" s="1"/>
  <c r="E41"/>
  <c r="F41" s="1"/>
  <c r="E42"/>
  <c r="F42" s="1"/>
  <c r="E43"/>
  <c r="F43" s="1"/>
  <c r="E44"/>
  <c r="F44" s="1"/>
  <c r="E45"/>
  <c r="F45" s="1"/>
  <c r="E46"/>
  <c r="F46" s="1"/>
  <c r="E47"/>
  <c r="F47" s="1"/>
  <c r="E11"/>
  <c r="F11" s="1"/>
  <c r="M50"/>
  <c r="N50"/>
  <c r="O50"/>
  <c r="P50"/>
  <c r="Q50"/>
  <c r="R50"/>
  <c r="S50"/>
  <c r="T50"/>
  <c r="U50"/>
  <c r="V50"/>
  <c r="D12" i="44"/>
  <c r="E12" s="1"/>
  <c r="D13"/>
  <c r="E13" s="1"/>
  <c r="D14"/>
  <c r="D11"/>
  <c r="P16"/>
  <c r="Q16"/>
  <c r="R16"/>
  <c r="S16"/>
  <c r="T16"/>
  <c r="D11" i="10"/>
  <c r="P13"/>
  <c r="Q13"/>
  <c r="R13"/>
  <c r="S13"/>
  <c r="T13"/>
  <c r="D11" i="30"/>
  <c r="D12"/>
  <c r="E12" s="1"/>
  <c r="D13"/>
  <c r="D14"/>
  <c r="D15"/>
  <c r="D16"/>
  <c r="D17"/>
  <c r="D18"/>
  <c r="R23"/>
  <c r="S23"/>
  <c r="T23"/>
  <c r="E13" i="39"/>
  <c r="S15"/>
  <c r="T15"/>
  <c r="U15"/>
  <c r="Q18" i="35"/>
  <c r="R18"/>
  <c r="S18"/>
  <c r="T18"/>
  <c r="T25" i="46"/>
  <c r="S25"/>
  <c r="R25"/>
  <c r="Q25"/>
  <c r="P25"/>
  <c r="O25"/>
  <c r="N25"/>
  <c r="M25"/>
  <c r="L25"/>
  <c r="K25"/>
  <c r="J25"/>
  <c r="I25"/>
  <c r="H25"/>
  <c r="G25"/>
  <c r="F25"/>
  <c r="C25"/>
  <c r="D23"/>
  <c r="E23" s="1"/>
  <c r="D22"/>
  <c r="E22" s="1"/>
  <c r="D21"/>
  <c r="E21" s="1"/>
  <c r="D20"/>
  <c r="E20" s="1"/>
  <c r="D19"/>
  <c r="E19" s="1"/>
  <c r="D18"/>
  <c r="E18" s="1"/>
  <c r="D17"/>
  <c r="E17" s="1"/>
  <c r="D16"/>
  <c r="E16" s="1"/>
  <c r="D14"/>
  <c r="E14" s="1"/>
  <c r="D15"/>
  <c r="E15" s="1"/>
  <c r="D12"/>
  <c r="E12" s="1"/>
  <c r="D13"/>
  <c r="D11"/>
  <c r="E11" s="1"/>
  <c r="Q2"/>
  <c r="J2"/>
  <c r="Q1"/>
  <c r="J1"/>
  <c r="D25" l="1"/>
  <c r="E13"/>
  <c r="E25" s="1"/>
  <c r="I34" i="1"/>
  <c r="I48" s="1"/>
  <c r="G48"/>
  <c r="H48"/>
  <c r="J48"/>
  <c r="K48"/>
  <c r="L48"/>
  <c r="M48"/>
  <c r="N48"/>
  <c r="O48"/>
  <c r="P48"/>
  <c r="Q48"/>
  <c r="R48"/>
  <c r="S48"/>
  <c r="T48"/>
  <c r="F48"/>
  <c r="D43"/>
  <c r="E43" s="1"/>
  <c r="D44"/>
  <c r="E44" s="1"/>
  <c r="D45"/>
  <c r="E45" s="1"/>
  <c r="D46"/>
  <c r="E46" s="1"/>
  <c r="F40" i="2" l="1"/>
  <c r="F13"/>
  <c r="F43"/>
  <c r="F42"/>
  <c r="F41"/>
  <c r="F39"/>
  <c r="F38"/>
  <c r="F37"/>
  <c r="F36"/>
  <c r="F35"/>
  <c r="H35" s="1"/>
  <c r="F34"/>
  <c r="F33"/>
  <c r="F32"/>
  <c r="F31"/>
  <c r="F30"/>
  <c r="F29"/>
  <c r="F28"/>
  <c r="F27"/>
  <c r="H27" s="1"/>
  <c r="F26"/>
  <c r="F25"/>
  <c r="F24"/>
  <c r="F23"/>
  <c r="F22"/>
  <c r="F21"/>
  <c r="H21" s="1"/>
  <c r="F20"/>
  <c r="F19"/>
  <c r="F18"/>
  <c r="F17"/>
  <c r="F16"/>
  <c r="H16" s="1"/>
  <c r="F15"/>
  <c r="F14"/>
  <c r="D45"/>
  <c r="I2" i="39"/>
  <c r="G2" i="23"/>
  <c r="F44" i="40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5"/>
  <c r="F14"/>
  <c r="F13"/>
  <c r="D32" i="15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H26" i="2" l="1"/>
  <c r="H15"/>
  <c r="H17"/>
  <c r="H25"/>
  <c r="H20"/>
  <c r="H28"/>
  <c r="H36"/>
  <c r="H39"/>
  <c r="H24"/>
  <c r="H32"/>
  <c r="H40"/>
  <c r="H33"/>
  <c r="H13"/>
  <c r="H29"/>
  <c r="H37"/>
  <c r="H14"/>
  <c r="H22"/>
  <c r="H30"/>
  <c r="H38"/>
  <c r="H19"/>
  <c r="H23"/>
  <c r="H31"/>
  <c r="H43"/>
  <c r="H41"/>
  <c r="H18"/>
  <c r="H34"/>
  <c r="H42"/>
  <c r="E32" i="15"/>
  <c r="F49" i="40"/>
  <c r="I45" i="2"/>
  <c r="J45"/>
  <c r="K45"/>
  <c r="M45"/>
  <c r="N45"/>
  <c r="R45"/>
  <c r="S45"/>
  <c r="T45"/>
  <c r="U45"/>
  <c r="V45"/>
  <c r="W45"/>
  <c r="L50" i="45"/>
  <c r="K50"/>
  <c r="J50"/>
  <c r="I50"/>
  <c r="H50"/>
  <c r="G50"/>
  <c r="D50"/>
  <c r="E14" i="44"/>
  <c r="O16"/>
  <c r="N16"/>
  <c r="M16"/>
  <c r="L16"/>
  <c r="K16"/>
  <c r="J16"/>
  <c r="I16"/>
  <c r="H16"/>
  <c r="G16"/>
  <c r="F16"/>
  <c r="C16"/>
  <c r="F2"/>
  <c r="F1"/>
  <c r="D13" i="9"/>
  <c r="E13" s="1"/>
  <c r="L32" i="15"/>
  <c r="T19" i="42"/>
  <c r="S19"/>
  <c r="R19"/>
  <c r="Q19"/>
  <c r="P19"/>
  <c r="O19"/>
  <c r="N19"/>
  <c r="M19"/>
  <c r="K19"/>
  <c r="J19"/>
  <c r="I19"/>
  <c r="H19"/>
  <c r="G19"/>
  <c r="F19"/>
  <c r="C19"/>
  <c r="D16"/>
  <c r="E16" s="1"/>
  <c r="D17"/>
  <c r="E17" s="1"/>
  <c r="D15"/>
  <c r="E15" s="1"/>
  <c r="D14"/>
  <c r="E14" s="1"/>
  <c r="L19"/>
  <c r="D11"/>
  <c r="E11" s="1"/>
  <c r="Q2"/>
  <c r="J2"/>
  <c r="Q1"/>
  <c r="J1"/>
  <c r="D13"/>
  <c r="E13" s="1"/>
  <c r="N35" i="8"/>
  <c r="M35"/>
  <c r="L35"/>
  <c r="H35"/>
  <c r="M27" i="33"/>
  <c r="AD45" i="40"/>
  <c r="AC45"/>
  <c r="AB45"/>
  <c r="AA45"/>
  <c r="Z45"/>
  <c r="Y45"/>
  <c r="X45"/>
  <c r="K49"/>
  <c r="J49"/>
  <c r="I49"/>
  <c r="G41"/>
  <c r="H41" s="1"/>
  <c r="G40"/>
  <c r="H40" s="1"/>
  <c r="G39"/>
  <c r="H39" s="1"/>
  <c r="G38"/>
  <c r="H38" s="1"/>
  <c r="G37"/>
  <c r="H37" s="1"/>
  <c r="G36"/>
  <c r="H36" s="1"/>
  <c r="G35"/>
  <c r="H35" s="1"/>
  <c r="G34"/>
  <c r="H34" s="1"/>
  <c r="G33"/>
  <c r="H33" s="1"/>
  <c r="G32"/>
  <c r="H32" s="1"/>
  <c r="G31"/>
  <c r="H31" s="1"/>
  <c r="G30"/>
  <c r="H30" s="1"/>
  <c r="G29"/>
  <c r="H29" s="1"/>
  <c r="G28"/>
  <c r="H28" s="1"/>
  <c r="G27"/>
  <c r="H27" s="1"/>
  <c r="G26"/>
  <c r="H26" s="1"/>
  <c r="G25"/>
  <c r="H25" s="1"/>
  <c r="G24"/>
  <c r="H24" s="1"/>
  <c r="G23"/>
  <c r="H23" s="1"/>
  <c r="G22"/>
  <c r="H22" s="1"/>
  <c r="G21"/>
  <c r="H21" s="1"/>
  <c r="G20"/>
  <c r="H20" s="1"/>
  <c r="G19"/>
  <c r="H19" s="1"/>
  <c r="G18"/>
  <c r="H18" s="1"/>
  <c r="G17"/>
  <c r="H17" s="1"/>
  <c r="G15"/>
  <c r="H15" s="1"/>
  <c r="G14"/>
  <c r="H14" s="1"/>
  <c r="G13"/>
  <c r="G42"/>
  <c r="H42" s="1"/>
  <c r="Q45" i="2"/>
  <c r="D13" i="23"/>
  <c r="E13" s="1"/>
  <c r="K16"/>
  <c r="D15" i="9"/>
  <c r="E15" s="1"/>
  <c r="G11" i="8"/>
  <c r="I11" s="1"/>
  <c r="O35"/>
  <c r="Q16" i="23"/>
  <c r="P16"/>
  <c r="O16"/>
  <c r="N16"/>
  <c r="M16"/>
  <c r="L16"/>
  <c r="I16"/>
  <c r="J16"/>
  <c r="P45" i="2"/>
  <c r="O45"/>
  <c r="K30" i="3"/>
  <c r="D12" i="9"/>
  <c r="E12" s="1"/>
  <c r="H16" i="23"/>
  <c r="D15" i="35"/>
  <c r="E15" s="1"/>
  <c r="D13"/>
  <c r="E13" s="1"/>
  <c r="F13" i="39"/>
  <c r="D15"/>
  <c r="E12"/>
  <c r="F12" s="1"/>
  <c r="E11"/>
  <c r="F11" s="1"/>
  <c r="R15"/>
  <c r="H15"/>
  <c r="I15"/>
  <c r="J15"/>
  <c r="K15"/>
  <c r="L15"/>
  <c r="M15"/>
  <c r="N15"/>
  <c r="O15"/>
  <c r="P15"/>
  <c r="Q15"/>
  <c r="G15"/>
  <c r="C18" i="35"/>
  <c r="P18"/>
  <c r="O18"/>
  <c r="N18"/>
  <c r="M18"/>
  <c r="L18"/>
  <c r="K18"/>
  <c r="J18"/>
  <c r="I18"/>
  <c r="H18"/>
  <c r="G18"/>
  <c r="F18"/>
  <c r="D11"/>
  <c r="E11" s="1"/>
  <c r="D12"/>
  <c r="E12" s="1"/>
  <c r="D16"/>
  <c r="E16" s="1"/>
  <c r="D14"/>
  <c r="E14" s="1"/>
  <c r="M2"/>
  <c r="F2"/>
  <c r="M1"/>
  <c r="F1"/>
  <c r="O13" i="10"/>
  <c r="N13"/>
  <c r="M13"/>
  <c r="L13"/>
  <c r="K13"/>
  <c r="J13"/>
  <c r="I13"/>
  <c r="H13"/>
  <c r="G13"/>
  <c r="F13"/>
  <c r="C13"/>
  <c r="E11"/>
  <c r="E13" s="1"/>
  <c r="F2"/>
  <c r="F1"/>
  <c r="T27" i="33"/>
  <c r="S27"/>
  <c r="R27"/>
  <c r="Q27"/>
  <c r="O27"/>
  <c r="N27"/>
  <c r="L27"/>
  <c r="K27"/>
  <c r="J27"/>
  <c r="I27"/>
  <c r="H27"/>
  <c r="G27"/>
  <c r="F27"/>
  <c r="C27"/>
  <c r="D25"/>
  <c r="E25" s="1"/>
  <c r="P27"/>
  <c r="D24"/>
  <c r="E24" s="1"/>
  <c r="D23"/>
  <c r="E23" s="1"/>
  <c r="D22"/>
  <c r="E22" s="1"/>
  <c r="D21"/>
  <c r="E21" s="1"/>
  <c r="D20"/>
  <c r="E20" s="1"/>
  <c r="D19"/>
  <c r="E19" s="1"/>
  <c r="D11"/>
  <c r="E11" s="1"/>
  <c r="D12"/>
  <c r="E12" s="1"/>
  <c r="D17"/>
  <c r="E17" s="1"/>
  <c r="D14"/>
  <c r="E14" s="1"/>
  <c r="D13"/>
  <c r="E13" s="1"/>
  <c r="Q2"/>
  <c r="J2"/>
  <c r="Q1"/>
  <c r="J1"/>
  <c r="F23" i="30"/>
  <c r="G23"/>
  <c r="H23"/>
  <c r="E18"/>
  <c r="H32" i="15"/>
  <c r="I32"/>
  <c r="J32"/>
  <c r="K32"/>
  <c r="M32"/>
  <c r="N32"/>
  <c r="O32"/>
  <c r="P32"/>
  <c r="Q32"/>
  <c r="R32"/>
  <c r="S32"/>
  <c r="T32"/>
  <c r="U32"/>
  <c r="V32"/>
  <c r="W32"/>
  <c r="D32" i="1"/>
  <c r="Q23" i="30"/>
  <c r="P23"/>
  <c r="O23"/>
  <c r="N23"/>
  <c r="M23"/>
  <c r="L23"/>
  <c r="K23"/>
  <c r="J23"/>
  <c r="I23"/>
  <c r="C23"/>
  <c r="D21"/>
  <c r="E21" s="1"/>
  <c r="D20"/>
  <c r="E20" s="1"/>
  <c r="E17"/>
  <c r="E16"/>
  <c r="E15"/>
  <c r="E14"/>
  <c r="E11"/>
  <c r="D19"/>
  <c r="E19" s="1"/>
  <c r="E13"/>
  <c r="L2"/>
  <c r="G2"/>
  <c r="L1"/>
  <c r="G1"/>
  <c r="L45" i="2"/>
  <c r="D22" i="1"/>
  <c r="E22" s="1"/>
  <c r="I30" i="3"/>
  <c r="T2" i="2"/>
  <c r="J2" i="3"/>
  <c r="T1" i="2"/>
  <c r="L2"/>
  <c r="L1"/>
  <c r="F30" i="15"/>
  <c r="F27"/>
  <c r="G27" s="1"/>
  <c r="F21"/>
  <c r="F15"/>
  <c r="F22"/>
  <c r="F13"/>
  <c r="F28"/>
  <c r="G28" s="1"/>
  <c r="D33" i="1"/>
  <c r="E33" s="1"/>
  <c r="D12"/>
  <c r="E12" s="1"/>
  <c r="F19" i="15"/>
  <c r="G19" s="1"/>
  <c r="F20"/>
  <c r="G20" s="1"/>
  <c r="F14"/>
  <c r="D13" i="3"/>
  <c r="E13" s="1"/>
  <c r="D14"/>
  <c r="E14" s="1"/>
  <c r="D16"/>
  <c r="E16" s="1"/>
  <c r="D18"/>
  <c r="D26"/>
  <c r="E26" s="1"/>
  <c r="D19"/>
  <c r="E19" s="1"/>
  <c r="D20"/>
  <c r="E20" s="1"/>
  <c r="D21"/>
  <c r="E21" s="1"/>
  <c r="D23"/>
  <c r="E23" s="1"/>
  <c r="D25"/>
  <c r="E25" s="1"/>
  <c r="D22"/>
  <c r="E22" s="1"/>
  <c r="D24"/>
  <c r="E24" s="1"/>
  <c r="D15"/>
  <c r="E15" s="1"/>
  <c r="D27"/>
  <c r="E27" s="1"/>
  <c r="F16" i="15"/>
  <c r="F17"/>
  <c r="F18"/>
  <c r="G18" s="1"/>
  <c r="F23"/>
  <c r="G23" s="1"/>
  <c r="F24"/>
  <c r="G24" s="1"/>
  <c r="F25"/>
  <c r="G25" s="1"/>
  <c r="F26"/>
  <c r="G26" s="1"/>
  <c r="F29"/>
  <c r="G29" s="1"/>
  <c r="F12"/>
  <c r="C32"/>
  <c r="D14" i="23"/>
  <c r="E14" s="1"/>
  <c r="F16"/>
  <c r="G16"/>
  <c r="C16"/>
  <c r="N2"/>
  <c r="N1"/>
  <c r="G1"/>
  <c r="L1" i="8"/>
  <c r="S2" i="15"/>
  <c r="M2"/>
  <c r="S1"/>
  <c r="M1"/>
  <c r="D16" i="9"/>
  <c r="E16" s="1"/>
  <c r="D17"/>
  <c r="E17" s="1"/>
  <c r="D18"/>
  <c r="E18" s="1"/>
  <c r="T20"/>
  <c r="S20"/>
  <c r="R20"/>
  <c r="Q20"/>
  <c r="P20"/>
  <c r="O20"/>
  <c r="N20"/>
  <c r="M20"/>
  <c r="L20"/>
  <c r="J20"/>
  <c r="I20"/>
  <c r="H20"/>
  <c r="G20"/>
  <c r="F20"/>
  <c r="C20"/>
  <c r="D14"/>
  <c r="E14" s="1"/>
  <c r="J2"/>
  <c r="J1"/>
  <c r="Q2" i="1"/>
  <c r="Q1"/>
  <c r="H2"/>
  <c r="H1"/>
  <c r="S2" i="8"/>
  <c r="L2"/>
  <c r="S1"/>
  <c r="T30" i="3"/>
  <c r="S30"/>
  <c r="R30"/>
  <c r="Q30"/>
  <c r="P30"/>
  <c r="O30"/>
  <c r="N30"/>
  <c r="M30"/>
  <c r="L30"/>
  <c r="J30"/>
  <c r="H30"/>
  <c r="G30"/>
  <c r="F30"/>
  <c r="D12"/>
  <c r="E12" s="1"/>
  <c r="BE42" i="6"/>
  <c r="BD42"/>
  <c r="BC42"/>
  <c r="BB42"/>
  <c r="BA42"/>
  <c r="AZ42"/>
  <c r="AY42"/>
  <c r="AX42"/>
  <c r="AW42"/>
  <c r="AV42"/>
  <c r="AU42"/>
  <c r="AT42"/>
  <c r="AS42"/>
  <c r="AR42"/>
  <c r="AQ42"/>
  <c r="AP42"/>
  <c r="AO42"/>
  <c r="AN42"/>
  <c r="AM42"/>
  <c r="AL42"/>
  <c r="AK42"/>
  <c r="AJ42"/>
  <c r="AI42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C42"/>
  <c r="D41"/>
  <c r="E41" s="1"/>
  <c r="D40"/>
  <c r="E40" s="1"/>
  <c r="D39"/>
  <c r="E39" s="1"/>
  <c r="D38"/>
  <c r="E38" s="1"/>
  <c r="D37"/>
  <c r="E37" s="1"/>
  <c r="D36"/>
  <c r="E36" s="1"/>
  <c r="D35"/>
  <c r="E35" s="1"/>
  <c r="D34"/>
  <c r="E34" s="1"/>
  <c r="D33"/>
  <c r="E33" s="1"/>
  <c r="D32"/>
  <c r="E32" s="1"/>
  <c r="D31"/>
  <c r="E31" s="1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D21"/>
  <c r="E21" s="1"/>
  <c r="D20"/>
  <c r="E20" s="1"/>
  <c r="D19"/>
  <c r="E19" s="1"/>
  <c r="D18"/>
  <c r="E18" s="1"/>
  <c r="D17"/>
  <c r="E17" s="1"/>
  <c r="D16"/>
  <c r="E16" s="1"/>
  <c r="D15"/>
  <c r="E15" s="1"/>
  <c r="D14"/>
  <c r="E14" s="1"/>
  <c r="D13"/>
  <c r="E13" s="1"/>
  <c r="D12"/>
  <c r="E12" s="1"/>
  <c r="D11"/>
  <c r="E11" s="1"/>
  <c r="AS45" i="2"/>
  <c r="AR45"/>
  <c r="AQ45"/>
  <c r="AP45"/>
  <c r="AO45"/>
  <c r="AN45"/>
  <c r="AM45"/>
  <c r="AL45"/>
  <c r="AK45"/>
  <c r="AJ45"/>
  <c r="AI45"/>
  <c r="AH45"/>
  <c r="AG45"/>
  <c r="AF45"/>
  <c r="AE45"/>
  <c r="AD45"/>
  <c r="AC45"/>
  <c r="AB45"/>
  <c r="AA45"/>
  <c r="Z45"/>
  <c r="Y45"/>
  <c r="X45"/>
  <c r="D42" i="1"/>
  <c r="E42" s="1"/>
  <c r="D41"/>
  <c r="E41" s="1"/>
  <c r="D40"/>
  <c r="E40" s="1"/>
  <c r="D39"/>
  <c r="E39" s="1"/>
  <c r="D38"/>
  <c r="E38" s="1"/>
  <c r="D37"/>
  <c r="E37" s="1"/>
  <c r="D36"/>
  <c r="E36" s="1"/>
  <c r="D35"/>
  <c r="E35" s="1"/>
  <c r="D34"/>
  <c r="E34" s="1"/>
  <c r="D31"/>
  <c r="E31" s="1"/>
  <c r="D30"/>
  <c r="E30" s="1"/>
  <c r="D29"/>
  <c r="E29" s="1"/>
  <c r="D27"/>
  <c r="E27" s="1"/>
  <c r="D26"/>
  <c r="E26" s="1"/>
  <c r="D25"/>
  <c r="E25" s="1"/>
  <c r="D24"/>
  <c r="E24" s="1"/>
  <c r="D23"/>
  <c r="E23" s="1"/>
  <c r="D21"/>
  <c r="E21" s="1"/>
  <c r="D20"/>
  <c r="E20" s="1"/>
  <c r="D18"/>
  <c r="E18" s="1"/>
  <c r="D17"/>
  <c r="E17" s="1"/>
  <c r="D16"/>
  <c r="E16" s="1"/>
  <c r="D15"/>
  <c r="E15" s="1"/>
  <c r="D14"/>
  <c r="E14" s="1"/>
  <c r="D13"/>
  <c r="D11"/>
  <c r="E11" s="1"/>
  <c r="C30" i="3"/>
  <c r="K35" i="8"/>
  <c r="E13" i="1" l="1"/>
  <c r="H13" i="40"/>
  <c r="D42" i="6"/>
  <c r="G45" i="40"/>
  <c r="H45" s="1"/>
  <c r="E32" i="1"/>
  <c r="D16" i="44"/>
  <c r="D12" i="23"/>
  <c r="E12" s="1"/>
  <c r="E16" s="1"/>
  <c r="E42" i="6"/>
  <c r="F50" i="45"/>
  <c r="E11" i="44"/>
  <c r="E16" s="1"/>
  <c r="D19" i="1"/>
  <c r="E19" s="1"/>
  <c r="D17" i="3"/>
  <c r="E17" s="1"/>
  <c r="I35" i="8"/>
  <c r="E15" i="39"/>
  <c r="D13" i="10"/>
  <c r="F15" i="39"/>
  <c r="E18" i="3"/>
  <c r="E50" i="45"/>
  <c r="D19" i="42"/>
  <c r="E19"/>
  <c r="D20" i="9"/>
  <c r="E20"/>
  <c r="G32" i="15"/>
  <c r="F32"/>
  <c r="F45" i="2"/>
  <c r="H45"/>
  <c r="D23" i="30"/>
  <c r="E23"/>
  <c r="D27" i="33"/>
  <c r="D18" i="35"/>
  <c r="E18"/>
  <c r="E27" i="33"/>
  <c r="D48" i="1" l="1"/>
  <c r="E48"/>
  <c r="G35" i="8"/>
  <c r="G49" i="40"/>
  <c r="D16" i="23"/>
  <c r="H49" i="40"/>
  <c r="E30" i="3"/>
  <c r="D30"/>
</calcChain>
</file>

<file path=xl/comments1.xml><?xml version="1.0" encoding="utf-8"?>
<comments xmlns="http://schemas.openxmlformats.org/spreadsheetml/2006/main">
  <authors>
    <author>Moreno, Sharon</author>
    <author>Kahle, Tim</author>
  </authors>
  <commentList>
    <comment ref="N26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This is a duplicate; was pd twice, both 11 &amp; 12/12.</t>
        </r>
      </text>
    </comment>
    <comment ref="Q42" authorId="1">
      <text>
        <r>
          <rPr>
            <b/>
            <sz val="9"/>
            <color indexed="81"/>
            <rFont val="Tahoma"/>
            <family val="2"/>
          </rPr>
          <t>Includes payment from Nov in amount of $6,751 which was miscoded and paid to wrong organization. TK 3/26/13</t>
        </r>
      </text>
    </comment>
    <comment ref="Q43" authorId="1">
      <text>
        <r>
          <rPr>
            <b/>
            <sz val="9"/>
            <color indexed="81"/>
            <rFont val="Tahoma"/>
            <family val="2"/>
          </rPr>
          <t>Includes payment from Nov in amount of $5,353 which was miscoded and paid to wrong organization. TK 3/26/13</t>
        </r>
      </text>
    </comment>
  </commentList>
</comments>
</file>

<file path=xl/sharedStrings.xml><?xml version="1.0" encoding="utf-8"?>
<sst xmlns="http://schemas.openxmlformats.org/spreadsheetml/2006/main" count="1505" uniqueCount="709">
  <si>
    <t>Grant:</t>
  </si>
  <si>
    <t>CFDA #</t>
  </si>
  <si>
    <t>GRANT NUMBER:</t>
  </si>
  <si>
    <t>FISCAL YEAR:</t>
  </si>
  <si>
    <t>Code</t>
  </si>
  <si>
    <t>District/Agency Name</t>
  </si>
  <si>
    <t>0030</t>
  </si>
  <si>
    <t>0140</t>
  </si>
  <si>
    <t>0180</t>
  </si>
  <si>
    <t>0470</t>
  </si>
  <si>
    <t>0480</t>
  </si>
  <si>
    <t>1010</t>
  </si>
  <si>
    <t>Adult &amp; Family Education SD11</t>
  </si>
  <si>
    <t>Montrose School District RE-1J</t>
  </si>
  <si>
    <t>South Central BOCES</t>
  </si>
  <si>
    <t>Y001</t>
  </si>
  <si>
    <t>TSJC - Adult Education Services</t>
  </si>
  <si>
    <t>Y002</t>
  </si>
  <si>
    <t>Y003</t>
  </si>
  <si>
    <t>Unlimited Learning</t>
  </si>
  <si>
    <t>Y295</t>
  </si>
  <si>
    <t>Front Range Community College</t>
  </si>
  <si>
    <t>Y646</t>
  </si>
  <si>
    <t>Colorado Mountain College</t>
  </si>
  <si>
    <t>Y651</t>
  </si>
  <si>
    <t>Y693</t>
  </si>
  <si>
    <t>Y694</t>
  </si>
  <si>
    <t>Y695</t>
  </si>
  <si>
    <t>Y699</t>
  </si>
  <si>
    <t>Northeastern Junior College</t>
  </si>
  <si>
    <t>Y700</t>
  </si>
  <si>
    <t>Y701</t>
  </si>
  <si>
    <t>Spring Institute for Intercultural Learning</t>
  </si>
  <si>
    <t>Y703</t>
  </si>
  <si>
    <t>Y705</t>
  </si>
  <si>
    <t>Y706</t>
  </si>
  <si>
    <t>Y707</t>
  </si>
  <si>
    <t>Y709</t>
  </si>
  <si>
    <t>Y711</t>
  </si>
  <si>
    <t>Y743</t>
  </si>
  <si>
    <t>Y815</t>
  </si>
  <si>
    <t>Y863</t>
  </si>
  <si>
    <t>Y927</t>
  </si>
  <si>
    <t>Gunnison County Literacy Action</t>
  </si>
  <si>
    <t>ALLOCATION</t>
  </si>
  <si>
    <t>PAYMENTS TO DATE</t>
  </si>
  <si>
    <t>BALANCE</t>
  </si>
  <si>
    <t>JULY 2011</t>
  </si>
  <si>
    <t>AUGUST 2011</t>
  </si>
  <si>
    <t>SEPTEMBER 2011</t>
  </si>
  <si>
    <t>OCTOBER 2011</t>
  </si>
  <si>
    <t>NOVEMBER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</si>
  <si>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</si>
  <si>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</si>
  <si>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</si>
  <si>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</si>
  <si>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</si>
  <si>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</si>
  <si>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</si>
  <si>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</si>
  <si>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</si>
  <si>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</si>
  <si>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DECEMBER 2011</t>
  </si>
  <si>
    <t>21st CENTURY GRANT</t>
  </si>
  <si>
    <t>COHORT:</t>
  </si>
  <si>
    <t>Question regarding payments:</t>
  </si>
  <si>
    <t>Tim Kahle  303-866-6034 or kahle_t@cde.state.co.us</t>
  </si>
  <si>
    <t xml:space="preserve">Questions regarding grant: </t>
  </si>
  <si>
    <t>Marti Rodriguez 303-866-6769 or rodrigue_m@cde.state.co.us</t>
  </si>
  <si>
    <t xml:space="preserve">Adult Education </t>
  </si>
  <si>
    <t>Marti Rodriguez  303-866-6769 or rodriguez_m@cde.state.co.us</t>
  </si>
  <si>
    <t>EL CIVICS</t>
  </si>
  <si>
    <t>Colorado Springs 11</t>
  </si>
  <si>
    <t>0020</t>
  </si>
  <si>
    <t>0120</t>
  </si>
  <si>
    <t>0880</t>
  </si>
  <si>
    <t>0980</t>
  </si>
  <si>
    <t>Adams 12 Five Star Schools</t>
  </si>
  <si>
    <t>Adams County 14</t>
  </si>
  <si>
    <t>Adams-Arapahoe 28J</t>
  </si>
  <si>
    <t>Harrison 2</t>
  </si>
  <si>
    <t>Hanover 28</t>
  </si>
  <si>
    <t>Garfield RE-2</t>
  </si>
  <si>
    <t>Huerfano RE-1</t>
  </si>
  <si>
    <t>Poudre R-1</t>
  </si>
  <si>
    <t>Trinidad 1</t>
  </si>
  <si>
    <t>Mesa County Valley 51</t>
  </si>
  <si>
    <t>Montezuma-Cortez RE-1</t>
  </si>
  <si>
    <t>Pueblo County 70</t>
  </si>
  <si>
    <t>Cripple Creek-Victor RE-1</t>
  </si>
  <si>
    <t>Greeley 6</t>
  </si>
  <si>
    <t>Summer Scholars</t>
  </si>
  <si>
    <t>YMCA of the Pikes Peak Region</t>
  </si>
  <si>
    <t>LAST DAY TO SUBMIT REQUEST FOR THIS GRANT  - SEPTEMBER 30, 2013</t>
  </si>
  <si>
    <t>April 1, 2012 through June 30, 2013 YEAR ONE ONLY</t>
  </si>
  <si>
    <t>McKinney-Vento Homeless</t>
  </si>
  <si>
    <t>0070</t>
  </si>
  <si>
    <t>0123</t>
  </si>
  <si>
    <t>Adams 12</t>
  </si>
  <si>
    <t>Adams 14</t>
  </si>
  <si>
    <t>Sheridan</t>
  </si>
  <si>
    <t>Jeffco</t>
  </si>
  <si>
    <t>Mesa 51</t>
  </si>
  <si>
    <t>Pueblo 60</t>
  </si>
  <si>
    <t>CARRYOVER:</t>
  </si>
  <si>
    <t>Not allowed on this grant</t>
  </si>
  <si>
    <t>Title II-B Math &amp; Science Partnerships</t>
  </si>
  <si>
    <t>Limited to 15%</t>
  </si>
  <si>
    <t>Westminster 50</t>
  </si>
  <si>
    <t>Denver Public Schools</t>
  </si>
  <si>
    <t>IMPORTANT NOTE:  Funds approved for carryover are included in the Allocation Amount-please refer to comments.</t>
  </si>
  <si>
    <t>School Name</t>
  </si>
  <si>
    <t>0130</t>
  </si>
  <si>
    <t>District Name</t>
  </si>
  <si>
    <t>2000</t>
  </si>
  <si>
    <t>3120</t>
  </si>
  <si>
    <t>0010</t>
  </si>
  <si>
    <t>84.010</t>
  </si>
  <si>
    <t>Englewood 1</t>
  </si>
  <si>
    <t>Title V - Abstinence Education Grant Program</t>
  </si>
  <si>
    <t>Y582</t>
  </si>
  <si>
    <t>Pueblo City-County Health Dept</t>
  </si>
  <si>
    <t>Title V-B Charter School Grant Program</t>
  </si>
  <si>
    <t>84.282A</t>
  </si>
  <si>
    <t>Charter School</t>
  </si>
  <si>
    <t>Fiscal Agent</t>
  </si>
  <si>
    <t>Colorado Graduation Pathways</t>
  </si>
  <si>
    <t>1420</t>
  </si>
  <si>
    <t>1990</t>
  </si>
  <si>
    <t>2035</t>
  </si>
  <si>
    <t>Cherry Creek 5</t>
  </si>
  <si>
    <t>Jefferson R-1</t>
  </si>
  <si>
    <t>Plateau 50</t>
  </si>
  <si>
    <t>Mapleton 1</t>
  </si>
  <si>
    <t>Pueblo City 60</t>
  </si>
  <si>
    <t>0010-NAS</t>
  </si>
  <si>
    <t>New America Schools</t>
  </si>
  <si>
    <t>Fort Morgan</t>
  </si>
  <si>
    <t>Weld RE-6</t>
  </si>
  <si>
    <t>Y947</t>
  </si>
  <si>
    <t>Y843</t>
  </si>
  <si>
    <t>Y799</t>
  </si>
  <si>
    <t>Y776</t>
  </si>
  <si>
    <t>Adams 14 - HS</t>
  </si>
  <si>
    <t>Adams County SD 14</t>
  </si>
  <si>
    <t>Aurora Public School</t>
  </si>
  <si>
    <t>Boulder Valley SD</t>
  </si>
  <si>
    <t>Denver Public SD</t>
  </si>
  <si>
    <t>LaVeta RE2 SD</t>
  </si>
  <si>
    <t>Jeffco County PS</t>
  </si>
  <si>
    <t>Lake County SD</t>
  </si>
  <si>
    <t>Poudre SD</t>
  </si>
  <si>
    <t>Thompson R2-J SD</t>
  </si>
  <si>
    <t>Genoa-Hugo SD C113</t>
  </si>
  <si>
    <t>Montezuma Cortez RE1</t>
  </si>
  <si>
    <t>Silverton SD #1</t>
  </si>
  <si>
    <t>Cripple Creek</t>
  </si>
  <si>
    <t>Weld 6</t>
  </si>
  <si>
    <t>CSI NAS</t>
  </si>
  <si>
    <t>Garfield 16</t>
  </si>
  <si>
    <t>Metro State College, Center for Urban Education</t>
  </si>
  <si>
    <t>Asian Pacific</t>
  </si>
  <si>
    <t>Mi Casa Resource</t>
  </si>
  <si>
    <t>SUCAP Ignacio</t>
  </si>
  <si>
    <t>Adolescent Counseling Exchance</t>
  </si>
  <si>
    <t>Schools</t>
  </si>
  <si>
    <t>Federal Heights, McElain, Rocky Mountain ES and Vantage Point HS</t>
  </si>
  <si>
    <t>Sheridan HS</t>
  </si>
  <si>
    <t>Denver Center for International Studies Montbello</t>
  </si>
  <si>
    <t xml:space="preserve">Escuela Tlatelolco </t>
  </si>
  <si>
    <t>Laveta Jr &amp; SR HS</t>
  </si>
  <si>
    <t>West Park, Margaret Pitts ES and Keystone Science School</t>
  </si>
  <si>
    <t>Poudre Community Academy, FRCC</t>
  </si>
  <si>
    <t>Harold Ferguson HS</t>
  </si>
  <si>
    <t>Genoa-Hugo ES</t>
  </si>
  <si>
    <t>SW Open School</t>
  </si>
  <si>
    <t>Silverton ES, MS &amp; HS</t>
  </si>
  <si>
    <t>Cripple Creek-Victor HS</t>
  </si>
  <si>
    <t>East Memorial, Maplewood &amp; Billie Martinez ES</t>
  </si>
  <si>
    <t>NAS-Aurora, Jeffco &amp; Mapleton</t>
  </si>
  <si>
    <t>Bea Underwood ES</t>
  </si>
  <si>
    <t>Cheltenham&amp;Fairview ES, Abraham Lincholn HS, MLK JH, Early College West HS</t>
  </si>
  <si>
    <t>Westminster HS</t>
  </si>
  <si>
    <t>Ashley &amp; Stedman ES, Florita Pitt Waller &amp; Whitter K-8</t>
  </si>
  <si>
    <t>North HS</t>
  </si>
  <si>
    <t>Ignacio JH, HS &amp; Intermediate</t>
  </si>
  <si>
    <t>Community Challenge School</t>
  </si>
  <si>
    <t>Alicia Sanchez ES</t>
  </si>
  <si>
    <t>Bruce Randolph 6-12, Cole Arts and Science Academy K-8, Lake MS, Skinner MS</t>
  </si>
  <si>
    <t>Colfax, Cowell, Eagleton, Monroe</t>
  </si>
  <si>
    <t>Force, Johnson, Noel, Place Bridge</t>
  </si>
  <si>
    <t>Foster ES, Russell ES</t>
  </si>
  <si>
    <t>Jefferson HS, Wheat Ridge MS</t>
  </si>
  <si>
    <t>Olathe ES &amp; MS</t>
  </si>
  <si>
    <t>Centennial MS</t>
  </si>
  <si>
    <t>Oakland ES, Ford ES</t>
  </si>
  <si>
    <t>Harrington, Moore, Swansea, Columbine</t>
  </si>
  <si>
    <t>Lorraine Secondary School</t>
  </si>
  <si>
    <t>Sierra HS</t>
  </si>
  <si>
    <t>0180-NAS</t>
  </si>
  <si>
    <t>Y006</t>
  </si>
  <si>
    <t>Y007</t>
  </si>
  <si>
    <t>July 2013</t>
  </si>
  <si>
    <t>August 2013</t>
  </si>
  <si>
    <t>September 2013</t>
  </si>
  <si>
    <t>October 2013</t>
  </si>
  <si>
    <t>ILC-Adams 14</t>
  </si>
  <si>
    <t>GBL/ORG:</t>
  </si>
  <si>
    <t>GBL/ORG</t>
  </si>
  <si>
    <t>283C/7000</t>
  </si>
  <si>
    <t>222F/7000</t>
  </si>
  <si>
    <t>Boulder Valley RE-2</t>
  </si>
  <si>
    <t>Bishop ES</t>
  </si>
  <si>
    <t>Sable, Vaughn, Fletcher</t>
  </si>
  <si>
    <t>Helen Hunt ES</t>
  </si>
  <si>
    <t>Wamsley ES</t>
  </si>
  <si>
    <t>Lake County MS</t>
  </si>
  <si>
    <t>Irish, Lincoln IB World, Putnam School of Science</t>
  </si>
  <si>
    <t>Trinidad MS</t>
  </si>
  <si>
    <t>Clifton ES, Rocky Mountain, Mt. Garfield</t>
  </si>
  <si>
    <t>Kemper ES, Cortez MS</t>
  </si>
  <si>
    <t>Pueblo West ES</t>
  </si>
  <si>
    <t>Freed, Pitts, Risley</t>
  </si>
  <si>
    <t>Marti Rodriguez 303-866-6769 or rodriguez_m@cde.state.co.us</t>
  </si>
  <si>
    <t>Title 1A Targeted District Improvement</t>
  </si>
  <si>
    <t>Morgan Community College</t>
  </si>
  <si>
    <t>Y583</t>
  </si>
  <si>
    <t>Friends First, Inc.</t>
  </si>
  <si>
    <t>Martin Petrov 303-866-6389 or petrov_m@cde.state.co.us</t>
  </si>
  <si>
    <t>Lake County</t>
  </si>
  <si>
    <t>Tiered Intervention Grant Cohort 1</t>
  </si>
  <si>
    <t>Tiered Intervention Grant Cohort 2</t>
  </si>
  <si>
    <t>Tiered Intervention Grant Cohort 3</t>
  </si>
  <si>
    <t>Contemporary Learning Academy</t>
  </si>
  <si>
    <t>Title 1A UVA Leadership Pilot</t>
  </si>
  <si>
    <t>Alsup Elementary, Dupont Elementary, Adams City Middle School</t>
  </si>
  <si>
    <t>Sheridan SD</t>
  </si>
  <si>
    <t>Sheridan High, Middle, and Elementary Schools</t>
  </si>
  <si>
    <t xml:space="preserve">Title 1A Targeted District Improvement </t>
  </si>
  <si>
    <t>Y584</t>
  </si>
  <si>
    <t>Center for Relationship Education</t>
  </si>
  <si>
    <t>Year</t>
  </si>
  <si>
    <t>Status</t>
  </si>
  <si>
    <t>Charter Code</t>
  </si>
  <si>
    <t>Date of Award</t>
  </si>
  <si>
    <t xml:space="preserve"> </t>
  </si>
  <si>
    <t>Not allowed on this grant-verify</t>
  </si>
  <si>
    <t>Cohort 3</t>
  </si>
  <si>
    <t>LAST DAY TO SUBMIT REQUESTS FOR THIS GRANT  - September 15, 2014</t>
  </si>
  <si>
    <t>2013-14</t>
  </si>
  <si>
    <t xml:space="preserve">School Improvement Support </t>
  </si>
  <si>
    <t>2012-13 &amp; 2013-14</t>
  </si>
  <si>
    <t>Irving Elementary School</t>
  </si>
  <si>
    <t>7/1/13-6/30/14</t>
  </si>
  <si>
    <t>Nicole Dake  303-866-6724 or dake_n@cde.state.co.us</t>
  </si>
  <si>
    <t>614D/7000</t>
  </si>
  <si>
    <t>LAST DAY TO SUBMIT REQUESTS FOR THIS GRANT  - SEPTEMBER 30, 2014</t>
  </si>
  <si>
    <t>614M/7000</t>
  </si>
  <si>
    <t>LAST DAY TO SUBMIT REQUEST FOR THIS GRANT  - SEPTEMBER 30, 2014</t>
  </si>
  <si>
    <t>7/1/13 - 6/30/14</t>
  </si>
  <si>
    <t>223F/7000</t>
  </si>
  <si>
    <t>Allocation</t>
  </si>
  <si>
    <t>Approved Carryover</t>
  </si>
  <si>
    <t>Nicole Dake  303-866-6724  dake_n@cde.state.co.us</t>
  </si>
  <si>
    <t>274C/7000</t>
  </si>
  <si>
    <t>LAST DAY TO SUBMIT REQUEST FOR THIS GRANT  - November 15, 2014</t>
  </si>
  <si>
    <t>FY2013-14</t>
  </si>
  <si>
    <t>694C/7000</t>
  </si>
  <si>
    <t>LAST DAY TO SUBMIT REQUEST FOR THIS GRANT  - October 15, 2014</t>
  </si>
  <si>
    <t>Total Amount Available</t>
  </si>
  <si>
    <t>Total Available</t>
  </si>
  <si>
    <t>Nicole Dake  303-866-6724  or  dake_n@cde.state.co.us</t>
  </si>
  <si>
    <t>10/1/2013 THROUGH 9/30/2014</t>
  </si>
  <si>
    <t>LAST DAY TO SUBMIT REQUESTS FOR THIS GRANT  - November 15, 2014</t>
  </si>
  <si>
    <t>Nicole Dake  303-866-6724  or dake_n@cde.state.co.us</t>
  </si>
  <si>
    <t xml:space="preserve">Title IA Targeted District Improvement </t>
  </si>
  <si>
    <t>LAST DAY TO SUBMIT REQUESTS FOR THIS GRANT  - Septebmer 15, 2014</t>
  </si>
  <si>
    <t>Coronado, Thornton ES, Thornton MS, North Star</t>
  </si>
  <si>
    <t>Hanson ES, Monaco ES</t>
  </si>
  <si>
    <t>Englewood Schools</t>
  </si>
  <si>
    <t>Aurora Public School District</t>
  </si>
  <si>
    <t>0480-1</t>
  </si>
  <si>
    <t>0480-2</t>
  </si>
  <si>
    <t>Boulder Valley Consortium (Columbine ES, University Hill ES, Casey MS)</t>
  </si>
  <si>
    <t>0880-1</t>
  </si>
  <si>
    <t>Denver Public Schools 1</t>
  </si>
  <si>
    <t>0880-2</t>
  </si>
  <si>
    <t>0880-3</t>
  </si>
  <si>
    <t>Carmel MS, Fox Meadow MS</t>
  </si>
  <si>
    <t>1070</t>
  </si>
  <si>
    <t>Hanover Jr.-Sr. High</t>
  </si>
  <si>
    <t>1195</t>
  </si>
  <si>
    <t>1390</t>
  </si>
  <si>
    <t>John Mall Jr./Sr. High School</t>
  </si>
  <si>
    <t>1420-1</t>
  </si>
  <si>
    <t>Jefferson County</t>
  </si>
  <si>
    <t>1420-2</t>
  </si>
  <si>
    <t>1510</t>
  </si>
  <si>
    <t>1550</t>
  </si>
  <si>
    <t>1580</t>
  </si>
  <si>
    <t>2180-1</t>
  </si>
  <si>
    <t>Montrose RE-1J</t>
  </si>
  <si>
    <t>2180-2</t>
  </si>
  <si>
    <t>2690</t>
  </si>
  <si>
    <t>2700</t>
  </si>
  <si>
    <t>3010</t>
  </si>
  <si>
    <t>Cripple Creek-Victor Jr. High School</t>
  </si>
  <si>
    <t xml:space="preserve">Greeley 6 </t>
  </si>
  <si>
    <t>Madison ES, John Evans MS, Centennial ES, Shawsheen ES, heath MS, Franklin MS, Maplewood MS, Northridge HS, Heiman ES, Jackson ES</t>
  </si>
  <si>
    <t>Y863-1</t>
  </si>
  <si>
    <t>Y863-2</t>
  </si>
  <si>
    <t>Y897-1</t>
  </si>
  <si>
    <t>Y897-2</t>
  </si>
  <si>
    <t>Payments to Date</t>
  </si>
  <si>
    <t>Adams City &amp; Lester Arnold HS</t>
  </si>
  <si>
    <t>Alsup, Central, Dupont &amp; Rose Hill ES</t>
  </si>
  <si>
    <t>Paris Elementary</t>
  </si>
  <si>
    <t>Aurora West College Prep Academy</t>
  </si>
  <si>
    <t>Mracheck MS</t>
  </si>
  <si>
    <t>Boulder Preparatory HS</t>
  </si>
  <si>
    <t>Emerald ES</t>
  </si>
  <si>
    <t>Justice High School of Boulder</t>
  </si>
  <si>
    <t>Centennial, Fairmont, Kiser &amp; Neton ES ES</t>
  </si>
  <si>
    <t>Greenwood Academy</t>
  </si>
  <si>
    <t>Justice High School of Denver</t>
  </si>
  <si>
    <t>Plesant View &amp; Holholm ES</t>
  </si>
  <si>
    <t>Littleton Public Schools-Adult ESL Program</t>
  </si>
  <si>
    <t>Boulder Valley Family Literacy Program</t>
  </si>
  <si>
    <t>Lake</t>
  </si>
  <si>
    <t>La Llave</t>
  </si>
  <si>
    <t>Pikes Peak Library District</t>
  </si>
  <si>
    <t>Community Ed Outreach</t>
  </si>
  <si>
    <t>Y009</t>
  </si>
  <si>
    <t>SEL</t>
  </si>
  <si>
    <t>Y013</t>
  </si>
  <si>
    <t>Community Partnership Family Resource Center</t>
  </si>
  <si>
    <t>Y014</t>
  </si>
  <si>
    <t>El  Comite de Longmont-St Vrain Adult Education</t>
  </si>
  <si>
    <t>Metro State Family Literacy</t>
  </si>
  <si>
    <t>Focus Points Family Resource Center</t>
  </si>
  <si>
    <t>Pine River Community Learning Center</t>
  </si>
  <si>
    <t>Learning Source for Adults and Families</t>
  </si>
  <si>
    <t>Phillips County Family Education Services</t>
  </si>
  <si>
    <t>Durango Adult Education Center,  Inc.</t>
  </si>
  <si>
    <t>Delta County Library</t>
  </si>
  <si>
    <t>Archuleta County Education Center, Inc.</t>
  </si>
  <si>
    <t>CCD</t>
  </si>
  <si>
    <t>Right to Read of Weld County, Inc.</t>
  </si>
  <si>
    <t>Valley Campus of Trinidad State Jr. College</t>
  </si>
  <si>
    <t>Asian Pacific Development Center</t>
  </si>
  <si>
    <t>90,000</t>
  </si>
  <si>
    <t>35,321</t>
  </si>
  <si>
    <t>25,236</t>
  </si>
  <si>
    <t>30,346</t>
  </si>
  <si>
    <t>160,400</t>
  </si>
  <si>
    <t>ILC</t>
  </si>
  <si>
    <t>Adult ESL Dual Language</t>
  </si>
  <si>
    <t>Learning Source</t>
  </si>
  <si>
    <t>MCC</t>
  </si>
  <si>
    <t>Right to Read Weld</t>
  </si>
  <si>
    <t>Adams 12 School District</t>
  </si>
  <si>
    <t>Adams 14 School District</t>
  </si>
  <si>
    <t>Adams 50 School District</t>
  </si>
  <si>
    <t>9035</t>
  </si>
  <si>
    <t>Centennial BOCES</t>
  </si>
  <si>
    <t>1000</t>
  </si>
  <si>
    <t>Fountain Ft. Carson School District</t>
  </si>
  <si>
    <t>Jefferson County School District</t>
  </si>
  <si>
    <t>Mesa 51 School District</t>
  </si>
  <si>
    <t>2790</t>
  </si>
  <si>
    <t>Mt. Valley Schools</t>
  </si>
  <si>
    <t>Poudre School Disrict</t>
  </si>
  <si>
    <t>Pueblo City Schools</t>
  </si>
  <si>
    <t>Sheridan School District</t>
  </si>
  <si>
    <t>SL Valley BOVES</t>
  </si>
  <si>
    <t>St. Vrain Valley School District</t>
  </si>
  <si>
    <t>Tiered Intervention Grant Cohort 4</t>
  </si>
  <si>
    <t>M. Scott Carpenter Middle School</t>
  </si>
  <si>
    <t>Aurora Central High School</t>
  </si>
  <si>
    <t>Vilas Online High School</t>
  </si>
  <si>
    <t>Bruce Randolph School</t>
  </si>
  <si>
    <t>Lester Arnold High School</t>
  </si>
  <si>
    <t>SHERIDAN MIDDLE SCHOOL</t>
  </si>
  <si>
    <t>DCIS AT FORD ELEMENTARY SCHOOL</t>
  </si>
  <si>
    <t>CHARLES M. SCHENCK ELEMENTARY SCHOOL</t>
  </si>
  <si>
    <t>SMITH ELEMENTARY SCHOOL</t>
  </si>
  <si>
    <t>WEST HIGH SCHOOL</t>
  </si>
  <si>
    <t>R-5 HIGH SCHOOL</t>
  </si>
  <si>
    <t xml:space="preserve">Meadow Community School </t>
  </si>
  <si>
    <t>FM Day Elementary School</t>
  </si>
  <si>
    <t>Mesa Elementary School</t>
  </si>
  <si>
    <t>Sherrelwood Elementary School</t>
  </si>
  <si>
    <t>Westminster Elementary School</t>
  </si>
  <si>
    <t xml:space="preserve">Trevista ECE-8 at Horace Mann </t>
  </si>
  <si>
    <t>Weld RE-8</t>
  </si>
  <si>
    <t>District Wide</t>
  </si>
  <si>
    <t>3140</t>
  </si>
  <si>
    <t>0070-99</t>
  </si>
  <si>
    <t>0120-99</t>
  </si>
  <si>
    <t>1540-99</t>
  </si>
  <si>
    <t>1620-99</t>
  </si>
  <si>
    <t>1810-99</t>
  </si>
  <si>
    <t>2035-99</t>
  </si>
  <si>
    <t>2405-99</t>
  </si>
  <si>
    <t>2530-99</t>
  </si>
  <si>
    <t>Ignacio 11 JT</t>
  </si>
  <si>
    <t>Aguilar 6</t>
  </si>
  <si>
    <t>Karval RE-23</t>
  </si>
  <si>
    <t>Montezuma 1</t>
  </si>
  <si>
    <t>Ft. Morgan RE-3</t>
  </si>
  <si>
    <t>Rocky Ford RE-2</t>
  </si>
  <si>
    <t>1510-99</t>
  </si>
  <si>
    <t>Lake County School District</t>
  </si>
  <si>
    <t>0240-99</t>
  </si>
  <si>
    <t>2535-99</t>
  </si>
  <si>
    <t>2740-99</t>
  </si>
  <si>
    <t>8001-99</t>
  </si>
  <si>
    <t>Pritchett Re-3</t>
  </si>
  <si>
    <t>Manzanola 3J</t>
  </si>
  <si>
    <t>Monte Vista C-8</t>
  </si>
  <si>
    <t>Charter School Institute</t>
  </si>
  <si>
    <t>Mapleton School District</t>
  </si>
  <si>
    <t>Achieve Academy</t>
  </si>
  <si>
    <t xml:space="preserve">Clayton Partnership </t>
  </si>
  <si>
    <t>Global Leadership Academy</t>
  </si>
  <si>
    <t>Welby Montesorri</t>
  </si>
  <si>
    <t>Adams 12 Five Star School District</t>
  </si>
  <si>
    <t>Coronado Hills Elementary School</t>
  </si>
  <si>
    <t>Hillcrest Elementary School</t>
  </si>
  <si>
    <t>Thornton Elementary</t>
  </si>
  <si>
    <t>Adams City Middle School</t>
  </si>
  <si>
    <t>Central Elementary School</t>
  </si>
  <si>
    <t>Rose Hill Elementary School</t>
  </si>
  <si>
    <t>Westminster 50 School District</t>
  </si>
  <si>
    <t>Josephine Elementary</t>
  </si>
  <si>
    <t>Adams-Arapahoe 28J School District</t>
  </si>
  <si>
    <t>Boston K-8 School</t>
  </si>
  <si>
    <t>Crawford Elementary School</t>
  </si>
  <si>
    <t>Kenton Elementary School</t>
  </si>
  <si>
    <t>Paris Elementary School</t>
  </si>
  <si>
    <t>Sixth Avenue Elementary School</t>
  </si>
  <si>
    <t>Ashley Elementary School</t>
  </si>
  <si>
    <t>Castro Elementary School</t>
  </si>
  <si>
    <t xml:space="preserve">0880 </t>
  </si>
  <si>
    <t>Centennial K-8 School</t>
  </si>
  <si>
    <t>College View Elementary</t>
  </si>
  <si>
    <t>Columbine Elementary School</t>
  </si>
  <si>
    <t>Escuela Tlateloco</t>
  </si>
  <si>
    <t>Johnson Elementary School</t>
  </si>
  <si>
    <t>Munroe Elementary School</t>
  </si>
  <si>
    <t>0900</t>
  </si>
  <si>
    <t>Douglas County School District</t>
  </si>
  <si>
    <t>Hope Online Academy</t>
  </si>
  <si>
    <t>Colorado Springs School District 11</t>
  </si>
  <si>
    <t xml:space="preserve">Jack Swigert Academy </t>
  </si>
  <si>
    <t>West Park Elementary School</t>
  </si>
  <si>
    <t>1520</t>
  </si>
  <si>
    <t>Durango 9-R School District</t>
  </si>
  <si>
    <t>Florida Mesa Elementary School</t>
  </si>
  <si>
    <t>Montezuma Cortez School District</t>
  </si>
  <si>
    <t>Manaugh Elementary School</t>
  </si>
  <si>
    <t>2530</t>
  </si>
  <si>
    <t>Rocky Ford School District</t>
  </si>
  <si>
    <t>Jefferson Intermediate School</t>
  </si>
  <si>
    <t>Pueblo School District</t>
  </si>
  <si>
    <t>Bessemer Academy</t>
  </si>
  <si>
    <t>Irving Elementary School Part 2</t>
  </si>
  <si>
    <t>3080</t>
  </si>
  <si>
    <t>Gilcrest RE-1 School District</t>
  </si>
  <si>
    <t>Gilcrest Elementary School</t>
  </si>
  <si>
    <t>Weld County RE-8 School District</t>
  </si>
  <si>
    <t>Twombly Elementary School</t>
  </si>
  <si>
    <t>8001</t>
  </si>
  <si>
    <t>Pikes Peak Prep</t>
  </si>
  <si>
    <t>Scholars to Leaders Academy</t>
  </si>
  <si>
    <t xml:space="preserve"> 2013-14</t>
  </si>
  <si>
    <t>Y143</t>
  </si>
  <si>
    <t>Atlas Prep Charter School</t>
  </si>
  <si>
    <t>Harrison SD</t>
  </si>
  <si>
    <t>Juniper Ridge Community School</t>
  </si>
  <si>
    <t>Addenbrooke Classical Academy</t>
  </si>
  <si>
    <t>Eagle School District</t>
  </si>
  <si>
    <t>Y156</t>
  </si>
  <si>
    <t>Mountain Song School</t>
  </si>
  <si>
    <t>Mountain Sage Community School</t>
  </si>
  <si>
    <t>Poudre School District</t>
  </si>
  <si>
    <t>Approved Carryover a/o 6/30/2013</t>
  </si>
  <si>
    <t>0910</t>
  </si>
  <si>
    <t>Monarch Montessori of Denver</t>
  </si>
  <si>
    <t>Sims Fayola Int'l Academy</t>
  </si>
  <si>
    <t>Loveland Classical School</t>
  </si>
  <si>
    <t>Thompson R2-J School District</t>
  </si>
  <si>
    <t>5621</t>
  </si>
  <si>
    <t>7861</t>
  </si>
  <si>
    <t>9730</t>
  </si>
  <si>
    <t>1451</t>
  </si>
  <si>
    <t>5235</t>
  </si>
  <si>
    <t>OCTOBER
 2013</t>
  </si>
  <si>
    <t>NOVEMBER
 2013</t>
  </si>
  <si>
    <t>DECEMBER
 2013</t>
  </si>
  <si>
    <t>JANUARY
 2014</t>
  </si>
  <si>
    <t>FEBRUARY
 2014</t>
  </si>
  <si>
    <t>MARCH
 2014</t>
  </si>
  <si>
    <t>APRIL
 2014</t>
  </si>
  <si>
    <t>MAY
 2014</t>
  </si>
  <si>
    <t>JUNE
 2014</t>
  </si>
  <si>
    <t>JULY
 2014</t>
  </si>
  <si>
    <t>AUGUST
 2014</t>
  </si>
  <si>
    <t>SEPTEMBER
 2014</t>
  </si>
  <si>
    <t>July
 2013</t>
  </si>
  <si>
    <t>August
 2013</t>
  </si>
  <si>
    <t>September
 2013</t>
  </si>
  <si>
    <t>October
 2013</t>
  </si>
  <si>
    <t>November
 2013</t>
  </si>
  <si>
    <t>December
 2013</t>
  </si>
  <si>
    <t>January
 2014</t>
  </si>
  <si>
    <t>February
 2014</t>
  </si>
  <si>
    <t>March
 2014</t>
  </si>
  <si>
    <t>April
 2014</t>
  </si>
  <si>
    <t>May
 2014</t>
  </si>
  <si>
    <t>June 
2014</t>
  </si>
  <si>
    <t>July 
2014</t>
  </si>
  <si>
    <t>August 
2014</t>
  </si>
  <si>
    <t>September 
2014</t>
  </si>
  <si>
    <t>July 
2013</t>
  </si>
  <si>
    <t>August 
2013</t>
  </si>
  <si>
    <t>September 
2013</t>
  </si>
  <si>
    <t>October 
2013</t>
  </si>
  <si>
    <t>November 
2013</t>
  </si>
  <si>
    <t>December 
2013</t>
  </si>
  <si>
    <t>January 
2014</t>
  </si>
  <si>
    <t>February 
2014</t>
  </si>
  <si>
    <t>March 
2014</t>
  </si>
  <si>
    <t>April 
2014</t>
  </si>
  <si>
    <t>May 
2014</t>
  </si>
  <si>
    <t>JULY 
2013</t>
  </si>
  <si>
    <t>AUGUST 
2013</t>
  </si>
  <si>
    <t>SEPTEMBER 
2013</t>
  </si>
  <si>
    <t>OCTOBER 
2013</t>
  </si>
  <si>
    <t>NOVEMBER 
2013</t>
  </si>
  <si>
    <t>DECEMBER 
2013</t>
  </si>
  <si>
    <t>JANUARY 
2014</t>
  </si>
  <si>
    <t>FEBRUARY 
2014</t>
  </si>
  <si>
    <t>MARCH 
2014</t>
  </si>
  <si>
    <t>APRIL 
2014</t>
  </si>
  <si>
    <t>MAY 
2014</t>
  </si>
  <si>
    <t>JUNE 
2014</t>
  </si>
  <si>
    <t>JULY 
2014</t>
  </si>
  <si>
    <t>AUGUST 
2014</t>
  </si>
  <si>
    <t>SEPTEMBER 
2014</t>
  </si>
  <si>
    <t>Nicole Dake   303-866-6724 or dake_n@cde.state.co.us</t>
  </si>
  <si>
    <t>JUNE 
2013</t>
  </si>
  <si>
    <t>SEPTEMBER
2013</t>
  </si>
  <si>
    <t>4439</t>
  </si>
  <si>
    <t>9735</t>
  </si>
  <si>
    <t>STRIVE PREP Montbello</t>
  </si>
  <si>
    <t>Hanson and  Monaco ES</t>
  </si>
  <si>
    <t>8965</t>
  </si>
  <si>
    <t>Union Colony Prep</t>
  </si>
  <si>
    <t>Fort Logan Elementary</t>
  </si>
  <si>
    <t>Greenlee K-8 School</t>
  </si>
  <si>
    <t>North High School</t>
  </si>
  <si>
    <t>Clifton Elementary School</t>
  </si>
  <si>
    <t>Central High School</t>
  </si>
  <si>
    <t>Risley International Academy of Innovation</t>
  </si>
  <si>
    <t>Pueblo Academy of Arts</t>
  </si>
  <si>
    <t>Fairview Elementary School</t>
  </si>
  <si>
    <t>3326</t>
  </si>
  <si>
    <t>3399</t>
  </si>
  <si>
    <t>Global Village Academy- Colorado Springs</t>
  </si>
  <si>
    <t>Global Village Academy- Fort Collins</t>
  </si>
  <si>
    <t>0502-S</t>
  </si>
  <si>
    <t>2876-S</t>
  </si>
  <si>
    <t>3144-S</t>
  </si>
  <si>
    <t>5834-S</t>
  </si>
  <si>
    <t>7860-S</t>
  </si>
  <si>
    <t>8909-S</t>
  </si>
  <si>
    <t>9462-S</t>
  </si>
  <si>
    <t>7837-S</t>
  </si>
  <si>
    <t>3038-S</t>
  </si>
  <si>
    <t>7694-S</t>
  </si>
  <si>
    <t>8006-S</t>
  </si>
  <si>
    <t>9408-S</t>
  </si>
  <si>
    <t>7236-S</t>
  </si>
  <si>
    <t>0022-S</t>
  </si>
  <si>
    <t>5388-S</t>
  </si>
  <si>
    <t>1458-S</t>
  </si>
  <si>
    <t>9085-S</t>
  </si>
  <si>
    <t>6350-S</t>
  </si>
  <si>
    <t>1454-S</t>
  </si>
  <si>
    <t>1686-S</t>
  </si>
  <si>
    <t xml:space="preserve">  </t>
  </si>
  <si>
    <t>3054-S</t>
  </si>
  <si>
    <t>3638-S</t>
  </si>
  <si>
    <t>6314-S</t>
  </si>
  <si>
    <t>4376-S</t>
  </si>
  <si>
    <t>5048-S</t>
  </si>
  <si>
    <t>4378</t>
  </si>
  <si>
    <t>James Irwin Charter School</t>
  </si>
  <si>
    <t>Y401</t>
  </si>
  <si>
    <t>Colorado State University Sponsored Programs</t>
  </si>
  <si>
    <t>Title IA School Improvement Support</t>
  </si>
  <si>
    <t>3272-S</t>
  </si>
  <si>
    <t>Adams-Arapahoe (Fulton Elementary School)</t>
  </si>
  <si>
    <t>Y114</t>
  </si>
  <si>
    <t>Girls Athletic Leadership HS</t>
  </si>
  <si>
    <t>Vanguard Classical Chater School (Exp)</t>
  </si>
  <si>
    <t>Aurora Public Schools</t>
  </si>
  <si>
    <t>Y157</t>
  </si>
  <si>
    <t>Aspen View Academy</t>
  </si>
  <si>
    <t>6019</t>
  </si>
  <si>
    <t>New Legacy Charter School</t>
  </si>
  <si>
    <t>2207</t>
  </si>
  <si>
    <t>Downtown Denver Expenditionary Charter School</t>
  </si>
  <si>
    <t>DSST Cole</t>
  </si>
  <si>
    <t>7241</t>
  </si>
  <si>
    <t>Rocky Mountain Prep</t>
  </si>
  <si>
    <t>STRIV PREP GVR</t>
  </si>
  <si>
    <t>Y158</t>
  </si>
  <si>
    <t>STRIVE Prep SW</t>
  </si>
  <si>
    <t>Y159</t>
  </si>
  <si>
    <t>World Compass Academy</t>
  </si>
  <si>
    <t>Montessori del Mundo</t>
  </si>
  <si>
    <t>5957</t>
  </si>
  <si>
    <t>Gill Foundation STEM Curriculum Unitl Building Grant</t>
  </si>
  <si>
    <t>Boulder Valley School District</t>
  </si>
  <si>
    <t>0870</t>
  </si>
  <si>
    <t>Delta County School District</t>
  </si>
  <si>
    <t>Englewood School District</t>
  </si>
  <si>
    <t>Greeley District 6</t>
  </si>
  <si>
    <t>2020</t>
  </si>
  <si>
    <t>Moffat County School District Re-1</t>
  </si>
  <si>
    <t>Mountain Valley Re-1</t>
  </si>
  <si>
    <t>0040</t>
  </si>
  <si>
    <t>0050</t>
  </si>
  <si>
    <t>0100</t>
  </si>
  <si>
    <t>0170</t>
  </si>
  <si>
    <t>0230</t>
  </si>
  <si>
    <t>0240</t>
  </si>
  <si>
    <t>0260</t>
  </si>
  <si>
    <t>0270</t>
  </si>
  <si>
    <t>0290</t>
  </si>
  <si>
    <t>0310</t>
  </si>
  <si>
    <t>0500</t>
  </si>
  <si>
    <t>0510</t>
  </si>
  <si>
    <t>0520</t>
  </si>
  <si>
    <t>0540</t>
  </si>
  <si>
    <t>0560</t>
  </si>
  <si>
    <t>0580</t>
  </si>
  <si>
    <t>0640</t>
  </si>
  <si>
    <t>0740</t>
  </si>
  <si>
    <t>0860</t>
  </si>
  <si>
    <t>0890</t>
  </si>
  <si>
    <t>0950</t>
  </si>
  <si>
    <t>0970</t>
  </si>
  <si>
    <t>1050</t>
  </si>
  <si>
    <t>1060</t>
  </si>
  <si>
    <t>1130</t>
  </si>
  <si>
    <t>1140</t>
  </si>
  <si>
    <t>1160</t>
  </si>
  <si>
    <t>1350</t>
  </si>
  <si>
    <t>1380</t>
  </si>
  <si>
    <t>1400</t>
  </si>
  <si>
    <t>1410</t>
  </si>
  <si>
    <t>1430</t>
  </si>
  <si>
    <t>1440</t>
  </si>
  <si>
    <t>1500</t>
  </si>
  <si>
    <t>1530</t>
  </si>
  <si>
    <t>1560</t>
  </si>
  <si>
    <t>1600</t>
  </si>
  <si>
    <t>1760</t>
  </si>
  <si>
    <t>1780</t>
  </si>
  <si>
    <t>1790</t>
  </si>
  <si>
    <t>1860</t>
  </si>
  <si>
    <t>2055</t>
  </si>
  <si>
    <t>2070</t>
  </si>
  <si>
    <t>2395</t>
  </si>
  <si>
    <t>2505</t>
  </si>
  <si>
    <t>2535</t>
  </si>
  <si>
    <t>2540</t>
  </si>
  <si>
    <t>2580</t>
  </si>
  <si>
    <t>2600</t>
  </si>
  <si>
    <t>2620</t>
  </si>
  <si>
    <t>2630</t>
  </si>
  <si>
    <t>2650</t>
  </si>
  <si>
    <t>2660</t>
  </si>
  <si>
    <t>2710</t>
  </si>
  <si>
    <t>2720</t>
  </si>
  <si>
    <t>2730</t>
  </si>
  <si>
    <t>2740</t>
  </si>
  <si>
    <t>2750</t>
  </si>
  <si>
    <t>2830</t>
  </si>
  <si>
    <t>2840</t>
  </si>
  <si>
    <t>2862</t>
  </si>
  <si>
    <t>2865</t>
  </si>
  <si>
    <t>3050</t>
  </si>
  <si>
    <t>3060</t>
  </si>
  <si>
    <t>3085</t>
  </si>
  <si>
    <t>3110</t>
  </si>
  <si>
    <t>3130</t>
  </si>
  <si>
    <t>3146</t>
  </si>
  <si>
    <t>3148</t>
  </si>
  <si>
    <t>3230</t>
  </si>
  <si>
    <t>9025</t>
  </si>
  <si>
    <t>Race To The Top- Early Childhood Readiness</t>
  </si>
  <si>
    <t>5412</t>
  </si>
  <si>
    <t>S94G/7000</t>
  </si>
  <si>
    <t>Y160</t>
  </si>
  <si>
    <t>5917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</si>
</sst>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m/d/yy;@"/>
    <numFmt numFmtId="166" formatCode="_(* #,##0_);_(* \(#,##0\);_(* &quot;-&quot;??_);_(@_)"/>
  </numFmts>
  <fonts count="40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48E840"/>
        <bgColor indexed="64"/>
      </patternFill>
    </fill>
    <fill>
      <patternFill patternType="solid">
        <fgColor rgb="FFBCFAB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6" tint="0.39994506668294322"/>
      </right>
      <top/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/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 style="medium">
        <color theme="6" tint="0.39994506668294322"/>
      </bottom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1454817346722"/>
      </top>
      <bottom style="medium">
        <color theme="6" tint="0.399914548173467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indexed="64"/>
      </top>
      <bottom/>
      <diagonal/>
    </border>
    <border>
      <left style="medium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medium">
        <color theme="6" tint="0.39991454817346722"/>
      </bottom>
      <diagonal/>
    </border>
    <border>
      <left style="medium">
        <color theme="6" tint="0.39994506668294322"/>
      </left>
      <right style="medium">
        <color theme="6" tint="0.39994506668294322"/>
      </right>
      <top/>
      <bottom/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/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theme="6" tint="0.39994506668294322"/>
      </top>
      <bottom/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45066682943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/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medium">
        <color theme="6" tint="0.39994506668294322"/>
      </right>
      <top style="medium">
        <color indexed="64"/>
      </top>
      <bottom/>
      <diagonal/>
    </border>
    <border>
      <left style="thick">
        <color rgb="FFC4D79B"/>
      </left>
      <right style="medium">
        <color theme="6" tint="0.39994506668294322"/>
      </right>
      <top style="medium">
        <color indexed="64"/>
      </top>
      <bottom style="thick">
        <color rgb="FFC4D79B"/>
      </bottom>
      <diagonal/>
    </border>
    <border>
      <left style="medium">
        <color theme="6" tint="0.39994506668294322"/>
      </left>
      <right style="thick">
        <color rgb="FFC4D79B"/>
      </right>
      <top style="thick">
        <color rgb="FFC4D79B"/>
      </top>
      <bottom style="thick">
        <color rgb="FFC4D79B"/>
      </bottom>
      <diagonal/>
    </border>
    <border>
      <left style="thick">
        <color rgb="FFC4D79B"/>
      </left>
      <right style="medium">
        <color theme="6" tint="0.39994506668294322"/>
      </right>
      <top style="thick">
        <color rgb="FFC4D79B"/>
      </top>
      <bottom style="thick">
        <color rgb="FFC4D79B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indexed="64"/>
      </top>
      <bottom style="medium">
        <color theme="6" tint="0.399914548173467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1454817346722"/>
      </top>
      <bottom style="medium">
        <color theme="6" tint="0.39994506668294322"/>
      </bottom>
      <diagonal/>
    </border>
    <border>
      <left style="medium">
        <color theme="6" tint="0.39994506668294322"/>
      </left>
      <right/>
      <top/>
      <bottom style="medium">
        <color theme="6" tint="0.39994506668294322"/>
      </bottom>
      <diagonal/>
    </border>
    <border>
      <left style="medium">
        <color theme="6" tint="0.39994506668294322"/>
      </left>
      <right/>
      <top/>
      <bottom/>
      <diagonal/>
    </border>
    <border>
      <left/>
      <right style="medium">
        <color rgb="FFC4D79B"/>
      </right>
      <top style="medium">
        <color indexed="64"/>
      </top>
      <bottom style="medium">
        <color rgb="FFC4D79B"/>
      </bottom>
      <diagonal/>
    </border>
    <border>
      <left style="medium">
        <color rgb="FFC4D79B"/>
      </left>
      <right style="medium">
        <color rgb="FFC4D79B"/>
      </right>
      <top style="medium">
        <color indexed="64"/>
      </top>
      <bottom style="medium">
        <color rgb="FFC4D79B"/>
      </bottom>
      <diagonal/>
    </border>
    <border>
      <left style="medium">
        <color rgb="FFC4D79B"/>
      </left>
      <right style="medium">
        <color theme="6" tint="0.39994506668294322"/>
      </right>
      <top style="medium">
        <color indexed="64"/>
      </top>
      <bottom style="medium">
        <color rgb="FFC4D79B"/>
      </bottom>
      <diagonal/>
    </border>
    <border>
      <left/>
      <right style="medium">
        <color rgb="FFC4D79B"/>
      </right>
      <top style="medium">
        <color rgb="FFC4D79B"/>
      </top>
      <bottom style="medium">
        <color rgb="FFC4D79B"/>
      </bottom>
      <diagonal/>
    </border>
    <border>
      <left style="medium">
        <color rgb="FFC4D79B"/>
      </left>
      <right style="medium">
        <color rgb="FFC4D79B"/>
      </right>
      <top style="medium">
        <color rgb="FFC4D79B"/>
      </top>
      <bottom style="medium">
        <color rgb="FFC4D79B"/>
      </bottom>
      <diagonal/>
    </border>
    <border>
      <left style="medium">
        <color rgb="FFC4D79B"/>
      </left>
      <right style="medium">
        <color theme="6" tint="0.39994506668294322"/>
      </right>
      <top style="medium">
        <color rgb="FFC4D79B"/>
      </top>
      <bottom style="medium">
        <color rgb="FFC4D79B"/>
      </bottom>
      <diagonal/>
    </border>
    <border>
      <left style="medium">
        <color rgb="FFC4D79B"/>
      </left>
      <right/>
      <top style="medium">
        <color rgb="FFC4D79B"/>
      </top>
      <bottom style="medium">
        <color rgb="FFC4D79B"/>
      </bottom>
      <diagonal/>
    </border>
    <border>
      <left/>
      <right style="medium">
        <color rgb="FFC4D79B"/>
      </right>
      <top style="medium">
        <color rgb="FFC4D79B"/>
      </top>
      <bottom/>
      <diagonal/>
    </border>
    <border>
      <left style="medium">
        <color rgb="FFC4D79B"/>
      </left>
      <right style="medium">
        <color rgb="FFC4D79B"/>
      </right>
      <top style="medium">
        <color rgb="FFC4D79B"/>
      </top>
      <bottom/>
      <diagonal/>
    </border>
    <border>
      <left/>
      <right style="medium">
        <color rgb="FFC4D79B"/>
      </right>
      <top style="medium">
        <color rgb="FFC4D79B"/>
      </top>
      <bottom style="medium">
        <color theme="6" tint="0.39991454817346722"/>
      </bottom>
      <diagonal/>
    </border>
    <border>
      <left style="medium">
        <color rgb="FFC4D79B"/>
      </left>
      <right style="medium">
        <color rgb="FFC4D79B"/>
      </right>
      <top style="medium">
        <color rgb="FFC4D79B"/>
      </top>
      <bottom style="medium">
        <color theme="6" tint="0.39991454817346722"/>
      </bottom>
      <diagonal/>
    </border>
    <border>
      <left style="medium">
        <color rgb="FFC4D79B"/>
      </left>
      <right style="medium">
        <color theme="6" tint="0.39994506668294322"/>
      </right>
      <top style="medium">
        <color rgb="FFC4D79B"/>
      </top>
      <bottom style="medium">
        <color theme="6" tint="0.39991454817346722"/>
      </bottom>
      <diagonal/>
    </border>
    <border>
      <left style="medium">
        <color theme="6" tint="0.39994506668294322"/>
      </left>
      <right style="thick">
        <color rgb="FFC4D79B"/>
      </right>
      <top/>
      <bottom style="thick">
        <color rgb="FFC4D79B"/>
      </bottom>
      <diagonal/>
    </border>
    <border>
      <left style="thick">
        <color rgb="FFC4D79B"/>
      </left>
      <right style="medium">
        <color theme="6" tint="0.39994506668294322"/>
      </right>
      <top/>
      <bottom style="thick">
        <color rgb="FFC4D79B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indexed="64"/>
      </top>
      <bottom style="thick">
        <color theme="6" tint="0.3999145481734672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6" tint="0.39991454817346722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</borders>
  <cellStyleXfs count="92">
    <xf numFmtId="0" fontId="0" fillId="0" borderId="0"/>
    <xf numFmtId="43" fontId="15" fillId="0" borderId="0" applyFont="0" applyFill="0" applyBorder="0" applyAlignment="0" applyProtection="0"/>
    <xf numFmtId="0" fontId="14" fillId="0" borderId="0"/>
    <xf numFmtId="9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16" fillId="0" borderId="0"/>
    <xf numFmtId="0" fontId="17" fillId="0" borderId="0"/>
    <xf numFmtId="44" fontId="16" fillId="0" borderId="0" applyFont="0" applyFill="0" applyBorder="0" applyAlignment="0" applyProtection="0"/>
    <xf numFmtId="0" fontId="18" fillId="0" borderId="0"/>
    <xf numFmtId="43" fontId="4" fillId="0" borderId="0" applyFont="0" applyFill="0" applyBorder="0" applyAlignment="0" applyProtection="0"/>
    <xf numFmtId="0" fontId="16" fillId="0" borderId="0"/>
    <xf numFmtId="0" fontId="5" fillId="0" borderId="0"/>
    <xf numFmtId="43" fontId="14" fillId="0" borderId="0" applyFont="0" applyFill="0" applyBorder="0" applyAlignment="0" applyProtection="0"/>
    <xf numFmtId="0" fontId="16" fillId="0" borderId="0"/>
    <xf numFmtId="0" fontId="4" fillId="0" borderId="0"/>
    <xf numFmtId="9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23" fillId="9" borderId="0" applyNumberFormat="0" applyBorder="0" applyAlignment="0" applyProtection="0"/>
    <xf numFmtId="0" fontId="23" fillId="7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7" borderId="0" applyNumberFormat="0" applyBorder="0" applyAlignment="0" applyProtection="0"/>
    <xf numFmtId="0" fontId="24" fillId="14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0" borderId="0" applyNumberFormat="0" applyBorder="0" applyAlignment="0" applyProtection="0"/>
    <xf numFmtId="0" fontId="24" fillId="14" borderId="0" applyNumberFormat="0" applyBorder="0" applyAlignment="0" applyProtection="0"/>
    <xf numFmtId="0" fontId="24" fillId="7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4" borderId="0" applyNumberFormat="0" applyBorder="0" applyAlignment="0" applyProtection="0"/>
    <xf numFmtId="0" fontId="24" fillId="18" borderId="0" applyNumberFormat="0" applyBorder="0" applyAlignment="0" applyProtection="0"/>
    <xf numFmtId="0" fontId="25" fillId="19" borderId="0" applyNumberFormat="0" applyBorder="0" applyAlignment="0" applyProtection="0"/>
    <xf numFmtId="0" fontId="26" fillId="6" borderId="48" applyNumberFormat="0" applyAlignment="0" applyProtection="0"/>
    <xf numFmtId="0" fontId="27" fillId="20" borderId="49" applyNumberFormat="0" applyAlignment="0" applyProtection="0"/>
    <xf numFmtId="44" fontId="2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21" borderId="0" applyNumberFormat="0" applyBorder="0" applyAlignment="0" applyProtection="0"/>
    <xf numFmtId="0" fontId="30" fillId="0" borderId="50" applyNumberFormat="0" applyFill="0" applyAlignment="0" applyProtection="0"/>
    <xf numFmtId="0" fontId="31" fillId="0" borderId="51" applyNumberFormat="0" applyFill="0" applyAlignment="0" applyProtection="0"/>
    <xf numFmtId="0" fontId="32" fillId="0" borderId="52" applyNumberFormat="0" applyFill="0" applyAlignment="0" applyProtection="0"/>
    <xf numFmtId="0" fontId="32" fillId="0" borderId="0" applyNumberFormat="0" applyFill="0" applyBorder="0" applyAlignment="0" applyProtection="0"/>
    <xf numFmtId="0" fontId="33" fillId="7" borderId="48" applyNumberFormat="0" applyAlignment="0" applyProtection="0"/>
    <xf numFmtId="0" fontId="34" fillId="0" borderId="53" applyNumberFormat="0" applyFill="0" applyAlignment="0" applyProtection="0"/>
    <xf numFmtId="0" fontId="35" fillId="12" borderId="0" applyNumberFormat="0" applyBorder="0" applyAlignment="0" applyProtection="0"/>
    <xf numFmtId="0" fontId="4" fillId="0" borderId="0"/>
    <xf numFmtId="0" fontId="23" fillId="8" borderId="54" applyNumberFormat="0" applyFont="0" applyAlignment="0" applyProtection="0"/>
    <xf numFmtId="0" fontId="36" fillId="6" borderId="55" applyNumberFormat="0" applyAlignment="0" applyProtection="0"/>
    <xf numFmtId="0" fontId="37" fillId="0" borderId="0" applyNumberFormat="0" applyFill="0" applyBorder="0" applyAlignment="0" applyProtection="0"/>
    <xf numFmtId="0" fontId="38" fillId="0" borderId="56" applyNumberFormat="0" applyFill="0" applyAlignment="0" applyProtection="0"/>
    <xf numFmtId="0" fontId="39" fillId="0" borderId="0" applyNumberFormat="0" applyFill="0" applyBorder="0" applyAlignment="0" applyProtection="0"/>
    <xf numFmtId="0" fontId="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6" fillId="0" borderId="0"/>
    <xf numFmtId="0" fontId="1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16" fillId="0" borderId="0"/>
    <xf numFmtId="43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6" fillId="0" borderId="0"/>
    <xf numFmtId="0" fontId="14" fillId="0" borderId="0"/>
  </cellStyleXfs>
  <cellXfs count="364">
    <xf numFmtId="0" fontId="0" fillId="0" borderId="0" xfId="0"/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17" fontId="6" fillId="0" borderId="0" xfId="0" quotePrefix="1" applyNumberFormat="1" applyFont="1" applyAlignment="1">
      <alignment horizontal="center" wrapText="1"/>
    </xf>
    <xf numFmtId="0" fontId="0" fillId="0" borderId="0" xfId="0" applyFill="1"/>
    <xf numFmtId="49" fontId="0" fillId="2" borderId="0" xfId="0" applyNumberFormat="1" applyFill="1"/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/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8" fillId="2" borderId="0" xfId="0" applyFont="1" applyFill="1"/>
    <xf numFmtId="0" fontId="6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3" fontId="4" fillId="0" borderId="0" xfId="0" applyNumberFormat="1" applyFont="1" applyBorder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0" borderId="0" xfId="0" applyNumberFormat="1" applyFill="1"/>
    <xf numFmtId="49" fontId="0" fillId="0" borderId="0" xfId="0" applyNumberFormat="1" applyFill="1"/>
    <xf numFmtId="0" fontId="10" fillId="0" borderId="0" xfId="0" applyFont="1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vertical="center"/>
    </xf>
    <xf numFmtId="4" fontId="0" fillId="0" borderId="0" xfId="0" applyNumberFormat="1" applyFill="1"/>
    <xf numFmtId="4" fontId="0" fillId="0" borderId="0" xfId="0" applyNumberFormat="1" applyFill="1" applyAlignment="1">
      <alignment wrapText="1"/>
    </xf>
    <xf numFmtId="0" fontId="3" fillId="0" borderId="0" xfId="0" applyFont="1" applyFill="1" applyAlignment="1">
      <alignment horizontal="left"/>
    </xf>
    <xf numFmtId="49" fontId="0" fillId="4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8" fillId="4" borderId="0" xfId="0" applyFont="1" applyFill="1"/>
    <xf numFmtId="0" fontId="6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3" fontId="0" fillId="4" borderId="6" xfId="0" applyNumberFormat="1" applyFill="1" applyBorder="1"/>
    <xf numFmtId="3" fontId="0" fillId="4" borderId="8" xfId="0" applyNumberFormat="1" applyFill="1" applyBorder="1"/>
    <xf numFmtId="17" fontId="6" fillId="0" borderId="3" xfId="0" quotePrefix="1" applyNumberFormat="1" applyFont="1" applyBorder="1" applyAlignment="1">
      <alignment horizontal="center" wrapText="1"/>
    </xf>
    <xf numFmtId="17" fontId="6" fillId="0" borderId="1" xfId="0" quotePrefix="1" applyNumberFormat="1" applyFont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6" fillId="5" borderId="3" xfId="0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12" fillId="4" borderId="0" xfId="0" applyFont="1" applyFill="1"/>
    <xf numFmtId="3" fontId="6" fillId="0" borderId="0" xfId="0" applyNumberFormat="1" applyFont="1" applyFill="1"/>
    <xf numFmtId="0" fontId="6" fillId="0" borderId="0" xfId="0" applyFont="1"/>
    <xf numFmtId="0" fontId="6" fillId="0" borderId="0" xfId="0" applyFont="1" applyFill="1"/>
    <xf numFmtId="38" fontId="6" fillId="0" borderId="0" xfId="0" applyNumberFormat="1" applyFont="1" applyFill="1"/>
    <xf numFmtId="0" fontId="10" fillId="4" borderId="0" xfId="0" applyFont="1" applyFill="1" applyAlignment="1">
      <alignment horizontal="center" wrapText="1"/>
    </xf>
    <xf numFmtId="3" fontId="0" fillId="0" borderId="0" xfId="0" applyNumberFormat="1" applyFill="1" applyBorder="1"/>
    <xf numFmtId="0" fontId="0" fillId="0" borderId="0" xfId="0" applyFill="1" applyBorder="1"/>
    <xf numFmtId="0" fontId="13" fillId="4" borderId="0" xfId="0" applyFont="1" applyFill="1"/>
    <xf numFmtId="0" fontId="11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8" fillId="4" borderId="0" xfId="0" applyFont="1" applyFill="1"/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17" fontId="6" fillId="0" borderId="1" xfId="0" applyNumberFormat="1" applyFont="1" applyFill="1" applyBorder="1" applyAlignment="1">
      <alignment horizontal="center" wrapText="1"/>
    </xf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9" fillId="4" borderId="0" xfId="0" applyFont="1" applyFill="1"/>
    <xf numFmtId="0" fontId="11" fillId="4" borderId="0" xfId="0" applyFont="1" applyFill="1"/>
    <xf numFmtId="3" fontId="6" fillId="4" borderId="8" xfId="0" applyNumberFormat="1" applyFont="1" applyFill="1" applyBorder="1"/>
    <xf numFmtId="3" fontId="6" fillId="0" borderId="9" xfId="0" applyNumberFormat="1" applyFont="1" applyFill="1" applyBorder="1"/>
    <xf numFmtId="0" fontId="6" fillId="4" borderId="15" xfId="0" applyFont="1" applyFill="1" applyBorder="1"/>
    <xf numFmtId="3" fontId="0" fillId="4" borderId="11" xfId="0" applyNumberFormat="1" applyFill="1" applyBorder="1"/>
    <xf numFmtId="0" fontId="6" fillId="4" borderId="8" xfId="0" applyFont="1" applyFill="1" applyBorder="1"/>
    <xf numFmtId="3" fontId="6" fillId="0" borderId="8" xfId="0" applyNumberFormat="1" applyFont="1" applyFill="1" applyBorder="1"/>
    <xf numFmtId="0" fontId="0" fillId="4" borderId="6" xfId="0" applyFill="1" applyBorder="1"/>
    <xf numFmtId="0" fontId="6" fillId="5" borderId="4" xfId="0" applyFont="1" applyFill="1" applyBorder="1" applyAlignment="1">
      <alignment horizontal="center" wrapText="1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0" fontId="3" fillId="4" borderId="15" xfId="0" applyFont="1" applyFill="1" applyBorder="1" applyAlignment="1">
      <alignment horizontal="left"/>
    </xf>
    <xf numFmtId="3" fontId="6" fillId="4" borderId="15" xfId="0" applyNumberFormat="1" applyFont="1" applyFill="1" applyBorder="1"/>
    <xf numFmtId="3" fontId="6" fillId="0" borderId="15" xfId="0" applyNumberFormat="1" applyFont="1" applyFill="1" applyBorder="1"/>
    <xf numFmtId="0" fontId="0" fillId="4" borderId="15" xfId="0" applyFill="1" applyBorder="1" applyAlignment="1">
      <alignment horizontal="center"/>
    </xf>
    <xf numFmtId="0" fontId="0" fillId="4" borderId="15" xfId="0" applyFill="1" applyBorder="1"/>
    <xf numFmtId="3" fontId="0" fillId="4" borderId="15" xfId="0" applyNumberFormat="1" applyFill="1" applyBorder="1" applyAlignment="1">
      <alignment horizontal="right"/>
    </xf>
    <xf numFmtId="3" fontId="0" fillId="4" borderId="15" xfId="0" applyNumberFormat="1" applyFill="1" applyBorder="1"/>
    <xf numFmtId="0" fontId="11" fillId="4" borderId="0" xfId="0" quotePrefix="1" applyFont="1" applyFill="1" applyAlignment="1">
      <alignment horizontal="left"/>
    </xf>
    <xf numFmtId="3" fontId="0" fillId="4" borderId="8" xfId="0" applyNumberFormat="1" applyFont="1" applyFill="1" applyBorder="1"/>
    <xf numFmtId="3" fontId="0" fillId="4" borderId="19" xfId="0" applyNumberFormat="1" applyFont="1" applyFill="1" applyBorder="1"/>
    <xf numFmtId="3" fontId="0" fillId="4" borderId="6" xfId="0" applyNumberFormat="1" applyFont="1" applyFill="1" applyBorder="1"/>
    <xf numFmtId="3" fontId="0" fillId="4" borderId="13" xfId="0" applyNumberFormat="1" applyFont="1" applyFill="1" applyBorder="1"/>
    <xf numFmtId="3" fontId="0" fillId="4" borderId="18" xfId="0" applyNumberFormat="1" applyFont="1" applyFill="1" applyBorder="1"/>
    <xf numFmtId="3" fontId="0" fillId="4" borderId="16" xfId="0" applyNumberFormat="1" applyFont="1" applyFill="1" applyBorder="1"/>
    <xf numFmtId="38" fontId="6" fillId="4" borderId="8" xfId="0" applyNumberFormat="1" applyFont="1" applyFill="1" applyBorder="1"/>
    <xf numFmtId="38" fontId="6" fillId="0" borderId="8" xfId="0" applyNumberFormat="1" applyFont="1" applyFill="1" applyBorder="1"/>
    <xf numFmtId="3" fontId="0" fillId="0" borderId="0" xfId="0" applyNumberFormat="1" applyFont="1"/>
    <xf numFmtId="0" fontId="0" fillId="0" borderId="0" xfId="0" applyFont="1"/>
    <xf numFmtId="3" fontId="0" fillId="4" borderId="12" xfId="0" applyNumberFormat="1" applyFont="1" applyFill="1" applyBorder="1"/>
    <xf numFmtId="3" fontId="0" fillId="4" borderId="14" xfId="0" applyNumberFormat="1" applyFont="1" applyFill="1" applyBorder="1"/>
    <xf numFmtId="3" fontId="0" fillId="4" borderId="17" xfId="0" applyNumberFormat="1" applyFont="1" applyFill="1" applyBorder="1"/>
    <xf numFmtId="0" fontId="19" fillId="4" borderId="7" xfId="0" applyFont="1" applyFill="1" applyBorder="1" applyAlignment="1">
      <alignment horizontal="center"/>
    </xf>
    <xf numFmtId="3" fontId="19" fillId="4" borderId="8" xfId="0" applyNumberFormat="1" applyFont="1" applyFill="1" applyBorder="1" applyAlignment="1">
      <alignment horizontal="left"/>
    </xf>
    <xf numFmtId="0" fontId="19" fillId="4" borderId="7" xfId="0" quotePrefix="1" applyFont="1" applyFill="1" applyBorder="1" applyAlignment="1">
      <alignment horizontal="left"/>
    </xf>
    <xf numFmtId="3" fontId="7" fillId="4" borderId="8" xfId="0" applyNumberFormat="1" applyFont="1" applyFill="1" applyBorder="1" applyAlignment="1">
      <alignment horizontal="left"/>
    </xf>
    <xf numFmtId="0" fontId="0" fillId="4" borderId="5" xfId="0" quotePrefix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/>
    <xf numFmtId="38" fontId="0" fillId="0" borderId="0" xfId="0" applyNumberFormat="1" applyFill="1" applyAlignment="1">
      <alignment wrapText="1"/>
    </xf>
    <xf numFmtId="38" fontId="0" fillId="0" borderId="0" xfId="0" applyNumberFormat="1" applyFill="1"/>
    <xf numFmtId="49" fontId="6" fillId="0" borderId="1" xfId="0" quotePrefix="1" applyNumberFormat="1" applyFont="1" applyFill="1" applyBorder="1" applyAlignment="1">
      <alignment horizontal="center" vertical="center"/>
    </xf>
    <xf numFmtId="0" fontId="10" fillId="0" borderId="0" xfId="0" applyFont="1" applyFill="1" applyBorder="1"/>
    <xf numFmtId="4" fontId="0" fillId="4" borderId="8" xfId="0" applyNumberFormat="1" applyFill="1" applyBorder="1"/>
    <xf numFmtId="3" fontId="6" fillId="0" borderId="0" xfId="0" applyNumberFormat="1" applyFont="1" applyFill="1" applyBorder="1"/>
    <xf numFmtId="4" fontId="0" fillId="4" borderId="8" xfId="0" quotePrefix="1" applyNumberFormat="1" applyFill="1" applyBorder="1"/>
    <xf numFmtId="0" fontId="6" fillId="0" borderId="0" xfId="0" applyFont="1" applyFill="1"/>
    <xf numFmtId="0" fontId="11" fillId="4" borderId="0" xfId="0" applyFont="1" applyFill="1" applyAlignment="1">
      <alignment horizontal="left"/>
    </xf>
    <xf numFmtId="0" fontId="6" fillId="5" borderId="4" xfId="0" applyFont="1" applyFill="1" applyBorder="1" applyAlignment="1">
      <alignment horizontal="center" wrapText="1"/>
    </xf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17" fontId="6" fillId="0" borderId="3" xfId="0" quotePrefix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17" fontId="6" fillId="0" borderId="1" xfId="0" quotePrefix="1" applyNumberFormat="1" applyFont="1" applyFill="1" applyBorder="1" applyAlignment="1">
      <alignment horizontal="center" vertical="center" wrapText="1"/>
    </xf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0" fontId="6" fillId="5" borderId="4" xfId="0" applyFont="1" applyFill="1" applyBorder="1" applyAlignment="1">
      <alignment horizontal="center" vertical="center" wrapText="1"/>
    </xf>
    <xf numFmtId="3" fontId="6" fillId="0" borderId="8" xfId="0" applyNumberFormat="1" applyFont="1" applyFill="1" applyBorder="1"/>
    <xf numFmtId="4" fontId="0" fillId="4" borderId="8" xfId="0" applyNumberFormat="1" applyFill="1" applyBorder="1"/>
    <xf numFmtId="0" fontId="11" fillId="4" borderId="0" xfId="0" quotePrefix="1" applyFont="1" applyFill="1" applyAlignment="1">
      <alignment horizontal="left"/>
    </xf>
    <xf numFmtId="164" fontId="0" fillId="4" borderId="8" xfId="0" applyNumberFormat="1" applyFill="1" applyBorder="1" applyAlignment="1">
      <alignment horizontal="left" vertical="top"/>
    </xf>
    <xf numFmtId="0" fontId="0" fillId="0" borderId="0" xfId="0" applyFill="1" applyAlignment="1">
      <alignment vertical="top"/>
    </xf>
    <xf numFmtId="3" fontId="0" fillId="0" borderId="0" xfId="0" applyNumberFormat="1" applyFill="1" applyAlignment="1">
      <alignment vertical="top"/>
    </xf>
    <xf numFmtId="3" fontId="0" fillId="4" borderId="8" xfId="0" applyNumberFormat="1" applyFill="1" applyBorder="1" applyAlignment="1">
      <alignment vertical="top"/>
    </xf>
    <xf numFmtId="3" fontId="0" fillId="4" borderId="8" xfId="0" applyNumberFormat="1" applyFill="1" applyBorder="1" applyAlignment="1">
      <alignment vertical="top" wrapText="1"/>
    </xf>
    <xf numFmtId="0" fontId="6" fillId="5" borderId="1" xfId="0" applyFont="1" applyFill="1" applyBorder="1" applyAlignment="1">
      <alignment horizontal="center" wrapText="1"/>
    </xf>
    <xf numFmtId="3" fontId="7" fillId="0" borderId="0" xfId="0" applyNumberFormat="1" applyFont="1" applyFill="1"/>
    <xf numFmtId="3" fontId="0" fillId="4" borderId="22" xfId="0" applyNumberFormat="1" applyFill="1" applyBorder="1" applyAlignment="1">
      <alignment vertical="top" wrapText="1"/>
    </xf>
    <xf numFmtId="0" fontId="9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3" fontId="0" fillId="4" borderId="22" xfId="0" applyNumberFormat="1" applyFill="1" applyBorder="1" applyAlignment="1">
      <alignment horizontal="center" vertical="top"/>
    </xf>
    <xf numFmtId="0" fontId="10" fillId="4" borderId="0" xfId="0" applyFont="1" applyFill="1" applyAlignment="1">
      <alignment horizontal="center"/>
    </xf>
    <xf numFmtId="3" fontId="0" fillId="4" borderId="22" xfId="0" applyNumberFormat="1" applyFill="1" applyBorder="1" applyAlignment="1">
      <alignment vertical="top"/>
    </xf>
    <xf numFmtId="165" fontId="0" fillId="4" borderId="21" xfId="0" applyNumberFormat="1" applyFill="1" applyBorder="1"/>
    <xf numFmtId="165" fontId="0" fillId="4" borderId="22" xfId="0" applyNumberFormat="1" applyFill="1" applyBorder="1"/>
    <xf numFmtId="166" fontId="0" fillId="0" borderId="0" xfId="24" applyNumberFormat="1" applyFont="1" applyFill="1"/>
    <xf numFmtId="3" fontId="0" fillId="4" borderId="11" xfId="0" applyNumberFormat="1" applyFill="1" applyBorder="1" applyAlignment="1">
      <alignment vertical="top"/>
    </xf>
    <xf numFmtId="165" fontId="0" fillId="4" borderId="23" xfId="0" applyNumberFormat="1" applyFill="1" applyBorder="1"/>
    <xf numFmtId="0" fontId="0" fillId="4" borderId="25" xfId="0" applyFill="1" applyBorder="1"/>
    <xf numFmtId="3" fontId="0" fillId="4" borderId="25" xfId="0" applyNumberFormat="1" applyFill="1" applyBorder="1"/>
    <xf numFmtId="0" fontId="0" fillId="4" borderId="24" xfId="0" applyFill="1" applyBorder="1"/>
    <xf numFmtId="0" fontId="0" fillId="4" borderId="24" xfId="0" applyFill="1" applyBorder="1" applyAlignment="1">
      <alignment horizontal="center"/>
    </xf>
    <xf numFmtId="3" fontId="0" fillId="4" borderId="24" xfId="0" applyNumberFormat="1" applyFill="1" applyBorder="1"/>
    <xf numFmtId="3" fontId="0" fillId="0" borderId="0" xfId="0" applyNumberFormat="1"/>
    <xf numFmtId="3" fontId="0" fillId="4" borderId="6" xfId="0" applyNumberFormat="1" applyFill="1" applyBorder="1"/>
    <xf numFmtId="3" fontId="0" fillId="4" borderId="8" xfId="0" applyNumberFormat="1" applyFill="1" applyBorder="1"/>
    <xf numFmtId="0" fontId="21" fillId="4" borderId="0" xfId="0" applyFont="1" applyFill="1" applyAlignment="1">
      <alignment horizontal="center"/>
    </xf>
    <xf numFmtId="3" fontId="0" fillId="4" borderId="27" xfId="0" applyNumberFormat="1" applyFont="1" applyFill="1" applyBorder="1"/>
    <xf numFmtId="3" fontId="0" fillId="4" borderId="28" xfId="0" applyNumberFormat="1" applyFont="1" applyFill="1" applyBorder="1"/>
    <xf numFmtId="3" fontId="0" fillId="4" borderId="29" xfId="0" applyNumberFormat="1" applyFont="1" applyFill="1" applyBorder="1"/>
    <xf numFmtId="0" fontId="6" fillId="4" borderId="0" xfId="0" applyFont="1" applyFill="1"/>
    <xf numFmtId="38" fontId="0" fillId="0" borderId="0" xfId="0" applyNumberFormat="1"/>
    <xf numFmtId="38" fontId="6" fillId="4" borderId="31" xfId="0" applyNumberFormat="1" applyFont="1" applyFill="1" applyBorder="1"/>
    <xf numFmtId="0" fontId="7" fillId="4" borderId="34" xfId="0" quotePrefix="1" applyFont="1" applyFill="1" applyBorder="1" applyAlignment="1">
      <alignment horizontal="center"/>
    </xf>
    <xf numFmtId="0" fontId="7" fillId="4" borderId="35" xfId="0" applyFont="1" applyFill="1" applyBorder="1" applyAlignment="1">
      <alignment horizontal="left" wrapText="1"/>
    </xf>
    <xf numFmtId="38" fontId="0" fillId="4" borderId="35" xfId="0" applyNumberFormat="1" applyFill="1" applyBorder="1" applyAlignment="1">
      <alignment vertical="top"/>
    </xf>
    <xf numFmtId="38" fontId="0" fillId="4" borderId="36" xfId="0" applyNumberFormat="1" applyFill="1" applyBorder="1" applyAlignment="1">
      <alignment vertical="top"/>
    </xf>
    <xf numFmtId="0" fontId="7" fillId="4" borderId="37" xfId="0" quotePrefix="1" applyFont="1" applyFill="1" applyBorder="1" applyAlignment="1">
      <alignment horizontal="center"/>
    </xf>
    <xf numFmtId="0" fontId="7" fillId="4" borderId="38" xfId="0" applyFont="1" applyFill="1" applyBorder="1" applyAlignment="1">
      <alignment horizontal="left" wrapText="1"/>
    </xf>
    <xf numFmtId="38" fontId="0" fillId="4" borderId="38" xfId="0" applyNumberFormat="1" applyFill="1" applyBorder="1" applyAlignment="1">
      <alignment vertical="top"/>
    </xf>
    <xf numFmtId="38" fontId="0" fillId="4" borderId="39" xfId="0" applyNumberFormat="1" applyFill="1" applyBorder="1" applyAlignment="1">
      <alignment vertical="top"/>
    </xf>
    <xf numFmtId="0" fontId="7" fillId="4" borderId="38" xfId="0" quotePrefix="1" applyFont="1" applyFill="1" applyBorder="1" applyAlignment="1">
      <alignment horizontal="left" wrapText="1"/>
    </xf>
    <xf numFmtId="0" fontId="7" fillId="4" borderId="37" xfId="0" applyFont="1" applyFill="1" applyBorder="1" applyAlignment="1">
      <alignment horizontal="center"/>
    </xf>
    <xf numFmtId="0" fontId="0" fillId="4" borderId="37" xfId="0" applyFont="1" applyFill="1" applyBorder="1" applyAlignment="1">
      <alignment horizontal="center"/>
    </xf>
    <xf numFmtId="0" fontId="0" fillId="4" borderId="38" xfId="0" applyFont="1" applyFill="1" applyBorder="1"/>
    <xf numFmtId="38" fontId="7" fillId="4" borderId="39" xfId="0" applyNumberFormat="1" applyFont="1" applyFill="1" applyBorder="1" applyAlignment="1">
      <alignment horizontal="right" vertical="top"/>
    </xf>
    <xf numFmtId="49" fontId="0" fillId="4" borderId="37" xfId="0" applyNumberFormat="1" applyFont="1" applyFill="1" applyBorder="1"/>
    <xf numFmtId="38" fontId="7" fillId="4" borderId="35" xfId="0" applyNumberFormat="1" applyFont="1" applyFill="1" applyBorder="1" applyAlignment="1">
      <alignment horizontal="right"/>
    </xf>
    <xf numFmtId="38" fontId="7" fillId="4" borderId="38" xfId="0" applyNumberFormat="1" applyFont="1" applyFill="1" applyBorder="1" applyAlignment="1">
      <alignment horizontal="right"/>
    </xf>
    <xf numFmtId="38" fontId="0" fillId="4" borderId="38" xfId="0" applyNumberFormat="1" applyFont="1" applyFill="1" applyBorder="1" applyAlignment="1">
      <alignment horizontal="right"/>
    </xf>
    <xf numFmtId="38" fontId="19" fillId="4" borderId="38" xfId="0" applyNumberFormat="1" applyFont="1" applyFill="1" applyBorder="1" applyAlignment="1">
      <alignment horizontal="right" wrapText="1"/>
    </xf>
    <xf numFmtId="0" fontId="0" fillId="0" borderId="0" xfId="0" applyFill="1" applyAlignment="1">
      <alignment horizontal="right"/>
    </xf>
    <xf numFmtId="0" fontId="0" fillId="4" borderId="35" xfId="0" applyFill="1" applyBorder="1"/>
    <xf numFmtId="38" fontId="0" fillId="4" borderId="39" xfId="0" applyNumberFormat="1" applyFont="1" applyFill="1" applyBorder="1" applyAlignment="1">
      <alignment horizontal="right"/>
    </xf>
    <xf numFmtId="49" fontId="0" fillId="4" borderId="34" xfId="0" applyNumberFormat="1" applyFill="1" applyBorder="1"/>
    <xf numFmtId="38" fontId="0" fillId="4" borderId="36" xfId="0" applyNumberFormat="1" applyFill="1" applyBorder="1"/>
    <xf numFmtId="49" fontId="0" fillId="4" borderId="37" xfId="0" applyNumberFormat="1" applyFill="1" applyBorder="1"/>
    <xf numFmtId="0" fontId="0" fillId="4" borderId="38" xfId="0" applyFill="1" applyBorder="1"/>
    <xf numFmtId="38" fontId="0" fillId="4" borderId="39" xfId="0" applyNumberFormat="1" applyFill="1" applyBorder="1"/>
    <xf numFmtId="49" fontId="0" fillId="4" borderId="43" xfId="0" applyNumberFormat="1" applyFill="1" applyBorder="1"/>
    <xf numFmtId="0" fontId="0" fillId="4" borderId="44" xfId="0" applyFill="1" applyBorder="1"/>
    <xf numFmtId="38" fontId="0" fillId="4" borderId="45" xfId="0" applyNumberFormat="1" applyFill="1" applyBorder="1"/>
    <xf numFmtId="0" fontId="7" fillId="4" borderId="38" xfId="0" applyFont="1" applyFill="1" applyBorder="1" applyAlignment="1">
      <alignment horizontal="left"/>
    </xf>
    <xf numFmtId="38" fontId="0" fillId="4" borderId="40" xfId="0" applyNumberFormat="1" applyFill="1" applyBorder="1" applyAlignment="1">
      <alignment vertical="top"/>
    </xf>
    <xf numFmtId="38" fontId="6" fillId="0" borderId="0" xfId="0" applyNumberFormat="1" applyFont="1" applyFill="1" applyBorder="1" applyAlignment="1">
      <alignment horizontal="right"/>
    </xf>
    <xf numFmtId="0" fontId="0" fillId="0" borderId="38" xfId="0" applyFont="1" applyFill="1" applyBorder="1"/>
    <xf numFmtId="38" fontId="0" fillId="4" borderId="40" xfId="0" applyNumberFormat="1" applyFont="1" applyFill="1" applyBorder="1" applyAlignment="1">
      <alignment horizontal="right"/>
    </xf>
    <xf numFmtId="3" fontId="7" fillId="4" borderId="38" xfId="0" applyNumberFormat="1" applyFont="1" applyFill="1" applyBorder="1"/>
    <xf numFmtId="3" fontId="0" fillId="4" borderId="38" xfId="0" applyNumberFormat="1" applyFont="1" applyFill="1" applyBorder="1"/>
    <xf numFmtId="0" fontId="0" fillId="4" borderId="41" xfId="0" applyFont="1" applyFill="1" applyBorder="1"/>
    <xf numFmtId="0" fontId="0" fillId="4" borderId="42" xfId="0" applyFont="1" applyFill="1" applyBorder="1"/>
    <xf numFmtId="40" fontId="0" fillId="4" borderId="42" xfId="0" applyNumberFormat="1" applyFont="1" applyFill="1" applyBorder="1"/>
    <xf numFmtId="38" fontId="0" fillId="4" borderId="6" xfId="0" applyNumberFormat="1" applyFont="1" applyFill="1" applyBorder="1"/>
    <xf numFmtId="38" fontId="0" fillId="4" borderId="13" xfId="0" applyNumberFormat="1" applyFont="1" applyFill="1" applyBorder="1"/>
    <xf numFmtId="3" fontId="0" fillId="0" borderId="0" xfId="0" applyNumberFormat="1" applyFont="1" applyFill="1"/>
    <xf numFmtId="38" fontId="0" fillId="0" borderId="0" xfId="0" applyNumberFormat="1" applyFont="1"/>
    <xf numFmtId="38" fontId="0" fillId="4" borderId="20" xfId="0" applyNumberFormat="1" applyFont="1" applyFill="1" applyBorder="1"/>
    <xf numFmtId="3" fontId="0" fillId="4" borderId="11" xfId="0" applyNumberFormat="1" applyFont="1" applyFill="1" applyBorder="1"/>
    <xf numFmtId="38" fontId="0" fillId="4" borderId="33" xfId="0" applyNumberFormat="1" applyFont="1" applyFill="1" applyBorder="1"/>
    <xf numFmtId="0" fontId="7" fillId="4" borderId="5" xfId="0" quotePrefix="1" applyFont="1" applyFill="1" applyBorder="1" applyAlignment="1">
      <alignment horizontal="left" vertical="top"/>
    </xf>
    <xf numFmtId="3" fontId="7" fillId="4" borderId="6" xfId="0" applyNumberFormat="1" applyFont="1" applyFill="1" applyBorder="1" applyAlignment="1">
      <alignment horizontal="left" vertical="top"/>
    </xf>
    <xf numFmtId="0" fontId="7" fillId="4" borderId="7" xfId="0" quotePrefix="1" applyFont="1" applyFill="1" applyBorder="1" applyAlignment="1">
      <alignment horizontal="left" vertical="top"/>
    </xf>
    <xf numFmtId="3" fontId="7" fillId="4" borderId="8" xfId="0" applyNumberFormat="1" applyFont="1" applyFill="1" applyBorder="1" applyAlignment="1">
      <alignment horizontal="left" vertical="top"/>
    </xf>
    <xf numFmtId="0" fontId="7" fillId="4" borderId="7" xfId="0" applyFont="1" applyFill="1" applyBorder="1" applyAlignment="1">
      <alignment horizontal="left" vertical="top"/>
    </xf>
    <xf numFmtId="0" fontId="7" fillId="4" borderId="10" xfId="0" applyFont="1" applyFill="1" applyBorder="1" applyAlignment="1">
      <alignment horizontal="left" vertical="top"/>
    </xf>
    <xf numFmtId="3" fontId="7" fillId="4" borderId="11" xfId="0" applyNumberFormat="1" applyFont="1" applyFill="1" applyBorder="1" applyAlignment="1">
      <alignment horizontal="left" vertical="top"/>
    </xf>
    <xf numFmtId="0" fontId="19" fillId="4" borderId="10" xfId="0" applyFont="1" applyFill="1" applyBorder="1" applyAlignment="1">
      <alignment horizontal="left"/>
    </xf>
    <xf numFmtId="3" fontId="7" fillId="4" borderId="11" xfId="0" applyNumberFormat="1" applyFont="1" applyFill="1" applyBorder="1" applyAlignment="1">
      <alignment horizontal="left"/>
    </xf>
    <xf numFmtId="0" fontId="6" fillId="0" borderId="2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3" fontId="0" fillId="4" borderId="46" xfId="0" applyNumberFormat="1" applyFont="1" applyFill="1" applyBorder="1"/>
    <xf numFmtId="3" fontId="0" fillId="4" borderId="47" xfId="0" applyNumberFormat="1" applyFont="1" applyFill="1" applyBorder="1"/>
    <xf numFmtId="44" fontId="0" fillId="4" borderId="8" xfId="25" applyFont="1" applyFill="1" applyBorder="1" applyAlignment="1">
      <alignment vertical="top" wrapText="1"/>
    </xf>
    <xf numFmtId="44" fontId="0" fillId="4" borderId="11" xfId="25" applyFont="1" applyFill="1" applyBorder="1" applyAlignment="1">
      <alignment horizontal="right"/>
    </xf>
    <xf numFmtId="44" fontId="0" fillId="4" borderId="8" xfId="25" applyFont="1" applyFill="1" applyBorder="1"/>
    <xf numFmtId="44" fontId="0" fillId="4" borderId="8" xfId="25" applyFont="1" applyFill="1" applyBorder="1" applyAlignment="1">
      <alignment vertical="top"/>
    </xf>
    <xf numFmtId="44" fontId="6" fillId="4" borderId="15" xfId="25" applyFont="1" applyFill="1" applyBorder="1"/>
    <xf numFmtId="44" fontId="0" fillId="4" borderId="6" xfId="25" applyFont="1" applyFill="1" applyBorder="1"/>
    <xf numFmtId="3" fontId="0" fillId="4" borderId="8" xfId="0" quotePrefix="1" applyNumberFormat="1" applyFill="1" applyBorder="1"/>
    <xf numFmtId="44" fontId="6" fillId="4" borderId="8" xfId="25" applyFont="1" applyFill="1" applyBorder="1"/>
    <xf numFmtId="44" fontId="0" fillId="4" borderId="11" xfId="25" applyFont="1" applyFill="1" applyBorder="1"/>
    <xf numFmtId="0" fontId="0" fillId="0" borderId="0" xfId="0"/>
    <xf numFmtId="0" fontId="0" fillId="0" borderId="0" xfId="0"/>
    <xf numFmtId="0" fontId="0" fillId="0" borderId="0" xfId="0"/>
    <xf numFmtId="44" fontId="5" fillId="4" borderId="8" xfId="25" applyFont="1" applyFill="1" applyBorder="1"/>
    <xf numFmtId="3" fontId="9" fillId="4" borderId="0" xfId="0" applyNumberFormat="1" applyFont="1" applyFill="1" applyAlignment="1">
      <alignment horizontal="left"/>
    </xf>
    <xf numFmtId="3" fontId="0" fillId="4" borderId="0" xfId="0" applyNumberFormat="1" applyFill="1"/>
    <xf numFmtId="3" fontId="12" fillId="4" borderId="0" xfId="0" applyNumberFormat="1" applyFont="1" applyFill="1"/>
    <xf numFmtId="3" fontId="10" fillId="4" borderId="0" xfId="0" applyNumberFormat="1" applyFont="1" applyFill="1"/>
    <xf numFmtId="3" fontId="6" fillId="0" borderId="1" xfId="0" quotePrefix="1" applyNumberFormat="1" applyFont="1" applyFill="1" applyBorder="1" applyAlignment="1">
      <alignment horizontal="center" wrapText="1"/>
    </xf>
    <xf numFmtId="3" fontId="6" fillId="0" borderId="3" xfId="0" quotePrefix="1" applyNumberFormat="1" applyFont="1" applyFill="1" applyBorder="1" applyAlignment="1">
      <alignment horizontal="center" wrapText="1"/>
    </xf>
    <xf numFmtId="3" fontId="6" fillId="0" borderId="4" xfId="0" quotePrefix="1" applyNumberFormat="1" applyFont="1" applyFill="1" applyBorder="1" applyAlignment="1">
      <alignment horizontal="center" wrapText="1"/>
    </xf>
    <xf numFmtId="3" fontId="6" fillId="0" borderId="3" xfId="0" quotePrefix="1" applyNumberFormat="1" applyFont="1" applyFill="1" applyBorder="1" applyAlignment="1">
      <alignment horizontal="center" vertical="center" wrapText="1"/>
    </xf>
    <xf numFmtId="3" fontId="6" fillId="0" borderId="1" xfId="0" quotePrefix="1" applyNumberFormat="1" applyFont="1" applyFill="1" applyBorder="1" applyAlignment="1">
      <alignment horizontal="center" vertical="center" wrapText="1"/>
    </xf>
    <xf numFmtId="3" fontId="0" fillId="0" borderId="38" xfId="0" applyNumberFormat="1" applyFont="1" applyFill="1" applyBorder="1"/>
    <xf numFmtId="3" fontId="0" fillId="0" borderId="0" xfId="0" applyNumberFormat="1" applyFont="1" applyFill="1" applyAlignment="1">
      <alignment horizontal="right"/>
    </xf>
    <xf numFmtId="3" fontId="0" fillId="0" borderId="42" xfId="0" applyNumberFormat="1" applyFont="1" applyFill="1" applyBorder="1"/>
    <xf numFmtId="0" fontId="9" fillId="4" borderId="0" xfId="0" applyNumberFormat="1" applyFont="1" applyFill="1"/>
    <xf numFmtId="0" fontId="11" fillId="4" borderId="0" xfId="0" applyNumberFormat="1" applyFont="1" applyFill="1"/>
    <xf numFmtId="0" fontId="13" fillId="4" borderId="0" xfId="0" applyNumberFormat="1" applyFont="1" applyFill="1"/>
    <xf numFmtId="0" fontId="6" fillId="0" borderId="2" xfId="0" applyNumberFormat="1" applyFont="1" applyFill="1" applyBorder="1" applyAlignment="1">
      <alignment horizontal="center" wrapText="1"/>
    </xf>
    <xf numFmtId="0" fontId="19" fillId="4" borderId="7" xfId="0" quotePrefix="1" applyNumberFormat="1" applyFont="1" applyFill="1" applyBorder="1" applyAlignment="1">
      <alignment horizontal="left"/>
    </xf>
    <xf numFmtId="0" fontId="0" fillId="0" borderId="0" xfId="0" applyNumberFormat="1" applyFill="1" applyBorder="1"/>
    <xf numFmtId="0" fontId="0" fillId="0" borderId="0" xfId="0" applyNumberFormat="1"/>
    <xf numFmtId="0" fontId="7" fillId="4" borderId="7" xfId="0" quotePrefix="1" applyNumberFormat="1" applyFont="1" applyFill="1" applyBorder="1" applyAlignment="1">
      <alignment horizontal="right"/>
    </xf>
    <xf numFmtId="0" fontId="19" fillId="4" borderId="7" xfId="0" quotePrefix="1" applyNumberFormat="1" applyFont="1" applyFill="1" applyBorder="1" applyAlignment="1">
      <alignment horizontal="right"/>
    </xf>
    <xf numFmtId="0" fontId="0" fillId="4" borderId="7" xfId="0" quotePrefix="1" applyNumberFormat="1" applyFill="1" applyBorder="1" applyAlignment="1">
      <alignment horizontal="right"/>
    </xf>
    <xf numFmtId="0" fontId="7" fillId="4" borderId="26" xfId="0" quotePrefix="1" applyNumberFormat="1" applyFont="1" applyFill="1" applyBorder="1" applyAlignment="1">
      <alignment horizontal="right"/>
    </xf>
    <xf numFmtId="0" fontId="0" fillId="4" borderId="8" xfId="0" applyFill="1" applyBorder="1"/>
    <xf numFmtId="3" fontId="7" fillId="4" borderId="12" xfId="0" applyNumberFormat="1" applyFont="1" applyFill="1" applyBorder="1" applyAlignment="1">
      <alignment horizontal="left"/>
    </xf>
    <xf numFmtId="3" fontId="7" fillId="4" borderId="6" xfId="0" applyNumberFormat="1" applyFont="1" applyFill="1" applyBorder="1" applyAlignment="1">
      <alignment horizontal="left"/>
    </xf>
    <xf numFmtId="0" fontId="0" fillId="4" borderId="0" xfId="0" quotePrefix="1" applyFill="1" applyAlignment="1">
      <alignment horizontal="center"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center" vertical="top"/>
    </xf>
    <xf numFmtId="3" fontId="0" fillId="4" borderId="6" xfId="0" applyNumberFormat="1" applyFill="1" applyBorder="1" applyAlignment="1">
      <alignment vertical="top"/>
    </xf>
    <xf numFmtId="3" fontId="0" fillId="0" borderId="0" xfId="0" applyNumberFormat="1" applyAlignment="1">
      <alignment vertical="top"/>
    </xf>
    <xf numFmtId="3" fontId="6" fillId="0" borderId="0" xfId="0" applyNumberFormat="1" applyFont="1" applyAlignment="1">
      <alignment vertical="top"/>
    </xf>
    <xf numFmtId="3" fontId="6" fillId="0" borderId="8" xfId="0" applyNumberFormat="1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3" fontId="7" fillId="4" borderId="6" xfId="0" applyNumberFormat="1" applyFont="1" applyFill="1" applyBorder="1" applyAlignment="1">
      <alignment horizontal="left" vertical="top" wrapText="1"/>
    </xf>
    <xf numFmtId="38" fontId="0" fillId="4" borderId="6" xfId="0" applyNumberFormat="1" applyFont="1" applyFill="1" applyBorder="1" applyAlignment="1">
      <alignment vertical="top"/>
    </xf>
    <xf numFmtId="38" fontId="0" fillId="4" borderId="30" xfId="0" applyNumberFormat="1" applyFont="1" applyFill="1" applyBorder="1" applyAlignment="1">
      <alignment vertical="top"/>
    </xf>
    <xf numFmtId="38" fontId="0" fillId="4" borderId="32" xfId="0" applyNumberFormat="1" applyFont="1" applyFill="1" applyBorder="1" applyAlignment="1">
      <alignment vertical="top"/>
    </xf>
    <xf numFmtId="38" fontId="0" fillId="4" borderId="57" xfId="0" applyNumberFormat="1" applyFont="1" applyFill="1" applyBorder="1" applyAlignment="1">
      <alignment vertical="top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3" fontId="7" fillId="4" borderId="8" xfId="0" applyNumberFormat="1" applyFont="1" applyFill="1" applyBorder="1" applyAlignment="1">
      <alignment horizontal="left" vertical="top" wrapText="1"/>
    </xf>
    <xf numFmtId="38" fontId="0" fillId="4" borderId="13" xfId="0" applyNumberFormat="1" applyFont="1" applyFill="1" applyBorder="1" applyAlignment="1">
      <alignment vertical="top"/>
    </xf>
    <xf numFmtId="38" fontId="0" fillId="4" borderId="18" xfId="0" applyNumberFormat="1" applyFont="1" applyFill="1" applyBorder="1" applyAlignment="1">
      <alignment vertical="top"/>
    </xf>
    <xf numFmtId="3" fontId="0" fillId="0" borderId="0" xfId="0" applyNumberFormat="1" applyFont="1" applyFill="1" applyAlignment="1">
      <alignment vertical="top"/>
    </xf>
    <xf numFmtId="38" fontId="0" fillId="0" borderId="0" xfId="0" applyNumberFormat="1" applyFont="1" applyAlignment="1">
      <alignment vertical="top"/>
    </xf>
    <xf numFmtId="3" fontId="7" fillId="4" borderId="11" xfId="0" applyNumberFormat="1" applyFont="1" applyFill="1" applyBorder="1" applyAlignment="1">
      <alignment horizontal="left" vertical="top" wrapText="1"/>
    </xf>
    <xf numFmtId="38" fontId="0" fillId="4" borderId="16" xfId="0" applyNumberFormat="1" applyFont="1" applyFill="1" applyBorder="1" applyAlignment="1">
      <alignment vertical="top"/>
    </xf>
    <xf numFmtId="49" fontId="6" fillId="0" borderId="1" xfId="0" quotePrefix="1" applyNumberFormat="1" applyFont="1" applyFill="1" applyBorder="1" applyAlignment="1">
      <alignment horizontal="center" vertical="center" wrapText="1"/>
    </xf>
    <xf numFmtId="4" fontId="0" fillId="4" borderId="8" xfId="0" applyNumberFormat="1" applyFill="1" applyBorder="1" applyAlignment="1">
      <alignment wrapText="1"/>
    </xf>
    <xf numFmtId="0" fontId="0" fillId="4" borderId="11" xfId="0" quotePrefix="1" applyFill="1" applyBorder="1"/>
    <xf numFmtId="0" fontId="0" fillId="0" borderId="0" xfId="0"/>
    <xf numFmtId="0" fontId="0" fillId="4" borderId="15" xfId="0" applyFont="1" applyFill="1" applyBorder="1"/>
    <xf numFmtId="44" fontId="5" fillId="4" borderId="15" xfId="25" applyFont="1" applyFill="1" applyBorder="1"/>
    <xf numFmtId="3" fontId="0" fillId="4" borderId="8" xfId="0" applyNumberFormat="1" applyFill="1" applyBorder="1" applyAlignment="1">
      <alignment wrapText="1"/>
    </xf>
    <xf numFmtId="3" fontId="0" fillId="4" borderId="0" xfId="0" applyNumberFormat="1" applyFill="1" applyBorder="1" applyAlignment="1">
      <alignment vertical="top"/>
    </xf>
    <xf numFmtId="165" fontId="0" fillId="4" borderId="0" xfId="0" applyNumberFormat="1" applyFill="1" applyBorder="1"/>
    <xf numFmtId="3" fontId="0" fillId="4" borderId="0" xfId="0" applyNumberFormat="1" applyFill="1" applyBorder="1" applyAlignment="1">
      <alignment vertical="top" wrapText="1"/>
    </xf>
    <xf numFmtId="0" fontId="0" fillId="4" borderId="22" xfId="0" applyFill="1" applyBorder="1"/>
    <xf numFmtId="0" fontId="0" fillId="4" borderId="21" xfId="0" applyFill="1" applyBorder="1"/>
    <xf numFmtId="3" fontId="0" fillId="4" borderId="0" xfId="0" applyNumberFormat="1" applyFill="1" applyBorder="1" applyAlignment="1">
      <alignment horizontal="center" vertical="top"/>
    </xf>
    <xf numFmtId="3" fontId="0" fillId="4" borderId="22" xfId="0" applyNumberFormat="1" applyFill="1" applyBorder="1"/>
    <xf numFmtId="3" fontId="0" fillId="4" borderId="21" xfId="0" applyNumberFormat="1" applyFill="1" applyBorder="1"/>
    <xf numFmtId="49" fontId="0" fillId="4" borderId="0" xfId="0" quotePrefix="1" applyNumberFormat="1" applyFill="1" applyBorder="1" applyAlignment="1">
      <alignment vertical="top"/>
    </xf>
    <xf numFmtId="49" fontId="0" fillId="4" borderId="21" xfId="0" quotePrefix="1" applyNumberFormat="1" applyFill="1" applyBorder="1" applyAlignment="1">
      <alignment vertical="top"/>
    </xf>
    <xf numFmtId="49" fontId="0" fillId="4" borderId="22" xfId="0" quotePrefix="1" applyNumberFormat="1" applyFill="1" applyBorder="1" applyAlignment="1">
      <alignment vertical="top"/>
    </xf>
    <xf numFmtId="3" fontId="0" fillId="4" borderId="58" xfId="0" applyNumberFormat="1" applyFill="1" applyBorder="1" applyAlignment="1">
      <alignment vertical="top" wrapText="1"/>
    </xf>
    <xf numFmtId="3" fontId="0" fillId="4" borderId="58" xfId="0" applyNumberFormat="1" applyFill="1" applyBorder="1" applyAlignment="1">
      <alignment vertical="top"/>
    </xf>
    <xf numFmtId="3" fontId="0" fillId="4" borderId="58" xfId="0" applyNumberFormat="1" applyFill="1" applyBorder="1" applyAlignment="1">
      <alignment horizontal="center" vertical="top"/>
    </xf>
    <xf numFmtId="165" fontId="0" fillId="4" borderId="59" xfId="0" applyNumberFormat="1" applyFill="1" applyBorder="1"/>
    <xf numFmtId="49" fontId="0" fillId="4" borderId="60" xfId="0" quotePrefix="1" applyNumberFormat="1" applyFill="1" applyBorder="1" applyAlignment="1">
      <alignment vertical="top"/>
    </xf>
    <xf numFmtId="165" fontId="0" fillId="4" borderId="58" xfId="0" applyNumberFormat="1" applyFill="1" applyBorder="1"/>
    <xf numFmtId="0" fontId="0" fillId="4" borderId="58" xfId="0" applyFill="1" applyBorder="1"/>
    <xf numFmtId="3" fontId="0" fillId="4" borderId="58" xfId="0" applyNumberFormat="1" applyFill="1" applyBorder="1"/>
    <xf numFmtId="165" fontId="0" fillId="4" borderId="25" xfId="0" applyNumberFormat="1" applyFill="1" applyBorder="1"/>
    <xf numFmtId="0" fontId="0" fillId="4" borderId="37" xfId="0" quotePrefix="1" applyFill="1" applyBorder="1" applyAlignment="1">
      <alignment horizontal="center"/>
    </xf>
    <xf numFmtId="4" fontId="9" fillId="4" borderId="0" xfId="0" applyNumberFormat="1" applyFont="1" applyFill="1" applyAlignment="1">
      <alignment horizontal="left"/>
    </xf>
    <xf numFmtId="4" fontId="9" fillId="4" borderId="0" xfId="0" applyNumberFormat="1" applyFont="1" applyFill="1"/>
    <xf numFmtId="4" fontId="10" fillId="4" borderId="0" xfId="0" applyNumberFormat="1" applyFont="1" applyFill="1"/>
    <xf numFmtId="4" fontId="0" fillId="4" borderId="0" xfId="0" applyNumberFormat="1" applyFill="1" applyAlignment="1">
      <alignment wrapText="1"/>
    </xf>
    <xf numFmtId="4" fontId="11" fillId="4" borderId="0" xfId="0" applyNumberFormat="1" applyFont="1" applyFill="1"/>
    <xf numFmtId="4" fontId="11" fillId="4" borderId="0" xfId="0" applyNumberFormat="1" applyFont="1" applyFill="1" applyAlignment="1">
      <alignment horizontal="left"/>
    </xf>
    <xf numFmtId="4" fontId="8" fillId="4" borderId="0" xfId="0" applyNumberFormat="1" applyFont="1" applyFill="1"/>
    <xf numFmtId="4" fontId="6" fillId="4" borderId="0" xfId="0" applyNumberFormat="1" applyFont="1" applyFill="1" applyAlignment="1">
      <alignment horizontal="center" wrapText="1"/>
    </xf>
    <xf numFmtId="4" fontId="0" fillId="4" borderId="0" xfId="0" applyNumberFormat="1" applyFill="1" applyAlignment="1">
      <alignment horizontal="center" wrapText="1"/>
    </xf>
    <xf numFmtId="4" fontId="6" fillId="0" borderId="1" xfId="0" quotePrefix="1" applyNumberFormat="1" applyFont="1" applyFill="1" applyBorder="1" applyAlignment="1">
      <alignment horizontal="center" vertical="center" wrapText="1"/>
    </xf>
    <xf numFmtId="4" fontId="0" fillId="0" borderId="0" xfId="0" applyNumberFormat="1"/>
    <xf numFmtId="4" fontId="6" fillId="0" borderId="1" xfId="0" applyNumberFormat="1" applyFont="1" applyFill="1" applyBorder="1" applyAlignment="1">
      <alignment horizontal="center" vertical="center" wrapText="1"/>
    </xf>
    <xf numFmtId="4" fontId="6" fillId="0" borderId="3" xfId="0" applyNumberFormat="1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 wrapText="1"/>
    </xf>
    <xf numFmtId="4" fontId="7" fillId="4" borderId="35" xfId="0" applyNumberFormat="1" applyFont="1" applyFill="1" applyBorder="1" applyAlignment="1">
      <alignment horizontal="right"/>
    </xf>
    <xf numFmtId="4" fontId="0" fillId="4" borderId="35" xfId="0" applyNumberFormat="1" applyFill="1" applyBorder="1" applyAlignment="1">
      <alignment vertical="top"/>
    </xf>
    <xf numFmtId="4" fontId="0" fillId="4" borderId="36" xfId="0" applyNumberFormat="1" applyFill="1" applyBorder="1" applyAlignment="1">
      <alignment vertical="top"/>
    </xf>
    <xf numFmtId="4" fontId="7" fillId="4" borderId="38" xfId="0" applyNumberFormat="1" applyFont="1" applyFill="1" applyBorder="1" applyAlignment="1">
      <alignment horizontal="right"/>
    </xf>
    <xf numFmtId="4" fontId="0" fillId="4" borderId="38" xfId="0" applyNumberFormat="1" applyFill="1" applyBorder="1" applyAlignment="1">
      <alignment vertical="top"/>
    </xf>
    <xf numFmtId="4" fontId="0" fillId="4" borderId="39" xfId="0" applyNumberFormat="1" applyFill="1" applyBorder="1" applyAlignment="1">
      <alignment vertical="top"/>
    </xf>
    <xf numFmtId="4" fontId="0" fillId="4" borderId="38" xfId="0" applyNumberFormat="1" applyFont="1" applyFill="1" applyBorder="1" applyAlignment="1">
      <alignment horizontal="right"/>
    </xf>
    <xf numFmtId="4" fontId="7" fillId="4" borderId="39" xfId="0" applyNumberFormat="1" applyFont="1" applyFill="1" applyBorder="1" applyAlignment="1">
      <alignment horizontal="right" vertical="top"/>
    </xf>
    <xf numFmtId="4" fontId="11" fillId="4" borderId="0" xfId="0" quotePrefix="1" applyNumberFormat="1" applyFont="1" applyFill="1" applyAlignment="1">
      <alignment horizontal="left"/>
    </xf>
    <xf numFmtId="49" fontId="0" fillId="4" borderId="60" xfId="0" applyNumberFormat="1" applyFill="1" applyBorder="1" applyAlignment="1">
      <alignment vertical="top"/>
    </xf>
    <xf numFmtId="49" fontId="0" fillId="4" borderId="61" xfId="0" applyNumberFormat="1" applyFill="1" applyBorder="1" applyAlignment="1">
      <alignment vertical="top"/>
    </xf>
    <xf numFmtId="49" fontId="0" fillId="4" borderId="58" xfId="0" quotePrefix="1" applyNumberFormat="1" applyFill="1" applyBorder="1" applyAlignment="1">
      <alignment vertical="top"/>
    </xf>
    <xf numFmtId="49" fontId="0" fillId="4" borderId="22" xfId="0" applyNumberFormat="1" applyFill="1" applyBorder="1" applyAlignment="1">
      <alignment vertical="top"/>
    </xf>
    <xf numFmtId="0" fontId="20" fillId="4" borderId="0" xfId="0" applyFont="1" applyFill="1" applyAlignment="1">
      <alignment horizontal="center"/>
    </xf>
    <xf numFmtId="0" fontId="21" fillId="0" borderId="0" xfId="0" applyFont="1" applyAlignment="1">
      <alignment horizontal="center"/>
    </xf>
  </cellXfs>
  <cellStyles count="92">
    <cellStyle name="20% - Accent1 2" xfId="26"/>
    <cellStyle name="20% - Accent2 2" xfId="27"/>
    <cellStyle name="20% - Accent3 2" xfId="28"/>
    <cellStyle name="20% - Accent4 2" xfId="29"/>
    <cellStyle name="20% - Accent5 2" xfId="30"/>
    <cellStyle name="20% - Accent6 2" xfId="31"/>
    <cellStyle name="40% - Accent1 2" xfId="32"/>
    <cellStyle name="40% - Accent2 2" xfId="33"/>
    <cellStyle name="40% - Accent3 2" xfId="34"/>
    <cellStyle name="40% - Accent4 2" xfId="35"/>
    <cellStyle name="40% - Accent5 2" xfId="36"/>
    <cellStyle name="40% - Accent6 2" xfId="37"/>
    <cellStyle name="60% - Accent1 2" xfId="38"/>
    <cellStyle name="60% - Accent2 2" xfId="39"/>
    <cellStyle name="60% - Accent3 2" xfId="40"/>
    <cellStyle name="60% - Accent4 2" xfId="41"/>
    <cellStyle name="60% - Accent5 2" xfId="42"/>
    <cellStyle name="60% - Accent6 2" xfId="43"/>
    <cellStyle name="Accent1 2" xfId="44"/>
    <cellStyle name="Accent2 2" xfId="45"/>
    <cellStyle name="Accent3 2" xfId="46"/>
    <cellStyle name="Accent4 2" xfId="47"/>
    <cellStyle name="Accent5 2" xfId="48"/>
    <cellStyle name="Accent6 2" xfId="49"/>
    <cellStyle name="Bad 2" xfId="50"/>
    <cellStyle name="Calculation 2" xfId="51"/>
    <cellStyle name="Check Cell 2" xfId="52"/>
    <cellStyle name="Comma" xfId="24" builtinId="3"/>
    <cellStyle name="Comma 2" xfId="1"/>
    <cellStyle name="Comma 2 2" xfId="5"/>
    <cellStyle name="Comma 2 2 2" xfId="81"/>
    <cellStyle name="Comma 2 3" xfId="6"/>
    <cellStyle name="Comma 2 3 2" xfId="82"/>
    <cellStyle name="Comma 2 4" xfId="4"/>
    <cellStyle name="Comma 2 4 2" xfId="76"/>
    <cellStyle name="Comma 2 4 3" xfId="80"/>
    <cellStyle name="Comma 2 4 4" xfId="74"/>
    <cellStyle name="Comma 2 5" xfId="20"/>
    <cellStyle name="Comma 3" xfId="17"/>
    <cellStyle name="Comma 3 2" xfId="88"/>
    <cellStyle name="Currency" xfId="25" builtinId="4"/>
    <cellStyle name="Currency 2" xfId="12"/>
    <cellStyle name="Currency 2 2" xfId="86"/>
    <cellStyle name="Currency 3" xfId="15"/>
    <cellStyle name="Currency 8" xfId="53"/>
    <cellStyle name="Explanatory Text 2" xfId="54"/>
    <cellStyle name="Good 2" xfId="55"/>
    <cellStyle name="Heading 1 2" xfId="56"/>
    <cellStyle name="Heading 2 2" xfId="57"/>
    <cellStyle name="Heading 3 2" xfId="58"/>
    <cellStyle name="Heading 4 2" xfId="59"/>
    <cellStyle name="Input 2" xfId="60"/>
    <cellStyle name="Linked Cell 2" xfId="61"/>
    <cellStyle name="Neutral 2" xfId="62"/>
    <cellStyle name="Normal" xfId="0" builtinId="0"/>
    <cellStyle name="Normal 2" xfId="2"/>
    <cellStyle name="Normal 2 2" xfId="8"/>
    <cellStyle name="Normal 2 2 2" xfId="70"/>
    <cellStyle name="Normal 2 2 3" xfId="69"/>
    <cellStyle name="Normal 2 3" xfId="9"/>
    <cellStyle name="Normal 2 4" xfId="7"/>
    <cellStyle name="Normal 2 4 2" xfId="77"/>
    <cellStyle name="Normal 2 4 3" xfId="83"/>
    <cellStyle name="Normal 2 4 4" xfId="73"/>
    <cellStyle name="Normal 2 5" xfId="18"/>
    <cellStyle name="Normal 2 6" xfId="79"/>
    <cellStyle name="Normal 3" xfId="13"/>
    <cellStyle name="Normal 3 2" xfId="10"/>
    <cellStyle name="Normal 3 2 2" xfId="84"/>
    <cellStyle name="Normal 3 3" xfId="11"/>
    <cellStyle name="Normal 3 3 2" xfId="85"/>
    <cellStyle name="Normal 3 4" xfId="19"/>
    <cellStyle name="Normal 3 5" xfId="78"/>
    <cellStyle name="Normal 3 6" xfId="72"/>
    <cellStyle name="Normal 4" xfId="14"/>
    <cellStyle name="Normal 4 2" xfId="21"/>
    <cellStyle name="Normal 4 2 2" xfId="90"/>
    <cellStyle name="Normal 4 3" xfId="87"/>
    <cellStyle name="Normal 4 4" xfId="71"/>
    <cellStyle name="Normal 5" xfId="16"/>
    <cellStyle name="Normal 5 2" xfId="22"/>
    <cellStyle name="Normal 6" xfId="63"/>
    <cellStyle name="Normal 8" xfId="91"/>
    <cellStyle name="Note 2" xfId="64"/>
    <cellStyle name="Output 2" xfId="65"/>
    <cellStyle name="Percent 2" xfId="3"/>
    <cellStyle name="Percent 2 2" xfId="23"/>
    <cellStyle name="Percent 2 2 2" xfId="89"/>
    <cellStyle name="Percent 3" xfId="75"/>
    <cellStyle name="Title 2" xfId="66"/>
    <cellStyle name="Total 2" xfId="67"/>
    <cellStyle name="Warning Text 2" xfId="68"/>
  </cellStyles>
  <dxfs count="0"/>
  <tableStyles count="0" defaultTableStyle="TableStyleMedium9" defaultPivotStyle="PivotStyleLight16"/>
  <colors>
    <mruColors>
      <color rgb="FFCCFFCC"/>
      <color rgb="FFC4D7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rgb="FFCCFFCC"/>
  </sheetPr>
  <dimension ref="A1:T155"/>
  <sheetViews>
    <sheetView zoomScaleNormal="100" workbookViewId="0">
      <pane xSplit="5" ySplit="10" topLeftCell="N27" activePane="bottomRight" state="frozen"/>
      <selection pane="topRight" activeCell="F1" sqref="F1"/>
      <selection pane="bottomLeft" activeCell="A10" sqref="A10"/>
      <selection pane="bottomRight" activeCell="N47" sqref="N47"/>
    </sheetView>
  </sheetViews>
  <sheetFormatPr defaultColWidth="9.140625" defaultRowHeight="15"/>
  <cols>
    <col min="1" max="1" width="9.42578125" style="25" customWidth="1"/>
    <col min="2" max="2" width="39.85546875" style="4" customWidth="1"/>
    <col min="3" max="3" width="17.5703125" style="4" customWidth="1"/>
    <col min="4" max="4" width="16.85546875" style="4" customWidth="1"/>
    <col min="5" max="5" width="12.140625" style="4" customWidth="1"/>
    <col min="6" max="20" width="15.7109375" style="27" customWidth="1"/>
    <col min="21" max="16384" width="9.140625" style="4"/>
  </cols>
  <sheetData>
    <row r="1" spans="1:20" ht="21">
      <c r="A1" s="34" t="s">
        <v>0</v>
      </c>
      <c r="B1" s="42"/>
      <c r="C1" s="35" t="s">
        <v>69</v>
      </c>
      <c r="D1" s="34"/>
      <c r="E1" s="36"/>
      <c r="F1" s="43"/>
      <c r="G1" s="43"/>
      <c r="H1" s="35" t="str">
        <f>C1</f>
        <v xml:space="preserve">Adult Education </v>
      </c>
      <c r="I1" s="35"/>
      <c r="J1" s="69"/>
      <c r="K1" s="34"/>
      <c r="L1" s="34"/>
      <c r="M1" s="36"/>
      <c r="N1" s="36"/>
      <c r="O1" s="43"/>
      <c r="P1" s="43"/>
      <c r="Q1" s="35" t="str">
        <f>C1</f>
        <v xml:space="preserve">Adult Education </v>
      </c>
      <c r="R1" s="35"/>
      <c r="S1" s="34"/>
      <c r="T1" s="34"/>
    </row>
    <row r="2" spans="1:20" ht="15.75">
      <c r="A2" s="37" t="s">
        <v>1</v>
      </c>
      <c r="B2" s="42"/>
      <c r="C2" s="38">
        <v>84.001999999999995</v>
      </c>
      <c r="D2" s="37"/>
      <c r="E2" s="39"/>
      <c r="F2" s="43"/>
      <c r="G2" s="43"/>
      <c r="H2" s="37" t="str">
        <f>"FY"&amp;C4</f>
        <v>FY2013-14</v>
      </c>
      <c r="I2" s="37"/>
      <c r="J2" s="79"/>
      <c r="K2" s="38"/>
      <c r="L2" s="38"/>
      <c r="M2" s="39"/>
      <c r="N2" s="39"/>
      <c r="O2" s="39"/>
      <c r="P2" s="39"/>
      <c r="Q2" s="37" t="str">
        <f>"FY"&amp;C4</f>
        <v>FY2013-14</v>
      </c>
      <c r="R2" s="37"/>
      <c r="S2" s="38"/>
      <c r="T2" s="38"/>
    </row>
    <row r="3" spans="1:20" ht="15.75">
      <c r="A3" s="37" t="s">
        <v>2</v>
      </c>
      <c r="B3" s="42"/>
      <c r="C3" s="38">
        <v>5002</v>
      </c>
      <c r="D3" s="37"/>
      <c r="E3" s="39"/>
      <c r="F3" s="43"/>
      <c r="G3" s="43"/>
      <c r="H3" s="43"/>
      <c r="I3" s="43"/>
      <c r="J3" s="74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1:20" ht="15.75">
      <c r="A4" s="37" t="s">
        <v>3</v>
      </c>
      <c r="B4" s="42"/>
      <c r="C4" s="38" t="s">
        <v>249</v>
      </c>
      <c r="D4" s="37" t="s">
        <v>253</v>
      </c>
      <c r="E4" s="39"/>
      <c r="F4" s="43"/>
      <c r="G4" s="43"/>
      <c r="H4" s="43"/>
      <c r="I4" s="43"/>
      <c r="J4" s="74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ht="15.75">
      <c r="A5" s="37" t="s">
        <v>104</v>
      </c>
      <c r="B5" s="42"/>
      <c r="C5" s="38" t="s">
        <v>105</v>
      </c>
      <c r="D5" s="37"/>
      <c r="E5" s="39"/>
      <c r="F5" s="43"/>
      <c r="G5" s="43"/>
      <c r="H5" s="43"/>
      <c r="I5" s="43"/>
      <c r="J5" s="74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ht="15.75">
      <c r="A6" s="37" t="s">
        <v>65</v>
      </c>
      <c r="B6" s="42"/>
      <c r="C6" s="37" t="s">
        <v>254</v>
      </c>
      <c r="D6" s="37"/>
      <c r="E6" s="40"/>
      <c r="F6" s="40"/>
      <c r="G6" s="40"/>
      <c r="H6" s="40"/>
      <c r="I6" s="40"/>
      <c r="J6" s="40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0" ht="15.75">
      <c r="A7" s="37" t="s">
        <v>67</v>
      </c>
      <c r="B7" s="42"/>
      <c r="C7" s="37" t="s">
        <v>70</v>
      </c>
      <c r="D7" s="37"/>
      <c r="E7" s="40"/>
      <c r="F7" s="40"/>
      <c r="G7" s="40"/>
      <c r="H7" s="40"/>
      <c r="I7" s="40"/>
      <c r="J7" s="40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0" ht="15.75">
      <c r="A8" s="79" t="s">
        <v>208</v>
      </c>
      <c r="B8" s="73"/>
      <c r="C8" s="79" t="s">
        <v>255</v>
      </c>
      <c r="D8" s="79"/>
      <c r="E8" s="40"/>
      <c r="F8" s="40"/>
      <c r="G8" s="40"/>
      <c r="H8" s="40"/>
      <c r="I8" s="40"/>
      <c r="J8" s="40"/>
      <c r="K8" s="72"/>
      <c r="L8" s="72"/>
      <c r="M8" s="72"/>
      <c r="N8" s="72"/>
      <c r="O8" s="72"/>
      <c r="P8" s="72"/>
      <c r="Q8" s="72"/>
      <c r="R8" s="72"/>
      <c r="S8" s="72"/>
      <c r="T8" s="72"/>
    </row>
    <row r="9" spans="1:20" ht="21.75" thickBot="1">
      <c r="A9" s="34" t="s">
        <v>256</v>
      </c>
      <c r="B9" s="42"/>
      <c r="C9" s="39"/>
      <c r="D9" s="39"/>
      <c r="E9" s="41"/>
      <c r="F9" s="41"/>
      <c r="G9" s="41"/>
      <c r="H9" s="41"/>
      <c r="I9" s="41"/>
      <c r="J9" s="72"/>
      <c r="K9" s="41"/>
      <c r="L9" s="41"/>
      <c r="M9" s="41"/>
      <c r="N9" s="41"/>
      <c r="O9" s="41"/>
      <c r="P9" s="41"/>
      <c r="Q9" s="41"/>
      <c r="R9" s="41"/>
      <c r="S9" s="41"/>
      <c r="T9" s="41"/>
    </row>
    <row r="10" spans="1:20" s="29" customFormat="1" ht="52.5" customHeight="1" thickBot="1">
      <c r="A10" s="52" t="s">
        <v>4</v>
      </c>
      <c r="B10" s="53" t="s">
        <v>5</v>
      </c>
      <c r="C10" s="53" t="s">
        <v>44</v>
      </c>
      <c r="D10" s="54" t="s">
        <v>45</v>
      </c>
      <c r="E10" s="44" t="s">
        <v>46</v>
      </c>
      <c r="F10" s="307" t="s">
        <v>509</v>
      </c>
      <c r="G10" s="307" t="s">
        <v>510</v>
      </c>
      <c r="H10" s="307" t="s">
        <v>511</v>
      </c>
      <c r="I10" s="307" t="s">
        <v>512</v>
      </c>
      <c r="J10" s="307" t="s">
        <v>513</v>
      </c>
      <c r="K10" s="307" t="s">
        <v>514</v>
      </c>
      <c r="L10" s="307" t="s">
        <v>515</v>
      </c>
      <c r="M10" s="307" t="s">
        <v>516</v>
      </c>
      <c r="N10" s="307" t="s">
        <v>517</v>
      </c>
      <c r="O10" s="307" t="s">
        <v>518</v>
      </c>
      <c r="P10" s="307" t="s">
        <v>519</v>
      </c>
      <c r="Q10" s="307" t="s">
        <v>520</v>
      </c>
      <c r="R10" s="307" t="s">
        <v>521</v>
      </c>
      <c r="S10" s="307" t="s">
        <v>522</v>
      </c>
      <c r="T10" s="307" t="s">
        <v>523</v>
      </c>
    </row>
    <row r="11" spans="1:20" s="121" customFormat="1" ht="15.75" thickBot="1">
      <c r="A11" s="186" t="s">
        <v>6</v>
      </c>
      <c r="B11" s="187" t="s">
        <v>206</v>
      </c>
      <c r="C11" s="200">
        <v>232209</v>
      </c>
      <c r="D11" s="188">
        <f t="shared" ref="D11:D42" si="0">SUM(F11:T11)</f>
        <v>135144</v>
      </c>
      <c r="E11" s="189">
        <f>C11-D11</f>
        <v>97065</v>
      </c>
      <c r="F11" s="120"/>
      <c r="G11" s="120"/>
      <c r="H11" s="120"/>
      <c r="I11" s="120"/>
      <c r="J11" s="120">
        <v>59655</v>
      </c>
      <c r="K11" s="120">
        <v>19683</v>
      </c>
      <c r="L11" s="120"/>
      <c r="M11" s="120">
        <v>41514</v>
      </c>
      <c r="N11" s="120">
        <v>14292</v>
      </c>
      <c r="O11" s="120"/>
      <c r="P11" s="120"/>
      <c r="Q11" s="120"/>
      <c r="R11" s="120"/>
      <c r="S11" s="120"/>
      <c r="T11" s="120"/>
    </row>
    <row r="12" spans="1:20" s="121" customFormat="1" ht="15.75" thickBot="1">
      <c r="A12" s="190" t="s">
        <v>7</v>
      </c>
      <c r="B12" s="191" t="s">
        <v>326</v>
      </c>
      <c r="C12" s="201">
        <v>29925</v>
      </c>
      <c r="D12" s="192">
        <f t="shared" si="0"/>
        <v>18360</v>
      </c>
      <c r="E12" s="193">
        <f t="shared" ref="E12:E42" si="1">C12-D12</f>
        <v>11565</v>
      </c>
      <c r="F12" s="120"/>
      <c r="G12" s="120"/>
      <c r="H12" s="120"/>
      <c r="I12" s="120"/>
      <c r="J12" s="120">
        <v>8447</v>
      </c>
      <c r="K12" s="120">
        <v>5252</v>
      </c>
      <c r="L12" s="120"/>
      <c r="M12" s="120"/>
      <c r="N12" s="120">
        <v>4661</v>
      </c>
      <c r="O12" s="120"/>
      <c r="P12" s="120"/>
      <c r="Q12" s="120"/>
      <c r="R12" s="120"/>
      <c r="S12" s="120"/>
      <c r="T12" s="120"/>
    </row>
    <row r="13" spans="1:20" s="121" customFormat="1" ht="15.75" thickBot="1">
      <c r="A13" s="190" t="s">
        <v>10</v>
      </c>
      <c r="B13" s="194" t="s">
        <v>327</v>
      </c>
      <c r="C13" s="201">
        <v>95067</v>
      </c>
      <c r="D13" s="192">
        <f t="shared" si="0"/>
        <v>65917</v>
      </c>
      <c r="E13" s="193">
        <f t="shared" si="1"/>
        <v>29150</v>
      </c>
      <c r="F13" s="120"/>
      <c r="G13" s="120"/>
      <c r="H13" s="120"/>
      <c r="I13" s="120">
        <v>10926</v>
      </c>
      <c r="J13" s="120">
        <v>10598</v>
      </c>
      <c r="K13" s="120">
        <v>15770</v>
      </c>
      <c r="L13" s="120"/>
      <c r="M13" s="120">
        <v>15173</v>
      </c>
      <c r="N13" s="120">
        <v>13450</v>
      </c>
      <c r="O13" s="120"/>
      <c r="P13" s="120"/>
      <c r="Q13" s="120"/>
      <c r="R13" s="120"/>
      <c r="S13" s="120"/>
      <c r="T13" s="120"/>
    </row>
    <row r="14" spans="1:20" s="121" customFormat="1" ht="15.75" thickBot="1">
      <c r="A14" s="195">
        <v>1010</v>
      </c>
      <c r="B14" s="191" t="s">
        <v>12</v>
      </c>
      <c r="C14" s="201">
        <v>325564</v>
      </c>
      <c r="D14" s="192">
        <f t="shared" si="0"/>
        <v>188100</v>
      </c>
      <c r="E14" s="193">
        <f t="shared" si="1"/>
        <v>137464</v>
      </c>
      <c r="F14" s="120"/>
      <c r="G14" s="120"/>
      <c r="H14" s="120"/>
      <c r="I14" s="120"/>
      <c r="J14" s="120"/>
      <c r="K14" s="120">
        <v>112238</v>
      </c>
      <c r="L14" s="120"/>
      <c r="M14" s="120">
        <v>75862</v>
      </c>
      <c r="N14" s="120"/>
      <c r="O14" s="120"/>
      <c r="P14" s="120"/>
      <c r="Q14" s="120"/>
      <c r="R14" s="120"/>
      <c r="S14" s="120"/>
      <c r="T14" s="120"/>
    </row>
    <row r="15" spans="1:20" s="121" customFormat="1" ht="15.75" thickBot="1">
      <c r="A15" s="196">
        <v>1420</v>
      </c>
      <c r="B15" s="197" t="s">
        <v>101</v>
      </c>
      <c r="C15" s="202" t="s">
        <v>350</v>
      </c>
      <c r="D15" s="192">
        <f t="shared" si="0"/>
        <v>18779</v>
      </c>
      <c r="E15" s="193">
        <f t="shared" si="1"/>
        <v>71221</v>
      </c>
      <c r="F15" s="120"/>
      <c r="G15" s="120"/>
      <c r="H15" s="120"/>
      <c r="I15" s="120"/>
      <c r="J15" s="120">
        <v>1017</v>
      </c>
      <c r="K15" s="120">
        <v>6432</v>
      </c>
      <c r="L15" s="120"/>
      <c r="M15" s="120">
        <v>5863</v>
      </c>
      <c r="N15" s="120">
        <v>5467</v>
      </c>
      <c r="O15" s="120"/>
      <c r="P15" s="120"/>
      <c r="Q15" s="120"/>
      <c r="R15" s="120"/>
      <c r="S15" s="120"/>
      <c r="T15" s="120"/>
    </row>
    <row r="16" spans="1:20" s="121" customFormat="1" ht="15.75" thickBot="1">
      <c r="A16" s="196">
        <v>1510</v>
      </c>
      <c r="B16" s="197" t="s">
        <v>328</v>
      </c>
      <c r="C16" s="202" t="s">
        <v>351</v>
      </c>
      <c r="D16" s="192">
        <f t="shared" si="0"/>
        <v>8419</v>
      </c>
      <c r="E16" s="193">
        <f t="shared" si="1"/>
        <v>26902</v>
      </c>
      <c r="F16" s="120"/>
      <c r="G16" s="120"/>
      <c r="H16" s="120"/>
      <c r="I16" s="120"/>
      <c r="J16" s="120"/>
      <c r="K16" s="120">
        <v>7771</v>
      </c>
      <c r="L16" s="120"/>
      <c r="M16" s="120">
        <v>648</v>
      </c>
      <c r="N16" s="120"/>
      <c r="O16" s="120"/>
      <c r="P16" s="120"/>
      <c r="Q16" s="120"/>
      <c r="R16" s="120"/>
      <c r="S16" s="120"/>
      <c r="T16" s="120"/>
    </row>
    <row r="17" spans="1:20" s="121" customFormat="1" ht="15.75" thickBot="1">
      <c r="A17" s="195">
        <v>2180</v>
      </c>
      <c r="B17" s="194" t="s">
        <v>13</v>
      </c>
      <c r="C17" s="201">
        <v>112891</v>
      </c>
      <c r="D17" s="192">
        <f t="shared" si="0"/>
        <v>63614</v>
      </c>
      <c r="E17" s="193">
        <f t="shared" si="1"/>
        <v>49277</v>
      </c>
      <c r="F17" s="120"/>
      <c r="G17" s="120"/>
      <c r="H17" s="120">
        <v>11830</v>
      </c>
      <c r="I17" s="120"/>
      <c r="J17" s="120"/>
      <c r="K17" s="120">
        <v>27836</v>
      </c>
      <c r="L17" s="120"/>
      <c r="M17" s="120"/>
      <c r="N17" s="120">
        <v>23948</v>
      </c>
      <c r="O17" s="120"/>
      <c r="P17" s="120"/>
      <c r="Q17" s="120"/>
      <c r="R17" s="120"/>
      <c r="S17" s="120"/>
      <c r="T17" s="120"/>
    </row>
    <row r="18" spans="1:20" s="121" customFormat="1" ht="15.75" thickBot="1">
      <c r="A18" s="195">
        <v>9060</v>
      </c>
      <c r="B18" s="191" t="s">
        <v>14</v>
      </c>
      <c r="C18" s="201">
        <v>140838</v>
      </c>
      <c r="D18" s="192">
        <f t="shared" si="0"/>
        <v>97000</v>
      </c>
      <c r="E18" s="193">
        <f t="shared" si="1"/>
        <v>43838</v>
      </c>
      <c r="F18" s="120"/>
      <c r="G18" s="120"/>
      <c r="H18" s="120"/>
      <c r="I18" s="120">
        <f>979+39186+11565</f>
        <v>51730</v>
      </c>
      <c r="J18" s="120"/>
      <c r="K18" s="120">
        <v>16341</v>
      </c>
      <c r="L18" s="120"/>
      <c r="M18" s="120">
        <v>23801</v>
      </c>
      <c r="N18" s="120">
        <v>5128</v>
      </c>
      <c r="O18" s="120"/>
      <c r="P18" s="120"/>
      <c r="Q18" s="120"/>
      <c r="R18" s="120"/>
      <c r="S18" s="120"/>
      <c r="T18" s="120"/>
    </row>
    <row r="19" spans="1:20" s="121" customFormat="1" ht="15.75" thickBot="1">
      <c r="A19" s="195" t="s">
        <v>15</v>
      </c>
      <c r="B19" s="191" t="s">
        <v>16</v>
      </c>
      <c r="C19" s="201">
        <v>118347</v>
      </c>
      <c r="D19" s="192">
        <f t="shared" si="0"/>
        <v>66801</v>
      </c>
      <c r="E19" s="193">
        <f t="shared" si="1"/>
        <v>51546</v>
      </c>
      <c r="F19" s="120"/>
      <c r="G19" s="120"/>
      <c r="H19" s="120"/>
      <c r="I19" s="120">
        <v>34441</v>
      </c>
      <c r="J19" s="120"/>
      <c r="K19" s="120"/>
      <c r="L19" s="120">
        <v>32360</v>
      </c>
      <c r="M19" s="120"/>
      <c r="N19" s="120"/>
      <c r="O19" s="120"/>
      <c r="P19" s="120"/>
      <c r="Q19" s="120"/>
      <c r="R19" s="120"/>
      <c r="S19" s="120"/>
      <c r="T19" s="120"/>
    </row>
    <row r="20" spans="1:20" s="121" customFormat="1" ht="15.75" thickBot="1">
      <c r="A20" s="195" t="s">
        <v>17</v>
      </c>
      <c r="B20" s="191" t="s">
        <v>329</v>
      </c>
      <c r="C20" s="201">
        <v>35645</v>
      </c>
      <c r="D20" s="192">
        <f t="shared" si="0"/>
        <v>19094</v>
      </c>
      <c r="E20" s="193">
        <f t="shared" si="1"/>
        <v>16551</v>
      </c>
      <c r="F20" s="120"/>
      <c r="G20" s="120"/>
      <c r="H20" s="120">
        <v>5338</v>
      </c>
      <c r="I20" s="120">
        <v>718</v>
      </c>
      <c r="J20" s="120">
        <v>5541</v>
      </c>
      <c r="K20" s="120">
        <v>1925</v>
      </c>
      <c r="L20" s="120">
        <v>2003</v>
      </c>
      <c r="M20" s="120">
        <v>2104</v>
      </c>
      <c r="N20" s="120">
        <v>1465</v>
      </c>
      <c r="O20" s="120"/>
      <c r="P20" s="120"/>
      <c r="Q20" s="120"/>
      <c r="R20" s="120"/>
      <c r="S20" s="120"/>
      <c r="T20" s="120"/>
    </row>
    <row r="21" spans="1:20" s="121" customFormat="1" ht="15.75" thickBot="1">
      <c r="A21" s="195" t="s">
        <v>18</v>
      </c>
      <c r="B21" s="191" t="s">
        <v>19</v>
      </c>
      <c r="C21" s="201">
        <v>127074</v>
      </c>
      <c r="D21" s="192">
        <f t="shared" si="0"/>
        <v>91361</v>
      </c>
      <c r="E21" s="193">
        <f t="shared" si="1"/>
        <v>35713</v>
      </c>
      <c r="F21" s="120"/>
      <c r="G21" s="120"/>
      <c r="H21" s="120">
        <v>21531</v>
      </c>
      <c r="I21" s="120">
        <v>11552</v>
      </c>
      <c r="J21" s="120">
        <v>17866</v>
      </c>
      <c r="K21" s="120"/>
      <c r="L21" s="120"/>
      <c r="M21" s="120">
        <v>12640</v>
      </c>
      <c r="N21" s="120">
        <v>27772</v>
      </c>
      <c r="O21" s="120"/>
      <c r="P21" s="120"/>
      <c r="Q21" s="120"/>
      <c r="R21" s="120"/>
      <c r="S21" s="120"/>
      <c r="T21" s="120"/>
    </row>
    <row r="22" spans="1:20" s="121" customFormat="1" ht="15.75" thickBot="1">
      <c r="A22" s="195" t="s">
        <v>200</v>
      </c>
      <c r="B22" s="194" t="s">
        <v>330</v>
      </c>
      <c r="C22" s="201">
        <v>115543</v>
      </c>
      <c r="D22" s="192">
        <f t="shared" si="0"/>
        <v>54930</v>
      </c>
      <c r="E22" s="193">
        <f>C22-D22</f>
        <v>60613</v>
      </c>
      <c r="F22" s="120"/>
      <c r="G22" s="120"/>
      <c r="H22" s="120"/>
      <c r="I22" s="120"/>
      <c r="J22" s="120"/>
      <c r="K22" s="120">
        <v>34924</v>
      </c>
      <c r="L22" s="120"/>
      <c r="M22" s="120"/>
      <c r="N22" s="120">
        <v>20006</v>
      </c>
      <c r="O22" s="120"/>
      <c r="P22" s="120"/>
      <c r="Q22" s="120"/>
      <c r="R22" s="120"/>
      <c r="S22" s="120"/>
      <c r="T22" s="120"/>
    </row>
    <row r="23" spans="1:20" s="121" customFormat="1" ht="15.75" thickBot="1">
      <c r="A23" s="195" t="s">
        <v>201</v>
      </c>
      <c r="B23" s="194" t="s">
        <v>331</v>
      </c>
      <c r="C23" s="201">
        <v>284888</v>
      </c>
      <c r="D23" s="192">
        <f t="shared" si="0"/>
        <v>142444</v>
      </c>
      <c r="E23" s="193">
        <f t="shared" si="1"/>
        <v>142444</v>
      </c>
      <c r="F23" s="120"/>
      <c r="G23" s="120"/>
      <c r="H23" s="120"/>
      <c r="I23" s="120"/>
      <c r="J23" s="120"/>
      <c r="K23" s="120">
        <v>71222</v>
      </c>
      <c r="L23" s="120"/>
      <c r="M23" s="120">
        <v>71222</v>
      </c>
      <c r="N23" s="120"/>
      <c r="O23" s="120"/>
      <c r="P23" s="120"/>
      <c r="Q23" s="120"/>
      <c r="R23" s="120"/>
      <c r="S23" s="120"/>
      <c r="T23" s="120"/>
    </row>
    <row r="24" spans="1:20" s="121" customFormat="1" ht="15.75" thickBot="1">
      <c r="A24" s="196" t="s">
        <v>332</v>
      </c>
      <c r="B24" s="197" t="s">
        <v>333</v>
      </c>
      <c r="C24" s="202" t="s">
        <v>352</v>
      </c>
      <c r="D24" s="192">
        <f t="shared" si="0"/>
        <v>13986</v>
      </c>
      <c r="E24" s="193">
        <f t="shared" si="1"/>
        <v>11250</v>
      </c>
      <c r="F24" s="120"/>
      <c r="G24" s="120"/>
      <c r="H24" s="120"/>
      <c r="I24" s="120">
        <v>6024</v>
      </c>
      <c r="J24" s="120">
        <v>4141</v>
      </c>
      <c r="K24" s="120"/>
      <c r="L24" s="120"/>
      <c r="M24" s="120">
        <v>2093</v>
      </c>
      <c r="N24" s="120">
        <v>1728</v>
      </c>
      <c r="O24" s="120"/>
      <c r="P24" s="120"/>
      <c r="Q24" s="120"/>
      <c r="R24" s="120"/>
      <c r="S24" s="120"/>
      <c r="T24" s="120"/>
    </row>
    <row r="25" spans="1:20" s="121" customFormat="1" ht="15.75" thickBot="1">
      <c r="A25" s="196" t="s">
        <v>334</v>
      </c>
      <c r="B25" s="197" t="s">
        <v>335</v>
      </c>
      <c r="C25" s="202" t="s">
        <v>353</v>
      </c>
      <c r="D25" s="192">
        <f t="shared" si="0"/>
        <v>13964</v>
      </c>
      <c r="E25" s="193">
        <f t="shared" si="1"/>
        <v>16382</v>
      </c>
      <c r="F25" s="120"/>
      <c r="G25" s="120"/>
      <c r="H25" s="120">
        <v>721</v>
      </c>
      <c r="I25" s="120"/>
      <c r="J25" s="120">
        <f>1426+2899</f>
        <v>4325</v>
      </c>
      <c r="K25" s="120">
        <v>2889</v>
      </c>
      <c r="L25" s="120">
        <v>1992</v>
      </c>
      <c r="M25" s="120">
        <v>1791</v>
      </c>
      <c r="N25" s="120">
        <v>2246</v>
      </c>
      <c r="O25" s="120"/>
      <c r="P25" s="120"/>
      <c r="Q25" s="120"/>
      <c r="R25" s="120"/>
      <c r="S25" s="120"/>
      <c r="T25" s="120"/>
    </row>
    <row r="26" spans="1:20" s="121" customFormat="1" ht="15.75" thickBot="1">
      <c r="A26" s="196" t="s">
        <v>336</v>
      </c>
      <c r="B26" s="197" t="s">
        <v>337</v>
      </c>
      <c r="C26" s="202" t="s">
        <v>354</v>
      </c>
      <c r="D26" s="192">
        <f t="shared" si="0"/>
        <v>79720</v>
      </c>
      <c r="E26" s="193">
        <f t="shared" si="1"/>
        <v>80680</v>
      </c>
      <c r="F26" s="120"/>
      <c r="G26" s="120"/>
      <c r="H26" s="120"/>
      <c r="I26" s="120"/>
      <c r="J26" s="120"/>
      <c r="K26" s="120"/>
      <c r="L26" s="120"/>
      <c r="M26" s="120">
        <v>79720</v>
      </c>
      <c r="N26" s="120"/>
      <c r="O26" s="120"/>
      <c r="P26" s="120"/>
      <c r="Q26" s="120"/>
      <c r="R26" s="120"/>
      <c r="S26" s="120"/>
      <c r="T26" s="120"/>
    </row>
    <row r="27" spans="1:20" s="121" customFormat="1" ht="15.75" thickBot="1">
      <c r="A27" s="195" t="s">
        <v>20</v>
      </c>
      <c r="B27" s="194" t="s">
        <v>21</v>
      </c>
      <c r="C27" s="201">
        <v>379692</v>
      </c>
      <c r="D27" s="192">
        <f t="shared" si="0"/>
        <v>48986</v>
      </c>
      <c r="E27" s="198">
        <f t="shared" si="1"/>
        <v>330706</v>
      </c>
      <c r="F27" s="120"/>
      <c r="G27" s="120"/>
      <c r="H27" s="120"/>
      <c r="I27" s="120"/>
      <c r="J27" s="120"/>
      <c r="K27" s="120">
        <v>48986</v>
      </c>
      <c r="L27" s="120"/>
      <c r="M27" s="120"/>
      <c r="N27" s="120"/>
      <c r="O27" s="120"/>
      <c r="P27" s="120"/>
      <c r="Q27" s="120"/>
      <c r="R27" s="120"/>
      <c r="S27" s="120"/>
      <c r="T27" s="120"/>
    </row>
    <row r="28" spans="1:20" s="121" customFormat="1" ht="30.75" thickBot="1">
      <c r="A28" s="195" t="s">
        <v>599</v>
      </c>
      <c r="B28" s="191" t="s">
        <v>600</v>
      </c>
      <c r="C28" s="201">
        <v>193936</v>
      </c>
      <c r="D28" s="192">
        <f t="shared" ref="D28" si="2">SUM(F28:T28)</f>
        <v>71231</v>
      </c>
      <c r="E28" s="198">
        <f t="shared" ref="E28" si="3">C28-D28</f>
        <v>122705</v>
      </c>
      <c r="F28" s="120"/>
      <c r="G28" s="120"/>
      <c r="H28" s="120"/>
      <c r="I28" s="120"/>
      <c r="J28" s="120"/>
      <c r="K28" s="120"/>
      <c r="L28" s="120"/>
      <c r="M28" s="120">
        <v>71231</v>
      </c>
      <c r="N28" s="120"/>
      <c r="O28" s="120"/>
      <c r="P28" s="120"/>
      <c r="Q28" s="120"/>
      <c r="R28" s="120"/>
      <c r="S28" s="120"/>
      <c r="T28" s="120"/>
    </row>
    <row r="29" spans="1:20" s="121" customFormat="1" ht="15.75" thickBot="1">
      <c r="A29" s="195" t="s">
        <v>22</v>
      </c>
      <c r="B29" s="194" t="s">
        <v>23</v>
      </c>
      <c r="C29" s="201">
        <v>285000</v>
      </c>
      <c r="D29" s="192">
        <f t="shared" si="0"/>
        <v>239116</v>
      </c>
      <c r="E29" s="193">
        <f t="shared" si="1"/>
        <v>45884</v>
      </c>
      <c r="F29" s="120"/>
      <c r="G29" s="120"/>
      <c r="H29" s="120"/>
      <c r="I29" s="120"/>
      <c r="J29" s="120">
        <v>35289</v>
      </c>
      <c r="K29" s="120"/>
      <c r="L29" s="120">
        <v>203827</v>
      </c>
      <c r="M29" s="120"/>
      <c r="N29" s="120"/>
      <c r="O29" s="120"/>
      <c r="P29" s="120"/>
      <c r="Q29" s="120"/>
      <c r="R29" s="120"/>
      <c r="S29" s="120"/>
      <c r="T29" s="120"/>
    </row>
    <row r="30" spans="1:20" s="121" customFormat="1" ht="15.75" thickBot="1">
      <c r="A30" s="190" t="s">
        <v>24</v>
      </c>
      <c r="B30" s="191" t="s">
        <v>338</v>
      </c>
      <c r="C30" s="201">
        <v>131189</v>
      </c>
      <c r="D30" s="192">
        <f t="shared" si="0"/>
        <v>82330</v>
      </c>
      <c r="E30" s="193">
        <f t="shared" si="1"/>
        <v>48859</v>
      </c>
      <c r="F30" s="120"/>
      <c r="G30" s="120">
        <v>14632</v>
      </c>
      <c r="H30" s="120">
        <v>12370</v>
      </c>
      <c r="I30" s="120"/>
      <c r="J30" s="120">
        <f>13456+10849</f>
        <v>24305</v>
      </c>
      <c r="K30" s="120"/>
      <c r="L30" s="120">
        <v>9828</v>
      </c>
      <c r="M30" s="120">
        <v>9946</v>
      </c>
      <c r="N30" s="120">
        <v>11249</v>
      </c>
      <c r="O30" s="120"/>
      <c r="P30" s="120"/>
      <c r="Q30" s="120"/>
      <c r="R30" s="120"/>
      <c r="S30" s="120"/>
      <c r="T30" s="120"/>
    </row>
    <row r="31" spans="1:20" s="121" customFormat="1" ht="15.75" thickBot="1">
      <c r="A31" s="195" t="s">
        <v>25</v>
      </c>
      <c r="B31" s="191" t="s">
        <v>339</v>
      </c>
      <c r="C31" s="201">
        <v>229886</v>
      </c>
      <c r="D31" s="192">
        <f t="shared" si="0"/>
        <v>129145</v>
      </c>
      <c r="E31" s="193">
        <f t="shared" si="1"/>
        <v>100741</v>
      </c>
      <c r="F31" s="120"/>
      <c r="G31" s="120"/>
      <c r="H31" s="120">
        <v>30318</v>
      </c>
      <c r="I31" s="120">
        <v>21709</v>
      </c>
      <c r="J31" s="120">
        <v>20826</v>
      </c>
      <c r="K31" s="120">
        <v>15962</v>
      </c>
      <c r="L31" s="120">
        <v>16242</v>
      </c>
      <c r="M31" s="120">
        <v>14614</v>
      </c>
      <c r="N31" s="120">
        <v>9474</v>
      </c>
      <c r="O31" s="120"/>
      <c r="P31" s="120"/>
      <c r="Q31" s="120"/>
      <c r="R31" s="120"/>
      <c r="S31" s="120"/>
      <c r="T31" s="120"/>
    </row>
    <row r="32" spans="1:20" s="121" customFormat="1" ht="15.75" thickBot="1">
      <c r="A32" s="195" t="s">
        <v>26</v>
      </c>
      <c r="B32" s="191" t="s">
        <v>340</v>
      </c>
      <c r="C32" s="201">
        <v>142500</v>
      </c>
      <c r="D32" s="192">
        <f t="shared" si="0"/>
        <v>71250</v>
      </c>
      <c r="E32" s="193">
        <f t="shared" si="1"/>
        <v>71250</v>
      </c>
      <c r="F32" s="120"/>
      <c r="G32" s="120"/>
      <c r="H32" s="120">
        <v>23750</v>
      </c>
      <c r="I32" s="120">
        <v>11875</v>
      </c>
      <c r="J32" s="120">
        <v>11875</v>
      </c>
      <c r="K32" s="120">
        <v>11875</v>
      </c>
      <c r="L32" s="120"/>
      <c r="M32" s="120">
        <v>11875</v>
      </c>
      <c r="N32" s="120"/>
      <c r="O32" s="120"/>
      <c r="P32" s="120"/>
      <c r="Q32" s="120"/>
      <c r="R32" s="120"/>
      <c r="S32" s="120"/>
      <c r="T32" s="120"/>
    </row>
    <row r="33" spans="1:20" s="121" customFormat="1" ht="15.75" thickBot="1">
      <c r="A33" s="195" t="s">
        <v>27</v>
      </c>
      <c r="B33" s="191" t="s">
        <v>341</v>
      </c>
      <c r="C33" s="201">
        <v>585148</v>
      </c>
      <c r="D33" s="192">
        <f t="shared" si="0"/>
        <v>375000</v>
      </c>
      <c r="E33" s="193">
        <f t="shared" si="1"/>
        <v>210148</v>
      </c>
      <c r="F33" s="120"/>
      <c r="G33" s="120">
        <v>56000</v>
      </c>
      <c r="H33" s="120"/>
      <c r="I33" s="120">
        <v>107000</v>
      </c>
      <c r="J33" s="120">
        <v>39000</v>
      </c>
      <c r="K33" s="120">
        <v>48000</v>
      </c>
      <c r="L33" s="120">
        <v>50000</v>
      </c>
      <c r="M33" s="120"/>
      <c r="N33" s="120">
        <v>75000</v>
      </c>
      <c r="O33" s="120"/>
      <c r="P33" s="120"/>
      <c r="Q33" s="120"/>
      <c r="R33" s="120"/>
      <c r="S33" s="120"/>
      <c r="T33" s="120"/>
    </row>
    <row r="34" spans="1:20" s="121" customFormat="1" ht="15.75" thickBot="1">
      <c r="A34" s="195" t="s">
        <v>28</v>
      </c>
      <c r="B34" s="191" t="s">
        <v>29</v>
      </c>
      <c r="C34" s="201">
        <v>158525</v>
      </c>
      <c r="D34" s="192">
        <f t="shared" si="0"/>
        <v>57332</v>
      </c>
      <c r="E34" s="193">
        <f t="shared" si="1"/>
        <v>101193</v>
      </c>
      <c r="F34" s="120"/>
      <c r="G34" s="120"/>
      <c r="H34" s="120"/>
      <c r="I34" s="120">
        <f>15117+16542</f>
        <v>31659</v>
      </c>
      <c r="J34" s="120"/>
      <c r="K34" s="120">
        <v>25673</v>
      </c>
      <c r="L34" s="120"/>
      <c r="M34" s="120"/>
      <c r="N34" s="120"/>
      <c r="O34" s="120"/>
      <c r="P34" s="120"/>
      <c r="Q34" s="120"/>
      <c r="R34" s="120"/>
      <c r="S34" s="120"/>
      <c r="T34" s="120"/>
    </row>
    <row r="35" spans="1:20" s="121" customFormat="1" ht="15.75" thickBot="1">
      <c r="A35" s="195" t="s">
        <v>30</v>
      </c>
      <c r="B35" s="194" t="s">
        <v>342</v>
      </c>
      <c r="C35" s="201">
        <v>38000</v>
      </c>
      <c r="D35" s="192">
        <f t="shared" si="0"/>
        <v>25680</v>
      </c>
      <c r="E35" s="193">
        <f t="shared" si="1"/>
        <v>12320</v>
      </c>
      <c r="F35" s="120"/>
      <c r="G35" s="120"/>
      <c r="H35" s="120">
        <v>4500</v>
      </c>
      <c r="I35" s="120">
        <v>3750</v>
      </c>
      <c r="J35" s="120">
        <v>3300</v>
      </c>
      <c r="K35" s="120">
        <v>3300</v>
      </c>
      <c r="L35" s="120">
        <v>3710</v>
      </c>
      <c r="M35" s="120">
        <v>3980</v>
      </c>
      <c r="N35" s="120">
        <v>3140</v>
      </c>
      <c r="O35" s="120"/>
      <c r="P35" s="120"/>
      <c r="Q35" s="120"/>
      <c r="R35" s="120"/>
      <c r="S35" s="120"/>
      <c r="T35" s="120"/>
    </row>
    <row r="36" spans="1:20" s="121" customFormat="1" ht="15.75" thickBot="1">
      <c r="A36" s="195" t="s">
        <v>31</v>
      </c>
      <c r="B36" s="191" t="s">
        <v>32</v>
      </c>
      <c r="C36" s="201">
        <v>203548</v>
      </c>
      <c r="D36" s="192">
        <f t="shared" si="0"/>
        <v>131507</v>
      </c>
      <c r="E36" s="193">
        <f t="shared" si="1"/>
        <v>72041</v>
      </c>
      <c r="F36" s="120"/>
      <c r="G36" s="120"/>
      <c r="H36" s="120">
        <v>22200</v>
      </c>
      <c r="I36" s="120">
        <v>17930</v>
      </c>
      <c r="J36" s="120">
        <v>19273</v>
      </c>
      <c r="K36" s="120">
        <v>19710</v>
      </c>
      <c r="L36" s="120">
        <v>17395</v>
      </c>
      <c r="M36" s="120">
        <v>15393</v>
      </c>
      <c r="N36" s="120">
        <v>19606</v>
      </c>
      <c r="O36" s="120"/>
      <c r="P36" s="120"/>
      <c r="Q36" s="120"/>
      <c r="R36" s="120"/>
      <c r="S36" s="120"/>
      <c r="T36" s="120"/>
    </row>
    <row r="37" spans="1:20" s="121" customFormat="1" ht="15.75" thickBot="1">
      <c r="A37" s="190" t="s">
        <v>33</v>
      </c>
      <c r="B37" s="191" t="s">
        <v>225</v>
      </c>
      <c r="C37" s="201">
        <v>225008</v>
      </c>
      <c r="D37" s="192">
        <f t="shared" si="0"/>
        <v>104361</v>
      </c>
      <c r="E37" s="193">
        <f t="shared" si="1"/>
        <v>120647</v>
      </c>
      <c r="F37" s="120"/>
      <c r="G37" s="120"/>
      <c r="H37" s="120">
        <v>12350</v>
      </c>
      <c r="I37" s="120">
        <f>12350+27240</f>
        <v>39590</v>
      </c>
      <c r="J37" s="120"/>
      <c r="K37" s="120"/>
      <c r="L37" s="120">
        <v>52421</v>
      </c>
      <c r="M37" s="120"/>
      <c r="N37" s="120"/>
      <c r="O37" s="120"/>
      <c r="P37" s="120"/>
      <c r="Q37" s="120"/>
      <c r="R37" s="120"/>
      <c r="S37" s="120"/>
      <c r="T37" s="120"/>
    </row>
    <row r="38" spans="1:20" s="121" customFormat="1" ht="15.75" thickBot="1">
      <c r="A38" s="195" t="s">
        <v>34</v>
      </c>
      <c r="B38" s="194" t="s">
        <v>343</v>
      </c>
      <c r="C38" s="201">
        <v>123500</v>
      </c>
      <c r="D38" s="192">
        <f t="shared" si="0"/>
        <v>59609</v>
      </c>
      <c r="E38" s="193">
        <f t="shared" si="1"/>
        <v>63891</v>
      </c>
      <c r="F38" s="120"/>
      <c r="G38" s="120"/>
      <c r="H38" s="120"/>
      <c r="I38" s="120">
        <f>12350+12350+5000</f>
        <v>29700</v>
      </c>
      <c r="J38" s="120"/>
      <c r="K38" s="120">
        <v>12350</v>
      </c>
      <c r="L38" s="120"/>
      <c r="M38" s="120">
        <v>12350</v>
      </c>
      <c r="N38" s="120">
        <v>5209</v>
      </c>
      <c r="O38" s="120"/>
      <c r="P38" s="120"/>
      <c r="Q38" s="120"/>
      <c r="R38" s="120"/>
      <c r="S38" s="120"/>
      <c r="T38" s="120"/>
    </row>
    <row r="39" spans="1:20" s="121" customFormat="1" ht="15.75" thickBot="1">
      <c r="A39" s="195" t="s">
        <v>35</v>
      </c>
      <c r="B39" s="191" t="s">
        <v>344</v>
      </c>
      <c r="C39" s="201">
        <v>167442</v>
      </c>
      <c r="D39" s="192">
        <f t="shared" si="0"/>
        <v>54819</v>
      </c>
      <c r="E39" s="193">
        <f t="shared" si="1"/>
        <v>112623</v>
      </c>
      <c r="F39" s="120"/>
      <c r="G39" s="120"/>
      <c r="H39" s="120"/>
      <c r="I39" s="120"/>
      <c r="J39" s="120"/>
      <c r="K39" s="120"/>
      <c r="L39" s="120"/>
      <c r="M39" s="120">
        <v>54819</v>
      </c>
      <c r="N39" s="120"/>
      <c r="O39" s="120"/>
      <c r="P39" s="120"/>
      <c r="Q39" s="120"/>
      <c r="R39" s="120"/>
      <c r="S39" s="120"/>
      <c r="T39" s="120"/>
    </row>
    <row r="40" spans="1:20" s="121" customFormat="1" ht="15.75" thickBot="1">
      <c r="A40" s="195" t="s">
        <v>36</v>
      </c>
      <c r="B40" s="191" t="s">
        <v>345</v>
      </c>
      <c r="C40" s="201">
        <v>42930</v>
      </c>
      <c r="D40" s="192">
        <f t="shared" si="0"/>
        <v>19156</v>
      </c>
      <c r="E40" s="193">
        <f t="shared" si="1"/>
        <v>23774</v>
      </c>
      <c r="F40" s="120"/>
      <c r="G40" s="120"/>
      <c r="H40" s="120"/>
      <c r="I40" s="120"/>
      <c r="J40" s="120">
        <v>12956</v>
      </c>
      <c r="K40" s="120"/>
      <c r="L40" s="120"/>
      <c r="M40" s="120">
        <v>6200</v>
      </c>
      <c r="N40" s="120"/>
      <c r="O40" s="120"/>
      <c r="P40" s="120"/>
      <c r="Q40" s="120"/>
      <c r="R40" s="120"/>
      <c r="S40" s="120"/>
      <c r="T40" s="120"/>
    </row>
    <row r="41" spans="1:20" s="121" customFormat="1" ht="15.75" thickBot="1">
      <c r="A41" s="195" t="s">
        <v>37</v>
      </c>
      <c r="B41" s="191" t="s">
        <v>346</v>
      </c>
      <c r="C41" s="201">
        <v>200189</v>
      </c>
      <c r="D41" s="192">
        <f t="shared" si="0"/>
        <v>102924</v>
      </c>
      <c r="E41" s="193">
        <f t="shared" si="1"/>
        <v>97265</v>
      </c>
      <c r="F41" s="120"/>
      <c r="G41" s="120"/>
      <c r="H41" s="120">
        <v>6208</v>
      </c>
      <c r="I41" s="120">
        <f>12665+14442</f>
        <v>27107</v>
      </c>
      <c r="J41" s="120"/>
      <c r="K41" s="120"/>
      <c r="L41" s="120">
        <v>43580</v>
      </c>
      <c r="M41" s="120"/>
      <c r="N41" s="120">
        <v>26029</v>
      </c>
      <c r="O41" s="120"/>
      <c r="P41" s="120"/>
      <c r="Q41" s="120"/>
      <c r="R41" s="120"/>
      <c r="S41" s="120"/>
      <c r="T41" s="120"/>
    </row>
    <row r="42" spans="1:20" s="121" customFormat="1" ht="15.75" thickBot="1">
      <c r="A42" s="195" t="s">
        <v>38</v>
      </c>
      <c r="B42" s="194" t="s">
        <v>347</v>
      </c>
      <c r="C42" s="201">
        <v>95206</v>
      </c>
      <c r="D42" s="192">
        <f t="shared" si="0"/>
        <v>63020</v>
      </c>
      <c r="E42" s="193">
        <f t="shared" si="1"/>
        <v>32186</v>
      </c>
      <c r="F42" s="120"/>
      <c r="G42" s="120">
        <v>8655</v>
      </c>
      <c r="H42" s="120">
        <v>8700</v>
      </c>
      <c r="I42" s="120">
        <v>13122</v>
      </c>
      <c r="J42" s="120">
        <v>13122</v>
      </c>
      <c r="K42" s="120">
        <v>6000</v>
      </c>
      <c r="L42" s="120"/>
      <c r="M42" s="120">
        <v>6321</v>
      </c>
      <c r="N42" s="120">
        <v>7100</v>
      </c>
      <c r="O42" s="120"/>
      <c r="P42" s="120"/>
      <c r="Q42" s="120"/>
      <c r="R42" s="120"/>
      <c r="S42" s="120"/>
      <c r="T42" s="120"/>
    </row>
    <row r="43" spans="1:20" s="121" customFormat="1" ht="15.75" thickBot="1">
      <c r="A43" s="195" t="s">
        <v>39</v>
      </c>
      <c r="B43" s="215" t="s">
        <v>348</v>
      </c>
      <c r="C43" s="201">
        <v>88186</v>
      </c>
      <c r="D43" s="192">
        <f t="shared" ref="D43:D46" si="4">SUM(F43:T43)</f>
        <v>47443</v>
      </c>
      <c r="E43" s="193">
        <f t="shared" ref="E43:E46" si="5">C43-D43</f>
        <v>40743</v>
      </c>
      <c r="F43" s="120"/>
      <c r="G43" s="120"/>
      <c r="H43" s="120"/>
      <c r="I43" s="120"/>
      <c r="J43" s="120"/>
      <c r="K43" s="120">
        <v>21368</v>
      </c>
      <c r="L43" s="120"/>
      <c r="M43" s="120">
        <v>26075</v>
      </c>
      <c r="N43" s="120"/>
      <c r="O43" s="120"/>
      <c r="P43" s="120"/>
      <c r="Q43" s="120"/>
      <c r="R43" s="120"/>
      <c r="S43" s="120"/>
      <c r="T43" s="120"/>
    </row>
    <row r="44" spans="1:20" s="63" customFormat="1" ht="15.75" thickBot="1">
      <c r="A44" s="195" t="s">
        <v>40</v>
      </c>
      <c r="B44" s="194" t="s">
        <v>349</v>
      </c>
      <c r="C44" s="201">
        <v>66500</v>
      </c>
      <c r="D44" s="192">
        <f t="shared" si="4"/>
        <v>41708</v>
      </c>
      <c r="E44" s="216">
        <f t="shared" si="5"/>
        <v>24792</v>
      </c>
      <c r="F44" s="217"/>
      <c r="G44" s="217"/>
      <c r="H44" s="217"/>
      <c r="I44" s="217">
        <v>17866</v>
      </c>
      <c r="J44" s="217">
        <v>5719</v>
      </c>
      <c r="K44" s="217">
        <v>6700</v>
      </c>
      <c r="L44" s="217"/>
      <c r="M44" s="217">
        <v>5460</v>
      </c>
      <c r="N44" s="217">
        <v>5963</v>
      </c>
      <c r="O44" s="217"/>
      <c r="P44" s="217"/>
      <c r="Q44" s="217"/>
      <c r="R44" s="217"/>
      <c r="S44" s="217"/>
      <c r="T44" s="217"/>
    </row>
    <row r="45" spans="1:20" ht="15.75" thickBot="1">
      <c r="A45" s="195" t="s">
        <v>41</v>
      </c>
      <c r="B45" s="191" t="s">
        <v>91</v>
      </c>
      <c r="C45" s="201">
        <v>219416</v>
      </c>
      <c r="D45" s="192">
        <f t="shared" si="4"/>
        <v>98784</v>
      </c>
      <c r="E45" s="193">
        <f t="shared" si="5"/>
        <v>120632</v>
      </c>
      <c r="F45" s="31"/>
      <c r="G45" s="31"/>
      <c r="H45" s="31">
        <v>26918</v>
      </c>
      <c r="I45" s="31">
        <v>3222</v>
      </c>
      <c r="J45" s="31">
        <v>12901</v>
      </c>
      <c r="K45" s="31">
        <v>16819</v>
      </c>
      <c r="L45" s="31">
        <v>6611</v>
      </c>
      <c r="M45" s="31">
        <v>13337</v>
      </c>
      <c r="N45" s="31">
        <v>18976</v>
      </c>
      <c r="O45" s="31"/>
      <c r="P45" s="31"/>
      <c r="Q45" s="31"/>
      <c r="R45" s="31"/>
      <c r="S45" s="31"/>
      <c r="T45" s="31"/>
    </row>
    <row r="46" spans="1:20" ht="15.75" thickBot="1">
      <c r="A46" s="195" t="s">
        <v>42</v>
      </c>
      <c r="B46" s="191" t="s">
        <v>43</v>
      </c>
      <c r="C46" s="201">
        <v>62975</v>
      </c>
      <c r="D46" s="192">
        <f t="shared" si="4"/>
        <v>16454</v>
      </c>
      <c r="E46" s="193">
        <f t="shared" si="5"/>
        <v>46521</v>
      </c>
      <c r="F46" s="31"/>
      <c r="G46" s="31"/>
      <c r="H46" s="31"/>
      <c r="I46" s="31"/>
      <c r="J46" s="31">
        <v>16454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 spans="1:20" ht="15.75" thickBot="1">
      <c r="A47" s="209"/>
      <c r="B47" s="197"/>
      <c r="C47" s="203"/>
      <c r="D47" s="203"/>
      <c r="E47" s="203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 t="s">
        <v>245</v>
      </c>
      <c r="R47" s="31"/>
      <c r="S47" s="31"/>
      <c r="T47" s="31"/>
    </row>
    <row r="48" spans="1:20" ht="15.75" thickBot="1">
      <c r="A48" s="199"/>
      <c r="B48" s="197"/>
      <c r="C48" s="202">
        <f>SUM(C11:C47)</f>
        <v>5256767</v>
      </c>
      <c r="D48" s="202">
        <f>SUM(D11:D47)</f>
        <v>2917488</v>
      </c>
      <c r="E48" s="202">
        <f>SUM(E11:E47)</f>
        <v>2680582</v>
      </c>
      <c r="F48" s="218">
        <f>SUM(F11:F47)</f>
        <v>0</v>
      </c>
      <c r="G48" s="218">
        <f t="shared" ref="G48:T48" si="6">SUM(G11:G47)</f>
        <v>79287</v>
      </c>
      <c r="H48" s="267">
        <f t="shared" si="6"/>
        <v>186734</v>
      </c>
      <c r="I48" s="267">
        <f t="shared" si="6"/>
        <v>439921</v>
      </c>
      <c r="J48" s="267">
        <f t="shared" si="6"/>
        <v>326610</v>
      </c>
      <c r="K48" s="267">
        <f t="shared" si="6"/>
        <v>559026</v>
      </c>
      <c r="L48" s="267">
        <f t="shared" si="6"/>
        <v>439969</v>
      </c>
      <c r="M48" s="267">
        <f t="shared" si="6"/>
        <v>584032</v>
      </c>
      <c r="N48" s="267">
        <f t="shared" si="6"/>
        <v>301909</v>
      </c>
      <c r="O48" s="267">
        <f t="shared" si="6"/>
        <v>0</v>
      </c>
      <c r="P48" s="267">
        <f t="shared" si="6"/>
        <v>0</v>
      </c>
      <c r="Q48" s="267">
        <f t="shared" si="6"/>
        <v>0</v>
      </c>
      <c r="R48" s="267">
        <f t="shared" si="6"/>
        <v>0</v>
      </c>
      <c r="S48" s="267">
        <f t="shared" si="6"/>
        <v>0</v>
      </c>
      <c r="T48" s="267">
        <f t="shared" si="6"/>
        <v>0</v>
      </c>
    </row>
    <row r="49" spans="3:20">
      <c r="C49" s="204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</row>
    <row r="50" spans="3:20">
      <c r="C50" s="204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</row>
    <row r="51" spans="3:20">
      <c r="C51" s="204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</row>
    <row r="52" spans="3:20">
      <c r="C52" s="204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</row>
    <row r="53" spans="3:20">
      <c r="C53" s="204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</row>
    <row r="54" spans="3:20"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spans="3:20">
      <c r="D55" s="30"/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</row>
    <row r="56" spans="3:20">
      <c r="D56" s="30"/>
      <c r="E56" s="30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</row>
    <row r="57" spans="3:20"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</row>
    <row r="58" spans="3:20"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</row>
    <row r="59" spans="3:20"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</row>
    <row r="60" spans="3:20"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 spans="3:20"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</row>
    <row r="62" spans="3:20"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</row>
    <row r="63" spans="3:20"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</row>
    <row r="64" spans="3:20">
      <c r="D64" s="30"/>
      <c r="E64" s="30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</row>
    <row r="65" spans="4:20">
      <c r="D65" s="30"/>
      <c r="E65" s="30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</row>
    <row r="66" spans="4:20">
      <c r="D66" s="30"/>
      <c r="E66" s="30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</row>
    <row r="67" spans="4:20">
      <c r="D67" s="30"/>
      <c r="E67" s="30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</row>
    <row r="68" spans="4:20">
      <c r="D68" s="30"/>
      <c r="E68" s="30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</row>
    <row r="69" spans="4:20">
      <c r="D69" s="30"/>
      <c r="E69" s="30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</row>
    <row r="70" spans="4:20">
      <c r="D70" s="30"/>
      <c r="E70" s="30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</row>
    <row r="71" spans="4:20"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</row>
    <row r="72" spans="4:20"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</row>
    <row r="73" spans="4:20"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</row>
    <row r="74" spans="4:20">
      <c r="D74" s="30"/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</row>
    <row r="75" spans="4:20">
      <c r="D75" s="30"/>
      <c r="E75" s="3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</row>
    <row r="76" spans="4:20">
      <c r="D76" s="30"/>
      <c r="E76" s="30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</row>
    <row r="77" spans="4:20"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</row>
    <row r="78" spans="4:20"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</row>
    <row r="79" spans="4:20">
      <c r="D79" s="30"/>
      <c r="E79" s="30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</row>
    <row r="80" spans="4:20">
      <c r="D80" s="30"/>
      <c r="E80" s="30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</row>
    <row r="81" spans="4:20">
      <c r="D81" s="30"/>
      <c r="E81" s="30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</row>
    <row r="82" spans="4:20">
      <c r="D82" s="30"/>
      <c r="E82" s="30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</row>
    <row r="83" spans="4:20">
      <c r="D83" s="30"/>
      <c r="E83" s="30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</row>
    <row r="84" spans="4:20">
      <c r="D84" s="30"/>
      <c r="E84" s="30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</row>
    <row r="85" spans="4:20">
      <c r="D85" s="30"/>
      <c r="E85" s="30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</row>
    <row r="86" spans="4:20">
      <c r="D86" s="30"/>
      <c r="E86" s="30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</row>
    <row r="87" spans="4:20">
      <c r="D87" s="30"/>
      <c r="E87" s="30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</row>
    <row r="88" spans="4:20">
      <c r="D88" s="30"/>
      <c r="E88" s="30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</row>
    <row r="89" spans="4:20">
      <c r="D89" s="30"/>
      <c r="E89" s="30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</row>
    <row r="90" spans="4:20">
      <c r="D90" s="30"/>
      <c r="E90" s="30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</row>
    <row r="91" spans="4:20">
      <c r="D91" s="30"/>
      <c r="E91" s="30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</row>
    <row r="92" spans="4:20">
      <c r="D92" s="30"/>
      <c r="E92" s="30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</row>
    <row r="93" spans="4:20">
      <c r="D93" s="30"/>
      <c r="E93" s="30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</row>
    <row r="94" spans="4:20">
      <c r="D94" s="30"/>
      <c r="E94" s="30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</row>
    <row r="95" spans="4:20">
      <c r="D95" s="30"/>
      <c r="E95" s="30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</row>
    <row r="96" spans="4:20">
      <c r="D96" s="30"/>
      <c r="E96" s="30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</row>
    <row r="97" spans="4:20">
      <c r="D97" s="30"/>
      <c r="E97" s="30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</row>
    <row r="98" spans="4:20">
      <c r="D98" s="30"/>
      <c r="E98" s="30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</row>
    <row r="99" spans="4:20">
      <c r="D99" s="30"/>
      <c r="E99" s="30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</row>
    <row r="100" spans="4:20">
      <c r="D100" s="30"/>
      <c r="E100" s="30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</row>
    <row r="101" spans="4:20">
      <c r="D101" s="30"/>
      <c r="E101" s="30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</row>
    <row r="102" spans="4:20">
      <c r="D102" s="30"/>
      <c r="E102" s="30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</row>
    <row r="103" spans="4:20">
      <c r="D103" s="30"/>
      <c r="E103" s="30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</row>
    <row r="104" spans="4:20">
      <c r="D104" s="30"/>
      <c r="E104" s="30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</row>
    <row r="105" spans="4:20">
      <c r="D105" s="30"/>
      <c r="E105" s="30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</row>
    <row r="106" spans="4:20">
      <c r="D106" s="30"/>
      <c r="E106" s="30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</row>
    <row r="107" spans="4:20">
      <c r="D107" s="30"/>
      <c r="E107" s="30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</row>
    <row r="108" spans="4:20">
      <c r="D108" s="30"/>
      <c r="E108" s="30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</row>
    <row r="109" spans="4:20">
      <c r="D109" s="30"/>
      <c r="E109" s="30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</row>
    <row r="110" spans="4:20">
      <c r="D110" s="30"/>
      <c r="E110" s="30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</row>
    <row r="111" spans="4:20">
      <c r="D111" s="30"/>
      <c r="E111" s="30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</row>
    <row r="112" spans="4:20">
      <c r="D112" s="30"/>
      <c r="E112" s="30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 spans="4:20">
      <c r="D113" s="30"/>
      <c r="E113" s="30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</row>
    <row r="114" spans="4:20">
      <c r="D114" s="30"/>
      <c r="E114" s="30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</row>
    <row r="115" spans="4:20">
      <c r="D115" s="30"/>
      <c r="E115" s="30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</row>
    <row r="116" spans="4:20">
      <c r="D116" s="30"/>
      <c r="E116" s="30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</row>
    <row r="117" spans="4:20">
      <c r="D117" s="30"/>
      <c r="E117" s="30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</row>
    <row r="118" spans="4:20">
      <c r="D118" s="30"/>
      <c r="E118" s="30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</row>
    <row r="119" spans="4:20">
      <c r="D119" s="30"/>
      <c r="E119" s="30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</row>
    <row r="120" spans="4:20">
      <c r="D120" s="30"/>
      <c r="E120" s="30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</row>
    <row r="121" spans="4:20">
      <c r="D121" s="30"/>
      <c r="E121" s="30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</row>
    <row r="122" spans="4:20">
      <c r="D122" s="30"/>
      <c r="E122" s="30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</row>
    <row r="123" spans="4:20">
      <c r="D123" s="30"/>
      <c r="E123" s="30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</row>
    <row r="124" spans="4:20">
      <c r="D124" s="30"/>
      <c r="E124" s="30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</row>
    <row r="125" spans="4:20">
      <c r="D125" s="30"/>
      <c r="E125" s="30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</row>
    <row r="126" spans="4:20">
      <c r="D126" s="30"/>
      <c r="E126" s="30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</row>
    <row r="127" spans="4:20">
      <c r="D127" s="30"/>
      <c r="E127" s="30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</row>
    <row r="128" spans="4:20">
      <c r="D128" s="30"/>
      <c r="E128" s="30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</row>
    <row r="129" spans="4:20">
      <c r="D129" s="30"/>
      <c r="E129" s="30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</row>
    <row r="130" spans="4:20">
      <c r="D130" s="30"/>
      <c r="E130" s="30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</row>
    <row r="131" spans="4:20">
      <c r="D131" s="30"/>
      <c r="E131" s="30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</row>
    <row r="132" spans="4:20">
      <c r="D132" s="30"/>
      <c r="E132" s="30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</row>
    <row r="133" spans="4:20">
      <c r="D133" s="30"/>
      <c r="E133" s="30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</row>
    <row r="134" spans="4:20">
      <c r="D134" s="30"/>
      <c r="E134" s="30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</row>
    <row r="135" spans="4:20">
      <c r="D135" s="30"/>
      <c r="E135" s="30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</row>
    <row r="136" spans="4:20">
      <c r="D136" s="30"/>
      <c r="E136" s="30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</row>
    <row r="137" spans="4:20">
      <c r="D137" s="30"/>
      <c r="E137" s="30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</row>
    <row r="138" spans="4:20">
      <c r="D138" s="30"/>
      <c r="E138" s="30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</row>
    <row r="139" spans="4:20">
      <c r="D139" s="30"/>
      <c r="E139" s="30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</row>
    <row r="140" spans="4:20">
      <c r="D140" s="30"/>
      <c r="E140" s="30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</row>
    <row r="141" spans="4:20">
      <c r="D141" s="30"/>
      <c r="E141" s="30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</row>
    <row r="142" spans="4:20">
      <c r="D142" s="30"/>
      <c r="E142" s="30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</row>
    <row r="143" spans="4:20">
      <c r="D143" s="30"/>
      <c r="E143" s="30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</row>
    <row r="144" spans="4:20">
      <c r="D144" s="30"/>
      <c r="E144" s="30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</row>
    <row r="145" spans="4:20">
      <c r="D145" s="30"/>
      <c r="E145" s="30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</row>
    <row r="146" spans="4:20">
      <c r="D146" s="30"/>
      <c r="E146" s="30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</row>
    <row r="147" spans="4:20">
      <c r="D147" s="30"/>
      <c r="E147" s="30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</row>
    <row r="148" spans="4:20">
      <c r="D148" s="30"/>
      <c r="E148" s="30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</row>
    <row r="149" spans="4:20">
      <c r="D149" s="30"/>
      <c r="E149" s="30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</row>
    <row r="150" spans="4:20">
      <c r="D150" s="30"/>
      <c r="E150" s="30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</row>
    <row r="151" spans="4:20">
      <c r="D151" s="30"/>
      <c r="E151" s="30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</row>
    <row r="152" spans="4:20">
      <c r="D152" s="30"/>
      <c r="E152" s="30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</row>
    <row r="153" spans="4:20">
      <c r="D153" s="30"/>
      <c r="E153" s="30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</row>
    <row r="154" spans="4:20">
      <c r="D154" s="30"/>
      <c r="E154" s="30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</row>
    <row r="155" spans="4:20">
      <c r="D155" s="30"/>
      <c r="E155" s="30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</row>
  </sheetData>
  <sheetProtection password="EF32" sheet="1" objects="1" scenarios="1"/>
  <pageMargins left="0.1" right="0.1" top="0.1" bottom="0.1" header="0.3" footer="0.3"/>
  <pageSetup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5">
    <tabColor rgb="FFCCFFCC"/>
  </sheetPr>
  <dimension ref="A1:AK60"/>
  <sheetViews>
    <sheetView workbookViewId="0">
      <pane xSplit="5" ySplit="11" topLeftCell="N12" activePane="bottomRight" state="frozen"/>
      <selection pane="topRight" activeCell="F1" sqref="F1"/>
      <selection pane="bottomLeft" activeCell="A12" sqref="A12"/>
      <selection pane="bottomRight" activeCell="N18" sqref="N18"/>
    </sheetView>
  </sheetViews>
  <sheetFormatPr defaultRowHeight="15"/>
  <cols>
    <col min="1" max="1" width="9.140625" style="276"/>
    <col min="2" max="2" width="32.140625" customWidth="1"/>
    <col min="3" max="3" width="13.5703125" style="4" customWidth="1"/>
    <col min="4" max="4" width="11.42578125" style="4" customWidth="1"/>
    <col min="5" max="5" width="12" style="4" customWidth="1"/>
    <col min="6" max="20" width="15.7109375" customWidth="1"/>
  </cols>
  <sheetData>
    <row r="1" spans="1:37" s="4" customFormat="1" ht="21">
      <c r="A1" s="270" t="s">
        <v>0</v>
      </c>
      <c r="B1" s="42"/>
      <c r="C1" s="35" t="s">
        <v>106</v>
      </c>
      <c r="D1" s="34"/>
      <c r="E1" s="36"/>
      <c r="F1" s="43"/>
      <c r="G1" s="42"/>
      <c r="H1" s="42"/>
      <c r="I1" s="42"/>
      <c r="J1" s="35" t="str">
        <f>C1</f>
        <v>Title II-B Math &amp; Science Partnerships</v>
      </c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37" s="4" customFormat="1" ht="18.75">
      <c r="A2" s="271" t="s">
        <v>1</v>
      </c>
      <c r="B2" s="42"/>
      <c r="C2" s="38">
        <v>84.366</v>
      </c>
      <c r="D2" s="37"/>
      <c r="E2" s="39"/>
      <c r="F2" s="43"/>
      <c r="G2" s="42"/>
      <c r="H2" s="42"/>
      <c r="I2" s="42"/>
      <c r="J2" s="59" t="str">
        <f>"FY"&amp;C4</f>
        <v>FY2013-14</v>
      </c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37" s="4" customFormat="1" ht="15.75">
      <c r="A3" s="271" t="s">
        <v>2</v>
      </c>
      <c r="B3" s="42"/>
      <c r="C3" s="38">
        <v>5366</v>
      </c>
      <c r="D3" s="37"/>
      <c r="E3" s="39"/>
      <c r="F3" s="43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spans="1:37" s="4" customFormat="1" ht="21">
      <c r="A4" s="271" t="s">
        <v>3</v>
      </c>
      <c r="B4" s="42"/>
      <c r="C4" s="69" t="s">
        <v>249</v>
      </c>
      <c r="D4" s="39"/>
      <c r="E4" s="39"/>
      <c r="F4" s="43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37" s="4" customFormat="1" ht="15.75">
      <c r="A5" s="271" t="s">
        <v>104</v>
      </c>
      <c r="B5" s="42"/>
      <c r="C5" s="38" t="s">
        <v>107</v>
      </c>
      <c r="D5" s="39"/>
      <c r="E5" s="39"/>
      <c r="F5" s="43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37" s="4" customFormat="1" ht="15.75">
      <c r="A6" s="271" t="s">
        <v>65</v>
      </c>
      <c r="B6" s="42"/>
      <c r="C6" s="38" t="s">
        <v>254</v>
      </c>
      <c r="D6" s="39"/>
      <c r="E6" s="39"/>
      <c r="F6" s="41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</row>
    <row r="7" spans="1:37" s="4" customFormat="1" ht="15.75">
      <c r="A7" s="271" t="s">
        <v>67</v>
      </c>
      <c r="B7" s="42"/>
      <c r="C7" s="38" t="s">
        <v>223</v>
      </c>
      <c r="D7" s="39"/>
      <c r="E7" s="39"/>
      <c r="F7" s="41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</row>
    <row r="8" spans="1:37" s="4" customFormat="1" ht="15.75">
      <c r="A8" s="271" t="s">
        <v>207</v>
      </c>
      <c r="B8" s="42"/>
      <c r="C8" s="38" t="s">
        <v>209</v>
      </c>
      <c r="D8" s="39"/>
      <c r="E8" s="39"/>
      <c r="F8" s="41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</row>
    <row r="9" spans="1:37" s="4" customFormat="1" ht="21">
      <c r="A9" s="270" t="s">
        <v>258</v>
      </c>
      <c r="B9" s="42"/>
      <c r="C9" s="38"/>
      <c r="D9" s="39"/>
      <c r="E9" s="39"/>
      <c r="F9" s="41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</row>
    <row r="10" spans="1:37" s="4" customFormat="1" ht="15.75" thickBot="1">
      <c r="A10" s="27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</row>
    <row r="11" spans="1:37" ht="30.75" thickBot="1">
      <c r="A11" s="273" t="s">
        <v>4</v>
      </c>
      <c r="B11" s="57" t="s">
        <v>5</v>
      </c>
      <c r="C11" s="58" t="s">
        <v>44</v>
      </c>
      <c r="D11" s="57" t="s">
        <v>45</v>
      </c>
      <c r="E11" s="50" t="s">
        <v>46</v>
      </c>
      <c r="F11" s="122" t="s">
        <v>202</v>
      </c>
      <c r="G11" s="122" t="s">
        <v>203</v>
      </c>
      <c r="H11" s="122" t="s">
        <v>204</v>
      </c>
      <c r="I11" s="122" t="s">
        <v>205</v>
      </c>
      <c r="J11" s="307" t="s">
        <v>528</v>
      </c>
      <c r="K11" s="307" t="s">
        <v>529</v>
      </c>
      <c r="L11" s="307" t="s">
        <v>530</v>
      </c>
      <c r="M11" s="307" t="s">
        <v>531</v>
      </c>
      <c r="N11" s="307" t="s">
        <v>532</v>
      </c>
      <c r="O11" s="307" t="s">
        <v>533</v>
      </c>
      <c r="P11" s="307" t="s">
        <v>534</v>
      </c>
      <c r="Q11" s="307" t="s">
        <v>520</v>
      </c>
      <c r="R11" s="307" t="s">
        <v>521</v>
      </c>
      <c r="S11" s="307" t="s">
        <v>522</v>
      </c>
      <c r="T11" s="307" t="s">
        <v>523</v>
      </c>
    </row>
    <row r="12" spans="1:37" s="107" customFormat="1" ht="15.75" thickBot="1">
      <c r="A12" s="280" t="s">
        <v>6</v>
      </c>
      <c r="B12" s="282" t="s">
        <v>99</v>
      </c>
      <c r="C12" s="108">
        <v>276732</v>
      </c>
      <c r="D12" s="109">
        <f t="shared" ref="D12:D18" si="0">SUM(F12:T12)</f>
        <v>174635</v>
      </c>
      <c r="E12" s="110">
        <f t="shared" ref="E12:E18" si="1">C12-D12</f>
        <v>102097</v>
      </c>
      <c r="F12" s="106"/>
      <c r="G12" s="106"/>
      <c r="H12" s="106"/>
      <c r="I12" s="106"/>
      <c r="J12" s="106">
        <v>109066</v>
      </c>
      <c r="K12" s="106">
        <v>12458</v>
      </c>
      <c r="L12" s="106">
        <v>8926</v>
      </c>
      <c r="M12" s="106">
        <v>19393</v>
      </c>
      <c r="N12" s="106">
        <v>24792</v>
      </c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</row>
    <row r="13" spans="1:37" s="107" customFormat="1" ht="15.75" thickBot="1">
      <c r="A13" s="277" t="s">
        <v>8</v>
      </c>
      <c r="B13" s="283" t="s">
        <v>79</v>
      </c>
      <c r="C13" s="100">
        <v>242634</v>
      </c>
      <c r="D13" s="101">
        <f t="shared" si="0"/>
        <v>65408</v>
      </c>
      <c r="E13" s="101">
        <f t="shared" si="1"/>
        <v>177226</v>
      </c>
      <c r="F13" s="106"/>
      <c r="G13" s="106"/>
      <c r="H13" s="106"/>
      <c r="I13" s="106"/>
      <c r="J13" s="106">
        <v>19497</v>
      </c>
      <c r="K13" s="106">
        <f>16765+1172</f>
        <v>17937</v>
      </c>
      <c r="L13" s="106">
        <v>9730</v>
      </c>
      <c r="M13" s="106">
        <v>1881</v>
      </c>
      <c r="N13" s="106">
        <v>16363</v>
      </c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</row>
    <row r="14" spans="1:37" s="107" customFormat="1" ht="15.75" thickBot="1">
      <c r="A14" s="279" t="s">
        <v>487</v>
      </c>
      <c r="B14" s="281" t="s">
        <v>481</v>
      </c>
      <c r="C14" s="98">
        <v>750000</v>
      </c>
      <c r="D14" s="101">
        <f t="shared" si="0"/>
        <v>312807</v>
      </c>
      <c r="E14" s="101">
        <f t="shared" si="1"/>
        <v>437193</v>
      </c>
      <c r="F14" s="106"/>
      <c r="G14" s="106"/>
      <c r="H14" s="106"/>
      <c r="I14" s="106">
        <v>21082</v>
      </c>
      <c r="J14" s="106">
        <v>111095</v>
      </c>
      <c r="L14" s="106"/>
      <c r="M14" s="106"/>
      <c r="N14" s="106">
        <v>180630</v>
      </c>
      <c r="O14" s="106"/>
      <c r="P14" s="106"/>
      <c r="Q14" s="106"/>
      <c r="R14" s="106"/>
      <c r="S14" s="106"/>
      <c r="T14" s="106"/>
    </row>
    <row r="15" spans="1:37" s="107" customFormat="1" ht="15.75" thickBot="1">
      <c r="A15" s="279" t="s">
        <v>11</v>
      </c>
      <c r="B15" s="281" t="s">
        <v>72</v>
      </c>
      <c r="C15" s="98">
        <v>346062</v>
      </c>
      <c r="D15" s="101">
        <f t="shared" si="0"/>
        <v>104440</v>
      </c>
      <c r="E15" s="101">
        <f t="shared" si="1"/>
        <v>241622</v>
      </c>
      <c r="F15" s="106"/>
      <c r="G15" s="106"/>
      <c r="H15" s="106"/>
      <c r="I15" s="106">
        <v>12813</v>
      </c>
      <c r="J15" s="106">
        <v>49108</v>
      </c>
      <c r="K15" s="107">
        <v>7418</v>
      </c>
      <c r="L15" s="106">
        <v>6851</v>
      </c>
      <c r="M15" s="106">
        <v>17377</v>
      </c>
      <c r="N15" s="106">
        <v>10873</v>
      </c>
      <c r="O15" s="106"/>
      <c r="P15" s="106"/>
      <c r="Q15" s="106"/>
      <c r="R15" s="106"/>
      <c r="S15" s="106"/>
      <c r="T15" s="106"/>
    </row>
    <row r="16" spans="1:37" s="107" customFormat="1" ht="15.75" thickBot="1">
      <c r="A16" s="277" t="s">
        <v>114</v>
      </c>
      <c r="B16" s="114" t="s">
        <v>102</v>
      </c>
      <c r="C16" s="98">
        <v>721291</v>
      </c>
      <c r="D16" s="101">
        <f t="shared" si="0"/>
        <v>381291</v>
      </c>
      <c r="E16" s="101">
        <f t="shared" si="1"/>
        <v>340000</v>
      </c>
      <c r="F16" s="106"/>
      <c r="G16" s="106"/>
      <c r="H16" s="106"/>
      <c r="I16" s="106">
        <f>15433+103291</f>
        <v>118724</v>
      </c>
      <c r="J16" s="106">
        <v>43993</v>
      </c>
      <c r="K16" s="106"/>
      <c r="L16" s="106"/>
      <c r="M16" s="106">
        <v>147208</v>
      </c>
      <c r="N16" s="106">
        <v>71366</v>
      </c>
      <c r="O16" s="106"/>
      <c r="P16" s="106"/>
      <c r="Q16" s="106"/>
      <c r="R16" s="106"/>
      <c r="S16" s="106"/>
      <c r="T16" s="106"/>
    </row>
    <row r="17" spans="1:20" s="107" customFormat="1" ht="15.75" thickBot="1">
      <c r="A17" s="277">
        <v>3120</v>
      </c>
      <c r="B17" s="114" t="s">
        <v>90</v>
      </c>
      <c r="C17" s="98">
        <v>351101</v>
      </c>
      <c r="D17" s="101">
        <f t="shared" si="0"/>
        <v>204133</v>
      </c>
      <c r="E17" s="101">
        <f t="shared" si="1"/>
        <v>146968</v>
      </c>
      <c r="F17" s="106"/>
      <c r="G17" s="106"/>
      <c r="H17" s="106"/>
      <c r="I17" s="106"/>
      <c r="J17" s="106"/>
      <c r="K17" s="106">
        <f>26558+62837</f>
        <v>89395</v>
      </c>
      <c r="L17" s="106">
        <v>38328</v>
      </c>
      <c r="M17" s="106">
        <v>24496</v>
      </c>
      <c r="N17" s="106">
        <v>51914</v>
      </c>
      <c r="O17" s="106"/>
      <c r="P17" s="106"/>
      <c r="Q17" s="106"/>
      <c r="R17" s="106"/>
      <c r="S17" s="106"/>
      <c r="T17" s="106"/>
    </row>
    <row r="18" spans="1:20" s="107" customFormat="1" ht="15.75" thickBot="1">
      <c r="A18" s="277"/>
      <c r="B18" s="114"/>
      <c r="C18" s="98"/>
      <c r="D18" s="101">
        <f t="shared" si="0"/>
        <v>0</v>
      </c>
      <c r="E18" s="101">
        <f t="shared" si="1"/>
        <v>0</v>
      </c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</row>
    <row r="19" spans="1:20" s="107" customFormat="1" ht="15.75" thickBot="1">
      <c r="A19" s="278"/>
      <c r="B19" s="114"/>
      <c r="C19" s="98"/>
      <c r="D19" s="103"/>
      <c r="E19" s="99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</row>
    <row r="20" spans="1:20" s="61" customFormat="1" ht="15.75" thickBot="1">
      <c r="A20" s="274"/>
      <c r="B20" s="112"/>
      <c r="C20" s="80">
        <f>SUM(C12:C18)</f>
        <v>2687820</v>
      </c>
      <c r="D20" s="148">
        <f t="shared" ref="D20:E20" si="2">SUM(D12:D18)</f>
        <v>1242714</v>
      </c>
      <c r="E20" s="148">
        <f t="shared" si="2"/>
        <v>1445106</v>
      </c>
      <c r="F20" s="81">
        <f>SUM(F12:F18)</f>
        <v>0</v>
      </c>
      <c r="G20" s="81">
        <f t="shared" ref="G20:T20" si="3">SUM(G12:G18)</f>
        <v>0</v>
      </c>
      <c r="H20" s="81">
        <f t="shared" si="3"/>
        <v>0</v>
      </c>
      <c r="I20" s="81">
        <f t="shared" si="3"/>
        <v>152619</v>
      </c>
      <c r="J20" s="81">
        <f t="shared" si="3"/>
        <v>332759</v>
      </c>
      <c r="K20" s="81">
        <f>SUM(K12:K18)</f>
        <v>127208</v>
      </c>
      <c r="L20" s="81">
        <f t="shared" si="3"/>
        <v>63835</v>
      </c>
      <c r="M20" s="81">
        <f t="shared" si="3"/>
        <v>210355</v>
      </c>
      <c r="N20" s="81">
        <f t="shared" si="3"/>
        <v>355938</v>
      </c>
      <c r="O20" s="81">
        <f t="shared" si="3"/>
        <v>0</v>
      </c>
      <c r="P20" s="81">
        <f t="shared" si="3"/>
        <v>0</v>
      </c>
      <c r="Q20" s="81">
        <f t="shared" si="3"/>
        <v>0</v>
      </c>
      <c r="R20" s="81">
        <f t="shared" si="3"/>
        <v>0</v>
      </c>
      <c r="S20" s="81">
        <f t="shared" si="3"/>
        <v>0</v>
      </c>
      <c r="T20" s="81">
        <f t="shared" si="3"/>
        <v>0</v>
      </c>
    </row>
    <row r="21" spans="1:20" s="66" customFormat="1">
      <c r="A21" s="275"/>
      <c r="C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</row>
    <row r="22" spans="1:20" s="66" customFormat="1">
      <c r="A22" s="275"/>
      <c r="C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</row>
    <row r="23" spans="1:20" s="66" customFormat="1">
      <c r="A23" s="275"/>
      <c r="C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</row>
    <row r="24" spans="1:20" s="66" customFormat="1">
      <c r="A24" s="275"/>
      <c r="C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</row>
    <row r="25" spans="1:20" s="66" customFormat="1">
      <c r="A25" s="275"/>
      <c r="C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</row>
    <row r="26" spans="1:20" s="66" customFormat="1">
      <c r="A26" s="275"/>
      <c r="C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</row>
    <row r="27" spans="1:20" s="66" customFormat="1">
      <c r="A27" s="275"/>
      <c r="C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</row>
    <row r="28" spans="1:20" s="66" customFormat="1">
      <c r="A28" s="275"/>
      <c r="C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</row>
    <row r="29" spans="1:20" s="66" customFormat="1">
      <c r="A29" s="275"/>
      <c r="C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</row>
    <row r="30" spans="1:20" s="66" customFormat="1">
      <c r="A30" s="275"/>
      <c r="C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</row>
    <row r="31" spans="1:20" s="66" customFormat="1">
      <c r="A31" s="275"/>
      <c r="C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</row>
    <row r="32" spans="1:20" s="66" customFormat="1">
      <c r="A32" s="275"/>
      <c r="C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</row>
    <row r="33" spans="1:20" s="66" customFormat="1">
      <c r="A33" s="275"/>
      <c r="C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</row>
    <row r="34" spans="1:20" s="66" customFormat="1">
      <c r="A34" s="275"/>
      <c r="C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</row>
    <row r="35" spans="1:20" s="66" customFormat="1">
      <c r="A35" s="275"/>
      <c r="C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</row>
    <row r="36" spans="1:20" s="66" customFormat="1">
      <c r="A36" s="275"/>
      <c r="C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</row>
    <row r="37" spans="1:20" s="66" customFormat="1">
      <c r="A37" s="275"/>
      <c r="C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</row>
    <row r="38" spans="1:20" s="66" customFormat="1">
      <c r="A38" s="275"/>
      <c r="C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</row>
    <row r="39" spans="1:20" s="66" customFormat="1">
      <c r="A39" s="275"/>
      <c r="C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</row>
    <row r="40" spans="1:20" s="66" customFormat="1">
      <c r="A40" s="275"/>
      <c r="C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</row>
    <row r="41" spans="1:20" s="66" customFormat="1">
      <c r="A41" s="275"/>
      <c r="C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</row>
    <row r="42" spans="1:20" s="66" customFormat="1">
      <c r="A42" s="275"/>
      <c r="C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</row>
    <row r="43" spans="1:20" s="66" customFormat="1">
      <c r="A43" s="27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</row>
    <row r="44" spans="1:20" s="66" customFormat="1">
      <c r="A44" s="27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</row>
    <row r="45" spans="1:20" s="66" customFormat="1">
      <c r="A45" s="27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</row>
    <row r="46" spans="1:20" s="66" customFormat="1">
      <c r="A46" s="27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</row>
    <row r="47" spans="1:20" s="66" customFormat="1">
      <c r="A47" s="27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</row>
    <row r="48" spans="1:20" s="66" customFormat="1">
      <c r="A48" s="27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</row>
    <row r="49" spans="1:20" s="66" customFormat="1">
      <c r="A49" s="27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</row>
    <row r="50" spans="1:20" s="66" customFormat="1">
      <c r="A50" s="27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</row>
    <row r="51" spans="1:20" s="66" customFormat="1">
      <c r="A51" s="27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</row>
    <row r="52" spans="1:20" s="66" customFormat="1">
      <c r="A52" s="27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</row>
    <row r="53" spans="1:20"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 spans="1:20"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 spans="1:20"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</row>
    <row r="56" spans="1:20"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</row>
    <row r="57" spans="1:20"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 spans="1:20"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</row>
    <row r="59" spans="1:20"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</row>
    <row r="60" spans="1:20"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</sheetData>
  <sheetProtection password="EF32" sheet="1" objects="1" scenarios="1"/>
  <sortState ref="A12:T18">
    <sortCondition ref="A1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6">
    <tabColor rgb="FFCCFFCC"/>
  </sheetPr>
  <dimension ref="A1:AS88"/>
  <sheetViews>
    <sheetView zoomScaleNormal="100" workbookViewId="0">
      <pane xSplit="8" ySplit="12" topLeftCell="Q13" activePane="bottomRight" state="frozen"/>
      <selection pane="topRight" activeCell="G1" sqref="G1"/>
      <selection pane="bottomLeft" activeCell="A13" sqref="A13"/>
      <selection pane="bottomRight" activeCell="Q26" sqref="Q26"/>
    </sheetView>
  </sheetViews>
  <sheetFormatPr defaultRowHeight="15"/>
  <cols>
    <col min="2" max="2" width="26.28515625" customWidth="1"/>
    <col min="3" max="3" width="28.42578125" style="119" customWidth="1"/>
    <col min="4" max="4" width="13.5703125" style="4" customWidth="1"/>
    <col min="5" max="5" width="13.28515625" style="4" customWidth="1"/>
    <col min="6" max="7" width="11.42578125" style="4" customWidth="1"/>
    <col min="8" max="8" width="12" style="4" customWidth="1"/>
    <col min="9" max="23" width="15.7109375" customWidth="1"/>
    <col min="24" max="24" width="12" customWidth="1"/>
    <col min="25" max="25" width="10.85546875" customWidth="1"/>
  </cols>
  <sheetData>
    <row r="1" spans="1:31" s="4" customFormat="1" ht="21">
      <c r="A1" s="34" t="s">
        <v>0</v>
      </c>
      <c r="B1" s="42"/>
      <c r="C1" s="69" t="s">
        <v>63</v>
      </c>
      <c r="D1" s="35"/>
      <c r="E1" s="133"/>
      <c r="F1" s="34"/>
      <c r="G1" s="132"/>
      <c r="H1" s="36"/>
      <c r="I1" s="43"/>
      <c r="J1" s="42"/>
      <c r="K1" s="42"/>
      <c r="L1" s="35" t="str">
        <f>C1</f>
        <v>21st CENTURY GRANT</v>
      </c>
      <c r="M1" s="73"/>
      <c r="N1" s="42"/>
      <c r="O1" s="42"/>
      <c r="P1" s="42"/>
      <c r="Q1" s="42"/>
      <c r="R1" s="42"/>
      <c r="S1" s="42"/>
      <c r="T1" s="35" t="str">
        <f>C1</f>
        <v>21st CENTURY GRANT</v>
      </c>
      <c r="U1" s="42"/>
      <c r="V1" s="42"/>
      <c r="W1" s="42"/>
    </row>
    <row r="2" spans="1:31" s="4" customFormat="1" ht="18.75">
      <c r="A2" s="37" t="s">
        <v>1</v>
      </c>
      <c r="B2" s="42"/>
      <c r="C2" s="77">
        <v>84.287000000000006</v>
      </c>
      <c r="D2" s="38"/>
      <c r="E2" s="136"/>
      <c r="F2" s="37"/>
      <c r="G2" s="135"/>
      <c r="H2" s="39"/>
      <c r="I2" s="43"/>
      <c r="J2" s="42"/>
      <c r="K2" s="42"/>
      <c r="L2" s="59" t="str">
        <f>"FY"&amp;C5</f>
        <v>FY2013-14</v>
      </c>
      <c r="M2" s="73"/>
      <c r="N2" s="42"/>
      <c r="O2" s="42"/>
      <c r="P2" s="42"/>
      <c r="Q2" s="42"/>
      <c r="R2" s="42"/>
      <c r="S2" s="42"/>
      <c r="T2" s="59" t="str">
        <f>$C$5</f>
        <v>2013-14</v>
      </c>
      <c r="U2" s="42"/>
      <c r="V2" s="42"/>
      <c r="W2" s="42"/>
    </row>
    <row r="3" spans="1:31" s="4" customFormat="1" ht="15.75">
      <c r="A3" s="37" t="s">
        <v>2</v>
      </c>
      <c r="B3" s="42"/>
      <c r="C3" s="77">
        <v>5287</v>
      </c>
      <c r="D3" s="38"/>
      <c r="E3" s="136"/>
      <c r="F3" s="37"/>
      <c r="G3" s="135"/>
      <c r="H3" s="39"/>
      <c r="I3" s="43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</row>
    <row r="4" spans="1:31" s="4" customFormat="1" ht="15.75">
      <c r="A4" s="37" t="s">
        <v>64</v>
      </c>
      <c r="B4" s="42"/>
      <c r="C4" s="77">
        <v>5</v>
      </c>
      <c r="D4" s="38"/>
      <c r="E4" s="136"/>
      <c r="F4" s="37"/>
      <c r="G4" s="135"/>
      <c r="H4" s="39"/>
      <c r="I4" s="43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</row>
    <row r="5" spans="1:31" s="4" customFormat="1" ht="21">
      <c r="A5" s="37" t="s">
        <v>3</v>
      </c>
      <c r="B5" s="42"/>
      <c r="C5" s="69" t="s">
        <v>249</v>
      </c>
      <c r="D5" s="38"/>
      <c r="E5" s="136"/>
      <c r="F5" s="39"/>
      <c r="G5" s="71"/>
      <c r="H5" s="39"/>
      <c r="I5" s="43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</row>
    <row r="6" spans="1:31" s="4" customFormat="1" ht="15.75">
      <c r="A6" s="37" t="s">
        <v>104</v>
      </c>
      <c r="B6" s="42"/>
      <c r="C6" s="77" t="s">
        <v>107</v>
      </c>
      <c r="D6" s="38"/>
      <c r="E6" s="136"/>
      <c r="F6" s="39"/>
      <c r="G6" s="71"/>
      <c r="H6" s="39"/>
      <c r="I6" s="43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</row>
    <row r="7" spans="1:31" s="4" customFormat="1" ht="15.75">
      <c r="A7" s="37" t="s">
        <v>65</v>
      </c>
      <c r="B7" s="42"/>
      <c r="C7" s="77" t="s">
        <v>254</v>
      </c>
      <c r="D7" s="38"/>
      <c r="E7" s="136"/>
      <c r="F7" s="39"/>
      <c r="G7" s="71"/>
      <c r="H7" s="39"/>
      <c r="I7" s="41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</row>
    <row r="8" spans="1:31" s="4" customFormat="1" ht="15.75">
      <c r="A8" s="37" t="s">
        <v>67</v>
      </c>
      <c r="B8" s="42"/>
      <c r="C8" s="77" t="s">
        <v>223</v>
      </c>
      <c r="D8" s="38"/>
      <c r="E8" s="136"/>
      <c r="F8" s="39"/>
      <c r="G8" s="71"/>
      <c r="H8" s="39"/>
      <c r="I8" s="41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</row>
    <row r="9" spans="1:31" s="4" customFormat="1" ht="15.75">
      <c r="A9" s="37" t="s">
        <v>208</v>
      </c>
      <c r="B9" s="42"/>
      <c r="C9" s="79" t="s">
        <v>210</v>
      </c>
      <c r="D9" s="38"/>
      <c r="E9" s="136"/>
      <c r="F9" s="39"/>
      <c r="G9" s="71"/>
      <c r="H9" s="39"/>
      <c r="I9" s="41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</row>
    <row r="10" spans="1:31" s="4" customFormat="1" ht="21">
      <c r="A10" s="78" t="s">
        <v>258</v>
      </c>
      <c r="B10" s="42"/>
      <c r="C10" s="73"/>
      <c r="D10" s="38"/>
      <c r="E10" s="136"/>
      <c r="F10" s="39"/>
      <c r="G10" s="71"/>
      <c r="H10" s="39"/>
      <c r="I10" s="41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</row>
    <row r="11" spans="1:31" s="4" customFormat="1" ht="15.75" thickBot="1">
      <c r="A11" s="67" t="s">
        <v>110</v>
      </c>
      <c r="B11" s="42"/>
      <c r="C11" s="73"/>
      <c r="D11" s="42"/>
      <c r="E11" s="138"/>
      <c r="F11" s="42"/>
      <c r="G11" s="138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</row>
    <row r="12" spans="1:31" ht="30.75" thickBot="1">
      <c r="A12" s="56" t="s">
        <v>4</v>
      </c>
      <c r="B12" s="57" t="s">
        <v>5</v>
      </c>
      <c r="C12" s="57" t="s">
        <v>165</v>
      </c>
      <c r="D12" s="58" t="s">
        <v>261</v>
      </c>
      <c r="E12" s="58" t="s">
        <v>262</v>
      </c>
      <c r="F12" s="57" t="s">
        <v>270</v>
      </c>
      <c r="G12" s="57" t="s">
        <v>313</v>
      </c>
      <c r="H12" s="50" t="s">
        <v>46</v>
      </c>
      <c r="I12" s="307" t="s">
        <v>524</v>
      </c>
      <c r="J12" s="307" t="s">
        <v>525</v>
      </c>
      <c r="K12" s="307" t="s">
        <v>526</v>
      </c>
      <c r="L12" s="307" t="s">
        <v>527</v>
      </c>
      <c r="M12" s="307" t="s">
        <v>528</v>
      </c>
      <c r="N12" s="307" t="s">
        <v>529</v>
      </c>
      <c r="O12" s="307" t="s">
        <v>530</v>
      </c>
      <c r="P12" s="307" t="s">
        <v>531</v>
      </c>
      <c r="Q12" s="307" t="s">
        <v>532</v>
      </c>
      <c r="R12" s="307" t="s">
        <v>533</v>
      </c>
      <c r="S12" s="307" t="s">
        <v>534</v>
      </c>
      <c r="T12" s="307" t="s">
        <v>520</v>
      </c>
      <c r="U12" s="307" t="s">
        <v>521</v>
      </c>
      <c r="V12" s="307" t="s">
        <v>522</v>
      </c>
      <c r="W12" s="307" t="s">
        <v>523</v>
      </c>
    </row>
    <row r="13" spans="1:31" s="299" customFormat="1" ht="30.75" thickBot="1">
      <c r="A13" s="232" t="s">
        <v>73</v>
      </c>
      <c r="B13" s="233" t="s">
        <v>98</v>
      </c>
      <c r="C13" s="293" t="s">
        <v>277</v>
      </c>
      <c r="D13" s="294">
        <v>182250</v>
      </c>
      <c r="E13" s="295">
        <v>0</v>
      </c>
      <c r="F13" s="294">
        <f>SUM(D13:E13)</f>
        <v>182250</v>
      </c>
      <c r="G13" s="296">
        <f>SUM(I13:W13)</f>
        <v>77299</v>
      </c>
      <c r="H13" s="297">
        <f>F13-G13</f>
        <v>104951</v>
      </c>
      <c r="I13" s="298"/>
      <c r="J13" s="298"/>
      <c r="K13" s="298"/>
      <c r="L13" s="298"/>
      <c r="M13" s="298">
        <v>27646</v>
      </c>
      <c r="N13" s="298">
        <v>15219</v>
      </c>
      <c r="O13" s="298">
        <v>9038</v>
      </c>
      <c r="P13" s="298">
        <v>11936</v>
      </c>
      <c r="Q13" s="298">
        <v>13460</v>
      </c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</row>
    <row r="14" spans="1:31" s="299" customFormat="1" ht="15.75" thickBot="1">
      <c r="A14" s="234" t="s">
        <v>6</v>
      </c>
      <c r="B14" s="235" t="s">
        <v>78</v>
      </c>
      <c r="C14" s="300" t="s">
        <v>278</v>
      </c>
      <c r="D14" s="294">
        <v>218658</v>
      </c>
      <c r="E14" s="301">
        <v>0</v>
      </c>
      <c r="F14" s="294">
        <f t="shared" ref="F14:F43" si="0">SUM(D14:E14)</f>
        <v>218658</v>
      </c>
      <c r="G14" s="296">
        <f t="shared" ref="G14:G43" si="1">SUM(I14:W14)</f>
        <v>22686</v>
      </c>
      <c r="H14" s="302">
        <f>F14-G14</f>
        <v>195972</v>
      </c>
      <c r="I14" s="298"/>
      <c r="J14" s="298"/>
      <c r="K14" s="298"/>
      <c r="L14" s="298"/>
      <c r="M14" s="298">
        <v>22686</v>
      </c>
      <c r="N14" s="298"/>
      <c r="O14" s="298"/>
      <c r="P14" s="298"/>
      <c r="Q14" s="298"/>
      <c r="R14" s="298"/>
      <c r="S14" s="298"/>
      <c r="T14" s="298"/>
      <c r="U14" s="298"/>
      <c r="V14" s="298"/>
      <c r="W14" s="298"/>
    </row>
    <row r="15" spans="1:31" s="299" customFormat="1" ht="15.75" thickBot="1">
      <c r="A15" s="234" t="s">
        <v>74</v>
      </c>
      <c r="B15" s="235" t="s">
        <v>279</v>
      </c>
      <c r="C15" s="300" t="s">
        <v>212</v>
      </c>
      <c r="D15" s="294">
        <v>109350</v>
      </c>
      <c r="E15" s="301">
        <v>0</v>
      </c>
      <c r="F15" s="294">
        <f t="shared" si="0"/>
        <v>109350</v>
      </c>
      <c r="G15" s="296">
        <f t="shared" si="1"/>
        <v>49785</v>
      </c>
      <c r="H15" s="302">
        <f t="shared" ref="H15:H43" si="2">F15-G15</f>
        <v>59565</v>
      </c>
      <c r="I15" s="298"/>
      <c r="J15" s="298"/>
      <c r="K15" s="298"/>
      <c r="L15" s="298">
        <v>11062</v>
      </c>
      <c r="M15" s="298">
        <v>5583</v>
      </c>
      <c r="N15" s="298"/>
      <c r="O15" s="298"/>
      <c r="P15" s="298">
        <v>22179</v>
      </c>
      <c r="Q15" s="298">
        <v>10961</v>
      </c>
      <c r="R15" s="298"/>
      <c r="S15" s="298"/>
      <c r="T15" s="298"/>
      <c r="U15" s="298"/>
      <c r="V15" s="298"/>
      <c r="W15" s="298"/>
    </row>
    <row r="16" spans="1:31" s="299" customFormat="1" ht="15.75" thickBot="1">
      <c r="A16" s="234" t="s">
        <v>8</v>
      </c>
      <c r="B16" s="235" t="s">
        <v>280</v>
      </c>
      <c r="C16" s="300" t="s">
        <v>213</v>
      </c>
      <c r="D16" s="294">
        <v>299736</v>
      </c>
      <c r="E16" s="301">
        <v>0</v>
      </c>
      <c r="F16" s="294">
        <f t="shared" si="0"/>
        <v>299736</v>
      </c>
      <c r="G16" s="296">
        <f t="shared" si="1"/>
        <v>123627</v>
      </c>
      <c r="H16" s="302">
        <f t="shared" si="2"/>
        <v>176109</v>
      </c>
      <c r="I16" s="298"/>
      <c r="J16" s="298"/>
      <c r="K16" s="298"/>
      <c r="L16" s="298"/>
      <c r="M16" s="298">
        <v>35407</v>
      </c>
      <c r="N16" s="298">
        <v>8159</v>
      </c>
      <c r="O16" s="298">
        <v>11446</v>
      </c>
      <c r="P16" s="298">
        <v>14331</v>
      </c>
      <c r="Q16" s="298">
        <v>54284</v>
      </c>
      <c r="R16" s="298"/>
      <c r="S16" s="298"/>
      <c r="T16" s="298"/>
      <c r="U16" s="298"/>
      <c r="V16" s="298"/>
      <c r="W16" s="298"/>
    </row>
    <row r="17" spans="1:23" s="299" customFormat="1" ht="15.75" thickBot="1">
      <c r="A17" s="234" t="s">
        <v>281</v>
      </c>
      <c r="B17" s="235" t="s">
        <v>211</v>
      </c>
      <c r="C17" s="300" t="s">
        <v>187</v>
      </c>
      <c r="D17" s="294">
        <v>98235.9</v>
      </c>
      <c r="E17" s="301">
        <v>0</v>
      </c>
      <c r="F17" s="294">
        <f t="shared" si="0"/>
        <v>98235.9</v>
      </c>
      <c r="G17" s="296">
        <f t="shared" si="1"/>
        <v>57836</v>
      </c>
      <c r="H17" s="302">
        <f t="shared" si="2"/>
        <v>40399.899999999994</v>
      </c>
      <c r="I17" s="298"/>
      <c r="J17" s="298"/>
      <c r="K17" s="298"/>
      <c r="L17" s="298">
        <v>18217</v>
      </c>
      <c r="M17" s="298">
        <v>8831</v>
      </c>
      <c r="N17" s="298">
        <v>7501</v>
      </c>
      <c r="O17" s="298">
        <v>10328</v>
      </c>
      <c r="P17" s="298">
        <v>5036</v>
      </c>
      <c r="Q17" s="298">
        <v>7923</v>
      </c>
      <c r="R17" s="298"/>
      <c r="S17" s="298"/>
      <c r="T17" s="298"/>
      <c r="U17" s="298"/>
      <c r="V17" s="298"/>
      <c r="W17" s="298"/>
    </row>
    <row r="18" spans="1:23" s="299" customFormat="1" ht="45.75" thickBot="1">
      <c r="A18" s="234" t="s">
        <v>282</v>
      </c>
      <c r="B18" s="235" t="s">
        <v>211</v>
      </c>
      <c r="C18" s="300" t="s">
        <v>283</v>
      </c>
      <c r="D18" s="294">
        <v>327520.01699999999</v>
      </c>
      <c r="E18" s="301">
        <v>0</v>
      </c>
      <c r="F18" s="294">
        <f t="shared" si="0"/>
        <v>327520.01699999999</v>
      </c>
      <c r="G18" s="296">
        <f t="shared" si="1"/>
        <v>157311</v>
      </c>
      <c r="H18" s="302">
        <f t="shared" si="2"/>
        <v>170209.01699999999</v>
      </c>
      <c r="I18" s="298"/>
      <c r="J18" s="298"/>
      <c r="K18" s="298"/>
      <c r="L18" s="298">
        <v>44709</v>
      </c>
      <c r="M18" s="298">
        <v>17237</v>
      </c>
      <c r="N18" s="298">
        <v>25400</v>
      </c>
      <c r="O18" s="298">
        <v>35667</v>
      </c>
      <c r="P18" s="298">
        <v>14887</v>
      </c>
      <c r="Q18" s="298">
        <v>19411</v>
      </c>
      <c r="R18" s="298"/>
      <c r="S18" s="298"/>
      <c r="T18" s="298"/>
      <c r="U18" s="298"/>
      <c r="V18" s="298"/>
      <c r="W18" s="298"/>
    </row>
    <row r="19" spans="1:23" s="299" customFormat="1" ht="45.75" thickBot="1">
      <c r="A19" s="234" t="s">
        <v>284</v>
      </c>
      <c r="B19" s="235" t="s">
        <v>285</v>
      </c>
      <c r="C19" s="300" t="s">
        <v>188</v>
      </c>
      <c r="D19" s="294">
        <v>436782.53699999995</v>
      </c>
      <c r="E19" s="301">
        <v>0</v>
      </c>
      <c r="F19" s="294">
        <f t="shared" si="0"/>
        <v>436782.53699999995</v>
      </c>
      <c r="G19" s="296">
        <f t="shared" si="1"/>
        <v>169986</v>
      </c>
      <c r="H19" s="302">
        <f t="shared" si="2"/>
        <v>266796.53699999995</v>
      </c>
      <c r="I19" s="298"/>
      <c r="J19" s="298"/>
      <c r="K19" s="298"/>
      <c r="L19" s="298">
        <v>57857</v>
      </c>
      <c r="M19" s="298"/>
      <c r="N19" s="298">
        <v>21089</v>
      </c>
      <c r="O19" s="298"/>
      <c r="P19" s="298">
        <v>91040</v>
      </c>
      <c r="Q19" s="298"/>
      <c r="R19" s="298"/>
      <c r="S19" s="298"/>
      <c r="T19" s="298"/>
      <c r="U19" s="298"/>
      <c r="V19" s="298"/>
      <c r="W19" s="298"/>
    </row>
    <row r="20" spans="1:23" s="299" customFormat="1" ht="30.75" thickBot="1">
      <c r="A20" s="234" t="s">
        <v>286</v>
      </c>
      <c r="B20" s="235" t="s">
        <v>285</v>
      </c>
      <c r="C20" s="300" t="s">
        <v>189</v>
      </c>
      <c r="D20" s="294">
        <v>425401.38900000002</v>
      </c>
      <c r="E20" s="301">
        <v>0</v>
      </c>
      <c r="F20" s="294">
        <f t="shared" si="0"/>
        <v>425401.38900000002</v>
      </c>
      <c r="G20" s="296">
        <f t="shared" si="1"/>
        <v>187438</v>
      </c>
      <c r="H20" s="302">
        <f t="shared" si="2"/>
        <v>237963.38900000002</v>
      </c>
      <c r="I20" s="298"/>
      <c r="J20" s="303"/>
      <c r="K20" s="298"/>
      <c r="L20" s="298">
        <v>43138</v>
      </c>
      <c r="M20" s="298">
        <v>27075</v>
      </c>
      <c r="N20" s="298">
        <v>38910</v>
      </c>
      <c r="O20" s="298"/>
      <c r="P20" s="298">
        <v>78315</v>
      </c>
      <c r="Q20" s="298"/>
      <c r="R20" s="298"/>
      <c r="S20" s="298"/>
      <c r="T20" s="298"/>
      <c r="U20" s="298"/>
      <c r="V20" s="298"/>
      <c r="W20" s="298"/>
    </row>
    <row r="21" spans="1:23" s="299" customFormat="1" ht="30.75" thickBot="1">
      <c r="A21" s="234" t="s">
        <v>287</v>
      </c>
      <c r="B21" s="235" t="s">
        <v>285</v>
      </c>
      <c r="C21" s="300" t="s">
        <v>190</v>
      </c>
      <c r="D21" s="294">
        <v>422345.42099999997</v>
      </c>
      <c r="E21" s="301">
        <v>0</v>
      </c>
      <c r="F21" s="294">
        <f t="shared" si="0"/>
        <v>422345.42099999997</v>
      </c>
      <c r="G21" s="296">
        <f t="shared" si="1"/>
        <v>115898</v>
      </c>
      <c r="H21" s="302">
        <f t="shared" si="2"/>
        <v>306447.42099999997</v>
      </c>
      <c r="I21" s="298"/>
      <c r="J21" s="298"/>
      <c r="K21" s="298"/>
      <c r="L21" s="298">
        <v>36970</v>
      </c>
      <c r="M21" s="298">
        <v>8817</v>
      </c>
      <c r="N21" s="298">
        <v>32161</v>
      </c>
      <c r="O21" s="298"/>
      <c r="P21" s="298">
        <v>37950</v>
      </c>
      <c r="Q21" s="298"/>
      <c r="R21" s="298"/>
      <c r="S21" s="298"/>
      <c r="T21" s="298"/>
      <c r="U21" s="298"/>
      <c r="V21" s="298"/>
      <c r="W21" s="298"/>
    </row>
    <row r="22" spans="1:23" s="299" customFormat="1" ht="15.75" thickBot="1">
      <c r="A22" s="234" t="s">
        <v>76</v>
      </c>
      <c r="B22" s="235" t="s">
        <v>80</v>
      </c>
      <c r="C22" s="300" t="s">
        <v>288</v>
      </c>
      <c r="D22" s="294">
        <v>218700</v>
      </c>
      <c r="E22" s="301">
        <v>0</v>
      </c>
      <c r="F22" s="294">
        <f t="shared" si="0"/>
        <v>218700</v>
      </c>
      <c r="G22" s="296">
        <f t="shared" si="1"/>
        <v>118999</v>
      </c>
      <c r="H22" s="302">
        <f t="shared" si="2"/>
        <v>99701</v>
      </c>
      <c r="I22" s="298"/>
      <c r="J22" s="298"/>
      <c r="K22" s="298"/>
      <c r="L22" s="298">
        <v>14233</v>
      </c>
      <c r="M22" s="298">
        <v>16067</v>
      </c>
      <c r="N22" s="298">
        <v>30001</v>
      </c>
      <c r="O22" s="298">
        <v>21813</v>
      </c>
      <c r="P22" s="298">
        <v>18704</v>
      </c>
      <c r="Q22" s="298">
        <v>18181</v>
      </c>
      <c r="R22" s="298"/>
      <c r="S22" s="298"/>
      <c r="T22" s="298"/>
      <c r="U22" s="298"/>
      <c r="V22" s="298"/>
      <c r="W22" s="298"/>
    </row>
    <row r="23" spans="1:23" s="299" customFormat="1" ht="15.75" thickBot="1">
      <c r="A23" s="236" t="s">
        <v>11</v>
      </c>
      <c r="B23" s="235" t="s">
        <v>72</v>
      </c>
      <c r="C23" s="300" t="s">
        <v>214</v>
      </c>
      <c r="D23" s="294">
        <v>105357.996</v>
      </c>
      <c r="E23" s="301">
        <v>0</v>
      </c>
      <c r="F23" s="294">
        <f t="shared" si="0"/>
        <v>105357.996</v>
      </c>
      <c r="G23" s="296">
        <f t="shared" si="1"/>
        <v>43818</v>
      </c>
      <c r="H23" s="302">
        <f t="shared" si="2"/>
        <v>61539.995999999999</v>
      </c>
      <c r="I23" s="298"/>
      <c r="J23" s="298"/>
      <c r="K23" s="298"/>
      <c r="L23" s="298">
        <v>6098</v>
      </c>
      <c r="M23" s="298">
        <v>7460</v>
      </c>
      <c r="N23" s="298">
        <v>9201</v>
      </c>
      <c r="O23" s="298">
        <v>6034</v>
      </c>
      <c r="P23" s="298">
        <v>6117</v>
      </c>
      <c r="Q23" s="298">
        <v>8908</v>
      </c>
      <c r="R23" s="298"/>
      <c r="S23" s="298"/>
      <c r="T23" s="298"/>
      <c r="U23" s="298"/>
      <c r="V23" s="298"/>
      <c r="W23" s="298"/>
    </row>
    <row r="24" spans="1:23" s="299" customFormat="1" ht="15.75" thickBot="1">
      <c r="A24" s="236" t="s">
        <v>289</v>
      </c>
      <c r="B24" s="235" t="s">
        <v>81</v>
      </c>
      <c r="C24" s="300" t="s">
        <v>290</v>
      </c>
      <c r="D24" s="294">
        <v>109109.43</v>
      </c>
      <c r="E24" s="301">
        <v>0</v>
      </c>
      <c r="F24" s="294">
        <f t="shared" si="0"/>
        <v>109109.43</v>
      </c>
      <c r="G24" s="296">
        <f t="shared" si="1"/>
        <v>46883</v>
      </c>
      <c r="H24" s="302">
        <f t="shared" si="2"/>
        <v>62226.429999999993</v>
      </c>
      <c r="I24" s="298"/>
      <c r="J24" s="298"/>
      <c r="K24" s="298"/>
      <c r="L24" s="298">
        <v>7613</v>
      </c>
      <c r="M24" s="298">
        <v>9576</v>
      </c>
      <c r="N24" s="298">
        <v>12148</v>
      </c>
      <c r="O24" s="298">
        <v>10599</v>
      </c>
      <c r="P24" s="298">
        <v>6947</v>
      </c>
      <c r="Q24" s="298"/>
      <c r="R24" s="298"/>
      <c r="S24" s="298"/>
      <c r="T24" s="298"/>
      <c r="U24" s="298"/>
      <c r="V24" s="298"/>
      <c r="W24" s="298"/>
    </row>
    <row r="25" spans="1:23" s="299" customFormat="1" ht="15.75" thickBot="1">
      <c r="A25" s="236" t="s">
        <v>291</v>
      </c>
      <c r="B25" s="235" t="s">
        <v>82</v>
      </c>
      <c r="C25" s="300" t="s">
        <v>215</v>
      </c>
      <c r="D25" s="294">
        <v>104152.959</v>
      </c>
      <c r="E25" s="301">
        <v>0</v>
      </c>
      <c r="F25" s="294">
        <f t="shared" si="0"/>
        <v>104152.959</v>
      </c>
      <c r="G25" s="296">
        <f t="shared" si="1"/>
        <v>52432</v>
      </c>
      <c r="H25" s="302">
        <f t="shared" si="2"/>
        <v>51720.959000000003</v>
      </c>
      <c r="I25" s="298"/>
      <c r="J25" s="298"/>
      <c r="K25" s="298"/>
      <c r="L25" s="298"/>
      <c r="M25" s="298">
        <v>30827</v>
      </c>
      <c r="N25" s="298">
        <v>10192</v>
      </c>
      <c r="O25" s="298"/>
      <c r="P25" s="298">
        <v>4835</v>
      </c>
      <c r="Q25" s="298">
        <v>6578</v>
      </c>
      <c r="R25" s="298"/>
      <c r="S25" s="298"/>
      <c r="T25" s="298"/>
      <c r="U25" s="298"/>
      <c r="V25" s="298"/>
      <c r="W25" s="298"/>
    </row>
    <row r="26" spans="1:23" s="299" customFormat="1" ht="15.75" thickBot="1">
      <c r="A26" s="236" t="s">
        <v>292</v>
      </c>
      <c r="B26" s="235" t="s">
        <v>83</v>
      </c>
      <c r="C26" s="300" t="s">
        <v>293</v>
      </c>
      <c r="D26" s="294">
        <v>109280.745</v>
      </c>
      <c r="E26" s="301">
        <v>0</v>
      </c>
      <c r="F26" s="294">
        <f t="shared" si="0"/>
        <v>109280.745</v>
      </c>
      <c r="G26" s="296">
        <f t="shared" si="1"/>
        <v>55108</v>
      </c>
      <c r="H26" s="302">
        <f t="shared" si="2"/>
        <v>54172.744999999995</v>
      </c>
      <c r="I26" s="298"/>
      <c r="J26" s="298"/>
      <c r="K26" s="298"/>
      <c r="L26" s="298"/>
      <c r="M26" s="298"/>
      <c r="N26" s="298"/>
      <c r="O26" s="298">
        <v>55108</v>
      </c>
      <c r="P26" s="298"/>
      <c r="Q26" s="298"/>
      <c r="R26" s="298"/>
      <c r="S26" s="298"/>
      <c r="T26" s="298"/>
      <c r="U26" s="298"/>
      <c r="V26" s="298"/>
      <c r="W26" s="298"/>
    </row>
    <row r="27" spans="1:23" s="299" customFormat="1" ht="15.75" thickBot="1">
      <c r="A27" s="236" t="s">
        <v>294</v>
      </c>
      <c r="B27" s="235" t="s">
        <v>295</v>
      </c>
      <c r="C27" s="300" t="s">
        <v>191</v>
      </c>
      <c r="D27" s="294">
        <v>165767.31</v>
      </c>
      <c r="E27" s="301">
        <v>0</v>
      </c>
      <c r="F27" s="294">
        <f t="shared" si="0"/>
        <v>165767.31</v>
      </c>
      <c r="G27" s="296">
        <f t="shared" si="1"/>
        <v>87473</v>
      </c>
      <c r="H27" s="302">
        <f t="shared" si="2"/>
        <v>78294.31</v>
      </c>
      <c r="I27" s="298"/>
      <c r="J27" s="298"/>
      <c r="K27" s="298"/>
      <c r="L27" s="298">
        <v>10672</v>
      </c>
      <c r="M27" s="298">
        <v>16193</v>
      </c>
      <c r="N27" s="298">
        <v>14859</v>
      </c>
      <c r="O27" s="298">
        <v>12112</v>
      </c>
      <c r="P27" s="298">
        <v>17464</v>
      </c>
      <c r="Q27" s="298">
        <v>16173</v>
      </c>
      <c r="R27" s="298"/>
      <c r="S27" s="298"/>
      <c r="T27" s="298"/>
      <c r="U27" s="298"/>
      <c r="V27" s="298"/>
      <c r="W27" s="298"/>
    </row>
    <row r="28" spans="1:23" s="299" customFormat="1" ht="15.75" thickBot="1">
      <c r="A28" s="236" t="s">
        <v>296</v>
      </c>
      <c r="B28" s="235" t="s">
        <v>295</v>
      </c>
      <c r="C28" s="300" t="s">
        <v>192</v>
      </c>
      <c r="D28" s="294">
        <v>218700</v>
      </c>
      <c r="E28" s="301">
        <v>0</v>
      </c>
      <c r="F28" s="294">
        <f t="shared" si="0"/>
        <v>218700</v>
      </c>
      <c r="G28" s="296">
        <f t="shared" si="1"/>
        <v>124185</v>
      </c>
      <c r="H28" s="302">
        <f t="shared" si="2"/>
        <v>94515</v>
      </c>
      <c r="I28" s="298"/>
      <c r="J28" s="298"/>
      <c r="K28" s="298"/>
      <c r="L28" s="298">
        <v>43231</v>
      </c>
      <c r="M28" s="298">
        <v>18337</v>
      </c>
      <c r="N28" s="298">
        <v>15762</v>
      </c>
      <c r="O28" s="298">
        <v>15576</v>
      </c>
      <c r="P28" s="298">
        <v>14821</v>
      </c>
      <c r="Q28" s="298">
        <v>16458</v>
      </c>
      <c r="R28" s="298"/>
      <c r="S28" s="298"/>
      <c r="T28" s="298"/>
      <c r="U28" s="298"/>
      <c r="V28" s="298"/>
      <c r="W28" s="298"/>
    </row>
    <row r="29" spans="1:23" s="299" customFormat="1" ht="15.75" thickBot="1">
      <c r="A29" s="236" t="s">
        <v>297</v>
      </c>
      <c r="B29" s="235" t="s">
        <v>229</v>
      </c>
      <c r="C29" s="300" t="s">
        <v>216</v>
      </c>
      <c r="D29" s="294">
        <v>98415</v>
      </c>
      <c r="E29" s="301">
        <v>0</v>
      </c>
      <c r="F29" s="294">
        <f t="shared" si="0"/>
        <v>98415</v>
      </c>
      <c r="G29" s="296">
        <f t="shared" si="1"/>
        <v>60064</v>
      </c>
      <c r="H29" s="302">
        <f t="shared" si="2"/>
        <v>38351</v>
      </c>
      <c r="I29" s="298"/>
      <c r="J29" s="298"/>
      <c r="K29" s="298"/>
      <c r="L29" s="298"/>
      <c r="M29" s="298"/>
      <c r="N29" s="298">
        <v>41661</v>
      </c>
      <c r="O29" s="298">
        <v>10386</v>
      </c>
      <c r="P29" s="298">
        <v>8017</v>
      </c>
      <c r="Q29" s="298"/>
      <c r="R29" s="298"/>
      <c r="S29" s="298"/>
      <c r="T29" s="298"/>
      <c r="U29" s="298"/>
      <c r="V29" s="298"/>
      <c r="W29" s="298"/>
    </row>
    <row r="30" spans="1:23" s="299" customFormat="1" ht="30.75" thickBot="1">
      <c r="A30" s="236" t="s">
        <v>298</v>
      </c>
      <c r="B30" s="235" t="s">
        <v>84</v>
      </c>
      <c r="C30" s="300" t="s">
        <v>217</v>
      </c>
      <c r="D30" s="294">
        <v>295065</v>
      </c>
      <c r="E30" s="301">
        <v>0</v>
      </c>
      <c r="F30" s="294">
        <f t="shared" si="0"/>
        <v>295065</v>
      </c>
      <c r="G30" s="296">
        <f t="shared" si="1"/>
        <v>23389</v>
      </c>
      <c r="H30" s="302">
        <f t="shared" si="2"/>
        <v>271676</v>
      </c>
      <c r="I30" s="298"/>
      <c r="J30" s="298"/>
      <c r="K30" s="298"/>
      <c r="L30" s="298"/>
      <c r="M30" s="298">
        <v>23389</v>
      </c>
      <c r="N30" s="298"/>
      <c r="O30" s="298"/>
      <c r="P30" s="298"/>
      <c r="Q30" s="298"/>
      <c r="R30" s="298"/>
      <c r="S30" s="298"/>
      <c r="T30" s="298"/>
      <c r="U30" s="298"/>
      <c r="V30" s="298"/>
      <c r="W30" s="298"/>
    </row>
    <row r="31" spans="1:23" s="299" customFormat="1" ht="15.75" thickBot="1">
      <c r="A31" s="236" t="s">
        <v>299</v>
      </c>
      <c r="B31" s="235" t="s">
        <v>85</v>
      </c>
      <c r="C31" s="300" t="s">
        <v>218</v>
      </c>
      <c r="D31" s="294">
        <v>98415</v>
      </c>
      <c r="E31" s="301">
        <v>0</v>
      </c>
      <c r="F31" s="294">
        <f t="shared" si="0"/>
        <v>98415</v>
      </c>
      <c r="G31" s="296">
        <f t="shared" si="1"/>
        <v>22163</v>
      </c>
      <c r="H31" s="302">
        <f t="shared" si="2"/>
        <v>76252</v>
      </c>
      <c r="I31" s="298"/>
      <c r="J31" s="298"/>
      <c r="K31" s="298"/>
      <c r="L31" s="298"/>
      <c r="M31" s="298">
        <f>1842+4364</f>
        <v>6206</v>
      </c>
      <c r="N31" s="298">
        <v>5993</v>
      </c>
      <c r="O31" s="298"/>
      <c r="P31" s="298"/>
      <c r="Q31" s="298">
        <v>9964</v>
      </c>
      <c r="R31" s="298"/>
      <c r="S31" s="298"/>
      <c r="T31" s="298"/>
      <c r="U31" s="298"/>
      <c r="V31" s="298"/>
      <c r="W31" s="298"/>
    </row>
    <row r="32" spans="1:23" s="299" customFormat="1" ht="30.75" thickBot="1">
      <c r="A32" s="236" t="s">
        <v>114</v>
      </c>
      <c r="B32" s="235" t="s">
        <v>86</v>
      </c>
      <c r="C32" s="300" t="s">
        <v>219</v>
      </c>
      <c r="D32" s="294">
        <v>328050</v>
      </c>
      <c r="E32" s="301">
        <v>0</v>
      </c>
      <c r="F32" s="294">
        <f t="shared" si="0"/>
        <v>328050</v>
      </c>
      <c r="G32" s="296">
        <f t="shared" si="1"/>
        <v>182300</v>
      </c>
      <c r="H32" s="302">
        <f t="shared" si="2"/>
        <v>145750</v>
      </c>
      <c r="I32" s="298"/>
      <c r="J32" s="298"/>
      <c r="K32" s="298"/>
      <c r="L32" s="298">
        <v>58050</v>
      </c>
      <c r="M32" s="298">
        <v>84374</v>
      </c>
      <c r="N32" s="298"/>
      <c r="O32" s="298"/>
      <c r="P32" s="298"/>
      <c r="Q32" s="298">
        <v>39876</v>
      </c>
      <c r="R32" s="298"/>
      <c r="S32" s="298"/>
      <c r="T32" s="298"/>
      <c r="U32" s="298"/>
      <c r="V32" s="298"/>
      <c r="W32" s="298"/>
    </row>
    <row r="33" spans="1:45" s="299" customFormat="1" ht="15.75" thickBot="1">
      <c r="A33" s="236" t="s">
        <v>129</v>
      </c>
      <c r="B33" s="235" t="s">
        <v>87</v>
      </c>
      <c r="C33" s="300" t="s">
        <v>220</v>
      </c>
      <c r="D33" s="294">
        <v>218700</v>
      </c>
      <c r="E33" s="301">
        <v>0</v>
      </c>
      <c r="F33" s="294">
        <f t="shared" si="0"/>
        <v>218700</v>
      </c>
      <c r="G33" s="296">
        <f t="shared" si="1"/>
        <v>92939</v>
      </c>
      <c r="H33" s="302">
        <f t="shared" si="2"/>
        <v>125761</v>
      </c>
      <c r="I33" s="298"/>
      <c r="J33" s="298"/>
      <c r="K33" s="298"/>
      <c r="L33" s="298">
        <v>9163</v>
      </c>
      <c r="M33" s="298">
        <v>12101</v>
      </c>
      <c r="N33" s="298">
        <v>18915</v>
      </c>
      <c r="O33" s="298">
        <v>11328</v>
      </c>
      <c r="P33" s="298">
        <v>26453</v>
      </c>
      <c r="Q33" s="298">
        <v>14979</v>
      </c>
      <c r="R33" s="298"/>
      <c r="S33" s="298"/>
      <c r="T33" s="298"/>
      <c r="U33" s="298"/>
      <c r="V33" s="298"/>
      <c r="W33" s="298"/>
    </row>
    <row r="34" spans="1:45" s="299" customFormat="1" ht="15.75" thickBot="1">
      <c r="A34" s="236" t="s">
        <v>300</v>
      </c>
      <c r="B34" s="235" t="s">
        <v>301</v>
      </c>
      <c r="C34" s="300" t="s">
        <v>193</v>
      </c>
      <c r="D34" s="294">
        <v>213823.71900000004</v>
      </c>
      <c r="E34" s="301">
        <v>0</v>
      </c>
      <c r="F34" s="294">
        <f t="shared" si="0"/>
        <v>213823.71900000004</v>
      </c>
      <c r="G34" s="296">
        <f t="shared" si="1"/>
        <v>87634</v>
      </c>
      <c r="H34" s="302">
        <f t="shared" si="2"/>
        <v>126189.71900000004</v>
      </c>
      <c r="I34" s="298"/>
      <c r="J34" s="298"/>
      <c r="K34" s="298"/>
      <c r="L34" s="298"/>
      <c r="M34" s="298">
        <v>47402</v>
      </c>
      <c r="N34" s="298"/>
      <c r="O34" s="298">
        <v>40232</v>
      </c>
      <c r="P34" s="298"/>
      <c r="Q34" s="298"/>
      <c r="R34" s="298"/>
      <c r="S34" s="298"/>
      <c r="T34" s="298"/>
      <c r="U34" s="298"/>
      <c r="V34" s="298"/>
      <c r="W34" s="298"/>
    </row>
    <row r="35" spans="1:45" s="299" customFormat="1" ht="15.75" thickBot="1">
      <c r="A35" s="236" t="s">
        <v>302</v>
      </c>
      <c r="B35" s="235" t="s">
        <v>301</v>
      </c>
      <c r="C35" s="300" t="s">
        <v>194</v>
      </c>
      <c r="D35" s="294">
        <v>109350</v>
      </c>
      <c r="E35" s="301">
        <v>0</v>
      </c>
      <c r="F35" s="294">
        <f t="shared" si="0"/>
        <v>109350</v>
      </c>
      <c r="G35" s="296">
        <f t="shared" si="1"/>
        <v>46896</v>
      </c>
      <c r="H35" s="302">
        <f t="shared" si="2"/>
        <v>62454</v>
      </c>
      <c r="I35" s="298"/>
      <c r="J35" s="298"/>
      <c r="K35" s="298"/>
      <c r="L35" s="298"/>
      <c r="M35" s="298">
        <v>25025</v>
      </c>
      <c r="N35" s="298"/>
      <c r="O35" s="298">
        <v>21871</v>
      </c>
      <c r="P35" s="298"/>
      <c r="Q35" s="298"/>
      <c r="R35" s="298"/>
      <c r="S35" s="298"/>
      <c r="T35" s="298"/>
      <c r="U35" s="298"/>
      <c r="V35" s="298"/>
      <c r="W35" s="298"/>
    </row>
    <row r="36" spans="1:45" s="299" customFormat="1" ht="15.75" thickBot="1">
      <c r="A36" s="236" t="s">
        <v>303</v>
      </c>
      <c r="B36" s="235" t="s">
        <v>103</v>
      </c>
      <c r="C36" s="300" t="s">
        <v>222</v>
      </c>
      <c r="D36" s="294">
        <v>295245</v>
      </c>
      <c r="E36" s="301">
        <v>0</v>
      </c>
      <c r="F36" s="294">
        <f t="shared" si="0"/>
        <v>295245</v>
      </c>
      <c r="G36" s="296">
        <f t="shared" si="1"/>
        <v>94125</v>
      </c>
      <c r="H36" s="302">
        <f t="shared" si="2"/>
        <v>201120</v>
      </c>
      <c r="I36" s="298"/>
      <c r="J36" s="298"/>
      <c r="K36" s="298"/>
      <c r="L36" s="298">
        <v>3665</v>
      </c>
      <c r="M36" s="298">
        <v>13275</v>
      </c>
      <c r="N36" s="298"/>
      <c r="O36" s="298">
        <v>20349</v>
      </c>
      <c r="P36" s="298">
        <v>34715</v>
      </c>
      <c r="Q36" s="298">
        <v>22121</v>
      </c>
      <c r="R36" s="298"/>
      <c r="S36" s="298"/>
      <c r="T36" s="298"/>
      <c r="U36" s="298"/>
      <c r="V36" s="298"/>
      <c r="W36" s="298"/>
    </row>
    <row r="37" spans="1:45" s="299" customFormat="1" ht="15.75" thickBot="1">
      <c r="A37" s="236" t="s">
        <v>304</v>
      </c>
      <c r="B37" s="235" t="s">
        <v>88</v>
      </c>
      <c r="C37" s="300" t="s">
        <v>221</v>
      </c>
      <c r="D37" s="294">
        <v>109350</v>
      </c>
      <c r="E37" s="301">
        <v>0</v>
      </c>
      <c r="F37" s="294">
        <f t="shared" si="0"/>
        <v>109350</v>
      </c>
      <c r="G37" s="296">
        <f t="shared" si="1"/>
        <v>28583</v>
      </c>
      <c r="H37" s="302">
        <f t="shared" si="2"/>
        <v>80767</v>
      </c>
      <c r="I37" s="298"/>
      <c r="J37" s="298"/>
      <c r="K37" s="298"/>
      <c r="L37" s="298">
        <v>12029</v>
      </c>
      <c r="M37" s="298"/>
      <c r="N37" s="298"/>
      <c r="O37" s="298"/>
      <c r="P37" s="298">
        <v>16554</v>
      </c>
      <c r="Q37" s="298"/>
      <c r="R37" s="298"/>
      <c r="S37" s="298"/>
      <c r="T37" s="298"/>
      <c r="U37" s="298"/>
      <c r="V37" s="298"/>
      <c r="W37" s="298"/>
    </row>
    <row r="38" spans="1:45" s="299" customFormat="1" ht="30.75" thickBot="1">
      <c r="A38" s="236" t="s">
        <v>305</v>
      </c>
      <c r="B38" s="235" t="s">
        <v>89</v>
      </c>
      <c r="C38" s="300" t="s">
        <v>306</v>
      </c>
      <c r="D38" s="294">
        <v>98415</v>
      </c>
      <c r="E38" s="301">
        <v>0</v>
      </c>
      <c r="F38" s="294">
        <f t="shared" si="0"/>
        <v>98415</v>
      </c>
      <c r="G38" s="296">
        <f t="shared" si="1"/>
        <v>47533</v>
      </c>
      <c r="H38" s="302">
        <f t="shared" si="2"/>
        <v>50882</v>
      </c>
      <c r="I38" s="298"/>
      <c r="J38" s="298"/>
      <c r="K38" s="298"/>
      <c r="L38" s="298"/>
      <c r="M38" s="298">
        <v>27940</v>
      </c>
      <c r="N38" s="298"/>
      <c r="O38" s="298">
        <v>19593</v>
      </c>
      <c r="P38" s="298"/>
      <c r="Q38" s="298"/>
      <c r="R38" s="298"/>
      <c r="S38" s="298"/>
      <c r="T38" s="298"/>
      <c r="U38" s="298"/>
      <c r="V38" s="298"/>
      <c r="W38" s="298"/>
    </row>
    <row r="39" spans="1:45" s="299" customFormat="1" ht="75.75" thickBot="1">
      <c r="A39" s="236" t="s">
        <v>115</v>
      </c>
      <c r="B39" s="235" t="s">
        <v>307</v>
      </c>
      <c r="C39" s="300" t="s">
        <v>308</v>
      </c>
      <c r="D39" s="294">
        <v>726463.80900000001</v>
      </c>
      <c r="E39" s="301">
        <v>0</v>
      </c>
      <c r="F39" s="294">
        <f t="shared" si="0"/>
        <v>726463.80900000001</v>
      </c>
      <c r="G39" s="296">
        <f t="shared" si="1"/>
        <v>323460</v>
      </c>
      <c r="H39" s="302">
        <f t="shared" si="2"/>
        <v>403003.80900000001</v>
      </c>
      <c r="I39" s="298"/>
      <c r="J39" s="298"/>
      <c r="K39" s="298"/>
      <c r="L39" s="298"/>
      <c r="M39" s="298"/>
      <c r="N39" s="298">
        <v>133771</v>
      </c>
      <c r="O39" s="298">
        <v>60821</v>
      </c>
      <c r="P39" s="298">
        <v>39160</v>
      </c>
      <c r="Q39" s="298">
        <v>89708</v>
      </c>
      <c r="R39" s="298"/>
      <c r="S39" s="298"/>
      <c r="T39" s="298"/>
      <c r="U39" s="298"/>
      <c r="V39" s="298"/>
      <c r="W39" s="298"/>
    </row>
    <row r="40" spans="1:45" s="299" customFormat="1" ht="15.75" thickBot="1">
      <c r="A40" s="236" t="s">
        <v>309</v>
      </c>
      <c r="B40" s="235" t="s">
        <v>91</v>
      </c>
      <c r="C40" s="300" t="s">
        <v>195</v>
      </c>
      <c r="D40" s="294">
        <v>196830</v>
      </c>
      <c r="E40" s="301">
        <v>0</v>
      </c>
      <c r="F40" s="294">
        <f>D40+E40</f>
        <v>196830</v>
      </c>
      <c r="G40" s="296">
        <f t="shared" si="1"/>
        <v>107486</v>
      </c>
      <c r="H40" s="302">
        <f t="shared" si="2"/>
        <v>89344</v>
      </c>
      <c r="I40" s="304"/>
      <c r="J40" s="304"/>
      <c r="K40" s="304"/>
      <c r="L40" s="304">
        <v>17500</v>
      </c>
      <c r="M40" s="304">
        <v>17500</v>
      </c>
      <c r="N40" s="304">
        <v>18119</v>
      </c>
      <c r="O40" s="304">
        <v>18119</v>
      </c>
      <c r="P40" s="304">
        <v>18119</v>
      </c>
      <c r="Q40" s="304">
        <v>18129</v>
      </c>
      <c r="R40" s="304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</row>
    <row r="41" spans="1:45" s="299" customFormat="1" ht="30.75" thickBot="1">
      <c r="A41" s="236" t="s">
        <v>310</v>
      </c>
      <c r="B41" s="235" t="s">
        <v>91</v>
      </c>
      <c r="C41" s="300" t="s">
        <v>196</v>
      </c>
      <c r="D41" s="294">
        <v>437400</v>
      </c>
      <c r="E41" s="301">
        <v>0</v>
      </c>
      <c r="F41" s="294">
        <f t="shared" si="0"/>
        <v>437400</v>
      </c>
      <c r="G41" s="296">
        <f t="shared" si="1"/>
        <v>239954</v>
      </c>
      <c r="H41" s="302">
        <f t="shared" si="2"/>
        <v>197446</v>
      </c>
      <c r="I41" s="304"/>
      <c r="J41" s="304"/>
      <c r="K41" s="304"/>
      <c r="L41" s="304">
        <v>35000</v>
      </c>
      <c r="M41" s="304">
        <v>35000</v>
      </c>
      <c r="N41" s="304">
        <v>42486</v>
      </c>
      <c r="O41" s="304">
        <v>42486</v>
      </c>
      <c r="P41" s="304">
        <v>42486</v>
      </c>
      <c r="Q41" s="304">
        <v>42496</v>
      </c>
      <c r="R41" s="304"/>
      <c r="S41" s="304"/>
      <c r="T41" s="304"/>
      <c r="U41" s="304"/>
      <c r="V41" s="304"/>
      <c r="W41" s="304"/>
      <c r="X41" s="304"/>
      <c r="Y41" s="304"/>
      <c r="Z41" s="304"/>
      <c r="AA41" s="304"/>
      <c r="AB41" s="304"/>
      <c r="AC41" s="304"/>
      <c r="AD41" s="304"/>
    </row>
    <row r="42" spans="1:45" s="299" customFormat="1" ht="15.75" thickBot="1">
      <c r="A42" s="236" t="s">
        <v>311</v>
      </c>
      <c r="B42" s="235" t="s">
        <v>92</v>
      </c>
      <c r="C42" s="300" t="s">
        <v>197</v>
      </c>
      <c r="D42" s="294">
        <v>92324.933999999994</v>
      </c>
      <c r="E42" s="301">
        <v>0</v>
      </c>
      <c r="F42" s="294">
        <f t="shared" si="0"/>
        <v>92324.933999999994</v>
      </c>
      <c r="G42" s="296">
        <f t="shared" si="1"/>
        <v>49434</v>
      </c>
      <c r="H42" s="302">
        <f t="shared" si="2"/>
        <v>42890.933999999994</v>
      </c>
      <c r="I42" s="304"/>
      <c r="J42" s="304"/>
      <c r="K42" s="304"/>
      <c r="L42" s="304">
        <f>6111+4893</f>
        <v>11004</v>
      </c>
      <c r="M42" s="304">
        <v>5833</v>
      </c>
      <c r="N42" s="304">
        <v>8297</v>
      </c>
      <c r="O42" s="304">
        <v>5924</v>
      </c>
      <c r="P42" s="304">
        <v>4741</v>
      </c>
      <c r="Q42" s="304">
        <v>13635</v>
      </c>
      <c r="R42" s="304"/>
      <c r="S42" s="304"/>
      <c r="T42" s="304"/>
      <c r="U42" s="304"/>
      <c r="V42" s="304"/>
      <c r="W42" s="304"/>
      <c r="X42" s="304"/>
      <c r="Y42" s="304"/>
      <c r="Z42" s="304"/>
      <c r="AA42" s="304"/>
      <c r="AB42" s="304"/>
      <c r="AC42" s="304"/>
      <c r="AD42" s="304"/>
    </row>
    <row r="43" spans="1:45" s="299" customFormat="1" ht="15.75" thickBot="1">
      <c r="A43" s="237" t="s">
        <v>312</v>
      </c>
      <c r="B43" s="238" t="s">
        <v>92</v>
      </c>
      <c r="C43" s="305" t="s">
        <v>198</v>
      </c>
      <c r="D43" s="306">
        <v>100298.007</v>
      </c>
      <c r="E43" s="301">
        <v>0</v>
      </c>
      <c r="F43" s="294">
        <f t="shared" si="0"/>
        <v>100298.007</v>
      </c>
      <c r="G43" s="296">
        <f t="shared" si="1"/>
        <v>73030</v>
      </c>
      <c r="H43" s="302">
        <f t="shared" si="2"/>
        <v>27268.006999999998</v>
      </c>
      <c r="I43" s="304"/>
      <c r="J43" s="304"/>
      <c r="K43" s="304"/>
      <c r="L43" s="304">
        <f>10815+9647</f>
        <v>20462</v>
      </c>
      <c r="M43" s="304">
        <v>8619</v>
      </c>
      <c r="N43" s="304">
        <v>12566</v>
      </c>
      <c r="O43" s="304">
        <v>7786</v>
      </c>
      <c r="P43" s="304">
        <v>7231</v>
      </c>
      <c r="Q43" s="304">
        <v>16366</v>
      </c>
      <c r="R43" s="304"/>
      <c r="S43" s="304"/>
      <c r="T43" s="304"/>
      <c r="U43" s="304"/>
      <c r="V43" s="304"/>
      <c r="W43" s="304"/>
      <c r="X43" s="304"/>
      <c r="Y43" s="304"/>
      <c r="Z43" s="304"/>
      <c r="AA43" s="304"/>
      <c r="AB43" s="304"/>
      <c r="AC43" s="304"/>
      <c r="AD43" s="304"/>
    </row>
    <row r="44" spans="1:45" s="107" customFormat="1" ht="15.75" thickBot="1">
      <c r="A44" s="239"/>
      <c r="B44" s="240"/>
      <c r="C44" s="240"/>
      <c r="D44" s="230"/>
      <c r="E44" s="226"/>
      <c r="F44" s="225"/>
      <c r="G44" s="231"/>
      <c r="H44" s="229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spans="1:45" s="61" customFormat="1" ht="15.75" thickBot="1">
      <c r="A45" s="84"/>
      <c r="B45" s="84"/>
      <c r="C45" s="84"/>
      <c r="D45" s="148">
        <f>SUM(D13:D43)</f>
        <v>6969493.1730000013</v>
      </c>
      <c r="E45" s="185"/>
      <c r="F45" s="104">
        <f t="shared" ref="F45:W45" si="3">SUM(F13:F43)</f>
        <v>6969493.1730000013</v>
      </c>
      <c r="G45" s="104"/>
      <c r="H45" s="104">
        <f t="shared" si="3"/>
        <v>3999739.173</v>
      </c>
      <c r="I45" s="105">
        <f t="shared" si="3"/>
        <v>0</v>
      </c>
      <c r="J45" s="105">
        <f t="shared" si="3"/>
        <v>0</v>
      </c>
      <c r="K45" s="105">
        <f t="shared" si="3"/>
        <v>0</v>
      </c>
      <c r="L45" s="105">
        <f t="shared" si="3"/>
        <v>460673</v>
      </c>
      <c r="M45" s="105">
        <f t="shared" si="3"/>
        <v>558406</v>
      </c>
      <c r="N45" s="105">
        <f t="shared" si="3"/>
        <v>522410</v>
      </c>
      <c r="O45" s="105">
        <f t="shared" si="3"/>
        <v>446616</v>
      </c>
      <c r="P45" s="105">
        <f t="shared" si="3"/>
        <v>542038</v>
      </c>
      <c r="Q45" s="105">
        <f t="shared" si="3"/>
        <v>439611</v>
      </c>
      <c r="R45" s="105">
        <f t="shared" si="3"/>
        <v>0</v>
      </c>
      <c r="S45" s="105">
        <f t="shared" si="3"/>
        <v>0</v>
      </c>
      <c r="T45" s="105">
        <f t="shared" si="3"/>
        <v>0</v>
      </c>
      <c r="U45" s="105">
        <f t="shared" si="3"/>
        <v>0</v>
      </c>
      <c r="V45" s="105">
        <f t="shared" si="3"/>
        <v>0</v>
      </c>
      <c r="W45" s="105">
        <f t="shared" si="3"/>
        <v>0</v>
      </c>
      <c r="X45" s="105">
        <f t="shared" ref="X45:AS45" si="4">SUM(X13:X41)</f>
        <v>0</v>
      </c>
      <c r="Y45" s="105">
        <f t="shared" si="4"/>
        <v>0</v>
      </c>
      <c r="Z45" s="105">
        <f t="shared" si="4"/>
        <v>0</v>
      </c>
      <c r="AA45" s="105">
        <f t="shared" si="4"/>
        <v>0</v>
      </c>
      <c r="AB45" s="105">
        <f t="shared" si="4"/>
        <v>0</v>
      </c>
      <c r="AC45" s="105">
        <f t="shared" si="4"/>
        <v>0</v>
      </c>
      <c r="AD45" s="105">
        <f t="shared" si="4"/>
        <v>0</v>
      </c>
      <c r="AE45" s="150">
        <f t="shared" si="4"/>
        <v>0</v>
      </c>
      <c r="AF45" s="150">
        <f t="shared" si="4"/>
        <v>0</v>
      </c>
      <c r="AG45" s="150">
        <f t="shared" si="4"/>
        <v>0</v>
      </c>
      <c r="AH45" s="150">
        <f t="shared" si="4"/>
        <v>0</v>
      </c>
      <c r="AI45" s="150">
        <f t="shared" si="4"/>
        <v>0</v>
      </c>
      <c r="AJ45" s="150">
        <f t="shared" si="4"/>
        <v>0</v>
      </c>
      <c r="AK45" s="150">
        <f t="shared" si="4"/>
        <v>0</v>
      </c>
      <c r="AL45" s="150">
        <f t="shared" si="4"/>
        <v>0</v>
      </c>
      <c r="AM45" s="150">
        <f t="shared" si="4"/>
        <v>0</v>
      </c>
      <c r="AN45" s="150">
        <f t="shared" si="4"/>
        <v>0</v>
      </c>
      <c r="AO45" s="150">
        <f t="shared" si="4"/>
        <v>0</v>
      </c>
      <c r="AP45" s="150">
        <f t="shared" si="4"/>
        <v>0</v>
      </c>
      <c r="AQ45" s="150">
        <f t="shared" si="4"/>
        <v>0</v>
      </c>
      <c r="AR45" s="150">
        <f t="shared" si="4"/>
        <v>0</v>
      </c>
      <c r="AS45" s="150">
        <f t="shared" si="4"/>
        <v>0</v>
      </c>
    </row>
    <row r="46" spans="1:45">
      <c r="D46" s="24"/>
      <c r="E46" s="121"/>
      <c r="F46" s="121"/>
      <c r="G46" s="121"/>
      <c r="H46" s="121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</row>
    <row r="47" spans="1:45">
      <c r="D47" s="24"/>
      <c r="E47" s="121"/>
      <c r="F47" s="121"/>
      <c r="G47" s="121"/>
      <c r="H47" s="121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</row>
    <row r="48" spans="1:45">
      <c r="D48" s="24"/>
      <c r="E48" s="131"/>
      <c r="F48" s="121"/>
      <c r="G48" s="121"/>
      <c r="H48" s="121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</row>
    <row r="49" spans="4:30">
      <c r="D49" s="24"/>
      <c r="E49" s="131"/>
      <c r="F49" s="121"/>
      <c r="G49" s="121"/>
      <c r="H49" s="121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</row>
    <row r="50" spans="4:30">
      <c r="D50" s="24"/>
      <c r="E50" s="131"/>
      <c r="F50" s="121"/>
      <c r="G50" s="121"/>
      <c r="H50" s="121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</row>
    <row r="51" spans="4:30">
      <c r="D51" s="24"/>
      <c r="E51" s="131"/>
      <c r="F51" s="121"/>
      <c r="G51" s="121"/>
      <c r="H51" s="121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</row>
    <row r="52" spans="4:30">
      <c r="D52" s="24"/>
      <c r="E52" s="131"/>
      <c r="F52" s="121"/>
      <c r="G52" s="121"/>
      <c r="H52" s="121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</row>
    <row r="53" spans="4:30">
      <c r="D53" s="24"/>
      <c r="E53" s="131"/>
      <c r="F53" s="121"/>
      <c r="G53" s="121"/>
      <c r="H53" s="121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</row>
    <row r="54" spans="4:30">
      <c r="D54" s="24"/>
      <c r="E54" s="131"/>
      <c r="F54" s="121"/>
      <c r="G54" s="121"/>
      <c r="H54" s="121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</row>
    <row r="55" spans="4:30">
      <c r="D55" s="24"/>
      <c r="E55" s="131"/>
      <c r="F55" s="121"/>
      <c r="G55" s="121"/>
      <c r="H55" s="121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</row>
    <row r="56" spans="4:30">
      <c r="D56" s="24"/>
      <c r="E56" s="131"/>
      <c r="F56" s="121"/>
      <c r="G56" s="121"/>
      <c r="H56" s="121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</row>
    <row r="57" spans="4:30">
      <c r="D57" s="24"/>
      <c r="E57" s="131"/>
      <c r="F57" s="121"/>
      <c r="G57" s="121"/>
      <c r="H57" s="121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</row>
    <row r="58" spans="4:30">
      <c r="D58" s="24"/>
      <c r="E58" s="131"/>
      <c r="F58" s="121"/>
      <c r="G58" s="121"/>
      <c r="H58" s="121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</row>
    <row r="59" spans="4:30">
      <c r="D59" s="24"/>
      <c r="E59" s="131"/>
      <c r="F59" s="121"/>
      <c r="G59" s="121"/>
      <c r="H59" s="121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</row>
    <row r="60" spans="4:30">
      <c r="D60" s="24"/>
      <c r="E60" s="131"/>
      <c r="I60" s="21"/>
      <c r="J60" s="21"/>
      <c r="K60" s="21"/>
      <c r="L60" s="21"/>
      <c r="M60" s="21"/>
      <c r="N60" s="21"/>
    </row>
    <row r="61" spans="4:30">
      <c r="D61" s="24"/>
      <c r="E61" s="131"/>
      <c r="I61" s="21"/>
      <c r="J61" s="21"/>
      <c r="K61" s="21"/>
      <c r="L61" s="21"/>
      <c r="M61" s="21"/>
      <c r="N61" s="21"/>
    </row>
    <row r="62" spans="4:30">
      <c r="D62" s="24"/>
      <c r="E62" s="13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spans="4:30">
      <c r="D63" s="24"/>
      <c r="E63" s="13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4:30">
      <c r="D64" s="24"/>
      <c r="E64" s="13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4:25">
      <c r="D65" s="24"/>
      <c r="E65" s="13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spans="4:25">
      <c r="D66" s="24"/>
      <c r="E66" s="13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spans="4:25">
      <c r="D67" s="24"/>
      <c r="E67" s="13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spans="4:25">
      <c r="D68" s="24"/>
      <c r="E68" s="13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spans="4:25">
      <c r="D69" s="24"/>
      <c r="E69" s="13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4:25">
      <c r="D70" s="24"/>
      <c r="E70" s="13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4:25"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spans="4:25"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4:25"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4:25"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4:25"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4:25"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4:25"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spans="4:25"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spans="4:25"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spans="4:25"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spans="9:25"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spans="9:25"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9:25"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spans="9:25"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spans="9:25"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spans="9:25"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spans="9:25"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spans="9:25"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7">
    <tabColor rgb="FF48E840"/>
  </sheetPr>
  <dimension ref="A1:BE195"/>
  <sheetViews>
    <sheetView workbookViewId="0">
      <selection activeCell="B17" sqref="B17:L17"/>
    </sheetView>
  </sheetViews>
  <sheetFormatPr defaultRowHeight="15"/>
  <cols>
    <col min="2" max="2" width="32.140625" customWidth="1"/>
    <col min="3" max="3" width="13.5703125" customWidth="1"/>
    <col min="4" max="4" width="11.42578125" customWidth="1"/>
    <col min="5" max="5" width="12" customWidth="1"/>
    <col min="6" max="6" width="15" customWidth="1"/>
    <col min="7" max="7" width="12.140625" customWidth="1"/>
    <col min="8" max="9" width="12.7109375" customWidth="1"/>
    <col min="10" max="10" width="12.42578125" customWidth="1"/>
    <col min="11" max="11" width="12.7109375" customWidth="1"/>
    <col min="22" max="22" width="12" customWidth="1"/>
    <col min="23" max="23" width="10.85546875" customWidth="1"/>
  </cols>
  <sheetData>
    <row r="1" spans="1:23" ht="21">
      <c r="A1" s="5"/>
      <c r="B1" s="6" t="s">
        <v>0</v>
      </c>
      <c r="C1" s="7" t="s">
        <v>63</v>
      </c>
      <c r="D1" s="6"/>
      <c r="E1" s="8"/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5.75">
      <c r="A2" s="5"/>
      <c r="B2" s="11" t="s">
        <v>1</v>
      </c>
      <c r="C2" s="12"/>
      <c r="D2" s="11"/>
      <c r="E2" s="13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15.75">
      <c r="A3" s="5"/>
      <c r="B3" s="11" t="s">
        <v>2</v>
      </c>
      <c r="C3" s="12"/>
      <c r="D3" s="11"/>
      <c r="E3" s="13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5.75">
      <c r="A4" s="5"/>
      <c r="B4" s="11" t="s">
        <v>64</v>
      </c>
      <c r="C4" s="12">
        <v>6</v>
      </c>
      <c r="D4" s="11"/>
      <c r="E4" s="13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5.75">
      <c r="A5" s="5"/>
      <c r="B5" s="11" t="s">
        <v>3</v>
      </c>
      <c r="C5" s="12" t="s">
        <v>94</v>
      </c>
      <c r="D5" s="13"/>
      <c r="E5" s="13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15.75">
      <c r="A6" s="5"/>
      <c r="B6" s="11" t="s">
        <v>65</v>
      </c>
      <c r="C6" s="12" t="s">
        <v>66</v>
      </c>
      <c r="D6" s="13"/>
      <c r="E6" s="13"/>
      <c r="F6" s="1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15.75">
      <c r="A7" s="5"/>
      <c r="B7" s="11" t="s">
        <v>67</v>
      </c>
      <c r="C7" s="12" t="s">
        <v>68</v>
      </c>
      <c r="D7" s="13"/>
      <c r="E7" s="13"/>
      <c r="F7" s="1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15.75">
      <c r="A8" s="5"/>
      <c r="B8" s="11" t="s">
        <v>93</v>
      </c>
      <c r="C8" s="12"/>
      <c r="D8" s="13"/>
      <c r="E8" s="13"/>
      <c r="F8" s="1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30">
      <c r="A10" s="1" t="s">
        <v>4</v>
      </c>
      <c r="B10" s="2" t="s">
        <v>5</v>
      </c>
      <c r="C10" s="14" t="s">
        <v>44</v>
      </c>
      <c r="D10" s="14" t="s">
        <v>45</v>
      </c>
      <c r="E10" s="16" t="s">
        <v>46</v>
      </c>
      <c r="F10" s="3" t="s">
        <v>47</v>
      </c>
      <c r="G10" s="3" t="s">
        <v>48</v>
      </c>
      <c r="H10" s="3" t="s">
        <v>49</v>
      </c>
      <c r="I10" s="3" t="s">
        <v>50</v>
      </c>
      <c r="J10" s="3" t="s">
        <v>51</v>
      </c>
      <c r="K10" s="3" t="s">
        <v>62</v>
      </c>
      <c r="L10" s="3" t="s">
        <v>52</v>
      </c>
      <c r="M10" s="3" t="s">
        <v>53</v>
      </c>
      <c r="N10" s="3" t="s">
        <v>54</v>
      </c>
      <c r="O10" s="3" t="s">
        <v>55</v>
      </c>
      <c r="P10" s="3" t="s">
        <v>56</v>
      </c>
      <c r="Q10" s="3" t="s">
        <v>55</v>
      </c>
      <c r="R10" s="3" t="s">
        <v>56</v>
      </c>
      <c r="S10" s="3" t="s">
        <v>57</v>
      </c>
      <c r="T10" s="3" t="s">
        <v>58</v>
      </c>
      <c r="U10" s="3" t="s">
        <v>59</v>
      </c>
      <c r="V10" s="3" t="s">
        <v>60</v>
      </c>
      <c r="W10" s="3" t="s">
        <v>61</v>
      </c>
    </row>
    <row r="11" spans="1:23">
      <c r="A11" s="17"/>
      <c r="B11" s="19"/>
      <c r="C11" s="22"/>
      <c r="D11" s="10">
        <f>SUM(F11:W11)</f>
        <v>0</v>
      </c>
      <c r="E11" s="23">
        <f>C11-D11</f>
        <v>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3">
      <c r="A12" s="17"/>
      <c r="B12" s="19"/>
      <c r="C12" s="22"/>
      <c r="D12" s="10">
        <f t="shared" ref="D12:D41" si="0">SUM(F12:W12)</f>
        <v>0</v>
      </c>
      <c r="E12" s="23">
        <f t="shared" ref="E12:E41" si="1">C12-D12</f>
        <v>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>
      <c r="A13" s="17"/>
      <c r="B13" s="19"/>
      <c r="C13" s="22"/>
      <c r="D13" s="10">
        <f t="shared" si="0"/>
        <v>0</v>
      </c>
      <c r="E13" s="23">
        <f t="shared" si="1"/>
        <v>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>
      <c r="A14" s="17"/>
      <c r="B14" s="19"/>
      <c r="C14" s="22"/>
      <c r="D14" s="10">
        <f t="shared" si="0"/>
        <v>0</v>
      </c>
      <c r="E14" s="23">
        <f t="shared" si="1"/>
        <v>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>
      <c r="A15" s="17"/>
      <c r="B15" s="19"/>
      <c r="C15" s="22"/>
      <c r="D15" s="10">
        <f t="shared" si="0"/>
        <v>0</v>
      </c>
      <c r="E15" s="23">
        <f t="shared" si="1"/>
        <v>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pans="1:23">
      <c r="A16" s="17"/>
      <c r="B16" s="19"/>
      <c r="C16" s="22"/>
      <c r="D16" s="10">
        <f t="shared" si="0"/>
        <v>0</v>
      </c>
      <c r="E16" s="23">
        <f t="shared" si="1"/>
        <v>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23">
      <c r="A17" s="17"/>
      <c r="B17" s="19"/>
      <c r="C17" s="22"/>
      <c r="D17" s="10">
        <f t="shared" si="0"/>
        <v>0</v>
      </c>
      <c r="E17" s="23">
        <f t="shared" si="1"/>
        <v>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spans="1:23">
      <c r="A18" s="17"/>
      <c r="B18" s="19"/>
      <c r="C18" s="22"/>
      <c r="D18" s="10">
        <f t="shared" si="0"/>
        <v>0</v>
      </c>
      <c r="E18" s="23">
        <f t="shared" si="1"/>
        <v>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spans="1:23">
      <c r="A19" s="17"/>
      <c r="B19" s="20"/>
      <c r="C19" s="22"/>
      <c r="D19" s="10">
        <f t="shared" si="0"/>
        <v>0</v>
      </c>
      <c r="E19" s="23">
        <f t="shared" si="1"/>
        <v>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spans="1:23">
      <c r="A20" s="17"/>
      <c r="B20" s="19"/>
      <c r="C20" s="22"/>
      <c r="D20" s="10">
        <f t="shared" si="0"/>
        <v>0</v>
      </c>
      <c r="E20" s="23">
        <f t="shared" si="1"/>
        <v>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spans="1:23">
      <c r="A21" s="18"/>
      <c r="B21" s="19"/>
      <c r="C21" s="22"/>
      <c r="D21" s="10">
        <f t="shared" si="0"/>
        <v>0</v>
      </c>
      <c r="E21" s="23">
        <f t="shared" si="1"/>
        <v>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spans="1:23">
      <c r="A22" s="18"/>
      <c r="B22" s="19"/>
      <c r="C22" s="22"/>
      <c r="D22" s="10">
        <f t="shared" si="0"/>
        <v>0</v>
      </c>
      <c r="E22" s="23">
        <f t="shared" si="1"/>
        <v>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spans="1:23">
      <c r="A23" s="18"/>
      <c r="B23" s="19"/>
      <c r="C23" s="22"/>
      <c r="D23" s="10">
        <f t="shared" si="0"/>
        <v>0</v>
      </c>
      <c r="E23" s="23">
        <f t="shared" si="1"/>
        <v>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spans="1:23">
      <c r="A24" s="18"/>
      <c r="B24" s="19"/>
      <c r="C24" s="22"/>
      <c r="D24" s="10">
        <f t="shared" si="0"/>
        <v>0</v>
      </c>
      <c r="E24" s="23">
        <f t="shared" si="1"/>
        <v>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spans="1:23">
      <c r="A25" s="18"/>
      <c r="B25" s="19"/>
      <c r="C25" s="22"/>
      <c r="D25" s="10">
        <f t="shared" si="0"/>
        <v>0</v>
      </c>
      <c r="E25" s="23">
        <f t="shared" si="1"/>
        <v>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spans="1:23">
      <c r="A26" s="18"/>
      <c r="B26" s="19"/>
      <c r="C26" s="22"/>
      <c r="D26" s="10">
        <f t="shared" si="0"/>
        <v>0</v>
      </c>
      <c r="E26" s="23">
        <f t="shared" si="1"/>
        <v>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spans="1:23">
      <c r="A27" s="18"/>
      <c r="B27" s="19"/>
      <c r="C27" s="22"/>
      <c r="D27" s="10">
        <f t="shared" si="0"/>
        <v>0</v>
      </c>
      <c r="E27" s="23">
        <f t="shared" si="1"/>
        <v>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spans="1:23">
      <c r="A28" s="18"/>
      <c r="B28" s="19"/>
      <c r="C28" s="22"/>
      <c r="D28" s="10">
        <f t="shared" si="0"/>
        <v>0</v>
      </c>
      <c r="E28" s="23">
        <f t="shared" si="1"/>
        <v>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spans="1:23">
      <c r="A29" s="18"/>
      <c r="B29" s="19"/>
      <c r="C29" s="22"/>
      <c r="D29" s="10">
        <f t="shared" si="0"/>
        <v>0</v>
      </c>
      <c r="E29" s="23">
        <f t="shared" si="1"/>
        <v>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spans="1:23">
      <c r="A30" s="18"/>
      <c r="B30" s="19"/>
      <c r="C30" s="22"/>
      <c r="D30" s="10">
        <f t="shared" si="0"/>
        <v>0</v>
      </c>
      <c r="E30" s="23">
        <f t="shared" si="1"/>
        <v>0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spans="1:23">
      <c r="A31" s="18"/>
      <c r="B31" s="19"/>
      <c r="C31" s="22"/>
      <c r="D31" s="10">
        <f t="shared" si="0"/>
        <v>0</v>
      </c>
      <c r="E31" s="23">
        <f t="shared" si="1"/>
        <v>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spans="1:23">
      <c r="A32" s="18"/>
      <c r="B32" s="19"/>
      <c r="C32" s="22"/>
      <c r="D32" s="10">
        <f t="shared" si="0"/>
        <v>0</v>
      </c>
      <c r="E32" s="23">
        <f t="shared" si="1"/>
        <v>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spans="1:57">
      <c r="A33" s="18"/>
      <c r="B33" s="19"/>
      <c r="C33" s="22"/>
      <c r="D33" s="10">
        <f t="shared" si="0"/>
        <v>0</v>
      </c>
      <c r="E33" s="23">
        <f t="shared" si="1"/>
        <v>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spans="1:57">
      <c r="A34" s="18"/>
      <c r="B34" s="19"/>
      <c r="C34" s="22"/>
      <c r="D34" s="10">
        <f t="shared" si="0"/>
        <v>0</v>
      </c>
      <c r="E34" s="23">
        <f t="shared" si="1"/>
        <v>0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spans="1:57">
      <c r="A35" s="18"/>
      <c r="B35" s="19"/>
      <c r="C35" s="22"/>
      <c r="D35" s="10">
        <f t="shared" si="0"/>
        <v>0</v>
      </c>
      <c r="E35" s="23">
        <f t="shared" si="1"/>
        <v>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spans="1:57">
      <c r="A36" s="18"/>
      <c r="B36" s="19"/>
      <c r="C36" s="22"/>
      <c r="D36" s="10">
        <f t="shared" si="0"/>
        <v>0</v>
      </c>
      <c r="E36" s="23">
        <f t="shared" si="1"/>
        <v>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spans="1:57">
      <c r="A37" s="18"/>
      <c r="B37" s="19"/>
      <c r="C37" s="22"/>
      <c r="D37" s="10">
        <f t="shared" si="0"/>
        <v>0</v>
      </c>
      <c r="E37" s="23">
        <f t="shared" si="1"/>
        <v>0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spans="1:57">
      <c r="A38" s="18"/>
      <c r="B38" s="19"/>
      <c r="C38" s="22"/>
      <c r="D38" s="10">
        <f t="shared" si="0"/>
        <v>0</v>
      </c>
      <c r="E38" s="23">
        <f t="shared" si="1"/>
        <v>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spans="1:57">
      <c r="A39" s="18"/>
      <c r="B39" s="19"/>
      <c r="C39" s="22"/>
      <c r="D39" s="10">
        <f t="shared" si="0"/>
        <v>0</v>
      </c>
      <c r="E39" s="23">
        <f t="shared" si="1"/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spans="1:57">
      <c r="A40" s="18"/>
      <c r="B40" s="19"/>
      <c r="C40" s="22"/>
      <c r="D40" s="10">
        <f t="shared" si="0"/>
        <v>0</v>
      </c>
      <c r="E40" s="23">
        <f t="shared" si="1"/>
        <v>0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spans="1:57">
      <c r="A41" s="18"/>
      <c r="B41" s="19"/>
      <c r="C41" s="22"/>
      <c r="D41" s="10">
        <f t="shared" si="0"/>
        <v>0</v>
      </c>
      <c r="E41" s="23">
        <f t="shared" si="1"/>
        <v>0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spans="1:57">
      <c r="C42" s="22">
        <f>SUM(C11:C41)</f>
        <v>0</v>
      </c>
      <c r="D42" s="22">
        <f>SUM(D11:D41)</f>
        <v>0</v>
      </c>
      <c r="E42" s="23">
        <f t="shared" ref="E42:BE42" si="2">SUM(E11:E41)</f>
        <v>0</v>
      </c>
      <c r="F42" s="24">
        <f t="shared" si="2"/>
        <v>0</v>
      </c>
      <c r="G42" s="24">
        <f t="shared" si="2"/>
        <v>0</v>
      </c>
      <c r="H42" s="24">
        <f t="shared" si="2"/>
        <v>0</v>
      </c>
      <c r="I42" s="24">
        <f t="shared" si="2"/>
        <v>0</v>
      </c>
      <c r="J42" s="24">
        <f t="shared" si="2"/>
        <v>0</v>
      </c>
      <c r="K42" s="24">
        <f t="shared" si="2"/>
        <v>0</v>
      </c>
      <c r="L42" s="24">
        <f t="shared" si="2"/>
        <v>0</v>
      </c>
      <c r="M42" s="24">
        <f t="shared" si="2"/>
        <v>0</v>
      </c>
      <c r="N42" s="24">
        <f t="shared" si="2"/>
        <v>0</v>
      </c>
      <c r="O42" s="24">
        <f t="shared" si="2"/>
        <v>0</v>
      </c>
      <c r="P42" s="24">
        <f t="shared" si="2"/>
        <v>0</v>
      </c>
      <c r="Q42" s="24">
        <f t="shared" si="2"/>
        <v>0</v>
      </c>
      <c r="R42" s="24">
        <f t="shared" si="2"/>
        <v>0</v>
      </c>
      <c r="S42" s="24">
        <f t="shared" si="2"/>
        <v>0</v>
      </c>
      <c r="T42" s="24">
        <f t="shared" si="2"/>
        <v>0</v>
      </c>
      <c r="U42" s="24">
        <f t="shared" si="2"/>
        <v>0</v>
      </c>
      <c r="V42" s="24">
        <f t="shared" si="2"/>
        <v>0</v>
      </c>
      <c r="W42" s="24">
        <f t="shared" si="2"/>
        <v>0</v>
      </c>
      <c r="X42" s="24">
        <f t="shared" si="2"/>
        <v>0</v>
      </c>
      <c r="Y42" s="24">
        <f t="shared" si="2"/>
        <v>0</v>
      </c>
      <c r="Z42" s="24">
        <f t="shared" si="2"/>
        <v>0</v>
      </c>
      <c r="AA42" s="24">
        <f t="shared" si="2"/>
        <v>0</v>
      </c>
      <c r="AB42" s="24">
        <f t="shared" si="2"/>
        <v>0</v>
      </c>
      <c r="AC42" s="24">
        <f t="shared" si="2"/>
        <v>0</v>
      </c>
      <c r="AD42" s="24">
        <f t="shared" si="2"/>
        <v>0</v>
      </c>
      <c r="AE42" s="24">
        <f t="shared" si="2"/>
        <v>0</v>
      </c>
      <c r="AF42" s="24">
        <f t="shared" si="2"/>
        <v>0</v>
      </c>
      <c r="AG42" s="24">
        <f t="shared" si="2"/>
        <v>0</v>
      </c>
      <c r="AH42" s="24">
        <f t="shared" si="2"/>
        <v>0</v>
      </c>
      <c r="AI42" s="24">
        <f t="shared" si="2"/>
        <v>0</v>
      </c>
      <c r="AJ42" s="24">
        <f t="shared" si="2"/>
        <v>0</v>
      </c>
      <c r="AK42" s="24">
        <f t="shared" si="2"/>
        <v>0</v>
      </c>
      <c r="AL42" s="24">
        <f t="shared" si="2"/>
        <v>0</v>
      </c>
      <c r="AM42" s="24">
        <f t="shared" si="2"/>
        <v>0</v>
      </c>
      <c r="AN42" s="24">
        <f t="shared" si="2"/>
        <v>0</v>
      </c>
      <c r="AO42" s="24">
        <f t="shared" si="2"/>
        <v>0</v>
      </c>
      <c r="AP42" s="24">
        <f t="shared" si="2"/>
        <v>0</v>
      </c>
      <c r="AQ42" s="24">
        <f t="shared" si="2"/>
        <v>0</v>
      </c>
      <c r="AR42" s="24">
        <f t="shared" si="2"/>
        <v>0</v>
      </c>
      <c r="AS42" s="24">
        <f t="shared" si="2"/>
        <v>0</v>
      </c>
      <c r="AT42" s="24">
        <f t="shared" si="2"/>
        <v>0</v>
      </c>
      <c r="AU42" s="24">
        <f t="shared" si="2"/>
        <v>0</v>
      </c>
      <c r="AV42" s="24">
        <f t="shared" si="2"/>
        <v>0</v>
      </c>
      <c r="AW42" s="24">
        <f t="shared" si="2"/>
        <v>0</v>
      </c>
      <c r="AX42" s="24">
        <f t="shared" si="2"/>
        <v>0</v>
      </c>
      <c r="AY42" s="24">
        <f t="shared" si="2"/>
        <v>0</v>
      </c>
      <c r="AZ42" s="24">
        <f t="shared" si="2"/>
        <v>0</v>
      </c>
      <c r="BA42" s="24">
        <f t="shared" si="2"/>
        <v>0</v>
      </c>
      <c r="BB42" s="24">
        <f t="shared" si="2"/>
        <v>0</v>
      </c>
      <c r="BC42" s="24">
        <f t="shared" si="2"/>
        <v>0</v>
      </c>
      <c r="BD42" s="24">
        <f t="shared" si="2"/>
        <v>0</v>
      </c>
      <c r="BE42" s="24">
        <f t="shared" si="2"/>
        <v>0</v>
      </c>
    </row>
    <row r="43" spans="1:57">
      <c r="C43" s="24"/>
      <c r="D43" s="4"/>
      <c r="E43" s="4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57">
      <c r="C44" s="24"/>
      <c r="D44" s="4"/>
      <c r="E44" s="4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57">
      <c r="C45" s="24"/>
      <c r="D45" s="4"/>
      <c r="E45" s="4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57">
      <c r="C46" s="24"/>
      <c r="D46" s="4"/>
      <c r="E46" s="4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spans="1:57">
      <c r="C47" s="24"/>
      <c r="D47" s="4"/>
      <c r="E47" s="4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spans="1:57">
      <c r="C48" s="24"/>
      <c r="D48" s="4"/>
      <c r="E48" s="4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spans="3:23">
      <c r="C49" s="24"/>
      <c r="D49" s="4"/>
      <c r="E49" s="4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spans="3:23">
      <c r="C50" s="24"/>
      <c r="D50" s="4"/>
      <c r="E50" s="4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spans="3:23">
      <c r="C51" s="24"/>
      <c r="D51" s="4"/>
      <c r="E51" s="4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spans="3:23">
      <c r="C52" s="24"/>
      <c r="D52" s="4"/>
      <c r="E52" s="4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spans="3:23">
      <c r="C53" s="24"/>
      <c r="D53" s="4"/>
      <c r="E53" s="4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spans="3:23">
      <c r="C54" s="24"/>
      <c r="D54" s="4"/>
      <c r="E54" s="4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spans="3:23">
      <c r="C55" s="24"/>
      <c r="D55" s="4"/>
      <c r="E55" s="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spans="3:23">
      <c r="C56" s="24"/>
      <c r="D56" s="4"/>
      <c r="E56" s="4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spans="3:23">
      <c r="C57" s="24"/>
      <c r="D57" s="4"/>
      <c r="E57" s="4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spans="3:23">
      <c r="C58" s="24"/>
      <c r="D58" s="4"/>
      <c r="E58" s="4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spans="3:23">
      <c r="C59" s="24"/>
      <c r="D59" s="4"/>
      <c r="E59" s="4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spans="3:23">
      <c r="C60" s="24"/>
      <c r="D60" s="4"/>
      <c r="E60" s="4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spans="3:23">
      <c r="C61" s="24"/>
      <c r="D61" s="4"/>
      <c r="E61" s="4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spans="3:23">
      <c r="C62" s="24"/>
      <c r="D62" s="4"/>
      <c r="E62" s="4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spans="3:23">
      <c r="C63" s="24"/>
      <c r="D63" s="4"/>
      <c r="E63" s="4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3:23">
      <c r="C64" s="24"/>
      <c r="D64" s="4"/>
      <c r="E64" s="4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spans="3:23">
      <c r="C65" s="24"/>
      <c r="D65" s="4"/>
      <c r="E65" s="4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spans="3:23">
      <c r="C66" s="24"/>
      <c r="D66" s="4"/>
      <c r="E66" s="4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spans="3:23">
      <c r="C67" s="24"/>
      <c r="D67" s="4"/>
      <c r="E67" s="4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spans="3:23">
      <c r="C68" s="4"/>
      <c r="D68" s="4"/>
      <c r="E68" s="4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spans="3:23">
      <c r="C69" s="4"/>
      <c r="D69" s="4"/>
      <c r="E69" s="4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spans="3:23">
      <c r="C70" s="4"/>
      <c r="D70" s="4"/>
      <c r="E70" s="4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spans="3:23">
      <c r="C71" s="4"/>
      <c r="D71" s="4"/>
      <c r="E71" s="4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spans="3:23">
      <c r="C72" s="4"/>
      <c r="D72" s="4"/>
      <c r="E72" s="4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3:23">
      <c r="C73" s="4"/>
      <c r="D73" s="4"/>
      <c r="E73" s="4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spans="3:23">
      <c r="C74" s="4"/>
      <c r="D74" s="4"/>
      <c r="E74" s="4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spans="3:23">
      <c r="C75" s="4"/>
      <c r="D75" s="4"/>
      <c r="E75" s="4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 spans="3:23">
      <c r="C76" s="4"/>
      <c r="D76" s="4"/>
      <c r="E76" s="4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spans="3:23">
      <c r="C77" s="4"/>
      <c r="D77" s="4"/>
      <c r="E77" s="4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spans="3:23">
      <c r="C78" s="4"/>
      <c r="D78" s="4"/>
      <c r="E78" s="4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spans="3:23">
      <c r="C79" s="4"/>
      <c r="D79" s="4"/>
      <c r="E79" s="4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 spans="3:23">
      <c r="C80" s="4"/>
      <c r="D80" s="4"/>
      <c r="E80" s="4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spans="3:23">
      <c r="C81" s="4"/>
      <c r="D81" s="4"/>
      <c r="E81" s="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spans="3:23">
      <c r="C82" s="4"/>
      <c r="D82" s="4"/>
      <c r="E82" s="4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spans="3:23">
      <c r="C83" s="4"/>
      <c r="D83" s="4"/>
      <c r="E83" s="4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spans="3:23">
      <c r="C84" s="4"/>
      <c r="D84" s="4"/>
      <c r="E84" s="4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spans="3:23">
      <c r="C85" s="4"/>
      <c r="D85" s="4"/>
      <c r="E85" s="4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spans="3:23">
      <c r="C86" s="4"/>
      <c r="D86" s="4"/>
      <c r="E86" s="4"/>
    </row>
    <row r="87" spans="3:23">
      <c r="C87" s="4"/>
      <c r="D87" s="4"/>
      <c r="E87" s="4"/>
    </row>
    <row r="88" spans="3:23">
      <c r="C88" s="4"/>
      <c r="D88" s="4"/>
      <c r="E88" s="4"/>
    </row>
    <row r="89" spans="3:23">
      <c r="C89" s="4"/>
      <c r="D89" s="4"/>
      <c r="E89" s="4"/>
    </row>
    <row r="90" spans="3:23">
      <c r="C90" s="4"/>
      <c r="D90" s="4"/>
      <c r="E90" s="4"/>
    </row>
    <row r="91" spans="3:23">
      <c r="C91" s="4"/>
      <c r="D91" s="4"/>
      <c r="E91" s="4"/>
    </row>
    <row r="92" spans="3:23">
      <c r="C92" s="4"/>
      <c r="D92" s="4"/>
      <c r="E92" s="4"/>
    </row>
    <row r="93" spans="3:23">
      <c r="C93" s="4"/>
      <c r="D93" s="4"/>
      <c r="E93" s="4"/>
    </row>
    <row r="94" spans="3:23">
      <c r="C94" s="4"/>
      <c r="D94" s="4"/>
      <c r="E94" s="4"/>
    </row>
    <row r="95" spans="3:23">
      <c r="C95" s="4"/>
      <c r="D95" s="4"/>
      <c r="E95" s="4"/>
    </row>
    <row r="96" spans="3:23">
      <c r="C96" s="4"/>
      <c r="D96" s="4"/>
      <c r="E96" s="4"/>
    </row>
    <row r="97" spans="3:5">
      <c r="C97" s="4"/>
      <c r="D97" s="4"/>
      <c r="E97" s="4"/>
    </row>
    <row r="98" spans="3:5">
      <c r="C98" s="4"/>
      <c r="D98" s="4"/>
      <c r="E98" s="4"/>
    </row>
    <row r="99" spans="3:5">
      <c r="C99" s="4"/>
      <c r="D99" s="4"/>
      <c r="E99" s="4"/>
    </row>
    <row r="100" spans="3:5">
      <c r="C100" s="4"/>
      <c r="D100" s="4"/>
      <c r="E100" s="4"/>
    </row>
    <row r="101" spans="3:5">
      <c r="C101" s="4"/>
      <c r="D101" s="4"/>
      <c r="E101" s="4"/>
    </row>
    <row r="102" spans="3:5">
      <c r="C102" s="4"/>
      <c r="D102" s="4"/>
      <c r="E102" s="4"/>
    </row>
    <row r="103" spans="3:5">
      <c r="C103" s="4"/>
      <c r="D103" s="4"/>
      <c r="E103" s="4"/>
    </row>
    <row r="104" spans="3:5">
      <c r="C104" s="4"/>
      <c r="D104" s="4"/>
      <c r="E104" s="4"/>
    </row>
    <row r="105" spans="3:5">
      <c r="C105" s="4"/>
      <c r="D105" s="4"/>
      <c r="E105" s="4"/>
    </row>
    <row r="106" spans="3:5">
      <c r="C106" s="4"/>
      <c r="D106" s="4"/>
      <c r="E106" s="4"/>
    </row>
    <row r="107" spans="3:5">
      <c r="C107" s="4"/>
      <c r="D107" s="4"/>
      <c r="E107" s="4"/>
    </row>
    <row r="108" spans="3:5">
      <c r="C108" s="4"/>
      <c r="D108" s="4"/>
      <c r="E108" s="4"/>
    </row>
    <row r="109" spans="3:5">
      <c r="C109" s="4"/>
      <c r="D109" s="4"/>
      <c r="E109" s="4"/>
    </row>
    <row r="110" spans="3:5">
      <c r="C110" s="4"/>
      <c r="D110" s="4"/>
      <c r="E110" s="4"/>
    </row>
    <row r="111" spans="3:5">
      <c r="C111" s="4"/>
      <c r="D111" s="4"/>
      <c r="E111" s="4"/>
    </row>
    <row r="112" spans="3:5">
      <c r="C112" s="4"/>
      <c r="D112" s="4"/>
      <c r="E112" s="4"/>
    </row>
    <row r="113" spans="3:5">
      <c r="C113" s="4"/>
      <c r="D113" s="4"/>
      <c r="E113" s="4"/>
    </row>
    <row r="114" spans="3:5">
      <c r="C114" s="4"/>
      <c r="D114" s="4"/>
      <c r="E114" s="4"/>
    </row>
    <row r="115" spans="3:5">
      <c r="C115" s="4"/>
      <c r="D115" s="4"/>
      <c r="E115" s="4"/>
    </row>
    <row r="116" spans="3:5">
      <c r="C116" s="4"/>
      <c r="D116" s="4"/>
      <c r="E116" s="4"/>
    </row>
    <row r="117" spans="3:5">
      <c r="C117" s="4"/>
      <c r="D117" s="4"/>
      <c r="E117" s="4"/>
    </row>
    <row r="118" spans="3:5">
      <c r="C118" s="4"/>
      <c r="D118" s="4"/>
      <c r="E118" s="4"/>
    </row>
    <row r="119" spans="3:5">
      <c r="C119" s="4"/>
      <c r="D119" s="4"/>
      <c r="E119" s="4"/>
    </row>
    <row r="120" spans="3:5">
      <c r="C120" s="4"/>
      <c r="D120" s="4"/>
      <c r="E120" s="4"/>
    </row>
    <row r="121" spans="3:5">
      <c r="C121" s="4"/>
      <c r="D121" s="4"/>
      <c r="E121" s="4"/>
    </row>
    <row r="122" spans="3:5">
      <c r="C122" s="4"/>
      <c r="D122" s="4"/>
      <c r="E122" s="4"/>
    </row>
    <row r="123" spans="3:5">
      <c r="C123" s="4"/>
      <c r="D123" s="4"/>
      <c r="E123" s="4"/>
    </row>
    <row r="124" spans="3:5">
      <c r="C124" s="4"/>
      <c r="D124" s="4"/>
      <c r="E124" s="4"/>
    </row>
    <row r="125" spans="3:5">
      <c r="C125" s="4"/>
      <c r="D125" s="4"/>
      <c r="E125" s="4"/>
    </row>
    <row r="126" spans="3:5">
      <c r="C126" s="4"/>
      <c r="D126" s="4"/>
      <c r="E126" s="4"/>
    </row>
    <row r="127" spans="3:5">
      <c r="C127" s="4"/>
      <c r="D127" s="4"/>
      <c r="E127" s="4"/>
    </row>
    <row r="128" spans="3:5">
      <c r="C128" s="4"/>
      <c r="D128" s="4"/>
      <c r="E128" s="4"/>
    </row>
    <row r="129" spans="3:5">
      <c r="C129" s="4"/>
      <c r="D129" s="4"/>
      <c r="E129" s="4"/>
    </row>
    <row r="130" spans="3:5">
      <c r="C130" s="4"/>
      <c r="D130" s="4"/>
      <c r="E130" s="4"/>
    </row>
    <row r="131" spans="3:5">
      <c r="C131" s="4"/>
      <c r="D131" s="4"/>
      <c r="E131" s="4"/>
    </row>
    <row r="132" spans="3:5">
      <c r="C132" s="4"/>
      <c r="D132" s="4"/>
      <c r="E132" s="4"/>
    </row>
    <row r="133" spans="3:5">
      <c r="C133" s="4"/>
      <c r="D133" s="4"/>
      <c r="E133" s="4"/>
    </row>
    <row r="134" spans="3:5">
      <c r="C134" s="4"/>
      <c r="D134" s="4"/>
      <c r="E134" s="4"/>
    </row>
    <row r="135" spans="3:5">
      <c r="C135" s="4"/>
      <c r="D135" s="4"/>
      <c r="E135" s="4"/>
    </row>
    <row r="136" spans="3:5">
      <c r="C136" s="4"/>
      <c r="D136" s="4"/>
      <c r="E136" s="4"/>
    </row>
    <row r="137" spans="3:5">
      <c r="C137" s="4"/>
      <c r="D137" s="4"/>
      <c r="E137" s="4"/>
    </row>
    <row r="138" spans="3:5">
      <c r="C138" s="4"/>
      <c r="D138" s="4"/>
      <c r="E138" s="4"/>
    </row>
    <row r="139" spans="3:5">
      <c r="C139" s="4"/>
      <c r="D139" s="4"/>
      <c r="E139" s="4"/>
    </row>
    <row r="140" spans="3:5">
      <c r="C140" s="4"/>
      <c r="D140" s="4"/>
      <c r="E140" s="4"/>
    </row>
    <row r="141" spans="3:5">
      <c r="C141" s="4"/>
      <c r="D141" s="4"/>
      <c r="E141" s="4"/>
    </row>
    <row r="142" spans="3:5">
      <c r="C142" s="4"/>
      <c r="D142" s="4"/>
      <c r="E142" s="4"/>
    </row>
    <row r="143" spans="3:5">
      <c r="C143" s="4"/>
      <c r="D143" s="4"/>
      <c r="E143" s="4"/>
    </row>
    <row r="144" spans="3:5">
      <c r="C144" s="4"/>
      <c r="D144" s="4"/>
      <c r="E144" s="4"/>
    </row>
    <row r="145" spans="3:5">
      <c r="C145" s="4"/>
      <c r="D145" s="4"/>
      <c r="E145" s="4"/>
    </row>
    <row r="146" spans="3:5">
      <c r="C146" s="4"/>
      <c r="D146" s="4"/>
      <c r="E146" s="4"/>
    </row>
    <row r="147" spans="3:5">
      <c r="C147" s="4"/>
      <c r="D147" s="4"/>
      <c r="E147" s="4"/>
    </row>
    <row r="148" spans="3:5">
      <c r="C148" s="4"/>
      <c r="D148" s="4"/>
      <c r="E148" s="4"/>
    </row>
    <row r="149" spans="3:5">
      <c r="C149" s="4"/>
      <c r="D149" s="4"/>
      <c r="E149" s="4"/>
    </row>
    <row r="150" spans="3:5">
      <c r="C150" s="4"/>
      <c r="D150" s="4"/>
      <c r="E150" s="4"/>
    </row>
    <row r="151" spans="3:5">
      <c r="C151" s="4"/>
      <c r="D151" s="4"/>
      <c r="E151" s="4"/>
    </row>
    <row r="152" spans="3:5">
      <c r="C152" s="4"/>
      <c r="D152" s="4"/>
      <c r="E152" s="4"/>
    </row>
    <row r="153" spans="3:5">
      <c r="C153" s="4"/>
      <c r="D153" s="4"/>
      <c r="E153" s="4"/>
    </row>
    <row r="154" spans="3:5">
      <c r="C154" s="4"/>
      <c r="D154" s="4"/>
      <c r="E154" s="4"/>
    </row>
    <row r="155" spans="3:5">
      <c r="C155" s="4"/>
      <c r="D155" s="4"/>
      <c r="E155" s="4"/>
    </row>
    <row r="156" spans="3:5">
      <c r="C156" s="4"/>
      <c r="D156" s="4"/>
      <c r="E156" s="4"/>
    </row>
    <row r="157" spans="3:5">
      <c r="C157" s="4"/>
      <c r="D157" s="4"/>
      <c r="E157" s="4"/>
    </row>
    <row r="158" spans="3:5">
      <c r="C158" s="4"/>
      <c r="D158" s="4"/>
      <c r="E158" s="4"/>
    </row>
    <row r="159" spans="3:5">
      <c r="C159" s="4"/>
      <c r="D159" s="4"/>
      <c r="E159" s="4"/>
    </row>
    <row r="160" spans="3:5">
      <c r="C160" s="4"/>
      <c r="D160" s="4"/>
      <c r="E160" s="4"/>
    </row>
    <row r="161" spans="3:5">
      <c r="C161" s="4"/>
      <c r="D161" s="4"/>
      <c r="E161" s="4"/>
    </row>
    <row r="162" spans="3:5">
      <c r="C162" s="4"/>
      <c r="D162" s="4"/>
      <c r="E162" s="4"/>
    </row>
    <row r="163" spans="3:5">
      <c r="C163" s="4"/>
      <c r="D163" s="4"/>
      <c r="E163" s="4"/>
    </row>
    <row r="164" spans="3:5">
      <c r="C164" s="4"/>
      <c r="D164" s="4"/>
      <c r="E164" s="4"/>
    </row>
    <row r="165" spans="3:5">
      <c r="C165" s="4"/>
      <c r="D165" s="4"/>
      <c r="E165" s="4"/>
    </row>
    <row r="166" spans="3:5">
      <c r="C166" s="4"/>
      <c r="D166" s="4"/>
      <c r="E166" s="4"/>
    </row>
    <row r="167" spans="3:5">
      <c r="C167" s="4"/>
      <c r="D167" s="4"/>
      <c r="E167" s="4"/>
    </row>
    <row r="168" spans="3:5">
      <c r="C168" s="4"/>
      <c r="D168" s="4"/>
      <c r="E168" s="4"/>
    </row>
    <row r="169" spans="3:5">
      <c r="C169" s="4"/>
      <c r="D169" s="4"/>
      <c r="E169" s="4"/>
    </row>
    <row r="170" spans="3:5">
      <c r="C170" s="4"/>
      <c r="D170" s="4"/>
      <c r="E170" s="4"/>
    </row>
    <row r="171" spans="3:5">
      <c r="C171" s="4"/>
      <c r="D171" s="4"/>
      <c r="E171" s="4"/>
    </row>
    <row r="172" spans="3:5">
      <c r="C172" s="4"/>
      <c r="D172" s="4"/>
      <c r="E172" s="4"/>
    </row>
    <row r="173" spans="3:5">
      <c r="C173" s="4"/>
      <c r="D173" s="4"/>
      <c r="E173" s="4"/>
    </row>
    <row r="174" spans="3:5">
      <c r="C174" s="4"/>
      <c r="D174" s="4"/>
      <c r="E174" s="4"/>
    </row>
    <row r="175" spans="3:5">
      <c r="C175" s="4"/>
      <c r="D175" s="4"/>
      <c r="E175" s="4"/>
    </row>
    <row r="176" spans="3:5">
      <c r="C176" s="4"/>
      <c r="D176" s="4"/>
      <c r="E176" s="4"/>
    </row>
    <row r="177" spans="3:5">
      <c r="C177" s="4"/>
      <c r="D177" s="4"/>
      <c r="E177" s="4"/>
    </row>
    <row r="178" spans="3:5">
      <c r="C178" s="4"/>
      <c r="D178" s="4"/>
      <c r="E178" s="4"/>
    </row>
    <row r="179" spans="3:5">
      <c r="C179" s="4"/>
      <c r="D179" s="4"/>
      <c r="E179" s="4"/>
    </row>
    <row r="180" spans="3:5">
      <c r="C180" s="4"/>
      <c r="D180" s="4"/>
      <c r="E180" s="4"/>
    </row>
    <row r="181" spans="3:5">
      <c r="C181" s="4"/>
      <c r="D181" s="4"/>
      <c r="E181" s="4"/>
    </row>
    <row r="182" spans="3:5">
      <c r="C182" s="4"/>
      <c r="D182" s="4"/>
      <c r="E182" s="4"/>
    </row>
    <row r="183" spans="3:5">
      <c r="C183" s="4"/>
      <c r="D183" s="4"/>
      <c r="E183" s="4"/>
    </row>
    <row r="184" spans="3:5">
      <c r="C184" s="4"/>
      <c r="D184" s="4"/>
      <c r="E184" s="4"/>
    </row>
    <row r="185" spans="3:5">
      <c r="C185" s="4"/>
      <c r="D185" s="4"/>
      <c r="E185" s="4"/>
    </row>
    <row r="186" spans="3:5">
      <c r="C186" s="4"/>
      <c r="D186" s="4"/>
      <c r="E186" s="4"/>
    </row>
    <row r="187" spans="3:5">
      <c r="C187" s="4"/>
      <c r="D187" s="4"/>
      <c r="E187" s="4"/>
    </row>
    <row r="188" spans="3:5">
      <c r="C188" s="4"/>
      <c r="D188" s="4"/>
      <c r="E188" s="4"/>
    </row>
    <row r="189" spans="3:5">
      <c r="C189" s="4"/>
      <c r="D189" s="4"/>
      <c r="E189" s="4"/>
    </row>
    <row r="190" spans="3:5">
      <c r="C190" s="4"/>
      <c r="D190" s="4"/>
      <c r="E190" s="4"/>
    </row>
    <row r="191" spans="3:5">
      <c r="C191" s="4"/>
      <c r="D191" s="4"/>
      <c r="E191" s="4"/>
    </row>
    <row r="192" spans="3:5">
      <c r="C192" s="4"/>
      <c r="D192" s="4"/>
      <c r="E192" s="4"/>
    </row>
    <row r="193" spans="3:5">
      <c r="C193" s="4"/>
      <c r="D193" s="4"/>
      <c r="E193" s="4"/>
    </row>
    <row r="194" spans="3:5">
      <c r="C194" s="4"/>
      <c r="D194" s="4"/>
      <c r="E194" s="4"/>
    </row>
    <row r="195" spans="3:5">
      <c r="C195" s="4"/>
      <c r="D195" s="4"/>
      <c r="E19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>
    <tabColor rgb="FFCCFFCC"/>
  </sheetPr>
  <dimension ref="A1:XED74"/>
  <sheetViews>
    <sheetView tabSelected="1" workbookViewId="0">
      <pane xSplit="8" ySplit="12" topLeftCell="Q32" activePane="bottomRight" state="frozen"/>
      <selection pane="topRight" activeCell="G1" sqref="G1"/>
      <selection pane="bottomLeft" activeCell="A13" sqref="A13"/>
      <selection pane="bottomRight" activeCell="Q27" sqref="Q27"/>
    </sheetView>
  </sheetViews>
  <sheetFormatPr defaultColWidth="8.85546875" defaultRowHeight="15"/>
  <cols>
    <col min="1" max="1" width="8.85546875" style="130"/>
    <col min="2" max="2" width="32.7109375" style="130" bestFit="1" customWidth="1"/>
    <col min="3" max="3" width="29.85546875" style="130" customWidth="1"/>
    <col min="4" max="6" width="10.85546875" style="4" customWidth="1"/>
    <col min="7" max="7" width="11.28515625" style="4" customWidth="1"/>
    <col min="8" max="8" width="12.7109375" style="4" customWidth="1"/>
    <col min="9" max="23" width="15.7109375" style="130" customWidth="1"/>
    <col min="24" max="16384" width="8.85546875" style="130"/>
  </cols>
  <sheetData>
    <row r="1" spans="1:23" s="4" customFormat="1" ht="21">
      <c r="A1" s="132" t="s">
        <v>0</v>
      </c>
      <c r="B1" s="138"/>
      <c r="C1" s="133" t="s">
        <v>63</v>
      </c>
      <c r="D1" s="135"/>
      <c r="E1" s="135"/>
      <c r="F1" s="135"/>
      <c r="G1" s="135"/>
      <c r="H1" s="135"/>
      <c r="I1" s="140"/>
      <c r="J1" s="138"/>
      <c r="K1" s="138"/>
      <c r="L1" s="133"/>
      <c r="M1" s="138"/>
      <c r="N1" s="138"/>
      <c r="O1" s="138"/>
      <c r="P1" s="138"/>
      <c r="Q1" s="138"/>
      <c r="R1" s="138"/>
      <c r="S1" s="138"/>
      <c r="T1" s="133"/>
      <c r="U1" s="138"/>
      <c r="V1" s="138"/>
      <c r="W1" s="138"/>
    </row>
    <row r="2" spans="1:23" s="4" customFormat="1" ht="18.75">
      <c r="A2" s="135" t="s">
        <v>1</v>
      </c>
      <c r="B2" s="138"/>
      <c r="C2" s="136">
        <v>84.287000000000006</v>
      </c>
      <c r="D2" s="135"/>
      <c r="E2" s="135"/>
      <c r="F2" s="135"/>
      <c r="G2" s="135"/>
      <c r="H2" s="135"/>
      <c r="I2" s="140"/>
      <c r="J2" s="138"/>
      <c r="K2" s="138"/>
      <c r="L2" s="146"/>
      <c r="M2" s="138"/>
      <c r="N2" s="138"/>
      <c r="O2" s="138"/>
      <c r="P2" s="138"/>
      <c r="Q2" s="138"/>
      <c r="R2" s="138"/>
      <c r="S2" s="138"/>
      <c r="T2" s="146"/>
      <c r="U2" s="138"/>
      <c r="V2" s="138"/>
      <c r="W2" s="138"/>
    </row>
    <row r="3" spans="1:23" s="4" customFormat="1" ht="15.75">
      <c r="A3" s="135" t="s">
        <v>2</v>
      </c>
      <c r="B3" s="138"/>
      <c r="C3" s="136">
        <v>5287</v>
      </c>
      <c r="D3" s="135"/>
      <c r="E3" s="135"/>
      <c r="F3" s="135"/>
      <c r="G3" s="135"/>
      <c r="H3" s="135"/>
      <c r="I3" s="140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</row>
    <row r="4" spans="1:23" s="4" customFormat="1" ht="21">
      <c r="A4" s="135" t="s">
        <v>64</v>
      </c>
      <c r="B4" s="138"/>
      <c r="C4" s="133">
        <v>6</v>
      </c>
      <c r="D4" s="135"/>
      <c r="E4" s="135"/>
      <c r="F4" s="135"/>
      <c r="G4" s="135"/>
      <c r="H4" s="135"/>
      <c r="I4" s="140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</row>
    <row r="5" spans="1:23" s="4" customFormat="1" ht="15.75">
      <c r="A5" s="135" t="s">
        <v>3</v>
      </c>
      <c r="B5" s="138"/>
      <c r="C5" s="136" t="s">
        <v>259</v>
      </c>
      <c r="D5" s="135"/>
      <c r="E5" s="135"/>
      <c r="F5" s="135"/>
      <c r="G5" s="135"/>
      <c r="H5" s="135"/>
      <c r="I5" s="140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</row>
    <row r="6" spans="1:23" s="4" customFormat="1" ht="15.75">
      <c r="A6" s="135" t="s">
        <v>104</v>
      </c>
      <c r="B6" s="138"/>
      <c r="C6" s="136" t="s">
        <v>107</v>
      </c>
      <c r="D6" s="135"/>
      <c r="E6" s="135"/>
      <c r="F6" s="135"/>
      <c r="G6" s="135"/>
      <c r="H6" s="135"/>
      <c r="I6" s="140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</row>
    <row r="7" spans="1:23" s="4" customFormat="1" ht="15.75">
      <c r="A7" s="135" t="s">
        <v>65</v>
      </c>
      <c r="B7" s="138"/>
      <c r="C7" s="136" t="s">
        <v>254</v>
      </c>
      <c r="D7" s="135"/>
      <c r="E7" s="135"/>
      <c r="F7" s="135"/>
      <c r="G7" s="135"/>
      <c r="H7" s="135"/>
      <c r="I7" s="137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</row>
    <row r="8" spans="1:23" s="4" customFormat="1" ht="15.75">
      <c r="A8" s="135" t="s">
        <v>67</v>
      </c>
      <c r="B8" s="138"/>
      <c r="C8" s="136" t="s">
        <v>223</v>
      </c>
      <c r="D8" s="135"/>
      <c r="E8" s="135"/>
      <c r="F8" s="135"/>
      <c r="G8" s="135"/>
      <c r="H8" s="135"/>
      <c r="I8" s="137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</row>
    <row r="9" spans="1:23" s="4" customFormat="1" ht="15.75">
      <c r="A9" s="135" t="s">
        <v>208</v>
      </c>
      <c r="B9" s="138"/>
      <c r="C9" s="135" t="s">
        <v>260</v>
      </c>
      <c r="D9" s="136"/>
      <c r="E9" s="136"/>
      <c r="F9" s="136"/>
      <c r="G9" s="136"/>
      <c r="H9" s="136"/>
      <c r="I9" s="137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</row>
    <row r="10" spans="1:23" s="4" customFormat="1" ht="23.25">
      <c r="A10" s="362"/>
      <c r="B10" s="363"/>
      <c r="C10" s="363"/>
      <c r="D10" s="363"/>
      <c r="E10" s="179"/>
      <c r="F10" s="179"/>
      <c r="G10" s="135"/>
      <c r="H10" s="135"/>
      <c r="I10" s="137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</row>
    <row r="11" spans="1:23" s="4" customFormat="1" ht="15.75" thickBot="1">
      <c r="A11" s="67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</row>
    <row r="12" spans="1:23" ht="30.75" thickBot="1">
      <c r="A12" s="55" t="s">
        <v>4</v>
      </c>
      <c r="B12" s="53" t="s">
        <v>5</v>
      </c>
      <c r="C12" s="53" t="s">
        <v>165</v>
      </c>
      <c r="D12" s="54" t="s">
        <v>261</v>
      </c>
      <c r="E12" s="54" t="s">
        <v>262</v>
      </c>
      <c r="F12" s="54" t="s">
        <v>270</v>
      </c>
      <c r="G12" s="57" t="s">
        <v>45</v>
      </c>
      <c r="H12" s="158" t="s">
        <v>46</v>
      </c>
      <c r="I12" s="307" t="s">
        <v>524</v>
      </c>
      <c r="J12" s="307" t="s">
        <v>525</v>
      </c>
      <c r="K12" s="307" t="s">
        <v>526</v>
      </c>
      <c r="L12" s="307" t="s">
        <v>527</v>
      </c>
      <c r="M12" s="307" t="s">
        <v>528</v>
      </c>
      <c r="N12" s="307" t="s">
        <v>529</v>
      </c>
      <c r="O12" s="307" t="s">
        <v>530</v>
      </c>
      <c r="P12" s="307" t="s">
        <v>531</v>
      </c>
      <c r="Q12" s="307" t="s">
        <v>532</v>
      </c>
      <c r="R12" s="307" t="s">
        <v>533</v>
      </c>
      <c r="S12" s="307" t="s">
        <v>534</v>
      </c>
      <c r="T12" s="307" t="s">
        <v>520</v>
      </c>
      <c r="U12" s="307" t="s">
        <v>521</v>
      </c>
      <c r="V12" s="307" t="s">
        <v>522</v>
      </c>
      <c r="W12" s="307" t="s">
        <v>523</v>
      </c>
    </row>
    <row r="13" spans="1:23" s="288" customFormat="1" ht="45.75" thickBot="1">
      <c r="A13" s="284" t="s">
        <v>73</v>
      </c>
      <c r="B13" s="285" t="s">
        <v>98</v>
      </c>
      <c r="C13" s="285" t="s">
        <v>166</v>
      </c>
      <c r="D13" s="156">
        <v>585000</v>
      </c>
      <c r="E13" s="156"/>
      <c r="F13" s="287">
        <f t="shared" ref="F13:F47" si="0">SUM(D13:E13)</f>
        <v>585000</v>
      </c>
      <c r="G13" s="156">
        <f t="shared" ref="G13:G42" si="1">SUM(I13:AB13)</f>
        <v>213215</v>
      </c>
      <c r="H13" s="156">
        <f t="shared" ref="H13:H42" si="2">D13-G13</f>
        <v>371785</v>
      </c>
      <c r="N13" s="288">
        <v>115800</v>
      </c>
      <c r="O13" s="288">
        <v>24653</v>
      </c>
      <c r="P13" s="288">
        <v>35694</v>
      </c>
      <c r="Q13" s="288">
        <v>37068</v>
      </c>
    </row>
    <row r="14" spans="1:23" s="288" customFormat="1" ht="15.75" thickBot="1">
      <c r="A14" s="284" t="s">
        <v>6</v>
      </c>
      <c r="B14" s="285" t="s">
        <v>143</v>
      </c>
      <c r="C14" s="285" t="s">
        <v>314</v>
      </c>
      <c r="D14" s="156">
        <v>300000</v>
      </c>
      <c r="E14" s="156"/>
      <c r="F14" s="287">
        <f t="shared" si="0"/>
        <v>300000</v>
      </c>
      <c r="G14" s="156">
        <f t="shared" si="1"/>
        <v>87903</v>
      </c>
      <c r="H14" s="156">
        <f t="shared" si="2"/>
        <v>212097</v>
      </c>
      <c r="M14" s="288">
        <v>26758</v>
      </c>
      <c r="N14" s="288">
        <v>12291</v>
      </c>
      <c r="O14" s="288">
        <v>10574</v>
      </c>
      <c r="P14" s="288">
        <v>17415</v>
      </c>
      <c r="Q14" s="288">
        <v>20865</v>
      </c>
    </row>
    <row r="15" spans="1:23" s="288" customFormat="1" ht="30.75" thickBot="1">
      <c r="A15" s="284" t="s">
        <v>6</v>
      </c>
      <c r="B15" s="285" t="s">
        <v>144</v>
      </c>
      <c r="C15" s="285" t="s">
        <v>315</v>
      </c>
      <c r="D15" s="156">
        <v>600000</v>
      </c>
      <c r="E15" s="156"/>
      <c r="F15" s="287">
        <f t="shared" si="0"/>
        <v>600000</v>
      </c>
      <c r="G15" s="156">
        <f t="shared" si="1"/>
        <v>273077</v>
      </c>
      <c r="H15" s="156">
        <f t="shared" si="2"/>
        <v>326923</v>
      </c>
      <c r="M15" s="288">
        <v>128279</v>
      </c>
      <c r="N15" s="288">
        <v>34877</v>
      </c>
      <c r="O15" s="288">
        <v>29544</v>
      </c>
      <c r="P15" s="288">
        <v>43951</v>
      </c>
      <c r="Q15" s="288">
        <v>36426</v>
      </c>
    </row>
    <row r="16" spans="1:23" s="288" customFormat="1" ht="15.75" thickBot="1">
      <c r="A16" s="284" t="s">
        <v>6</v>
      </c>
      <c r="B16" s="285" t="s">
        <v>143</v>
      </c>
      <c r="C16" s="285" t="s">
        <v>556</v>
      </c>
      <c r="D16" s="156">
        <v>198500</v>
      </c>
      <c r="E16" s="156"/>
      <c r="F16" s="287">
        <f t="shared" ref="F16" si="3">SUM(D16:E16)</f>
        <v>198500</v>
      </c>
      <c r="G16" s="156">
        <f t="shared" ref="G16" si="4">SUM(I16:AB16)</f>
        <v>49980</v>
      </c>
      <c r="H16" s="156">
        <f t="shared" ref="H16" si="5">D16-G16</f>
        <v>148520</v>
      </c>
      <c r="N16" s="288">
        <v>27563</v>
      </c>
      <c r="O16" s="288">
        <v>10030</v>
      </c>
      <c r="P16" s="288">
        <v>12387</v>
      </c>
    </row>
    <row r="17" spans="1:17" s="288" customFormat="1" ht="15.75" thickBot="1">
      <c r="A17" s="284" t="s">
        <v>97</v>
      </c>
      <c r="B17" s="285" t="s">
        <v>100</v>
      </c>
      <c r="C17" s="285" t="s">
        <v>167</v>
      </c>
      <c r="D17" s="156">
        <v>150000</v>
      </c>
      <c r="E17" s="156"/>
      <c r="F17" s="287">
        <f t="shared" si="0"/>
        <v>150000</v>
      </c>
      <c r="G17" s="156">
        <f t="shared" si="1"/>
        <v>55182</v>
      </c>
      <c r="H17" s="156">
        <f t="shared" si="2"/>
        <v>94818</v>
      </c>
      <c r="N17" s="288">
        <v>42950</v>
      </c>
      <c r="Q17" s="288">
        <v>12232</v>
      </c>
    </row>
    <row r="18" spans="1:17" s="288" customFormat="1" ht="15.75" thickBot="1">
      <c r="A18" s="284" t="s">
        <v>8</v>
      </c>
      <c r="B18" s="285" t="s">
        <v>145</v>
      </c>
      <c r="C18" s="285" t="s">
        <v>316</v>
      </c>
      <c r="D18" s="156">
        <v>149300</v>
      </c>
      <c r="E18" s="156"/>
      <c r="F18" s="287">
        <f t="shared" si="0"/>
        <v>149300</v>
      </c>
      <c r="G18" s="156">
        <f t="shared" si="1"/>
        <v>41177</v>
      </c>
      <c r="H18" s="156">
        <f t="shared" si="2"/>
        <v>108123</v>
      </c>
      <c r="M18" s="288">
        <v>11146</v>
      </c>
      <c r="N18" s="288">
        <v>4190</v>
      </c>
      <c r="O18" s="288">
        <v>5441</v>
      </c>
      <c r="P18" s="288">
        <v>3935</v>
      </c>
      <c r="Q18" s="288">
        <v>16465</v>
      </c>
    </row>
    <row r="19" spans="1:17" s="288" customFormat="1" ht="30.75" thickBot="1">
      <c r="A19" s="284" t="s">
        <v>8</v>
      </c>
      <c r="B19" s="285" t="s">
        <v>145</v>
      </c>
      <c r="C19" s="285" t="s">
        <v>317</v>
      </c>
      <c r="D19" s="156">
        <v>75000</v>
      </c>
      <c r="E19" s="156"/>
      <c r="F19" s="287">
        <f t="shared" si="0"/>
        <v>75000</v>
      </c>
      <c r="G19" s="156">
        <f t="shared" si="1"/>
        <v>34290</v>
      </c>
      <c r="H19" s="156">
        <f t="shared" si="2"/>
        <v>40710</v>
      </c>
      <c r="N19" s="288">
        <v>15988</v>
      </c>
      <c r="O19" s="288">
        <v>2805</v>
      </c>
      <c r="P19" s="288">
        <v>783</v>
      </c>
      <c r="Q19" s="288">
        <v>14714</v>
      </c>
    </row>
    <row r="20" spans="1:17" s="288" customFormat="1" ht="15.75" thickBot="1">
      <c r="A20" s="284" t="s">
        <v>8</v>
      </c>
      <c r="B20" s="285" t="s">
        <v>145</v>
      </c>
      <c r="C20" s="285" t="s">
        <v>318</v>
      </c>
      <c r="D20" s="156">
        <v>147200</v>
      </c>
      <c r="E20" s="156"/>
      <c r="F20" s="287">
        <f t="shared" si="0"/>
        <v>147200</v>
      </c>
      <c r="G20" s="156">
        <f t="shared" si="1"/>
        <v>36758</v>
      </c>
      <c r="H20" s="156">
        <f t="shared" si="2"/>
        <v>110442</v>
      </c>
      <c r="M20" s="288">
        <v>18222</v>
      </c>
      <c r="N20" s="288">
        <v>4246</v>
      </c>
      <c r="P20" s="288">
        <v>2824</v>
      </c>
      <c r="Q20" s="288">
        <v>11466</v>
      </c>
    </row>
    <row r="21" spans="1:17" s="288" customFormat="1" ht="15.75" thickBot="1">
      <c r="A21" s="284" t="s">
        <v>10</v>
      </c>
      <c r="B21" s="285" t="s">
        <v>146</v>
      </c>
      <c r="C21" s="285" t="s">
        <v>319</v>
      </c>
      <c r="D21" s="156">
        <v>146100</v>
      </c>
      <c r="E21" s="156"/>
      <c r="F21" s="287">
        <f t="shared" si="0"/>
        <v>146100</v>
      </c>
      <c r="G21" s="156">
        <f t="shared" si="1"/>
        <v>82696</v>
      </c>
      <c r="H21" s="156">
        <f t="shared" si="2"/>
        <v>63404</v>
      </c>
      <c r="L21" s="288">
        <v>14096</v>
      </c>
      <c r="M21" s="288">
        <v>7843</v>
      </c>
      <c r="N21" s="288">
        <v>27758</v>
      </c>
      <c r="O21" s="288">
        <v>5452</v>
      </c>
      <c r="P21" s="288">
        <v>19785</v>
      </c>
      <c r="Q21" s="288">
        <v>7762</v>
      </c>
    </row>
    <row r="22" spans="1:17" s="288" customFormat="1" ht="15.75" thickBot="1">
      <c r="A22" s="284" t="s">
        <v>10</v>
      </c>
      <c r="B22" s="285" t="s">
        <v>146</v>
      </c>
      <c r="C22" s="285" t="s">
        <v>320</v>
      </c>
      <c r="D22" s="156">
        <v>150000</v>
      </c>
      <c r="E22" s="156"/>
      <c r="F22" s="287">
        <f t="shared" si="0"/>
        <v>150000</v>
      </c>
      <c r="G22" s="156">
        <f t="shared" si="1"/>
        <v>91205</v>
      </c>
      <c r="H22" s="156">
        <f t="shared" si="2"/>
        <v>58795</v>
      </c>
      <c r="L22" s="288">
        <v>39714</v>
      </c>
      <c r="M22" s="288">
        <v>11072</v>
      </c>
      <c r="N22" s="288">
        <v>10612</v>
      </c>
      <c r="O22" s="288">
        <v>12797</v>
      </c>
      <c r="P22" s="288">
        <v>4436</v>
      </c>
      <c r="Q22" s="288">
        <v>12574</v>
      </c>
    </row>
    <row r="23" spans="1:17" s="288" customFormat="1" ht="15.75" thickBot="1">
      <c r="A23" s="284" t="s">
        <v>10</v>
      </c>
      <c r="B23" s="285" t="s">
        <v>146</v>
      </c>
      <c r="C23" s="285" t="s">
        <v>321</v>
      </c>
      <c r="D23" s="156">
        <v>149100</v>
      </c>
      <c r="E23" s="156"/>
      <c r="F23" s="287">
        <f t="shared" si="0"/>
        <v>149100</v>
      </c>
      <c r="G23" s="156">
        <f t="shared" si="1"/>
        <v>83079</v>
      </c>
      <c r="H23" s="156">
        <f t="shared" si="2"/>
        <v>66021</v>
      </c>
      <c r="L23" s="288">
        <v>24666</v>
      </c>
      <c r="M23" s="288">
        <v>10565</v>
      </c>
      <c r="N23" s="288">
        <v>13766</v>
      </c>
      <c r="O23" s="288">
        <v>8055</v>
      </c>
      <c r="P23" s="288">
        <v>10216</v>
      </c>
      <c r="Q23" s="288">
        <v>15811</v>
      </c>
    </row>
    <row r="24" spans="1:17" s="288" customFormat="1" ht="30.75" thickBot="1">
      <c r="A24" s="284" t="s">
        <v>75</v>
      </c>
      <c r="B24" s="285" t="s">
        <v>147</v>
      </c>
      <c r="C24" s="285" t="s">
        <v>168</v>
      </c>
      <c r="D24" s="156">
        <v>150000</v>
      </c>
      <c r="E24" s="156"/>
      <c r="F24" s="287">
        <f t="shared" si="0"/>
        <v>150000</v>
      </c>
      <c r="G24" s="156">
        <f t="shared" si="1"/>
        <v>0</v>
      </c>
      <c r="H24" s="156">
        <f t="shared" si="2"/>
        <v>150000</v>
      </c>
    </row>
    <row r="25" spans="1:17" s="288" customFormat="1" ht="30.75" thickBot="1">
      <c r="A25" s="284" t="s">
        <v>75</v>
      </c>
      <c r="B25" s="285" t="s">
        <v>147</v>
      </c>
      <c r="C25" s="285" t="s">
        <v>322</v>
      </c>
      <c r="D25" s="156">
        <v>600000</v>
      </c>
      <c r="E25" s="156"/>
      <c r="F25" s="287">
        <f t="shared" si="0"/>
        <v>600000</v>
      </c>
      <c r="G25" s="156">
        <f t="shared" si="1"/>
        <v>316801</v>
      </c>
      <c r="H25" s="156">
        <f t="shared" si="2"/>
        <v>283199</v>
      </c>
      <c r="M25" s="288">
        <v>107788</v>
      </c>
      <c r="N25" s="288">
        <v>58440</v>
      </c>
      <c r="P25" s="288">
        <v>150573</v>
      </c>
    </row>
    <row r="26" spans="1:17" s="288" customFormat="1" ht="15.75" thickBot="1">
      <c r="A26" s="284" t="s">
        <v>75</v>
      </c>
      <c r="B26" s="285" t="s">
        <v>147</v>
      </c>
      <c r="C26" s="285" t="s">
        <v>323</v>
      </c>
      <c r="D26" s="156">
        <v>125000</v>
      </c>
      <c r="E26" s="156"/>
      <c r="F26" s="287">
        <f t="shared" si="0"/>
        <v>125000</v>
      </c>
      <c r="G26" s="156">
        <f t="shared" si="1"/>
        <v>0</v>
      </c>
      <c r="H26" s="156">
        <f t="shared" si="2"/>
        <v>125000</v>
      </c>
    </row>
    <row r="27" spans="1:17" s="288" customFormat="1" ht="15.75" thickBot="1">
      <c r="A27" s="284" t="s">
        <v>75</v>
      </c>
      <c r="B27" s="285" t="s">
        <v>147</v>
      </c>
      <c r="C27" s="285" t="s">
        <v>169</v>
      </c>
      <c r="D27" s="156">
        <v>149500</v>
      </c>
      <c r="E27" s="156"/>
      <c r="F27" s="287">
        <f t="shared" si="0"/>
        <v>149500</v>
      </c>
      <c r="G27" s="156">
        <f t="shared" si="1"/>
        <v>82958</v>
      </c>
      <c r="H27" s="156">
        <f t="shared" si="2"/>
        <v>66542</v>
      </c>
      <c r="P27" s="288">
        <v>56911</v>
      </c>
      <c r="Q27" s="288">
        <v>26047</v>
      </c>
    </row>
    <row r="28" spans="1:17" s="288" customFormat="1" ht="15.75" thickBot="1">
      <c r="A28" s="284" t="s">
        <v>75</v>
      </c>
      <c r="B28" s="285" t="s">
        <v>147</v>
      </c>
      <c r="C28" s="285" t="s">
        <v>324</v>
      </c>
      <c r="D28" s="156">
        <v>150000</v>
      </c>
      <c r="E28" s="156"/>
      <c r="F28" s="287">
        <f t="shared" si="0"/>
        <v>150000</v>
      </c>
      <c r="G28" s="156">
        <f t="shared" si="1"/>
        <v>87522</v>
      </c>
      <c r="H28" s="156">
        <f t="shared" si="2"/>
        <v>62478</v>
      </c>
      <c r="P28" s="288">
        <v>73619</v>
      </c>
      <c r="Q28" s="288">
        <v>13903</v>
      </c>
    </row>
    <row r="29" spans="1:17" s="288" customFormat="1" ht="15" customHeight="1" thickBot="1">
      <c r="A29" s="284" t="s">
        <v>75</v>
      </c>
      <c r="B29" s="285" t="s">
        <v>147</v>
      </c>
      <c r="C29" s="285" t="s">
        <v>233</v>
      </c>
      <c r="D29" s="156">
        <v>300000</v>
      </c>
      <c r="E29" s="156"/>
      <c r="F29" s="287">
        <f t="shared" si="0"/>
        <v>300000</v>
      </c>
      <c r="G29" s="156">
        <f t="shared" si="1"/>
        <v>0</v>
      </c>
      <c r="H29" s="156">
        <f t="shared" si="2"/>
        <v>300000</v>
      </c>
    </row>
    <row r="30" spans="1:17" s="288" customFormat="1" ht="15.75" thickBot="1">
      <c r="A30" s="286">
        <v>1400</v>
      </c>
      <c r="B30" s="285" t="s">
        <v>148</v>
      </c>
      <c r="C30" s="285" t="s">
        <v>170</v>
      </c>
      <c r="D30" s="156">
        <v>150000</v>
      </c>
      <c r="E30" s="156"/>
      <c r="F30" s="287">
        <f t="shared" si="0"/>
        <v>150000</v>
      </c>
      <c r="G30" s="156">
        <f t="shared" si="1"/>
        <v>49582</v>
      </c>
      <c r="H30" s="156">
        <f t="shared" si="2"/>
        <v>100418</v>
      </c>
      <c r="M30" s="288">
        <v>23057</v>
      </c>
      <c r="O30" s="288">
        <v>15271</v>
      </c>
      <c r="Q30" s="288">
        <v>11254</v>
      </c>
    </row>
    <row r="31" spans="1:17" s="288" customFormat="1" ht="15.75" thickBot="1">
      <c r="A31" s="286">
        <v>1420</v>
      </c>
      <c r="B31" s="285" t="s">
        <v>149</v>
      </c>
      <c r="C31" s="285" t="s">
        <v>325</v>
      </c>
      <c r="D31" s="156">
        <v>300000</v>
      </c>
      <c r="E31" s="156"/>
      <c r="F31" s="287">
        <f t="shared" si="0"/>
        <v>300000</v>
      </c>
      <c r="G31" s="156">
        <f t="shared" si="1"/>
        <v>148624</v>
      </c>
      <c r="H31" s="156">
        <f t="shared" si="2"/>
        <v>151376</v>
      </c>
      <c r="L31" s="288">
        <v>57797</v>
      </c>
      <c r="M31" s="288">
        <v>19681</v>
      </c>
      <c r="N31" s="288">
        <v>23100</v>
      </c>
      <c r="O31" s="288">
        <v>19614</v>
      </c>
      <c r="P31" s="288">
        <v>11389</v>
      </c>
      <c r="Q31" s="288">
        <v>17043</v>
      </c>
    </row>
    <row r="32" spans="1:17" s="288" customFormat="1" ht="30.75" thickBot="1">
      <c r="A32" s="286">
        <v>1510</v>
      </c>
      <c r="B32" s="285" t="s">
        <v>150</v>
      </c>
      <c r="C32" s="285" t="s">
        <v>171</v>
      </c>
      <c r="D32" s="156">
        <v>124600</v>
      </c>
      <c r="E32" s="156"/>
      <c r="F32" s="287">
        <f t="shared" si="0"/>
        <v>124600</v>
      </c>
      <c r="G32" s="156">
        <f t="shared" si="1"/>
        <v>35861</v>
      </c>
      <c r="H32" s="156">
        <f t="shared" si="2"/>
        <v>88739</v>
      </c>
      <c r="M32" s="288">
        <v>18738</v>
      </c>
      <c r="O32" s="288">
        <v>12408</v>
      </c>
      <c r="P32" s="288">
        <v>4715</v>
      </c>
    </row>
    <row r="33" spans="1:16358" s="288" customFormat="1" ht="30.75" thickBot="1">
      <c r="A33" s="286">
        <v>1550</v>
      </c>
      <c r="B33" s="285" t="s">
        <v>151</v>
      </c>
      <c r="C33" s="285" t="s">
        <v>172</v>
      </c>
      <c r="D33" s="156">
        <v>150000</v>
      </c>
      <c r="E33" s="156"/>
      <c r="F33" s="287">
        <f t="shared" si="0"/>
        <v>150000</v>
      </c>
      <c r="G33" s="156">
        <f t="shared" si="1"/>
        <v>17270</v>
      </c>
      <c r="H33" s="156">
        <f t="shared" si="2"/>
        <v>132730</v>
      </c>
      <c r="O33" s="288">
        <v>17270</v>
      </c>
    </row>
    <row r="34" spans="1:16358" s="288" customFormat="1" ht="15.75" thickBot="1">
      <c r="A34" s="286">
        <v>1560</v>
      </c>
      <c r="B34" s="285" t="s">
        <v>152</v>
      </c>
      <c r="C34" s="285" t="s">
        <v>173</v>
      </c>
      <c r="D34" s="156">
        <v>149200</v>
      </c>
      <c r="E34" s="156"/>
      <c r="F34" s="287">
        <f t="shared" si="0"/>
        <v>149200</v>
      </c>
      <c r="G34" s="156">
        <f t="shared" si="1"/>
        <v>37374</v>
      </c>
      <c r="H34" s="156">
        <f t="shared" si="2"/>
        <v>111826</v>
      </c>
      <c r="M34" s="288">
        <v>12263</v>
      </c>
      <c r="O34" s="288">
        <v>10166</v>
      </c>
      <c r="P34" s="288">
        <v>8753</v>
      </c>
      <c r="Q34" s="288">
        <v>6192</v>
      </c>
    </row>
    <row r="35" spans="1:16358" s="288" customFormat="1" ht="15.75" thickBot="1">
      <c r="A35" s="286">
        <v>1780</v>
      </c>
      <c r="B35" s="285" t="s">
        <v>153</v>
      </c>
      <c r="C35" s="285" t="s">
        <v>174</v>
      </c>
      <c r="D35" s="156">
        <v>150000</v>
      </c>
      <c r="E35" s="156"/>
      <c r="F35" s="287">
        <f t="shared" si="0"/>
        <v>150000</v>
      </c>
      <c r="G35" s="156">
        <f t="shared" si="1"/>
        <v>39636</v>
      </c>
      <c r="H35" s="156">
        <f t="shared" si="2"/>
        <v>110364</v>
      </c>
      <c r="L35" s="288">
        <v>17700</v>
      </c>
      <c r="M35" s="288">
        <v>6086</v>
      </c>
      <c r="N35" s="288">
        <v>8478</v>
      </c>
      <c r="P35" s="288">
        <v>7372</v>
      </c>
    </row>
    <row r="36" spans="1:16358" s="288" customFormat="1" ht="15.75" thickBot="1">
      <c r="A36" s="286">
        <v>2035</v>
      </c>
      <c r="B36" s="285" t="s">
        <v>154</v>
      </c>
      <c r="C36" s="285" t="s">
        <v>175</v>
      </c>
      <c r="D36" s="156">
        <v>145000</v>
      </c>
      <c r="E36" s="156"/>
      <c r="F36" s="287">
        <f t="shared" si="0"/>
        <v>145000</v>
      </c>
      <c r="G36" s="156">
        <f t="shared" si="1"/>
        <v>78399</v>
      </c>
      <c r="H36" s="156">
        <f t="shared" si="2"/>
        <v>66601</v>
      </c>
      <c r="L36" s="288">
        <v>12189</v>
      </c>
      <c r="M36" s="288">
        <v>11150</v>
      </c>
      <c r="N36" s="288">
        <v>14983</v>
      </c>
      <c r="O36" s="288">
        <v>9033</v>
      </c>
      <c r="P36" s="288">
        <v>12722</v>
      </c>
      <c r="Q36" s="288">
        <v>18322</v>
      </c>
    </row>
    <row r="37" spans="1:16358" s="288" customFormat="1" ht="15.75" thickBot="1">
      <c r="A37" s="284">
        <v>2820</v>
      </c>
      <c r="B37" s="285" t="s">
        <v>155</v>
      </c>
      <c r="C37" s="285" t="s">
        <v>176</v>
      </c>
      <c r="D37" s="156">
        <v>148700</v>
      </c>
      <c r="E37" s="156"/>
      <c r="F37" s="287">
        <f t="shared" si="0"/>
        <v>148700</v>
      </c>
      <c r="G37" s="156">
        <f t="shared" si="1"/>
        <v>105969</v>
      </c>
      <c r="H37" s="156">
        <f t="shared" si="2"/>
        <v>42731</v>
      </c>
      <c r="M37" s="288">
        <v>64565</v>
      </c>
      <c r="O37" s="288">
        <f>10588+10321</f>
        <v>20909</v>
      </c>
      <c r="P37" s="288">
        <v>9751</v>
      </c>
      <c r="Q37" s="288">
        <v>10744</v>
      </c>
    </row>
    <row r="38" spans="1:16358" s="289" customFormat="1" ht="15.75" thickBot="1">
      <c r="A38" s="286">
        <v>3010</v>
      </c>
      <c r="B38" s="285" t="s">
        <v>156</v>
      </c>
      <c r="C38" s="285" t="s">
        <v>177</v>
      </c>
      <c r="D38" s="156">
        <v>150000</v>
      </c>
      <c r="E38" s="156"/>
      <c r="F38" s="287">
        <f t="shared" si="0"/>
        <v>150000</v>
      </c>
      <c r="G38" s="156">
        <f t="shared" si="1"/>
        <v>63434</v>
      </c>
      <c r="H38" s="156">
        <f t="shared" si="2"/>
        <v>86566</v>
      </c>
      <c r="I38" s="288"/>
      <c r="J38" s="288"/>
      <c r="K38" s="288"/>
      <c r="L38" s="288"/>
      <c r="M38" s="288">
        <v>32327</v>
      </c>
      <c r="N38" s="288"/>
      <c r="O38" s="288">
        <v>31107</v>
      </c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8"/>
      <c r="AP38" s="288"/>
      <c r="AQ38" s="288"/>
      <c r="AR38" s="288"/>
      <c r="AS38" s="288"/>
      <c r="AT38" s="288"/>
      <c r="AU38" s="288"/>
      <c r="AV38" s="288"/>
      <c r="AW38" s="288"/>
      <c r="AX38" s="288"/>
      <c r="AY38" s="288"/>
      <c r="AZ38" s="288"/>
      <c r="BA38" s="288"/>
      <c r="BB38" s="288"/>
      <c r="BC38" s="288"/>
      <c r="BD38" s="288"/>
      <c r="BE38" s="288"/>
      <c r="BF38" s="288"/>
      <c r="BG38" s="288"/>
      <c r="BH38" s="288"/>
      <c r="BI38" s="288"/>
      <c r="BJ38" s="288"/>
      <c r="BK38" s="288"/>
      <c r="BL38" s="288"/>
      <c r="BM38" s="288"/>
      <c r="BN38" s="288"/>
      <c r="BO38" s="288"/>
      <c r="BP38" s="288"/>
      <c r="BQ38" s="288"/>
      <c r="BR38" s="288"/>
      <c r="BS38" s="288"/>
      <c r="BT38" s="288"/>
      <c r="BU38" s="288"/>
      <c r="BV38" s="288"/>
      <c r="BW38" s="288"/>
      <c r="BX38" s="288"/>
      <c r="BY38" s="288"/>
      <c r="BZ38" s="288"/>
      <c r="CA38" s="288"/>
      <c r="CB38" s="288"/>
      <c r="CC38" s="288"/>
      <c r="CD38" s="288"/>
      <c r="CE38" s="288"/>
      <c r="CF38" s="288"/>
      <c r="CG38" s="288"/>
      <c r="CH38" s="288"/>
      <c r="CI38" s="288"/>
      <c r="CJ38" s="288"/>
      <c r="CK38" s="288"/>
      <c r="CL38" s="288"/>
      <c r="CM38" s="288"/>
      <c r="CN38" s="288"/>
      <c r="CO38" s="288"/>
      <c r="CP38" s="288"/>
      <c r="CQ38" s="288"/>
      <c r="CR38" s="288"/>
      <c r="CS38" s="288"/>
      <c r="CT38" s="288"/>
      <c r="CU38" s="288"/>
      <c r="CV38" s="288"/>
      <c r="CW38" s="288"/>
      <c r="CX38" s="288"/>
      <c r="CY38" s="288"/>
      <c r="CZ38" s="288"/>
      <c r="DA38" s="288"/>
      <c r="DB38" s="288"/>
      <c r="DC38" s="288"/>
      <c r="DD38" s="288"/>
      <c r="DE38" s="288"/>
      <c r="DF38" s="288"/>
      <c r="DG38" s="288"/>
      <c r="DH38" s="288"/>
      <c r="DI38" s="288"/>
      <c r="DJ38" s="288"/>
      <c r="DK38" s="288"/>
      <c r="DL38" s="288"/>
      <c r="DM38" s="288"/>
      <c r="DN38" s="288"/>
      <c r="DO38" s="288"/>
      <c r="DP38" s="288"/>
      <c r="DQ38" s="288"/>
      <c r="DR38" s="288"/>
      <c r="DS38" s="288"/>
      <c r="DT38" s="288"/>
      <c r="DU38" s="288"/>
      <c r="DV38" s="288"/>
      <c r="DW38" s="288"/>
      <c r="DX38" s="288"/>
      <c r="DY38" s="288"/>
      <c r="DZ38" s="288"/>
      <c r="EA38" s="288"/>
      <c r="EB38" s="288"/>
      <c r="EC38" s="288"/>
      <c r="ED38" s="288"/>
      <c r="EE38" s="288"/>
      <c r="EF38" s="288"/>
      <c r="EG38" s="288"/>
      <c r="EH38" s="288"/>
      <c r="EI38" s="288"/>
      <c r="EJ38" s="288"/>
      <c r="EK38" s="288"/>
      <c r="EL38" s="288"/>
      <c r="EM38" s="288"/>
      <c r="EN38" s="288"/>
      <c r="EO38" s="288"/>
      <c r="EP38" s="288"/>
      <c r="EQ38" s="288"/>
      <c r="ER38" s="288"/>
      <c r="ES38" s="288"/>
      <c r="ET38" s="288"/>
      <c r="EU38" s="288"/>
      <c r="EV38" s="288"/>
      <c r="EW38" s="288"/>
      <c r="EX38" s="288"/>
      <c r="EY38" s="288"/>
      <c r="EZ38" s="288"/>
      <c r="FA38" s="288"/>
      <c r="FB38" s="288"/>
      <c r="FC38" s="288"/>
      <c r="FD38" s="288"/>
      <c r="FE38" s="288"/>
      <c r="FF38" s="288"/>
      <c r="FG38" s="288"/>
      <c r="FH38" s="288"/>
      <c r="FI38" s="288"/>
      <c r="FJ38" s="288"/>
      <c r="FK38" s="288"/>
      <c r="FL38" s="288"/>
      <c r="FM38" s="288"/>
      <c r="FN38" s="288"/>
      <c r="FO38" s="288"/>
      <c r="FP38" s="288"/>
      <c r="FQ38" s="288"/>
      <c r="FR38" s="288"/>
      <c r="FS38" s="288"/>
      <c r="FT38" s="288"/>
      <c r="FU38" s="288"/>
      <c r="FV38" s="288"/>
      <c r="FW38" s="288"/>
      <c r="FX38" s="288"/>
      <c r="FY38" s="288"/>
      <c r="FZ38" s="288"/>
      <c r="GA38" s="288"/>
      <c r="GB38" s="288"/>
      <c r="GC38" s="288"/>
      <c r="GD38" s="288"/>
      <c r="GE38" s="288"/>
      <c r="GF38" s="288"/>
      <c r="GG38" s="288"/>
      <c r="GH38" s="288"/>
      <c r="GI38" s="288"/>
      <c r="GJ38" s="288"/>
      <c r="GK38" s="288"/>
      <c r="GL38" s="288"/>
      <c r="GM38" s="288"/>
      <c r="GN38" s="288"/>
      <c r="GO38" s="288"/>
      <c r="GP38" s="288"/>
      <c r="GQ38" s="288"/>
      <c r="GR38" s="288"/>
      <c r="GS38" s="288"/>
      <c r="GT38" s="288"/>
      <c r="GU38" s="288"/>
      <c r="GV38" s="288"/>
      <c r="GW38" s="288"/>
      <c r="GX38" s="288"/>
      <c r="GY38" s="288"/>
      <c r="GZ38" s="288"/>
      <c r="HA38" s="288"/>
      <c r="HB38" s="288"/>
      <c r="HC38" s="288"/>
      <c r="HD38" s="288"/>
      <c r="HE38" s="288"/>
      <c r="HF38" s="288"/>
      <c r="HG38" s="288"/>
      <c r="HH38" s="288"/>
      <c r="HI38" s="288"/>
      <c r="HJ38" s="288"/>
      <c r="HK38" s="288"/>
      <c r="HL38" s="288"/>
      <c r="HM38" s="288"/>
      <c r="HN38" s="288"/>
      <c r="HO38" s="288"/>
      <c r="HP38" s="288"/>
      <c r="HQ38" s="288"/>
      <c r="HR38" s="288"/>
      <c r="HS38" s="288"/>
      <c r="HT38" s="288"/>
      <c r="HU38" s="288"/>
      <c r="HV38" s="288"/>
      <c r="HW38" s="288"/>
      <c r="HX38" s="288"/>
      <c r="HY38" s="288"/>
      <c r="HZ38" s="288"/>
      <c r="IA38" s="288"/>
      <c r="IB38" s="288"/>
      <c r="IC38" s="288"/>
      <c r="ID38" s="288"/>
      <c r="IE38" s="288"/>
      <c r="IF38" s="288"/>
      <c r="IG38" s="288"/>
      <c r="IH38" s="288"/>
      <c r="II38" s="288"/>
      <c r="IJ38" s="288"/>
      <c r="IK38" s="288"/>
      <c r="IL38" s="288"/>
      <c r="IM38" s="288"/>
      <c r="IN38" s="288"/>
      <c r="IO38" s="288"/>
      <c r="IP38" s="288"/>
      <c r="IQ38" s="288"/>
      <c r="IR38" s="288"/>
      <c r="IS38" s="288"/>
      <c r="IT38" s="288"/>
      <c r="IU38" s="288"/>
      <c r="IV38" s="288"/>
      <c r="IW38" s="288"/>
      <c r="IX38" s="288"/>
      <c r="IY38" s="288"/>
      <c r="IZ38" s="288"/>
      <c r="JA38" s="288"/>
      <c r="JB38" s="288"/>
      <c r="JC38" s="288"/>
      <c r="JD38" s="288"/>
      <c r="JE38" s="288"/>
      <c r="JF38" s="288"/>
      <c r="JG38" s="288"/>
      <c r="JH38" s="288"/>
      <c r="JI38" s="288"/>
      <c r="JJ38" s="288"/>
      <c r="JK38" s="288"/>
      <c r="JL38" s="288"/>
      <c r="JM38" s="288"/>
      <c r="JN38" s="288"/>
      <c r="JO38" s="288"/>
      <c r="JP38" s="288"/>
      <c r="JQ38" s="288"/>
      <c r="JR38" s="288"/>
      <c r="JS38" s="288"/>
      <c r="JT38" s="288"/>
      <c r="JU38" s="288"/>
      <c r="JV38" s="288"/>
      <c r="JW38" s="288"/>
      <c r="JX38" s="288"/>
      <c r="JY38" s="288"/>
      <c r="JZ38" s="288"/>
      <c r="KA38" s="288"/>
      <c r="KB38" s="288"/>
      <c r="KC38" s="288"/>
      <c r="KD38" s="288"/>
      <c r="KE38" s="288"/>
      <c r="KF38" s="288"/>
      <c r="KG38" s="288"/>
      <c r="KH38" s="288"/>
      <c r="KI38" s="288"/>
      <c r="KJ38" s="288"/>
      <c r="KK38" s="288"/>
      <c r="KL38" s="288"/>
      <c r="KM38" s="288"/>
      <c r="KN38" s="288"/>
      <c r="KO38" s="288"/>
      <c r="KP38" s="288"/>
      <c r="KQ38" s="288"/>
      <c r="KR38" s="288"/>
      <c r="KS38" s="288"/>
      <c r="KT38" s="288"/>
      <c r="KU38" s="288"/>
      <c r="KV38" s="288"/>
      <c r="KW38" s="288"/>
      <c r="KX38" s="288"/>
      <c r="KY38" s="288"/>
      <c r="KZ38" s="288"/>
      <c r="LA38" s="288"/>
      <c r="LB38" s="288"/>
      <c r="LC38" s="288"/>
      <c r="LD38" s="288"/>
      <c r="LE38" s="288"/>
      <c r="LF38" s="288"/>
      <c r="LG38" s="288"/>
      <c r="LH38" s="288"/>
      <c r="LI38" s="288"/>
      <c r="LJ38" s="288"/>
      <c r="LK38" s="288"/>
      <c r="LL38" s="288"/>
      <c r="LM38" s="288"/>
      <c r="LN38" s="288"/>
      <c r="LO38" s="288"/>
      <c r="LP38" s="288"/>
      <c r="LQ38" s="288"/>
      <c r="LR38" s="288"/>
      <c r="LS38" s="288"/>
      <c r="LT38" s="288"/>
      <c r="LU38" s="288"/>
      <c r="LV38" s="288"/>
      <c r="LW38" s="288"/>
      <c r="LX38" s="288"/>
      <c r="LY38" s="288"/>
      <c r="LZ38" s="288"/>
      <c r="MA38" s="288"/>
      <c r="MB38" s="288"/>
      <c r="MC38" s="288"/>
      <c r="MD38" s="288"/>
      <c r="ME38" s="288"/>
      <c r="MF38" s="288"/>
      <c r="MG38" s="288"/>
      <c r="MH38" s="288"/>
      <c r="MI38" s="288"/>
      <c r="MJ38" s="288"/>
      <c r="MK38" s="288"/>
      <c r="ML38" s="288"/>
      <c r="MM38" s="288"/>
      <c r="MN38" s="288"/>
      <c r="MO38" s="288"/>
      <c r="MP38" s="288"/>
      <c r="MQ38" s="288"/>
      <c r="MR38" s="288"/>
      <c r="MS38" s="288"/>
      <c r="MT38" s="288"/>
      <c r="MU38" s="288"/>
      <c r="MV38" s="288"/>
      <c r="MW38" s="288"/>
      <c r="MX38" s="288"/>
      <c r="MY38" s="288"/>
      <c r="MZ38" s="288"/>
      <c r="NA38" s="288"/>
      <c r="NB38" s="288"/>
      <c r="NC38" s="288"/>
      <c r="ND38" s="288"/>
      <c r="NE38" s="288"/>
      <c r="NF38" s="288"/>
      <c r="NG38" s="288"/>
      <c r="NH38" s="288"/>
      <c r="NI38" s="288"/>
      <c r="NJ38" s="288"/>
      <c r="NK38" s="288"/>
      <c r="NL38" s="288"/>
      <c r="NM38" s="288"/>
      <c r="NN38" s="288"/>
      <c r="NO38" s="288"/>
      <c r="NP38" s="288"/>
      <c r="NQ38" s="288"/>
      <c r="NR38" s="288"/>
      <c r="NS38" s="288"/>
      <c r="NT38" s="288"/>
      <c r="NU38" s="288"/>
      <c r="NV38" s="288"/>
      <c r="NW38" s="288"/>
      <c r="NX38" s="288"/>
      <c r="NY38" s="288"/>
      <c r="NZ38" s="288"/>
      <c r="OA38" s="288"/>
      <c r="OB38" s="288"/>
      <c r="OC38" s="288"/>
      <c r="OD38" s="288"/>
      <c r="OE38" s="288"/>
      <c r="OF38" s="288"/>
      <c r="OG38" s="288"/>
      <c r="OH38" s="288"/>
      <c r="OI38" s="288"/>
      <c r="OJ38" s="288"/>
      <c r="OK38" s="288"/>
      <c r="OL38" s="288"/>
      <c r="OM38" s="288"/>
      <c r="ON38" s="288"/>
      <c r="OO38" s="288"/>
      <c r="OP38" s="288"/>
      <c r="OQ38" s="288"/>
      <c r="OR38" s="288"/>
      <c r="OS38" s="288"/>
      <c r="OT38" s="288"/>
      <c r="OU38" s="288"/>
      <c r="OV38" s="288"/>
      <c r="OW38" s="288"/>
      <c r="OX38" s="288"/>
      <c r="OY38" s="288"/>
      <c r="OZ38" s="288"/>
      <c r="PA38" s="288"/>
      <c r="PB38" s="288"/>
      <c r="PC38" s="288"/>
      <c r="PD38" s="288"/>
      <c r="PE38" s="288"/>
      <c r="PF38" s="288"/>
      <c r="PG38" s="288"/>
      <c r="PH38" s="288"/>
      <c r="PI38" s="288"/>
      <c r="PJ38" s="288"/>
      <c r="PK38" s="288"/>
      <c r="PL38" s="288"/>
      <c r="PM38" s="288"/>
      <c r="PN38" s="288"/>
      <c r="PO38" s="288"/>
      <c r="PP38" s="288"/>
      <c r="PQ38" s="288"/>
      <c r="PR38" s="288"/>
      <c r="PS38" s="288"/>
      <c r="PT38" s="288"/>
      <c r="PU38" s="288"/>
      <c r="PV38" s="288"/>
      <c r="PW38" s="288"/>
      <c r="PX38" s="288"/>
      <c r="PY38" s="288"/>
      <c r="PZ38" s="288"/>
      <c r="QA38" s="288"/>
      <c r="QB38" s="288"/>
      <c r="QC38" s="288"/>
      <c r="QD38" s="288"/>
      <c r="QE38" s="288"/>
      <c r="QF38" s="288"/>
      <c r="QG38" s="288"/>
      <c r="QH38" s="288"/>
      <c r="QI38" s="288"/>
      <c r="QJ38" s="288"/>
      <c r="QK38" s="288"/>
      <c r="QL38" s="288"/>
      <c r="QM38" s="288"/>
      <c r="QN38" s="288"/>
      <c r="QO38" s="288"/>
      <c r="QP38" s="288"/>
      <c r="QQ38" s="288"/>
      <c r="QR38" s="288"/>
      <c r="QS38" s="288"/>
      <c r="QT38" s="288"/>
      <c r="QU38" s="288"/>
      <c r="QV38" s="288"/>
      <c r="QW38" s="288"/>
      <c r="QX38" s="288"/>
      <c r="QY38" s="288"/>
      <c r="QZ38" s="288"/>
      <c r="RA38" s="288"/>
      <c r="RB38" s="288"/>
      <c r="RC38" s="288"/>
      <c r="RD38" s="288"/>
      <c r="RE38" s="288"/>
      <c r="RF38" s="288"/>
      <c r="RG38" s="288"/>
      <c r="RH38" s="288"/>
      <c r="RI38" s="288"/>
      <c r="RJ38" s="288"/>
      <c r="RK38" s="288"/>
      <c r="RL38" s="288"/>
      <c r="RM38" s="288"/>
      <c r="RN38" s="288"/>
      <c r="RO38" s="288"/>
      <c r="RP38" s="288"/>
      <c r="RQ38" s="288"/>
      <c r="RR38" s="288"/>
      <c r="RS38" s="288"/>
      <c r="RT38" s="288"/>
      <c r="RU38" s="288"/>
      <c r="RV38" s="288"/>
      <c r="RW38" s="288"/>
      <c r="RX38" s="288"/>
      <c r="RY38" s="288"/>
      <c r="RZ38" s="288"/>
      <c r="SA38" s="288"/>
      <c r="SB38" s="288"/>
      <c r="SC38" s="288"/>
      <c r="SD38" s="288"/>
      <c r="SE38" s="288"/>
      <c r="SF38" s="288"/>
      <c r="SG38" s="288"/>
      <c r="SH38" s="288"/>
      <c r="SI38" s="288"/>
      <c r="SJ38" s="288"/>
      <c r="SK38" s="288"/>
      <c r="SL38" s="288"/>
      <c r="SM38" s="288"/>
      <c r="SN38" s="288"/>
      <c r="SO38" s="288"/>
      <c r="SP38" s="288"/>
      <c r="SQ38" s="288"/>
      <c r="SR38" s="288"/>
      <c r="SS38" s="288"/>
      <c r="ST38" s="288"/>
      <c r="SU38" s="288"/>
      <c r="SV38" s="288"/>
      <c r="SW38" s="288"/>
      <c r="SX38" s="288"/>
      <c r="SY38" s="288"/>
      <c r="SZ38" s="288"/>
      <c r="TA38" s="288"/>
      <c r="TB38" s="288"/>
      <c r="TC38" s="288"/>
      <c r="TD38" s="288"/>
      <c r="TE38" s="288"/>
      <c r="TF38" s="288"/>
      <c r="TG38" s="288"/>
      <c r="TH38" s="288"/>
      <c r="TI38" s="288"/>
      <c r="TJ38" s="288"/>
      <c r="TK38" s="288"/>
      <c r="TL38" s="288"/>
      <c r="TM38" s="288"/>
      <c r="TN38" s="288"/>
      <c r="TO38" s="288"/>
      <c r="TP38" s="288"/>
      <c r="TQ38" s="288"/>
      <c r="TR38" s="288"/>
      <c r="TS38" s="288"/>
      <c r="TT38" s="288"/>
      <c r="TU38" s="288"/>
      <c r="TV38" s="288"/>
      <c r="TW38" s="288"/>
      <c r="TX38" s="288"/>
      <c r="TY38" s="288"/>
      <c r="TZ38" s="288"/>
      <c r="UA38" s="288"/>
      <c r="UB38" s="288"/>
      <c r="UC38" s="288"/>
      <c r="UD38" s="288"/>
      <c r="UE38" s="288"/>
      <c r="UF38" s="288"/>
      <c r="UG38" s="288"/>
      <c r="UH38" s="288"/>
      <c r="UI38" s="288"/>
      <c r="UJ38" s="288"/>
      <c r="UK38" s="288"/>
      <c r="UL38" s="288"/>
      <c r="UM38" s="288"/>
      <c r="UN38" s="288"/>
      <c r="UO38" s="288"/>
      <c r="UP38" s="288"/>
      <c r="UQ38" s="288"/>
      <c r="UR38" s="288"/>
      <c r="US38" s="288"/>
      <c r="UT38" s="288"/>
      <c r="UU38" s="288"/>
      <c r="UV38" s="288"/>
      <c r="UW38" s="288"/>
      <c r="UX38" s="288"/>
      <c r="UY38" s="288"/>
      <c r="UZ38" s="288"/>
      <c r="VA38" s="288"/>
      <c r="VB38" s="288"/>
      <c r="VC38" s="288"/>
      <c r="VD38" s="288"/>
      <c r="VE38" s="288"/>
      <c r="VF38" s="288"/>
      <c r="VG38" s="288"/>
      <c r="VH38" s="288"/>
      <c r="VI38" s="288"/>
      <c r="VJ38" s="288"/>
      <c r="VK38" s="288"/>
      <c r="VL38" s="288"/>
      <c r="VM38" s="288"/>
      <c r="VN38" s="288"/>
      <c r="VO38" s="288"/>
      <c r="VP38" s="288"/>
      <c r="VQ38" s="288"/>
      <c r="VR38" s="288"/>
      <c r="VS38" s="288"/>
      <c r="VT38" s="288"/>
      <c r="VU38" s="288"/>
      <c r="VV38" s="288"/>
      <c r="VW38" s="288"/>
      <c r="VX38" s="288"/>
      <c r="VY38" s="288"/>
      <c r="VZ38" s="288"/>
      <c r="WA38" s="288"/>
      <c r="WB38" s="288"/>
      <c r="WC38" s="288"/>
      <c r="WD38" s="288"/>
      <c r="WE38" s="288"/>
      <c r="WF38" s="288"/>
      <c r="WG38" s="288"/>
      <c r="WH38" s="288"/>
      <c r="WI38" s="288"/>
      <c r="WJ38" s="288"/>
      <c r="WK38" s="288"/>
      <c r="WL38" s="288"/>
      <c r="WM38" s="288"/>
      <c r="WN38" s="288"/>
      <c r="WO38" s="288"/>
      <c r="WP38" s="288"/>
      <c r="WQ38" s="288"/>
      <c r="WR38" s="288"/>
      <c r="WS38" s="288"/>
      <c r="WT38" s="288"/>
      <c r="WU38" s="288"/>
      <c r="WV38" s="288"/>
      <c r="WW38" s="288"/>
      <c r="WX38" s="288"/>
      <c r="WY38" s="288"/>
      <c r="WZ38" s="288"/>
      <c r="XA38" s="288"/>
      <c r="XB38" s="288"/>
      <c r="XC38" s="288"/>
      <c r="XD38" s="288"/>
      <c r="XE38" s="288"/>
      <c r="XF38" s="288"/>
      <c r="XG38" s="288"/>
      <c r="XH38" s="288"/>
      <c r="XI38" s="288"/>
      <c r="XJ38" s="288"/>
      <c r="XK38" s="288"/>
      <c r="XL38" s="288"/>
      <c r="XM38" s="288"/>
      <c r="XN38" s="288"/>
      <c r="XO38" s="288"/>
      <c r="XP38" s="288"/>
      <c r="XQ38" s="288"/>
      <c r="XR38" s="288"/>
      <c r="XS38" s="288"/>
      <c r="XT38" s="288"/>
      <c r="XU38" s="288"/>
      <c r="XV38" s="288"/>
      <c r="XW38" s="288"/>
      <c r="XX38" s="288"/>
      <c r="XY38" s="288"/>
      <c r="XZ38" s="288"/>
      <c r="YA38" s="288"/>
      <c r="YB38" s="288"/>
      <c r="YC38" s="288"/>
      <c r="YD38" s="288"/>
      <c r="YE38" s="288"/>
      <c r="YF38" s="288"/>
      <c r="YG38" s="288"/>
      <c r="YH38" s="288"/>
      <c r="YI38" s="288"/>
      <c r="YJ38" s="288"/>
      <c r="YK38" s="288"/>
      <c r="YL38" s="288"/>
      <c r="YM38" s="288"/>
      <c r="YN38" s="288"/>
      <c r="YO38" s="288"/>
      <c r="YP38" s="288"/>
      <c r="YQ38" s="288"/>
      <c r="YR38" s="288"/>
      <c r="YS38" s="288"/>
      <c r="YT38" s="288"/>
      <c r="YU38" s="288"/>
      <c r="YV38" s="288"/>
      <c r="YW38" s="288"/>
      <c r="YX38" s="288"/>
      <c r="YY38" s="288"/>
      <c r="YZ38" s="288"/>
      <c r="ZA38" s="288"/>
      <c r="ZB38" s="288"/>
      <c r="ZC38" s="288"/>
      <c r="ZD38" s="288"/>
      <c r="ZE38" s="288"/>
      <c r="ZF38" s="288"/>
      <c r="ZG38" s="288"/>
      <c r="ZH38" s="288"/>
      <c r="ZI38" s="288"/>
      <c r="ZJ38" s="288"/>
      <c r="ZK38" s="288"/>
      <c r="ZL38" s="288"/>
      <c r="ZM38" s="288"/>
      <c r="ZN38" s="288"/>
      <c r="ZO38" s="288"/>
      <c r="ZP38" s="288"/>
      <c r="ZQ38" s="288"/>
      <c r="ZR38" s="288"/>
      <c r="ZS38" s="288"/>
      <c r="ZT38" s="288"/>
      <c r="ZU38" s="288"/>
      <c r="ZV38" s="288"/>
      <c r="ZW38" s="288"/>
      <c r="ZX38" s="288"/>
      <c r="ZY38" s="288"/>
      <c r="ZZ38" s="288"/>
      <c r="AAA38" s="288"/>
      <c r="AAB38" s="288"/>
      <c r="AAC38" s="288"/>
      <c r="AAD38" s="288"/>
      <c r="AAE38" s="288"/>
      <c r="AAF38" s="288"/>
      <c r="AAG38" s="288"/>
      <c r="AAH38" s="288"/>
      <c r="AAI38" s="288"/>
      <c r="AAJ38" s="288"/>
      <c r="AAK38" s="288"/>
      <c r="AAL38" s="288"/>
      <c r="AAM38" s="288"/>
      <c r="AAN38" s="288"/>
      <c r="AAO38" s="288"/>
      <c r="AAP38" s="288"/>
      <c r="AAQ38" s="288"/>
      <c r="AAR38" s="288"/>
      <c r="AAS38" s="288"/>
      <c r="AAT38" s="288"/>
      <c r="AAU38" s="288"/>
      <c r="AAV38" s="288"/>
      <c r="AAW38" s="288"/>
      <c r="AAX38" s="288"/>
      <c r="AAY38" s="288"/>
      <c r="AAZ38" s="288"/>
      <c r="ABA38" s="288"/>
      <c r="ABB38" s="288"/>
      <c r="ABC38" s="288"/>
      <c r="ABD38" s="288"/>
      <c r="ABE38" s="288"/>
      <c r="ABF38" s="288"/>
      <c r="ABG38" s="288"/>
      <c r="ABH38" s="288"/>
      <c r="ABI38" s="288"/>
      <c r="ABJ38" s="288"/>
      <c r="ABK38" s="288"/>
      <c r="ABL38" s="288"/>
      <c r="ABM38" s="288"/>
      <c r="ABN38" s="288"/>
      <c r="ABO38" s="288"/>
      <c r="ABP38" s="288"/>
      <c r="ABQ38" s="288"/>
      <c r="ABR38" s="288"/>
      <c r="ABS38" s="288"/>
      <c r="ABT38" s="288"/>
      <c r="ABU38" s="288"/>
      <c r="ABV38" s="288"/>
      <c r="ABW38" s="288"/>
      <c r="ABX38" s="288"/>
      <c r="ABY38" s="288"/>
      <c r="ABZ38" s="288"/>
      <c r="ACA38" s="288"/>
      <c r="ACB38" s="288"/>
      <c r="ACC38" s="288"/>
      <c r="ACD38" s="288"/>
      <c r="ACE38" s="288"/>
      <c r="ACF38" s="288"/>
      <c r="ACG38" s="288"/>
      <c r="ACH38" s="288"/>
      <c r="ACI38" s="288"/>
      <c r="ACJ38" s="288"/>
      <c r="ACK38" s="288"/>
      <c r="ACL38" s="288"/>
      <c r="ACM38" s="288"/>
      <c r="ACN38" s="288"/>
      <c r="ACO38" s="288"/>
      <c r="ACP38" s="288"/>
      <c r="ACQ38" s="288"/>
      <c r="ACR38" s="288"/>
      <c r="ACS38" s="288"/>
      <c r="ACT38" s="288"/>
      <c r="ACU38" s="288"/>
      <c r="ACV38" s="288"/>
      <c r="ACW38" s="288"/>
      <c r="ACX38" s="288"/>
      <c r="ACY38" s="288"/>
      <c r="ACZ38" s="288"/>
      <c r="ADA38" s="288"/>
      <c r="ADB38" s="288"/>
      <c r="ADC38" s="288"/>
      <c r="ADD38" s="288"/>
      <c r="ADE38" s="288"/>
      <c r="ADF38" s="288"/>
      <c r="ADG38" s="288"/>
      <c r="ADH38" s="288"/>
      <c r="ADI38" s="288"/>
      <c r="ADJ38" s="288"/>
      <c r="ADK38" s="288"/>
      <c r="ADL38" s="288"/>
      <c r="ADM38" s="288"/>
      <c r="ADN38" s="288"/>
      <c r="ADO38" s="288"/>
      <c r="ADP38" s="288"/>
      <c r="ADQ38" s="288"/>
      <c r="ADR38" s="288"/>
      <c r="ADS38" s="288"/>
      <c r="ADT38" s="288"/>
      <c r="ADU38" s="288"/>
      <c r="ADV38" s="288"/>
      <c r="ADW38" s="288"/>
      <c r="ADX38" s="288"/>
      <c r="ADY38" s="288"/>
      <c r="ADZ38" s="288"/>
      <c r="AEA38" s="288"/>
      <c r="AEB38" s="288"/>
      <c r="AEC38" s="288"/>
      <c r="AED38" s="288"/>
      <c r="AEE38" s="288"/>
      <c r="AEF38" s="288"/>
      <c r="AEG38" s="288"/>
      <c r="AEH38" s="288"/>
      <c r="AEI38" s="288"/>
      <c r="AEJ38" s="288"/>
      <c r="AEK38" s="288"/>
      <c r="AEL38" s="288"/>
      <c r="AEM38" s="288"/>
      <c r="AEN38" s="288"/>
      <c r="AEO38" s="288"/>
      <c r="AEP38" s="288"/>
      <c r="AEQ38" s="288"/>
      <c r="AER38" s="288"/>
      <c r="AES38" s="288"/>
      <c r="AET38" s="288"/>
      <c r="AEU38" s="288"/>
      <c r="AEV38" s="288"/>
      <c r="AEW38" s="288"/>
      <c r="AEX38" s="288"/>
      <c r="AEY38" s="288"/>
      <c r="AEZ38" s="288"/>
      <c r="AFA38" s="288"/>
      <c r="AFB38" s="288"/>
      <c r="AFC38" s="288"/>
      <c r="AFD38" s="288"/>
      <c r="AFE38" s="288"/>
      <c r="AFF38" s="288"/>
      <c r="AFG38" s="288"/>
      <c r="AFH38" s="288"/>
      <c r="AFI38" s="288"/>
      <c r="AFJ38" s="288"/>
      <c r="AFK38" s="288"/>
      <c r="AFL38" s="288"/>
      <c r="AFM38" s="288"/>
      <c r="AFN38" s="288"/>
      <c r="AFO38" s="288"/>
      <c r="AFP38" s="288"/>
      <c r="AFQ38" s="288"/>
      <c r="AFR38" s="288"/>
      <c r="AFS38" s="288"/>
      <c r="AFT38" s="288"/>
      <c r="AFU38" s="288"/>
      <c r="AFV38" s="288"/>
      <c r="AFW38" s="288"/>
      <c r="AFX38" s="288"/>
      <c r="AFY38" s="288"/>
      <c r="AFZ38" s="288"/>
      <c r="AGA38" s="288"/>
      <c r="AGB38" s="288"/>
      <c r="AGC38" s="288"/>
      <c r="AGD38" s="288"/>
      <c r="AGE38" s="288"/>
      <c r="AGF38" s="288"/>
      <c r="AGG38" s="288"/>
      <c r="AGH38" s="288"/>
      <c r="AGI38" s="288"/>
      <c r="AGJ38" s="288"/>
      <c r="AGK38" s="288"/>
      <c r="AGL38" s="288"/>
      <c r="AGM38" s="288"/>
      <c r="AGN38" s="288"/>
      <c r="AGO38" s="288"/>
      <c r="AGP38" s="288"/>
      <c r="AGQ38" s="288"/>
      <c r="AGR38" s="288"/>
      <c r="AGS38" s="288"/>
      <c r="AGT38" s="288"/>
      <c r="AGU38" s="288"/>
      <c r="AGV38" s="288"/>
      <c r="AGW38" s="288"/>
      <c r="AGX38" s="288"/>
      <c r="AGY38" s="288"/>
      <c r="AGZ38" s="288"/>
      <c r="AHA38" s="288"/>
      <c r="AHB38" s="288"/>
      <c r="AHC38" s="288"/>
      <c r="AHD38" s="288"/>
      <c r="AHE38" s="288"/>
      <c r="AHF38" s="288"/>
      <c r="AHG38" s="288"/>
      <c r="AHH38" s="288"/>
      <c r="AHI38" s="288"/>
      <c r="AHJ38" s="288"/>
      <c r="AHK38" s="288"/>
      <c r="AHL38" s="288"/>
      <c r="AHM38" s="288"/>
      <c r="AHN38" s="288"/>
      <c r="AHO38" s="288"/>
      <c r="AHP38" s="288"/>
      <c r="AHQ38" s="288"/>
      <c r="AHR38" s="288"/>
      <c r="AHS38" s="288"/>
      <c r="AHT38" s="288"/>
      <c r="AHU38" s="288"/>
      <c r="AHV38" s="288"/>
      <c r="AHW38" s="288"/>
      <c r="AHX38" s="288"/>
      <c r="AHY38" s="288"/>
      <c r="AHZ38" s="288"/>
      <c r="AIA38" s="288"/>
      <c r="AIB38" s="288"/>
      <c r="AIC38" s="288"/>
      <c r="AID38" s="288"/>
      <c r="AIE38" s="288"/>
      <c r="AIF38" s="288"/>
      <c r="AIG38" s="288"/>
      <c r="AIH38" s="288"/>
      <c r="AII38" s="288"/>
      <c r="AIJ38" s="288"/>
      <c r="AIK38" s="288"/>
      <c r="AIL38" s="288"/>
      <c r="AIM38" s="288"/>
      <c r="AIN38" s="288"/>
      <c r="AIO38" s="288"/>
      <c r="AIP38" s="288"/>
      <c r="AIQ38" s="288"/>
      <c r="AIR38" s="288"/>
      <c r="AIS38" s="288"/>
      <c r="AIT38" s="288"/>
      <c r="AIU38" s="288"/>
      <c r="AIV38" s="288"/>
      <c r="AIW38" s="288"/>
      <c r="AIX38" s="288"/>
      <c r="AIY38" s="288"/>
      <c r="AIZ38" s="288"/>
      <c r="AJA38" s="288"/>
      <c r="AJB38" s="288"/>
      <c r="AJC38" s="288"/>
      <c r="AJD38" s="288"/>
      <c r="AJE38" s="288"/>
      <c r="AJF38" s="288"/>
      <c r="AJG38" s="288"/>
      <c r="AJH38" s="288"/>
      <c r="AJI38" s="288"/>
      <c r="AJJ38" s="288"/>
      <c r="AJK38" s="288"/>
      <c r="AJL38" s="288"/>
      <c r="AJM38" s="288"/>
      <c r="AJN38" s="288"/>
      <c r="AJO38" s="288"/>
      <c r="AJP38" s="288"/>
      <c r="AJQ38" s="288"/>
      <c r="AJR38" s="288"/>
      <c r="AJS38" s="288"/>
      <c r="AJT38" s="288"/>
      <c r="AJU38" s="288"/>
      <c r="AJV38" s="288"/>
      <c r="AJW38" s="288"/>
      <c r="AJX38" s="288"/>
      <c r="AJY38" s="288"/>
      <c r="AJZ38" s="288"/>
      <c r="AKA38" s="288"/>
      <c r="AKB38" s="288"/>
      <c r="AKC38" s="288"/>
      <c r="AKD38" s="288"/>
      <c r="AKE38" s="288"/>
      <c r="AKF38" s="288"/>
      <c r="AKG38" s="288"/>
      <c r="AKH38" s="288"/>
      <c r="AKI38" s="288"/>
      <c r="AKJ38" s="288"/>
      <c r="AKK38" s="288"/>
      <c r="AKL38" s="288"/>
      <c r="AKM38" s="288"/>
      <c r="AKN38" s="288"/>
      <c r="AKO38" s="288"/>
      <c r="AKP38" s="288"/>
      <c r="AKQ38" s="288"/>
      <c r="AKR38" s="288"/>
      <c r="AKS38" s="288"/>
      <c r="AKT38" s="288"/>
      <c r="AKU38" s="288"/>
      <c r="AKV38" s="288"/>
      <c r="AKW38" s="288"/>
      <c r="AKX38" s="288"/>
      <c r="AKY38" s="288"/>
      <c r="AKZ38" s="288"/>
      <c r="ALA38" s="288"/>
      <c r="ALB38" s="288"/>
      <c r="ALC38" s="288"/>
      <c r="ALD38" s="288"/>
      <c r="ALE38" s="288"/>
      <c r="ALF38" s="288"/>
      <c r="ALG38" s="288"/>
      <c r="ALH38" s="288"/>
      <c r="ALI38" s="288"/>
      <c r="ALJ38" s="288"/>
      <c r="ALK38" s="288"/>
      <c r="ALL38" s="288"/>
      <c r="ALM38" s="288"/>
      <c r="ALN38" s="288"/>
      <c r="ALO38" s="288"/>
      <c r="ALP38" s="288"/>
      <c r="ALQ38" s="288"/>
      <c r="ALR38" s="288"/>
      <c r="ALS38" s="288"/>
      <c r="ALT38" s="288"/>
      <c r="ALU38" s="288"/>
      <c r="ALV38" s="288"/>
      <c r="ALW38" s="288"/>
      <c r="ALX38" s="288"/>
      <c r="ALY38" s="288"/>
      <c r="ALZ38" s="288"/>
      <c r="AMA38" s="288"/>
      <c r="AMB38" s="288"/>
      <c r="AMC38" s="288"/>
      <c r="AMD38" s="288"/>
      <c r="AME38" s="288"/>
      <c r="AMF38" s="288"/>
      <c r="AMG38" s="288"/>
      <c r="AMH38" s="288"/>
      <c r="AMI38" s="288"/>
      <c r="AMJ38" s="288"/>
      <c r="AMK38" s="288"/>
      <c r="AML38" s="288"/>
      <c r="AMM38" s="288"/>
      <c r="AMN38" s="288"/>
      <c r="AMO38" s="288"/>
      <c r="AMP38" s="288"/>
      <c r="AMQ38" s="288"/>
      <c r="AMR38" s="288"/>
      <c r="AMS38" s="288"/>
      <c r="AMT38" s="288"/>
      <c r="AMU38" s="288"/>
      <c r="AMV38" s="288"/>
      <c r="AMW38" s="288"/>
      <c r="AMX38" s="288"/>
      <c r="AMY38" s="288"/>
      <c r="AMZ38" s="288"/>
      <c r="ANA38" s="288"/>
      <c r="ANB38" s="288"/>
      <c r="ANC38" s="288"/>
      <c r="AND38" s="288"/>
      <c r="ANE38" s="288"/>
      <c r="ANF38" s="288"/>
      <c r="ANG38" s="288"/>
      <c r="ANH38" s="288"/>
      <c r="ANI38" s="288"/>
      <c r="ANJ38" s="288"/>
      <c r="ANK38" s="288"/>
      <c r="ANL38" s="288"/>
      <c r="ANM38" s="288"/>
      <c r="ANN38" s="288"/>
      <c r="ANO38" s="288"/>
      <c r="ANP38" s="288"/>
      <c r="ANQ38" s="288"/>
      <c r="ANR38" s="288"/>
      <c r="ANS38" s="288"/>
      <c r="ANT38" s="288"/>
      <c r="ANU38" s="288"/>
      <c r="ANV38" s="288"/>
      <c r="ANW38" s="288"/>
      <c r="ANX38" s="288"/>
      <c r="ANY38" s="288"/>
      <c r="ANZ38" s="288"/>
      <c r="AOA38" s="288"/>
      <c r="AOB38" s="288"/>
      <c r="AOC38" s="288"/>
      <c r="AOD38" s="288"/>
      <c r="AOE38" s="288"/>
      <c r="AOF38" s="288"/>
      <c r="AOG38" s="288"/>
      <c r="AOH38" s="288"/>
      <c r="AOI38" s="288"/>
      <c r="AOJ38" s="288"/>
      <c r="AOK38" s="288"/>
      <c r="AOL38" s="288"/>
      <c r="AOM38" s="288"/>
      <c r="AON38" s="288"/>
      <c r="AOO38" s="288"/>
      <c r="AOP38" s="288"/>
      <c r="AOQ38" s="288"/>
      <c r="AOR38" s="288"/>
      <c r="AOS38" s="288"/>
      <c r="AOT38" s="288"/>
      <c r="AOU38" s="288"/>
      <c r="AOV38" s="288"/>
      <c r="AOW38" s="288"/>
      <c r="AOX38" s="288"/>
      <c r="AOY38" s="288"/>
      <c r="AOZ38" s="288"/>
      <c r="APA38" s="288"/>
      <c r="APB38" s="288"/>
      <c r="APC38" s="288"/>
      <c r="APD38" s="288"/>
      <c r="APE38" s="288"/>
      <c r="APF38" s="288"/>
      <c r="APG38" s="288"/>
      <c r="APH38" s="288"/>
      <c r="API38" s="288"/>
      <c r="APJ38" s="288"/>
      <c r="APK38" s="288"/>
      <c r="APL38" s="288"/>
      <c r="APM38" s="288"/>
      <c r="APN38" s="288"/>
      <c r="APO38" s="288"/>
      <c r="APP38" s="288"/>
      <c r="APQ38" s="288"/>
      <c r="APR38" s="288"/>
      <c r="APS38" s="288"/>
      <c r="APT38" s="288"/>
      <c r="APU38" s="288"/>
      <c r="APV38" s="288"/>
      <c r="APW38" s="288"/>
      <c r="APX38" s="288"/>
      <c r="APY38" s="288"/>
      <c r="APZ38" s="288"/>
      <c r="AQA38" s="288"/>
      <c r="AQB38" s="288"/>
      <c r="AQC38" s="288"/>
      <c r="AQD38" s="288"/>
      <c r="AQE38" s="288"/>
      <c r="AQF38" s="288"/>
      <c r="AQG38" s="288"/>
      <c r="AQH38" s="288"/>
      <c r="AQI38" s="288"/>
      <c r="AQJ38" s="288"/>
      <c r="AQK38" s="288"/>
      <c r="AQL38" s="288"/>
      <c r="AQM38" s="288"/>
      <c r="AQN38" s="288"/>
      <c r="AQO38" s="288"/>
      <c r="AQP38" s="288"/>
      <c r="AQQ38" s="288"/>
      <c r="AQR38" s="288"/>
      <c r="AQS38" s="288"/>
      <c r="AQT38" s="288"/>
      <c r="AQU38" s="288"/>
      <c r="AQV38" s="288"/>
      <c r="AQW38" s="288"/>
      <c r="AQX38" s="288"/>
      <c r="AQY38" s="288"/>
      <c r="AQZ38" s="288"/>
      <c r="ARA38" s="288"/>
      <c r="ARB38" s="288"/>
      <c r="ARC38" s="288"/>
      <c r="ARD38" s="288"/>
      <c r="ARE38" s="288"/>
      <c r="ARF38" s="288"/>
      <c r="ARG38" s="288"/>
      <c r="ARH38" s="288"/>
      <c r="ARI38" s="288"/>
      <c r="ARJ38" s="288"/>
      <c r="ARK38" s="288"/>
      <c r="ARL38" s="288"/>
      <c r="ARM38" s="288"/>
      <c r="ARN38" s="288"/>
      <c r="ARO38" s="288"/>
      <c r="ARP38" s="288"/>
      <c r="ARQ38" s="288"/>
      <c r="ARR38" s="288"/>
      <c r="ARS38" s="288"/>
      <c r="ART38" s="288"/>
      <c r="ARU38" s="288"/>
      <c r="ARV38" s="288"/>
      <c r="ARW38" s="288"/>
      <c r="ARX38" s="288"/>
      <c r="ARY38" s="288"/>
      <c r="ARZ38" s="288"/>
      <c r="ASA38" s="288"/>
      <c r="ASB38" s="288"/>
      <c r="ASC38" s="288"/>
      <c r="ASD38" s="288"/>
      <c r="ASE38" s="288"/>
      <c r="ASF38" s="288"/>
      <c r="ASG38" s="288"/>
      <c r="ASH38" s="288"/>
      <c r="ASI38" s="288"/>
      <c r="ASJ38" s="288"/>
      <c r="ASK38" s="288"/>
      <c r="ASL38" s="288"/>
      <c r="ASM38" s="288"/>
      <c r="ASN38" s="288"/>
      <c r="ASO38" s="288"/>
      <c r="ASP38" s="288"/>
      <c r="ASQ38" s="288"/>
      <c r="ASR38" s="288"/>
      <c r="ASS38" s="288"/>
      <c r="AST38" s="288"/>
      <c r="ASU38" s="288"/>
      <c r="ASV38" s="288"/>
      <c r="ASW38" s="288"/>
      <c r="ASX38" s="288"/>
      <c r="ASY38" s="288"/>
      <c r="ASZ38" s="288"/>
      <c r="ATA38" s="288"/>
      <c r="ATB38" s="288"/>
      <c r="ATC38" s="288"/>
      <c r="ATD38" s="288"/>
      <c r="ATE38" s="288"/>
      <c r="ATF38" s="288"/>
      <c r="ATG38" s="288"/>
      <c r="ATH38" s="288"/>
      <c r="ATI38" s="288"/>
      <c r="ATJ38" s="288"/>
      <c r="ATK38" s="288"/>
      <c r="ATL38" s="288"/>
      <c r="ATM38" s="288"/>
      <c r="ATN38" s="288"/>
      <c r="ATO38" s="288"/>
      <c r="ATP38" s="288"/>
      <c r="ATQ38" s="288"/>
      <c r="ATR38" s="288"/>
      <c r="ATS38" s="288"/>
      <c r="ATT38" s="288"/>
      <c r="ATU38" s="288"/>
      <c r="ATV38" s="288"/>
      <c r="ATW38" s="288"/>
      <c r="ATX38" s="288"/>
      <c r="ATY38" s="288"/>
      <c r="ATZ38" s="288"/>
      <c r="AUA38" s="288"/>
      <c r="AUB38" s="288"/>
      <c r="AUC38" s="288"/>
      <c r="AUD38" s="288"/>
      <c r="AUE38" s="288"/>
      <c r="AUF38" s="288"/>
      <c r="AUG38" s="288"/>
      <c r="AUH38" s="288"/>
      <c r="AUI38" s="288"/>
      <c r="AUJ38" s="288"/>
      <c r="AUK38" s="288"/>
      <c r="AUL38" s="288"/>
      <c r="AUM38" s="288"/>
      <c r="AUN38" s="288"/>
      <c r="AUO38" s="288"/>
      <c r="AUP38" s="288"/>
      <c r="AUQ38" s="288"/>
      <c r="AUR38" s="288"/>
      <c r="AUS38" s="288"/>
      <c r="AUT38" s="288"/>
      <c r="AUU38" s="288"/>
      <c r="AUV38" s="288"/>
      <c r="AUW38" s="288"/>
      <c r="AUX38" s="288"/>
      <c r="AUY38" s="288"/>
      <c r="AUZ38" s="288"/>
      <c r="AVA38" s="288"/>
      <c r="AVB38" s="288"/>
      <c r="AVC38" s="288"/>
      <c r="AVD38" s="288"/>
      <c r="AVE38" s="288"/>
      <c r="AVF38" s="288"/>
      <c r="AVG38" s="288"/>
      <c r="AVH38" s="288"/>
      <c r="AVI38" s="288"/>
      <c r="AVJ38" s="288"/>
      <c r="AVK38" s="288"/>
      <c r="AVL38" s="288"/>
      <c r="AVM38" s="288"/>
      <c r="AVN38" s="288"/>
      <c r="AVO38" s="288"/>
      <c r="AVP38" s="288"/>
      <c r="AVQ38" s="288"/>
      <c r="AVR38" s="288"/>
      <c r="AVS38" s="288"/>
      <c r="AVT38" s="288"/>
      <c r="AVU38" s="288"/>
      <c r="AVV38" s="288"/>
      <c r="AVW38" s="288"/>
      <c r="AVX38" s="288"/>
      <c r="AVY38" s="288"/>
      <c r="AVZ38" s="288"/>
      <c r="AWA38" s="288"/>
      <c r="AWB38" s="288"/>
      <c r="AWC38" s="288"/>
      <c r="AWD38" s="288"/>
      <c r="AWE38" s="288"/>
      <c r="AWF38" s="288"/>
      <c r="AWG38" s="288"/>
      <c r="AWH38" s="288"/>
      <c r="AWI38" s="288"/>
      <c r="AWJ38" s="288"/>
      <c r="AWK38" s="288"/>
      <c r="AWL38" s="288"/>
      <c r="AWM38" s="288"/>
      <c r="AWN38" s="288"/>
      <c r="AWO38" s="288"/>
      <c r="AWP38" s="288"/>
      <c r="AWQ38" s="288"/>
      <c r="AWR38" s="288"/>
      <c r="AWS38" s="288"/>
      <c r="AWT38" s="288"/>
      <c r="AWU38" s="288"/>
      <c r="AWV38" s="288"/>
      <c r="AWW38" s="288"/>
      <c r="AWX38" s="288"/>
      <c r="AWY38" s="288"/>
      <c r="AWZ38" s="288"/>
      <c r="AXA38" s="288"/>
      <c r="AXB38" s="288"/>
      <c r="AXC38" s="288"/>
      <c r="AXD38" s="288"/>
      <c r="AXE38" s="288"/>
      <c r="AXF38" s="288"/>
      <c r="AXG38" s="288"/>
      <c r="AXH38" s="288"/>
      <c r="AXI38" s="288"/>
      <c r="AXJ38" s="288"/>
      <c r="AXK38" s="288"/>
      <c r="AXL38" s="288"/>
      <c r="AXM38" s="288"/>
      <c r="AXN38" s="288"/>
      <c r="AXO38" s="288"/>
      <c r="AXP38" s="288"/>
      <c r="AXQ38" s="288"/>
      <c r="AXR38" s="288"/>
      <c r="AXS38" s="288"/>
      <c r="AXT38" s="288"/>
      <c r="AXU38" s="288"/>
      <c r="AXV38" s="288"/>
      <c r="AXW38" s="288"/>
      <c r="AXX38" s="288"/>
      <c r="AXY38" s="288"/>
      <c r="AXZ38" s="288"/>
      <c r="AYA38" s="288"/>
      <c r="AYB38" s="288"/>
      <c r="AYC38" s="288"/>
      <c r="AYD38" s="288"/>
      <c r="AYE38" s="288"/>
      <c r="AYF38" s="288"/>
      <c r="AYG38" s="288"/>
      <c r="AYH38" s="288"/>
      <c r="AYI38" s="288"/>
      <c r="AYJ38" s="288"/>
      <c r="AYK38" s="288"/>
      <c r="AYL38" s="288"/>
      <c r="AYM38" s="288"/>
      <c r="AYN38" s="288"/>
      <c r="AYO38" s="288"/>
      <c r="AYP38" s="288"/>
      <c r="AYQ38" s="288"/>
      <c r="AYR38" s="288"/>
      <c r="AYS38" s="288"/>
      <c r="AYT38" s="288"/>
      <c r="AYU38" s="288"/>
      <c r="AYV38" s="288"/>
      <c r="AYW38" s="288"/>
      <c r="AYX38" s="288"/>
      <c r="AYY38" s="288"/>
      <c r="AYZ38" s="288"/>
      <c r="AZA38" s="288"/>
      <c r="AZB38" s="288"/>
      <c r="AZC38" s="288"/>
      <c r="AZD38" s="288"/>
      <c r="AZE38" s="288"/>
      <c r="AZF38" s="288"/>
      <c r="AZG38" s="288"/>
      <c r="AZH38" s="288"/>
      <c r="AZI38" s="288"/>
      <c r="AZJ38" s="288"/>
      <c r="AZK38" s="288"/>
      <c r="AZL38" s="288"/>
      <c r="AZM38" s="288"/>
      <c r="AZN38" s="288"/>
      <c r="AZO38" s="288"/>
      <c r="AZP38" s="288"/>
      <c r="AZQ38" s="288"/>
      <c r="AZR38" s="288"/>
      <c r="AZS38" s="288"/>
      <c r="AZT38" s="288"/>
      <c r="AZU38" s="288"/>
      <c r="AZV38" s="288"/>
      <c r="AZW38" s="288"/>
      <c r="AZX38" s="288"/>
      <c r="AZY38" s="288"/>
      <c r="AZZ38" s="288"/>
      <c r="BAA38" s="288"/>
      <c r="BAB38" s="288"/>
      <c r="BAC38" s="288"/>
      <c r="BAD38" s="288"/>
      <c r="BAE38" s="288"/>
      <c r="BAF38" s="288"/>
      <c r="BAG38" s="288"/>
      <c r="BAH38" s="288"/>
      <c r="BAI38" s="288"/>
      <c r="BAJ38" s="288"/>
      <c r="BAK38" s="288"/>
      <c r="BAL38" s="288"/>
      <c r="BAM38" s="288"/>
      <c r="BAN38" s="288"/>
      <c r="BAO38" s="288"/>
      <c r="BAP38" s="288"/>
      <c r="BAQ38" s="288"/>
      <c r="BAR38" s="288"/>
      <c r="BAS38" s="288"/>
      <c r="BAT38" s="288"/>
      <c r="BAU38" s="288"/>
      <c r="BAV38" s="288"/>
      <c r="BAW38" s="288"/>
      <c r="BAX38" s="288"/>
      <c r="BAY38" s="288"/>
      <c r="BAZ38" s="288"/>
      <c r="BBA38" s="288"/>
      <c r="BBB38" s="288"/>
      <c r="BBC38" s="288"/>
      <c r="BBD38" s="288"/>
      <c r="BBE38" s="288"/>
      <c r="BBF38" s="288"/>
      <c r="BBG38" s="288"/>
      <c r="BBH38" s="288"/>
      <c r="BBI38" s="288"/>
      <c r="BBJ38" s="288"/>
      <c r="BBK38" s="288"/>
      <c r="BBL38" s="288"/>
      <c r="BBM38" s="288"/>
      <c r="BBN38" s="288"/>
      <c r="BBO38" s="288"/>
      <c r="BBP38" s="288"/>
      <c r="BBQ38" s="288"/>
      <c r="BBR38" s="288"/>
      <c r="BBS38" s="288"/>
      <c r="BBT38" s="288"/>
      <c r="BBU38" s="288"/>
      <c r="BBV38" s="288"/>
      <c r="BBW38" s="288"/>
      <c r="BBX38" s="288"/>
      <c r="BBY38" s="288"/>
      <c r="BBZ38" s="288"/>
      <c r="BCA38" s="288"/>
      <c r="BCB38" s="288"/>
      <c r="BCC38" s="288"/>
      <c r="BCD38" s="288"/>
      <c r="BCE38" s="288"/>
      <c r="BCF38" s="288"/>
      <c r="BCG38" s="288"/>
      <c r="BCH38" s="288"/>
      <c r="BCI38" s="288"/>
      <c r="BCJ38" s="288"/>
      <c r="BCK38" s="288"/>
      <c r="BCL38" s="288"/>
      <c r="BCM38" s="288"/>
      <c r="BCN38" s="288"/>
      <c r="BCO38" s="288"/>
      <c r="BCP38" s="288"/>
      <c r="BCQ38" s="288"/>
      <c r="BCR38" s="288"/>
      <c r="BCS38" s="288"/>
      <c r="BCT38" s="288"/>
      <c r="BCU38" s="288"/>
      <c r="BCV38" s="288"/>
      <c r="BCW38" s="288"/>
      <c r="BCX38" s="288"/>
      <c r="BCY38" s="288"/>
      <c r="BCZ38" s="288"/>
      <c r="BDA38" s="288"/>
      <c r="BDB38" s="288"/>
      <c r="BDC38" s="288"/>
      <c r="BDD38" s="288"/>
      <c r="BDE38" s="288"/>
      <c r="BDF38" s="288"/>
      <c r="BDG38" s="288"/>
      <c r="BDH38" s="288"/>
      <c r="BDI38" s="288"/>
      <c r="BDJ38" s="288"/>
      <c r="BDK38" s="288"/>
      <c r="BDL38" s="288"/>
      <c r="BDM38" s="288"/>
      <c r="BDN38" s="288"/>
      <c r="BDO38" s="288"/>
      <c r="BDP38" s="288"/>
      <c r="BDQ38" s="288"/>
      <c r="BDR38" s="288"/>
      <c r="BDS38" s="288"/>
      <c r="BDT38" s="288"/>
      <c r="BDU38" s="288"/>
      <c r="BDV38" s="288"/>
      <c r="BDW38" s="288"/>
      <c r="BDX38" s="288"/>
      <c r="BDY38" s="288"/>
      <c r="BDZ38" s="288"/>
      <c r="BEA38" s="288"/>
      <c r="BEB38" s="288"/>
      <c r="BEC38" s="288"/>
      <c r="BED38" s="288"/>
      <c r="BEE38" s="288"/>
      <c r="BEF38" s="288"/>
      <c r="BEG38" s="288"/>
      <c r="BEH38" s="288"/>
      <c r="BEI38" s="288"/>
      <c r="BEJ38" s="288"/>
      <c r="BEK38" s="288"/>
      <c r="BEL38" s="288"/>
      <c r="BEM38" s="288"/>
      <c r="BEN38" s="288"/>
      <c r="BEO38" s="288"/>
      <c r="BEP38" s="288"/>
      <c r="BEQ38" s="288"/>
      <c r="BER38" s="288"/>
      <c r="BES38" s="288"/>
      <c r="BET38" s="288"/>
      <c r="BEU38" s="288"/>
      <c r="BEV38" s="288"/>
      <c r="BEW38" s="288"/>
      <c r="BEX38" s="288"/>
      <c r="BEY38" s="288"/>
      <c r="BEZ38" s="288"/>
      <c r="BFA38" s="288"/>
      <c r="BFB38" s="288"/>
      <c r="BFC38" s="288"/>
      <c r="BFD38" s="288"/>
      <c r="BFE38" s="288"/>
      <c r="BFF38" s="288"/>
      <c r="BFG38" s="288"/>
      <c r="BFH38" s="288"/>
      <c r="BFI38" s="288"/>
      <c r="BFJ38" s="288"/>
      <c r="BFK38" s="288"/>
      <c r="BFL38" s="288"/>
      <c r="BFM38" s="288"/>
      <c r="BFN38" s="288"/>
      <c r="BFO38" s="288"/>
      <c r="BFP38" s="288"/>
      <c r="BFQ38" s="288"/>
      <c r="BFR38" s="288"/>
      <c r="BFS38" s="288"/>
      <c r="BFT38" s="288"/>
      <c r="BFU38" s="288"/>
      <c r="BFV38" s="288"/>
      <c r="BFW38" s="288"/>
      <c r="BFX38" s="288"/>
      <c r="BFY38" s="288"/>
      <c r="BFZ38" s="288"/>
      <c r="BGA38" s="288"/>
      <c r="BGB38" s="288"/>
      <c r="BGC38" s="288"/>
      <c r="BGD38" s="288"/>
      <c r="BGE38" s="288"/>
      <c r="BGF38" s="288"/>
      <c r="BGG38" s="288"/>
      <c r="BGH38" s="288"/>
      <c r="BGI38" s="288"/>
      <c r="BGJ38" s="288"/>
      <c r="BGK38" s="288"/>
      <c r="BGL38" s="288"/>
      <c r="BGM38" s="288"/>
      <c r="BGN38" s="288"/>
      <c r="BGO38" s="288"/>
      <c r="BGP38" s="288"/>
      <c r="BGQ38" s="288"/>
      <c r="BGR38" s="288"/>
      <c r="BGS38" s="288"/>
      <c r="BGT38" s="288"/>
      <c r="BGU38" s="288"/>
      <c r="BGV38" s="288"/>
      <c r="BGW38" s="288"/>
      <c r="BGX38" s="288"/>
      <c r="BGY38" s="288"/>
      <c r="BGZ38" s="288"/>
      <c r="BHA38" s="288"/>
      <c r="BHB38" s="288"/>
      <c r="BHC38" s="288"/>
      <c r="BHD38" s="288"/>
      <c r="BHE38" s="288"/>
      <c r="BHF38" s="288"/>
      <c r="BHG38" s="288"/>
      <c r="BHH38" s="288"/>
      <c r="BHI38" s="288"/>
      <c r="BHJ38" s="288"/>
      <c r="BHK38" s="288"/>
      <c r="BHL38" s="288"/>
      <c r="BHM38" s="288"/>
      <c r="BHN38" s="288"/>
      <c r="BHO38" s="288"/>
      <c r="BHP38" s="288"/>
      <c r="BHQ38" s="288"/>
      <c r="BHR38" s="288"/>
      <c r="BHS38" s="288"/>
      <c r="BHT38" s="288"/>
      <c r="BHU38" s="288"/>
      <c r="BHV38" s="288"/>
      <c r="BHW38" s="288"/>
      <c r="BHX38" s="288"/>
      <c r="BHY38" s="288"/>
      <c r="BHZ38" s="288"/>
      <c r="BIA38" s="288"/>
      <c r="BIB38" s="288"/>
      <c r="BIC38" s="288"/>
      <c r="BID38" s="288"/>
      <c r="BIE38" s="288"/>
      <c r="BIF38" s="288"/>
      <c r="BIG38" s="288"/>
      <c r="BIH38" s="288"/>
      <c r="BII38" s="288"/>
      <c r="BIJ38" s="288"/>
      <c r="BIK38" s="288"/>
      <c r="BIL38" s="288"/>
      <c r="BIM38" s="288"/>
      <c r="BIN38" s="288"/>
      <c r="BIO38" s="288"/>
      <c r="BIP38" s="288"/>
      <c r="BIQ38" s="288"/>
      <c r="BIR38" s="288"/>
      <c r="BIS38" s="288"/>
      <c r="BIT38" s="288"/>
      <c r="BIU38" s="288"/>
      <c r="BIV38" s="288"/>
      <c r="BIW38" s="288"/>
      <c r="BIX38" s="288"/>
      <c r="BIY38" s="288"/>
      <c r="BIZ38" s="288"/>
      <c r="BJA38" s="288"/>
      <c r="BJB38" s="288"/>
      <c r="BJC38" s="288"/>
      <c r="BJD38" s="288"/>
      <c r="BJE38" s="288"/>
      <c r="BJF38" s="288"/>
      <c r="BJG38" s="288"/>
      <c r="BJH38" s="288"/>
      <c r="BJI38" s="288"/>
      <c r="BJJ38" s="288"/>
      <c r="BJK38" s="288"/>
      <c r="BJL38" s="288"/>
      <c r="BJM38" s="288"/>
      <c r="BJN38" s="288"/>
      <c r="BJO38" s="288"/>
      <c r="BJP38" s="288"/>
      <c r="BJQ38" s="288"/>
      <c r="BJR38" s="288"/>
      <c r="BJS38" s="288"/>
      <c r="BJT38" s="288"/>
      <c r="BJU38" s="288"/>
      <c r="BJV38" s="288"/>
      <c r="BJW38" s="288"/>
      <c r="BJX38" s="288"/>
      <c r="BJY38" s="288"/>
      <c r="BJZ38" s="288"/>
      <c r="BKA38" s="288"/>
      <c r="BKB38" s="288"/>
      <c r="BKC38" s="288"/>
      <c r="BKD38" s="288"/>
      <c r="BKE38" s="288"/>
      <c r="BKF38" s="288"/>
      <c r="BKG38" s="288"/>
      <c r="BKH38" s="288"/>
      <c r="BKI38" s="288"/>
      <c r="BKJ38" s="288"/>
      <c r="BKK38" s="288"/>
      <c r="BKL38" s="288"/>
      <c r="BKM38" s="288"/>
      <c r="BKN38" s="288"/>
      <c r="BKO38" s="288"/>
      <c r="BKP38" s="288"/>
      <c r="BKQ38" s="288"/>
      <c r="BKR38" s="288"/>
      <c r="BKS38" s="288"/>
      <c r="BKT38" s="288"/>
      <c r="BKU38" s="288"/>
      <c r="BKV38" s="288"/>
      <c r="BKW38" s="288"/>
      <c r="BKX38" s="288"/>
      <c r="BKY38" s="288"/>
      <c r="BKZ38" s="288"/>
      <c r="BLA38" s="288"/>
      <c r="BLB38" s="288"/>
      <c r="BLC38" s="288"/>
      <c r="BLD38" s="288"/>
      <c r="BLE38" s="288"/>
      <c r="BLF38" s="288"/>
      <c r="BLG38" s="288"/>
      <c r="BLH38" s="288"/>
      <c r="BLI38" s="288"/>
      <c r="BLJ38" s="288"/>
      <c r="BLK38" s="288"/>
      <c r="BLL38" s="288"/>
      <c r="BLM38" s="288"/>
      <c r="BLN38" s="288"/>
      <c r="BLO38" s="288"/>
      <c r="BLP38" s="288"/>
      <c r="BLQ38" s="288"/>
      <c r="BLR38" s="288"/>
      <c r="BLS38" s="288"/>
      <c r="BLT38" s="288"/>
      <c r="BLU38" s="288"/>
      <c r="BLV38" s="288"/>
      <c r="BLW38" s="288"/>
      <c r="BLX38" s="288"/>
      <c r="BLY38" s="288"/>
      <c r="BLZ38" s="288"/>
      <c r="BMA38" s="288"/>
      <c r="BMB38" s="288"/>
      <c r="BMC38" s="288"/>
      <c r="BMD38" s="288"/>
      <c r="BME38" s="288"/>
      <c r="BMF38" s="288"/>
      <c r="BMG38" s="288"/>
      <c r="BMH38" s="288"/>
      <c r="BMI38" s="288"/>
      <c r="BMJ38" s="288"/>
      <c r="BMK38" s="288"/>
      <c r="BML38" s="288"/>
      <c r="BMM38" s="288"/>
      <c r="BMN38" s="288"/>
      <c r="BMO38" s="288"/>
      <c r="BMP38" s="288"/>
      <c r="BMQ38" s="288"/>
      <c r="BMR38" s="288"/>
      <c r="BMS38" s="288"/>
      <c r="BMT38" s="288"/>
      <c r="BMU38" s="288"/>
      <c r="BMV38" s="288"/>
      <c r="BMW38" s="288"/>
      <c r="BMX38" s="288"/>
      <c r="BMY38" s="288"/>
      <c r="BMZ38" s="288"/>
      <c r="BNA38" s="288"/>
      <c r="BNB38" s="288"/>
      <c r="BNC38" s="288"/>
      <c r="BND38" s="288"/>
      <c r="BNE38" s="288"/>
      <c r="BNF38" s="288"/>
      <c r="BNG38" s="288"/>
      <c r="BNH38" s="288"/>
      <c r="BNI38" s="288"/>
      <c r="BNJ38" s="288"/>
      <c r="BNK38" s="288"/>
      <c r="BNL38" s="288"/>
      <c r="BNM38" s="288"/>
      <c r="BNN38" s="288"/>
      <c r="BNO38" s="288"/>
      <c r="BNP38" s="288"/>
      <c r="BNQ38" s="288"/>
      <c r="BNR38" s="288"/>
      <c r="BNS38" s="288"/>
      <c r="BNT38" s="288"/>
      <c r="BNU38" s="288"/>
      <c r="BNV38" s="288"/>
      <c r="BNW38" s="288"/>
      <c r="BNX38" s="288"/>
      <c r="BNY38" s="288"/>
      <c r="BNZ38" s="288"/>
      <c r="BOA38" s="288"/>
      <c r="BOB38" s="288"/>
      <c r="BOC38" s="288"/>
      <c r="BOD38" s="288"/>
      <c r="BOE38" s="288"/>
      <c r="BOF38" s="288"/>
      <c r="BOG38" s="288"/>
      <c r="BOH38" s="288"/>
      <c r="BOI38" s="288"/>
      <c r="BOJ38" s="288"/>
      <c r="BOK38" s="288"/>
      <c r="BOL38" s="288"/>
      <c r="BOM38" s="288"/>
      <c r="BON38" s="288"/>
      <c r="BOO38" s="288"/>
      <c r="BOP38" s="288"/>
      <c r="BOQ38" s="288"/>
      <c r="BOR38" s="288"/>
      <c r="BOS38" s="288"/>
      <c r="BOT38" s="288"/>
      <c r="BOU38" s="288"/>
      <c r="BOV38" s="288"/>
      <c r="BOW38" s="288"/>
      <c r="BOX38" s="288"/>
      <c r="BOY38" s="288"/>
      <c r="BOZ38" s="288"/>
      <c r="BPA38" s="288"/>
      <c r="BPB38" s="288"/>
      <c r="BPC38" s="288"/>
      <c r="BPD38" s="288"/>
      <c r="BPE38" s="288"/>
      <c r="BPF38" s="288"/>
      <c r="BPG38" s="288"/>
      <c r="BPH38" s="288"/>
      <c r="BPI38" s="288"/>
      <c r="BPJ38" s="288"/>
      <c r="BPK38" s="288"/>
      <c r="BPL38" s="288"/>
      <c r="BPM38" s="288"/>
      <c r="BPN38" s="288"/>
      <c r="BPO38" s="288"/>
      <c r="BPP38" s="288"/>
      <c r="BPQ38" s="288"/>
      <c r="BPR38" s="288"/>
      <c r="BPS38" s="288"/>
      <c r="BPT38" s="288"/>
      <c r="BPU38" s="288"/>
      <c r="BPV38" s="288"/>
      <c r="BPW38" s="288"/>
      <c r="BPX38" s="288"/>
      <c r="BPY38" s="288"/>
      <c r="BPZ38" s="288"/>
      <c r="BQA38" s="288"/>
      <c r="BQB38" s="288"/>
      <c r="BQC38" s="288"/>
      <c r="BQD38" s="288"/>
      <c r="BQE38" s="288"/>
      <c r="BQF38" s="288"/>
      <c r="BQG38" s="288"/>
      <c r="BQH38" s="288"/>
      <c r="BQI38" s="288"/>
      <c r="BQJ38" s="288"/>
      <c r="BQK38" s="288"/>
      <c r="BQL38" s="288"/>
      <c r="BQM38" s="288"/>
      <c r="BQN38" s="288"/>
      <c r="BQO38" s="288"/>
      <c r="BQP38" s="288"/>
      <c r="BQQ38" s="288"/>
      <c r="BQR38" s="288"/>
      <c r="BQS38" s="288"/>
      <c r="BQT38" s="288"/>
      <c r="BQU38" s="288"/>
      <c r="BQV38" s="288"/>
      <c r="BQW38" s="288"/>
      <c r="BQX38" s="288"/>
      <c r="BQY38" s="288"/>
      <c r="BQZ38" s="288"/>
      <c r="BRA38" s="288"/>
      <c r="BRB38" s="288"/>
      <c r="BRC38" s="288"/>
      <c r="BRD38" s="288"/>
      <c r="BRE38" s="288"/>
      <c r="BRF38" s="288"/>
      <c r="BRG38" s="288"/>
      <c r="BRH38" s="288"/>
      <c r="BRI38" s="288"/>
      <c r="BRJ38" s="288"/>
      <c r="BRK38" s="288"/>
      <c r="BRL38" s="288"/>
      <c r="BRM38" s="288"/>
      <c r="BRN38" s="288"/>
      <c r="BRO38" s="288"/>
      <c r="BRP38" s="288"/>
      <c r="BRQ38" s="288"/>
      <c r="BRR38" s="288"/>
      <c r="BRS38" s="288"/>
      <c r="BRT38" s="288"/>
      <c r="BRU38" s="288"/>
      <c r="BRV38" s="288"/>
      <c r="BRW38" s="288"/>
      <c r="BRX38" s="288"/>
      <c r="BRY38" s="288"/>
      <c r="BRZ38" s="288"/>
      <c r="BSA38" s="288"/>
      <c r="BSB38" s="288"/>
      <c r="BSC38" s="288"/>
      <c r="BSD38" s="288"/>
      <c r="BSE38" s="288"/>
      <c r="BSF38" s="288"/>
      <c r="BSG38" s="288"/>
      <c r="BSH38" s="288"/>
      <c r="BSI38" s="288"/>
      <c r="BSJ38" s="288"/>
      <c r="BSK38" s="288"/>
      <c r="BSL38" s="288"/>
      <c r="BSM38" s="288"/>
      <c r="BSN38" s="288"/>
      <c r="BSO38" s="288"/>
      <c r="BSP38" s="288"/>
      <c r="BSQ38" s="288"/>
      <c r="BSR38" s="288"/>
      <c r="BSS38" s="288"/>
      <c r="BST38" s="288"/>
      <c r="BSU38" s="288"/>
      <c r="BSV38" s="288"/>
      <c r="BSW38" s="288"/>
      <c r="BSX38" s="288"/>
      <c r="BSY38" s="288"/>
      <c r="BSZ38" s="288"/>
      <c r="BTA38" s="288"/>
      <c r="BTB38" s="288"/>
      <c r="BTC38" s="288"/>
      <c r="BTD38" s="288"/>
      <c r="BTE38" s="288"/>
      <c r="BTF38" s="288"/>
      <c r="BTG38" s="288"/>
      <c r="BTH38" s="288"/>
      <c r="BTI38" s="288"/>
      <c r="BTJ38" s="288"/>
      <c r="BTK38" s="288"/>
      <c r="BTL38" s="288"/>
      <c r="BTM38" s="288"/>
      <c r="BTN38" s="288"/>
      <c r="BTO38" s="288"/>
      <c r="BTP38" s="288"/>
      <c r="BTQ38" s="288"/>
      <c r="BTR38" s="288"/>
      <c r="BTS38" s="288"/>
      <c r="BTT38" s="288"/>
      <c r="BTU38" s="288"/>
      <c r="BTV38" s="288"/>
      <c r="BTW38" s="288"/>
      <c r="BTX38" s="288"/>
      <c r="BTY38" s="288"/>
      <c r="BTZ38" s="288"/>
      <c r="BUA38" s="288"/>
      <c r="BUB38" s="288"/>
      <c r="BUC38" s="288"/>
      <c r="BUD38" s="288"/>
      <c r="BUE38" s="288"/>
      <c r="BUF38" s="288"/>
      <c r="BUG38" s="288"/>
      <c r="BUH38" s="288"/>
      <c r="BUI38" s="288"/>
      <c r="BUJ38" s="288"/>
      <c r="BUK38" s="288"/>
      <c r="BUL38" s="288"/>
      <c r="BUM38" s="288"/>
      <c r="BUN38" s="288"/>
      <c r="BUO38" s="288"/>
      <c r="BUP38" s="288"/>
      <c r="BUQ38" s="288"/>
      <c r="BUR38" s="288"/>
      <c r="BUS38" s="288"/>
      <c r="BUT38" s="288"/>
      <c r="BUU38" s="288"/>
      <c r="BUV38" s="288"/>
      <c r="BUW38" s="288"/>
      <c r="BUX38" s="288"/>
      <c r="BUY38" s="288"/>
      <c r="BUZ38" s="288"/>
      <c r="BVA38" s="288"/>
      <c r="BVB38" s="288"/>
      <c r="BVC38" s="288"/>
      <c r="BVD38" s="288"/>
      <c r="BVE38" s="288"/>
      <c r="BVF38" s="288"/>
      <c r="BVG38" s="288"/>
      <c r="BVH38" s="288"/>
      <c r="BVI38" s="288"/>
      <c r="BVJ38" s="288"/>
      <c r="BVK38" s="288"/>
      <c r="BVL38" s="288"/>
      <c r="BVM38" s="288"/>
      <c r="BVN38" s="288"/>
      <c r="BVO38" s="288"/>
      <c r="BVP38" s="288"/>
      <c r="BVQ38" s="288"/>
      <c r="BVR38" s="288"/>
      <c r="BVS38" s="288"/>
      <c r="BVT38" s="288"/>
      <c r="BVU38" s="288"/>
      <c r="BVV38" s="288"/>
      <c r="BVW38" s="288"/>
      <c r="BVX38" s="288"/>
      <c r="BVY38" s="288"/>
      <c r="BVZ38" s="288"/>
      <c r="BWA38" s="288"/>
      <c r="BWB38" s="288"/>
      <c r="BWC38" s="288"/>
      <c r="BWD38" s="288"/>
      <c r="BWE38" s="288"/>
      <c r="BWF38" s="288"/>
      <c r="BWG38" s="288"/>
      <c r="BWH38" s="288"/>
      <c r="BWI38" s="288"/>
      <c r="BWJ38" s="288"/>
      <c r="BWK38" s="288"/>
      <c r="BWL38" s="288"/>
      <c r="BWM38" s="288"/>
      <c r="BWN38" s="288"/>
      <c r="BWO38" s="288"/>
      <c r="BWP38" s="288"/>
      <c r="BWQ38" s="288"/>
      <c r="BWR38" s="288"/>
      <c r="BWS38" s="288"/>
      <c r="BWT38" s="288"/>
      <c r="BWU38" s="288"/>
      <c r="BWV38" s="288"/>
      <c r="BWW38" s="288"/>
      <c r="BWX38" s="288"/>
      <c r="BWY38" s="288"/>
      <c r="BWZ38" s="288"/>
      <c r="BXA38" s="288"/>
      <c r="BXB38" s="288"/>
      <c r="BXC38" s="288"/>
      <c r="BXD38" s="288"/>
      <c r="BXE38" s="288"/>
      <c r="BXF38" s="288"/>
      <c r="BXG38" s="288"/>
      <c r="BXH38" s="288"/>
      <c r="BXI38" s="288"/>
      <c r="BXJ38" s="288"/>
      <c r="BXK38" s="288"/>
      <c r="BXL38" s="288"/>
      <c r="BXM38" s="288"/>
      <c r="BXN38" s="288"/>
      <c r="BXO38" s="288"/>
      <c r="BXP38" s="288"/>
      <c r="BXQ38" s="288"/>
      <c r="BXR38" s="288"/>
      <c r="BXS38" s="288"/>
      <c r="BXT38" s="288"/>
      <c r="BXU38" s="288"/>
      <c r="BXV38" s="288"/>
      <c r="BXW38" s="288"/>
      <c r="BXX38" s="288"/>
      <c r="BXY38" s="288"/>
      <c r="BXZ38" s="288"/>
      <c r="BYA38" s="288"/>
      <c r="BYB38" s="288"/>
      <c r="BYC38" s="288"/>
      <c r="BYD38" s="288"/>
      <c r="BYE38" s="288"/>
      <c r="BYF38" s="288"/>
      <c r="BYG38" s="288"/>
      <c r="BYH38" s="288"/>
      <c r="BYI38" s="288"/>
      <c r="BYJ38" s="288"/>
      <c r="BYK38" s="288"/>
      <c r="BYL38" s="288"/>
      <c r="BYM38" s="288"/>
      <c r="BYN38" s="288"/>
      <c r="BYO38" s="288"/>
      <c r="BYP38" s="288"/>
      <c r="BYQ38" s="288"/>
      <c r="BYR38" s="288"/>
      <c r="BYS38" s="288"/>
      <c r="BYT38" s="288"/>
      <c r="BYU38" s="288"/>
      <c r="BYV38" s="288"/>
      <c r="BYW38" s="288"/>
      <c r="BYX38" s="288"/>
      <c r="BYY38" s="288"/>
      <c r="BYZ38" s="288"/>
      <c r="BZA38" s="288"/>
      <c r="BZB38" s="288"/>
      <c r="BZC38" s="288"/>
      <c r="BZD38" s="288"/>
      <c r="BZE38" s="288"/>
      <c r="BZF38" s="288"/>
      <c r="BZG38" s="288"/>
      <c r="BZH38" s="288"/>
      <c r="BZI38" s="288"/>
      <c r="BZJ38" s="288"/>
      <c r="BZK38" s="288"/>
      <c r="BZL38" s="288"/>
      <c r="BZM38" s="288"/>
      <c r="BZN38" s="288"/>
      <c r="BZO38" s="288"/>
      <c r="BZP38" s="288"/>
      <c r="BZQ38" s="288"/>
      <c r="BZR38" s="288"/>
      <c r="BZS38" s="288"/>
      <c r="BZT38" s="288"/>
      <c r="BZU38" s="288"/>
      <c r="BZV38" s="288"/>
      <c r="BZW38" s="288"/>
      <c r="BZX38" s="288"/>
      <c r="BZY38" s="288"/>
      <c r="BZZ38" s="288"/>
      <c r="CAA38" s="288"/>
      <c r="CAB38" s="288"/>
      <c r="CAC38" s="288"/>
      <c r="CAD38" s="288"/>
      <c r="CAE38" s="288"/>
      <c r="CAF38" s="288"/>
      <c r="CAG38" s="288"/>
      <c r="CAH38" s="288"/>
      <c r="CAI38" s="288"/>
      <c r="CAJ38" s="288"/>
      <c r="CAK38" s="288"/>
      <c r="CAL38" s="288"/>
      <c r="CAM38" s="288"/>
      <c r="CAN38" s="288"/>
      <c r="CAO38" s="288"/>
      <c r="CAP38" s="288"/>
      <c r="CAQ38" s="288"/>
      <c r="CAR38" s="288"/>
      <c r="CAS38" s="288"/>
      <c r="CAT38" s="288"/>
      <c r="CAU38" s="288"/>
      <c r="CAV38" s="288"/>
      <c r="CAW38" s="288"/>
      <c r="CAX38" s="288"/>
      <c r="CAY38" s="288"/>
      <c r="CAZ38" s="288"/>
      <c r="CBA38" s="288"/>
      <c r="CBB38" s="288"/>
      <c r="CBC38" s="288"/>
      <c r="CBD38" s="288"/>
      <c r="CBE38" s="288"/>
      <c r="CBF38" s="288"/>
      <c r="CBG38" s="288"/>
      <c r="CBH38" s="288"/>
      <c r="CBI38" s="288"/>
      <c r="CBJ38" s="288"/>
      <c r="CBK38" s="288"/>
      <c r="CBL38" s="288"/>
      <c r="CBM38" s="288"/>
      <c r="CBN38" s="288"/>
      <c r="CBO38" s="288"/>
      <c r="CBP38" s="288"/>
      <c r="CBQ38" s="288"/>
      <c r="CBR38" s="288"/>
      <c r="CBS38" s="288"/>
      <c r="CBT38" s="288"/>
      <c r="CBU38" s="288"/>
      <c r="CBV38" s="288"/>
      <c r="CBW38" s="288"/>
      <c r="CBX38" s="288"/>
      <c r="CBY38" s="288"/>
      <c r="CBZ38" s="288"/>
      <c r="CCA38" s="288"/>
      <c r="CCB38" s="288"/>
      <c r="CCC38" s="288"/>
      <c r="CCD38" s="288"/>
      <c r="CCE38" s="288"/>
      <c r="CCF38" s="288"/>
      <c r="CCG38" s="288"/>
      <c r="CCH38" s="288"/>
      <c r="CCI38" s="288"/>
      <c r="CCJ38" s="288"/>
      <c r="CCK38" s="288"/>
      <c r="CCL38" s="288"/>
      <c r="CCM38" s="288"/>
      <c r="CCN38" s="288"/>
      <c r="CCO38" s="288"/>
      <c r="CCP38" s="288"/>
      <c r="CCQ38" s="288"/>
      <c r="CCR38" s="288"/>
      <c r="CCS38" s="288"/>
      <c r="CCT38" s="288"/>
      <c r="CCU38" s="288"/>
      <c r="CCV38" s="288"/>
      <c r="CCW38" s="288"/>
      <c r="CCX38" s="288"/>
      <c r="CCY38" s="288"/>
      <c r="CCZ38" s="288"/>
      <c r="CDA38" s="288"/>
      <c r="CDB38" s="288"/>
      <c r="CDC38" s="288"/>
      <c r="CDD38" s="288"/>
      <c r="CDE38" s="288"/>
      <c r="CDF38" s="288"/>
      <c r="CDG38" s="288"/>
      <c r="CDH38" s="288"/>
      <c r="CDI38" s="288"/>
      <c r="CDJ38" s="288"/>
      <c r="CDK38" s="288"/>
      <c r="CDL38" s="288"/>
      <c r="CDM38" s="288"/>
      <c r="CDN38" s="288"/>
      <c r="CDO38" s="288"/>
      <c r="CDP38" s="288"/>
      <c r="CDQ38" s="288"/>
      <c r="CDR38" s="288"/>
      <c r="CDS38" s="288"/>
      <c r="CDT38" s="288"/>
      <c r="CDU38" s="288"/>
      <c r="CDV38" s="288"/>
      <c r="CDW38" s="288"/>
      <c r="CDX38" s="288"/>
      <c r="CDY38" s="288"/>
      <c r="CDZ38" s="288"/>
      <c r="CEA38" s="288"/>
      <c r="CEB38" s="288"/>
      <c r="CEC38" s="288"/>
      <c r="CED38" s="288"/>
      <c r="CEE38" s="288"/>
      <c r="CEF38" s="288"/>
      <c r="CEG38" s="288"/>
      <c r="CEH38" s="288"/>
      <c r="CEI38" s="288"/>
      <c r="CEJ38" s="288"/>
      <c r="CEK38" s="288"/>
      <c r="CEL38" s="288"/>
      <c r="CEM38" s="288"/>
      <c r="CEN38" s="288"/>
      <c r="CEO38" s="288"/>
      <c r="CEP38" s="288"/>
      <c r="CEQ38" s="288"/>
      <c r="CER38" s="288"/>
      <c r="CES38" s="288"/>
      <c r="CET38" s="288"/>
      <c r="CEU38" s="288"/>
      <c r="CEV38" s="288"/>
      <c r="CEW38" s="288"/>
      <c r="CEX38" s="288"/>
      <c r="CEY38" s="288"/>
      <c r="CEZ38" s="288"/>
      <c r="CFA38" s="288"/>
      <c r="CFB38" s="288"/>
      <c r="CFC38" s="288"/>
      <c r="CFD38" s="288"/>
      <c r="CFE38" s="288"/>
      <c r="CFF38" s="288"/>
      <c r="CFG38" s="288"/>
      <c r="CFH38" s="288"/>
      <c r="CFI38" s="288"/>
      <c r="CFJ38" s="288"/>
      <c r="CFK38" s="288"/>
      <c r="CFL38" s="288"/>
      <c r="CFM38" s="288"/>
      <c r="CFN38" s="288"/>
      <c r="CFO38" s="288"/>
      <c r="CFP38" s="288"/>
      <c r="CFQ38" s="288"/>
      <c r="CFR38" s="288"/>
      <c r="CFS38" s="288"/>
      <c r="CFT38" s="288"/>
      <c r="CFU38" s="288"/>
      <c r="CFV38" s="288"/>
      <c r="CFW38" s="288"/>
      <c r="CFX38" s="288"/>
      <c r="CFY38" s="288"/>
      <c r="CFZ38" s="288"/>
      <c r="CGA38" s="288"/>
      <c r="CGB38" s="288"/>
      <c r="CGC38" s="288"/>
      <c r="CGD38" s="288"/>
      <c r="CGE38" s="288"/>
      <c r="CGF38" s="288"/>
      <c r="CGG38" s="288"/>
      <c r="CGH38" s="288"/>
      <c r="CGI38" s="288"/>
      <c r="CGJ38" s="288"/>
      <c r="CGK38" s="288"/>
      <c r="CGL38" s="288"/>
      <c r="CGM38" s="288"/>
      <c r="CGN38" s="288"/>
      <c r="CGO38" s="288"/>
      <c r="CGP38" s="288"/>
      <c r="CGQ38" s="288"/>
      <c r="CGR38" s="288"/>
      <c r="CGS38" s="288"/>
      <c r="CGT38" s="288"/>
      <c r="CGU38" s="288"/>
      <c r="CGV38" s="288"/>
      <c r="CGW38" s="288"/>
      <c r="CGX38" s="288"/>
      <c r="CGY38" s="288"/>
      <c r="CGZ38" s="288"/>
      <c r="CHA38" s="288"/>
      <c r="CHB38" s="288"/>
      <c r="CHC38" s="288"/>
      <c r="CHD38" s="288"/>
      <c r="CHE38" s="288"/>
      <c r="CHF38" s="288"/>
      <c r="CHG38" s="288"/>
      <c r="CHH38" s="288"/>
      <c r="CHI38" s="288"/>
      <c r="CHJ38" s="288"/>
      <c r="CHK38" s="288"/>
      <c r="CHL38" s="288"/>
      <c r="CHM38" s="288"/>
      <c r="CHN38" s="288"/>
      <c r="CHO38" s="288"/>
      <c r="CHP38" s="288"/>
      <c r="CHQ38" s="288"/>
      <c r="CHR38" s="288"/>
      <c r="CHS38" s="288"/>
      <c r="CHT38" s="288"/>
      <c r="CHU38" s="288"/>
      <c r="CHV38" s="288"/>
      <c r="CHW38" s="288"/>
      <c r="CHX38" s="288"/>
      <c r="CHY38" s="288"/>
      <c r="CHZ38" s="288"/>
      <c r="CIA38" s="288"/>
      <c r="CIB38" s="288"/>
      <c r="CIC38" s="288"/>
      <c r="CID38" s="288"/>
      <c r="CIE38" s="288"/>
      <c r="CIF38" s="288"/>
      <c r="CIG38" s="288"/>
      <c r="CIH38" s="288"/>
      <c r="CII38" s="288"/>
      <c r="CIJ38" s="288"/>
      <c r="CIK38" s="288"/>
      <c r="CIL38" s="288"/>
      <c r="CIM38" s="288"/>
      <c r="CIN38" s="288"/>
      <c r="CIO38" s="288"/>
      <c r="CIP38" s="288"/>
      <c r="CIQ38" s="288"/>
      <c r="CIR38" s="288"/>
      <c r="CIS38" s="288"/>
      <c r="CIT38" s="288"/>
      <c r="CIU38" s="288"/>
      <c r="CIV38" s="288"/>
      <c r="CIW38" s="288"/>
      <c r="CIX38" s="288"/>
      <c r="CIY38" s="288"/>
      <c r="CIZ38" s="288"/>
      <c r="CJA38" s="288"/>
      <c r="CJB38" s="288"/>
      <c r="CJC38" s="288"/>
      <c r="CJD38" s="288"/>
      <c r="CJE38" s="288"/>
      <c r="CJF38" s="288"/>
      <c r="CJG38" s="288"/>
      <c r="CJH38" s="288"/>
      <c r="CJI38" s="288"/>
      <c r="CJJ38" s="288"/>
      <c r="CJK38" s="288"/>
      <c r="CJL38" s="288"/>
      <c r="CJM38" s="288"/>
      <c r="CJN38" s="288"/>
      <c r="CJO38" s="288"/>
      <c r="CJP38" s="288"/>
      <c r="CJQ38" s="288"/>
      <c r="CJR38" s="288"/>
      <c r="CJS38" s="288"/>
      <c r="CJT38" s="288"/>
      <c r="CJU38" s="288"/>
      <c r="CJV38" s="288"/>
      <c r="CJW38" s="288"/>
      <c r="CJX38" s="288"/>
      <c r="CJY38" s="288"/>
      <c r="CJZ38" s="288"/>
      <c r="CKA38" s="288"/>
      <c r="CKB38" s="288"/>
      <c r="CKC38" s="288"/>
      <c r="CKD38" s="288"/>
      <c r="CKE38" s="288"/>
      <c r="CKF38" s="288"/>
      <c r="CKG38" s="288"/>
      <c r="CKH38" s="288"/>
      <c r="CKI38" s="288"/>
      <c r="CKJ38" s="288"/>
      <c r="CKK38" s="288"/>
      <c r="CKL38" s="288"/>
      <c r="CKM38" s="288"/>
      <c r="CKN38" s="288"/>
      <c r="CKO38" s="288"/>
      <c r="CKP38" s="288"/>
      <c r="CKQ38" s="288"/>
      <c r="CKR38" s="288"/>
      <c r="CKS38" s="288"/>
      <c r="CKT38" s="288"/>
      <c r="CKU38" s="288"/>
      <c r="CKV38" s="288"/>
      <c r="CKW38" s="288"/>
      <c r="CKX38" s="288"/>
      <c r="CKY38" s="288"/>
      <c r="CKZ38" s="288"/>
      <c r="CLA38" s="288"/>
      <c r="CLB38" s="288"/>
      <c r="CLC38" s="288"/>
      <c r="CLD38" s="288"/>
      <c r="CLE38" s="288"/>
      <c r="CLF38" s="288"/>
      <c r="CLG38" s="288"/>
      <c r="CLH38" s="288"/>
      <c r="CLI38" s="288"/>
      <c r="CLJ38" s="288"/>
      <c r="CLK38" s="288"/>
      <c r="CLL38" s="288"/>
      <c r="CLM38" s="288"/>
      <c r="CLN38" s="288"/>
      <c r="CLO38" s="288"/>
      <c r="CLP38" s="288"/>
      <c r="CLQ38" s="288"/>
      <c r="CLR38" s="288"/>
      <c r="CLS38" s="288"/>
      <c r="CLT38" s="288"/>
      <c r="CLU38" s="288"/>
      <c r="CLV38" s="288"/>
      <c r="CLW38" s="288"/>
      <c r="CLX38" s="288"/>
      <c r="CLY38" s="288"/>
      <c r="CLZ38" s="288"/>
      <c r="CMA38" s="288"/>
      <c r="CMB38" s="288"/>
      <c r="CMC38" s="288"/>
      <c r="CMD38" s="288"/>
      <c r="CME38" s="288"/>
      <c r="CMF38" s="288"/>
      <c r="CMG38" s="288"/>
      <c r="CMH38" s="288"/>
      <c r="CMI38" s="288"/>
      <c r="CMJ38" s="288"/>
      <c r="CMK38" s="288"/>
      <c r="CML38" s="288"/>
      <c r="CMM38" s="288"/>
      <c r="CMN38" s="288"/>
      <c r="CMO38" s="288"/>
      <c r="CMP38" s="288"/>
      <c r="CMQ38" s="288"/>
      <c r="CMR38" s="288"/>
      <c r="CMS38" s="288"/>
      <c r="CMT38" s="288"/>
      <c r="CMU38" s="288"/>
      <c r="CMV38" s="288"/>
      <c r="CMW38" s="288"/>
      <c r="CMX38" s="288"/>
      <c r="CMY38" s="288"/>
      <c r="CMZ38" s="288"/>
      <c r="CNA38" s="288"/>
      <c r="CNB38" s="288"/>
      <c r="CNC38" s="288"/>
      <c r="CND38" s="288"/>
      <c r="CNE38" s="288"/>
      <c r="CNF38" s="288"/>
      <c r="CNG38" s="288"/>
      <c r="CNH38" s="288"/>
      <c r="CNI38" s="288"/>
      <c r="CNJ38" s="288"/>
      <c r="CNK38" s="288"/>
      <c r="CNL38" s="288"/>
      <c r="CNM38" s="288"/>
      <c r="CNN38" s="288"/>
      <c r="CNO38" s="288"/>
      <c r="CNP38" s="288"/>
      <c r="CNQ38" s="288"/>
      <c r="CNR38" s="288"/>
      <c r="CNS38" s="288"/>
      <c r="CNT38" s="288"/>
      <c r="CNU38" s="288"/>
      <c r="CNV38" s="288"/>
      <c r="CNW38" s="288"/>
      <c r="CNX38" s="288"/>
      <c r="CNY38" s="288"/>
      <c r="CNZ38" s="288"/>
      <c r="COA38" s="288"/>
      <c r="COB38" s="288"/>
      <c r="COC38" s="288"/>
      <c r="COD38" s="288"/>
      <c r="COE38" s="288"/>
      <c r="COF38" s="288"/>
      <c r="COG38" s="288"/>
      <c r="COH38" s="288"/>
      <c r="COI38" s="288"/>
      <c r="COJ38" s="288"/>
      <c r="COK38" s="288"/>
      <c r="COL38" s="288"/>
      <c r="COM38" s="288"/>
      <c r="CON38" s="288"/>
      <c r="COO38" s="288"/>
      <c r="COP38" s="288"/>
      <c r="COQ38" s="288"/>
      <c r="COR38" s="288"/>
      <c r="COS38" s="288"/>
      <c r="COT38" s="288"/>
      <c r="COU38" s="288"/>
      <c r="COV38" s="288"/>
      <c r="COW38" s="288"/>
      <c r="COX38" s="288"/>
      <c r="COY38" s="288"/>
      <c r="COZ38" s="288"/>
      <c r="CPA38" s="288"/>
      <c r="CPB38" s="288"/>
      <c r="CPC38" s="288"/>
      <c r="CPD38" s="288"/>
      <c r="CPE38" s="288"/>
      <c r="CPF38" s="288"/>
      <c r="CPG38" s="288"/>
      <c r="CPH38" s="288"/>
      <c r="CPI38" s="288"/>
      <c r="CPJ38" s="288"/>
      <c r="CPK38" s="288"/>
      <c r="CPL38" s="288"/>
      <c r="CPM38" s="288"/>
      <c r="CPN38" s="288"/>
      <c r="CPO38" s="288"/>
      <c r="CPP38" s="288"/>
      <c r="CPQ38" s="288"/>
      <c r="CPR38" s="288"/>
      <c r="CPS38" s="288"/>
      <c r="CPT38" s="288"/>
      <c r="CPU38" s="288"/>
      <c r="CPV38" s="288"/>
      <c r="CPW38" s="288"/>
      <c r="CPX38" s="288"/>
      <c r="CPY38" s="288"/>
      <c r="CPZ38" s="288"/>
      <c r="CQA38" s="288"/>
      <c r="CQB38" s="288"/>
      <c r="CQC38" s="288"/>
      <c r="CQD38" s="288"/>
      <c r="CQE38" s="288"/>
      <c r="CQF38" s="288"/>
      <c r="CQG38" s="288"/>
      <c r="CQH38" s="288"/>
      <c r="CQI38" s="288"/>
      <c r="CQJ38" s="288"/>
      <c r="CQK38" s="288"/>
      <c r="CQL38" s="288"/>
      <c r="CQM38" s="288"/>
      <c r="CQN38" s="288"/>
      <c r="CQO38" s="288"/>
      <c r="CQP38" s="288"/>
      <c r="CQQ38" s="288"/>
      <c r="CQR38" s="288"/>
      <c r="CQS38" s="288"/>
      <c r="CQT38" s="288"/>
      <c r="CQU38" s="288"/>
      <c r="CQV38" s="288"/>
      <c r="CQW38" s="288"/>
      <c r="CQX38" s="288"/>
      <c r="CQY38" s="288"/>
      <c r="CQZ38" s="288"/>
      <c r="CRA38" s="288"/>
      <c r="CRB38" s="288"/>
      <c r="CRC38" s="288"/>
      <c r="CRD38" s="288"/>
      <c r="CRE38" s="288"/>
      <c r="CRF38" s="288"/>
      <c r="CRG38" s="288"/>
      <c r="CRH38" s="288"/>
      <c r="CRI38" s="288"/>
      <c r="CRJ38" s="288"/>
      <c r="CRK38" s="288"/>
      <c r="CRL38" s="288"/>
      <c r="CRM38" s="288"/>
      <c r="CRN38" s="288"/>
      <c r="CRO38" s="288"/>
      <c r="CRP38" s="288"/>
      <c r="CRQ38" s="288"/>
      <c r="CRR38" s="288"/>
      <c r="CRS38" s="288"/>
      <c r="CRT38" s="288"/>
      <c r="CRU38" s="288"/>
      <c r="CRV38" s="288"/>
      <c r="CRW38" s="288"/>
      <c r="CRX38" s="288"/>
      <c r="CRY38" s="288"/>
      <c r="CRZ38" s="288"/>
      <c r="CSA38" s="288"/>
      <c r="CSB38" s="288"/>
      <c r="CSC38" s="288"/>
      <c r="CSD38" s="288"/>
      <c r="CSE38" s="288"/>
      <c r="CSF38" s="288"/>
      <c r="CSG38" s="288"/>
      <c r="CSH38" s="288"/>
      <c r="CSI38" s="288"/>
      <c r="CSJ38" s="288"/>
      <c r="CSK38" s="288"/>
      <c r="CSL38" s="288"/>
      <c r="CSM38" s="288"/>
      <c r="CSN38" s="288"/>
      <c r="CSO38" s="288"/>
      <c r="CSP38" s="288"/>
      <c r="CSQ38" s="288"/>
      <c r="CSR38" s="288"/>
      <c r="CSS38" s="288"/>
      <c r="CST38" s="288"/>
      <c r="CSU38" s="288"/>
      <c r="CSV38" s="288"/>
      <c r="CSW38" s="288"/>
      <c r="CSX38" s="288"/>
      <c r="CSY38" s="288"/>
      <c r="CSZ38" s="288"/>
      <c r="CTA38" s="288"/>
      <c r="CTB38" s="288"/>
      <c r="CTC38" s="288"/>
      <c r="CTD38" s="288"/>
      <c r="CTE38" s="288"/>
      <c r="CTF38" s="288"/>
      <c r="CTG38" s="288"/>
      <c r="CTH38" s="288"/>
      <c r="CTI38" s="288"/>
      <c r="CTJ38" s="288"/>
      <c r="CTK38" s="288"/>
      <c r="CTL38" s="288"/>
      <c r="CTM38" s="288"/>
      <c r="CTN38" s="288"/>
      <c r="CTO38" s="288"/>
      <c r="CTP38" s="288"/>
      <c r="CTQ38" s="288"/>
      <c r="CTR38" s="288"/>
      <c r="CTS38" s="288"/>
      <c r="CTT38" s="288"/>
      <c r="CTU38" s="288"/>
      <c r="CTV38" s="288"/>
      <c r="CTW38" s="288"/>
      <c r="CTX38" s="288"/>
      <c r="CTY38" s="288"/>
      <c r="CTZ38" s="288"/>
      <c r="CUA38" s="288"/>
      <c r="CUB38" s="288"/>
      <c r="CUC38" s="288"/>
      <c r="CUD38" s="288"/>
      <c r="CUE38" s="288"/>
      <c r="CUF38" s="288"/>
      <c r="CUG38" s="288"/>
      <c r="CUH38" s="288"/>
      <c r="CUI38" s="288"/>
      <c r="CUJ38" s="288"/>
      <c r="CUK38" s="288"/>
      <c r="CUL38" s="288"/>
      <c r="CUM38" s="288"/>
      <c r="CUN38" s="288"/>
      <c r="CUO38" s="288"/>
      <c r="CUP38" s="288"/>
      <c r="CUQ38" s="288"/>
      <c r="CUR38" s="288"/>
      <c r="CUS38" s="288"/>
      <c r="CUT38" s="288"/>
      <c r="CUU38" s="288"/>
      <c r="CUV38" s="288"/>
      <c r="CUW38" s="288"/>
      <c r="CUX38" s="288"/>
      <c r="CUY38" s="288"/>
      <c r="CUZ38" s="288"/>
      <c r="CVA38" s="288"/>
      <c r="CVB38" s="288"/>
      <c r="CVC38" s="288"/>
      <c r="CVD38" s="288"/>
      <c r="CVE38" s="288"/>
      <c r="CVF38" s="288"/>
      <c r="CVG38" s="288"/>
      <c r="CVH38" s="288"/>
      <c r="CVI38" s="288"/>
      <c r="CVJ38" s="288"/>
      <c r="CVK38" s="288"/>
      <c r="CVL38" s="288"/>
      <c r="CVM38" s="288"/>
      <c r="CVN38" s="288"/>
      <c r="CVO38" s="288"/>
      <c r="CVP38" s="288"/>
      <c r="CVQ38" s="288"/>
      <c r="CVR38" s="288"/>
      <c r="CVS38" s="288"/>
      <c r="CVT38" s="288"/>
      <c r="CVU38" s="288"/>
      <c r="CVV38" s="288"/>
      <c r="CVW38" s="288"/>
      <c r="CVX38" s="288"/>
      <c r="CVY38" s="288"/>
      <c r="CVZ38" s="288"/>
      <c r="CWA38" s="288"/>
      <c r="CWB38" s="288"/>
      <c r="CWC38" s="288"/>
      <c r="CWD38" s="288"/>
      <c r="CWE38" s="288"/>
      <c r="CWF38" s="288"/>
      <c r="CWG38" s="288"/>
      <c r="CWH38" s="288"/>
      <c r="CWI38" s="288"/>
      <c r="CWJ38" s="288"/>
      <c r="CWK38" s="288"/>
      <c r="CWL38" s="288"/>
      <c r="CWM38" s="288"/>
      <c r="CWN38" s="288"/>
      <c r="CWO38" s="288"/>
      <c r="CWP38" s="288"/>
      <c r="CWQ38" s="288"/>
      <c r="CWR38" s="288"/>
      <c r="CWS38" s="288"/>
      <c r="CWT38" s="288"/>
      <c r="CWU38" s="288"/>
      <c r="CWV38" s="288"/>
      <c r="CWW38" s="288"/>
      <c r="CWX38" s="288"/>
      <c r="CWY38" s="288"/>
      <c r="CWZ38" s="288"/>
      <c r="CXA38" s="288"/>
      <c r="CXB38" s="288"/>
      <c r="CXC38" s="288"/>
      <c r="CXD38" s="288"/>
      <c r="CXE38" s="288"/>
      <c r="CXF38" s="288"/>
      <c r="CXG38" s="288"/>
      <c r="CXH38" s="288"/>
      <c r="CXI38" s="288"/>
      <c r="CXJ38" s="288"/>
      <c r="CXK38" s="288"/>
      <c r="CXL38" s="288"/>
      <c r="CXM38" s="288"/>
      <c r="CXN38" s="288"/>
      <c r="CXO38" s="288"/>
      <c r="CXP38" s="288"/>
      <c r="CXQ38" s="288"/>
      <c r="CXR38" s="288"/>
      <c r="CXS38" s="288"/>
      <c r="CXT38" s="288"/>
      <c r="CXU38" s="288"/>
      <c r="CXV38" s="288"/>
      <c r="CXW38" s="288"/>
      <c r="CXX38" s="288"/>
      <c r="CXY38" s="288"/>
      <c r="CXZ38" s="288"/>
      <c r="CYA38" s="288"/>
      <c r="CYB38" s="288"/>
      <c r="CYC38" s="288"/>
      <c r="CYD38" s="288"/>
      <c r="CYE38" s="288"/>
      <c r="CYF38" s="288"/>
      <c r="CYG38" s="288"/>
      <c r="CYH38" s="288"/>
      <c r="CYI38" s="288"/>
      <c r="CYJ38" s="288"/>
      <c r="CYK38" s="288"/>
      <c r="CYL38" s="288"/>
      <c r="CYM38" s="288"/>
      <c r="CYN38" s="288"/>
      <c r="CYO38" s="288"/>
      <c r="CYP38" s="288"/>
      <c r="CYQ38" s="288"/>
      <c r="CYR38" s="288"/>
      <c r="CYS38" s="288"/>
      <c r="CYT38" s="288"/>
      <c r="CYU38" s="288"/>
      <c r="CYV38" s="288"/>
      <c r="CYW38" s="288"/>
      <c r="CYX38" s="288"/>
      <c r="CYY38" s="288"/>
      <c r="CYZ38" s="288"/>
      <c r="CZA38" s="288"/>
      <c r="CZB38" s="288"/>
      <c r="CZC38" s="288"/>
      <c r="CZD38" s="288"/>
      <c r="CZE38" s="288"/>
      <c r="CZF38" s="288"/>
      <c r="CZG38" s="288"/>
      <c r="CZH38" s="288"/>
      <c r="CZI38" s="288"/>
      <c r="CZJ38" s="288"/>
      <c r="CZK38" s="288"/>
      <c r="CZL38" s="288"/>
      <c r="CZM38" s="288"/>
      <c r="CZN38" s="288"/>
      <c r="CZO38" s="288"/>
      <c r="CZP38" s="288"/>
      <c r="CZQ38" s="288"/>
      <c r="CZR38" s="288"/>
      <c r="CZS38" s="288"/>
      <c r="CZT38" s="288"/>
      <c r="CZU38" s="288"/>
      <c r="CZV38" s="288"/>
      <c r="CZW38" s="288"/>
      <c r="CZX38" s="288"/>
      <c r="CZY38" s="288"/>
      <c r="CZZ38" s="288"/>
      <c r="DAA38" s="288"/>
      <c r="DAB38" s="288"/>
      <c r="DAC38" s="288"/>
      <c r="DAD38" s="288"/>
      <c r="DAE38" s="288"/>
      <c r="DAF38" s="288"/>
      <c r="DAG38" s="288"/>
      <c r="DAH38" s="288"/>
      <c r="DAI38" s="288"/>
      <c r="DAJ38" s="288"/>
      <c r="DAK38" s="288"/>
      <c r="DAL38" s="288"/>
      <c r="DAM38" s="288"/>
      <c r="DAN38" s="288"/>
      <c r="DAO38" s="288"/>
      <c r="DAP38" s="288"/>
      <c r="DAQ38" s="288"/>
      <c r="DAR38" s="288"/>
      <c r="DAS38" s="288"/>
      <c r="DAT38" s="288"/>
      <c r="DAU38" s="288"/>
      <c r="DAV38" s="288"/>
      <c r="DAW38" s="288"/>
      <c r="DAX38" s="288"/>
      <c r="DAY38" s="288"/>
      <c r="DAZ38" s="288"/>
      <c r="DBA38" s="288"/>
      <c r="DBB38" s="288"/>
      <c r="DBC38" s="288"/>
      <c r="DBD38" s="288"/>
      <c r="DBE38" s="288"/>
      <c r="DBF38" s="288"/>
      <c r="DBG38" s="288"/>
      <c r="DBH38" s="288"/>
      <c r="DBI38" s="288"/>
      <c r="DBJ38" s="288"/>
      <c r="DBK38" s="288"/>
      <c r="DBL38" s="288"/>
      <c r="DBM38" s="288"/>
      <c r="DBN38" s="288"/>
      <c r="DBO38" s="288"/>
      <c r="DBP38" s="288"/>
      <c r="DBQ38" s="288"/>
      <c r="DBR38" s="288"/>
      <c r="DBS38" s="288"/>
      <c r="DBT38" s="288"/>
      <c r="DBU38" s="288"/>
      <c r="DBV38" s="288"/>
      <c r="DBW38" s="288"/>
      <c r="DBX38" s="288"/>
      <c r="DBY38" s="288"/>
      <c r="DBZ38" s="288"/>
      <c r="DCA38" s="288"/>
      <c r="DCB38" s="288"/>
      <c r="DCC38" s="288"/>
      <c r="DCD38" s="288"/>
      <c r="DCE38" s="288"/>
      <c r="DCF38" s="288"/>
      <c r="DCG38" s="288"/>
      <c r="DCH38" s="288"/>
      <c r="DCI38" s="288"/>
      <c r="DCJ38" s="288"/>
      <c r="DCK38" s="288"/>
      <c r="DCL38" s="288"/>
      <c r="DCM38" s="288"/>
      <c r="DCN38" s="288"/>
      <c r="DCO38" s="288"/>
      <c r="DCP38" s="288"/>
      <c r="DCQ38" s="288"/>
      <c r="DCR38" s="288"/>
      <c r="DCS38" s="288"/>
      <c r="DCT38" s="288"/>
      <c r="DCU38" s="288"/>
      <c r="DCV38" s="288"/>
      <c r="DCW38" s="288"/>
      <c r="DCX38" s="288"/>
      <c r="DCY38" s="288"/>
      <c r="DCZ38" s="288"/>
      <c r="DDA38" s="288"/>
      <c r="DDB38" s="288"/>
      <c r="DDC38" s="288"/>
      <c r="DDD38" s="288"/>
      <c r="DDE38" s="288"/>
      <c r="DDF38" s="288"/>
      <c r="DDG38" s="288"/>
      <c r="DDH38" s="288"/>
      <c r="DDI38" s="288"/>
      <c r="DDJ38" s="288"/>
      <c r="DDK38" s="288"/>
      <c r="DDL38" s="288"/>
      <c r="DDM38" s="288"/>
      <c r="DDN38" s="288"/>
      <c r="DDO38" s="288"/>
      <c r="DDP38" s="288"/>
      <c r="DDQ38" s="288"/>
      <c r="DDR38" s="288"/>
      <c r="DDS38" s="288"/>
      <c r="DDT38" s="288"/>
      <c r="DDU38" s="288"/>
      <c r="DDV38" s="288"/>
      <c r="DDW38" s="288"/>
      <c r="DDX38" s="288"/>
      <c r="DDY38" s="288"/>
      <c r="DDZ38" s="288"/>
      <c r="DEA38" s="288"/>
      <c r="DEB38" s="288"/>
      <c r="DEC38" s="288"/>
      <c r="DED38" s="288"/>
      <c r="DEE38" s="288"/>
      <c r="DEF38" s="288"/>
      <c r="DEG38" s="288"/>
      <c r="DEH38" s="288"/>
      <c r="DEI38" s="288"/>
      <c r="DEJ38" s="288"/>
      <c r="DEK38" s="288"/>
      <c r="DEL38" s="288"/>
      <c r="DEM38" s="288"/>
      <c r="DEN38" s="288"/>
      <c r="DEO38" s="288"/>
      <c r="DEP38" s="288"/>
      <c r="DEQ38" s="288"/>
      <c r="DER38" s="288"/>
      <c r="DES38" s="288"/>
      <c r="DET38" s="288"/>
      <c r="DEU38" s="288"/>
      <c r="DEV38" s="288"/>
      <c r="DEW38" s="288"/>
      <c r="DEX38" s="288"/>
      <c r="DEY38" s="288"/>
      <c r="DEZ38" s="288"/>
      <c r="DFA38" s="288"/>
      <c r="DFB38" s="288"/>
      <c r="DFC38" s="288"/>
      <c r="DFD38" s="288"/>
      <c r="DFE38" s="288"/>
      <c r="DFF38" s="288"/>
      <c r="DFG38" s="288"/>
      <c r="DFH38" s="288"/>
      <c r="DFI38" s="288"/>
      <c r="DFJ38" s="288"/>
      <c r="DFK38" s="288"/>
      <c r="DFL38" s="288"/>
      <c r="DFM38" s="288"/>
      <c r="DFN38" s="288"/>
      <c r="DFO38" s="288"/>
      <c r="DFP38" s="288"/>
      <c r="DFQ38" s="288"/>
      <c r="DFR38" s="288"/>
      <c r="DFS38" s="288"/>
      <c r="DFT38" s="288"/>
      <c r="DFU38" s="288"/>
      <c r="DFV38" s="288"/>
      <c r="DFW38" s="288"/>
      <c r="DFX38" s="288"/>
      <c r="DFY38" s="288"/>
      <c r="DFZ38" s="288"/>
      <c r="DGA38" s="288"/>
      <c r="DGB38" s="288"/>
      <c r="DGC38" s="288"/>
      <c r="DGD38" s="288"/>
      <c r="DGE38" s="288"/>
      <c r="DGF38" s="288"/>
      <c r="DGG38" s="288"/>
      <c r="DGH38" s="288"/>
      <c r="DGI38" s="288"/>
      <c r="DGJ38" s="288"/>
      <c r="DGK38" s="288"/>
      <c r="DGL38" s="288"/>
      <c r="DGM38" s="288"/>
      <c r="DGN38" s="288"/>
      <c r="DGO38" s="288"/>
      <c r="DGP38" s="288"/>
      <c r="DGQ38" s="288"/>
      <c r="DGR38" s="288"/>
      <c r="DGS38" s="288"/>
      <c r="DGT38" s="288"/>
      <c r="DGU38" s="288"/>
      <c r="DGV38" s="288"/>
      <c r="DGW38" s="288"/>
      <c r="DGX38" s="288"/>
      <c r="DGY38" s="288"/>
      <c r="DGZ38" s="288"/>
      <c r="DHA38" s="288"/>
      <c r="DHB38" s="288"/>
      <c r="DHC38" s="288"/>
      <c r="DHD38" s="288"/>
      <c r="DHE38" s="288"/>
      <c r="DHF38" s="288"/>
      <c r="DHG38" s="288"/>
      <c r="DHH38" s="288"/>
      <c r="DHI38" s="288"/>
      <c r="DHJ38" s="288"/>
      <c r="DHK38" s="288"/>
      <c r="DHL38" s="288"/>
      <c r="DHM38" s="288"/>
      <c r="DHN38" s="288"/>
      <c r="DHO38" s="288"/>
      <c r="DHP38" s="288"/>
      <c r="DHQ38" s="288"/>
      <c r="DHR38" s="288"/>
      <c r="DHS38" s="288"/>
      <c r="DHT38" s="288"/>
      <c r="DHU38" s="288"/>
      <c r="DHV38" s="288"/>
      <c r="DHW38" s="288"/>
      <c r="DHX38" s="288"/>
      <c r="DHY38" s="288"/>
      <c r="DHZ38" s="288"/>
      <c r="DIA38" s="288"/>
      <c r="DIB38" s="288"/>
      <c r="DIC38" s="288"/>
      <c r="DID38" s="288"/>
      <c r="DIE38" s="288"/>
      <c r="DIF38" s="288"/>
      <c r="DIG38" s="288"/>
      <c r="DIH38" s="288"/>
      <c r="DII38" s="288"/>
      <c r="DIJ38" s="288"/>
      <c r="DIK38" s="288"/>
      <c r="DIL38" s="288"/>
      <c r="DIM38" s="288"/>
      <c r="DIN38" s="288"/>
      <c r="DIO38" s="288"/>
      <c r="DIP38" s="288"/>
      <c r="DIQ38" s="288"/>
      <c r="DIR38" s="288"/>
      <c r="DIS38" s="288"/>
      <c r="DIT38" s="288"/>
      <c r="DIU38" s="288"/>
      <c r="DIV38" s="288"/>
      <c r="DIW38" s="288"/>
      <c r="DIX38" s="288"/>
      <c r="DIY38" s="288"/>
      <c r="DIZ38" s="288"/>
      <c r="DJA38" s="288"/>
      <c r="DJB38" s="288"/>
      <c r="DJC38" s="288"/>
      <c r="DJD38" s="288"/>
      <c r="DJE38" s="288"/>
      <c r="DJF38" s="288"/>
      <c r="DJG38" s="288"/>
      <c r="DJH38" s="288"/>
      <c r="DJI38" s="288"/>
      <c r="DJJ38" s="288"/>
      <c r="DJK38" s="288"/>
      <c r="DJL38" s="288"/>
      <c r="DJM38" s="288"/>
      <c r="DJN38" s="288"/>
      <c r="DJO38" s="288"/>
      <c r="DJP38" s="288"/>
      <c r="DJQ38" s="288"/>
      <c r="DJR38" s="288"/>
      <c r="DJS38" s="288"/>
      <c r="DJT38" s="288"/>
      <c r="DJU38" s="288"/>
      <c r="DJV38" s="288"/>
      <c r="DJW38" s="288"/>
      <c r="DJX38" s="288"/>
      <c r="DJY38" s="288"/>
      <c r="DJZ38" s="288"/>
      <c r="DKA38" s="288"/>
      <c r="DKB38" s="288"/>
      <c r="DKC38" s="288"/>
      <c r="DKD38" s="288"/>
      <c r="DKE38" s="288"/>
      <c r="DKF38" s="288"/>
      <c r="DKG38" s="288"/>
      <c r="DKH38" s="288"/>
      <c r="DKI38" s="288"/>
      <c r="DKJ38" s="288"/>
      <c r="DKK38" s="288"/>
      <c r="DKL38" s="288"/>
      <c r="DKM38" s="288"/>
      <c r="DKN38" s="288"/>
      <c r="DKO38" s="288"/>
      <c r="DKP38" s="288"/>
      <c r="DKQ38" s="288"/>
      <c r="DKR38" s="288"/>
      <c r="DKS38" s="288"/>
      <c r="DKT38" s="288"/>
      <c r="DKU38" s="288"/>
      <c r="DKV38" s="288"/>
      <c r="DKW38" s="288"/>
      <c r="DKX38" s="288"/>
      <c r="DKY38" s="288"/>
      <c r="DKZ38" s="288"/>
      <c r="DLA38" s="288"/>
      <c r="DLB38" s="288"/>
      <c r="DLC38" s="288"/>
      <c r="DLD38" s="288"/>
      <c r="DLE38" s="288"/>
      <c r="DLF38" s="288"/>
      <c r="DLG38" s="288"/>
      <c r="DLH38" s="288"/>
      <c r="DLI38" s="288"/>
      <c r="DLJ38" s="288"/>
      <c r="DLK38" s="288"/>
      <c r="DLL38" s="288"/>
      <c r="DLM38" s="288"/>
      <c r="DLN38" s="288"/>
      <c r="DLO38" s="288"/>
      <c r="DLP38" s="288"/>
      <c r="DLQ38" s="288"/>
      <c r="DLR38" s="288"/>
      <c r="DLS38" s="288"/>
      <c r="DLT38" s="288"/>
      <c r="DLU38" s="288"/>
      <c r="DLV38" s="288"/>
      <c r="DLW38" s="288"/>
      <c r="DLX38" s="288"/>
      <c r="DLY38" s="288"/>
      <c r="DLZ38" s="288"/>
      <c r="DMA38" s="288"/>
      <c r="DMB38" s="288"/>
      <c r="DMC38" s="288"/>
      <c r="DMD38" s="288"/>
      <c r="DME38" s="288"/>
      <c r="DMF38" s="288"/>
      <c r="DMG38" s="288"/>
      <c r="DMH38" s="288"/>
      <c r="DMI38" s="288"/>
      <c r="DMJ38" s="288"/>
      <c r="DMK38" s="288"/>
      <c r="DML38" s="288"/>
      <c r="DMM38" s="288"/>
      <c r="DMN38" s="288"/>
      <c r="DMO38" s="288"/>
      <c r="DMP38" s="288"/>
      <c r="DMQ38" s="288"/>
      <c r="DMR38" s="288"/>
      <c r="DMS38" s="288"/>
      <c r="DMT38" s="288"/>
      <c r="DMU38" s="288"/>
      <c r="DMV38" s="288"/>
      <c r="DMW38" s="288"/>
      <c r="DMX38" s="288"/>
      <c r="DMY38" s="288"/>
      <c r="DMZ38" s="288"/>
      <c r="DNA38" s="288"/>
      <c r="DNB38" s="288"/>
      <c r="DNC38" s="288"/>
      <c r="DND38" s="288"/>
      <c r="DNE38" s="288"/>
      <c r="DNF38" s="288"/>
      <c r="DNG38" s="288"/>
      <c r="DNH38" s="288"/>
      <c r="DNI38" s="288"/>
      <c r="DNJ38" s="288"/>
      <c r="DNK38" s="288"/>
      <c r="DNL38" s="288"/>
      <c r="DNM38" s="288"/>
      <c r="DNN38" s="288"/>
      <c r="DNO38" s="288"/>
      <c r="DNP38" s="288"/>
      <c r="DNQ38" s="288"/>
      <c r="DNR38" s="288"/>
      <c r="DNS38" s="288"/>
      <c r="DNT38" s="288"/>
      <c r="DNU38" s="288"/>
      <c r="DNV38" s="288"/>
      <c r="DNW38" s="288"/>
      <c r="DNX38" s="288"/>
      <c r="DNY38" s="288"/>
      <c r="DNZ38" s="288"/>
      <c r="DOA38" s="288"/>
      <c r="DOB38" s="288"/>
      <c r="DOC38" s="288"/>
      <c r="DOD38" s="288"/>
      <c r="DOE38" s="288"/>
      <c r="DOF38" s="288"/>
      <c r="DOG38" s="288"/>
      <c r="DOH38" s="288"/>
      <c r="DOI38" s="288"/>
      <c r="DOJ38" s="288"/>
      <c r="DOK38" s="288"/>
      <c r="DOL38" s="288"/>
      <c r="DOM38" s="288"/>
      <c r="DON38" s="288"/>
      <c r="DOO38" s="288"/>
      <c r="DOP38" s="288"/>
      <c r="DOQ38" s="288"/>
      <c r="DOR38" s="288"/>
      <c r="DOS38" s="288"/>
      <c r="DOT38" s="288"/>
      <c r="DOU38" s="288"/>
      <c r="DOV38" s="288"/>
      <c r="DOW38" s="288"/>
      <c r="DOX38" s="288"/>
      <c r="DOY38" s="288"/>
      <c r="DOZ38" s="288"/>
      <c r="DPA38" s="288"/>
      <c r="DPB38" s="288"/>
      <c r="DPC38" s="288"/>
      <c r="DPD38" s="288"/>
      <c r="DPE38" s="288"/>
      <c r="DPF38" s="288"/>
      <c r="DPG38" s="288"/>
      <c r="DPH38" s="288"/>
      <c r="DPI38" s="288"/>
      <c r="DPJ38" s="288"/>
      <c r="DPK38" s="288"/>
      <c r="DPL38" s="288"/>
      <c r="DPM38" s="288"/>
      <c r="DPN38" s="288"/>
      <c r="DPO38" s="288"/>
      <c r="DPP38" s="288"/>
      <c r="DPQ38" s="288"/>
      <c r="DPR38" s="288"/>
      <c r="DPS38" s="288"/>
      <c r="DPT38" s="288"/>
      <c r="DPU38" s="288"/>
      <c r="DPV38" s="288"/>
      <c r="DPW38" s="288"/>
      <c r="DPX38" s="288"/>
      <c r="DPY38" s="288"/>
      <c r="DPZ38" s="288"/>
      <c r="DQA38" s="288"/>
      <c r="DQB38" s="288"/>
      <c r="DQC38" s="288"/>
      <c r="DQD38" s="288"/>
      <c r="DQE38" s="288"/>
      <c r="DQF38" s="288"/>
      <c r="DQG38" s="288"/>
      <c r="DQH38" s="288"/>
      <c r="DQI38" s="288"/>
      <c r="DQJ38" s="288"/>
      <c r="DQK38" s="288"/>
      <c r="DQL38" s="288"/>
      <c r="DQM38" s="288"/>
      <c r="DQN38" s="288"/>
      <c r="DQO38" s="288"/>
      <c r="DQP38" s="288"/>
      <c r="DQQ38" s="288"/>
      <c r="DQR38" s="288"/>
      <c r="DQS38" s="288"/>
      <c r="DQT38" s="288"/>
      <c r="DQU38" s="288"/>
      <c r="DQV38" s="288"/>
      <c r="DQW38" s="288"/>
      <c r="DQX38" s="288"/>
      <c r="DQY38" s="288"/>
      <c r="DQZ38" s="288"/>
      <c r="DRA38" s="288"/>
      <c r="DRB38" s="288"/>
      <c r="DRC38" s="288"/>
      <c r="DRD38" s="288"/>
      <c r="DRE38" s="288"/>
      <c r="DRF38" s="288"/>
      <c r="DRG38" s="288"/>
      <c r="DRH38" s="288"/>
      <c r="DRI38" s="288"/>
      <c r="DRJ38" s="288"/>
      <c r="DRK38" s="288"/>
      <c r="DRL38" s="288"/>
      <c r="DRM38" s="288"/>
      <c r="DRN38" s="288"/>
      <c r="DRO38" s="288"/>
      <c r="DRP38" s="288"/>
      <c r="DRQ38" s="288"/>
      <c r="DRR38" s="288"/>
      <c r="DRS38" s="288"/>
      <c r="DRT38" s="288"/>
      <c r="DRU38" s="288"/>
      <c r="DRV38" s="288"/>
      <c r="DRW38" s="288"/>
      <c r="DRX38" s="288"/>
      <c r="DRY38" s="288"/>
      <c r="DRZ38" s="288"/>
      <c r="DSA38" s="288"/>
      <c r="DSB38" s="288"/>
      <c r="DSC38" s="288"/>
      <c r="DSD38" s="288"/>
      <c r="DSE38" s="288"/>
      <c r="DSF38" s="288"/>
      <c r="DSG38" s="288"/>
      <c r="DSH38" s="288"/>
      <c r="DSI38" s="288"/>
      <c r="DSJ38" s="288"/>
      <c r="DSK38" s="288"/>
      <c r="DSL38" s="288"/>
      <c r="DSM38" s="288"/>
      <c r="DSN38" s="288"/>
      <c r="DSO38" s="288"/>
      <c r="DSP38" s="288"/>
      <c r="DSQ38" s="288"/>
      <c r="DSR38" s="288"/>
      <c r="DSS38" s="288"/>
      <c r="DST38" s="288"/>
      <c r="DSU38" s="288"/>
      <c r="DSV38" s="288"/>
      <c r="DSW38" s="288"/>
      <c r="DSX38" s="288"/>
      <c r="DSY38" s="288"/>
      <c r="DSZ38" s="288"/>
      <c r="DTA38" s="288"/>
      <c r="DTB38" s="288"/>
      <c r="DTC38" s="288"/>
      <c r="DTD38" s="288"/>
      <c r="DTE38" s="288"/>
      <c r="DTF38" s="288"/>
      <c r="DTG38" s="288"/>
      <c r="DTH38" s="288"/>
      <c r="DTI38" s="288"/>
      <c r="DTJ38" s="288"/>
      <c r="DTK38" s="288"/>
      <c r="DTL38" s="288"/>
      <c r="DTM38" s="288"/>
      <c r="DTN38" s="288"/>
      <c r="DTO38" s="288"/>
      <c r="DTP38" s="288"/>
      <c r="DTQ38" s="288"/>
      <c r="DTR38" s="288"/>
      <c r="DTS38" s="288"/>
      <c r="DTT38" s="288"/>
      <c r="DTU38" s="288"/>
      <c r="DTV38" s="288"/>
      <c r="DTW38" s="288"/>
      <c r="DTX38" s="288"/>
      <c r="DTY38" s="288"/>
      <c r="DTZ38" s="288"/>
      <c r="DUA38" s="288"/>
      <c r="DUB38" s="288"/>
      <c r="DUC38" s="288"/>
      <c r="DUD38" s="288"/>
      <c r="DUE38" s="288"/>
      <c r="DUF38" s="288"/>
      <c r="DUG38" s="288"/>
      <c r="DUH38" s="288"/>
      <c r="DUI38" s="288"/>
      <c r="DUJ38" s="288"/>
      <c r="DUK38" s="288"/>
      <c r="DUL38" s="288"/>
      <c r="DUM38" s="288"/>
      <c r="DUN38" s="288"/>
      <c r="DUO38" s="288"/>
      <c r="DUP38" s="288"/>
      <c r="DUQ38" s="288"/>
      <c r="DUR38" s="288"/>
      <c r="DUS38" s="288"/>
      <c r="DUT38" s="288"/>
      <c r="DUU38" s="288"/>
      <c r="DUV38" s="288"/>
      <c r="DUW38" s="288"/>
      <c r="DUX38" s="288"/>
      <c r="DUY38" s="288"/>
      <c r="DUZ38" s="288"/>
      <c r="DVA38" s="288"/>
      <c r="DVB38" s="288"/>
      <c r="DVC38" s="288"/>
      <c r="DVD38" s="288"/>
      <c r="DVE38" s="288"/>
      <c r="DVF38" s="288"/>
      <c r="DVG38" s="288"/>
      <c r="DVH38" s="288"/>
      <c r="DVI38" s="288"/>
      <c r="DVJ38" s="288"/>
      <c r="DVK38" s="288"/>
      <c r="DVL38" s="288"/>
      <c r="DVM38" s="288"/>
      <c r="DVN38" s="288"/>
      <c r="DVO38" s="288"/>
      <c r="DVP38" s="288"/>
      <c r="DVQ38" s="288"/>
      <c r="DVR38" s="288"/>
      <c r="DVS38" s="288"/>
      <c r="DVT38" s="288"/>
      <c r="DVU38" s="288"/>
      <c r="DVV38" s="288"/>
      <c r="DVW38" s="288"/>
      <c r="DVX38" s="288"/>
      <c r="DVY38" s="288"/>
      <c r="DVZ38" s="288"/>
      <c r="DWA38" s="288"/>
      <c r="DWB38" s="288"/>
      <c r="DWC38" s="288"/>
      <c r="DWD38" s="288"/>
      <c r="DWE38" s="288"/>
      <c r="DWF38" s="288"/>
      <c r="DWG38" s="288"/>
      <c r="DWH38" s="288"/>
      <c r="DWI38" s="288"/>
      <c r="DWJ38" s="288"/>
      <c r="DWK38" s="288"/>
      <c r="DWL38" s="288"/>
      <c r="DWM38" s="288"/>
      <c r="DWN38" s="288"/>
      <c r="DWO38" s="288"/>
      <c r="DWP38" s="288"/>
      <c r="DWQ38" s="288"/>
      <c r="DWR38" s="288"/>
      <c r="DWS38" s="288"/>
      <c r="DWT38" s="288"/>
      <c r="DWU38" s="288"/>
      <c r="DWV38" s="288"/>
      <c r="DWW38" s="288"/>
      <c r="DWX38" s="288"/>
      <c r="DWY38" s="288"/>
      <c r="DWZ38" s="288"/>
      <c r="DXA38" s="288"/>
      <c r="DXB38" s="288"/>
      <c r="DXC38" s="288"/>
      <c r="DXD38" s="288"/>
      <c r="DXE38" s="288"/>
      <c r="DXF38" s="288"/>
      <c r="DXG38" s="288"/>
      <c r="DXH38" s="288"/>
      <c r="DXI38" s="288"/>
      <c r="DXJ38" s="288"/>
      <c r="DXK38" s="288"/>
      <c r="DXL38" s="288"/>
      <c r="DXM38" s="288"/>
      <c r="DXN38" s="288"/>
      <c r="DXO38" s="288"/>
      <c r="DXP38" s="288"/>
      <c r="DXQ38" s="288"/>
      <c r="DXR38" s="288"/>
      <c r="DXS38" s="288"/>
      <c r="DXT38" s="288"/>
      <c r="DXU38" s="288"/>
      <c r="DXV38" s="288"/>
      <c r="DXW38" s="288"/>
      <c r="DXX38" s="288"/>
      <c r="DXY38" s="288"/>
      <c r="DXZ38" s="288"/>
      <c r="DYA38" s="288"/>
      <c r="DYB38" s="288"/>
      <c r="DYC38" s="288"/>
      <c r="DYD38" s="288"/>
      <c r="DYE38" s="288"/>
      <c r="DYF38" s="288"/>
      <c r="DYG38" s="288"/>
      <c r="DYH38" s="288"/>
      <c r="DYI38" s="288"/>
      <c r="DYJ38" s="288"/>
      <c r="DYK38" s="288"/>
      <c r="DYL38" s="288"/>
      <c r="DYM38" s="288"/>
      <c r="DYN38" s="288"/>
      <c r="DYO38" s="288"/>
      <c r="DYP38" s="288"/>
      <c r="DYQ38" s="288"/>
      <c r="DYR38" s="288"/>
      <c r="DYS38" s="288"/>
      <c r="DYT38" s="288"/>
      <c r="DYU38" s="288"/>
      <c r="DYV38" s="288"/>
      <c r="DYW38" s="288"/>
      <c r="DYX38" s="288"/>
      <c r="DYY38" s="288"/>
      <c r="DYZ38" s="288"/>
      <c r="DZA38" s="288"/>
      <c r="DZB38" s="288"/>
      <c r="DZC38" s="288"/>
      <c r="DZD38" s="288"/>
      <c r="DZE38" s="288"/>
      <c r="DZF38" s="288"/>
      <c r="DZG38" s="288"/>
      <c r="DZH38" s="288"/>
      <c r="DZI38" s="288"/>
      <c r="DZJ38" s="288"/>
      <c r="DZK38" s="288"/>
      <c r="DZL38" s="288"/>
      <c r="DZM38" s="288"/>
      <c r="DZN38" s="288"/>
      <c r="DZO38" s="288"/>
      <c r="DZP38" s="288"/>
      <c r="DZQ38" s="288"/>
      <c r="DZR38" s="288"/>
      <c r="DZS38" s="288"/>
      <c r="DZT38" s="288"/>
      <c r="DZU38" s="288"/>
      <c r="DZV38" s="288"/>
      <c r="DZW38" s="288"/>
      <c r="DZX38" s="288"/>
      <c r="DZY38" s="288"/>
      <c r="DZZ38" s="288"/>
      <c r="EAA38" s="288"/>
      <c r="EAB38" s="288"/>
      <c r="EAC38" s="288"/>
      <c r="EAD38" s="288"/>
      <c r="EAE38" s="288"/>
      <c r="EAF38" s="288"/>
      <c r="EAG38" s="288"/>
      <c r="EAH38" s="288"/>
      <c r="EAI38" s="288"/>
      <c r="EAJ38" s="288"/>
      <c r="EAK38" s="288"/>
      <c r="EAL38" s="288"/>
      <c r="EAM38" s="288"/>
      <c r="EAN38" s="288"/>
      <c r="EAO38" s="288"/>
      <c r="EAP38" s="288"/>
      <c r="EAQ38" s="288"/>
      <c r="EAR38" s="288"/>
      <c r="EAS38" s="288"/>
      <c r="EAT38" s="288"/>
      <c r="EAU38" s="288"/>
      <c r="EAV38" s="288"/>
      <c r="EAW38" s="288"/>
      <c r="EAX38" s="288"/>
      <c r="EAY38" s="288"/>
      <c r="EAZ38" s="288"/>
      <c r="EBA38" s="288"/>
      <c r="EBB38" s="288"/>
      <c r="EBC38" s="288"/>
      <c r="EBD38" s="288"/>
      <c r="EBE38" s="288"/>
      <c r="EBF38" s="288"/>
      <c r="EBG38" s="288"/>
      <c r="EBH38" s="288"/>
      <c r="EBI38" s="288"/>
      <c r="EBJ38" s="288"/>
      <c r="EBK38" s="288"/>
      <c r="EBL38" s="288"/>
      <c r="EBM38" s="288"/>
      <c r="EBN38" s="288"/>
      <c r="EBO38" s="288"/>
      <c r="EBP38" s="288"/>
      <c r="EBQ38" s="288"/>
      <c r="EBR38" s="288"/>
      <c r="EBS38" s="288"/>
      <c r="EBT38" s="288"/>
      <c r="EBU38" s="288"/>
      <c r="EBV38" s="288"/>
      <c r="EBW38" s="288"/>
      <c r="EBX38" s="288"/>
      <c r="EBY38" s="288"/>
      <c r="EBZ38" s="288"/>
      <c r="ECA38" s="288"/>
      <c r="ECB38" s="288"/>
      <c r="ECC38" s="288"/>
      <c r="ECD38" s="288"/>
      <c r="ECE38" s="288"/>
      <c r="ECF38" s="288"/>
      <c r="ECG38" s="288"/>
      <c r="ECH38" s="288"/>
      <c r="ECI38" s="288"/>
      <c r="ECJ38" s="288"/>
      <c r="ECK38" s="288"/>
      <c r="ECL38" s="288"/>
      <c r="ECM38" s="288"/>
      <c r="ECN38" s="288"/>
      <c r="ECO38" s="288"/>
      <c r="ECP38" s="288"/>
      <c r="ECQ38" s="288"/>
      <c r="ECR38" s="288"/>
      <c r="ECS38" s="288"/>
      <c r="ECT38" s="288"/>
      <c r="ECU38" s="288"/>
      <c r="ECV38" s="288"/>
      <c r="ECW38" s="288"/>
      <c r="ECX38" s="288"/>
      <c r="ECY38" s="288"/>
      <c r="ECZ38" s="288"/>
      <c r="EDA38" s="288"/>
      <c r="EDB38" s="288"/>
      <c r="EDC38" s="288"/>
      <c r="EDD38" s="288"/>
      <c r="EDE38" s="288"/>
      <c r="EDF38" s="288"/>
      <c r="EDG38" s="288"/>
      <c r="EDH38" s="288"/>
      <c r="EDI38" s="288"/>
      <c r="EDJ38" s="288"/>
      <c r="EDK38" s="288"/>
      <c r="EDL38" s="288"/>
      <c r="EDM38" s="288"/>
      <c r="EDN38" s="288"/>
      <c r="EDO38" s="288"/>
      <c r="EDP38" s="288"/>
      <c r="EDQ38" s="288"/>
      <c r="EDR38" s="288"/>
      <c r="EDS38" s="288"/>
      <c r="EDT38" s="288"/>
      <c r="EDU38" s="288"/>
      <c r="EDV38" s="288"/>
      <c r="EDW38" s="288"/>
      <c r="EDX38" s="288"/>
      <c r="EDY38" s="288"/>
      <c r="EDZ38" s="288"/>
      <c r="EEA38" s="288"/>
      <c r="EEB38" s="288"/>
      <c r="EEC38" s="288"/>
      <c r="EED38" s="288"/>
      <c r="EEE38" s="288"/>
      <c r="EEF38" s="288"/>
      <c r="EEG38" s="288"/>
      <c r="EEH38" s="288"/>
      <c r="EEI38" s="288"/>
      <c r="EEJ38" s="288"/>
      <c r="EEK38" s="288"/>
      <c r="EEL38" s="288"/>
      <c r="EEM38" s="288"/>
      <c r="EEN38" s="288"/>
      <c r="EEO38" s="288"/>
      <c r="EEP38" s="288"/>
      <c r="EEQ38" s="288"/>
      <c r="EER38" s="288"/>
      <c r="EES38" s="288"/>
      <c r="EET38" s="288"/>
      <c r="EEU38" s="288"/>
      <c r="EEV38" s="288"/>
      <c r="EEW38" s="288"/>
      <c r="EEX38" s="288"/>
      <c r="EEY38" s="288"/>
      <c r="EEZ38" s="288"/>
      <c r="EFA38" s="288"/>
      <c r="EFB38" s="288"/>
      <c r="EFC38" s="288"/>
      <c r="EFD38" s="288"/>
      <c r="EFE38" s="288"/>
      <c r="EFF38" s="288"/>
      <c r="EFG38" s="288"/>
      <c r="EFH38" s="288"/>
      <c r="EFI38" s="288"/>
      <c r="EFJ38" s="288"/>
      <c r="EFK38" s="288"/>
      <c r="EFL38" s="288"/>
      <c r="EFM38" s="288"/>
      <c r="EFN38" s="288"/>
      <c r="EFO38" s="288"/>
      <c r="EFP38" s="288"/>
      <c r="EFQ38" s="288"/>
      <c r="EFR38" s="288"/>
      <c r="EFS38" s="288"/>
      <c r="EFT38" s="288"/>
      <c r="EFU38" s="288"/>
      <c r="EFV38" s="288"/>
      <c r="EFW38" s="288"/>
      <c r="EFX38" s="288"/>
      <c r="EFY38" s="288"/>
      <c r="EFZ38" s="288"/>
      <c r="EGA38" s="288"/>
      <c r="EGB38" s="288"/>
      <c r="EGC38" s="288"/>
      <c r="EGD38" s="288"/>
      <c r="EGE38" s="288"/>
      <c r="EGF38" s="288"/>
      <c r="EGG38" s="288"/>
      <c r="EGH38" s="288"/>
      <c r="EGI38" s="288"/>
      <c r="EGJ38" s="288"/>
      <c r="EGK38" s="288"/>
      <c r="EGL38" s="288"/>
      <c r="EGM38" s="288"/>
      <c r="EGN38" s="288"/>
      <c r="EGO38" s="288"/>
      <c r="EGP38" s="288"/>
      <c r="EGQ38" s="288"/>
      <c r="EGR38" s="288"/>
      <c r="EGS38" s="288"/>
      <c r="EGT38" s="288"/>
      <c r="EGU38" s="288"/>
      <c r="EGV38" s="288"/>
      <c r="EGW38" s="288"/>
      <c r="EGX38" s="288"/>
      <c r="EGY38" s="288"/>
      <c r="EGZ38" s="288"/>
      <c r="EHA38" s="288"/>
      <c r="EHB38" s="288"/>
      <c r="EHC38" s="288"/>
      <c r="EHD38" s="288"/>
      <c r="EHE38" s="288"/>
      <c r="EHF38" s="288"/>
      <c r="EHG38" s="288"/>
      <c r="EHH38" s="288"/>
      <c r="EHI38" s="288"/>
      <c r="EHJ38" s="288"/>
      <c r="EHK38" s="288"/>
      <c r="EHL38" s="288"/>
      <c r="EHM38" s="288"/>
      <c r="EHN38" s="288"/>
      <c r="EHO38" s="288"/>
      <c r="EHP38" s="288"/>
      <c r="EHQ38" s="288"/>
      <c r="EHR38" s="288"/>
      <c r="EHS38" s="288"/>
      <c r="EHT38" s="288"/>
      <c r="EHU38" s="288"/>
      <c r="EHV38" s="288"/>
      <c r="EHW38" s="288"/>
      <c r="EHX38" s="288"/>
      <c r="EHY38" s="288"/>
      <c r="EHZ38" s="288"/>
      <c r="EIA38" s="288"/>
      <c r="EIB38" s="288"/>
      <c r="EIC38" s="288"/>
      <c r="EID38" s="288"/>
      <c r="EIE38" s="288"/>
      <c r="EIF38" s="288"/>
      <c r="EIG38" s="288"/>
      <c r="EIH38" s="288"/>
      <c r="EII38" s="288"/>
      <c r="EIJ38" s="288"/>
      <c r="EIK38" s="288"/>
      <c r="EIL38" s="288"/>
      <c r="EIM38" s="288"/>
      <c r="EIN38" s="288"/>
      <c r="EIO38" s="288"/>
      <c r="EIP38" s="288"/>
      <c r="EIQ38" s="288"/>
      <c r="EIR38" s="288"/>
      <c r="EIS38" s="288"/>
      <c r="EIT38" s="288"/>
      <c r="EIU38" s="288"/>
      <c r="EIV38" s="288"/>
      <c r="EIW38" s="288"/>
      <c r="EIX38" s="288"/>
      <c r="EIY38" s="288"/>
      <c r="EIZ38" s="288"/>
      <c r="EJA38" s="288"/>
      <c r="EJB38" s="288"/>
      <c r="EJC38" s="288"/>
      <c r="EJD38" s="288"/>
      <c r="EJE38" s="288"/>
      <c r="EJF38" s="288"/>
      <c r="EJG38" s="288"/>
      <c r="EJH38" s="288"/>
      <c r="EJI38" s="288"/>
      <c r="EJJ38" s="288"/>
      <c r="EJK38" s="288"/>
      <c r="EJL38" s="288"/>
      <c r="EJM38" s="288"/>
      <c r="EJN38" s="288"/>
      <c r="EJO38" s="288"/>
      <c r="EJP38" s="288"/>
      <c r="EJQ38" s="288"/>
      <c r="EJR38" s="288"/>
      <c r="EJS38" s="288"/>
      <c r="EJT38" s="288"/>
      <c r="EJU38" s="288"/>
      <c r="EJV38" s="288"/>
      <c r="EJW38" s="288"/>
      <c r="EJX38" s="288"/>
      <c r="EJY38" s="288"/>
      <c r="EJZ38" s="288"/>
      <c r="EKA38" s="288"/>
      <c r="EKB38" s="288"/>
      <c r="EKC38" s="288"/>
      <c r="EKD38" s="288"/>
      <c r="EKE38" s="288"/>
      <c r="EKF38" s="288"/>
      <c r="EKG38" s="288"/>
      <c r="EKH38" s="288"/>
      <c r="EKI38" s="288"/>
      <c r="EKJ38" s="288"/>
      <c r="EKK38" s="288"/>
      <c r="EKL38" s="288"/>
      <c r="EKM38" s="288"/>
      <c r="EKN38" s="288"/>
      <c r="EKO38" s="288"/>
      <c r="EKP38" s="288"/>
      <c r="EKQ38" s="288"/>
      <c r="EKR38" s="288"/>
      <c r="EKS38" s="288"/>
      <c r="EKT38" s="288"/>
      <c r="EKU38" s="288"/>
      <c r="EKV38" s="288"/>
      <c r="EKW38" s="288"/>
      <c r="EKX38" s="288"/>
      <c r="EKY38" s="288"/>
      <c r="EKZ38" s="288"/>
      <c r="ELA38" s="288"/>
      <c r="ELB38" s="288"/>
      <c r="ELC38" s="288"/>
      <c r="ELD38" s="288"/>
      <c r="ELE38" s="288"/>
      <c r="ELF38" s="288"/>
      <c r="ELG38" s="288"/>
      <c r="ELH38" s="288"/>
      <c r="ELI38" s="288"/>
      <c r="ELJ38" s="288"/>
      <c r="ELK38" s="288"/>
      <c r="ELL38" s="288"/>
      <c r="ELM38" s="288"/>
      <c r="ELN38" s="288"/>
      <c r="ELO38" s="288"/>
      <c r="ELP38" s="288"/>
      <c r="ELQ38" s="288"/>
      <c r="ELR38" s="288"/>
      <c r="ELS38" s="288"/>
      <c r="ELT38" s="288"/>
      <c r="ELU38" s="288"/>
      <c r="ELV38" s="288"/>
      <c r="ELW38" s="288"/>
      <c r="ELX38" s="288"/>
      <c r="ELY38" s="288"/>
      <c r="ELZ38" s="288"/>
      <c r="EMA38" s="288"/>
      <c r="EMB38" s="288"/>
      <c r="EMC38" s="288"/>
      <c r="EMD38" s="288"/>
      <c r="EME38" s="288"/>
      <c r="EMF38" s="288"/>
      <c r="EMG38" s="288"/>
      <c r="EMH38" s="288"/>
      <c r="EMI38" s="288"/>
      <c r="EMJ38" s="288"/>
      <c r="EMK38" s="288"/>
      <c r="EML38" s="288"/>
      <c r="EMM38" s="288"/>
      <c r="EMN38" s="288"/>
      <c r="EMO38" s="288"/>
      <c r="EMP38" s="288"/>
      <c r="EMQ38" s="288"/>
      <c r="EMR38" s="288"/>
      <c r="EMS38" s="288"/>
      <c r="EMT38" s="288"/>
      <c r="EMU38" s="288"/>
      <c r="EMV38" s="288"/>
      <c r="EMW38" s="288"/>
      <c r="EMX38" s="288"/>
      <c r="EMY38" s="288"/>
      <c r="EMZ38" s="288"/>
      <c r="ENA38" s="288"/>
      <c r="ENB38" s="288"/>
      <c r="ENC38" s="288"/>
      <c r="END38" s="288"/>
      <c r="ENE38" s="288"/>
      <c r="ENF38" s="288"/>
      <c r="ENG38" s="288"/>
      <c r="ENH38" s="288"/>
      <c r="ENI38" s="288"/>
      <c r="ENJ38" s="288"/>
      <c r="ENK38" s="288"/>
      <c r="ENL38" s="288"/>
      <c r="ENM38" s="288"/>
      <c r="ENN38" s="288"/>
      <c r="ENO38" s="288"/>
      <c r="ENP38" s="288"/>
      <c r="ENQ38" s="288"/>
      <c r="ENR38" s="288"/>
      <c r="ENS38" s="288"/>
      <c r="ENT38" s="288"/>
      <c r="ENU38" s="288"/>
      <c r="ENV38" s="288"/>
      <c r="ENW38" s="288"/>
      <c r="ENX38" s="288"/>
      <c r="ENY38" s="288"/>
      <c r="ENZ38" s="288"/>
      <c r="EOA38" s="288"/>
      <c r="EOB38" s="288"/>
      <c r="EOC38" s="288"/>
      <c r="EOD38" s="288"/>
      <c r="EOE38" s="288"/>
      <c r="EOF38" s="288"/>
      <c r="EOG38" s="288"/>
      <c r="EOH38" s="288"/>
      <c r="EOI38" s="288"/>
      <c r="EOJ38" s="288"/>
      <c r="EOK38" s="288"/>
      <c r="EOL38" s="288"/>
      <c r="EOM38" s="288"/>
      <c r="EON38" s="288"/>
      <c r="EOO38" s="288"/>
      <c r="EOP38" s="288"/>
      <c r="EOQ38" s="288"/>
      <c r="EOR38" s="288"/>
      <c r="EOS38" s="288"/>
      <c r="EOT38" s="288"/>
      <c r="EOU38" s="288"/>
      <c r="EOV38" s="288"/>
      <c r="EOW38" s="288"/>
      <c r="EOX38" s="288"/>
      <c r="EOY38" s="288"/>
      <c r="EOZ38" s="288"/>
      <c r="EPA38" s="288"/>
      <c r="EPB38" s="288"/>
      <c r="EPC38" s="288"/>
      <c r="EPD38" s="288"/>
      <c r="EPE38" s="288"/>
      <c r="EPF38" s="288"/>
      <c r="EPG38" s="288"/>
      <c r="EPH38" s="288"/>
      <c r="EPI38" s="288"/>
      <c r="EPJ38" s="288"/>
      <c r="EPK38" s="288"/>
      <c r="EPL38" s="288"/>
      <c r="EPM38" s="288"/>
      <c r="EPN38" s="288"/>
      <c r="EPO38" s="288"/>
      <c r="EPP38" s="288"/>
      <c r="EPQ38" s="288"/>
      <c r="EPR38" s="288"/>
      <c r="EPS38" s="288"/>
      <c r="EPT38" s="288"/>
      <c r="EPU38" s="288"/>
      <c r="EPV38" s="288"/>
      <c r="EPW38" s="288"/>
      <c r="EPX38" s="288"/>
      <c r="EPY38" s="288"/>
      <c r="EPZ38" s="288"/>
      <c r="EQA38" s="288"/>
      <c r="EQB38" s="288"/>
      <c r="EQC38" s="288"/>
      <c r="EQD38" s="288"/>
      <c r="EQE38" s="288"/>
      <c r="EQF38" s="288"/>
      <c r="EQG38" s="288"/>
      <c r="EQH38" s="288"/>
      <c r="EQI38" s="288"/>
      <c r="EQJ38" s="288"/>
      <c r="EQK38" s="288"/>
      <c r="EQL38" s="288"/>
      <c r="EQM38" s="288"/>
      <c r="EQN38" s="288"/>
      <c r="EQO38" s="288"/>
      <c r="EQP38" s="288"/>
      <c r="EQQ38" s="288"/>
      <c r="EQR38" s="288"/>
      <c r="EQS38" s="288"/>
      <c r="EQT38" s="288"/>
      <c r="EQU38" s="288"/>
      <c r="EQV38" s="288"/>
      <c r="EQW38" s="288"/>
      <c r="EQX38" s="288"/>
      <c r="EQY38" s="288"/>
      <c r="EQZ38" s="288"/>
      <c r="ERA38" s="288"/>
      <c r="ERB38" s="288"/>
      <c r="ERC38" s="288"/>
      <c r="ERD38" s="288"/>
      <c r="ERE38" s="288"/>
      <c r="ERF38" s="288"/>
      <c r="ERG38" s="288"/>
      <c r="ERH38" s="288"/>
      <c r="ERI38" s="288"/>
      <c r="ERJ38" s="288"/>
      <c r="ERK38" s="288"/>
      <c r="ERL38" s="288"/>
      <c r="ERM38" s="288"/>
      <c r="ERN38" s="288"/>
      <c r="ERO38" s="288"/>
      <c r="ERP38" s="288"/>
      <c r="ERQ38" s="288"/>
      <c r="ERR38" s="288"/>
      <c r="ERS38" s="288"/>
      <c r="ERT38" s="288"/>
      <c r="ERU38" s="288"/>
      <c r="ERV38" s="288"/>
      <c r="ERW38" s="288"/>
      <c r="ERX38" s="288"/>
      <c r="ERY38" s="288"/>
      <c r="ERZ38" s="288"/>
      <c r="ESA38" s="288"/>
      <c r="ESB38" s="288"/>
      <c r="ESC38" s="288"/>
      <c r="ESD38" s="288"/>
      <c r="ESE38" s="288"/>
      <c r="ESF38" s="288"/>
      <c r="ESG38" s="288"/>
      <c r="ESH38" s="288"/>
      <c r="ESI38" s="288"/>
      <c r="ESJ38" s="288"/>
      <c r="ESK38" s="288"/>
      <c r="ESL38" s="288"/>
      <c r="ESM38" s="288"/>
      <c r="ESN38" s="288"/>
      <c r="ESO38" s="288"/>
      <c r="ESP38" s="288"/>
      <c r="ESQ38" s="288"/>
      <c r="ESR38" s="288"/>
      <c r="ESS38" s="288"/>
      <c r="EST38" s="288"/>
      <c r="ESU38" s="288"/>
      <c r="ESV38" s="288"/>
      <c r="ESW38" s="288"/>
      <c r="ESX38" s="288"/>
      <c r="ESY38" s="288"/>
      <c r="ESZ38" s="288"/>
      <c r="ETA38" s="288"/>
      <c r="ETB38" s="288"/>
      <c r="ETC38" s="288"/>
      <c r="ETD38" s="288"/>
      <c r="ETE38" s="288"/>
      <c r="ETF38" s="288"/>
      <c r="ETG38" s="288"/>
      <c r="ETH38" s="288"/>
      <c r="ETI38" s="288"/>
      <c r="ETJ38" s="288"/>
      <c r="ETK38" s="288"/>
      <c r="ETL38" s="288"/>
      <c r="ETM38" s="288"/>
      <c r="ETN38" s="288"/>
      <c r="ETO38" s="288"/>
      <c r="ETP38" s="288"/>
      <c r="ETQ38" s="288"/>
      <c r="ETR38" s="288"/>
      <c r="ETS38" s="288"/>
      <c r="ETT38" s="288"/>
      <c r="ETU38" s="288"/>
      <c r="ETV38" s="288"/>
      <c r="ETW38" s="288"/>
      <c r="ETX38" s="288"/>
      <c r="ETY38" s="288"/>
      <c r="ETZ38" s="288"/>
      <c r="EUA38" s="288"/>
      <c r="EUB38" s="288"/>
      <c r="EUC38" s="288"/>
      <c r="EUD38" s="288"/>
      <c r="EUE38" s="288"/>
      <c r="EUF38" s="288"/>
      <c r="EUG38" s="288"/>
      <c r="EUH38" s="288"/>
      <c r="EUI38" s="288"/>
      <c r="EUJ38" s="288"/>
      <c r="EUK38" s="288"/>
      <c r="EUL38" s="288"/>
      <c r="EUM38" s="288"/>
      <c r="EUN38" s="288"/>
      <c r="EUO38" s="288"/>
      <c r="EUP38" s="288"/>
      <c r="EUQ38" s="288"/>
      <c r="EUR38" s="288"/>
      <c r="EUS38" s="288"/>
      <c r="EUT38" s="288"/>
      <c r="EUU38" s="288"/>
      <c r="EUV38" s="288"/>
      <c r="EUW38" s="288"/>
      <c r="EUX38" s="288"/>
      <c r="EUY38" s="288"/>
      <c r="EUZ38" s="288"/>
      <c r="EVA38" s="288"/>
      <c r="EVB38" s="288"/>
      <c r="EVC38" s="288"/>
      <c r="EVD38" s="288"/>
      <c r="EVE38" s="288"/>
      <c r="EVF38" s="288"/>
      <c r="EVG38" s="288"/>
      <c r="EVH38" s="288"/>
      <c r="EVI38" s="288"/>
      <c r="EVJ38" s="288"/>
      <c r="EVK38" s="288"/>
      <c r="EVL38" s="288"/>
      <c r="EVM38" s="288"/>
      <c r="EVN38" s="288"/>
      <c r="EVO38" s="288"/>
      <c r="EVP38" s="288"/>
      <c r="EVQ38" s="288"/>
      <c r="EVR38" s="288"/>
      <c r="EVS38" s="288"/>
      <c r="EVT38" s="288"/>
      <c r="EVU38" s="288"/>
      <c r="EVV38" s="288"/>
      <c r="EVW38" s="288"/>
      <c r="EVX38" s="288"/>
      <c r="EVY38" s="288"/>
      <c r="EVZ38" s="288"/>
      <c r="EWA38" s="288"/>
      <c r="EWB38" s="288"/>
      <c r="EWC38" s="288"/>
      <c r="EWD38" s="288"/>
      <c r="EWE38" s="288"/>
      <c r="EWF38" s="288"/>
      <c r="EWG38" s="288"/>
      <c r="EWH38" s="288"/>
      <c r="EWI38" s="288"/>
      <c r="EWJ38" s="288"/>
      <c r="EWK38" s="288"/>
      <c r="EWL38" s="288"/>
      <c r="EWM38" s="288"/>
      <c r="EWN38" s="288"/>
      <c r="EWO38" s="288"/>
      <c r="EWP38" s="288"/>
      <c r="EWQ38" s="288"/>
      <c r="EWR38" s="288"/>
      <c r="EWS38" s="288"/>
      <c r="EWT38" s="288"/>
      <c r="EWU38" s="288"/>
      <c r="EWV38" s="288"/>
      <c r="EWW38" s="288"/>
      <c r="EWX38" s="288"/>
      <c r="EWY38" s="288"/>
      <c r="EWZ38" s="288"/>
      <c r="EXA38" s="288"/>
      <c r="EXB38" s="288"/>
      <c r="EXC38" s="288"/>
      <c r="EXD38" s="288"/>
      <c r="EXE38" s="288"/>
      <c r="EXF38" s="288"/>
      <c r="EXG38" s="288"/>
      <c r="EXH38" s="288"/>
      <c r="EXI38" s="288"/>
      <c r="EXJ38" s="288"/>
      <c r="EXK38" s="288"/>
      <c r="EXL38" s="288"/>
      <c r="EXM38" s="288"/>
      <c r="EXN38" s="288"/>
      <c r="EXO38" s="288"/>
      <c r="EXP38" s="288"/>
      <c r="EXQ38" s="288"/>
      <c r="EXR38" s="288"/>
      <c r="EXS38" s="288"/>
      <c r="EXT38" s="288"/>
      <c r="EXU38" s="288"/>
      <c r="EXV38" s="288"/>
      <c r="EXW38" s="288"/>
      <c r="EXX38" s="288"/>
      <c r="EXY38" s="288"/>
      <c r="EXZ38" s="288"/>
      <c r="EYA38" s="288"/>
      <c r="EYB38" s="288"/>
      <c r="EYC38" s="288"/>
      <c r="EYD38" s="288"/>
      <c r="EYE38" s="288"/>
      <c r="EYF38" s="288"/>
      <c r="EYG38" s="288"/>
      <c r="EYH38" s="288"/>
      <c r="EYI38" s="288"/>
      <c r="EYJ38" s="288"/>
      <c r="EYK38" s="288"/>
      <c r="EYL38" s="288"/>
      <c r="EYM38" s="288"/>
      <c r="EYN38" s="288"/>
      <c r="EYO38" s="288"/>
      <c r="EYP38" s="288"/>
      <c r="EYQ38" s="288"/>
      <c r="EYR38" s="288"/>
      <c r="EYS38" s="288"/>
      <c r="EYT38" s="288"/>
      <c r="EYU38" s="288"/>
      <c r="EYV38" s="288"/>
      <c r="EYW38" s="288"/>
      <c r="EYX38" s="288"/>
      <c r="EYY38" s="288"/>
      <c r="EYZ38" s="288"/>
      <c r="EZA38" s="288"/>
      <c r="EZB38" s="288"/>
      <c r="EZC38" s="288"/>
      <c r="EZD38" s="288"/>
      <c r="EZE38" s="288"/>
      <c r="EZF38" s="288"/>
      <c r="EZG38" s="288"/>
      <c r="EZH38" s="288"/>
      <c r="EZI38" s="288"/>
      <c r="EZJ38" s="288"/>
      <c r="EZK38" s="288"/>
      <c r="EZL38" s="288"/>
      <c r="EZM38" s="288"/>
      <c r="EZN38" s="288"/>
      <c r="EZO38" s="288"/>
      <c r="EZP38" s="288"/>
      <c r="EZQ38" s="288"/>
      <c r="EZR38" s="288"/>
      <c r="EZS38" s="288"/>
      <c r="EZT38" s="288"/>
      <c r="EZU38" s="288"/>
      <c r="EZV38" s="288"/>
      <c r="EZW38" s="288"/>
      <c r="EZX38" s="288"/>
      <c r="EZY38" s="288"/>
      <c r="EZZ38" s="288"/>
      <c r="FAA38" s="288"/>
      <c r="FAB38" s="288"/>
      <c r="FAC38" s="288"/>
      <c r="FAD38" s="288"/>
      <c r="FAE38" s="288"/>
      <c r="FAF38" s="288"/>
      <c r="FAG38" s="288"/>
      <c r="FAH38" s="288"/>
      <c r="FAI38" s="288"/>
      <c r="FAJ38" s="288"/>
      <c r="FAK38" s="288"/>
      <c r="FAL38" s="288"/>
      <c r="FAM38" s="288"/>
      <c r="FAN38" s="288"/>
      <c r="FAO38" s="288"/>
      <c r="FAP38" s="288"/>
      <c r="FAQ38" s="288"/>
      <c r="FAR38" s="288"/>
      <c r="FAS38" s="288"/>
      <c r="FAT38" s="288"/>
      <c r="FAU38" s="288"/>
      <c r="FAV38" s="288"/>
      <c r="FAW38" s="288"/>
      <c r="FAX38" s="288"/>
      <c r="FAY38" s="288"/>
      <c r="FAZ38" s="288"/>
      <c r="FBA38" s="288"/>
      <c r="FBB38" s="288"/>
      <c r="FBC38" s="288"/>
      <c r="FBD38" s="288"/>
      <c r="FBE38" s="288"/>
      <c r="FBF38" s="288"/>
      <c r="FBG38" s="288"/>
      <c r="FBH38" s="288"/>
      <c r="FBI38" s="288"/>
      <c r="FBJ38" s="288"/>
      <c r="FBK38" s="288"/>
      <c r="FBL38" s="288"/>
      <c r="FBM38" s="288"/>
      <c r="FBN38" s="288"/>
      <c r="FBO38" s="288"/>
      <c r="FBP38" s="288"/>
      <c r="FBQ38" s="288"/>
      <c r="FBR38" s="288"/>
      <c r="FBS38" s="288"/>
      <c r="FBT38" s="288"/>
      <c r="FBU38" s="288"/>
      <c r="FBV38" s="288"/>
      <c r="FBW38" s="288"/>
      <c r="FBX38" s="288"/>
      <c r="FBY38" s="288"/>
      <c r="FBZ38" s="288"/>
      <c r="FCA38" s="288"/>
      <c r="FCB38" s="288"/>
      <c r="FCC38" s="288"/>
      <c r="FCD38" s="288"/>
      <c r="FCE38" s="288"/>
      <c r="FCF38" s="288"/>
      <c r="FCG38" s="288"/>
      <c r="FCH38" s="288"/>
      <c r="FCI38" s="288"/>
      <c r="FCJ38" s="288"/>
      <c r="FCK38" s="288"/>
      <c r="FCL38" s="288"/>
      <c r="FCM38" s="288"/>
      <c r="FCN38" s="288"/>
      <c r="FCO38" s="288"/>
      <c r="FCP38" s="288"/>
      <c r="FCQ38" s="288"/>
      <c r="FCR38" s="288"/>
      <c r="FCS38" s="288"/>
      <c r="FCT38" s="288"/>
      <c r="FCU38" s="288"/>
      <c r="FCV38" s="288"/>
      <c r="FCW38" s="288"/>
      <c r="FCX38" s="288"/>
      <c r="FCY38" s="288"/>
      <c r="FCZ38" s="288"/>
      <c r="FDA38" s="288"/>
      <c r="FDB38" s="288"/>
      <c r="FDC38" s="288"/>
      <c r="FDD38" s="288"/>
      <c r="FDE38" s="288"/>
      <c r="FDF38" s="288"/>
      <c r="FDG38" s="288"/>
      <c r="FDH38" s="288"/>
      <c r="FDI38" s="288"/>
      <c r="FDJ38" s="288"/>
      <c r="FDK38" s="288"/>
      <c r="FDL38" s="288"/>
      <c r="FDM38" s="288"/>
      <c r="FDN38" s="288"/>
      <c r="FDO38" s="288"/>
      <c r="FDP38" s="288"/>
      <c r="FDQ38" s="288"/>
      <c r="FDR38" s="288"/>
      <c r="FDS38" s="288"/>
      <c r="FDT38" s="288"/>
      <c r="FDU38" s="288"/>
      <c r="FDV38" s="288"/>
      <c r="FDW38" s="288"/>
      <c r="FDX38" s="288"/>
      <c r="FDY38" s="288"/>
      <c r="FDZ38" s="288"/>
      <c r="FEA38" s="288"/>
      <c r="FEB38" s="288"/>
      <c r="FEC38" s="288"/>
      <c r="FED38" s="288"/>
      <c r="FEE38" s="288"/>
      <c r="FEF38" s="288"/>
      <c r="FEG38" s="288"/>
      <c r="FEH38" s="288"/>
      <c r="FEI38" s="288"/>
      <c r="FEJ38" s="288"/>
      <c r="FEK38" s="288"/>
      <c r="FEL38" s="288"/>
      <c r="FEM38" s="288"/>
      <c r="FEN38" s="288"/>
      <c r="FEO38" s="288"/>
      <c r="FEP38" s="288"/>
      <c r="FEQ38" s="288"/>
      <c r="FER38" s="288"/>
      <c r="FES38" s="288"/>
      <c r="FET38" s="288"/>
      <c r="FEU38" s="288"/>
      <c r="FEV38" s="288"/>
      <c r="FEW38" s="288"/>
      <c r="FEX38" s="288"/>
      <c r="FEY38" s="288"/>
      <c r="FEZ38" s="288"/>
      <c r="FFA38" s="288"/>
      <c r="FFB38" s="288"/>
      <c r="FFC38" s="288"/>
      <c r="FFD38" s="288"/>
      <c r="FFE38" s="288"/>
      <c r="FFF38" s="288"/>
      <c r="FFG38" s="288"/>
      <c r="FFH38" s="288"/>
      <c r="FFI38" s="288"/>
      <c r="FFJ38" s="288"/>
      <c r="FFK38" s="288"/>
      <c r="FFL38" s="288"/>
      <c r="FFM38" s="288"/>
      <c r="FFN38" s="288"/>
      <c r="FFO38" s="288"/>
      <c r="FFP38" s="288"/>
      <c r="FFQ38" s="288"/>
      <c r="FFR38" s="288"/>
      <c r="FFS38" s="288"/>
      <c r="FFT38" s="288"/>
      <c r="FFU38" s="288"/>
      <c r="FFV38" s="288"/>
      <c r="FFW38" s="288"/>
      <c r="FFX38" s="288"/>
      <c r="FFY38" s="288"/>
      <c r="FFZ38" s="288"/>
      <c r="FGA38" s="288"/>
      <c r="FGB38" s="288"/>
      <c r="FGC38" s="288"/>
      <c r="FGD38" s="288"/>
      <c r="FGE38" s="288"/>
      <c r="FGF38" s="288"/>
      <c r="FGG38" s="288"/>
      <c r="FGH38" s="288"/>
      <c r="FGI38" s="288"/>
      <c r="FGJ38" s="288"/>
      <c r="FGK38" s="288"/>
      <c r="FGL38" s="288"/>
      <c r="FGM38" s="288"/>
      <c r="FGN38" s="288"/>
      <c r="FGO38" s="288"/>
      <c r="FGP38" s="288"/>
      <c r="FGQ38" s="288"/>
      <c r="FGR38" s="288"/>
      <c r="FGS38" s="288"/>
      <c r="FGT38" s="288"/>
      <c r="FGU38" s="288"/>
      <c r="FGV38" s="288"/>
      <c r="FGW38" s="288"/>
      <c r="FGX38" s="288"/>
      <c r="FGY38" s="288"/>
      <c r="FGZ38" s="288"/>
      <c r="FHA38" s="288"/>
      <c r="FHB38" s="288"/>
      <c r="FHC38" s="288"/>
      <c r="FHD38" s="288"/>
      <c r="FHE38" s="288"/>
      <c r="FHF38" s="288"/>
      <c r="FHG38" s="288"/>
      <c r="FHH38" s="288"/>
      <c r="FHI38" s="288"/>
      <c r="FHJ38" s="288"/>
      <c r="FHK38" s="288"/>
      <c r="FHL38" s="288"/>
      <c r="FHM38" s="288"/>
      <c r="FHN38" s="288"/>
      <c r="FHO38" s="288"/>
      <c r="FHP38" s="288"/>
      <c r="FHQ38" s="288"/>
      <c r="FHR38" s="288"/>
      <c r="FHS38" s="288"/>
      <c r="FHT38" s="288"/>
      <c r="FHU38" s="288"/>
      <c r="FHV38" s="288"/>
      <c r="FHW38" s="288"/>
      <c r="FHX38" s="288"/>
      <c r="FHY38" s="288"/>
      <c r="FHZ38" s="288"/>
      <c r="FIA38" s="288"/>
      <c r="FIB38" s="288"/>
      <c r="FIC38" s="288"/>
      <c r="FID38" s="288"/>
      <c r="FIE38" s="288"/>
      <c r="FIF38" s="288"/>
      <c r="FIG38" s="288"/>
      <c r="FIH38" s="288"/>
      <c r="FII38" s="288"/>
      <c r="FIJ38" s="288"/>
      <c r="FIK38" s="288"/>
      <c r="FIL38" s="288"/>
      <c r="FIM38" s="288"/>
      <c r="FIN38" s="288"/>
      <c r="FIO38" s="288"/>
      <c r="FIP38" s="288"/>
      <c r="FIQ38" s="288"/>
      <c r="FIR38" s="288"/>
      <c r="FIS38" s="288"/>
      <c r="FIT38" s="288"/>
      <c r="FIU38" s="288"/>
      <c r="FIV38" s="288"/>
      <c r="FIW38" s="288"/>
      <c r="FIX38" s="288"/>
      <c r="FIY38" s="288"/>
      <c r="FIZ38" s="288"/>
      <c r="FJA38" s="288"/>
      <c r="FJB38" s="288"/>
      <c r="FJC38" s="288"/>
      <c r="FJD38" s="288"/>
      <c r="FJE38" s="288"/>
      <c r="FJF38" s="288"/>
      <c r="FJG38" s="288"/>
      <c r="FJH38" s="288"/>
      <c r="FJI38" s="288"/>
      <c r="FJJ38" s="288"/>
      <c r="FJK38" s="288"/>
      <c r="FJL38" s="288"/>
      <c r="FJM38" s="288"/>
      <c r="FJN38" s="288"/>
      <c r="FJO38" s="288"/>
      <c r="FJP38" s="288"/>
      <c r="FJQ38" s="288"/>
      <c r="FJR38" s="288"/>
      <c r="FJS38" s="288"/>
      <c r="FJT38" s="288"/>
      <c r="FJU38" s="288"/>
      <c r="FJV38" s="288"/>
      <c r="FJW38" s="288"/>
      <c r="FJX38" s="288"/>
      <c r="FJY38" s="288"/>
      <c r="FJZ38" s="288"/>
      <c r="FKA38" s="288"/>
      <c r="FKB38" s="288"/>
      <c r="FKC38" s="288"/>
      <c r="FKD38" s="288"/>
      <c r="FKE38" s="288"/>
      <c r="FKF38" s="288"/>
      <c r="FKG38" s="288"/>
      <c r="FKH38" s="288"/>
      <c r="FKI38" s="288"/>
      <c r="FKJ38" s="288"/>
      <c r="FKK38" s="288"/>
      <c r="FKL38" s="288"/>
      <c r="FKM38" s="288"/>
      <c r="FKN38" s="288"/>
      <c r="FKO38" s="288"/>
      <c r="FKP38" s="288"/>
      <c r="FKQ38" s="288"/>
      <c r="FKR38" s="288"/>
      <c r="FKS38" s="288"/>
      <c r="FKT38" s="288"/>
      <c r="FKU38" s="288"/>
      <c r="FKV38" s="288"/>
      <c r="FKW38" s="288"/>
      <c r="FKX38" s="288"/>
      <c r="FKY38" s="288"/>
      <c r="FKZ38" s="288"/>
      <c r="FLA38" s="288"/>
      <c r="FLB38" s="288"/>
      <c r="FLC38" s="288"/>
      <c r="FLD38" s="288"/>
      <c r="FLE38" s="288"/>
      <c r="FLF38" s="288"/>
      <c r="FLG38" s="288"/>
      <c r="FLH38" s="288"/>
      <c r="FLI38" s="288"/>
      <c r="FLJ38" s="288"/>
      <c r="FLK38" s="288"/>
      <c r="FLL38" s="288"/>
      <c r="FLM38" s="288"/>
      <c r="FLN38" s="288"/>
      <c r="FLO38" s="288"/>
      <c r="FLP38" s="288"/>
      <c r="FLQ38" s="288"/>
      <c r="FLR38" s="288"/>
      <c r="FLS38" s="288"/>
      <c r="FLT38" s="288"/>
      <c r="FLU38" s="288"/>
      <c r="FLV38" s="288"/>
      <c r="FLW38" s="288"/>
      <c r="FLX38" s="288"/>
      <c r="FLY38" s="288"/>
      <c r="FLZ38" s="288"/>
      <c r="FMA38" s="288"/>
      <c r="FMB38" s="288"/>
      <c r="FMC38" s="288"/>
      <c r="FMD38" s="288"/>
      <c r="FME38" s="288"/>
      <c r="FMF38" s="288"/>
      <c r="FMG38" s="288"/>
      <c r="FMH38" s="288"/>
      <c r="FMI38" s="288"/>
      <c r="FMJ38" s="288"/>
      <c r="FMK38" s="288"/>
      <c r="FML38" s="288"/>
      <c r="FMM38" s="288"/>
      <c r="FMN38" s="288"/>
      <c r="FMO38" s="288"/>
      <c r="FMP38" s="288"/>
      <c r="FMQ38" s="288"/>
      <c r="FMR38" s="288"/>
      <c r="FMS38" s="288"/>
      <c r="FMT38" s="288"/>
      <c r="FMU38" s="288"/>
      <c r="FMV38" s="288"/>
      <c r="FMW38" s="288"/>
      <c r="FMX38" s="288"/>
      <c r="FMY38" s="288"/>
      <c r="FMZ38" s="288"/>
      <c r="FNA38" s="288"/>
      <c r="FNB38" s="288"/>
      <c r="FNC38" s="288"/>
      <c r="FND38" s="288"/>
      <c r="FNE38" s="288"/>
      <c r="FNF38" s="288"/>
      <c r="FNG38" s="288"/>
      <c r="FNH38" s="288"/>
      <c r="FNI38" s="288"/>
      <c r="FNJ38" s="288"/>
      <c r="FNK38" s="288"/>
      <c r="FNL38" s="288"/>
      <c r="FNM38" s="288"/>
      <c r="FNN38" s="288"/>
      <c r="FNO38" s="288"/>
      <c r="FNP38" s="288"/>
      <c r="FNQ38" s="288"/>
      <c r="FNR38" s="288"/>
      <c r="FNS38" s="288"/>
      <c r="FNT38" s="288"/>
      <c r="FNU38" s="288"/>
      <c r="FNV38" s="288"/>
      <c r="FNW38" s="288"/>
      <c r="FNX38" s="288"/>
      <c r="FNY38" s="288"/>
      <c r="FNZ38" s="288"/>
      <c r="FOA38" s="288"/>
      <c r="FOB38" s="288"/>
      <c r="FOC38" s="288"/>
      <c r="FOD38" s="288"/>
      <c r="FOE38" s="288"/>
      <c r="FOF38" s="288"/>
      <c r="FOG38" s="288"/>
      <c r="FOH38" s="288"/>
      <c r="FOI38" s="288"/>
      <c r="FOJ38" s="288"/>
      <c r="FOK38" s="288"/>
      <c r="FOL38" s="288"/>
      <c r="FOM38" s="288"/>
      <c r="FON38" s="288"/>
      <c r="FOO38" s="288"/>
      <c r="FOP38" s="288"/>
      <c r="FOQ38" s="288"/>
      <c r="FOR38" s="288"/>
      <c r="FOS38" s="288"/>
      <c r="FOT38" s="288"/>
      <c r="FOU38" s="288"/>
      <c r="FOV38" s="288"/>
      <c r="FOW38" s="288"/>
      <c r="FOX38" s="288"/>
      <c r="FOY38" s="288"/>
      <c r="FOZ38" s="288"/>
      <c r="FPA38" s="288"/>
      <c r="FPB38" s="288"/>
      <c r="FPC38" s="288"/>
      <c r="FPD38" s="288"/>
      <c r="FPE38" s="288"/>
      <c r="FPF38" s="288"/>
      <c r="FPG38" s="288"/>
      <c r="FPH38" s="288"/>
      <c r="FPI38" s="288"/>
      <c r="FPJ38" s="288"/>
      <c r="FPK38" s="288"/>
      <c r="FPL38" s="288"/>
      <c r="FPM38" s="288"/>
      <c r="FPN38" s="288"/>
      <c r="FPO38" s="288"/>
      <c r="FPP38" s="288"/>
      <c r="FPQ38" s="288"/>
      <c r="FPR38" s="288"/>
      <c r="FPS38" s="288"/>
      <c r="FPT38" s="288"/>
      <c r="FPU38" s="288"/>
      <c r="FPV38" s="288"/>
      <c r="FPW38" s="288"/>
      <c r="FPX38" s="288"/>
      <c r="FPY38" s="288"/>
      <c r="FPZ38" s="288"/>
      <c r="FQA38" s="288"/>
      <c r="FQB38" s="288"/>
      <c r="FQC38" s="288"/>
      <c r="FQD38" s="288"/>
      <c r="FQE38" s="288"/>
      <c r="FQF38" s="288"/>
      <c r="FQG38" s="288"/>
      <c r="FQH38" s="288"/>
      <c r="FQI38" s="288"/>
      <c r="FQJ38" s="288"/>
      <c r="FQK38" s="288"/>
      <c r="FQL38" s="288"/>
      <c r="FQM38" s="288"/>
      <c r="FQN38" s="288"/>
      <c r="FQO38" s="288"/>
      <c r="FQP38" s="288"/>
      <c r="FQQ38" s="288"/>
      <c r="FQR38" s="288"/>
      <c r="FQS38" s="288"/>
      <c r="FQT38" s="288"/>
      <c r="FQU38" s="288"/>
      <c r="FQV38" s="288"/>
      <c r="FQW38" s="288"/>
      <c r="FQX38" s="288"/>
      <c r="FQY38" s="288"/>
      <c r="FQZ38" s="288"/>
      <c r="FRA38" s="288"/>
      <c r="FRB38" s="288"/>
      <c r="FRC38" s="288"/>
      <c r="FRD38" s="288"/>
      <c r="FRE38" s="288"/>
      <c r="FRF38" s="288"/>
      <c r="FRG38" s="288"/>
      <c r="FRH38" s="288"/>
      <c r="FRI38" s="288"/>
      <c r="FRJ38" s="288"/>
      <c r="FRK38" s="288"/>
      <c r="FRL38" s="288"/>
      <c r="FRM38" s="288"/>
      <c r="FRN38" s="288"/>
      <c r="FRO38" s="288"/>
      <c r="FRP38" s="288"/>
      <c r="FRQ38" s="288"/>
      <c r="FRR38" s="288"/>
      <c r="FRS38" s="288"/>
      <c r="FRT38" s="288"/>
      <c r="FRU38" s="288"/>
      <c r="FRV38" s="288"/>
      <c r="FRW38" s="288"/>
      <c r="FRX38" s="288"/>
      <c r="FRY38" s="288"/>
      <c r="FRZ38" s="288"/>
      <c r="FSA38" s="288"/>
      <c r="FSB38" s="288"/>
      <c r="FSC38" s="288"/>
      <c r="FSD38" s="288"/>
      <c r="FSE38" s="288"/>
      <c r="FSF38" s="288"/>
      <c r="FSG38" s="288"/>
      <c r="FSH38" s="288"/>
      <c r="FSI38" s="288"/>
      <c r="FSJ38" s="288"/>
      <c r="FSK38" s="288"/>
      <c r="FSL38" s="288"/>
      <c r="FSM38" s="288"/>
      <c r="FSN38" s="288"/>
      <c r="FSO38" s="288"/>
      <c r="FSP38" s="288"/>
      <c r="FSQ38" s="288"/>
      <c r="FSR38" s="288"/>
      <c r="FSS38" s="288"/>
      <c r="FST38" s="288"/>
      <c r="FSU38" s="288"/>
      <c r="FSV38" s="288"/>
      <c r="FSW38" s="288"/>
      <c r="FSX38" s="288"/>
      <c r="FSY38" s="288"/>
      <c r="FSZ38" s="288"/>
      <c r="FTA38" s="288"/>
      <c r="FTB38" s="288"/>
      <c r="FTC38" s="288"/>
      <c r="FTD38" s="288"/>
      <c r="FTE38" s="288"/>
      <c r="FTF38" s="288"/>
      <c r="FTG38" s="288"/>
      <c r="FTH38" s="288"/>
      <c r="FTI38" s="288"/>
      <c r="FTJ38" s="288"/>
      <c r="FTK38" s="288"/>
      <c r="FTL38" s="288"/>
      <c r="FTM38" s="288"/>
      <c r="FTN38" s="288"/>
      <c r="FTO38" s="288"/>
      <c r="FTP38" s="288"/>
      <c r="FTQ38" s="288"/>
      <c r="FTR38" s="288"/>
      <c r="FTS38" s="288"/>
      <c r="FTT38" s="288"/>
      <c r="FTU38" s="288"/>
      <c r="FTV38" s="288"/>
      <c r="FTW38" s="288"/>
      <c r="FTX38" s="288"/>
      <c r="FTY38" s="288"/>
      <c r="FTZ38" s="288"/>
      <c r="FUA38" s="288"/>
      <c r="FUB38" s="288"/>
      <c r="FUC38" s="288"/>
      <c r="FUD38" s="288"/>
      <c r="FUE38" s="288"/>
      <c r="FUF38" s="288"/>
      <c r="FUG38" s="288"/>
      <c r="FUH38" s="288"/>
      <c r="FUI38" s="288"/>
      <c r="FUJ38" s="288"/>
      <c r="FUK38" s="288"/>
      <c r="FUL38" s="288"/>
      <c r="FUM38" s="288"/>
      <c r="FUN38" s="288"/>
      <c r="FUO38" s="288"/>
      <c r="FUP38" s="288"/>
      <c r="FUQ38" s="288"/>
      <c r="FUR38" s="288"/>
      <c r="FUS38" s="288"/>
      <c r="FUT38" s="288"/>
      <c r="FUU38" s="288"/>
      <c r="FUV38" s="288"/>
      <c r="FUW38" s="288"/>
      <c r="FUX38" s="288"/>
      <c r="FUY38" s="288"/>
      <c r="FUZ38" s="288"/>
      <c r="FVA38" s="288"/>
      <c r="FVB38" s="288"/>
      <c r="FVC38" s="288"/>
      <c r="FVD38" s="288"/>
      <c r="FVE38" s="288"/>
      <c r="FVF38" s="288"/>
      <c r="FVG38" s="288"/>
      <c r="FVH38" s="288"/>
      <c r="FVI38" s="288"/>
      <c r="FVJ38" s="288"/>
      <c r="FVK38" s="288"/>
      <c r="FVL38" s="288"/>
      <c r="FVM38" s="288"/>
      <c r="FVN38" s="288"/>
      <c r="FVO38" s="288"/>
      <c r="FVP38" s="288"/>
      <c r="FVQ38" s="288"/>
      <c r="FVR38" s="288"/>
      <c r="FVS38" s="288"/>
      <c r="FVT38" s="288"/>
      <c r="FVU38" s="288"/>
      <c r="FVV38" s="288"/>
      <c r="FVW38" s="288"/>
      <c r="FVX38" s="288"/>
      <c r="FVY38" s="288"/>
      <c r="FVZ38" s="288"/>
      <c r="FWA38" s="288"/>
      <c r="FWB38" s="288"/>
      <c r="FWC38" s="288"/>
      <c r="FWD38" s="288"/>
      <c r="FWE38" s="288"/>
      <c r="FWF38" s="288"/>
      <c r="FWG38" s="288"/>
      <c r="FWH38" s="288"/>
      <c r="FWI38" s="288"/>
      <c r="FWJ38" s="288"/>
      <c r="FWK38" s="288"/>
      <c r="FWL38" s="288"/>
      <c r="FWM38" s="288"/>
      <c r="FWN38" s="288"/>
      <c r="FWO38" s="288"/>
      <c r="FWP38" s="288"/>
      <c r="FWQ38" s="288"/>
      <c r="FWR38" s="288"/>
      <c r="FWS38" s="288"/>
      <c r="FWT38" s="288"/>
      <c r="FWU38" s="288"/>
      <c r="FWV38" s="288"/>
      <c r="FWW38" s="288"/>
      <c r="FWX38" s="288"/>
      <c r="FWY38" s="288"/>
      <c r="FWZ38" s="288"/>
      <c r="FXA38" s="288"/>
      <c r="FXB38" s="288"/>
      <c r="FXC38" s="288"/>
      <c r="FXD38" s="288"/>
      <c r="FXE38" s="288"/>
      <c r="FXF38" s="288"/>
      <c r="FXG38" s="288"/>
      <c r="FXH38" s="288"/>
      <c r="FXI38" s="288"/>
      <c r="FXJ38" s="288"/>
      <c r="FXK38" s="288"/>
      <c r="FXL38" s="288"/>
      <c r="FXM38" s="288"/>
      <c r="FXN38" s="288"/>
      <c r="FXO38" s="288"/>
      <c r="FXP38" s="288"/>
      <c r="FXQ38" s="288"/>
      <c r="FXR38" s="288"/>
      <c r="FXS38" s="288"/>
      <c r="FXT38" s="288"/>
      <c r="FXU38" s="288"/>
      <c r="FXV38" s="288"/>
      <c r="FXW38" s="288"/>
      <c r="FXX38" s="288"/>
      <c r="FXY38" s="288"/>
      <c r="FXZ38" s="288"/>
      <c r="FYA38" s="288"/>
      <c r="FYB38" s="288"/>
      <c r="FYC38" s="288"/>
      <c r="FYD38" s="288"/>
      <c r="FYE38" s="288"/>
      <c r="FYF38" s="288"/>
      <c r="FYG38" s="288"/>
      <c r="FYH38" s="288"/>
      <c r="FYI38" s="288"/>
      <c r="FYJ38" s="288"/>
      <c r="FYK38" s="288"/>
      <c r="FYL38" s="288"/>
      <c r="FYM38" s="288"/>
      <c r="FYN38" s="288"/>
      <c r="FYO38" s="288"/>
      <c r="FYP38" s="288"/>
      <c r="FYQ38" s="288"/>
      <c r="FYR38" s="288"/>
      <c r="FYS38" s="288"/>
      <c r="FYT38" s="288"/>
      <c r="FYU38" s="288"/>
      <c r="FYV38" s="288"/>
      <c r="FYW38" s="288"/>
      <c r="FYX38" s="288"/>
      <c r="FYY38" s="288"/>
      <c r="FYZ38" s="288"/>
      <c r="FZA38" s="288"/>
      <c r="FZB38" s="288"/>
      <c r="FZC38" s="288"/>
      <c r="FZD38" s="288"/>
      <c r="FZE38" s="288"/>
      <c r="FZF38" s="288"/>
      <c r="FZG38" s="288"/>
      <c r="FZH38" s="288"/>
      <c r="FZI38" s="288"/>
      <c r="FZJ38" s="288"/>
      <c r="FZK38" s="288"/>
      <c r="FZL38" s="288"/>
      <c r="FZM38" s="288"/>
      <c r="FZN38" s="288"/>
      <c r="FZO38" s="288"/>
      <c r="FZP38" s="288"/>
      <c r="FZQ38" s="288"/>
      <c r="FZR38" s="288"/>
      <c r="FZS38" s="288"/>
      <c r="FZT38" s="288"/>
      <c r="FZU38" s="288"/>
      <c r="FZV38" s="288"/>
      <c r="FZW38" s="288"/>
      <c r="FZX38" s="288"/>
      <c r="FZY38" s="288"/>
      <c r="FZZ38" s="288"/>
      <c r="GAA38" s="288"/>
      <c r="GAB38" s="288"/>
      <c r="GAC38" s="288"/>
      <c r="GAD38" s="288"/>
      <c r="GAE38" s="288"/>
      <c r="GAF38" s="288"/>
      <c r="GAG38" s="288"/>
      <c r="GAH38" s="288"/>
      <c r="GAI38" s="288"/>
      <c r="GAJ38" s="288"/>
      <c r="GAK38" s="288"/>
      <c r="GAL38" s="288"/>
      <c r="GAM38" s="288"/>
      <c r="GAN38" s="288"/>
      <c r="GAO38" s="288"/>
      <c r="GAP38" s="288"/>
      <c r="GAQ38" s="288"/>
      <c r="GAR38" s="288"/>
      <c r="GAS38" s="288"/>
      <c r="GAT38" s="288"/>
      <c r="GAU38" s="288"/>
      <c r="GAV38" s="288"/>
      <c r="GAW38" s="288"/>
      <c r="GAX38" s="288"/>
      <c r="GAY38" s="288"/>
      <c r="GAZ38" s="288"/>
      <c r="GBA38" s="288"/>
      <c r="GBB38" s="288"/>
      <c r="GBC38" s="288"/>
      <c r="GBD38" s="288"/>
      <c r="GBE38" s="288"/>
      <c r="GBF38" s="288"/>
      <c r="GBG38" s="288"/>
      <c r="GBH38" s="288"/>
      <c r="GBI38" s="288"/>
      <c r="GBJ38" s="288"/>
      <c r="GBK38" s="288"/>
      <c r="GBL38" s="288"/>
      <c r="GBM38" s="288"/>
      <c r="GBN38" s="288"/>
      <c r="GBO38" s="288"/>
      <c r="GBP38" s="288"/>
      <c r="GBQ38" s="288"/>
      <c r="GBR38" s="288"/>
      <c r="GBS38" s="288"/>
      <c r="GBT38" s="288"/>
      <c r="GBU38" s="288"/>
      <c r="GBV38" s="288"/>
      <c r="GBW38" s="288"/>
      <c r="GBX38" s="288"/>
      <c r="GBY38" s="288"/>
      <c r="GBZ38" s="288"/>
      <c r="GCA38" s="288"/>
      <c r="GCB38" s="288"/>
      <c r="GCC38" s="288"/>
      <c r="GCD38" s="288"/>
      <c r="GCE38" s="288"/>
      <c r="GCF38" s="288"/>
      <c r="GCG38" s="288"/>
      <c r="GCH38" s="288"/>
      <c r="GCI38" s="288"/>
      <c r="GCJ38" s="288"/>
      <c r="GCK38" s="288"/>
      <c r="GCL38" s="288"/>
      <c r="GCM38" s="288"/>
      <c r="GCN38" s="288"/>
      <c r="GCO38" s="288"/>
      <c r="GCP38" s="288"/>
      <c r="GCQ38" s="288"/>
      <c r="GCR38" s="288"/>
      <c r="GCS38" s="288"/>
      <c r="GCT38" s="288"/>
      <c r="GCU38" s="288"/>
      <c r="GCV38" s="288"/>
      <c r="GCW38" s="288"/>
      <c r="GCX38" s="288"/>
      <c r="GCY38" s="288"/>
      <c r="GCZ38" s="288"/>
      <c r="GDA38" s="288"/>
      <c r="GDB38" s="288"/>
      <c r="GDC38" s="288"/>
      <c r="GDD38" s="288"/>
      <c r="GDE38" s="288"/>
      <c r="GDF38" s="288"/>
      <c r="GDG38" s="288"/>
      <c r="GDH38" s="288"/>
      <c r="GDI38" s="288"/>
      <c r="GDJ38" s="288"/>
      <c r="GDK38" s="288"/>
      <c r="GDL38" s="288"/>
      <c r="GDM38" s="288"/>
      <c r="GDN38" s="288"/>
      <c r="GDO38" s="288"/>
      <c r="GDP38" s="288"/>
      <c r="GDQ38" s="288"/>
      <c r="GDR38" s="288"/>
      <c r="GDS38" s="288"/>
      <c r="GDT38" s="288"/>
      <c r="GDU38" s="288"/>
      <c r="GDV38" s="288"/>
      <c r="GDW38" s="288"/>
      <c r="GDX38" s="288"/>
      <c r="GDY38" s="288"/>
      <c r="GDZ38" s="288"/>
      <c r="GEA38" s="288"/>
      <c r="GEB38" s="288"/>
      <c r="GEC38" s="288"/>
      <c r="GED38" s="288"/>
      <c r="GEE38" s="288"/>
      <c r="GEF38" s="288"/>
      <c r="GEG38" s="288"/>
      <c r="GEH38" s="288"/>
      <c r="GEI38" s="288"/>
      <c r="GEJ38" s="288"/>
      <c r="GEK38" s="288"/>
      <c r="GEL38" s="288"/>
      <c r="GEM38" s="288"/>
      <c r="GEN38" s="288"/>
      <c r="GEO38" s="288"/>
      <c r="GEP38" s="288"/>
      <c r="GEQ38" s="288"/>
      <c r="GER38" s="288"/>
      <c r="GES38" s="288"/>
      <c r="GET38" s="288"/>
      <c r="GEU38" s="288"/>
      <c r="GEV38" s="288"/>
      <c r="GEW38" s="288"/>
      <c r="GEX38" s="288"/>
      <c r="GEY38" s="288"/>
      <c r="GEZ38" s="288"/>
      <c r="GFA38" s="288"/>
      <c r="GFB38" s="288"/>
      <c r="GFC38" s="288"/>
      <c r="GFD38" s="288"/>
      <c r="GFE38" s="288"/>
      <c r="GFF38" s="288"/>
      <c r="GFG38" s="288"/>
      <c r="GFH38" s="288"/>
      <c r="GFI38" s="288"/>
      <c r="GFJ38" s="288"/>
      <c r="GFK38" s="288"/>
      <c r="GFL38" s="288"/>
      <c r="GFM38" s="288"/>
      <c r="GFN38" s="288"/>
      <c r="GFO38" s="288"/>
      <c r="GFP38" s="288"/>
      <c r="GFQ38" s="288"/>
      <c r="GFR38" s="288"/>
      <c r="GFS38" s="288"/>
      <c r="GFT38" s="288"/>
      <c r="GFU38" s="288"/>
      <c r="GFV38" s="288"/>
      <c r="GFW38" s="288"/>
      <c r="GFX38" s="288"/>
      <c r="GFY38" s="288"/>
      <c r="GFZ38" s="288"/>
      <c r="GGA38" s="288"/>
      <c r="GGB38" s="288"/>
      <c r="GGC38" s="288"/>
      <c r="GGD38" s="288"/>
      <c r="GGE38" s="288"/>
      <c r="GGF38" s="288"/>
      <c r="GGG38" s="288"/>
      <c r="GGH38" s="288"/>
      <c r="GGI38" s="288"/>
      <c r="GGJ38" s="288"/>
      <c r="GGK38" s="288"/>
      <c r="GGL38" s="288"/>
      <c r="GGM38" s="288"/>
      <c r="GGN38" s="288"/>
      <c r="GGO38" s="288"/>
      <c r="GGP38" s="288"/>
      <c r="GGQ38" s="288"/>
      <c r="GGR38" s="288"/>
      <c r="GGS38" s="288"/>
      <c r="GGT38" s="288"/>
      <c r="GGU38" s="288"/>
      <c r="GGV38" s="288"/>
      <c r="GGW38" s="288"/>
      <c r="GGX38" s="288"/>
      <c r="GGY38" s="288"/>
      <c r="GGZ38" s="288"/>
      <c r="GHA38" s="288"/>
      <c r="GHB38" s="288"/>
      <c r="GHC38" s="288"/>
      <c r="GHD38" s="288"/>
      <c r="GHE38" s="288"/>
      <c r="GHF38" s="288"/>
      <c r="GHG38" s="288"/>
      <c r="GHH38" s="288"/>
      <c r="GHI38" s="288"/>
      <c r="GHJ38" s="288"/>
      <c r="GHK38" s="288"/>
      <c r="GHL38" s="288"/>
      <c r="GHM38" s="288"/>
      <c r="GHN38" s="288"/>
      <c r="GHO38" s="288"/>
      <c r="GHP38" s="288"/>
      <c r="GHQ38" s="288"/>
      <c r="GHR38" s="288"/>
      <c r="GHS38" s="288"/>
      <c r="GHT38" s="288"/>
      <c r="GHU38" s="288"/>
      <c r="GHV38" s="288"/>
      <c r="GHW38" s="288"/>
      <c r="GHX38" s="288"/>
      <c r="GHY38" s="288"/>
      <c r="GHZ38" s="288"/>
      <c r="GIA38" s="288"/>
      <c r="GIB38" s="288"/>
      <c r="GIC38" s="288"/>
      <c r="GID38" s="288"/>
      <c r="GIE38" s="288"/>
      <c r="GIF38" s="288"/>
      <c r="GIG38" s="288"/>
      <c r="GIH38" s="288"/>
      <c r="GII38" s="288"/>
      <c r="GIJ38" s="288"/>
      <c r="GIK38" s="288"/>
      <c r="GIL38" s="288"/>
      <c r="GIM38" s="288"/>
      <c r="GIN38" s="288"/>
      <c r="GIO38" s="288"/>
      <c r="GIP38" s="288"/>
      <c r="GIQ38" s="288"/>
      <c r="GIR38" s="288"/>
      <c r="GIS38" s="288"/>
      <c r="GIT38" s="288"/>
      <c r="GIU38" s="288"/>
      <c r="GIV38" s="288"/>
      <c r="GIW38" s="288"/>
      <c r="GIX38" s="288"/>
      <c r="GIY38" s="288"/>
      <c r="GIZ38" s="288"/>
      <c r="GJA38" s="288"/>
      <c r="GJB38" s="288"/>
      <c r="GJC38" s="288"/>
      <c r="GJD38" s="288"/>
      <c r="GJE38" s="288"/>
      <c r="GJF38" s="288"/>
      <c r="GJG38" s="288"/>
      <c r="GJH38" s="288"/>
      <c r="GJI38" s="288"/>
      <c r="GJJ38" s="288"/>
      <c r="GJK38" s="288"/>
      <c r="GJL38" s="288"/>
      <c r="GJM38" s="288"/>
      <c r="GJN38" s="288"/>
      <c r="GJO38" s="288"/>
      <c r="GJP38" s="288"/>
      <c r="GJQ38" s="288"/>
      <c r="GJR38" s="288"/>
      <c r="GJS38" s="288"/>
      <c r="GJT38" s="288"/>
      <c r="GJU38" s="288"/>
      <c r="GJV38" s="288"/>
      <c r="GJW38" s="288"/>
      <c r="GJX38" s="288"/>
      <c r="GJY38" s="288"/>
      <c r="GJZ38" s="288"/>
      <c r="GKA38" s="288"/>
      <c r="GKB38" s="288"/>
      <c r="GKC38" s="288"/>
      <c r="GKD38" s="288"/>
      <c r="GKE38" s="288"/>
      <c r="GKF38" s="288"/>
      <c r="GKG38" s="288"/>
      <c r="GKH38" s="288"/>
      <c r="GKI38" s="288"/>
      <c r="GKJ38" s="288"/>
      <c r="GKK38" s="288"/>
      <c r="GKL38" s="288"/>
      <c r="GKM38" s="288"/>
      <c r="GKN38" s="288"/>
      <c r="GKO38" s="288"/>
      <c r="GKP38" s="288"/>
      <c r="GKQ38" s="288"/>
      <c r="GKR38" s="288"/>
      <c r="GKS38" s="288"/>
      <c r="GKT38" s="288"/>
      <c r="GKU38" s="288"/>
      <c r="GKV38" s="288"/>
      <c r="GKW38" s="288"/>
      <c r="GKX38" s="288"/>
      <c r="GKY38" s="288"/>
      <c r="GKZ38" s="288"/>
      <c r="GLA38" s="288"/>
      <c r="GLB38" s="288"/>
      <c r="GLC38" s="288"/>
      <c r="GLD38" s="288"/>
      <c r="GLE38" s="288"/>
      <c r="GLF38" s="288"/>
      <c r="GLG38" s="288"/>
      <c r="GLH38" s="288"/>
      <c r="GLI38" s="288"/>
      <c r="GLJ38" s="288"/>
      <c r="GLK38" s="288"/>
      <c r="GLL38" s="288"/>
      <c r="GLM38" s="288"/>
      <c r="GLN38" s="288"/>
      <c r="GLO38" s="288"/>
      <c r="GLP38" s="288"/>
      <c r="GLQ38" s="288"/>
      <c r="GLR38" s="288"/>
      <c r="GLS38" s="288"/>
      <c r="GLT38" s="288"/>
      <c r="GLU38" s="288"/>
      <c r="GLV38" s="288"/>
      <c r="GLW38" s="288"/>
      <c r="GLX38" s="288"/>
      <c r="GLY38" s="288"/>
      <c r="GLZ38" s="288"/>
      <c r="GMA38" s="288"/>
      <c r="GMB38" s="288"/>
      <c r="GMC38" s="288"/>
      <c r="GMD38" s="288"/>
      <c r="GME38" s="288"/>
      <c r="GMF38" s="288"/>
      <c r="GMG38" s="288"/>
      <c r="GMH38" s="288"/>
      <c r="GMI38" s="288"/>
      <c r="GMJ38" s="288"/>
      <c r="GMK38" s="288"/>
      <c r="GML38" s="288"/>
      <c r="GMM38" s="288"/>
      <c r="GMN38" s="288"/>
      <c r="GMO38" s="288"/>
      <c r="GMP38" s="288"/>
      <c r="GMQ38" s="288"/>
      <c r="GMR38" s="288"/>
      <c r="GMS38" s="288"/>
      <c r="GMT38" s="288"/>
      <c r="GMU38" s="288"/>
      <c r="GMV38" s="288"/>
      <c r="GMW38" s="288"/>
      <c r="GMX38" s="288"/>
      <c r="GMY38" s="288"/>
      <c r="GMZ38" s="288"/>
      <c r="GNA38" s="288"/>
      <c r="GNB38" s="288"/>
      <c r="GNC38" s="288"/>
      <c r="GND38" s="288"/>
      <c r="GNE38" s="288"/>
      <c r="GNF38" s="288"/>
      <c r="GNG38" s="288"/>
      <c r="GNH38" s="288"/>
      <c r="GNI38" s="288"/>
      <c r="GNJ38" s="288"/>
      <c r="GNK38" s="288"/>
      <c r="GNL38" s="288"/>
      <c r="GNM38" s="288"/>
      <c r="GNN38" s="288"/>
      <c r="GNO38" s="288"/>
      <c r="GNP38" s="288"/>
      <c r="GNQ38" s="288"/>
      <c r="GNR38" s="288"/>
      <c r="GNS38" s="288"/>
      <c r="GNT38" s="288"/>
      <c r="GNU38" s="288"/>
      <c r="GNV38" s="288"/>
      <c r="GNW38" s="288"/>
      <c r="GNX38" s="288"/>
      <c r="GNY38" s="288"/>
      <c r="GNZ38" s="288"/>
      <c r="GOA38" s="288"/>
      <c r="GOB38" s="288"/>
      <c r="GOC38" s="288"/>
      <c r="GOD38" s="288"/>
      <c r="GOE38" s="288"/>
      <c r="GOF38" s="288"/>
      <c r="GOG38" s="288"/>
      <c r="GOH38" s="288"/>
      <c r="GOI38" s="288"/>
      <c r="GOJ38" s="288"/>
      <c r="GOK38" s="288"/>
      <c r="GOL38" s="288"/>
      <c r="GOM38" s="288"/>
      <c r="GON38" s="288"/>
      <c r="GOO38" s="288"/>
      <c r="GOP38" s="288"/>
      <c r="GOQ38" s="288"/>
      <c r="GOR38" s="288"/>
      <c r="GOS38" s="288"/>
      <c r="GOT38" s="288"/>
      <c r="GOU38" s="288"/>
      <c r="GOV38" s="288"/>
      <c r="GOW38" s="288"/>
      <c r="GOX38" s="288"/>
      <c r="GOY38" s="288"/>
      <c r="GOZ38" s="288"/>
      <c r="GPA38" s="288"/>
      <c r="GPB38" s="288"/>
      <c r="GPC38" s="288"/>
      <c r="GPD38" s="288"/>
      <c r="GPE38" s="288"/>
      <c r="GPF38" s="288"/>
      <c r="GPG38" s="288"/>
      <c r="GPH38" s="288"/>
      <c r="GPI38" s="288"/>
      <c r="GPJ38" s="288"/>
      <c r="GPK38" s="288"/>
      <c r="GPL38" s="288"/>
      <c r="GPM38" s="288"/>
      <c r="GPN38" s="288"/>
      <c r="GPO38" s="288"/>
      <c r="GPP38" s="288"/>
      <c r="GPQ38" s="288"/>
      <c r="GPR38" s="288"/>
      <c r="GPS38" s="288"/>
      <c r="GPT38" s="288"/>
      <c r="GPU38" s="288"/>
      <c r="GPV38" s="288"/>
      <c r="GPW38" s="288"/>
      <c r="GPX38" s="288"/>
      <c r="GPY38" s="288"/>
      <c r="GPZ38" s="288"/>
      <c r="GQA38" s="288"/>
      <c r="GQB38" s="288"/>
      <c r="GQC38" s="288"/>
      <c r="GQD38" s="288"/>
      <c r="GQE38" s="288"/>
      <c r="GQF38" s="288"/>
      <c r="GQG38" s="288"/>
      <c r="GQH38" s="288"/>
      <c r="GQI38" s="288"/>
      <c r="GQJ38" s="288"/>
      <c r="GQK38" s="288"/>
      <c r="GQL38" s="288"/>
      <c r="GQM38" s="288"/>
      <c r="GQN38" s="288"/>
      <c r="GQO38" s="288"/>
      <c r="GQP38" s="288"/>
      <c r="GQQ38" s="288"/>
      <c r="GQR38" s="288"/>
      <c r="GQS38" s="288"/>
      <c r="GQT38" s="288"/>
      <c r="GQU38" s="288"/>
      <c r="GQV38" s="288"/>
      <c r="GQW38" s="288"/>
      <c r="GQX38" s="288"/>
      <c r="GQY38" s="288"/>
      <c r="GQZ38" s="288"/>
      <c r="GRA38" s="288"/>
      <c r="GRB38" s="288"/>
      <c r="GRC38" s="288"/>
      <c r="GRD38" s="288"/>
      <c r="GRE38" s="288"/>
      <c r="GRF38" s="288"/>
      <c r="GRG38" s="288"/>
      <c r="GRH38" s="288"/>
      <c r="GRI38" s="288"/>
      <c r="GRJ38" s="288"/>
      <c r="GRK38" s="288"/>
      <c r="GRL38" s="288"/>
      <c r="GRM38" s="288"/>
      <c r="GRN38" s="288"/>
      <c r="GRO38" s="288"/>
      <c r="GRP38" s="288"/>
      <c r="GRQ38" s="288"/>
      <c r="GRR38" s="288"/>
      <c r="GRS38" s="288"/>
      <c r="GRT38" s="288"/>
      <c r="GRU38" s="288"/>
      <c r="GRV38" s="288"/>
      <c r="GRW38" s="288"/>
      <c r="GRX38" s="288"/>
      <c r="GRY38" s="288"/>
      <c r="GRZ38" s="288"/>
      <c r="GSA38" s="288"/>
      <c r="GSB38" s="288"/>
      <c r="GSC38" s="288"/>
      <c r="GSD38" s="288"/>
      <c r="GSE38" s="288"/>
      <c r="GSF38" s="288"/>
      <c r="GSG38" s="288"/>
      <c r="GSH38" s="288"/>
      <c r="GSI38" s="288"/>
      <c r="GSJ38" s="288"/>
      <c r="GSK38" s="288"/>
      <c r="GSL38" s="288"/>
      <c r="GSM38" s="288"/>
      <c r="GSN38" s="288"/>
      <c r="GSO38" s="288"/>
      <c r="GSP38" s="288"/>
      <c r="GSQ38" s="288"/>
      <c r="GSR38" s="288"/>
      <c r="GSS38" s="288"/>
      <c r="GST38" s="288"/>
      <c r="GSU38" s="288"/>
      <c r="GSV38" s="288"/>
      <c r="GSW38" s="288"/>
      <c r="GSX38" s="288"/>
      <c r="GSY38" s="288"/>
      <c r="GSZ38" s="288"/>
      <c r="GTA38" s="288"/>
      <c r="GTB38" s="288"/>
      <c r="GTC38" s="288"/>
      <c r="GTD38" s="288"/>
      <c r="GTE38" s="288"/>
      <c r="GTF38" s="288"/>
      <c r="GTG38" s="288"/>
      <c r="GTH38" s="288"/>
      <c r="GTI38" s="288"/>
      <c r="GTJ38" s="288"/>
      <c r="GTK38" s="288"/>
      <c r="GTL38" s="288"/>
      <c r="GTM38" s="288"/>
      <c r="GTN38" s="288"/>
      <c r="GTO38" s="288"/>
      <c r="GTP38" s="288"/>
      <c r="GTQ38" s="288"/>
      <c r="GTR38" s="288"/>
      <c r="GTS38" s="288"/>
      <c r="GTT38" s="288"/>
      <c r="GTU38" s="288"/>
      <c r="GTV38" s="288"/>
      <c r="GTW38" s="288"/>
      <c r="GTX38" s="288"/>
      <c r="GTY38" s="288"/>
      <c r="GTZ38" s="288"/>
      <c r="GUA38" s="288"/>
      <c r="GUB38" s="288"/>
      <c r="GUC38" s="288"/>
      <c r="GUD38" s="288"/>
      <c r="GUE38" s="288"/>
      <c r="GUF38" s="288"/>
      <c r="GUG38" s="288"/>
      <c r="GUH38" s="288"/>
      <c r="GUI38" s="288"/>
      <c r="GUJ38" s="288"/>
      <c r="GUK38" s="288"/>
      <c r="GUL38" s="288"/>
      <c r="GUM38" s="288"/>
      <c r="GUN38" s="288"/>
      <c r="GUO38" s="288"/>
      <c r="GUP38" s="288"/>
      <c r="GUQ38" s="288"/>
      <c r="GUR38" s="288"/>
      <c r="GUS38" s="288"/>
      <c r="GUT38" s="288"/>
      <c r="GUU38" s="288"/>
      <c r="GUV38" s="288"/>
      <c r="GUW38" s="288"/>
      <c r="GUX38" s="288"/>
      <c r="GUY38" s="288"/>
      <c r="GUZ38" s="288"/>
      <c r="GVA38" s="288"/>
      <c r="GVB38" s="288"/>
      <c r="GVC38" s="288"/>
      <c r="GVD38" s="288"/>
      <c r="GVE38" s="288"/>
      <c r="GVF38" s="288"/>
      <c r="GVG38" s="288"/>
      <c r="GVH38" s="288"/>
      <c r="GVI38" s="288"/>
      <c r="GVJ38" s="288"/>
      <c r="GVK38" s="288"/>
      <c r="GVL38" s="288"/>
      <c r="GVM38" s="288"/>
      <c r="GVN38" s="288"/>
      <c r="GVO38" s="288"/>
      <c r="GVP38" s="288"/>
      <c r="GVQ38" s="288"/>
      <c r="GVR38" s="288"/>
      <c r="GVS38" s="288"/>
      <c r="GVT38" s="288"/>
      <c r="GVU38" s="288"/>
      <c r="GVV38" s="288"/>
      <c r="GVW38" s="288"/>
      <c r="GVX38" s="288"/>
      <c r="GVY38" s="288"/>
      <c r="GVZ38" s="288"/>
      <c r="GWA38" s="288"/>
      <c r="GWB38" s="288"/>
      <c r="GWC38" s="288"/>
      <c r="GWD38" s="288"/>
      <c r="GWE38" s="288"/>
      <c r="GWF38" s="288"/>
      <c r="GWG38" s="288"/>
      <c r="GWH38" s="288"/>
      <c r="GWI38" s="288"/>
      <c r="GWJ38" s="288"/>
      <c r="GWK38" s="288"/>
      <c r="GWL38" s="288"/>
      <c r="GWM38" s="288"/>
      <c r="GWN38" s="288"/>
      <c r="GWO38" s="288"/>
      <c r="GWP38" s="288"/>
      <c r="GWQ38" s="288"/>
      <c r="GWR38" s="288"/>
      <c r="GWS38" s="288"/>
      <c r="GWT38" s="288"/>
      <c r="GWU38" s="288"/>
      <c r="GWV38" s="288"/>
      <c r="GWW38" s="288"/>
      <c r="GWX38" s="288"/>
      <c r="GWY38" s="288"/>
      <c r="GWZ38" s="288"/>
      <c r="GXA38" s="288"/>
      <c r="GXB38" s="288"/>
      <c r="GXC38" s="288"/>
      <c r="GXD38" s="288"/>
      <c r="GXE38" s="288"/>
      <c r="GXF38" s="288"/>
      <c r="GXG38" s="288"/>
      <c r="GXH38" s="288"/>
      <c r="GXI38" s="288"/>
      <c r="GXJ38" s="288"/>
      <c r="GXK38" s="288"/>
      <c r="GXL38" s="288"/>
      <c r="GXM38" s="288"/>
      <c r="GXN38" s="288"/>
      <c r="GXO38" s="288"/>
      <c r="GXP38" s="288"/>
      <c r="GXQ38" s="288"/>
      <c r="GXR38" s="288"/>
      <c r="GXS38" s="288"/>
      <c r="GXT38" s="288"/>
      <c r="GXU38" s="288"/>
      <c r="GXV38" s="288"/>
      <c r="GXW38" s="288"/>
      <c r="GXX38" s="288"/>
      <c r="GXY38" s="288"/>
      <c r="GXZ38" s="288"/>
      <c r="GYA38" s="288"/>
      <c r="GYB38" s="288"/>
      <c r="GYC38" s="288"/>
      <c r="GYD38" s="288"/>
      <c r="GYE38" s="288"/>
      <c r="GYF38" s="288"/>
      <c r="GYG38" s="288"/>
      <c r="GYH38" s="288"/>
      <c r="GYI38" s="288"/>
      <c r="GYJ38" s="288"/>
      <c r="GYK38" s="288"/>
      <c r="GYL38" s="288"/>
      <c r="GYM38" s="288"/>
      <c r="GYN38" s="288"/>
      <c r="GYO38" s="288"/>
      <c r="GYP38" s="288"/>
      <c r="GYQ38" s="288"/>
      <c r="GYR38" s="288"/>
      <c r="GYS38" s="288"/>
      <c r="GYT38" s="288"/>
      <c r="GYU38" s="288"/>
      <c r="GYV38" s="288"/>
      <c r="GYW38" s="288"/>
      <c r="GYX38" s="288"/>
      <c r="GYY38" s="288"/>
      <c r="GYZ38" s="288"/>
      <c r="GZA38" s="288"/>
      <c r="GZB38" s="288"/>
      <c r="GZC38" s="288"/>
      <c r="GZD38" s="288"/>
      <c r="GZE38" s="288"/>
      <c r="GZF38" s="288"/>
      <c r="GZG38" s="288"/>
      <c r="GZH38" s="288"/>
      <c r="GZI38" s="288"/>
      <c r="GZJ38" s="288"/>
      <c r="GZK38" s="288"/>
      <c r="GZL38" s="288"/>
      <c r="GZM38" s="288"/>
      <c r="GZN38" s="288"/>
      <c r="GZO38" s="288"/>
      <c r="GZP38" s="288"/>
      <c r="GZQ38" s="288"/>
      <c r="GZR38" s="288"/>
      <c r="GZS38" s="288"/>
      <c r="GZT38" s="288"/>
      <c r="GZU38" s="288"/>
      <c r="GZV38" s="288"/>
      <c r="GZW38" s="288"/>
      <c r="GZX38" s="288"/>
      <c r="GZY38" s="288"/>
      <c r="GZZ38" s="288"/>
      <c r="HAA38" s="288"/>
      <c r="HAB38" s="288"/>
      <c r="HAC38" s="288"/>
      <c r="HAD38" s="288"/>
      <c r="HAE38" s="288"/>
      <c r="HAF38" s="288"/>
      <c r="HAG38" s="288"/>
      <c r="HAH38" s="288"/>
      <c r="HAI38" s="288"/>
      <c r="HAJ38" s="288"/>
      <c r="HAK38" s="288"/>
      <c r="HAL38" s="288"/>
      <c r="HAM38" s="288"/>
      <c r="HAN38" s="288"/>
      <c r="HAO38" s="288"/>
      <c r="HAP38" s="288"/>
      <c r="HAQ38" s="288"/>
      <c r="HAR38" s="288"/>
      <c r="HAS38" s="288"/>
      <c r="HAT38" s="288"/>
      <c r="HAU38" s="288"/>
      <c r="HAV38" s="288"/>
      <c r="HAW38" s="288"/>
      <c r="HAX38" s="288"/>
      <c r="HAY38" s="288"/>
      <c r="HAZ38" s="288"/>
      <c r="HBA38" s="288"/>
      <c r="HBB38" s="288"/>
      <c r="HBC38" s="288"/>
      <c r="HBD38" s="288"/>
      <c r="HBE38" s="288"/>
      <c r="HBF38" s="288"/>
      <c r="HBG38" s="288"/>
      <c r="HBH38" s="288"/>
      <c r="HBI38" s="288"/>
      <c r="HBJ38" s="288"/>
      <c r="HBK38" s="288"/>
      <c r="HBL38" s="288"/>
      <c r="HBM38" s="288"/>
      <c r="HBN38" s="288"/>
      <c r="HBO38" s="288"/>
      <c r="HBP38" s="288"/>
      <c r="HBQ38" s="288"/>
      <c r="HBR38" s="288"/>
      <c r="HBS38" s="288"/>
      <c r="HBT38" s="288"/>
      <c r="HBU38" s="288"/>
      <c r="HBV38" s="288"/>
      <c r="HBW38" s="288"/>
      <c r="HBX38" s="288"/>
      <c r="HBY38" s="288"/>
      <c r="HBZ38" s="288"/>
      <c r="HCA38" s="288"/>
      <c r="HCB38" s="288"/>
      <c r="HCC38" s="288"/>
      <c r="HCD38" s="288"/>
      <c r="HCE38" s="288"/>
      <c r="HCF38" s="288"/>
      <c r="HCG38" s="288"/>
      <c r="HCH38" s="288"/>
      <c r="HCI38" s="288"/>
      <c r="HCJ38" s="288"/>
      <c r="HCK38" s="288"/>
      <c r="HCL38" s="288"/>
      <c r="HCM38" s="288"/>
      <c r="HCN38" s="288"/>
      <c r="HCO38" s="288"/>
      <c r="HCP38" s="288"/>
      <c r="HCQ38" s="288"/>
      <c r="HCR38" s="288"/>
      <c r="HCS38" s="288"/>
      <c r="HCT38" s="288"/>
      <c r="HCU38" s="288"/>
      <c r="HCV38" s="288"/>
      <c r="HCW38" s="288"/>
      <c r="HCX38" s="288"/>
      <c r="HCY38" s="288"/>
      <c r="HCZ38" s="288"/>
      <c r="HDA38" s="288"/>
      <c r="HDB38" s="288"/>
      <c r="HDC38" s="288"/>
      <c r="HDD38" s="288"/>
      <c r="HDE38" s="288"/>
      <c r="HDF38" s="288"/>
      <c r="HDG38" s="288"/>
      <c r="HDH38" s="288"/>
      <c r="HDI38" s="288"/>
      <c r="HDJ38" s="288"/>
      <c r="HDK38" s="288"/>
      <c r="HDL38" s="288"/>
      <c r="HDM38" s="288"/>
      <c r="HDN38" s="288"/>
      <c r="HDO38" s="288"/>
      <c r="HDP38" s="288"/>
      <c r="HDQ38" s="288"/>
      <c r="HDR38" s="288"/>
      <c r="HDS38" s="288"/>
      <c r="HDT38" s="288"/>
      <c r="HDU38" s="288"/>
      <c r="HDV38" s="288"/>
      <c r="HDW38" s="288"/>
      <c r="HDX38" s="288"/>
      <c r="HDY38" s="288"/>
      <c r="HDZ38" s="288"/>
      <c r="HEA38" s="288"/>
      <c r="HEB38" s="288"/>
      <c r="HEC38" s="288"/>
      <c r="HED38" s="288"/>
      <c r="HEE38" s="288"/>
      <c r="HEF38" s="288"/>
      <c r="HEG38" s="288"/>
      <c r="HEH38" s="288"/>
      <c r="HEI38" s="288"/>
      <c r="HEJ38" s="288"/>
      <c r="HEK38" s="288"/>
      <c r="HEL38" s="288"/>
      <c r="HEM38" s="288"/>
      <c r="HEN38" s="288"/>
      <c r="HEO38" s="288"/>
      <c r="HEP38" s="288"/>
      <c r="HEQ38" s="288"/>
      <c r="HER38" s="288"/>
      <c r="HES38" s="288"/>
      <c r="HET38" s="288"/>
      <c r="HEU38" s="288"/>
      <c r="HEV38" s="288"/>
      <c r="HEW38" s="288"/>
      <c r="HEX38" s="288"/>
      <c r="HEY38" s="288"/>
      <c r="HEZ38" s="288"/>
      <c r="HFA38" s="288"/>
      <c r="HFB38" s="288"/>
      <c r="HFC38" s="288"/>
      <c r="HFD38" s="288"/>
      <c r="HFE38" s="288"/>
      <c r="HFF38" s="288"/>
      <c r="HFG38" s="288"/>
      <c r="HFH38" s="288"/>
      <c r="HFI38" s="288"/>
      <c r="HFJ38" s="288"/>
      <c r="HFK38" s="288"/>
      <c r="HFL38" s="288"/>
      <c r="HFM38" s="288"/>
      <c r="HFN38" s="288"/>
      <c r="HFO38" s="288"/>
      <c r="HFP38" s="288"/>
      <c r="HFQ38" s="288"/>
      <c r="HFR38" s="288"/>
      <c r="HFS38" s="288"/>
      <c r="HFT38" s="288"/>
      <c r="HFU38" s="288"/>
      <c r="HFV38" s="288"/>
      <c r="HFW38" s="288"/>
      <c r="HFX38" s="288"/>
      <c r="HFY38" s="288"/>
      <c r="HFZ38" s="288"/>
      <c r="HGA38" s="288"/>
      <c r="HGB38" s="288"/>
      <c r="HGC38" s="288"/>
      <c r="HGD38" s="288"/>
      <c r="HGE38" s="288"/>
      <c r="HGF38" s="288"/>
      <c r="HGG38" s="288"/>
      <c r="HGH38" s="288"/>
      <c r="HGI38" s="288"/>
      <c r="HGJ38" s="288"/>
      <c r="HGK38" s="288"/>
      <c r="HGL38" s="288"/>
      <c r="HGM38" s="288"/>
      <c r="HGN38" s="288"/>
      <c r="HGO38" s="288"/>
      <c r="HGP38" s="288"/>
      <c r="HGQ38" s="288"/>
      <c r="HGR38" s="288"/>
      <c r="HGS38" s="288"/>
      <c r="HGT38" s="288"/>
      <c r="HGU38" s="288"/>
      <c r="HGV38" s="288"/>
      <c r="HGW38" s="288"/>
      <c r="HGX38" s="288"/>
      <c r="HGY38" s="288"/>
      <c r="HGZ38" s="288"/>
      <c r="HHA38" s="288"/>
      <c r="HHB38" s="288"/>
      <c r="HHC38" s="288"/>
      <c r="HHD38" s="288"/>
      <c r="HHE38" s="288"/>
      <c r="HHF38" s="288"/>
      <c r="HHG38" s="288"/>
      <c r="HHH38" s="288"/>
      <c r="HHI38" s="288"/>
      <c r="HHJ38" s="288"/>
      <c r="HHK38" s="288"/>
      <c r="HHL38" s="288"/>
      <c r="HHM38" s="288"/>
      <c r="HHN38" s="288"/>
      <c r="HHO38" s="288"/>
      <c r="HHP38" s="288"/>
      <c r="HHQ38" s="288"/>
      <c r="HHR38" s="288"/>
      <c r="HHS38" s="288"/>
      <c r="HHT38" s="288"/>
      <c r="HHU38" s="288"/>
      <c r="HHV38" s="288"/>
      <c r="HHW38" s="288"/>
      <c r="HHX38" s="288"/>
      <c r="HHY38" s="288"/>
      <c r="HHZ38" s="288"/>
      <c r="HIA38" s="288"/>
      <c r="HIB38" s="288"/>
      <c r="HIC38" s="288"/>
      <c r="HID38" s="288"/>
      <c r="HIE38" s="288"/>
      <c r="HIF38" s="288"/>
      <c r="HIG38" s="288"/>
      <c r="HIH38" s="288"/>
      <c r="HII38" s="288"/>
      <c r="HIJ38" s="288"/>
      <c r="HIK38" s="288"/>
      <c r="HIL38" s="288"/>
      <c r="HIM38" s="288"/>
      <c r="HIN38" s="288"/>
      <c r="HIO38" s="288"/>
      <c r="HIP38" s="288"/>
      <c r="HIQ38" s="288"/>
      <c r="HIR38" s="288"/>
      <c r="HIS38" s="288"/>
      <c r="HIT38" s="288"/>
      <c r="HIU38" s="288"/>
      <c r="HIV38" s="288"/>
      <c r="HIW38" s="288"/>
      <c r="HIX38" s="288"/>
      <c r="HIY38" s="288"/>
      <c r="HIZ38" s="288"/>
      <c r="HJA38" s="288"/>
      <c r="HJB38" s="288"/>
      <c r="HJC38" s="288"/>
      <c r="HJD38" s="288"/>
      <c r="HJE38" s="288"/>
      <c r="HJF38" s="288"/>
      <c r="HJG38" s="288"/>
      <c r="HJH38" s="288"/>
      <c r="HJI38" s="288"/>
      <c r="HJJ38" s="288"/>
      <c r="HJK38" s="288"/>
      <c r="HJL38" s="288"/>
      <c r="HJM38" s="288"/>
      <c r="HJN38" s="288"/>
      <c r="HJO38" s="288"/>
      <c r="HJP38" s="288"/>
      <c r="HJQ38" s="288"/>
      <c r="HJR38" s="288"/>
      <c r="HJS38" s="288"/>
      <c r="HJT38" s="288"/>
      <c r="HJU38" s="288"/>
      <c r="HJV38" s="288"/>
      <c r="HJW38" s="288"/>
      <c r="HJX38" s="288"/>
      <c r="HJY38" s="288"/>
      <c r="HJZ38" s="288"/>
      <c r="HKA38" s="288"/>
      <c r="HKB38" s="288"/>
      <c r="HKC38" s="288"/>
      <c r="HKD38" s="288"/>
      <c r="HKE38" s="288"/>
      <c r="HKF38" s="288"/>
      <c r="HKG38" s="288"/>
      <c r="HKH38" s="288"/>
      <c r="HKI38" s="288"/>
      <c r="HKJ38" s="288"/>
      <c r="HKK38" s="288"/>
      <c r="HKL38" s="288"/>
      <c r="HKM38" s="288"/>
      <c r="HKN38" s="288"/>
      <c r="HKO38" s="288"/>
      <c r="HKP38" s="288"/>
      <c r="HKQ38" s="288"/>
      <c r="HKR38" s="288"/>
      <c r="HKS38" s="288"/>
      <c r="HKT38" s="288"/>
      <c r="HKU38" s="288"/>
      <c r="HKV38" s="288"/>
      <c r="HKW38" s="288"/>
      <c r="HKX38" s="288"/>
      <c r="HKY38" s="288"/>
      <c r="HKZ38" s="288"/>
      <c r="HLA38" s="288"/>
      <c r="HLB38" s="288"/>
      <c r="HLC38" s="288"/>
      <c r="HLD38" s="288"/>
      <c r="HLE38" s="288"/>
      <c r="HLF38" s="288"/>
      <c r="HLG38" s="288"/>
      <c r="HLH38" s="288"/>
      <c r="HLI38" s="288"/>
      <c r="HLJ38" s="288"/>
      <c r="HLK38" s="288"/>
      <c r="HLL38" s="288"/>
      <c r="HLM38" s="288"/>
      <c r="HLN38" s="288"/>
      <c r="HLO38" s="288"/>
      <c r="HLP38" s="288"/>
      <c r="HLQ38" s="288"/>
      <c r="HLR38" s="288"/>
      <c r="HLS38" s="288"/>
      <c r="HLT38" s="288"/>
      <c r="HLU38" s="288"/>
      <c r="HLV38" s="288"/>
      <c r="HLW38" s="288"/>
      <c r="HLX38" s="288"/>
      <c r="HLY38" s="288"/>
      <c r="HLZ38" s="288"/>
      <c r="HMA38" s="288"/>
      <c r="HMB38" s="288"/>
      <c r="HMC38" s="288"/>
      <c r="HMD38" s="288"/>
      <c r="HME38" s="288"/>
      <c r="HMF38" s="288"/>
      <c r="HMG38" s="288"/>
      <c r="HMH38" s="288"/>
      <c r="HMI38" s="288"/>
      <c r="HMJ38" s="288"/>
      <c r="HMK38" s="288"/>
      <c r="HML38" s="288"/>
      <c r="HMM38" s="288"/>
      <c r="HMN38" s="288"/>
      <c r="HMO38" s="288"/>
      <c r="HMP38" s="288"/>
      <c r="HMQ38" s="288"/>
      <c r="HMR38" s="288"/>
      <c r="HMS38" s="288"/>
      <c r="HMT38" s="288"/>
      <c r="HMU38" s="288"/>
      <c r="HMV38" s="288"/>
      <c r="HMW38" s="288"/>
      <c r="HMX38" s="288"/>
      <c r="HMY38" s="288"/>
      <c r="HMZ38" s="288"/>
      <c r="HNA38" s="288"/>
      <c r="HNB38" s="288"/>
      <c r="HNC38" s="288"/>
      <c r="HND38" s="288"/>
      <c r="HNE38" s="288"/>
      <c r="HNF38" s="288"/>
      <c r="HNG38" s="288"/>
      <c r="HNH38" s="288"/>
      <c r="HNI38" s="288"/>
      <c r="HNJ38" s="288"/>
      <c r="HNK38" s="288"/>
      <c r="HNL38" s="288"/>
      <c r="HNM38" s="288"/>
      <c r="HNN38" s="288"/>
      <c r="HNO38" s="288"/>
      <c r="HNP38" s="288"/>
      <c r="HNQ38" s="288"/>
      <c r="HNR38" s="288"/>
      <c r="HNS38" s="288"/>
      <c r="HNT38" s="288"/>
      <c r="HNU38" s="288"/>
      <c r="HNV38" s="288"/>
      <c r="HNW38" s="288"/>
      <c r="HNX38" s="288"/>
      <c r="HNY38" s="288"/>
      <c r="HNZ38" s="288"/>
      <c r="HOA38" s="288"/>
      <c r="HOB38" s="288"/>
      <c r="HOC38" s="288"/>
      <c r="HOD38" s="288"/>
      <c r="HOE38" s="288"/>
      <c r="HOF38" s="288"/>
      <c r="HOG38" s="288"/>
      <c r="HOH38" s="288"/>
      <c r="HOI38" s="288"/>
      <c r="HOJ38" s="288"/>
      <c r="HOK38" s="288"/>
      <c r="HOL38" s="288"/>
      <c r="HOM38" s="288"/>
      <c r="HON38" s="288"/>
      <c r="HOO38" s="288"/>
      <c r="HOP38" s="288"/>
      <c r="HOQ38" s="288"/>
      <c r="HOR38" s="288"/>
      <c r="HOS38" s="288"/>
      <c r="HOT38" s="288"/>
      <c r="HOU38" s="288"/>
      <c r="HOV38" s="288"/>
      <c r="HOW38" s="288"/>
      <c r="HOX38" s="288"/>
      <c r="HOY38" s="288"/>
      <c r="HOZ38" s="288"/>
      <c r="HPA38" s="288"/>
      <c r="HPB38" s="288"/>
      <c r="HPC38" s="288"/>
      <c r="HPD38" s="288"/>
      <c r="HPE38" s="288"/>
      <c r="HPF38" s="288"/>
      <c r="HPG38" s="288"/>
      <c r="HPH38" s="288"/>
      <c r="HPI38" s="288"/>
      <c r="HPJ38" s="288"/>
      <c r="HPK38" s="288"/>
      <c r="HPL38" s="288"/>
      <c r="HPM38" s="288"/>
      <c r="HPN38" s="288"/>
      <c r="HPO38" s="288"/>
      <c r="HPP38" s="288"/>
      <c r="HPQ38" s="288"/>
      <c r="HPR38" s="288"/>
      <c r="HPS38" s="288"/>
      <c r="HPT38" s="288"/>
      <c r="HPU38" s="288"/>
      <c r="HPV38" s="288"/>
      <c r="HPW38" s="288"/>
      <c r="HPX38" s="288"/>
      <c r="HPY38" s="288"/>
      <c r="HPZ38" s="288"/>
      <c r="HQA38" s="288"/>
      <c r="HQB38" s="288"/>
      <c r="HQC38" s="288"/>
      <c r="HQD38" s="288"/>
      <c r="HQE38" s="288"/>
      <c r="HQF38" s="288"/>
      <c r="HQG38" s="288"/>
      <c r="HQH38" s="288"/>
      <c r="HQI38" s="288"/>
      <c r="HQJ38" s="288"/>
      <c r="HQK38" s="288"/>
      <c r="HQL38" s="288"/>
      <c r="HQM38" s="288"/>
      <c r="HQN38" s="288"/>
      <c r="HQO38" s="288"/>
      <c r="HQP38" s="288"/>
      <c r="HQQ38" s="288"/>
      <c r="HQR38" s="288"/>
      <c r="HQS38" s="288"/>
      <c r="HQT38" s="288"/>
      <c r="HQU38" s="288"/>
      <c r="HQV38" s="288"/>
      <c r="HQW38" s="288"/>
      <c r="HQX38" s="288"/>
      <c r="HQY38" s="288"/>
      <c r="HQZ38" s="288"/>
      <c r="HRA38" s="288"/>
      <c r="HRB38" s="288"/>
      <c r="HRC38" s="288"/>
      <c r="HRD38" s="288"/>
      <c r="HRE38" s="288"/>
      <c r="HRF38" s="288"/>
      <c r="HRG38" s="288"/>
      <c r="HRH38" s="288"/>
      <c r="HRI38" s="288"/>
      <c r="HRJ38" s="288"/>
      <c r="HRK38" s="288"/>
      <c r="HRL38" s="288"/>
      <c r="HRM38" s="288"/>
      <c r="HRN38" s="288"/>
      <c r="HRO38" s="288"/>
      <c r="HRP38" s="288"/>
      <c r="HRQ38" s="288"/>
      <c r="HRR38" s="288"/>
      <c r="HRS38" s="288"/>
      <c r="HRT38" s="288"/>
      <c r="HRU38" s="288"/>
      <c r="HRV38" s="288"/>
      <c r="HRW38" s="288"/>
      <c r="HRX38" s="288"/>
      <c r="HRY38" s="288"/>
      <c r="HRZ38" s="288"/>
      <c r="HSA38" s="288"/>
      <c r="HSB38" s="288"/>
      <c r="HSC38" s="288"/>
      <c r="HSD38" s="288"/>
      <c r="HSE38" s="288"/>
      <c r="HSF38" s="288"/>
      <c r="HSG38" s="288"/>
      <c r="HSH38" s="288"/>
      <c r="HSI38" s="288"/>
      <c r="HSJ38" s="288"/>
      <c r="HSK38" s="288"/>
      <c r="HSL38" s="288"/>
      <c r="HSM38" s="288"/>
      <c r="HSN38" s="288"/>
      <c r="HSO38" s="288"/>
      <c r="HSP38" s="288"/>
      <c r="HSQ38" s="288"/>
      <c r="HSR38" s="288"/>
      <c r="HSS38" s="288"/>
      <c r="HST38" s="288"/>
      <c r="HSU38" s="288"/>
      <c r="HSV38" s="288"/>
      <c r="HSW38" s="288"/>
      <c r="HSX38" s="288"/>
      <c r="HSY38" s="288"/>
      <c r="HSZ38" s="288"/>
      <c r="HTA38" s="288"/>
      <c r="HTB38" s="288"/>
      <c r="HTC38" s="288"/>
      <c r="HTD38" s="288"/>
      <c r="HTE38" s="288"/>
      <c r="HTF38" s="288"/>
      <c r="HTG38" s="288"/>
      <c r="HTH38" s="288"/>
      <c r="HTI38" s="288"/>
      <c r="HTJ38" s="288"/>
      <c r="HTK38" s="288"/>
      <c r="HTL38" s="288"/>
      <c r="HTM38" s="288"/>
      <c r="HTN38" s="288"/>
      <c r="HTO38" s="288"/>
      <c r="HTP38" s="288"/>
      <c r="HTQ38" s="288"/>
      <c r="HTR38" s="288"/>
      <c r="HTS38" s="288"/>
      <c r="HTT38" s="288"/>
      <c r="HTU38" s="288"/>
      <c r="HTV38" s="288"/>
      <c r="HTW38" s="288"/>
      <c r="HTX38" s="288"/>
      <c r="HTY38" s="288"/>
      <c r="HTZ38" s="288"/>
      <c r="HUA38" s="288"/>
      <c r="HUB38" s="288"/>
      <c r="HUC38" s="288"/>
      <c r="HUD38" s="288"/>
      <c r="HUE38" s="288"/>
      <c r="HUF38" s="288"/>
      <c r="HUG38" s="288"/>
      <c r="HUH38" s="288"/>
      <c r="HUI38" s="288"/>
      <c r="HUJ38" s="288"/>
      <c r="HUK38" s="288"/>
      <c r="HUL38" s="288"/>
      <c r="HUM38" s="288"/>
      <c r="HUN38" s="288"/>
      <c r="HUO38" s="288"/>
      <c r="HUP38" s="288"/>
      <c r="HUQ38" s="288"/>
      <c r="HUR38" s="288"/>
      <c r="HUS38" s="288"/>
      <c r="HUT38" s="288"/>
      <c r="HUU38" s="288"/>
      <c r="HUV38" s="288"/>
      <c r="HUW38" s="288"/>
      <c r="HUX38" s="288"/>
      <c r="HUY38" s="288"/>
      <c r="HUZ38" s="288"/>
      <c r="HVA38" s="288"/>
      <c r="HVB38" s="288"/>
      <c r="HVC38" s="288"/>
      <c r="HVD38" s="288"/>
      <c r="HVE38" s="288"/>
      <c r="HVF38" s="288"/>
      <c r="HVG38" s="288"/>
      <c r="HVH38" s="288"/>
      <c r="HVI38" s="288"/>
      <c r="HVJ38" s="288"/>
      <c r="HVK38" s="288"/>
      <c r="HVL38" s="288"/>
      <c r="HVM38" s="288"/>
      <c r="HVN38" s="288"/>
      <c r="HVO38" s="288"/>
      <c r="HVP38" s="288"/>
      <c r="HVQ38" s="288"/>
      <c r="HVR38" s="288"/>
      <c r="HVS38" s="288"/>
      <c r="HVT38" s="288"/>
      <c r="HVU38" s="288"/>
      <c r="HVV38" s="288"/>
      <c r="HVW38" s="288"/>
      <c r="HVX38" s="288"/>
      <c r="HVY38" s="288"/>
      <c r="HVZ38" s="288"/>
      <c r="HWA38" s="288"/>
      <c r="HWB38" s="288"/>
      <c r="HWC38" s="288"/>
      <c r="HWD38" s="288"/>
      <c r="HWE38" s="288"/>
      <c r="HWF38" s="288"/>
      <c r="HWG38" s="288"/>
      <c r="HWH38" s="288"/>
      <c r="HWI38" s="288"/>
      <c r="HWJ38" s="288"/>
      <c r="HWK38" s="288"/>
      <c r="HWL38" s="288"/>
      <c r="HWM38" s="288"/>
      <c r="HWN38" s="288"/>
      <c r="HWO38" s="288"/>
      <c r="HWP38" s="288"/>
      <c r="HWQ38" s="288"/>
      <c r="HWR38" s="288"/>
      <c r="HWS38" s="288"/>
      <c r="HWT38" s="288"/>
      <c r="HWU38" s="288"/>
      <c r="HWV38" s="288"/>
      <c r="HWW38" s="288"/>
      <c r="HWX38" s="288"/>
      <c r="HWY38" s="288"/>
      <c r="HWZ38" s="288"/>
      <c r="HXA38" s="288"/>
      <c r="HXB38" s="288"/>
      <c r="HXC38" s="288"/>
      <c r="HXD38" s="288"/>
      <c r="HXE38" s="288"/>
      <c r="HXF38" s="288"/>
      <c r="HXG38" s="288"/>
      <c r="HXH38" s="288"/>
      <c r="HXI38" s="288"/>
      <c r="HXJ38" s="288"/>
      <c r="HXK38" s="288"/>
      <c r="HXL38" s="288"/>
      <c r="HXM38" s="288"/>
      <c r="HXN38" s="288"/>
      <c r="HXO38" s="288"/>
      <c r="HXP38" s="288"/>
      <c r="HXQ38" s="288"/>
      <c r="HXR38" s="288"/>
      <c r="HXS38" s="288"/>
      <c r="HXT38" s="288"/>
      <c r="HXU38" s="288"/>
      <c r="HXV38" s="288"/>
      <c r="HXW38" s="288"/>
      <c r="HXX38" s="288"/>
      <c r="HXY38" s="288"/>
      <c r="HXZ38" s="288"/>
      <c r="HYA38" s="288"/>
      <c r="HYB38" s="288"/>
      <c r="HYC38" s="288"/>
      <c r="HYD38" s="288"/>
      <c r="HYE38" s="288"/>
      <c r="HYF38" s="288"/>
      <c r="HYG38" s="288"/>
      <c r="HYH38" s="288"/>
      <c r="HYI38" s="288"/>
      <c r="HYJ38" s="288"/>
      <c r="HYK38" s="288"/>
      <c r="HYL38" s="288"/>
      <c r="HYM38" s="288"/>
      <c r="HYN38" s="288"/>
      <c r="HYO38" s="288"/>
      <c r="HYP38" s="288"/>
      <c r="HYQ38" s="288"/>
      <c r="HYR38" s="288"/>
      <c r="HYS38" s="288"/>
      <c r="HYT38" s="288"/>
      <c r="HYU38" s="288"/>
      <c r="HYV38" s="288"/>
      <c r="HYW38" s="288"/>
      <c r="HYX38" s="288"/>
      <c r="HYY38" s="288"/>
      <c r="HYZ38" s="288"/>
      <c r="HZA38" s="288"/>
      <c r="HZB38" s="288"/>
      <c r="HZC38" s="288"/>
      <c r="HZD38" s="288"/>
      <c r="HZE38" s="288"/>
      <c r="HZF38" s="288"/>
      <c r="HZG38" s="288"/>
      <c r="HZH38" s="288"/>
      <c r="HZI38" s="288"/>
      <c r="HZJ38" s="288"/>
      <c r="HZK38" s="288"/>
      <c r="HZL38" s="288"/>
      <c r="HZM38" s="288"/>
      <c r="HZN38" s="288"/>
      <c r="HZO38" s="288"/>
      <c r="HZP38" s="288"/>
      <c r="HZQ38" s="288"/>
      <c r="HZR38" s="288"/>
      <c r="HZS38" s="288"/>
      <c r="HZT38" s="288"/>
      <c r="HZU38" s="288"/>
      <c r="HZV38" s="288"/>
      <c r="HZW38" s="288"/>
      <c r="HZX38" s="288"/>
      <c r="HZY38" s="288"/>
      <c r="HZZ38" s="288"/>
      <c r="IAA38" s="288"/>
      <c r="IAB38" s="288"/>
      <c r="IAC38" s="288"/>
      <c r="IAD38" s="288"/>
      <c r="IAE38" s="288"/>
      <c r="IAF38" s="288"/>
      <c r="IAG38" s="288"/>
      <c r="IAH38" s="288"/>
      <c r="IAI38" s="288"/>
      <c r="IAJ38" s="288"/>
      <c r="IAK38" s="288"/>
      <c r="IAL38" s="288"/>
      <c r="IAM38" s="288"/>
      <c r="IAN38" s="288"/>
      <c r="IAO38" s="288"/>
      <c r="IAP38" s="288"/>
      <c r="IAQ38" s="288"/>
      <c r="IAR38" s="288"/>
      <c r="IAS38" s="288"/>
      <c r="IAT38" s="288"/>
      <c r="IAU38" s="288"/>
      <c r="IAV38" s="288"/>
      <c r="IAW38" s="288"/>
      <c r="IAX38" s="288"/>
      <c r="IAY38" s="288"/>
      <c r="IAZ38" s="288"/>
      <c r="IBA38" s="288"/>
      <c r="IBB38" s="288"/>
      <c r="IBC38" s="288"/>
      <c r="IBD38" s="288"/>
      <c r="IBE38" s="288"/>
      <c r="IBF38" s="288"/>
      <c r="IBG38" s="288"/>
      <c r="IBH38" s="288"/>
      <c r="IBI38" s="288"/>
      <c r="IBJ38" s="288"/>
      <c r="IBK38" s="288"/>
      <c r="IBL38" s="288"/>
      <c r="IBM38" s="288"/>
      <c r="IBN38" s="288"/>
      <c r="IBO38" s="288"/>
      <c r="IBP38" s="288"/>
      <c r="IBQ38" s="288"/>
      <c r="IBR38" s="288"/>
      <c r="IBS38" s="288"/>
      <c r="IBT38" s="288"/>
      <c r="IBU38" s="288"/>
      <c r="IBV38" s="288"/>
      <c r="IBW38" s="288"/>
      <c r="IBX38" s="288"/>
      <c r="IBY38" s="288"/>
      <c r="IBZ38" s="288"/>
      <c r="ICA38" s="288"/>
      <c r="ICB38" s="288"/>
      <c r="ICC38" s="288"/>
      <c r="ICD38" s="288"/>
      <c r="ICE38" s="288"/>
      <c r="ICF38" s="288"/>
      <c r="ICG38" s="288"/>
      <c r="ICH38" s="288"/>
      <c r="ICI38" s="288"/>
      <c r="ICJ38" s="288"/>
      <c r="ICK38" s="288"/>
      <c r="ICL38" s="288"/>
      <c r="ICM38" s="288"/>
      <c r="ICN38" s="288"/>
      <c r="ICO38" s="288"/>
      <c r="ICP38" s="288"/>
      <c r="ICQ38" s="288"/>
      <c r="ICR38" s="288"/>
      <c r="ICS38" s="288"/>
      <c r="ICT38" s="288"/>
      <c r="ICU38" s="288"/>
      <c r="ICV38" s="288"/>
      <c r="ICW38" s="288"/>
      <c r="ICX38" s="288"/>
      <c r="ICY38" s="288"/>
      <c r="ICZ38" s="288"/>
      <c r="IDA38" s="288"/>
      <c r="IDB38" s="288"/>
      <c r="IDC38" s="288"/>
      <c r="IDD38" s="288"/>
      <c r="IDE38" s="288"/>
      <c r="IDF38" s="288"/>
      <c r="IDG38" s="288"/>
      <c r="IDH38" s="288"/>
      <c r="IDI38" s="288"/>
      <c r="IDJ38" s="288"/>
      <c r="IDK38" s="288"/>
      <c r="IDL38" s="288"/>
      <c r="IDM38" s="288"/>
      <c r="IDN38" s="288"/>
      <c r="IDO38" s="288"/>
      <c r="IDP38" s="288"/>
      <c r="IDQ38" s="288"/>
      <c r="IDR38" s="288"/>
      <c r="IDS38" s="288"/>
      <c r="IDT38" s="288"/>
      <c r="IDU38" s="288"/>
      <c r="IDV38" s="288"/>
      <c r="IDW38" s="288"/>
      <c r="IDX38" s="288"/>
      <c r="IDY38" s="288"/>
      <c r="IDZ38" s="288"/>
      <c r="IEA38" s="288"/>
      <c r="IEB38" s="288"/>
      <c r="IEC38" s="288"/>
      <c r="IED38" s="288"/>
      <c r="IEE38" s="288"/>
      <c r="IEF38" s="288"/>
      <c r="IEG38" s="288"/>
      <c r="IEH38" s="288"/>
      <c r="IEI38" s="288"/>
      <c r="IEJ38" s="288"/>
      <c r="IEK38" s="288"/>
      <c r="IEL38" s="288"/>
      <c r="IEM38" s="288"/>
      <c r="IEN38" s="288"/>
      <c r="IEO38" s="288"/>
      <c r="IEP38" s="288"/>
      <c r="IEQ38" s="288"/>
      <c r="IER38" s="288"/>
      <c r="IES38" s="288"/>
      <c r="IET38" s="288"/>
      <c r="IEU38" s="288"/>
      <c r="IEV38" s="288"/>
      <c r="IEW38" s="288"/>
      <c r="IEX38" s="288"/>
      <c r="IEY38" s="288"/>
      <c r="IEZ38" s="288"/>
      <c r="IFA38" s="288"/>
      <c r="IFB38" s="288"/>
      <c r="IFC38" s="288"/>
      <c r="IFD38" s="288"/>
      <c r="IFE38" s="288"/>
      <c r="IFF38" s="288"/>
      <c r="IFG38" s="288"/>
      <c r="IFH38" s="288"/>
      <c r="IFI38" s="288"/>
      <c r="IFJ38" s="288"/>
      <c r="IFK38" s="288"/>
      <c r="IFL38" s="288"/>
      <c r="IFM38" s="288"/>
      <c r="IFN38" s="288"/>
      <c r="IFO38" s="288"/>
      <c r="IFP38" s="288"/>
      <c r="IFQ38" s="288"/>
      <c r="IFR38" s="288"/>
      <c r="IFS38" s="288"/>
      <c r="IFT38" s="288"/>
      <c r="IFU38" s="288"/>
      <c r="IFV38" s="288"/>
      <c r="IFW38" s="288"/>
      <c r="IFX38" s="288"/>
      <c r="IFY38" s="288"/>
      <c r="IFZ38" s="288"/>
      <c r="IGA38" s="288"/>
      <c r="IGB38" s="288"/>
      <c r="IGC38" s="288"/>
      <c r="IGD38" s="288"/>
      <c r="IGE38" s="288"/>
      <c r="IGF38" s="288"/>
      <c r="IGG38" s="288"/>
      <c r="IGH38" s="288"/>
      <c r="IGI38" s="288"/>
      <c r="IGJ38" s="288"/>
      <c r="IGK38" s="288"/>
      <c r="IGL38" s="288"/>
      <c r="IGM38" s="288"/>
      <c r="IGN38" s="288"/>
      <c r="IGO38" s="288"/>
      <c r="IGP38" s="288"/>
      <c r="IGQ38" s="288"/>
      <c r="IGR38" s="288"/>
      <c r="IGS38" s="288"/>
      <c r="IGT38" s="288"/>
      <c r="IGU38" s="288"/>
      <c r="IGV38" s="288"/>
      <c r="IGW38" s="288"/>
      <c r="IGX38" s="288"/>
      <c r="IGY38" s="288"/>
      <c r="IGZ38" s="288"/>
      <c r="IHA38" s="288"/>
      <c r="IHB38" s="288"/>
      <c r="IHC38" s="288"/>
      <c r="IHD38" s="288"/>
      <c r="IHE38" s="288"/>
      <c r="IHF38" s="288"/>
      <c r="IHG38" s="288"/>
      <c r="IHH38" s="288"/>
      <c r="IHI38" s="288"/>
      <c r="IHJ38" s="288"/>
      <c r="IHK38" s="288"/>
      <c r="IHL38" s="288"/>
      <c r="IHM38" s="288"/>
      <c r="IHN38" s="288"/>
      <c r="IHO38" s="288"/>
      <c r="IHP38" s="288"/>
      <c r="IHQ38" s="288"/>
      <c r="IHR38" s="288"/>
      <c r="IHS38" s="288"/>
      <c r="IHT38" s="288"/>
      <c r="IHU38" s="288"/>
      <c r="IHV38" s="288"/>
      <c r="IHW38" s="288"/>
      <c r="IHX38" s="288"/>
      <c r="IHY38" s="288"/>
      <c r="IHZ38" s="288"/>
      <c r="IIA38" s="288"/>
      <c r="IIB38" s="288"/>
      <c r="IIC38" s="288"/>
      <c r="IID38" s="288"/>
      <c r="IIE38" s="288"/>
      <c r="IIF38" s="288"/>
      <c r="IIG38" s="288"/>
      <c r="IIH38" s="288"/>
      <c r="III38" s="288"/>
      <c r="IIJ38" s="288"/>
      <c r="IIK38" s="288"/>
      <c r="IIL38" s="288"/>
      <c r="IIM38" s="288"/>
      <c r="IIN38" s="288"/>
      <c r="IIO38" s="288"/>
      <c r="IIP38" s="288"/>
      <c r="IIQ38" s="288"/>
      <c r="IIR38" s="288"/>
      <c r="IIS38" s="288"/>
      <c r="IIT38" s="288"/>
      <c r="IIU38" s="288"/>
      <c r="IIV38" s="288"/>
      <c r="IIW38" s="288"/>
      <c r="IIX38" s="288"/>
      <c r="IIY38" s="288"/>
      <c r="IIZ38" s="288"/>
      <c r="IJA38" s="288"/>
      <c r="IJB38" s="288"/>
      <c r="IJC38" s="288"/>
      <c r="IJD38" s="288"/>
      <c r="IJE38" s="288"/>
      <c r="IJF38" s="288"/>
      <c r="IJG38" s="288"/>
      <c r="IJH38" s="288"/>
      <c r="IJI38" s="288"/>
      <c r="IJJ38" s="288"/>
      <c r="IJK38" s="288"/>
      <c r="IJL38" s="288"/>
      <c r="IJM38" s="288"/>
      <c r="IJN38" s="288"/>
      <c r="IJO38" s="288"/>
      <c r="IJP38" s="288"/>
      <c r="IJQ38" s="288"/>
      <c r="IJR38" s="288"/>
      <c r="IJS38" s="288"/>
      <c r="IJT38" s="288"/>
      <c r="IJU38" s="288"/>
      <c r="IJV38" s="288"/>
      <c r="IJW38" s="288"/>
      <c r="IJX38" s="288"/>
      <c r="IJY38" s="288"/>
      <c r="IJZ38" s="288"/>
      <c r="IKA38" s="288"/>
      <c r="IKB38" s="288"/>
      <c r="IKC38" s="288"/>
      <c r="IKD38" s="288"/>
      <c r="IKE38" s="288"/>
      <c r="IKF38" s="288"/>
      <c r="IKG38" s="288"/>
      <c r="IKH38" s="288"/>
      <c r="IKI38" s="288"/>
      <c r="IKJ38" s="288"/>
      <c r="IKK38" s="288"/>
      <c r="IKL38" s="288"/>
      <c r="IKM38" s="288"/>
      <c r="IKN38" s="288"/>
      <c r="IKO38" s="288"/>
      <c r="IKP38" s="288"/>
      <c r="IKQ38" s="288"/>
      <c r="IKR38" s="288"/>
      <c r="IKS38" s="288"/>
      <c r="IKT38" s="288"/>
      <c r="IKU38" s="288"/>
      <c r="IKV38" s="288"/>
      <c r="IKW38" s="288"/>
      <c r="IKX38" s="288"/>
      <c r="IKY38" s="288"/>
      <c r="IKZ38" s="288"/>
      <c r="ILA38" s="288"/>
      <c r="ILB38" s="288"/>
      <c r="ILC38" s="288"/>
      <c r="ILD38" s="288"/>
      <c r="ILE38" s="288"/>
      <c r="ILF38" s="288"/>
      <c r="ILG38" s="288"/>
      <c r="ILH38" s="288"/>
      <c r="ILI38" s="288"/>
      <c r="ILJ38" s="288"/>
      <c r="ILK38" s="288"/>
      <c r="ILL38" s="288"/>
      <c r="ILM38" s="288"/>
      <c r="ILN38" s="288"/>
      <c r="ILO38" s="288"/>
      <c r="ILP38" s="288"/>
      <c r="ILQ38" s="288"/>
      <c r="ILR38" s="288"/>
      <c r="ILS38" s="288"/>
      <c r="ILT38" s="288"/>
      <c r="ILU38" s="288"/>
      <c r="ILV38" s="288"/>
      <c r="ILW38" s="288"/>
      <c r="ILX38" s="288"/>
      <c r="ILY38" s="288"/>
      <c r="ILZ38" s="288"/>
      <c r="IMA38" s="288"/>
      <c r="IMB38" s="288"/>
      <c r="IMC38" s="288"/>
      <c r="IMD38" s="288"/>
      <c r="IME38" s="288"/>
      <c r="IMF38" s="288"/>
      <c r="IMG38" s="288"/>
      <c r="IMH38" s="288"/>
      <c r="IMI38" s="288"/>
      <c r="IMJ38" s="288"/>
      <c r="IMK38" s="288"/>
      <c r="IML38" s="288"/>
      <c r="IMM38" s="288"/>
      <c r="IMN38" s="288"/>
      <c r="IMO38" s="288"/>
      <c r="IMP38" s="288"/>
      <c r="IMQ38" s="288"/>
      <c r="IMR38" s="288"/>
      <c r="IMS38" s="288"/>
      <c r="IMT38" s="288"/>
      <c r="IMU38" s="288"/>
      <c r="IMV38" s="288"/>
      <c r="IMW38" s="288"/>
      <c r="IMX38" s="288"/>
      <c r="IMY38" s="288"/>
      <c r="IMZ38" s="288"/>
      <c r="INA38" s="288"/>
      <c r="INB38" s="288"/>
      <c r="INC38" s="288"/>
      <c r="IND38" s="288"/>
      <c r="INE38" s="288"/>
      <c r="INF38" s="288"/>
      <c r="ING38" s="288"/>
      <c r="INH38" s="288"/>
      <c r="INI38" s="288"/>
      <c r="INJ38" s="288"/>
      <c r="INK38" s="288"/>
      <c r="INL38" s="288"/>
      <c r="INM38" s="288"/>
      <c r="INN38" s="288"/>
      <c r="INO38" s="288"/>
      <c r="INP38" s="288"/>
      <c r="INQ38" s="288"/>
      <c r="INR38" s="288"/>
      <c r="INS38" s="288"/>
      <c r="INT38" s="288"/>
      <c r="INU38" s="288"/>
      <c r="INV38" s="288"/>
      <c r="INW38" s="288"/>
      <c r="INX38" s="288"/>
      <c r="INY38" s="288"/>
      <c r="INZ38" s="288"/>
      <c r="IOA38" s="288"/>
      <c r="IOB38" s="288"/>
      <c r="IOC38" s="288"/>
      <c r="IOD38" s="288"/>
      <c r="IOE38" s="288"/>
      <c r="IOF38" s="288"/>
      <c r="IOG38" s="288"/>
      <c r="IOH38" s="288"/>
      <c r="IOI38" s="288"/>
      <c r="IOJ38" s="288"/>
      <c r="IOK38" s="288"/>
      <c r="IOL38" s="288"/>
      <c r="IOM38" s="288"/>
      <c r="ION38" s="288"/>
      <c r="IOO38" s="288"/>
      <c r="IOP38" s="288"/>
      <c r="IOQ38" s="288"/>
      <c r="IOR38" s="288"/>
      <c r="IOS38" s="288"/>
      <c r="IOT38" s="288"/>
      <c r="IOU38" s="288"/>
      <c r="IOV38" s="288"/>
      <c r="IOW38" s="288"/>
      <c r="IOX38" s="288"/>
      <c r="IOY38" s="288"/>
      <c r="IOZ38" s="288"/>
      <c r="IPA38" s="288"/>
      <c r="IPB38" s="288"/>
      <c r="IPC38" s="288"/>
      <c r="IPD38" s="288"/>
      <c r="IPE38" s="288"/>
      <c r="IPF38" s="288"/>
      <c r="IPG38" s="288"/>
      <c r="IPH38" s="288"/>
      <c r="IPI38" s="288"/>
      <c r="IPJ38" s="288"/>
      <c r="IPK38" s="288"/>
      <c r="IPL38" s="288"/>
      <c r="IPM38" s="288"/>
      <c r="IPN38" s="288"/>
      <c r="IPO38" s="288"/>
      <c r="IPP38" s="288"/>
      <c r="IPQ38" s="288"/>
      <c r="IPR38" s="288"/>
      <c r="IPS38" s="288"/>
      <c r="IPT38" s="288"/>
      <c r="IPU38" s="288"/>
      <c r="IPV38" s="288"/>
      <c r="IPW38" s="288"/>
      <c r="IPX38" s="288"/>
      <c r="IPY38" s="288"/>
      <c r="IPZ38" s="288"/>
      <c r="IQA38" s="288"/>
      <c r="IQB38" s="288"/>
      <c r="IQC38" s="288"/>
      <c r="IQD38" s="288"/>
      <c r="IQE38" s="288"/>
      <c r="IQF38" s="288"/>
      <c r="IQG38" s="288"/>
      <c r="IQH38" s="288"/>
      <c r="IQI38" s="288"/>
      <c r="IQJ38" s="288"/>
      <c r="IQK38" s="288"/>
      <c r="IQL38" s="288"/>
      <c r="IQM38" s="288"/>
      <c r="IQN38" s="288"/>
      <c r="IQO38" s="288"/>
      <c r="IQP38" s="288"/>
      <c r="IQQ38" s="288"/>
      <c r="IQR38" s="288"/>
      <c r="IQS38" s="288"/>
      <c r="IQT38" s="288"/>
      <c r="IQU38" s="288"/>
      <c r="IQV38" s="288"/>
      <c r="IQW38" s="288"/>
      <c r="IQX38" s="288"/>
      <c r="IQY38" s="288"/>
      <c r="IQZ38" s="288"/>
      <c r="IRA38" s="288"/>
      <c r="IRB38" s="288"/>
      <c r="IRC38" s="288"/>
      <c r="IRD38" s="288"/>
      <c r="IRE38" s="288"/>
      <c r="IRF38" s="288"/>
      <c r="IRG38" s="288"/>
      <c r="IRH38" s="288"/>
      <c r="IRI38" s="288"/>
      <c r="IRJ38" s="288"/>
      <c r="IRK38" s="288"/>
      <c r="IRL38" s="288"/>
      <c r="IRM38" s="288"/>
      <c r="IRN38" s="288"/>
      <c r="IRO38" s="288"/>
      <c r="IRP38" s="288"/>
      <c r="IRQ38" s="288"/>
      <c r="IRR38" s="288"/>
      <c r="IRS38" s="288"/>
      <c r="IRT38" s="288"/>
      <c r="IRU38" s="288"/>
      <c r="IRV38" s="288"/>
      <c r="IRW38" s="288"/>
      <c r="IRX38" s="288"/>
      <c r="IRY38" s="288"/>
      <c r="IRZ38" s="288"/>
      <c r="ISA38" s="288"/>
      <c r="ISB38" s="288"/>
      <c r="ISC38" s="288"/>
      <c r="ISD38" s="288"/>
      <c r="ISE38" s="288"/>
      <c r="ISF38" s="288"/>
      <c r="ISG38" s="288"/>
      <c r="ISH38" s="288"/>
      <c r="ISI38" s="288"/>
      <c r="ISJ38" s="288"/>
      <c r="ISK38" s="288"/>
      <c r="ISL38" s="288"/>
      <c r="ISM38" s="288"/>
      <c r="ISN38" s="288"/>
      <c r="ISO38" s="288"/>
      <c r="ISP38" s="288"/>
      <c r="ISQ38" s="288"/>
      <c r="ISR38" s="288"/>
      <c r="ISS38" s="288"/>
      <c r="IST38" s="288"/>
      <c r="ISU38" s="288"/>
      <c r="ISV38" s="288"/>
      <c r="ISW38" s="288"/>
      <c r="ISX38" s="288"/>
      <c r="ISY38" s="288"/>
      <c r="ISZ38" s="288"/>
      <c r="ITA38" s="288"/>
      <c r="ITB38" s="288"/>
      <c r="ITC38" s="288"/>
      <c r="ITD38" s="288"/>
      <c r="ITE38" s="288"/>
      <c r="ITF38" s="288"/>
      <c r="ITG38" s="288"/>
      <c r="ITH38" s="288"/>
      <c r="ITI38" s="288"/>
      <c r="ITJ38" s="288"/>
      <c r="ITK38" s="288"/>
      <c r="ITL38" s="288"/>
      <c r="ITM38" s="288"/>
      <c r="ITN38" s="288"/>
      <c r="ITO38" s="288"/>
      <c r="ITP38" s="288"/>
      <c r="ITQ38" s="288"/>
      <c r="ITR38" s="288"/>
      <c r="ITS38" s="288"/>
      <c r="ITT38" s="288"/>
      <c r="ITU38" s="288"/>
      <c r="ITV38" s="288"/>
      <c r="ITW38" s="288"/>
      <c r="ITX38" s="288"/>
      <c r="ITY38" s="288"/>
      <c r="ITZ38" s="288"/>
      <c r="IUA38" s="288"/>
      <c r="IUB38" s="288"/>
      <c r="IUC38" s="288"/>
      <c r="IUD38" s="288"/>
      <c r="IUE38" s="288"/>
      <c r="IUF38" s="288"/>
      <c r="IUG38" s="288"/>
      <c r="IUH38" s="288"/>
      <c r="IUI38" s="288"/>
      <c r="IUJ38" s="288"/>
      <c r="IUK38" s="288"/>
      <c r="IUL38" s="288"/>
      <c r="IUM38" s="288"/>
      <c r="IUN38" s="288"/>
      <c r="IUO38" s="288"/>
      <c r="IUP38" s="288"/>
      <c r="IUQ38" s="288"/>
      <c r="IUR38" s="288"/>
      <c r="IUS38" s="288"/>
      <c r="IUT38" s="288"/>
      <c r="IUU38" s="288"/>
      <c r="IUV38" s="288"/>
      <c r="IUW38" s="288"/>
      <c r="IUX38" s="288"/>
      <c r="IUY38" s="288"/>
      <c r="IUZ38" s="288"/>
      <c r="IVA38" s="288"/>
      <c r="IVB38" s="288"/>
      <c r="IVC38" s="288"/>
      <c r="IVD38" s="288"/>
      <c r="IVE38" s="288"/>
      <c r="IVF38" s="288"/>
      <c r="IVG38" s="288"/>
      <c r="IVH38" s="288"/>
      <c r="IVI38" s="288"/>
      <c r="IVJ38" s="288"/>
      <c r="IVK38" s="288"/>
      <c r="IVL38" s="288"/>
      <c r="IVM38" s="288"/>
      <c r="IVN38" s="288"/>
      <c r="IVO38" s="288"/>
      <c r="IVP38" s="288"/>
      <c r="IVQ38" s="288"/>
      <c r="IVR38" s="288"/>
      <c r="IVS38" s="288"/>
      <c r="IVT38" s="288"/>
      <c r="IVU38" s="288"/>
      <c r="IVV38" s="288"/>
      <c r="IVW38" s="288"/>
      <c r="IVX38" s="288"/>
      <c r="IVY38" s="288"/>
      <c r="IVZ38" s="288"/>
      <c r="IWA38" s="288"/>
      <c r="IWB38" s="288"/>
      <c r="IWC38" s="288"/>
      <c r="IWD38" s="288"/>
      <c r="IWE38" s="288"/>
      <c r="IWF38" s="288"/>
      <c r="IWG38" s="288"/>
      <c r="IWH38" s="288"/>
      <c r="IWI38" s="288"/>
      <c r="IWJ38" s="288"/>
      <c r="IWK38" s="288"/>
      <c r="IWL38" s="288"/>
      <c r="IWM38" s="288"/>
      <c r="IWN38" s="288"/>
      <c r="IWO38" s="288"/>
      <c r="IWP38" s="288"/>
      <c r="IWQ38" s="288"/>
      <c r="IWR38" s="288"/>
      <c r="IWS38" s="288"/>
      <c r="IWT38" s="288"/>
      <c r="IWU38" s="288"/>
      <c r="IWV38" s="288"/>
      <c r="IWW38" s="288"/>
      <c r="IWX38" s="288"/>
      <c r="IWY38" s="288"/>
      <c r="IWZ38" s="288"/>
      <c r="IXA38" s="288"/>
      <c r="IXB38" s="288"/>
      <c r="IXC38" s="288"/>
      <c r="IXD38" s="288"/>
      <c r="IXE38" s="288"/>
      <c r="IXF38" s="288"/>
      <c r="IXG38" s="288"/>
      <c r="IXH38" s="288"/>
      <c r="IXI38" s="288"/>
      <c r="IXJ38" s="288"/>
      <c r="IXK38" s="288"/>
      <c r="IXL38" s="288"/>
      <c r="IXM38" s="288"/>
      <c r="IXN38" s="288"/>
      <c r="IXO38" s="288"/>
      <c r="IXP38" s="288"/>
      <c r="IXQ38" s="288"/>
      <c r="IXR38" s="288"/>
      <c r="IXS38" s="288"/>
      <c r="IXT38" s="288"/>
      <c r="IXU38" s="288"/>
      <c r="IXV38" s="288"/>
      <c r="IXW38" s="288"/>
      <c r="IXX38" s="288"/>
      <c r="IXY38" s="288"/>
      <c r="IXZ38" s="288"/>
      <c r="IYA38" s="288"/>
      <c r="IYB38" s="288"/>
      <c r="IYC38" s="288"/>
      <c r="IYD38" s="288"/>
      <c r="IYE38" s="288"/>
      <c r="IYF38" s="288"/>
      <c r="IYG38" s="288"/>
      <c r="IYH38" s="288"/>
      <c r="IYI38" s="288"/>
      <c r="IYJ38" s="288"/>
      <c r="IYK38" s="288"/>
      <c r="IYL38" s="288"/>
      <c r="IYM38" s="288"/>
      <c r="IYN38" s="288"/>
      <c r="IYO38" s="288"/>
      <c r="IYP38" s="288"/>
      <c r="IYQ38" s="288"/>
      <c r="IYR38" s="288"/>
      <c r="IYS38" s="288"/>
      <c r="IYT38" s="288"/>
      <c r="IYU38" s="288"/>
      <c r="IYV38" s="288"/>
      <c r="IYW38" s="288"/>
      <c r="IYX38" s="288"/>
      <c r="IYY38" s="288"/>
      <c r="IYZ38" s="288"/>
      <c r="IZA38" s="288"/>
      <c r="IZB38" s="288"/>
      <c r="IZC38" s="288"/>
      <c r="IZD38" s="288"/>
      <c r="IZE38" s="288"/>
      <c r="IZF38" s="288"/>
      <c r="IZG38" s="288"/>
      <c r="IZH38" s="288"/>
      <c r="IZI38" s="288"/>
      <c r="IZJ38" s="288"/>
      <c r="IZK38" s="288"/>
      <c r="IZL38" s="288"/>
      <c r="IZM38" s="288"/>
      <c r="IZN38" s="288"/>
      <c r="IZO38" s="288"/>
      <c r="IZP38" s="288"/>
      <c r="IZQ38" s="288"/>
      <c r="IZR38" s="288"/>
      <c r="IZS38" s="288"/>
      <c r="IZT38" s="288"/>
      <c r="IZU38" s="288"/>
      <c r="IZV38" s="288"/>
      <c r="IZW38" s="288"/>
      <c r="IZX38" s="288"/>
      <c r="IZY38" s="288"/>
      <c r="IZZ38" s="288"/>
      <c r="JAA38" s="288"/>
      <c r="JAB38" s="288"/>
      <c r="JAC38" s="288"/>
      <c r="JAD38" s="288"/>
      <c r="JAE38" s="288"/>
      <c r="JAF38" s="288"/>
      <c r="JAG38" s="288"/>
      <c r="JAH38" s="288"/>
      <c r="JAI38" s="288"/>
      <c r="JAJ38" s="288"/>
      <c r="JAK38" s="288"/>
      <c r="JAL38" s="288"/>
      <c r="JAM38" s="288"/>
      <c r="JAN38" s="288"/>
      <c r="JAO38" s="288"/>
      <c r="JAP38" s="288"/>
      <c r="JAQ38" s="288"/>
      <c r="JAR38" s="288"/>
      <c r="JAS38" s="288"/>
      <c r="JAT38" s="288"/>
      <c r="JAU38" s="288"/>
      <c r="JAV38" s="288"/>
      <c r="JAW38" s="288"/>
      <c r="JAX38" s="288"/>
      <c r="JAY38" s="288"/>
      <c r="JAZ38" s="288"/>
      <c r="JBA38" s="288"/>
      <c r="JBB38" s="288"/>
      <c r="JBC38" s="288"/>
      <c r="JBD38" s="288"/>
      <c r="JBE38" s="288"/>
      <c r="JBF38" s="288"/>
      <c r="JBG38" s="288"/>
      <c r="JBH38" s="288"/>
      <c r="JBI38" s="288"/>
      <c r="JBJ38" s="288"/>
      <c r="JBK38" s="288"/>
      <c r="JBL38" s="288"/>
      <c r="JBM38" s="288"/>
      <c r="JBN38" s="288"/>
      <c r="JBO38" s="288"/>
      <c r="JBP38" s="288"/>
      <c r="JBQ38" s="288"/>
      <c r="JBR38" s="288"/>
      <c r="JBS38" s="288"/>
      <c r="JBT38" s="288"/>
      <c r="JBU38" s="288"/>
      <c r="JBV38" s="288"/>
      <c r="JBW38" s="288"/>
      <c r="JBX38" s="288"/>
      <c r="JBY38" s="288"/>
      <c r="JBZ38" s="288"/>
      <c r="JCA38" s="288"/>
      <c r="JCB38" s="288"/>
      <c r="JCC38" s="288"/>
      <c r="JCD38" s="288"/>
      <c r="JCE38" s="288"/>
      <c r="JCF38" s="288"/>
      <c r="JCG38" s="288"/>
      <c r="JCH38" s="288"/>
      <c r="JCI38" s="288"/>
      <c r="JCJ38" s="288"/>
      <c r="JCK38" s="288"/>
      <c r="JCL38" s="288"/>
      <c r="JCM38" s="288"/>
      <c r="JCN38" s="288"/>
      <c r="JCO38" s="288"/>
      <c r="JCP38" s="288"/>
      <c r="JCQ38" s="288"/>
      <c r="JCR38" s="288"/>
      <c r="JCS38" s="288"/>
      <c r="JCT38" s="288"/>
      <c r="JCU38" s="288"/>
      <c r="JCV38" s="288"/>
      <c r="JCW38" s="288"/>
      <c r="JCX38" s="288"/>
      <c r="JCY38" s="288"/>
      <c r="JCZ38" s="288"/>
      <c r="JDA38" s="288"/>
      <c r="JDB38" s="288"/>
      <c r="JDC38" s="288"/>
      <c r="JDD38" s="288"/>
      <c r="JDE38" s="288"/>
      <c r="JDF38" s="288"/>
      <c r="JDG38" s="288"/>
      <c r="JDH38" s="288"/>
      <c r="JDI38" s="288"/>
      <c r="JDJ38" s="288"/>
      <c r="JDK38" s="288"/>
      <c r="JDL38" s="288"/>
      <c r="JDM38" s="288"/>
      <c r="JDN38" s="288"/>
      <c r="JDO38" s="288"/>
      <c r="JDP38" s="288"/>
      <c r="JDQ38" s="288"/>
      <c r="JDR38" s="288"/>
      <c r="JDS38" s="288"/>
      <c r="JDT38" s="288"/>
      <c r="JDU38" s="288"/>
      <c r="JDV38" s="288"/>
      <c r="JDW38" s="288"/>
      <c r="JDX38" s="288"/>
      <c r="JDY38" s="288"/>
      <c r="JDZ38" s="288"/>
      <c r="JEA38" s="288"/>
      <c r="JEB38" s="288"/>
      <c r="JEC38" s="288"/>
      <c r="JED38" s="288"/>
      <c r="JEE38" s="288"/>
      <c r="JEF38" s="288"/>
      <c r="JEG38" s="288"/>
      <c r="JEH38" s="288"/>
      <c r="JEI38" s="288"/>
      <c r="JEJ38" s="288"/>
      <c r="JEK38" s="288"/>
      <c r="JEL38" s="288"/>
      <c r="JEM38" s="288"/>
      <c r="JEN38" s="288"/>
      <c r="JEO38" s="288"/>
      <c r="JEP38" s="288"/>
      <c r="JEQ38" s="288"/>
      <c r="JER38" s="288"/>
      <c r="JES38" s="288"/>
      <c r="JET38" s="288"/>
      <c r="JEU38" s="288"/>
      <c r="JEV38" s="288"/>
      <c r="JEW38" s="288"/>
      <c r="JEX38" s="288"/>
      <c r="JEY38" s="288"/>
      <c r="JEZ38" s="288"/>
      <c r="JFA38" s="288"/>
      <c r="JFB38" s="288"/>
      <c r="JFC38" s="288"/>
      <c r="JFD38" s="288"/>
      <c r="JFE38" s="288"/>
      <c r="JFF38" s="288"/>
      <c r="JFG38" s="288"/>
      <c r="JFH38" s="288"/>
      <c r="JFI38" s="288"/>
      <c r="JFJ38" s="288"/>
      <c r="JFK38" s="288"/>
      <c r="JFL38" s="288"/>
      <c r="JFM38" s="288"/>
      <c r="JFN38" s="288"/>
      <c r="JFO38" s="288"/>
      <c r="JFP38" s="288"/>
      <c r="JFQ38" s="288"/>
      <c r="JFR38" s="288"/>
      <c r="JFS38" s="288"/>
      <c r="JFT38" s="288"/>
      <c r="JFU38" s="288"/>
      <c r="JFV38" s="288"/>
      <c r="JFW38" s="288"/>
      <c r="JFX38" s="288"/>
      <c r="JFY38" s="288"/>
      <c r="JFZ38" s="288"/>
      <c r="JGA38" s="288"/>
      <c r="JGB38" s="288"/>
      <c r="JGC38" s="288"/>
      <c r="JGD38" s="288"/>
      <c r="JGE38" s="288"/>
      <c r="JGF38" s="288"/>
      <c r="JGG38" s="288"/>
      <c r="JGH38" s="288"/>
      <c r="JGI38" s="288"/>
      <c r="JGJ38" s="288"/>
      <c r="JGK38" s="288"/>
      <c r="JGL38" s="288"/>
      <c r="JGM38" s="288"/>
      <c r="JGN38" s="288"/>
      <c r="JGO38" s="288"/>
      <c r="JGP38" s="288"/>
      <c r="JGQ38" s="288"/>
      <c r="JGR38" s="288"/>
      <c r="JGS38" s="288"/>
      <c r="JGT38" s="288"/>
      <c r="JGU38" s="288"/>
      <c r="JGV38" s="288"/>
      <c r="JGW38" s="288"/>
      <c r="JGX38" s="288"/>
      <c r="JGY38" s="288"/>
      <c r="JGZ38" s="288"/>
      <c r="JHA38" s="288"/>
      <c r="JHB38" s="288"/>
      <c r="JHC38" s="288"/>
      <c r="JHD38" s="288"/>
      <c r="JHE38" s="288"/>
      <c r="JHF38" s="288"/>
      <c r="JHG38" s="288"/>
      <c r="JHH38" s="288"/>
      <c r="JHI38" s="288"/>
      <c r="JHJ38" s="288"/>
      <c r="JHK38" s="288"/>
      <c r="JHL38" s="288"/>
      <c r="JHM38" s="288"/>
      <c r="JHN38" s="288"/>
      <c r="JHO38" s="288"/>
      <c r="JHP38" s="288"/>
      <c r="JHQ38" s="288"/>
      <c r="JHR38" s="288"/>
      <c r="JHS38" s="288"/>
      <c r="JHT38" s="288"/>
      <c r="JHU38" s="288"/>
      <c r="JHV38" s="288"/>
      <c r="JHW38" s="288"/>
      <c r="JHX38" s="288"/>
      <c r="JHY38" s="288"/>
      <c r="JHZ38" s="288"/>
      <c r="JIA38" s="288"/>
      <c r="JIB38" s="288"/>
      <c r="JIC38" s="288"/>
      <c r="JID38" s="288"/>
      <c r="JIE38" s="288"/>
      <c r="JIF38" s="288"/>
      <c r="JIG38" s="288"/>
      <c r="JIH38" s="288"/>
      <c r="JII38" s="288"/>
      <c r="JIJ38" s="288"/>
      <c r="JIK38" s="288"/>
      <c r="JIL38" s="288"/>
      <c r="JIM38" s="288"/>
      <c r="JIN38" s="288"/>
      <c r="JIO38" s="288"/>
      <c r="JIP38" s="288"/>
      <c r="JIQ38" s="288"/>
      <c r="JIR38" s="288"/>
      <c r="JIS38" s="288"/>
      <c r="JIT38" s="288"/>
      <c r="JIU38" s="288"/>
      <c r="JIV38" s="288"/>
      <c r="JIW38" s="288"/>
      <c r="JIX38" s="288"/>
      <c r="JIY38" s="288"/>
      <c r="JIZ38" s="288"/>
      <c r="JJA38" s="288"/>
      <c r="JJB38" s="288"/>
      <c r="JJC38" s="288"/>
      <c r="JJD38" s="288"/>
      <c r="JJE38" s="288"/>
      <c r="JJF38" s="288"/>
      <c r="JJG38" s="288"/>
      <c r="JJH38" s="288"/>
      <c r="JJI38" s="288"/>
      <c r="JJJ38" s="288"/>
      <c r="JJK38" s="288"/>
      <c r="JJL38" s="288"/>
      <c r="JJM38" s="288"/>
      <c r="JJN38" s="288"/>
      <c r="JJO38" s="288"/>
      <c r="JJP38" s="288"/>
      <c r="JJQ38" s="288"/>
      <c r="JJR38" s="288"/>
      <c r="JJS38" s="288"/>
      <c r="JJT38" s="288"/>
      <c r="JJU38" s="288"/>
      <c r="JJV38" s="288"/>
      <c r="JJW38" s="288"/>
      <c r="JJX38" s="288"/>
      <c r="JJY38" s="288"/>
      <c r="JJZ38" s="288"/>
      <c r="JKA38" s="288"/>
      <c r="JKB38" s="288"/>
      <c r="JKC38" s="288"/>
      <c r="JKD38" s="288"/>
      <c r="JKE38" s="288"/>
      <c r="JKF38" s="288"/>
      <c r="JKG38" s="288"/>
      <c r="JKH38" s="288"/>
      <c r="JKI38" s="288"/>
      <c r="JKJ38" s="288"/>
      <c r="JKK38" s="288"/>
      <c r="JKL38" s="288"/>
      <c r="JKM38" s="288"/>
      <c r="JKN38" s="288"/>
      <c r="JKO38" s="288"/>
      <c r="JKP38" s="288"/>
      <c r="JKQ38" s="288"/>
      <c r="JKR38" s="288"/>
      <c r="JKS38" s="288"/>
      <c r="JKT38" s="288"/>
      <c r="JKU38" s="288"/>
      <c r="JKV38" s="288"/>
      <c r="JKW38" s="288"/>
      <c r="JKX38" s="288"/>
      <c r="JKY38" s="288"/>
      <c r="JKZ38" s="288"/>
      <c r="JLA38" s="288"/>
      <c r="JLB38" s="288"/>
      <c r="JLC38" s="288"/>
      <c r="JLD38" s="288"/>
      <c r="JLE38" s="288"/>
      <c r="JLF38" s="288"/>
      <c r="JLG38" s="288"/>
      <c r="JLH38" s="288"/>
      <c r="JLI38" s="288"/>
      <c r="JLJ38" s="288"/>
      <c r="JLK38" s="288"/>
      <c r="JLL38" s="288"/>
      <c r="JLM38" s="288"/>
      <c r="JLN38" s="288"/>
      <c r="JLO38" s="288"/>
      <c r="JLP38" s="288"/>
      <c r="JLQ38" s="288"/>
      <c r="JLR38" s="288"/>
      <c r="JLS38" s="288"/>
      <c r="JLT38" s="288"/>
      <c r="JLU38" s="288"/>
      <c r="JLV38" s="288"/>
      <c r="JLW38" s="288"/>
      <c r="JLX38" s="288"/>
      <c r="JLY38" s="288"/>
      <c r="JLZ38" s="288"/>
      <c r="JMA38" s="288"/>
      <c r="JMB38" s="288"/>
      <c r="JMC38" s="288"/>
      <c r="JMD38" s="288"/>
      <c r="JME38" s="288"/>
      <c r="JMF38" s="288"/>
      <c r="JMG38" s="288"/>
      <c r="JMH38" s="288"/>
      <c r="JMI38" s="288"/>
      <c r="JMJ38" s="288"/>
      <c r="JMK38" s="288"/>
      <c r="JML38" s="288"/>
      <c r="JMM38" s="288"/>
      <c r="JMN38" s="288"/>
      <c r="JMO38" s="288"/>
      <c r="JMP38" s="288"/>
      <c r="JMQ38" s="288"/>
      <c r="JMR38" s="288"/>
      <c r="JMS38" s="288"/>
      <c r="JMT38" s="288"/>
      <c r="JMU38" s="288"/>
      <c r="JMV38" s="288"/>
      <c r="JMW38" s="288"/>
      <c r="JMX38" s="288"/>
      <c r="JMY38" s="288"/>
      <c r="JMZ38" s="288"/>
      <c r="JNA38" s="288"/>
      <c r="JNB38" s="288"/>
      <c r="JNC38" s="288"/>
      <c r="JND38" s="288"/>
      <c r="JNE38" s="288"/>
      <c r="JNF38" s="288"/>
      <c r="JNG38" s="288"/>
      <c r="JNH38" s="288"/>
      <c r="JNI38" s="288"/>
      <c r="JNJ38" s="288"/>
      <c r="JNK38" s="288"/>
      <c r="JNL38" s="288"/>
      <c r="JNM38" s="288"/>
      <c r="JNN38" s="288"/>
      <c r="JNO38" s="288"/>
      <c r="JNP38" s="288"/>
      <c r="JNQ38" s="288"/>
      <c r="JNR38" s="288"/>
      <c r="JNS38" s="288"/>
      <c r="JNT38" s="288"/>
      <c r="JNU38" s="288"/>
      <c r="JNV38" s="288"/>
      <c r="JNW38" s="288"/>
      <c r="JNX38" s="288"/>
      <c r="JNY38" s="288"/>
      <c r="JNZ38" s="288"/>
      <c r="JOA38" s="288"/>
      <c r="JOB38" s="288"/>
      <c r="JOC38" s="288"/>
      <c r="JOD38" s="288"/>
      <c r="JOE38" s="288"/>
      <c r="JOF38" s="288"/>
      <c r="JOG38" s="288"/>
      <c r="JOH38" s="288"/>
      <c r="JOI38" s="288"/>
      <c r="JOJ38" s="288"/>
      <c r="JOK38" s="288"/>
      <c r="JOL38" s="288"/>
      <c r="JOM38" s="288"/>
      <c r="JON38" s="288"/>
      <c r="JOO38" s="288"/>
      <c r="JOP38" s="288"/>
      <c r="JOQ38" s="288"/>
      <c r="JOR38" s="288"/>
      <c r="JOS38" s="288"/>
      <c r="JOT38" s="288"/>
      <c r="JOU38" s="288"/>
      <c r="JOV38" s="288"/>
      <c r="JOW38" s="288"/>
      <c r="JOX38" s="288"/>
      <c r="JOY38" s="288"/>
      <c r="JOZ38" s="288"/>
      <c r="JPA38" s="288"/>
      <c r="JPB38" s="288"/>
      <c r="JPC38" s="288"/>
      <c r="JPD38" s="288"/>
      <c r="JPE38" s="288"/>
      <c r="JPF38" s="288"/>
      <c r="JPG38" s="288"/>
      <c r="JPH38" s="288"/>
      <c r="JPI38" s="288"/>
      <c r="JPJ38" s="288"/>
      <c r="JPK38" s="288"/>
      <c r="JPL38" s="288"/>
      <c r="JPM38" s="288"/>
      <c r="JPN38" s="288"/>
      <c r="JPO38" s="288"/>
      <c r="JPP38" s="288"/>
      <c r="JPQ38" s="288"/>
      <c r="JPR38" s="288"/>
      <c r="JPS38" s="288"/>
      <c r="JPT38" s="288"/>
      <c r="JPU38" s="288"/>
      <c r="JPV38" s="288"/>
      <c r="JPW38" s="288"/>
      <c r="JPX38" s="288"/>
      <c r="JPY38" s="288"/>
      <c r="JPZ38" s="288"/>
      <c r="JQA38" s="288"/>
      <c r="JQB38" s="288"/>
      <c r="JQC38" s="288"/>
      <c r="JQD38" s="288"/>
      <c r="JQE38" s="288"/>
      <c r="JQF38" s="288"/>
      <c r="JQG38" s="288"/>
      <c r="JQH38" s="288"/>
      <c r="JQI38" s="288"/>
      <c r="JQJ38" s="288"/>
      <c r="JQK38" s="288"/>
      <c r="JQL38" s="288"/>
      <c r="JQM38" s="288"/>
      <c r="JQN38" s="288"/>
      <c r="JQO38" s="288"/>
      <c r="JQP38" s="288"/>
      <c r="JQQ38" s="288"/>
      <c r="JQR38" s="288"/>
      <c r="JQS38" s="288"/>
      <c r="JQT38" s="288"/>
      <c r="JQU38" s="288"/>
      <c r="JQV38" s="288"/>
      <c r="JQW38" s="288"/>
      <c r="JQX38" s="288"/>
      <c r="JQY38" s="288"/>
      <c r="JQZ38" s="288"/>
      <c r="JRA38" s="288"/>
      <c r="JRB38" s="288"/>
      <c r="JRC38" s="288"/>
      <c r="JRD38" s="288"/>
      <c r="JRE38" s="288"/>
      <c r="JRF38" s="288"/>
      <c r="JRG38" s="288"/>
      <c r="JRH38" s="288"/>
      <c r="JRI38" s="288"/>
      <c r="JRJ38" s="288"/>
      <c r="JRK38" s="288"/>
      <c r="JRL38" s="288"/>
      <c r="JRM38" s="288"/>
      <c r="JRN38" s="288"/>
      <c r="JRO38" s="288"/>
      <c r="JRP38" s="288"/>
      <c r="JRQ38" s="288"/>
      <c r="JRR38" s="288"/>
      <c r="JRS38" s="288"/>
      <c r="JRT38" s="288"/>
      <c r="JRU38" s="288"/>
      <c r="JRV38" s="288"/>
      <c r="JRW38" s="288"/>
      <c r="JRX38" s="288"/>
      <c r="JRY38" s="288"/>
      <c r="JRZ38" s="288"/>
      <c r="JSA38" s="288"/>
      <c r="JSB38" s="288"/>
      <c r="JSC38" s="288"/>
      <c r="JSD38" s="288"/>
      <c r="JSE38" s="288"/>
      <c r="JSF38" s="288"/>
      <c r="JSG38" s="288"/>
      <c r="JSH38" s="288"/>
      <c r="JSI38" s="288"/>
      <c r="JSJ38" s="288"/>
      <c r="JSK38" s="288"/>
      <c r="JSL38" s="288"/>
      <c r="JSM38" s="288"/>
      <c r="JSN38" s="288"/>
      <c r="JSO38" s="288"/>
      <c r="JSP38" s="288"/>
      <c r="JSQ38" s="288"/>
      <c r="JSR38" s="288"/>
      <c r="JSS38" s="288"/>
      <c r="JST38" s="288"/>
      <c r="JSU38" s="288"/>
      <c r="JSV38" s="288"/>
      <c r="JSW38" s="288"/>
      <c r="JSX38" s="288"/>
      <c r="JSY38" s="288"/>
      <c r="JSZ38" s="288"/>
      <c r="JTA38" s="288"/>
      <c r="JTB38" s="288"/>
      <c r="JTC38" s="288"/>
      <c r="JTD38" s="288"/>
      <c r="JTE38" s="288"/>
      <c r="JTF38" s="288"/>
      <c r="JTG38" s="288"/>
      <c r="JTH38" s="288"/>
      <c r="JTI38" s="288"/>
      <c r="JTJ38" s="288"/>
      <c r="JTK38" s="288"/>
      <c r="JTL38" s="288"/>
      <c r="JTM38" s="288"/>
      <c r="JTN38" s="288"/>
      <c r="JTO38" s="288"/>
      <c r="JTP38" s="288"/>
      <c r="JTQ38" s="288"/>
      <c r="JTR38" s="288"/>
      <c r="JTS38" s="288"/>
      <c r="JTT38" s="288"/>
      <c r="JTU38" s="288"/>
      <c r="JTV38" s="288"/>
      <c r="JTW38" s="288"/>
      <c r="JTX38" s="288"/>
      <c r="JTY38" s="288"/>
      <c r="JTZ38" s="288"/>
      <c r="JUA38" s="288"/>
      <c r="JUB38" s="288"/>
      <c r="JUC38" s="288"/>
      <c r="JUD38" s="288"/>
      <c r="JUE38" s="288"/>
      <c r="JUF38" s="288"/>
      <c r="JUG38" s="288"/>
      <c r="JUH38" s="288"/>
      <c r="JUI38" s="288"/>
      <c r="JUJ38" s="288"/>
      <c r="JUK38" s="288"/>
      <c r="JUL38" s="288"/>
      <c r="JUM38" s="288"/>
      <c r="JUN38" s="288"/>
      <c r="JUO38" s="288"/>
      <c r="JUP38" s="288"/>
      <c r="JUQ38" s="288"/>
      <c r="JUR38" s="288"/>
      <c r="JUS38" s="288"/>
      <c r="JUT38" s="288"/>
      <c r="JUU38" s="288"/>
      <c r="JUV38" s="288"/>
      <c r="JUW38" s="288"/>
      <c r="JUX38" s="288"/>
      <c r="JUY38" s="288"/>
      <c r="JUZ38" s="288"/>
      <c r="JVA38" s="288"/>
      <c r="JVB38" s="288"/>
      <c r="JVC38" s="288"/>
      <c r="JVD38" s="288"/>
      <c r="JVE38" s="288"/>
      <c r="JVF38" s="288"/>
      <c r="JVG38" s="288"/>
      <c r="JVH38" s="288"/>
      <c r="JVI38" s="288"/>
      <c r="JVJ38" s="288"/>
      <c r="JVK38" s="288"/>
      <c r="JVL38" s="288"/>
      <c r="JVM38" s="288"/>
      <c r="JVN38" s="288"/>
      <c r="JVO38" s="288"/>
      <c r="JVP38" s="288"/>
      <c r="JVQ38" s="288"/>
      <c r="JVR38" s="288"/>
      <c r="JVS38" s="288"/>
      <c r="JVT38" s="288"/>
      <c r="JVU38" s="288"/>
      <c r="JVV38" s="288"/>
      <c r="JVW38" s="288"/>
      <c r="JVX38" s="288"/>
      <c r="JVY38" s="288"/>
      <c r="JVZ38" s="288"/>
      <c r="JWA38" s="288"/>
      <c r="JWB38" s="288"/>
      <c r="JWC38" s="288"/>
      <c r="JWD38" s="288"/>
      <c r="JWE38" s="288"/>
      <c r="JWF38" s="288"/>
      <c r="JWG38" s="288"/>
      <c r="JWH38" s="288"/>
      <c r="JWI38" s="288"/>
      <c r="JWJ38" s="288"/>
      <c r="JWK38" s="288"/>
      <c r="JWL38" s="288"/>
      <c r="JWM38" s="288"/>
      <c r="JWN38" s="288"/>
      <c r="JWO38" s="288"/>
      <c r="JWP38" s="288"/>
      <c r="JWQ38" s="288"/>
      <c r="JWR38" s="288"/>
      <c r="JWS38" s="288"/>
      <c r="JWT38" s="288"/>
      <c r="JWU38" s="288"/>
      <c r="JWV38" s="288"/>
      <c r="JWW38" s="288"/>
      <c r="JWX38" s="288"/>
      <c r="JWY38" s="288"/>
      <c r="JWZ38" s="288"/>
      <c r="JXA38" s="288"/>
      <c r="JXB38" s="288"/>
      <c r="JXC38" s="288"/>
      <c r="JXD38" s="288"/>
      <c r="JXE38" s="288"/>
      <c r="JXF38" s="288"/>
      <c r="JXG38" s="288"/>
      <c r="JXH38" s="288"/>
      <c r="JXI38" s="288"/>
      <c r="JXJ38" s="288"/>
      <c r="JXK38" s="288"/>
      <c r="JXL38" s="288"/>
      <c r="JXM38" s="288"/>
      <c r="JXN38" s="288"/>
      <c r="JXO38" s="288"/>
      <c r="JXP38" s="288"/>
      <c r="JXQ38" s="288"/>
      <c r="JXR38" s="288"/>
      <c r="JXS38" s="288"/>
      <c r="JXT38" s="288"/>
      <c r="JXU38" s="288"/>
      <c r="JXV38" s="288"/>
      <c r="JXW38" s="288"/>
      <c r="JXX38" s="288"/>
      <c r="JXY38" s="288"/>
      <c r="JXZ38" s="288"/>
      <c r="JYA38" s="288"/>
      <c r="JYB38" s="288"/>
      <c r="JYC38" s="288"/>
      <c r="JYD38" s="288"/>
      <c r="JYE38" s="288"/>
      <c r="JYF38" s="288"/>
      <c r="JYG38" s="288"/>
      <c r="JYH38" s="288"/>
      <c r="JYI38" s="288"/>
      <c r="JYJ38" s="288"/>
      <c r="JYK38" s="288"/>
      <c r="JYL38" s="288"/>
      <c r="JYM38" s="288"/>
      <c r="JYN38" s="288"/>
      <c r="JYO38" s="288"/>
      <c r="JYP38" s="288"/>
      <c r="JYQ38" s="288"/>
      <c r="JYR38" s="288"/>
      <c r="JYS38" s="288"/>
      <c r="JYT38" s="288"/>
      <c r="JYU38" s="288"/>
      <c r="JYV38" s="288"/>
      <c r="JYW38" s="288"/>
      <c r="JYX38" s="288"/>
      <c r="JYY38" s="288"/>
      <c r="JYZ38" s="288"/>
      <c r="JZA38" s="288"/>
      <c r="JZB38" s="288"/>
      <c r="JZC38" s="288"/>
      <c r="JZD38" s="288"/>
      <c r="JZE38" s="288"/>
      <c r="JZF38" s="288"/>
      <c r="JZG38" s="288"/>
      <c r="JZH38" s="288"/>
      <c r="JZI38" s="288"/>
      <c r="JZJ38" s="288"/>
      <c r="JZK38" s="288"/>
      <c r="JZL38" s="288"/>
      <c r="JZM38" s="288"/>
      <c r="JZN38" s="288"/>
      <c r="JZO38" s="288"/>
      <c r="JZP38" s="288"/>
      <c r="JZQ38" s="288"/>
      <c r="JZR38" s="288"/>
      <c r="JZS38" s="288"/>
      <c r="JZT38" s="288"/>
      <c r="JZU38" s="288"/>
      <c r="JZV38" s="288"/>
      <c r="JZW38" s="288"/>
      <c r="JZX38" s="288"/>
      <c r="JZY38" s="288"/>
      <c r="JZZ38" s="288"/>
      <c r="KAA38" s="288"/>
      <c r="KAB38" s="288"/>
      <c r="KAC38" s="288"/>
      <c r="KAD38" s="288"/>
      <c r="KAE38" s="288"/>
      <c r="KAF38" s="288"/>
      <c r="KAG38" s="288"/>
      <c r="KAH38" s="288"/>
      <c r="KAI38" s="288"/>
      <c r="KAJ38" s="288"/>
      <c r="KAK38" s="288"/>
      <c r="KAL38" s="288"/>
      <c r="KAM38" s="288"/>
      <c r="KAN38" s="288"/>
      <c r="KAO38" s="288"/>
      <c r="KAP38" s="288"/>
      <c r="KAQ38" s="288"/>
      <c r="KAR38" s="288"/>
      <c r="KAS38" s="288"/>
      <c r="KAT38" s="288"/>
      <c r="KAU38" s="288"/>
      <c r="KAV38" s="288"/>
      <c r="KAW38" s="288"/>
      <c r="KAX38" s="288"/>
      <c r="KAY38" s="288"/>
      <c r="KAZ38" s="288"/>
      <c r="KBA38" s="288"/>
      <c r="KBB38" s="288"/>
      <c r="KBC38" s="288"/>
      <c r="KBD38" s="288"/>
      <c r="KBE38" s="288"/>
      <c r="KBF38" s="288"/>
      <c r="KBG38" s="288"/>
      <c r="KBH38" s="288"/>
      <c r="KBI38" s="288"/>
      <c r="KBJ38" s="288"/>
      <c r="KBK38" s="288"/>
      <c r="KBL38" s="288"/>
      <c r="KBM38" s="288"/>
      <c r="KBN38" s="288"/>
      <c r="KBO38" s="288"/>
      <c r="KBP38" s="288"/>
      <c r="KBQ38" s="288"/>
      <c r="KBR38" s="288"/>
      <c r="KBS38" s="288"/>
      <c r="KBT38" s="288"/>
      <c r="KBU38" s="288"/>
      <c r="KBV38" s="288"/>
      <c r="KBW38" s="288"/>
      <c r="KBX38" s="288"/>
      <c r="KBY38" s="288"/>
      <c r="KBZ38" s="288"/>
      <c r="KCA38" s="288"/>
      <c r="KCB38" s="288"/>
      <c r="KCC38" s="288"/>
      <c r="KCD38" s="288"/>
      <c r="KCE38" s="288"/>
      <c r="KCF38" s="288"/>
      <c r="KCG38" s="288"/>
      <c r="KCH38" s="288"/>
      <c r="KCI38" s="288"/>
      <c r="KCJ38" s="288"/>
      <c r="KCK38" s="288"/>
      <c r="KCL38" s="288"/>
      <c r="KCM38" s="288"/>
      <c r="KCN38" s="288"/>
      <c r="KCO38" s="288"/>
      <c r="KCP38" s="288"/>
      <c r="KCQ38" s="288"/>
      <c r="KCR38" s="288"/>
      <c r="KCS38" s="288"/>
      <c r="KCT38" s="288"/>
      <c r="KCU38" s="288"/>
      <c r="KCV38" s="288"/>
      <c r="KCW38" s="288"/>
      <c r="KCX38" s="288"/>
      <c r="KCY38" s="288"/>
      <c r="KCZ38" s="288"/>
      <c r="KDA38" s="288"/>
      <c r="KDB38" s="288"/>
      <c r="KDC38" s="288"/>
      <c r="KDD38" s="288"/>
      <c r="KDE38" s="288"/>
      <c r="KDF38" s="288"/>
      <c r="KDG38" s="288"/>
      <c r="KDH38" s="288"/>
      <c r="KDI38" s="288"/>
      <c r="KDJ38" s="288"/>
      <c r="KDK38" s="288"/>
      <c r="KDL38" s="288"/>
      <c r="KDM38" s="288"/>
      <c r="KDN38" s="288"/>
      <c r="KDO38" s="288"/>
      <c r="KDP38" s="288"/>
      <c r="KDQ38" s="288"/>
      <c r="KDR38" s="288"/>
      <c r="KDS38" s="288"/>
      <c r="KDT38" s="288"/>
      <c r="KDU38" s="288"/>
      <c r="KDV38" s="288"/>
      <c r="KDW38" s="288"/>
      <c r="KDX38" s="288"/>
      <c r="KDY38" s="288"/>
      <c r="KDZ38" s="288"/>
      <c r="KEA38" s="288"/>
      <c r="KEB38" s="288"/>
      <c r="KEC38" s="288"/>
      <c r="KED38" s="288"/>
      <c r="KEE38" s="288"/>
      <c r="KEF38" s="288"/>
      <c r="KEG38" s="288"/>
      <c r="KEH38" s="288"/>
      <c r="KEI38" s="288"/>
      <c r="KEJ38" s="288"/>
      <c r="KEK38" s="288"/>
      <c r="KEL38" s="288"/>
      <c r="KEM38" s="288"/>
      <c r="KEN38" s="288"/>
      <c r="KEO38" s="288"/>
      <c r="KEP38" s="288"/>
      <c r="KEQ38" s="288"/>
      <c r="KER38" s="288"/>
      <c r="KES38" s="288"/>
      <c r="KET38" s="288"/>
      <c r="KEU38" s="288"/>
      <c r="KEV38" s="288"/>
      <c r="KEW38" s="288"/>
      <c r="KEX38" s="288"/>
      <c r="KEY38" s="288"/>
      <c r="KEZ38" s="288"/>
      <c r="KFA38" s="288"/>
      <c r="KFB38" s="288"/>
      <c r="KFC38" s="288"/>
      <c r="KFD38" s="288"/>
      <c r="KFE38" s="288"/>
      <c r="KFF38" s="288"/>
      <c r="KFG38" s="288"/>
      <c r="KFH38" s="288"/>
      <c r="KFI38" s="288"/>
      <c r="KFJ38" s="288"/>
      <c r="KFK38" s="288"/>
      <c r="KFL38" s="288"/>
      <c r="KFM38" s="288"/>
      <c r="KFN38" s="288"/>
      <c r="KFO38" s="288"/>
      <c r="KFP38" s="288"/>
      <c r="KFQ38" s="288"/>
      <c r="KFR38" s="288"/>
      <c r="KFS38" s="288"/>
      <c r="KFT38" s="288"/>
      <c r="KFU38" s="288"/>
      <c r="KFV38" s="288"/>
      <c r="KFW38" s="288"/>
      <c r="KFX38" s="288"/>
      <c r="KFY38" s="288"/>
      <c r="KFZ38" s="288"/>
      <c r="KGA38" s="288"/>
      <c r="KGB38" s="288"/>
      <c r="KGC38" s="288"/>
      <c r="KGD38" s="288"/>
      <c r="KGE38" s="288"/>
      <c r="KGF38" s="288"/>
      <c r="KGG38" s="288"/>
      <c r="KGH38" s="288"/>
      <c r="KGI38" s="288"/>
      <c r="KGJ38" s="288"/>
      <c r="KGK38" s="288"/>
      <c r="KGL38" s="288"/>
      <c r="KGM38" s="288"/>
      <c r="KGN38" s="288"/>
      <c r="KGO38" s="288"/>
      <c r="KGP38" s="288"/>
      <c r="KGQ38" s="288"/>
      <c r="KGR38" s="288"/>
      <c r="KGS38" s="288"/>
      <c r="KGT38" s="288"/>
      <c r="KGU38" s="288"/>
      <c r="KGV38" s="288"/>
      <c r="KGW38" s="288"/>
      <c r="KGX38" s="288"/>
      <c r="KGY38" s="288"/>
      <c r="KGZ38" s="288"/>
      <c r="KHA38" s="288"/>
      <c r="KHB38" s="288"/>
      <c r="KHC38" s="288"/>
      <c r="KHD38" s="288"/>
      <c r="KHE38" s="288"/>
      <c r="KHF38" s="288"/>
      <c r="KHG38" s="288"/>
      <c r="KHH38" s="288"/>
      <c r="KHI38" s="288"/>
      <c r="KHJ38" s="288"/>
      <c r="KHK38" s="288"/>
      <c r="KHL38" s="288"/>
      <c r="KHM38" s="288"/>
      <c r="KHN38" s="288"/>
      <c r="KHO38" s="288"/>
      <c r="KHP38" s="288"/>
      <c r="KHQ38" s="288"/>
      <c r="KHR38" s="288"/>
      <c r="KHS38" s="288"/>
      <c r="KHT38" s="288"/>
      <c r="KHU38" s="288"/>
      <c r="KHV38" s="288"/>
      <c r="KHW38" s="288"/>
      <c r="KHX38" s="288"/>
      <c r="KHY38" s="288"/>
      <c r="KHZ38" s="288"/>
      <c r="KIA38" s="288"/>
      <c r="KIB38" s="288"/>
      <c r="KIC38" s="288"/>
      <c r="KID38" s="288"/>
      <c r="KIE38" s="288"/>
      <c r="KIF38" s="288"/>
      <c r="KIG38" s="288"/>
      <c r="KIH38" s="288"/>
      <c r="KII38" s="288"/>
      <c r="KIJ38" s="288"/>
      <c r="KIK38" s="288"/>
      <c r="KIL38" s="288"/>
      <c r="KIM38" s="288"/>
      <c r="KIN38" s="288"/>
      <c r="KIO38" s="288"/>
      <c r="KIP38" s="288"/>
      <c r="KIQ38" s="288"/>
      <c r="KIR38" s="288"/>
      <c r="KIS38" s="288"/>
      <c r="KIT38" s="288"/>
      <c r="KIU38" s="288"/>
      <c r="KIV38" s="288"/>
      <c r="KIW38" s="288"/>
      <c r="KIX38" s="288"/>
      <c r="KIY38" s="288"/>
      <c r="KIZ38" s="288"/>
      <c r="KJA38" s="288"/>
      <c r="KJB38" s="288"/>
      <c r="KJC38" s="288"/>
      <c r="KJD38" s="288"/>
      <c r="KJE38" s="288"/>
      <c r="KJF38" s="288"/>
      <c r="KJG38" s="288"/>
      <c r="KJH38" s="288"/>
      <c r="KJI38" s="288"/>
      <c r="KJJ38" s="288"/>
      <c r="KJK38" s="288"/>
      <c r="KJL38" s="288"/>
      <c r="KJM38" s="288"/>
      <c r="KJN38" s="288"/>
      <c r="KJO38" s="288"/>
      <c r="KJP38" s="288"/>
      <c r="KJQ38" s="288"/>
      <c r="KJR38" s="288"/>
      <c r="KJS38" s="288"/>
      <c r="KJT38" s="288"/>
      <c r="KJU38" s="288"/>
      <c r="KJV38" s="288"/>
      <c r="KJW38" s="288"/>
      <c r="KJX38" s="288"/>
      <c r="KJY38" s="288"/>
      <c r="KJZ38" s="288"/>
      <c r="KKA38" s="288"/>
      <c r="KKB38" s="288"/>
      <c r="KKC38" s="288"/>
      <c r="KKD38" s="288"/>
      <c r="KKE38" s="288"/>
      <c r="KKF38" s="288"/>
      <c r="KKG38" s="288"/>
      <c r="KKH38" s="288"/>
      <c r="KKI38" s="288"/>
      <c r="KKJ38" s="288"/>
      <c r="KKK38" s="288"/>
      <c r="KKL38" s="288"/>
      <c r="KKM38" s="288"/>
      <c r="KKN38" s="288"/>
      <c r="KKO38" s="288"/>
      <c r="KKP38" s="288"/>
      <c r="KKQ38" s="288"/>
      <c r="KKR38" s="288"/>
      <c r="KKS38" s="288"/>
      <c r="KKT38" s="288"/>
      <c r="KKU38" s="288"/>
      <c r="KKV38" s="288"/>
      <c r="KKW38" s="288"/>
      <c r="KKX38" s="288"/>
      <c r="KKY38" s="288"/>
      <c r="KKZ38" s="288"/>
      <c r="KLA38" s="288"/>
      <c r="KLB38" s="288"/>
      <c r="KLC38" s="288"/>
      <c r="KLD38" s="288"/>
      <c r="KLE38" s="288"/>
      <c r="KLF38" s="288"/>
      <c r="KLG38" s="288"/>
      <c r="KLH38" s="288"/>
      <c r="KLI38" s="288"/>
      <c r="KLJ38" s="288"/>
      <c r="KLK38" s="288"/>
      <c r="KLL38" s="288"/>
      <c r="KLM38" s="288"/>
      <c r="KLN38" s="288"/>
      <c r="KLO38" s="288"/>
      <c r="KLP38" s="288"/>
      <c r="KLQ38" s="288"/>
      <c r="KLR38" s="288"/>
      <c r="KLS38" s="288"/>
      <c r="KLT38" s="288"/>
      <c r="KLU38" s="288"/>
      <c r="KLV38" s="288"/>
      <c r="KLW38" s="288"/>
      <c r="KLX38" s="288"/>
      <c r="KLY38" s="288"/>
      <c r="KLZ38" s="288"/>
      <c r="KMA38" s="288"/>
      <c r="KMB38" s="288"/>
      <c r="KMC38" s="288"/>
      <c r="KMD38" s="288"/>
      <c r="KME38" s="288"/>
      <c r="KMF38" s="288"/>
      <c r="KMG38" s="288"/>
      <c r="KMH38" s="288"/>
      <c r="KMI38" s="288"/>
      <c r="KMJ38" s="288"/>
      <c r="KMK38" s="288"/>
      <c r="KML38" s="288"/>
      <c r="KMM38" s="288"/>
      <c r="KMN38" s="288"/>
      <c r="KMO38" s="288"/>
      <c r="KMP38" s="288"/>
      <c r="KMQ38" s="288"/>
      <c r="KMR38" s="288"/>
      <c r="KMS38" s="288"/>
      <c r="KMT38" s="288"/>
      <c r="KMU38" s="288"/>
      <c r="KMV38" s="288"/>
      <c r="KMW38" s="288"/>
      <c r="KMX38" s="288"/>
      <c r="KMY38" s="288"/>
      <c r="KMZ38" s="288"/>
      <c r="KNA38" s="288"/>
      <c r="KNB38" s="288"/>
      <c r="KNC38" s="288"/>
      <c r="KND38" s="288"/>
      <c r="KNE38" s="288"/>
      <c r="KNF38" s="288"/>
      <c r="KNG38" s="288"/>
      <c r="KNH38" s="288"/>
      <c r="KNI38" s="288"/>
      <c r="KNJ38" s="288"/>
      <c r="KNK38" s="288"/>
      <c r="KNL38" s="288"/>
      <c r="KNM38" s="288"/>
      <c r="KNN38" s="288"/>
      <c r="KNO38" s="288"/>
      <c r="KNP38" s="288"/>
      <c r="KNQ38" s="288"/>
      <c r="KNR38" s="288"/>
      <c r="KNS38" s="288"/>
      <c r="KNT38" s="288"/>
      <c r="KNU38" s="288"/>
      <c r="KNV38" s="288"/>
      <c r="KNW38" s="288"/>
      <c r="KNX38" s="288"/>
      <c r="KNY38" s="288"/>
      <c r="KNZ38" s="288"/>
      <c r="KOA38" s="288"/>
      <c r="KOB38" s="288"/>
      <c r="KOC38" s="288"/>
      <c r="KOD38" s="288"/>
      <c r="KOE38" s="288"/>
      <c r="KOF38" s="288"/>
      <c r="KOG38" s="288"/>
      <c r="KOH38" s="288"/>
      <c r="KOI38" s="288"/>
      <c r="KOJ38" s="288"/>
      <c r="KOK38" s="288"/>
      <c r="KOL38" s="288"/>
      <c r="KOM38" s="288"/>
      <c r="KON38" s="288"/>
      <c r="KOO38" s="288"/>
      <c r="KOP38" s="288"/>
      <c r="KOQ38" s="288"/>
      <c r="KOR38" s="288"/>
      <c r="KOS38" s="288"/>
      <c r="KOT38" s="288"/>
      <c r="KOU38" s="288"/>
      <c r="KOV38" s="288"/>
      <c r="KOW38" s="288"/>
      <c r="KOX38" s="288"/>
      <c r="KOY38" s="288"/>
      <c r="KOZ38" s="288"/>
      <c r="KPA38" s="288"/>
      <c r="KPB38" s="288"/>
      <c r="KPC38" s="288"/>
      <c r="KPD38" s="288"/>
      <c r="KPE38" s="288"/>
      <c r="KPF38" s="288"/>
      <c r="KPG38" s="288"/>
      <c r="KPH38" s="288"/>
      <c r="KPI38" s="288"/>
      <c r="KPJ38" s="288"/>
      <c r="KPK38" s="288"/>
      <c r="KPL38" s="288"/>
      <c r="KPM38" s="288"/>
      <c r="KPN38" s="288"/>
      <c r="KPO38" s="288"/>
      <c r="KPP38" s="288"/>
      <c r="KPQ38" s="288"/>
      <c r="KPR38" s="288"/>
      <c r="KPS38" s="288"/>
      <c r="KPT38" s="288"/>
      <c r="KPU38" s="288"/>
      <c r="KPV38" s="288"/>
      <c r="KPW38" s="288"/>
      <c r="KPX38" s="288"/>
      <c r="KPY38" s="288"/>
      <c r="KPZ38" s="288"/>
      <c r="KQA38" s="288"/>
      <c r="KQB38" s="288"/>
      <c r="KQC38" s="288"/>
      <c r="KQD38" s="288"/>
      <c r="KQE38" s="288"/>
      <c r="KQF38" s="288"/>
      <c r="KQG38" s="288"/>
      <c r="KQH38" s="288"/>
      <c r="KQI38" s="288"/>
      <c r="KQJ38" s="288"/>
      <c r="KQK38" s="288"/>
      <c r="KQL38" s="288"/>
      <c r="KQM38" s="288"/>
      <c r="KQN38" s="288"/>
      <c r="KQO38" s="288"/>
      <c r="KQP38" s="288"/>
      <c r="KQQ38" s="288"/>
      <c r="KQR38" s="288"/>
      <c r="KQS38" s="288"/>
      <c r="KQT38" s="288"/>
      <c r="KQU38" s="288"/>
      <c r="KQV38" s="288"/>
      <c r="KQW38" s="288"/>
      <c r="KQX38" s="288"/>
      <c r="KQY38" s="288"/>
      <c r="KQZ38" s="288"/>
      <c r="KRA38" s="288"/>
      <c r="KRB38" s="288"/>
      <c r="KRC38" s="288"/>
      <c r="KRD38" s="288"/>
      <c r="KRE38" s="288"/>
      <c r="KRF38" s="288"/>
      <c r="KRG38" s="288"/>
      <c r="KRH38" s="288"/>
      <c r="KRI38" s="288"/>
      <c r="KRJ38" s="288"/>
      <c r="KRK38" s="288"/>
      <c r="KRL38" s="288"/>
      <c r="KRM38" s="288"/>
      <c r="KRN38" s="288"/>
      <c r="KRO38" s="288"/>
      <c r="KRP38" s="288"/>
      <c r="KRQ38" s="288"/>
      <c r="KRR38" s="288"/>
      <c r="KRS38" s="288"/>
      <c r="KRT38" s="288"/>
      <c r="KRU38" s="288"/>
      <c r="KRV38" s="288"/>
      <c r="KRW38" s="288"/>
      <c r="KRX38" s="288"/>
      <c r="KRY38" s="288"/>
      <c r="KRZ38" s="288"/>
      <c r="KSA38" s="288"/>
      <c r="KSB38" s="288"/>
      <c r="KSC38" s="288"/>
      <c r="KSD38" s="288"/>
      <c r="KSE38" s="288"/>
      <c r="KSF38" s="288"/>
      <c r="KSG38" s="288"/>
      <c r="KSH38" s="288"/>
      <c r="KSI38" s="288"/>
      <c r="KSJ38" s="288"/>
      <c r="KSK38" s="288"/>
      <c r="KSL38" s="288"/>
      <c r="KSM38" s="288"/>
      <c r="KSN38" s="288"/>
      <c r="KSO38" s="288"/>
      <c r="KSP38" s="288"/>
      <c r="KSQ38" s="288"/>
      <c r="KSR38" s="288"/>
      <c r="KSS38" s="288"/>
      <c r="KST38" s="288"/>
      <c r="KSU38" s="288"/>
      <c r="KSV38" s="288"/>
      <c r="KSW38" s="288"/>
      <c r="KSX38" s="288"/>
      <c r="KSY38" s="288"/>
      <c r="KSZ38" s="288"/>
      <c r="KTA38" s="288"/>
      <c r="KTB38" s="288"/>
      <c r="KTC38" s="288"/>
      <c r="KTD38" s="288"/>
      <c r="KTE38" s="288"/>
      <c r="KTF38" s="288"/>
      <c r="KTG38" s="288"/>
      <c r="KTH38" s="288"/>
      <c r="KTI38" s="288"/>
      <c r="KTJ38" s="288"/>
      <c r="KTK38" s="288"/>
      <c r="KTL38" s="288"/>
      <c r="KTM38" s="288"/>
      <c r="KTN38" s="288"/>
      <c r="KTO38" s="288"/>
      <c r="KTP38" s="288"/>
      <c r="KTQ38" s="288"/>
      <c r="KTR38" s="288"/>
      <c r="KTS38" s="288"/>
      <c r="KTT38" s="288"/>
      <c r="KTU38" s="288"/>
      <c r="KTV38" s="288"/>
      <c r="KTW38" s="288"/>
      <c r="KTX38" s="288"/>
      <c r="KTY38" s="288"/>
      <c r="KTZ38" s="288"/>
      <c r="KUA38" s="288"/>
      <c r="KUB38" s="288"/>
      <c r="KUC38" s="288"/>
      <c r="KUD38" s="288"/>
      <c r="KUE38" s="288"/>
      <c r="KUF38" s="288"/>
      <c r="KUG38" s="288"/>
      <c r="KUH38" s="288"/>
      <c r="KUI38" s="288"/>
      <c r="KUJ38" s="288"/>
      <c r="KUK38" s="288"/>
      <c r="KUL38" s="288"/>
      <c r="KUM38" s="288"/>
      <c r="KUN38" s="288"/>
      <c r="KUO38" s="288"/>
      <c r="KUP38" s="288"/>
      <c r="KUQ38" s="288"/>
      <c r="KUR38" s="288"/>
      <c r="KUS38" s="288"/>
      <c r="KUT38" s="288"/>
      <c r="KUU38" s="288"/>
      <c r="KUV38" s="288"/>
      <c r="KUW38" s="288"/>
      <c r="KUX38" s="288"/>
      <c r="KUY38" s="288"/>
      <c r="KUZ38" s="288"/>
      <c r="KVA38" s="288"/>
      <c r="KVB38" s="288"/>
      <c r="KVC38" s="288"/>
      <c r="KVD38" s="288"/>
      <c r="KVE38" s="288"/>
      <c r="KVF38" s="288"/>
      <c r="KVG38" s="288"/>
      <c r="KVH38" s="288"/>
      <c r="KVI38" s="288"/>
      <c r="KVJ38" s="288"/>
      <c r="KVK38" s="288"/>
      <c r="KVL38" s="288"/>
      <c r="KVM38" s="288"/>
      <c r="KVN38" s="288"/>
      <c r="KVO38" s="288"/>
      <c r="KVP38" s="288"/>
      <c r="KVQ38" s="288"/>
      <c r="KVR38" s="288"/>
      <c r="KVS38" s="288"/>
      <c r="KVT38" s="288"/>
      <c r="KVU38" s="288"/>
      <c r="KVV38" s="288"/>
      <c r="KVW38" s="288"/>
      <c r="KVX38" s="288"/>
      <c r="KVY38" s="288"/>
      <c r="KVZ38" s="288"/>
      <c r="KWA38" s="288"/>
      <c r="KWB38" s="288"/>
      <c r="KWC38" s="288"/>
      <c r="KWD38" s="288"/>
      <c r="KWE38" s="288"/>
      <c r="KWF38" s="288"/>
      <c r="KWG38" s="288"/>
      <c r="KWH38" s="288"/>
      <c r="KWI38" s="288"/>
      <c r="KWJ38" s="288"/>
      <c r="KWK38" s="288"/>
      <c r="KWL38" s="288"/>
      <c r="KWM38" s="288"/>
      <c r="KWN38" s="288"/>
      <c r="KWO38" s="288"/>
      <c r="KWP38" s="288"/>
      <c r="KWQ38" s="288"/>
      <c r="KWR38" s="288"/>
      <c r="KWS38" s="288"/>
      <c r="KWT38" s="288"/>
      <c r="KWU38" s="288"/>
      <c r="KWV38" s="288"/>
      <c r="KWW38" s="288"/>
      <c r="KWX38" s="288"/>
      <c r="KWY38" s="288"/>
      <c r="KWZ38" s="288"/>
      <c r="KXA38" s="288"/>
      <c r="KXB38" s="288"/>
      <c r="KXC38" s="288"/>
      <c r="KXD38" s="288"/>
      <c r="KXE38" s="288"/>
      <c r="KXF38" s="288"/>
      <c r="KXG38" s="288"/>
      <c r="KXH38" s="288"/>
      <c r="KXI38" s="288"/>
      <c r="KXJ38" s="288"/>
      <c r="KXK38" s="288"/>
      <c r="KXL38" s="288"/>
      <c r="KXM38" s="288"/>
      <c r="KXN38" s="288"/>
      <c r="KXO38" s="288"/>
      <c r="KXP38" s="288"/>
      <c r="KXQ38" s="288"/>
      <c r="KXR38" s="288"/>
      <c r="KXS38" s="288"/>
      <c r="KXT38" s="288"/>
      <c r="KXU38" s="288"/>
      <c r="KXV38" s="288"/>
      <c r="KXW38" s="288"/>
      <c r="KXX38" s="288"/>
      <c r="KXY38" s="288"/>
      <c r="KXZ38" s="288"/>
      <c r="KYA38" s="288"/>
      <c r="KYB38" s="288"/>
      <c r="KYC38" s="288"/>
      <c r="KYD38" s="288"/>
      <c r="KYE38" s="288"/>
      <c r="KYF38" s="288"/>
      <c r="KYG38" s="288"/>
      <c r="KYH38" s="288"/>
      <c r="KYI38" s="288"/>
      <c r="KYJ38" s="288"/>
      <c r="KYK38" s="288"/>
      <c r="KYL38" s="288"/>
      <c r="KYM38" s="288"/>
      <c r="KYN38" s="288"/>
      <c r="KYO38" s="288"/>
      <c r="KYP38" s="288"/>
      <c r="KYQ38" s="288"/>
      <c r="KYR38" s="288"/>
      <c r="KYS38" s="288"/>
      <c r="KYT38" s="288"/>
      <c r="KYU38" s="288"/>
      <c r="KYV38" s="288"/>
      <c r="KYW38" s="288"/>
      <c r="KYX38" s="288"/>
      <c r="KYY38" s="288"/>
      <c r="KYZ38" s="288"/>
      <c r="KZA38" s="288"/>
      <c r="KZB38" s="288"/>
      <c r="KZC38" s="288"/>
      <c r="KZD38" s="288"/>
      <c r="KZE38" s="288"/>
      <c r="KZF38" s="288"/>
      <c r="KZG38" s="288"/>
      <c r="KZH38" s="288"/>
      <c r="KZI38" s="288"/>
      <c r="KZJ38" s="288"/>
      <c r="KZK38" s="288"/>
      <c r="KZL38" s="288"/>
      <c r="KZM38" s="288"/>
      <c r="KZN38" s="288"/>
      <c r="KZO38" s="288"/>
      <c r="KZP38" s="288"/>
      <c r="KZQ38" s="288"/>
      <c r="KZR38" s="288"/>
      <c r="KZS38" s="288"/>
      <c r="KZT38" s="288"/>
      <c r="KZU38" s="288"/>
      <c r="KZV38" s="288"/>
      <c r="KZW38" s="288"/>
      <c r="KZX38" s="288"/>
      <c r="KZY38" s="288"/>
      <c r="KZZ38" s="288"/>
      <c r="LAA38" s="288"/>
      <c r="LAB38" s="288"/>
      <c r="LAC38" s="288"/>
      <c r="LAD38" s="288"/>
      <c r="LAE38" s="288"/>
      <c r="LAF38" s="288"/>
      <c r="LAG38" s="288"/>
      <c r="LAH38" s="288"/>
      <c r="LAI38" s="288"/>
      <c r="LAJ38" s="288"/>
      <c r="LAK38" s="288"/>
      <c r="LAL38" s="288"/>
      <c r="LAM38" s="288"/>
      <c r="LAN38" s="288"/>
      <c r="LAO38" s="288"/>
      <c r="LAP38" s="288"/>
      <c r="LAQ38" s="288"/>
      <c r="LAR38" s="288"/>
      <c r="LAS38" s="288"/>
      <c r="LAT38" s="288"/>
      <c r="LAU38" s="288"/>
      <c r="LAV38" s="288"/>
      <c r="LAW38" s="288"/>
      <c r="LAX38" s="288"/>
      <c r="LAY38" s="288"/>
      <c r="LAZ38" s="288"/>
      <c r="LBA38" s="288"/>
      <c r="LBB38" s="288"/>
      <c r="LBC38" s="288"/>
      <c r="LBD38" s="288"/>
      <c r="LBE38" s="288"/>
      <c r="LBF38" s="288"/>
      <c r="LBG38" s="288"/>
      <c r="LBH38" s="288"/>
      <c r="LBI38" s="288"/>
      <c r="LBJ38" s="288"/>
      <c r="LBK38" s="288"/>
      <c r="LBL38" s="288"/>
      <c r="LBM38" s="288"/>
      <c r="LBN38" s="288"/>
      <c r="LBO38" s="288"/>
      <c r="LBP38" s="288"/>
      <c r="LBQ38" s="288"/>
      <c r="LBR38" s="288"/>
      <c r="LBS38" s="288"/>
      <c r="LBT38" s="288"/>
      <c r="LBU38" s="288"/>
      <c r="LBV38" s="288"/>
      <c r="LBW38" s="288"/>
      <c r="LBX38" s="288"/>
      <c r="LBY38" s="288"/>
      <c r="LBZ38" s="288"/>
      <c r="LCA38" s="288"/>
      <c r="LCB38" s="288"/>
      <c r="LCC38" s="288"/>
      <c r="LCD38" s="288"/>
      <c r="LCE38" s="288"/>
      <c r="LCF38" s="288"/>
      <c r="LCG38" s="288"/>
      <c r="LCH38" s="288"/>
      <c r="LCI38" s="288"/>
      <c r="LCJ38" s="288"/>
      <c r="LCK38" s="288"/>
      <c r="LCL38" s="288"/>
      <c r="LCM38" s="288"/>
      <c r="LCN38" s="288"/>
      <c r="LCO38" s="288"/>
      <c r="LCP38" s="288"/>
      <c r="LCQ38" s="288"/>
      <c r="LCR38" s="288"/>
      <c r="LCS38" s="288"/>
      <c r="LCT38" s="288"/>
      <c r="LCU38" s="288"/>
      <c r="LCV38" s="288"/>
      <c r="LCW38" s="288"/>
      <c r="LCX38" s="288"/>
      <c r="LCY38" s="288"/>
      <c r="LCZ38" s="288"/>
      <c r="LDA38" s="288"/>
      <c r="LDB38" s="288"/>
      <c r="LDC38" s="288"/>
      <c r="LDD38" s="288"/>
      <c r="LDE38" s="288"/>
      <c r="LDF38" s="288"/>
      <c r="LDG38" s="288"/>
      <c r="LDH38" s="288"/>
      <c r="LDI38" s="288"/>
      <c r="LDJ38" s="288"/>
      <c r="LDK38" s="288"/>
      <c r="LDL38" s="288"/>
      <c r="LDM38" s="288"/>
      <c r="LDN38" s="288"/>
      <c r="LDO38" s="288"/>
      <c r="LDP38" s="288"/>
      <c r="LDQ38" s="288"/>
      <c r="LDR38" s="288"/>
      <c r="LDS38" s="288"/>
      <c r="LDT38" s="288"/>
      <c r="LDU38" s="288"/>
      <c r="LDV38" s="288"/>
      <c r="LDW38" s="288"/>
      <c r="LDX38" s="288"/>
      <c r="LDY38" s="288"/>
      <c r="LDZ38" s="288"/>
      <c r="LEA38" s="288"/>
      <c r="LEB38" s="288"/>
      <c r="LEC38" s="288"/>
      <c r="LED38" s="288"/>
      <c r="LEE38" s="288"/>
      <c r="LEF38" s="288"/>
      <c r="LEG38" s="288"/>
      <c r="LEH38" s="288"/>
      <c r="LEI38" s="288"/>
      <c r="LEJ38" s="288"/>
      <c r="LEK38" s="288"/>
      <c r="LEL38" s="288"/>
      <c r="LEM38" s="288"/>
      <c r="LEN38" s="288"/>
      <c r="LEO38" s="288"/>
      <c r="LEP38" s="288"/>
      <c r="LEQ38" s="288"/>
      <c r="LER38" s="288"/>
      <c r="LES38" s="288"/>
      <c r="LET38" s="288"/>
      <c r="LEU38" s="288"/>
      <c r="LEV38" s="288"/>
      <c r="LEW38" s="288"/>
      <c r="LEX38" s="288"/>
      <c r="LEY38" s="288"/>
      <c r="LEZ38" s="288"/>
      <c r="LFA38" s="288"/>
      <c r="LFB38" s="288"/>
      <c r="LFC38" s="288"/>
      <c r="LFD38" s="288"/>
      <c r="LFE38" s="288"/>
      <c r="LFF38" s="288"/>
      <c r="LFG38" s="288"/>
      <c r="LFH38" s="288"/>
      <c r="LFI38" s="288"/>
      <c r="LFJ38" s="288"/>
      <c r="LFK38" s="288"/>
      <c r="LFL38" s="288"/>
      <c r="LFM38" s="288"/>
      <c r="LFN38" s="288"/>
      <c r="LFO38" s="288"/>
      <c r="LFP38" s="288"/>
      <c r="LFQ38" s="288"/>
      <c r="LFR38" s="288"/>
      <c r="LFS38" s="288"/>
      <c r="LFT38" s="288"/>
      <c r="LFU38" s="288"/>
      <c r="LFV38" s="288"/>
      <c r="LFW38" s="288"/>
      <c r="LFX38" s="288"/>
      <c r="LFY38" s="288"/>
      <c r="LFZ38" s="288"/>
      <c r="LGA38" s="288"/>
      <c r="LGB38" s="288"/>
      <c r="LGC38" s="288"/>
      <c r="LGD38" s="288"/>
      <c r="LGE38" s="288"/>
      <c r="LGF38" s="288"/>
      <c r="LGG38" s="288"/>
      <c r="LGH38" s="288"/>
      <c r="LGI38" s="288"/>
      <c r="LGJ38" s="288"/>
      <c r="LGK38" s="288"/>
      <c r="LGL38" s="288"/>
      <c r="LGM38" s="288"/>
      <c r="LGN38" s="288"/>
      <c r="LGO38" s="288"/>
      <c r="LGP38" s="288"/>
      <c r="LGQ38" s="288"/>
      <c r="LGR38" s="288"/>
      <c r="LGS38" s="288"/>
      <c r="LGT38" s="288"/>
      <c r="LGU38" s="288"/>
      <c r="LGV38" s="288"/>
      <c r="LGW38" s="288"/>
      <c r="LGX38" s="288"/>
      <c r="LGY38" s="288"/>
      <c r="LGZ38" s="288"/>
      <c r="LHA38" s="288"/>
      <c r="LHB38" s="288"/>
      <c r="LHC38" s="288"/>
      <c r="LHD38" s="288"/>
      <c r="LHE38" s="288"/>
      <c r="LHF38" s="288"/>
      <c r="LHG38" s="288"/>
      <c r="LHH38" s="288"/>
      <c r="LHI38" s="288"/>
      <c r="LHJ38" s="288"/>
      <c r="LHK38" s="288"/>
      <c r="LHL38" s="288"/>
      <c r="LHM38" s="288"/>
      <c r="LHN38" s="288"/>
      <c r="LHO38" s="288"/>
      <c r="LHP38" s="288"/>
      <c r="LHQ38" s="288"/>
      <c r="LHR38" s="288"/>
      <c r="LHS38" s="288"/>
      <c r="LHT38" s="288"/>
      <c r="LHU38" s="288"/>
      <c r="LHV38" s="288"/>
      <c r="LHW38" s="288"/>
      <c r="LHX38" s="288"/>
      <c r="LHY38" s="288"/>
      <c r="LHZ38" s="288"/>
      <c r="LIA38" s="288"/>
      <c r="LIB38" s="288"/>
      <c r="LIC38" s="288"/>
      <c r="LID38" s="288"/>
      <c r="LIE38" s="288"/>
      <c r="LIF38" s="288"/>
      <c r="LIG38" s="288"/>
      <c r="LIH38" s="288"/>
      <c r="LII38" s="288"/>
      <c r="LIJ38" s="288"/>
      <c r="LIK38" s="288"/>
      <c r="LIL38" s="288"/>
      <c r="LIM38" s="288"/>
      <c r="LIN38" s="288"/>
      <c r="LIO38" s="288"/>
      <c r="LIP38" s="288"/>
      <c r="LIQ38" s="288"/>
      <c r="LIR38" s="288"/>
      <c r="LIS38" s="288"/>
      <c r="LIT38" s="288"/>
      <c r="LIU38" s="288"/>
      <c r="LIV38" s="288"/>
      <c r="LIW38" s="288"/>
      <c r="LIX38" s="288"/>
      <c r="LIY38" s="288"/>
      <c r="LIZ38" s="288"/>
      <c r="LJA38" s="288"/>
      <c r="LJB38" s="288"/>
      <c r="LJC38" s="288"/>
      <c r="LJD38" s="288"/>
      <c r="LJE38" s="288"/>
      <c r="LJF38" s="288"/>
      <c r="LJG38" s="288"/>
      <c r="LJH38" s="288"/>
      <c r="LJI38" s="288"/>
      <c r="LJJ38" s="288"/>
      <c r="LJK38" s="288"/>
      <c r="LJL38" s="288"/>
      <c r="LJM38" s="288"/>
      <c r="LJN38" s="288"/>
      <c r="LJO38" s="288"/>
      <c r="LJP38" s="288"/>
      <c r="LJQ38" s="288"/>
      <c r="LJR38" s="288"/>
      <c r="LJS38" s="288"/>
      <c r="LJT38" s="288"/>
      <c r="LJU38" s="288"/>
      <c r="LJV38" s="288"/>
      <c r="LJW38" s="288"/>
      <c r="LJX38" s="288"/>
      <c r="LJY38" s="288"/>
      <c r="LJZ38" s="288"/>
      <c r="LKA38" s="288"/>
      <c r="LKB38" s="288"/>
      <c r="LKC38" s="288"/>
      <c r="LKD38" s="288"/>
      <c r="LKE38" s="288"/>
      <c r="LKF38" s="288"/>
      <c r="LKG38" s="288"/>
      <c r="LKH38" s="288"/>
      <c r="LKI38" s="288"/>
      <c r="LKJ38" s="288"/>
      <c r="LKK38" s="288"/>
      <c r="LKL38" s="288"/>
      <c r="LKM38" s="288"/>
      <c r="LKN38" s="288"/>
      <c r="LKO38" s="288"/>
      <c r="LKP38" s="288"/>
      <c r="LKQ38" s="288"/>
      <c r="LKR38" s="288"/>
      <c r="LKS38" s="288"/>
      <c r="LKT38" s="288"/>
      <c r="LKU38" s="288"/>
      <c r="LKV38" s="288"/>
      <c r="LKW38" s="288"/>
      <c r="LKX38" s="288"/>
      <c r="LKY38" s="288"/>
      <c r="LKZ38" s="288"/>
      <c r="LLA38" s="288"/>
      <c r="LLB38" s="288"/>
      <c r="LLC38" s="288"/>
      <c r="LLD38" s="288"/>
      <c r="LLE38" s="288"/>
      <c r="LLF38" s="288"/>
      <c r="LLG38" s="288"/>
      <c r="LLH38" s="288"/>
      <c r="LLI38" s="288"/>
      <c r="LLJ38" s="288"/>
      <c r="LLK38" s="288"/>
      <c r="LLL38" s="288"/>
      <c r="LLM38" s="288"/>
      <c r="LLN38" s="288"/>
      <c r="LLO38" s="288"/>
      <c r="LLP38" s="288"/>
      <c r="LLQ38" s="288"/>
      <c r="LLR38" s="288"/>
      <c r="LLS38" s="288"/>
      <c r="LLT38" s="288"/>
      <c r="LLU38" s="288"/>
      <c r="LLV38" s="288"/>
      <c r="LLW38" s="288"/>
      <c r="LLX38" s="288"/>
      <c r="LLY38" s="288"/>
      <c r="LLZ38" s="288"/>
      <c r="LMA38" s="288"/>
      <c r="LMB38" s="288"/>
      <c r="LMC38" s="288"/>
      <c r="LMD38" s="288"/>
      <c r="LME38" s="288"/>
      <c r="LMF38" s="288"/>
      <c r="LMG38" s="288"/>
      <c r="LMH38" s="288"/>
      <c r="LMI38" s="288"/>
      <c r="LMJ38" s="288"/>
      <c r="LMK38" s="288"/>
      <c r="LML38" s="288"/>
      <c r="LMM38" s="288"/>
      <c r="LMN38" s="288"/>
      <c r="LMO38" s="288"/>
      <c r="LMP38" s="288"/>
      <c r="LMQ38" s="288"/>
      <c r="LMR38" s="288"/>
      <c r="LMS38" s="288"/>
      <c r="LMT38" s="288"/>
      <c r="LMU38" s="288"/>
      <c r="LMV38" s="288"/>
      <c r="LMW38" s="288"/>
      <c r="LMX38" s="288"/>
      <c r="LMY38" s="288"/>
      <c r="LMZ38" s="288"/>
      <c r="LNA38" s="288"/>
      <c r="LNB38" s="288"/>
      <c r="LNC38" s="288"/>
      <c r="LND38" s="288"/>
      <c r="LNE38" s="288"/>
      <c r="LNF38" s="288"/>
      <c r="LNG38" s="288"/>
      <c r="LNH38" s="288"/>
      <c r="LNI38" s="288"/>
      <c r="LNJ38" s="288"/>
      <c r="LNK38" s="288"/>
      <c r="LNL38" s="288"/>
      <c r="LNM38" s="288"/>
      <c r="LNN38" s="288"/>
      <c r="LNO38" s="288"/>
      <c r="LNP38" s="288"/>
      <c r="LNQ38" s="288"/>
      <c r="LNR38" s="288"/>
      <c r="LNS38" s="288"/>
      <c r="LNT38" s="288"/>
      <c r="LNU38" s="288"/>
      <c r="LNV38" s="288"/>
      <c r="LNW38" s="288"/>
      <c r="LNX38" s="288"/>
      <c r="LNY38" s="288"/>
      <c r="LNZ38" s="288"/>
      <c r="LOA38" s="288"/>
      <c r="LOB38" s="288"/>
      <c r="LOC38" s="288"/>
      <c r="LOD38" s="288"/>
      <c r="LOE38" s="288"/>
      <c r="LOF38" s="288"/>
      <c r="LOG38" s="288"/>
      <c r="LOH38" s="288"/>
      <c r="LOI38" s="288"/>
      <c r="LOJ38" s="288"/>
      <c r="LOK38" s="288"/>
      <c r="LOL38" s="288"/>
      <c r="LOM38" s="288"/>
      <c r="LON38" s="288"/>
      <c r="LOO38" s="288"/>
      <c r="LOP38" s="288"/>
      <c r="LOQ38" s="288"/>
      <c r="LOR38" s="288"/>
      <c r="LOS38" s="288"/>
      <c r="LOT38" s="288"/>
      <c r="LOU38" s="288"/>
      <c r="LOV38" s="288"/>
      <c r="LOW38" s="288"/>
      <c r="LOX38" s="288"/>
      <c r="LOY38" s="288"/>
      <c r="LOZ38" s="288"/>
      <c r="LPA38" s="288"/>
      <c r="LPB38" s="288"/>
      <c r="LPC38" s="288"/>
      <c r="LPD38" s="288"/>
      <c r="LPE38" s="288"/>
      <c r="LPF38" s="288"/>
      <c r="LPG38" s="288"/>
      <c r="LPH38" s="288"/>
      <c r="LPI38" s="288"/>
      <c r="LPJ38" s="288"/>
      <c r="LPK38" s="288"/>
      <c r="LPL38" s="288"/>
      <c r="LPM38" s="288"/>
      <c r="LPN38" s="288"/>
      <c r="LPO38" s="288"/>
      <c r="LPP38" s="288"/>
      <c r="LPQ38" s="288"/>
      <c r="LPR38" s="288"/>
      <c r="LPS38" s="288"/>
      <c r="LPT38" s="288"/>
      <c r="LPU38" s="288"/>
      <c r="LPV38" s="288"/>
      <c r="LPW38" s="288"/>
      <c r="LPX38" s="288"/>
      <c r="LPY38" s="288"/>
      <c r="LPZ38" s="288"/>
      <c r="LQA38" s="288"/>
      <c r="LQB38" s="288"/>
      <c r="LQC38" s="288"/>
      <c r="LQD38" s="288"/>
      <c r="LQE38" s="288"/>
      <c r="LQF38" s="288"/>
      <c r="LQG38" s="288"/>
      <c r="LQH38" s="288"/>
      <c r="LQI38" s="288"/>
      <c r="LQJ38" s="288"/>
      <c r="LQK38" s="288"/>
      <c r="LQL38" s="288"/>
      <c r="LQM38" s="288"/>
      <c r="LQN38" s="288"/>
      <c r="LQO38" s="288"/>
      <c r="LQP38" s="288"/>
      <c r="LQQ38" s="288"/>
      <c r="LQR38" s="288"/>
      <c r="LQS38" s="288"/>
      <c r="LQT38" s="288"/>
      <c r="LQU38" s="288"/>
      <c r="LQV38" s="288"/>
      <c r="LQW38" s="288"/>
      <c r="LQX38" s="288"/>
      <c r="LQY38" s="288"/>
      <c r="LQZ38" s="288"/>
      <c r="LRA38" s="288"/>
      <c r="LRB38" s="288"/>
      <c r="LRC38" s="288"/>
      <c r="LRD38" s="288"/>
      <c r="LRE38" s="288"/>
      <c r="LRF38" s="288"/>
      <c r="LRG38" s="288"/>
      <c r="LRH38" s="288"/>
      <c r="LRI38" s="288"/>
      <c r="LRJ38" s="288"/>
      <c r="LRK38" s="288"/>
      <c r="LRL38" s="288"/>
      <c r="LRM38" s="288"/>
      <c r="LRN38" s="288"/>
      <c r="LRO38" s="288"/>
      <c r="LRP38" s="288"/>
      <c r="LRQ38" s="288"/>
      <c r="LRR38" s="288"/>
      <c r="LRS38" s="288"/>
      <c r="LRT38" s="288"/>
      <c r="LRU38" s="288"/>
      <c r="LRV38" s="288"/>
      <c r="LRW38" s="288"/>
      <c r="LRX38" s="288"/>
      <c r="LRY38" s="288"/>
      <c r="LRZ38" s="288"/>
      <c r="LSA38" s="288"/>
      <c r="LSB38" s="288"/>
      <c r="LSC38" s="288"/>
      <c r="LSD38" s="288"/>
      <c r="LSE38" s="288"/>
      <c r="LSF38" s="288"/>
      <c r="LSG38" s="288"/>
      <c r="LSH38" s="288"/>
      <c r="LSI38" s="288"/>
      <c r="LSJ38" s="288"/>
      <c r="LSK38" s="288"/>
      <c r="LSL38" s="288"/>
      <c r="LSM38" s="288"/>
      <c r="LSN38" s="288"/>
      <c r="LSO38" s="288"/>
      <c r="LSP38" s="288"/>
      <c r="LSQ38" s="288"/>
      <c r="LSR38" s="288"/>
      <c r="LSS38" s="288"/>
      <c r="LST38" s="288"/>
      <c r="LSU38" s="288"/>
      <c r="LSV38" s="288"/>
      <c r="LSW38" s="288"/>
      <c r="LSX38" s="288"/>
      <c r="LSY38" s="288"/>
      <c r="LSZ38" s="288"/>
      <c r="LTA38" s="288"/>
      <c r="LTB38" s="288"/>
      <c r="LTC38" s="288"/>
      <c r="LTD38" s="288"/>
      <c r="LTE38" s="288"/>
      <c r="LTF38" s="288"/>
      <c r="LTG38" s="288"/>
      <c r="LTH38" s="288"/>
      <c r="LTI38" s="288"/>
      <c r="LTJ38" s="288"/>
      <c r="LTK38" s="288"/>
      <c r="LTL38" s="288"/>
      <c r="LTM38" s="288"/>
      <c r="LTN38" s="288"/>
      <c r="LTO38" s="288"/>
      <c r="LTP38" s="288"/>
      <c r="LTQ38" s="288"/>
      <c r="LTR38" s="288"/>
      <c r="LTS38" s="288"/>
      <c r="LTT38" s="288"/>
      <c r="LTU38" s="288"/>
      <c r="LTV38" s="288"/>
      <c r="LTW38" s="288"/>
      <c r="LTX38" s="288"/>
      <c r="LTY38" s="288"/>
      <c r="LTZ38" s="288"/>
      <c r="LUA38" s="288"/>
      <c r="LUB38" s="288"/>
      <c r="LUC38" s="288"/>
      <c r="LUD38" s="288"/>
      <c r="LUE38" s="288"/>
      <c r="LUF38" s="288"/>
      <c r="LUG38" s="288"/>
      <c r="LUH38" s="288"/>
      <c r="LUI38" s="288"/>
      <c r="LUJ38" s="288"/>
      <c r="LUK38" s="288"/>
      <c r="LUL38" s="288"/>
      <c r="LUM38" s="288"/>
      <c r="LUN38" s="288"/>
      <c r="LUO38" s="288"/>
      <c r="LUP38" s="288"/>
      <c r="LUQ38" s="288"/>
      <c r="LUR38" s="288"/>
      <c r="LUS38" s="288"/>
      <c r="LUT38" s="288"/>
      <c r="LUU38" s="288"/>
      <c r="LUV38" s="288"/>
      <c r="LUW38" s="288"/>
      <c r="LUX38" s="288"/>
      <c r="LUY38" s="288"/>
      <c r="LUZ38" s="288"/>
      <c r="LVA38" s="288"/>
      <c r="LVB38" s="288"/>
      <c r="LVC38" s="288"/>
      <c r="LVD38" s="288"/>
      <c r="LVE38" s="288"/>
      <c r="LVF38" s="288"/>
      <c r="LVG38" s="288"/>
      <c r="LVH38" s="288"/>
      <c r="LVI38" s="288"/>
      <c r="LVJ38" s="288"/>
      <c r="LVK38" s="288"/>
      <c r="LVL38" s="288"/>
      <c r="LVM38" s="288"/>
      <c r="LVN38" s="288"/>
      <c r="LVO38" s="288"/>
      <c r="LVP38" s="288"/>
      <c r="LVQ38" s="288"/>
      <c r="LVR38" s="288"/>
      <c r="LVS38" s="288"/>
      <c r="LVT38" s="288"/>
      <c r="LVU38" s="288"/>
      <c r="LVV38" s="288"/>
      <c r="LVW38" s="288"/>
      <c r="LVX38" s="288"/>
      <c r="LVY38" s="288"/>
      <c r="LVZ38" s="288"/>
      <c r="LWA38" s="288"/>
      <c r="LWB38" s="288"/>
      <c r="LWC38" s="288"/>
      <c r="LWD38" s="288"/>
      <c r="LWE38" s="288"/>
      <c r="LWF38" s="288"/>
      <c r="LWG38" s="288"/>
      <c r="LWH38" s="288"/>
      <c r="LWI38" s="288"/>
      <c r="LWJ38" s="288"/>
      <c r="LWK38" s="288"/>
      <c r="LWL38" s="288"/>
      <c r="LWM38" s="288"/>
      <c r="LWN38" s="288"/>
      <c r="LWO38" s="288"/>
      <c r="LWP38" s="288"/>
      <c r="LWQ38" s="288"/>
      <c r="LWR38" s="288"/>
      <c r="LWS38" s="288"/>
      <c r="LWT38" s="288"/>
      <c r="LWU38" s="288"/>
      <c r="LWV38" s="288"/>
      <c r="LWW38" s="288"/>
      <c r="LWX38" s="288"/>
      <c r="LWY38" s="288"/>
      <c r="LWZ38" s="288"/>
      <c r="LXA38" s="288"/>
      <c r="LXB38" s="288"/>
      <c r="LXC38" s="288"/>
      <c r="LXD38" s="288"/>
      <c r="LXE38" s="288"/>
      <c r="LXF38" s="288"/>
      <c r="LXG38" s="288"/>
      <c r="LXH38" s="288"/>
      <c r="LXI38" s="288"/>
      <c r="LXJ38" s="288"/>
      <c r="LXK38" s="288"/>
      <c r="LXL38" s="288"/>
      <c r="LXM38" s="288"/>
      <c r="LXN38" s="288"/>
      <c r="LXO38" s="288"/>
      <c r="LXP38" s="288"/>
      <c r="LXQ38" s="288"/>
      <c r="LXR38" s="288"/>
      <c r="LXS38" s="288"/>
      <c r="LXT38" s="288"/>
      <c r="LXU38" s="288"/>
      <c r="LXV38" s="288"/>
      <c r="LXW38" s="288"/>
      <c r="LXX38" s="288"/>
      <c r="LXY38" s="288"/>
      <c r="LXZ38" s="288"/>
      <c r="LYA38" s="288"/>
      <c r="LYB38" s="288"/>
      <c r="LYC38" s="288"/>
      <c r="LYD38" s="288"/>
      <c r="LYE38" s="288"/>
      <c r="LYF38" s="288"/>
      <c r="LYG38" s="288"/>
      <c r="LYH38" s="288"/>
      <c r="LYI38" s="288"/>
      <c r="LYJ38" s="288"/>
      <c r="LYK38" s="288"/>
      <c r="LYL38" s="288"/>
      <c r="LYM38" s="288"/>
      <c r="LYN38" s="288"/>
      <c r="LYO38" s="288"/>
      <c r="LYP38" s="288"/>
      <c r="LYQ38" s="288"/>
      <c r="LYR38" s="288"/>
      <c r="LYS38" s="288"/>
      <c r="LYT38" s="288"/>
      <c r="LYU38" s="288"/>
      <c r="LYV38" s="288"/>
      <c r="LYW38" s="288"/>
      <c r="LYX38" s="288"/>
      <c r="LYY38" s="288"/>
      <c r="LYZ38" s="288"/>
      <c r="LZA38" s="288"/>
      <c r="LZB38" s="288"/>
      <c r="LZC38" s="288"/>
      <c r="LZD38" s="288"/>
      <c r="LZE38" s="288"/>
      <c r="LZF38" s="288"/>
      <c r="LZG38" s="288"/>
      <c r="LZH38" s="288"/>
      <c r="LZI38" s="288"/>
      <c r="LZJ38" s="288"/>
      <c r="LZK38" s="288"/>
      <c r="LZL38" s="288"/>
      <c r="LZM38" s="288"/>
      <c r="LZN38" s="288"/>
      <c r="LZO38" s="288"/>
      <c r="LZP38" s="288"/>
      <c r="LZQ38" s="288"/>
      <c r="LZR38" s="288"/>
      <c r="LZS38" s="288"/>
      <c r="LZT38" s="288"/>
      <c r="LZU38" s="288"/>
      <c r="LZV38" s="288"/>
      <c r="LZW38" s="288"/>
      <c r="LZX38" s="288"/>
      <c r="LZY38" s="288"/>
      <c r="LZZ38" s="288"/>
      <c r="MAA38" s="288"/>
      <c r="MAB38" s="288"/>
      <c r="MAC38" s="288"/>
      <c r="MAD38" s="288"/>
      <c r="MAE38" s="288"/>
      <c r="MAF38" s="288"/>
      <c r="MAG38" s="288"/>
      <c r="MAH38" s="288"/>
      <c r="MAI38" s="288"/>
      <c r="MAJ38" s="288"/>
      <c r="MAK38" s="288"/>
      <c r="MAL38" s="288"/>
      <c r="MAM38" s="288"/>
      <c r="MAN38" s="288"/>
      <c r="MAO38" s="288"/>
      <c r="MAP38" s="288"/>
      <c r="MAQ38" s="288"/>
      <c r="MAR38" s="288"/>
      <c r="MAS38" s="288"/>
      <c r="MAT38" s="288"/>
      <c r="MAU38" s="288"/>
      <c r="MAV38" s="288"/>
      <c r="MAW38" s="288"/>
      <c r="MAX38" s="288"/>
      <c r="MAY38" s="288"/>
      <c r="MAZ38" s="288"/>
      <c r="MBA38" s="288"/>
      <c r="MBB38" s="288"/>
      <c r="MBC38" s="288"/>
      <c r="MBD38" s="288"/>
      <c r="MBE38" s="288"/>
      <c r="MBF38" s="288"/>
      <c r="MBG38" s="288"/>
      <c r="MBH38" s="288"/>
      <c r="MBI38" s="288"/>
      <c r="MBJ38" s="288"/>
      <c r="MBK38" s="288"/>
      <c r="MBL38" s="288"/>
      <c r="MBM38" s="288"/>
      <c r="MBN38" s="288"/>
      <c r="MBO38" s="288"/>
      <c r="MBP38" s="288"/>
      <c r="MBQ38" s="288"/>
      <c r="MBR38" s="288"/>
      <c r="MBS38" s="288"/>
      <c r="MBT38" s="288"/>
      <c r="MBU38" s="288"/>
      <c r="MBV38" s="288"/>
      <c r="MBW38" s="288"/>
      <c r="MBX38" s="288"/>
      <c r="MBY38" s="288"/>
      <c r="MBZ38" s="288"/>
      <c r="MCA38" s="288"/>
      <c r="MCB38" s="288"/>
      <c r="MCC38" s="288"/>
      <c r="MCD38" s="288"/>
      <c r="MCE38" s="288"/>
      <c r="MCF38" s="288"/>
      <c r="MCG38" s="288"/>
      <c r="MCH38" s="288"/>
      <c r="MCI38" s="288"/>
      <c r="MCJ38" s="288"/>
      <c r="MCK38" s="288"/>
      <c r="MCL38" s="288"/>
      <c r="MCM38" s="288"/>
      <c r="MCN38" s="288"/>
      <c r="MCO38" s="288"/>
      <c r="MCP38" s="288"/>
      <c r="MCQ38" s="288"/>
      <c r="MCR38" s="288"/>
      <c r="MCS38" s="288"/>
      <c r="MCT38" s="288"/>
      <c r="MCU38" s="288"/>
      <c r="MCV38" s="288"/>
      <c r="MCW38" s="288"/>
      <c r="MCX38" s="288"/>
      <c r="MCY38" s="288"/>
      <c r="MCZ38" s="288"/>
      <c r="MDA38" s="288"/>
      <c r="MDB38" s="288"/>
      <c r="MDC38" s="288"/>
      <c r="MDD38" s="288"/>
      <c r="MDE38" s="288"/>
      <c r="MDF38" s="288"/>
      <c r="MDG38" s="288"/>
      <c r="MDH38" s="288"/>
      <c r="MDI38" s="288"/>
      <c r="MDJ38" s="288"/>
      <c r="MDK38" s="288"/>
      <c r="MDL38" s="288"/>
      <c r="MDM38" s="288"/>
      <c r="MDN38" s="288"/>
      <c r="MDO38" s="288"/>
      <c r="MDP38" s="288"/>
      <c r="MDQ38" s="288"/>
      <c r="MDR38" s="288"/>
      <c r="MDS38" s="288"/>
      <c r="MDT38" s="288"/>
      <c r="MDU38" s="288"/>
      <c r="MDV38" s="288"/>
      <c r="MDW38" s="288"/>
      <c r="MDX38" s="288"/>
      <c r="MDY38" s="288"/>
      <c r="MDZ38" s="288"/>
      <c r="MEA38" s="288"/>
      <c r="MEB38" s="288"/>
      <c r="MEC38" s="288"/>
      <c r="MED38" s="288"/>
      <c r="MEE38" s="288"/>
      <c r="MEF38" s="288"/>
      <c r="MEG38" s="288"/>
      <c r="MEH38" s="288"/>
      <c r="MEI38" s="288"/>
      <c r="MEJ38" s="288"/>
      <c r="MEK38" s="288"/>
      <c r="MEL38" s="288"/>
      <c r="MEM38" s="288"/>
      <c r="MEN38" s="288"/>
      <c r="MEO38" s="288"/>
      <c r="MEP38" s="288"/>
      <c r="MEQ38" s="288"/>
      <c r="MER38" s="288"/>
      <c r="MES38" s="288"/>
      <c r="MET38" s="288"/>
      <c r="MEU38" s="288"/>
      <c r="MEV38" s="288"/>
      <c r="MEW38" s="288"/>
      <c r="MEX38" s="288"/>
      <c r="MEY38" s="288"/>
      <c r="MEZ38" s="288"/>
      <c r="MFA38" s="288"/>
      <c r="MFB38" s="288"/>
      <c r="MFC38" s="288"/>
      <c r="MFD38" s="288"/>
      <c r="MFE38" s="288"/>
      <c r="MFF38" s="288"/>
      <c r="MFG38" s="288"/>
      <c r="MFH38" s="288"/>
      <c r="MFI38" s="288"/>
      <c r="MFJ38" s="288"/>
      <c r="MFK38" s="288"/>
      <c r="MFL38" s="288"/>
      <c r="MFM38" s="288"/>
      <c r="MFN38" s="288"/>
      <c r="MFO38" s="288"/>
      <c r="MFP38" s="288"/>
      <c r="MFQ38" s="288"/>
      <c r="MFR38" s="288"/>
      <c r="MFS38" s="288"/>
      <c r="MFT38" s="288"/>
      <c r="MFU38" s="288"/>
      <c r="MFV38" s="288"/>
      <c r="MFW38" s="288"/>
      <c r="MFX38" s="288"/>
      <c r="MFY38" s="288"/>
      <c r="MFZ38" s="288"/>
      <c r="MGA38" s="288"/>
      <c r="MGB38" s="288"/>
      <c r="MGC38" s="288"/>
      <c r="MGD38" s="288"/>
      <c r="MGE38" s="288"/>
      <c r="MGF38" s="288"/>
      <c r="MGG38" s="288"/>
      <c r="MGH38" s="288"/>
      <c r="MGI38" s="288"/>
      <c r="MGJ38" s="288"/>
      <c r="MGK38" s="288"/>
      <c r="MGL38" s="288"/>
      <c r="MGM38" s="288"/>
      <c r="MGN38" s="288"/>
      <c r="MGO38" s="288"/>
      <c r="MGP38" s="288"/>
      <c r="MGQ38" s="288"/>
      <c r="MGR38" s="288"/>
      <c r="MGS38" s="288"/>
      <c r="MGT38" s="288"/>
      <c r="MGU38" s="288"/>
      <c r="MGV38" s="288"/>
      <c r="MGW38" s="288"/>
      <c r="MGX38" s="288"/>
      <c r="MGY38" s="288"/>
      <c r="MGZ38" s="288"/>
      <c r="MHA38" s="288"/>
      <c r="MHB38" s="288"/>
      <c r="MHC38" s="288"/>
      <c r="MHD38" s="288"/>
      <c r="MHE38" s="288"/>
      <c r="MHF38" s="288"/>
      <c r="MHG38" s="288"/>
      <c r="MHH38" s="288"/>
      <c r="MHI38" s="288"/>
      <c r="MHJ38" s="288"/>
      <c r="MHK38" s="288"/>
      <c r="MHL38" s="288"/>
      <c r="MHM38" s="288"/>
      <c r="MHN38" s="288"/>
      <c r="MHO38" s="288"/>
      <c r="MHP38" s="288"/>
      <c r="MHQ38" s="288"/>
      <c r="MHR38" s="288"/>
      <c r="MHS38" s="288"/>
      <c r="MHT38" s="288"/>
      <c r="MHU38" s="288"/>
      <c r="MHV38" s="288"/>
      <c r="MHW38" s="288"/>
      <c r="MHX38" s="288"/>
      <c r="MHY38" s="288"/>
      <c r="MHZ38" s="288"/>
      <c r="MIA38" s="288"/>
      <c r="MIB38" s="288"/>
      <c r="MIC38" s="288"/>
      <c r="MID38" s="288"/>
      <c r="MIE38" s="288"/>
      <c r="MIF38" s="288"/>
      <c r="MIG38" s="288"/>
      <c r="MIH38" s="288"/>
      <c r="MII38" s="288"/>
      <c r="MIJ38" s="288"/>
      <c r="MIK38" s="288"/>
      <c r="MIL38" s="288"/>
      <c r="MIM38" s="288"/>
      <c r="MIN38" s="288"/>
      <c r="MIO38" s="288"/>
      <c r="MIP38" s="288"/>
      <c r="MIQ38" s="288"/>
      <c r="MIR38" s="288"/>
      <c r="MIS38" s="288"/>
      <c r="MIT38" s="288"/>
      <c r="MIU38" s="288"/>
      <c r="MIV38" s="288"/>
      <c r="MIW38" s="288"/>
      <c r="MIX38" s="288"/>
      <c r="MIY38" s="288"/>
      <c r="MIZ38" s="288"/>
      <c r="MJA38" s="288"/>
      <c r="MJB38" s="288"/>
      <c r="MJC38" s="288"/>
      <c r="MJD38" s="288"/>
      <c r="MJE38" s="288"/>
      <c r="MJF38" s="288"/>
      <c r="MJG38" s="288"/>
      <c r="MJH38" s="288"/>
      <c r="MJI38" s="288"/>
      <c r="MJJ38" s="288"/>
      <c r="MJK38" s="288"/>
      <c r="MJL38" s="288"/>
      <c r="MJM38" s="288"/>
      <c r="MJN38" s="288"/>
      <c r="MJO38" s="288"/>
      <c r="MJP38" s="288"/>
      <c r="MJQ38" s="288"/>
      <c r="MJR38" s="288"/>
      <c r="MJS38" s="288"/>
      <c r="MJT38" s="288"/>
      <c r="MJU38" s="288"/>
      <c r="MJV38" s="288"/>
      <c r="MJW38" s="288"/>
      <c r="MJX38" s="288"/>
      <c r="MJY38" s="288"/>
      <c r="MJZ38" s="288"/>
      <c r="MKA38" s="288"/>
      <c r="MKB38" s="288"/>
      <c r="MKC38" s="288"/>
      <c r="MKD38" s="288"/>
      <c r="MKE38" s="288"/>
      <c r="MKF38" s="288"/>
      <c r="MKG38" s="288"/>
      <c r="MKH38" s="288"/>
      <c r="MKI38" s="288"/>
      <c r="MKJ38" s="288"/>
      <c r="MKK38" s="288"/>
      <c r="MKL38" s="288"/>
      <c r="MKM38" s="288"/>
      <c r="MKN38" s="288"/>
      <c r="MKO38" s="288"/>
      <c r="MKP38" s="288"/>
      <c r="MKQ38" s="288"/>
      <c r="MKR38" s="288"/>
      <c r="MKS38" s="288"/>
      <c r="MKT38" s="288"/>
      <c r="MKU38" s="288"/>
      <c r="MKV38" s="288"/>
      <c r="MKW38" s="288"/>
      <c r="MKX38" s="288"/>
      <c r="MKY38" s="288"/>
      <c r="MKZ38" s="288"/>
      <c r="MLA38" s="288"/>
      <c r="MLB38" s="288"/>
      <c r="MLC38" s="288"/>
      <c r="MLD38" s="288"/>
      <c r="MLE38" s="288"/>
      <c r="MLF38" s="288"/>
      <c r="MLG38" s="288"/>
      <c r="MLH38" s="288"/>
      <c r="MLI38" s="288"/>
      <c r="MLJ38" s="288"/>
      <c r="MLK38" s="288"/>
      <c r="MLL38" s="288"/>
      <c r="MLM38" s="288"/>
      <c r="MLN38" s="288"/>
      <c r="MLO38" s="288"/>
      <c r="MLP38" s="288"/>
      <c r="MLQ38" s="288"/>
      <c r="MLR38" s="288"/>
      <c r="MLS38" s="288"/>
      <c r="MLT38" s="288"/>
      <c r="MLU38" s="288"/>
      <c r="MLV38" s="288"/>
      <c r="MLW38" s="288"/>
      <c r="MLX38" s="288"/>
      <c r="MLY38" s="288"/>
      <c r="MLZ38" s="288"/>
      <c r="MMA38" s="288"/>
      <c r="MMB38" s="288"/>
      <c r="MMC38" s="288"/>
      <c r="MMD38" s="288"/>
      <c r="MME38" s="288"/>
      <c r="MMF38" s="288"/>
      <c r="MMG38" s="288"/>
      <c r="MMH38" s="288"/>
      <c r="MMI38" s="288"/>
      <c r="MMJ38" s="288"/>
      <c r="MMK38" s="288"/>
      <c r="MML38" s="288"/>
      <c r="MMM38" s="288"/>
      <c r="MMN38" s="288"/>
      <c r="MMO38" s="288"/>
      <c r="MMP38" s="288"/>
      <c r="MMQ38" s="288"/>
      <c r="MMR38" s="288"/>
      <c r="MMS38" s="288"/>
      <c r="MMT38" s="288"/>
      <c r="MMU38" s="288"/>
      <c r="MMV38" s="288"/>
      <c r="MMW38" s="288"/>
      <c r="MMX38" s="288"/>
      <c r="MMY38" s="288"/>
      <c r="MMZ38" s="288"/>
      <c r="MNA38" s="288"/>
      <c r="MNB38" s="288"/>
      <c r="MNC38" s="288"/>
      <c r="MND38" s="288"/>
      <c r="MNE38" s="288"/>
      <c r="MNF38" s="288"/>
      <c r="MNG38" s="288"/>
      <c r="MNH38" s="288"/>
      <c r="MNI38" s="288"/>
      <c r="MNJ38" s="288"/>
      <c r="MNK38" s="288"/>
      <c r="MNL38" s="288"/>
      <c r="MNM38" s="288"/>
      <c r="MNN38" s="288"/>
      <c r="MNO38" s="288"/>
      <c r="MNP38" s="288"/>
      <c r="MNQ38" s="288"/>
      <c r="MNR38" s="288"/>
      <c r="MNS38" s="288"/>
      <c r="MNT38" s="288"/>
      <c r="MNU38" s="288"/>
      <c r="MNV38" s="288"/>
      <c r="MNW38" s="288"/>
      <c r="MNX38" s="288"/>
      <c r="MNY38" s="288"/>
      <c r="MNZ38" s="288"/>
      <c r="MOA38" s="288"/>
      <c r="MOB38" s="288"/>
      <c r="MOC38" s="288"/>
      <c r="MOD38" s="288"/>
      <c r="MOE38" s="288"/>
      <c r="MOF38" s="288"/>
      <c r="MOG38" s="288"/>
      <c r="MOH38" s="288"/>
      <c r="MOI38" s="288"/>
      <c r="MOJ38" s="288"/>
      <c r="MOK38" s="288"/>
      <c r="MOL38" s="288"/>
      <c r="MOM38" s="288"/>
      <c r="MON38" s="288"/>
      <c r="MOO38" s="288"/>
      <c r="MOP38" s="288"/>
      <c r="MOQ38" s="288"/>
      <c r="MOR38" s="288"/>
      <c r="MOS38" s="288"/>
      <c r="MOT38" s="288"/>
      <c r="MOU38" s="288"/>
      <c r="MOV38" s="288"/>
      <c r="MOW38" s="288"/>
      <c r="MOX38" s="288"/>
      <c r="MOY38" s="288"/>
      <c r="MOZ38" s="288"/>
      <c r="MPA38" s="288"/>
      <c r="MPB38" s="288"/>
      <c r="MPC38" s="288"/>
      <c r="MPD38" s="288"/>
      <c r="MPE38" s="288"/>
      <c r="MPF38" s="288"/>
      <c r="MPG38" s="288"/>
      <c r="MPH38" s="288"/>
      <c r="MPI38" s="288"/>
      <c r="MPJ38" s="288"/>
      <c r="MPK38" s="288"/>
      <c r="MPL38" s="288"/>
      <c r="MPM38" s="288"/>
      <c r="MPN38" s="288"/>
      <c r="MPO38" s="288"/>
      <c r="MPP38" s="288"/>
      <c r="MPQ38" s="288"/>
      <c r="MPR38" s="288"/>
      <c r="MPS38" s="288"/>
      <c r="MPT38" s="288"/>
      <c r="MPU38" s="288"/>
      <c r="MPV38" s="288"/>
      <c r="MPW38" s="288"/>
      <c r="MPX38" s="288"/>
      <c r="MPY38" s="288"/>
      <c r="MPZ38" s="288"/>
      <c r="MQA38" s="288"/>
      <c r="MQB38" s="288"/>
      <c r="MQC38" s="288"/>
      <c r="MQD38" s="288"/>
      <c r="MQE38" s="288"/>
      <c r="MQF38" s="288"/>
      <c r="MQG38" s="288"/>
      <c r="MQH38" s="288"/>
      <c r="MQI38" s="288"/>
      <c r="MQJ38" s="288"/>
      <c r="MQK38" s="288"/>
      <c r="MQL38" s="288"/>
      <c r="MQM38" s="288"/>
      <c r="MQN38" s="288"/>
      <c r="MQO38" s="288"/>
      <c r="MQP38" s="288"/>
      <c r="MQQ38" s="288"/>
      <c r="MQR38" s="288"/>
      <c r="MQS38" s="288"/>
      <c r="MQT38" s="288"/>
      <c r="MQU38" s="288"/>
      <c r="MQV38" s="288"/>
      <c r="MQW38" s="288"/>
      <c r="MQX38" s="288"/>
      <c r="MQY38" s="288"/>
      <c r="MQZ38" s="288"/>
      <c r="MRA38" s="288"/>
      <c r="MRB38" s="288"/>
      <c r="MRC38" s="288"/>
      <c r="MRD38" s="288"/>
      <c r="MRE38" s="288"/>
      <c r="MRF38" s="288"/>
      <c r="MRG38" s="288"/>
      <c r="MRH38" s="288"/>
      <c r="MRI38" s="288"/>
      <c r="MRJ38" s="288"/>
      <c r="MRK38" s="288"/>
      <c r="MRL38" s="288"/>
      <c r="MRM38" s="288"/>
      <c r="MRN38" s="288"/>
      <c r="MRO38" s="288"/>
      <c r="MRP38" s="288"/>
      <c r="MRQ38" s="288"/>
      <c r="MRR38" s="288"/>
      <c r="MRS38" s="288"/>
      <c r="MRT38" s="288"/>
      <c r="MRU38" s="288"/>
      <c r="MRV38" s="288"/>
      <c r="MRW38" s="288"/>
      <c r="MRX38" s="288"/>
      <c r="MRY38" s="288"/>
      <c r="MRZ38" s="288"/>
      <c r="MSA38" s="288"/>
      <c r="MSB38" s="288"/>
      <c r="MSC38" s="288"/>
      <c r="MSD38" s="288"/>
      <c r="MSE38" s="288"/>
      <c r="MSF38" s="288"/>
      <c r="MSG38" s="288"/>
      <c r="MSH38" s="288"/>
      <c r="MSI38" s="288"/>
      <c r="MSJ38" s="288"/>
      <c r="MSK38" s="288"/>
      <c r="MSL38" s="288"/>
      <c r="MSM38" s="288"/>
      <c r="MSN38" s="288"/>
      <c r="MSO38" s="288"/>
      <c r="MSP38" s="288"/>
      <c r="MSQ38" s="288"/>
      <c r="MSR38" s="288"/>
      <c r="MSS38" s="288"/>
      <c r="MST38" s="288"/>
      <c r="MSU38" s="288"/>
      <c r="MSV38" s="288"/>
      <c r="MSW38" s="288"/>
      <c r="MSX38" s="288"/>
      <c r="MSY38" s="288"/>
      <c r="MSZ38" s="288"/>
      <c r="MTA38" s="288"/>
      <c r="MTB38" s="288"/>
      <c r="MTC38" s="288"/>
      <c r="MTD38" s="288"/>
      <c r="MTE38" s="288"/>
      <c r="MTF38" s="288"/>
      <c r="MTG38" s="288"/>
      <c r="MTH38" s="288"/>
      <c r="MTI38" s="288"/>
      <c r="MTJ38" s="288"/>
      <c r="MTK38" s="288"/>
      <c r="MTL38" s="288"/>
      <c r="MTM38" s="288"/>
      <c r="MTN38" s="288"/>
      <c r="MTO38" s="288"/>
      <c r="MTP38" s="288"/>
      <c r="MTQ38" s="288"/>
      <c r="MTR38" s="288"/>
      <c r="MTS38" s="288"/>
      <c r="MTT38" s="288"/>
      <c r="MTU38" s="288"/>
      <c r="MTV38" s="288"/>
      <c r="MTW38" s="288"/>
      <c r="MTX38" s="288"/>
      <c r="MTY38" s="288"/>
      <c r="MTZ38" s="288"/>
      <c r="MUA38" s="288"/>
      <c r="MUB38" s="288"/>
      <c r="MUC38" s="288"/>
      <c r="MUD38" s="288"/>
      <c r="MUE38" s="288"/>
      <c r="MUF38" s="288"/>
      <c r="MUG38" s="288"/>
      <c r="MUH38" s="288"/>
      <c r="MUI38" s="288"/>
      <c r="MUJ38" s="288"/>
      <c r="MUK38" s="288"/>
      <c r="MUL38" s="288"/>
      <c r="MUM38" s="288"/>
      <c r="MUN38" s="288"/>
      <c r="MUO38" s="288"/>
      <c r="MUP38" s="288"/>
      <c r="MUQ38" s="288"/>
      <c r="MUR38" s="288"/>
      <c r="MUS38" s="288"/>
      <c r="MUT38" s="288"/>
      <c r="MUU38" s="288"/>
      <c r="MUV38" s="288"/>
      <c r="MUW38" s="288"/>
      <c r="MUX38" s="288"/>
      <c r="MUY38" s="288"/>
      <c r="MUZ38" s="288"/>
      <c r="MVA38" s="288"/>
      <c r="MVB38" s="288"/>
      <c r="MVC38" s="288"/>
      <c r="MVD38" s="288"/>
      <c r="MVE38" s="288"/>
      <c r="MVF38" s="288"/>
      <c r="MVG38" s="288"/>
      <c r="MVH38" s="288"/>
      <c r="MVI38" s="288"/>
      <c r="MVJ38" s="288"/>
      <c r="MVK38" s="288"/>
      <c r="MVL38" s="288"/>
      <c r="MVM38" s="288"/>
      <c r="MVN38" s="288"/>
      <c r="MVO38" s="288"/>
      <c r="MVP38" s="288"/>
      <c r="MVQ38" s="288"/>
      <c r="MVR38" s="288"/>
      <c r="MVS38" s="288"/>
      <c r="MVT38" s="288"/>
      <c r="MVU38" s="288"/>
      <c r="MVV38" s="288"/>
      <c r="MVW38" s="288"/>
      <c r="MVX38" s="288"/>
      <c r="MVY38" s="288"/>
      <c r="MVZ38" s="288"/>
      <c r="MWA38" s="288"/>
      <c r="MWB38" s="288"/>
      <c r="MWC38" s="288"/>
      <c r="MWD38" s="288"/>
      <c r="MWE38" s="288"/>
      <c r="MWF38" s="288"/>
      <c r="MWG38" s="288"/>
      <c r="MWH38" s="288"/>
      <c r="MWI38" s="288"/>
      <c r="MWJ38" s="288"/>
      <c r="MWK38" s="288"/>
      <c r="MWL38" s="288"/>
      <c r="MWM38" s="288"/>
      <c r="MWN38" s="288"/>
      <c r="MWO38" s="288"/>
      <c r="MWP38" s="288"/>
      <c r="MWQ38" s="288"/>
      <c r="MWR38" s="288"/>
      <c r="MWS38" s="288"/>
      <c r="MWT38" s="288"/>
      <c r="MWU38" s="288"/>
      <c r="MWV38" s="288"/>
      <c r="MWW38" s="288"/>
      <c r="MWX38" s="288"/>
      <c r="MWY38" s="288"/>
      <c r="MWZ38" s="288"/>
      <c r="MXA38" s="288"/>
      <c r="MXB38" s="288"/>
      <c r="MXC38" s="288"/>
      <c r="MXD38" s="288"/>
      <c r="MXE38" s="288"/>
      <c r="MXF38" s="288"/>
      <c r="MXG38" s="288"/>
      <c r="MXH38" s="288"/>
      <c r="MXI38" s="288"/>
      <c r="MXJ38" s="288"/>
      <c r="MXK38" s="288"/>
      <c r="MXL38" s="288"/>
      <c r="MXM38" s="288"/>
      <c r="MXN38" s="288"/>
      <c r="MXO38" s="288"/>
      <c r="MXP38" s="288"/>
      <c r="MXQ38" s="288"/>
      <c r="MXR38" s="288"/>
      <c r="MXS38" s="288"/>
      <c r="MXT38" s="288"/>
      <c r="MXU38" s="288"/>
      <c r="MXV38" s="288"/>
      <c r="MXW38" s="288"/>
      <c r="MXX38" s="288"/>
      <c r="MXY38" s="288"/>
      <c r="MXZ38" s="288"/>
      <c r="MYA38" s="288"/>
      <c r="MYB38" s="288"/>
      <c r="MYC38" s="288"/>
      <c r="MYD38" s="288"/>
      <c r="MYE38" s="288"/>
      <c r="MYF38" s="288"/>
      <c r="MYG38" s="288"/>
      <c r="MYH38" s="288"/>
      <c r="MYI38" s="288"/>
      <c r="MYJ38" s="288"/>
      <c r="MYK38" s="288"/>
      <c r="MYL38" s="288"/>
      <c r="MYM38" s="288"/>
      <c r="MYN38" s="288"/>
      <c r="MYO38" s="288"/>
      <c r="MYP38" s="288"/>
      <c r="MYQ38" s="288"/>
      <c r="MYR38" s="288"/>
      <c r="MYS38" s="288"/>
      <c r="MYT38" s="288"/>
      <c r="MYU38" s="288"/>
      <c r="MYV38" s="288"/>
      <c r="MYW38" s="288"/>
      <c r="MYX38" s="288"/>
      <c r="MYY38" s="288"/>
      <c r="MYZ38" s="288"/>
      <c r="MZA38" s="288"/>
      <c r="MZB38" s="288"/>
      <c r="MZC38" s="288"/>
      <c r="MZD38" s="288"/>
      <c r="MZE38" s="288"/>
      <c r="MZF38" s="288"/>
      <c r="MZG38" s="288"/>
      <c r="MZH38" s="288"/>
      <c r="MZI38" s="288"/>
      <c r="MZJ38" s="288"/>
      <c r="MZK38" s="288"/>
      <c r="MZL38" s="288"/>
      <c r="MZM38" s="288"/>
      <c r="MZN38" s="288"/>
      <c r="MZO38" s="288"/>
      <c r="MZP38" s="288"/>
      <c r="MZQ38" s="288"/>
      <c r="MZR38" s="288"/>
      <c r="MZS38" s="288"/>
      <c r="MZT38" s="288"/>
      <c r="MZU38" s="288"/>
      <c r="MZV38" s="288"/>
      <c r="MZW38" s="288"/>
      <c r="MZX38" s="288"/>
      <c r="MZY38" s="288"/>
      <c r="MZZ38" s="288"/>
      <c r="NAA38" s="288"/>
      <c r="NAB38" s="288"/>
      <c r="NAC38" s="288"/>
      <c r="NAD38" s="288"/>
      <c r="NAE38" s="288"/>
      <c r="NAF38" s="288"/>
      <c r="NAG38" s="288"/>
      <c r="NAH38" s="288"/>
      <c r="NAI38" s="288"/>
      <c r="NAJ38" s="288"/>
      <c r="NAK38" s="288"/>
      <c r="NAL38" s="288"/>
      <c r="NAM38" s="288"/>
      <c r="NAN38" s="288"/>
      <c r="NAO38" s="288"/>
      <c r="NAP38" s="288"/>
      <c r="NAQ38" s="288"/>
      <c r="NAR38" s="288"/>
      <c r="NAS38" s="288"/>
      <c r="NAT38" s="288"/>
      <c r="NAU38" s="288"/>
      <c r="NAV38" s="288"/>
      <c r="NAW38" s="288"/>
      <c r="NAX38" s="288"/>
      <c r="NAY38" s="288"/>
      <c r="NAZ38" s="288"/>
      <c r="NBA38" s="288"/>
      <c r="NBB38" s="288"/>
      <c r="NBC38" s="288"/>
      <c r="NBD38" s="288"/>
      <c r="NBE38" s="288"/>
      <c r="NBF38" s="288"/>
      <c r="NBG38" s="288"/>
      <c r="NBH38" s="288"/>
      <c r="NBI38" s="288"/>
      <c r="NBJ38" s="288"/>
      <c r="NBK38" s="288"/>
      <c r="NBL38" s="288"/>
      <c r="NBM38" s="288"/>
      <c r="NBN38" s="288"/>
      <c r="NBO38" s="288"/>
      <c r="NBP38" s="288"/>
      <c r="NBQ38" s="288"/>
      <c r="NBR38" s="288"/>
      <c r="NBS38" s="288"/>
      <c r="NBT38" s="288"/>
      <c r="NBU38" s="288"/>
      <c r="NBV38" s="288"/>
      <c r="NBW38" s="288"/>
      <c r="NBX38" s="288"/>
      <c r="NBY38" s="288"/>
      <c r="NBZ38" s="288"/>
      <c r="NCA38" s="288"/>
      <c r="NCB38" s="288"/>
      <c r="NCC38" s="288"/>
      <c r="NCD38" s="288"/>
      <c r="NCE38" s="288"/>
      <c r="NCF38" s="288"/>
      <c r="NCG38" s="288"/>
      <c r="NCH38" s="288"/>
      <c r="NCI38" s="288"/>
      <c r="NCJ38" s="288"/>
      <c r="NCK38" s="288"/>
      <c r="NCL38" s="288"/>
      <c r="NCM38" s="288"/>
      <c r="NCN38" s="288"/>
      <c r="NCO38" s="288"/>
      <c r="NCP38" s="288"/>
      <c r="NCQ38" s="288"/>
      <c r="NCR38" s="288"/>
      <c r="NCS38" s="288"/>
      <c r="NCT38" s="288"/>
      <c r="NCU38" s="288"/>
      <c r="NCV38" s="288"/>
      <c r="NCW38" s="288"/>
      <c r="NCX38" s="288"/>
      <c r="NCY38" s="288"/>
      <c r="NCZ38" s="288"/>
      <c r="NDA38" s="288"/>
      <c r="NDB38" s="288"/>
      <c r="NDC38" s="288"/>
      <c r="NDD38" s="288"/>
      <c r="NDE38" s="288"/>
      <c r="NDF38" s="288"/>
      <c r="NDG38" s="288"/>
      <c r="NDH38" s="288"/>
      <c r="NDI38" s="288"/>
      <c r="NDJ38" s="288"/>
      <c r="NDK38" s="288"/>
      <c r="NDL38" s="288"/>
      <c r="NDM38" s="288"/>
      <c r="NDN38" s="288"/>
      <c r="NDO38" s="288"/>
      <c r="NDP38" s="288"/>
      <c r="NDQ38" s="288"/>
      <c r="NDR38" s="288"/>
      <c r="NDS38" s="288"/>
      <c r="NDT38" s="288"/>
      <c r="NDU38" s="288"/>
      <c r="NDV38" s="288"/>
      <c r="NDW38" s="288"/>
      <c r="NDX38" s="288"/>
      <c r="NDY38" s="288"/>
      <c r="NDZ38" s="288"/>
      <c r="NEA38" s="288"/>
      <c r="NEB38" s="288"/>
      <c r="NEC38" s="288"/>
      <c r="NED38" s="288"/>
      <c r="NEE38" s="288"/>
      <c r="NEF38" s="288"/>
      <c r="NEG38" s="288"/>
      <c r="NEH38" s="288"/>
      <c r="NEI38" s="288"/>
      <c r="NEJ38" s="288"/>
      <c r="NEK38" s="288"/>
      <c r="NEL38" s="288"/>
      <c r="NEM38" s="288"/>
      <c r="NEN38" s="288"/>
      <c r="NEO38" s="288"/>
      <c r="NEP38" s="288"/>
      <c r="NEQ38" s="288"/>
      <c r="NER38" s="288"/>
      <c r="NES38" s="288"/>
      <c r="NET38" s="288"/>
      <c r="NEU38" s="288"/>
      <c r="NEV38" s="288"/>
      <c r="NEW38" s="288"/>
      <c r="NEX38" s="288"/>
      <c r="NEY38" s="288"/>
      <c r="NEZ38" s="288"/>
      <c r="NFA38" s="288"/>
      <c r="NFB38" s="288"/>
      <c r="NFC38" s="288"/>
      <c r="NFD38" s="288"/>
      <c r="NFE38" s="288"/>
      <c r="NFF38" s="288"/>
      <c r="NFG38" s="288"/>
      <c r="NFH38" s="288"/>
      <c r="NFI38" s="288"/>
      <c r="NFJ38" s="288"/>
      <c r="NFK38" s="288"/>
      <c r="NFL38" s="288"/>
      <c r="NFM38" s="288"/>
      <c r="NFN38" s="288"/>
      <c r="NFO38" s="288"/>
      <c r="NFP38" s="288"/>
      <c r="NFQ38" s="288"/>
      <c r="NFR38" s="288"/>
      <c r="NFS38" s="288"/>
      <c r="NFT38" s="288"/>
      <c r="NFU38" s="288"/>
      <c r="NFV38" s="288"/>
      <c r="NFW38" s="288"/>
      <c r="NFX38" s="288"/>
      <c r="NFY38" s="288"/>
      <c r="NFZ38" s="288"/>
      <c r="NGA38" s="288"/>
      <c r="NGB38" s="288"/>
      <c r="NGC38" s="288"/>
      <c r="NGD38" s="288"/>
      <c r="NGE38" s="288"/>
      <c r="NGF38" s="288"/>
      <c r="NGG38" s="288"/>
      <c r="NGH38" s="288"/>
      <c r="NGI38" s="288"/>
      <c r="NGJ38" s="288"/>
      <c r="NGK38" s="288"/>
      <c r="NGL38" s="288"/>
      <c r="NGM38" s="288"/>
      <c r="NGN38" s="288"/>
      <c r="NGO38" s="288"/>
      <c r="NGP38" s="288"/>
      <c r="NGQ38" s="288"/>
      <c r="NGR38" s="288"/>
      <c r="NGS38" s="288"/>
      <c r="NGT38" s="288"/>
      <c r="NGU38" s="288"/>
      <c r="NGV38" s="288"/>
      <c r="NGW38" s="288"/>
      <c r="NGX38" s="288"/>
      <c r="NGY38" s="288"/>
      <c r="NGZ38" s="288"/>
      <c r="NHA38" s="288"/>
      <c r="NHB38" s="288"/>
      <c r="NHC38" s="288"/>
      <c r="NHD38" s="288"/>
      <c r="NHE38" s="288"/>
      <c r="NHF38" s="288"/>
      <c r="NHG38" s="288"/>
      <c r="NHH38" s="288"/>
      <c r="NHI38" s="288"/>
      <c r="NHJ38" s="288"/>
      <c r="NHK38" s="288"/>
      <c r="NHL38" s="288"/>
      <c r="NHM38" s="288"/>
      <c r="NHN38" s="288"/>
      <c r="NHO38" s="288"/>
      <c r="NHP38" s="288"/>
      <c r="NHQ38" s="288"/>
      <c r="NHR38" s="288"/>
      <c r="NHS38" s="288"/>
      <c r="NHT38" s="288"/>
      <c r="NHU38" s="288"/>
      <c r="NHV38" s="288"/>
      <c r="NHW38" s="288"/>
      <c r="NHX38" s="288"/>
      <c r="NHY38" s="288"/>
      <c r="NHZ38" s="288"/>
      <c r="NIA38" s="288"/>
      <c r="NIB38" s="288"/>
      <c r="NIC38" s="288"/>
      <c r="NID38" s="288"/>
      <c r="NIE38" s="288"/>
      <c r="NIF38" s="288"/>
      <c r="NIG38" s="288"/>
      <c r="NIH38" s="288"/>
      <c r="NII38" s="288"/>
      <c r="NIJ38" s="288"/>
      <c r="NIK38" s="288"/>
      <c r="NIL38" s="288"/>
      <c r="NIM38" s="288"/>
      <c r="NIN38" s="288"/>
      <c r="NIO38" s="288"/>
      <c r="NIP38" s="288"/>
      <c r="NIQ38" s="288"/>
      <c r="NIR38" s="288"/>
      <c r="NIS38" s="288"/>
      <c r="NIT38" s="288"/>
      <c r="NIU38" s="288"/>
      <c r="NIV38" s="288"/>
      <c r="NIW38" s="288"/>
      <c r="NIX38" s="288"/>
      <c r="NIY38" s="288"/>
      <c r="NIZ38" s="288"/>
      <c r="NJA38" s="288"/>
      <c r="NJB38" s="288"/>
      <c r="NJC38" s="288"/>
      <c r="NJD38" s="288"/>
      <c r="NJE38" s="288"/>
      <c r="NJF38" s="288"/>
      <c r="NJG38" s="288"/>
      <c r="NJH38" s="288"/>
      <c r="NJI38" s="288"/>
      <c r="NJJ38" s="288"/>
      <c r="NJK38" s="288"/>
      <c r="NJL38" s="288"/>
      <c r="NJM38" s="288"/>
      <c r="NJN38" s="288"/>
      <c r="NJO38" s="288"/>
      <c r="NJP38" s="288"/>
      <c r="NJQ38" s="288"/>
      <c r="NJR38" s="288"/>
      <c r="NJS38" s="288"/>
      <c r="NJT38" s="288"/>
      <c r="NJU38" s="288"/>
      <c r="NJV38" s="288"/>
      <c r="NJW38" s="288"/>
      <c r="NJX38" s="288"/>
      <c r="NJY38" s="288"/>
      <c r="NJZ38" s="288"/>
      <c r="NKA38" s="288"/>
      <c r="NKB38" s="288"/>
      <c r="NKC38" s="288"/>
      <c r="NKD38" s="288"/>
      <c r="NKE38" s="288"/>
      <c r="NKF38" s="288"/>
      <c r="NKG38" s="288"/>
      <c r="NKH38" s="288"/>
      <c r="NKI38" s="288"/>
      <c r="NKJ38" s="288"/>
      <c r="NKK38" s="288"/>
      <c r="NKL38" s="288"/>
      <c r="NKM38" s="288"/>
      <c r="NKN38" s="288"/>
      <c r="NKO38" s="288"/>
      <c r="NKP38" s="288"/>
      <c r="NKQ38" s="288"/>
      <c r="NKR38" s="288"/>
      <c r="NKS38" s="288"/>
      <c r="NKT38" s="288"/>
      <c r="NKU38" s="288"/>
      <c r="NKV38" s="288"/>
      <c r="NKW38" s="288"/>
      <c r="NKX38" s="288"/>
      <c r="NKY38" s="288"/>
      <c r="NKZ38" s="288"/>
      <c r="NLA38" s="288"/>
      <c r="NLB38" s="288"/>
      <c r="NLC38" s="288"/>
      <c r="NLD38" s="288"/>
      <c r="NLE38" s="288"/>
      <c r="NLF38" s="288"/>
      <c r="NLG38" s="288"/>
      <c r="NLH38" s="288"/>
      <c r="NLI38" s="288"/>
      <c r="NLJ38" s="288"/>
      <c r="NLK38" s="288"/>
      <c r="NLL38" s="288"/>
      <c r="NLM38" s="288"/>
      <c r="NLN38" s="288"/>
      <c r="NLO38" s="288"/>
      <c r="NLP38" s="288"/>
      <c r="NLQ38" s="288"/>
      <c r="NLR38" s="288"/>
      <c r="NLS38" s="288"/>
      <c r="NLT38" s="288"/>
      <c r="NLU38" s="288"/>
      <c r="NLV38" s="288"/>
      <c r="NLW38" s="288"/>
      <c r="NLX38" s="288"/>
      <c r="NLY38" s="288"/>
      <c r="NLZ38" s="288"/>
      <c r="NMA38" s="288"/>
      <c r="NMB38" s="288"/>
      <c r="NMC38" s="288"/>
      <c r="NMD38" s="288"/>
      <c r="NME38" s="288"/>
      <c r="NMF38" s="288"/>
      <c r="NMG38" s="288"/>
      <c r="NMH38" s="288"/>
      <c r="NMI38" s="288"/>
      <c r="NMJ38" s="288"/>
      <c r="NMK38" s="288"/>
      <c r="NML38" s="288"/>
      <c r="NMM38" s="288"/>
      <c r="NMN38" s="288"/>
      <c r="NMO38" s="288"/>
      <c r="NMP38" s="288"/>
      <c r="NMQ38" s="288"/>
      <c r="NMR38" s="288"/>
      <c r="NMS38" s="288"/>
      <c r="NMT38" s="288"/>
      <c r="NMU38" s="288"/>
      <c r="NMV38" s="288"/>
      <c r="NMW38" s="288"/>
      <c r="NMX38" s="288"/>
      <c r="NMY38" s="288"/>
      <c r="NMZ38" s="288"/>
      <c r="NNA38" s="288"/>
      <c r="NNB38" s="288"/>
      <c r="NNC38" s="288"/>
      <c r="NND38" s="288"/>
      <c r="NNE38" s="288"/>
      <c r="NNF38" s="288"/>
      <c r="NNG38" s="288"/>
      <c r="NNH38" s="288"/>
      <c r="NNI38" s="288"/>
      <c r="NNJ38" s="288"/>
      <c r="NNK38" s="288"/>
      <c r="NNL38" s="288"/>
      <c r="NNM38" s="288"/>
      <c r="NNN38" s="288"/>
      <c r="NNO38" s="288"/>
      <c r="NNP38" s="288"/>
      <c r="NNQ38" s="288"/>
      <c r="NNR38" s="288"/>
      <c r="NNS38" s="288"/>
      <c r="NNT38" s="288"/>
      <c r="NNU38" s="288"/>
      <c r="NNV38" s="288"/>
      <c r="NNW38" s="288"/>
      <c r="NNX38" s="288"/>
      <c r="NNY38" s="288"/>
      <c r="NNZ38" s="288"/>
      <c r="NOA38" s="288"/>
      <c r="NOB38" s="288"/>
      <c r="NOC38" s="288"/>
      <c r="NOD38" s="288"/>
      <c r="NOE38" s="288"/>
      <c r="NOF38" s="288"/>
      <c r="NOG38" s="288"/>
      <c r="NOH38" s="288"/>
      <c r="NOI38" s="288"/>
      <c r="NOJ38" s="288"/>
      <c r="NOK38" s="288"/>
      <c r="NOL38" s="288"/>
      <c r="NOM38" s="288"/>
      <c r="NON38" s="288"/>
      <c r="NOO38" s="288"/>
      <c r="NOP38" s="288"/>
      <c r="NOQ38" s="288"/>
      <c r="NOR38" s="288"/>
      <c r="NOS38" s="288"/>
      <c r="NOT38" s="288"/>
      <c r="NOU38" s="288"/>
      <c r="NOV38" s="288"/>
      <c r="NOW38" s="288"/>
      <c r="NOX38" s="288"/>
      <c r="NOY38" s="288"/>
      <c r="NOZ38" s="288"/>
      <c r="NPA38" s="288"/>
      <c r="NPB38" s="288"/>
      <c r="NPC38" s="288"/>
      <c r="NPD38" s="288"/>
      <c r="NPE38" s="288"/>
      <c r="NPF38" s="288"/>
      <c r="NPG38" s="288"/>
      <c r="NPH38" s="288"/>
      <c r="NPI38" s="288"/>
      <c r="NPJ38" s="288"/>
      <c r="NPK38" s="288"/>
      <c r="NPL38" s="288"/>
      <c r="NPM38" s="288"/>
      <c r="NPN38" s="288"/>
      <c r="NPO38" s="288"/>
      <c r="NPP38" s="288"/>
      <c r="NPQ38" s="288"/>
      <c r="NPR38" s="288"/>
      <c r="NPS38" s="288"/>
      <c r="NPT38" s="288"/>
      <c r="NPU38" s="288"/>
      <c r="NPV38" s="288"/>
      <c r="NPW38" s="288"/>
      <c r="NPX38" s="288"/>
      <c r="NPY38" s="288"/>
      <c r="NPZ38" s="288"/>
      <c r="NQA38" s="288"/>
      <c r="NQB38" s="288"/>
      <c r="NQC38" s="288"/>
      <c r="NQD38" s="288"/>
      <c r="NQE38" s="288"/>
      <c r="NQF38" s="288"/>
      <c r="NQG38" s="288"/>
      <c r="NQH38" s="288"/>
      <c r="NQI38" s="288"/>
      <c r="NQJ38" s="288"/>
      <c r="NQK38" s="288"/>
      <c r="NQL38" s="288"/>
      <c r="NQM38" s="288"/>
      <c r="NQN38" s="288"/>
      <c r="NQO38" s="288"/>
      <c r="NQP38" s="288"/>
      <c r="NQQ38" s="288"/>
      <c r="NQR38" s="288"/>
      <c r="NQS38" s="288"/>
      <c r="NQT38" s="288"/>
      <c r="NQU38" s="288"/>
      <c r="NQV38" s="288"/>
      <c r="NQW38" s="288"/>
      <c r="NQX38" s="288"/>
      <c r="NQY38" s="288"/>
      <c r="NQZ38" s="288"/>
      <c r="NRA38" s="288"/>
      <c r="NRB38" s="288"/>
      <c r="NRC38" s="288"/>
      <c r="NRD38" s="288"/>
      <c r="NRE38" s="288"/>
      <c r="NRF38" s="288"/>
      <c r="NRG38" s="288"/>
      <c r="NRH38" s="288"/>
      <c r="NRI38" s="288"/>
      <c r="NRJ38" s="288"/>
      <c r="NRK38" s="288"/>
      <c r="NRL38" s="288"/>
      <c r="NRM38" s="288"/>
      <c r="NRN38" s="288"/>
      <c r="NRO38" s="288"/>
      <c r="NRP38" s="288"/>
      <c r="NRQ38" s="288"/>
      <c r="NRR38" s="288"/>
      <c r="NRS38" s="288"/>
      <c r="NRT38" s="288"/>
      <c r="NRU38" s="288"/>
      <c r="NRV38" s="288"/>
      <c r="NRW38" s="288"/>
      <c r="NRX38" s="288"/>
      <c r="NRY38" s="288"/>
      <c r="NRZ38" s="288"/>
      <c r="NSA38" s="288"/>
      <c r="NSB38" s="288"/>
      <c r="NSC38" s="288"/>
      <c r="NSD38" s="288"/>
      <c r="NSE38" s="288"/>
      <c r="NSF38" s="288"/>
      <c r="NSG38" s="288"/>
      <c r="NSH38" s="288"/>
      <c r="NSI38" s="288"/>
      <c r="NSJ38" s="288"/>
      <c r="NSK38" s="288"/>
      <c r="NSL38" s="288"/>
      <c r="NSM38" s="288"/>
      <c r="NSN38" s="288"/>
      <c r="NSO38" s="288"/>
      <c r="NSP38" s="288"/>
      <c r="NSQ38" s="288"/>
      <c r="NSR38" s="288"/>
      <c r="NSS38" s="288"/>
      <c r="NST38" s="288"/>
      <c r="NSU38" s="288"/>
      <c r="NSV38" s="288"/>
      <c r="NSW38" s="288"/>
      <c r="NSX38" s="288"/>
      <c r="NSY38" s="288"/>
      <c r="NSZ38" s="288"/>
      <c r="NTA38" s="288"/>
      <c r="NTB38" s="288"/>
      <c r="NTC38" s="288"/>
      <c r="NTD38" s="288"/>
      <c r="NTE38" s="288"/>
      <c r="NTF38" s="288"/>
      <c r="NTG38" s="288"/>
      <c r="NTH38" s="288"/>
      <c r="NTI38" s="288"/>
      <c r="NTJ38" s="288"/>
      <c r="NTK38" s="288"/>
      <c r="NTL38" s="288"/>
      <c r="NTM38" s="288"/>
      <c r="NTN38" s="288"/>
      <c r="NTO38" s="288"/>
      <c r="NTP38" s="288"/>
      <c r="NTQ38" s="288"/>
      <c r="NTR38" s="288"/>
      <c r="NTS38" s="288"/>
      <c r="NTT38" s="288"/>
      <c r="NTU38" s="288"/>
      <c r="NTV38" s="288"/>
      <c r="NTW38" s="288"/>
      <c r="NTX38" s="288"/>
      <c r="NTY38" s="288"/>
      <c r="NTZ38" s="288"/>
      <c r="NUA38" s="288"/>
      <c r="NUB38" s="288"/>
      <c r="NUC38" s="288"/>
      <c r="NUD38" s="288"/>
      <c r="NUE38" s="288"/>
      <c r="NUF38" s="288"/>
      <c r="NUG38" s="288"/>
      <c r="NUH38" s="288"/>
      <c r="NUI38" s="288"/>
      <c r="NUJ38" s="288"/>
      <c r="NUK38" s="288"/>
      <c r="NUL38" s="288"/>
      <c r="NUM38" s="288"/>
      <c r="NUN38" s="288"/>
      <c r="NUO38" s="288"/>
      <c r="NUP38" s="288"/>
      <c r="NUQ38" s="288"/>
      <c r="NUR38" s="288"/>
      <c r="NUS38" s="288"/>
      <c r="NUT38" s="288"/>
      <c r="NUU38" s="288"/>
      <c r="NUV38" s="288"/>
      <c r="NUW38" s="288"/>
      <c r="NUX38" s="288"/>
      <c r="NUY38" s="288"/>
      <c r="NUZ38" s="288"/>
      <c r="NVA38" s="288"/>
      <c r="NVB38" s="288"/>
      <c r="NVC38" s="288"/>
      <c r="NVD38" s="288"/>
      <c r="NVE38" s="288"/>
      <c r="NVF38" s="288"/>
      <c r="NVG38" s="288"/>
      <c r="NVH38" s="288"/>
      <c r="NVI38" s="288"/>
      <c r="NVJ38" s="288"/>
      <c r="NVK38" s="288"/>
      <c r="NVL38" s="288"/>
      <c r="NVM38" s="288"/>
      <c r="NVN38" s="288"/>
      <c r="NVO38" s="288"/>
      <c r="NVP38" s="288"/>
      <c r="NVQ38" s="288"/>
      <c r="NVR38" s="288"/>
      <c r="NVS38" s="288"/>
      <c r="NVT38" s="288"/>
      <c r="NVU38" s="288"/>
      <c r="NVV38" s="288"/>
      <c r="NVW38" s="288"/>
      <c r="NVX38" s="288"/>
      <c r="NVY38" s="288"/>
      <c r="NVZ38" s="288"/>
      <c r="NWA38" s="288"/>
      <c r="NWB38" s="288"/>
      <c r="NWC38" s="288"/>
      <c r="NWD38" s="288"/>
      <c r="NWE38" s="288"/>
      <c r="NWF38" s="288"/>
      <c r="NWG38" s="288"/>
      <c r="NWH38" s="288"/>
      <c r="NWI38" s="288"/>
      <c r="NWJ38" s="288"/>
      <c r="NWK38" s="288"/>
      <c r="NWL38" s="288"/>
      <c r="NWM38" s="288"/>
      <c r="NWN38" s="288"/>
      <c r="NWO38" s="288"/>
      <c r="NWP38" s="288"/>
      <c r="NWQ38" s="288"/>
      <c r="NWR38" s="288"/>
      <c r="NWS38" s="288"/>
      <c r="NWT38" s="288"/>
      <c r="NWU38" s="288"/>
      <c r="NWV38" s="288"/>
      <c r="NWW38" s="288"/>
      <c r="NWX38" s="288"/>
      <c r="NWY38" s="288"/>
      <c r="NWZ38" s="288"/>
      <c r="NXA38" s="288"/>
      <c r="NXB38" s="288"/>
      <c r="NXC38" s="288"/>
      <c r="NXD38" s="288"/>
      <c r="NXE38" s="288"/>
      <c r="NXF38" s="288"/>
      <c r="NXG38" s="288"/>
      <c r="NXH38" s="288"/>
      <c r="NXI38" s="288"/>
      <c r="NXJ38" s="288"/>
      <c r="NXK38" s="288"/>
      <c r="NXL38" s="288"/>
      <c r="NXM38" s="288"/>
      <c r="NXN38" s="288"/>
      <c r="NXO38" s="288"/>
      <c r="NXP38" s="288"/>
      <c r="NXQ38" s="288"/>
      <c r="NXR38" s="288"/>
      <c r="NXS38" s="288"/>
      <c r="NXT38" s="288"/>
      <c r="NXU38" s="288"/>
      <c r="NXV38" s="288"/>
      <c r="NXW38" s="288"/>
      <c r="NXX38" s="288"/>
      <c r="NXY38" s="288"/>
      <c r="NXZ38" s="288"/>
      <c r="NYA38" s="288"/>
      <c r="NYB38" s="288"/>
      <c r="NYC38" s="288"/>
      <c r="NYD38" s="288"/>
      <c r="NYE38" s="288"/>
      <c r="NYF38" s="288"/>
      <c r="NYG38" s="288"/>
      <c r="NYH38" s="288"/>
      <c r="NYI38" s="288"/>
      <c r="NYJ38" s="288"/>
      <c r="NYK38" s="288"/>
      <c r="NYL38" s="288"/>
      <c r="NYM38" s="288"/>
      <c r="NYN38" s="288"/>
      <c r="NYO38" s="288"/>
      <c r="NYP38" s="288"/>
      <c r="NYQ38" s="288"/>
      <c r="NYR38" s="288"/>
      <c r="NYS38" s="288"/>
      <c r="NYT38" s="288"/>
      <c r="NYU38" s="288"/>
      <c r="NYV38" s="288"/>
      <c r="NYW38" s="288"/>
      <c r="NYX38" s="288"/>
      <c r="NYY38" s="288"/>
      <c r="NYZ38" s="288"/>
      <c r="NZA38" s="288"/>
      <c r="NZB38" s="288"/>
      <c r="NZC38" s="288"/>
      <c r="NZD38" s="288"/>
      <c r="NZE38" s="288"/>
      <c r="NZF38" s="288"/>
      <c r="NZG38" s="288"/>
      <c r="NZH38" s="288"/>
      <c r="NZI38" s="288"/>
      <c r="NZJ38" s="288"/>
      <c r="NZK38" s="288"/>
      <c r="NZL38" s="288"/>
      <c r="NZM38" s="288"/>
      <c r="NZN38" s="288"/>
      <c r="NZO38" s="288"/>
      <c r="NZP38" s="288"/>
      <c r="NZQ38" s="288"/>
      <c r="NZR38" s="288"/>
      <c r="NZS38" s="288"/>
      <c r="NZT38" s="288"/>
      <c r="NZU38" s="288"/>
      <c r="NZV38" s="288"/>
      <c r="NZW38" s="288"/>
      <c r="NZX38" s="288"/>
      <c r="NZY38" s="288"/>
      <c r="NZZ38" s="288"/>
      <c r="OAA38" s="288"/>
      <c r="OAB38" s="288"/>
      <c r="OAC38" s="288"/>
      <c r="OAD38" s="288"/>
      <c r="OAE38" s="288"/>
      <c r="OAF38" s="288"/>
      <c r="OAG38" s="288"/>
      <c r="OAH38" s="288"/>
      <c r="OAI38" s="288"/>
      <c r="OAJ38" s="288"/>
      <c r="OAK38" s="288"/>
      <c r="OAL38" s="288"/>
      <c r="OAM38" s="288"/>
      <c r="OAN38" s="288"/>
      <c r="OAO38" s="288"/>
      <c r="OAP38" s="288"/>
      <c r="OAQ38" s="288"/>
      <c r="OAR38" s="288"/>
      <c r="OAS38" s="288"/>
      <c r="OAT38" s="288"/>
      <c r="OAU38" s="288"/>
      <c r="OAV38" s="288"/>
      <c r="OAW38" s="288"/>
      <c r="OAX38" s="288"/>
      <c r="OAY38" s="288"/>
      <c r="OAZ38" s="288"/>
      <c r="OBA38" s="288"/>
      <c r="OBB38" s="288"/>
      <c r="OBC38" s="288"/>
      <c r="OBD38" s="288"/>
      <c r="OBE38" s="288"/>
      <c r="OBF38" s="288"/>
      <c r="OBG38" s="288"/>
      <c r="OBH38" s="288"/>
      <c r="OBI38" s="288"/>
      <c r="OBJ38" s="288"/>
      <c r="OBK38" s="288"/>
      <c r="OBL38" s="288"/>
      <c r="OBM38" s="288"/>
      <c r="OBN38" s="288"/>
      <c r="OBO38" s="288"/>
      <c r="OBP38" s="288"/>
      <c r="OBQ38" s="288"/>
      <c r="OBR38" s="288"/>
      <c r="OBS38" s="288"/>
      <c r="OBT38" s="288"/>
      <c r="OBU38" s="288"/>
      <c r="OBV38" s="288"/>
      <c r="OBW38" s="288"/>
      <c r="OBX38" s="288"/>
      <c r="OBY38" s="288"/>
      <c r="OBZ38" s="288"/>
      <c r="OCA38" s="288"/>
      <c r="OCB38" s="288"/>
      <c r="OCC38" s="288"/>
      <c r="OCD38" s="288"/>
      <c r="OCE38" s="288"/>
      <c r="OCF38" s="288"/>
      <c r="OCG38" s="288"/>
      <c r="OCH38" s="288"/>
      <c r="OCI38" s="288"/>
      <c r="OCJ38" s="288"/>
      <c r="OCK38" s="288"/>
      <c r="OCL38" s="288"/>
      <c r="OCM38" s="288"/>
      <c r="OCN38" s="288"/>
      <c r="OCO38" s="288"/>
      <c r="OCP38" s="288"/>
      <c r="OCQ38" s="288"/>
      <c r="OCR38" s="288"/>
      <c r="OCS38" s="288"/>
      <c r="OCT38" s="288"/>
      <c r="OCU38" s="288"/>
      <c r="OCV38" s="288"/>
      <c r="OCW38" s="288"/>
      <c r="OCX38" s="288"/>
      <c r="OCY38" s="288"/>
      <c r="OCZ38" s="288"/>
      <c r="ODA38" s="288"/>
      <c r="ODB38" s="288"/>
      <c r="ODC38" s="288"/>
      <c r="ODD38" s="288"/>
      <c r="ODE38" s="288"/>
      <c r="ODF38" s="288"/>
      <c r="ODG38" s="288"/>
      <c r="ODH38" s="288"/>
      <c r="ODI38" s="288"/>
      <c r="ODJ38" s="288"/>
      <c r="ODK38" s="288"/>
      <c r="ODL38" s="288"/>
      <c r="ODM38" s="288"/>
      <c r="ODN38" s="288"/>
      <c r="ODO38" s="288"/>
      <c r="ODP38" s="288"/>
      <c r="ODQ38" s="288"/>
      <c r="ODR38" s="288"/>
      <c r="ODS38" s="288"/>
      <c r="ODT38" s="288"/>
      <c r="ODU38" s="288"/>
      <c r="ODV38" s="288"/>
      <c r="ODW38" s="288"/>
      <c r="ODX38" s="288"/>
      <c r="ODY38" s="288"/>
      <c r="ODZ38" s="288"/>
      <c r="OEA38" s="288"/>
      <c r="OEB38" s="288"/>
      <c r="OEC38" s="288"/>
      <c r="OED38" s="288"/>
      <c r="OEE38" s="288"/>
      <c r="OEF38" s="288"/>
      <c r="OEG38" s="288"/>
      <c r="OEH38" s="288"/>
      <c r="OEI38" s="288"/>
      <c r="OEJ38" s="288"/>
      <c r="OEK38" s="288"/>
      <c r="OEL38" s="288"/>
      <c r="OEM38" s="288"/>
      <c r="OEN38" s="288"/>
      <c r="OEO38" s="288"/>
      <c r="OEP38" s="288"/>
      <c r="OEQ38" s="288"/>
      <c r="OER38" s="288"/>
      <c r="OES38" s="288"/>
      <c r="OET38" s="288"/>
      <c r="OEU38" s="288"/>
      <c r="OEV38" s="288"/>
      <c r="OEW38" s="288"/>
      <c r="OEX38" s="288"/>
      <c r="OEY38" s="288"/>
      <c r="OEZ38" s="288"/>
      <c r="OFA38" s="288"/>
      <c r="OFB38" s="288"/>
      <c r="OFC38" s="288"/>
      <c r="OFD38" s="288"/>
      <c r="OFE38" s="288"/>
      <c r="OFF38" s="288"/>
      <c r="OFG38" s="288"/>
      <c r="OFH38" s="288"/>
      <c r="OFI38" s="288"/>
      <c r="OFJ38" s="288"/>
      <c r="OFK38" s="288"/>
      <c r="OFL38" s="288"/>
      <c r="OFM38" s="288"/>
      <c r="OFN38" s="288"/>
      <c r="OFO38" s="288"/>
      <c r="OFP38" s="288"/>
      <c r="OFQ38" s="288"/>
      <c r="OFR38" s="288"/>
      <c r="OFS38" s="288"/>
      <c r="OFT38" s="288"/>
      <c r="OFU38" s="288"/>
      <c r="OFV38" s="288"/>
      <c r="OFW38" s="288"/>
      <c r="OFX38" s="288"/>
      <c r="OFY38" s="288"/>
      <c r="OFZ38" s="288"/>
      <c r="OGA38" s="288"/>
      <c r="OGB38" s="288"/>
      <c r="OGC38" s="288"/>
      <c r="OGD38" s="288"/>
      <c r="OGE38" s="288"/>
      <c r="OGF38" s="288"/>
      <c r="OGG38" s="288"/>
      <c r="OGH38" s="288"/>
      <c r="OGI38" s="288"/>
      <c r="OGJ38" s="288"/>
      <c r="OGK38" s="288"/>
      <c r="OGL38" s="288"/>
      <c r="OGM38" s="288"/>
      <c r="OGN38" s="288"/>
      <c r="OGO38" s="288"/>
      <c r="OGP38" s="288"/>
      <c r="OGQ38" s="288"/>
      <c r="OGR38" s="288"/>
      <c r="OGS38" s="288"/>
      <c r="OGT38" s="288"/>
      <c r="OGU38" s="288"/>
      <c r="OGV38" s="288"/>
      <c r="OGW38" s="288"/>
      <c r="OGX38" s="288"/>
      <c r="OGY38" s="288"/>
      <c r="OGZ38" s="288"/>
      <c r="OHA38" s="288"/>
      <c r="OHB38" s="288"/>
      <c r="OHC38" s="288"/>
      <c r="OHD38" s="288"/>
      <c r="OHE38" s="288"/>
      <c r="OHF38" s="288"/>
      <c r="OHG38" s="288"/>
      <c r="OHH38" s="288"/>
      <c r="OHI38" s="288"/>
      <c r="OHJ38" s="288"/>
      <c r="OHK38" s="288"/>
      <c r="OHL38" s="288"/>
      <c r="OHM38" s="288"/>
      <c r="OHN38" s="288"/>
      <c r="OHO38" s="288"/>
      <c r="OHP38" s="288"/>
      <c r="OHQ38" s="288"/>
      <c r="OHR38" s="288"/>
      <c r="OHS38" s="288"/>
      <c r="OHT38" s="288"/>
      <c r="OHU38" s="288"/>
      <c r="OHV38" s="288"/>
      <c r="OHW38" s="288"/>
      <c r="OHX38" s="288"/>
      <c r="OHY38" s="288"/>
      <c r="OHZ38" s="288"/>
      <c r="OIA38" s="288"/>
      <c r="OIB38" s="288"/>
      <c r="OIC38" s="288"/>
      <c r="OID38" s="288"/>
      <c r="OIE38" s="288"/>
      <c r="OIF38" s="288"/>
      <c r="OIG38" s="288"/>
      <c r="OIH38" s="288"/>
      <c r="OII38" s="288"/>
      <c r="OIJ38" s="288"/>
      <c r="OIK38" s="288"/>
      <c r="OIL38" s="288"/>
      <c r="OIM38" s="288"/>
      <c r="OIN38" s="288"/>
      <c r="OIO38" s="288"/>
      <c r="OIP38" s="288"/>
      <c r="OIQ38" s="288"/>
      <c r="OIR38" s="288"/>
      <c r="OIS38" s="288"/>
      <c r="OIT38" s="288"/>
      <c r="OIU38" s="288"/>
      <c r="OIV38" s="288"/>
      <c r="OIW38" s="288"/>
      <c r="OIX38" s="288"/>
      <c r="OIY38" s="288"/>
      <c r="OIZ38" s="288"/>
      <c r="OJA38" s="288"/>
      <c r="OJB38" s="288"/>
      <c r="OJC38" s="288"/>
      <c r="OJD38" s="288"/>
      <c r="OJE38" s="288"/>
      <c r="OJF38" s="288"/>
      <c r="OJG38" s="288"/>
      <c r="OJH38" s="288"/>
      <c r="OJI38" s="288"/>
      <c r="OJJ38" s="288"/>
      <c r="OJK38" s="288"/>
      <c r="OJL38" s="288"/>
      <c r="OJM38" s="288"/>
      <c r="OJN38" s="288"/>
      <c r="OJO38" s="288"/>
      <c r="OJP38" s="288"/>
      <c r="OJQ38" s="288"/>
      <c r="OJR38" s="288"/>
      <c r="OJS38" s="288"/>
      <c r="OJT38" s="288"/>
      <c r="OJU38" s="288"/>
      <c r="OJV38" s="288"/>
      <c r="OJW38" s="288"/>
      <c r="OJX38" s="288"/>
      <c r="OJY38" s="288"/>
      <c r="OJZ38" s="288"/>
      <c r="OKA38" s="288"/>
      <c r="OKB38" s="288"/>
      <c r="OKC38" s="288"/>
      <c r="OKD38" s="288"/>
      <c r="OKE38" s="288"/>
      <c r="OKF38" s="288"/>
      <c r="OKG38" s="288"/>
      <c r="OKH38" s="288"/>
      <c r="OKI38" s="288"/>
      <c r="OKJ38" s="288"/>
      <c r="OKK38" s="288"/>
      <c r="OKL38" s="288"/>
      <c r="OKM38" s="288"/>
      <c r="OKN38" s="288"/>
      <c r="OKO38" s="288"/>
      <c r="OKP38" s="288"/>
      <c r="OKQ38" s="288"/>
      <c r="OKR38" s="288"/>
      <c r="OKS38" s="288"/>
      <c r="OKT38" s="288"/>
      <c r="OKU38" s="288"/>
      <c r="OKV38" s="288"/>
      <c r="OKW38" s="288"/>
      <c r="OKX38" s="288"/>
      <c r="OKY38" s="288"/>
      <c r="OKZ38" s="288"/>
      <c r="OLA38" s="288"/>
      <c r="OLB38" s="288"/>
      <c r="OLC38" s="288"/>
      <c r="OLD38" s="288"/>
      <c r="OLE38" s="288"/>
      <c r="OLF38" s="288"/>
      <c r="OLG38" s="288"/>
      <c r="OLH38" s="288"/>
      <c r="OLI38" s="288"/>
      <c r="OLJ38" s="288"/>
      <c r="OLK38" s="288"/>
      <c r="OLL38" s="288"/>
      <c r="OLM38" s="288"/>
      <c r="OLN38" s="288"/>
      <c r="OLO38" s="288"/>
      <c r="OLP38" s="288"/>
      <c r="OLQ38" s="288"/>
      <c r="OLR38" s="288"/>
      <c r="OLS38" s="288"/>
      <c r="OLT38" s="288"/>
      <c r="OLU38" s="288"/>
      <c r="OLV38" s="288"/>
      <c r="OLW38" s="288"/>
      <c r="OLX38" s="288"/>
      <c r="OLY38" s="288"/>
      <c r="OLZ38" s="288"/>
      <c r="OMA38" s="288"/>
      <c r="OMB38" s="288"/>
      <c r="OMC38" s="288"/>
      <c r="OMD38" s="288"/>
      <c r="OME38" s="288"/>
      <c r="OMF38" s="288"/>
      <c r="OMG38" s="288"/>
      <c r="OMH38" s="288"/>
      <c r="OMI38" s="288"/>
      <c r="OMJ38" s="288"/>
      <c r="OMK38" s="288"/>
      <c r="OML38" s="288"/>
      <c r="OMM38" s="288"/>
      <c r="OMN38" s="288"/>
      <c r="OMO38" s="288"/>
      <c r="OMP38" s="288"/>
      <c r="OMQ38" s="288"/>
      <c r="OMR38" s="288"/>
      <c r="OMS38" s="288"/>
      <c r="OMT38" s="288"/>
      <c r="OMU38" s="288"/>
      <c r="OMV38" s="288"/>
      <c r="OMW38" s="288"/>
      <c r="OMX38" s="288"/>
      <c r="OMY38" s="288"/>
      <c r="OMZ38" s="288"/>
      <c r="ONA38" s="288"/>
      <c r="ONB38" s="288"/>
      <c r="ONC38" s="288"/>
      <c r="OND38" s="288"/>
      <c r="ONE38" s="288"/>
      <c r="ONF38" s="288"/>
      <c r="ONG38" s="288"/>
      <c r="ONH38" s="288"/>
      <c r="ONI38" s="288"/>
      <c r="ONJ38" s="288"/>
      <c r="ONK38" s="288"/>
      <c r="ONL38" s="288"/>
      <c r="ONM38" s="288"/>
      <c r="ONN38" s="288"/>
      <c r="ONO38" s="288"/>
      <c r="ONP38" s="288"/>
      <c r="ONQ38" s="288"/>
      <c r="ONR38" s="288"/>
      <c r="ONS38" s="288"/>
      <c r="ONT38" s="288"/>
      <c r="ONU38" s="288"/>
      <c r="ONV38" s="288"/>
      <c r="ONW38" s="288"/>
      <c r="ONX38" s="288"/>
      <c r="ONY38" s="288"/>
      <c r="ONZ38" s="288"/>
      <c r="OOA38" s="288"/>
      <c r="OOB38" s="288"/>
      <c r="OOC38" s="288"/>
      <c r="OOD38" s="288"/>
      <c r="OOE38" s="288"/>
      <c r="OOF38" s="288"/>
      <c r="OOG38" s="288"/>
      <c r="OOH38" s="288"/>
      <c r="OOI38" s="288"/>
      <c r="OOJ38" s="288"/>
      <c r="OOK38" s="288"/>
      <c r="OOL38" s="288"/>
      <c r="OOM38" s="288"/>
      <c r="OON38" s="288"/>
      <c r="OOO38" s="288"/>
      <c r="OOP38" s="288"/>
      <c r="OOQ38" s="288"/>
      <c r="OOR38" s="288"/>
      <c r="OOS38" s="288"/>
      <c r="OOT38" s="288"/>
      <c r="OOU38" s="288"/>
      <c r="OOV38" s="288"/>
      <c r="OOW38" s="288"/>
      <c r="OOX38" s="288"/>
      <c r="OOY38" s="288"/>
      <c r="OOZ38" s="288"/>
      <c r="OPA38" s="288"/>
      <c r="OPB38" s="288"/>
      <c r="OPC38" s="288"/>
      <c r="OPD38" s="288"/>
      <c r="OPE38" s="288"/>
      <c r="OPF38" s="288"/>
      <c r="OPG38" s="288"/>
      <c r="OPH38" s="288"/>
      <c r="OPI38" s="288"/>
      <c r="OPJ38" s="288"/>
      <c r="OPK38" s="288"/>
      <c r="OPL38" s="288"/>
      <c r="OPM38" s="288"/>
      <c r="OPN38" s="288"/>
      <c r="OPO38" s="288"/>
      <c r="OPP38" s="288"/>
      <c r="OPQ38" s="288"/>
      <c r="OPR38" s="288"/>
      <c r="OPS38" s="288"/>
      <c r="OPT38" s="288"/>
      <c r="OPU38" s="288"/>
      <c r="OPV38" s="288"/>
      <c r="OPW38" s="288"/>
      <c r="OPX38" s="288"/>
      <c r="OPY38" s="288"/>
      <c r="OPZ38" s="288"/>
      <c r="OQA38" s="288"/>
      <c r="OQB38" s="288"/>
      <c r="OQC38" s="288"/>
      <c r="OQD38" s="288"/>
      <c r="OQE38" s="288"/>
      <c r="OQF38" s="288"/>
      <c r="OQG38" s="288"/>
      <c r="OQH38" s="288"/>
      <c r="OQI38" s="288"/>
      <c r="OQJ38" s="288"/>
      <c r="OQK38" s="288"/>
      <c r="OQL38" s="288"/>
      <c r="OQM38" s="288"/>
      <c r="OQN38" s="288"/>
      <c r="OQO38" s="288"/>
      <c r="OQP38" s="288"/>
      <c r="OQQ38" s="288"/>
      <c r="OQR38" s="288"/>
      <c r="OQS38" s="288"/>
      <c r="OQT38" s="288"/>
      <c r="OQU38" s="288"/>
      <c r="OQV38" s="288"/>
      <c r="OQW38" s="288"/>
      <c r="OQX38" s="288"/>
      <c r="OQY38" s="288"/>
      <c r="OQZ38" s="288"/>
      <c r="ORA38" s="288"/>
      <c r="ORB38" s="288"/>
      <c r="ORC38" s="288"/>
      <c r="ORD38" s="288"/>
      <c r="ORE38" s="288"/>
      <c r="ORF38" s="288"/>
      <c r="ORG38" s="288"/>
      <c r="ORH38" s="288"/>
      <c r="ORI38" s="288"/>
      <c r="ORJ38" s="288"/>
      <c r="ORK38" s="288"/>
      <c r="ORL38" s="288"/>
      <c r="ORM38" s="288"/>
      <c r="ORN38" s="288"/>
      <c r="ORO38" s="288"/>
      <c r="ORP38" s="288"/>
      <c r="ORQ38" s="288"/>
      <c r="ORR38" s="288"/>
      <c r="ORS38" s="288"/>
      <c r="ORT38" s="288"/>
      <c r="ORU38" s="288"/>
      <c r="ORV38" s="288"/>
      <c r="ORW38" s="288"/>
      <c r="ORX38" s="288"/>
      <c r="ORY38" s="288"/>
      <c r="ORZ38" s="288"/>
      <c r="OSA38" s="288"/>
      <c r="OSB38" s="288"/>
      <c r="OSC38" s="288"/>
      <c r="OSD38" s="288"/>
      <c r="OSE38" s="288"/>
      <c r="OSF38" s="288"/>
      <c r="OSG38" s="288"/>
      <c r="OSH38" s="288"/>
      <c r="OSI38" s="288"/>
      <c r="OSJ38" s="288"/>
      <c r="OSK38" s="288"/>
      <c r="OSL38" s="288"/>
      <c r="OSM38" s="288"/>
      <c r="OSN38" s="288"/>
      <c r="OSO38" s="288"/>
      <c r="OSP38" s="288"/>
      <c r="OSQ38" s="288"/>
      <c r="OSR38" s="288"/>
      <c r="OSS38" s="288"/>
      <c r="OST38" s="288"/>
      <c r="OSU38" s="288"/>
      <c r="OSV38" s="288"/>
      <c r="OSW38" s="288"/>
      <c r="OSX38" s="288"/>
      <c r="OSY38" s="288"/>
      <c r="OSZ38" s="288"/>
      <c r="OTA38" s="288"/>
      <c r="OTB38" s="288"/>
      <c r="OTC38" s="288"/>
      <c r="OTD38" s="288"/>
      <c r="OTE38" s="288"/>
      <c r="OTF38" s="288"/>
      <c r="OTG38" s="288"/>
      <c r="OTH38" s="288"/>
      <c r="OTI38" s="288"/>
      <c r="OTJ38" s="288"/>
      <c r="OTK38" s="288"/>
      <c r="OTL38" s="288"/>
      <c r="OTM38" s="288"/>
      <c r="OTN38" s="288"/>
      <c r="OTO38" s="288"/>
      <c r="OTP38" s="288"/>
      <c r="OTQ38" s="288"/>
      <c r="OTR38" s="288"/>
      <c r="OTS38" s="288"/>
      <c r="OTT38" s="288"/>
      <c r="OTU38" s="288"/>
      <c r="OTV38" s="288"/>
      <c r="OTW38" s="288"/>
      <c r="OTX38" s="288"/>
      <c r="OTY38" s="288"/>
      <c r="OTZ38" s="288"/>
      <c r="OUA38" s="288"/>
      <c r="OUB38" s="288"/>
      <c r="OUC38" s="288"/>
      <c r="OUD38" s="288"/>
      <c r="OUE38" s="288"/>
      <c r="OUF38" s="288"/>
      <c r="OUG38" s="288"/>
      <c r="OUH38" s="288"/>
      <c r="OUI38" s="288"/>
      <c r="OUJ38" s="288"/>
      <c r="OUK38" s="288"/>
      <c r="OUL38" s="288"/>
      <c r="OUM38" s="288"/>
      <c r="OUN38" s="288"/>
      <c r="OUO38" s="288"/>
      <c r="OUP38" s="288"/>
      <c r="OUQ38" s="288"/>
      <c r="OUR38" s="288"/>
      <c r="OUS38" s="288"/>
      <c r="OUT38" s="288"/>
      <c r="OUU38" s="288"/>
      <c r="OUV38" s="288"/>
      <c r="OUW38" s="288"/>
      <c r="OUX38" s="288"/>
      <c r="OUY38" s="288"/>
      <c r="OUZ38" s="288"/>
      <c r="OVA38" s="288"/>
      <c r="OVB38" s="288"/>
      <c r="OVC38" s="288"/>
      <c r="OVD38" s="288"/>
      <c r="OVE38" s="288"/>
      <c r="OVF38" s="288"/>
      <c r="OVG38" s="288"/>
      <c r="OVH38" s="288"/>
      <c r="OVI38" s="288"/>
      <c r="OVJ38" s="288"/>
      <c r="OVK38" s="288"/>
      <c r="OVL38" s="288"/>
      <c r="OVM38" s="288"/>
      <c r="OVN38" s="288"/>
      <c r="OVO38" s="288"/>
      <c r="OVP38" s="288"/>
      <c r="OVQ38" s="288"/>
      <c r="OVR38" s="288"/>
      <c r="OVS38" s="288"/>
      <c r="OVT38" s="288"/>
      <c r="OVU38" s="288"/>
      <c r="OVV38" s="288"/>
      <c r="OVW38" s="288"/>
      <c r="OVX38" s="288"/>
      <c r="OVY38" s="288"/>
      <c r="OVZ38" s="288"/>
      <c r="OWA38" s="288"/>
      <c r="OWB38" s="288"/>
      <c r="OWC38" s="288"/>
      <c r="OWD38" s="288"/>
      <c r="OWE38" s="288"/>
      <c r="OWF38" s="288"/>
      <c r="OWG38" s="288"/>
      <c r="OWH38" s="288"/>
      <c r="OWI38" s="288"/>
      <c r="OWJ38" s="288"/>
      <c r="OWK38" s="288"/>
      <c r="OWL38" s="288"/>
      <c r="OWM38" s="288"/>
      <c r="OWN38" s="288"/>
      <c r="OWO38" s="288"/>
      <c r="OWP38" s="288"/>
      <c r="OWQ38" s="288"/>
      <c r="OWR38" s="288"/>
      <c r="OWS38" s="288"/>
      <c r="OWT38" s="288"/>
      <c r="OWU38" s="288"/>
      <c r="OWV38" s="288"/>
      <c r="OWW38" s="288"/>
      <c r="OWX38" s="288"/>
      <c r="OWY38" s="288"/>
      <c r="OWZ38" s="288"/>
      <c r="OXA38" s="288"/>
      <c r="OXB38" s="288"/>
      <c r="OXC38" s="288"/>
      <c r="OXD38" s="288"/>
      <c r="OXE38" s="288"/>
      <c r="OXF38" s="288"/>
      <c r="OXG38" s="288"/>
      <c r="OXH38" s="288"/>
      <c r="OXI38" s="288"/>
      <c r="OXJ38" s="288"/>
      <c r="OXK38" s="288"/>
      <c r="OXL38" s="288"/>
      <c r="OXM38" s="288"/>
      <c r="OXN38" s="288"/>
      <c r="OXO38" s="288"/>
      <c r="OXP38" s="288"/>
      <c r="OXQ38" s="288"/>
      <c r="OXR38" s="288"/>
      <c r="OXS38" s="288"/>
      <c r="OXT38" s="288"/>
      <c r="OXU38" s="288"/>
      <c r="OXV38" s="288"/>
      <c r="OXW38" s="288"/>
      <c r="OXX38" s="288"/>
      <c r="OXY38" s="288"/>
      <c r="OXZ38" s="288"/>
      <c r="OYA38" s="288"/>
      <c r="OYB38" s="288"/>
      <c r="OYC38" s="288"/>
      <c r="OYD38" s="288"/>
      <c r="OYE38" s="288"/>
      <c r="OYF38" s="288"/>
      <c r="OYG38" s="288"/>
      <c r="OYH38" s="288"/>
      <c r="OYI38" s="288"/>
      <c r="OYJ38" s="288"/>
      <c r="OYK38" s="288"/>
      <c r="OYL38" s="288"/>
      <c r="OYM38" s="288"/>
      <c r="OYN38" s="288"/>
      <c r="OYO38" s="288"/>
      <c r="OYP38" s="288"/>
      <c r="OYQ38" s="288"/>
      <c r="OYR38" s="288"/>
      <c r="OYS38" s="288"/>
      <c r="OYT38" s="288"/>
      <c r="OYU38" s="288"/>
      <c r="OYV38" s="288"/>
      <c r="OYW38" s="288"/>
      <c r="OYX38" s="288"/>
      <c r="OYY38" s="288"/>
      <c r="OYZ38" s="288"/>
      <c r="OZA38" s="288"/>
      <c r="OZB38" s="288"/>
      <c r="OZC38" s="288"/>
      <c r="OZD38" s="288"/>
      <c r="OZE38" s="288"/>
      <c r="OZF38" s="288"/>
      <c r="OZG38" s="288"/>
      <c r="OZH38" s="288"/>
      <c r="OZI38" s="288"/>
      <c r="OZJ38" s="288"/>
      <c r="OZK38" s="288"/>
      <c r="OZL38" s="288"/>
      <c r="OZM38" s="288"/>
      <c r="OZN38" s="288"/>
      <c r="OZO38" s="288"/>
      <c r="OZP38" s="288"/>
      <c r="OZQ38" s="288"/>
      <c r="OZR38" s="288"/>
      <c r="OZS38" s="288"/>
      <c r="OZT38" s="288"/>
      <c r="OZU38" s="288"/>
      <c r="OZV38" s="288"/>
      <c r="OZW38" s="288"/>
      <c r="OZX38" s="288"/>
      <c r="OZY38" s="288"/>
      <c r="OZZ38" s="288"/>
      <c r="PAA38" s="288"/>
      <c r="PAB38" s="288"/>
      <c r="PAC38" s="288"/>
      <c r="PAD38" s="288"/>
      <c r="PAE38" s="288"/>
      <c r="PAF38" s="288"/>
      <c r="PAG38" s="288"/>
      <c r="PAH38" s="288"/>
      <c r="PAI38" s="288"/>
      <c r="PAJ38" s="288"/>
      <c r="PAK38" s="288"/>
      <c r="PAL38" s="288"/>
      <c r="PAM38" s="288"/>
      <c r="PAN38" s="288"/>
      <c r="PAO38" s="288"/>
      <c r="PAP38" s="288"/>
      <c r="PAQ38" s="288"/>
      <c r="PAR38" s="288"/>
      <c r="PAS38" s="288"/>
      <c r="PAT38" s="288"/>
      <c r="PAU38" s="288"/>
      <c r="PAV38" s="288"/>
      <c r="PAW38" s="288"/>
      <c r="PAX38" s="288"/>
      <c r="PAY38" s="288"/>
      <c r="PAZ38" s="288"/>
      <c r="PBA38" s="288"/>
      <c r="PBB38" s="288"/>
      <c r="PBC38" s="288"/>
      <c r="PBD38" s="288"/>
      <c r="PBE38" s="288"/>
      <c r="PBF38" s="288"/>
      <c r="PBG38" s="288"/>
      <c r="PBH38" s="288"/>
      <c r="PBI38" s="288"/>
      <c r="PBJ38" s="288"/>
      <c r="PBK38" s="288"/>
      <c r="PBL38" s="288"/>
      <c r="PBM38" s="288"/>
      <c r="PBN38" s="288"/>
      <c r="PBO38" s="288"/>
      <c r="PBP38" s="288"/>
      <c r="PBQ38" s="288"/>
      <c r="PBR38" s="288"/>
      <c r="PBS38" s="288"/>
      <c r="PBT38" s="288"/>
      <c r="PBU38" s="288"/>
      <c r="PBV38" s="288"/>
      <c r="PBW38" s="288"/>
      <c r="PBX38" s="288"/>
      <c r="PBY38" s="288"/>
      <c r="PBZ38" s="288"/>
      <c r="PCA38" s="288"/>
      <c r="PCB38" s="288"/>
      <c r="PCC38" s="288"/>
      <c r="PCD38" s="288"/>
      <c r="PCE38" s="288"/>
      <c r="PCF38" s="288"/>
      <c r="PCG38" s="288"/>
      <c r="PCH38" s="288"/>
      <c r="PCI38" s="288"/>
      <c r="PCJ38" s="288"/>
      <c r="PCK38" s="288"/>
      <c r="PCL38" s="288"/>
      <c r="PCM38" s="288"/>
      <c r="PCN38" s="288"/>
      <c r="PCO38" s="288"/>
      <c r="PCP38" s="288"/>
      <c r="PCQ38" s="288"/>
      <c r="PCR38" s="288"/>
      <c r="PCS38" s="288"/>
      <c r="PCT38" s="288"/>
      <c r="PCU38" s="288"/>
      <c r="PCV38" s="288"/>
      <c r="PCW38" s="288"/>
      <c r="PCX38" s="288"/>
      <c r="PCY38" s="288"/>
      <c r="PCZ38" s="288"/>
      <c r="PDA38" s="288"/>
      <c r="PDB38" s="288"/>
      <c r="PDC38" s="288"/>
      <c r="PDD38" s="288"/>
      <c r="PDE38" s="288"/>
      <c r="PDF38" s="288"/>
      <c r="PDG38" s="288"/>
      <c r="PDH38" s="288"/>
      <c r="PDI38" s="288"/>
      <c r="PDJ38" s="288"/>
      <c r="PDK38" s="288"/>
      <c r="PDL38" s="288"/>
      <c r="PDM38" s="288"/>
      <c r="PDN38" s="288"/>
      <c r="PDO38" s="288"/>
      <c r="PDP38" s="288"/>
      <c r="PDQ38" s="288"/>
      <c r="PDR38" s="288"/>
      <c r="PDS38" s="288"/>
      <c r="PDT38" s="288"/>
      <c r="PDU38" s="288"/>
      <c r="PDV38" s="288"/>
      <c r="PDW38" s="288"/>
      <c r="PDX38" s="288"/>
      <c r="PDY38" s="288"/>
      <c r="PDZ38" s="288"/>
      <c r="PEA38" s="288"/>
      <c r="PEB38" s="288"/>
      <c r="PEC38" s="288"/>
      <c r="PED38" s="288"/>
      <c r="PEE38" s="288"/>
      <c r="PEF38" s="288"/>
      <c r="PEG38" s="288"/>
      <c r="PEH38" s="288"/>
      <c r="PEI38" s="288"/>
      <c r="PEJ38" s="288"/>
      <c r="PEK38" s="288"/>
      <c r="PEL38" s="288"/>
      <c r="PEM38" s="288"/>
      <c r="PEN38" s="288"/>
      <c r="PEO38" s="288"/>
      <c r="PEP38" s="288"/>
      <c r="PEQ38" s="288"/>
      <c r="PER38" s="288"/>
      <c r="PES38" s="288"/>
      <c r="PET38" s="288"/>
      <c r="PEU38" s="288"/>
      <c r="PEV38" s="288"/>
      <c r="PEW38" s="288"/>
      <c r="PEX38" s="288"/>
      <c r="PEY38" s="288"/>
      <c r="PEZ38" s="288"/>
      <c r="PFA38" s="288"/>
      <c r="PFB38" s="288"/>
      <c r="PFC38" s="288"/>
      <c r="PFD38" s="288"/>
      <c r="PFE38" s="288"/>
      <c r="PFF38" s="288"/>
      <c r="PFG38" s="288"/>
      <c r="PFH38" s="288"/>
      <c r="PFI38" s="288"/>
      <c r="PFJ38" s="288"/>
      <c r="PFK38" s="288"/>
      <c r="PFL38" s="288"/>
      <c r="PFM38" s="288"/>
      <c r="PFN38" s="288"/>
      <c r="PFO38" s="288"/>
      <c r="PFP38" s="288"/>
      <c r="PFQ38" s="288"/>
      <c r="PFR38" s="288"/>
      <c r="PFS38" s="288"/>
      <c r="PFT38" s="288"/>
      <c r="PFU38" s="288"/>
      <c r="PFV38" s="288"/>
      <c r="PFW38" s="288"/>
      <c r="PFX38" s="288"/>
      <c r="PFY38" s="288"/>
      <c r="PFZ38" s="288"/>
      <c r="PGA38" s="288"/>
      <c r="PGB38" s="288"/>
      <c r="PGC38" s="288"/>
      <c r="PGD38" s="288"/>
      <c r="PGE38" s="288"/>
      <c r="PGF38" s="288"/>
      <c r="PGG38" s="288"/>
      <c r="PGH38" s="288"/>
      <c r="PGI38" s="288"/>
      <c r="PGJ38" s="288"/>
      <c r="PGK38" s="288"/>
      <c r="PGL38" s="288"/>
      <c r="PGM38" s="288"/>
      <c r="PGN38" s="288"/>
      <c r="PGO38" s="288"/>
      <c r="PGP38" s="288"/>
      <c r="PGQ38" s="288"/>
      <c r="PGR38" s="288"/>
      <c r="PGS38" s="288"/>
      <c r="PGT38" s="288"/>
      <c r="PGU38" s="288"/>
      <c r="PGV38" s="288"/>
      <c r="PGW38" s="288"/>
      <c r="PGX38" s="288"/>
      <c r="PGY38" s="288"/>
      <c r="PGZ38" s="288"/>
      <c r="PHA38" s="288"/>
      <c r="PHB38" s="288"/>
      <c r="PHC38" s="288"/>
      <c r="PHD38" s="288"/>
      <c r="PHE38" s="288"/>
      <c r="PHF38" s="288"/>
      <c r="PHG38" s="288"/>
      <c r="PHH38" s="288"/>
      <c r="PHI38" s="288"/>
      <c r="PHJ38" s="288"/>
      <c r="PHK38" s="288"/>
      <c r="PHL38" s="288"/>
      <c r="PHM38" s="288"/>
      <c r="PHN38" s="288"/>
      <c r="PHO38" s="288"/>
      <c r="PHP38" s="288"/>
      <c r="PHQ38" s="288"/>
      <c r="PHR38" s="288"/>
      <c r="PHS38" s="288"/>
      <c r="PHT38" s="288"/>
      <c r="PHU38" s="288"/>
      <c r="PHV38" s="288"/>
      <c r="PHW38" s="288"/>
      <c r="PHX38" s="288"/>
      <c r="PHY38" s="288"/>
      <c r="PHZ38" s="288"/>
      <c r="PIA38" s="288"/>
      <c r="PIB38" s="288"/>
      <c r="PIC38" s="288"/>
      <c r="PID38" s="288"/>
      <c r="PIE38" s="288"/>
      <c r="PIF38" s="288"/>
      <c r="PIG38" s="288"/>
      <c r="PIH38" s="288"/>
      <c r="PII38" s="288"/>
      <c r="PIJ38" s="288"/>
      <c r="PIK38" s="288"/>
      <c r="PIL38" s="288"/>
      <c r="PIM38" s="288"/>
      <c r="PIN38" s="288"/>
      <c r="PIO38" s="288"/>
      <c r="PIP38" s="288"/>
      <c r="PIQ38" s="288"/>
      <c r="PIR38" s="288"/>
      <c r="PIS38" s="288"/>
      <c r="PIT38" s="288"/>
      <c r="PIU38" s="288"/>
      <c r="PIV38" s="288"/>
      <c r="PIW38" s="288"/>
      <c r="PIX38" s="288"/>
      <c r="PIY38" s="288"/>
      <c r="PIZ38" s="288"/>
      <c r="PJA38" s="288"/>
      <c r="PJB38" s="288"/>
      <c r="PJC38" s="288"/>
      <c r="PJD38" s="288"/>
      <c r="PJE38" s="288"/>
      <c r="PJF38" s="288"/>
      <c r="PJG38" s="288"/>
      <c r="PJH38" s="288"/>
      <c r="PJI38" s="288"/>
      <c r="PJJ38" s="288"/>
      <c r="PJK38" s="288"/>
      <c r="PJL38" s="288"/>
      <c r="PJM38" s="288"/>
      <c r="PJN38" s="288"/>
      <c r="PJO38" s="288"/>
      <c r="PJP38" s="288"/>
      <c r="PJQ38" s="288"/>
      <c r="PJR38" s="288"/>
      <c r="PJS38" s="288"/>
      <c r="PJT38" s="288"/>
      <c r="PJU38" s="288"/>
      <c r="PJV38" s="288"/>
      <c r="PJW38" s="288"/>
      <c r="PJX38" s="288"/>
      <c r="PJY38" s="288"/>
      <c r="PJZ38" s="288"/>
      <c r="PKA38" s="288"/>
      <c r="PKB38" s="288"/>
      <c r="PKC38" s="288"/>
      <c r="PKD38" s="288"/>
      <c r="PKE38" s="288"/>
      <c r="PKF38" s="288"/>
      <c r="PKG38" s="288"/>
      <c r="PKH38" s="288"/>
      <c r="PKI38" s="288"/>
      <c r="PKJ38" s="288"/>
      <c r="PKK38" s="288"/>
      <c r="PKL38" s="288"/>
      <c r="PKM38" s="288"/>
      <c r="PKN38" s="288"/>
      <c r="PKO38" s="288"/>
      <c r="PKP38" s="288"/>
      <c r="PKQ38" s="288"/>
      <c r="PKR38" s="288"/>
      <c r="PKS38" s="288"/>
      <c r="PKT38" s="288"/>
      <c r="PKU38" s="288"/>
      <c r="PKV38" s="288"/>
      <c r="PKW38" s="288"/>
      <c r="PKX38" s="288"/>
      <c r="PKY38" s="288"/>
      <c r="PKZ38" s="288"/>
      <c r="PLA38" s="288"/>
      <c r="PLB38" s="288"/>
      <c r="PLC38" s="288"/>
      <c r="PLD38" s="288"/>
      <c r="PLE38" s="288"/>
      <c r="PLF38" s="288"/>
      <c r="PLG38" s="288"/>
      <c r="PLH38" s="288"/>
      <c r="PLI38" s="288"/>
      <c r="PLJ38" s="288"/>
      <c r="PLK38" s="288"/>
      <c r="PLL38" s="288"/>
      <c r="PLM38" s="288"/>
      <c r="PLN38" s="288"/>
      <c r="PLO38" s="288"/>
      <c r="PLP38" s="288"/>
      <c r="PLQ38" s="288"/>
      <c r="PLR38" s="288"/>
      <c r="PLS38" s="288"/>
      <c r="PLT38" s="288"/>
      <c r="PLU38" s="288"/>
      <c r="PLV38" s="288"/>
      <c r="PLW38" s="288"/>
      <c r="PLX38" s="288"/>
      <c r="PLY38" s="288"/>
      <c r="PLZ38" s="288"/>
      <c r="PMA38" s="288"/>
      <c r="PMB38" s="288"/>
      <c r="PMC38" s="288"/>
      <c r="PMD38" s="288"/>
      <c r="PME38" s="288"/>
      <c r="PMF38" s="288"/>
      <c r="PMG38" s="288"/>
      <c r="PMH38" s="288"/>
      <c r="PMI38" s="288"/>
      <c r="PMJ38" s="288"/>
      <c r="PMK38" s="288"/>
      <c r="PML38" s="288"/>
      <c r="PMM38" s="288"/>
      <c r="PMN38" s="288"/>
      <c r="PMO38" s="288"/>
      <c r="PMP38" s="288"/>
      <c r="PMQ38" s="288"/>
      <c r="PMR38" s="288"/>
      <c r="PMS38" s="288"/>
      <c r="PMT38" s="288"/>
      <c r="PMU38" s="288"/>
      <c r="PMV38" s="288"/>
      <c r="PMW38" s="288"/>
      <c r="PMX38" s="288"/>
      <c r="PMY38" s="288"/>
      <c r="PMZ38" s="288"/>
      <c r="PNA38" s="288"/>
      <c r="PNB38" s="288"/>
      <c r="PNC38" s="288"/>
      <c r="PND38" s="288"/>
      <c r="PNE38" s="288"/>
      <c r="PNF38" s="288"/>
      <c r="PNG38" s="288"/>
      <c r="PNH38" s="288"/>
      <c r="PNI38" s="288"/>
      <c r="PNJ38" s="288"/>
      <c r="PNK38" s="288"/>
      <c r="PNL38" s="288"/>
      <c r="PNM38" s="288"/>
      <c r="PNN38" s="288"/>
      <c r="PNO38" s="288"/>
      <c r="PNP38" s="288"/>
      <c r="PNQ38" s="288"/>
      <c r="PNR38" s="288"/>
      <c r="PNS38" s="288"/>
      <c r="PNT38" s="288"/>
      <c r="PNU38" s="288"/>
      <c r="PNV38" s="288"/>
      <c r="PNW38" s="288"/>
      <c r="PNX38" s="288"/>
      <c r="PNY38" s="288"/>
      <c r="PNZ38" s="288"/>
      <c r="POA38" s="288"/>
      <c r="POB38" s="288"/>
      <c r="POC38" s="288"/>
      <c r="POD38" s="288"/>
      <c r="POE38" s="288"/>
      <c r="POF38" s="288"/>
      <c r="POG38" s="288"/>
      <c r="POH38" s="288"/>
      <c r="POI38" s="288"/>
      <c r="POJ38" s="288"/>
      <c r="POK38" s="288"/>
      <c r="POL38" s="288"/>
      <c r="POM38" s="288"/>
      <c r="PON38" s="288"/>
      <c r="POO38" s="288"/>
      <c r="POP38" s="288"/>
      <c r="POQ38" s="288"/>
      <c r="POR38" s="288"/>
      <c r="POS38" s="288"/>
      <c r="POT38" s="288"/>
      <c r="POU38" s="288"/>
      <c r="POV38" s="288"/>
      <c r="POW38" s="288"/>
      <c r="POX38" s="288"/>
      <c r="POY38" s="288"/>
      <c r="POZ38" s="288"/>
      <c r="PPA38" s="288"/>
      <c r="PPB38" s="288"/>
      <c r="PPC38" s="288"/>
      <c r="PPD38" s="288"/>
      <c r="PPE38" s="288"/>
      <c r="PPF38" s="288"/>
      <c r="PPG38" s="288"/>
      <c r="PPH38" s="288"/>
      <c r="PPI38" s="288"/>
      <c r="PPJ38" s="288"/>
      <c r="PPK38" s="288"/>
      <c r="PPL38" s="288"/>
      <c r="PPM38" s="288"/>
      <c r="PPN38" s="288"/>
      <c r="PPO38" s="288"/>
      <c r="PPP38" s="288"/>
      <c r="PPQ38" s="288"/>
      <c r="PPR38" s="288"/>
      <c r="PPS38" s="288"/>
      <c r="PPT38" s="288"/>
      <c r="PPU38" s="288"/>
      <c r="PPV38" s="288"/>
      <c r="PPW38" s="288"/>
      <c r="PPX38" s="288"/>
      <c r="PPY38" s="288"/>
      <c r="PPZ38" s="288"/>
      <c r="PQA38" s="288"/>
      <c r="PQB38" s="288"/>
      <c r="PQC38" s="288"/>
      <c r="PQD38" s="288"/>
      <c r="PQE38" s="288"/>
      <c r="PQF38" s="288"/>
      <c r="PQG38" s="288"/>
      <c r="PQH38" s="288"/>
      <c r="PQI38" s="288"/>
      <c r="PQJ38" s="288"/>
      <c r="PQK38" s="288"/>
      <c r="PQL38" s="288"/>
      <c r="PQM38" s="288"/>
      <c r="PQN38" s="288"/>
      <c r="PQO38" s="288"/>
      <c r="PQP38" s="288"/>
      <c r="PQQ38" s="288"/>
      <c r="PQR38" s="288"/>
      <c r="PQS38" s="288"/>
      <c r="PQT38" s="288"/>
      <c r="PQU38" s="288"/>
      <c r="PQV38" s="288"/>
      <c r="PQW38" s="288"/>
      <c r="PQX38" s="288"/>
      <c r="PQY38" s="288"/>
      <c r="PQZ38" s="288"/>
      <c r="PRA38" s="288"/>
      <c r="PRB38" s="288"/>
      <c r="PRC38" s="288"/>
      <c r="PRD38" s="288"/>
      <c r="PRE38" s="288"/>
      <c r="PRF38" s="288"/>
      <c r="PRG38" s="288"/>
      <c r="PRH38" s="288"/>
      <c r="PRI38" s="288"/>
      <c r="PRJ38" s="288"/>
      <c r="PRK38" s="288"/>
      <c r="PRL38" s="288"/>
      <c r="PRM38" s="288"/>
      <c r="PRN38" s="288"/>
      <c r="PRO38" s="288"/>
      <c r="PRP38" s="288"/>
      <c r="PRQ38" s="288"/>
      <c r="PRR38" s="288"/>
      <c r="PRS38" s="288"/>
      <c r="PRT38" s="288"/>
      <c r="PRU38" s="288"/>
      <c r="PRV38" s="288"/>
      <c r="PRW38" s="288"/>
      <c r="PRX38" s="288"/>
      <c r="PRY38" s="288"/>
      <c r="PRZ38" s="288"/>
      <c r="PSA38" s="288"/>
      <c r="PSB38" s="288"/>
      <c r="PSC38" s="288"/>
      <c r="PSD38" s="288"/>
      <c r="PSE38" s="288"/>
      <c r="PSF38" s="288"/>
      <c r="PSG38" s="288"/>
      <c r="PSH38" s="288"/>
      <c r="PSI38" s="288"/>
      <c r="PSJ38" s="288"/>
      <c r="PSK38" s="288"/>
      <c r="PSL38" s="288"/>
      <c r="PSM38" s="288"/>
      <c r="PSN38" s="288"/>
      <c r="PSO38" s="288"/>
      <c r="PSP38" s="288"/>
      <c r="PSQ38" s="288"/>
      <c r="PSR38" s="288"/>
      <c r="PSS38" s="288"/>
      <c r="PST38" s="288"/>
      <c r="PSU38" s="288"/>
      <c r="PSV38" s="288"/>
      <c r="PSW38" s="288"/>
      <c r="PSX38" s="288"/>
      <c r="PSY38" s="288"/>
      <c r="PSZ38" s="288"/>
      <c r="PTA38" s="288"/>
      <c r="PTB38" s="288"/>
      <c r="PTC38" s="288"/>
      <c r="PTD38" s="288"/>
      <c r="PTE38" s="288"/>
      <c r="PTF38" s="288"/>
      <c r="PTG38" s="288"/>
      <c r="PTH38" s="288"/>
      <c r="PTI38" s="288"/>
      <c r="PTJ38" s="288"/>
      <c r="PTK38" s="288"/>
      <c r="PTL38" s="288"/>
      <c r="PTM38" s="288"/>
      <c r="PTN38" s="288"/>
      <c r="PTO38" s="288"/>
      <c r="PTP38" s="288"/>
      <c r="PTQ38" s="288"/>
      <c r="PTR38" s="288"/>
      <c r="PTS38" s="288"/>
      <c r="PTT38" s="288"/>
      <c r="PTU38" s="288"/>
      <c r="PTV38" s="288"/>
      <c r="PTW38" s="288"/>
      <c r="PTX38" s="288"/>
      <c r="PTY38" s="288"/>
      <c r="PTZ38" s="288"/>
      <c r="PUA38" s="288"/>
      <c r="PUB38" s="288"/>
      <c r="PUC38" s="288"/>
      <c r="PUD38" s="288"/>
      <c r="PUE38" s="288"/>
      <c r="PUF38" s="288"/>
      <c r="PUG38" s="288"/>
      <c r="PUH38" s="288"/>
      <c r="PUI38" s="288"/>
      <c r="PUJ38" s="288"/>
      <c r="PUK38" s="288"/>
      <c r="PUL38" s="288"/>
      <c r="PUM38" s="288"/>
      <c r="PUN38" s="288"/>
      <c r="PUO38" s="288"/>
      <c r="PUP38" s="288"/>
      <c r="PUQ38" s="288"/>
      <c r="PUR38" s="288"/>
      <c r="PUS38" s="288"/>
      <c r="PUT38" s="288"/>
      <c r="PUU38" s="288"/>
      <c r="PUV38" s="288"/>
      <c r="PUW38" s="288"/>
      <c r="PUX38" s="288"/>
      <c r="PUY38" s="288"/>
      <c r="PUZ38" s="288"/>
      <c r="PVA38" s="288"/>
      <c r="PVB38" s="288"/>
      <c r="PVC38" s="288"/>
      <c r="PVD38" s="288"/>
      <c r="PVE38" s="288"/>
      <c r="PVF38" s="288"/>
      <c r="PVG38" s="288"/>
      <c r="PVH38" s="288"/>
      <c r="PVI38" s="288"/>
      <c r="PVJ38" s="288"/>
      <c r="PVK38" s="288"/>
      <c r="PVL38" s="288"/>
      <c r="PVM38" s="288"/>
      <c r="PVN38" s="288"/>
      <c r="PVO38" s="288"/>
      <c r="PVP38" s="288"/>
      <c r="PVQ38" s="288"/>
      <c r="PVR38" s="288"/>
      <c r="PVS38" s="288"/>
      <c r="PVT38" s="288"/>
      <c r="PVU38" s="288"/>
      <c r="PVV38" s="288"/>
      <c r="PVW38" s="288"/>
      <c r="PVX38" s="288"/>
      <c r="PVY38" s="288"/>
      <c r="PVZ38" s="288"/>
      <c r="PWA38" s="288"/>
      <c r="PWB38" s="288"/>
      <c r="PWC38" s="288"/>
      <c r="PWD38" s="288"/>
      <c r="PWE38" s="288"/>
      <c r="PWF38" s="288"/>
      <c r="PWG38" s="288"/>
      <c r="PWH38" s="288"/>
      <c r="PWI38" s="288"/>
      <c r="PWJ38" s="288"/>
      <c r="PWK38" s="288"/>
      <c r="PWL38" s="288"/>
      <c r="PWM38" s="288"/>
      <c r="PWN38" s="288"/>
      <c r="PWO38" s="288"/>
      <c r="PWP38" s="288"/>
      <c r="PWQ38" s="288"/>
      <c r="PWR38" s="288"/>
      <c r="PWS38" s="288"/>
      <c r="PWT38" s="288"/>
      <c r="PWU38" s="288"/>
      <c r="PWV38" s="288"/>
      <c r="PWW38" s="288"/>
      <c r="PWX38" s="288"/>
      <c r="PWY38" s="288"/>
      <c r="PWZ38" s="288"/>
      <c r="PXA38" s="288"/>
      <c r="PXB38" s="288"/>
      <c r="PXC38" s="288"/>
      <c r="PXD38" s="288"/>
      <c r="PXE38" s="288"/>
      <c r="PXF38" s="288"/>
      <c r="PXG38" s="288"/>
      <c r="PXH38" s="288"/>
      <c r="PXI38" s="288"/>
      <c r="PXJ38" s="288"/>
      <c r="PXK38" s="288"/>
      <c r="PXL38" s="288"/>
      <c r="PXM38" s="288"/>
      <c r="PXN38" s="288"/>
      <c r="PXO38" s="288"/>
      <c r="PXP38" s="288"/>
      <c r="PXQ38" s="288"/>
      <c r="PXR38" s="288"/>
      <c r="PXS38" s="288"/>
      <c r="PXT38" s="288"/>
      <c r="PXU38" s="288"/>
      <c r="PXV38" s="288"/>
      <c r="PXW38" s="288"/>
      <c r="PXX38" s="288"/>
      <c r="PXY38" s="288"/>
      <c r="PXZ38" s="288"/>
      <c r="PYA38" s="288"/>
      <c r="PYB38" s="288"/>
      <c r="PYC38" s="288"/>
      <c r="PYD38" s="288"/>
      <c r="PYE38" s="288"/>
      <c r="PYF38" s="288"/>
      <c r="PYG38" s="288"/>
      <c r="PYH38" s="288"/>
      <c r="PYI38" s="288"/>
      <c r="PYJ38" s="288"/>
      <c r="PYK38" s="288"/>
      <c r="PYL38" s="288"/>
      <c r="PYM38" s="288"/>
      <c r="PYN38" s="288"/>
      <c r="PYO38" s="288"/>
      <c r="PYP38" s="288"/>
      <c r="PYQ38" s="288"/>
      <c r="PYR38" s="288"/>
      <c r="PYS38" s="288"/>
      <c r="PYT38" s="288"/>
      <c r="PYU38" s="288"/>
      <c r="PYV38" s="288"/>
      <c r="PYW38" s="288"/>
      <c r="PYX38" s="288"/>
      <c r="PYY38" s="288"/>
      <c r="PYZ38" s="288"/>
      <c r="PZA38" s="288"/>
      <c r="PZB38" s="288"/>
      <c r="PZC38" s="288"/>
      <c r="PZD38" s="288"/>
      <c r="PZE38" s="288"/>
      <c r="PZF38" s="288"/>
      <c r="PZG38" s="288"/>
      <c r="PZH38" s="288"/>
      <c r="PZI38" s="288"/>
      <c r="PZJ38" s="288"/>
      <c r="PZK38" s="288"/>
      <c r="PZL38" s="288"/>
      <c r="PZM38" s="288"/>
      <c r="PZN38" s="288"/>
      <c r="PZO38" s="288"/>
      <c r="PZP38" s="288"/>
      <c r="PZQ38" s="288"/>
      <c r="PZR38" s="288"/>
      <c r="PZS38" s="288"/>
      <c r="PZT38" s="288"/>
      <c r="PZU38" s="288"/>
      <c r="PZV38" s="288"/>
      <c r="PZW38" s="288"/>
      <c r="PZX38" s="288"/>
      <c r="PZY38" s="288"/>
      <c r="PZZ38" s="288"/>
      <c r="QAA38" s="288"/>
      <c r="QAB38" s="288"/>
      <c r="QAC38" s="288"/>
      <c r="QAD38" s="288"/>
      <c r="QAE38" s="288"/>
      <c r="QAF38" s="288"/>
      <c r="QAG38" s="288"/>
      <c r="QAH38" s="288"/>
      <c r="QAI38" s="288"/>
      <c r="QAJ38" s="288"/>
      <c r="QAK38" s="288"/>
      <c r="QAL38" s="288"/>
      <c r="QAM38" s="288"/>
      <c r="QAN38" s="288"/>
      <c r="QAO38" s="288"/>
      <c r="QAP38" s="288"/>
      <c r="QAQ38" s="288"/>
      <c r="QAR38" s="288"/>
      <c r="QAS38" s="288"/>
      <c r="QAT38" s="288"/>
      <c r="QAU38" s="288"/>
      <c r="QAV38" s="288"/>
      <c r="QAW38" s="288"/>
      <c r="QAX38" s="288"/>
      <c r="QAY38" s="288"/>
      <c r="QAZ38" s="288"/>
      <c r="QBA38" s="288"/>
      <c r="QBB38" s="288"/>
      <c r="QBC38" s="288"/>
      <c r="QBD38" s="288"/>
      <c r="QBE38" s="288"/>
      <c r="QBF38" s="288"/>
      <c r="QBG38" s="288"/>
      <c r="QBH38" s="288"/>
      <c r="QBI38" s="288"/>
      <c r="QBJ38" s="288"/>
      <c r="QBK38" s="288"/>
      <c r="QBL38" s="288"/>
      <c r="QBM38" s="288"/>
      <c r="QBN38" s="288"/>
      <c r="QBO38" s="288"/>
      <c r="QBP38" s="288"/>
      <c r="QBQ38" s="288"/>
      <c r="QBR38" s="288"/>
      <c r="QBS38" s="288"/>
      <c r="QBT38" s="288"/>
      <c r="QBU38" s="288"/>
      <c r="QBV38" s="288"/>
      <c r="QBW38" s="288"/>
      <c r="QBX38" s="288"/>
      <c r="QBY38" s="288"/>
      <c r="QBZ38" s="288"/>
      <c r="QCA38" s="288"/>
      <c r="QCB38" s="288"/>
      <c r="QCC38" s="288"/>
      <c r="QCD38" s="288"/>
      <c r="QCE38" s="288"/>
      <c r="QCF38" s="288"/>
      <c r="QCG38" s="288"/>
      <c r="QCH38" s="288"/>
      <c r="QCI38" s="288"/>
      <c r="QCJ38" s="288"/>
      <c r="QCK38" s="288"/>
      <c r="QCL38" s="288"/>
      <c r="QCM38" s="288"/>
      <c r="QCN38" s="288"/>
      <c r="QCO38" s="288"/>
      <c r="QCP38" s="288"/>
      <c r="QCQ38" s="288"/>
      <c r="QCR38" s="288"/>
      <c r="QCS38" s="288"/>
      <c r="QCT38" s="288"/>
      <c r="QCU38" s="288"/>
      <c r="QCV38" s="288"/>
      <c r="QCW38" s="288"/>
      <c r="QCX38" s="288"/>
      <c r="QCY38" s="288"/>
      <c r="QCZ38" s="288"/>
      <c r="QDA38" s="288"/>
      <c r="QDB38" s="288"/>
      <c r="QDC38" s="288"/>
      <c r="QDD38" s="288"/>
      <c r="QDE38" s="288"/>
      <c r="QDF38" s="288"/>
      <c r="QDG38" s="288"/>
      <c r="QDH38" s="288"/>
      <c r="QDI38" s="288"/>
      <c r="QDJ38" s="288"/>
      <c r="QDK38" s="288"/>
      <c r="QDL38" s="288"/>
      <c r="QDM38" s="288"/>
      <c r="QDN38" s="288"/>
      <c r="QDO38" s="288"/>
      <c r="QDP38" s="288"/>
      <c r="QDQ38" s="288"/>
      <c r="QDR38" s="288"/>
      <c r="QDS38" s="288"/>
      <c r="QDT38" s="288"/>
      <c r="QDU38" s="288"/>
      <c r="QDV38" s="288"/>
      <c r="QDW38" s="288"/>
      <c r="QDX38" s="288"/>
      <c r="QDY38" s="288"/>
      <c r="QDZ38" s="288"/>
      <c r="QEA38" s="288"/>
      <c r="QEB38" s="288"/>
      <c r="QEC38" s="288"/>
      <c r="QED38" s="288"/>
      <c r="QEE38" s="288"/>
      <c r="QEF38" s="288"/>
      <c r="QEG38" s="288"/>
      <c r="QEH38" s="288"/>
      <c r="QEI38" s="288"/>
      <c r="QEJ38" s="288"/>
      <c r="QEK38" s="288"/>
      <c r="QEL38" s="288"/>
      <c r="QEM38" s="288"/>
      <c r="QEN38" s="288"/>
      <c r="QEO38" s="288"/>
      <c r="QEP38" s="288"/>
      <c r="QEQ38" s="288"/>
      <c r="QER38" s="288"/>
      <c r="QES38" s="288"/>
      <c r="QET38" s="288"/>
      <c r="QEU38" s="288"/>
      <c r="QEV38" s="288"/>
      <c r="QEW38" s="288"/>
      <c r="QEX38" s="288"/>
      <c r="QEY38" s="288"/>
      <c r="QEZ38" s="288"/>
      <c r="QFA38" s="288"/>
      <c r="QFB38" s="288"/>
      <c r="QFC38" s="288"/>
      <c r="QFD38" s="288"/>
      <c r="QFE38" s="288"/>
      <c r="QFF38" s="288"/>
      <c r="QFG38" s="288"/>
      <c r="QFH38" s="288"/>
      <c r="QFI38" s="288"/>
      <c r="QFJ38" s="288"/>
      <c r="QFK38" s="288"/>
      <c r="QFL38" s="288"/>
      <c r="QFM38" s="288"/>
      <c r="QFN38" s="288"/>
      <c r="QFO38" s="288"/>
      <c r="QFP38" s="288"/>
      <c r="QFQ38" s="288"/>
      <c r="QFR38" s="288"/>
      <c r="QFS38" s="288"/>
      <c r="QFT38" s="288"/>
      <c r="QFU38" s="288"/>
      <c r="QFV38" s="288"/>
      <c r="QFW38" s="288"/>
      <c r="QFX38" s="288"/>
      <c r="QFY38" s="288"/>
      <c r="QFZ38" s="288"/>
      <c r="QGA38" s="288"/>
      <c r="QGB38" s="288"/>
      <c r="QGC38" s="288"/>
      <c r="QGD38" s="288"/>
      <c r="QGE38" s="288"/>
      <c r="QGF38" s="288"/>
      <c r="QGG38" s="288"/>
      <c r="QGH38" s="288"/>
      <c r="QGI38" s="288"/>
      <c r="QGJ38" s="288"/>
      <c r="QGK38" s="288"/>
      <c r="QGL38" s="288"/>
      <c r="QGM38" s="288"/>
      <c r="QGN38" s="288"/>
      <c r="QGO38" s="288"/>
      <c r="QGP38" s="288"/>
      <c r="QGQ38" s="288"/>
      <c r="QGR38" s="288"/>
      <c r="QGS38" s="288"/>
      <c r="QGT38" s="288"/>
      <c r="QGU38" s="288"/>
      <c r="QGV38" s="288"/>
      <c r="QGW38" s="288"/>
      <c r="QGX38" s="288"/>
      <c r="QGY38" s="288"/>
      <c r="QGZ38" s="288"/>
      <c r="QHA38" s="288"/>
      <c r="QHB38" s="288"/>
      <c r="QHC38" s="288"/>
      <c r="QHD38" s="288"/>
      <c r="QHE38" s="288"/>
      <c r="QHF38" s="288"/>
      <c r="QHG38" s="288"/>
      <c r="QHH38" s="288"/>
      <c r="QHI38" s="288"/>
      <c r="QHJ38" s="288"/>
      <c r="QHK38" s="288"/>
      <c r="QHL38" s="288"/>
      <c r="QHM38" s="288"/>
      <c r="QHN38" s="288"/>
      <c r="QHO38" s="288"/>
      <c r="QHP38" s="288"/>
      <c r="QHQ38" s="288"/>
      <c r="QHR38" s="288"/>
      <c r="QHS38" s="288"/>
      <c r="QHT38" s="288"/>
      <c r="QHU38" s="288"/>
      <c r="QHV38" s="288"/>
      <c r="QHW38" s="288"/>
      <c r="QHX38" s="288"/>
      <c r="QHY38" s="288"/>
      <c r="QHZ38" s="288"/>
      <c r="QIA38" s="288"/>
      <c r="QIB38" s="288"/>
      <c r="QIC38" s="288"/>
      <c r="QID38" s="288"/>
      <c r="QIE38" s="288"/>
      <c r="QIF38" s="288"/>
      <c r="QIG38" s="288"/>
      <c r="QIH38" s="288"/>
      <c r="QII38" s="288"/>
      <c r="QIJ38" s="288"/>
      <c r="QIK38" s="288"/>
      <c r="QIL38" s="288"/>
      <c r="QIM38" s="288"/>
      <c r="QIN38" s="288"/>
      <c r="QIO38" s="288"/>
      <c r="QIP38" s="288"/>
      <c r="QIQ38" s="288"/>
      <c r="QIR38" s="288"/>
      <c r="QIS38" s="288"/>
      <c r="QIT38" s="288"/>
      <c r="QIU38" s="288"/>
      <c r="QIV38" s="288"/>
      <c r="QIW38" s="288"/>
      <c r="QIX38" s="288"/>
      <c r="QIY38" s="288"/>
      <c r="QIZ38" s="288"/>
      <c r="QJA38" s="288"/>
      <c r="QJB38" s="288"/>
      <c r="QJC38" s="288"/>
      <c r="QJD38" s="288"/>
      <c r="QJE38" s="288"/>
      <c r="QJF38" s="288"/>
      <c r="QJG38" s="288"/>
      <c r="QJH38" s="288"/>
      <c r="QJI38" s="288"/>
      <c r="QJJ38" s="288"/>
      <c r="QJK38" s="288"/>
      <c r="QJL38" s="288"/>
      <c r="QJM38" s="288"/>
      <c r="QJN38" s="288"/>
      <c r="QJO38" s="288"/>
      <c r="QJP38" s="288"/>
      <c r="QJQ38" s="288"/>
      <c r="QJR38" s="288"/>
      <c r="QJS38" s="288"/>
      <c r="QJT38" s="288"/>
      <c r="QJU38" s="288"/>
      <c r="QJV38" s="288"/>
      <c r="QJW38" s="288"/>
      <c r="QJX38" s="288"/>
      <c r="QJY38" s="288"/>
      <c r="QJZ38" s="288"/>
      <c r="QKA38" s="288"/>
      <c r="QKB38" s="288"/>
      <c r="QKC38" s="288"/>
      <c r="QKD38" s="288"/>
      <c r="QKE38" s="288"/>
      <c r="QKF38" s="288"/>
      <c r="QKG38" s="288"/>
      <c r="QKH38" s="288"/>
      <c r="QKI38" s="288"/>
      <c r="QKJ38" s="288"/>
      <c r="QKK38" s="288"/>
      <c r="QKL38" s="288"/>
      <c r="QKM38" s="288"/>
      <c r="QKN38" s="288"/>
      <c r="QKO38" s="288"/>
      <c r="QKP38" s="288"/>
      <c r="QKQ38" s="288"/>
      <c r="QKR38" s="288"/>
      <c r="QKS38" s="288"/>
      <c r="QKT38" s="288"/>
      <c r="QKU38" s="288"/>
      <c r="QKV38" s="288"/>
      <c r="QKW38" s="288"/>
      <c r="QKX38" s="288"/>
      <c r="QKY38" s="288"/>
      <c r="QKZ38" s="288"/>
      <c r="QLA38" s="288"/>
      <c r="QLB38" s="288"/>
      <c r="QLC38" s="288"/>
      <c r="QLD38" s="288"/>
      <c r="QLE38" s="288"/>
      <c r="QLF38" s="288"/>
      <c r="QLG38" s="288"/>
      <c r="QLH38" s="288"/>
      <c r="QLI38" s="288"/>
      <c r="QLJ38" s="288"/>
      <c r="QLK38" s="288"/>
      <c r="QLL38" s="288"/>
      <c r="QLM38" s="288"/>
      <c r="QLN38" s="288"/>
      <c r="QLO38" s="288"/>
      <c r="QLP38" s="288"/>
      <c r="QLQ38" s="288"/>
      <c r="QLR38" s="288"/>
      <c r="QLS38" s="288"/>
      <c r="QLT38" s="288"/>
      <c r="QLU38" s="288"/>
      <c r="QLV38" s="288"/>
      <c r="QLW38" s="288"/>
      <c r="QLX38" s="288"/>
      <c r="QLY38" s="288"/>
      <c r="QLZ38" s="288"/>
      <c r="QMA38" s="288"/>
      <c r="QMB38" s="288"/>
      <c r="QMC38" s="288"/>
      <c r="QMD38" s="288"/>
      <c r="QME38" s="288"/>
      <c r="QMF38" s="288"/>
      <c r="QMG38" s="288"/>
      <c r="QMH38" s="288"/>
      <c r="QMI38" s="288"/>
      <c r="QMJ38" s="288"/>
      <c r="QMK38" s="288"/>
      <c r="QML38" s="288"/>
      <c r="QMM38" s="288"/>
      <c r="QMN38" s="288"/>
      <c r="QMO38" s="288"/>
      <c r="QMP38" s="288"/>
      <c r="QMQ38" s="288"/>
      <c r="QMR38" s="288"/>
      <c r="QMS38" s="288"/>
      <c r="QMT38" s="288"/>
      <c r="QMU38" s="288"/>
      <c r="QMV38" s="288"/>
      <c r="QMW38" s="288"/>
      <c r="QMX38" s="288"/>
      <c r="QMY38" s="288"/>
      <c r="QMZ38" s="288"/>
      <c r="QNA38" s="288"/>
      <c r="QNB38" s="288"/>
      <c r="QNC38" s="288"/>
      <c r="QND38" s="288"/>
      <c r="QNE38" s="288"/>
      <c r="QNF38" s="288"/>
      <c r="QNG38" s="288"/>
      <c r="QNH38" s="288"/>
      <c r="QNI38" s="288"/>
      <c r="QNJ38" s="288"/>
      <c r="QNK38" s="288"/>
      <c r="QNL38" s="288"/>
      <c r="QNM38" s="288"/>
      <c r="QNN38" s="288"/>
      <c r="QNO38" s="288"/>
      <c r="QNP38" s="288"/>
      <c r="QNQ38" s="288"/>
      <c r="QNR38" s="288"/>
      <c r="QNS38" s="288"/>
      <c r="QNT38" s="288"/>
      <c r="QNU38" s="288"/>
      <c r="QNV38" s="288"/>
      <c r="QNW38" s="288"/>
      <c r="QNX38" s="288"/>
      <c r="QNY38" s="288"/>
      <c r="QNZ38" s="288"/>
      <c r="QOA38" s="288"/>
      <c r="QOB38" s="288"/>
      <c r="QOC38" s="288"/>
      <c r="QOD38" s="288"/>
      <c r="QOE38" s="288"/>
      <c r="QOF38" s="288"/>
      <c r="QOG38" s="288"/>
      <c r="QOH38" s="288"/>
      <c r="QOI38" s="288"/>
      <c r="QOJ38" s="288"/>
      <c r="QOK38" s="288"/>
      <c r="QOL38" s="288"/>
      <c r="QOM38" s="288"/>
      <c r="QON38" s="288"/>
      <c r="QOO38" s="288"/>
      <c r="QOP38" s="288"/>
      <c r="QOQ38" s="288"/>
      <c r="QOR38" s="288"/>
      <c r="QOS38" s="288"/>
      <c r="QOT38" s="288"/>
      <c r="QOU38" s="288"/>
      <c r="QOV38" s="288"/>
      <c r="QOW38" s="288"/>
      <c r="QOX38" s="288"/>
      <c r="QOY38" s="288"/>
      <c r="QOZ38" s="288"/>
      <c r="QPA38" s="288"/>
      <c r="QPB38" s="288"/>
      <c r="QPC38" s="288"/>
      <c r="QPD38" s="288"/>
      <c r="QPE38" s="288"/>
      <c r="QPF38" s="288"/>
      <c r="QPG38" s="288"/>
      <c r="QPH38" s="288"/>
      <c r="QPI38" s="288"/>
      <c r="QPJ38" s="288"/>
      <c r="QPK38" s="288"/>
      <c r="QPL38" s="288"/>
      <c r="QPM38" s="288"/>
      <c r="QPN38" s="288"/>
      <c r="QPO38" s="288"/>
      <c r="QPP38" s="288"/>
      <c r="QPQ38" s="288"/>
      <c r="QPR38" s="288"/>
      <c r="QPS38" s="288"/>
      <c r="QPT38" s="288"/>
      <c r="QPU38" s="288"/>
      <c r="QPV38" s="288"/>
      <c r="QPW38" s="288"/>
      <c r="QPX38" s="288"/>
      <c r="QPY38" s="288"/>
      <c r="QPZ38" s="288"/>
      <c r="QQA38" s="288"/>
      <c r="QQB38" s="288"/>
      <c r="QQC38" s="288"/>
      <c r="QQD38" s="288"/>
      <c r="QQE38" s="288"/>
      <c r="QQF38" s="288"/>
      <c r="QQG38" s="288"/>
      <c r="QQH38" s="288"/>
      <c r="QQI38" s="288"/>
      <c r="QQJ38" s="288"/>
      <c r="QQK38" s="288"/>
      <c r="QQL38" s="288"/>
      <c r="QQM38" s="288"/>
      <c r="QQN38" s="288"/>
      <c r="QQO38" s="288"/>
      <c r="QQP38" s="288"/>
      <c r="QQQ38" s="288"/>
      <c r="QQR38" s="288"/>
      <c r="QQS38" s="288"/>
      <c r="QQT38" s="288"/>
      <c r="QQU38" s="288"/>
      <c r="QQV38" s="288"/>
      <c r="QQW38" s="288"/>
      <c r="QQX38" s="288"/>
      <c r="QQY38" s="288"/>
      <c r="QQZ38" s="288"/>
      <c r="QRA38" s="288"/>
      <c r="QRB38" s="288"/>
      <c r="QRC38" s="288"/>
      <c r="QRD38" s="288"/>
      <c r="QRE38" s="288"/>
      <c r="QRF38" s="288"/>
      <c r="QRG38" s="288"/>
      <c r="QRH38" s="288"/>
      <c r="QRI38" s="288"/>
      <c r="QRJ38" s="288"/>
      <c r="QRK38" s="288"/>
      <c r="QRL38" s="288"/>
      <c r="QRM38" s="288"/>
      <c r="QRN38" s="288"/>
      <c r="QRO38" s="288"/>
      <c r="QRP38" s="288"/>
      <c r="QRQ38" s="288"/>
      <c r="QRR38" s="288"/>
      <c r="QRS38" s="288"/>
      <c r="QRT38" s="288"/>
      <c r="QRU38" s="288"/>
      <c r="QRV38" s="288"/>
      <c r="QRW38" s="288"/>
      <c r="QRX38" s="288"/>
      <c r="QRY38" s="288"/>
      <c r="QRZ38" s="288"/>
      <c r="QSA38" s="288"/>
      <c r="QSB38" s="288"/>
      <c r="QSC38" s="288"/>
      <c r="QSD38" s="288"/>
      <c r="QSE38" s="288"/>
      <c r="QSF38" s="288"/>
      <c r="QSG38" s="288"/>
      <c r="QSH38" s="288"/>
      <c r="QSI38" s="288"/>
      <c r="QSJ38" s="288"/>
      <c r="QSK38" s="288"/>
      <c r="QSL38" s="288"/>
      <c r="QSM38" s="288"/>
      <c r="QSN38" s="288"/>
      <c r="QSO38" s="288"/>
      <c r="QSP38" s="288"/>
      <c r="QSQ38" s="288"/>
      <c r="QSR38" s="288"/>
      <c r="QSS38" s="288"/>
      <c r="QST38" s="288"/>
      <c r="QSU38" s="288"/>
      <c r="QSV38" s="288"/>
      <c r="QSW38" s="288"/>
      <c r="QSX38" s="288"/>
      <c r="QSY38" s="288"/>
      <c r="QSZ38" s="288"/>
      <c r="QTA38" s="288"/>
      <c r="QTB38" s="288"/>
      <c r="QTC38" s="288"/>
      <c r="QTD38" s="288"/>
      <c r="QTE38" s="288"/>
      <c r="QTF38" s="288"/>
      <c r="QTG38" s="288"/>
      <c r="QTH38" s="288"/>
      <c r="QTI38" s="288"/>
      <c r="QTJ38" s="288"/>
      <c r="QTK38" s="288"/>
      <c r="QTL38" s="288"/>
      <c r="QTM38" s="288"/>
      <c r="QTN38" s="288"/>
      <c r="QTO38" s="288"/>
      <c r="QTP38" s="288"/>
      <c r="QTQ38" s="288"/>
      <c r="QTR38" s="288"/>
      <c r="QTS38" s="288"/>
      <c r="QTT38" s="288"/>
      <c r="QTU38" s="288"/>
      <c r="QTV38" s="288"/>
      <c r="QTW38" s="288"/>
      <c r="QTX38" s="288"/>
      <c r="QTY38" s="288"/>
      <c r="QTZ38" s="288"/>
      <c r="QUA38" s="288"/>
      <c r="QUB38" s="288"/>
      <c r="QUC38" s="288"/>
      <c r="QUD38" s="288"/>
      <c r="QUE38" s="288"/>
      <c r="QUF38" s="288"/>
      <c r="QUG38" s="288"/>
      <c r="QUH38" s="288"/>
      <c r="QUI38" s="288"/>
      <c r="QUJ38" s="288"/>
      <c r="QUK38" s="288"/>
      <c r="QUL38" s="288"/>
      <c r="QUM38" s="288"/>
      <c r="QUN38" s="288"/>
      <c r="QUO38" s="288"/>
      <c r="QUP38" s="288"/>
      <c r="QUQ38" s="288"/>
      <c r="QUR38" s="288"/>
      <c r="QUS38" s="288"/>
      <c r="QUT38" s="288"/>
      <c r="QUU38" s="288"/>
      <c r="QUV38" s="288"/>
      <c r="QUW38" s="288"/>
      <c r="QUX38" s="288"/>
      <c r="QUY38" s="288"/>
      <c r="QUZ38" s="288"/>
      <c r="QVA38" s="288"/>
      <c r="QVB38" s="288"/>
      <c r="QVC38" s="288"/>
      <c r="QVD38" s="288"/>
      <c r="QVE38" s="288"/>
      <c r="QVF38" s="288"/>
      <c r="QVG38" s="288"/>
      <c r="QVH38" s="288"/>
      <c r="QVI38" s="288"/>
      <c r="QVJ38" s="288"/>
      <c r="QVK38" s="288"/>
      <c r="QVL38" s="288"/>
      <c r="QVM38" s="288"/>
      <c r="QVN38" s="288"/>
      <c r="QVO38" s="288"/>
      <c r="QVP38" s="288"/>
      <c r="QVQ38" s="288"/>
      <c r="QVR38" s="288"/>
      <c r="QVS38" s="288"/>
      <c r="QVT38" s="288"/>
      <c r="QVU38" s="288"/>
      <c r="QVV38" s="288"/>
      <c r="QVW38" s="288"/>
      <c r="QVX38" s="288"/>
      <c r="QVY38" s="288"/>
      <c r="QVZ38" s="288"/>
      <c r="QWA38" s="288"/>
      <c r="QWB38" s="288"/>
      <c r="QWC38" s="288"/>
      <c r="QWD38" s="288"/>
      <c r="QWE38" s="288"/>
      <c r="QWF38" s="288"/>
      <c r="QWG38" s="288"/>
      <c r="QWH38" s="288"/>
      <c r="QWI38" s="288"/>
      <c r="QWJ38" s="288"/>
      <c r="QWK38" s="288"/>
      <c r="QWL38" s="288"/>
      <c r="QWM38" s="288"/>
      <c r="QWN38" s="288"/>
      <c r="QWO38" s="288"/>
      <c r="QWP38" s="288"/>
      <c r="QWQ38" s="288"/>
      <c r="QWR38" s="288"/>
      <c r="QWS38" s="288"/>
      <c r="QWT38" s="288"/>
      <c r="QWU38" s="288"/>
      <c r="QWV38" s="288"/>
      <c r="QWW38" s="288"/>
      <c r="QWX38" s="288"/>
      <c r="QWY38" s="288"/>
      <c r="QWZ38" s="288"/>
      <c r="QXA38" s="288"/>
      <c r="QXB38" s="288"/>
      <c r="QXC38" s="288"/>
      <c r="QXD38" s="288"/>
      <c r="QXE38" s="288"/>
      <c r="QXF38" s="288"/>
      <c r="QXG38" s="288"/>
      <c r="QXH38" s="288"/>
      <c r="QXI38" s="288"/>
      <c r="QXJ38" s="288"/>
      <c r="QXK38" s="288"/>
      <c r="QXL38" s="288"/>
      <c r="QXM38" s="288"/>
      <c r="QXN38" s="288"/>
      <c r="QXO38" s="288"/>
      <c r="QXP38" s="288"/>
      <c r="QXQ38" s="288"/>
      <c r="QXR38" s="288"/>
      <c r="QXS38" s="288"/>
      <c r="QXT38" s="288"/>
      <c r="QXU38" s="288"/>
      <c r="QXV38" s="288"/>
      <c r="QXW38" s="288"/>
      <c r="QXX38" s="288"/>
      <c r="QXY38" s="288"/>
      <c r="QXZ38" s="288"/>
      <c r="QYA38" s="288"/>
      <c r="QYB38" s="288"/>
      <c r="QYC38" s="288"/>
      <c r="QYD38" s="288"/>
      <c r="QYE38" s="288"/>
      <c r="QYF38" s="288"/>
      <c r="QYG38" s="288"/>
      <c r="QYH38" s="288"/>
      <c r="QYI38" s="288"/>
      <c r="QYJ38" s="288"/>
      <c r="QYK38" s="288"/>
      <c r="QYL38" s="288"/>
      <c r="QYM38" s="288"/>
      <c r="QYN38" s="288"/>
      <c r="QYO38" s="288"/>
      <c r="QYP38" s="288"/>
      <c r="QYQ38" s="288"/>
      <c r="QYR38" s="288"/>
      <c r="QYS38" s="288"/>
      <c r="QYT38" s="288"/>
      <c r="QYU38" s="288"/>
      <c r="QYV38" s="288"/>
      <c r="QYW38" s="288"/>
      <c r="QYX38" s="288"/>
      <c r="QYY38" s="288"/>
      <c r="QYZ38" s="288"/>
      <c r="QZA38" s="288"/>
      <c r="QZB38" s="288"/>
      <c r="QZC38" s="288"/>
      <c r="QZD38" s="288"/>
      <c r="QZE38" s="288"/>
      <c r="QZF38" s="288"/>
      <c r="QZG38" s="288"/>
      <c r="QZH38" s="288"/>
      <c r="QZI38" s="288"/>
      <c r="QZJ38" s="288"/>
      <c r="QZK38" s="288"/>
      <c r="QZL38" s="288"/>
      <c r="QZM38" s="288"/>
      <c r="QZN38" s="288"/>
      <c r="QZO38" s="288"/>
      <c r="QZP38" s="288"/>
      <c r="QZQ38" s="288"/>
      <c r="QZR38" s="288"/>
      <c r="QZS38" s="288"/>
      <c r="QZT38" s="288"/>
      <c r="QZU38" s="288"/>
      <c r="QZV38" s="288"/>
      <c r="QZW38" s="288"/>
      <c r="QZX38" s="288"/>
      <c r="QZY38" s="288"/>
      <c r="QZZ38" s="288"/>
      <c r="RAA38" s="288"/>
      <c r="RAB38" s="288"/>
      <c r="RAC38" s="288"/>
      <c r="RAD38" s="288"/>
      <c r="RAE38" s="288"/>
      <c r="RAF38" s="288"/>
      <c r="RAG38" s="288"/>
      <c r="RAH38" s="288"/>
      <c r="RAI38" s="288"/>
      <c r="RAJ38" s="288"/>
      <c r="RAK38" s="288"/>
      <c r="RAL38" s="288"/>
      <c r="RAM38" s="288"/>
      <c r="RAN38" s="288"/>
      <c r="RAO38" s="288"/>
      <c r="RAP38" s="288"/>
      <c r="RAQ38" s="288"/>
      <c r="RAR38" s="288"/>
      <c r="RAS38" s="288"/>
      <c r="RAT38" s="288"/>
      <c r="RAU38" s="288"/>
      <c r="RAV38" s="288"/>
      <c r="RAW38" s="288"/>
      <c r="RAX38" s="288"/>
      <c r="RAY38" s="288"/>
      <c r="RAZ38" s="288"/>
      <c r="RBA38" s="288"/>
      <c r="RBB38" s="288"/>
      <c r="RBC38" s="288"/>
      <c r="RBD38" s="288"/>
      <c r="RBE38" s="288"/>
      <c r="RBF38" s="288"/>
      <c r="RBG38" s="288"/>
      <c r="RBH38" s="288"/>
      <c r="RBI38" s="288"/>
      <c r="RBJ38" s="288"/>
      <c r="RBK38" s="288"/>
      <c r="RBL38" s="288"/>
      <c r="RBM38" s="288"/>
      <c r="RBN38" s="288"/>
      <c r="RBO38" s="288"/>
      <c r="RBP38" s="288"/>
      <c r="RBQ38" s="288"/>
      <c r="RBR38" s="288"/>
      <c r="RBS38" s="288"/>
      <c r="RBT38" s="288"/>
      <c r="RBU38" s="288"/>
      <c r="RBV38" s="288"/>
      <c r="RBW38" s="288"/>
      <c r="RBX38" s="288"/>
      <c r="RBY38" s="288"/>
      <c r="RBZ38" s="288"/>
      <c r="RCA38" s="288"/>
      <c r="RCB38" s="288"/>
      <c r="RCC38" s="288"/>
      <c r="RCD38" s="288"/>
      <c r="RCE38" s="288"/>
      <c r="RCF38" s="288"/>
      <c r="RCG38" s="288"/>
      <c r="RCH38" s="288"/>
      <c r="RCI38" s="288"/>
      <c r="RCJ38" s="288"/>
      <c r="RCK38" s="288"/>
      <c r="RCL38" s="288"/>
      <c r="RCM38" s="288"/>
      <c r="RCN38" s="288"/>
      <c r="RCO38" s="288"/>
      <c r="RCP38" s="288"/>
      <c r="RCQ38" s="288"/>
      <c r="RCR38" s="288"/>
      <c r="RCS38" s="288"/>
      <c r="RCT38" s="288"/>
      <c r="RCU38" s="288"/>
      <c r="RCV38" s="288"/>
      <c r="RCW38" s="288"/>
      <c r="RCX38" s="288"/>
      <c r="RCY38" s="288"/>
      <c r="RCZ38" s="288"/>
      <c r="RDA38" s="288"/>
      <c r="RDB38" s="288"/>
      <c r="RDC38" s="288"/>
      <c r="RDD38" s="288"/>
      <c r="RDE38" s="288"/>
      <c r="RDF38" s="288"/>
      <c r="RDG38" s="288"/>
      <c r="RDH38" s="288"/>
      <c r="RDI38" s="288"/>
      <c r="RDJ38" s="288"/>
      <c r="RDK38" s="288"/>
      <c r="RDL38" s="288"/>
      <c r="RDM38" s="288"/>
      <c r="RDN38" s="288"/>
      <c r="RDO38" s="288"/>
      <c r="RDP38" s="288"/>
      <c r="RDQ38" s="288"/>
      <c r="RDR38" s="288"/>
      <c r="RDS38" s="288"/>
      <c r="RDT38" s="288"/>
      <c r="RDU38" s="288"/>
      <c r="RDV38" s="288"/>
      <c r="RDW38" s="288"/>
      <c r="RDX38" s="288"/>
      <c r="RDY38" s="288"/>
      <c r="RDZ38" s="288"/>
      <c r="REA38" s="288"/>
      <c r="REB38" s="288"/>
      <c r="REC38" s="288"/>
      <c r="RED38" s="288"/>
      <c r="REE38" s="288"/>
      <c r="REF38" s="288"/>
      <c r="REG38" s="288"/>
      <c r="REH38" s="288"/>
      <c r="REI38" s="288"/>
      <c r="REJ38" s="288"/>
      <c r="REK38" s="288"/>
      <c r="REL38" s="288"/>
      <c r="REM38" s="288"/>
      <c r="REN38" s="288"/>
      <c r="REO38" s="288"/>
      <c r="REP38" s="288"/>
      <c r="REQ38" s="288"/>
      <c r="RER38" s="288"/>
      <c r="RES38" s="288"/>
      <c r="RET38" s="288"/>
      <c r="REU38" s="288"/>
      <c r="REV38" s="288"/>
      <c r="REW38" s="288"/>
      <c r="REX38" s="288"/>
      <c r="REY38" s="288"/>
      <c r="REZ38" s="288"/>
      <c r="RFA38" s="288"/>
      <c r="RFB38" s="288"/>
      <c r="RFC38" s="288"/>
      <c r="RFD38" s="288"/>
      <c r="RFE38" s="288"/>
      <c r="RFF38" s="288"/>
      <c r="RFG38" s="288"/>
      <c r="RFH38" s="288"/>
      <c r="RFI38" s="288"/>
      <c r="RFJ38" s="288"/>
      <c r="RFK38" s="288"/>
      <c r="RFL38" s="288"/>
      <c r="RFM38" s="288"/>
      <c r="RFN38" s="288"/>
      <c r="RFO38" s="288"/>
      <c r="RFP38" s="288"/>
      <c r="RFQ38" s="288"/>
      <c r="RFR38" s="288"/>
      <c r="RFS38" s="288"/>
      <c r="RFT38" s="288"/>
      <c r="RFU38" s="288"/>
      <c r="RFV38" s="288"/>
      <c r="RFW38" s="288"/>
      <c r="RFX38" s="288"/>
      <c r="RFY38" s="288"/>
      <c r="RFZ38" s="288"/>
      <c r="RGA38" s="288"/>
      <c r="RGB38" s="288"/>
      <c r="RGC38" s="288"/>
      <c r="RGD38" s="288"/>
      <c r="RGE38" s="288"/>
      <c r="RGF38" s="288"/>
      <c r="RGG38" s="288"/>
      <c r="RGH38" s="288"/>
      <c r="RGI38" s="288"/>
      <c r="RGJ38" s="288"/>
      <c r="RGK38" s="288"/>
      <c r="RGL38" s="288"/>
      <c r="RGM38" s="288"/>
      <c r="RGN38" s="288"/>
      <c r="RGO38" s="288"/>
      <c r="RGP38" s="288"/>
      <c r="RGQ38" s="288"/>
      <c r="RGR38" s="288"/>
      <c r="RGS38" s="288"/>
      <c r="RGT38" s="288"/>
      <c r="RGU38" s="288"/>
      <c r="RGV38" s="288"/>
      <c r="RGW38" s="288"/>
      <c r="RGX38" s="288"/>
      <c r="RGY38" s="288"/>
      <c r="RGZ38" s="288"/>
      <c r="RHA38" s="288"/>
      <c r="RHB38" s="288"/>
      <c r="RHC38" s="288"/>
      <c r="RHD38" s="288"/>
      <c r="RHE38" s="288"/>
      <c r="RHF38" s="288"/>
      <c r="RHG38" s="288"/>
      <c r="RHH38" s="288"/>
      <c r="RHI38" s="288"/>
      <c r="RHJ38" s="288"/>
      <c r="RHK38" s="288"/>
      <c r="RHL38" s="288"/>
      <c r="RHM38" s="288"/>
      <c r="RHN38" s="288"/>
      <c r="RHO38" s="288"/>
      <c r="RHP38" s="288"/>
      <c r="RHQ38" s="288"/>
      <c r="RHR38" s="288"/>
      <c r="RHS38" s="288"/>
      <c r="RHT38" s="288"/>
      <c r="RHU38" s="288"/>
      <c r="RHV38" s="288"/>
      <c r="RHW38" s="288"/>
      <c r="RHX38" s="288"/>
      <c r="RHY38" s="288"/>
      <c r="RHZ38" s="288"/>
      <c r="RIA38" s="288"/>
      <c r="RIB38" s="288"/>
      <c r="RIC38" s="288"/>
      <c r="RID38" s="288"/>
      <c r="RIE38" s="288"/>
      <c r="RIF38" s="288"/>
      <c r="RIG38" s="288"/>
      <c r="RIH38" s="288"/>
      <c r="RII38" s="288"/>
      <c r="RIJ38" s="288"/>
      <c r="RIK38" s="288"/>
      <c r="RIL38" s="288"/>
      <c r="RIM38" s="288"/>
      <c r="RIN38" s="288"/>
      <c r="RIO38" s="288"/>
      <c r="RIP38" s="288"/>
      <c r="RIQ38" s="288"/>
      <c r="RIR38" s="288"/>
      <c r="RIS38" s="288"/>
      <c r="RIT38" s="288"/>
      <c r="RIU38" s="288"/>
      <c r="RIV38" s="288"/>
      <c r="RIW38" s="288"/>
      <c r="RIX38" s="288"/>
      <c r="RIY38" s="288"/>
      <c r="RIZ38" s="288"/>
      <c r="RJA38" s="288"/>
      <c r="RJB38" s="288"/>
      <c r="RJC38" s="288"/>
      <c r="RJD38" s="288"/>
      <c r="RJE38" s="288"/>
      <c r="RJF38" s="288"/>
      <c r="RJG38" s="288"/>
      <c r="RJH38" s="288"/>
      <c r="RJI38" s="288"/>
      <c r="RJJ38" s="288"/>
      <c r="RJK38" s="288"/>
      <c r="RJL38" s="288"/>
      <c r="RJM38" s="288"/>
      <c r="RJN38" s="288"/>
      <c r="RJO38" s="288"/>
      <c r="RJP38" s="288"/>
      <c r="RJQ38" s="288"/>
      <c r="RJR38" s="288"/>
      <c r="RJS38" s="288"/>
      <c r="RJT38" s="288"/>
      <c r="RJU38" s="288"/>
      <c r="RJV38" s="288"/>
      <c r="RJW38" s="288"/>
      <c r="RJX38" s="288"/>
      <c r="RJY38" s="288"/>
      <c r="RJZ38" s="288"/>
      <c r="RKA38" s="288"/>
      <c r="RKB38" s="288"/>
      <c r="RKC38" s="288"/>
      <c r="RKD38" s="288"/>
      <c r="RKE38" s="288"/>
      <c r="RKF38" s="288"/>
      <c r="RKG38" s="288"/>
      <c r="RKH38" s="288"/>
      <c r="RKI38" s="288"/>
      <c r="RKJ38" s="288"/>
      <c r="RKK38" s="288"/>
      <c r="RKL38" s="288"/>
      <c r="RKM38" s="288"/>
      <c r="RKN38" s="288"/>
      <c r="RKO38" s="288"/>
      <c r="RKP38" s="288"/>
      <c r="RKQ38" s="288"/>
      <c r="RKR38" s="288"/>
      <c r="RKS38" s="288"/>
      <c r="RKT38" s="288"/>
      <c r="RKU38" s="288"/>
      <c r="RKV38" s="288"/>
      <c r="RKW38" s="288"/>
      <c r="RKX38" s="288"/>
      <c r="RKY38" s="288"/>
      <c r="RKZ38" s="288"/>
      <c r="RLA38" s="288"/>
      <c r="RLB38" s="288"/>
      <c r="RLC38" s="288"/>
      <c r="RLD38" s="288"/>
      <c r="RLE38" s="288"/>
      <c r="RLF38" s="288"/>
      <c r="RLG38" s="288"/>
      <c r="RLH38" s="288"/>
      <c r="RLI38" s="288"/>
      <c r="RLJ38" s="288"/>
      <c r="RLK38" s="288"/>
      <c r="RLL38" s="288"/>
      <c r="RLM38" s="288"/>
      <c r="RLN38" s="288"/>
      <c r="RLO38" s="288"/>
      <c r="RLP38" s="288"/>
      <c r="RLQ38" s="288"/>
      <c r="RLR38" s="288"/>
      <c r="RLS38" s="288"/>
      <c r="RLT38" s="288"/>
      <c r="RLU38" s="288"/>
      <c r="RLV38" s="288"/>
      <c r="RLW38" s="288"/>
      <c r="RLX38" s="288"/>
      <c r="RLY38" s="288"/>
      <c r="RLZ38" s="288"/>
      <c r="RMA38" s="288"/>
      <c r="RMB38" s="288"/>
      <c r="RMC38" s="288"/>
      <c r="RMD38" s="288"/>
      <c r="RME38" s="288"/>
      <c r="RMF38" s="288"/>
      <c r="RMG38" s="288"/>
      <c r="RMH38" s="288"/>
      <c r="RMI38" s="288"/>
      <c r="RMJ38" s="288"/>
      <c r="RMK38" s="288"/>
      <c r="RML38" s="288"/>
      <c r="RMM38" s="288"/>
      <c r="RMN38" s="288"/>
      <c r="RMO38" s="288"/>
      <c r="RMP38" s="288"/>
      <c r="RMQ38" s="288"/>
      <c r="RMR38" s="288"/>
      <c r="RMS38" s="288"/>
      <c r="RMT38" s="288"/>
      <c r="RMU38" s="288"/>
      <c r="RMV38" s="288"/>
      <c r="RMW38" s="288"/>
      <c r="RMX38" s="288"/>
      <c r="RMY38" s="288"/>
      <c r="RMZ38" s="288"/>
      <c r="RNA38" s="288"/>
      <c r="RNB38" s="288"/>
      <c r="RNC38" s="288"/>
      <c r="RND38" s="288"/>
      <c r="RNE38" s="288"/>
      <c r="RNF38" s="288"/>
      <c r="RNG38" s="288"/>
      <c r="RNH38" s="288"/>
      <c r="RNI38" s="288"/>
      <c r="RNJ38" s="288"/>
      <c r="RNK38" s="288"/>
      <c r="RNL38" s="288"/>
      <c r="RNM38" s="288"/>
      <c r="RNN38" s="288"/>
      <c r="RNO38" s="288"/>
      <c r="RNP38" s="288"/>
      <c r="RNQ38" s="288"/>
      <c r="RNR38" s="288"/>
      <c r="RNS38" s="288"/>
      <c r="RNT38" s="288"/>
      <c r="RNU38" s="288"/>
      <c r="RNV38" s="288"/>
      <c r="RNW38" s="288"/>
      <c r="RNX38" s="288"/>
      <c r="RNY38" s="288"/>
      <c r="RNZ38" s="288"/>
      <c r="ROA38" s="288"/>
      <c r="ROB38" s="288"/>
      <c r="ROC38" s="288"/>
      <c r="ROD38" s="288"/>
      <c r="ROE38" s="288"/>
      <c r="ROF38" s="288"/>
      <c r="ROG38" s="288"/>
      <c r="ROH38" s="288"/>
      <c r="ROI38" s="288"/>
      <c r="ROJ38" s="288"/>
      <c r="ROK38" s="288"/>
      <c r="ROL38" s="288"/>
      <c r="ROM38" s="288"/>
      <c r="RON38" s="288"/>
      <c r="ROO38" s="288"/>
      <c r="ROP38" s="288"/>
      <c r="ROQ38" s="288"/>
      <c r="ROR38" s="288"/>
      <c r="ROS38" s="288"/>
      <c r="ROT38" s="288"/>
      <c r="ROU38" s="288"/>
      <c r="ROV38" s="288"/>
      <c r="ROW38" s="288"/>
      <c r="ROX38" s="288"/>
      <c r="ROY38" s="288"/>
      <c r="ROZ38" s="288"/>
      <c r="RPA38" s="288"/>
      <c r="RPB38" s="288"/>
      <c r="RPC38" s="288"/>
      <c r="RPD38" s="288"/>
      <c r="RPE38" s="288"/>
      <c r="RPF38" s="288"/>
      <c r="RPG38" s="288"/>
      <c r="RPH38" s="288"/>
      <c r="RPI38" s="288"/>
      <c r="RPJ38" s="288"/>
      <c r="RPK38" s="288"/>
      <c r="RPL38" s="288"/>
      <c r="RPM38" s="288"/>
      <c r="RPN38" s="288"/>
      <c r="RPO38" s="288"/>
      <c r="RPP38" s="288"/>
      <c r="RPQ38" s="288"/>
      <c r="RPR38" s="288"/>
      <c r="RPS38" s="288"/>
      <c r="RPT38" s="288"/>
      <c r="RPU38" s="288"/>
      <c r="RPV38" s="288"/>
      <c r="RPW38" s="288"/>
      <c r="RPX38" s="288"/>
      <c r="RPY38" s="288"/>
      <c r="RPZ38" s="288"/>
      <c r="RQA38" s="288"/>
      <c r="RQB38" s="288"/>
      <c r="RQC38" s="288"/>
      <c r="RQD38" s="288"/>
      <c r="RQE38" s="288"/>
      <c r="RQF38" s="288"/>
      <c r="RQG38" s="288"/>
      <c r="RQH38" s="288"/>
      <c r="RQI38" s="288"/>
      <c r="RQJ38" s="288"/>
      <c r="RQK38" s="288"/>
      <c r="RQL38" s="288"/>
      <c r="RQM38" s="288"/>
      <c r="RQN38" s="288"/>
      <c r="RQO38" s="288"/>
      <c r="RQP38" s="288"/>
      <c r="RQQ38" s="288"/>
      <c r="RQR38" s="288"/>
      <c r="RQS38" s="288"/>
      <c r="RQT38" s="288"/>
      <c r="RQU38" s="288"/>
      <c r="RQV38" s="288"/>
      <c r="RQW38" s="288"/>
      <c r="RQX38" s="288"/>
      <c r="RQY38" s="288"/>
      <c r="RQZ38" s="288"/>
      <c r="RRA38" s="288"/>
      <c r="RRB38" s="288"/>
      <c r="RRC38" s="288"/>
      <c r="RRD38" s="288"/>
      <c r="RRE38" s="288"/>
      <c r="RRF38" s="288"/>
      <c r="RRG38" s="288"/>
      <c r="RRH38" s="288"/>
      <c r="RRI38" s="288"/>
      <c r="RRJ38" s="288"/>
      <c r="RRK38" s="288"/>
      <c r="RRL38" s="288"/>
      <c r="RRM38" s="288"/>
      <c r="RRN38" s="288"/>
      <c r="RRO38" s="288"/>
      <c r="RRP38" s="288"/>
      <c r="RRQ38" s="288"/>
      <c r="RRR38" s="288"/>
      <c r="RRS38" s="288"/>
      <c r="RRT38" s="288"/>
      <c r="RRU38" s="288"/>
      <c r="RRV38" s="288"/>
      <c r="RRW38" s="288"/>
      <c r="RRX38" s="288"/>
      <c r="RRY38" s="288"/>
      <c r="RRZ38" s="288"/>
      <c r="RSA38" s="288"/>
      <c r="RSB38" s="288"/>
      <c r="RSC38" s="288"/>
      <c r="RSD38" s="288"/>
      <c r="RSE38" s="288"/>
      <c r="RSF38" s="288"/>
      <c r="RSG38" s="288"/>
      <c r="RSH38" s="288"/>
      <c r="RSI38" s="288"/>
      <c r="RSJ38" s="288"/>
      <c r="RSK38" s="288"/>
      <c r="RSL38" s="288"/>
      <c r="RSM38" s="288"/>
      <c r="RSN38" s="288"/>
      <c r="RSO38" s="288"/>
      <c r="RSP38" s="288"/>
      <c r="RSQ38" s="288"/>
      <c r="RSR38" s="288"/>
      <c r="RSS38" s="288"/>
      <c r="RST38" s="288"/>
      <c r="RSU38" s="288"/>
      <c r="RSV38" s="288"/>
      <c r="RSW38" s="288"/>
      <c r="RSX38" s="288"/>
      <c r="RSY38" s="288"/>
      <c r="RSZ38" s="288"/>
      <c r="RTA38" s="288"/>
      <c r="RTB38" s="288"/>
      <c r="RTC38" s="288"/>
      <c r="RTD38" s="288"/>
      <c r="RTE38" s="288"/>
      <c r="RTF38" s="288"/>
      <c r="RTG38" s="288"/>
      <c r="RTH38" s="288"/>
      <c r="RTI38" s="288"/>
      <c r="RTJ38" s="288"/>
      <c r="RTK38" s="288"/>
      <c r="RTL38" s="288"/>
      <c r="RTM38" s="288"/>
      <c r="RTN38" s="288"/>
      <c r="RTO38" s="288"/>
      <c r="RTP38" s="288"/>
      <c r="RTQ38" s="288"/>
      <c r="RTR38" s="288"/>
      <c r="RTS38" s="288"/>
      <c r="RTT38" s="288"/>
      <c r="RTU38" s="288"/>
      <c r="RTV38" s="288"/>
      <c r="RTW38" s="288"/>
      <c r="RTX38" s="288"/>
      <c r="RTY38" s="288"/>
      <c r="RTZ38" s="288"/>
      <c r="RUA38" s="288"/>
      <c r="RUB38" s="288"/>
      <c r="RUC38" s="288"/>
      <c r="RUD38" s="288"/>
      <c r="RUE38" s="288"/>
      <c r="RUF38" s="288"/>
      <c r="RUG38" s="288"/>
      <c r="RUH38" s="288"/>
      <c r="RUI38" s="288"/>
      <c r="RUJ38" s="288"/>
      <c r="RUK38" s="288"/>
      <c r="RUL38" s="288"/>
      <c r="RUM38" s="288"/>
      <c r="RUN38" s="288"/>
      <c r="RUO38" s="288"/>
      <c r="RUP38" s="288"/>
      <c r="RUQ38" s="288"/>
      <c r="RUR38" s="288"/>
      <c r="RUS38" s="288"/>
      <c r="RUT38" s="288"/>
      <c r="RUU38" s="288"/>
      <c r="RUV38" s="288"/>
      <c r="RUW38" s="288"/>
      <c r="RUX38" s="288"/>
      <c r="RUY38" s="288"/>
      <c r="RUZ38" s="288"/>
      <c r="RVA38" s="288"/>
      <c r="RVB38" s="288"/>
      <c r="RVC38" s="288"/>
      <c r="RVD38" s="288"/>
      <c r="RVE38" s="288"/>
      <c r="RVF38" s="288"/>
      <c r="RVG38" s="288"/>
      <c r="RVH38" s="288"/>
      <c r="RVI38" s="288"/>
      <c r="RVJ38" s="288"/>
      <c r="RVK38" s="288"/>
      <c r="RVL38" s="288"/>
      <c r="RVM38" s="288"/>
      <c r="RVN38" s="288"/>
      <c r="RVO38" s="288"/>
      <c r="RVP38" s="288"/>
      <c r="RVQ38" s="288"/>
      <c r="RVR38" s="288"/>
      <c r="RVS38" s="288"/>
      <c r="RVT38" s="288"/>
      <c r="RVU38" s="288"/>
      <c r="RVV38" s="288"/>
      <c r="RVW38" s="288"/>
      <c r="RVX38" s="288"/>
      <c r="RVY38" s="288"/>
      <c r="RVZ38" s="288"/>
      <c r="RWA38" s="288"/>
      <c r="RWB38" s="288"/>
      <c r="RWC38" s="288"/>
      <c r="RWD38" s="288"/>
      <c r="RWE38" s="288"/>
      <c r="RWF38" s="288"/>
      <c r="RWG38" s="288"/>
      <c r="RWH38" s="288"/>
      <c r="RWI38" s="288"/>
      <c r="RWJ38" s="288"/>
      <c r="RWK38" s="288"/>
      <c r="RWL38" s="288"/>
      <c r="RWM38" s="288"/>
      <c r="RWN38" s="288"/>
      <c r="RWO38" s="288"/>
      <c r="RWP38" s="288"/>
      <c r="RWQ38" s="288"/>
      <c r="RWR38" s="288"/>
      <c r="RWS38" s="288"/>
      <c r="RWT38" s="288"/>
      <c r="RWU38" s="288"/>
      <c r="RWV38" s="288"/>
      <c r="RWW38" s="288"/>
      <c r="RWX38" s="288"/>
      <c r="RWY38" s="288"/>
      <c r="RWZ38" s="288"/>
      <c r="RXA38" s="288"/>
      <c r="RXB38" s="288"/>
      <c r="RXC38" s="288"/>
      <c r="RXD38" s="288"/>
      <c r="RXE38" s="288"/>
      <c r="RXF38" s="288"/>
      <c r="RXG38" s="288"/>
      <c r="RXH38" s="288"/>
      <c r="RXI38" s="288"/>
      <c r="RXJ38" s="288"/>
      <c r="RXK38" s="288"/>
      <c r="RXL38" s="288"/>
      <c r="RXM38" s="288"/>
      <c r="RXN38" s="288"/>
      <c r="RXO38" s="288"/>
      <c r="RXP38" s="288"/>
      <c r="RXQ38" s="288"/>
      <c r="RXR38" s="288"/>
      <c r="RXS38" s="288"/>
      <c r="RXT38" s="288"/>
      <c r="RXU38" s="288"/>
      <c r="RXV38" s="288"/>
      <c r="RXW38" s="288"/>
      <c r="RXX38" s="288"/>
      <c r="RXY38" s="288"/>
      <c r="RXZ38" s="288"/>
      <c r="RYA38" s="288"/>
      <c r="RYB38" s="288"/>
      <c r="RYC38" s="288"/>
      <c r="RYD38" s="288"/>
      <c r="RYE38" s="288"/>
      <c r="RYF38" s="288"/>
      <c r="RYG38" s="288"/>
      <c r="RYH38" s="288"/>
      <c r="RYI38" s="288"/>
      <c r="RYJ38" s="288"/>
      <c r="RYK38" s="288"/>
      <c r="RYL38" s="288"/>
      <c r="RYM38" s="288"/>
      <c r="RYN38" s="288"/>
      <c r="RYO38" s="288"/>
      <c r="RYP38" s="288"/>
      <c r="RYQ38" s="288"/>
      <c r="RYR38" s="288"/>
      <c r="RYS38" s="288"/>
      <c r="RYT38" s="288"/>
      <c r="RYU38" s="288"/>
      <c r="RYV38" s="288"/>
      <c r="RYW38" s="288"/>
      <c r="RYX38" s="288"/>
      <c r="RYY38" s="288"/>
      <c r="RYZ38" s="288"/>
      <c r="RZA38" s="288"/>
      <c r="RZB38" s="288"/>
      <c r="RZC38" s="288"/>
      <c r="RZD38" s="288"/>
      <c r="RZE38" s="288"/>
      <c r="RZF38" s="288"/>
      <c r="RZG38" s="288"/>
      <c r="RZH38" s="288"/>
      <c r="RZI38" s="288"/>
      <c r="RZJ38" s="288"/>
      <c r="RZK38" s="288"/>
      <c r="RZL38" s="288"/>
      <c r="RZM38" s="288"/>
      <c r="RZN38" s="288"/>
      <c r="RZO38" s="288"/>
      <c r="RZP38" s="288"/>
      <c r="RZQ38" s="288"/>
      <c r="RZR38" s="288"/>
      <c r="RZS38" s="288"/>
      <c r="RZT38" s="288"/>
      <c r="RZU38" s="288"/>
      <c r="RZV38" s="288"/>
      <c r="RZW38" s="288"/>
      <c r="RZX38" s="288"/>
      <c r="RZY38" s="288"/>
      <c r="RZZ38" s="288"/>
      <c r="SAA38" s="288"/>
      <c r="SAB38" s="288"/>
      <c r="SAC38" s="288"/>
      <c r="SAD38" s="288"/>
      <c r="SAE38" s="288"/>
      <c r="SAF38" s="288"/>
      <c r="SAG38" s="288"/>
      <c r="SAH38" s="288"/>
      <c r="SAI38" s="288"/>
      <c r="SAJ38" s="288"/>
      <c r="SAK38" s="288"/>
      <c r="SAL38" s="288"/>
      <c r="SAM38" s="288"/>
      <c r="SAN38" s="288"/>
      <c r="SAO38" s="288"/>
      <c r="SAP38" s="288"/>
      <c r="SAQ38" s="288"/>
      <c r="SAR38" s="288"/>
      <c r="SAS38" s="288"/>
      <c r="SAT38" s="288"/>
      <c r="SAU38" s="288"/>
      <c r="SAV38" s="288"/>
      <c r="SAW38" s="288"/>
      <c r="SAX38" s="288"/>
      <c r="SAY38" s="288"/>
      <c r="SAZ38" s="288"/>
      <c r="SBA38" s="288"/>
      <c r="SBB38" s="288"/>
      <c r="SBC38" s="288"/>
      <c r="SBD38" s="288"/>
      <c r="SBE38" s="288"/>
      <c r="SBF38" s="288"/>
      <c r="SBG38" s="288"/>
      <c r="SBH38" s="288"/>
      <c r="SBI38" s="288"/>
      <c r="SBJ38" s="288"/>
      <c r="SBK38" s="288"/>
      <c r="SBL38" s="288"/>
      <c r="SBM38" s="288"/>
      <c r="SBN38" s="288"/>
      <c r="SBO38" s="288"/>
      <c r="SBP38" s="288"/>
      <c r="SBQ38" s="288"/>
      <c r="SBR38" s="288"/>
      <c r="SBS38" s="288"/>
      <c r="SBT38" s="288"/>
      <c r="SBU38" s="288"/>
      <c r="SBV38" s="288"/>
      <c r="SBW38" s="288"/>
      <c r="SBX38" s="288"/>
      <c r="SBY38" s="288"/>
      <c r="SBZ38" s="288"/>
      <c r="SCA38" s="288"/>
      <c r="SCB38" s="288"/>
      <c r="SCC38" s="288"/>
      <c r="SCD38" s="288"/>
      <c r="SCE38" s="288"/>
      <c r="SCF38" s="288"/>
      <c r="SCG38" s="288"/>
      <c r="SCH38" s="288"/>
      <c r="SCI38" s="288"/>
      <c r="SCJ38" s="288"/>
      <c r="SCK38" s="288"/>
      <c r="SCL38" s="288"/>
      <c r="SCM38" s="288"/>
      <c r="SCN38" s="288"/>
      <c r="SCO38" s="288"/>
      <c r="SCP38" s="288"/>
      <c r="SCQ38" s="288"/>
      <c r="SCR38" s="288"/>
      <c r="SCS38" s="288"/>
      <c r="SCT38" s="288"/>
      <c r="SCU38" s="288"/>
      <c r="SCV38" s="288"/>
      <c r="SCW38" s="288"/>
      <c r="SCX38" s="288"/>
      <c r="SCY38" s="288"/>
      <c r="SCZ38" s="288"/>
      <c r="SDA38" s="288"/>
      <c r="SDB38" s="288"/>
      <c r="SDC38" s="288"/>
      <c r="SDD38" s="288"/>
      <c r="SDE38" s="288"/>
      <c r="SDF38" s="288"/>
      <c r="SDG38" s="288"/>
      <c r="SDH38" s="288"/>
      <c r="SDI38" s="288"/>
      <c r="SDJ38" s="288"/>
      <c r="SDK38" s="288"/>
      <c r="SDL38" s="288"/>
      <c r="SDM38" s="288"/>
      <c r="SDN38" s="288"/>
      <c r="SDO38" s="288"/>
      <c r="SDP38" s="288"/>
      <c r="SDQ38" s="288"/>
      <c r="SDR38" s="288"/>
      <c r="SDS38" s="288"/>
      <c r="SDT38" s="288"/>
      <c r="SDU38" s="288"/>
      <c r="SDV38" s="288"/>
      <c r="SDW38" s="288"/>
      <c r="SDX38" s="288"/>
      <c r="SDY38" s="288"/>
      <c r="SDZ38" s="288"/>
      <c r="SEA38" s="288"/>
      <c r="SEB38" s="288"/>
      <c r="SEC38" s="288"/>
      <c r="SED38" s="288"/>
      <c r="SEE38" s="288"/>
      <c r="SEF38" s="288"/>
      <c r="SEG38" s="288"/>
      <c r="SEH38" s="288"/>
      <c r="SEI38" s="288"/>
      <c r="SEJ38" s="288"/>
      <c r="SEK38" s="288"/>
      <c r="SEL38" s="288"/>
      <c r="SEM38" s="288"/>
      <c r="SEN38" s="288"/>
      <c r="SEO38" s="288"/>
      <c r="SEP38" s="288"/>
      <c r="SEQ38" s="288"/>
      <c r="SER38" s="288"/>
      <c r="SES38" s="288"/>
      <c r="SET38" s="288"/>
      <c r="SEU38" s="288"/>
      <c r="SEV38" s="288"/>
      <c r="SEW38" s="288"/>
      <c r="SEX38" s="288"/>
      <c r="SEY38" s="288"/>
      <c r="SEZ38" s="288"/>
      <c r="SFA38" s="288"/>
      <c r="SFB38" s="288"/>
      <c r="SFC38" s="288"/>
      <c r="SFD38" s="288"/>
      <c r="SFE38" s="288"/>
      <c r="SFF38" s="288"/>
      <c r="SFG38" s="288"/>
      <c r="SFH38" s="288"/>
      <c r="SFI38" s="288"/>
      <c r="SFJ38" s="288"/>
      <c r="SFK38" s="288"/>
      <c r="SFL38" s="288"/>
      <c r="SFM38" s="288"/>
      <c r="SFN38" s="288"/>
      <c r="SFO38" s="288"/>
      <c r="SFP38" s="288"/>
      <c r="SFQ38" s="288"/>
      <c r="SFR38" s="288"/>
      <c r="SFS38" s="288"/>
      <c r="SFT38" s="288"/>
      <c r="SFU38" s="288"/>
      <c r="SFV38" s="288"/>
      <c r="SFW38" s="288"/>
      <c r="SFX38" s="288"/>
      <c r="SFY38" s="288"/>
      <c r="SFZ38" s="288"/>
      <c r="SGA38" s="288"/>
      <c r="SGB38" s="288"/>
      <c r="SGC38" s="288"/>
      <c r="SGD38" s="288"/>
      <c r="SGE38" s="288"/>
      <c r="SGF38" s="288"/>
      <c r="SGG38" s="288"/>
      <c r="SGH38" s="288"/>
      <c r="SGI38" s="288"/>
      <c r="SGJ38" s="288"/>
      <c r="SGK38" s="288"/>
      <c r="SGL38" s="288"/>
      <c r="SGM38" s="288"/>
      <c r="SGN38" s="288"/>
      <c r="SGO38" s="288"/>
      <c r="SGP38" s="288"/>
      <c r="SGQ38" s="288"/>
      <c r="SGR38" s="288"/>
      <c r="SGS38" s="288"/>
      <c r="SGT38" s="288"/>
      <c r="SGU38" s="288"/>
      <c r="SGV38" s="288"/>
      <c r="SGW38" s="288"/>
      <c r="SGX38" s="288"/>
      <c r="SGY38" s="288"/>
      <c r="SGZ38" s="288"/>
      <c r="SHA38" s="288"/>
      <c r="SHB38" s="288"/>
      <c r="SHC38" s="288"/>
      <c r="SHD38" s="288"/>
      <c r="SHE38" s="288"/>
      <c r="SHF38" s="288"/>
      <c r="SHG38" s="288"/>
      <c r="SHH38" s="288"/>
      <c r="SHI38" s="288"/>
      <c r="SHJ38" s="288"/>
      <c r="SHK38" s="288"/>
      <c r="SHL38" s="288"/>
      <c r="SHM38" s="288"/>
      <c r="SHN38" s="288"/>
      <c r="SHO38" s="288"/>
      <c r="SHP38" s="288"/>
      <c r="SHQ38" s="288"/>
      <c r="SHR38" s="288"/>
      <c r="SHS38" s="288"/>
      <c r="SHT38" s="288"/>
      <c r="SHU38" s="288"/>
      <c r="SHV38" s="288"/>
      <c r="SHW38" s="288"/>
      <c r="SHX38" s="288"/>
      <c r="SHY38" s="288"/>
      <c r="SHZ38" s="288"/>
      <c r="SIA38" s="288"/>
      <c r="SIB38" s="288"/>
      <c r="SIC38" s="288"/>
      <c r="SID38" s="288"/>
      <c r="SIE38" s="288"/>
      <c r="SIF38" s="288"/>
      <c r="SIG38" s="288"/>
      <c r="SIH38" s="288"/>
      <c r="SII38" s="288"/>
      <c r="SIJ38" s="288"/>
      <c r="SIK38" s="288"/>
      <c r="SIL38" s="288"/>
      <c r="SIM38" s="288"/>
      <c r="SIN38" s="288"/>
      <c r="SIO38" s="288"/>
      <c r="SIP38" s="288"/>
      <c r="SIQ38" s="288"/>
      <c r="SIR38" s="288"/>
      <c r="SIS38" s="288"/>
      <c r="SIT38" s="288"/>
      <c r="SIU38" s="288"/>
      <c r="SIV38" s="288"/>
      <c r="SIW38" s="288"/>
      <c r="SIX38" s="288"/>
      <c r="SIY38" s="288"/>
      <c r="SIZ38" s="288"/>
      <c r="SJA38" s="288"/>
      <c r="SJB38" s="288"/>
      <c r="SJC38" s="288"/>
      <c r="SJD38" s="288"/>
      <c r="SJE38" s="288"/>
      <c r="SJF38" s="288"/>
      <c r="SJG38" s="288"/>
      <c r="SJH38" s="288"/>
      <c r="SJI38" s="288"/>
      <c r="SJJ38" s="288"/>
      <c r="SJK38" s="288"/>
      <c r="SJL38" s="288"/>
      <c r="SJM38" s="288"/>
      <c r="SJN38" s="288"/>
      <c r="SJO38" s="288"/>
      <c r="SJP38" s="288"/>
      <c r="SJQ38" s="288"/>
      <c r="SJR38" s="288"/>
      <c r="SJS38" s="288"/>
      <c r="SJT38" s="288"/>
      <c r="SJU38" s="288"/>
      <c r="SJV38" s="288"/>
      <c r="SJW38" s="288"/>
      <c r="SJX38" s="288"/>
      <c r="SJY38" s="288"/>
      <c r="SJZ38" s="288"/>
      <c r="SKA38" s="288"/>
      <c r="SKB38" s="288"/>
      <c r="SKC38" s="288"/>
      <c r="SKD38" s="288"/>
      <c r="SKE38" s="288"/>
      <c r="SKF38" s="288"/>
      <c r="SKG38" s="288"/>
      <c r="SKH38" s="288"/>
      <c r="SKI38" s="288"/>
      <c r="SKJ38" s="288"/>
      <c r="SKK38" s="288"/>
      <c r="SKL38" s="288"/>
      <c r="SKM38" s="288"/>
      <c r="SKN38" s="288"/>
      <c r="SKO38" s="288"/>
      <c r="SKP38" s="288"/>
      <c r="SKQ38" s="288"/>
      <c r="SKR38" s="288"/>
      <c r="SKS38" s="288"/>
      <c r="SKT38" s="288"/>
      <c r="SKU38" s="288"/>
      <c r="SKV38" s="288"/>
      <c r="SKW38" s="288"/>
      <c r="SKX38" s="288"/>
      <c r="SKY38" s="288"/>
      <c r="SKZ38" s="288"/>
      <c r="SLA38" s="288"/>
      <c r="SLB38" s="288"/>
      <c r="SLC38" s="288"/>
      <c r="SLD38" s="288"/>
      <c r="SLE38" s="288"/>
      <c r="SLF38" s="288"/>
      <c r="SLG38" s="288"/>
      <c r="SLH38" s="288"/>
      <c r="SLI38" s="288"/>
      <c r="SLJ38" s="288"/>
      <c r="SLK38" s="288"/>
      <c r="SLL38" s="288"/>
      <c r="SLM38" s="288"/>
      <c r="SLN38" s="288"/>
      <c r="SLO38" s="288"/>
      <c r="SLP38" s="288"/>
      <c r="SLQ38" s="288"/>
      <c r="SLR38" s="288"/>
      <c r="SLS38" s="288"/>
      <c r="SLT38" s="288"/>
      <c r="SLU38" s="288"/>
      <c r="SLV38" s="288"/>
      <c r="SLW38" s="288"/>
      <c r="SLX38" s="288"/>
      <c r="SLY38" s="288"/>
      <c r="SLZ38" s="288"/>
      <c r="SMA38" s="288"/>
      <c r="SMB38" s="288"/>
      <c r="SMC38" s="288"/>
      <c r="SMD38" s="288"/>
      <c r="SME38" s="288"/>
      <c r="SMF38" s="288"/>
      <c r="SMG38" s="288"/>
      <c r="SMH38" s="288"/>
      <c r="SMI38" s="288"/>
      <c r="SMJ38" s="288"/>
      <c r="SMK38" s="288"/>
      <c r="SML38" s="288"/>
      <c r="SMM38" s="288"/>
      <c r="SMN38" s="288"/>
      <c r="SMO38" s="288"/>
      <c r="SMP38" s="288"/>
      <c r="SMQ38" s="288"/>
      <c r="SMR38" s="288"/>
      <c r="SMS38" s="288"/>
      <c r="SMT38" s="288"/>
      <c r="SMU38" s="288"/>
      <c r="SMV38" s="288"/>
      <c r="SMW38" s="288"/>
      <c r="SMX38" s="288"/>
      <c r="SMY38" s="288"/>
      <c r="SMZ38" s="288"/>
      <c r="SNA38" s="288"/>
      <c r="SNB38" s="288"/>
      <c r="SNC38" s="288"/>
      <c r="SND38" s="288"/>
      <c r="SNE38" s="288"/>
      <c r="SNF38" s="288"/>
      <c r="SNG38" s="288"/>
      <c r="SNH38" s="288"/>
      <c r="SNI38" s="288"/>
      <c r="SNJ38" s="288"/>
      <c r="SNK38" s="288"/>
      <c r="SNL38" s="288"/>
      <c r="SNM38" s="288"/>
      <c r="SNN38" s="288"/>
      <c r="SNO38" s="288"/>
      <c r="SNP38" s="288"/>
      <c r="SNQ38" s="288"/>
      <c r="SNR38" s="288"/>
      <c r="SNS38" s="288"/>
      <c r="SNT38" s="288"/>
      <c r="SNU38" s="288"/>
      <c r="SNV38" s="288"/>
      <c r="SNW38" s="288"/>
      <c r="SNX38" s="288"/>
      <c r="SNY38" s="288"/>
      <c r="SNZ38" s="288"/>
      <c r="SOA38" s="288"/>
      <c r="SOB38" s="288"/>
      <c r="SOC38" s="288"/>
      <c r="SOD38" s="288"/>
      <c r="SOE38" s="288"/>
      <c r="SOF38" s="288"/>
      <c r="SOG38" s="288"/>
      <c r="SOH38" s="288"/>
      <c r="SOI38" s="288"/>
      <c r="SOJ38" s="288"/>
      <c r="SOK38" s="288"/>
      <c r="SOL38" s="288"/>
      <c r="SOM38" s="288"/>
      <c r="SON38" s="288"/>
      <c r="SOO38" s="288"/>
      <c r="SOP38" s="288"/>
      <c r="SOQ38" s="288"/>
      <c r="SOR38" s="288"/>
      <c r="SOS38" s="288"/>
      <c r="SOT38" s="288"/>
      <c r="SOU38" s="288"/>
      <c r="SOV38" s="288"/>
      <c r="SOW38" s="288"/>
      <c r="SOX38" s="288"/>
      <c r="SOY38" s="288"/>
      <c r="SOZ38" s="288"/>
      <c r="SPA38" s="288"/>
      <c r="SPB38" s="288"/>
      <c r="SPC38" s="288"/>
      <c r="SPD38" s="288"/>
      <c r="SPE38" s="288"/>
      <c r="SPF38" s="288"/>
      <c r="SPG38" s="288"/>
      <c r="SPH38" s="288"/>
      <c r="SPI38" s="288"/>
      <c r="SPJ38" s="288"/>
      <c r="SPK38" s="288"/>
      <c r="SPL38" s="288"/>
      <c r="SPM38" s="288"/>
      <c r="SPN38" s="288"/>
      <c r="SPO38" s="288"/>
      <c r="SPP38" s="288"/>
      <c r="SPQ38" s="288"/>
      <c r="SPR38" s="288"/>
      <c r="SPS38" s="288"/>
      <c r="SPT38" s="288"/>
      <c r="SPU38" s="288"/>
      <c r="SPV38" s="288"/>
      <c r="SPW38" s="288"/>
      <c r="SPX38" s="288"/>
      <c r="SPY38" s="288"/>
      <c r="SPZ38" s="288"/>
      <c r="SQA38" s="288"/>
      <c r="SQB38" s="288"/>
      <c r="SQC38" s="288"/>
      <c r="SQD38" s="288"/>
      <c r="SQE38" s="288"/>
      <c r="SQF38" s="288"/>
      <c r="SQG38" s="288"/>
      <c r="SQH38" s="288"/>
      <c r="SQI38" s="288"/>
      <c r="SQJ38" s="288"/>
      <c r="SQK38" s="288"/>
      <c r="SQL38" s="288"/>
      <c r="SQM38" s="288"/>
      <c r="SQN38" s="288"/>
      <c r="SQO38" s="288"/>
      <c r="SQP38" s="288"/>
      <c r="SQQ38" s="288"/>
      <c r="SQR38" s="288"/>
      <c r="SQS38" s="288"/>
      <c r="SQT38" s="288"/>
      <c r="SQU38" s="288"/>
      <c r="SQV38" s="288"/>
      <c r="SQW38" s="288"/>
      <c r="SQX38" s="288"/>
      <c r="SQY38" s="288"/>
      <c r="SQZ38" s="288"/>
      <c r="SRA38" s="288"/>
      <c r="SRB38" s="288"/>
      <c r="SRC38" s="288"/>
      <c r="SRD38" s="288"/>
      <c r="SRE38" s="288"/>
      <c r="SRF38" s="288"/>
      <c r="SRG38" s="288"/>
      <c r="SRH38" s="288"/>
      <c r="SRI38" s="288"/>
      <c r="SRJ38" s="288"/>
      <c r="SRK38" s="288"/>
      <c r="SRL38" s="288"/>
      <c r="SRM38" s="288"/>
      <c r="SRN38" s="288"/>
      <c r="SRO38" s="288"/>
      <c r="SRP38" s="288"/>
      <c r="SRQ38" s="288"/>
      <c r="SRR38" s="288"/>
      <c r="SRS38" s="288"/>
      <c r="SRT38" s="288"/>
      <c r="SRU38" s="288"/>
      <c r="SRV38" s="288"/>
      <c r="SRW38" s="288"/>
      <c r="SRX38" s="288"/>
      <c r="SRY38" s="288"/>
      <c r="SRZ38" s="288"/>
      <c r="SSA38" s="288"/>
      <c r="SSB38" s="288"/>
      <c r="SSC38" s="288"/>
      <c r="SSD38" s="288"/>
      <c r="SSE38" s="288"/>
      <c r="SSF38" s="288"/>
      <c r="SSG38" s="288"/>
      <c r="SSH38" s="288"/>
      <c r="SSI38" s="288"/>
      <c r="SSJ38" s="288"/>
      <c r="SSK38" s="288"/>
      <c r="SSL38" s="288"/>
      <c r="SSM38" s="288"/>
      <c r="SSN38" s="288"/>
      <c r="SSO38" s="288"/>
      <c r="SSP38" s="288"/>
      <c r="SSQ38" s="288"/>
      <c r="SSR38" s="288"/>
      <c r="SSS38" s="288"/>
      <c r="SST38" s="288"/>
      <c r="SSU38" s="288"/>
      <c r="SSV38" s="288"/>
      <c r="SSW38" s="288"/>
      <c r="SSX38" s="288"/>
      <c r="SSY38" s="288"/>
      <c r="SSZ38" s="288"/>
      <c r="STA38" s="288"/>
      <c r="STB38" s="288"/>
      <c r="STC38" s="288"/>
      <c r="STD38" s="288"/>
      <c r="STE38" s="288"/>
      <c r="STF38" s="288"/>
      <c r="STG38" s="288"/>
      <c r="STH38" s="288"/>
      <c r="STI38" s="288"/>
      <c r="STJ38" s="288"/>
      <c r="STK38" s="288"/>
      <c r="STL38" s="288"/>
      <c r="STM38" s="288"/>
      <c r="STN38" s="288"/>
      <c r="STO38" s="288"/>
      <c r="STP38" s="288"/>
      <c r="STQ38" s="288"/>
      <c r="STR38" s="288"/>
      <c r="STS38" s="288"/>
      <c r="STT38" s="288"/>
      <c r="STU38" s="288"/>
      <c r="STV38" s="288"/>
      <c r="STW38" s="288"/>
      <c r="STX38" s="288"/>
      <c r="STY38" s="288"/>
      <c r="STZ38" s="288"/>
      <c r="SUA38" s="288"/>
      <c r="SUB38" s="288"/>
      <c r="SUC38" s="288"/>
      <c r="SUD38" s="288"/>
      <c r="SUE38" s="288"/>
      <c r="SUF38" s="288"/>
      <c r="SUG38" s="288"/>
      <c r="SUH38" s="288"/>
      <c r="SUI38" s="288"/>
      <c r="SUJ38" s="288"/>
      <c r="SUK38" s="288"/>
      <c r="SUL38" s="288"/>
      <c r="SUM38" s="288"/>
      <c r="SUN38" s="288"/>
      <c r="SUO38" s="288"/>
      <c r="SUP38" s="288"/>
      <c r="SUQ38" s="288"/>
      <c r="SUR38" s="288"/>
      <c r="SUS38" s="288"/>
      <c r="SUT38" s="288"/>
      <c r="SUU38" s="288"/>
      <c r="SUV38" s="288"/>
      <c r="SUW38" s="288"/>
      <c r="SUX38" s="288"/>
      <c r="SUY38" s="288"/>
      <c r="SUZ38" s="288"/>
      <c r="SVA38" s="288"/>
      <c r="SVB38" s="288"/>
      <c r="SVC38" s="288"/>
      <c r="SVD38" s="288"/>
      <c r="SVE38" s="288"/>
      <c r="SVF38" s="288"/>
      <c r="SVG38" s="288"/>
      <c r="SVH38" s="288"/>
      <c r="SVI38" s="288"/>
      <c r="SVJ38" s="288"/>
      <c r="SVK38" s="288"/>
      <c r="SVL38" s="288"/>
      <c r="SVM38" s="288"/>
      <c r="SVN38" s="288"/>
      <c r="SVO38" s="288"/>
      <c r="SVP38" s="288"/>
      <c r="SVQ38" s="288"/>
      <c r="SVR38" s="288"/>
      <c r="SVS38" s="288"/>
      <c r="SVT38" s="288"/>
      <c r="SVU38" s="288"/>
      <c r="SVV38" s="288"/>
      <c r="SVW38" s="288"/>
      <c r="SVX38" s="288"/>
      <c r="SVY38" s="288"/>
      <c r="SVZ38" s="288"/>
      <c r="SWA38" s="288"/>
      <c r="SWB38" s="288"/>
      <c r="SWC38" s="288"/>
      <c r="SWD38" s="288"/>
      <c r="SWE38" s="288"/>
      <c r="SWF38" s="288"/>
      <c r="SWG38" s="288"/>
      <c r="SWH38" s="288"/>
      <c r="SWI38" s="288"/>
      <c r="SWJ38" s="288"/>
      <c r="SWK38" s="288"/>
      <c r="SWL38" s="288"/>
      <c r="SWM38" s="288"/>
      <c r="SWN38" s="288"/>
      <c r="SWO38" s="288"/>
      <c r="SWP38" s="288"/>
      <c r="SWQ38" s="288"/>
      <c r="SWR38" s="288"/>
      <c r="SWS38" s="288"/>
      <c r="SWT38" s="288"/>
      <c r="SWU38" s="288"/>
      <c r="SWV38" s="288"/>
      <c r="SWW38" s="288"/>
      <c r="SWX38" s="288"/>
      <c r="SWY38" s="288"/>
      <c r="SWZ38" s="288"/>
      <c r="SXA38" s="288"/>
      <c r="SXB38" s="288"/>
      <c r="SXC38" s="288"/>
      <c r="SXD38" s="288"/>
      <c r="SXE38" s="288"/>
      <c r="SXF38" s="288"/>
      <c r="SXG38" s="288"/>
      <c r="SXH38" s="288"/>
      <c r="SXI38" s="288"/>
      <c r="SXJ38" s="288"/>
      <c r="SXK38" s="288"/>
      <c r="SXL38" s="288"/>
      <c r="SXM38" s="288"/>
      <c r="SXN38" s="288"/>
      <c r="SXO38" s="288"/>
      <c r="SXP38" s="288"/>
      <c r="SXQ38" s="288"/>
      <c r="SXR38" s="288"/>
      <c r="SXS38" s="288"/>
      <c r="SXT38" s="288"/>
      <c r="SXU38" s="288"/>
      <c r="SXV38" s="288"/>
      <c r="SXW38" s="288"/>
      <c r="SXX38" s="288"/>
      <c r="SXY38" s="288"/>
      <c r="SXZ38" s="288"/>
      <c r="SYA38" s="288"/>
      <c r="SYB38" s="288"/>
      <c r="SYC38" s="288"/>
      <c r="SYD38" s="288"/>
      <c r="SYE38" s="288"/>
      <c r="SYF38" s="288"/>
      <c r="SYG38" s="288"/>
      <c r="SYH38" s="288"/>
      <c r="SYI38" s="288"/>
      <c r="SYJ38" s="288"/>
      <c r="SYK38" s="288"/>
      <c r="SYL38" s="288"/>
      <c r="SYM38" s="288"/>
      <c r="SYN38" s="288"/>
      <c r="SYO38" s="288"/>
      <c r="SYP38" s="288"/>
      <c r="SYQ38" s="288"/>
      <c r="SYR38" s="288"/>
      <c r="SYS38" s="288"/>
      <c r="SYT38" s="288"/>
      <c r="SYU38" s="288"/>
      <c r="SYV38" s="288"/>
      <c r="SYW38" s="288"/>
      <c r="SYX38" s="288"/>
      <c r="SYY38" s="288"/>
      <c r="SYZ38" s="288"/>
      <c r="SZA38" s="288"/>
      <c r="SZB38" s="288"/>
      <c r="SZC38" s="288"/>
      <c r="SZD38" s="288"/>
      <c r="SZE38" s="288"/>
      <c r="SZF38" s="288"/>
      <c r="SZG38" s="288"/>
      <c r="SZH38" s="288"/>
      <c r="SZI38" s="288"/>
      <c r="SZJ38" s="288"/>
      <c r="SZK38" s="288"/>
      <c r="SZL38" s="288"/>
      <c r="SZM38" s="288"/>
      <c r="SZN38" s="288"/>
      <c r="SZO38" s="288"/>
      <c r="SZP38" s="288"/>
      <c r="SZQ38" s="288"/>
      <c r="SZR38" s="288"/>
      <c r="SZS38" s="288"/>
      <c r="SZT38" s="288"/>
      <c r="SZU38" s="288"/>
      <c r="SZV38" s="288"/>
      <c r="SZW38" s="288"/>
      <c r="SZX38" s="288"/>
      <c r="SZY38" s="288"/>
      <c r="SZZ38" s="288"/>
      <c r="TAA38" s="288"/>
      <c r="TAB38" s="288"/>
      <c r="TAC38" s="288"/>
      <c r="TAD38" s="288"/>
      <c r="TAE38" s="288"/>
      <c r="TAF38" s="288"/>
      <c r="TAG38" s="288"/>
      <c r="TAH38" s="288"/>
      <c r="TAI38" s="288"/>
      <c r="TAJ38" s="288"/>
      <c r="TAK38" s="288"/>
      <c r="TAL38" s="288"/>
      <c r="TAM38" s="288"/>
      <c r="TAN38" s="288"/>
      <c r="TAO38" s="288"/>
      <c r="TAP38" s="288"/>
      <c r="TAQ38" s="288"/>
      <c r="TAR38" s="288"/>
      <c r="TAS38" s="288"/>
      <c r="TAT38" s="288"/>
      <c r="TAU38" s="288"/>
      <c r="TAV38" s="288"/>
      <c r="TAW38" s="288"/>
      <c r="TAX38" s="288"/>
      <c r="TAY38" s="288"/>
      <c r="TAZ38" s="288"/>
      <c r="TBA38" s="288"/>
      <c r="TBB38" s="288"/>
      <c r="TBC38" s="288"/>
      <c r="TBD38" s="288"/>
      <c r="TBE38" s="288"/>
      <c r="TBF38" s="288"/>
      <c r="TBG38" s="288"/>
      <c r="TBH38" s="288"/>
      <c r="TBI38" s="288"/>
      <c r="TBJ38" s="288"/>
      <c r="TBK38" s="288"/>
      <c r="TBL38" s="288"/>
      <c r="TBM38" s="288"/>
      <c r="TBN38" s="288"/>
      <c r="TBO38" s="288"/>
      <c r="TBP38" s="288"/>
      <c r="TBQ38" s="288"/>
      <c r="TBR38" s="288"/>
      <c r="TBS38" s="288"/>
      <c r="TBT38" s="288"/>
      <c r="TBU38" s="288"/>
      <c r="TBV38" s="288"/>
      <c r="TBW38" s="288"/>
      <c r="TBX38" s="288"/>
      <c r="TBY38" s="288"/>
      <c r="TBZ38" s="288"/>
      <c r="TCA38" s="288"/>
      <c r="TCB38" s="288"/>
      <c r="TCC38" s="288"/>
      <c r="TCD38" s="288"/>
      <c r="TCE38" s="288"/>
      <c r="TCF38" s="288"/>
      <c r="TCG38" s="288"/>
      <c r="TCH38" s="288"/>
      <c r="TCI38" s="288"/>
      <c r="TCJ38" s="288"/>
      <c r="TCK38" s="288"/>
      <c r="TCL38" s="288"/>
      <c r="TCM38" s="288"/>
      <c r="TCN38" s="288"/>
      <c r="TCO38" s="288"/>
      <c r="TCP38" s="288"/>
      <c r="TCQ38" s="288"/>
      <c r="TCR38" s="288"/>
      <c r="TCS38" s="288"/>
      <c r="TCT38" s="288"/>
      <c r="TCU38" s="288"/>
      <c r="TCV38" s="288"/>
      <c r="TCW38" s="288"/>
      <c r="TCX38" s="288"/>
      <c r="TCY38" s="288"/>
      <c r="TCZ38" s="288"/>
      <c r="TDA38" s="288"/>
      <c r="TDB38" s="288"/>
      <c r="TDC38" s="288"/>
      <c r="TDD38" s="288"/>
      <c r="TDE38" s="288"/>
      <c r="TDF38" s="288"/>
      <c r="TDG38" s="288"/>
      <c r="TDH38" s="288"/>
      <c r="TDI38" s="288"/>
      <c r="TDJ38" s="288"/>
      <c r="TDK38" s="288"/>
      <c r="TDL38" s="288"/>
      <c r="TDM38" s="288"/>
      <c r="TDN38" s="288"/>
      <c r="TDO38" s="288"/>
      <c r="TDP38" s="288"/>
      <c r="TDQ38" s="288"/>
      <c r="TDR38" s="288"/>
      <c r="TDS38" s="288"/>
      <c r="TDT38" s="288"/>
      <c r="TDU38" s="288"/>
      <c r="TDV38" s="288"/>
      <c r="TDW38" s="288"/>
      <c r="TDX38" s="288"/>
      <c r="TDY38" s="288"/>
      <c r="TDZ38" s="288"/>
      <c r="TEA38" s="288"/>
      <c r="TEB38" s="288"/>
      <c r="TEC38" s="288"/>
      <c r="TED38" s="288"/>
      <c r="TEE38" s="288"/>
      <c r="TEF38" s="288"/>
      <c r="TEG38" s="288"/>
      <c r="TEH38" s="288"/>
      <c r="TEI38" s="288"/>
      <c r="TEJ38" s="288"/>
      <c r="TEK38" s="288"/>
      <c r="TEL38" s="288"/>
      <c r="TEM38" s="288"/>
      <c r="TEN38" s="288"/>
      <c r="TEO38" s="288"/>
      <c r="TEP38" s="288"/>
      <c r="TEQ38" s="288"/>
      <c r="TER38" s="288"/>
      <c r="TES38" s="288"/>
      <c r="TET38" s="288"/>
      <c r="TEU38" s="288"/>
      <c r="TEV38" s="288"/>
      <c r="TEW38" s="288"/>
      <c r="TEX38" s="288"/>
      <c r="TEY38" s="288"/>
      <c r="TEZ38" s="288"/>
      <c r="TFA38" s="288"/>
      <c r="TFB38" s="288"/>
      <c r="TFC38" s="288"/>
      <c r="TFD38" s="288"/>
      <c r="TFE38" s="288"/>
      <c r="TFF38" s="288"/>
      <c r="TFG38" s="288"/>
      <c r="TFH38" s="288"/>
      <c r="TFI38" s="288"/>
      <c r="TFJ38" s="288"/>
      <c r="TFK38" s="288"/>
      <c r="TFL38" s="288"/>
      <c r="TFM38" s="288"/>
      <c r="TFN38" s="288"/>
      <c r="TFO38" s="288"/>
      <c r="TFP38" s="288"/>
      <c r="TFQ38" s="288"/>
      <c r="TFR38" s="288"/>
      <c r="TFS38" s="288"/>
      <c r="TFT38" s="288"/>
      <c r="TFU38" s="288"/>
      <c r="TFV38" s="288"/>
      <c r="TFW38" s="288"/>
      <c r="TFX38" s="288"/>
      <c r="TFY38" s="288"/>
      <c r="TFZ38" s="288"/>
      <c r="TGA38" s="288"/>
      <c r="TGB38" s="288"/>
      <c r="TGC38" s="288"/>
      <c r="TGD38" s="288"/>
      <c r="TGE38" s="288"/>
      <c r="TGF38" s="288"/>
      <c r="TGG38" s="288"/>
      <c r="TGH38" s="288"/>
      <c r="TGI38" s="288"/>
      <c r="TGJ38" s="288"/>
      <c r="TGK38" s="288"/>
      <c r="TGL38" s="288"/>
      <c r="TGM38" s="288"/>
      <c r="TGN38" s="288"/>
      <c r="TGO38" s="288"/>
      <c r="TGP38" s="288"/>
      <c r="TGQ38" s="288"/>
      <c r="TGR38" s="288"/>
      <c r="TGS38" s="288"/>
      <c r="TGT38" s="288"/>
      <c r="TGU38" s="288"/>
      <c r="TGV38" s="288"/>
      <c r="TGW38" s="288"/>
      <c r="TGX38" s="288"/>
      <c r="TGY38" s="288"/>
      <c r="TGZ38" s="288"/>
      <c r="THA38" s="288"/>
      <c r="THB38" s="288"/>
      <c r="THC38" s="288"/>
      <c r="THD38" s="288"/>
      <c r="THE38" s="288"/>
      <c r="THF38" s="288"/>
      <c r="THG38" s="288"/>
      <c r="THH38" s="288"/>
      <c r="THI38" s="288"/>
      <c r="THJ38" s="288"/>
      <c r="THK38" s="288"/>
      <c r="THL38" s="288"/>
      <c r="THM38" s="288"/>
      <c r="THN38" s="288"/>
      <c r="THO38" s="288"/>
      <c r="THP38" s="288"/>
      <c r="THQ38" s="288"/>
      <c r="THR38" s="288"/>
      <c r="THS38" s="288"/>
      <c r="THT38" s="288"/>
      <c r="THU38" s="288"/>
      <c r="THV38" s="288"/>
      <c r="THW38" s="288"/>
      <c r="THX38" s="288"/>
      <c r="THY38" s="288"/>
      <c r="THZ38" s="288"/>
      <c r="TIA38" s="288"/>
      <c r="TIB38" s="288"/>
      <c r="TIC38" s="288"/>
      <c r="TID38" s="288"/>
      <c r="TIE38" s="288"/>
      <c r="TIF38" s="288"/>
      <c r="TIG38" s="288"/>
      <c r="TIH38" s="288"/>
      <c r="TII38" s="288"/>
      <c r="TIJ38" s="288"/>
      <c r="TIK38" s="288"/>
      <c r="TIL38" s="288"/>
      <c r="TIM38" s="288"/>
      <c r="TIN38" s="288"/>
      <c r="TIO38" s="288"/>
      <c r="TIP38" s="288"/>
      <c r="TIQ38" s="288"/>
      <c r="TIR38" s="288"/>
      <c r="TIS38" s="288"/>
      <c r="TIT38" s="288"/>
      <c r="TIU38" s="288"/>
      <c r="TIV38" s="288"/>
      <c r="TIW38" s="288"/>
      <c r="TIX38" s="288"/>
      <c r="TIY38" s="288"/>
      <c r="TIZ38" s="288"/>
      <c r="TJA38" s="288"/>
      <c r="TJB38" s="288"/>
      <c r="TJC38" s="288"/>
      <c r="TJD38" s="288"/>
      <c r="TJE38" s="288"/>
      <c r="TJF38" s="288"/>
      <c r="TJG38" s="288"/>
      <c r="TJH38" s="288"/>
      <c r="TJI38" s="288"/>
      <c r="TJJ38" s="288"/>
      <c r="TJK38" s="288"/>
      <c r="TJL38" s="288"/>
      <c r="TJM38" s="288"/>
      <c r="TJN38" s="288"/>
      <c r="TJO38" s="288"/>
      <c r="TJP38" s="288"/>
      <c r="TJQ38" s="288"/>
      <c r="TJR38" s="288"/>
      <c r="TJS38" s="288"/>
      <c r="TJT38" s="288"/>
      <c r="TJU38" s="288"/>
      <c r="TJV38" s="288"/>
      <c r="TJW38" s="288"/>
      <c r="TJX38" s="288"/>
      <c r="TJY38" s="288"/>
      <c r="TJZ38" s="288"/>
      <c r="TKA38" s="288"/>
      <c r="TKB38" s="288"/>
      <c r="TKC38" s="288"/>
      <c r="TKD38" s="288"/>
      <c r="TKE38" s="288"/>
      <c r="TKF38" s="288"/>
      <c r="TKG38" s="288"/>
      <c r="TKH38" s="288"/>
      <c r="TKI38" s="288"/>
      <c r="TKJ38" s="288"/>
      <c r="TKK38" s="288"/>
      <c r="TKL38" s="288"/>
      <c r="TKM38" s="288"/>
      <c r="TKN38" s="288"/>
      <c r="TKO38" s="288"/>
      <c r="TKP38" s="288"/>
      <c r="TKQ38" s="288"/>
      <c r="TKR38" s="288"/>
      <c r="TKS38" s="288"/>
      <c r="TKT38" s="288"/>
      <c r="TKU38" s="288"/>
      <c r="TKV38" s="288"/>
      <c r="TKW38" s="288"/>
      <c r="TKX38" s="288"/>
      <c r="TKY38" s="288"/>
      <c r="TKZ38" s="288"/>
      <c r="TLA38" s="288"/>
      <c r="TLB38" s="288"/>
      <c r="TLC38" s="288"/>
      <c r="TLD38" s="288"/>
      <c r="TLE38" s="288"/>
      <c r="TLF38" s="288"/>
      <c r="TLG38" s="288"/>
      <c r="TLH38" s="288"/>
      <c r="TLI38" s="288"/>
      <c r="TLJ38" s="288"/>
      <c r="TLK38" s="288"/>
      <c r="TLL38" s="288"/>
      <c r="TLM38" s="288"/>
      <c r="TLN38" s="288"/>
      <c r="TLO38" s="288"/>
      <c r="TLP38" s="288"/>
      <c r="TLQ38" s="288"/>
      <c r="TLR38" s="288"/>
      <c r="TLS38" s="288"/>
      <c r="TLT38" s="288"/>
      <c r="TLU38" s="288"/>
      <c r="TLV38" s="288"/>
      <c r="TLW38" s="288"/>
      <c r="TLX38" s="288"/>
      <c r="TLY38" s="288"/>
      <c r="TLZ38" s="288"/>
      <c r="TMA38" s="288"/>
      <c r="TMB38" s="288"/>
      <c r="TMC38" s="288"/>
      <c r="TMD38" s="288"/>
      <c r="TME38" s="288"/>
      <c r="TMF38" s="288"/>
      <c r="TMG38" s="288"/>
      <c r="TMH38" s="288"/>
      <c r="TMI38" s="288"/>
      <c r="TMJ38" s="288"/>
      <c r="TMK38" s="288"/>
      <c r="TML38" s="288"/>
      <c r="TMM38" s="288"/>
      <c r="TMN38" s="288"/>
      <c r="TMO38" s="288"/>
      <c r="TMP38" s="288"/>
      <c r="TMQ38" s="288"/>
      <c r="TMR38" s="288"/>
      <c r="TMS38" s="288"/>
      <c r="TMT38" s="288"/>
      <c r="TMU38" s="288"/>
      <c r="TMV38" s="288"/>
      <c r="TMW38" s="288"/>
      <c r="TMX38" s="288"/>
      <c r="TMY38" s="288"/>
      <c r="TMZ38" s="288"/>
      <c r="TNA38" s="288"/>
      <c r="TNB38" s="288"/>
      <c r="TNC38" s="288"/>
      <c r="TND38" s="288"/>
      <c r="TNE38" s="288"/>
      <c r="TNF38" s="288"/>
      <c r="TNG38" s="288"/>
      <c r="TNH38" s="288"/>
      <c r="TNI38" s="288"/>
      <c r="TNJ38" s="288"/>
      <c r="TNK38" s="288"/>
      <c r="TNL38" s="288"/>
      <c r="TNM38" s="288"/>
      <c r="TNN38" s="288"/>
      <c r="TNO38" s="288"/>
      <c r="TNP38" s="288"/>
      <c r="TNQ38" s="288"/>
      <c r="TNR38" s="288"/>
      <c r="TNS38" s="288"/>
      <c r="TNT38" s="288"/>
      <c r="TNU38" s="288"/>
      <c r="TNV38" s="288"/>
      <c r="TNW38" s="288"/>
      <c r="TNX38" s="288"/>
      <c r="TNY38" s="288"/>
      <c r="TNZ38" s="288"/>
      <c r="TOA38" s="288"/>
      <c r="TOB38" s="288"/>
      <c r="TOC38" s="288"/>
      <c r="TOD38" s="288"/>
      <c r="TOE38" s="288"/>
      <c r="TOF38" s="288"/>
      <c r="TOG38" s="288"/>
      <c r="TOH38" s="288"/>
      <c r="TOI38" s="288"/>
      <c r="TOJ38" s="288"/>
      <c r="TOK38" s="288"/>
      <c r="TOL38" s="288"/>
      <c r="TOM38" s="288"/>
      <c r="TON38" s="288"/>
      <c r="TOO38" s="288"/>
      <c r="TOP38" s="288"/>
      <c r="TOQ38" s="288"/>
      <c r="TOR38" s="288"/>
      <c r="TOS38" s="288"/>
      <c r="TOT38" s="288"/>
      <c r="TOU38" s="288"/>
      <c r="TOV38" s="288"/>
      <c r="TOW38" s="288"/>
      <c r="TOX38" s="288"/>
      <c r="TOY38" s="288"/>
      <c r="TOZ38" s="288"/>
      <c r="TPA38" s="288"/>
      <c r="TPB38" s="288"/>
      <c r="TPC38" s="288"/>
      <c r="TPD38" s="288"/>
      <c r="TPE38" s="288"/>
      <c r="TPF38" s="288"/>
      <c r="TPG38" s="288"/>
      <c r="TPH38" s="288"/>
      <c r="TPI38" s="288"/>
      <c r="TPJ38" s="288"/>
      <c r="TPK38" s="288"/>
      <c r="TPL38" s="288"/>
      <c r="TPM38" s="288"/>
      <c r="TPN38" s="288"/>
      <c r="TPO38" s="288"/>
      <c r="TPP38" s="288"/>
      <c r="TPQ38" s="288"/>
      <c r="TPR38" s="288"/>
      <c r="TPS38" s="288"/>
      <c r="TPT38" s="288"/>
      <c r="TPU38" s="288"/>
      <c r="TPV38" s="288"/>
      <c r="TPW38" s="288"/>
      <c r="TPX38" s="288"/>
      <c r="TPY38" s="288"/>
      <c r="TPZ38" s="288"/>
      <c r="TQA38" s="288"/>
      <c r="TQB38" s="288"/>
      <c r="TQC38" s="288"/>
      <c r="TQD38" s="288"/>
      <c r="TQE38" s="288"/>
      <c r="TQF38" s="288"/>
      <c r="TQG38" s="288"/>
      <c r="TQH38" s="288"/>
      <c r="TQI38" s="288"/>
      <c r="TQJ38" s="288"/>
      <c r="TQK38" s="288"/>
      <c r="TQL38" s="288"/>
      <c r="TQM38" s="288"/>
      <c r="TQN38" s="288"/>
      <c r="TQO38" s="288"/>
      <c r="TQP38" s="288"/>
      <c r="TQQ38" s="288"/>
      <c r="TQR38" s="288"/>
      <c r="TQS38" s="288"/>
      <c r="TQT38" s="288"/>
      <c r="TQU38" s="288"/>
      <c r="TQV38" s="288"/>
      <c r="TQW38" s="288"/>
      <c r="TQX38" s="288"/>
      <c r="TQY38" s="288"/>
      <c r="TQZ38" s="288"/>
      <c r="TRA38" s="288"/>
      <c r="TRB38" s="288"/>
      <c r="TRC38" s="288"/>
      <c r="TRD38" s="288"/>
      <c r="TRE38" s="288"/>
      <c r="TRF38" s="288"/>
      <c r="TRG38" s="288"/>
      <c r="TRH38" s="288"/>
      <c r="TRI38" s="288"/>
      <c r="TRJ38" s="288"/>
      <c r="TRK38" s="288"/>
      <c r="TRL38" s="288"/>
      <c r="TRM38" s="288"/>
      <c r="TRN38" s="288"/>
      <c r="TRO38" s="288"/>
      <c r="TRP38" s="288"/>
      <c r="TRQ38" s="288"/>
      <c r="TRR38" s="288"/>
      <c r="TRS38" s="288"/>
      <c r="TRT38" s="288"/>
      <c r="TRU38" s="288"/>
      <c r="TRV38" s="288"/>
      <c r="TRW38" s="288"/>
      <c r="TRX38" s="288"/>
      <c r="TRY38" s="288"/>
      <c r="TRZ38" s="288"/>
      <c r="TSA38" s="288"/>
      <c r="TSB38" s="288"/>
      <c r="TSC38" s="288"/>
      <c r="TSD38" s="288"/>
      <c r="TSE38" s="288"/>
      <c r="TSF38" s="288"/>
      <c r="TSG38" s="288"/>
      <c r="TSH38" s="288"/>
      <c r="TSI38" s="288"/>
      <c r="TSJ38" s="288"/>
      <c r="TSK38" s="288"/>
      <c r="TSL38" s="288"/>
      <c r="TSM38" s="288"/>
      <c r="TSN38" s="288"/>
      <c r="TSO38" s="288"/>
      <c r="TSP38" s="288"/>
      <c r="TSQ38" s="288"/>
      <c r="TSR38" s="288"/>
      <c r="TSS38" s="288"/>
      <c r="TST38" s="288"/>
      <c r="TSU38" s="288"/>
      <c r="TSV38" s="288"/>
      <c r="TSW38" s="288"/>
      <c r="TSX38" s="288"/>
      <c r="TSY38" s="288"/>
      <c r="TSZ38" s="288"/>
      <c r="TTA38" s="288"/>
      <c r="TTB38" s="288"/>
      <c r="TTC38" s="288"/>
      <c r="TTD38" s="288"/>
      <c r="TTE38" s="288"/>
      <c r="TTF38" s="288"/>
      <c r="TTG38" s="288"/>
      <c r="TTH38" s="288"/>
      <c r="TTI38" s="288"/>
      <c r="TTJ38" s="288"/>
      <c r="TTK38" s="288"/>
      <c r="TTL38" s="288"/>
      <c r="TTM38" s="288"/>
      <c r="TTN38" s="288"/>
      <c r="TTO38" s="288"/>
      <c r="TTP38" s="288"/>
      <c r="TTQ38" s="288"/>
      <c r="TTR38" s="288"/>
      <c r="TTS38" s="288"/>
      <c r="TTT38" s="288"/>
      <c r="TTU38" s="288"/>
      <c r="TTV38" s="288"/>
      <c r="TTW38" s="288"/>
      <c r="TTX38" s="288"/>
      <c r="TTY38" s="288"/>
      <c r="TTZ38" s="288"/>
      <c r="TUA38" s="288"/>
      <c r="TUB38" s="288"/>
      <c r="TUC38" s="288"/>
      <c r="TUD38" s="288"/>
      <c r="TUE38" s="288"/>
      <c r="TUF38" s="288"/>
      <c r="TUG38" s="288"/>
      <c r="TUH38" s="288"/>
      <c r="TUI38" s="288"/>
      <c r="TUJ38" s="288"/>
      <c r="TUK38" s="288"/>
      <c r="TUL38" s="288"/>
      <c r="TUM38" s="288"/>
      <c r="TUN38" s="288"/>
      <c r="TUO38" s="288"/>
      <c r="TUP38" s="288"/>
      <c r="TUQ38" s="288"/>
      <c r="TUR38" s="288"/>
      <c r="TUS38" s="288"/>
      <c r="TUT38" s="288"/>
      <c r="TUU38" s="288"/>
      <c r="TUV38" s="288"/>
      <c r="TUW38" s="288"/>
      <c r="TUX38" s="288"/>
      <c r="TUY38" s="288"/>
      <c r="TUZ38" s="288"/>
      <c r="TVA38" s="288"/>
      <c r="TVB38" s="288"/>
      <c r="TVC38" s="288"/>
      <c r="TVD38" s="288"/>
      <c r="TVE38" s="288"/>
      <c r="TVF38" s="288"/>
      <c r="TVG38" s="288"/>
      <c r="TVH38" s="288"/>
      <c r="TVI38" s="288"/>
      <c r="TVJ38" s="288"/>
      <c r="TVK38" s="288"/>
      <c r="TVL38" s="288"/>
      <c r="TVM38" s="288"/>
      <c r="TVN38" s="288"/>
      <c r="TVO38" s="288"/>
      <c r="TVP38" s="288"/>
      <c r="TVQ38" s="288"/>
      <c r="TVR38" s="288"/>
      <c r="TVS38" s="288"/>
      <c r="TVT38" s="288"/>
      <c r="TVU38" s="288"/>
      <c r="TVV38" s="288"/>
      <c r="TVW38" s="288"/>
      <c r="TVX38" s="288"/>
      <c r="TVY38" s="288"/>
      <c r="TVZ38" s="288"/>
      <c r="TWA38" s="288"/>
      <c r="TWB38" s="288"/>
      <c r="TWC38" s="288"/>
      <c r="TWD38" s="288"/>
      <c r="TWE38" s="288"/>
      <c r="TWF38" s="288"/>
      <c r="TWG38" s="288"/>
      <c r="TWH38" s="288"/>
      <c r="TWI38" s="288"/>
      <c r="TWJ38" s="288"/>
      <c r="TWK38" s="288"/>
      <c r="TWL38" s="288"/>
      <c r="TWM38" s="288"/>
      <c r="TWN38" s="288"/>
      <c r="TWO38" s="288"/>
      <c r="TWP38" s="288"/>
      <c r="TWQ38" s="288"/>
      <c r="TWR38" s="288"/>
      <c r="TWS38" s="288"/>
      <c r="TWT38" s="288"/>
      <c r="TWU38" s="288"/>
      <c r="TWV38" s="288"/>
      <c r="TWW38" s="288"/>
      <c r="TWX38" s="288"/>
      <c r="TWY38" s="288"/>
      <c r="TWZ38" s="288"/>
      <c r="TXA38" s="288"/>
      <c r="TXB38" s="288"/>
      <c r="TXC38" s="288"/>
      <c r="TXD38" s="288"/>
      <c r="TXE38" s="288"/>
      <c r="TXF38" s="288"/>
      <c r="TXG38" s="288"/>
      <c r="TXH38" s="288"/>
      <c r="TXI38" s="288"/>
      <c r="TXJ38" s="288"/>
      <c r="TXK38" s="288"/>
      <c r="TXL38" s="288"/>
      <c r="TXM38" s="288"/>
      <c r="TXN38" s="288"/>
      <c r="TXO38" s="288"/>
      <c r="TXP38" s="288"/>
      <c r="TXQ38" s="288"/>
      <c r="TXR38" s="288"/>
      <c r="TXS38" s="288"/>
      <c r="TXT38" s="288"/>
      <c r="TXU38" s="288"/>
      <c r="TXV38" s="288"/>
      <c r="TXW38" s="288"/>
      <c r="TXX38" s="288"/>
      <c r="TXY38" s="288"/>
      <c r="TXZ38" s="288"/>
      <c r="TYA38" s="288"/>
      <c r="TYB38" s="288"/>
      <c r="TYC38" s="288"/>
      <c r="TYD38" s="288"/>
      <c r="TYE38" s="288"/>
      <c r="TYF38" s="288"/>
      <c r="TYG38" s="288"/>
      <c r="TYH38" s="288"/>
      <c r="TYI38" s="288"/>
      <c r="TYJ38" s="288"/>
      <c r="TYK38" s="288"/>
      <c r="TYL38" s="288"/>
      <c r="TYM38" s="288"/>
      <c r="TYN38" s="288"/>
      <c r="TYO38" s="288"/>
      <c r="TYP38" s="288"/>
      <c r="TYQ38" s="288"/>
      <c r="TYR38" s="288"/>
      <c r="TYS38" s="288"/>
      <c r="TYT38" s="288"/>
      <c r="TYU38" s="288"/>
      <c r="TYV38" s="288"/>
      <c r="TYW38" s="288"/>
      <c r="TYX38" s="288"/>
      <c r="TYY38" s="288"/>
      <c r="TYZ38" s="288"/>
      <c r="TZA38" s="288"/>
      <c r="TZB38" s="288"/>
      <c r="TZC38" s="288"/>
      <c r="TZD38" s="288"/>
      <c r="TZE38" s="288"/>
      <c r="TZF38" s="288"/>
      <c r="TZG38" s="288"/>
      <c r="TZH38" s="288"/>
      <c r="TZI38" s="288"/>
      <c r="TZJ38" s="288"/>
      <c r="TZK38" s="288"/>
      <c r="TZL38" s="288"/>
      <c r="TZM38" s="288"/>
      <c r="TZN38" s="288"/>
      <c r="TZO38" s="288"/>
      <c r="TZP38" s="288"/>
      <c r="TZQ38" s="288"/>
      <c r="TZR38" s="288"/>
      <c r="TZS38" s="288"/>
      <c r="TZT38" s="288"/>
      <c r="TZU38" s="288"/>
      <c r="TZV38" s="288"/>
      <c r="TZW38" s="288"/>
      <c r="TZX38" s="288"/>
      <c r="TZY38" s="288"/>
      <c r="TZZ38" s="288"/>
      <c r="UAA38" s="288"/>
      <c r="UAB38" s="288"/>
      <c r="UAC38" s="288"/>
      <c r="UAD38" s="288"/>
      <c r="UAE38" s="288"/>
      <c r="UAF38" s="288"/>
      <c r="UAG38" s="288"/>
      <c r="UAH38" s="288"/>
      <c r="UAI38" s="288"/>
      <c r="UAJ38" s="288"/>
      <c r="UAK38" s="288"/>
      <c r="UAL38" s="288"/>
      <c r="UAM38" s="288"/>
      <c r="UAN38" s="288"/>
      <c r="UAO38" s="288"/>
      <c r="UAP38" s="288"/>
      <c r="UAQ38" s="288"/>
      <c r="UAR38" s="288"/>
      <c r="UAS38" s="288"/>
      <c r="UAT38" s="288"/>
      <c r="UAU38" s="288"/>
      <c r="UAV38" s="288"/>
      <c r="UAW38" s="288"/>
      <c r="UAX38" s="288"/>
      <c r="UAY38" s="288"/>
      <c r="UAZ38" s="288"/>
      <c r="UBA38" s="288"/>
      <c r="UBB38" s="288"/>
      <c r="UBC38" s="288"/>
      <c r="UBD38" s="288"/>
      <c r="UBE38" s="288"/>
      <c r="UBF38" s="288"/>
      <c r="UBG38" s="288"/>
      <c r="UBH38" s="288"/>
      <c r="UBI38" s="288"/>
      <c r="UBJ38" s="288"/>
      <c r="UBK38" s="288"/>
      <c r="UBL38" s="288"/>
      <c r="UBM38" s="288"/>
      <c r="UBN38" s="288"/>
      <c r="UBO38" s="288"/>
      <c r="UBP38" s="288"/>
      <c r="UBQ38" s="288"/>
      <c r="UBR38" s="288"/>
      <c r="UBS38" s="288"/>
      <c r="UBT38" s="288"/>
      <c r="UBU38" s="288"/>
      <c r="UBV38" s="288"/>
      <c r="UBW38" s="288"/>
      <c r="UBX38" s="288"/>
      <c r="UBY38" s="288"/>
      <c r="UBZ38" s="288"/>
      <c r="UCA38" s="288"/>
      <c r="UCB38" s="288"/>
      <c r="UCC38" s="288"/>
      <c r="UCD38" s="288"/>
      <c r="UCE38" s="288"/>
      <c r="UCF38" s="288"/>
      <c r="UCG38" s="288"/>
      <c r="UCH38" s="288"/>
      <c r="UCI38" s="288"/>
      <c r="UCJ38" s="288"/>
      <c r="UCK38" s="288"/>
      <c r="UCL38" s="288"/>
      <c r="UCM38" s="288"/>
      <c r="UCN38" s="288"/>
      <c r="UCO38" s="288"/>
      <c r="UCP38" s="288"/>
      <c r="UCQ38" s="288"/>
      <c r="UCR38" s="288"/>
      <c r="UCS38" s="288"/>
      <c r="UCT38" s="288"/>
      <c r="UCU38" s="288"/>
      <c r="UCV38" s="288"/>
      <c r="UCW38" s="288"/>
      <c r="UCX38" s="288"/>
      <c r="UCY38" s="288"/>
      <c r="UCZ38" s="288"/>
      <c r="UDA38" s="288"/>
      <c r="UDB38" s="288"/>
      <c r="UDC38" s="288"/>
      <c r="UDD38" s="288"/>
      <c r="UDE38" s="288"/>
      <c r="UDF38" s="288"/>
      <c r="UDG38" s="288"/>
      <c r="UDH38" s="288"/>
      <c r="UDI38" s="288"/>
      <c r="UDJ38" s="288"/>
      <c r="UDK38" s="288"/>
      <c r="UDL38" s="288"/>
      <c r="UDM38" s="288"/>
      <c r="UDN38" s="288"/>
      <c r="UDO38" s="288"/>
      <c r="UDP38" s="288"/>
      <c r="UDQ38" s="288"/>
      <c r="UDR38" s="288"/>
      <c r="UDS38" s="288"/>
      <c r="UDT38" s="288"/>
      <c r="UDU38" s="288"/>
      <c r="UDV38" s="288"/>
      <c r="UDW38" s="288"/>
      <c r="UDX38" s="288"/>
      <c r="UDY38" s="288"/>
      <c r="UDZ38" s="288"/>
      <c r="UEA38" s="288"/>
      <c r="UEB38" s="288"/>
      <c r="UEC38" s="288"/>
      <c r="UED38" s="288"/>
      <c r="UEE38" s="288"/>
      <c r="UEF38" s="288"/>
      <c r="UEG38" s="288"/>
      <c r="UEH38" s="288"/>
      <c r="UEI38" s="288"/>
      <c r="UEJ38" s="288"/>
      <c r="UEK38" s="288"/>
      <c r="UEL38" s="288"/>
      <c r="UEM38" s="288"/>
      <c r="UEN38" s="288"/>
      <c r="UEO38" s="288"/>
      <c r="UEP38" s="288"/>
      <c r="UEQ38" s="288"/>
      <c r="UER38" s="288"/>
      <c r="UES38" s="288"/>
      <c r="UET38" s="288"/>
      <c r="UEU38" s="288"/>
      <c r="UEV38" s="288"/>
      <c r="UEW38" s="288"/>
      <c r="UEX38" s="288"/>
      <c r="UEY38" s="288"/>
      <c r="UEZ38" s="288"/>
      <c r="UFA38" s="288"/>
      <c r="UFB38" s="288"/>
      <c r="UFC38" s="288"/>
      <c r="UFD38" s="288"/>
      <c r="UFE38" s="288"/>
      <c r="UFF38" s="288"/>
      <c r="UFG38" s="288"/>
      <c r="UFH38" s="288"/>
      <c r="UFI38" s="288"/>
      <c r="UFJ38" s="288"/>
      <c r="UFK38" s="288"/>
      <c r="UFL38" s="288"/>
      <c r="UFM38" s="288"/>
      <c r="UFN38" s="288"/>
      <c r="UFO38" s="288"/>
      <c r="UFP38" s="288"/>
      <c r="UFQ38" s="288"/>
      <c r="UFR38" s="288"/>
      <c r="UFS38" s="288"/>
      <c r="UFT38" s="288"/>
      <c r="UFU38" s="288"/>
      <c r="UFV38" s="288"/>
      <c r="UFW38" s="288"/>
      <c r="UFX38" s="288"/>
      <c r="UFY38" s="288"/>
      <c r="UFZ38" s="288"/>
      <c r="UGA38" s="288"/>
      <c r="UGB38" s="288"/>
      <c r="UGC38" s="288"/>
      <c r="UGD38" s="288"/>
      <c r="UGE38" s="288"/>
      <c r="UGF38" s="288"/>
      <c r="UGG38" s="288"/>
      <c r="UGH38" s="288"/>
      <c r="UGI38" s="288"/>
      <c r="UGJ38" s="288"/>
      <c r="UGK38" s="288"/>
      <c r="UGL38" s="288"/>
      <c r="UGM38" s="288"/>
      <c r="UGN38" s="288"/>
      <c r="UGO38" s="288"/>
      <c r="UGP38" s="288"/>
      <c r="UGQ38" s="288"/>
      <c r="UGR38" s="288"/>
      <c r="UGS38" s="288"/>
      <c r="UGT38" s="288"/>
      <c r="UGU38" s="288"/>
      <c r="UGV38" s="288"/>
      <c r="UGW38" s="288"/>
      <c r="UGX38" s="288"/>
      <c r="UGY38" s="288"/>
      <c r="UGZ38" s="288"/>
      <c r="UHA38" s="288"/>
      <c r="UHB38" s="288"/>
      <c r="UHC38" s="288"/>
      <c r="UHD38" s="288"/>
      <c r="UHE38" s="288"/>
      <c r="UHF38" s="288"/>
      <c r="UHG38" s="288"/>
      <c r="UHH38" s="288"/>
      <c r="UHI38" s="288"/>
      <c r="UHJ38" s="288"/>
      <c r="UHK38" s="288"/>
      <c r="UHL38" s="288"/>
      <c r="UHM38" s="288"/>
      <c r="UHN38" s="288"/>
      <c r="UHO38" s="288"/>
      <c r="UHP38" s="288"/>
      <c r="UHQ38" s="288"/>
      <c r="UHR38" s="288"/>
      <c r="UHS38" s="288"/>
      <c r="UHT38" s="288"/>
      <c r="UHU38" s="288"/>
      <c r="UHV38" s="288"/>
      <c r="UHW38" s="288"/>
      <c r="UHX38" s="288"/>
      <c r="UHY38" s="288"/>
      <c r="UHZ38" s="288"/>
      <c r="UIA38" s="288"/>
      <c r="UIB38" s="288"/>
      <c r="UIC38" s="288"/>
      <c r="UID38" s="288"/>
      <c r="UIE38" s="288"/>
      <c r="UIF38" s="288"/>
      <c r="UIG38" s="288"/>
      <c r="UIH38" s="288"/>
      <c r="UII38" s="288"/>
      <c r="UIJ38" s="288"/>
      <c r="UIK38" s="288"/>
      <c r="UIL38" s="288"/>
      <c r="UIM38" s="288"/>
      <c r="UIN38" s="288"/>
      <c r="UIO38" s="288"/>
      <c r="UIP38" s="288"/>
      <c r="UIQ38" s="288"/>
      <c r="UIR38" s="288"/>
      <c r="UIS38" s="288"/>
      <c r="UIT38" s="288"/>
      <c r="UIU38" s="288"/>
      <c r="UIV38" s="288"/>
      <c r="UIW38" s="288"/>
      <c r="UIX38" s="288"/>
      <c r="UIY38" s="288"/>
      <c r="UIZ38" s="288"/>
      <c r="UJA38" s="288"/>
      <c r="UJB38" s="288"/>
      <c r="UJC38" s="288"/>
      <c r="UJD38" s="288"/>
      <c r="UJE38" s="288"/>
      <c r="UJF38" s="288"/>
      <c r="UJG38" s="288"/>
      <c r="UJH38" s="288"/>
      <c r="UJI38" s="288"/>
      <c r="UJJ38" s="288"/>
      <c r="UJK38" s="288"/>
      <c r="UJL38" s="288"/>
      <c r="UJM38" s="288"/>
      <c r="UJN38" s="288"/>
      <c r="UJO38" s="288"/>
      <c r="UJP38" s="288"/>
      <c r="UJQ38" s="288"/>
      <c r="UJR38" s="288"/>
      <c r="UJS38" s="288"/>
      <c r="UJT38" s="288"/>
      <c r="UJU38" s="288"/>
      <c r="UJV38" s="288"/>
      <c r="UJW38" s="288"/>
      <c r="UJX38" s="288"/>
      <c r="UJY38" s="288"/>
      <c r="UJZ38" s="288"/>
      <c r="UKA38" s="288"/>
      <c r="UKB38" s="288"/>
      <c r="UKC38" s="288"/>
      <c r="UKD38" s="288"/>
      <c r="UKE38" s="288"/>
      <c r="UKF38" s="288"/>
      <c r="UKG38" s="288"/>
      <c r="UKH38" s="288"/>
      <c r="UKI38" s="288"/>
      <c r="UKJ38" s="288"/>
      <c r="UKK38" s="288"/>
      <c r="UKL38" s="288"/>
      <c r="UKM38" s="288"/>
      <c r="UKN38" s="288"/>
      <c r="UKO38" s="288"/>
      <c r="UKP38" s="288"/>
      <c r="UKQ38" s="288"/>
      <c r="UKR38" s="288"/>
      <c r="UKS38" s="288"/>
      <c r="UKT38" s="288"/>
      <c r="UKU38" s="288"/>
      <c r="UKV38" s="288"/>
      <c r="UKW38" s="288"/>
      <c r="UKX38" s="288"/>
      <c r="UKY38" s="288"/>
      <c r="UKZ38" s="288"/>
      <c r="ULA38" s="288"/>
      <c r="ULB38" s="288"/>
      <c r="ULC38" s="288"/>
      <c r="ULD38" s="288"/>
      <c r="ULE38" s="288"/>
      <c r="ULF38" s="288"/>
      <c r="ULG38" s="288"/>
      <c r="ULH38" s="288"/>
      <c r="ULI38" s="288"/>
      <c r="ULJ38" s="288"/>
      <c r="ULK38" s="288"/>
      <c r="ULL38" s="288"/>
      <c r="ULM38" s="288"/>
      <c r="ULN38" s="288"/>
      <c r="ULO38" s="288"/>
      <c r="ULP38" s="288"/>
      <c r="ULQ38" s="288"/>
      <c r="ULR38" s="288"/>
      <c r="ULS38" s="288"/>
      <c r="ULT38" s="288"/>
      <c r="ULU38" s="288"/>
      <c r="ULV38" s="288"/>
      <c r="ULW38" s="288"/>
      <c r="ULX38" s="288"/>
      <c r="ULY38" s="288"/>
      <c r="ULZ38" s="288"/>
      <c r="UMA38" s="288"/>
      <c r="UMB38" s="288"/>
      <c r="UMC38" s="288"/>
      <c r="UMD38" s="288"/>
      <c r="UME38" s="288"/>
      <c r="UMF38" s="288"/>
      <c r="UMG38" s="288"/>
      <c r="UMH38" s="288"/>
      <c r="UMI38" s="288"/>
      <c r="UMJ38" s="288"/>
      <c r="UMK38" s="288"/>
      <c r="UML38" s="288"/>
      <c r="UMM38" s="288"/>
      <c r="UMN38" s="288"/>
      <c r="UMO38" s="288"/>
      <c r="UMP38" s="288"/>
      <c r="UMQ38" s="288"/>
      <c r="UMR38" s="288"/>
      <c r="UMS38" s="288"/>
      <c r="UMT38" s="288"/>
      <c r="UMU38" s="288"/>
      <c r="UMV38" s="288"/>
      <c r="UMW38" s="288"/>
      <c r="UMX38" s="288"/>
      <c r="UMY38" s="288"/>
      <c r="UMZ38" s="288"/>
      <c r="UNA38" s="288"/>
      <c r="UNB38" s="288"/>
      <c r="UNC38" s="288"/>
      <c r="UND38" s="288"/>
      <c r="UNE38" s="288"/>
      <c r="UNF38" s="288"/>
      <c r="UNG38" s="288"/>
      <c r="UNH38" s="288"/>
      <c r="UNI38" s="288"/>
      <c r="UNJ38" s="288"/>
      <c r="UNK38" s="288"/>
      <c r="UNL38" s="288"/>
      <c r="UNM38" s="288"/>
      <c r="UNN38" s="288"/>
      <c r="UNO38" s="288"/>
      <c r="UNP38" s="288"/>
      <c r="UNQ38" s="288"/>
      <c r="UNR38" s="288"/>
      <c r="UNS38" s="288"/>
      <c r="UNT38" s="288"/>
      <c r="UNU38" s="288"/>
      <c r="UNV38" s="288"/>
      <c r="UNW38" s="288"/>
      <c r="UNX38" s="288"/>
      <c r="UNY38" s="288"/>
      <c r="UNZ38" s="288"/>
      <c r="UOA38" s="288"/>
      <c r="UOB38" s="288"/>
      <c r="UOC38" s="288"/>
      <c r="UOD38" s="288"/>
      <c r="UOE38" s="288"/>
      <c r="UOF38" s="288"/>
      <c r="UOG38" s="288"/>
      <c r="UOH38" s="288"/>
      <c r="UOI38" s="288"/>
      <c r="UOJ38" s="288"/>
      <c r="UOK38" s="288"/>
      <c r="UOL38" s="288"/>
      <c r="UOM38" s="288"/>
      <c r="UON38" s="288"/>
      <c r="UOO38" s="288"/>
      <c r="UOP38" s="288"/>
      <c r="UOQ38" s="288"/>
      <c r="UOR38" s="288"/>
      <c r="UOS38" s="288"/>
      <c r="UOT38" s="288"/>
      <c r="UOU38" s="288"/>
      <c r="UOV38" s="288"/>
      <c r="UOW38" s="288"/>
      <c r="UOX38" s="288"/>
      <c r="UOY38" s="288"/>
      <c r="UOZ38" s="288"/>
      <c r="UPA38" s="288"/>
      <c r="UPB38" s="288"/>
      <c r="UPC38" s="288"/>
      <c r="UPD38" s="288"/>
      <c r="UPE38" s="288"/>
      <c r="UPF38" s="288"/>
      <c r="UPG38" s="288"/>
      <c r="UPH38" s="288"/>
      <c r="UPI38" s="288"/>
      <c r="UPJ38" s="288"/>
      <c r="UPK38" s="288"/>
      <c r="UPL38" s="288"/>
      <c r="UPM38" s="288"/>
      <c r="UPN38" s="288"/>
      <c r="UPO38" s="288"/>
      <c r="UPP38" s="288"/>
      <c r="UPQ38" s="288"/>
      <c r="UPR38" s="288"/>
      <c r="UPS38" s="288"/>
      <c r="UPT38" s="288"/>
      <c r="UPU38" s="288"/>
      <c r="UPV38" s="288"/>
      <c r="UPW38" s="288"/>
      <c r="UPX38" s="288"/>
      <c r="UPY38" s="288"/>
      <c r="UPZ38" s="288"/>
      <c r="UQA38" s="288"/>
      <c r="UQB38" s="288"/>
      <c r="UQC38" s="288"/>
      <c r="UQD38" s="288"/>
      <c r="UQE38" s="288"/>
      <c r="UQF38" s="288"/>
      <c r="UQG38" s="288"/>
      <c r="UQH38" s="288"/>
      <c r="UQI38" s="288"/>
      <c r="UQJ38" s="288"/>
      <c r="UQK38" s="288"/>
      <c r="UQL38" s="288"/>
      <c r="UQM38" s="288"/>
      <c r="UQN38" s="288"/>
      <c r="UQO38" s="288"/>
      <c r="UQP38" s="288"/>
      <c r="UQQ38" s="288"/>
      <c r="UQR38" s="288"/>
      <c r="UQS38" s="288"/>
      <c r="UQT38" s="288"/>
      <c r="UQU38" s="288"/>
      <c r="UQV38" s="288"/>
      <c r="UQW38" s="288"/>
      <c r="UQX38" s="288"/>
      <c r="UQY38" s="288"/>
      <c r="UQZ38" s="288"/>
      <c r="URA38" s="288"/>
      <c r="URB38" s="288"/>
      <c r="URC38" s="288"/>
      <c r="URD38" s="288"/>
      <c r="URE38" s="288"/>
      <c r="URF38" s="288"/>
      <c r="URG38" s="288"/>
      <c r="URH38" s="288"/>
      <c r="URI38" s="288"/>
      <c r="URJ38" s="288"/>
      <c r="URK38" s="288"/>
      <c r="URL38" s="288"/>
      <c r="URM38" s="288"/>
      <c r="URN38" s="288"/>
      <c r="URO38" s="288"/>
      <c r="URP38" s="288"/>
      <c r="URQ38" s="288"/>
      <c r="URR38" s="288"/>
      <c r="URS38" s="288"/>
      <c r="URT38" s="288"/>
      <c r="URU38" s="288"/>
      <c r="URV38" s="288"/>
      <c r="URW38" s="288"/>
      <c r="URX38" s="288"/>
      <c r="URY38" s="288"/>
      <c r="URZ38" s="288"/>
      <c r="USA38" s="288"/>
      <c r="USB38" s="288"/>
      <c r="USC38" s="288"/>
      <c r="USD38" s="288"/>
      <c r="USE38" s="288"/>
      <c r="USF38" s="288"/>
      <c r="USG38" s="288"/>
      <c r="USH38" s="288"/>
      <c r="USI38" s="288"/>
      <c r="USJ38" s="288"/>
      <c r="USK38" s="288"/>
      <c r="USL38" s="288"/>
      <c r="USM38" s="288"/>
      <c r="USN38" s="288"/>
      <c r="USO38" s="288"/>
      <c r="USP38" s="288"/>
      <c r="USQ38" s="288"/>
      <c r="USR38" s="288"/>
      <c r="USS38" s="288"/>
      <c r="UST38" s="288"/>
      <c r="USU38" s="288"/>
      <c r="USV38" s="288"/>
      <c r="USW38" s="288"/>
      <c r="USX38" s="288"/>
      <c r="USY38" s="288"/>
      <c r="USZ38" s="288"/>
      <c r="UTA38" s="288"/>
      <c r="UTB38" s="288"/>
      <c r="UTC38" s="288"/>
      <c r="UTD38" s="288"/>
      <c r="UTE38" s="288"/>
      <c r="UTF38" s="288"/>
      <c r="UTG38" s="288"/>
      <c r="UTH38" s="288"/>
      <c r="UTI38" s="288"/>
      <c r="UTJ38" s="288"/>
      <c r="UTK38" s="288"/>
      <c r="UTL38" s="288"/>
      <c r="UTM38" s="288"/>
      <c r="UTN38" s="288"/>
      <c r="UTO38" s="288"/>
      <c r="UTP38" s="288"/>
      <c r="UTQ38" s="288"/>
      <c r="UTR38" s="288"/>
      <c r="UTS38" s="288"/>
      <c r="UTT38" s="288"/>
      <c r="UTU38" s="288"/>
      <c r="UTV38" s="288"/>
      <c r="UTW38" s="288"/>
      <c r="UTX38" s="288"/>
      <c r="UTY38" s="288"/>
      <c r="UTZ38" s="288"/>
      <c r="UUA38" s="288"/>
      <c r="UUB38" s="288"/>
      <c r="UUC38" s="288"/>
      <c r="UUD38" s="288"/>
      <c r="UUE38" s="288"/>
      <c r="UUF38" s="288"/>
      <c r="UUG38" s="288"/>
      <c r="UUH38" s="288"/>
      <c r="UUI38" s="288"/>
      <c r="UUJ38" s="288"/>
      <c r="UUK38" s="288"/>
      <c r="UUL38" s="288"/>
      <c r="UUM38" s="288"/>
      <c r="UUN38" s="288"/>
      <c r="UUO38" s="288"/>
      <c r="UUP38" s="288"/>
      <c r="UUQ38" s="288"/>
      <c r="UUR38" s="288"/>
      <c r="UUS38" s="288"/>
      <c r="UUT38" s="288"/>
      <c r="UUU38" s="288"/>
      <c r="UUV38" s="288"/>
      <c r="UUW38" s="288"/>
      <c r="UUX38" s="288"/>
      <c r="UUY38" s="288"/>
      <c r="UUZ38" s="288"/>
      <c r="UVA38" s="288"/>
      <c r="UVB38" s="288"/>
      <c r="UVC38" s="288"/>
      <c r="UVD38" s="288"/>
      <c r="UVE38" s="288"/>
      <c r="UVF38" s="288"/>
      <c r="UVG38" s="288"/>
      <c r="UVH38" s="288"/>
      <c r="UVI38" s="288"/>
      <c r="UVJ38" s="288"/>
      <c r="UVK38" s="288"/>
      <c r="UVL38" s="288"/>
      <c r="UVM38" s="288"/>
      <c r="UVN38" s="288"/>
      <c r="UVO38" s="288"/>
      <c r="UVP38" s="288"/>
      <c r="UVQ38" s="288"/>
      <c r="UVR38" s="288"/>
      <c r="UVS38" s="288"/>
      <c r="UVT38" s="288"/>
      <c r="UVU38" s="288"/>
      <c r="UVV38" s="288"/>
      <c r="UVW38" s="288"/>
      <c r="UVX38" s="288"/>
      <c r="UVY38" s="288"/>
      <c r="UVZ38" s="288"/>
      <c r="UWA38" s="288"/>
      <c r="UWB38" s="288"/>
      <c r="UWC38" s="288"/>
      <c r="UWD38" s="288"/>
      <c r="UWE38" s="288"/>
      <c r="UWF38" s="288"/>
      <c r="UWG38" s="288"/>
      <c r="UWH38" s="288"/>
      <c r="UWI38" s="288"/>
      <c r="UWJ38" s="288"/>
      <c r="UWK38" s="288"/>
      <c r="UWL38" s="288"/>
      <c r="UWM38" s="288"/>
      <c r="UWN38" s="288"/>
      <c r="UWO38" s="288"/>
      <c r="UWP38" s="288"/>
      <c r="UWQ38" s="288"/>
      <c r="UWR38" s="288"/>
      <c r="UWS38" s="288"/>
      <c r="UWT38" s="288"/>
      <c r="UWU38" s="288"/>
      <c r="UWV38" s="288"/>
      <c r="UWW38" s="288"/>
      <c r="UWX38" s="288"/>
      <c r="UWY38" s="288"/>
      <c r="UWZ38" s="288"/>
      <c r="UXA38" s="288"/>
      <c r="UXB38" s="288"/>
      <c r="UXC38" s="288"/>
      <c r="UXD38" s="288"/>
      <c r="UXE38" s="288"/>
      <c r="UXF38" s="288"/>
      <c r="UXG38" s="288"/>
      <c r="UXH38" s="288"/>
      <c r="UXI38" s="288"/>
      <c r="UXJ38" s="288"/>
      <c r="UXK38" s="288"/>
      <c r="UXL38" s="288"/>
      <c r="UXM38" s="288"/>
      <c r="UXN38" s="288"/>
      <c r="UXO38" s="288"/>
      <c r="UXP38" s="288"/>
      <c r="UXQ38" s="288"/>
      <c r="UXR38" s="288"/>
      <c r="UXS38" s="288"/>
      <c r="UXT38" s="288"/>
      <c r="UXU38" s="288"/>
      <c r="UXV38" s="288"/>
      <c r="UXW38" s="288"/>
      <c r="UXX38" s="288"/>
      <c r="UXY38" s="288"/>
      <c r="UXZ38" s="288"/>
      <c r="UYA38" s="288"/>
      <c r="UYB38" s="288"/>
      <c r="UYC38" s="288"/>
      <c r="UYD38" s="288"/>
      <c r="UYE38" s="288"/>
      <c r="UYF38" s="288"/>
      <c r="UYG38" s="288"/>
      <c r="UYH38" s="288"/>
      <c r="UYI38" s="288"/>
      <c r="UYJ38" s="288"/>
      <c r="UYK38" s="288"/>
      <c r="UYL38" s="288"/>
      <c r="UYM38" s="288"/>
      <c r="UYN38" s="288"/>
      <c r="UYO38" s="288"/>
      <c r="UYP38" s="288"/>
      <c r="UYQ38" s="288"/>
      <c r="UYR38" s="288"/>
      <c r="UYS38" s="288"/>
      <c r="UYT38" s="288"/>
      <c r="UYU38" s="288"/>
      <c r="UYV38" s="288"/>
      <c r="UYW38" s="288"/>
      <c r="UYX38" s="288"/>
      <c r="UYY38" s="288"/>
      <c r="UYZ38" s="288"/>
      <c r="UZA38" s="288"/>
      <c r="UZB38" s="288"/>
      <c r="UZC38" s="288"/>
      <c r="UZD38" s="288"/>
      <c r="UZE38" s="288"/>
      <c r="UZF38" s="288"/>
      <c r="UZG38" s="288"/>
      <c r="UZH38" s="288"/>
      <c r="UZI38" s="288"/>
      <c r="UZJ38" s="288"/>
      <c r="UZK38" s="288"/>
      <c r="UZL38" s="288"/>
      <c r="UZM38" s="288"/>
      <c r="UZN38" s="288"/>
      <c r="UZO38" s="288"/>
      <c r="UZP38" s="288"/>
      <c r="UZQ38" s="288"/>
      <c r="UZR38" s="288"/>
      <c r="UZS38" s="288"/>
      <c r="UZT38" s="288"/>
      <c r="UZU38" s="288"/>
      <c r="UZV38" s="288"/>
      <c r="UZW38" s="288"/>
      <c r="UZX38" s="288"/>
      <c r="UZY38" s="288"/>
      <c r="UZZ38" s="288"/>
      <c r="VAA38" s="288"/>
      <c r="VAB38" s="288"/>
      <c r="VAC38" s="288"/>
      <c r="VAD38" s="288"/>
      <c r="VAE38" s="288"/>
      <c r="VAF38" s="288"/>
      <c r="VAG38" s="288"/>
      <c r="VAH38" s="288"/>
      <c r="VAI38" s="288"/>
      <c r="VAJ38" s="288"/>
      <c r="VAK38" s="288"/>
      <c r="VAL38" s="288"/>
      <c r="VAM38" s="288"/>
      <c r="VAN38" s="288"/>
      <c r="VAO38" s="288"/>
      <c r="VAP38" s="288"/>
      <c r="VAQ38" s="288"/>
      <c r="VAR38" s="288"/>
      <c r="VAS38" s="288"/>
      <c r="VAT38" s="288"/>
      <c r="VAU38" s="288"/>
      <c r="VAV38" s="288"/>
      <c r="VAW38" s="288"/>
      <c r="VAX38" s="288"/>
      <c r="VAY38" s="288"/>
      <c r="VAZ38" s="288"/>
      <c r="VBA38" s="288"/>
      <c r="VBB38" s="288"/>
      <c r="VBC38" s="288"/>
      <c r="VBD38" s="288"/>
      <c r="VBE38" s="288"/>
      <c r="VBF38" s="288"/>
      <c r="VBG38" s="288"/>
      <c r="VBH38" s="288"/>
      <c r="VBI38" s="288"/>
      <c r="VBJ38" s="288"/>
      <c r="VBK38" s="288"/>
      <c r="VBL38" s="288"/>
      <c r="VBM38" s="288"/>
      <c r="VBN38" s="288"/>
      <c r="VBO38" s="288"/>
      <c r="VBP38" s="288"/>
      <c r="VBQ38" s="288"/>
      <c r="VBR38" s="288"/>
      <c r="VBS38" s="288"/>
      <c r="VBT38" s="288"/>
      <c r="VBU38" s="288"/>
      <c r="VBV38" s="288"/>
      <c r="VBW38" s="288"/>
      <c r="VBX38" s="288"/>
      <c r="VBY38" s="288"/>
      <c r="VBZ38" s="288"/>
      <c r="VCA38" s="288"/>
      <c r="VCB38" s="288"/>
      <c r="VCC38" s="288"/>
      <c r="VCD38" s="288"/>
      <c r="VCE38" s="288"/>
      <c r="VCF38" s="288"/>
      <c r="VCG38" s="288"/>
      <c r="VCH38" s="288"/>
      <c r="VCI38" s="288"/>
      <c r="VCJ38" s="288"/>
      <c r="VCK38" s="288"/>
      <c r="VCL38" s="288"/>
      <c r="VCM38" s="288"/>
      <c r="VCN38" s="288"/>
      <c r="VCO38" s="288"/>
      <c r="VCP38" s="288"/>
      <c r="VCQ38" s="288"/>
      <c r="VCR38" s="288"/>
      <c r="VCS38" s="288"/>
      <c r="VCT38" s="288"/>
      <c r="VCU38" s="288"/>
      <c r="VCV38" s="288"/>
      <c r="VCW38" s="288"/>
      <c r="VCX38" s="288"/>
      <c r="VCY38" s="288"/>
      <c r="VCZ38" s="288"/>
      <c r="VDA38" s="288"/>
      <c r="VDB38" s="288"/>
      <c r="VDC38" s="288"/>
      <c r="VDD38" s="288"/>
      <c r="VDE38" s="288"/>
      <c r="VDF38" s="288"/>
      <c r="VDG38" s="288"/>
      <c r="VDH38" s="288"/>
      <c r="VDI38" s="288"/>
      <c r="VDJ38" s="288"/>
      <c r="VDK38" s="288"/>
      <c r="VDL38" s="288"/>
      <c r="VDM38" s="288"/>
      <c r="VDN38" s="288"/>
      <c r="VDO38" s="288"/>
      <c r="VDP38" s="288"/>
      <c r="VDQ38" s="288"/>
      <c r="VDR38" s="288"/>
      <c r="VDS38" s="288"/>
      <c r="VDT38" s="288"/>
      <c r="VDU38" s="288"/>
      <c r="VDV38" s="288"/>
      <c r="VDW38" s="288"/>
      <c r="VDX38" s="288"/>
      <c r="VDY38" s="288"/>
      <c r="VDZ38" s="288"/>
      <c r="VEA38" s="288"/>
      <c r="VEB38" s="288"/>
      <c r="VEC38" s="288"/>
      <c r="VED38" s="288"/>
      <c r="VEE38" s="288"/>
      <c r="VEF38" s="288"/>
      <c r="VEG38" s="288"/>
      <c r="VEH38" s="288"/>
      <c r="VEI38" s="288"/>
      <c r="VEJ38" s="288"/>
      <c r="VEK38" s="288"/>
      <c r="VEL38" s="288"/>
      <c r="VEM38" s="288"/>
      <c r="VEN38" s="288"/>
      <c r="VEO38" s="288"/>
      <c r="VEP38" s="288"/>
      <c r="VEQ38" s="288"/>
      <c r="VER38" s="288"/>
      <c r="VES38" s="288"/>
      <c r="VET38" s="288"/>
      <c r="VEU38" s="288"/>
      <c r="VEV38" s="288"/>
      <c r="VEW38" s="288"/>
      <c r="VEX38" s="288"/>
      <c r="VEY38" s="288"/>
      <c r="VEZ38" s="288"/>
      <c r="VFA38" s="288"/>
      <c r="VFB38" s="288"/>
      <c r="VFC38" s="288"/>
      <c r="VFD38" s="288"/>
      <c r="VFE38" s="288"/>
      <c r="VFF38" s="288"/>
      <c r="VFG38" s="288"/>
      <c r="VFH38" s="288"/>
      <c r="VFI38" s="288"/>
      <c r="VFJ38" s="288"/>
      <c r="VFK38" s="288"/>
      <c r="VFL38" s="288"/>
      <c r="VFM38" s="288"/>
      <c r="VFN38" s="288"/>
      <c r="VFO38" s="288"/>
      <c r="VFP38" s="288"/>
      <c r="VFQ38" s="288"/>
      <c r="VFR38" s="288"/>
      <c r="VFS38" s="288"/>
      <c r="VFT38" s="288"/>
      <c r="VFU38" s="288"/>
      <c r="VFV38" s="288"/>
      <c r="VFW38" s="288"/>
      <c r="VFX38" s="288"/>
      <c r="VFY38" s="288"/>
      <c r="VFZ38" s="288"/>
      <c r="VGA38" s="288"/>
      <c r="VGB38" s="288"/>
      <c r="VGC38" s="288"/>
      <c r="VGD38" s="288"/>
      <c r="VGE38" s="288"/>
      <c r="VGF38" s="288"/>
      <c r="VGG38" s="288"/>
      <c r="VGH38" s="288"/>
      <c r="VGI38" s="288"/>
      <c r="VGJ38" s="288"/>
      <c r="VGK38" s="288"/>
      <c r="VGL38" s="288"/>
      <c r="VGM38" s="288"/>
      <c r="VGN38" s="288"/>
      <c r="VGO38" s="288"/>
      <c r="VGP38" s="288"/>
      <c r="VGQ38" s="288"/>
      <c r="VGR38" s="288"/>
      <c r="VGS38" s="288"/>
      <c r="VGT38" s="288"/>
      <c r="VGU38" s="288"/>
      <c r="VGV38" s="288"/>
      <c r="VGW38" s="288"/>
      <c r="VGX38" s="288"/>
      <c r="VGY38" s="288"/>
      <c r="VGZ38" s="288"/>
      <c r="VHA38" s="288"/>
      <c r="VHB38" s="288"/>
      <c r="VHC38" s="288"/>
      <c r="VHD38" s="288"/>
      <c r="VHE38" s="288"/>
      <c r="VHF38" s="288"/>
      <c r="VHG38" s="288"/>
      <c r="VHH38" s="288"/>
      <c r="VHI38" s="288"/>
      <c r="VHJ38" s="288"/>
      <c r="VHK38" s="288"/>
      <c r="VHL38" s="288"/>
      <c r="VHM38" s="288"/>
      <c r="VHN38" s="288"/>
      <c r="VHO38" s="288"/>
      <c r="VHP38" s="288"/>
      <c r="VHQ38" s="288"/>
      <c r="VHR38" s="288"/>
      <c r="VHS38" s="288"/>
      <c r="VHT38" s="288"/>
      <c r="VHU38" s="288"/>
      <c r="VHV38" s="288"/>
      <c r="VHW38" s="288"/>
      <c r="VHX38" s="288"/>
      <c r="VHY38" s="288"/>
      <c r="VHZ38" s="288"/>
      <c r="VIA38" s="288"/>
      <c r="VIB38" s="288"/>
      <c r="VIC38" s="288"/>
      <c r="VID38" s="288"/>
      <c r="VIE38" s="288"/>
      <c r="VIF38" s="288"/>
      <c r="VIG38" s="288"/>
      <c r="VIH38" s="288"/>
      <c r="VII38" s="288"/>
      <c r="VIJ38" s="288"/>
      <c r="VIK38" s="288"/>
      <c r="VIL38" s="288"/>
      <c r="VIM38" s="288"/>
      <c r="VIN38" s="288"/>
      <c r="VIO38" s="288"/>
      <c r="VIP38" s="288"/>
      <c r="VIQ38" s="288"/>
      <c r="VIR38" s="288"/>
      <c r="VIS38" s="288"/>
      <c r="VIT38" s="288"/>
      <c r="VIU38" s="288"/>
      <c r="VIV38" s="288"/>
      <c r="VIW38" s="288"/>
      <c r="VIX38" s="288"/>
      <c r="VIY38" s="288"/>
      <c r="VIZ38" s="288"/>
      <c r="VJA38" s="288"/>
      <c r="VJB38" s="288"/>
      <c r="VJC38" s="288"/>
      <c r="VJD38" s="288"/>
      <c r="VJE38" s="288"/>
      <c r="VJF38" s="288"/>
      <c r="VJG38" s="288"/>
      <c r="VJH38" s="288"/>
      <c r="VJI38" s="288"/>
      <c r="VJJ38" s="288"/>
      <c r="VJK38" s="288"/>
      <c r="VJL38" s="288"/>
      <c r="VJM38" s="288"/>
      <c r="VJN38" s="288"/>
      <c r="VJO38" s="288"/>
      <c r="VJP38" s="288"/>
      <c r="VJQ38" s="288"/>
      <c r="VJR38" s="288"/>
      <c r="VJS38" s="288"/>
      <c r="VJT38" s="288"/>
      <c r="VJU38" s="288"/>
      <c r="VJV38" s="288"/>
      <c r="VJW38" s="288"/>
      <c r="VJX38" s="288"/>
      <c r="VJY38" s="288"/>
      <c r="VJZ38" s="288"/>
      <c r="VKA38" s="288"/>
      <c r="VKB38" s="288"/>
      <c r="VKC38" s="288"/>
      <c r="VKD38" s="288"/>
      <c r="VKE38" s="288"/>
      <c r="VKF38" s="288"/>
      <c r="VKG38" s="288"/>
      <c r="VKH38" s="288"/>
      <c r="VKI38" s="288"/>
      <c r="VKJ38" s="288"/>
      <c r="VKK38" s="288"/>
      <c r="VKL38" s="288"/>
      <c r="VKM38" s="288"/>
      <c r="VKN38" s="288"/>
      <c r="VKO38" s="288"/>
      <c r="VKP38" s="288"/>
      <c r="VKQ38" s="288"/>
      <c r="VKR38" s="288"/>
      <c r="VKS38" s="288"/>
      <c r="VKT38" s="288"/>
      <c r="VKU38" s="288"/>
      <c r="VKV38" s="288"/>
      <c r="VKW38" s="288"/>
      <c r="VKX38" s="288"/>
      <c r="VKY38" s="288"/>
      <c r="VKZ38" s="288"/>
      <c r="VLA38" s="288"/>
      <c r="VLB38" s="288"/>
      <c r="VLC38" s="288"/>
      <c r="VLD38" s="288"/>
      <c r="VLE38" s="288"/>
      <c r="VLF38" s="288"/>
      <c r="VLG38" s="288"/>
      <c r="VLH38" s="288"/>
      <c r="VLI38" s="288"/>
      <c r="VLJ38" s="288"/>
      <c r="VLK38" s="288"/>
      <c r="VLL38" s="288"/>
      <c r="VLM38" s="288"/>
      <c r="VLN38" s="288"/>
      <c r="VLO38" s="288"/>
      <c r="VLP38" s="288"/>
      <c r="VLQ38" s="288"/>
      <c r="VLR38" s="288"/>
      <c r="VLS38" s="288"/>
      <c r="VLT38" s="288"/>
      <c r="VLU38" s="288"/>
      <c r="VLV38" s="288"/>
      <c r="VLW38" s="288"/>
      <c r="VLX38" s="288"/>
      <c r="VLY38" s="288"/>
      <c r="VLZ38" s="288"/>
      <c r="VMA38" s="288"/>
      <c r="VMB38" s="288"/>
      <c r="VMC38" s="288"/>
      <c r="VMD38" s="288"/>
      <c r="VME38" s="288"/>
      <c r="VMF38" s="288"/>
      <c r="VMG38" s="288"/>
      <c r="VMH38" s="288"/>
      <c r="VMI38" s="288"/>
      <c r="VMJ38" s="288"/>
      <c r="VMK38" s="288"/>
      <c r="VML38" s="288"/>
      <c r="VMM38" s="288"/>
      <c r="VMN38" s="288"/>
      <c r="VMO38" s="288"/>
      <c r="VMP38" s="288"/>
      <c r="VMQ38" s="288"/>
      <c r="VMR38" s="288"/>
      <c r="VMS38" s="288"/>
      <c r="VMT38" s="288"/>
      <c r="VMU38" s="288"/>
      <c r="VMV38" s="288"/>
      <c r="VMW38" s="288"/>
      <c r="VMX38" s="288"/>
      <c r="VMY38" s="288"/>
      <c r="VMZ38" s="288"/>
      <c r="VNA38" s="288"/>
      <c r="VNB38" s="288"/>
      <c r="VNC38" s="288"/>
      <c r="VND38" s="288"/>
      <c r="VNE38" s="288"/>
      <c r="VNF38" s="288"/>
      <c r="VNG38" s="288"/>
      <c r="VNH38" s="288"/>
      <c r="VNI38" s="288"/>
      <c r="VNJ38" s="288"/>
      <c r="VNK38" s="288"/>
      <c r="VNL38" s="288"/>
      <c r="VNM38" s="288"/>
      <c r="VNN38" s="288"/>
      <c r="VNO38" s="288"/>
      <c r="VNP38" s="288"/>
      <c r="VNQ38" s="288"/>
      <c r="VNR38" s="288"/>
      <c r="VNS38" s="288"/>
      <c r="VNT38" s="288"/>
      <c r="VNU38" s="288"/>
      <c r="VNV38" s="288"/>
      <c r="VNW38" s="288"/>
      <c r="VNX38" s="288"/>
      <c r="VNY38" s="288"/>
      <c r="VNZ38" s="288"/>
      <c r="VOA38" s="288"/>
      <c r="VOB38" s="288"/>
      <c r="VOC38" s="288"/>
      <c r="VOD38" s="288"/>
      <c r="VOE38" s="288"/>
      <c r="VOF38" s="288"/>
      <c r="VOG38" s="288"/>
      <c r="VOH38" s="288"/>
      <c r="VOI38" s="288"/>
      <c r="VOJ38" s="288"/>
      <c r="VOK38" s="288"/>
      <c r="VOL38" s="288"/>
      <c r="VOM38" s="288"/>
      <c r="VON38" s="288"/>
      <c r="VOO38" s="288"/>
      <c r="VOP38" s="288"/>
      <c r="VOQ38" s="288"/>
      <c r="VOR38" s="288"/>
      <c r="VOS38" s="288"/>
      <c r="VOT38" s="288"/>
      <c r="VOU38" s="288"/>
      <c r="VOV38" s="288"/>
      <c r="VOW38" s="288"/>
      <c r="VOX38" s="288"/>
      <c r="VOY38" s="288"/>
      <c r="VOZ38" s="288"/>
      <c r="VPA38" s="288"/>
      <c r="VPB38" s="288"/>
      <c r="VPC38" s="288"/>
      <c r="VPD38" s="288"/>
      <c r="VPE38" s="288"/>
      <c r="VPF38" s="288"/>
      <c r="VPG38" s="288"/>
      <c r="VPH38" s="288"/>
      <c r="VPI38" s="288"/>
      <c r="VPJ38" s="288"/>
      <c r="VPK38" s="288"/>
      <c r="VPL38" s="288"/>
      <c r="VPM38" s="288"/>
      <c r="VPN38" s="288"/>
      <c r="VPO38" s="288"/>
      <c r="VPP38" s="288"/>
      <c r="VPQ38" s="288"/>
      <c r="VPR38" s="288"/>
      <c r="VPS38" s="288"/>
      <c r="VPT38" s="288"/>
      <c r="VPU38" s="288"/>
      <c r="VPV38" s="288"/>
      <c r="VPW38" s="288"/>
      <c r="VPX38" s="288"/>
      <c r="VPY38" s="288"/>
      <c r="VPZ38" s="288"/>
      <c r="VQA38" s="288"/>
      <c r="VQB38" s="288"/>
      <c r="VQC38" s="288"/>
      <c r="VQD38" s="288"/>
      <c r="VQE38" s="288"/>
      <c r="VQF38" s="288"/>
      <c r="VQG38" s="288"/>
      <c r="VQH38" s="288"/>
      <c r="VQI38" s="288"/>
      <c r="VQJ38" s="288"/>
      <c r="VQK38" s="288"/>
      <c r="VQL38" s="288"/>
      <c r="VQM38" s="288"/>
      <c r="VQN38" s="288"/>
      <c r="VQO38" s="288"/>
      <c r="VQP38" s="288"/>
      <c r="VQQ38" s="288"/>
      <c r="VQR38" s="288"/>
      <c r="VQS38" s="288"/>
      <c r="VQT38" s="288"/>
      <c r="VQU38" s="288"/>
      <c r="VQV38" s="288"/>
      <c r="VQW38" s="288"/>
      <c r="VQX38" s="288"/>
      <c r="VQY38" s="288"/>
      <c r="VQZ38" s="288"/>
      <c r="VRA38" s="288"/>
      <c r="VRB38" s="288"/>
      <c r="VRC38" s="288"/>
      <c r="VRD38" s="288"/>
      <c r="VRE38" s="288"/>
      <c r="VRF38" s="288"/>
      <c r="VRG38" s="288"/>
      <c r="VRH38" s="288"/>
      <c r="VRI38" s="288"/>
      <c r="VRJ38" s="288"/>
      <c r="VRK38" s="288"/>
      <c r="VRL38" s="288"/>
      <c r="VRM38" s="288"/>
      <c r="VRN38" s="288"/>
      <c r="VRO38" s="288"/>
      <c r="VRP38" s="288"/>
      <c r="VRQ38" s="288"/>
      <c r="VRR38" s="288"/>
      <c r="VRS38" s="288"/>
      <c r="VRT38" s="288"/>
      <c r="VRU38" s="288"/>
      <c r="VRV38" s="288"/>
      <c r="VRW38" s="288"/>
      <c r="VRX38" s="288"/>
      <c r="VRY38" s="288"/>
      <c r="VRZ38" s="288"/>
      <c r="VSA38" s="288"/>
      <c r="VSB38" s="288"/>
      <c r="VSC38" s="288"/>
      <c r="VSD38" s="288"/>
      <c r="VSE38" s="288"/>
      <c r="VSF38" s="288"/>
      <c r="VSG38" s="288"/>
      <c r="VSH38" s="288"/>
      <c r="VSI38" s="288"/>
      <c r="VSJ38" s="288"/>
      <c r="VSK38" s="288"/>
      <c r="VSL38" s="288"/>
      <c r="VSM38" s="288"/>
      <c r="VSN38" s="288"/>
      <c r="VSO38" s="288"/>
      <c r="VSP38" s="288"/>
      <c r="VSQ38" s="288"/>
      <c r="VSR38" s="288"/>
      <c r="VSS38" s="288"/>
      <c r="VST38" s="288"/>
      <c r="VSU38" s="288"/>
      <c r="VSV38" s="288"/>
      <c r="VSW38" s="288"/>
      <c r="VSX38" s="288"/>
      <c r="VSY38" s="288"/>
      <c r="VSZ38" s="288"/>
      <c r="VTA38" s="288"/>
      <c r="VTB38" s="288"/>
      <c r="VTC38" s="288"/>
      <c r="VTD38" s="288"/>
      <c r="VTE38" s="288"/>
      <c r="VTF38" s="288"/>
      <c r="VTG38" s="288"/>
      <c r="VTH38" s="288"/>
      <c r="VTI38" s="288"/>
      <c r="VTJ38" s="288"/>
      <c r="VTK38" s="288"/>
      <c r="VTL38" s="288"/>
      <c r="VTM38" s="288"/>
      <c r="VTN38" s="288"/>
      <c r="VTO38" s="288"/>
      <c r="VTP38" s="288"/>
      <c r="VTQ38" s="288"/>
      <c r="VTR38" s="288"/>
      <c r="VTS38" s="288"/>
      <c r="VTT38" s="288"/>
      <c r="VTU38" s="288"/>
      <c r="VTV38" s="288"/>
      <c r="VTW38" s="288"/>
      <c r="VTX38" s="288"/>
      <c r="VTY38" s="288"/>
      <c r="VTZ38" s="288"/>
      <c r="VUA38" s="288"/>
      <c r="VUB38" s="288"/>
      <c r="VUC38" s="288"/>
      <c r="VUD38" s="288"/>
      <c r="VUE38" s="288"/>
      <c r="VUF38" s="288"/>
      <c r="VUG38" s="288"/>
      <c r="VUH38" s="288"/>
      <c r="VUI38" s="288"/>
      <c r="VUJ38" s="288"/>
      <c r="VUK38" s="288"/>
      <c r="VUL38" s="288"/>
      <c r="VUM38" s="288"/>
      <c r="VUN38" s="288"/>
      <c r="VUO38" s="288"/>
      <c r="VUP38" s="288"/>
      <c r="VUQ38" s="288"/>
      <c r="VUR38" s="288"/>
      <c r="VUS38" s="288"/>
      <c r="VUT38" s="288"/>
      <c r="VUU38" s="288"/>
      <c r="VUV38" s="288"/>
      <c r="VUW38" s="288"/>
      <c r="VUX38" s="288"/>
      <c r="VUY38" s="288"/>
      <c r="VUZ38" s="288"/>
      <c r="VVA38" s="288"/>
      <c r="VVB38" s="288"/>
      <c r="VVC38" s="288"/>
      <c r="VVD38" s="288"/>
      <c r="VVE38" s="288"/>
      <c r="VVF38" s="288"/>
      <c r="VVG38" s="288"/>
      <c r="VVH38" s="288"/>
      <c r="VVI38" s="288"/>
      <c r="VVJ38" s="288"/>
      <c r="VVK38" s="288"/>
      <c r="VVL38" s="288"/>
      <c r="VVM38" s="288"/>
      <c r="VVN38" s="288"/>
      <c r="VVO38" s="288"/>
      <c r="VVP38" s="288"/>
      <c r="VVQ38" s="288"/>
      <c r="VVR38" s="288"/>
      <c r="VVS38" s="288"/>
      <c r="VVT38" s="288"/>
      <c r="VVU38" s="288"/>
      <c r="VVV38" s="288"/>
      <c r="VVW38" s="288"/>
      <c r="VVX38" s="288"/>
      <c r="VVY38" s="288"/>
      <c r="VVZ38" s="288"/>
      <c r="VWA38" s="288"/>
      <c r="VWB38" s="288"/>
      <c r="VWC38" s="288"/>
      <c r="VWD38" s="288"/>
      <c r="VWE38" s="288"/>
      <c r="VWF38" s="288"/>
      <c r="VWG38" s="288"/>
      <c r="VWH38" s="288"/>
      <c r="VWI38" s="288"/>
      <c r="VWJ38" s="288"/>
      <c r="VWK38" s="288"/>
      <c r="VWL38" s="288"/>
      <c r="VWM38" s="288"/>
      <c r="VWN38" s="288"/>
      <c r="VWO38" s="288"/>
      <c r="VWP38" s="288"/>
      <c r="VWQ38" s="288"/>
      <c r="VWR38" s="288"/>
      <c r="VWS38" s="288"/>
      <c r="VWT38" s="288"/>
      <c r="VWU38" s="288"/>
      <c r="VWV38" s="288"/>
      <c r="VWW38" s="288"/>
      <c r="VWX38" s="288"/>
      <c r="VWY38" s="288"/>
      <c r="VWZ38" s="288"/>
      <c r="VXA38" s="288"/>
      <c r="VXB38" s="288"/>
      <c r="VXC38" s="288"/>
      <c r="VXD38" s="288"/>
      <c r="VXE38" s="288"/>
      <c r="VXF38" s="288"/>
      <c r="VXG38" s="288"/>
      <c r="VXH38" s="288"/>
      <c r="VXI38" s="288"/>
      <c r="VXJ38" s="288"/>
      <c r="VXK38" s="288"/>
      <c r="VXL38" s="288"/>
      <c r="VXM38" s="288"/>
      <c r="VXN38" s="288"/>
      <c r="VXO38" s="288"/>
      <c r="VXP38" s="288"/>
      <c r="VXQ38" s="288"/>
      <c r="VXR38" s="288"/>
      <c r="VXS38" s="288"/>
      <c r="VXT38" s="288"/>
      <c r="VXU38" s="288"/>
      <c r="VXV38" s="288"/>
      <c r="VXW38" s="288"/>
      <c r="VXX38" s="288"/>
      <c r="VXY38" s="288"/>
      <c r="VXZ38" s="288"/>
      <c r="VYA38" s="288"/>
      <c r="VYB38" s="288"/>
      <c r="VYC38" s="288"/>
      <c r="VYD38" s="288"/>
      <c r="VYE38" s="288"/>
      <c r="VYF38" s="288"/>
      <c r="VYG38" s="288"/>
      <c r="VYH38" s="288"/>
      <c r="VYI38" s="288"/>
      <c r="VYJ38" s="288"/>
      <c r="VYK38" s="288"/>
      <c r="VYL38" s="288"/>
      <c r="VYM38" s="288"/>
      <c r="VYN38" s="288"/>
      <c r="VYO38" s="288"/>
      <c r="VYP38" s="288"/>
      <c r="VYQ38" s="288"/>
      <c r="VYR38" s="288"/>
      <c r="VYS38" s="288"/>
      <c r="VYT38" s="288"/>
      <c r="VYU38" s="288"/>
      <c r="VYV38" s="288"/>
      <c r="VYW38" s="288"/>
      <c r="VYX38" s="288"/>
      <c r="VYY38" s="288"/>
      <c r="VYZ38" s="288"/>
      <c r="VZA38" s="288"/>
      <c r="VZB38" s="288"/>
      <c r="VZC38" s="288"/>
      <c r="VZD38" s="288"/>
      <c r="VZE38" s="288"/>
      <c r="VZF38" s="288"/>
      <c r="VZG38" s="288"/>
      <c r="VZH38" s="288"/>
      <c r="VZI38" s="288"/>
      <c r="VZJ38" s="288"/>
      <c r="VZK38" s="288"/>
      <c r="VZL38" s="288"/>
      <c r="VZM38" s="288"/>
      <c r="VZN38" s="288"/>
      <c r="VZO38" s="288"/>
      <c r="VZP38" s="288"/>
      <c r="VZQ38" s="288"/>
      <c r="VZR38" s="288"/>
      <c r="VZS38" s="288"/>
      <c r="VZT38" s="288"/>
      <c r="VZU38" s="288"/>
      <c r="VZV38" s="288"/>
      <c r="VZW38" s="288"/>
      <c r="VZX38" s="288"/>
      <c r="VZY38" s="288"/>
      <c r="VZZ38" s="288"/>
      <c r="WAA38" s="288"/>
      <c r="WAB38" s="288"/>
      <c r="WAC38" s="288"/>
      <c r="WAD38" s="288"/>
      <c r="WAE38" s="288"/>
      <c r="WAF38" s="288"/>
      <c r="WAG38" s="288"/>
      <c r="WAH38" s="288"/>
      <c r="WAI38" s="288"/>
      <c r="WAJ38" s="288"/>
      <c r="WAK38" s="288"/>
      <c r="WAL38" s="288"/>
      <c r="WAM38" s="288"/>
      <c r="WAN38" s="288"/>
      <c r="WAO38" s="288"/>
      <c r="WAP38" s="288"/>
      <c r="WAQ38" s="288"/>
      <c r="WAR38" s="288"/>
      <c r="WAS38" s="288"/>
      <c r="WAT38" s="288"/>
      <c r="WAU38" s="288"/>
      <c r="WAV38" s="288"/>
      <c r="WAW38" s="288"/>
      <c r="WAX38" s="288"/>
      <c r="WAY38" s="288"/>
      <c r="WAZ38" s="288"/>
      <c r="WBA38" s="288"/>
      <c r="WBB38" s="288"/>
      <c r="WBC38" s="288"/>
      <c r="WBD38" s="288"/>
      <c r="WBE38" s="288"/>
      <c r="WBF38" s="288"/>
      <c r="WBG38" s="288"/>
      <c r="WBH38" s="288"/>
      <c r="WBI38" s="288"/>
      <c r="WBJ38" s="288"/>
      <c r="WBK38" s="288"/>
      <c r="WBL38" s="288"/>
      <c r="WBM38" s="288"/>
      <c r="WBN38" s="288"/>
      <c r="WBO38" s="288"/>
      <c r="WBP38" s="288"/>
      <c r="WBQ38" s="288"/>
      <c r="WBR38" s="288"/>
      <c r="WBS38" s="288"/>
      <c r="WBT38" s="288"/>
      <c r="WBU38" s="288"/>
      <c r="WBV38" s="288"/>
      <c r="WBW38" s="288"/>
      <c r="WBX38" s="288"/>
      <c r="WBY38" s="288"/>
      <c r="WBZ38" s="288"/>
      <c r="WCA38" s="288"/>
      <c r="WCB38" s="288"/>
      <c r="WCC38" s="288"/>
      <c r="WCD38" s="288"/>
      <c r="WCE38" s="288"/>
      <c r="WCF38" s="288"/>
      <c r="WCG38" s="288"/>
      <c r="WCH38" s="288"/>
      <c r="WCI38" s="288"/>
      <c r="WCJ38" s="288"/>
      <c r="WCK38" s="288"/>
      <c r="WCL38" s="288"/>
      <c r="WCM38" s="288"/>
      <c r="WCN38" s="288"/>
      <c r="WCO38" s="288"/>
      <c r="WCP38" s="288"/>
      <c r="WCQ38" s="288"/>
      <c r="WCR38" s="288"/>
      <c r="WCS38" s="288"/>
      <c r="WCT38" s="288"/>
      <c r="WCU38" s="288"/>
      <c r="WCV38" s="288"/>
      <c r="WCW38" s="288"/>
      <c r="WCX38" s="288"/>
      <c r="WCY38" s="288"/>
      <c r="WCZ38" s="288"/>
      <c r="WDA38" s="288"/>
      <c r="WDB38" s="288"/>
      <c r="WDC38" s="288"/>
      <c r="WDD38" s="288"/>
      <c r="WDE38" s="288"/>
      <c r="WDF38" s="288"/>
      <c r="WDG38" s="288"/>
      <c r="WDH38" s="288"/>
      <c r="WDI38" s="288"/>
      <c r="WDJ38" s="288"/>
      <c r="WDK38" s="288"/>
      <c r="WDL38" s="288"/>
      <c r="WDM38" s="288"/>
      <c r="WDN38" s="288"/>
      <c r="WDO38" s="288"/>
      <c r="WDP38" s="288"/>
      <c r="WDQ38" s="288"/>
      <c r="WDR38" s="288"/>
      <c r="WDS38" s="288"/>
      <c r="WDT38" s="288"/>
      <c r="WDU38" s="288"/>
      <c r="WDV38" s="288"/>
      <c r="WDW38" s="288"/>
      <c r="WDX38" s="288"/>
      <c r="WDY38" s="288"/>
      <c r="WDZ38" s="288"/>
      <c r="WEA38" s="288"/>
      <c r="WEB38" s="288"/>
      <c r="WEC38" s="288"/>
      <c r="WED38" s="288"/>
      <c r="WEE38" s="288"/>
      <c r="WEF38" s="288"/>
      <c r="WEG38" s="288"/>
      <c r="WEH38" s="288"/>
      <c r="WEI38" s="288"/>
      <c r="WEJ38" s="288"/>
      <c r="WEK38" s="288"/>
      <c r="WEL38" s="288"/>
      <c r="WEM38" s="288"/>
      <c r="WEN38" s="288"/>
      <c r="WEO38" s="288"/>
      <c r="WEP38" s="288"/>
      <c r="WEQ38" s="288"/>
      <c r="WER38" s="288"/>
      <c r="WES38" s="288"/>
      <c r="WET38" s="288"/>
      <c r="WEU38" s="288"/>
      <c r="WEV38" s="288"/>
      <c r="WEW38" s="288"/>
      <c r="WEX38" s="288"/>
      <c r="WEY38" s="288"/>
      <c r="WEZ38" s="288"/>
      <c r="WFA38" s="288"/>
      <c r="WFB38" s="288"/>
      <c r="WFC38" s="288"/>
      <c r="WFD38" s="288"/>
      <c r="WFE38" s="288"/>
      <c r="WFF38" s="288"/>
      <c r="WFG38" s="288"/>
      <c r="WFH38" s="288"/>
      <c r="WFI38" s="288"/>
      <c r="WFJ38" s="288"/>
      <c r="WFK38" s="288"/>
      <c r="WFL38" s="288"/>
      <c r="WFM38" s="288"/>
      <c r="WFN38" s="288"/>
      <c r="WFO38" s="288"/>
      <c r="WFP38" s="288"/>
      <c r="WFQ38" s="288"/>
      <c r="WFR38" s="288"/>
      <c r="WFS38" s="288"/>
      <c r="WFT38" s="288"/>
      <c r="WFU38" s="288"/>
      <c r="WFV38" s="288"/>
      <c r="WFW38" s="288"/>
      <c r="WFX38" s="288"/>
      <c r="WFY38" s="288"/>
      <c r="WFZ38" s="288"/>
      <c r="WGA38" s="288"/>
      <c r="WGB38" s="288"/>
      <c r="WGC38" s="288"/>
      <c r="WGD38" s="288"/>
      <c r="WGE38" s="288"/>
      <c r="WGF38" s="288"/>
      <c r="WGG38" s="288"/>
      <c r="WGH38" s="288"/>
      <c r="WGI38" s="288"/>
      <c r="WGJ38" s="288"/>
      <c r="WGK38" s="288"/>
      <c r="WGL38" s="288"/>
      <c r="WGM38" s="288"/>
      <c r="WGN38" s="288"/>
      <c r="WGO38" s="288"/>
      <c r="WGP38" s="288"/>
      <c r="WGQ38" s="288"/>
      <c r="WGR38" s="288"/>
      <c r="WGS38" s="288"/>
      <c r="WGT38" s="288"/>
      <c r="WGU38" s="288"/>
      <c r="WGV38" s="288"/>
      <c r="WGW38" s="288"/>
      <c r="WGX38" s="288"/>
      <c r="WGY38" s="288"/>
      <c r="WGZ38" s="288"/>
      <c r="WHA38" s="288"/>
      <c r="WHB38" s="288"/>
      <c r="WHC38" s="288"/>
      <c r="WHD38" s="288"/>
      <c r="WHE38" s="288"/>
      <c r="WHF38" s="288"/>
      <c r="WHG38" s="288"/>
      <c r="WHH38" s="288"/>
      <c r="WHI38" s="288"/>
      <c r="WHJ38" s="288"/>
      <c r="WHK38" s="288"/>
      <c r="WHL38" s="288"/>
      <c r="WHM38" s="288"/>
      <c r="WHN38" s="288"/>
      <c r="WHO38" s="288"/>
      <c r="WHP38" s="288"/>
      <c r="WHQ38" s="288"/>
      <c r="WHR38" s="288"/>
      <c r="WHS38" s="288"/>
      <c r="WHT38" s="288"/>
      <c r="WHU38" s="288"/>
      <c r="WHV38" s="288"/>
      <c r="WHW38" s="288"/>
      <c r="WHX38" s="288"/>
      <c r="WHY38" s="288"/>
      <c r="WHZ38" s="288"/>
      <c r="WIA38" s="288"/>
      <c r="WIB38" s="288"/>
      <c r="WIC38" s="288"/>
      <c r="WID38" s="288"/>
      <c r="WIE38" s="288"/>
      <c r="WIF38" s="288"/>
      <c r="WIG38" s="288"/>
      <c r="WIH38" s="288"/>
      <c r="WII38" s="288"/>
      <c r="WIJ38" s="288"/>
      <c r="WIK38" s="288"/>
      <c r="WIL38" s="288"/>
      <c r="WIM38" s="288"/>
      <c r="WIN38" s="288"/>
      <c r="WIO38" s="288"/>
      <c r="WIP38" s="288"/>
      <c r="WIQ38" s="288"/>
      <c r="WIR38" s="288"/>
      <c r="WIS38" s="288"/>
      <c r="WIT38" s="288"/>
      <c r="WIU38" s="288"/>
      <c r="WIV38" s="288"/>
      <c r="WIW38" s="288"/>
      <c r="WIX38" s="288"/>
      <c r="WIY38" s="288"/>
      <c r="WIZ38" s="288"/>
      <c r="WJA38" s="288"/>
      <c r="WJB38" s="288"/>
      <c r="WJC38" s="288"/>
      <c r="WJD38" s="288"/>
      <c r="WJE38" s="288"/>
      <c r="WJF38" s="288"/>
      <c r="WJG38" s="288"/>
      <c r="WJH38" s="288"/>
      <c r="WJI38" s="288"/>
      <c r="WJJ38" s="288"/>
      <c r="WJK38" s="288"/>
      <c r="WJL38" s="288"/>
      <c r="WJM38" s="288"/>
      <c r="WJN38" s="288"/>
      <c r="WJO38" s="288"/>
      <c r="WJP38" s="288"/>
      <c r="WJQ38" s="288"/>
      <c r="WJR38" s="288"/>
      <c r="WJS38" s="288"/>
      <c r="WJT38" s="288"/>
      <c r="WJU38" s="288"/>
      <c r="WJV38" s="288"/>
      <c r="WJW38" s="288"/>
      <c r="WJX38" s="288"/>
      <c r="WJY38" s="288"/>
      <c r="WJZ38" s="288"/>
      <c r="WKA38" s="288"/>
      <c r="WKB38" s="288"/>
      <c r="WKC38" s="288"/>
      <c r="WKD38" s="288"/>
      <c r="WKE38" s="288"/>
      <c r="WKF38" s="288"/>
      <c r="WKG38" s="288"/>
      <c r="WKH38" s="288"/>
      <c r="WKI38" s="288"/>
      <c r="WKJ38" s="288"/>
      <c r="WKK38" s="288"/>
      <c r="WKL38" s="288"/>
      <c r="WKM38" s="288"/>
      <c r="WKN38" s="288"/>
      <c r="WKO38" s="288"/>
      <c r="WKP38" s="288"/>
      <c r="WKQ38" s="288"/>
      <c r="WKR38" s="288"/>
      <c r="WKS38" s="288"/>
      <c r="WKT38" s="288"/>
      <c r="WKU38" s="288"/>
      <c r="WKV38" s="288"/>
      <c r="WKW38" s="288"/>
      <c r="WKX38" s="288"/>
      <c r="WKY38" s="288"/>
      <c r="WKZ38" s="288"/>
      <c r="WLA38" s="288"/>
      <c r="WLB38" s="288"/>
      <c r="WLC38" s="288"/>
      <c r="WLD38" s="288"/>
      <c r="WLE38" s="288"/>
      <c r="WLF38" s="288"/>
      <c r="WLG38" s="288"/>
      <c r="WLH38" s="288"/>
      <c r="WLI38" s="288"/>
      <c r="WLJ38" s="288"/>
      <c r="WLK38" s="288"/>
      <c r="WLL38" s="288"/>
      <c r="WLM38" s="288"/>
      <c r="WLN38" s="288"/>
      <c r="WLO38" s="288"/>
      <c r="WLP38" s="288"/>
      <c r="WLQ38" s="288"/>
      <c r="WLR38" s="288"/>
      <c r="WLS38" s="288"/>
      <c r="WLT38" s="288"/>
      <c r="WLU38" s="288"/>
      <c r="WLV38" s="288"/>
      <c r="WLW38" s="288"/>
      <c r="WLX38" s="288"/>
      <c r="WLY38" s="288"/>
      <c r="WLZ38" s="288"/>
      <c r="WMA38" s="288"/>
      <c r="WMB38" s="288"/>
      <c r="WMC38" s="288"/>
      <c r="WMD38" s="288"/>
      <c r="WME38" s="288"/>
      <c r="WMF38" s="288"/>
      <c r="WMG38" s="288"/>
      <c r="WMH38" s="288"/>
      <c r="WMI38" s="288"/>
      <c r="WMJ38" s="288"/>
      <c r="WMK38" s="288"/>
      <c r="WML38" s="288"/>
      <c r="WMM38" s="288"/>
      <c r="WMN38" s="288"/>
      <c r="WMO38" s="288"/>
      <c r="WMP38" s="288"/>
      <c r="WMQ38" s="288"/>
      <c r="WMR38" s="288"/>
      <c r="WMS38" s="288"/>
      <c r="WMT38" s="288"/>
      <c r="WMU38" s="288"/>
      <c r="WMV38" s="288"/>
      <c r="WMW38" s="288"/>
      <c r="WMX38" s="288"/>
      <c r="WMY38" s="288"/>
      <c r="WMZ38" s="288"/>
      <c r="WNA38" s="288"/>
      <c r="WNB38" s="288"/>
      <c r="WNC38" s="288"/>
      <c r="WND38" s="288"/>
      <c r="WNE38" s="288"/>
      <c r="WNF38" s="288"/>
      <c r="WNG38" s="288"/>
      <c r="WNH38" s="288"/>
      <c r="WNI38" s="288"/>
      <c r="WNJ38" s="288"/>
      <c r="WNK38" s="288"/>
      <c r="WNL38" s="288"/>
      <c r="WNM38" s="288"/>
      <c r="WNN38" s="288"/>
      <c r="WNO38" s="288"/>
      <c r="WNP38" s="288"/>
      <c r="WNQ38" s="288"/>
      <c r="WNR38" s="288"/>
      <c r="WNS38" s="288"/>
      <c r="WNT38" s="288"/>
      <c r="WNU38" s="288"/>
      <c r="WNV38" s="288"/>
      <c r="WNW38" s="288"/>
      <c r="WNX38" s="288"/>
      <c r="WNY38" s="288"/>
      <c r="WNZ38" s="288"/>
      <c r="WOA38" s="288"/>
      <c r="WOB38" s="288"/>
      <c r="WOC38" s="288"/>
      <c r="WOD38" s="288"/>
      <c r="WOE38" s="288"/>
      <c r="WOF38" s="288"/>
      <c r="WOG38" s="288"/>
      <c r="WOH38" s="288"/>
      <c r="WOI38" s="288"/>
      <c r="WOJ38" s="288"/>
      <c r="WOK38" s="288"/>
      <c r="WOL38" s="288"/>
      <c r="WOM38" s="288"/>
      <c r="WON38" s="288"/>
      <c r="WOO38" s="288"/>
      <c r="WOP38" s="288"/>
      <c r="WOQ38" s="288"/>
      <c r="WOR38" s="288"/>
      <c r="WOS38" s="288"/>
      <c r="WOT38" s="288"/>
      <c r="WOU38" s="288"/>
      <c r="WOV38" s="288"/>
      <c r="WOW38" s="288"/>
      <c r="WOX38" s="288"/>
      <c r="WOY38" s="288"/>
      <c r="WOZ38" s="288"/>
      <c r="WPA38" s="288"/>
      <c r="WPB38" s="288"/>
      <c r="WPC38" s="288"/>
      <c r="WPD38" s="288"/>
      <c r="WPE38" s="288"/>
      <c r="WPF38" s="288"/>
      <c r="WPG38" s="288"/>
      <c r="WPH38" s="288"/>
      <c r="WPI38" s="288"/>
      <c r="WPJ38" s="288"/>
      <c r="WPK38" s="288"/>
      <c r="WPL38" s="288"/>
      <c r="WPM38" s="288"/>
      <c r="WPN38" s="288"/>
      <c r="WPO38" s="288"/>
      <c r="WPP38" s="288"/>
      <c r="WPQ38" s="288"/>
      <c r="WPR38" s="288"/>
      <c r="WPS38" s="288"/>
      <c r="WPT38" s="288"/>
      <c r="WPU38" s="288"/>
      <c r="WPV38" s="288"/>
      <c r="WPW38" s="288"/>
      <c r="WPX38" s="288"/>
      <c r="WPY38" s="288"/>
      <c r="WPZ38" s="288"/>
      <c r="WQA38" s="288"/>
      <c r="WQB38" s="288"/>
      <c r="WQC38" s="288"/>
      <c r="WQD38" s="288"/>
      <c r="WQE38" s="288"/>
      <c r="WQF38" s="288"/>
      <c r="WQG38" s="288"/>
      <c r="WQH38" s="288"/>
      <c r="WQI38" s="288"/>
      <c r="WQJ38" s="288"/>
      <c r="WQK38" s="288"/>
      <c r="WQL38" s="288"/>
      <c r="WQM38" s="288"/>
      <c r="WQN38" s="288"/>
      <c r="WQO38" s="288"/>
      <c r="WQP38" s="288"/>
      <c r="WQQ38" s="288"/>
      <c r="WQR38" s="288"/>
      <c r="WQS38" s="288"/>
      <c r="WQT38" s="288"/>
      <c r="WQU38" s="288"/>
      <c r="WQV38" s="288"/>
      <c r="WQW38" s="288"/>
      <c r="WQX38" s="288"/>
      <c r="WQY38" s="288"/>
      <c r="WQZ38" s="288"/>
      <c r="WRA38" s="288"/>
      <c r="WRB38" s="288"/>
      <c r="WRC38" s="288"/>
      <c r="WRD38" s="288"/>
      <c r="WRE38" s="288"/>
      <c r="WRF38" s="288"/>
      <c r="WRG38" s="288"/>
      <c r="WRH38" s="288"/>
      <c r="WRI38" s="288"/>
      <c r="WRJ38" s="288"/>
      <c r="WRK38" s="288"/>
      <c r="WRL38" s="288"/>
      <c r="WRM38" s="288"/>
      <c r="WRN38" s="288"/>
      <c r="WRO38" s="288"/>
      <c r="WRP38" s="288"/>
      <c r="WRQ38" s="288"/>
      <c r="WRR38" s="288"/>
      <c r="WRS38" s="288"/>
      <c r="WRT38" s="288"/>
      <c r="WRU38" s="288"/>
      <c r="WRV38" s="288"/>
      <c r="WRW38" s="288"/>
      <c r="WRX38" s="288"/>
      <c r="WRY38" s="288"/>
      <c r="WRZ38" s="288"/>
      <c r="WSA38" s="288"/>
      <c r="WSB38" s="288"/>
      <c r="WSC38" s="288"/>
      <c r="WSD38" s="288"/>
      <c r="WSE38" s="288"/>
      <c r="WSF38" s="288"/>
      <c r="WSG38" s="288"/>
      <c r="WSH38" s="288"/>
      <c r="WSI38" s="288"/>
      <c r="WSJ38" s="288"/>
      <c r="WSK38" s="288"/>
      <c r="WSL38" s="288"/>
      <c r="WSM38" s="288"/>
      <c r="WSN38" s="288"/>
      <c r="WSO38" s="288"/>
      <c r="WSP38" s="288"/>
      <c r="WSQ38" s="288"/>
      <c r="WSR38" s="288"/>
      <c r="WSS38" s="288"/>
      <c r="WST38" s="288"/>
      <c r="WSU38" s="288"/>
      <c r="WSV38" s="288"/>
      <c r="WSW38" s="288"/>
      <c r="WSX38" s="288"/>
      <c r="WSY38" s="288"/>
      <c r="WSZ38" s="288"/>
      <c r="WTA38" s="288"/>
      <c r="WTB38" s="288"/>
      <c r="WTC38" s="288"/>
      <c r="WTD38" s="288"/>
      <c r="WTE38" s="288"/>
      <c r="WTF38" s="288"/>
      <c r="WTG38" s="288"/>
      <c r="WTH38" s="288"/>
      <c r="WTI38" s="288"/>
      <c r="WTJ38" s="288"/>
      <c r="WTK38" s="288"/>
      <c r="WTL38" s="288"/>
      <c r="WTM38" s="288"/>
      <c r="WTN38" s="288"/>
      <c r="WTO38" s="288"/>
      <c r="WTP38" s="288"/>
      <c r="WTQ38" s="288"/>
      <c r="WTR38" s="288"/>
      <c r="WTS38" s="288"/>
      <c r="WTT38" s="288"/>
      <c r="WTU38" s="288"/>
      <c r="WTV38" s="288"/>
      <c r="WTW38" s="288"/>
      <c r="WTX38" s="288"/>
      <c r="WTY38" s="288"/>
      <c r="WTZ38" s="288"/>
      <c r="WUA38" s="288"/>
      <c r="WUB38" s="288"/>
      <c r="WUC38" s="288"/>
      <c r="WUD38" s="288"/>
      <c r="WUE38" s="288"/>
      <c r="WUF38" s="288"/>
      <c r="WUG38" s="288"/>
      <c r="WUH38" s="288"/>
      <c r="WUI38" s="288"/>
      <c r="WUJ38" s="288"/>
      <c r="WUK38" s="288"/>
      <c r="WUL38" s="288"/>
      <c r="WUM38" s="288"/>
      <c r="WUN38" s="288"/>
      <c r="WUO38" s="288"/>
      <c r="WUP38" s="288"/>
      <c r="WUQ38" s="288"/>
      <c r="WUR38" s="288"/>
      <c r="WUS38" s="288"/>
      <c r="WUT38" s="288"/>
      <c r="WUU38" s="288"/>
      <c r="WUV38" s="288"/>
      <c r="WUW38" s="288"/>
      <c r="WUX38" s="288"/>
      <c r="WUY38" s="288"/>
      <c r="WUZ38" s="288"/>
      <c r="WVA38" s="288"/>
      <c r="WVB38" s="288"/>
      <c r="WVC38" s="288"/>
      <c r="WVD38" s="288"/>
      <c r="WVE38" s="288"/>
      <c r="WVF38" s="288"/>
      <c r="WVG38" s="288"/>
      <c r="WVH38" s="288"/>
      <c r="WVI38" s="288"/>
      <c r="WVJ38" s="288"/>
      <c r="WVK38" s="288"/>
      <c r="WVL38" s="288"/>
      <c r="WVM38" s="288"/>
      <c r="WVN38" s="288"/>
      <c r="WVO38" s="288"/>
      <c r="WVP38" s="288"/>
      <c r="WVQ38" s="288"/>
      <c r="WVR38" s="288"/>
      <c r="WVS38" s="288"/>
      <c r="WVT38" s="288"/>
      <c r="WVU38" s="288"/>
      <c r="WVV38" s="288"/>
      <c r="WVW38" s="288"/>
      <c r="WVX38" s="288"/>
      <c r="WVY38" s="288"/>
      <c r="WVZ38" s="288"/>
      <c r="WWA38" s="288"/>
      <c r="WWB38" s="288"/>
      <c r="WWC38" s="288"/>
      <c r="WWD38" s="288"/>
      <c r="WWE38" s="288"/>
      <c r="WWF38" s="288"/>
      <c r="WWG38" s="288"/>
      <c r="WWH38" s="288"/>
      <c r="WWI38" s="288"/>
      <c r="WWJ38" s="288"/>
      <c r="WWK38" s="288"/>
      <c r="WWL38" s="288"/>
      <c r="WWM38" s="288"/>
      <c r="WWN38" s="288"/>
      <c r="WWO38" s="288"/>
      <c r="WWP38" s="288"/>
      <c r="WWQ38" s="288"/>
      <c r="WWR38" s="288"/>
      <c r="WWS38" s="288"/>
      <c r="WWT38" s="288"/>
      <c r="WWU38" s="288"/>
      <c r="WWV38" s="288"/>
      <c r="WWW38" s="288"/>
      <c r="WWX38" s="288"/>
      <c r="WWY38" s="288"/>
      <c r="WWZ38" s="288"/>
      <c r="WXA38" s="288"/>
      <c r="WXB38" s="288"/>
      <c r="WXC38" s="288"/>
      <c r="WXD38" s="288"/>
      <c r="WXE38" s="288"/>
      <c r="WXF38" s="288"/>
      <c r="WXG38" s="288"/>
      <c r="WXH38" s="288"/>
      <c r="WXI38" s="288"/>
      <c r="WXJ38" s="288"/>
      <c r="WXK38" s="288"/>
      <c r="WXL38" s="288"/>
      <c r="WXM38" s="288"/>
      <c r="WXN38" s="288"/>
      <c r="WXO38" s="288"/>
      <c r="WXP38" s="288"/>
      <c r="WXQ38" s="288"/>
      <c r="WXR38" s="288"/>
      <c r="WXS38" s="288"/>
      <c r="WXT38" s="288"/>
      <c r="WXU38" s="288"/>
      <c r="WXV38" s="288"/>
      <c r="WXW38" s="288"/>
      <c r="WXX38" s="288"/>
      <c r="WXY38" s="288"/>
      <c r="WXZ38" s="288"/>
      <c r="WYA38" s="288"/>
      <c r="WYB38" s="288"/>
      <c r="WYC38" s="288"/>
      <c r="WYD38" s="288"/>
      <c r="WYE38" s="288"/>
      <c r="WYF38" s="288"/>
      <c r="WYG38" s="288"/>
      <c r="WYH38" s="288"/>
      <c r="WYI38" s="288"/>
      <c r="WYJ38" s="288"/>
      <c r="WYK38" s="288"/>
      <c r="WYL38" s="288"/>
      <c r="WYM38" s="288"/>
      <c r="WYN38" s="288"/>
      <c r="WYO38" s="288"/>
      <c r="WYP38" s="288"/>
      <c r="WYQ38" s="288"/>
      <c r="WYR38" s="288"/>
      <c r="WYS38" s="288"/>
      <c r="WYT38" s="288"/>
      <c r="WYU38" s="288"/>
      <c r="WYV38" s="288"/>
      <c r="WYW38" s="288"/>
      <c r="WYX38" s="288"/>
      <c r="WYY38" s="288"/>
      <c r="WYZ38" s="288"/>
      <c r="WZA38" s="288"/>
      <c r="WZB38" s="288"/>
      <c r="WZC38" s="288"/>
      <c r="WZD38" s="288"/>
      <c r="WZE38" s="288"/>
      <c r="WZF38" s="288"/>
      <c r="WZG38" s="288"/>
      <c r="WZH38" s="288"/>
      <c r="WZI38" s="288"/>
      <c r="WZJ38" s="288"/>
      <c r="WZK38" s="288"/>
      <c r="WZL38" s="288"/>
      <c r="WZM38" s="288"/>
      <c r="WZN38" s="288"/>
      <c r="WZO38" s="288"/>
      <c r="WZP38" s="288"/>
      <c r="WZQ38" s="288"/>
      <c r="WZR38" s="288"/>
      <c r="WZS38" s="288"/>
      <c r="WZT38" s="288"/>
      <c r="WZU38" s="288"/>
      <c r="WZV38" s="288"/>
      <c r="WZW38" s="288"/>
      <c r="WZX38" s="288"/>
      <c r="WZY38" s="288"/>
      <c r="WZZ38" s="288"/>
      <c r="XAA38" s="288"/>
      <c r="XAB38" s="288"/>
      <c r="XAC38" s="288"/>
      <c r="XAD38" s="288"/>
      <c r="XAE38" s="288"/>
      <c r="XAF38" s="288"/>
      <c r="XAG38" s="288"/>
      <c r="XAH38" s="288"/>
      <c r="XAI38" s="288"/>
      <c r="XAJ38" s="288"/>
      <c r="XAK38" s="288"/>
      <c r="XAL38" s="288"/>
      <c r="XAM38" s="288"/>
      <c r="XAN38" s="288"/>
      <c r="XAO38" s="288"/>
      <c r="XAP38" s="288"/>
      <c r="XAQ38" s="288"/>
      <c r="XAR38" s="288"/>
      <c r="XAS38" s="288"/>
      <c r="XAT38" s="288"/>
      <c r="XAU38" s="288"/>
      <c r="XAV38" s="288"/>
      <c r="XAW38" s="288"/>
      <c r="XAX38" s="288"/>
      <c r="XAY38" s="288"/>
      <c r="XAZ38" s="288"/>
      <c r="XBA38" s="288"/>
      <c r="XBB38" s="288"/>
      <c r="XBC38" s="288"/>
      <c r="XBD38" s="288"/>
      <c r="XBE38" s="288"/>
      <c r="XBF38" s="288"/>
      <c r="XBG38" s="288"/>
      <c r="XBH38" s="288"/>
      <c r="XBI38" s="288"/>
      <c r="XBJ38" s="288"/>
      <c r="XBK38" s="288"/>
      <c r="XBL38" s="288"/>
      <c r="XBM38" s="288"/>
      <c r="XBN38" s="288"/>
      <c r="XBO38" s="288"/>
      <c r="XBP38" s="288"/>
      <c r="XBQ38" s="288"/>
      <c r="XBR38" s="288"/>
      <c r="XBS38" s="288"/>
      <c r="XBT38" s="288"/>
      <c r="XBU38" s="288"/>
      <c r="XBV38" s="288"/>
      <c r="XBW38" s="288"/>
      <c r="XBX38" s="288"/>
      <c r="XBY38" s="288"/>
      <c r="XBZ38" s="288"/>
      <c r="XCA38" s="288"/>
      <c r="XCB38" s="288"/>
      <c r="XCC38" s="288"/>
      <c r="XCD38" s="288"/>
      <c r="XCE38" s="288"/>
      <c r="XCF38" s="288"/>
      <c r="XCG38" s="288"/>
      <c r="XCH38" s="288"/>
      <c r="XCI38" s="288"/>
      <c r="XCJ38" s="288"/>
      <c r="XCK38" s="288"/>
      <c r="XCL38" s="288"/>
      <c r="XCM38" s="288"/>
      <c r="XCN38" s="288"/>
      <c r="XCO38" s="288"/>
      <c r="XCP38" s="288"/>
      <c r="XCQ38" s="288"/>
      <c r="XCR38" s="288"/>
      <c r="XCS38" s="288"/>
      <c r="XCT38" s="288"/>
      <c r="XCU38" s="288"/>
      <c r="XCV38" s="288"/>
      <c r="XCW38" s="288"/>
      <c r="XCX38" s="288"/>
      <c r="XCY38" s="288"/>
      <c r="XCZ38" s="288"/>
      <c r="XDA38" s="288"/>
      <c r="XDB38" s="288"/>
      <c r="XDC38" s="288"/>
      <c r="XDD38" s="288"/>
      <c r="XDE38" s="288"/>
      <c r="XDF38" s="288"/>
      <c r="XDG38" s="288"/>
      <c r="XDH38" s="288"/>
      <c r="XDI38" s="288"/>
      <c r="XDJ38" s="288"/>
      <c r="XDK38" s="288"/>
      <c r="XDL38" s="288"/>
      <c r="XDM38" s="288"/>
      <c r="XDN38" s="288"/>
      <c r="XDO38" s="288"/>
      <c r="XDP38" s="288"/>
      <c r="XDQ38" s="288"/>
      <c r="XDR38" s="288"/>
      <c r="XDS38" s="288"/>
      <c r="XDT38" s="288"/>
      <c r="XDU38" s="288"/>
      <c r="XDV38" s="288"/>
      <c r="XDW38" s="288"/>
      <c r="XDX38" s="288"/>
      <c r="XDY38" s="288"/>
      <c r="XDZ38" s="288"/>
      <c r="XEA38" s="288"/>
      <c r="XEB38" s="288"/>
      <c r="XEC38" s="288"/>
      <c r="XED38" s="288"/>
    </row>
    <row r="39" spans="1:16358" s="288" customFormat="1" ht="30.75" thickBot="1">
      <c r="A39" s="286">
        <v>3120</v>
      </c>
      <c r="B39" s="285" t="s">
        <v>157</v>
      </c>
      <c r="C39" s="285" t="s">
        <v>178</v>
      </c>
      <c r="D39" s="156">
        <v>508000</v>
      </c>
      <c r="E39" s="156"/>
      <c r="F39" s="287">
        <f t="shared" si="0"/>
        <v>508000</v>
      </c>
      <c r="G39" s="156">
        <f t="shared" si="1"/>
        <v>317870</v>
      </c>
      <c r="H39" s="156">
        <f t="shared" si="2"/>
        <v>190130</v>
      </c>
      <c r="L39" s="288">
        <v>164304</v>
      </c>
      <c r="M39" s="288">
        <v>10500</v>
      </c>
      <c r="N39" s="288">
        <v>40033</v>
      </c>
      <c r="O39" s="288">
        <v>33343</v>
      </c>
      <c r="P39" s="288">
        <v>18171</v>
      </c>
      <c r="Q39" s="288">
        <v>51519</v>
      </c>
    </row>
    <row r="40" spans="1:16358" s="288" customFormat="1" ht="15.75" thickBot="1">
      <c r="A40" s="286">
        <v>8001</v>
      </c>
      <c r="B40" s="285" t="s">
        <v>158</v>
      </c>
      <c r="C40" s="285" t="s">
        <v>179</v>
      </c>
      <c r="D40" s="156">
        <v>450000</v>
      </c>
      <c r="E40" s="156"/>
      <c r="F40" s="287">
        <f t="shared" si="0"/>
        <v>450000</v>
      </c>
      <c r="G40" s="156">
        <f t="shared" si="1"/>
        <v>0</v>
      </c>
      <c r="H40" s="156">
        <f t="shared" si="2"/>
        <v>450000</v>
      </c>
    </row>
    <row r="41" spans="1:16358" s="288" customFormat="1" ht="15.75" thickBot="1">
      <c r="A41" s="286">
        <v>1220</v>
      </c>
      <c r="B41" s="285" t="s">
        <v>159</v>
      </c>
      <c r="C41" s="285" t="s">
        <v>180</v>
      </c>
      <c r="D41" s="156">
        <v>141600</v>
      </c>
      <c r="E41" s="156"/>
      <c r="F41" s="287">
        <f t="shared" si="0"/>
        <v>141600</v>
      </c>
      <c r="G41" s="156">
        <f t="shared" si="1"/>
        <v>0</v>
      </c>
      <c r="H41" s="156">
        <f t="shared" si="2"/>
        <v>141600</v>
      </c>
    </row>
    <row r="42" spans="1:16358" s="288" customFormat="1" ht="45.75" thickBot="1">
      <c r="A42" s="286" t="s">
        <v>139</v>
      </c>
      <c r="B42" s="285" t="s">
        <v>160</v>
      </c>
      <c r="C42" s="285" t="s">
        <v>181</v>
      </c>
      <c r="D42" s="156">
        <v>250000</v>
      </c>
      <c r="E42" s="156"/>
      <c r="F42" s="287">
        <f t="shared" si="0"/>
        <v>250000</v>
      </c>
      <c r="G42" s="156">
        <f t="shared" si="1"/>
        <v>124168</v>
      </c>
      <c r="H42" s="156">
        <f t="shared" si="2"/>
        <v>125832</v>
      </c>
      <c r="M42" s="288">
        <v>68005</v>
      </c>
      <c r="N42" s="288">
        <v>16960</v>
      </c>
      <c r="O42" s="288">
        <v>13369</v>
      </c>
      <c r="P42" s="288">
        <v>15041</v>
      </c>
      <c r="Q42" s="288">
        <v>10793</v>
      </c>
    </row>
    <row r="43" spans="1:16358" s="288" customFormat="1" ht="15.75" thickBot="1">
      <c r="A43" s="286" t="s">
        <v>40</v>
      </c>
      <c r="B43" s="285" t="s">
        <v>161</v>
      </c>
      <c r="C43" s="285" t="s">
        <v>182</v>
      </c>
      <c r="D43" s="156">
        <v>82400</v>
      </c>
      <c r="E43" s="169"/>
      <c r="F43" s="287">
        <f t="shared" si="0"/>
        <v>82400</v>
      </c>
      <c r="G43" s="156">
        <f t="shared" ref="G43:G47" si="6">SUM(I43:AB43)</f>
        <v>35312</v>
      </c>
      <c r="H43" s="156">
        <f t="shared" ref="H43:H47" si="7">D43-G43</f>
        <v>47088</v>
      </c>
      <c r="M43" s="288" t="s">
        <v>245</v>
      </c>
      <c r="N43" s="288">
        <v>18664</v>
      </c>
      <c r="O43" s="288">
        <v>5681</v>
      </c>
      <c r="P43" s="288">
        <v>5490</v>
      </c>
      <c r="Q43" s="288">
        <v>5477</v>
      </c>
    </row>
    <row r="44" spans="1:16358" s="288" customFormat="1" ht="30.75" thickBot="1">
      <c r="A44" s="286" t="s">
        <v>41</v>
      </c>
      <c r="B44" s="285" t="s">
        <v>91</v>
      </c>
      <c r="C44" s="285" t="s">
        <v>183</v>
      </c>
      <c r="D44" s="156">
        <v>600000</v>
      </c>
      <c r="E44" s="169"/>
      <c r="F44" s="287">
        <f t="shared" si="0"/>
        <v>600000</v>
      </c>
      <c r="G44" s="156">
        <f t="shared" si="6"/>
        <v>300010</v>
      </c>
      <c r="H44" s="156">
        <f t="shared" si="7"/>
        <v>299990</v>
      </c>
      <c r="L44" s="288">
        <v>50000</v>
      </c>
      <c r="M44" s="288">
        <v>50000</v>
      </c>
      <c r="N44" s="288">
        <v>50000</v>
      </c>
      <c r="O44" s="288">
        <v>50000</v>
      </c>
      <c r="P44" s="288">
        <v>50000</v>
      </c>
      <c r="Q44" s="288">
        <v>50010</v>
      </c>
    </row>
    <row r="45" spans="1:16358" s="292" customFormat="1" ht="15.75" thickBot="1">
      <c r="A45" s="286" t="s">
        <v>140</v>
      </c>
      <c r="B45" s="285" t="s">
        <v>162</v>
      </c>
      <c r="C45" s="285" t="s">
        <v>184</v>
      </c>
      <c r="D45" s="156">
        <v>150000</v>
      </c>
      <c r="E45" s="169"/>
      <c r="F45" s="287">
        <f t="shared" si="0"/>
        <v>150000</v>
      </c>
      <c r="G45" s="156">
        <f t="shared" si="6"/>
        <v>91891</v>
      </c>
      <c r="H45" s="156">
        <f t="shared" si="7"/>
        <v>58109</v>
      </c>
      <c r="I45" s="288"/>
      <c r="J45" s="288"/>
      <c r="K45" s="288"/>
      <c r="L45" s="288">
        <f>18240+10500</f>
        <v>28740</v>
      </c>
      <c r="M45" s="288">
        <v>10236</v>
      </c>
      <c r="N45" s="288">
        <v>11000</v>
      </c>
      <c r="O45" s="288">
        <v>11302</v>
      </c>
      <c r="P45" s="288">
        <v>13957</v>
      </c>
      <c r="Q45" s="288">
        <v>16656</v>
      </c>
      <c r="R45" s="288"/>
      <c r="S45" s="288"/>
      <c r="T45" s="288"/>
      <c r="U45" s="288"/>
      <c r="V45" s="288"/>
      <c r="W45" s="288"/>
      <c r="X45" s="290">
        <f t="shared" ref="X45:AD45" si="8">SUM(X13:X43)</f>
        <v>0</v>
      </c>
      <c r="Y45" s="290">
        <f t="shared" si="8"/>
        <v>0</v>
      </c>
      <c r="Z45" s="290">
        <f t="shared" si="8"/>
        <v>0</v>
      </c>
      <c r="AA45" s="290">
        <f t="shared" si="8"/>
        <v>0</v>
      </c>
      <c r="AB45" s="290">
        <f t="shared" si="8"/>
        <v>0</v>
      </c>
      <c r="AC45" s="290">
        <f t="shared" si="8"/>
        <v>0</v>
      </c>
      <c r="AD45" s="290">
        <f t="shared" si="8"/>
        <v>0</v>
      </c>
      <c r="AE45" s="291"/>
      <c r="AF45" s="291"/>
      <c r="AG45" s="291"/>
      <c r="AH45" s="291"/>
      <c r="AI45" s="291"/>
      <c r="AJ45" s="291"/>
      <c r="AK45" s="291"/>
      <c r="AL45" s="291"/>
      <c r="AM45" s="291"/>
      <c r="AN45" s="291"/>
      <c r="AO45" s="291"/>
      <c r="AP45" s="291"/>
      <c r="AQ45" s="291"/>
      <c r="AR45" s="291"/>
      <c r="AS45" s="291"/>
      <c r="AT45" s="291"/>
      <c r="AU45" s="291"/>
      <c r="AV45" s="291"/>
      <c r="AW45" s="291"/>
      <c r="AX45" s="291"/>
      <c r="AY45" s="291"/>
      <c r="AZ45" s="291"/>
      <c r="BA45" s="291"/>
      <c r="BB45" s="291"/>
      <c r="BC45" s="291"/>
      <c r="BD45" s="291"/>
      <c r="BE45" s="291"/>
      <c r="BF45" s="291"/>
      <c r="BG45" s="291"/>
      <c r="BH45" s="291"/>
      <c r="BI45" s="291"/>
      <c r="BJ45" s="291"/>
      <c r="BK45" s="291"/>
      <c r="BL45" s="291"/>
      <c r="BM45" s="291"/>
      <c r="BN45" s="291"/>
      <c r="BO45" s="291"/>
      <c r="BP45" s="291"/>
      <c r="BQ45" s="291"/>
      <c r="BR45" s="291"/>
      <c r="BS45" s="291"/>
      <c r="BT45" s="291"/>
      <c r="BU45" s="291"/>
      <c r="BV45" s="291"/>
      <c r="BW45" s="291"/>
      <c r="BX45" s="291"/>
      <c r="BY45" s="291"/>
      <c r="BZ45" s="291"/>
      <c r="CA45" s="291"/>
      <c r="CB45" s="291"/>
      <c r="CC45" s="291"/>
      <c r="CD45" s="291"/>
      <c r="CE45" s="291"/>
      <c r="CF45" s="291"/>
      <c r="CG45" s="291"/>
      <c r="CH45" s="291"/>
      <c r="CI45" s="291"/>
      <c r="CJ45" s="291"/>
      <c r="CK45" s="291"/>
      <c r="CL45" s="291"/>
      <c r="CM45" s="291"/>
      <c r="CN45" s="291"/>
      <c r="CO45" s="291"/>
      <c r="CP45" s="291"/>
      <c r="CQ45" s="291"/>
      <c r="CR45" s="291"/>
      <c r="CS45" s="291"/>
      <c r="CT45" s="291"/>
      <c r="CU45" s="291"/>
      <c r="CV45" s="291"/>
      <c r="CW45" s="291"/>
      <c r="CX45" s="291"/>
      <c r="CY45" s="291"/>
      <c r="CZ45" s="291"/>
      <c r="DA45" s="291"/>
      <c r="DB45" s="291"/>
      <c r="DC45" s="291"/>
      <c r="DD45" s="291"/>
      <c r="DE45" s="291"/>
      <c r="DF45" s="291"/>
      <c r="DG45" s="291"/>
      <c r="DH45" s="291"/>
      <c r="DI45" s="291"/>
      <c r="DJ45" s="291"/>
      <c r="DK45" s="291"/>
      <c r="DL45" s="291"/>
      <c r="DM45" s="291"/>
      <c r="DN45" s="291"/>
      <c r="DO45" s="291"/>
      <c r="DP45" s="291"/>
      <c r="DQ45" s="291"/>
      <c r="DR45" s="291"/>
      <c r="DS45" s="291"/>
      <c r="DT45" s="291"/>
      <c r="DU45" s="291"/>
      <c r="DV45" s="291"/>
      <c r="DW45" s="291"/>
      <c r="DX45" s="291"/>
      <c r="DY45" s="291"/>
      <c r="DZ45" s="291"/>
      <c r="EA45" s="291"/>
      <c r="EB45" s="291"/>
      <c r="EC45" s="291"/>
      <c r="ED45" s="291"/>
      <c r="EE45" s="291"/>
      <c r="EF45" s="291"/>
      <c r="EG45" s="291"/>
      <c r="EH45" s="291"/>
      <c r="EI45" s="291"/>
      <c r="EJ45" s="291"/>
      <c r="EK45" s="291"/>
      <c r="EL45" s="291"/>
      <c r="EM45" s="291"/>
      <c r="EN45" s="291"/>
      <c r="EO45" s="291"/>
      <c r="EP45" s="291"/>
      <c r="EQ45" s="291"/>
      <c r="ER45" s="291"/>
      <c r="ES45" s="291"/>
      <c r="ET45" s="291"/>
      <c r="EU45" s="291"/>
      <c r="EV45" s="291"/>
      <c r="EW45" s="291"/>
      <c r="EX45" s="291"/>
      <c r="EY45" s="291"/>
      <c r="EZ45" s="291"/>
      <c r="FA45" s="291"/>
      <c r="FB45" s="291"/>
      <c r="FC45" s="291"/>
      <c r="FD45" s="291"/>
      <c r="FE45" s="291"/>
      <c r="FF45" s="291"/>
      <c r="FG45" s="291"/>
      <c r="FH45" s="291"/>
      <c r="FI45" s="291"/>
      <c r="FJ45" s="291"/>
      <c r="FK45" s="291"/>
      <c r="FL45" s="291"/>
      <c r="FM45" s="291"/>
      <c r="FN45" s="291"/>
      <c r="FO45" s="291"/>
      <c r="FP45" s="291"/>
      <c r="FQ45" s="291"/>
      <c r="FR45" s="291"/>
      <c r="FS45" s="291"/>
      <c r="FT45" s="291"/>
      <c r="FU45" s="291"/>
      <c r="FV45" s="291"/>
      <c r="FW45" s="291"/>
      <c r="FX45" s="291"/>
      <c r="FY45" s="291"/>
      <c r="FZ45" s="291"/>
      <c r="GA45" s="291"/>
      <c r="GB45" s="291"/>
      <c r="GC45" s="291"/>
      <c r="GD45" s="291"/>
      <c r="GE45" s="291"/>
      <c r="GF45" s="291"/>
      <c r="GG45" s="291"/>
      <c r="GH45" s="291"/>
      <c r="GI45" s="291"/>
      <c r="GJ45" s="291"/>
      <c r="GK45" s="291"/>
      <c r="GL45" s="291"/>
      <c r="GM45" s="291"/>
      <c r="GN45" s="291"/>
      <c r="GO45" s="291"/>
      <c r="GP45" s="291"/>
      <c r="GQ45" s="291"/>
      <c r="GR45" s="291"/>
      <c r="GS45" s="291"/>
      <c r="GT45" s="291"/>
      <c r="GU45" s="291"/>
      <c r="GV45" s="291"/>
      <c r="GW45" s="291"/>
      <c r="GX45" s="291"/>
      <c r="GY45" s="291"/>
      <c r="GZ45" s="291"/>
      <c r="HA45" s="291"/>
      <c r="HB45" s="291"/>
      <c r="HC45" s="291"/>
      <c r="HD45" s="291"/>
      <c r="HE45" s="291"/>
      <c r="HF45" s="291"/>
      <c r="HG45" s="291"/>
      <c r="HH45" s="291"/>
      <c r="HI45" s="291"/>
      <c r="HJ45" s="291"/>
      <c r="HK45" s="291"/>
      <c r="HL45" s="291"/>
      <c r="HM45" s="291"/>
      <c r="HN45" s="291"/>
      <c r="HO45" s="291"/>
      <c r="HP45" s="291"/>
      <c r="HQ45" s="291"/>
      <c r="HR45" s="291"/>
      <c r="HS45" s="291"/>
      <c r="HT45" s="291"/>
      <c r="HU45" s="291"/>
      <c r="HV45" s="291"/>
      <c r="HW45" s="291"/>
      <c r="HX45" s="291"/>
      <c r="HY45" s="291"/>
      <c r="HZ45" s="291"/>
      <c r="IA45" s="291"/>
      <c r="IB45" s="291"/>
      <c r="IC45" s="291"/>
      <c r="ID45" s="291"/>
      <c r="IE45" s="291"/>
      <c r="IF45" s="291"/>
      <c r="IG45" s="291"/>
      <c r="IH45" s="291"/>
      <c r="II45" s="291"/>
      <c r="IJ45" s="291"/>
      <c r="IK45" s="291"/>
      <c r="IL45" s="291"/>
      <c r="IM45" s="291"/>
      <c r="IN45" s="291"/>
      <c r="IO45" s="291"/>
      <c r="IP45" s="291"/>
      <c r="IQ45" s="291"/>
      <c r="IR45" s="291"/>
      <c r="IS45" s="291"/>
      <c r="IT45" s="291"/>
      <c r="IU45" s="291"/>
      <c r="IV45" s="291"/>
      <c r="IW45" s="291"/>
      <c r="IX45" s="291"/>
      <c r="IY45" s="291"/>
      <c r="IZ45" s="291"/>
      <c r="JA45" s="291"/>
      <c r="JB45" s="291"/>
      <c r="JC45" s="291"/>
      <c r="JD45" s="291"/>
      <c r="JE45" s="291"/>
      <c r="JF45" s="291"/>
      <c r="JG45" s="291"/>
      <c r="JH45" s="291"/>
      <c r="JI45" s="291"/>
      <c r="JJ45" s="291"/>
      <c r="JK45" s="291"/>
      <c r="JL45" s="291"/>
      <c r="JM45" s="291"/>
      <c r="JN45" s="291"/>
      <c r="JO45" s="291"/>
      <c r="JP45" s="291"/>
      <c r="JQ45" s="291"/>
      <c r="JR45" s="291"/>
      <c r="JS45" s="291"/>
      <c r="JT45" s="291"/>
      <c r="JU45" s="291"/>
      <c r="JV45" s="291"/>
      <c r="JW45" s="291"/>
      <c r="JX45" s="291"/>
      <c r="JY45" s="291"/>
      <c r="JZ45" s="291"/>
      <c r="KA45" s="291"/>
      <c r="KB45" s="291"/>
      <c r="KC45" s="291"/>
      <c r="KD45" s="291"/>
      <c r="KE45" s="291"/>
      <c r="KF45" s="291"/>
      <c r="KG45" s="291"/>
      <c r="KH45" s="291"/>
      <c r="KI45" s="291"/>
      <c r="KJ45" s="291"/>
      <c r="KK45" s="291"/>
      <c r="KL45" s="291"/>
      <c r="KM45" s="291"/>
      <c r="KN45" s="291"/>
      <c r="KO45" s="291"/>
      <c r="KP45" s="291"/>
      <c r="KQ45" s="291"/>
      <c r="KR45" s="291"/>
      <c r="KS45" s="291"/>
      <c r="KT45" s="291"/>
      <c r="KU45" s="291"/>
      <c r="KV45" s="291"/>
      <c r="KW45" s="291"/>
      <c r="KX45" s="291"/>
      <c r="KY45" s="291"/>
      <c r="KZ45" s="291"/>
      <c r="LA45" s="291"/>
      <c r="LB45" s="291"/>
      <c r="LC45" s="291"/>
      <c r="LD45" s="291"/>
      <c r="LE45" s="291"/>
      <c r="LF45" s="291"/>
      <c r="LG45" s="291"/>
      <c r="LH45" s="291"/>
      <c r="LI45" s="291"/>
      <c r="LJ45" s="291"/>
      <c r="LK45" s="291"/>
      <c r="LL45" s="291"/>
      <c r="LM45" s="291"/>
      <c r="LN45" s="291"/>
      <c r="LO45" s="291"/>
      <c r="LP45" s="291"/>
      <c r="LQ45" s="291"/>
      <c r="LR45" s="291"/>
      <c r="LS45" s="291"/>
      <c r="LT45" s="291"/>
      <c r="LU45" s="291"/>
      <c r="LV45" s="291"/>
      <c r="LW45" s="291"/>
      <c r="LX45" s="291"/>
      <c r="LY45" s="291"/>
      <c r="LZ45" s="291"/>
      <c r="MA45" s="291"/>
      <c r="MB45" s="291"/>
      <c r="MC45" s="291"/>
      <c r="MD45" s="291"/>
      <c r="ME45" s="291"/>
      <c r="MF45" s="291"/>
      <c r="MG45" s="291"/>
      <c r="MH45" s="291"/>
      <c r="MI45" s="291"/>
      <c r="MJ45" s="291"/>
      <c r="MK45" s="291"/>
      <c r="ML45" s="291"/>
      <c r="MM45" s="291"/>
      <c r="MN45" s="291"/>
      <c r="MO45" s="291"/>
      <c r="MP45" s="291"/>
      <c r="MQ45" s="291"/>
      <c r="MR45" s="291"/>
      <c r="MS45" s="291"/>
      <c r="MT45" s="291"/>
      <c r="MU45" s="291"/>
      <c r="MV45" s="291"/>
      <c r="MW45" s="291"/>
      <c r="MX45" s="291"/>
      <c r="MY45" s="291"/>
      <c r="MZ45" s="291"/>
      <c r="NA45" s="291"/>
      <c r="NB45" s="291"/>
      <c r="NC45" s="291"/>
      <c r="ND45" s="291"/>
      <c r="NE45" s="291"/>
      <c r="NF45" s="291"/>
      <c r="NG45" s="291"/>
      <c r="NH45" s="291"/>
      <c r="NI45" s="291"/>
      <c r="NJ45" s="291"/>
      <c r="NK45" s="291"/>
      <c r="NL45" s="291"/>
      <c r="NM45" s="291"/>
      <c r="NN45" s="291"/>
      <c r="NO45" s="291"/>
      <c r="NP45" s="291"/>
      <c r="NQ45" s="291"/>
      <c r="NR45" s="291"/>
      <c r="NS45" s="291"/>
      <c r="NT45" s="291"/>
      <c r="NU45" s="291"/>
      <c r="NV45" s="291"/>
      <c r="NW45" s="291"/>
      <c r="NX45" s="291"/>
      <c r="NY45" s="291"/>
      <c r="NZ45" s="291"/>
      <c r="OA45" s="291"/>
      <c r="OB45" s="291"/>
      <c r="OC45" s="291"/>
      <c r="OD45" s="291"/>
      <c r="OE45" s="291"/>
      <c r="OF45" s="291"/>
      <c r="OG45" s="291"/>
      <c r="OH45" s="291"/>
      <c r="OI45" s="291"/>
      <c r="OJ45" s="291"/>
      <c r="OK45" s="291"/>
      <c r="OL45" s="291"/>
      <c r="OM45" s="291"/>
      <c r="ON45" s="291"/>
      <c r="OO45" s="291"/>
      <c r="OP45" s="291"/>
      <c r="OQ45" s="291"/>
      <c r="OR45" s="291"/>
      <c r="OS45" s="291"/>
      <c r="OT45" s="291"/>
      <c r="OU45" s="291"/>
      <c r="OV45" s="291"/>
      <c r="OW45" s="291"/>
      <c r="OX45" s="291"/>
      <c r="OY45" s="291"/>
      <c r="OZ45" s="291"/>
      <c r="PA45" s="291"/>
      <c r="PB45" s="291"/>
      <c r="PC45" s="291"/>
      <c r="PD45" s="291"/>
      <c r="PE45" s="291"/>
      <c r="PF45" s="291"/>
      <c r="PG45" s="291"/>
      <c r="PH45" s="291"/>
      <c r="PI45" s="291"/>
      <c r="PJ45" s="291"/>
      <c r="PK45" s="291"/>
      <c r="PL45" s="291"/>
      <c r="PM45" s="291"/>
      <c r="PN45" s="291"/>
      <c r="PO45" s="291"/>
      <c r="PP45" s="291"/>
      <c r="PQ45" s="291"/>
      <c r="PR45" s="291"/>
      <c r="PS45" s="291"/>
      <c r="PT45" s="291"/>
      <c r="PU45" s="291"/>
      <c r="PV45" s="291"/>
      <c r="PW45" s="291"/>
      <c r="PX45" s="291"/>
      <c r="PY45" s="291"/>
      <c r="PZ45" s="291"/>
      <c r="QA45" s="291"/>
      <c r="QB45" s="291"/>
      <c r="QC45" s="291"/>
      <c r="QD45" s="291"/>
      <c r="QE45" s="291"/>
      <c r="QF45" s="291"/>
      <c r="QG45" s="291"/>
      <c r="QH45" s="291"/>
      <c r="QI45" s="291"/>
      <c r="QJ45" s="291"/>
      <c r="QK45" s="291"/>
      <c r="QL45" s="291"/>
      <c r="QM45" s="291"/>
      <c r="QN45" s="291"/>
      <c r="QO45" s="291"/>
      <c r="QP45" s="291"/>
      <c r="QQ45" s="291"/>
      <c r="QR45" s="291"/>
      <c r="QS45" s="291"/>
      <c r="QT45" s="291"/>
      <c r="QU45" s="291"/>
      <c r="QV45" s="291"/>
      <c r="QW45" s="291"/>
      <c r="QX45" s="291"/>
      <c r="QY45" s="291"/>
      <c r="QZ45" s="291"/>
      <c r="RA45" s="291"/>
      <c r="RB45" s="291"/>
      <c r="RC45" s="291"/>
      <c r="RD45" s="291"/>
      <c r="RE45" s="291"/>
      <c r="RF45" s="291"/>
      <c r="RG45" s="291"/>
      <c r="RH45" s="291"/>
      <c r="RI45" s="291"/>
      <c r="RJ45" s="291"/>
      <c r="RK45" s="291"/>
      <c r="RL45" s="291"/>
      <c r="RM45" s="291"/>
      <c r="RN45" s="291"/>
      <c r="RO45" s="291"/>
      <c r="RP45" s="291"/>
      <c r="RQ45" s="291"/>
      <c r="RR45" s="291"/>
      <c r="RS45" s="291"/>
      <c r="RT45" s="291"/>
      <c r="RU45" s="291"/>
      <c r="RV45" s="291"/>
      <c r="RW45" s="291"/>
      <c r="RX45" s="291"/>
      <c r="RY45" s="291"/>
      <c r="RZ45" s="291"/>
      <c r="SA45" s="291"/>
      <c r="SB45" s="291"/>
      <c r="SC45" s="291"/>
      <c r="SD45" s="291"/>
      <c r="SE45" s="291"/>
      <c r="SF45" s="291"/>
      <c r="SG45" s="291"/>
      <c r="SH45" s="291"/>
      <c r="SI45" s="291"/>
      <c r="SJ45" s="291"/>
      <c r="SK45" s="291"/>
      <c r="SL45" s="291"/>
      <c r="SM45" s="291"/>
      <c r="SN45" s="291"/>
      <c r="SO45" s="291"/>
      <c r="SP45" s="291"/>
      <c r="SQ45" s="291"/>
      <c r="SR45" s="291"/>
      <c r="SS45" s="291"/>
      <c r="ST45" s="291"/>
      <c r="SU45" s="291"/>
      <c r="SV45" s="291"/>
      <c r="SW45" s="291"/>
      <c r="SX45" s="291"/>
      <c r="SY45" s="291"/>
      <c r="SZ45" s="291"/>
      <c r="TA45" s="291"/>
      <c r="TB45" s="291"/>
      <c r="TC45" s="291"/>
      <c r="TD45" s="291"/>
      <c r="TE45" s="291"/>
      <c r="TF45" s="291"/>
      <c r="TG45" s="291"/>
      <c r="TH45" s="291"/>
      <c r="TI45" s="291"/>
      <c r="TJ45" s="291"/>
      <c r="TK45" s="291"/>
      <c r="TL45" s="291"/>
      <c r="TM45" s="291"/>
      <c r="TN45" s="291"/>
      <c r="TO45" s="291"/>
      <c r="TP45" s="291"/>
      <c r="TQ45" s="291"/>
      <c r="TR45" s="291"/>
      <c r="TS45" s="291"/>
      <c r="TT45" s="291"/>
      <c r="TU45" s="291"/>
      <c r="TV45" s="291"/>
      <c r="TW45" s="291"/>
      <c r="TX45" s="291"/>
      <c r="TY45" s="291"/>
      <c r="TZ45" s="291"/>
      <c r="UA45" s="291"/>
      <c r="UB45" s="291"/>
      <c r="UC45" s="291"/>
      <c r="UD45" s="291"/>
      <c r="UE45" s="291"/>
      <c r="UF45" s="291"/>
      <c r="UG45" s="291"/>
      <c r="UH45" s="291"/>
      <c r="UI45" s="291"/>
      <c r="UJ45" s="291"/>
      <c r="UK45" s="291"/>
      <c r="UL45" s="291"/>
      <c r="UM45" s="291"/>
      <c r="UN45" s="291"/>
      <c r="UO45" s="291"/>
      <c r="UP45" s="291"/>
      <c r="UQ45" s="291"/>
      <c r="UR45" s="291"/>
      <c r="US45" s="291"/>
      <c r="UT45" s="291"/>
      <c r="UU45" s="291"/>
      <c r="UV45" s="291"/>
      <c r="UW45" s="291"/>
      <c r="UX45" s="291"/>
      <c r="UY45" s="291"/>
      <c r="UZ45" s="291"/>
      <c r="VA45" s="291"/>
      <c r="VB45" s="291"/>
      <c r="VC45" s="291"/>
      <c r="VD45" s="291"/>
      <c r="VE45" s="291"/>
      <c r="VF45" s="291"/>
      <c r="VG45" s="291"/>
      <c r="VH45" s="291"/>
      <c r="VI45" s="291"/>
      <c r="VJ45" s="291"/>
      <c r="VK45" s="291"/>
      <c r="VL45" s="291"/>
      <c r="VM45" s="291"/>
      <c r="VN45" s="291"/>
      <c r="VO45" s="291"/>
      <c r="VP45" s="291"/>
      <c r="VQ45" s="291"/>
      <c r="VR45" s="291"/>
      <c r="VS45" s="291"/>
      <c r="VT45" s="291"/>
      <c r="VU45" s="291"/>
      <c r="VV45" s="291"/>
      <c r="VW45" s="291"/>
      <c r="VX45" s="291"/>
      <c r="VY45" s="291"/>
      <c r="VZ45" s="291"/>
      <c r="WA45" s="291"/>
      <c r="WB45" s="291"/>
      <c r="WC45" s="291"/>
      <c r="WD45" s="291"/>
      <c r="WE45" s="291"/>
      <c r="WF45" s="291"/>
      <c r="WG45" s="291"/>
      <c r="WH45" s="291"/>
      <c r="WI45" s="291"/>
      <c r="WJ45" s="291"/>
      <c r="WK45" s="291"/>
      <c r="WL45" s="291"/>
      <c r="WM45" s="291"/>
      <c r="WN45" s="291"/>
      <c r="WO45" s="291"/>
      <c r="WP45" s="291"/>
      <c r="WQ45" s="291"/>
      <c r="WR45" s="291"/>
      <c r="WS45" s="291"/>
      <c r="WT45" s="291"/>
      <c r="WU45" s="291"/>
      <c r="WV45" s="291"/>
      <c r="WW45" s="291"/>
      <c r="WX45" s="291"/>
      <c r="WY45" s="291"/>
      <c r="WZ45" s="291"/>
      <c r="XA45" s="291"/>
      <c r="XB45" s="291"/>
      <c r="XC45" s="291"/>
      <c r="XD45" s="291"/>
      <c r="XE45" s="291"/>
      <c r="XF45" s="291"/>
      <c r="XG45" s="291"/>
      <c r="XH45" s="291"/>
      <c r="XI45" s="291"/>
      <c r="XJ45" s="291"/>
      <c r="XK45" s="291"/>
      <c r="XL45" s="291"/>
      <c r="XM45" s="291"/>
      <c r="XN45" s="291"/>
      <c r="XO45" s="291"/>
      <c r="XP45" s="291"/>
      <c r="XQ45" s="291"/>
      <c r="XR45" s="291"/>
      <c r="XS45" s="291"/>
      <c r="XT45" s="291"/>
      <c r="XU45" s="291"/>
      <c r="XV45" s="291"/>
      <c r="XW45" s="291"/>
      <c r="XX45" s="291"/>
      <c r="XY45" s="291"/>
      <c r="XZ45" s="291"/>
      <c r="YA45" s="291"/>
      <c r="YB45" s="291"/>
      <c r="YC45" s="291"/>
      <c r="YD45" s="291"/>
      <c r="YE45" s="291"/>
      <c r="YF45" s="291"/>
      <c r="YG45" s="291"/>
      <c r="YH45" s="291"/>
      <c r="YI45" s="291"/>
      <c r="YJ45" s="291"/>
      <c r="YK45" s="291"/>
      <c r="YL45" s="291"/>
      <c r="YM45" s="291"/>
      <c r="YN45" s="291"/>
      <c r="YO45" s="291"/>
      <c r="YP45" s="291"/>
      <c r="YQ45" s="291"/>
      <c r="YR45" s="291"/>
      <c r="YS45" s="291"/>
      <c r="YT45" s="291"/>
      <c r="YU45" s="291"/>
      <c r="YV45" s="291"/>
      <c r="YW45" s="291"/>
      <c r="YX45" s="291"/>
      <c r="YY45" s="291"/>
      <c r="YZ45" s="291"/>
      <c r="ZA45" s="291"/>
      <c r="ZB45" s="291"/>
      <c r="ZC45" s="291"/>
      <c r="ZD45" s="291"/>
      <c r="ZE45" s="291"/>
      <c r="ZF45" s="291"/>
      <c r="ZG45" s="291"/>
      <c r="ZH45" s="291"/>
      <c r="ZI45" s="291"/>
      <c r="ZJ45" s="291"/>
      <c r="ZK45" s="291"/>
      <c r="ZL45" s="291"/>
      <c r="ZM45" s="291"/>
      <c r="ZN45" s="291"/>
      <c r="ZO45" s="291"/>
      <c r="ZP45" s="291"/>
      <c r="ZQ45" s="291"/>
      <c r="ZR45" s="291"/>
      <c r="ZS45" s="291"/>
      <c r="ZT45" s="291"/>
      <c r="ZU45" s="291"/>
      <c r="ZV45" s="291"/>
      <c r="ZW45" s="291"/>
      <c r="ZX45" s="291"/>
      <c r="ZY45" s="291"/>
      <c r="ZZ45" s="291"/>
      <c r="AAA45" s="291"/>
      <c r="AAB45" s="291"/>
      <c r="AAC45" s="291"/>
      <c r="AAD45" s="291"/>
      <c r="AAE45" s="291"/>
      <c r="AAF45" s="291"/>
      <c r="AAG45" s="291"/>
      <c r="AAH45" s="291"/>
      <c r="AAI45" s="291"/>
      <c r="AAJ45" s="291"/>
      <c r="AAK45" s="291"/>
      <c r="AAL45" s="291"/>
      <c r="AAM45" s="291"/>
      <c r="AAN45" s="291"/>
      <c r="AAO45" s="291"/>
      <c r="AAP45" s="291"/>
      <c r="AAQ45" s="291"/>
      <c r="AAR45" s="291"/>
      <c r="AAS45" s="291"/>
      <c r="AAT45" s="291"/>
      <c r="AAU45" s="291"/>
      <c r="AAV45" s="291"/>
      <c r="AAW45" s="291"/>
      <c r="AAX45" s="291"/>
      <c r="AAY45" s="291"/>
      <c r="AAZ45" s="291"/>
      <c r="ABA45" s="291"/>
      <c r="ABB45" s="291"/>
      <c r="ABC45" s="291"/>
      <c r="ABD45" s="291"/>
      <c r="ABE45" s="291"/>
      <c r="ABF45" s="291"/>
      <c r="ABG45" s="291"/>
      <c r="ABH45" s="291"/>
      <c r="ABI45" s="291"/>
      <c r="ABJ45" s="291"/>
      <c r="ABK45" s="291"/>
      <c r="ABL45" s="291"/>
      <c r="ABM45" s="291"/>
      <c r="ABN45" s="291"/>
      <c r="ABO45" s="291"/>
      <c r="ABP45" s="291"/>
      <c r="ABQ45" s="291"/>
      <c r="ABR45" s="291"/>
      <c r="ABS45" s="291"/>
      <c r="ABT45" s="291"/>
      <c r="ABU45" s="291"/>
      <c r="ABV45" s="291"/>
      <c r="ABW45" s="291"/>
      <c r="ABX45" s="291"/>
      <c r="ABY45" s="291"/>
      <c r="ABZ45" s="291"/>
      <c r="ACA45" s="291"/>
      <c r="ACB45" s="291"/>
      <c r="ACC45" s="291"/>
      <c r="ACD45" s="291"/>
      <c r="ACE45" s="291"/>
      <c r="ACF45" s="291"/>
      <c r="ACG45" s="291"/>
      <c r="ACH45" s="291"/>
      <c r="ACI45" s="291"/>
      <c r="ACJ45" s="291"/>
      <c r="ACK45" s="291"/>
      <c r="ACL45" s="291"/>
      <c r="ACM45" s="291"/>
      <c r="ACN45" s="291"/>
      <c r="ACO45" s="291"/>
      <c r="ACP45" s="291"/>
      <c r="ACQ45" s="291"/>
      <c r="ACR45" s="291"/>
      <c r="ACS45" s="291"/>
      <c r="ACT45" s="291"/>
      <c r="ACU45" s="291"/>
      <c r="ACV45" s="291"/>
      <c r="ACW45" s="291"/>
      <c r="ACX45" s="291"/>
      <c r="ACY45" s="291"/>
      <c r="ACZ45" s="291"/>
      <c r="ADA45" s="291"/>
      <c r="ADB45" s="291"/>
      <c r="ADC45" s="291"/>
      <c r="ADD45" s="291"/>
      <c r="ADE45" s="291"/>
      <c r="ADF45" s="291"/>
      <c r="ADG45" s="291"/>
      <c r="ADH45" s="291"/>
      <c r="ADI45" s="291"/>
      <c r="ADJ45" s="291"/>
      <c r="ADK45" s="291"/>
      <c r="ADL45" s="291"/>
      <c r="ADM45" s="291"/>
      <c r="ADN45" s="291"/>
      <c r="ADO45" s="291"/>
      <c r="ADP45" s="291"/>
      <c r="ADQ45" s="291"/>
      <c r="ADR45" s="291"/>
      <c r="ADS45" s="291"/>
      <c r="ADT45" s="291"/>
      <c r="ADU45" s="291"/>
      <c r="ADV45" s="291"/>
      <c r="ADW45" s="291"/>
      <c r="ADX45" s="291"/>
      <c r="ADY45" s="291"/>
      <c r="ADZ45" s="291"/>
      <c r="AEA45" s="291"/>
      <c r="AEB45" s="291"/>
      <c r="AEC45" s="291"/>
      <c r="AED45" s="291"/>
      <c r="AEE45" s="291"/>
      <c r="AEF45" s="291"/>
      <c r="AEG45" s="291"/>
      <c r="AEH45" s="291"/>
      <c r="AEI45" s="291"/>
      <c r="AEJ45" s="291"/>
      <c r="AEK45" s="291"/>
      <c r="AEL45" s="291"/>
      <c r="AEM45" s="291"/>
      <c r="AEN45" s="291"/>
      <c r="AEO45" s="291"/>
      <c r="AEP45" s="291"/>
      <c r="AEQ45" s="291"/>
      <c r="AER45" s="291"/>
      <c r="AES45" s="291"/>
      <c r="AET45" s="291"/>
      <c r="AEU45" s="291"/>
      <c r="AEV45" s="291"/>
      <c r="AEW45" s="291"/>
      <c r="AEX45" s="291"/>
      <c r="AEY45" s="291"/>
      <c r="AEZ45" s="291"/>
      <c r="AFA45" s="291"/>
      <c r="AFB45" s="291"/>
      <c r="AFC45" s="291"/>
      <c r="AFD45" s="291"/>
      <c r="AFE45" s="291"/>
      <c r="AFF45" s="291"/>
      <c r="AFG45" s="291"/>
      <c r="AFH45" s="291"/>
      <c r="AFI45" s="291"/>
      <c r="AFJ45" s="291"/>
      <c r="AFK45" s="291"/>
      <c r="AFL45" s="291"/>
      <c r="AFM45" s="291"/>
      <c r="AFN45" s="291"/>
      <c r="AFO45" s="291"/>
      <c r="AFP45" s="291"/>
      <c r="AFQ45" s="291"/>
      <c r="AFR45" s="291"/>
      <c r="AFS45" s="291"/>
      <c r="AFT45" s="291"/>
      <c r="AFU45" s="291"/>
      <c r="AFV45" s="291"/>
      <c r="AFW45" s="291"/>
      <c r="AFX45" s="291"/>
      <c r="AFY45" s="291"/>
      <c r="AFZ45" s="291"/>
      <c r="AGA45" s="291"/>
      <c r="AGB45" s="291"/>
      <c r="AGC45" s="291"/>
      <c r="AGD45" s="291"/>
      <c r="AGE45" s="291"/>
      <c r="AGF45" s="291"/>
      <c r="AGG45" s="291"/>
      <c r="AGH45" s="291"/>
      <c r="AGI45" s="291"/>
      <c r="AGJ45" s="291"/>
      <c r="AGK45" s="291"/>
      <c r="AGL45" s="291"/>
      <c r="AGM45" s="291"/>
      <c r="AGN45" s="291"/>
      <c r="AGO45" s="291"/>
      <c r="AGP45" s="291"/>
      <c r="AGQ45" s="291"/>
      <c r="AGR45" s="291"/>
      <c r="AGS45" s="291"/>
      <c r="AGT45" s="291"/>
      <c r="AGU45" s="291"/>
      <c r="AGV45" s="291"/>
      <c r="AGW45" s="291"/>
      <c r="AGX45" s="291"/>
      <c r="AGY45" s="291"/>
      <c r="AGZ45" s="291"/>
      <c r="AHA45" s="291"/>
      <c r="AHB45" s="291"/>
      <c r="AHC45" s="291"/>
      <c r="AHD45" s="291"/>
      <c r="AHE45" s="291"/>
      <c r="AHF45" s="291"/>
      <c r="AHG45" s="291"/>
      <c r="AHH45" s="291"/>
      <c r="AHI45" s="291"/>
      <c r="AHJ45" s="291"/>
      <c r="AHK45" s="291"/>
      <c r="AHL45" s="291"/>
      <c r="AHM45" s="291"/>
      <c r="AHN45" s="291"/>
      <c r="AHO45" s="291"/>
      <c r="AHP45" s="291"/>
      <c r="AHQ45" s="291"/>
      <c r="AHR45" s="291"/>
      <c r="AHS45" s="291"/>
      <c r="AHT45" s="291"/>
      <c r="AHU45" s="291"/>
      <c r="AHV45" s="291"/>
      <c r="AHW45" s="291"/>
      <c r="AHX45" s="291"/>
      <c r="AHY45" s="291"/>
      <c r="AHZ45" s="291"/>
      <c r="AIA45" s="291"/>
      <c r="AIB45" s="291"/>
      <c r="AIC45" s="291"/>
      <c r="AID45" s="291"/>
      <c r="AIE45" s="291"/>
      <c r="AIF45" s="291"/>
      <c r="AIG45" s="291"/>
      <c r="AIH45" s="291"/>
      <c r="AII45" s="291"/>
      <c r="AIJ45" s="291"/>
      <c r="AIK45" s="291"/>
      <c r="AIL45" s="291"/>
      <c r="AIM45" s="291"/>
      <c r="AIN45" s="291"/>
      <c r="AIO45" s="291"/>
      <c r="AIP45" s="291"/>
      <c r="AIQ45" s="291"/>
      <c r="AIR45" s="291"/>
      <c r="AIS45" s="291"/>
      <c r="AIT45" s="291"/>
      <c r="AIU45" s="291"/>
      <c r="AIV45" s="291"/>
      <c r="AIW45" s="291"/>
      <c r="AIX45" s="291"/>
      <c r="AIY45" s="291"/>
      <c r="AIZ45" s="291"/>
      <c r="AJA45" s="291"/>
      <c r="AJB45" s="291"/>
      <c r="AJC45" s="291"/>
      <c r="AJD45" s="291"/>
      <c r="AJE45" s="291"/>
      <c r="AJF45" s="291"/>
      <c r="AJG45" s="291"/>
      <c r="AJH45" s="291"/>
      <c r="AJI45" s="291"/>
      <c r="AJJ45" s="291"/>
      <c r="AJK45" s="291"/>
      <c r="AJL45" s="291"/>
      <c r="AJM45" s="291"/>
      <c r="AJN45" s="291"/>
      <c r="AJO45" s="291"/>
      <c r="AJP45" s="291"/>
      <c r="AJQ45" s="291"/>
      <c r="AJR45" s="291"/>
      <c r="AJS45" s="291"/>
      <c r="AJT45" s="291"/>
      <c r="AJU45" s="291"/>
      <c r="AJV45" s="291"/>
      <c r="AJW45" s="291"/>
      <c r="AJX45" s="291"/>
      <c r="AJY45" s="291"/>
      <c r="AJZ45" s="291"/>
      <c r="AKA45" s="291"/>
      <c r="AKB45" s="291"/>
      <c r="AKC45" s="291"/>
      <c r="AKD45" s="291"/>
      <c r="AKE45" s="291"/>
      <c r="AKF45" s="291"/>
      <c r="AKG45" s="291"/>
      <c r="AKH45" s="291"/>
      <c r="AKI45" s="291"/>
      <c r="AKJ45" s="291"/>
      <c r="AKK45" s="291"/>
      <c r="AKL45" s="291"/>
      <c r="AKM45" s="291"/>
      <c r="AKN45" s="291"/>
      <c r="AKO45" s="291"/>
      <c r="AKP45" s="291"/>
      <c r="AKQ45" s="291"/>
      <c r="AKR45" s="291"/>
      <c r="AKS45" s="291"/>
      <c r="AKT45" s="291"/>
      <c r="AKU45" s="291"/>
      <c r="AKV45" s="291"/>
      <c r="AKW45" s="291"/>
      <c r="AKX45" s="291"/>
      <c r="AKY45" s="291"/>
      <c r="AKZ45" s="291"/>
      <c r="ALA45" s="291"/>
      <c r="ALB45" s="291"/>
      <c r="ALC45" s="291"/>
      <c r="ALD45" s="291"/>
      <c r="ALE45" s="291"/>
      <c r="ALF45" s="291"/>
      <c r="ALG45" s="291"/>
      <c r="ALH45" s="291"/>
      <c r="ALI45" s="291"/>
      <c r="ALJ45" s="291"/>
      <c r="ALK45" s="291"/>
      <c r="ALL45" s="291"/>
      <c r="ALM45" s="291"/>
      <c r="ALN45" s="291"/>
      <c r="ALO45" s="291"/>
      <c r="ALP45" s="291"/>
      <c r="ALQ45" s="291"/>
      <c r="ALR45" s="291"/>
      <c r="ALS45" s="291"/>
      <c r="ALT45" s="291"/>
      <c r="ALU45" s="291"/>
      <c r="ALV45" s="291"/>
      <c r="ALW45" s="291"/>
      <c r="ALX45" s="291"/>
      <c r="ALY45" s="291"/>
      <c r="ALZ45" s="291"/>
      <c r="AMA45" s="291"/>
      <c r="AMB45" s="291"/>
      <c r="AMC45" s="291"/>
      <c r="AMD45" s="291"/>
      <c r="AME45" s="291"/>
      <c r="AMF45" s="291"/>
      <c r="AMG45" s="291"/>
      <c r="AMH45" s="291"/>
      <c r="AMI45" s="291"/>
      <c r="AMJ45" s="291"/>
      <c r="AMK45" s="291"/>
      <c r="AML45" s="291"/>
      <c r="AMM45" s="291"/>
      <c r="AMN45" s="291"/>
      <c r="AMO45" s="291"/>
      <c r="AMP45" s="291"/>
      <c r="AMQ45" s="291"/>
      <c r="AMR45" s="291"/>
      <c r="AMS45" s="291"/>
      <c r="AMT45" s="291"/>
      <c r="AMU45" s="291"/>
      <c r="AMV45" s="291"/>
      <c r="AMW45" s="291"/>
      <c r="AMX45" s="291"/>
      <c r="AMY45" s="291"/>
      <c r="AMZ45" s="291"/>
      <c r="ANA45" s="291"/>
      <c r="ANB45" s="291"/>
      <c r="ANC45" s="291"/>
      <c r="AND45" s="291"/>
      <c r="ANE45" s="291"/>
      <c r="ANF45" s="291"/>
      <c r="ANG45" s="291"/>
      <c r="ANH45" s="291"/>
      <c r="ANI45" s="291"/>
      <c r="ANJ45" s="291"/>
      <c r="ANK45" s="291"/>
      <c r="ANL45" s="291"/>
      <c r="ANM45" s="291"/>
      <c r="ANN45" s="291"/>
      <c r="ANO45" s="291"/>
      <c r="ANP45" s="291"/>
      <c r="ANQ45" s="291"/>
      <c r="ANR45" s="291"/>
      <c r="ANS45" s="291"/>
      <c r="ANT45" s="291"/>
      <c r="ANU45" s="291"/>
      <c r="ANV45" s="291"/>
      <c r="ANW45" s="291"/>
      <c r="ANX45" s="291"/>
      <c r="ANY45" s="291"/>
      <c r="ANZ45" s="291"/>
      <c r="AOA45" s="291"/>
      <c r="AOB45" s="291"/>
      <c r="AOC45" s="291"/>
      <c r="AOD45" s="291"/>
      <c r="AOE45" s="291"/>
      <c r="AOF45" s="291"/>
      <c r="AOG45" s="291"/>
      <c r="AOH45" s="291"/>
      <c r="AOI45" s="291"/>
      <c r="AOJ45" s="291"/>
      <c r="AOK45" s="291"/>
      <c r="AOL45" s="291"/>
      <c r="AOM45" s="291"/>
      <c r="AON45" s="291"/>
      <c r="AOO45" s="291"/>
      <c r="AOP45" s="291"/>
      <c r="AOQ45" s="291"/>
      <c r="AOR45" s="291"/>
      <c r="AOS45" s="291"/>
      <c r="AOT45" s="291"/>
      <c r="AOU45" s="291"/>
      <c r="AOV45" s="291"/>
      <c r="AOW45" s="291"/>
      <c r="AOX45" s="291"/>
      <c r="AOY45" s="291"/>
      <c r="AOZ45" s="291"/>
      <c r="APA45" s="291"/>
      <c r="APB45" s="291"/>
      <c r="APC45" s="291"/>
      <c r="APD45" s="291"/>
      <c r="APE45" s="291"/>
      <c r="APF45" s="291"/>
      <c r="APG45" s="291"/>
      <c r="APH45" s="291"/>
      <c r="API45" s="291"/>
      <c r="APJ45" s="291"/>
      <c r="APK45" s="291"/>
      <c r="APL45" s="291"/>
      <c r="APM45" s="291"/>
      <c r="APN45" s="291"/>
      <c r="APO45" s="291"/>
      <c r="APP45" s="291"/>
      <c r="APQ45" s="291"/>
      <c r="APR45" s="291"/>
      <c r="APS45" s="291"/>
      <c r="APT45" s="291"/>
      <c r="APU45" s="291"/>
      <c r="APV45" s="291"/>
      <c r="APW45" s="291"/>
      <c r="APX45" s="291"/>
      <c r="APY45" s="291"/>
      <c r="APZ45" s="291"/>
      <c r="AQA45" s="291"/>
      <c r="AQB45" s="291"/>
      <c r="AQC45" s="291"/>
      <c r="AQD45" s="291"/>
      <c r="AQE45" s="291"/>
      <c r="AQF45" s="291"/>
      <c r="AQG45" s="291"/>
      <c r="AQH45" s="291"/>
      <c r="AQI45" s="291"/>
      <c r="AQJ45" s="291"/>
      <c r="AQK45" s="291"/>
      <c r="AQL45" s="291"/>
      <c r="AQM45" s="291"/>
      <c r="AQN45" s="291"/>
      <c r="AQO45" s="291"/>
      <c r="AQP45" s="291"/>
      <c r="AQQ45" s="291"/>
      <c r="AQR45" s="291"/>
      <c r="AQS45" s="291"/>
      <c r="AQT45" s="291"/>
      <c r="AQU45" s="291"/>
      <c r="AQV45" s="291"/>
      <c r="AQW45" s="291"/>
      <c r="AQX45" s="291"/>
      <c r="AQY45" s="291"/>
      <c r="AQZ45" s="291"/>
      <c r="ARA45" s="291"/>
      <c r="ARB45" s="291"/>
      <c r="ARC45" s="291"/>
      <c r="ARD45" s="291"/>
      <c r="ARE45" s="291"/>
      <c r="ARF45" s="291"/>
      <c r="ARG45" s="291"/>
      <c r="ARH45" s="291"/>
      <c r="ARI45" s="291"/>
      <c r="ARJ45" s="291"/>
      <c r="ARK45" s="291"/>
      <c r="ARL45" s="291"/>
      <c r="ARM45" s="291"/>
      <c r="ARN45" s="291"/>
      <c r="ARO45" s="291"/>
      <c r="ARP45" s="291"/>
      <c r="ARQ45" s="291"/>
      <c r="ARR45" s="291"/>
      <c r="ARS45" s="291"/>
      <c r="ART45" s="291"/>
      <c r="ARU45" s="291"/>
      <c r="ARV45" s="291"/>
      <c r="ARW45" s="291"/>
      <c r="ARX45" s="291"/>
      <c r="ARY45" s="291"/>
      <c r="ARZ45" s="291"/>
      <c r="ASA45" s="291"/>
      <c r="ASB45" s="291"/>
      <c r="ASC45" s="291"/>
      <c r="ASD45" s="291"/>
      <c r="ASE45" s="291"/>
      <c r="ASF45" s="291"/>
      <c r="ASG45" s="291"/>
      <c r="ASH45" s="291"/>
      <c r="ASI45" s="291"/>
      <c r="ASJ45" s="291"/>
      <c r="ASK45" s="291"/>
      <c r="ASL45" s="291"/>
      <c r="ASM45" s="291"/>
      <c r="ASN45" s="291"/>
      <c r="ASO45" s="291"/>
      <c r="ASP45" s="291"/>
      <c r="ASQ45" s="291"/>
      <c r="ASR45" s="291"/>
      <c r="ASS45" s="291"/>
      <c r="AST45" s="291"/>
      <c r="ASU45" s="291"/>
      <c r="ASV45" s="291"/>
      <c r="ASW45" s="291"/>
      <c r="ASX45" s="291"/>
      <c r="ASY45" s="291"/>
      <c r="ASZ45" s="291"/>
      <c r="ATA45" s="291"/>
      <c r="ATB45" s="291"/>
      <c r="ATC45" s="291"/>
      <c r="ATD45" s="291"/>
      <c r="ATE45" s="291"/>
      <c r="ATF45" s="291"/>
      <c r="ATG45" s="291"/>
      <c r="ATH45" s="291"/>
      <c r="ATI45" s="291"/>
      <c r="ATJ45" s="291"/>
      <c r="ATK45" s="291"/>
      <c r="ATL45" s="291"/>
      <c r="ATM45" s="291"/>
      <c r="ATN45" s="291"/>
      <c r="ATO45" s="291"/>
      <c r="ATP45" s="291"/>
      <c r="ATQ45" s="291"/>
      <c r="ATR45" s="291"/>
      <c r="ATS45" s="291"/>
      <c r="ATT45" s="291"/>
      <c r="ATU45" s="291"/>
      <c r="ATV45" s="291"/>
      <c r="ATW45" s="291"/>
      <c r="ATX45" s="291"/>
      <c r="ATY45" s="291"/>
      <c r="ATZ45" s="291"/>
      <c r="AUA45" s="291"/>
      <c r="AUB45" s="291"/>
      <c r="AUC45" s="291"/>
      <c r="AUD45" s="291"/>
      <c r="AUE45" s="291"/>
      <c r="AUF45" s="291"/>
      <c r="AUG45" s="291"/>
      <c r="AUH45" s="291"/>
      <c r="AUI45" s="291"/>
      <c r="AUJ45" s="291"/>
      <c r="AUK45" s="291"/>
      <c r="AUL45" s="291"/>
      <c r="AUM45" s="291"/>
      <c r="AUN45" s="291"/>
      <c r="AUO45" s="291"/>
      <c r="AUP45" s="291"/>
      <c r="AUQ45" s="291"/>
      <c r="AUR45" s="291"/>
      <c r="AUS45" s="291"/>
      <c r="AUT45" s="291"/>
      <c r="AUU45" s="291"/>
      <c r="AUV45" s="291"/>
      <c r="AUW45" s="291"/>
      <c r="AUX45" s="291"/>
      <c r="AUY45" s="291"/>
      <c r="AUZ45" s="291"/>
      <c r="AVA45" s="291"/>
      <c r="AVB45" s="291"/>
      <c r="AVC45" s="291"/>
      <c r="AVD45" s="291"/>
      <c r="AVE45" s="291"/>
      <c r="AVF45" s="291"/>
      <c r="AVG45" s="291"/>
      <c r="AVH45" s="291"/>
      <c r="AVI45" s="291"/>
      <c r="AVJ45" s="291"/>
      <c r="AVK45" s="291"/>
      <c r="AVL45" s="291"/>
      <c r="AVM45" s="291"/>
      <c r="AVN45" s="291"/>
      <c r="AVO45" s="291"/>
      <c r="AVP45" s="291"/>
      <c r="AVQ45" s="291"/>
      <c r="AVR45" s="291"/>
      <c r="AVS45" s="291"/>
      <c r="AVT45" s="291"/>
      <c r="AVU45" s="291"/>
      <c r="AVV45" s="291"/>
      <c r="AVW45" s="291"/>
      <c r="AVX45" s="291"/>
      <c r="AVY45" s="291"/>
      <c r="AVZ45" s="291"/>
      <c r="AWA45" s="291"/>
      <c r="AWB45" s="291"/>
      <c r="AWC45" s="291"/>
      <c r="AWD45" s="291"/>
      <c r="AWE45" s="291"/>
      <c r="AWF45" s="291"/>
      <c r="AWG45" s="291"/>
      <c r="AWH45" s="291"/>
      <c r="AWI45" s="291"/>
      <c r="AWJ45" s="291"/>
      <c r="AWK45" s="291"/>
      <c r="AWL45" s="291"/>
      <c r="AWM45" s="291"/>
      <c r="AWN45" s="291"/>
      <c r="AWO45" s="291"/>
      <c r="AWP45" s="291"/>
      <c r="AWQ45" s="291"/>
      <c r="AWR45" s="291"/>
      <c r="AWS45" s="291"/>
      <c r="AWT45" s="291"/>
      <c r="AWU45" s="291"/>
      <c r="AWV45" s="291"/>
      <c r="AWW45" s="291"/>
      <c r="AWX45" s="291"/>
      <c r="AWY45" s="291"/>
      <c r="AWZ45" s="291"/>
      <c r="AXA45" s="291"/>
      <c r="AXB45" s="291"/>
      <c r="AXC45" s="291"/>
      <c r="AXD45" s="291"/>
      <c r="AXE45" s="291"/>
      <c r="AXF45" s="291"/>
      <c r="AXG45" s="291"/>
      <c r="AXH45" s="291"/>
      <c r="AXI45" s="291"/>
      <c r="AXJ45" s="291"/>
      <c r="AXK45" s="291"/>
      <c r="AXL45" s="291"/>
      <c r="AXM45" s="291"/>
      <c r="AXN45" s="291"/>
      <c r="AXO45" s="291"/>
      <c r="AXP45" s="291"/>
      <c r="AXQ45" s="291"/>
      <c r="AXR45" s="291"/>
      <c r="AXS45" s="291"/>
      <c r="AXT45" s="291"/>
      <c r="AXU45" s="291"/>
      <c r="AXV45" s="291"/>
      <c r="AXW45" s="291"/>
      <c r="AXX45" s="291"/>
      <c r="AXY45" s="291"/>
      <c r="AXZ45" s="291"/>
      <c r="AYA45" s="291"/>
      <c r="AYB45" s="291"/>
      <c r="AYC45" s="291"/>
      <c r="AYD45" s="291"/>
      <c r="AYE45" s="291"/>
      <c r="AYF45" s="291"/>
      <c r="AYG45" s="291"/>
      <c r="AYH45" s="291"/>
      <c r="AYI45" s="291"/>
      <c r="AYJ45" s="291"/>
      <c r="AYK45" s="291"/>
      <c r="AYL45" s="291"/>
      <c r="AYM45" s="291"/>
      <c r="AYN45" s="291"/>
      <c r="AYO45" s="291"/>
      <c r="AYP45" s="291"/>
      <c r="AYQ45" s="291"/>
      <c r="AYR45" s="291"/>
      <c r="AYS45" s="291"/>
      <c r="AYT45" s="291"/>
      <c r="AYU45" s="291"/>
      <c r="AYV45" s="291"/>
      <c r="AYW45" s="291"/>
      <c r="AYX45" s="291"/>
      <c r="AYY45" s="291"/>
      <c r="AYZ45" s="291"/>
      <c r="AZA45" s="291"/>
      <c r="AZB45" s="291"/>
      <c r="AZC45" s="291"/>
      <c r="AZD45" s="291"/>
      <c r="AZE45" s="291"/>
      <c r="AZF45" s="291"/>
      <c r="AZG45" s="291"/>
      <c r="AZH45" s="291"/>
      <c r="AZI45" s="291"/>
      <c r="AZJ45" s="291"/>
      <c r="AZK45" s="291"/>
      <c r="AZL45" s="291"/>
      <c r="AZM45" s="291"/>
      <c r="AZN45" s="291"/>
      <c r="AZO45" s="291"/>
      <c r="AZP45" s="291"/>
      <c r="AZQ45" s="291"/>
      <c r="AZR45" s="291"/>
      <c r="AZS45" s="291"/>
      <c r="AZT45" s="291"/>
      <c r="AZU45" s="291"/>
      <c r="AZV45" s="291"/>
      <c r="AZW45" s="291"/>
      <c r="AZX45" s="291"/>
      <c r="AZY45" s="291"/>
      <c r="AZZ45" s="291"/>
      <c r="BAA45" s="291"/>
      <c r="BAB45" s="291"/>
      <c r="BAC45" s="291"/>
      <c r="BAD45" s="291"/>
      <c r="BAE45" s="291"/>
      <c r="BAF45" s="291"/>
      <c r="BAG45" s="291"/>
      <c r="BAH45" s="291"/>
      <c r="BAI45" s="291"/>
      <c r="BAJ45" s="291"/>
      <c r="BAK45" s="291"/>
      <c r="BAL45" s="291"/>
      <c r="BAM45" s="291"/>
      <c r="BAN45" s="291"/>
      <c r="BAO45" s="291"/>
      <c r="BAP45" s="291"/>
      <c r="BAQ45" s="291"/>
      <c r="BAR45" s="291"/>
      <c r="BAS45" s="291"/>
      <c r="BAT45" s="291"/>
      <c r="BAU45" s="291"/>
      <c r="BAV45" s="291"/>
      <c r="BAW45" s="291"/>
      <c r="BAX45" s="291"/>
      <c r="BAY45" s="291"/>
      <c r="BAZ45" s="291"/>
      <c r="BBA45" s="291"/>
      <c r="BBB45" s="291"/>
      <c r="BBC45" s="291"/>
      <c r="BBD45" s="291"/>
      <c r="BBE45" s="291"/>
      <c r="BBF45" s="291"/>
      <c r="BBG45" s="291"/>
      <c r="BBH45" s="291"/>
      <c r="BBI45" s="291"/>
      <c r="BBJ45" s="291"/>
      <c r="BBK45" s="291"/>
      <c r="BBL45" s="291"/>
      <c r="BBM45" s="291"/>
      <c r="BBN45" s="291"/>
      <c r="BBO45" s="291"/>
      <c r="BBP45" s="291"/>
      <c r="BBQ45" s="291"/>
      <c r="BBR45" s="291"/>
      <c r="BBS45" s="291"/>
      <c r="BBT45" s="291"/>
      <c r="BBU45" s="291"/>
      <c r="BBV45" s="291"/>
      <c r="BBW45" s="291"/>
      <c r="BBX45" s="291"/>
      <c r="BBY45" s="291"/>
      <c r="BBZ45" s="291"/>
      <c r="BCA45" s="291"/>
      <c r="BCB45" s="291"/>
      <c r="BCC45" s="291"/>
      <c r="BCD45" s="291"/>
      <c r="BCE45" s="291"/>
      <c r="BCF45" s="291"/>
      <c r="BCG45" s="291"/>
      <c r="BCH45" s="291"/>
      <c r="BCI45" s="291"/>
      <c r="BCJ45" s="291"/>
      <c r="BCK45" s="291"/>
      <c r="BCL45" s="291"/>
      <c r="BCM45" s="291"/>
      <c r="BCN45" s="291"/>
      <c r="BCO45" s="291"/>
      <c r="BCP45" s="291"/>
      <c r="BCQ45" s="291"/>
      <c r="BCR45" s="291"/>
      <c r="BCS45" s="291"/>
      <c r="BCT45" s="291"/>
      <c r="BCU45" s="291"/>
      <c r="BCV45" s="291"/>
      <c r="BCW45" s="291"/>
      <c r="BCX45" s="291"/>
      <c r="BCY45" s="291"/>
      <c r="BCZ45" s="291"/>
      <c r="BDA45" s="291"/>
      <c r="BDB45" s="291"/>
      <c r="BDC45" s="291"/>
      <c r="BDD45" s="291"/>
      <c r="BDE45" s="291"/>
      <c r="BDF45" s="291"/>
      <c r="BDG45" s="291"/>
      <c r="BDH45" s="291"/>
      <c r="BDI45" s="291"/>
      <c r="BDJ45" s="291"/>
      <c r="BDK45" s="291"/>
      <c r="BDL45" s="291"/>
      <c r="BDM45" s="291"/>
      <c r="BDN45" s="291"/>
      <c r="BDO45" s="291"/>
      <c r="BDP45" s="291"/>
      <c r="BDQ45" s="291"/>
      <c r="BDR45" s="291"/>
      <c r="BDS45" s="291"/>
      <c r="BDT45" s="291"/>
      <c r="BDU45" s="291"/>
      <c r="BDV45" s="291"/>
      <c r="BDW45" s="291"/>
      <c r="BDX45" s="291"/>
      <c r="BDY45" s="291"/>
      <c r="BDZ45" s="291"/>
      <c r="BEA45" s="291"/>
      <c r="BEB45" s="291"/>
      <c r="BEC45" s="291"/>
      <c r="BED45" s="291"/>
      <c r="BEE45" s="291"/>
      <c r="BEF45" s="291"/>
      <c r="BEG45" s="291"/>
      <c r="BEH45" s="291"/>
      <c r="BEI45" s="291"/>
      <c r="BEJ45" s="291"/>
      <c r="BEK45" s="291"/>
      <c r="BEL45" s="291"/>
      <c r="BEM45" s="291"/>
      <c r="BEN45" s="291"/>
      <c r="BEO45" s="291"/>
      <c r="BEP45" s="291"/>
      <c r="BEQ45" s="291"/>
      <c r="BER45" s="291"/>
      <c r="BES45" s="291"/>
      <c r="BET45" s="291"/>
      <c r="BEU45" s="291"/>
      <c r="BEV45" s="291"/>
      <c r="BEW45" s="291"/>
      <c r="BEX45" s="291"/>
      <c r="BEY45" s="291"/>
      <c r="BEZ45" s="291"/>
      <c r="BFA45" s="291"/>
      <c r="BFB45" s="291"/>
      <c r="BFC45" s="291"/>
      <c r="BFD45" s="291"/>
      <c r="BFE45" s="291"/>
      <c r="BFF45" s="291"/>
      <c r="BFG45" s="291"/>
      <c r="BFH45" s="291"/>
      <c r="BFI45" s="291"/>
      <c r="BFJ45" s="291"/>
      <c r="BFK45" s="291"/>
      <c r="BFL45" s="291"/>
      <c r="BFM45" s="291"/>
      <c r="BFN45" s="291"/>
      <c r="BFO45" s="291"/>
      <c r="BFP45" s="291"/>
      <c r="BFQ45" s="291"/>
      <c r="BFR45" s="291"/>
      <c r="BFS45" s="291"/>
      <c r="BFT45" s="291"/>
      <c r="BFU45" s="291"/>
      <c r="BFV45" s="291"/>
      <c r="BFW45" s="291"/>
      <c r="BFX45" s="291"/>
      <c r="BFY45" s="291"/>
      <c r="BFZ45" s="291"/>
      <c r="BGA45" s="291"/>
      <c r="BGB45" s="291"/>
      <c r="BGC45" s="291"/>
      <c r="BGD45" s="291"/>
      <c r="BGE45" s="291"/>
      <c r="BGF45" s="291"/>
      <c r="BGG45" s="291"/>
      <c r="BGH45" s="291"/>
      <c r="BGI45" s="291"/>
      <c r="BGJ45" s="291"/>
      <c r="BGK45" s="291"/>
      <c r="BGL45" s="291"/>
      <c r="BGM45" s="291"/>
      <c r="BGN45" s="291"/>
      <c r="BGO45" s="291"/>
      <c r="BGP45" s="291"/>
      <c r="BGQ45" s="291"/>
      <c r="BGR45" s="291"/>
      <c r="BGS45" s="291"/>
      <c r="BGT45" s="291"/>
      <c r="BGU45" s="291"/>
      <c r="BGV45" s="291"/>
      <c r="BGW45" s="291"/>
      <c r="BGX45" s="291"/>
      <c r="BGY45" s="291"/>
      <c r="BGZ45" s="291"/>
      <c r="BHA45" s="291"/>
      <c r="BHB45" s="291"/>
      <c r="BHC45" s="291"/>
      <c r="BHD45" s="291"/>
      <c r="BHE45" s="291"/>
      <c r="BHF45" s="291"/>
      <c r="BHG45" s="291"/>
      <c r="BHH45" s="291"/>
      <c r="BHI45" s="291"/>
      <c r="BHJ45" s="291"/>
      <c r="BHK45" s="291"/>
      <c r="BHL45" s="291"/>
      <c r="BHM45" s="291"/>
      <c r="BHN45" s="291"/>
      <c r="BHO45" s="291"/>
      <c r="BHP45" s="291"/>
      <c r="BHQ45" s="291"/>
      <c r="BHR45" s="291"/>
      <c r="BHS45" s="291"/>
      <c r="BHT45" s="291"/>
      <c r="BHU45" s="291"/>
      <c r="BHV45" s="291"/>
      <c r="BHW45" s="291"/>
      <c r="BHX45" s="291"/>
      <c r="BHY45" s="291"/>
      <c r="BHZ45" s="291"/>
      <c r="BIA45" s="291"/>
      <c r="BIB45" s="291"/>
      <c r="BIC45" s="291"/>
      <c r="BID45" s="291"/>
      <c r="BIE45" s="291"/>
      <c r="BIF45" s="291"/>
      <c r="BIG45" s="291"/>
      <c r="BIH45" s="291"/>
      <c r="BII45" s="291"/>
      <c r="BIJ45" s="291"/>
      <c r="BIK45" s="291"/>
      <c r="BIL45" s="291"/>
      <c r="BIM45" s="291"/>
      <c r="BIN45" s="291"/>
      <c r="BIO45" s="291"/>
      <c r="BIP45" s="291"/>
      <c r="BIQ45" s="291"/>
      <c r="BIR45" s="291"/>
      <c r="BIS45" s="291"/>
      <c r="BIT45" s="291"/>
      <c r="BIU45" s="291"/>
      <c r="BIV45" s="291"/>
      <c r="BIW45" s="291"/>
      <c r="BIX45" s="291"/>
      <c r="BIY45" s="291"/>
      <c r="BIZ45" s="291"/>
      <c r="BJA45" s="291"/>
      <c r="BJB45" s="291"/>
      <c r="BJC45" s="291"/>
      <c r="BJD45" s="291"/>
      <c r="BJE45" s="291"/>
      <c r="BJF45" s="291"/>
      <c r="BJG45" s="291"/>
      <c r="BJH45" s="291"/>
      <c r="BJI45" s="291"/>
      <c r="BJJ45" s="291"/>
      <c r="BJK45" s="291"/>
      <c r="BJL45" s="291"/>
      <c r="BJM45" s="291"/>
      <c r="BJN45" s="291"/>
      <c r="BJO45" s="291"/>
      <c r="BJP45" s="291"/>
      <c r="BJQ45" s="291"/>
      <c r="BJR45" s="291"/>
      <c r="BJS45" s="291"/>
      <c r="BJT45" s="291"/>
      <c r="BJU45" s="291"/>
      <c r="BJV45" s="291"/>
      <c r="BJW45" s="291"/>
      <c r="BJX45" s="291"/>
      <c r="BJY45" s="291"/>
      <c r="BJZ45" s="291"/>
      <c r="BKA45" s="291"/>
      <c r="BKB45" s="291"/>
      <c r="BKC45" s="291"/>
      <c r="BKD45" s="291"/>
      <c r="BKE45" s="291"/>
      <c r="BKF45" s="291"/>
      <c r="BKG45" s="291"/>
      <c r="BKH45" s="291"/>
      <c r="BKI45" s="291"/>
      <c r="BKJ45" s="291"/>
      <c r="BKK45" s="291"/>
      <c r="BKL45" s="291"/>
      <c r="BKM45" s="291"/>
      <c r="BKN45" s="291"/>
      <c r="BKO45" s="291"/>
      <c r="BKP45" s="291"/>
      <c r="BKQ45" s="291"/>
      <c r="BKR45" s="291"/>
      <c r="BKS45" s="291"/>
      <c r="BKT45" s="291"/>
      <c r="BKU45" s="291"/>
      <c r="BKV45" s="291"/>
      <c r="BKW45" s="291"/>
      <c r="BKX45" s="291"/>
      <c r="BKY45" s="291"/>
      <c r="BKZ45" s="291"/>
      <c r="BLA45" s="291"/>
      <c r="BLB45" s="291"/>
      <c r="BLC45" s="291"/>
      <c r="BLD45" s="291"/>
      <c r="BLE45" s="291"/>
      <c r="BLF45" s="291"/>
      <c r="BLG45" s="291"/>
      <c r="BLH45" s="291"/>
      <c r="BLI45" s="291"/>
      <c r="BLJ45" s="291"/>
      <c r="BLK45" s="291"/>
      <c r="BLL45" s="291"/>
      <c r="BLM45" s="291"/>
      <c r="BLN45" s="291"/>
      <c r="BLO45" s="291"/>
      <c r="BLP45" s="291"/>
      <c r="BLQ45" s="291"/>
      <c r="BLR45" s="291"/>
      <c r="BLS45" s="291"/>
      <c r="BLT45" s="291"/>
      <c r="BLU45" s="291"/>
      <c r="BLV45" s="291"/>
      <c r="BLW45" s="291"/>
      <c r="BLX45" s="291"/>
      <c r="BLY45" s="291"/>
      <c r="BLZ45" s="291"/>
      <c r="BMA45" s="291"/>
      <c r="BMB45" s="291"/>
      <c r="BMC45" s="291"/>
      <c r="BMD45" s="291"/>
      <c r="BME45" s="291"/>
      <c r="BMF45" s="291"/>
      <c r="BMG45" s="291"/>
      <c r="BMH45" s="291"/>
      <c r="BMI45" s="291"/>
      <c r="BMJ45" s="291"/>
      <c r="BMK45" s="291"/>
      <c r="BML45" s="291"/>
      <c r="BMM45" s="291"/>
      <c r="BMN45" s="291"/>
      <c r="BMO45" s="291"/>
      <c r="BMP45" s="291"/>
      <c r="BMQ45" s="291"/>
      <c r="BMR45" s="291"/>
      <c r="BMS45" s="291"/>
      <c r="BMT45" s="291"/>
      <c r="BMU45" s="291"/>
      <c r="BMV45" s="291"/>
      <c r="BMW45" s="291"/>
      <c r="BMX45" s="291"/>
      <c r="BMY45" s="291"/>
      <c r="BMZ45" s="291"/>
      <c r="BNA45" s="291"/>
      <c r="BNB45" s="291"/>
      <c r="BNC45" s="291"/>
      <c r="BND45" s="291"/>
      <c r="BNE45" s="291"/>
      <c r="BNF45" s="291"/>
      <c r="BNG45" s="291"/>
      <c r="BNH45" s="291"/>
      <c r="BNI45" s="291"/>
      <c r="BNJ45" s="291"/>
      <c r="BNK45" s="291"/>
      <c r="BNL45" s="291"/>
      <c r="BNM45" s="291"/>
      <c r="BNN45" s="291"/>
      <c r="BNO45" s="291"/>
      <c r="BNP45" s="291"/>
      <c r="BNQ45" s="291"/>
      <c r="BNR45" s="291"/>
      <c r="BNS45" s="291"/>
      <c r="BNT45" s="291"/>
      <c r="BNU45" s="291"/>
      <c r="BNV45" s="291"/>
      <c r="BNW45" s="291"/>
      <c r="BNX45" s="291"/>
      <c r="BNY45" s="291"/>
      <c r="BNZ45" s="291"/>
      <c r="BOA45" s="291"/>
      <c r="BOB45" s="291"/>
      <c r="BOC45" s="291"/>
      <c r="BOD45" s="291"/>
      <c r="BOE45" s="291"/>
      <c r="BOF45" s="291"/>
      <c r="BOG45" s="291"/>
      <c r="BOH45" s="291"/>
      <c r="BOI45" s="291"/>
      <c r="BOJ45" s="291"/>
      <c r="BOK45" s="291"/>
      <c r="BOL45" s="291"/>
      <c r="BOM45" s="291"/>
      <c r="BON45" s="291"/>
      <c r="BOO45" s="291"/>
      <c r="BOP45" s="291"/>
      <c r="BOQ45" s="291"/>
      <c r="BOR45" s="291"/>
      <c r="BOS45" s="291"/>
      <c r="BOT45" s="291"/>
      <c r="BOU45" s="291"/>
      <c r="BOV45" s="291"/>
      <c r="BOW45" s="291"/>
      <c r="BOX45" s="291"/>
      <c r="BOY45" s="291"/>
      <c r="BOZ45" s="291"/>
      <c r="BPA45" s="291"/>
      <c r="BPB45" s="291"/>
      <c r="BPC45" s="291"/>
      <c r="BPD45" s="291"/>
      <c r="BPE45" s="291"/>
      <c r="BPF45" s="291"/>
      <c r="BPG45" s="291"/>
      <c r="BPH45" s="291"/>
      <c r="BPI45" s="291"/>
      <c r="BPJ45" s="291"/>
      <c r="BPK45" s="291"/>
      <c r="BPL45" s="291"/>
      <c r="BPM45" s="291"/>
      <c r="BPN45" s="291"/>
      <c r="BPO45" s="291"/>
      <c r="BPP45" s="291"/>
      <c r="BPQ45" s="291"/>
      <c r="BPR45" s="291"/>
      <c r="BPS45" s="291"/>
      <c r="BPT45" s="291"/>
      <c r="BPU45" s="291"/>
      <c r="BPV45" s="291"/>
      <c r="BPW45" s="291"/>
      <c r="BPX45" s="291"/>
      <c r="BPY45" s="291"/>
      <c r="BPZ45" s="291"/>
      <c r="BQA45" s="291"/>
      <c r="BQB45" s="291"/>
      <c r="BQC45" s="291"/>
      <c r="BQD45" s="291"/>
      <c r="BQE45" s="291"/>
      <c r="BQF45" s="291"/>
      <c r="BQG45" s="291"/>
      <c r="BQH45" s="291"/>
      <c r="BQI45" s="291"/>
      <c r="BQJ45" s="291"/>
      <c r="BQK45" s="291"/>
      <c r="BQL45" s="291"/>
      <c r="BQM45" s="291"/>
      <c r="BQN45" s="291"/>
      <c r="BQO45" s="291"/>
      <c r="BQP45" s="291"/>
      <c r="BQQ45" s="291"/>
      <c r="BQR45" s="291"/>
      <c r="BQS45" s="291"/>
      <c r="BQT45" s="291"/>
      <c r="BQU45" s="291"/>
      <c r="BQV45" s="291"/>
      <c r="BQW45" s="291"/>
      <c r="BQX45" s="291"/>
      <c r="BQY45" s="291"/>
      <c r="BQZ45" s="291"/>
      <c r="BRA45" s="291"/>
      <c r="BRB45" s="291"/>
      <c r="BRC45" s="291"/>
      <c r="BRD45" s="291"/>
      <c r="BRE45" s="291"/>
      <c r="BRF45" s="291"/>
      <c r="BRG45" s="291"/>
      <c r="BRH45" s="291"/>
      <c r="BRI45" s="291"/>
      <c r="BRJ45" s="291"/>
      <c r="BRK45" s="291"/>
      <c r="BRL45" s="291"/>
      <c r="BRM45" s="291"/>
      <c r="BRN45" s="291"/>
      <c r="BRO45" s="291"/>
      <c r="BRP45" s="291"/>
      <c r="BRQ45" s="291"/>
      <c r="BRR45" s="291"/>
      <c r="BRS45" s="291"/>
      <c r="BRT45" s="291"/>
      <c r="BRU45" s="291"/>
      <c r="BRV45" s="291"/>
      <c r="BRW45" s="291"/>
      <c r="BRX45" s="291"/>
      <c r="BRY45" s="291"/>
      <c r="BRZ45" s="291"/>
      <c r="BSA45" s="291"/>
      <c r="BSB45" s="291"/>
      <c r="BSC45" s="291"/>
      <c r="BSD45" s="291"/>
      <c r="BSE45" s="291"/>
      <c r="BSF45" s="291"/>
      <c r="BSG45" s="291"/>
      <c r="BSH45" s="291"/>
      <c r="BSI45" s="291"/>
      <c r="BSJ45" s="291"/>
      <c r="BSK45" s="291"/>
      <c r="BSL45" s="291"/>
      <c r="BSM45" s="291"/>
      <c r="BSN45" s="291"/>
      <c r="BSO45" s="291"/>
      <c r="BSP45" s="291"/>
      <c r="BSQ45" s="291"/>
      <c r="BSR45" s="291"/>
      <c r="BSS45" s="291"/>
      <c r="BST45" s="291"/>
      <c r="BSU45" s="291"/>
      <c r="BSV45" s="291"/>
      <c r="BSW45" s="291"/>
      <c r="BSX45" s="291"/>
      <c r="BSY45" s="291"/>
      <c r="BSZ45" s="291"/>
      <c r="BTA45" s="291"/>
      <c r="BTB45" s="291"/>
      <c r="BTC45" s="291"/>
      <c r="BTD45" s="291"/>
      <c r="BTE45" s="291"/>
      <c r="BTF45" s="291"/>
      <c r="BTG45" s="291"/>
      <c r="BTH45" s="291"/>
      <c r="BTI45" s="291"/>
      <c r="BTJ45" s="291"/>
      <c r="BTK45" s="291"/>
      <c r="BTL45" s="291"/>
      <c r="BTM45" s="291"/>
      <c r="BTN45" s="291"/>
      <c r="BTO45" s="291"/>
      <c r="BTP45" s="291"/>
      <c r="BTQ45" s="291"/>
      <c r="BTR45" s="291"/>
      <c r="BTS45" s="291"/>
      <c r="BTT45" s="291"/>
      <c r="BTU45" s="291"/>
      <c r="BTV45" s="291"/>
      <c r="BTW45" s="291"/>
      <c r="BTX45" s="291"/>
      <c r="BTY45" s="291"/>
      <c r="BTZ45" s="291"/>
      <c r="BUA45" s="291"/>
      <c r="BUB45" s="291"/>
      <c r="BUC45" s="291"/>
      <c r="BUD45" s="291"/>
      <c r="BUE45" s="291"/>
      <c r="BUF45" s="291"/>
      <c r="BUG45" s="291"/>
      <c r="BUH45" s="291"/>
      <c r="BUI45" s="291"/>
      <c r="BUJ45" s="291"/>
      <c r="BUK45" s="291"/>
      <c r="BUL45" s="291"/>
      <c r="BUM45" s="291"/>
      <c r="BUN45" s="291"/>
      <c r="BUO45" s="291"/>
      <c r="BUP45" s="291"/>
      <c r="BUQ45" s="291"/>
      <c r="BUR45" s="291"/>
      <c r="BUS45" s="291"/>
      <c r="BUT45" s="291"/>
      <c r="BUU45" s="291"/>
      <c r="BUV45" s="291"/>
      <c r="BUW45" s="291"/>
      <c r="BUX45" s="291"/>
      <c r="BUY45" s="291"/>
      <c r="BUZ45" s="291"/>
      <c r="BVA45" s="291"/>
      <c r="BVB45" s="291"/>
      <c r="BVC45" s="291"/>
      <c r="BVD45" s="291"/>
      <c r="BVE45" s="291"/>
      <c r="BVF45" s="291"/>
      <c r="BVG45" s="291"/>
      <c r="BVH45" s="291"/>
      <c r="BVI45" s="291"/>
      <c r="BVJ45" s="291"/>
      <c r="BVK45" s="291"/>
      <c r="BVL45" s="291"/>
      <c r="BVM45" s="291"/>
      <c r="BVN45" s="291"/>
      <c r="BVO45" s="291"/>
      <c r="BVP45" s="291"/>
      <c r="BVQ45" s="291"/>
      <c r="BVR45" s="291"/>
      <c r="BVS45" s="291"/>
      <c r="BVT45" s="291"/>
      <c r="BVU45" s="291"/>
      <c r="BVV45" s="291"/>
      <c r="BVW45" s="291"/>
      <c r="BVX45" s="291"/>
      <c r="BVY45" s="291"/>
      <c r="BVZ45" s="291"/>
      <c r="BWA45" s="291"/>
      <c r="BWB45" s="291"/>
      <c r="BWC45" s="291"/>
      <c r="BWD45" s="291"/>
      <c r="BWE45" s="291"/>
      <c r="BWF45" s="291"/>
      <c r="BWG45" s="291"/>
      <c r="BWH45" s="291"/>
      <c r="BWI45" s="291"/>
      <c r="BWJ45" s="291"/>
      <c r="BWK45" s="291"/>
      <c r="BWL45" s="291"/>
      <c r="BWM45" s="291"/>
      <c r="BWN45" s="291"/>
      <c r="BWO45" s="291"/>
      <c r="BWP45" s="291"/>
      <c r="BWQ45" s="291"/>
      <c r="BWR45" s="291"/>
      <c r="BWS45" s="291"/>
      <c r="BWT45" s="291"/>
      <c r="BWU45" s="291"/>
      <c r="BWV45" s="291"/>
      <c r="BWW45" s="291"/>
      <c r="BWX45" s="291"/>
      <c r="BWY45" s="291"/>
      <c r="BWZ45" s="291"/>
      <c r="BXA45" s="291"/>
      <c r="BXB45" s="291"/>
      <c r="BXC45" s="291"/>
      <c r="BXD45" s="291"/>
      <c r="BXE45" s="291"/>
      <c r="BXF45" s="291"/>
      <c r="BXG45" s="291"/>
      <c r="BXH45" s="291"/>
      <c r="BXI45" s="291"/>
      <c r="BXJ45" s="291"/>
      <c r="BXK45" s="291"/>
      <c r="BXL45" s="291"/>
      <c r="BXM45" s="291"/>
      <c r="BXN45" s="291"/>
      <c r="BXO45" s="291"/>
      <c r="BXP45" s="291"/>
      <c r="BXQ45" s="291"/>
      <c r="BXR45" s="291"/>
      <c r="BXS45" s="291"/>
      <c r="BXT45" s="291"/>
      <c r="BXU45" s="291"/>
      <c r="BXV45" s="291"/>
      <c r="BXW45" s="291"/>
      <c r="BXX45" s="291"/>
      <c r="BXY45" s="291"/>
      <c r="BXZ45" s="291"/>
      <c r="BYA45" s="291"/>
      <c r="BYB45" s="291"/>
      <c r="BYC45" s="291"/>
      <c r="BYD45" s="291"/>
      <c r="BYE45" s="291"/>
      <c r="BYF45" s="291"/>
      <c r="BYG45" s="291"/>
      <c r="BYH45" s="291"/>
      <c r="BYI45" s="291"/>
      <c r="BYJ45" s="291"/>
      <c r="BYK45" s="291"/>
      <c r="BYL45" s="291"/>
      <c r="BYM45" s="291"/>
      <c r="BYN45" s="291"/>
      <c r="BYO45" s="291"/>
      <c r="BYP45" s="291"/>
      <c r="BYQ45" s="291"/>
      <c r="BYR45" s="291"/>
      <c r="BYS45" s="291"/>
      <c r="BYT45" s="291"/>
      <c r="BYU45" s="291"/>
      <c r="BYV45" s="291"/>
      <c r="BYW45" s="291"/>
      <c r="BYX45" s="291"/>
      <c r="BYY45" s="291"/>
      <c r="BYZ45" s="291"/>
      <c r="BZA45" s="291"/>
      <c r="BZB45" s="291"/>
      <c r="BZC45" s="291"/>
      <c r="BZD45" s="291"/>
      <c r="BZE45" s="291"/>
      <c r="BZF45" s="291"/>
      <c r="BZG45" s="291"/>
      <c r="BZH45" s="291"/>
      <c r="BZI45" s="291"/>
      <c r="BZJ45" s="291"/>
      <c r="BZK45" s="291"/>
      <c r="BZL45" s="291"/>
      <c r="BZM45" s="291"/>
      <c r="BZN45" s="291"/>
      <c r="BZO45" s="291"/>
      <c r="BZP45" s="291"/>
      <c r="BZQ45" s="291"/>
      <c r="BZR45" s="291"/>
      <c r="BZS45" s="291"/>
      <c r="BZT45" s="291"/>
      <c r="BZU45" s="291"/>
      <c r="BZV45" s="291"/>
      <c r="BZW45" s="291"/>
      <c r="BZX45" s="291"/>
      <c r="BZY45" s="291"/>
      <c r="BZZ45" s="291"/>
      <c r="CAA45" s="291"/>
      <c r="CAB45" s="291"/>
      <c r="CAC45" s="291"/>
      <c r="CAD45" s="291"/>
      <c r="CAE45" s="291"/>
      <c r="CAF45" s="291"/>
      <c r="CAG45" s="291"/>
      <c r="CAH45" s="291"/>
      <c r="CAI45" s="291"/>
      <c r="CAJ45" s="291"/>
      <c r="CAK45" s="291"/>
      <c r="CAL45" s="291"/>
      <c r="CAM45" s="291"/>
      <c r="CAN45" s="291"/>
      <c r="CAO45" s="291"/>
      <c r="CAP45" s="291"/>
      <c r="CAQ45" s="291"/>
      <c r="CAR45" s="291"/>
      <c r="CAS45" s="291"/>
      <c r="CAT45" s="291"/>
      <c r="CAU45" s="291"/>
      <c r="CAV45" s="291"/>
      <c r="CAW45" s="291"/>
      <c r="CAX45" s="291"/>
      <c r="CAY45" s="291"/>
      <c r="CAZ45" s="291"/>
      <c r="CBA45" s="291"/>
      <c r="CBB45" s="291"/>
      <c r="CBC45" s="291"/>
      <c r="CBD45" s="291"/>
      <c r="CBE45" s="291"/>
      <c r="CBF45" s="291"/>
      <c r="CBG45" s="291"/>
      <c r="CBH45" s="291"/>
      <c r="CBI45" s="291"/>
      <c r="CBJ45" s="291"/>
      <c r="CBK45" s="291"/>
      <c r="CBL45" s="291"/>
      <c r="CBM45" s="291"/>
      <c r="CBN45" s="291"/>
      <c r="CBO45" s="291"/>
      <c r="CBP45" s="291"/>
      <c r="CBQ45" s="291"/>
      <c r="CBR45" s="291"/>
      <c r="CBS45" s="291"/>
      <c r="CBT45" s="291"/>
      <c r="CBU45" s="291"/>
      <c r="CBV45" s="291"/>
      <c r="CBW45" s="291"/>
      <c r="CBX45" s="291"/>
      <c r="CBY45" s="291"/>
      <c r="CBZ45" s="291"/>
      <c r="CCA45" s="291"/>
      <c r="CCB45" s="291"/>
      <c r="CCC45" s="291"/>
      <c r="CCD45" s="291"/>
      <c r="CCE45" s="291"/>
      <c r="CCF45" s="291"/>
      <c r="CCG45" s="291"/>
      <c r="CCH45" s="291"/>
      <c r="CCI45" s="291"/>
      <c r="CCJ45" s="291"/>
      <c r="CCK45" s="291"/>
      <c r="CCL45" s="291"/>
      <c r="CCM45" s="291"/>
      <c r="CCN45" s="291"/>
      <c r="CCO45" s="291"/>
      <c r="CCP45" s="291"/>
      <c r="CCQ45" s="291"/>
      <c r="CCR45" s="291"/>
      <c r="CCS45" s="291"/>
      <c r="CCT45" s="291"/>
      <c r="CCU45" s="291"/>
      <c r="CCV45" s="291"/>
      <c r="CCW45" s="291"/>
      <c r="CCX45" s="291"/>
      <c r="CCY45" s="291"/>
      <c r="CCZ45" s="291"/>
      <c r="CDA45" s="291"/>
      <c r="CDB45" s="291"/>
      <c r="CDC45" s="291"/>
      <c r="CDD45" s="291"/>
      <c r="CDE45" s="291"/>
      <c r="CDF45" s="291"/>
      <c r="CDG45" s="291"/>
      <c r="CDH45" s="291"/>
      <c r="CDI45" s="291"/>
      <c r="CDJ45" s="291"/>
      <c r="CDK45" s="291"/>
      <c r="CDL45" s="291"/>
      <c r="CDM45" s="291"/>
      <c r="CDN45" s="291"/>
      <c r="CDO45" s="291"/>
      <c r="CDP45" s="291"/>
      <c r="CDQ45" s="291"/>
      <c r="CDR45" s="291"/>
      <c r="CDS45" s="291"/>
      <c r="CDT45" s="291"/>
      <c r="CDU45" s="291"/>
      <c r="CDV45" s="291"/>
      <c r="CDW45" s="291"/>
      <c r="CDX45" s="291"/>
      <c r="CDY45" s="291"/>
      <c r="CDZ45" s="291"/>
      <c r="CEA45" s="291"/>
      <c r="CEB45" s="291"/>
      <c r="CEC45" s="291"/>
      <c r="CED45" s="291"/>
      <c r="CEE45" s="291"/>
      <c r="CEF45" s="291"/>
      <c r="CEG45" s="291"/>
      <c r="CEH45" s="291"/>
      <c r="CEI45" s="291"/>
      <c r="CEJ45" s="291"/>
      <c r="CEK45" s="291"/>
      <c r="CEL45" s="291"/>
      <c r="CEM45" s="291"/>
      <c r="CEN45" s="291"/>
      <c r="CEO45" s="291"/>
      <c r="CEP45" s="291"/>
      <c r="CEQ45" s="291"/>
      <c r="CER45" s="291"/>
      <c r="CES45" s="291"/>
      <c r="CET45" s="291"/>
      <c r="CEU45" s="291"/>
      <c r="CEV45" s="291"/>
      <c r="CEW45" s="291"/>
      <c r="CEX45" s="291"/>
      <c r="CEY45" s="291"/>
      <c r="CEZ45" s="291"/>
      <c r="CFA45" s="291"/>
      <c r="CFB45" s="291"/>
      <c r="CFC45" s="291"/>
      <c r="CFD45" s="291"/>
      <c r="CFE45" s="291"/>
      <c r="CFF45" s="291"/>
      <c r="CFG45" s="291"/>
      <c r="CFH45" s="291"/>
      <c r="CFI45" s="291"/>
      <c r="CFJ45" s="291"/>
      <c r="CFK45" s="291"/>
      <c r="CFL45" s="291"/>
      <c r="CFM45" s="291"/>
      <c r="CFN45" s="291"/>
      <c r="CFO45" s="291"/>
      <c r="CFP45" s="291"/>
      <c r="CFQ45" s="291"/>
      <c r="CFR45" s="291"/>
      <c r="CFS45" s="291"/>
      <c r="CFT45" s="291"/>
      <c r="CFU45" s="291"/>
      <c r="CFV45" s="291"/>
      <c r="CFW45" s="291"/>
      <c r="CFX45" s="291"/>
      <c r="CFY45" s="291"/>
      <c r="CFZ45" s="291"/>
      <c r="CGA45" s="291"/>
      <c r="CGB45" s="291"/>
      <c r="CGC45" s="291"/>
      <c r="CGD45" s="291"/>
      <c r="CGE45" s="291"/>
      <c r="CGF45" s="291"/>
      <c r="CGG45" s="291"/>
      <c r="CGH45" s="291"/>
      <c r="CGI45" s="291"/>
      <c r="CGJ45" s="291"/>
      <c r="CGK45" s="291"/>
      <c r="CGL45" s="291"/>
      <c r="CGM45" s="291"/>
      <c r="CGN45" s="291"/>
      <c r="CGO45" s="291"/>
      <c r="CGP45" s="291"/>
      <c r="CGQ45" s="291"/>
      <c r="CGR45" s="291"/>
      <c r="CGS45" s="291"/>
      <c r="CGT45" s="291"/>
      <c r="CGU45" s="291"/>
      <c r="CGV45" s="291"/>
      <c r="CGW45" s="291"/>
      <c r="CGX45" s="291"/>
      <c r="CGY45" s="291"/>
      <c r="CGZ45" s="291"/>
      <c r="CHA45" s="291"/>
      <c r="CHB45" s="291"/>
      <c r="CHC45" s="291"/>
      <c r="CHD45" s="291"/>
      <c r="CHE45" s="291"/>
      <c r="CHF45" s="291"/>
      <c r="CHG45" s="291"/>
      <c r="CHH45" s="291"/>
      <c r="CHI45" s="291"/>
      <c r="CHJ45" s="291"/>
      <c r="CHK45" s="291"/>
      <c r="CHL45" s="291"/>
      <c r="CHM45" s="291"/>
      <c r="CHN45" s="291"/>
      <c r="CHO45" s="291"/>
      <c r="CHP45" s="291"/>
      <c r="CHQ45" s="291"/>
      <c r="CHR45" s="291"/>
      <c r="CHS45" s="291"/>
      <c r="CHT45" s="291"/>
      <c r="CHU45" s="291"/>
      <c r="CHV45" s="291"/>
      <c r="CHW45" s="291"/>
      <c r="CHX45" s="291"/>
      <c r="CHY45" s="291"/>
      <c r="CHZ45" s="291"/>
      <c r="CIA45" s="291"/>
      <c r="CIB45" s="291"/>
      <c r="CIC45" s="291"/>
      <c r="CID45" s="291"/>
      <c r="CIE45" s="291"/>
      <c r="CIF45" s="291"/>
      <c r="CIG45" s="291"/>
      <c r="CIH45" s="291"/>
      <c r="CII45" s="291"/>
      <c r="CIJ45" s="291"/>
      <c r="CIK45" s="291"/>
      <c r="CIL45" s="291"/>
      <c r="CIM45" s="291"/>
      <c r="CIN45" s="291"/>
      <c r="CIO45" s="291"/>
      <c r="CIP45" s="291"/>
      <c r="CIQ45" s="291"/>
      <c r="CIR45" s="291"/>
      <c r="CIS45" s="291"/>
      <c r="CIT45" s="291"/>
      <c r="CIU45" s="291"/>
      <c r="CIV45" s="291"/>
      <c r="CIW45" s="291"/>
      <c r="CIX45" s="291"/>
      <c r="CIY45" s="291"/>
      <c r="CIZ45" s="291"/>
      <c r="CJA45" s="291"/>
      <c r="CJB45" s="291"/>
      <c r="CJC45" s="291"/>
      <c r="CJD45" s="291"/>
      <c r="CJE45" s="291"/>
      <c r="CJF45" s="291"/>
      <c r="CJG45" s="291"/>
      <c r="CJH45" s="291"/>
      <c r="CJI45" s="291"/>
      <c r="CJJ45" s="291"/>
      <c r="CJK45" s="291"/>
      <c r="CJL45" s="291"/>
      <c r="CJM45" s="291"/>
      <c r="CJN45" s="291"/>
      <c r="CJO45" s="291"/>
      <c r="CJP45" s="291"/>
      <c r="CJQ45" s="291"/>
      <c r="CJR45" s="291"/>
      <c r="CJS45" s="291"/>
      <c r="CJT45" s="291"/>
      <c r="CJU45" s="291"/>
      <c r="CJV45" s="291"/>
      <c r="CJW45" s="291"/>
      <c r="CJX45" s="291"/>
      <c r="CJY45" s="291"/>
      <c r="CJZ45" s="291"/>
      <c r="CKA45" s="291"/>
      <c r="CKB45" s="291"/>
      <c r="CKC45" s="291"/>
      <c r="CKD45" s="291"/>
      <c r="CKE45" s="291"/>
      <c r="CKF45" s="291"/>
      <c r="CKG45" s="291"/>
      <c r="CKH45" s="291"/>
      <c r="CKI45" s="291"/>
      <c r="CKJ45" s="291"/>
      <c r="CKK45" s="291"/>
      <c r="CKL45" s="291"/>
      <c r="CKM45" s="291"/>
      <c r="CKN45" s="291"/>
      <c r="CKO45" s="291"/>
      <c r="CKP45" s="291"/>
      <c r="CKQ45" s="291"/>
      <c r="CKR45" s="291"/>
      <c r="CKS45" s="291"/>
      <c r="CKT45" s="291"/>
      <c r="CKU45" s="291"/>
      <c r="CKV45" s="291"/>
      <c r="CKW45" s="291"/>
      <c r="CKX45" s="291"/>
      <c r="CKY45" s="291"/>
      <c r="CKZ45" s="291"/>
      <c r="CLA45" s="291"/>
      <c r="CLB45" s="291"/>
      <c r="CLC45" s="291"/>
      <c r="CLD45" s="291"/>
      <c r="CLE45" s="291"/>
      <c r="CLF45" s="291"/>
      <c r="CLG45" s="291"/>
      <c r="CLH45" s="291"/>
      <c r="CLI45" s="291"/>
      <c r="CLJ45" s="291"/>
      <c r="CLK45" s="291"/>
      <c r="CLL45" s="291"/>
      <c r="CLM45" s="291"/>
      <c r="CLN45" s="291"/>
      <c r="CLO45" s="291"/>
      <c r="CLP45" s="291"/>
      <c r="CLQ45" s="291"/>
      <c r="CLR45" s="291"/>
      <c r="CLS45" s="291"/>
      <c r="CLT45" s="291"/>
      <c r="CLU45" s="291"/>
      <c r="CLV45" s="291"/>
      <c r="CLW45" s="291"/>
      <c r="CLX45" s="291"/>
      <c r="CLY45" s="291"/>
      <c r="CLZ45" s="291"/>
      <c r="CMA45" s="291"/>
      <c r="CMB45" s="291"/>
      <c r="CMC45" s="291"/>
      <c r="CMD45" s="291"/>
      <c r="CME45" s="291"/>
      <c r="CMF45" s="291"/>
      <c r="CMG45" s="291"/>
      <c r="CMH45" s="291"/>
      <c r="CMI45" s="291"/>
      <c r="CMJ45" s="291"/>
      <c r="CMK45" s="291"/>
      <c r="CML45" s="291"/>
      <c r="CMM45" s="291"/>
      <c r="CMN45" s="291"/>
      <c r="CMO45" s="291"/>
      <c r="CMP45" s="291"/>
      <c r="CMQ45" s="291"/>
      <c r="CMR45" s="291"/>
      <c r="CMS45" s="291"/>
      <c r="CMT45" s="291"/>
      <c r="CMU45" s="291"/>
      <c r="CMV45" s="291"/>
      <c r="CMW45" s="291"/>
      <c r="CMX45" s="291"/>
      <c r="CMY45" s="291"/>
      <c r="CMZ45" s="291"/>
      <c r="CNA45" s="291"/>
      <c r="CNB45" s="291"/>
      <c r="CNC45" s="291"/>
      <c r="CND45" s="291"/>
      <c r="CNE45" s="291"/>
      <c r="CNF45" s="291"/>
      <c r="CNG45" s="291"/>
      <c r="CNH45" s="291"/>
      <c r="CNI45" s="291"/>
      <c r="CNJ45" s="291"/>
      <c r="CNK45" s="291"/>
      <c r="CNL45" s="291"/>
      <c r="CNM45" s="291"/>
      <c r="CNN45" s="291"/>
      <c r="CNO45" s="291"/>
      <c r="CNP45" s="291"/>
      <c r="CNQ45" s="291"/>
      <c r="CNR45" s="291"/>
      <c r="CNS45" s="291"/>
      <c r="CNT45" s="291"/>
      <c r="CNU45" s="291"/>
      <c r="CNV45" s="291"/>
      <c r="CNW45" s="291"/>
      <c r="CNX45" s="291"/>
      <c r="CNY45" s="291"/>
      <c r="CNZ45" s="291"/>
      <c r="COA45" s="291"/>
      <c r="COB45" s="291"/>
      <c r="COC45" s="291"/>
      <c r="COD45" s="291"/>
      <c r="COE45" s="291"/>
      <c r="COF45" s="291"/>
      <c r="COG45" s="291"/>
      <c r="COH45" s="291"/>
      <c r="COI45" s="291"/>
      <c r="COJ45" s="291"/>
      <c r="COK45" s="291"/>
      <c r="COL45" s="291"/>
      <c r="COM45" s="291"/>
      <c r="CON45" s="291"/>
      <c r="COO45" s="291"/>
      <c r="COP45" s="291"/>
      <c r="COQ45" s="291"/>
      <c r="COR45" s="291"/>
      <c r="COS45" s="291"/>
      <c r="COT45" s="291"/>
      <c r="COU45" s="291"/>
      <c r="COV45" s="291"/>
      <c r="COW45" s="291"/>
      <c r="COX45" s="291"/>
      <c r="COY45" s="291"/>
      <c r="COZ45" s="291"/>
      <c r="CPA45" s="291"/>
      <c r="CPB45" s="291"/>
      <c r="CPC45" s="291"/>
      <c r="CPD45" s="291"/>
      <c r="CPE45" s="291"/>
      <c r="CPF45" s="291"/>
      <c r="CPG45" s="291"/>
      <c r="CPH45" s="291"/>
      <c r="CPI45" s="291"/>
      <c r="CPJ45" s="291"/>
      <c r="CPK45" s="291"/>
      <c r="CPL45" s="291"/>
      <c r="CPM45" s="291"/>
      <c r="CPN45" s="291"/>
      <c r="CPO45" s="291"/>
      <c r="CPP45" s="291"/>
      <c r="CPQ45" s="291"/>
      <c r="CPR45" s="291"/>
      <c r="CPS45" s="291"/>
      <c r="CPT45" s="291"/>
      <c r="CPU45" s="291"/>
      <c r="CPV45" s="291"/>
      <c r="CPW45" s="291"/>
      <c r="CPX45" s="291"/>
      <c r="CPY45" s="291"/>
      <c r="CPZ45" s="291"/>
      <c r="CQA45" s="291"/>
      <c r="CQB45" s="291"/>
      <c r="CQC45" s="291"/>
      <c r="CQD45" s="291"/>
      <c r="CQE45" s="291"/>
      <c r="CQF45" s="291"/>
      <c r="CQG45" s="291"/>
      <c r="CQH45" s="291"/>
      <c r="CQI45" s="291"/>
      <c r="CQJ45" s="291"/>
      <c r="CQK45" s="291"/>
      <c r="CQL45" s="291"/>
      <c r="CQM45" s="291"/>
      <c r="CQN45" s="291"/>
      <c r="CQO45" s="291"/>
      <c r="CQP45" s="291"/>
      <c r="CQQ45" s="291"/>
      <c r="CQR45" s="291"/>
      <c r="CQS45" s="291"/>
      <c r="CQT45" s="291"/>
      <c r="CQU45" s="291"/>
      <c r="CQV45" s="291"/>
      <c r="CQW45" s="291"/>
      <c r="CQX45" s="291"/>
      <c r="CQY45" s="291"/>
      <c r="CQZ45" s="291"/>
      <c r="CRA45" s="291"/>
      <c r="CRB45" s="291"/>
      <c r="CRC45" s="291"/>
      <c r="CRD45" s="291"/>
      <c r="CRE45" s="291"/>
      <c r="CRF45" s="291"/>
      <c r="CRG45" s="291"/>
      <c r="CRH45" s="291"/>
      <c r="CRI45" s="291"/>
      <c r="CRJ45" s="291"/>
      <c r="CRK45" s="291"/>
      <c r="CRL45" s="291"/>
      <c r="CRM45" s="291"/>
      <c r="CRN45" s="291"/>
      <c r="CRO45" s="291"/>
      <c r="CRP45" s="291"/>
      <c r="CRQ45" s="291"/>
      <c r="CRR45" s="291"/>
      <c r="CRS45" s="291"/>
      <c r="CRT45" s="291"/>
      <c r="CRU45" s="291"/>
      <c r="CRV45" s="291"/>
      <c r="CRW45" s="291"/>
      <c r="CRX45" s="291"/>
      <c r="CRY45" s="291"/>
      <c r="CRZ45" s="291"/>
      <c r="CSA45" s="291"/>
      <c r="CSB45" s="291"/>
      <c r="CSC45" s="291"/>
      <c r="CSD45" s="291"/>
      <c r="CSE45" s="291"/>
      <c r="CSF45" s="291"/>
      <c r="CSG45" s="291"/>
      <c r="CSH45" s="291"/>
      <c r="CSI45" s="291"/>
      <c r="CSJ45" s="291"/>
      <c r="CSK45" s="291"/>
      <c r="CSL45" s="291"/>
      <c r="CSM45" s="291"/>
      <c r="CSN45" s="291"/>
      <c r="CSO45" s="291"/>
      <c r="CSP45" s="291"/>
      <c r="CSQ45" s="291"/>
      <c r="CSR45" s="291"/>
      <c r="CSS45" s="291"/>
      <c r="CST45" s="291"/>
      <c r="CSU45" s="291"/>
      <c r="CSV45" s="291"/>
      <c r="CSW45" s="291"/>
      <c r="CSX45" s="291"/>
      <c r="CSY45" s="291"/>
      <c r="CSZ45" s="291"/>
      <c r="CTA45" s="291"/>
      <c r="CTB45" s="291"/>
      <c r="CTC45" s="291"/>
      <c r="CTD45" s="291"/>
      <c r="CTE45" s="291"/>
      <c r="CTF45" s="291"/>
      <c r="CTG45" s="291"/>
      <c r="CTH45" s="291"/>
      <c r="CTI45" s="291"/>
      <c r="CTJ45" s="291"/>
      <c r="CTK45" s="291"/>
      <c r="CTL45" s="291"/>
      <c r="CTM45" s="291"/>
      <c r="CTN45" s="291"/>
      <c r="CTO45" s="291"/>
      <c r="CTP45" s="291"/>
      <c r="CTQ45" s="291"/>
      <c r="CTR45" s="291"/>
      <c r="CTS45" s="291"/>
      <c r="CTT45" s="291"/>
      <c r="CTU45" s="291"/>
      <c r="CTV45" s="291"/>
      <c r="CTW45" s="291"/>
      <c r="CTX45" s="291"/>
      <c r="CTY45" s="291"/>
      <c r="CTZ45" s="291"/>
      <c r="CUA45" s="291"/>
      <c r="CUB45" s="291"/>
      <c r="CUC45" s="291"/>
      <c r="CUD45" s="291"/>
      <c r="CUE45" s="291"/>
      <c r="CUF45" s="291"/>
      <c r="CUG45" s="291"/>
      <c r="CUH45" s="291"/>
      <c r="CUI45" s="291"/>
      <c r="CUJ45" s="291"/>
      <c r="CUK45" s="291"/>
      <c r="CUL45" s="291"/>
      <c r="CUM45" s="291"/>
      <c r="CUN45" s="291"/>
      <c r="CUO45" s="291"/>
      <c r="CUP45" s="291"/>
      <c r="CUQ45" s="291"/>
      <c r="CUR45" s="291"/>
      <c r="CUS45" s="291"/>
      <c r="CUT45" s="291"/>
      <c r="CUU45" s="291"/>
      <c r="CUV45" s="291"/>
      <c r="CUW45" s="291"/>
      <c r="CUX45" s="291"/>
      <c r="CUY45" s="291"/>
      <c r="CUZ45" s="291"/>
      <c r="CVA45" s="291"/>
      <c r="CVB45" s="291"/>
      <c r="CVC45" s="291"/>
      <c r="CVD45" s="291"/>
      <c r="CVE45" s="291"/>
      <c r="CVF45" s="291"/>
      <c r="CVG45" s="291"/>
      <c r="CVH45" s="291"/>
      <c r="CVI45" s="291"/>
      <c r="CVJ45" s="291"/>
      <c r="CVK45" s="291"/>
      <c r="CVL45" s="291"/>
      <c r="CVM45" s="291"/>
      <c r="CVN45" s="291"/>
      <c r="CVO45" s="291"/>
      <c r="CVP45" s="291"/>
      <c r="CVQ45" s="291"/>
      <c r="CVR45" s="291"/>
      <c r="CVS45" s="291"/>
      <c r="CVT45" s="291"/>
      <c r="CVU45" s="291"/>
      <c r="CVV45" s="291"/>
      <c r="CVW45" s="291"/>
      <c r="CVX45" s="291"/>
      <c r="CVY45" s="291"/>
      <c r="CVZ45" s="291"/>
      <c r="CWA45" s="291"/>
      <c r="CWB45" s="291"/>
      <c r="CWC45" s="291"/>
      <c r="CWD45" s="291"/>
      <c r="CWE45" s="291"/>
      <c r="CWF45" s="291"/>
      <c r="CWG45" s="291"/>
      <c r="CWH45" s="291"/>
      <c r="CWI45" s="291"/>
      <c r="CWJ45" s="291"/>
      <c r="CWK45" s="291"/>
      <c r="CWL45" s="291"/>
      <c r="CWM45" s="291"/>
      <c r="CWN45" s="291"/>
      <c r="CWO45" s="291"/>
      <c r="CWP45" s="291"/>
      <c r="CWQ45" s="291"/>
      <c r="CWR45" s="291"/>
      <c r="CWS45" s="291"/>
      <c r="CWT45" s="291"/>
      <c r="CWU45" s="291"/>
      <c r="CWV45" s="291"/>
      <c r="CWW45" s="291"/>
      <c r="CWX45" s="291"/>
      <c r="CWY45" s="291"/>
      <c r="CWZ45" s="291"/>
      <c r="CXA45" s="291"/>
      <c r="CXB45" s="291"/>
      <c r="CXC45" s="291"/>
      <c r="CXD45" s="291"/>
      <c r="CXE45" s="291"/>
      <c r="CXF45" s="291"/>
      <c r="CXG45" s="291"/>
      <c r="CXH45" s="291"/>
      <c r="CXI45" s="291"/>
      <c r="CXJ45" s="291"/>
      <c r="CXK45" s="291"/>
      <c r="CXL45" s="291"/>
      <c r="CXM45" s="291"/>
      <c r="CXN45" s="291"/>
      <c r="CXO45" s="291"/>
      <c r="CXP45" s="291"/>
      <c r="CXQ45" s="291"/>
      <c r="CXR45" s="291"/>
      <c r="CXS45" s="291"/>
      <c r="CXT45" s="291"/>
      <c r="CXU45" s="291"/>
      <c r="CXV45" s="291"/>
      <c r="CXW45" s="291"/>
      <c r="CXX45" s="291"/>
      <c r="CXY45" s="291"/>
      <c r="CXZ45" s="291"/>
      <c r="CYA45" s="291"/>
      <c r="CYB45" s="291"/>
      <c r="CYC45" s="291"/>
      <c r="CYD45" s="291"/>
      <c r="CYE45" s="291"/>
      <c r="CYF45" s="291"/>
      <c r="CYG45" s="291"/>
      <c r="CYH45" s="291"/>
      <c r="CYI45" s="291"/>
      <c r="CYJ45" s="291"/>
      <c r="CYK45" s="291"/>
      <c r="CYL45" s="291"/>
      <c r="CYM45" s="291"/>
      <c r="CYN45" s="291"/>
      <c r="CYO45" s="291"/>
      <c r="CYP45" s="291"/>
      <c r="CYQ45" s="291"/>
      <c r="CYR45" s="291"/>
      <c r="CYS45" s="291"/>
      <c r="CYT45" s="291"/>
      <c r="CYU45" s="291"/>
      <c r="CYV45" s="291"/>
      <c r="CYW45" s="291"/>
      <c r="CYX45" s="291"/>
      <c r="CYY45" s="291"/>
      <c r="CYZ45" s="291"/>
      <c r="CZA45" s="291"/>
      <c r="CZB45" s="291"/>
      <c r="CZC45" s="291"/>
      <c r="CZD45" s="291"/>
      <c r="CZE45" s="291"/>
      <c r="CZF45" s="291"/>
      <c r="CZG45" s="291"/>
      <c r="CZH45" s="291"/>
      <c r="CZI45" s="291"/>
      <c r="CZJ45" s="291"/>
      <c r="CZK45" s="291"/>
      <c r="CZL45" s="291"/>
      <c r="CZM45" s="291"/>
      <c r="CZN45" s="291"/>
      <c r="CZO45" s="291"/>
      <c r="CZP45" s="291"/>
      <c r="CZQ45" s="291"/>
      <c r="CZR45" s="291"/>
      <c r="CZS45" s="291"/>
      <c r="CZT45" s="291"/>
      <c r="CZU45" s="291"/>
      <c r="CZV45" s="291"/>
      <c r="CZW45" s="291"/>
      <c r="CZX45" s="291"/>
      <c r="CZY45" s="291"/>
      <c r="CZZ45" s="291"/>
      <c r="DAA45" s="291"/>
      <c r="DAB45" s="291"/>
      <c r="DAC45" s="291"/>
      <c r="DAD45" s="291"/>
      <c r="DAE45" s="291"/>
      <c r="DAF45" s="291"/>
      <c r="DAG45" s="291"/>
      <c r="DAH45" s="291"/>
      <c r="DAI45" s="291"/>
      <c r="DAJ45" s="291"/>
      <c r="DAK45" s="291"/>
      <c r="DAL45" s="291"/>
      <c r="DAM45" s="291"/>
      <c r="DAN45" s="291"/>
      <c r="DAO45" s="291"/>
      <c r="DAP45" s="291"/>
      <c r="DAQ45" s="291"/>
      <c r="DAR45" s="291"/>
      <c r="DAS45" s="291"/>
      <c r="DAT45" s="291"/>
      <c r="DAU45" s="291"/>
      <c r="DAV45" s="291"/>
      <c r="DAW45" s="291"/>
      <c r="DAX45" s="291"/>
      <c r="DAY45" s="291"/>
      <c r="DAZ45" s="291"/>
      <c r="DBA45" s="291"/>
      <c r="DBB45" s="291"/>
      <c r="DBC45" s="291"/>
      <c r="DBD45" s="291"/>
      <c r="DBE45" s="291"/>
      <c r="DBF45" s="291"/>
      <c r="DBG45" s="291"/>
      <c r="DBH45" s="291"/>
      <c r="DBI45" s="291"/>
      <c r="DBJ45" s="291"/>
      <c r="DBK45" s="291"/>
      <c r="DBL45" s="291"/>
      <c r="DBM45" s="291"/>
      <c r="DBN45" s="291"/>
      <c r="DBO45" s="291"/>
      <c r="DBP45" s="291"/>
      <c r="DBQ45" s="291"/>
      <c r="DBR45" s="291"/>
      <c r="DBS45" s="291"/>
      <c r="DBT45" s="291"/>
      <c r="DBU45" s="291"/>
      <c r="DBV45" s="291"/>
      <c r="DBW45" s="291"/>
      <c r="DBX45" s="291"/>
      <c r="DBY45" s="291"/>
      <c r="DBZ45" s="291"/>
      <c r="DCA45" s="291"/>
      <c r="DCB45" s="291"/>
      <c r="DCC45" s="291"/>
      <c r="DCD45" s="291"/>
      <c r="DCE45" s="291"/>
      <c r="DCF45" s="291"/>
      <c r="DCG45" s="291"/>
      <c r="DCH45" s="291"/>
      <c r="DCI45" s="291"/>
      <c r="DCJ45" s="291"/>
      <c r="DCK45" s="291"/>
      <c r="DCL45" s="291"/>
      <c r="DCM45" s="291"/>
      <c r="DCN45" s="291"/>
      <c r="DCO45" s="291"/>
      <c r="DCP45" s="291"/>
      <c r="DCQ45" s="291"/>
      <c r="DCR45" s="291"/>
      <c r="DCS45" s="291"/>
      <c r="DCT45" s="291"/>
      <c r="DCU45" s="291"/>
      <c r="DCV45" s="291"/>
      <c r="DCW45" s="291"/>
      <c r="DCX45" s="291"/>
      <c r="DCY45" s="291"/>
      <c r="DCZ45" s="291"/>
      <c r="DDA45" s="291"/>
      <c r="DDB45" s="291"/>
      <c r="DDC45" s="291"/>
      <c r="DDD45" s="291"/>
      <c r="DDE45" s="291"/>
      <c r="DDF45" s="291"/>
      <c r="DDG45" s="291"/>
      <c r="DDH45" s="291"/>
      <c r="DDI45" s="291"/>
      <c r="DDJ45" s="291"/>
      <c r="DDK45" s="291"/>
      <c r="DDL45" s="291"/>
      <c r="DDM45" s="291"/>
      <c r="DDN45" s="291"/>
      <c r="DDO45" s="291"/>
      <c r="DDP45" s="291"/>
      <c r="DDQ45" s="291"/>
      <c r="DDR45" s="291"/>
      <c r="DDS45" s="291"/>
      <c r="DDT45" s="291"/>
      <c r="DDU45" s="291"/>
      <c r="DDV45" s="291"/>
      <c r="DDW45" s="291"/>
      <c r="DDX45" s="291"/>
      <c r="DDY45" s="291"/>
      <c r="DDZ45" s="291"/>
      <c r="DEA45" s="291"/>
      <c r="DEB45" s="291"/>
      <c r="DEC45" s="291"/>
      <c r="DED45" s="291"/>
      <c r="DEE45" s="291"/>
      <c r="DEF45" s="291"/>
      <c r="DEG45" s="291"/>
      <c r="DEH45" s="291"/>
      <c r="DEI45" s="291"/>
      <c r="DEJ45" s="291"/>
      <c r="DEK45" s="291"/>
      <c r="DEL45" s="291"/>
      <c r="DEM45" s="291"/>
      <c r="DEN45" s="291"/>
      <c r="DEO45" s="291"/>
      <c r="DEP45" s="291"/>
      <c r="DEQ45" s="291"/>
      <c r="DER45" s="291"/>
      <c r="DES45" s="291"/>
      <c r="DET45" s="291"/>
      <c r="DEU45" s="291"/>
      <c r="DEV45" s="291"/>
      <c r="DEW45" s="291"/>
      <c r="DEX45" s="291"/>
      <c r="DEY45" s="291"/>
      <c r="DEZ45" s="291"/>
      <c r="DFA45" s="291"/>
      <c r="DFB45" s="291"/>
      <c r="DFC45" s="291"/>
      <c r="DFD45" s="291"/>
      <c r="DFE45" s="291"/>
      <c r="DFF45" s="291"/>
      <c r="DFG45" s="291"/>
      <c r="DFH45" s="291"/>
      <c r="DFI45" s="291"/>
      <c r="DFJ45" s="291"/>
      <c r="DFK45" s="291"/>
      <c r="DFL45" s="291"/>
      <c r="DFM45" s="291"/>
      <c r="DFN45" s="291"/>
      <c r="DFO45" s="291"/>
      <c r="DFP45" s="291"/>
      <c r="DFQ45" s="291"/>
      <c r="DFR45" s="291"/>
      <c r="DFS45" s="291"/>
      <c r="DFT45" s="291"/>
      <c r="DFU45" s="291"/>
      <c r="DFV45" s="291"/>
      <c r="DFW45" s="291"/>
      <c r="DFX45" s="291"/>
      <c r="DFY45" s="291"/>
      <c r="DFZ45" s="291"/>
      <c r="DGA45" s="291"/>
      <c r="DGB45" s="291"/>
      <c r="DGC45" s="291"/>
      <c r="DGD45" s="291"/>
      <c r="DGE45" s="291"/>
      <c r="DGF45" s="291"/>
      <c r="DGG45" s="291"/>
      <c r="DGH45" s="291"/>
      <c r="DGI45" s="291"/>
      <c r="DGJ45" s="291"/>
      <c r="DGK45" s="291"/>
      <c r="DGL45" s="291"/>
      <c r="DGM45" s="291"/>
      <c r="DGN45" s="291"/>
      <c r="DGO45" s="291"/>
      <c r="DGP45" s="291"/>
      <c r="DGQ45" s="291"/>
      <c r="DGR45" s="291"/>
      <c r="DGS45" s="291"/>
      <c r="DGT45" s="291"/>
      <c r="DGU45" s="291"/>
      <c r="DGV45" s="291"/>
      <c r="DGW45" s="291"/>
      <c r="DGX45" s="291"/>
      <c r="DGY45" s="291"/>
      <c r="DGZ45" s="291"/>
      <c r="DHA45" s="291"/>
      <c r="DHB45" s="291"/>
      <c r="DHC45" s="291"/>
      <c r="DHD45" s="291"/>
      <c r="DHE45" s="291"/>
      <c r="DHF45" s="291"/>
      <c r="DHG45" s="291"/>
      <c r="DHH45" s="291"/>
      <c r="DHI45" s="291"/>
      <c r="DHJ45" s="291"/>
      <c r="DHK45" s="291"/>
      <c r="DHL45" s="291"/>
      <c r="DHM45" s="291"/>
      <c r="DHN45" s="291"/>
      <c r="DHO45" s="291"/>
      <c r="DHP45" s="291"/>
      <c r="DHQ45" s="291"/>
      <c r="DHR45" s="291"/>
      <c r="DHS45" s="291"/>
      <c r="DHT45" s="291"/>
      <c r="DHU45" s="291"/>
      <c r="DHV45" s="291"/>
      <c r="DHW45" s="291"/>
      <c r="DHX45" s="291"/>
      <c r="DHY45" s="291"/>
      <c r="DHZ45" s="291"/>
      <c r="DIA45" s="291"/>
      <c r="DIB45" s="291"/>
      <c r="DIC45" s="291"/>
      <c r="DID45" s="291"/>
      <c r="DIE45" s="291"/>
      <c r="DIF45" s="291"/>
      <c r="DIG45" s="291"/>
      <c r="DIH45" s="291"/>
      <c r="DII45" s="291"/>
      <c r="DIJ45" s="291"/>
      <c r="DIK45" s="291"/>
      <c r="DIL45" s="291"/>
      <c r="DIM45" s="291"/>
      <c r="DIN45" s="291"/>
      <c r="DIO45" s="291"/>
      <c r="DIP45" s="291"/>
      <c r="DIQ45" s="291"/>
      <c r="DIR45" s="291"/>
      <c r="DIS45" s="291"/>
      <c r="DIT45" s="291"/>
      <c r="DIU45" s="291"/>
      <c r="DIV45" s="291"/>
      <c r="DIW45" s="291"/>
      <c r="DIX45" s="291"/>
      <c r="DIY45" s="291"/>
      <c r="DIZ45" s="291"/>
      <c r="DJA45" s="291"/>
      <c r="DJB45" s="291"/>
      <c r="DJC45" s="291"/>
      <c r="DJD45" s="291"/>
      <c r="DJE45" s="291"/>
      <c r="DJF45" s="291"/>
      <c r="DJG45" s="291"/>
      <c r="DJH45" s="291"/>
      <c r="DJI45" s="291"/>
      <c r="DJJ45" s="291"/>
      <c r="DJK45" s="291"/>
      <c r="DJL45" s="291"/>
      <c r="DJM45" s="291"/>
      <c r="DJN45" s="291"/>
      <c r="DJO45" s="291"/>
      <c r="DJP45" s="291"/>
      <c r="DJQ45" s="291"/>
      <c r="DJR45" s="291"/>
      <c r="DJS45" s="291"/>
      <c r="DJT45" s="291"/>
      <c r="DJU45" s="291"/>
      <c r="DJV45" s="291"/>
      <c r="DJW45" s="291"/>
      <c r="DJX45" s="291"/>
      <c r="DJY45" s="291"/>
      <c r="DJZ45" s="291"/>
      <c r="DKA45" s="291"/>
      <c r="DKB45" s="291"/>
      <c r="DKC45" s="291"/>
      <c r="DKD45" s="291"/>
      <c r="DKE45" s="291"/>
      <c r="DKF45" s="291"/>
      <c r="DKG45" s="291"/>
      <c r="DKH45" s="291"/>
      <c r="DKI45" s="291"/>
      <c r="DKJ45" s="291"/>
      <c r="DKK45" s="291"/>
      <c r="DKL45" s="291"/>
      <c r="DKM45" s="291"/>
      <c r="DKN45" s="291"/>
      <c r="DKO45" s="291"/>
      <c r="DKP45" s="291"/>
      <c r="DKQ45" s="291"/>
      <c r="DKR45" s="291"/>
      <c r="DKS45" s="291"/>
      <c r="DKT45" s="291"/>
      <c r="DKU45" s="291"/>
      <c r="DKV45" s="291"/>
      <c r="DKW45" s="291"/>
      <c r="DKX45" s="291"/>
      <c r="DKY45" s="291"/>
      <c r="DKZ45" s="291"/>
      <c r="DLA45" s="291"/>
      <c r="DLB45" s="291"/>
      <c r="DLC45" s="291"/>
      <c r="DLD45" s="291"/>
      <c r="DLE45" s="291"/>
      <c r="DLF45" s="291"/>
      <c r="DLG45" s="291"/>
      <c r="DLH45" s="291"/>
      <c r="DLI45" s="291"/>
      <c r="DLJ45" s="291"/>
      <c r="DLK45" s="291"/>
      <c r="DLL45" s="291"/>
      <c r="DLM45" s="291"/>
      <c r="DLN45" s="291"/>
      <c r="DLO45" s="291"/>
      <c r="DLP45" s="291"/>
      <c r="DLQ45" s="291"/>
      <c r="DLR45" s="291"/>
      <c r="DLS45" s="291"/>
      <c r="DLT45" s="291"/>
      <c r="DLU45" s="291"/>
      <c r="DLV45" s="291"/>
      <c r="DLW45" s="291"/>
      <c r="DLX45" s="291"/>
      <c r="DLY45" s="291"/>
      <c r="DLZ45" s="291"/>
      <c r="DMA45" s="291"/>
      <c r="DMB45" s="291"/>
      <c r="DMC45" s="291"/>
      <c r="DMD45" s="291"/>
      <c r="DME45" s="291"/>
      <c r="DMF45" s="291"/>
      <c r="DMG45" s="291"/>
      <c r="DMH45" s="291"/>
      <c r="DMI45" s="291"/>
      <c r="DMJ45" s="291"/>
      <c r="DMK45" s="291"/>
      <c r="DML45" s="291"/>
      <c r="DMM45" s="291"/>
      <c r="DMN45" s="291"/>
      <c r="DMO45" s="291"/>
      <c r="DMP45" s="291"/>
      <c r="DMQ45" s="291"/>
      <c r="DMR45" s="291"/>
      <c r="DMS45" s="291"/>
      <c r="DMT45" s="291"/>
      <c r="DMU45" s="291"/>
      <c r="DMV45" s="291"/>
      <c r="DMW45" s="291"/>
      <c r="DMX45" s="291"/>
      <c r="DMY45" s="291"/>
      <c r="DMZ45" s="291"/>
      <c r="DNA45" s="291"/>
      <c r="DNB45" s="291"/>
      <c r="DNC45" s="291"/>
      <c r="DND45" s="291"/>
      <c r="DNE45" s="291"/>
      <c r="DNF45" s="291"/>
      <c r="DNG45" s="291"/>
      <c r="DNH45" s="291"/>
      <c r="DNI45" s="291"/>
      <c r="DNJ45" s="291"/>
      <c r="DNK45" s="291"/>
      <c r="DNL45" s="291"/>
      <c r="DNM45" s="291"/>
      <c r="DNN45" s="291"/>
      <c r="DNO45" s="291"/>
      <c r="DNP45" s="291"/>
      <c r="DNQ45" s="291"/>
      <c r="DNR45" s="291"/>
      <c r="DNS45" s="291"/>
      <c r="DNT45" s="291"/>
      <c r="DNU45" s="291"/>
      <c r="DNV45" s="291"/>
      <c r="DNW45" s="291"/>
      <c r="DNX45" s="291"/>
      <c r="DNY45" s="291"/>
      <c r="DNZ45" s="291"/>
      <c r="DOA45" s="291"/>
      <c r="DOB45" s="291"/>
      <c r="DOC45" s="291"/>
      <c r="DOD45" s="291"/>
      <c r="DOE45" s="291"/>
      <c r="DOF45" s="291"/>
      <c r="DOG45" s="291"/>
      <c r="DOH45" s="291"/>
      <c r="DOI45" s="291"/>
      <c r="DOJ45" s="291"/>
      <c r="DOK45" s="291"/>
      <c r="DOL45" s="291"/>
      <c r="DOM45" s="291"/>
      <c r="DON45" s="291"/>
      <c r="DOO45" s="291"/>
      <c r="DOP45" s="291"/>
      <c r="DOQ45" s="291"/>
      <c r="DOR45" s="291"/>
      <c r="DOS45" s="291"/>
      <c r="DOT45" s="291"/>
      <c r="DOU45" s="291"/>
      <c r="DOV45" s="291"/>
      <c r="DOW45" s="291"/>
      <c r="DOX45" s="291"/>
      <c r="DOY45" s="291"/>
      <c r="DOZ45" s="291"/>
      <c r="DPA45" s="291"/>
      <c r="DPB45" s="291"/>
      <c r="DPC45" s="291"/>
      <c r="DPD45" s="291"/>
      <c r="DPE45" s="291"/>
      <c r="DPF45" s="291"/>
      <c r="DPG45" s="291"/>
      <c r="DPH45" s="291"/>
      <c r="DPI45" s="291"/>
      <c r="DPJ45" s="291"/>
      <c r="DPK45" s="291"/>
      <c r="DPL45" s="291"/>
      <c r="DPM45" s="291"/>
      <c r="DPN45" s="291"/>
      <c r="DPO45" s="291"/>
      <c r="DPP45" s="291"/>
      <c r="DPQ45" s="291"/>
      <c r="DPR45" s="291"/>
      <c r="DPS45" s="291"/>
      <c r="DPT45" s="291"/>
      <c r="DPU45" s="291"/>
      <c r="DPV45" s="291"/>
      <c r="DPW45" s="291"/>
      <c r="DPX45" s="291"/>
      <c r="DPY45" s="291"/>
      <c r="DPZ45" s="291"/>
      <c r="DQA45" s="291"/>
      <c r="DQB45" s="291"/>
      <c r="DQC45" s="291"/>
      <c r="DQD45" s="291"/>
      <c r="DQE45" s="291"/>
      <c r="DQF45" s="291"/>
      <c r="DQG45" s="291"/>
      <c r="DQH45" s="291"/>
      <c r="DQI45" s="291"/>
      <c r="DQJ45" s="291"/>
      <c r="DQK45" s="291"/>
      <c r="DQL45" s="291"/>
      <c r="DQM45" s="291"/>
      <c r="DQN45" s="291"/>
      <c r="DQO45" s="291"/>
      <c r="DQP45" s="291"/>
      <c r="DQQ45" s="291"/>
      <c r="DQR45" s="291"/>
      <c r="DQS45" s="291"/>
      <c r="DQT45" s="291"/>
      <c r="DQU45" s="291"/>
      <c r="DQV45" s="291"/>
      <c r="DQW45" s="291"/>
      <c r="DQX45" s="291"/>
      <c r="DQY45" s="291"/>
      <c r="DQZ45" s="291"/>
      <c r="DRA45" s="291"/>
      <c r="DRB45" s="291"/>
      <c r="DRC45" s="291"/>
      <c r="DRD45" s="291"/>
      <c r="DRE45" s="291"/>
      <c r="DRF45" s="291"/>
      <c r="DRG45" s="291"/>
      <c r="DRH45" s="291"/>
      <c r="DRI45" s="291"/>
      <c r="DRJ45" s="291"/>
      <c r="DRK45" s="291"/>
      <c r="DRL45" s="291"/>
      <c r="DRM45" s="291"/>
      <c r="DRN45" s="291"/>
      <c r="DRO45" s="291"/>
      <c r="DRP45" s="291"/>
      <c r="DRQ45" s="291"/>
      <c r="DRR45" s="291"/>
      <c r="DRS45" s="291"/>
      <c r="DRT45" s="291"/>
      <c r="DRU45" s="291"/>
      <c r="DRV45" s="291"/>
      <c r="DRW45" s="291"/>
      <c r="DRX45" s="291"/>
      <c r="DRY45" s="291"/>
      <c r="DRZ45" s="291"/>
      <c r="DSA45" s="291"/>
      <c r="DSB45" s="291"/>
      <c r="DSC45" s="291"/>
      <c r="DSD45" s="291"/>
      <c r="DSE45" s="291"/>
      <c r="DSF45" s="291"/>
      <c r="DSG45" s="291"/>
      <c r="DSH45" s="291"/>
      <c r="DSI45" s="291"/>
      <c r="DSJ45" s="291"/>
      <c r="DSK45" s="291"/>
      <c r="DSL45" s="291"/>
      <c r="DSM45" s="291"/>
      <c r="DSN45" s="291"/>
      <c r="DSO45" s="291"/>
      <c r="DSP45" s="291"/>
      <c r="DSQ45" s="291"/>
      <c r="DSR45" s="291"/>
      <c r="DSS45" s="291"/>
      <c r="DST45" s="291"/>
      <c r="DSU45" s="291"/>
      <c r="DSV45" s="291"/>
      <c r="DSW45" s="291"/>
      <c r="DSX45" s="291"/>
      <c r="DSY45" s="291"/>
      <c r="DSZ45" s="291"/>
      <c r="DTA45" s="291"/>
      <c r="DTB45" s="291"/>
      <c r="DTC45" s="291"/>
      <c r="DTD45" s="291"/>
      <c r="DTE45" s="291"/>
      <c r="DTF45" s="291"/>
      <c r="DTG45" s="291"/>
      <c r="DTH45" s="291"/>
      <c r="DTI45" s="291"/>
      <c r="DTJ45" s="291"/>
      <c r="DTK45" s="291"/>
      <c r="DTL45" s="291"/>
      <c r="DTM45" s="291"/>
      <c r="DTN45" s="291"/>
      <c r="DTO45" s="291"/>
      <c r="DTP45" s="291"/>
      <c r="DTQ45" s="291"/>
      <c r="DTR45" s="291"/>
      <c r="DTS45" s="291"/>
      <c r="DTT45" s="291"/>
      <c r="DTU45" s="291"/>
      <c r="DTV45" s="291"/>
      <c r="DTW45" s="291"/>
      <c r="DTX45" s="291"/>
      <c r="DTY45" s="291"/>
      <c r="DTZ45" s="291"/>
      <c r="DUA45" s="291"/>
      <c r="DUB45" s="291"/>
      <c r="DUC45" s="291"/>
      <c r="DUD45" s="291"/>
      <c r="DUE45" s="291"/>
      <c r="DUF45" s="291"/>
      <c r="DUG45" s="291"/>
      <c r="DUH45" s="291"/>
      <c r="DUI45" s="291"/>
      <c r="DUJ45" s="291"/>
      <c r="DUK45" s="291"/>
      <c r="DUL45" s="291"/>
      <c r="DUM45" s="291"/>
      <c r="DUN45" s="291"/>
      <c r="DUO45" s="291"/>
      <c r="DUP45" s="291"/>
      <c r="DUQ45" s="291"/>
      <c r="DUR45" s="291"/>
      <c r="DUS45" s="291"/>
      <c r="DUT45" s="291"/>
      <c r="DUU45" s="291"/>
      <c r="DUV45" s="291"/>
      <c r="DUW45" s="291"/>
      <c r="DUX45" s="291"/>
      <c r="DUY45" s="291"/>
      <c r="DUZ45" s="291"/>
      <c r="DVA45" s="291"/>
      <c r="DVB45" s="291"/>
      <c r="DVC45" s="291"/>
      <c r="DVD45" s="291"/>
      <c r="DVE45" s="291"/>
      <c r="DVF45" s="291"/>
      <c r="DVG45" s="291"/>
      <c r="DVH45" s="291"/>
      <c r="DVI45" s="291"/>
      <c r="DVJ45" s="291"/>
      <c r="DVK45" s="291"/>
      <c r="DVL45" s="291"/>
      <c r="DVM45" s="291"/>
      <c r="DVN45" s="291"/>
      <c r="DVO45" s="291"/>
      <c r="DVP45" s="291"/>
      <c r="DVQ45" s="291"/>
      <c r="DVR45" s="291"/>
      <c r="DVS45" s="291"/>
      <c r="DVT45" s="291"/>
      <c r="DVU45" s="291"/>
      <c r="DVV45" s="291"/>
      <c r="DVW45" s="291"/>
      <c r="DVX45" s="291"/>
      <c r="DVY45" s="291"/>
      <c r="DVZ45" s="291"/>
      <c r="DWA45" s="291"/>
      <c r="DWB45" s="291"/>
      <c r="DWC45" s="291"/>
      <c r="DWD45" s="291"/>
      <c r="DWE45" s="291"/>
      <c r="DWF45" s="291"/>
      <c r="DWG45" s="291"/>
      <c r="DWH45" s="291"/>
      <c r="DWI45" s="291"/>
      <c r="DWJ45" s="291"/>
      <c r="DWK45" s="291"/>
      <c r="DWL45" s="291"/>
      <c r="DWM45" s="291"/>
      <c r="DWN45" s="291"/>
      <c r="DWO45" s="291"/>
      <c r="DWP45" s="291"/>
      <c r="DWQ45" s="291"/>
      <c r="DWR45" s="291"/>
      <c r="DWS45" s="291"/>
      <c r="DWT45" s="291"/>
      <c r="DWU45" s="291"/>
      <c r="DWV45" s="291"/>
      <c r="DWW45" s="291"/>
      <c r="DWX45" s="291"/>
      <c r="DWY45" s="291"/>
      <c r="DWZ45" s="291"/>
      <c r="DXA45" s="291"/>
      <c r="DXB45" s="291"/>
      <c r="DXC45" s="291"/>
      <c r="DXD45" s="291"/>
      <c r="DXE45" s="291"/>
      <c r="DXF45" s="291"/>
      <c r="DXG45" s="291"/>
      <c r="DXH45" s="291"/>
      <c r="DXI45" s="291"/>
      <c r="DXJ45" s="291"/>
      <c r="DXK45" s="291"/>
      <c r="DXL45" s="291"/>
      <c r="DXM45" s="291"/>
      <c r="DXN45" s="291"/>
      <c r="DXO45" s="291"/>
      <c r="DXP45" s="291"/>
      <c r="DXQ45" s="291"/>
      <c r="DXR45" s="291"/>
      <c r="DXS45" s="291"/>
      <c r="DXT45" s="291"/>
      <c r="DXU45" s="291"/>
      <c r="DXV45" s="291"/>
      <c r="DXW45" s="291"/>
      <c r="DXX45" s="291"/>
      <c r="DXY45" s="291"/>
      <c r="DXZ45" s="291"/>
      <c r="DYA45" s="291"/>
      <c r="DYB45" s="291"/>
      <c r="DYC45" s="291"/>
      <c r="DYD45" s="291"/>
      <c r="DYE45" s="291"/>
      <c r="DYF45" s="291"/>
      <c r="DYG45" s="291"/>
      <c r="DYH45" s="291"/>
      <c r="DYI45" s="291"/>
      <c r="DYJ45" s="291"/>
      <c r="DYK45" s="291"/>
      <c r="DYL45" s="291"/>
      <c r="DYM45" s="291"/>
      <c r="DYN45" s="291"/>
      <c r="DYO45" s="291"/>
      <c r="DYP45" s="291"/>
      <c r="DYQ45" s="291"/>
      <c r="DYR45" s="291"/>
      <c r="DYS45" s="291"/>
      <c r="DYT45" s="291"/>
      <c r="DYU45" s="291"/>
      <c r="DYV45" s="291"/>
      <c r="DYW45" s="291"/>
      <c r="DYX45" s="291"/>
      <c r="DYY45" s="291"/>
      <c r="DYZ45" s="291"/>
      <c r="DZA45" s="291"/>
      <c r="DZB45" s="291"/>
      <c r="DZC45" s="291"/>
      <c r="DZD45" s="291"/>
      <c r="DZE45" s="291"/>
      <c r="DZF45" s="291"/>
      <c r="DZG45" s="291"/>
      <c r="DZH45" s="291"/>
      <c r="DZI45" s="291"/>
      <c r="DZJ45" s="291"/>
      <c r="DZK45" s="291"/>
      <c r="DZL45" s="291"/>
      <c r="DZM45" s="291"/>
      <c r="DZN45" s="291"/>
      <c r="DZO45" s="291"/>
      <c r="DZP45" s="291"/>
      <c r="DZQ45" s="291"/>
      <c r="DZR45" s="291"/>
      <c r="DZS45" s="291"/>
      <c r="DZT45" s="291"/>
      <c r="DZU45" s="291"/>
      <c r="DZV45" s="291"/>
      <c r="DZW45" s="291"/>
      <c r="DZX45" s="291"/>
      <c r="DZY45" s="291"/>
      <c r="DZZ45" s="291"/>
      <c r="EAA45" s="291"/>
      <c r="EAB45" s="291"/>
      <c r="EAC45" s="291"/>
      <c r="EAD45" s="291"/>
      <c r="EAE45" s="291"/>
      <c r="EAF45" s="291"/>
      <c r="EAG45" s="291"/>
      <c r="EAH45" s="291"/>
      <c r="EAI45" s="291"/>
      <c r="EAJ45" s="291"/>
      <c r="EAK45" s="291"/>
      <c r="EAL45" s="291"/>
      <c r="EAM45" s="291"/>
      <c r="EAN45" s="291"/>
      <c r="EAO45" s="291"/>
      <c r="EAP45" s="291"/>
      <c r="EAQ45" s="291"/>
      <c r="EAR45" s="291"/>
      <c r="EAS45" s="291"/>
      <c r="EAT45" s="291"/>
      <c r="EAU45" s="291"/>
      <c r="EAV45" s="291"/>
      <c r="EAW45" s="291"/>
      <c r="EAX45" s="291"/>
      <c r="EAY45" s="291"/>
      <c r="EAZ45" s="291"/>
      <c r="EBA45" s="291"/>
      <c r="EBB45" s="291"/>
      <c r="EBC45" s="291"/>
      <c r="EBD45" s="291"/>
      <c r="EBE45" s="291"/>
      <c r="EBF45" s="291"/>
      <c r="EBG45" s="291"/>
      <c r="EBH45" s="291"/>
      <c r="EBI45" s="291"/>
      <c r="EBJ45" s="291"/>
      <c r="EBK45" s="291"/>
      <c r="EBL45" s="291"/>
      <c r="EBM45" s="291"/>
      <c r="EBN45" s="291"/>
      <c r="EBO45" s="291"/>
      <c r="EBP45" s="291"/>
      <c r="EBQ45" s="291"/>
      <c r="EBR45" s="291"/>
      <c r="EBS45" s="291"/>
      <c r="EBT45" s="291"/>
      <c r="EBU45" s="291"/>
      <c r="EBV45" s="291"/>
      <c r="EBW45" s="291"/>
      <c r="EBX45" s="291"/>
      <c r="EBY45" s="291"/>
      <c r="EBZ45" s="291"/>
      <c r="ECA45" s="291"/>
      <c r="ECB45" s="291"/>
      <c r="ECC45" s="291"/>
      <c r="ECD45" s="291"/>
      <c r="ECE45" s="291"/>
      <c r="ECF45" s="291"/>
      <c r="ECG45" s="291"/>
      <c r="ECH45" s="291"/>
      <c r="ECI45" s="291"/>
      <c r="ECJ45" s="291"/>
      <c r="ECK45" s="291"/>
      <c r="ECL45" s="291"/>
      <c r="ECM45" s="291"/>
      <c r="ECN45" s="291"/>
      <c r="ECO45" s="291"/>
      <c r="ECP45" s="291"/>
      <c r="ECQ45" s="291"/>
      <c r="ECR45" s="291"/>
      <c r="ECS45" s="291"/>
      <c r="ECT45" s="291"/>
      <c r="ECU45" s="291"/>
      <c r="ECV45" s="291"/>
      <c r="ECW45" s="291"/>
      <c r="ECX45" s="291"/>
      <c r="ECY45" s="291"/>
      <c r="ECZ45" s="291"/>
      <c r="EDA45" s="291"/>
      <c r="EDB45" s="291"/>
      <c r="EDC45" s="291"/>
      <c r="EDD45" s="291"/>
      <c r="EDE45" s="291"/>
      <c r="EDF45" s="291"/>
      <c r="EDG45" s="291"/>
      <c r="EDH45" s="291"/>
      <c r="EDI45" s="291"/>
      <c r="EDJ45" s="291"/>
      <c r="EDK45" s="291"/>
      <c r="EDL45" s="291"/>
      <c r="EDM45" s="291"/>
      <c r="EDN45" s="291"/>
      <c r="EDO45" s="291"/>
      <c r="EDP45" s="291"/>
      <c r="EDQ45" s="291"/>
      <c r="EDR45" s="291"/>
      <c r="EDS45" s="291"/>
      <c r="EDT45" s="291"/>
      <c r="EDU45" s="291"/>
      <c r="EDV45" s="291"/>
      <c r="EDW45" s="291"/>
      <c r="EDX45" s="291"/>
      <c r="EDY45" s="291"/>
      <c r="EDZ45" s="291"/>
      <c r="EEA45" s="291"/>
      <c r="EEB45" s="291"/>
      <c r="EEC45" s="291"/>
      <c r="EED45" s="291"/>
      <c r="EEE45" s="291"/>
      <c r="EEF45" s="291"/>
      <c r="EEG45" s="291"/>
      <c r="EEH45" s="291"/>
      <c r="EEI45" s="291"/>
      <c r="EEJ45" s="291"/>
      <c r="EEK45" s="291"/>
      <c r="EEL45" s="291"/>
      <c r="EEM45" s="291"/>
      <c r="EEN45" s="291"/>
      <c r="EEO45" s="291"/>
      <c r="EEP45" s="291"/>
      <c r="EEQ45" s="291"/>
      <c r="EER45" s="291"/>
      <c r="EES45" s="291"/>
      <c r="EET45" s="291"/>
      <c r="EEU45" s="291"/>
      <c r="EEV45" s="291"/>
      <c r="EEW45" s="291"/>
      <c r="EEX45" s="291"/>
      <c r="EEY45" s="291"/>
      <c r="EEZ45" s="291"/>
      <c r="EFA45" s="291"/>
      <c r="EFB45" s="291"/>
      <c r="EFC45" s="291"/>
      <c r="EFD45" s="291"/>
      <c r="EFE45" s="291"/>
      <c r="EFF45" s="291"/>
      <c r="EFG45" s="291"/>
      <c r="EFH45" s="291"/>
      <c r="EFI45" s="291"/>
      <c r="EFJ45" s="291"/>
      <c r="EFK45" s="291"/>
      <c r="EFL45" s="291"/>
      <c r="EFM45" s="291"/>
      <c r="EFN45" s="291"/>
      <c r="EFO45" s="291"/>
      <c r="EFP45" s="291"/>
      <c r="EFQ45" s="291"/>
      <c r="EFR45" s="291"/>
      <c r="EFS45" s="291"/>
      <c r="EFT45" s="291"/>
      <c r="EFU45" s="291"/>
      <c r="EFV45" s="291"/>
      <c r="EFW45" s="291"/>
      <c r="EFX45" s="291"/>
      <c r="EFY45" s="291"/>
      <c r="EFZ45" s="291"/>
      <c r="EGA45" s="291"/>
      <c r="EGB45" s="291"/>
      <c r="EGC45" s="291"/>
      <c r="EGD45" s="291"/>
      <c r="EGE45" s="291"/>
      <c r="EGF45" s="291"/>
      <c r="EGG45" s="291"/>
      <c r="EGH45" s="291"/>
      <c r="EGI45" s="291"/>
      <c r="EGJ45" s="291"/>
      <c r="EGK45" s="291"/>
      <c r="EGL45" s="291"/>
      <c r="EGM45" s="291"/>
      <c r="EGN45" s="291"/>
      <c r="EGO45" s="291"/>
      <c r="EGP45" s="291"/>
      <c r="EGQ45" s="291"/>
      <c r="EGR45" s="291"/>
      <c r="EGS45" s="291"/>
      <c r="EGT45" s="291"/>
      <c r="EGU45" s="291"/>
      <c r="EGV45" s="291"/>
      <c r="EGW45" s="291"/>
      <c r="EGX45" s="291"/>
      <c r="EGY45" s="291"/>
      <c r="EGZ45" s="291"/>
      <c r="EHA45" s="291"/>
      <c r="EHB45" s="291"/>
      <c r="EHC45" s="291"/>
      <c r="EHD45" s="291"/>
      <c r="EHE45" s="291"/>
      <c r="EHF45" s="291"/>
      <c r="EHG45" s="291"/>
      <c r="EHH45" s="291"/>
      <c r="EHI45" s="291"/>
      <c r="EHJ45" s="291"/>
      <c r="EHK45" s="291"/>
      <c r="EHL45" s="291"/>
      <c r="EHM45" s="291"/>
      <c r="EHN45" s="291"/>
      <c r="EHO45" s="291"/>
      <c r="EHP45" s="291"/>
      <c r="EHQ45" s="291"/>
      <c r="EHR45" s="291"/>
      <c r="EHS45" s="291"/>
      <c r="EHT45" s="291"/>
      <c r="EHU45" s="291"/>
      <c r="EHV45" s="291"/>
      <c r="EHW45" s="291"/>
      <c r="EHX45" s="291"/>
      <c r="EHY45" s="291"/>
      <c r="EHZ45" s="291"/>
      <c r="EIA45" s="291"/>
      <c r="EIB45" s="291"/>
      <c r="EIC45" s="291"/>
      <c r="EID45" s="291"/>
      <c r="EIE45" s="291"/>
      <c r="EIF45" s="291"/>
      <c r="EIG45" s="291"/>
      <c r="EIH45" s="291"/>
      <c r="EII45" s="291"/>
      <c r="EIJ45" s="291"/>
      <c r="EIK45" s="291"/>
      <c r="EIL45" s="291"/>
      <c r="EIM45" s="291"/>
      <c r="EIN45" s="291"/>
      <c r="EIO45" s="291"/>
      <c r="EIP45" s="291"/>
      <c r="EIQ45" s="291"/>
      <c r="EIR45" s="291"/>
      <c r="EIS45" s="291"/>
      <c r="EIT45" s="291"/>
      <c r="EIU45" s="291"/>
      <c r="EIV45" s="291"/>
      <c r="EIW45" s="291"/>
      <c r="EIX45" s="291"/>
      <c r="EIY45" s="291"/>
      <c r="EIZ45" s="291"/>
      <c r="EJA45" s="291"/>
      <c r="EJB45" s="291"/>
      <c r="EJC45" s="291"/>
      <c r="EJD45" s="291"/>
      <c r="EJE45" s="291"/>
      <c r="EJF45" s="291"/>
      <c r="EJG45" s="291"/>
      <c r="EJH45" s="291"/>
      <c r="EJI45" s="291"/>
      <c r="EJJ45" s="291"/>
      <c r="EJK45" s="291"/>
      <c r="EJL45" s="291"/>
      <c r="EJM45" s="291"/>
      <c r="EJN45" s="291"/>
      <c r="EJO45" s="291"/>
      <c r="EJP45" s="291"/>
      <c r="EJQ45" s="291"/>
      <c r="EJR45" s="291"/>
      <c r="EJS45" s="291"/>
      <c r="EJT45" s="291"/>
      <c r="EJU45" s="291"/>
      <c r="EJV45" s="291"/>
      <c r="EJW45" s="291"/>
      <c r="EJX45" s="291"/>
      <c r="EJY45" s="291"/>
      <c r="EJZ45" s="291"/>
      <c r="EKA45" s="291"/>
      <c r="EKB45" s="291"/>
      <c r="EKC45" s="291"/>
      <c r="EKD45" s="291"/>
      <c r="EKE45" s="291"/>
      <c r="EKF45" s="291"/>
      <c r="EKG45" s="291"/>
      <c r="EKH45" s="291"/>
      <c r="EKI45" s="291"/>
      <c r="EKJ45" s="291"/>
      <c r="EKK45" s="291"/>
      <c r="EKL45" s="291"/>
      <c r="EKM45" s="291"/>
      <c r="EKN45" s="291"/>
      <c r="EKO45" s="291"/>
      <c r="EKP45" s="291"/>
      <c r="EKQ45" s="291"/>
      <c r="EKR45" s="291"/>
      <c r="EKS45" s="291"/>
      <c r="EKT45" s="291"/>
      <c r="EKU45" s="291"/>
      <c r="EKV45" s="291"/>
      <c r="EKW45" s="291"/>
      <c r="EKX45" s="291"/>
      <c r="EKY45" s="291"/>
      <c r="EKZ45" s="291"/>
      <c r="ELA45" s="291"/>
      <c r="ELB45" s="291"/>
      <c r="ELC45" s="291"/>
      <c r="ELD45" s="291"/>
      <c r="ELE45" s="291"/>
      <c r="ELF45" s="291"/>
      <c r="ELG45" s="291"/>
      <c r="ELH45" s="291"/>
      <c r="ELI45" s="291"/>
      <c r="ELJ45" s="291"/>
      <c r="ELK45" s="291"/>
      <c r="ELL45" s="291"/>
      <c r="ELM45" s="291"/>
      <c r="ELN45" s="291"/>
      <c r="ELO45" s="291"/>
      <c r="ELP45" s="291"/>
      <c r="ELQ45" s="291"/>
      <c r="ELR45" s="291"/>
      <c r="ELS45" s="291"/>
      <c r="ELT45" s="291"/>
      <c r="ELU45" s="291"/>
      <c r="ELV45" s="291"/>
      <c r="ELW45" s="291"/>
      <c r="ELX45" s="291"/>
      <c r="ELY45" s="291"/>
      <c r="ELZ45" s="291"/>
      <c r="EMA45" s="291"/>
      <c r="EMB45" s="291"/>
      <c r="EMC45" s="291"/>
      <c r="EMD45" s="291"/>
      <c r="EME45" s="291"/>
      <c r="EMF45" s="291"/>
      <c r="EMG45" s="291"/>
      <c r="EMH45" s="291"/>
      <c r="EMI45" s="291"/>
      <c r="EMJ45" s="291"/>
      <c r="EMK45" s="291"/>
      <c r="EML45" s="291"/>
      <c r="EMM45" s="291"/>
      <c r="EMN45" s="291"/>
      <c r="EMO45" s="291"/>
      <c r="EMP45" s="291"/>
      <c r="EMQ45" s="291"/>
      <c r="EMR45" s="291"/>
      <c r="EMS45" s="291"/>
      <c r="EMT45" s="291"/>
      <c r="EMU45" s="291"/>
      <c r="EMV45" s="291"/>
      <c r="EMW45" s="291"/>
      <c r="EMX45" s="291"/>
      <c r="EMY45" s="291"/>
      <c r="EMZ45" s="291"/>
      <c r="ENA45" s="291"/>
      <c r="ENB45" s="291"/>
      <c r="ENC45" s="291"/>
      <c r="END45" s="291"/>
      <c r="ENE45" s="291"/>
      <c r="ENF45" s="291"/>
      <c r="ENG45" s="291"/>
      <c r="ENH45" s="291"/>
      <c r="ENI45" s="291"/>
      <c r="ENJ45" s="291"/>
      <c r="ENK45" s="291"/>
      <c r="ENL45" s="291"/>
      <c r="ENM45" s="291"/>
      <c r="ENN45" s="291"/>
      <c r="ENO45" s="291"/>
      <c r="ENP45" s="291"/>
      <c r="ENQ45" s="291"/>
      <c r="ENR45" s="291"/>
      <c r="ENS45" s="291"/>
      <c r="ENT45" s="291"/>
      <c r="ENU45" s="291"/>
      <c r="ENV45" s="291"/>
      <c r="ENW45" s="291"/>
      <c r="ENX45" s="291"/>
      <c r="ENY45" s="291"/>
      <c r="ENZ45" s="291"/>
      <c r="EOA45" s="291"/>
      <c r="EOB45" s="291"/>
      <c r="EOC45" s="291"/>
      <c r="EOD45" s="291"/>
      <c r="EOE45" s="291"/>
      <c r="EOF45" s="291"/>
      <c r="EOG45" s="291"/>
      <c r="EOH45" s="291"/>
      <c r="EOI45" s="291"/>
      <c r="EOJ45" s="291"/>
      <c r="EOK45" s="291"/>
      <c r="EOL45" s="291"/>
      <c r="EOM45" s="291"/>
      <c r="EON45" s="291"/>
      <c r="EOO45" s="291"/>
      <c r="EOP45" s="291"/>
      <c r="EOQ45" s="291"/>
      <c r="EOR45" s="291"/>
      <c r="EOS45" s="291"/>
      <c r="EOT45" s="291"/>
      <c r="EOU45" s="291"/>
      <c r="EOV45" s="291"/>
      <c r="EOW45" s="291"/>
      <c r="EOX45" s="291"/>
      <c r="EOY45" s="291"/>
      <c r="EOZ45" s="291"/>
      <c r="EPA45" s="291"/>
      <c r="EPB45" s="291"/>
      <c r="EPC45" s="291"/>
      <c r="EPD45" s="291"/>
      <c r="EPE45" s="291"/>
      <c r="EPF45" s="291"/>
      <c r="EPG45" s="291"/>
      <c r="EPH45" s="291"/>
      <c r="EPI45" s="291"/>
      <c r="EPJ45" s="291"/>
      <c r="EPK45" s="291"/>
      <c r="EPL45" s="291"/>
      <c r="EPM45" s="291"/>
      <c r="EPN45" s="291"/>
      <c r="EPO45" s="291"/>
      <c r="EPP45" s="291"/>
      <c r="EPQ45" s="291"/>
      <c r="EPR45" s="291"/>
      <c r="EPS45" s="291"/>
      <c r="EPT45" s="291"/>
      <c r="EPU45" s="291"/>
      <c r="EPV45" s="291"/>
      <c r="EPW45" s="291"/>
      <c r="EPX45" s="291"/>
      <c r="EPY45" s="291"/>
      <c r="EPZ45" s="291"/>
      <c r="EQA45" s="291"/>
      <c r="EQB45" s="291"/>
      <c r="EQC45" s="291"/>
      <c r="EQD45" s="291"/>
      <c r="EQE45" s="291"/>
      <c r="EQF45" s="291"/>
      <c r="EQG45" s="291"/>
      <c r="EQH45" s="291"/>
      <c r="EQI45" s="291"/>
      <c r="EQJ45" s="291"/>
      <c r="EQK45" s="291"/>
      <c r="EQL45" s="291"/>
      <c r="EQM45" s="291"/>
      <c r="EQN45" s="291"/>
      <c r="EQO45" s="291"/>
      <c r="EQP45" s="291"/>
      <c r="EQQ45" s="291"/>
      <c r="EQR45" s="291"/>
      <c r="EQS45" s="291"/>
      <c r="EQT45" s="291"/>
      <c r="EQU45" s="291"/>
      <c r="EQV45" s="291"/>
      <c r="EQW45" s="291"/>
      <c r="EQX45" s="291"/>
      <c r="EQY45" s="291"/>
      <c r="EQZ45" s="291"/>
      <c r="ERA45" s="291"/>
      <c r="ERB45" s="291"/>
      <c r="ERC45" s="291"/>
      <c r="ERD45" s="291"/>
      <c r="ERE45" s="291"/>
      <c r="ERF45" s="291"/>
      <c r="ERG45" s="291"/>
      <c r="ERH45" s="291"/>
      <c r="ERI45" s="291"/>
      <c r="ERJ45" s="291"/>
      <c r="ERK45" s="291"/>
      <c r="ERL45" s="291"/>
      <c r="ERM45" s="291"/>
      <c r="ERN45" s="291"/>
      <c r="ERO45" s="291"/>
      <c r="ERP45" s="291"/>
      <c r="ERQ45" s="291"/>
      <c r="ERR45" s="291"/>
      <c r="ERS45" s="291"/>
      <c r="ERT45" s="291"/>
      <c r="ERU45" s="291"/>
      <c r="ERV45" s="291"/>
      <c r="ERW45" s="291"/>
      <c r="ERX45" s="291"/>
      <c r="ERY45" s="291"/>
      <c r="ERZ45" s="291"/>
      <c r="ESA45" s="291"/>
      <c r="ESB45" s="291"/>
      <c r="ESC45" s="291"/>
      <c r="ESD45" s="291"/>
      <c r="ESE45" s="291"/>
      <c r="ESF45" s="291"/>
      <c r="ESG45" s="291"/>
      <c r="ESH45" s="291"/>
      <c r="ESI45" s="291"/>
      <c r="ESJ45" s="291"/>
      <c r="ESK45" s="291"/>
      <c r="ESL45" s="291"/>
      <c r="ESM45" s="291"/>
      <c r="ESN45" s="291"/>
      <c r="ESO45" s="291"/>
      <c r="ESP45" s="291"/>
      <c r="ESQ45" s="291"/>
      <c r="ESR45" s="291"/>
      <c r="ESS45" s="291"/>
      <c r="EST45" s="291"/>
      <c r="ESU45" s="291"/>
      <c r="ESV45" s="291"/>
      <c r="ESW45" s="291"/>
      <c r="ESX45" s="291"/>
      <c r="ESY45" s="291"/>
      <c r="ESZ45" s="291"/>
      <c r="ETA45" s="291"/>
      <c r="ETB45" s="291"/>
      <c r="ETC45" s="291"/>
      <c r="ETD45" s="291"/>
      <c r="ETE45" s="291"/>
      <c r="ETF45" s="291"/>
      <c r="ETG45" s="291"/>
      <c r="ETH45" s="291"/>
      <c r="ETI45" s="291"/>
      <c r="ETJ45" s="291"/>
      <c r="ETK45" s="291"/>
      <c r="ETL45" s="291"/>
      <c r="ETM45" s="291"/>
      <c r="ETN45" s="291"/>
      <c r="ETO45" s="291"/>
      <c r="ETP45" s="291"/>
      <c r="ETQ45" s="291"/>
      <c r="ETR45" s="291"/>
      <c r="ETS45" s="291"/>
      <c r="ETT45" s="291"/>
      <c r="ETU45" s="291"/>
      <c r="ETV45" s="291"/>
      <c r="ETW45" s="291"/>
      <c r="ETX45" s="291"/>
      <c r="ETY45" s="291"/>
      <c r="ETZ45" s="291"/>
      <c r="EUA45" s="291"/>
      <c r="EUB45" s="291"/>
      <c r="EUC45" s="291"/>
      <c r="EUD45" s="291"/>
      <c r="EUE45" s="291"/>
      <c r="EUF45" s="291"/>
      <c r="EUG45" s="291"/>
      <c r="EUH45" s="291"/>
      <c r="EUI45" s="291"/>
      <c r="EUJ45" s="291"/>
      <c r="EUK45" s="291"/>
      <c r="EUL45" s="291"/>
      <c r="EUM45" s="291"/>
      <c r="EUN45" s="291"/>
      <c r="EUO45" s="291"/>
      <c r="EUP45" s="291"/>
      <c r="EUQ45" s="291"/>
      <c r="EUR45" s="291"/>
      <c r="EUS45" s="291"/>
      <c r="EUT45" s="291"/>
      <c r="EUU45" s="291"/>
      <c r="EUV45" s="291"/>
      <c r="EUW45" s="291"/>
      <c r="EUX45" s="291"/>
      <c r="EUY45" s="291"/>
      <c r="EUZ45" s="291"/>
      <c r="EVA45" s="291"/>
      <c r="EVB45" s="291"/>
      <c r="EVC45" s="291"/>
      <c r="EVD45" s="291"/>
      <c r="EVE45" s="291"/>
      <c r="EVF45" s="291"/>
      <c r="EVG45" s="291"/>
      <c r="EVH45" s="291"/>
      <c r="EVI45" s="291"/>
      <c r="EVJ45" s="291"/>
      <c r="EVK45" s="291"/>
      <c r="EVL45" s="291"/>
      <c r="EVM45" s="291"/>
      <c r="EVN45" s="291"/>
      <c r="EVO45" s="291"/>
      <c r="EVP45" s="291"/>
      <c r="EVQ45" s="291"/>
      <c r="EVR45" s="291"/>
      <c r="EVS45" s="291"/>
      <c r="EVT45" s="291"/>
      <c r="EVU45" s="291"/>
      <c r="EVV45" s="291"/>
      <c r="EVW45" s="291"/>
      <c r="EVX45" s="291"/>
      <c r="EVY45" s="291"/>
      <c r="EVZ45" s="291"/>
      <c r="EWA45" s="291"/>
      <c r="EWB45" s="291"/>
      <c r="EWC45" s="291"/>
      <c r="EWD45" s="291"/>
      <c r="EWE45" s="291"/>
      <c r="EWF45" s="291"/>
      <c r="EWG45" s="291"/>
      <c r="EWH45" s="291"/>
      <c r="EWI45" s="291"/>
      <c r="EWJ45" s="291"/>
      <c r="EWK45" s="291"/>
      <c r="EWL45" s="291"/>
      <c r="EWM45" s="291"/>
      <c r="EWN45" s="291"/>
      <c r="EWO45" s="291"/>
      <c r="EWP45" s="291"/>
      <c r="EWQ45" s="291"/>
      <c r="EWR45" s="291"/>
      <c r="EWS45" s="291"/>
      <c r="EWT45" s="291"/>
      <c r="EWU45" s="291"/>
      <c r="EWV45" s="291"/>
      <c r="EWW45" s="291"/>
      <c r="EWX45" s="291"/>
      <c r="EWY45" s="291"/>
      <c r="EWZ45" s="291"/>
      <c r="EXA45" s="291"/>
      <c r="EXB45" s="291"/>
      <c r="EXC45" s="291"/>
      <c r="EXD45" s="291"/>
      <c r="EXE45" s="291"/>
      <c r="EXF45" s="291"/>
      <c r="EXG45" s="291"/>
      <c r="EXH45" s="291"/>
      <c r="EXI45" s="291"/>
      <c r="EXJ45" s="291"/>
      <c r="EXK45" s="291"/>
      <c r="EXL45" s="291"/>
      <c r="EXM45" s="291"/>
      <c r="EXN45" s="291"/>
      <c r="EXO45" s="291"/>
      <c r="EXP45" s="291"/>
      <c r="EXQ45" s="291"/>
      <c r="EXR45" s="291"/>
      <c r="EXS45" s="291"/>
      <c r="EXT45" s="291"/>
      <c r="EXU45" s="291"/>
      <c r="EXV45" s="291"/>
      <c r="EXW45" s="291"/>
      <c r="EXX45" s="291"/>
      <c r="EXY45" s="291"/>
      <c r="EXZ45" s="291"/>
      <c r="EYA45" s="291"/>
      <c r="EYB45" s="291"/>
      <c r="EYC45" s="291"/>
      <c r="EYD45" s="291"/>
      <c r="EYE45" s="291"/>
      <c r="EYF45" s="291"/>
      <c r="EYG45" s="291"/>
      <c r="EYH45" s="291"/>
      <c r="EYI45" s="291"/>
      <c r="EYJ45" s="291"/>
      <c r="EYK45" s="291"/>
      <c r="EYL45" s="291"/>
      <c r="EYM45" s="291"/>
      <c r="EYN45" s="291"/>
      <c r="EYO45" s="291"/>
      <c r="EYP45" s="291"/>
      <c r="EYQ45" s="291"/>
      <c r="EYR45" s="291"/>
      <c r="EYS45" s="291"/>
      <c r="EYT45" s="291"/>
      <c r="EYU45" s="291"/>
      <c r="EYV45" s="291"/>
      <c r="EYW45" s="291"/>
      <c r="EYX45" s="291"/>
      <c r="EYY45" s="291"/>
      <c r="EYZ45" s="291"/>
      <c r="EZA45" s="291"/>
      <c r="EZB45" s="291"/>
      <c r="EZC45" s="291"/>
      <c r="EZD45" s="291"/>
      <c r="EZE45" s="291"/>
      <c r="EZF45" s="291"/>
      <c r="EZG45" s="291"/>
      <c r="EZH45" s="291"/>
      <c r="EZI45" s="291"/>
      <c r="EZJ45" s="291"/>
      <c r="EZK45" s="291"/>
      <c r="EZL45" s="291"/>
      <c r="EZM45" s="291"/>
      <c r="EZN45" s="291"/>
      <c r="EZO45" s="291"/>
      <c r="EZP45" s="291"/>
      <c r="EZQ45" s="291"/>
      <c r="EZR45" s="291"/>
      <c r="EZS45" s="291"/>
      <c r="EZT45" s="291"/>
      <c r="EZU45" s="291"/>
      <c r="EZV45" s="291"/>
      <c r="EZW45" s="291"/>
      <c r="EZX45" s="291"/>
      <c r="EZY45" s="291"/>
      <c r="EZZ45" s="291"/>
      <c r="FAA45" s="291"/>
      <c r="FAB45" s="291"/>
      <c r="FAC45" s="291"/>
      <c r="FAD45" s="291"/>
      <c r="FAE45" s="291"/>
      <c r="FAF45" s="291"/>
      <c r="FAG45" s="291"/>
      <c r="FAH45" s="291"/>
      <c r="FAI45" s="291"/>
      <c r="FAJ45" s="291"/>
      <c r="FAK45" s="291"/>
      <c r="FAL45" s="291"/>
      <c r="FAM45" s="291"/>
      <c r="FAN45" s="291"/>
      <c r="FAO45" s="291"/>
      <c r="FAP45" s="291"/>
      <c r="FAQ45" s="291"/>
      <c r="FAR45" s="291"/>
      <c r="FAS45" s="291"/>
      <c r="FAT45" s="291"/>
      <c r="FAU45" s="291"/>
      <c r="FAV45" s="291"/>
      <c r="FAW45" s="291"/>
      <c r="FAX45" s="291"/>
      <c r="FAY45" s="291"/>
      <c r="FAZ45" s="291"/>
      <c r="FBA45" s="291"/>
      <c r="FBB45" s="291"/>
      <c r="FBC45" s="291"/>
      <c r="FBD45" s="291"/>
      <c r="FBE45" s="291"/>
      <c r="FBF45" s="291"/>
      <c r="FBG45" s="291"/>
      <c r="FBH45" s="291"/>
      <c r="FBI45" s="291"/>
      <c r="FBJ45" s="291"/>
      <c r="FBK45" s="291"/>
      <c r="FBL45" s="291"/>
      <c r="FBM45" s="291"/>
      <c r="FBN45" s="291"/>
      <c r="FBO45" s="291"/>
      <c r="FBP45" s="291"/>
      <c r="FBQ45" s="291"/>
      <c r="FBR45" s="291"/>
      <c r="FBS45" s="291"/>
      <c r="FBT45" s="291"/>
      <c r="FBU45" s="291"/>
      <c r="FBV45" s="291"/>
      <c r="FBW45" s="291"/>
      <c r="FBX45" s="291"/>
      <c r="FBY45" s="291"/>
      <c r="FBZ45" s="291"/>
      <c r="FCA45" s="291"/>
      <c r="FCB45" s="291"/>
      <c r="FCC45" s="291"/>
      <c r="FCD45" s="291"/>
      <c r="FCE45" s="291"/>
      <c r="FCF45" s="291"/>
      <c r="FCG45" s="291"/>
      <c r="FCH45" s="291"/>
      <c r="FCI45" s="291"/>
      <c r="FCJ45" s="291"/>
      <c r="FCK45" s="291"/>
      <c r="FCL45" s="291"/>
      <c r="FCM45" s="291"/>
      <c r="FCN45" s="291"/>
      <c r="FCO45" s="291"/>
      <c r="FCP45" s="291"/>
      <c r="FCQ45" s="291"/>
      <c r="FCR45" s="291"/>
      <c r="FCS45" s="291"/>
      <c r="FCT45" s="291"/>
      <c r="FCU45" s="291"/>
      <c r="FCV45" s="291"/>
      <c r="FCW45" s="291"/>
      <c r="FCX45" s="291"/>
      <c r="FCY45" s="291"/>
      <c r="FCZ45" s="291"/>
      <c r="FDA45" s="291"/>
      <c r="FDB45" s="291"/>
      <c r="FDC45" s="291"/>
      <c r="FDD45" s="291"/>
      <c r="FDE45" s="291"/>
      <c r="FDF45" s="291"/>
      <c r="FDG45" s="291"/>
      <c r="FDH45" s="291"/>
      <c r="FDI45" s="291"/>
      <c r="FDJ45" s="291"/>
      <c r="FDK45" s="291"/>
      <c r="FDL45" s="291"/>
      <c r="FDM45" s="291"/>
      <c r="FDN45" s="291"/>
      <c r="FDO45" s="291"/>
      <c r="FDP45" s="291"/>
      <c r="FDQ45" s="291"/>
      <c r="FDR45" s="291"/>
      <c r="FDS45" s="291"/>
      <c r="FDT45" s="291"/>
      <c r="FDU45" s="291"/>
      <c r="FDV45" s="291"/>
      <c r="FDW45" s="291"/>
      <c r="FDX45" s="291"/>
      <c r="FDY45" s="291"/>
      <c r="FDZ45" s="291"/>
      <c r="FEA45" s="291"/>
      <c r="FEB45" s="291"/>
      <c r="FEC45" s="291"/>
      <c r="FED45" s="291"/>
      <c r="FEE45" s="291"/>
      <c r="FEF45" s="291"/>
      <c r="FEG45" s="291"/>
      <c r="FEH45" s="291"/>
      <c r="FEI45" s="291"/>
      <c r="FEJ45" s="291"/>
      <c r="FEK45" s="291"/>
      <c r="FEL45" s="291"/>
      <c r="FEM45" s="291"/>
      <c r="FEN45" s="291"/>
      <c r="FEO45" s="291"/>
      <c r="FEP45" s="291"/>
      <c r="FEQ45" s="291"/>
      <c r="FER45" s="291"/>
      <c r="FES45" s="291"/>
      <c r="FET45" s="291"/>
      <c r="FEU45" s="291"/>
      <c r="FEV45" s="291"/>
      <c r="FEW45" s="291"/>
      <c r="FEX45" s="291"/>
      <c r="FEY45" s="291"/>
      <c r="FEZ45" s="291"/>
      <c r="FFA45" s="291"/>
      <c r="FFB45" s="291"/>
      <c r="FFC45" s="291"/>
      <c r="FFD45" s="291"/>
      <c r="FFE45" s="291"/>
      <c r="FFF45" s="291"/>
      <c r="FFG45" s="291"/>
      <c r="FFH45" s="291"/>
      <c r="FFI45" s="291"/>
      <c r="FFJ45" s="291"/>
      <c r="FFK45" s="291"/>
      <c r="FFL45" s="291"/>
      <c r="FFM45" s="291"/>
      <c r="FFN45" s="291"/>
      <c r="FFO45" s="291"/>
      <c r="FFP45" s="291"/>
      <c r="FFQ45" s="291"/>
      <c r="FFR45" s="291"/>
      <c r="FFS45" s="291"/>
      <c r="FFT45" s="291"/>
      <c r="FFU45" s="291"/>
      <c r="FFV45" s="291"/>
      <c r="FFW45" s="291"/>
      <c r="FFX45" s="291"/>
      <c r="FFY45" s="291"/>
      <c r="FFZ45" s="291"/>
      <c r="FGA45" s="291"/>
      <c r="FGB45" s="291"/>
      <c r="FGC45" s="291"/>
      <c r="FGD45" s="291"/>
      <c r="FGE45" s="291"/>
      <c r="FGF45" s="291"/>
      <c r="FGG45" s="291"/>
      <c r="FGH45" s="291"/>
      <c r="FGI45" s="291"/>
      <c r="FGJ45" s="291"/>
      <c r="FGK45" s="291"/>
      <c r="FGL45" s="291"/>
      <c r="FGM45" s="291"/>
      <c r="FGN45" s="291"/>
      <c r="FGO45" s="291"/>
      <c r="FGP45" s="291"/>
      <c r="FGQ45" s="291"/>
      <c r="FGR45" s="291"/>
      <c r="FGS45" s="291"/>
      <c r="FGT45" s="291"/>
      <c r="FGU45" s="291"/>
      <c r="FGV45" s="291"/>
      <c r="FGW45" s="291"/>
      <c r="FGX45" s="291"/>
      <c r="FGY45" s="291"/>
      <c r="FGZ45" s="291"/>
      <c r="FHA45" s="291"/>
      <c r="FHB45" s="291"/>
      <c r="FHC45" s="291"/>
      <c r="FHD45" s="291"/>
      <c r="FHE45" s="291"/>
      <c r="FHF45" s="291"/>
      <c r="FHG45" s="291"/>
      <c r="FHH45" s="291"/>
      <c r="FHI45" s="291"/>
      <c r="FHJ45" s="291"/>
      <c r="FHK45" s="291"/>
      <c r="FHL45" s="291"/>
      <c r="FHM45" s="291"/>
      <c r="FHN45" s="291"/>
      <c r="FHO45" s="291"/>
      <c r="FHP45" s="291"/>
      <c r="FHQ45" s="291"/>
      <c r="FHR45" s="291"/>
      <c r="FHS45" s="291"/>
      <c r="FHT45" s="291"/>
      <c r="FHU45" s="291"/>
      <c r="FHV45" s="291"/>
      <c r="FHW45" s="291"/>
      <c r="FHX45" s="291"/>
      <c r="FHY45" s="291"/>
      <c r="FHZ45" s="291"/>
      <c r="FIA45" s="291"/>
      <c r="FIB45" s="291"/>
      <c r="FIC45" s="291"/>
      <c r="FID45" s="291"/>
      <c r="FIE45" s="291"/>
      <c r="FIF45" s="291"/>
      <c r="FIG45" s="291"/>
      <c r="FIH45" s="291"/>
      <c r="FII45" s="291"/>
      <c r="FIJ45" s="291"/>
      <c r="FIK45" s="291"/>
      <c r="FIL45" s="291"/>
      <c r="FIM45" s="291"/>
      <c r="FIN45" s="291"/>
      <c r="FIO45" s="291"/>
      <c r="FIP45" s="291"/>
      <c r="FIQ45" s="291"/>
      <c r="FIR45" s="291"/>
      <c r="FIS45" s="291"/>
      <c r="FIT45" s="291"/>
      <c r="FIU45" s="291"/>
      <c r="FIV45" s="291"/>
      <c r="FIW45" s="291"/>
      <c r="FIX45" s="291"/>
      <c r="FIY45" s="291"/>
      <c r="FIZ45" s="291"/>
      <c r="FJA45" s="291"/>
      <c r="FJB45" s="291"/>
      <c r="FJC45" s="291"/>
      <c r="FJD45" s="291"/>
      <c r="FJE45" s="291"/>
      <c r="FJF45" s="291"/>
      <c r="FJG45" s="291"/>
      <c r="FJH45" s="291"/>
      <c r="FJI45" s="291"/>
      <c r="FJJ45" s="291"/>
      <c r="FJK45" s="291"/>
      <c r="FJL45" s="291"/>
      <c r="FJM45" s="291"/>
      <c r="FJN45" s="291"/>
      <c r="FJO45" s="291"/>
      <c r="FJP45" s="291"/>
      <c r="FJQ45" s="291"/>
      <c r="FJR45" s="291"/>
      <c r="FJS45" s="291"/>
      <c r="FJT45" s="291"/>
      <c r="FJU45" s="291"/>
      <c r="FJV45" s="291"/>
      <c r="FJW45" s="291"/>
      <c r="FJX45" s="291"/>
      <c r="FJY45" s="291"/>
      <c r="FJZ45" s="291"/>
      <c r="FKA45" s="291"/>
      <c r="FKB45" s="291"/>
      <c r="FKC45" s="291"/>
      <c r="FKD45" s="291"/>
      <c r="FKE45" s="291"/>
      <c r="FKF45" s="291"/>
      <c r="FKG45" s="291"/>
      <c r="FKH45" s="291"/>
      <c r="FKI45" s="291"/>
      <c r="FKJ45" s="291"/>
      <c r="FKK45" s="291"/>
      <c r="FKL45" s="291"/>
      <c r="FKM45" s="291"/>
      <c r="FKN45" s="291"/>
      <c r="FKO45" s="291"/>
      <c r="FKP45" s="291"/>
      <c r="FKQ45" s="291"/>
      <c r="FKR45" s="291"/>
      <c r="FKS45" s="291"/>
      <c r="FKT45" s="291"/>
      <c r="FKU45" s="291"/>
      <c r="FKV45" s="291"/>
      <c r="FKW45" s="291"/>
      <c r="FKX45" s="291"/>
      <c r="FKY45" s="291"/>
      <c r="FKZ45" s="291"/>
      <c r="FLA45" s="291"/>
      <c r="FLB45" s="291"/>
      <c r="FLC45" s="291"/>
      <c r="FLD45" s="291"/>
      <c r="FLE45" s="291"/>
      <c r="FLF45" s="291"/>
      <c r="FLG45" s="291"/>
      <c r="FLH45" s="291"/>
      <c r="FLI45" s="291"/>
      <c r="FLJ45" s="291"/>
      <c r="FLK45" s="291"/>
      <c r="FLL45" s="291"/>
      <c r="FLM45" s="291"/>
      <c r="FLN45" s="291"/>
      <c r="FLO45" s="291"/>
      <c r="FLP45" s="291"/>
      <c r="FLQ45" s="291"/>
      <c r="FLR45" s="291"/>
      <c r="FLS45" s="291"/>
      <c r="FLT45" s="291"/>
      <c r="FLU45" s="291"/>
      <c r="FLV45" s="291"/>
      <c r="FLW45" s="291"/>
      <c r="FLX45" s="291"/>
      <c r="FLY45" s="291"/>
      <c r="FLZ45" s="291"/>
      <c r="FMA45" s="291"/>
      <c r="FMB45" s="291"/>
      <c r="FMC45" s="291"/>
      <c r="FMD45" s="291"/>
      <c r="FME45" s="291"/>
      <c r="FMF45" s="291"/>
      <c r="FMG45" s="291"/>
      <c r="FMH45" s="291"/>
      <c r="FMI45" s="291"/>
      <c r="FMJ45" s="291"/>
      <c r="FMK45" s="291"/>
      <c r="FML45" s="291"/>
      <c r="FMM45" s="291"/>
      <c r="FMN45" s="291"/>
      <c r="FMO45" s="291"/>
      <c r="FMP45" s="291"/>
      <c r="FMQ45" s="291"/>
      <c r="FMR45" s="291"/>
      <c r="FMS45" s="291"/>
      <c r="FMT45" s="291"/>
      <c r="FMU45" s="291"/>
      <c r="FMV45" s="291"/>
      <c r="FMW45" s="291"/>
      <c r="FMX45" s="291"/>
      <c r="FMY45" s="291"/>
      <c r="FMZ45" s="291"/>
      <c r="FNA45" s="291"/>
      <c r="FNB45" s="291"/>
      <c r="FNC45" s="291"/>
      <c r="FND45" s="291"/>
      <c r="FNE45" s="291"/>
      <c r="FNF45" s="291"/>
      <c r="FNG45" s="291"/>
      <c r="FNH45" s="291"/>
      <c r="FNI45" s="291"/>
      <c r="FNJ45" s="291"/>
      <c r="FNK45" s="291"/>
      <c r="FNL45" s="291"/>
      <c r="FNM45" s="291"/>
      <c r="FNN45" s="291"/>
      <c r="FNO45" s="291"/>
      <c r="FNP45" s="291"/>
      <c r="FNQ45" s="291"/>
      <c r="FNR45" s="291"/>
      <c r="FNS45" s="291"/>
      <c r="FNT45" s="291"/>
      <c r="FNU45" s="291"/>
      <c r="FNV45" s="291"/>
      <c r="FNW45" s="291"/>
      <c r="FNX45" s="291"/>
      <c r="FNY45" s="291"/>
      <c r="FNZ45" s="291"/>
      <c r="FOA45" s="291"/>
      <c r="FOB45" s="291"/>
      <c r="FOC45" s="291"/>
      <c r="FOD45" s="291"/>
      <c r="FOE45" s="291"/>
      <c r="FOF45" s="291"/>
      <c r="FOG45" s="291"/>
      <c r="FOH45" s="291"/>
      <c r="FOI45" s="291"/>
      <c r="FOJ45" s="291"/>
      <c r="FOK45" s="291"/>
      <c r="FOL45" s="291"/>
      <c r="FOM45" s="291"/>
      <c r="FON45" s="291"/>
      <c r="FOO45" s="291"/>
      <c r="FOP45" s="291"/>
      <c r="FOQ45" s="291"/>
      <c r="FOR45" s="291"/>
      <c r="FOS45" s="291"/>
      <c r="FOT45" s="291"/>
      <c r="FOU45" s="291"/>
      <c r="FOV45" s="291"/>
      <c r="FOW45" s="291"/>
      <c r="FOX45" s="291"/>
      <c r="FOY45" s="291"/>
      <c r="FOZ45" s="291"/>
      <c r="FPA45" s="291"/>
      <c r="FPB45" s="291"/>
      <c r="FPC45" s="291"/>
      <c r="FPD45" s="291"/>
      <c r="FPE45" s="291"/>
      <c r="FPF45" s="291"/>
      <c r="FPG45" s="291"/>
      <c r="FPH45" s="291"/>
      <c r="FPI45" s="291"/>
      <c r="FPJ45" s="291"/>
      <c r="FPK45" s="291"/>
      <c r="FPL45" s="291"/>
      <c r="FPM45" s="291"/>
      <c r="FPN45" s="291"/>
      <c r="FPO45" s="291"/>
      <c r="FPP45" s="291"/>
      <c r="FPQ45" s="291"/>
      <c r="FPR45" s="291"/>
      <c r="FPS45" s="291"/>
      <c r="FPT45" s="291"/>
      <c r="FPU45" s="291"/>
      <c r="FPV45" s="291"/>
      <c r="FPW45" s="291"/>
      <c r="FPX45" s="291"/>
      <c r="FPY45" s="291"/>
      <c r="FPZ45" s="291"/>
      <c r="FQA45" s="291"/>
      <c r="FQB45" s="291"/>
      <c r="FQC45" s="291"/>
      <c r="FQD45" s="291"/>
      <c r="FQE45" s="291"/>
      <c r="FQF45" s="291"/>
      <c r="FQG45" s="291"/>
      <c r="FQH45" s="291"/>
      <c r="FQI45" s="291"/>
      <c r="FQJ45" s="291"/>
      <c r="FQK45" s="291"/>
      <c r="FQL45" s="291"/>
      <c r="FQM45" s="291"/>
      <c r="FQN45" s="291"/>
      <c r="FQO45" s="291"/>
      <c r="FQP45" s="291"/>
      <c r="FQQ45" s="291"/>
      <c r="FQR45" s="291"/>
      <c r="FQS45" s="291"/>
      <c r="FQT45" s="291"/>
      <c r="FQU45" s="291"/>
      <c r="FQV45" s="291"/>
      <c r="FQW45" s="291"/>
      <c r="FQX45" s="291"/>
      <c r="FQY45" s="291"/>
      <c r="FQZ45" s="291"/>
      <c r="FRA45" s="291"/>
      <c r="FRB45" s="291"/>
      <c r="FRC45" s="291"/>
      <c r="FRD45" s="291"/>
      <c r="FRE45" s="291"/>
      <c r="FRF45" s="291"/>
      <c r="FRG45" s="291"/>
      <c r="FRH45" s="291"/>
      <c r="FRI45" s="291"/>
      <c r="FRJ45" s="291"/>
      <c r="FRK45" s="291"/>
      <c r="FRL45" s="291"/>
      <c r="FRM45" s="291"/>
      <c r="FRN45" s="291"/>
      <c r="FRO45" s="291"/>
      <c r="FRP45" s="291"/>
      <c r="FRQ45" s="291"/>
      <c r="FRR45" s="291"/>
      <c r="FRS45" s="291"/>
      <c r="FRT45" s="291"/>
      <c r="FRU45" s="291"/>
      <c r="FRV45" s="291"/>
      <c r="FRW45" s="291"/>
      <c r="FRX45" s="291"/>
      <c r="FRY45" s="291"/>
      <c r="FRZ45" s="291"/>
      <c r="FSA45" s="291"/>
      <c r="FSB45" s="291"/>
      <c r="FSC45" s="291"/>
      <c r="FSD45" s="291"/>
      <c r="FSE45" s="291"/>
      <c r="FSF45" s="291"/>
      <c r="FSG45" s="291"/>
      <c r="FSH45" s="291"/>
      <c r="FSI45" s="291"/>
      <c r="FSJ45" s="291"/>
      <c r="FSK45" s="291"/>
      <c r="FSL45" s="291"/>
      <c r="FSM45" s="291"/>
      <c r="FSN45" s="291"/>
      <c r="FSO45" s="291"/>
      <c r="FSP45" s="291"/>
      <c r="FSQ45" s="291"/>
      <c r="FSR45" s="291"/>
      <c r="FSS45" s="291"/>
      <c r="FST45" s="291"/>
      <c r="FSU45" s="291"/>
      <c r="FSV45" s="291"/>
      <c r="FSW45" s="291"/>
      <c r="FSX45" s="291"/>
      <c r="FSY45" s="291"/>
      <c r="FSZ45" s="291"/>
      <c r="FTA45" s="291"/>
      <c r="FTB45" s="291"/>
      <c r="FTC45" s="291"/>
      <c r="FTD45" s="291"/>
      <c r="FTE45" s="291"/>
      <c r="FTF45" s="291"/>
      <c r="FTG45" s="291"/>
      <c r="FTH45" s="291"/>
      <c r="FTI45" s="291"/>
      <c r="FTJ45" s="291"/>
      <c r="FTK45" s="291"/>
      <c r="FTL45" s="291"/>
      <c r="FTM45" s="291"/>
      <c r="FTN45" s="291"/>
      <c r="FTO45" s="291"/>
      <c r="FTP45" s="291"/>
      <c r="FTQ45" s="291"/>
      <c r="FTR45" s="291"/>
      <c r="FTS45" s="291"/>
      <c r="FTT45" s="291"/>
      <c r="FTU45" s="291"/>
      <c r="FTV45" s="291"/>
      <c r="FTW45" s="291"/>
      <c r="FTX45" s="291"/>
      <c r="FTY45" s="291"/>
      <c r="FTZ45" s="291"/>
      <c r="FUA45" s="291"/>
      <c r="FUB45" s="291"/>
      <c r="FUC45" s="291"/>
      <c r="FUD45" s="291"/>
      <c r="FUE45" s="291"/>
      <c r="FUF45" s="291"/>
      <c r="FUG45" s="291"/>
      <c r="FUH45" s="291"/>
      <c r="FUI45" s="291"/>
      <c r="FUJ45" s="291"/>
      <c r="FUK45" s="291"/>
      <c r="FUL45" s="291"/>
      <c r="FUM45" s="291"/>
      <c r="FUN45" s="291"/>
      <c r="FUO45" s="291"/>
      <c r="FUP45" s="291"/>
      <c r="FUQ45" s="291"/>
      <c r="FUR45" s="291"/>
      <c r="FUS45" s="291"/>
      <c r="FUT45" s="291"/>
      <c r="FUU45" s="291"/>
      <c r="FUV45" s="291"/>
      <c r="FUW45" s="291"/>
      <c r="FUX45" s="291"/>
      <c r="FUY45" s="291"/>
      <c r="FUZ45" s="291"/>
      <c r="FVA45" s="291"/>
      <c r="FVB45" s="291"/>
      <c r="FVC45" s="291"/>
      <c r="FVD45" s="291"/>
      <c r="FVE45" s="291"/>
      <c r="FVF45" s="291"/>
      <c r="FVG45" s="291"/>
      <c r="FVH45" s="291"/>
      <c r="FVI45" s="291"/>
      <c r="FVJ45" s="291"/>
      <c r="FVK45" s="291"/>
      <c r="FVL45" s="291"/>
      <c r="FVM45" s="291"/>
      <c r="FVN45" s="291"/>
      <c r="FVO45" s="291"/>
      <c r="FVP45" s="291"/>
      <c r="FVQ45" s="291"/>
      <c r="FVR45" s="291"/>
      <c r="FVS45" s="291"/>
      <c r="FVT45" s="291"/>
      <c r="FVU45" s="291"/>
      <c r="FVV45" s="291"/>
      <c r="FVW45" s="291"/>
      <c r="FVX45" s="291"/>
      <c r="FVY45" s="291"/>
      <c r="FVZ45" s="291"/>
      <c r="FWA45" s="291"/>
      <c r="FWB45" s="291"/>
      <c r="FWC45" s="291"/>
      <c r="FWD45" s="291"/>
      <c r="FWE45" s="291"/>
      <c r="FWF45" s="291"/>
      <c r="FWG45" s="291"/>
      <c r="FWH45" s="291"/>
      <c r="FWI45" s="291"/>
      <c r="FWJ45" s="291"/>
      <c r="FWK45" s="291"/>
      <c r="FWL45" s="291"/>
      <c r="FWM45" s="291"/>
      <c r="FWN45" s="291"/>
      <c r="FWO45" s="291"/>
      <c r="FWP45" s="291"/>
      <c r="FWQ45" s="291"/>
      <c r="FWR45" s="291"/>
      <c r="FWS45" s="291"/>
      <c r="FWT45" s="291"/>
      <c r="FWU45" s="291"/>
      <c r="FWV45" s="291"/>
      <c r="FWW45" s="291"/>
      <c r="FWX45" s="291"/>
      <c r="FWY45" s="291"/>
      <c r="FWZ45" s="291"/>
      <c r="FXA45" s="291"/>
      <c r="FXB45" s="291"/>
      <c r="FXC45" s="291"/>
      <c r="FXD45" s="291"/>
      <c r="FXE45" s="291"/>
      <c r="FXF45" s="291"/>
      <c r="FXG45" s="291"/>
      <c r="FXH45" s="291"/>
      <c r="FXI45" s="291"/>
      <c r="FXJ45" s="291"/>
      <c r="FXK45" s="291"/>
      <c r="FXL45" s="291"/>
      <c r="FXM45" s="291"/>
      <c r="FXN45" s="291"/>
      <c r="FXO45" s="291"/>
      <c r="FXP45" s="291"/>
      <c r="FXQ45" s="291"/>
      <c r="FXR45" s="291"/>
      <c r="FXS45" s="291"/>
      <c r="FXT45" s="291"/>
      <c r="FXU45" s="291"/>
      <c r="FXV45" s="291"/>
      <c r="FXW45" s="291"/>
      <c r="FXX45" s="291"/>
      <c r="FXY45" s="291"/>
      <c r="FXZ45" s="291"/>
      <c r="FYA45" s="291"/>
      <c r="FYB45" s="291"/>
      <c r="FYC45" s="291"/>
      <c r="FYD45" s="291"/>
      <c r="FYE45" s="291"/>
      <c r="FYF45" s="291"/>
      <c r="FYG45" s="291"/>
      <c r="FYH45" s="291"/>
      <c r="FYI45" s="291"/>
      <c r="FYJ45" s="291"/>
      <c r="FYK45" s="291"/>
      <c r="FYL45" s="291"/>
      <c r="FYM45" s="291"/>
      <c r="FYN45" s="291"/>
      <c r="FYO45" s="291"/>
      <c r="FYP45" s="291"/>
      <c r="FYQ45" s="291"/>
      <c r="FYR45" s="291"/>
      <c r="FYS45" s="291"/>
      <c r="FYT45" s="291"/>
      <c r="FYU45" s="291"/>
      <c r="FYV45" s="291"/>
      <c r="FYW45" s="291"/>
      <c r="FYX45" s="291"/>
      <c r="FYY45" s="291"/>
      <c r="FYZ45" s="291"/>
      <c r="FZA45" s="291"/>
      <c r="FZB45" s="291"/>
      <c r="FZC45" s="291"/>
      <c r="FZD45" s="291"/>
      <c r="FZE45" s="291"/>
      <c r="FZF45" s="291"/>
      <c r="FZG45" s="291"/>
      <c r="FZH45" s="291"/>
      <c r="FZI45" s="291"/>
      <c r="FZJ45" s="291"/>
      <c r="FZK45" s="291"/>
      <c r="FZL45" s="291"/>
      <c r="FZM45" s="291"/>
      <c r="FZN45" s="291"/>
      <c r="FZO45" s="291"/>
      <c r="FZP45" s="291"/>
      <c r="FZQ45" s="291"/>
      <c r="FZR45" s="291"/>
      <c r="FZS45" s="291"/>
      <c r="FZT45" s="291"/>
      <c r="FZU45" s="291"/>
      <c r="FZV45" s="291"/>
      <c r="FZW45" s="291"/>
      <c r="FZX45" s="291"/>
      <c r="FZY45" s="291"/>
      <c r="FZZ45" s="291"/>
      <c r="GAA45" s="291"/>
      <c r="GAB45" s="291"/>
      <c r="GAC45" s="291"/>
      <c r="GAD45" s="291"/>
      <c r="GAE45" s="291"/>
      <c r="GAF45" s="291"/>
      <c r="GAG45" s="291"/>
      <c r="GAH45" s="291"/>
      <c r="GAI45" s="291"/>
      <c r="GAJ45" s="291"/>
      <c r="GAK45" s="291"/>
      <c r="GAL45" s="291"/>
      <c r="GAM45" s="291"/>
      <c r="GAN45" s="291"/>
      <c r="GAO45" s="291"/>
      <c r="GAP45" s="291"/>
      <c r="GAQ45" s="291"/>
      <c r="GAR45" s="291"/>
      <c r="GAS45" s="291"/>
      <c r="GAT45" s="291"/>
      <c r="GAU45" s="291"/>
      <c r="GAV45" s="291"/>
      <c r="GAW45" s="291"/>
      <c r="GAX45" s="291"/>
      <c r="GAY45" s="291"/>
      <c r="GAZ45" s="291"/>
      <c r="GBA45" s="291"/>
      <c r="GBB45" s="291"/>
      <c r="GBC45" s="291"/>
      <c r="GBD45" s="291"/>
      <c r="GBE45" s="291"/>
      <c r="GBF45" s="291"/>
      <c r="GBG45" s="291"/>
      <c r="GBH45" s="291"/>
      <c r="GBI45" s="291"/>
      <c r="GBJ45" s="291"/>
      <c r="GBK45" s="291"/>
      <c r="GBL45" s="291"/>
      <c r="GBM45" s="291"/>
      <c r="GBN45" s="291"/>
      <c r="GBO45" s="291"/>
      <c r="GBP45" s="291"/>
      <c r="GBQ45" s="291"/>
      <c r="GBR45" s="291"/>
      <c r="GBS45" s="291"/>
      <c r="GBT45" s="291"/>
      <c r="GBU45" s="291"/>
      <c r="GBV45" s="291"/>
      <c r="GBW45" s="291"/>
      <c r="GBX45" s="291"/>
      <c r="GBY45" s="291"/>
      <c r="GBZ45" s="291"/>
      <c r="GCA45" s="291"/>
      <c r="GCB45" s="291"/>
      <c r="GCC45" s="291"/>
      <c r="GCD45" s="291"/>
      <c r="GCE45" s="291"/>
      <c r="GCF45" s="291"/>
      <c r="GCG45" s="291"/>
      <c r="GCH45" s="291"/>
      <c r="GCI45" s="291"/>
      <c r="GCJ45" s="291"/>
      <c r="GCK45" s="291"/>
      <c r="GCL45" s="291"/>
      <c r="GCM45" s="291"/>
      <c r="GCN45" s="291"/>
      <c r="GCO45" s="291"/>
      <c r="GCP45" s="291"/>
      <c r="GCQ45" s="291"/>
      <c r="GCR45" s="291"/>
      <c r="GCS45" s="291"/>
      <c r="GCT45" s="291"/>
      <c r="GCU45" s="291"/>
      <c r="GCV45" s="291"/>
      <c r="GCW45" s="291"/>
      <c r="GCX45" s="291"/>
      <c r="GCY45" s="291"/>
      <c r="GCZ45" s="291"/>
      <c r="GDA45" s="291"/>
      <c r="GDB45" s="291"/>
      <c r="GDC45" s="291"/>
      <c r="GDD45" s="291"/>
      <c r="GDE45" s="291"/>
      <c r="GDF45" s="291"/>
      <c r="GDG45" s="291"/>
      <c r="GDH45" s="291"/>
      <c r="GDI45" s="291"/>
      <c r="GDJ45" s="291"/>
      <c r="GDK45" s="291"/>
      <c r="GDL45" s="291"/>
      <c r="GDM45" s="291"/>
      <c r="GDN45" s="291"/>
      <c r="GDO45" s="291"/>
      <c r="GDP45" s="291"/>
      <c r="GDQ45" s="291"/>
      <c r="GDR45" s="291"/>
      <c r="GDS45" s="291"/>
      <c r="GDT45" s="291"/>
      <c r="GDU45" s="291"/>
      <c r="GDV45" s="291"/>
      <c r="GDW45" s="291"/>
      <c r="GDX45" s="291"/>
      <c r="GDY45" s="291"/>
      <c r="GDZ45" s="291"/>
      <c r="GEA45" s="291"/>
      <c r="GEB45" s="291"/>
      <c r="GEC45" s="291"/>
      <c r="GED45" s="291"/>
      <c r="GEE45" s="291"/>
      <c r="GEF45" s="291"/>
      <c r="GEG45" s="291"/>
      <c r="GEH45" s="291"/>
      <c r="GEI45" s="291"/>
      <c r="GEJ45" s="291"/>
      <c r="GEK45" s="291"/>
      <c r="GEL45" s="291"/>
      <c r="GEM45" s="291"/>
      <c r="GEN45" s="291"/>
      <c r="GEO45" s="291"/>
      <c r="GEP45" s="291"/>
      <c r="GEQ45" s="291"/>
      <c r="GER45" s="291"/>
      <c r="GES45" s="291"/>
      <c r="GET45" s="291"/>
      <c r="GEU45" s="291"/>
      <c r="GEV45" s="291"/>
      <c r="GEW45" s="291"/>
      <c r="GEX45" s="291"/>
      <c r="GEY45" s="291"/>
      <c r="GEZ45" s="291"/>
      <c r="GFA45" s="291"/>
      <c r="GFB45" s="291"/>
      <c r="GFC45" s="291"/>
      <c r="GFD45" s="291"/>
      <c r="GFE45" s="291"/>
      <c r="GFF45" s="291"/>
      <c r="GFG45" s="291"/>
      <c r="GFH45" s="291"/>
      <c r="GFI45" s="291"/>
      <c r="GFJ45" s="291"/>
      <c r="GFK45" s="291"/>
      <c r="GFL45" s="291"/>
      <c r="GFM45" s="291"/>
      <c r="GFN45" s="291"/>
      <c r="GFO45" s="291"/>
      <c r="GFP45" s="291"/>
      <c r="GFQ45" s="291"/>
      <c r="GFR45" s="291"/>
      <c r="GFS45" s="291"/>
      <c r="GFT45" s="291"/>
      <c r="GFU45" s="291"/>
      <c r="GFV45" s="291"/>
      <c r="GFW45" s="291"/>
      <c r="GFX45" s="291"/>
      <c r="GFY45" s="291"/>
      <c r="GFZ45" s="291"/>
      <c r="GGA45" s="291"/>
      <c r="GGB45" s="291"/>
      <c r="GGC45" s="291"/>
      <c r="GGD45" s="291"/>
      <c r="GGE45" s="291"/>
      <c r="GGF45" s="291"/>
      <c r="GGG45" s="291"/>
      <c r="GGH45" s="291"/>
      <c r="GGI45" s="291"/>
      <c r="GGJ45" s="291"/>
      <c r="GGK45" s="291"/>
      <c r="GGL45" s="291"/>
      <c r="GGM45" s="291"/>
      <c r="GGN45" s="291"/>
      <c r="GGO45" s="291"/>
      <c r="GGP45" s="291"/>
      <c r="GGQ45" s="291"/>
      <c r="GGR45" s="291"/>
      <c r="GGS45" s="291"/>
      <c r="GGT45" s="291"/>
      <c r="GGU45" s="291"/>
      <c r="GGV45" s="291"/>
      <c r="GGW45" s="291"/>
      <c r="GGX45" s="291"/>
      <c r="GGY45" s="291"/>
      <c r="GGZ45" s="291"/>
      <c r="GHA45" s="291"/>
      <c r="GHB45" s="291"/>
      <c r="GHC45" s="291"/>
      <c r="GHD45" s="291"/>
      <c r="GHE45" s="291"/>
      <c r="GHF45" s="291"/>
      <c r="GHG45" s="291"/>
      <c r="GHH45" s="291"/>
      <c r="GHI45" s="291"/>
      <c r="GHJ45" s="291"/>
      <c r="GHK45" s="291"/>
      <c r="GHL45" s="291"/>
      <c r="GHM45" s="291"/>
      <c r="GHN45" s="291"/>
      <c r="GHO45" s="291"/>
      <c r="GHP45" s="291"/>
      <c r="GHQ45" s="291"/>
      <c r="GHR45" s="291"/>
      <c r="GHS45" s="291"/>
      <c r="GHT45" s="291"/>
      <c r="GHU45" s="291"/>
      <c r="GHV45" s="291"/>
      <c r="GHW45" s="291"/>
      <c r="GHX45" s="291"/>
      <c r="GHY45" s="291"/>
      <c r="GHZ45" s="291"/>
      <c r="GIA45" s="291"/>
      <c r="GIB45" s="291"/>
      <c r="GIC45" s="291"/>
      <c r="GID45" s="291"/>
      <c r="GIE45" s="291"/>
      <c r="GIF45" s="291"/>
      <c r="GIG45" s="291"/>
      <c r="GIH45" s="291"/>
      <c r="GII45" s="291"/>
      <c r="GIJ45" s="291"/>
      <c r="GIK45" s="291"/>
      <c r="GIL45" s="291"/>
      <c r="GIM45" s="291"/>
      <c r="GIN45" s="291"/>
      <c r="GIO45" s="291"/>
      <c r="GIP45" s="291"/>
      <c r="GIQ45" s="291"/>
      <c r="GIR45" s="291"/>
      <c r="GIS45" s="291"/>
      <c r="GIT45" s="291"/>
      <c r="GIU45" s="291"/>
      <c r="GIV45" s="291"/>
      <c r="GIW45" s="291"/>
      <c r="GIX45" s="291"/>
      <c r="GIY45" s="291"/>
      <c r="GIZ45" s="291"/>
      <c r="GJA45" s="291"/>
      <c r="GJB45" s="291"/>
      <c r="GJC45" s="291"/>
      <c r="GJD45" s="291"/>
      <c r="GJE45" s="291"/>
      <c r="GJF45" s="291"/>
      <c r="GJG45" s="291"/>
      <c r="GJH45" s="291"/>
      <c r="GJI45" s="291"/>
      <c r="GJJ45" s="291"/>
      <c r="GJK45" s="291"/>
      <c r="GJL45" s="291"/>
      <c r="GJM45" s="291"/>
      <c r="GJN45" s="291"/>
      <c r="GJO45" s="291"/>
      <c r="GJP45" s="291"/>
      <c r="GJQ45" s="291"/>
      <c r="GJR45" s="291"/>
      <c r="GJS45" s="291"/>
      <c r="GJT45" s="291"/>
      <c r="GJU45" s="291"/>
      <c r="GJV45" s="291"/>
      <c r="GJW45" s="291"/>
      <c r="GJX45" s="291"/>
      <c r="GJY45" s="291"/>
      <c r="GJZ45" s="291"/>
      <c r="GKA45" s="291"/>
      <c r="GKB45" s="291"/>
      <c r="GKC45" s="291"/>
      <c r="GKD45" s="291"/>
      <c r="GKE45" s="291"/>
      <c r="GKF45" s="291"/>
      <c r="GKG45" s="291"/>
      <c r="GKH45" s="291"/>
      <c r="GKI45" s="291"/>
      <c r="GKJ45" s="291"/>
      <c r="GKK45" s="291"/>
      <c r="GKL45" s="291"/>
      <c r="GKM45" s="291"/>
      <c r="GKN45" s="291"/>
      <c r="GKO45" s="291"/>
      <c r="GKP45" s="291"/>
      <c r="GKQ45" s="291"/>
      <c r="GKR45" s="291"/>
      <c r="GKS45" s="291"/>
      <c r="GKT45" s="291"/>
      <c r="GKU45" s="291"/>
      <c r="GKV45" s="291"/>
      <c r="GKW45" s="291"/>
      <c r="GKX45" s="291"/>
      <c r="GKY45" s="291"/>
      <c r="GKZ45" s="291"/>
      <c r="GLA45" s="291"/>
      <c r="GLB45" s="291"/>
      <c r="GLC45" s="291"/>
      <c r="GLD45" s="291"/>
      <c r="GLE45" s="291"/>
      <c r="GLF45" s="291"/>
      <c r="GLG45" s="291"/>
      <c r="GLH45" s="291"/>
      <c r="GLI45" s="291"/>
      <c r="GLJ45" s="291"/>
      <c r="GLK45" s="291"/>
      <c r="GLL45" s="291"/>
      <c r="GLM45" s="291"/>
      <c r="GLN45" s="291"/>
      <c r="GLO45" s="291"/>
      <c r="GLP45" s="291"/>
      <c r="GLQ45" s="291"/>
      <c r="GLR45" s="291"/>
      <c r="GLS45" s="291"/>
      <c r="GLT45" s="291"/>
      <c r="GLU45" s="291"/>
      <c r="GLV45" s="291"/>
      <c r="GLW45" s="291"/>
      <c r="GLX45" s="291"/>
      <c r="GLY45" s="291"/>
      <c r="GLZ45" s="291"/>
      <c r="GMA45" s="291"/>
      <c r="GMB45" s="291"/>
      <c r="GMC45" s="291"/>
      <c r="GMD45" s="291"/>
      <c r="GME45" s="291"/>
      <c r="GMF45" s="291"/>
      <c r="GMG45" s="291"/>
      <c r="GMH45" s="291"/>
      <c r="GMI45" s="291"/>
      <c r="GMJ45" s="291"/>
      <c r="GMK45" s="291"/>
      <c r="GML45" s="291"/>
      <c r="GMM45" s="291"/>
      <c r="GMN45" s="291"/>
      <c r="GMO45" s="291"/>
      <c r="GMP45" s="291"/>
      <c r="GMQ45" s="291"/>
      <c r="GMR45" s="291"/>
      <c r="GMS45" s="291"/>
      <c r="GMT45" s="291"/>
      <c r="GMU45" s="291"/>
      <c r="GMV45" s="291"/>
      <c r="GMW45" s="291"/>
      <c r="GMX45" s="291"/>
      <c r="GMY45" s="291"/>
      <c r="GMZ45" s="291"/>
      <c r="GNA45" s="291"/>
      <c r="GNB45" s="291"/>
      <c r="GNC45" s="291"/>
      <c r="GND45" s="291"/>
      <c r="GNE45" s="291"/>
      <c r="GNF45" s="291"/>
      <c r="GNG45" s="291"/>
      <c r="GNH45" s="291"/>
      <c r="GNI45" s="291"/>
      <c r="GNJ45" s="291"/>
      <c r="GNK45" s="291"/>
      <c r="GNL45" s="291"/>
      <c r="GNM45" s="291"/>
      <c r="GNN45" s="291"/>
      <c r="GNO45" s="291"/>
      <c r="GNP45" s="291"/>
      <c r="GNQ45" s="291"/>
      <c r="GNR45" s="291"/>
      <c r="GNS45" s="291"/>
      <c r="GNT45" s="291"/>
      <c r="GNU45" s="291"/>
      <c r="GNV45" s="291"/>
      <c r="GNW45" s="291"/>
      <c r="GNX45" s="291"/>
      <c r="GNY45" s="291"/>
      <c r="GNZ45" s="291"/>
      <c r="GOA45" s="291"/>
      <c r="GOB45" s="291"/>
      <c r="GOC45" s="291"/>
      <c r="GOD45" s="291"/>
      <c r="GOE45" s="291"/>
      <c r="GOF45" s="291"/>
      <c r="GOG45" s="291"/>
      <c r="GOH45" s="291"/>
      <c r="GOI45" s="291"/>
      <c r="GOJ45" s="291"/>
      <c r="GOK45" s="291"/>
      <c r="GOL45" s="291"/>
      <c r="GOM45" s="291"/>
      <c r="GON45" s="291"/>
      <c r="GOO45" s="291"/>
      <c r="GOP45" s="291"/>
      <c r="GOQ45" s="291"/>
      <c r="GOR45" s="291"/>
      <c r="GOS45" s="291"/>
      <c r="GOT45" s="291"/>
      <c r="GOU45" s="291"/>
      <c r="GOV45" s="291"/>
      <c r="GOW45" s="291"/>
      <c r="GOX45" s="291"/>
      <c r="GOY45" s="291"/>
      <c r="GOZ45" s="291"/>
      <c r="GPA45" s="291"/>
      <c r="GPB45" s="291"/>
      <c r="GPC45" s="291"/>
      <c r="GPD45" s="291"/>
      <c r="GPE45" s="291"/>
      <c r="GPF45" s="291"/>
      <c r="GPG45" s="291"/>
      <c r="GPH45" s="291"/>
      <c r="GPI45" s="291"/>
      <c r="GPJ45" s="291"/>
      <c r="GPK45" s="291"/>
      <c r="GPL45" s="291"/>
      <c r="GPM45" s="291"/>
      <c r="GPN45" s="291"/>
      <c r="GPO45" s="291"/>
      <c r="GPP45" s="291"/>
      <c r="GPQ45" s="291"/>
      <c r="GPR45" s="291"/>
      <c r="GPS45" s="291"/>
      <c r="GPT45" s="291"/>
      <c r="GPU45" s="291"/>
      <c r="GPV45" s="291"/>
      <c r="GPW45" s="291"/>
      <c r="GPX45" s="291"/>
      <c r="GPY45" s="291"/>
      <c r="GPZ45" s="291"/>
      <c r="GQA45" s="291"/>
      <c r="GQB45" s="291"/>
      <c r="GQC45" s="291"/>
      <c r="GQD45" s="291"/>
      <c r="GQE45" s="291"/>
      <c r="GQF45" s="291"/>
      <c r="GQG45" s="291"/>
      <c r="GQH45" s="291"/>
      <c r="GQI45" s="291"/>
      <c r="GQJ45" s="291"/>
      <c r="GQK45" s="291"/>
      <c r="GQL45" s="291"/>
      <c r="GQM45" s="291"/>
      <c r="GQN45" s="291"/>
      <c r="GQO45" s="291"/>
      <c r="GQP45" s="291"/>
      <c r="GQQ45" s="291"/>
      <c r="GQR45" s="291"/>
      <c r="GQS45" s="291"/>
      <c r="GQT45" s="291"/>
      <c r="GQU45" s="291"/>
      <c r="GQV45" s="291"/>
      <c r="GQW45" s="291"/>
      <c r="GQX45" s="291"/>
      <c r="GQY45" s="291"/>
      <c r="GQZ45" s="291"/>
      <c r="GRA45" s="291"/>
      <c r="GRB45" s="291"/>
      <c r="GRC45" s="291"/>
      <c r="GRD45" s="291"/>
      <c r="GRE45" s="291"/>
      <c r="GRF45" s="291"/>
      <c r="GRG45" s="291"/>
      <c r="GRH45" s="291"/>
      <c r="GRI45" s="291"/>
      <c r="GRJ45" s="291"/>
      <c r="GRK45" s="291"/>
      <c r="GRL45" s="291"/>
      <c r="GRM45" s="291"/>
      <c r="GRN45" s="291"/>
      <c r="GRO45" s="291"/>
      <c r="GRP45" s="291"/>
      <c r="GRQ45" s="291"/>
      <c r="GRR45" s="291"/>
      <c r="GRS45" s="291"/>
      <c r="GRT45" s="291"/>
      <c r="GRU45" s="291"/>
      <c r="GRV45" s="291"/>
      <c r="GRW45" s="291"/>
      <c r="GRX45" s="291"/>
      <c r="GRY45" s="291"/>
      <c r="GRZ45" s="291"/>
      <c r="GSA45" s="291"/>
      <c r="GSB45" s="291"/>
      <c r="GSC45" s="291"/>
      <c r="GSD45" s="291"/>
      <c r="GSE45" s="291"/>
      <c r="GSF45" s="291"/>
      <c r="GSG45" s="291"/>
      <c r="GSH45" s="291"/>
      <c r="GSI45" s="291"/>
      <c r="GSJ45" s="291"/>
      <c r="GSK45" s="291"/>
      <c r="GSL45" s="291"/>
      <c r="GSM45" s="291"/>
      <c r="GSN45" s="291"/>
      <c r="GSO45" s="291"/>
      <c r="GSP45" s="291"/>
      <c r="GSQ45" s="291"/>
      <c r="GSR45" s="291"/>
      <c r="GSS45" s="291"/>
      <c r="GST45" s="291"/>
      <c r="GSU45" s="291"/>
      <c r="GSV45" s="291"/>
      <c r="GSW45" s="291"/>
      <c r="GSX45" s="291"/>
      <c r="GSY45" s="291"/>
      <c r="GSZ45" s="291"/>
      <c r="GTA45" s="291"/>
      <c r="GTB45" s="291"/>
      <c r="GTC45" s="291"/>
      <c r="GTD45" s="291"/>
      <c r="GTE45" s="291"/>
      <c r="GTF45" s="291"/>
      <c r="GTG45" s="291"/>
      <c r="GTH45" s="291"/>
      <c r="GTI45" s="291"/>
      <c r="GTJ45" s="291"/>
      <c r="GTK45" s="291"/>
      <c r="GTL45" s="291"/>
      <c r="GTM45" s="291"/>
      <c r="GTN45" s="291"/>
      <c r="GTO45" s="291"/>
      <c r="GTP45" s="291"/>
      <c r="GTQ45" s="291"/>
      <c r="GTR45" s="291"/>
      <c r="GTS45" s="291"/>
      <c r="GTT45" s="291"/>
      <c r="GTU45" s="291"/>
      <c r="GTV45" s="291"/>
      <c r="GTW45" s="291"/>
      <c r="GTX45" s="291"/>
      <c r="GTY45" s="291"/>
      <c r="GTZ45" s="291"/>
      <c r="GUA45" s="291"/>
      <c r="GUB45" s="291"/>
      <c r="GUC45" s="291"/>
      <c r="GUD45" s="291"/>
      <c r="GUE45" s="291"/>
      <c r="GUF45" s="291"/>
      <c r="GUG45" s="291"/>
      <c r="GUH45" s="291"/>
      <c r="GUI45" s="291"/>
      <c r="GUJ45" s="291"/>
      <c r="GUK45" s="291"/>
      <c r="GUL45" s="291"/>
      <c r="GUM45" s="291"/>
      <c r="GUN45" s="291"/>
      <c r="GUO45" s="291"/>
      <c r="GUP45" s="291"/>
      <c r="GUQ45" s="291"/>
      <c r="GUR45" s="291"/>
      <c r="GUS45" s="291"/>
      <c r="GUT45" s="291"/>
      <c r="GUU45" s="291"/>
      <c r="GUV45" s="291"/>
      <c r="GUW45" s="291"/>
      <c r="GUX45" s="291"/>
      <c r="GUY45" s="291"/>
      <c r="GUZ45" s="291"/>
      <c r="GVA45" s="291"/>
      <c r="GVB45" s="291"/>
      <c r="GVC45" s="291"/>
      <c r="GVD45" s="291"/>
      <c r="GVE45" s="291"/>
      <c r="GVF45" s="291"/>
      <c r="GVG45" s="291"/>
      <c r="GVH45" s="291"/>
      <c r="GVI45" s="291"/>
      <c r="GVJ45" s="291"/>
      <c r="GVK45" s="291"/>
      <c r="GVL45" s="291"/>
      <c r="GVM45" s="291"/>
      <c r="GVN45" s="291"/>
      <c r="GVO45" s="291"/>
      <c r="GVP45" s="291"/>
      <c r="GVQ45" s="291"/>
      <c r="GVR45" s="291"/>
      <c r="GVS45" s="291"/>
      <c r="GVT45" s="291"/>
      <c r="GVU45" s="291"/>
      <c r="GVV45" s="291"/>
      <c r="GVW45" s="291"/>
      <c r="GVX45" s="291"/>
      <c r="GVY45" s="291"/>
      <c r="GVZ45" s="291"/>
      <c r="GWA45" s="291"/>
      <c r="GWB45" s="291"/>
      <c r="GWC45" s="291"/>
      <c r="GWD45" s="291"/>
      <c r="GWE45" s="291"/>
      <c r="GWF45" s="291"/>
      <c r="GWG45" s="291"/>
      <c r="GWH45" s="291"/>
      <c r="GWI45" s="291"/>
      <c r="GWJ45" s="291"/>
      <c r="GWK45" s="291"/>
      <c r="GWL45" s="291"/>
      <c r="GWM45" s="291"/>
      <c r="GWN45" s="291"/>
      <c r="GWO45" s="291"/>
      <c r="GWP45" s="291"/>
      <c r="GWQ45" s="291"/>
      <c r="GWR45" s="291"/>
      <c r="GWS45" s="291"/>
      <c r="GWT45" s="291"/>
      <c r="GWU45" s="291"/>
      <c r="GWV45" s="291"/>
      <c r="GWW45" s="291"/>
      <c r="GWX45" s="291"/>
      <c r="GWY45" s="291"/>
      <c r="GWZ45" s="291"/>
      <c r="GXA45" s="291"/>
      <c r="GXB45" s="291"/>
      <c r="GXC45" s="291"/>
      <c r="GXD45" s="291"/>
      <c r="GXE45" s="291"/>
      <c r="GXF45" s="291"/>
      <c r="GXG45" s="291"/>
      <c r="GXH45" s="291"/>
      <c r="GXI45" s="291"/>
      <c r="GXJ45" s="291"/>
      <c r="GXK45" s="291"/>
      <c r="GXL45" s="291"/>
      <c r="GXM45" s="291"/>
      <c r="GXN45" s="291"/>
      <c r="GXO45" s="291"/>
      <c r="GXP45" s="291"/>
      <c r="GXQ45" s="291"/>
      <c r="GXR45" s="291"/>
      <c r="GXS45" s="291"/>
      <c r="GXT45" s="291"/>
      <c r="GXU45" s="291"/>
      <c r="GXV45" s="291"/>
      <c r="GXW45" s="291"/>
      <c r="GXX45" s="291"/>
      <c r="GXY45" s="291"/>
      <c r="GXZ45" s="291"/>
      <c r="GYA45" s="291"/>
      <c r="GYB45" s="291"/>
      <c r="GYC45" s="291"/>
      <c r="GYD45" s="291"/>
      <c r="GYE45" s="291"/>
      <c r="GYF45" s="291"/>
      <c r="GYG45" s="291"/>
      <c r="GYH45" s="291"/>
      <c r="GYI45" s="291"/>
      <c r="GYJ45" s="291"/>
      <c r="GYK45" s="291"/>
      <c r="GYL45" s="291"/>
      <c r="GYM45" s="291"/>
      <c r="GYN45" s="291"/>
      <c r="GYO45" s="291"/>
      <c r="GYP45" s="291"/>
      <c r="GYQ45" s="291"/>
      <c r="GYR45" s="291"/>
      <c r="GYS45" s="291"/>
      <c r="GYT45" s="291"/>
      <c r="GYU45" s="291"/>
      <c r="GYV45" s="291"/>
      <c r="GYW45" s="291"/>
      <c r="GYX45" s="291"/>
      <c r="GYY45" s="291"/>
      <c r="GYZ45" s="291"/>
      <c r="GZA45" s="291"/>
      <c r="GZB45" s="291"/>
      <c r="GZC45" s="291"/>
      <c r="GZD45" s="291"/>
      <c r="GZE45" s="291"/>
      <c r="GZF45" s="291"/>
      <c r="GZG45" s="291"/>
      <c r="GZH45" s="291"/>
      <c r="GZI45" s="291"/>
      <c r="GZJ45" s="291"/>
      <c r="GZK45" s="291"/>
      <c r="GZL45" s="291"/>
      <c r="GZM45" s="291"/>
      <c r="GZN45" s="291"/>
      <c r="GZO45" s="291"/>
      <c r="GZP45" s="291"/>
      <c r="GZQ45" s="291"/>
      <c r="GZR45" s="291"/>
      <c r="GZS45" s="291"/>
      <c r="GZT45" s="291"/>
      <c r="GZU45" s="291"/>
      <c r="GZV45" s="291"/>
      <c r="GZW45" s="291"/>
      <c r="GZX45" s="291"/>
      <c r="GZY45" s="291"/>
      <c r="GZZ45" s="291"/>
      <c r="HAA45" s="291"/>
      <c r="HAB45" s="291"/>
      <c r="HAC45" s="291"/>
      <c r="HAD45" s="291"/>
      <c r="HAE45" s="291"/>
      <c r="HAF45" s="291"/>
      <c r="HAG45" s="291"/>
      <c r="HAH45" s="291"/>
      <c r="HAI45" s="291"/>
      <c r="HAJ45" s="291"/>
      <c r="HAK45" s="291"/>
      <c r="HAL45" s="291"/>
      <c r="HAM45" s="291"/>
      <c r="HAN45" s="291"/>
      <c r="HAO45" s="291"/>
      <c r="HAP45" s="291"/>
      <c r="HAQ45" s="291"/>
      <c r="HAR45" s="291"/>
      <c r="HAS45" s="291"/>
      <c r="HAT45" s="291"/>
      <c r="HAU45" s="291"/>
      <c r="HAV45" s="291"/>
      <c r="HAW45" s="291"/>
      <c r="HAX45" s="291"/>
      <c r="HAY45" s="291"/>
      <c r="HAZ45" s="291"/>
      <c r="HBA45" s="291"/>
      <c r="HBB45" s="291"/>
      <c r="HBC45" s="291"/>
      <c r="HBD45" s="291"/>
      <c r="HBE45" s="291"/>
      <c r="HBF45" s="291"/>
      <c r="HBG45" s="291"/>
      <c r="HBH45" s="291"/>
      <c r="HBI45" s="291"/>
      <c r="HBJ45" s="291"/>
      <c r="HBK45" s="291"/>
      <c r="HBL45" s="291"/>
      <c r="HBM45" s="291"/>
      <c r="HBN45" s="291"/>
      <c r="HBO45" s="291"/>
      <c r="HBP45" s="291"/>
      <c r="HBQ45" s="291"/>
      <c r="HBR45" s="291"/>
      <c r="HBS45" s="291"/>
      <c r="HBT45" s="291"/>
      <c r="HBU45" s="291"/>
      <c r="HBV45" s="291"/>
      <c r="HBW45" s="291"/>
      <c r="HBX45" s="291"/>
      <c r="HBY45" s="291"/>
      <c r="HBZ45" s="291"/>
      <c r="HCA45" s="291"/>
      <c r="HCB45" s="291"/>
      <c r="HCC45" s="291"/>
      <c r="HCD45" s="291"/>
      <c r="HCE45" s="291"/>
      <c r="HCF45" s="291"/>
      <c r="HCG45" s="291"/>
      <c r="HCH45" s="291"/>
      <c r="HCI45" s="291"/>
      <c r="HCJ45" s="291"/>
      <c r="HCK45" s="291"/>
      <c r="HCL45" s="291"/>
      <c r="HCM45" s="291"/>
      <c r="HCN45" s="291"/>
      <c r="HCO45" s="291"/>
      <c r="HCP45" s="291"/>
      <c r="HCQ45" s="291"/>
      <c r="HCR45" s="291"/>
      <c r="HCS45" s="291"/>
      <c r="HCT45" s="291"/>
      <c r="HCU45" s="291"/>
      <c r="HCV45" s="291"/>
      <c r="HCW45" s="291"/>
      <c r="HCX45" s="291"/>
      <c r="HCY45" s="291"/>
      <c r="HCZ45" s="291"/>
      <c r="HDA45" s="291"/>
      <c r="HDB45" s="291"/>
      <c r="HDC45" s="291"/>
      <c r="HDD45" s="291"/>
      <c r="HDE45" s="291"/>
      <c r="HDF45" s="291"/>
      <c r="HDG45" s="291"/>
      <c r="HDH45" s="291"/>
      <c r="HDI45" s="291"/>
      <c r="HDJ45" s="291"/>
      <c r="HDK45" s="291"/>
      <c r="HDL45" s="291"/>
      <c r="HDM45" s="291"/>
      <c r="HDN45" s="291"/>
      <c r="HDO45" s="291"/>
      <c r="HDP45" s="291"/>
      <c r="HDQ45" s="291"/>
      <c r="HDR45" s="291"/>
      <c r="HDS45" s="291"/>
      <c r="HDT45" s="291"/>
      <c r="HDU45" s="291"/>
      <c r="HDV45" s="291"/>
      <c r="HDW45" s="291"/>
      <c r="HDX45" s="291"/>
      <c r="HDY45" s="291"/>
      <c r="HDZ45" s="291"/>
      <c r="HEA45" s="291"/>
      <c r="HEB45" s="291"/>
      <c r="HEC45" s="291"/>
      <c r="HED45" s="291"/>
      <c r="HEE45" s="291"/>
      <c r="HEF45" s="291"/>
      <c r="HEG45" s="291"/>
      <c r="HEH45" s="291"/>
      <c r="HEI45" s="291"/>
      <c r="HEJ45" s="291"/>
      <c r="HEK45" s="291"/>
      <c r="HEL45" s="291"/>
      <c r="HEM45" s="291"/>
      <c r="HEN45" s="291"/>
      <c r="HEO45" s="291"/>
      <c r="HEP45" s="291"/>
      <c r="HEQ45" s="291"/>
      <c r="HER45" s="291"/>
      <c r="HES45" s="291"/>
      <c r="HET45" s="291"/>
      <c r="HEU45" s="291"/>
      <c r="HEV45" s="291"/>
      <c r="HEW45" s="291"/>
      <c r="HEX45" s="291"/>
      <c r="HEY45" s="291"/>
      <c r="HEZ45" s="291"/>
      <c r="HFA45" s="291"/>
      <c r="HFB45" s="291"/>
      <c r="HFC45" s="291"/>
      <c r="HFD45" s="291"/>
      <c r="HFE45" s="291"/>
      <c r="HFF45" s="291"/>
      <c r="HFG45" s="291"/>
      <c r="HFH45" s="291"/>
      <c r="HFI45" s="291"/>
      <c r="HFJ45" s="291"/>
      <c r="HFK45" s="291"/>
      <c r="HFL45" s="291"/>
      <c r="HFM45" s="291"/>
      <c r="HFN45" s="291"/>
      <c r="HFO45" s="291"/>
      <c r="HFP45" s="291"/>
      <c r="HFQ45" s="291"/>
      <c r="HFR45" s="291"/>
      <c r="HFS45" s="291"/>
      <c r="HFT45" s="291"/>
      <c r="HFU45" s="291"/>
      <c r="HFV45" s="291"/>
      <c r="HFW45" s="291"/>
      <c r="HFX45" s="291"/>
      <c r="HFY45" s="291"/>
      <c r="HFZ45" s="291"/>
      <c r="HGA45" s="291"/>
      <c r="HGB45" s="291"/>
      <c r="HGC45" s="291"/>
      <c r="HGD45" s="291"/>
      <c r="HGE45" s="291"/>
      <c r="HGF45" s="291"/>
      <c r="HGG45" s="291"/>
      <c r="HGH45" s="291"/>
      <c r="HGI45" s="291"/>
      <c r="HGJ45" s="291"/>
      <c r="HGK45" s="291"/>
      <c r="HGL45" s="291"/>
      <c r="HGM45" s="291"/>
      <c r="HGN45" s="291"/>
      <c r="HGO45" s="291"/>
      <c r="HGP45" s="291"/>
      <c r="HGQ45" s="291"/>
      <c r="HGR45" s="291"/>
      <c r="HGS45" s="291"/>
      <c r="HGT45" s="291"/>
      <c r="HGU45" s="291"/>
      <c r="HGV45" s="291"/>
      <c r="HGW45" s="291"/>
      <c r="HGX45" s="291"/>
      <c r="HGY45" s="291"/>
      <c r="HGZ45" s="291"/>
      <c r="HHA45" s="291"/>
      <c r="HHB45" s="291"/>
      <c r="HHC45" s="291"/>
      <c r="HHD45" s="291"/>
      <c r="HHE45" s="291"/>
      <c r="HHF45" s="291"/>
      <c r="HHG45" s="291"/>
      <c r="HHH45" s="291"/>
      <c r="HHI45" s="291"/>
      <c r="HHJ45" s="291"/>
      <c r="HHK45" s="291"/>
      <c r="HHL45" s="291"/>
      <c r="HHM45" s="291"/>
      <c r="HHN45" s="291"/>
      <c r="HHO45" s="291"/>
      <c r="HHP45" s="291"/>
      <c r="HHQ45" s="291"/>
      <c r="HHR45" s="291"/>
      <c r="HHS45" s="291"/>
      <c r="HHT45" s="291"/>
      <c r="HHU45" s="291"/>
      <c r="HHV45" s="291"/>
      <c r="HHW45" s="291"/>
      <c r="HHX45" s="291"/>
      <c r="HHY45" s="291"/>
      <c r="HHZ45" s="291"/>
      <c r="HIA45" s="291"/>
      <c r="HIB45" s="291"/>
      <c r="HIC45" s="291"/>
      <c r="HID45" s="291"/>
      <c r="HIE45" s="291"/>
      <c r="HIF45" s="291"/>
      <c r="HIG45" s="291"/>
      <c r="HIH45" s="291"/>
      <c r="HII45" s="291"/>
      <c r="HIJ45" s="291"/>
      <c r="HIK45" s="291"/>
      <c r="HIL45" s="291"/>
      <c r="HIM45" s="291"/>
      <c r="HIN45" s="291"/>
      <c r="HIO45" s="291"/>
      <c r="HIP45" s="291"/>
      <c r="HIQ45" s="291"/>
      <c r="HIR45" s="291"/>
      <c r="HIS45" s="291"/>
      <c r="HIT45" s="291"/>
      <c r="HIU45" s="291"/>
      <c r="HIV45" s="291"/>
      <c r="HIW45" s="291"/>
      <c r="HIX45" s="291"/>
      <c r="HIY45" s="291"/>
      <c r="HIZ45" s="291"/>
      <c r="HJA45" s="291"/>
      <c r="HJB45" s="291"/>
      <c r="HJC45" s="291"/>
      <c r="HJD45" s="291"/>
      <c r="HJE45" s="291"/>
      <c r="HJF45" s="291"/>
      <c r="HJG45" s="291"/>
      <c r="HJH45" s="291"/>
      <c r="HJI45" s="291"/>
      <c r="HJJ45" s="291"/>
      <c r="HJK45" s="291"/>
      <c r="HJL45" s="291"/>
      <c r="HJM45" s="291"/>
      <c r="HJN45" s="291"/>
      <c r="HJO45" s="291"/>
      <c r="HJP45" s="291"/>
      <c r="HJQ45" s="291"/>
      <c r="HJR45" s="291"/>
      <c r="HJS45" s="291"/>
      <c r="HJT45" s="291"/>
      <c r="HJU45" s="291"/>
      <c r="HJV45" s="291"/>
      <c r="HJW45" s="291"/>
      <c r="HJX45" s="291"/>
      <c r="HJY45" s="291"/>
      <c r="HJZ45" s="291"/>
      <c r="HKA45" s="291"/>
      <c r="HKB45" s="291"/>
      <c r="HKC45" s="291"/>
      <c r="HKD45" s="291"/>
      <c r="HKE45" s="291"/>
      <c r="HKF45" s="291"/>
      <c r="HKG45" s="291"/>
      <c r="HKH45" s="291"/>
      <c r="HKI45" s="291"/>
      <c r="HKJ45" s="291"/>
      <c r="HKK45" s="291"/>
      <c r="HKL45" s="291"/>
      <c r="HKM45" s="291"/>
      <c r="HKN45" s="291"/>
      <c r="HKO45" s="291"/>
      <c r="HKP45" s="291"/>
      <c r="HKQ45" s="291"/>
      <c r="HKR45" s="291"/>
      <c r="HKS45" s="291"/>
      <c r="HKT45" s="291"/>
      <c r="HKU45" s="291"/>
      <c r="HKV45" s="291"/>
      <c r="HKW45" s="291"/>
      <c r="HKX45" s="291"/>
      <c r="HKY45" s="291"/>
      <c r="HKZ45" s="291"/>
      <c r="HLA45" s="291"/>
      <c r="HLB45" s="291"/>
      <c r="HLC45" s="291"/>
      <c r="HLD45" s="291"/>
      <c r="HLE45" s="291"/>
      <c r="HLF45" s="291"/>
      <c r="HLG45" s="291"/>
      <c r="HLH45" s="291"/>
      <c r="HLI45" s="291"/>
      <c r="HLJ45" s="291"/>
      <c r="HLK45" s="291"/>
      <c r="HLL45" s="291"/>
      <c r="HLM45" s="291"/>
      <c r="HLN45" s="291"/>
      <c r="HLO45" s="291"/>
      <c r="HLP45" s="291"/>
      <c r="HLQ45" s="291"/>
      <c r="HLR45" s="291"/>
      <c r="HLS45" s="291"/>
      <c r="HLT45" s="291"/>
      <c r="HLU45" s="291"/>
      <c r="HLV45" s="291"/>
      <c r="HLW45" s="291"/>
      <c r="HLX45" s="291"/>
      <c r="HLY45" s="291"/>
      <c r="HLZ45" s="291"/>
      <c r="HMA45" s="291"/>
      <c r="HMB45" s="291"/>
      <c r="HMC45" s="291"/>
      <c r="HMD45" s="291"/>
      <c r="HME45" s="291"/>
      <c r="HMF45" s="291"/>
      <c r="HMG45" s="291"/>
      <c r="HMH45" s="291"/>
      <c r="HMI45" s="291"/>
      <c r="HMJ45" s="291"/>
      <c r="HMK45" s="291"/>
      <c r="HML45" s="291"/>
      <c r="HMM45" s="291"/>
      <c r="HMN45" s="291"/>
      <c r="HMO45" s="291"/>
      <c r="HMP45" s="291"/>
      <c r="HMQ45" s="291"/>
      <c r="HMR45" s="291"/>
      <c r="HMS45" s="291"/>
      <c r="HMT45" s="291"/>
      <c r="HMU45" s="291"/>
      <c r="HMV45" s="291"/>
      <c r="HMW45" s="291"/>
      <c r="HMX45" s="291"/>
      <c r="HMY45" s="291"/>
      <c r="HMZ45" s="291"/>
      <c r="HNA45" s="291"/>
      <c r="HNB45" s="291"/>
      <c r="HNC45" s="291"/>
      <c r="HND45" s="291"/>
      <c r="HNE45" s="291"/>
      <c r="HNF45" s="291"/>
      <c r="HNG45" s="291"/>
      <c r="HNH45" s="291"/>
      <c r="HNI45" s="291"/>
      <c r="HNJ45" s="291"/>
      <c r="HNK45" s="291"/>
      <c r="HNL45" s="291"/>
      <c r="HNM45" s="291"/>
      <c r="HNN45" s="291"/>
      <c r="HNO45" s="291"/>
      <c r="HNP45" s="291"/>
      <c r="HNQ45" s="291"/>
      <c r="HNR45" s="291"/>
      <c r="HNS45" s="291"/>
      <c r="HNT45" s="291"/>
      <c r="HNU45" s="291"/>
      <c r="HNV45" s="291"/>
      <c r="HNW45" s="291"/>
      <c r="HNX45" s="291"/>
      <c r="HNY45" s="291"/>
      <c r="HNZ45" s="291"/>
      <c r="HOA45" s="291"/>
      <c r="HOB45" s="291"/>
      <c r="HOC45" s="291"/>
      <c r="HOD45" s="291"/>
      <c r="HOE45" s="291"/>
      <c r="HOF45" s="291"/>
      <c r="HOG45" s="291"/>
      <c r="HOH45" s="291"/>
      <c r="HOI45" s="291"/>
      <c r="HOJ45" s="291"/>
      <c r="HOK45" s="291"/>
      <c r="HOL45" s="291"/>
      <c r="HOM45" s="291"/>
      <c r="HON45" s="291"/>
      <c r="HOO45" s="291"/>
      <c r="HOP45" s="291"/>
      <c r="HOQ45" s="291"/>
      <c r="HOR45" s="291"/>
      <c r="HOS45" s="291"/>
      <c r="HOT45" s="291"/>
      <c r="HOU45" s="291"/>
      <c r="HOV45" s="291"/>
      <c r="HOW45" s="291"/>
      <c r="HOX45" s="291"/>
      <c r="HOY45" s="291"/>
      <c r="HOZ45" s="291"/>
      <c r="HPA45" s="291"/>
      <c r="HPB45" s="291"/>
      <c r="HPC45" s="291"/>
      <c r="HPD45" s="291"/>
      <c r="HPE45" s="291"/>
      <c r="HPF45" s="291"/>
      <c r="HPG45" s="291"/>
      <c r="HPH45" s="291"/>
      <c r="HPI45" s="291"/>
      <c r="HPJ45" s="291"/>
      <c r="HPK45" s="291"/>
      <c r="HPL45" s="291"/>
      <c r="HPM45" s="291"/>
      <c r="HPN45" s="291"/>
      <c r="HPO45" s="291"/>
      <c r="HPP45" s="291"/>
      <c r="HPQ45" s="291"/>
      <c r="HPR45" s="291"/>
      <c r="HPS45" s="291"/>
      <c r="HPT45" s="291"/>
      <c r="HPU45" s="291"/>
      <c r="HPV45" s="291"/>
      <c r="HPW45" s="291"/>
      <c r="HPX45" s="291"/>
      <c r="HPY45" s="291"/>
      <c r="HPZ45" s="291"/>
      <c r="HQA45" s="291"/>
      <c r="HQB45" s="291"/>
      <c r="HQC45" s="291"/>
      <c r="HQD45" s="291"/>
      <c r="HQE45" s="291"/>
      <c r="HQF45" s="291"/>
      <c r="HQG45" s="291"/>
      <c r="HQH45" s="291"/>
      <c r="HQI45" s="291"/>
      <c r="HQJ45" s="291"/>
      <c r="HQK45" s="291"/>
      <c r="HQL45" s="291"/>
      <c r="HQM45" s="291"/>
      <c r="HQN45" s="291"/>
      <c r="HQO45" s="291"/>
      <c r="HQP45" s="291"/>
      <c r="HQQ45" s="291"/>
      <c r="HQR45" s="291"/>
      <c r="HQS45" s="291"/>
      <c r="HQT45" s="291"/>
      <c r="HQU45" s="291"/>
      <c r="HQV45" s="291"/>
      <c r="HQW45" s="291"/>
      <c r="HQX45" s="291"/>
      <c r="HQY45" s="291"/>
      <c r="HQZ45" s="291"/>
      <c r="HRA45" s="291"/>
      <c r="HRB45" s="291"/>
      <c r="HRC45" s="291"/>
      <c r="HRD45" s="291"/>
      <c r="HRE45" s="291"/>
      <c r="HRF45" s="291"/>
      <c r="HRG45" s="291"/>
      <c r="HRH45" s="291"/>
      <c r="HRI45" s="291"/>
      <c r="HRJ45" s="291"/>
      <c r="HRK45" s="291"/>
      <c r="HRL45" s="291"/>
      <c r="HRM45" s="291"/>
      <c r="HRN45" s="291"/>
      <c r="HRO45" s="291"/>
      <c r="HRP45" s="291"/>
      <c r="HRQ45" s="291"/>
      <c r="HRR45" s="291"/>
      <c r="HRS45" s="291"/>
      <c r="HRT45" s="291"/>
      <c r="HRU45" s="291"/>
      <c r="HRV45" s="291"/>
      <c r="HRW45" s="291"/>
      <c r="HRX45" s="291"/>
      <c r="HRY45" s="291"/>
      <c r="HRZ45" s="291"/>
      <c r="HSA45" s="291"/>
      <c r="HSB45" s="291"/>
      <c r="HSC45" s="291"/>
      <c r="HSD45" s="291"/>
      <c r="HSE45" s="291"/>
      <c r="HSF45" s="291"/>
      <c r="HSG45" s="291"/>
      <c r="HSH45" s="291"/>
      <c r="HSI45" s="291"/>
      <c r="HSJ45" s="291"/>
      <c r="HSK45" s="291"/>
      <c r="HSL45" s="291"/>
      <c r="HSM45" s="291"/>
      <c r="HSN45" s="291"/>
      <c r="HSO45" s="291"/>
      <c r="HSP45" s="291"/>
      <c r="HSQ45" s="291"/>
      <c r="HSR45" s="291"/>
      <c r="HSS45" s="291"/>
      <c r="HST45" s="291"/>
      <c r="HSU45" s="291"/>
      <c r="HSV45" s="291"/>
      <c r="HSW45" s="291"/>
      <c r="HSX45" s="291"/>
      <c r="HSY45" s="291"/>
      <c r="HSZ45" s="291"/>
      <c r="HTA45" s="291"/>
      <c r="HTB45" s="291"/>
      <c r="HTC45" s="291"/>
      <c r="HTD45" s="291"/>
      <c r="HTE45" s="291"/>
      <c r="HTF45" s="291"/>
      <c r="HTG45" s="291"/>
      <c r="HTH45" s="291"/>
      <c r="HTI45" s="291"/>
      <c r="HTJ45" s="291"/>
      <c r="HTK45" s="291"/>
      <c r="HTL45" s="291"/>
      <c r="HTM45" s="291"/>
      <c r="HTN45" s="291"/>
      <c r="HTO45" s="291"/>
      <c r="HTP45" s="291"/>
      <c r="HTQ45" s="291"/>
      <c r="HTR45" s="291"/>
      <c r="HTS45" s="291"/>
      <c r="HTT45" s="291"/>
      <c r="HTU45" s="291"/>
      <c r="HTV45" s="291"/>
      <c r="HTW45" s="291"/>
      <c r="HTX45" s="291"/>
      <c r="HTY45" s="291"/>
      <c r="HTZ45" s="291"/>
      <c r="HUA45" s="291"/>
      <c r="HUB45" s="291"/>
      <c r="HUC45" s="291"/>
      <c r="HUD45" s="291"/>
      <c r="HUE45" s="291"/>
      <c r="HUF45" s="291"/>
      <c r="HUG45" s="291"/>
      <c r="HUH45" s="291"/>
      <c r="HUI45" s="291"/>
      <c r="HUJ45" s="291"/>
      <c r="HUK45" s="291"/>
      <c r="HUL45" s="291"/>
      <c r="HUM45" s="291"/>
      <c r="HUN45" s="291"/>
      <c r="HUO45" s="291"/>
      <c r="HUP45" s="291"/>
      <c r="HUQ45" s="291"/>
      <c r="HUR45" s="291"/>
      <c r="HUS45" s="291"/>
      <c r="HUT45" s="291"/>
      <c r="HUU45" s="291"/>
      <c r="HUV45" s="291"/>
      <c r="HUW45" s="291"/>
      <c r="HUX45" s="291"/>
      <c r="HUY45" s="291"/>
      <c r="HUZ45" s="291"/>
      <c r="HVA45" s="291"/>
      <c r="HVB45" s="291"/>
      <c r="HVC45" s="291"/>
      <c r="HVD45" s="291"/>
      <c r="HVE45" s="291"/>
      <c r="HVF45" s="291"/>
      <c r="HVG45" s="291"/>
      <c r="HVH45" s="291"/>
      <c r="HVI45" s="291"/>
      <c r="HVJ45" s="291"/>
      <c r="HVK45" s="291"/>
      <c r="HVL45" s="291"/>
      <c r="HVM45" s="291"/>
      <c r="HVN45" s="291"/>
      <c r="HVO45" s="291"/>
      <c r="HVP45" s="291"/>
      <c r="HVQ45" s="291"/>
      <c r="HVR45" s="291"/>
      <c r="HVS45" s="291"/>
      <c r="HVT45" s="291"/>
      <c r="HVU45" s="291"/>
      <c r="HVV45" s="291"/>
      <c r="HVW45" s="291"/>
      <c r="HVX45" s="291"/>
      <c r="HVY45" s="291"/>
      <c r="HVZ45" s="291"/>
      <c r="HWA45" s="291"/>
      <c r="HWB45" s="291"/>
      <c r="HWC45" s="291"/>
      <c r="HWD45" s="291"/>
      <c r="HWE45" s="291"/>
      <c r="HWF45" s="291"/>
      <c r="HWG45" s="291"/>
      <c r="HWH45" s="291"/>
      <c r="HWI45" s="291"/>
      <c r="HWJ45" s="291"/>
      <c r="HWK45" s="291"/>
      <c r="HWL45" s="291"/>
      <c r="HWM45" s="291"/>
      <c r="HWN45" s="291"/>
      <c r="HWO45" s="291"/>
      <c r="HWP45" s="291"/>
      <c r="HWQ45" s="291"/>
      <c r="HWR45" s="291"/>
      <c r="HWS45" s="291"/>
      <c r="HWT45" s="291"/>
      <c r="HWU45" s="291"/>
      <c r="HWV45" s="291"/>
      <c r="HWW45" s="291"/>
      <c r="HWX45" s="291"/>
      <c r="HWY45" s="291"/>
      <c r="HWZ45" s="291"/>
      <c r="HXA45" s="291"/>
      <c r="HXB45" s="291"/>
      <c r="HXC45" s="291"/>
      <c r="HXD45" s="291"/>
      <c r="HXE45" s="291"/>
      <c r="HXF45" s="291"/>
      <c r="HXG45" s="291"/>
      <c r="HXH45" s="291"/>
      <c r="HXI45" s="291"/>
      <c r="HXJ45" s="291"/>
      <c r="HXK45" s="291"/>
      <c r="HXL45" s="291"/>
      <c r="HXM45" s="291"/>
      <c r="HXN45" s="291"/>
      <c r="HXO45" s="291"/>
      <c r="HXP45" s="291"/>
      <c r="HXQ45" s="291"/>
      <c r="HXR45" s="291"/>
      <c r="HXS45" s="291"/>
      <c r="HXT45" s="291"/>
      <c r="HXU45" s="291"/>
      <c r="HXV45" s="291"/>
      <c r="HXW45" s="291"/>
      <c r="HXX45" s="291"/>
      <c r="HXY45" s="291"/>
      <c r="HXZ45" s="291"/>
      <c r="HYA45" s="291"/>
      <c r="HYB45" s="291"/>
      <c r="HYC45" s="291"/>
      <c r="HYD45" s="291"/>
      <c r="HYE45" s="291"/>
      <c r="HYF45" s="291"/>
      <c r="HYG45" s="291"/>
      <c r="HYH45" s="291"/>
      <c r="HYI45" s="291"/>
      <c r="HYJ45" s="291"/>
      <c r="HYK45" s="291"/>
      <c r="HYL45" s="291"/>
      <c r="HYM45" s="291"/>
      <c r="HYN45" s="291"/>
      <c r="HYO45" s="291"/>
      <c r="HYP45" s="291"/>
      <c r="HYQ45" s="291"/>
      <c r="HYR45" s="291"/>
      <c r="HYS45" s="291"/>
      <c r="HYT45" s="291"/>
      <c r="HYU45" s="291"/>
      <c r="HYV45" s="291"/>
      <c r="HYW45" s="291"/>
      <c r="HYX45" s="291"/>
      <c r="HYY45" s="291"/>
      <c r="HYZ45" s="291"/>
      <c r="HZA45" s="291"/>
      <c r="HZB45" s="291"/>
      <c r="HZC45" s="291"/>
      <c r="HZD45" s="291"/>
      <c r="HZE45" s="291"/>
      <c r="HZF45" s="291"/>
      <c r="HZG45" s="291"/>
      <c r="HZH45" s="291"/>
      <c r="HZI45" s="291"/>
      <c r="HZJ45" s="291"/>
      <c r="HZK45" s="291"/>
      <c r="HZL45" s="291"/>
      <c r="HZM45" s="291"/>
      <c r="HZN45" s="291"/>
      <c r="HZO45" s="291"/>
      <c r="HZP45" s="291"/>
      <c r="HZQ45" s="291"/>
      <c r="HZR45" s="291"/>
      <c r="HZS45" s="291"/>
      <c r="HZT45" s="291"/>
      <c r="HZU45" s="291"/>
      <c r="HZV45" s="291"/>
      <c r="HZW45" s="291"/>
      <c r="HZX45" s="291"/>
      <c r="HZY45" s="291"/>
      <c r="HZZ45" s="291"/>
      <c r="IAA45" s="291"/>
      <c r="IAB45" s="291"/>
      <c r="IAC45" s="291"/>
      <c r="IAD45" s="291"/>
      <c r="IAE45" s="291"/>
      <c r="IAF45" s="291"/>
      <c r="IAG45" s="291"/>
      <c r="IAH45" s="291"/>
      <c r="IAI45" s="291"/>
      <c r="IAJ45" s="291"/>
      <c r="IAK45" s="291"/>
      <c r="IAL45" s="291"/>
      <c r="IAM45" s="291"/>
      <c r="IAN45" s="291"/>
      <c r="IAO45" s="291"/>
      <c r="IAP45" s="291"/>
      <c r="IAQ45" s="291"/>
      <c r="IAR45" s="291"/>
      <c r="IAS45" s="291"/>
      <c r="IAT45" s="291"/>
      <c r="IAU45" s="291"/>
      <c r="IAV45" s="291"/>
      <c r="IAW45" s="291"/>
      <c r="IAX45" s="291"/>
      <c r="IAY45" s="291"/>
      <c r="IAZ45" s="291"/>
      <c r="IBA45" s="291"/>
      <c r="IBB45" s="291"/>
      <c r="IBC45" s="291"/>
      <c r="IBD45" s="291"/>
      <c r="IBE45" s="291"/>
      <c r="IBF45" s="291"/>
      <c r="IBG45" s="291"/>
      <c r="IBH45" s="291"/>
      <c r="IBI45" s="291"/>
      <c r="IBJ45" s="291"/>
      <c r="IBK45" s="291"/>
      <c r="IBL45" s="291"/>
      <c r="IBM45" s="291"/>
      <c r="IBN45" s="291"/>
      <c r="IBO45" s="291"/>
      <c r="IBP45" s="291"/>
      <c r="IBQ45" s="291"/>
      <c r="IBR45" s="291"/>
      <c r="IBS45" s="291"/>
      <c r="IBT45" s="291"/>
      <c r="IBU45" s="291"/>
      <c r="IBV45" s="291"/>
      <c r="IBW45" s="291"/>
      <c r="IBX45" s="291"/>
      <c r="IBY45" s="291"/>
      <c r="IBZ45" s="291"/>
      <c r="ICA45" s="291"/>
      <c r="ICB45" s="291"/>
      <c r="ICC45" s="291"/>
      <c r="ICD45" s="291"/>
      <c r="ICE45" s="291"/>
      <c r="ICF45" s="291"/>
      <c r="ICG45" s="291"/>
      <c r="ICH45" s="291"/>
      <c r="ICI45" s="291"/>
      <c r="ICJ45" s="291"/>
      <c r="ICK45" s="291"/>
      <c r="ICL45" s="291"/>
      <c r="ICM45" s="291"/>
      <c r="ICN45" s="291"/>
      <c r="ICO45" s="291"/>
      <c r="ICP45" s="291"/>
      <c r="ICQ45" s="291"/>
      <c r="ICR45" s="291"/>
      <c r="ICS45" s="291"/>
      <c r="ICT45" s="291"/>
      <c r="ICU45" s="291"/>
      <c r="ICV45" s="291"/>
      <c r="ICW45" s="291"/>
      <c r="ICX45" s="291"/>
      <c r="ICY45" s="291"/>
      <c r="ICZ45" s="291"/>
      <c r="IDA45" s="291"/>
      <c r="IDB45" s="291"/>
      <c r="IDC45" s="291"/>
      <c r="IDD45" s="291"/>
      <c r="IDE45" s="291"/>
      <c r="IDF45" s="291"/>
      <c r="IDG45" s="291"/>
      <c r="IDH45" s="291"/>
      <c r="IDI45" s="291"/>
      <c r="IDJ45" s="291"/>
      <c r="IDK45" s="291"/>
      <c r="IDL45" s="291"/>
      <c r="IDM45" s="291"/>
      <c r="IDN45" s="291"/>
      <c r="IDO45" s="291"/>
      <c r="IDP45" s="291"/>
      <c r="IDQ45" s="291"/>
      <c r="IDR45" s="291"/>
      <c r="IDS45" s="291"/>
      <c r="IDT45" s="291"/>
      <c r="IDU45" s="291"/>
      <c r="IDV45" s="291"/>
      <c r="IDW45" s="291"/>
      <c r="IDX45" s="291"/>
      <c r="IDY45" s="291"/>
      <c r="IDZ45" s="291"/>
      <c r="IEA45" s="291"/>
      <c r="IEB45" s="291"/>
      <c r="IEC45" s="291"/>
      <c r="IED45" s="291"/>
      <c r="IEE45" s="291"/>
      <c r="IEF45" s="291"/>
      <c r="IEG45" s="291"/>
      <c r="IEH45" s="291"/>
      <c r="IEI45" s="291"/>
      <c r="IEJ45" s="291"/>
      <c r="IEK45" s="291"/>
      <c r="IEL45" s="291"/>
      <c r="IEM45" s="291"/>
      <c r="IEN45" s="291"/>
      <c r="IEO45" s="291"/>
      <c r="IEP45" s="291"/>
      <c r="IEQ45" s="291"/>
      <c r="IER45" s="291"/>
      <c r="IES45" s="291"/>
      <c r="IET45" s="291"/>
      <c r="IEU45" s="291"/>
      <c r="IEV45" s="291"/>
      <c r="IEW45" s="291"/>
      <c r="IEX45" s="291"/>
      <c r="IEY45" s="291"/>
      <c r="IEZ45" s="291"/>
      <c r="IFA45" s="291"/>
      <c r="IFB45" s="291"/>
      <c r="IFC45" s="291"/>
      <c r="IFD45" s="291"/>
      <c r="IFE45" s="291"/>
      <c r="IFF45" s="291"/>
      <c r="IFG45" s="291"/>
      <c r="IFH45" s="291"/>
      <c r="IFI45" s="291"/>
      <c r="IFJ45" s="291"/>
      <c r="IFK45" s="291"/>
      <c r="IFL45" s="291"/>
      <c r="IFM45" s="291"/>
      <c r="IFN45" s="291"/>
      <c r="IFO45" s="291"/>
      <c r="IFP45" s="291"/>
      <c r="IFQ45" s="291"/>
      <c r="IFR45" s="291"/>
      <c r="IFS45" s="291"/>
      <c r="IFT45" s="291"/>
      <c r="IFU45" s="291"/>
      <c r="IFV45" s="291"/>
      <c r="IFW45" s="291"/>
      <c r="IFX45" s="291"/>
      <c r="IFY45" s="291"/>
      <c r="IFZ45" s="291"/>
      <c r="IGA45" s="291"/>
      <c r="IGB45" s="291"/>
      <c r="IGC45" s="291"/>
      <c r="IGD45" s="291"/>
      <c r="IGE45" s="291"/>
      <c r="IGF45" s="291"/>
      <c r="IGG45" s="291"/>
      <c r="IGH45" s="291"/>
      <c r="IGI45" s="291"/>
      <c r="IGJ45" s="291"/>
      <c r="IGK45" s="291"/>
      <c r="IGL45" s="291"/>
      <c r="IGM45" s="291"/>
      <c r="IGN45" s="291"/>
      <c r="IGO45" s="291"/>
      <c r="IGP45" s="291"/>
      <c r="IGQ45" s="291"/>
      <c r="IGR45" s="291"/>
      <c r="IGS45" s="291"/>
      <c r="IGT45" s="291"/>
      <c r="IGU45" s="291"/>
      <c r="IGV45" s="291"/>
      <c r="IGW45" s="291"/>
      <c r="IGX45" s="291"/>
      <c r="IGY45" s="291"/>
      <c r="IGZ45" s="291"/>
      <c r="IHA45" s="291"/>
      <c r="IHB45" s="291"/>
      <c r="IHC45" s="291"/>
      <c r="IHD45" s="291"/>
      <c r="IHE45" s="291"/>
      <c r="IHF45" s="291"/>
      <c r="IHG45" s="291"/>
      <c r="IHH45" s="291"/>
      <c r="IHI45" s="291"/>
      <c r="IHJ45" s="291"/>
      <c r="IHK45" s="291"/>
      <c r="IHL45" s="291"/>
      <c r="IHM45" s="291"/>
      <c r="IHN45" s="291"/>
      <c r="IHO45" s="291"/>
      <c r="IHP45" s="291"/>
      <c r="IHQ45" s="291"/>
      <c r="IHR45" s="291"/>
      <c r="IHS45" s="291"/>
      <c r="IHT45" s="291"/>
      <c r="IHU45" s="291"/>
      <c r="IHV45" s="291"/>
      <c r="IHW45" s="291"/>
      <c r="IHX45" s="291"/>
      <c r="IHY45" s="291"/>
      <c r="IHZ45" s="291"/>
      <c r="IIA45" s="291"/>
      <c r="IIB45" s="291"/>
      <c r="IIC45" s="291"/>
      <c r="IID45" s="291"/>
      <c r="IIE45" s="291"/>
      <c r="IIF45" s="291"/>
      <c r="IIG45" s="291"/>
      <c r="IIH45" s="291"/>
      <c r="III45" s="291"/>
      <c r="IIJ45" s="291"/>
      <c r="IIK45" s="291"/>
      <c r="IIL45" s="291"/>
      <c r="IIM45" s="291"/>
      <c r="IIN45" s="291"/>
      <c r="IIO45" s="291"/>
      <c r="IIP45" s="291"/>
      <c r="IIQ45" s="291"/>
      <c r="IIR45" s="291"/>
      <c r="IIS45" s="291"/>
      <c r="IIT45" s="291"/>
      <c r="IIU45" s="291"/>
      <c r="IIV45" s="291"/>
      <c r="IIW45" s="291"/>
      <c r="IIX45" s="291"/>
      <c r="IIY45" s="291"/>
      <c r="IIZ45" s="291"/>
      <c r="IJA45" s="291"/>
      <c r="IJB45" s="291"/>
      <c r="IJC45" s="291"/>
      <c r="IJD45" s="291"/>
      <c r="IJE45" s="291"/>
      <c r="IJF45" s="291"/>
      <c r="IJG45" s="291"/>
      <c r="IJH45" s="291"/>
      <c r="IJI45" s="291"/>
      <c r="IJJ45" s="291"/>
      <c r="IJK45" s="291"/>
      <c r="IJL45" s="291"/>
      <c r="IJM45" s="291"/>
      <c r="IJN45" s="291"/>
      <c r="IJO45" s="291"/>
      <c r="IJP45" s="291"/>
      <c r="IJQ45" s="291"/>
      <c r="IJR45" s="291"/>
      <c r="IJS45" s="291"/>
      <c r="IJT45" s="291"/>
      <c r="IJU45" s="291"/>
      <c r="IJV45" s="291"/>
      <c r="IJW45" s="291"/>
      <c r="IJX45" s="291"/>
      <c r="IJY45" s="291"/>
      <c r="IJZ45" s="291"/>
      <c r="IKA45" s="291"/>
      <c r="IKB45" s="291"/>
      <c r="IKC45" s="291"/>
      <c r="IKD45" s="291"/>
      <c r="IKE45" s="291"/>
      <c r="IKF45" s="291"/>
      <c r="IKG45" s="291"/>
      <c r="IKH45" s="291"/>
      <c r="IKI45" s="291"/>
      <c r="IKJ45" s="291"/>
      <c r="IKK45" s="291"/>
      <c r="IKL45" s="291"/>
      <c r="IKM45" s="291"/>
      <c r="IKN45" s="291"/>
      <c r="IKO45" s="291"/>
      <c r="IKP45" s="291"/>
      <c r="IKQ45" s="291"/>
      <c r="IKR45" s="291"/>
      <c r="IKS45" s="291"/>
      <c r="IKT45" s="291"/>
      <c r="IKU45" s="291"/>
      <c r="IKV45" s="291"/>
      <c r="IKW45" s="291"/>
      <c r="IKX45" s="291"/>
      <c r="IKY45" s="291"/>
      <c r="IKZ45" s="291"/>
      <c r="ILA45" s="291"/>
      <c r="ILB45" s="291"/>
      <c r="ILC45" s="291"/>
      <c r="ILD45" s="291"/>
      <c r="ILE45" s="291"/>
      <c r="ILF45" s="291"/>
      <c r="ILG45" s="291"/>
      <c r="ILH45" s="291"/>
      <c r="ILI45" s="291"/>
      <c r="ILJ45" s="291"/>
      <c r="ILK45" s="291"/>
      <c r="ILL45" s="291"/>
      <c r="ILM45" s="291"/>
      <c r="ILN45" s="291"/>
      <c r="ILO45" s="291"/>
      <c r="ILP45" s="291"/>
      <c r="ILQ45" s="291"/>
      <c r="ILR45" s="291"/>
      <c r="ILS45" s="291"/>
      <c r="ILT45" s="291"/>
      <c r="ILU45" s="291"/>
      <c r="ILV45" s="291"/>
      <c r="ILW45" s="291"/>
      <c r="ILX45" s="291"/>
      <c r="ILY45" s="291"/>
      <c r="ILZ45" s="291"/>
      <c r="IMA45" s="291"/>
      <c r="IMB45" s="291"/>
      <c r="IMC45" s="291"/>
      <c r="IMD45" s="291"/>
      <c r="IME45" s="291"/>
      <c r="IMF45" s="291"/>
      <c r="IMG45" s="291"/>
      <c r="IMH45" s="291"/>
      <c r="IMI45" s="291"/>
      <c r="IMJ45" s="291"/>
      <c r="IMK45" s="291"/>
      <c r="IML45" s="291"/>
      <c r="IMM45" s="291"/>
      <c r="IMN45" s="291"/>
      <c r="IMO45" s="291"/>
      <c r="IMP45" s="291"/>
      <c r="IMQ45" s="291"/>
      <c r="IMR45" s="291"/>
      <c r="IMS45" s="291"/>
      <c r="IMT45" s="291"/>
      <c r="IMU45" s="291"/>
      <c r="IMV45" s="291"/>
      <c r="IMW45" s="291"/>
      <c r="IMX45" s="291"/>
      <c r="IMY45" s="291"/>
      <c r="IMZ45" s="291"/>
      <c r="INA45" s="291"/>
      <c r="INB45" s="291"/>
      <c r="INC45" s="291"/>
      <c r="IND45" s="291"/>
      <c r="INE45" s="291"/>
      <c r="INF45" s="291"/>
      <c r="ING45" s="291"/>
      <c r="INH45" s="291"/>
      <c r="INI45" s="291"/>
      <c r="INJ45" s="291"/>
      <c r="INK45" s="291"/>
      <c r="INL45" s="291"/>
      <c r="INM45" s="291"/>
      <c r="INN45" s="291"/>
      <c r="INO45" s="291"/>
      <c r="INP45" s="291"/>
      <c r="INQ45" s="291"/>
      <c r="INR45" s="291"/>
      <c r="INS45" s="291"/>
      <c r="INT45" s="291"/>
      <c r="INU45" s="291"/>
      <c r="INV45" s="291"/>
      <c r="INW45" s="291"/>
      <c r="INX45" s="291"/>
      <c r="INY45" s="291"/>
      <c r="INZ45" s="291"/>
      <c r="IOA45" s="291"/>
      <c r="IOB45" s="291"/>
      <c r="IOC45" s="291"/>
      <c r="IOD45" s="291"/>
      <c r="IOE45" s="291"/>
      <c r="IOF45" s="291"/>
      <c r="IOG45" s="291"/>
      <c r="IOH45" s="291"/>
      <c r="IOI45" s="291"/>
      <c r="IOJ45" s="291"/>
      <c r="IOK45" s="291"/>
      <c r="IOL45" s="291"/>
      <c r="IOM45" s="291"/>
      <c r="ION45" s="291"/>
      <c r="IOO45" s="291"/>
      <c r="IOP45" s="291"/>
      <c r="IOQ45" s="291"/>
      <c r="IOR45" s="291"/>
      <c r="IOS45" s="291"/>
      <c r="IOT45" s="291"/>
      <c r="IOU45" s="291"/>
      <c r="IOV45" s="291"/>
      <c r="IOW45" s="291"/>
      <c r="IOX45" s="291"/>
      <c r="IOY45" s="291"/>
      <c r="IOZ45" s="291"/>
      <c r="IPA45" s="291"/>
      <c r="IPB45" s="291"/>
      <c r="IPC45" s="291"/>
      <c r="IPD45" s="291"/>
      <c r="IPE45" s="291"/>
      <c r="IPF45" s="291"/>
      <c r="IPG45" s="291"/>
      <c r="IPH45" s="291"/>
      <c r="IPI45" s="291"/>
      <c r="IPJ45" s="291"/>
      <c r="IPK45" s="291"/>
      <c r="IPL45" s="291"/>
      <c r="IPM45" s="291"/>
      <c r="IPN45" s="291"/>
      <c r="IPO45" s="291"/>
      <c r="IPP45" s="291"/>
      <c r="IPQ45" s="291"/>
      <c r="IPR45" s="291"/>
      <c r="IPS45" s="291"/>
      <c r="IPT45" s="291"/>
      <c r="IPU45" s="291"/>
      <c r="IPV45" s="291"/>
      <c r="IPW45" s="291"/>
      <c r="IPX45" s="291"/>
      <c r="IPY45" s="291"/>
      <c r="IPZ45" s="291"/>
      <c r="IQA45" s="291"/>
      <c r="IQB45" s="291"/>
      <c r="IQC45" s="291"/>
      <c r="IQD45" s="291"/>
      <c r="IQE45" s="291"/>
      <c r="IQF45" s="291"/>
      <c r="IQG45" s="291"/>
      <c r="IQH45" s="291"/>
      <c r="IQI45" s="291"/>
      <c r="IQJ45" s="291"/>
      <c r="IQK45" s="291"/>
      <c r="IQL45" s="291"/>
      <c r="IQM45" s="291"/>
      <c r="IQN45" s="291"/>
      <c r="IQO45" s="291"/>
      <c r="IQP45" s="291"/>
      <c r="IQQ45" s="291"/>
      <c r="IQR45" s="291"/>
      <c r="IQS45" s="291"/>
      <c r="IQT45" s="291"/>
      <c r="IQU45" s="291"/>
      <c r="IQV45" s="291"/>
      <c r="IQW45" s="291"/>
      <c r="IQX45" s="291"/>
      <c r="IQY45" s="291"/>
      <c r="IQZ45" s="291"/>
      <c r="IRA45" s="291"/>
      <c r="IRB45" s="291"/>
      <c r="IRC45" s="291"/>
      <c r="IRD45" s="291"/>
      <c r="IRE45" s="291"/>
      <c r="IRF45" s="291"/>
      <c r="IRG45" s="291"/>
      <c r="IRH45" s="291"/>
      <c r="IRI45" s="291"/>
      <c r="IRJ45" s="291"/>
      <c r="IRK45" s="291"/>
      <c r="IRL45" s="291"/>
      <c r="IRM45" s="291"/>
      <c r="IRN45" s="291"/>
      <c r="IRO45" s="291"/>
      <c r="IRP45" s="291"/>
      <c r="IRQ45" s="291"/>
      <c r="IRR45" s="291"/>
      <c r="IRS45" s="291"/>
      <c r="IRT45" s="291"/>
      <c r="IRU45" s="291"/>
      <c r="IRV45" s="291"/>
      <c r="IRW45" s="291"/>
      <c r="IRX45" s="291"/>
      <c r="IRY45" s="291"/>
      <c r="IRZ45" s="291"/>
      <c r="ISA45" s="291"/>
      <c r="ISB45" s="291"/>
      <c r="ISC45" s="291"/>
      <c r="ISD45" s="291"/>
      <c r="ISE45" s="291"/>
      <c r="ISF45" s="291"/>
      <c r="ISG45" s="291"/>
      <c r="ISH45" s="291"/>
      <c r="ISI45" s="291"/>
      <c r="ISJ45" s="291"/>
      <c r="ISK45" s="291"/>
      <c r="ISL45" s="291"/>
      <c r="ISM45" s="291"/>
      <c r="ISN45" s="291"/>
      <c r="ISO45" s="291"/>
      <c r="ISP45" s="291"/>
      <c r="ISQ45" s="291"/>
      <c r="ISR45" s="291"/>
      <c r="ISS45" s="291"/>
      <c r="IST45" s="291"/>
      <c r="ISU45" s="291"/>
      <c r="ISV45" s="291"/>
      <c r="ISW45" s="291"/>
      <c r="ISX45" s="291"/>
      <c r="ISY45" s="291"/>
      <c r="ISZ45" s="291"/>
      <c r="ITA45" s="291"/>
      <c r="ITB45" s="291"/>
      <c r="ITC45" s="291"/>
      <c r="ITD45" s="291"/>
      <c r="ITE45" s="291"/>
      <c r="ITF45" s="291"/>
      <c r="ITG45" s="291"/>
      <c r="ITH45" s="291"/>
      <c r="ITI45" s="291"/>
      <c r="ITJ45" s="291"/>
      <c r="ITK45" s="291"/>
      <c r="ITL45" s="291"/>
      <c r="ITM45" s="291"/>
      <c r="ITN45" s="291"/>
      <c r="ITO45" s="291"/>
      <c r="ITP45" s="291"/>
      <c r="ITQ45" s="291"/>
      <c r="ITR45" s="291"/>
      <c r="ITS45" s="291"/>
      <c r="ITT45" s="291"/>
      <c r="ITU45" s="291"/>
      <c r="ITV45" s="291"/>
      <c r="ITW45" s="291"/>
      <c r="ITX45" s="291"/>
      <c r="ITY45" s="291"/>
      <c r="ITZ45" s="291"/>
      <c r="IUA45" s="291"/>
      <c r="IUB45" s="291"/>
      <c r="IUC45" s="291"/>
      <c r="IUD45" s="291"/>
      <c r="IUE45" s="291"/>
      <c r="IUF45" s="291"/>
      <c r="IUG45" s="291"/>
      <c r="IUH45" s="291"/>
      <c r="IUI45" s="291"/>
      <c r="IUJ45" s="291"/>
      <c r="IUK45" s="291"/>
      <c r="IUL45" s="291"/>
      <c r="IUM45" s="291"/>
      <c r="IUN45" s="291"/>
      <c r="IUO45" s="291"/>
      <c r="IUP45" s="291"/>
      <c r="IUQ45" s="291"/>
      <c r="IUR45" s="291"/>
      <c r="IUS45" s="291"/>
      <c r="IUT45" s="291"/>
      <c r="IUU45" s="291"/>
      <c r="IUV45" s="291"/>
      <c r="IUW45" s="291"/>
      <c r="IUX45" s="291"/>
      <c r="IUY45" s="291"/>
      <c r="IUZ45" s="291"/>
      <c r="IVA45" s="291"/>
      <c r="IVB45" s="291"/>
      <c r="IVC45" s="291"/>
      <c r="IVD45" s="291"/>
      <c r="IVE45" s="291"/>
      <c r="IVF45" s="291"/>
      <c r="IVG45" s="291"/>
      <c r="IVH45" s="291"/>
      <c r="IVI45" s="291"/>
      <c r="IVJ45" s="291"/>
      <c r="IVK45" s="291"/>
      <c r="IVL45" s="291"/>
      <c r="IVM45" s="291"/>
      <c r="IVN45" s="291"/>
      <c r="IVO45" s="291"/>
      <c r="IVP45" s="291"/>
      <c r="IVQ45" s="291"/>
      <c r="IVR45" s="291"/>
      <c r="IVS45" s="291"/>
      <c r="IVT45" s="291"/>
      <c r="IVU45" s="291"/>
      <c r="IVV45" s="291"/>
      <c r="IVW45" s="291"/>
      <c r="IVX45" s="291"/>
      <c r="IVY45" s="291"/>
      <c r="IVZ45" s="291"/>
      <c r="IWA45" s="291"/>
      <c r="IWB45" s="291"/>
      <c r="IWC45" s="291"/>
      <c r="IWD45" s="291"/>
      <c r="IWE45" s="291"/>
      <c r="IWF45" s="291"/>
      <c r="IWG45" s="291"/>
      <c r="IWH45" s="291"/>
      <c r="IWI45" s="291"/>
      <c r="IWJ45" s="291"/>
      <c r="IWK45" s="291"/>
      <c r="IWL45" s="291"/>
      <c r="IWM45" s="291"/>
      <c r="IWN45" s="291"/>
      <c r="IWO45" s="291"/>
      <c r="IWP45" s="291"/>
      <c r="IWQ45" s="291"/>
      <c r="IWR45" s="291"/>
      <c r="IWS45" s="291"/>
      <c r="IWT45" s="291"/>
      <c r="IWU45" s="291"/>
      <c r="IWV45" s="291"/>
      <c r="IWW45" s="291"/>
      <c r="IWX45" s="291"/>
      <c r="IWY45" s="291"/>
      <c r="IWZ45" s="291"/>
      <c r="IXA45" s="291"/>
      <c r="IXB45" s="291"/>
      <c r="IXC45" s="291"/>
      <c r="IXD45" s="291"/>
      <c r="IXE45" s="291"/>
      <c r="IXF45" s="291"/>
      <c r="IXG45" s="291"/>
      <c r="IXH45" s="291"/>
      <c r="IXI45" s="291"/>
      <c r="IXJ45" s="291"/>
      <c r="IXK45" s="291"/>
      <c r="IXL45" s="291"/>
      <c r="IXM45" s="291"/>
      <c r="IXN45" s="291"/>
      <c r="IXO45" s="291"/>
      <c r="IXP45" s="291"/>
      <c r="IXQ45" s="291"/>
      <c r="IXR45" s="291"/>
      <c r="IXS45" s="291"/>
      <c r="IXT45" s="291"/>
      <c r="IXU45" s="291"/>
      <c r="IXV45" s="291"/>
      <c r="IXW45" s="291"/>
      <c r="IXX45" s="291"/>
      <c r="IXY45" s="291"/>
      <c r="IXZ45" s="291"/>
      <c r="IYA45" s="291"/>
      <c r="IYB45" s="291"/>
      <c r="IYC45" s="291"/>
      <c r="IYD45" s="291"/>
      <c r="IYE45" s="291"/>
      <c r="IYF45" s="291"/>
      <c r="IYG45" s="291"/>
      <c r="IYH45" s="291"/>
      <c r="IYI45" s="291"/>
      <c r="IYJ45" s="291"/>
      <c r="IYK45" s="291"/>
      <c r="IYL45" s="291"/>
      <c r="IYM45" s="291"/>
      <c r="IYN45" s="291"/>
      <c r="IYO45" s="291"/>
      <c r="IYP45" s="291"/>
      <c r="IYQ45" s="291"/>
      <c r="IYR45" s="291"/>
      <c r="IYS45" s="291"/>
      <c r="IYT45" s="291"/>
      <c r="IYU45" s="291"/>
      <c r="IYV45" s="291"/>
      <c r="IYW45" s="291"/>
      <c r="IYX45" s="291"/>
      <c r="IYY45" s="291"/>
      <c r="IYZ45" s="291"/>
      <c r="IZA45" s="291"/>
      <c r="IZB45" s="291"/>
      <c r="IZC45" s="291"/>
      <c r="IZD45" s="291"/>
      <c r="IZE45" s="291"/>
      <c r="IZF45" s="291"/>
      <c r="IZG45" s="291"/>
      <c r="IZH45" s="291"/>
      <c r="IZI45" s="291"/>
      <c r="IZJ45" s="291"/>
      <c r="IZK45" s="291"/>
      <c r="IZL45" s="291"/>
      <c r="IZM45" s="291"/>
      <c r="IZN45" s="291"/>
      <c r="IZO45" s="291"/>
      <c r="IZP45" s="291"/>
      <c r="IZQ45" s="291"/>
      <c r="IZR45" s="291"/>
      <c r="IZS45" s="291"/>
      <c r="IZT45" s="291"/>
      <c r="IZU45" s="291"/>
      <c r="IZV45" s="291"/>
      <c r="IZW45" s="291"/>
      <c r="IZX45" s="291"/>
      <c r="IZY45" s="291"/>
      <c r="IZZ45" s="291"/>
      <c r="JAA45" s="291"/>
      <c r="JAB45" s="291"/>
      <c r="JAC45" s="291"/>
      <c r="JAD45" s="291"/>
      <c r="JAE45" s="291"/>
      <c r="JAF45" s="291"/>
      <c r="JAG45" s="291"/>
      <c r="JAH45" s="291"/>
      <c r="JAI45" s="291"/>
      <c r="JAJ45" s="291"/>
      <c r="JAK45" s="291"/>
      <c r="JAL45" s="291"/>
      <c r="JAM45" s="291"/>
      <c r="JAN45" s="291"/>
      <c r="JAO45" s="291"/>
      <c r="JAP45" s="291"/>
      <c r="JAQ45" s="291"/>
      <c r="JAR45" s="291"/>
      <c r="JAS45" s="291"/>
      <c r="JAT45" s="291"/>
      <c r="JAU45" s="291"/>
      <c r="JAV45" s="291"/>
      <c r="JAW45" s="291"/>
      <c r="JAX45" s="291"/>
      <c r="JAY45" s="291"/>
      <c r="JAZ45" s="291"/>
      <c r="JBA45" s="291"/>
      <c r="JBB45" s="291"/>
      <c r="JBC45" s="291"/>
      <c r="JBD45" s="291"/>
      <c r="JBE45" s="291"/>
      <c r="JBF45" s="291"/>
      <c r="JBG45" s="291"/>
      <c r="JBH45" s="291"/>
      <c r="JBI45" s="291"/>
      <c r="JBJ45" s="291"/>
      <c r="JBK45" s="291"/>
      <c r="JBL45" s="291"/>
      <c r="JBM45" s="291"/>
      <c r="JBN45" s="291"/>
      <c r="JBO45" s="291"/>
      <c r="JBP45" s="291"/>
      <c r="JBQ45" s="291"/>
      <c r="JBR45" s="291"/>
      <c r="JBS45" s="291"/>
      <c r="JBT45" s="291"/>
      <c r="JBU45" s="291"/>
      <c r="JBV45" s="291"/>
      <c r="JBW45" s="291"/>
      <c r="JBX45" s="291"/>
      <c r="JBY45" s="291"/>
      <c r="JBZ45" s="291"/>
      <c r="JCA45" s="291"/>
      <c r="JCB45" s="291"/>
      <c r="JCC45" s="291"/>
      <c r="JCD45" s="291"/>
      <c r="JCE45" s="291"/>
      <c r="JCF45" s="291"/>
      <c r="JCG45" s="291"/>
      <c r="JCH45" s="291"/>
      <c r="JCI45" s="291"/>
      <c r="JCJ45" s="291"/>
      <c r="JCK45" s="291"/>
      <c r="JCL45" s="291"/>
      <c r="JCM45" s="291"/>
      <c r="JCN45" s="291"/>
      <c r="JCO45" s="291"/>
      <c r="JCP45" s="291"/>
      <c r="JCQ45" s="291"/>
      <c r="JCR45" s="291"/>
      <c r="JCS45" s="291"/>
      <c r="JCT45" s="291"/>
      <c r="JCU45" s="291"/>
      <c r="JCV45" s="291"/>
      <c r="JCW45" s="291"/>
      <c r="JCX45" s="291"/>
      <c r="JCY45" s="291"/>
      <c r="JCZ45" s="291"/>
      <c r="JDA45" s="291"/>
      <c r="JDB45" s="291"/>
      <c r="JDC45" s="291"/>
      <c r="JDD45" s="291"/>
      <c r="JDE45" s="291"/>
      <c r="JDF45" s="291"/>
      <c r="JDG45" s="291"/>
      <c r="JDH45" s="291"/>
      <c r="JDI45" s="291"/>
      <c r="JDJ45" s="291"/>
      <c r="JDK45" s="291"/>
      <c r="JDL45" s="291"/>
      <c r="JDM45" s="291"/>
      <c r="JDN45" s="291"/>
      <c r="JDO45" s="291"/>
      <c r="JDP45" s="291"/>
      <c r="JDQ45" s="291"/>
      <c r="JDR45" s="291"/>
      <c r="JDS45" s="291"/>
      <c r="JDT45" s="291"/>
      <c r="JDU45" s="291"/>
      <c r="JDV45" s="291"/>
      <c r="JDW45" s="291"/>
      <c r="JDX45" s="291"/>
      <c r="JDY45" s="291"/>
      <c r="JDZ45" s="291"/>
      <c r="JEA45" s="291"/>
      <c r="JEB45" s="291"/>
      <c r="JEC45" s="291"/>
      <c r="JED45" s="291"/>
      <c r="JEE45" s="291"/>
      <c r="JEF45" s="291"/>
      <c r="JEG45" s="291"/>
      <c r="JEH45" s="291"/>
      <c r="JEI45" s="291"/>
      <c r="JEJ45" s="291"/>
      <c r="JEK45" s="291"/>
      <c r="JEL45" s="291"/>
      <c r="JEM45" s="291"/>
      <c r="JEN45" s="291"/>
      <c r="JEO45" s="291"/>
      <c r="JEP45" s="291"/>
      <c r="JEQ45" s="291"/>
      <c r="JER45" s="291"/>
      <c r="JES45" s="291"/>
      <c r="JET45" s="291"/>
      <c r="JEU45" s="291"/>
      <c r="JEV45" s="291"/>
      <c r="JEW45" s="291"/>
      <c r="JEX45" s="291"/>
      <c r="JEY45" s="291"/>
      <c r="JEZ45" s="291"/>
      <c r="JFA45" s="291"/>
      <c r="JFB45" s="291"/>
      <c r="JFC45" s="291"/>
      <c r="JFD45" s="291"/>
      <c r="JFE45" s="291"/>
      <c r="JFF45" s="291"/>
      <c r="JFG45" s="291"/>
      <c r="JFH45" s="291"/>
      <c r="JFI45" s="291"/>
      <c r="JFJ45" s="291"/>
      <c r="JFK45" s="291"/>
      <c r="JFL45" s="291"/>
      <c r="JFM45" s="291"/>
      <c r="JFN45" s="291"/>
      <c r="JFO45" s="291"/>
      <c r="JFP45" s="291"/>
      <c r="JFQ45" s="291"/>
      <c r="JFR45" s="291"/>
      <c r="JFS45" s="291"/>
      <c r="JFT45" s="291"/>
      <c r="JFU45" s="291"/>
      <c r="JFV45" s="291"/>
      <c r="JFW45" s="291"/>
      <c r="JFX45" s="291"/>
      <c r="JFY45" s="291"/>
      <c r="JFZ45" s="291"/>
      <c r="JGA45" s="291"/>
      <c r="JGB45" s="291"/>
      <c r="JGC45" s="291"/>
      <c r="JGD45" s="291"/>
      <c r="JGE45" s="291"/>
      <c r="JGF45" s="291"/>
      <c r="JGG45" s="291"/>
      <c r="JGH45" s="291"/>
      <c r="JGI45" s="291"/>
      <c r="JGJ45" s="291"/>
      <c r="JGK45" s="291"/>
      <c r="JGL45" s="291"/>
      <c r="JGM45" s="291"/>
      <c r="JGN45" s="291"/>
      <c r="JGO45" s="291"/>
      <c r="JGP45" s="291"/>
      <c r="JGQ45" s="291"/>
      <c r="JGR45" s="291"/>
      <c r="JGS45" s="291"/>
      <c r="JGT45" s="291"/>
      <c r="JGU45" s="291"/>
      <c r="JGV45" s="291"/>
      <c r="JGW45" s="291"/>
      <c r="JGX45" s="291"/>
      <c r="JGY45" s="291"/>
      <c r="JGZ45" s="291"/>
      <c r="JHA45" s="291"/>
      <c r="JHB45" s="291"/>
      <c r="JHC45" s="291"/>
      <c r="JHD45" s="291"/>
      <c r="JHE45" s="291"/>
      <c r="JHF45" s="291"/>
      <c r="JHG45" s="291"/>
      <c r="JHH45" s="291"/>
      <c r="JHI45" s="291"/>
      <c r="JHJ45" s="291"/>
      <c r="JHK45" s="291"/>
      <c r="JHL45" s="291"/>
      <c r="JHM45" s="291"/>
      <c r="JHN45" s="291"/>
      <c r="JHO45" s="291"/>
      <c r="JHP45" s="291"/>
      <c r="JHQ45" s="291"/>
      <c r="JHR45" s="291"/>
      <c r="JHS45" s="291"/>
      <c r="JHT45" s="291"/>
      <c r="JHU45" s="291"/>
      <c r="JHV45" s="291"/>
      <c r="JHW45" s="291"/>
      <c r="JHX45" s="291"/>
      <c r="JHY45" s="291"/>
      <c r="JHZ45" s="291"/>
      <c r="JIA45" s="291"/>
      <c r="JIB45" s="291"/>
      <c r="JIC45" s="291"/>
      <c r="JID45" s="291"/>
      <c r="JIE45" s="291"/>
      <c r="JIF45" s="291"/>
      <c r="JIG45" s="291"/>
      <c r="JIH45" s="291"/>
      <c r="JII45" s="291"/>
      <c r="JIJ45" s="291"/>
      <c r="JIK45" s="291"/>
      <c r="JIL45" s="291"/>
      <c r="JIM45" s="291"/>
      <c r="JIN45" s="291"/>
      <c r="JIO45" s="291"/>
      <c r="JIP45" s="291"/>
      <c r="JIQ45" s="291"/>
      <c r="JIR45" s="291"/>
      <c r="JIS45" s="291"/>
      <c r="JIT45" s="291"/>
      <c r="JIU45" s="291"/>
      <c r="JIV45" s="291"/>
      <c r="JIW45" s="291"/>
      <c r="JIX45" s="291"/>
      <c r="JIY45" s="291"/>
      <c r="JIZ45" s="291"/>
      <c r="JJA45" s="291"/>
      <c r="JJB45" s="291"/>
      <c r="JJC45" s="291"/>
      <c r="JJD45" s="291"/>
      <c r="JJE45" s="291"/>
      <c r="JJF45" s="291"/>
      <c r="JJG45" s="291"/>
      <c r="JJH45" s="291"/>
      <c r="JJI45" s="291"/>
      <c r="JJJ45" s="291"/>
      <c r="JJK45" s="291"/>
      <c r="JJL45" s="291"/>
      <c r="JJM45" s="291"/>
      <c r="JJN45" s="291"/>
      <c r="JJO45" s="291"/>
      <c r="JJP45" s="291"/>
      <c r="JJQ45" s="291"/>
      <c r="JJR45" s="291"/>
      <c r="JJS45" s="291"/>
      <c r="JJT45" s="291"/>
      <c r="JJU45" s="291"/>
      <c r="JJV45" s="291"/>
      <c r="JJW45" s="291"/>
      <c r="JJX45" s="291"/>
      <c r="JJY45" s="291"/>
      <c r="JJZ45" s="291"/>
      <c r="JKA45" s="291"/>
      <c r="JKB45" s="291"/>
      <c r="JKC45" s="291"/>
      <c r="JKD45" s="291"/>
      <c r="JKE45" s="291"/>
      <c r="JKF45" s="291"/>
      <c r="JKG45" s="291"/>
      <c r="JKH45" s="291"/>
      <c r="JKI45" s="291"/>
      <c r="JKJ45" s="291"/>
      <c r="JKK45" s="291"/>
      <c r="JKL45" s="291"/>
      <c r="JKM45" s="291"/>
      <c r="JKN45" s="291"/>
      <c r="JKO45" s="291"/>
      <c r="JKP45" s="291"/>
      <c r="JKQ45" s="291"/>
      <c r="JKR45" s="291"/>
      <c r="JKS45" s="291"/>
      <c r="JKT45" s="291"/>
      <c r="JKU45" s="291"/>
      <c r="JKV45" s="291"/>
      <c r="JKW45" s="291"/>
      <c r="JKX45" s="291"/>
      <c r="JKY45" s="291"/>
      <c r="JKZ45" s="291"/>
      <c r="JLA45" s="291"/>
      <c r="JLB45" s="291"/>
      <c r="JLC45" s="291"/>
      <c r="JLD45" s="291"/>
      <c r="JLE45" s="291"/>
      <c r="JLF45" s="291"/>
      <c r="JLG45" s="291"/>
      <c r="JLH45" s="291"/>
      <c r="JLI45" s="291"/>
      <c r="JLJ45" s="291"/>
      <c r="JLK45" s="291"/>
      <c r="JLL45" s="291"/>
      <c r="JLM45" s="291"/>
      <c r="JLN45" s="291"/>
      <c r="JLO45" s="291"/>
      <c r="JLP45" s="291"/>
      <c r="JLQ45" s="291"/>
      <c r="JLR45" s="291"/>
      <c r="JLS45" s="291"/>
      <c r="JLT45" s="291"/>
      <c r="JLU45" s="291"/>
      <c r="JLV45" s="291"/>
      <c r="JLW45" s="291"/>
      <c r="JLX45" s="291"/>
      <c r="JLY45" s="291"/>
      <c r="JLZ45" s="291"/>
      <c r="JMA45" s="291"/>
      <c r="JMB45" s="291"/>
      <c r="JMC45" s="291"/>
      <c r="JMD45" s="291"/>
      <c r="JME45" s="291"/>
      <c r="JMF45" s="291"/>
      <c r="JMG45" s="291"/>
      <c r="JMH45" s="291"/>
      <c r="JMI45" s="291"/>
      <c r="JMJ45" s="291"/>
      <c r="JMK45" s="291"/>
      <c r="JML45" s="291"/>
      <c r="JMM45" s="291"/>
      <c r="JMN45" s="291"/>
      <c r="JMO45" s="291"/>
      <c r="JMP45" s="291"/>
      <c r="JMQ45" s="291"/>
      <c r="JMR45" s="291"/>
      <c r="JMS45" s="291"/>
      <c r="JMT45" s="291"/>
      <c r="JMU45" s="291"/>
      <c r="JMV45" s="291"/>
      <c r="JMW45" s="291"/>
      <c r="JMX45" s="291"/>
      <c r="JMY45" s="291"/>
      <c r="JMZ45" s="291"/>
      <c r="JNA45" s="291"/>
      <c r="JNB45" s="291"/>
      <c r="JNC45" s="291"/>
      <c r="JND45" s="291"/>
      <c r="JNE45" s="291"/>
      <c r="JNF45" s="291"/>
      <c r="JNG45" s="291"/>
      <c r="JNH45" s="291"/>
      <c r="JNI45" s="291"/>
      <c r="JNJ45" s="291"/>
      <c r="JNK45" s="291"/>
      <c r="JNL45" s="291"/>
      <c r="JNM45" s="291"/>
      <c r="JNN45" s="291"/>
      <c r="JNO45" s="291"/>
      <c r="JNP45" s="291"/>
      <c r="JNQ45" s="291"/>
      <c r="JNR45" s="291"/>
      <c r="JNS45" s="291"/>
      <c r="JNT45" s="291"/>
      <c r="JNU45" s="291"/>
      <c r="JNV45" s="291"/>
      <c r="JNW45" s="291"/>
      <c r="JNX45" s="291"/>
      <c r="JNY45" s="291"/>
      <c r="JNZ45" s="291"/>
      <c r="JOA45" s="291"/>
      <c r="JOB45" s="291"/>
      <c r="JOC45" s="291"/>
      <c r="JOD45" s="291"/>
      <c r="JOE45" s="291"/>
      <c r="JOF45" s="291"/>
      <c r="JOG45" s="291"/>
      <c r="JOH45" s="291"/>
      <c r="JOI45" s="291"/>
      <c r="JOJ45" s="291"/>
      <c r="JOK45" s="291"/>
      <c r="JOL45" s="291"/>
      <c r="JOM45" s="291"/>
      <c r="JON45" s="291"/>
      <c r="JOO45" s="291"/>
      <c r="JOP45" s="291"/>
      <c r="JOQ45" s="291"/>
      <c r="JOR45" s="291"/>
      <c r="JOS45" s="291"/>
      <c r="JOT45" s="291"/>
      <c r="JOU45" s="291"/>
      <c r="JOV45" s="291"/>
      <c r="JOW45" s="291"/>
      <c r="JOX45" s="291"/>
      <c r="JOY45" s="291"/>
      <c r="JOZ45" s="291"/>
      <c r="JPA45" s="291"/>
      <c r="JPB45" s="291"/>
      <c r="JPC45" s="291"/>
      <c r="JPD45" s="291"/>
      <c r="JPE45" s="291"/>
      <c r="JPF45" s="291"/>
      <c r="JPG45" s="291"/>
      <c r="JPH45" s="291"/>
      <c r="JPI45" s="291"/>
      <c r="JPJ45" s="291"/>
      <c r="JPK45" s="291"/>
      <c r="JPL45" s="291"/>
      <c r="JPM45" s="291"/>
      <c r="JPN45" s="291"/>
      <c r="JPO45" s="291"/>
      <c r="JPP45" s="291"/>
      <c r="JPQ45" s="291"/>
      <c r="JPR45" s="291"/>
      <c r="JPS45" s="291"/>
      <c r="JPT45" s="291"/>
      <c r="JPU45" s="291"/>
      <c r="JPV45" s="291"/>
      <c r="JPW45" s="291"/>
      <c r="JPX45" s="291"/>
      <c r="JPY45" s="291"/>
      <c r="JPZ45" s="291"/>
      <c r="JQA45" s="291"/>
      <c r="JQB45" s="291"/>
      <c r="JQC45" s="291"/>
      <c r="JQD45" s="291"/>
      <c r="JQE45" s="291"/>
      <c r="JQF45" s="291"/>
      <c r="JQG45" s="291"/>
      <c r="JQH45" s="291"/>
      <c r="JQI45" s="291"/>
      <c r="JQJ45" s="291"/>
      <c r="JQK45" s="291"/>
      <c r="JQL45" s="291"/>
      <c r="JQM45" s="291"/>
      <c r="JQN45" s="291"/>
      <c r="JQO45" s="291"/>
      <c r="JQP45" s="291"/>
      <c r="JQQ45" s="291"/>
      <c r="JQR45" s="291"/>
      <c r="JQS45" s="291"/>
      <c r="JQT45" s="291"/>
      <c r="JQU45" s="291"/>
      <c r="JQV45" s="291"/>
      <c r="JQW45" s="291"/>
      <c r="JQX45" s="291"/>
      <c r="JQY45" s="291"/>
      <c r="JQZ45" s="291"/>
      <c r="JRA45" s="291"/>
      <c r="JRB45" s="291"/>
      <c r="JRC45" s="291"/>
      <c r="JRD45" s="291"/>
      <c r="JRE45" s="291"/>
      <c r="JRF45" s="291"/>
      <c r="JRG45" s="291"/>
      <c r="JRH45" s="291"/>
      <c r="JRI45" s="291"/>
      <c r="JRJ45" s="291"/>
      <c r="JRK45" s="291"/>
      <c r="JRL45" s="291"/>
      <c r="JRM45" s="291"/>
      <c r="JRN45" s="291"/>
      <c r="JRO45" s="291"/>
      <c r="JRP45" s="291"/>
      <c r="JRQ45" s="291"/>
      <c r="JRR45" s="291"/>
      <c r="JRS45" s="291"/>
      <c r="JRT45" s="291"/>
      <c r="JRU45" s="291"/>
      <c r="JRV45" s="291"/>
      <c r="JRW45" s="291"/>
      <c r="JRX45" s="291"/>
      <c r="JRY45" s="291"/>
      <c r="JRZ45" s="291"/>
      <c r="JSA45" s="291"/>
      <c r="JSB45" s="291"/>
      <c r="JSC45" s="291"/>
      <c r="JSD45" s="291"/>
      <c r="JSE45" s="291"/>
      <c r="JSF45" s="291"/>
      <c r="JSG45" s="291"/>
      <c r="JSH45" s="291"/>
      <c r="JSI45" s="291"/>
      <c r="JSJ45" s="291"/>
      <c r="JSK45" s="291"/>
      <c r="JSL45" s="291"/>
      <c r="JSM45" s="291"/>
      <c r="JSN45" s="291"/>
      <c r="JSO45" s="291"/>
      <c r="JSP45" s="291"/>
      <c r="JSQ45" s="291"/>
      <c r="JSR45" s="291"/>
      <c r="JSS45" s="291"/>
      <c r="JST45" s="291"/>
      <c r="JSU45" s="291"/>
      <c r="JSV45" s="291"/>
      <c r="JSW45" s="291"/>
      <c r="JSX45" s="291"/>
      <c r="JSY45" s="291"/>
      <c r="JSZ45" s="291"/>
      <c r="JTA45" s="291"/>
      <c r="JTB45" s="291"/>
      <c r="JTC45" s="291"/>
      <c r="JTD45" s="291"/>
      <c r="JTE45" s="291"/>
      <c r="JTF45" s="291"/>
      <c r="JTG45" s="291"/>
      <c r="JTH45" s="291"/>
      <c r="JTI45" s="291"/>
      <c r="JTJ45" s="291"/>
      <c r="JTK45" s="291"/>
      <c r="JTL45" s="291"/>
      <c r="JTM45" s="291"/>
      <c r="JTN45" s="291"/>
      <c r="JTO45" s="291"/>
      <c r="JTP45" s="291"/>
      <c r="JTQ45" s="291"/>
      <c r="JTR45" s="291"/>
      <c r="JTS45" s="291"/>
      <c r="JTT45" s="291"/>
      <c r="JTU45" s="291"/>
      <c r="JTV45" s="291"/>
      <c r="JTW45" s="291"/>
      <c r="JTX45" s="291"/>
      <c r="JTY45" s="291"/>
      <c r="JTZ45" s="291"/>
      <c r="JUA45" s="291"/>
      <c r="JUB45" s="291"/>
      <c r="JUC45" s="291"/>
      <c r="JUD45" s="291"/>
      <c r="JUE45" s="291"/>
      <c r="JUF45" s="291"/>
      <c r="JUG45" s="291"/>
      <c r="JUH45" s="291"/>
      <c r="JUI45" s="291"/>
      <c r="JUJ45" s="291"/>
      <c r="JUK45" s="291"/>
      <c r="JUL45" s="291"/>
      <c r="JUM45" s="291"/>
      <c r="JUN45" s="291"/>
      <c r="JUO45" s="291"/>
      <c r="JUP45" s="291"/>
      <c r="JUQ45" s="291"/>
      <c r="JUR45" s="291"/>
      <c r="JUS45" s="291"/>
      <c r="JUT45" s="291"/>
      <c r="JUU45" s="291"/>
      <c r="JUV45" s="291"/>
      <c r="JUW45" s="291"/>
      <c r="JUX45" s="291"/>
      <c r="JUY45" s="291"/>
      <c r="JUZ45" s="291"/>
      <c r="JVA45" s="291"/>
      <c r="JVB45" s="291"/>
      <c r="JVC45" s="291"/>
      <c r="JVD45" s="291"/>
      <c r="JVE45" s="291"/>
      <c r="JVF45" s="291"/>
      <c r="JVG45" s="291"/>
      <c r="JVH45" s="291"/>
      <c r="JVI45" s="291"/>
      <c r="JVJ45" s="291"/>
      <c r="JVK45" s="291"/>
      <c r="JVL45" s="291"/>
      <c r="JVM45" s="291"/>
      <c r="JVN45" s="291"/>
      <c r="JVO45" s="291"/>
      <c r="JVP45" s="291"/>
      <c r="JVQ45" s="291"/>
      <c r="JVR45" s="291"/>
      <c r="JVS45" s="291"/>
      <c r="JVT45" s="291"/>
      <c r="JVU45" s="291"/>
      <c r="JVV45" s="291"/>
      <c r="JVW45" s="291"/>
      <c r="JVX45" s="291"/>
      <c r="JVY45" s="291"/>
      <c r="JVZ45" s="291"/>
      <c r="JWA45" s="291"/>
      <c r="JWB45" s="291"/>
      <c r="JWC45" s="291"/>
      <c r="JWD45" s="291"/>
      <c r="JWE45" s="291"/>
      <c r="JWF45" s="291"/>
      <c r="JWG45" s="291"/>
      <c r="JWH45" s="291"/>
      <c r="JWI45" s="291"/>
      <c r="JWJ45" s="291"/>
      <c r="JWK45" s="291"/>
      <c r="JWL45" s="291"/>
      <c r="JWM45" s="291"/>
      <c r="JWN45" s="291"/>
      <c r="JWO45" s="291"/>
      <c r="JWP45" s="291"/>
      <c r="JWQ45" s="291"/>
      <c r="JWR45" s="291"/>
      <c r="JWS45" s="291"/>
      <c r="JWT45" s="291"/>
      <c r="JWU45" s="291"/>
      <c r="JWV45" s="291"/>
      <c r="JWW45" s="291"/>
      <c r="JWX45" s="291"/>
      <c r="JWY45" s="291"/>
      <c r="JWZ45" s="291"/>
      <c r="JXA45" s="291"/>
      <c r="JXB45" s="291"/>
      <c r="JXC45" s="291"/>
      <c r="JXD45" s="291"/>
      <c r="JXE45" s="291"/>
      <c r="JXF45" s="291"/>
      <c r="JXG45" s="291"/>
      <c r="JXH45" s="291"/>
      <c r="JXI45" s="291"/>
      <c r="JXJ45" s="291"/>
      <c r="JXK45" s="291"/>
      <c r="JXL45" s="291"/>
      <c r="JXM45" s="291"/>
      <c r="JXN45" s="291"/>
      <c r="JXO45" s="291"/>
      <c r="JXP45" s="291"/>
      <c r="JXQ45" s="291"/>
      <c r="JXR45" s="291"/>
      <c r="JXS45" s="291"/>
      <c r="JXT45" s="291"/>
      <c r="JXU45" s="291"/>
      <c r="JXV45" s="291"/>
      <c r="JXW45" s="291"/>
      <c r="JXX45" s="291"/>
      <c r="JXY45" s="291"/>
      <c r="JXZ45" s="291"/>
      <c r="JYA45" s="291"/>
      <c r="JYB45" s="291"/>
      <c r="JYC45" s="291"/>
      <c r="JYD45" s="291"/>
      <c r="JYE45" s="291"/>
      <c r="JYF45" s="291"/>
      <c r="JYG45" s="291"/>
      <c r="JYH45" s="291"/>
      <c r="JYI45" s="291"/>
      <c r="JYJ45" s="291"/>
      <c r="JYK45" s="291"/>
      <c r="JYL45" s="291"/>
      <c r="JYM45" s="291"/>
      <c r="JYN45" s="291"/>
      <c r="JYO45" s="291"/>
      <c r="JYP45" s="291"/>
      <c r="JYQ45" s="291"/>
      <c r="JYR45" s="291"/>
      <c r="JYS45" s="291"/>
      <c r="JYT45" s="291"/>
      <c r="JYU45" s="291"/>
      <c r="JYV45" s="291"/>
      <c r="JYW45" s="291"/>
      <c r="JYX45" s="291"/>
      <c r="JYY45" s="291"/>
      <c r="JYZ45" s="291"/>
      <c r="JZA45" s="291"/>
      <c r="JZB45" s="291"/>
      <c r="JZC45" s="291"/>
      <c r="JZD45" s="291"/>
      <c r="JZE45" s="291"/>
      <c r="JZF45" s="291"/>
      <c r="JZG45" s="291"/>
      <c r="JZH45" s="291"/>
      <c r="JZI45" s="291"/>
      <c r="JZJ45" s="291"/>
      <c r="JZK45" s="291"/>
      <c r="JZL45" s="291"/>
      <c r="JZM45" s="291"/>
      <c r="JZN45" s="291"/>
      <c r="JZO45" s="291"/>
      <c r="JZP45" s="291"/>
      <c r="JZQ45" s="291"/>
      <c r="JZR45" s="291"/>
      <c r="JZS45" s="291"/>
      <c r="JZT45" s="291"/>
      <c r="JZU45" s="291"/>
      <c r="JZV45" s="291"/>
      <c r="JZW45" s="291"/>
      <c r="JZX45" s="291"/>
      <c r="JZY45" s="291"/>
      <c r="JZZ45" s="291"/>
      <c r="KAA45" s="291"/>
      <c r="KAB45" s="291"/>
      <c r="KAC45" s="291"/>
      <c r="KAD45" s="291"/>
      <c r="KAE45" s="291"/>
      <c r="KAF45" s="291"/>
      <c r="KAG45" s="291"/>
      <c r="KAH45" s="291"/>
      <c r="KAI45" s="291"/>
      <c r="KAJ45" s="291"/>
      <c r="KAK45" s="291"/>
      <c r="KAL45" s="291"/>
      <c r="KAM45" s="291"/>
      <c r="KAN45" s="291"/>
      <c r="KAO45" s="291"/>
      <c r="KAP45" s="291"/>
      <c r="KAQ45" s="291"/>
      <c r="KAR45" s="291"/>
      <c r="KAS45" s="291"/>
      <c r="KAT45" s="291"/>
      <c r="KAU45" s="291"/>
      <c r="KAV45" s="291"/>
      <c r="KAW45" s="291"/>
      <c r="KAX45" s="291"/>
      <c r="KAY45" s="291"/>
      <c r="KAZ45" s="291"/>
      <c r="KBA45" s="291"/>
      <c r="KBB45" s="291"/>
      <c r="KBC45" s="291"/>
      <c r="KBD45" s="291"/>
      <c r="KBE45" s="291"/>
      <c r="KBF45" s="291"/>
      <c r="KBG45" s="291"/>
      <c r="KBH45" s="291"/>
      <c r="KBI45" s="291"/>
      <c r="KBJ45" s="291"/>
      <c r="KBK45" s="291"/>
      <c r="KBL45" s="291"/>
      <c r="KBM45" s="291"/>
      <c r="KBN45" s="291"/>
      <c r="KBO45" s="291"/>
      <c r="KBP45" s="291"/>
      <c r="KBQ45" s="291"/>
      <c r="KBR45" s="291"/>
      <c r="KBS45" s="291"/>
      <c r="KBT45" s="291"/>
      <c r="KBU45" s="291"/>
      <c r="KBV45" s="291"/>
      <c r="KBW45" s="291"/>
      <c r="KBX45" s="291"/>
      <c r="KBY45" s="291"/>
      <c r="KBZ45" s="291"/>
      <c r="KCA45" s="291"/>
      <c r="KCB45" s="291"/>
      <c r="KCC45" s="291"/>
      <c r="KCD45" s="291"/>
      <c r="KCE45" s="291"/>
      <c r="KCF45" s="291"/>
      <c r="KCG45" s="291"/>
      <c r="KCH45" s="291"/>
      <c r="KCI45" s="291"/>
      <c r="KCJ45" s="291"/>
      <c r="KCK45" s="291"/>
      <c r="KCL45" s="291"/>
      <c r="KCM45" s="291"/>
      <c r="KCN45" s="291"/>
      <c r="KCO45" s="291"/>
      <c r="KCP45" s="291"/>
      <c r="KCQ45" s="291"/>
      <c r="KCR45" s="291"/>
      <c r="KCS45" s="291"/>
      <c r="KCT45" s="291"/>
      <c r="KCU45" s="291"/>
      <c r="KCV45" s="291"/>
      <c r="KCW45" s="291"/>
      <c r="KCX45" s="291"/>
      <c r="KCY45" s="291"/>
      <c r="KCZ45" s="291"/>
      <c r="KDA45" s="291"/>
      <c r="KDB45" s="291"/>
      <c r="KDC45" s="291"/>
      <c r="KDD45" s="291"/>
      <c r="KDE45" s="291"/>
      <c r="KDF45" s="291"/>
      <c r="KDG45" s="291"/>
      <c r="KDH45" s="291"/>
      <c r="KDI45" s="291"/>
      <c r="KDJ45" s="291"/>
      <c r="KDK45" s="291"/>
      <c r="KDL45" s="291"/>
      <c r="KDM45" s="291"/>
      <c r="KDN45" s="291"/>
      <c r="KDO45" s="291"/>
      <c r="KDP45" s="291"/>
      <c r="KDQ45" s="291"/>
      <c r="KDR45" s="291"/>
      <c r="KDS45" s="291"/>
      <c r="KDT45" s="291"/>
      <c r="KDU45" s="291"/>
      <c r="KDV45" s="291"/>
      <c r="KDW45" s="291"/>
      <c r="KDX45" s="291"/>
      <c r="KDY45" s="291"/>
      <c r="KDZ45" s="291"/>
      <c r="KEA45" s="291"/>
      <c r="KEB45" s="291"/>
      <c r="KEC45" s="291"/>
      <c r="KED45" s="291"/>
      <c r="KEE45" s="291"/>
      <c r="KEF45" s="291"/>
      <c r="KEG45" s="291"/>
      <c r="KEH45" s="291"/>
      <c r="KEI45" s="291"/>
      <c r="KEJ45" s="291"/>
      <c r="KEK45" s="291"/>
      <c r="KEL45" s="291"/>
      <c r="KEM45" s="291"/>
      <c r="KEN45" s="291"/>
      <c r="KEO45" s="291"/>
      <c r="KEP45" s="291"/>
      <c r="KEQ45" s="291"/>
      <c r="KER45" s="291"/>
      <c r="KES45" s="291"/>
      <c r="KET45" s="291"/>
      <c r="KEU45" s="291"/>
      <c r="KEV45" s="291"/>
      <c r="KEW45" s="291"/>
      <c r="KEX45" s="291"/>
      <c r="KEY45" s="291"/>
      <c r="KEZ45" s="291"/>
      <c r="KFA45" s="291"/>
      <c r="KFB45" s="291"/>
      <c r="KFC45" s="291"/>
      <c r="KFD45" s="291"/>
      <c r="KFE45" s="291"/>
      <c r="KFF45" s="291"/>
      <c r="KFG45" s="291"/>
      <c r="KFH45" s="291"/>
      <c r="KFI45" s="291"/>
      <c r="KFJ45" s="291"/>
      <c r="KFK45" s="291"/>
      <c r="KFL45" s="291"/>
      <c r="KFM45" s="291"/>
      <c r="KFN45" s="291"/>
      <c r="KFO45" s="291"/>
      <c r="KFP45" s="291"/>
      <c r="KFQ45" s="291"/>
      <c r="KFR45" s="291"/>
      <c r="KFS45" s="291"/>
      <c r="KFT45" s="291"/>
      <c r="KFU45" s="291"/>
      <c r="KFV45" s="291"/>
      <c r="KFW45" s="291"/>
      <c r="KFX45" s="291"/>
      <c r="KFY45" s="291"/>
      <c r="KFZ45" s="291"/>
      <c r="KGA45" s="291"/>
      <c r="KGB45" s="291"/>
      <c r="KGC45" s="291"/>
      <c r="KGD45" s="291"/>
      <c r="KGE45" s="291"/>
      <c r="KGF45" s="291"/>
      <c r="KGG45" s="291"/>
      <c r="KGH45" s="291"/>
      <c r="KGI45" s="291"/>
      <c r="KGJ45" s="291"/>
      <c r="KGK45" s="291"/>
      <c r="KGL45" s="291"/>
      <c r="KGM45" s="291"/>
      <c r="KGN45" s="291"/>
      <c r="KGO45" s="291"/>
      <c r="KGP45" s="291"/>
      <c r="KGQ45" s="291"/>
      <c r="KGR45" s="291"/>
      <c r="KGS45" s="291"/>
      <c r="KGT45" s="291"/>
      <c r="KGU45" s="291"/>
      <c r="KGV45" s="291"/>
      <c r="KGW45" s="291"/>
      <c r="KGX45" s="291"/>
      <c r="KGY45" s="291"/>
      <c r="KGZ45" s="291"/>
      <c r="KHA45" s="291"/>
      <c r="KHB45" s="291"/>
      <c r="KHC45" s="291"/>
      <c r="KHD45" s="291"/>
      <c r="KHE45" s="291"/>
      <c r="KHF45" s="291"/>
      <c r="KHG45" s="291"/>
      <c r="KHH45" s="291"/>
      <c r="KHI45" s="291"/>
      <c r="KHJ45" s="291"/>
      <c r="KHK45" s="291"/>
      <c r="KHL45" s="291"/>
      <c r="KHM45" s="291"/>
      <c r="KHN45" s="291"/>
      <c r="KHO45" s="291"/>
      <c r="KHP45" s="291"/>
      <c r="KHQ45" s="291"/>
      <c r="KHR45" s="291"/>
      <c r="KHS45" s="291"/>
      <c r="KHT45" s="291"/>
      <c r="KHU45" s="291"/>
      <c r="KHV45" s="291"/>
      <c r="KHW45" s="291"/>
      <c r="KHX45" s="291"/>
      <c r="KHY45" s="291"/>
      <c r="KHZ45" s="291"/>
      <c r="KIA45" s="291"/>
      <c r="KIB45" s="291"/>
      <c r="KIC45" s="291"/>
      <c r="KID45" s="291"/>
      <c r="KIE45" s="291"/>
      <c r="KIF45" s="291"/>
      <c r="KIG45" s="291"/>
      <c r="KIH45" s="291"/>
      <c r="KII45" s="291"/>
      <c r="KIJ45" s="291"/>
      <c r="KIK45" s="291"/>
      <c r="KIL45" s="291"/>
      <c r="KIM45" s="291"/>
      <c r="KIN45" s="291"/>
      <c r="KIO45" s="291"/>
      <c r="KIP45" s="291"/>
      <c r="KIQ45" s="291"/>
      <c r="KIR45" s="291"/>
      <c r="KIS45" s="291"/>
      <c r="KIT45" s="291"/>
      <c r="KIU45" s="291"/>
      <c r="KIV45" s="291"/>
      <c r="KIW45" s="291"/>
      <c r="KIX45" s="291"/>
      <c r="KIY45" s="291"/>
      <c r="KIZ45" s="291"/>
      <c r="KJA45" s="291"/>
      <c r="KJB45" s="291"/>
      <c r="KJC45" s="291"/>
      <c r="KJD45" s="291"/>
      <c r="KJE45" s="291"/>
      <c r="KJF45" s="291"/>
      <c r="KJG45" s="291"/>
      <c r="KJH45" s="291"/>
      <c r="KJI45" s="291"/>
      <c r="KJJ45" s="291"/>
      <c r="KJK45" s="291"/>
      <c r="KJL45" s="291"/>
      <c r="KJM45" s="291"/>
      <c r="KJN45" s="291"/>
      <c r="KJO45" s="291"/>
      <c r="KJP45" s="291"/>
      <c r="KJQ45" s="291"/>
      <c r="KJR45" s="291"/>
      <c r="KJS45" s="291"/>
      <c r="KJT45" s="291"/>
      <c r="KJU45" s="291"/>
      <c r="KJV45" s="291"/>
      <c r="KJW45" s="291"/>
      <c r="KJX45" s="291"/>
      <c r="KJY45" s="291"/>
      <c r="KJZ45" s="291"/>
      <c r="KKA45" s="291"/>
      <c r="KKB45" s="291"/>
      <c r="KKC45" s="291"/>
      <c r="KKD45" s="291"/>
      <c r="KKE45" s="291"/>
      <c r="KKF45" s="291"/>
      <c r="KKG45" s="291"/>
      <c r="KKH45" s="291"/>
      <c r="KKI45" s="291"/>
      <c r="KKJ45" s="291"/>
      <c r="KKK45" s="291"/>
      <c r="KKL45" s="291"/>
      <c r="KKM45" s="291"/>
      <c r="KKN45" s="291"/>
      <c r="KKO45" s="291"/>
      <c r="KKP45" s="291"/>
      <c r="KKQ45" s="291"/>
      <c r="KKR45" s="291"/>
      <c r="KKS45" s="291"/>
      <c r="KKT45" s="291"/>
      <c r="KKU45" s="291"/>
      <c r="KKV45" s="291"/>
      <c r="KKW45" s="291"/>
      <c r="KKX45" s="291"/>
      <c r="KKY45" s="291"/>
      <c r="KKZ45" s="291"/>
      <c r="KLA45" s="291"/>
      <c r="KLB45" s="291"/>
      <c r="KLC45" s="291"/>
      <c r="KLD45" s="291"/>
      <c r="KLE45" s="291"/>
      <c r="KLF45" s="291"/>
      <c r="KLG45" s="291"/>
      <c r="KLH45" s="291"/>
      <c r="KLI45" s="291"/>
      <c r="KLJ45" s="291"/>
      <c r="KLK45" s="291"/>
      <c r="KLL45" s="291"/>
      <c r="KLM45" s="291"/>
      <c r="KLN45" s="291"/>
      <c r="KLO45" s="291"/>
      <c r="KLP45" s="291"/>
      <c r="KLQ45" s="291"/>
      <c r="KLR45" s="291"/>
      <c r="KLS45" s="291"/>
      <c r="KLT45" s="291"/>
      <c r="KLU45" s="291"/>
      <c r="KLV45" s="291"/>
      <c r="KLW45" s="291"/>
      <c r="KLX45" s="291"/>
      <c r="KLY45" s="291"/>
      <c r="KLZ45" s="291"/>
      <c r="KMA45" s="291"/>
      <c r="KMB45" s="291"/>
      <c r="KMC45" s="291"/>
      <c r="KMD45" s="291"/>
      <c r="KME45" s="291"/>
      <c r="KMF45" s="291"/>
      <c r="KMG45" s="291"/>
      <c r="KMH45" s="291"/>
      <c r="KMI45" s="291"/>
      <c r="KMJ45" s="291"/>
      <c r="KMK45" s="291"/>
      <c r="KML45" s="291"/>
      <c r="KMM45" s="291"/>
      <c r="KMN45" s="291"/>
      <c r="KMO45" s="291"/>
      <c r="KMP45" s="291"/>
      <c r="KMQ45" s="291"/>
      <c r="KMR45" s="291"/>
      <c r="KMS45" s="291"/>
      <c r="KMT45" s="291"/>
      <c r="KMU45" s="291"/>
      <c r="KMV45" s="291"/>
      <c r="KMW45" s="291"/>
      <c r="KMX45" s="291"/>
      <c r="KMY45" s="291"/>
      <c r="KMZ45" s="291"/>
      <c r="KNA45" s="291"/>
      <c r="KNB45" s="291"/>
      <c r="KNC45" s="291"/>
      <c r="KND45" s="291"/>
      <c r="KNE45" s="291"/>
      <c r="KNF45" s="291"/>
      <c r="KNG45" s="291"/>
      <c r="KNH45" s="291"/>
      <c r="KNI45" s="291"/>
      <c r="KNJ45" s="291"/>
      <c r="KNK45" s="291"/>
      <c r="KNL45" s="291"/>
      <c r="KNM45" s="291"/>
      <c r="KNN45" s="291"/>
      <c r="KNO45" s="291"/>
      <c r="KNP45" s="291"/>
      <c r="KNQ45" s="291"/>
      <c r="KNR45" s="291"/>
      <c r="KNS45" s="291"/>
      <c r="KNT45" s="291"/>
      <c r="KNU45" s="291"/>
      <c r="KNV45" s="291"/>
      <c r="KNW45" s="291"/>
      <c r="KNX45" s="291"/>
      <c r="KNY45" s="291"/>
      <c r="KNZ45" s="291"/>
      <c r="KOA45" s="291"/>
      <c r="KOB45" s="291"/>
      <c r="KOC45" s="291"/>
      <c r="KOD45" s="291"/>
      <c r="KOE45" s="291"/>
      <c r="KOF45" s="291"/>
      <c r="KOG45" s="291"/>
      <c r="KOH45" s="291"/>
      <c r="KOI45" s="291"/>
      <c r="KOJ45" s="291"/>
      <c r="KOK45" s="291"/>
      <c r="KOL45" s="291"/>
      <c r="KOM45" s="291"/>
      <c r="KON45" s="291"/>
      <c r="KOO45" s="291"/>
      <c r="KOP45" s="291"/>
      <c r="KOQ45" s="291"/>
      <c r="KOR45" s="291"/>
      <c r="KOS45" s="291"/>
      <c r="KOT45" s="291"/>
      <c r="KOU45" s="291"/>
      <c r="KOV45" s="291"/>
      <c r="KOW45" s="291"/>
      <c r="KOX45" s="291"/>
      <c r="KOY45" s="291"/>
      <c r="KOZ45" s="291"/>
      <c r="KPA45" s="291"/>
      <c r="KPB45" s="291"/>
      <c r="KPC45" s="291"/>
      <c r="KPD45" s="291"/>
      <c r="KPE45" s="291"/>
      <c r="KPF45" s="291"/>
      <c r="KPG45" s="291"/>
      <c r="KPH45" s="291"/>
      <c r="KPI45" s="291"/>
      <c r="KPJ45" s="291"/>
      <c r="KPK45" s="291"/>
      <c r="KPL45" s="291"/>
      <c r="KPM45" s="291"/>
      <c r="KPN45" s="291"/>
      <c r="KPO45" s="291"/>
      <c r="KPP45" s="291"/>
      <c r="KPQ45" s="291"/>
      <c r="KPR45" s="291"/>
      <c r="KPS45" s="291"/>
      <c r="KPT45" s="291"/>
      <c r="KPU45" s="291"/>
      <c r="KPV45" s="291"/>
      <c r="KPW45" s="291"/>
      <c r="KPX45" s="291"/>
      <c r="KPY45" s="291"/>
      <c r="KPZ45" s="291"/>
      <c r="KQA45" s="291"/>
      <c r="KQB45" s="291"/>
      <c r="KQC45" s="291"/>
      <c r="KQD45" s="291"/>
      <c r="KQE45" s="291"/>
      <c r="KQF45" s="291"/>
      <c r="KQG45" s="291"/>
      <c r="KQH45" s="291"/>
      <c r="KQI45" s="291"/>
      <c r="KQJ45" s="291"/>
      <c r="KQK45" s="291"/>
      <c r="KQL45" s="291"/>
      <c r="KQM45" s="291"/>
      <c r="KQN45" s="291"/>
      <c r="KQO45" s="291"/>
      <c r="KQP45" s="291"/>
      <c r="KQQ45" s="291"/>
      <c r="KQR45" s="291"/>
      <c r="KQS45" s="291"/>
      <c r="KQT45" s="291"/>
      <c r="KQU45" s="291"/>
      <c r="KQV45" s="291"/>
      <c r="KQW45" s="291"/>
      <c r="KQX45" s="291"/>
      <c r="KQY45" s="291"/>
      <c r="KQZ45" s="291"/>
      <c r="KRA45" s="291"/>
      <c r="KRB45" s="291"/>
      <c r="KRC45" s="291"/>
      <c r="KRD45" s="291"/>
      <c r="KRE45" s="291"/>
      <c r="KRF45" s="291"/>
      <c r="KRG45" s="291"/>
      <c r="KRH45" s="291"/>
      <c r="KRI45" s="291"/>
      <c r="KRJ45" s="291"/>
      <c r="KRK45" s="291"/>
      <c r="KRL45" s="291"/>
      <c r="KRM45" s="291"/>
      <c r="KRN45" s="291"/>
      <c r="KRO45" s="291"/>
      <c r="KRP45" s="291"/>
      <c r="KRQ45" s="291"/>
      <c r="KRR45" s="291"/>
      <c r="KRS45" s="291"/>
      <c r="KRT45" s="291"/>
      <c r="KRU45" s="291"/>
      <c r="KRV45" s="291"/>
      <c r="KRW45" s="291"/>
      <c r="KRX45" s="291"/>
      <c r="KRY45" s="291"/>
      <c r="KRZ45" s="291"/>
      <c r="KSA45" s="291"/>
      <c r="KSB45" s="291"/>
      <c r="KSC45" s="291"/>
      <c r="KSD45" s="291"/>
      <c r="KSE45" s="291"/>
      <c r="KSF45" s="291"/>
      <c r="KSG45" s="291"/>
      <c r="KSH45" s="291"/>
      <c r="KSI45" s="291"/>
      <c r="KSJ45" s="291"/>
      <c r="KSK45" s="291"/>
      <c r="KSL45" s="291"/>
      <c r="KSM45" s="291"/>
      <c r="KSN45" s="291"/>
      <c r="KSO45" s="291"/>
      <c r="KSP45" s="291"/>
      <c r="KSQ45" s="291"/>
      <c r="KSR45" s="291"/>
      <c r="KSS45" s="291"/>
      <c r="KST45" s="291"/>
      <c r="KSU45" s="291"/>
      <c r="KSV45" s="291"/>
      <c r="KSW45" s="291"/>
      <c r="KSX45" s="291"/>
      <c r="KSY45" s="291"/>
      <c r="KSZ45" s="291"/>
      <c r="KTA45" s="291"/>
      <c r="KTB45" s="291"/>
      <c r="KTC45" s="291"/>
      <c r="KTD45" s="291"/>
      <c r="KTE45" s="291"/>
      <c r="KTF45" s="291"/>
      <c r="KTG45" s="291"/>
      <c r="KTH45" s="291"/>
      <c r="KTI45" s="291"/>
      <c r="KTJ45" s="291"/>
      <c r="KTK45" s="291"/>
      <c r="KTL45" s="291"/>
      <c r="KTM45" s="291"/>
      <c r="KTN45" s="291"/>
      <c r="KTO45" s="291"/>
      <c r="KTP45" s="291"/>
      <c r="KTQ45" s="291"/>
      <c r="KTR45" s="291"/>
      <c r="KTS45" s="291"/>
      <c r="KTT45" s="291"/>
      <c r="KTU45" s="291"/>
      <c r="KTV45" s="291"/>
      <c r="KTW45" s="291"/>
      <c r="KTX45" s="291"/>
      <c r="KTY45" s="291"/>
      <c r="KTZ45" s="291"/>
      <c r="KUA45" s="291"/>
      <c r="KUB45" s="291"/>
      <c r="KUC45" s="291"/>
      <c r="KUD45" s="291"/>
      <c r="KUE45" s="291"/>
      <c r="KUF45" s="291"/>
      <c r="KUG45" s="291"/>
      <c r="KUH45" s="291"/>
      <c r="KUI45" s="291"/>
      <c r="KUJ45" s="291"/>
      <c r="KUK45" s="291"/>
      <c r="KUL45" s="291"/>
      <c r="KUM45" s="291"/>
      <c r="KUN45" s="291"/>
      <c r="KUO45" s="291"/>
      <c r="KUP45" s="291"/>
      <c r="KUQ45" s="291"/>
      <c r="KUR45" s="291"/>
      <c r="KUS45" s="291"/>
      <c r="KUT45" s="291"/>
      <c r="KUU45" s="291"/>
      <c r="KUV45" s="291"/>
      <c r="KUW45" s="291"/>
      <c r="KUX45" s="291"/>
      <c r="KUY45" s="291"/>
      <c r="KUZ45" s="291"/>
      <c r="KVA45" s="291"/>
      <c r="KVB45" s="291"/>
      <c r="KVC45" s="291"/>
      <c r="KVD45" s="291"/>
      <c r="KVE45" s="291"/>
      <c r="KVF45" s="291"/>
      <c r="KVG45" s="291"/>
      <c r="KVH45" s="291"/>
      <c r="KVI45" s="291"/>
      <c r="KVJ45" s="291"/>
      <c r="KVK45" s="291"/>
      <c r="KVL45" s="291"/>
      <c r="KVM45" s="291"/>
      <c r="KVN45" s="291"/>
      <c r="KVO45" s="291"/>
      <c r="KVP45" s="291"/>
      <c r="KVQ45" s="291"/>
      <c r="KVR45" s="291"/>
      <c r="KVS45" s="291"/>
      <c r="KVT45" s="291"/>
      <c r="KVU45" s="291"/>
      <c r="KVV45" s="291"/>
      <c r="KVW45" s="291"/>
      <c r="KVX45" s="291"/>
      <c r="KVY45" s="291"/>
      <c r="KVZ45" s="291"/>
      <c r="KWA45" s="291"/>
      <c r="KWB45" s="291"/>
      <c r="KWC45" s="291"/>
      <c r="KWD45" s="291"/>
      <c r="KWE45" s="291"/>
      <c r="KWF45" s="291"/>
      <c r="KWG45" s="291"/>
      <c r="KWH45" s="291"/>
      <c r="KWI45" s="291"/>
      <c r="KWJ45" s="291"/>
      <c r="KWK45" s="291"/>
      <c r="KWL45" s="291"/>
      <c r="KWM45" s="291"/>
      <c r="KWN45" s="291"/>
      <c r="KWO45" s="291"/>
      <c r="KWP45" s="291"/>
      <c r="KWQ45" s="291"/>
      <c r="KWR45" s="291"/>
      <c r="KWS45" s="291"/>
      <c r="KWT45" s="291"/>
      <c r="KWU45" s="291"/>
      <c r="KWV45" s="291"/>
      <c r="KWW45" s="291"/>
      <c r="KWX45" s="291"/>
      <c r="KWY45" s="291"/>
      <c r="KWZ45" s="291"/>
      <c r="KXA45" s="291"/>
      <c r="KXB45" s="291"/>
      <c r="KXC45" s="291"/>
      <c r="KXD45" s="291"/>
      <c r="KXE45" s="291"/>
      <c r="KXF45" s="291"/>
      <c r="KXG45" s="291"/>
      <c r="KXH45" s="291"/>
      <c r="KXI45" s="291"/>
      <c r="KXJ45" s="291"/>
      <c r="KXK45" s="291"/>
      <c r="KXL45" s="291"/>
      <c r="KXM45" s="291"/>
      <c r="KXN45" s="291"/>
      <c r="KXO45" s="291"/>
      <c r="KXP45" s="291"/>
      <c r="KXQ45" s="291"/>
      <c r="KXR45" s="291"/>
      <c r="KXS45" s="291"/>
      <c r="KXT45" s="291"/>
      <c r="KXU45" s="291"/>
      <c r="KXV45" s="291"/>
      <c r="KXW45" s="291"/>
      <c r="KXX45" s="291"/>
      <c r="KXY45" s="291"/>
      <c r="KXZ45" s="291"/>
      <c r="KYA45" s="291"/>
      <c r="KYB45" s="291"/>
      <c r="KYC45" s="291"/>
      <c r="KYD45" s="291"/>
      <c r="KYE45" s="291"/>
      <c r="KYF45" s="291"/>
      <c r="KYG45" s="291"/>
      <c r="KYH45" s="291"/>
      <c r="KYI45" s="291"/>
      <c r="KYJ45" s="291"/>
      <c r="KYK45" s="291"/>
      <c r="KYL45" s="291"/>
      <c r="KYM45" s="291"/>
      <c r="KYN45" s="291"/>
      <c r="KYO45" s="291"/>
      <c r="KYP45" s="291"/>
      <c r="KYQ45" s="291"/>
      <c r="KYR45" s="291"/>
      <c r="KYS45" s="291"/>
      <c r="KYT45" s="291"/>
      <c r="KYU45" s="291"/>
      <c r="KYV45" s="291"/>
      <c r="KYW45" s="291"/>
      <c r="KYX45" s="291"/>
      <c r="KYY45" s="291"/>
      <c r="KYZ45" s="291"/>
      <c r="KZA45" s="291"/>
      <c r="KZB45" s="291"/>
      <c r="KZC45" s="291"/>
      <c r="KZD45" s="291"/>
      <c r="KZE45" s="291"/>
      <c r="KZF45" s="291"/>
      <c r="KZG45" s="291"/>
      <c r="KZH45" s="291"/>
      <c r="KZI45" s="291"/>
      <c r="KZJ45" s="291"/>
      <c r="KZK45" s="291"/>
      <c r="KZL45" s="291"/>
      <c r="KZM45" s="291"/>
      <c r="KZN45" s="291"/>
      <c r="KZO45" s="291"/>
      <c r="KZP45" s="291"/>
      <c r="KZQ45" s="291"/>
      <c r="KZR45" s="291"/>
      <c r="KZS45" s="291"/>
      <c r="KZT45" s="291"/>
      <c r="KZU45" s="291"/>
      <c r="KZV45" s="291"/>
      <c r="KZW45" s="291"/>
      <c r="KZX45" s="291"/>
      <c r="KZY45" s="291"/>
      <c r="KZZ45" s="291"/>
      <c r="LAA45" s="291"/>
      <c r="LAB45" s="291"/>
      <c r="LAC45" s="291"/>
      <c r="LAD45" s="291"/>
      <c r="LAE45" s="291"/>
      <c r="LAF45" s="291"/>
      <c r="LAG45" s="291"/>
      <c r="LAH45" s="291"/>
      <c r="LAI45" s="291"/>
      <c r="LAJ45" s="291"/>
      <c r="LAK45" s="291"/>
      <c r="LAL45" s="291"/>
      <c r="LAM45" s="291"/>
      <c r="LAN45" s="291"/>
      <c r="LAO45" s="291"/>
      <c r="LAP45" s="291"/>
      <c r="LAQ45" s="291"/>
      <c r="LAR45" s="291"/>
      <c r="LAS45" s="291"/>
      <c r="LAT45" s="291"/>
      <c r="LAU45" s="291"/>
      <c r="LAV45" s="291"/>
      <c r="LAW45" s="291"/>
      <c r="LAX45" s="291"/>
      <c r="LAY45" s="291"/>
      <c r="LAZ45" s="291"/>
      <c r="LBA45" s="291"/>
      <c r="LBB45" s="291"/>
      <c r="LBC45" s="291"/>
      <c r="LBD45" s="291"/>
      <c r="LBE45" s="291"/>
      <c r="LBF45" s="291"/>
      <c r="LBG45" s="291"/>
      <c r="LBH45" s="291"/>
      <c r="LBI45" s="291"/>
      <c r="LBJ45" s="291"/>
      <c r="LBK45" s="291"/>
      <c r="LBL45" s="291"/>
      <c r="LBM45" s="291"/>
      <c r="LBN45" s="291"/>
      <c r="LBO45" s="291"/>
      <c r="LBP45" s="291"/>
      <c r="LBQ45" s="291"/>
      <c r="LBR45" s="291"/>
      <c r="LBS45" s="291"/>
      <c r="LBT45" s="291"/>
      <c r="LBU45" s="291"/>
      <c r="LBV45" s="291"/>
      <c r="LBW45" s="291"/>
      <c r="LBX45" s="291"/>
      <c r="LBY45" s="291"/>
      <c r="LBZ45" s="291"/>
      <c r="LCA45" s="291"/>
      <c r="LCB45" s="291"/>
      <c r="LCC45" s="291"/>
      <c r="LCD45" s="291"/>
      <c r="LCE45" s="291"/>
      <c r="LCF45" s="291"/>
      <c r="LCG45" s="291"/>
      <c r="LCH45" s="291"/>
      <c r="LCI45" s="291"/>
      <c r="LCJ45" s="291"/>
      <c r="LCK45" s="291"/>
      <c r="LCL45" s="291"/>
      <c r="LCM45" s="291"/>
      <c r="LCN45" s="291"/>
      <c r="LCO45" s="291"/>
      <c r="LCP45" s="291"/>
      <c r="LCQ45" s="291"/>
      <c r="LCR45" s="291"/>
      <c r="LCS45" s="291"/>
      <c r="LCT45" s="291"/>
      <c r="LCU45" s="291"/>
      <c r="LCV45" s="291"/>
      <c r="LCW45" s="291"/>
      <c r="LCX45" s="291"/>
      <c r="LCY45" s="291"/>
      <c r="LCZ45" s="291"/>
      <c r="LDA45" s="291"/>
      <c r="LDB45" s="291"/>
      <c r="LDC45" s="291"/>
      <c r="LDD45" s="291"/>
      <c r="LDE45" s="291"/>
      <c r="LDF45" s="291"/>
      <c r="LDG45" s="291"/>
      <c r="LDH45" s="291"/>
      <c r="LDI45" s="291"/>
      <c r="LDJ45" s="291"/>
      <c r="LDK45" s="291"/>
      <c r="LDL45" s="291"/>
      <c r="LDM45" s="291"/>
      <c r="LDN45" s="291"/>
      <c r="LDO45" s="291"/>
      <c r="LDP45" s="291"/>
      <c r="LDQ45" s="291"/>
      <c r="LDR45" s="291"/>
      <c r="LDS45" s="291"/>
      <c r="LDT45" s="291"/>
      <c r="LDU45" s="291"/>
      <c r="LDV45" s="291"/>
      <c r="LDW45" s="291"/>
      <c r="LDX45" s="291"/>
      <c r="LDY45" s="291"/>
      <c r="LDZ45" s="291"/>
      <c r="LEA45" s="291"/>
      <c r="LEB45" s="291"/>
      <c r="LEC45" s="291"/>
      <c r="LED45" s="291"/>
      <c r="LEE45" s="291"/>
      <c r="LEF45" s="291"/>
      <c r="LEG45" s="291"/>
      <c r="LEH45" s="291"/>
      <c r="LEI45" s="291"/>
      <c r="LEJ45" s="291"/>
      <c r="LEK45" s="291"/>
      <c r="LEL45" s="291"/>
      <c r="LEM45" s="291"/>
      <c r="LEN45" s="291"/>
      <c r="LEO45" s="291"/>
      <c r="LEP45" s="291"/>
      <c r="LEQ45" s="291"/>
      <c r="LER45" s="291"/>
      <c r="LES45" s="291"/>
      <c r="LET45" s="291"/>
      <c r="LEU45" s="291"/>
      <c r="LEV45" s="291"/>
      <c r="LEW45" s="291"/>
      <c r="LEX45" s="291"/>
      <c r="LEY45" s="291"/>
      <c r="LEZ45" s="291"/>
      <c r="LFA45" s="291"/>
      <c r="LFB45" s="291"/>
      <c r="LFC45" s="291"/>
      <c r="LFD45" s="291"/>
      <c r="LFE45" s="291"/>
      <c r="LFF45" s="291"/>
      <c r="LFG45" s="291"/>
      <c r="LFH45" s="291"/>
      <c r="LFI45" s="291"/>
      <c r="LFJ45" s="291"/>
      <c r="LFK45" s="291"/>
      <c r="LFL45" s="291"/>
      <c r="LFM45" s="291"/>
      <c r="LFN45" s="291"/>
      <c r="LFO45" s="291"/>
      <c r="LFP45" s="291"/>
      <c r="LFQ45" s="291"/>
      <c r="LFR45" s="291"/>
      <c r="LFS45" s="291"/>
      <c r="LFT45" s="291"/>
      <c r="LFU45" s="291"/>
      <c r="LFV45" s="291"/>
      <c r="LFW45" s="291"/>
      <c r="LFX45" s="291"/>
      <c r="LFY45" s="291"/>
      <c r="LFZ45" s="291"/>
      <c r="LGA45" s="291"/>
      <c r="LGB45" s="291"/>
      <c r="LGC45" s="291"/>
      <c r="LGD45" s="291"/>
      <c r="LGE45" s="291"/>
      <c r="LGF45" s="291"/>
      <c r="LGG45" s="291"/>
      <c r="LGH45" s="291"/>
      <c r="LGI45" s="291"/>
      <c r="LGJ45" s="291"/>
      <c r="LGK45" s="291"/>
      <c r="LGL45" s="291"/>
      <c r="LGM45" s="291"/>
      <c r="LGN45" s="291"/>
      <c r="LGO45" s="291"/>
      <c r="LGP45" s="291"/>
      <c r="LGQ45" s="291"/>
      <c r="LGR45" s="291"/>
      <c r="LGS45" s="291"/>
      <c r="LGT45" s="291"/>
      <c r="LGU45" s="291"/>
      <c r="LGV45" s="291"/>
      <c r="LGW45" s="291"/>
      <c r="LGX45" s="291"/>
      <c r="LGY45" s="291"/>
      <c r="LGZ45" s="291"/>
      <c r="LHA45" s="291"/>
      <c r="LHB45" s="291"/>
      <c r="LHC45" s="291"/>
      <c r="LHD45" s="291"/>
      <c r="LHE45" s="291"/>
      <c r="LHF45" s="291"/>
      <c r="LHG45" s="291"/>
      <c r="LHH45" s="291"/>
      <c r="LHI45" s="291"/>
      <c r="LHJ45" s="291"/>
      <c r="LHK45" s="291"/>
      <c r="LHL45" s="291"/>
      <c r="LHM45" s="291"/>
      <c r="LHN45" s="291"/>
      <c r="LHO45" s="291"/>
      <c r="LHP45" s="291"/>
      <c r="LHQ45" s="291"/>
      <c r="LHR45" s="291"/>
      <c r="LHS45" s="291"/>
      <c r="LHT45" s="291"/>
      <c r="LHU45" s="291"/>
      <c r="LHV45" s="291"/>
      <c r="LHW45" s="291"/>
      <c r="LHX45" s="291"/>
      <c r="LHY45" s="291"/>
      <c r="LHZ45" s="291"/>
      <c r="LIA45" s="291"/>
      <c r="LIB45" s="291"/>
      <c r="LIC45" s="291"/>
      <c r="LID45" s="291"/>
      <c r="LIE45" s="291"/>
      <c r="LIF45" s="291"/>
      <c r="LIG45" s="291"/>
      <c r="LIH45" s="291"/>
      <c r="LII45" s="291"/>
      <c r="LIJ45" s="291"/>
      <c r="LIK45" s="291"/>
      <c r="LIL45" s="291"/>
      <c r="LIM45" s="291"/>
      <c r="LIN45" s="291"/>
      <c r="LIO45" s="291"/>
      <c r="LIP45" s="291"/>
      <c r="LIQ45" s="291"/>
      <c r="LIR45" s="291"/>
      <c r="LIS45" s="291"/>
      <c r="LIT45" s="291"/>
      <c r="LIU45" s="291"/>
      <c r="LIV45" s="291"/>
      <c r="LIW45" s="291"/>
      <c r="LIX45" s="291"/>
      <c r="LIY45" s="291"/>
      <c r="LIZ45" s="291"/>
      <c r="LJA45" s="291"/>
      <c r="LJB45" s="291"/>
      <c r="LJC45" s="291"/>
      <c r="LJD45" s="291"/>
      <c r="LJE45" s="291"/>
      <c r="LJF45" s="291"/>
      <c r="LJG45" s="291"/>
      <c r="LJH45" s="291"/>
      <c r="LJI45" s="291"/>
      <c r="LJJ45" s="291"/>
      <c r="LJK45" s="291"/>
      <c r="LJL45" s="291"/>
      <c r="LJM45" s="291"/>
      <c r="LJN45" s="291"/>
      <c r="LJO45" s="291"/>
      <c r="LJP45" s="291"/>
      <c r="LJQ45" s="291"/>
      <c r="LJR45" s="291"/>
      <c r="LJS45" s="291"/>
      <c r="LJT45" s="291"/>
      <c r="LJU45" s="291"/>
      <c r="LJV45" s="291"/>
      <c r="LJW45" s="291"/>
      <c r="LJX45" s="291"/>
      <c r="LJY45" s="291"/>
      <c r="LJZ45" s="291"/>
      <c r="LKA45" s="291"/>
      <c r="LKB45" s="291"/>
      <c r="LKC45" s="291"/>
      <c r="LKD45" s="291"/>
      <c r="LKE45" s="291"/>
      <c r="LKF45" s="291"/>
      <c r="LKG45" s="291"/>
      <c r="LKH45" s="291"/>
      <c r="LKI45" s="291"/>
      <c r="LKJ45" s="291"/>
      <c r="LKK45" s="291"/>
      <c r="LKL45" s="291"/>
      <c r="LKM45" s="291"/>
      <c r="LKN45" s="291"/>
      <c r="LKO45" s="291"/>
      <c r="LKP45" s="291"/>
      <c r="LKQ45" s="291"/>
      <c r="LKR45" s="291"/>
      <c r="LKS45" s="291"/>
      <c r="LKT45" s="291"/>
      <c r="LKU45" s="291"/>
      <c r="LKV45" s="291"/>
      <c r="LKW45" s="291"/>
      <c r="LKX45" s="291"/>
      <c r="LKY45" s="291"/>
      <c r="LKZ45" s="291"/>
      <c r="LLA45" s="291"/>
      <c r="LLB45" s="291"/>
      <c r="LLC45" s="291"/>
      <c r="LLD45" s="291"/>
      <c r="LLE45" s="291"/>
      <c r="LLF45" s="291"/>
      <c r="LLG45" s="291"/>
      <c r="LLH45" s="291"/>
      <c r="LLI45" s="291"/>
      <c r="LLJ45" s="291"/>
      <c r="LLK45" s="291"/>
      <c r="LLL45" s="291"/>
      <c r="LLM45" s="291"/>
      <c r="LLN45" s="291"/>
      <c r="LLO45" s="291"/>
      <c r="LLP45" s="291"/>
      <c r="LLQ45" s="291"/>
      <c r="LLR45" s="291"/>
      <c r="LLS45" s="291"/>
      <c r="LLT45" s="291"/>
      <c r="LLU45" s="291"/>
      <c r="LLV45" s="291"/>
      <c r="LLW45" s="291"/>
      <c r="LLX45" s="291"/>
      <c r="LLY45" s="291"/>
      <c r="LLZ45" s="291"/>
      <c r="LMA45" s="291"/>
      <c r="LMB45" s="291"/>
      <c r="LMC45" s="291"/>
      <c r="LMD45" s="291"/>
      <c r="LME45" s="291"/>
      <c r="LMF45" s="291"/>
      <c r="LMG45" s="291"/>
      <c r="LMH45" s="291"/>
      <c r="LMI45" s="291"/>
      <c r="LMJ45" s="291"/>
      <c r="LMK45" s="291"/>
      <c r="LML45" s="291"/>
      <c r="LMM45" s="291"/>
      <c r="LMN45" s="291"/>
      <c r="LMO45" s="291"/>
      <c r="LMP45" s="291"/>
      <c r="LMQ45" s="291"/>
      <c r="LMR45" s="291"/>
      <c r="LMS45" s="291"/>
      <c r="LMT45" s="291"/>
      <c r="LMU45" s="291"/>
      <c r="LMV45" s="291"/>
      <c r="LMW45" s="291"/>
      <c r="LMX45" s="291"/>
      <c r="LMY45" s="291"/>
      <c r="LMZ45" s="291"/>
      <c r="LNA45" s="291"/>
      <c r="LNB45" s="291"/>
      <c r="LNC45" s="291"/>
      <c r="LND45" s="291"/>
      <c r="LNE45" s="291"/>
      <c r="LNF45" s="291"/>
      <c r="LNG45" s="291"/>
      <c r="LNH45" s="291"/>
      <c r="LNI45" s="291"/>
      <c r="LNJ45" s="291"/>
      <c r="LNK45" s="291"/>
      <c r="LNL45" s="291"/>
      <c r="LNM45" s="291"/>
      <c r="LNN45" s="291"/>
      <c r="LNO45" s="291"/>
      <c r="LNP45" s="291"/>
      <c r="LNQ45" s="291"/>
      <c r="LNR45" s="291"/>
      <c r="LNS45" s="291"/>
      <c r="LNT45" s="291"/>
      <c r="LNU45" s="291"/>
      <c r="LNV45" s="291"/>
      <c r="LNW45" s="291"/>
      <c r="LNX45" s="291"/>
      <c r="LNY45" s="291"/>
      <c r="LNZ45" s="291"/>
      <c r="LOA45" s="291"/>
      <c r="LOB45" s="291"/>
      <c r="LOC45" s="291"/>
      <c r="LOD45" s="291"/>
      <c r="LOE45" s="291"/>
      <c r="LOF45" s="291"/>
      <c r="LOG45" s="291"/>
      <c r="LOH45" s="291"/>
      <c r="LOI45" s="291"/>
      <c r="LOJ45" s="291"/>
      <c r="LOK45" s="291"/>
      <c r="LOL45" s="291"/>
      <c r="LOM45" s="291"/>
      <c r="LON45" s="291"/>
      <c r="LOO45" s="291"/>
      <c r="LOP45" s="291"/>
      <c r="LOQ45" s="291"/>
      <c r="LOR45" s="291"/>
      <c r="LOS45" s="291"/>
      <c r="LOT45" s="291"/>
      <c r="LOU45" s="291"/>
      <c r="LOV45" s="291"/>
      <c r="LOW45" s="291"/>
      <c r="LOX45" s="291"/>
      <c r="LOY45" s="291"/>
      <c r="LOZ45" s="291"/>
      <c r="LPA45" s="291"/>
      <c r="LPB45" s="291"/>
      <c r="LPC45" s="291"/>
      <c r="LPD45" s="291"/>
      <c r="LPE45" s="291"/>
      <c r="LPF45" s="291"/>
      <c r="LPG45" s="291"/>
      <c r="LPH45" s="291"/>
      <c r="LPI45" s="291"/>
      <c r="LPJ45" s="291"/>
      <c r="LPK45" s="291"/>
      <c r="LPL45" s="291"/>
      <c r="LPM45" s="291"/>
      <c r="LPN45" s="291"/>
      <c r="LPO45" s="291"/>
      <c r="LPP45" s="291"/>
      <c r="LPQ45" s="291"/>
      <c r="LPR45" s="291"/>
      <c r="LPS45" s="291"/>
      <c r="LPT45" s="291"/>
      <c r="LPU45" s="291"/>
      <c r="LPV45" s="291"/>
      <c r="LPW45" s="291"/>
      <c r="LPX45" s="291"/>
      <c r="LPY45" s="291"/>
      <c r="LPZ45" s="291"/>
      <c r="LQA45" s="291"/>
      <c r="LQB45" s="291"/>
      <c r="LQC45" s="291"/>
      <c r="LQD45" s="291"/>
      <c r="LQE45" s="291"/>
      <c r="LQF45" s="291"/>
      <c r="LQG45" s="291"/>
      <c r="LQH45" s="291"/>
      <c r="LQI45" s="291"/>
      <c r="LQJ45" s="291"/>
      <c r="LQK45" s="291"/>
      <c r="LQL45" s="291"/>
      <c r="LQM45" s="291"/>
      <c r="LQN45" s="291"/>
      <c r="LQO45" s="291"/>
      <c r="LQP45" s="291"/>
      <c r="LQQ45" s="291"/>
      <c r="LQR45" s="291"/>
      <c r="LQS45" s="291"/>
      <c r="LQT45" s="291"/>
      <c r="LQU45" s="291"/>
      <c r="LQV45" s="291"/>
      <c r="LQW45" s="291"/>
      <c r="LQX45" s="291"/>
      <c r="LQY45" s="291"/>
      <c r="LQZ45" s="291"/>
      <c r="LRA45" s="291"/>
      <c r="LRB45" s="291"/>
      <c r="LRC45" s="291"/>
      <c r="LRD45" s="291"/>
      <c r="LRE45" s="291"/>
      <c r="LRF45" s="291"/>
      <c r="LRG45" s="291"/>
      <c r="LRH45" s="291"/>
      <c r="LRI45" s="291"/>
      <c r="LRJ45" s="291"/>
      <c r="LRK45" s="291"/>
      <c r="LRL45" s="291"/>
      <c r="LRM45" s="291"/>
      <c r="LRN45" s="291"/>
      <c r="LRO45" s="291"/>
      <c r="LRP45" s="291"/>
      <c r="LRQ45" s="291"/>
      <c r="LRR45" s="291"/>
      <c r="LRS45" s="291"/>
      <c r="LRT45" s="291"/>
      <c r="LRU45" s="291"/>
      <c r="LRV45" s="291"/>
      <c r="LRW45" s="291"/>
      <c r="LRX45" s="291"/>
      <c r="LRY45" s="291"/>
      <c r="LRZ45" s="291"/>
      <c r="LSA45" s="291"/>
      <c r="LSB45" s="291"/>
      <c r="LSC45" s="291"/>
      <c r="LSD45" s="291"/>
      <c r="LSE45" s="291"/>
      <c r="LSF45" s="291"/>
      <c r="LSG45" s="291"/>
      <c r="LSH45" s="291"/>
      <c r="LSI45" s="291"/>
      <c r="LSJ45" s="291"/>
      <c r="LSK45" s="291"/>
      <c r="LSL45" s="291"/>
      <c r="LSM45" s="291"/>
      <c r="LSN45" s="291"/>
      <c r="LSO45" s="291"/>
      <c r="LSP45" s="291"/>
      <c r="LSQ45" s="291"/>
      <c r="LSR45" s="291"/>
      <c r="LSS45" s="291"/>
      <c r="LST45" s="291"/>
      <c r="LSU45" s="291"/>
      <c r="LSV45" s="291"/>
      <c r="LSW45" s="291"/>
      <c r="LSX45" s="291"/>
      <c r="LSY45" s="291"/>
      <c r="LSZ45" s="291"/>
      <c r="LTA45" s="291"/>
      <c r="LTB45" s="291"/>
      <c r="LTC45" s="291"/>
      <c r="LTD45" s="291"/>
      <c r="LTE45" s="291"/>
      <c r="LTF45" s="291"/>
      <c r="LTG45" s="291"/>
      <c r="LTH45" s="291"/>
      <c r="LTI45" s="291"/>
      <c r="LTJ45" s="291"/>
      <c r="LTK45" s="291"/>
      <c r="LTL45" s="291"/>
      <c r="LTM45" s="291"/>
      <c r="LTN45" s="291"/>
      <c r="LTO45" s="291"/>
      <c r="LTP45" s="291"/>
      <c r="LTQ45" s="291"/>
      <c r="LTR45" s="291"/>
      <c r="LTS45" s="291"/>
      <c r="LTT45" s="291"/>
      <c r="LTU45" s="291"/>
      <c r="LTV45" s="291"/>
      <c r="LTW45" s="291"/>
      <c r="LTX45" s="291"/>
      <c r="LTY45" s="291"/>
      <c r="LTZ45" s="291"/>
      <c r="LUA45" s="291"/>
      <c r="LUB45" s="291"/>
      <c r="LUC45" s="291"/>
      <c r="LUD45" s="291"/>
      <c r="LUE45" s="291"/>
      <c r="LUF45" s="291"/>
      <c r="LUG45" s="291"/>
      <c r="LUH45" s="291"/>
      <c r="LUI45" s="291"/>
      <c r="LUJ45" s="291"/>
      <c r="LUK45" s="291"/>
      <c r="LUL45" s="291"/>
      <c r="LUM45" s="291"/>
      <c r="LUN45" s="291"/>
      <c r="LUO45" s="291"/>
      <c r="LUP45" s="291"/>
      <c r="LUQ45" s="291"/>
      <c r="LUR45" s="291"/>
      <c r="LUS45" s="291"/>
      <c r="LUT45" s="291"/>
      <c r="LUU45" s="291"/>
      <c r="LUV45" s="291"/>
      <c r="LUW45" s="291"/>
      <c r="LUX45" s="291"/>
      <c r="LUY45" s="291"/>
      <c r="LUZ45" s="291"/>
      <c r="LVA45" s="291"/>
      <c r="LVB45" s="291"/>
      <c r="LVC45" s="291"/>
      <c r="LVD45" s="291"/>
      <c r="LVE45" s="291"/>
      <c r="LVF45" s="291"/>
      <c r="LVG45" s="291"/>
      <c r="LVH45" s="291"/>
      <c r="LVI45" s="291"/>
      <c r="LVJ45" s="291"/>
      <c r="LVK45" s="291"/>
      <c r="LVL45" s="291"/>
      <c r="LVM45" s="291"/>
      <c r="LVN45" s="291"/>
      <c r="LVO45" s="291"/>
      <c r="LVP45" s="291"/>
      <c r="LVQ45" s="291"/>
      <c r="LVR45" s="291"/>
      <c r="LVS45" s="291"/>
      <c r="LVT45" s="291"/>
      <c r="LVU45" s="291"/>
      <c r="LVV45" s="291"/>
      <c r="LVW45" s="291"/>
      <c r="LVX45" s="291"/>
      <c r="LVY45" s="291"/>
      <c r="LVZ45" s="291"/>
      <c r="LWA45" s="291"/>
      <c r="LWB45" s="291"/>
      <c r="LWC45" s="291"/>
      <c r="LWD45" s="291"/>
      <c r="LWE45" s="291"/>
      <c r="LWF45" s="291"/>
      <c r="LWG45" s="291"/>
      <c r="LWH45" s="291"/>
      <c r="LWI45" s="291"/>
      <c r="LWJ45" s="291"/>
      <c r="LWK45" s="291"/>
      <c r="LWL45" s="291"/>
      <c r="LWM45" s="291"/>
      <c r="LWN45" s="291"/>
      <c r="LWO45" s="291"/>
      <c r="LWP45" s="291"/>
      <c r="LWQ45" s="291"/>
      <c r="LWR45" s="291"/>
      <c r="LWS45" s="291"/>
      <c r="LWT45" s="291"/>
      <c r="LWU45" s="291"/>
      <c r="LWV45" s="291"/>
      <c r="LWW45" s="291"/>
      <c r="LWX45" s="291"/>
      <c r="LWY45" s="291"/>
      <c r="LWZ45" s="291"/>
      <c r="LXA45" s="291"/>
      <c r="LXB45" s="291"/>
      <c r="LXC45" s="291"/>
      <c r="LXD45" s="291"/>
      <c r="LXE45" s="291"/>
      <c r="LXF45" s="291"/>
      <c r="LXG45" s="291"/>
      <c r="LXH45" s="291"/>
      <c r="LXI45" s="291"/>
      <c r="LXJ45" s="291"/>
      <c r="LXK45" s="291"/>
      <c r="LXL45" s="291"/>
      <c r="LXM45" s="291"/>
      <c r="LXN45" s="291"/>
      <c r="LXO45" s="291"/>
      <c r="LXP45" s="291"/>
      <c r="LXQ45" s="291"/>
      <c r="LXR45" s="291"/>
      <c r="LXS45" s="291"/>
      <c r="LXT45" s="291"/>
      <c r="LXU45" s="291"/>
      <c r="LXV45" s="291"/>
      <c r="LXW45" s="291"/>
      <c r="LXX45" s="291"/>
      <c r="LXY45" s="291"/>
      <c r="LXZ45" s="291"/>
      <c r="LYA45" s="291"/>
      <c r="LYB45" s="291"/>
      <c r="LYC45" s="291"/>
      <c r="LYD45" s="291"/>
      <c r="LYE45" s="291"/>
      <c r="LYF45" s="291"/>
      <c r="LYG45" s="291"/>
      <c r="LYH45" s="291"/>
      <c r="LYI45" s="291"/>
      <c r="LYJ45" s="291"/>
      <c r="LYK45" s="291"/>
      <c r="LYL45" s="291"/>
      <c r="LYM45" s="291"/>
      <c r="LYN45" s="291"/>
      <c r="LYO45" s="291"/>
      <c r="LYP45" s="291"/>
      <c r="LYQ45" s="291"/>
      <c r="LYR45" s="291"/>
      <c r="LYS45" s="291"/>
      <c r="LYT45" s="291"/>
      <c r="LYU45" s="291"/>
      <c r="LYV45" s="291"/>
      <c r="LYW45" s="291"/>
      <c r="LYX45" s="291"/>
      <c r="LYY45" s="291"/>
      <c r="LYZ45" s="291"/>
      <c r="LZA45" s="291"/>
      <c r="LZB45" s="291"/>
      <c r="LZC45" s="291"/>
      <c r="LZD45" s="291"/>
      <c r="LZE45" s="291"/>
      <c r="LZF45" s="291"/>
      <c r="LZG45" s="291"/>
      <c r="LZH45" s="291"/>
      <c r="LZI45" s="291"/>
      <c r="LZJ45" s="291"/>
      <c r="LZK45" s="291"/>
      <c r="LZL45" s="291"/>
      <c r="LZM45" s="291"/>
      <c r="LZN45" s="291"/>
      <c r="LZO45" s="291"/>
      <c r="LZP45" s="291"/>
      <c r="LZQ45" s="291"/>
      <c r="LZR45" s="291"/>
      <c r="LZS45" s="291"/>
      <c r="LZT45" s="291"/>
      <c r="LZU45" s="291"/>
      <c r="LZV45" s="291"/>
      <c r="LZW45" s="291"/>
      <c r="LZX45" s="291"/>
      <c r="LZY45" s="291"/>
      <c r="LZZ45" s="291"/>
      <c r="MAA45" s="291"/>
      <c r="MAB45" s="291"/>
      <c r="MAC45" s="291"/>
      <c r="MAD45" s="291"/>
      <c r="MAE45" s="291"/>
      <c r="MAF45" s="291"/>
      <c r="MAG45" s="291"/>
      <c r="MAH45" s="291"/>
      <c r="MAI45" s="291"/>
      <c r="MAJ45" s="291"/>
      <c r="MAK45" s="291"/>
      <c r="MAL45" s="291"/>
      <c r="MAM45" s="291"/>
      <c r="MAN45" s="291"/>
      <c r="MAO45" s="291"/>
      <c r="MAP45" s="291"/>
      <c r="MAQ45" s="291"/>
      <c r="MAR45" s="291"/>
      <c r="MAS45" s="291"/>
      <c r="MAT45" s="291"/>
      <c r="MAU45" s="291"/>
      <c r="MAV45" s="291"/>
      <c r="MAW45" s="291"/>
      <c r="MAX45" s="291"/>
      <c r="MAY45" s="291"/>
      <c r="MAZ45" s="291"/>
      <c r="MBA45" s="291"/>
      <c r="MBB45" s="291"/>
      <c r="MBC45" s="291"/>
      <c r="MBD45" s="291"/>
      <c r="MBE45" s="291"/>
      <c r="MBF45" s="291"/>
      <c r="MBG45" s="291"/>
      <c r="MBH45" s="291"/>
      <c r="MBI45" s="291"/>
      <c r="MBJ45" s="291"/>
      <c r="MBK45" s="291"/>
      <c r="MBL45" s="291"/>
      <c r="MBM45" s="291"/>
      <c r="MBN45" s="291"/>
      <c r="MBO45" s="291"/>
      <c r="MBP45" s="291"/>
      <c r="MBQ45" s="291"/>
      <c r="MBR45" s="291"/>
      <c r="MBS45" s="291"/>
      <c r="MBT45" s="291"/>
      <c r="MBU45" s="291"/>
      <c r="MBV45" s="291"/>
      <c r="MBW45" s="291"/>
      <c r="MBX45" s="291"/>
      <c r="MBY45" s="291"/>
      <c r="MBZ45" s="291"/>
      <c r="MCA45" s="291"/>
      <c r="MCB45" s="291"/>
      <c r="MCC45" s="291"/>
      <c r="MCD45" s="291"/>
      <c r="MCE45" s="291"/>
      <c r="MCF45" s="291"/>
      <c r="MCG45" s="291"/>
      <c r="MCH45" s="291"/>
      <c r="MCI45" s="291"/>
      <c r="MCJ45" s="291"/>
      <c r="MCK45" s="291"/>
      <c r="MCL45" s="291"/>
      <c r="MCM45" s="291"/>
      <c r="MCN45" s="291"/>
      <c r="MCO45" s="291"/>
      <c r="MCP45" s="291"/>
      <c r="MCQ45" s="291"/>
      <c r="MCR45" s="291"/>
      <c r="MCS45" s="291"/>
      <c r="MCT45" s="291"/>
      <c r="MCU45" s="291"/>
      <c r="MCV45" s="291"/>
      <c r="MCW45" s="291"/>
      <c r="MCX45" s="291"/>
      <c r="MCY45" s="291"/>
      <c r="MCZ45" s="291"/>
      <c r="MDA45" s="291"/>
      <c r="MDB45" s="291"/>
      <c r="MDC45" s="291"/>
      <c r="MDD45" s="291"/>
      <c r="MDE45" s="291"/>
      <c r="MDF45" s="291"/>
      <c r="MDG45" s="291"/>
      <c r="MDH45" s="291"/>
      <c r="MDI45" s="291"/>
      <c r="MDJ45" s="291"/>
      <c r="MDK45" s="291"/>
      <c r="MDL45" s="291"/>
      <c r="MDM45" s="291"/>
      <c r="MDN45" s="291"/>
      <c r="MDO45" s="291"/>
      <c r="MDP45" s="291"/>
      <c r="MDQ45" s="291"/>
      <c r="MDR45" s="291"/>
      <c r="MDS45" s="291"/>
      <c r="MDT45" s="291"/>
      <c r="MDU45" s="291"/>
      <c r="MDV45" s="291"/>
      <c r="MDW45" s="291"/>
      <c r="MDX45" s="291"/>
      <c r="MDY45" s="291"/>
      <c r="MDZ45" s="291"/>
      <c r="MEA45" s="291"/>
      <c r="MEB45" s="291"/>
      <c r="MEC45" s="291"/>
      <c r="MED45" s="291"/>
      <c r="MEE45" s="291"/>
      <c r="MEF45" s="291"/>
      <c r="MEG45" s="291"/>
      <c r="MEH45" s="291"/>
      <c r="MEI45" s="291"/>
      <c r="MEJ45" s="291"/>
      <c r="MEK45" s="291"/>
      <c r="MEL45" s="291"/>
      <c r="MEM45" s="291"/>
      <c r="MEN45" s="291"/>
      <c r="MEO45" s="291"/>
      <c r="MEP45" s="291"/>
      <c r="MEQ45" s="291"/>
      <c r="MER45" s="291"/>
      <c r="MES45" s="291"/>
      <c r="MET45" s="291"/>
      <c r="MEU45" s="291"/>
      <c r="MEV45" s="291"/>
      <c r="MEW45" s="291"/>
      <c r="MEX45" s="291"/>
      <c r="MEY45" s="291"/>
      <c r="MEZ45" s="291"/>
      <c r="MFA45" s="291"/>
      <c r="MFB45" s="291"/>
      <c r="MFC45" s="291"/>
      <c r="MFD45" s="291"/>
      <c r="MFE45" s="291"/>
      <c r="MFF45" s="291"/>
      <c r="MFG45" s="291"/>
      <c r="MFH45" s="291"/>
      <c r="MFI45" s="291"/>
      <c r="MFJ45" s="291"/>
      <c r="MFK45" s="291"/>
      <c r="MFL45" s="291"/>
      <c r="MFM45" s="291"/>
      <c r="MFN45" s="291"/>
      <c r="MFO45" s="291"/>
      <c r="MFP45" s="291"/>
      <c r="MFQ45" s="291"/>
      <c r="MFR45" s="291"/>
      <c r="MFS45" s="291"/>
      <c r="MFT45" s="291"/>
      <c r="MFU45" s="291"/>
      <c r="MFV45" s="291"/>
      <c r="MFW45" s="291"/>
      <c r="MFX45" s="291"/>
      <c r="MFY45" s="291"/>
      <c r="MFZ45" s="291"/>
      <c r="MGA45" s="291"/>
      <c r="MGB45" s="291"/>
      <c r="MGC45" s="291"/>
      <c r="MGD45" s="291"/>
      <c r="MGE45" s="291"/>
      <c r="MGF45" s="291"/>
      <c r="MGG45" s="291"/>
      <c r="MGH45" s="291"/>
      <c r="MGI45" s="291"/>
      <c r="MGJ45" s="291"/>
      <c r="MGK45" s="291"/>
      <c r="MGL45" s="291"/>
      <c r="MGM45" s="291"/>
      <c r="MGN45" s="291"/>
      <c r="MGO45" s="291"/>
      <c r="MGP45" s="291"/>
      <c r="MGQ45" s="291"/>
      <c r="MGR45" s="291"/>
      <c r="MGS45" s="291"/>
      <c r="MGT45" s="291"/>
      <c r="MGU45" s="291"/>
      <c r="MGV45" s="291"/>
      <c r="MGW45" s="291"/>
      <c r="MGX45" s="291"/>
      <c r="MGY45" s="291"/>
      <c r="MGZ45" s="291"/>
      <c r="MHA45" s="291"/>
      <c r="MHB45" s="291"/>
      <c r="MHC45" s="291"/>
      <c r="MHD45" s="291"/>
      <c r="MHE45" s="291"/>
      <c r="MHF45" s="291"/>
      <c r="MHG45" s="291"/>
      <c r="MHH45" s="291"/>
      <c r="MHI45" s="291"/>
      <c r="MHJ45" s="291"/>
      <c r="MHK45" s="291"/>
      <c r="MHL45" s="291"/>
      <c r="MHM45" s="291"/>
      <c r="MHN45" s="291"/>
      <c r="MHO45" s="291"/>
      <c r="MHP45" s="291"/>
      <c r="MHQ45" s="291"/>
      <c r="MHR45" s="291"/>
      <c r="MHS45" s="291"/>
      <c r="MHT45" s="291"/>
      <c r="MHU45" s="291"/>
      <c r="MHV45" s="291"/>
      <c r="MHW45" s="291"/>
      <c r="MHX45" s="291"/>
      <c r="MHY45" s="291"/>
      <c r="MHZ45" s="291"/>
      <c r="MIA45" s="291"/>
      <c r="MIB45" s="291"/>
      <c r="MIC45" s="291"/>
      <c r="MID45" s="291"/>
      <c r="MIE45" s="291"/>
      <c r="MIF45" s="291"/>
      <c r="MIG45" s="291"/>
      <c r="MIH45" s="291"/>
      <c r="MII45" s="291"/>
      <c r="MIJ45" s="291"/>
      <c r="MIK45" s="291"/>
      <c r="MIL45" s="291"/>
      <c r="MIM45" s="291"/>
      <c r="MIN45" s="291"/>
      <c r="MIO45" s="291"/>
      <c r="MIP45" s="291"/>
      <c r="MIQ45" s="291"/>
      <c r="MIR45" s="291"/>
      <c r="MIS45" s="291"/>
      <c r="MIT45" s="291"/>
      <c r="MIU45" s="291"/>
      <c r="MIV45" s="291"/>
      <c r="MIW45" s="291"/>
      <c r="MIX45" s="291"/>
      <c r="MIY45" s="291"/>
      <c r="MIZ45" s="291"/>
      <c r="MJA45" s="291"/>
      <c r="MJB45" s="291"/>
      <c r="MJC45" s="291"/>
      <c r="MJD45" s="291"/>
      <c r="MJE45" s="291"/>
      <c r="MJF45" s="291"/>
      <c r="MJG45" s="291"/>
      <c r="MJH45" s="291"/>
      <c r="MJI45" s="291"/>
      <c r="MJJ45" s="291"/>
      <c r="MJK45" s="291"/>
      <c r="MJL45" s="291"/>
      <c r="MJM45" s="291"/>
      <c r="MJN45" s="291"/>
      <c r="MJO45" s="291"/>
      <c r="MJP45" s="291"/>
      <c r="MJQ45" s="291"/>
      <c r="MJR45" s="291"/>
      <c r="MJS45" s="291"/>
      <c r="MJT45" s="291"/>
      <c r="MJU45" s="291"/>
      <c r="MJV45" s="291"/>
      <c r="MJW45" s="291"/>
      <c r="MJX45" s="291"/>
      <c r="MJY45" s="291"/>
      <c r="MJZ45" s="291"/>
      <c r="MKA45" s="291"/>
      <c r="MKB45" s="291"/>
      <c r="MKC45" s="291"/>
      <c r="MKD45" s="291"/>
      <c r="MKE45" s="291"/>
      <c r="MKF45" s="291"/>
      <c r="MKG45" s="291"/>
      <c r="MKH45" s="291"/>
      <c r="MKI45" s="291"/>
      <c r="MKJ45" s="291"/>
      <c r="MKK45" s="291"/>
      <c r="MKL45" s="291"/>
      <c r="MKM45" s="291"/>
      <c r="MKN45" s="291"/>
      <c r="MKO45" s="291"/>
      <c r="MKP45" s="291"/>
      <c r="MKQ45" s="291"/>
      <c r="MKR45" s="291"/>
      <c r="MKS45" s="291"/>
      <c r="MKT45" s="291"/>
      <c r="MKU45" s="291"/>
      <c r="MKV45" s="291"/>
      <c r="MKW45" s="291"/>
      <c r="MKX45" s="291"/>
      <c r="MKY45" s="291"/>
      <c r="MKZ45" s="291"/>
      <c r="MLA45" s="291"/>
      <c r="MLB45" s="291"/>
      <c r="MLC45" s="291"/>
      <c r="MLD45" s="291"/>
      <c r="MLE45" s="291"/>
      <c r="MLF45" s="291"/>
      <c r="MLG45" s="291"/>
      <c r="MLH45" s="291"/>
      <c r="MLI45" s="291"/>
      <c r="MLJ45" s="291"/>
      <c r="MLK45" s="291"/>
      <c r="MLL45" s="291"/>
      <c r="MLM45" s="291"/>
      <c r="MLN45" s="291"/>
      <c r="MLO45" s="291"/>
      <c r="MLP45" s="291"/>
      <c r="MLQ45" s="291"/>
      <c r="MLR45" s="291"/>
      <c r="MLS45" s="291"/>
      <c r="MLT45" s="291"/>
      <c r="MLU45" s="291"/>
      <c r="MLV45" s="291"/>
      <c r="MLW45" s="291"/>
      <c r="MLX45" s="291"/>
      <c r="MLY45" s="291"/>
      <c r="MLZ45" s="291"/>
      <c r="MMA45" s="291"/>
      <c r="MMB45" s="291"/>
      <c r="MMC45" s="291"/>
      <c r="MMD45" s="291"/>
      <c r="MME45" s="291"/>
      <c r="MMF45" s="291"/>
      <c r="MMG45" s="291"/>
      <c r="MMH45" s="291"/>
      <c r="MMI45" s="291"/>
      <c r="MMJ45" s="291"/>
      <c r="MMK45" s="291"/>
      <c r="MML45" s="291"/>
      <c r="MMM45" s="291"/>
      <c r="MMN45" s="291"/>
      <c r="MMO45" s="291"/>
      <c r="MMP45" s="291"/>
      <c r="MMQ45" s="291"/>
      <c r="MMR45" s="291"/>
      <c r="MMS45" s="291"/>
      <c r="MMT45" s="291"/>
      <c r="MMU45" s="291"/>
      <c r="MMV45" s="291"/>
      <c r="MMW45" s="291"/>
      <c r="MMX45" s="291"/>
      <c r="MMY45" s="291"/>
      <c r="MMZ45" s="291"/>
      <c r="MNA45" s="291"/>
      <c r="MNB45" s="291"/>
      <c r="MNC45" s="291"/>
      <c r="MND45" s="291"/>
      <c r="MNE45" s="291"/>
      <c r="MNF45" s="291"/>
      <c r="MNG45" s="291"/>
      <c r="MNH45" s="291"/>
      <c r="MNI45" s="291"/>
      <c r="MNJ45" s="291"/>
      <c r="MNK45" s="291"/>
      <c r="MNL45" s="291"/>
      <c r="MNM45" s="291"/>
      <c r="MNN45" s="291"/>
      <c r="MNO45" s="291"/>
      <c r="MNP45" s="291"/>
      <c r="MNQ45" s="291"/>
      <c r="MNR45" s="291"/>
      <c r="MNS45" s="291"/>
      <c r="MNT45" s="291"/>
      <c r="MNU45" s="291"/>
      <c r="MNV45" s="291"/>
      <c r="MNW45" s="291"/>
      <c r="MNX45" s="291"/>
      <c r="MNY45" s="291"/>
      <c r="MNZ45" s="291"/>
      <c r="MOA45" s="291"/>
      <c r="MOB45" s="291"/>
      <c r="MOC45" s="291"/>
      <c r="MOD45" s="291"/>
      <c r="MOE45" s="291"/>
      <c r="MOF45" s="291"/>
      <c r="MOG45" s="291"/>
      <c r="MOH45" s="291"/>
      <c r="MOI45" s="291"/>
      <c r="MOJ45" s="291"/>
      <c r="MOK45" s="291"/>
      <c r="MOL45" s="291"/>
      <c r="MOM45" s="291"/>
      <c r="MON45" s="291"/>
      <c r="MOO45" s="291"/>
      <c r="MOP45" s="291"/>
      <c r="MOQ45" s="291"/>
      <c r="MOR45" s="291"/>
      <c r="MOS45" s="291"/>
      <c r="MOT45" s="291"/>
      <c r="MOU45" s="291"/>
      <c r="MOV45" s="291"/>
      <c r="MOW45" s="291"/>
      <c r="MOX45" s="291"/>
      <c r="MOY45" s="291"/>
      <c r="MOZ45" s="291"/>
      <c r="MPA45" s="291"/>
      <c r="MPB45" s="291"/>
      <c r="MPC45" s="291"/>
      <c r="MPD45" s="291"/>
      <c r="MPE45" s="291"/>
      <c r="MPF45" s="291"/>
      <c r="MPG45" s="291"/>
      <c r="MPH45" s="291"/>
      <c r="MPI45" s="291"/>
      <c r="MPJ45" s="291"/>
      <c r="MPK45" s="291"/>
      <c r="MPL45" s="291"/>
      <c r="MPM45" s="291"/>
      <c r="MPN45" s="291"/>
      <c r="MPO45" s="291"/>
      <c r="MPP45" s="291"/>
      <c r="MPQ45" s="291"/>
      <c r="MPR45" s="291"/>
      <c r="MPS45" s="291"/>
      <c r="MPT45" s="291"/>
      <c r="MPU45" s="291"/>
      <c r="MPV45" s="291"/>
      <c r="MPW45" s="291"/>
      <c r="MPX45" s="291"/>
      <c r="MPY45" s="291"/>
      <c r="MPZ45" s="291"/>
      <c r="MQA45" s="291"/>
      <c r="MQB45" s="291"/>
      <c r="MQC45" s="291"/>
      <c r="MQD45" s="291"/>
      <c r="MQE45" s="291"/>
      <c r="MQF45" s="291"/>
      <c r="MQG45" s="291"/>
      <c r="MQH45" s="291"/>
      <c r="MQI45" s="291"/>
      <c r="MQJ45" s="291"/>
      <c r="MQK45" s="291"/>
      <c r="MQL45" s="291"/>
      <c r="MQM45" s="291"/>
      <c r="MQN45" s="291"/>
      <c r="MQO45" s="291"/>
      <c r="MQP45" s="291"/>
      <c r="MQQ45" s="291"/>
      <c r="MQR45" s="291"/>
      <c r="MQS45" s="291"/>
      <c r="MQT45" s="291"/>
      <c r="MQU45" s="291"/>
      <c r="MQV45" s="291"/>
      <c r="MQW45" s="291"/>
      <c r="MQX45" s="291"/>
      <c r="MQY45" s="291"/>
      <c r="MQZ45" s="291"/>
      <c r="MRA45" s="291"/>
      <c r="MRB45" s="291"/>
      <c r="MRC45" s="291"/>
      <c r="MRD45" s="291"/>
      <c r="MRE45" s="291"/>
      <c r="MRF45" s="291"/>
      <c r="MRG45" s="291"/>
      <c r="MRH45" s="291"/>
      <c r="MRI45" s="291"/>
      <c r="MRJ45" s="291"/>
      <c r="MRK45" s="291"/>
      <c r="MRL45" s="291"/>
      <c r="MRM45" s="291"/>
      <c r="MRN45" s="291"/>
      <c r="MRO45" s="291"/>
      <c r="MRP45" s="291"/>
      <c r="MRQ45" s="291"/>
      <c r="MRR45" s="291"/>
      <c r="MRS45" s="291"/>
      <c r="MRT45" s="291"/>
      <c r="MRU45" s="291"/>
      <c r="MRV45" s="291"/>
      <c r="MRW45" s="291"/>
      <c r="MRX45" s="291"/>
      <c r="MRY45" s="291"/>
      <c r="MRZ45" s="291"/>
      <c r="MSA45" s="291"/>
      <c r="MSB45" s="291"/>
      <c r="MSC45" s="291"/>
      <c r="MSD45" s="291"/>
      <c r="MSE45" s="291"/>
      <c r="MSF45" s="291"/>
      <c r="MSG45" s="291"/>
      <c r="MSH45" s="291"/>
      <c r="MSI45" s="291"/>
      <c r="MSJ45" s="291"/>
      <c r="MSK45" s="291"/>
      <c r="MSL45" s="291"/>
      <c r="MSM45" s="291"/>
      <c r="MSN45" s="291"/>
      <c r="MSO45" s="291"/>
      <c r="MSP45" s="291"/>
      <c r="MSQ45" s="291"/>
      <c r="MSR45" s="291"/>
      <c r="MSS45" s="291"/>
      <c r="MST45" s="291"/>
      <c r="MSU45" s="291"/>
      <c r="MSV45" s="291"/>
      <c r="MSW45" s="291"/>
      <c r="MSX45" s="291"/>
      <c r="MSY45" s="291"/>
      <c r="MSZ45" s="291"/>
      <c r="MTA45" s="291"/>
      <c r="MTB45" s="291"/>
      <c r="MTC45" s="291"/>
      <c r="MTD45" s="291"/>
      <c r="MTE45" s="291"/>
      <c r="MTF45" s="291"/>
      <c r="MTG45" s="291"/>
      <c r="MTH45" s="291"/>
      <c r="MTI45" s="291"/>
      <c r="MTJ45" s="291"/>
      <c r="MTK45" s="291"/>
      <c r="MTL45" s="291"/>
      <c r="MTM45" s="291"/>
      <c r="MTN45" s="291"/>
      <c r="MTO45" s="291"/>
      <c r="MTP45" s="291"/>
      <c r="MTQ45" s="291"/>
      <c r="MTR45" s="291"/>
      <c r="MTS45" s="291"/>
      <c r="MTT45" s="291"/>
      <c r="MTU45" s="291"/>
      <c r="MTV45" s="291"/>
      <c r="MTW45" s="291"/>
      <c r="MTX45" s="291"/>
      <c r="MTY45" s="291"/>
      <c r="MTZ45" s="291"/>
      <c r="MUA45" s="291"/>
      <c r="MUB45" s="291"/>
      <c r="MUC45" s="291"/>
      <c r="MUD45" s="291"/>
      <c r="MUE45" s="291"/>
      <c r="MUF45" s="291"/>
      <c r="MUG45" s="291"/>
      <c r="MUH45" s="291"/>
      <c r="MUI45" s="291"/>
      <c r="MUJ45" s="291"/>
      <c r="MUK45" s="291"/>
      <c r="MUL45" s="291"/>
      <c r="MUM45" s="291"/>
      <c r="MUN45" s="291"/>
      <c r="MUO45" s="291"/>
      <c r="MUP45" s="291"/>
      <c r="MUQ45" s="291"/>
      <c r="MUR45" s="291"/>
      <c r="MUS45" s="291"/>
      <c r="MUT45" s="291"/>
      <c r="MUU45" s="291"/>
      <c r="MUV45" s="291"/>
      <c r="MUW45" s="291"/>
      <c r="MUX45" s="291"/>
      <c r="MUY45" s="291"/>
      <c r="MUZ45" s="291"/>
      <c r="MVA45" s="291"/>
      <c r="MVB45" s="291"/>
      <c r="MVC45" s="291"/>
      <c r="MVD45" s="291"/>
      <c r="MVE45" s="291"/>
      <c r="MVF45" s="291"/>
      <c r="MVG45" s="291"/>
      <c r="MVH45" s="291"/>
      <c r="MVI45" s="291"/>
      <c r="MVJ45" s="291"/>
      <c r="MVK45" s="291"/>
      <c r="MVL45" s="291"/>
      <c r="MVM45" s="291"/>
      <c r="MVN45" s="291"/>
      <c r="MVO45" s="291"/>
      <c r="MVP45" s="291"/>
      <c r="MVQ45" s="291"/>
      <c r="MVR45" s="291"/>
      <c r="MVS45" s="291"/>
      <c r="MVT45" s="291"/>
      <c r="MVU45" s="291"/>
      <c r="MVV45" s="291"/>
      <c r="MVW45" s="291"/>
      <c r="MVX45" s="291"/>
      <c r="MVY45" s="291"/>
      <c r="MVZ45" s="291"/>
      <c r="MWA45" s="291"/>
      <c r="MWB45" s="291"/>
      <c r="MWC45" s="291"/>
      <c r="MWD45" s="291"/>
      <c r="MWE45" s="291"/>
      <c r="MWF45" s="291"/>
      <c r="MWG45" s="291"/>
      <c r="MWH45" s="291"/>
      <c r="MWI45" s="291"/>
      <c r="MWJ45" s="291"/>
      <c r="MWK45" s="291"/>
      <c r="MWL45" s="291"/>
      <c r="MWM45" s="291"/>
      <c r="MWN45" s="291"/>
      <c r="MWO45" s="291"/>
      <c r="MWP45" s="291"/>
      <c r="MWQ45" s="291"/>
      <c r="MWR45" s="291"/>
      <c r="MWS45" s="291"/>
      <c r="MWT45" s="291"/>
      <c r="MWU45" s="291"/>
      <c r="MWV45" s="291"/>
      <c r="MWW45" s="291"/>
      <c r="MWX45" s="291"/>
      <c r="MWY45" s="291"/>
      <c r="MWZ45" s="291"/>
      <c r="MXA45" s="291"/>
      <c r="MXB45" s="291"/>
      <c r="MXC45" s="291"/>
      <c r="MXD45" s="291"/>
      <c r="MXE45" s="291"/>
      <c r="MXF45" s="291"/>
      <c r="MXG45" s="291"/>
      <c r="MXH45" s="291"/>
      <c r="MXI45" s="291"/>
      <c r="MXJ45" s="291"/>
      <c r="MXK45" s="291"/>
      <c r="MXL45" s="291"/>
      <c r="MXM45" s="291"/>
      <c r="MXN45" s="291"/>
      <c r="MXO45" s="291"/>
      <c r="MXP45" s="291"/>
      <c r="MXQ45" s="291"/>
      <c r="MXR45" s="291"/>
      <c r="MXS45" s="291"/>
      <c r="MXT45" s="291"/>
      <c r="MXU45" s="291"/>
      <c r="MXV45" s="291"/>
      <c r="MXW45" s="291"/>
      <c r="MXX45" s="291"/>
      <c r="MXY45" s="291"/>
      <c r="MXZ45" s="291"/>
      <c r="MYA45" s="291"/>
      <c r="MYB45" s="291"/>
      <c r="MYC45" s="291"/>
      <c r="MYD45" s="291"/>
      <c r="MYE45" s="291"/>
      <c r="MYF45" s="291"/>
      <c r="MYG45" s="291"/>
      <c r="MYH45" s="291"/>
      <c r="MYI45" s="291"/>
      <c r="MYJ45" s="291"/>
      <c r="MYK45" s="291"/>
      <c r="MYL45" s="291"/>
      <c r="MYM45" s="291"/>
      <c r="MYN45" s="291"/>
      <c r="MYO45" s="291"/>
      <c r="MYP45" s="291"/>
      <c r="MYQ45" s="291"/>
      <c r="MYR45" s="291"/>
      <c r="MYS45" s="291"/>
      <c r="MYT45" s="291"/>
      <c r="MYU45" s="291"/>
      <c r="MYV45" s="291"/>
      <c r="MYW45" s="291"/>
      <c r="MYX45" s="291"/>
      <c r="MYY45" s="291"/>
      <c r="MYZ45" s="291"/>
      <c r="MZA45" s="291"/>
      <c r="MZB45" s="291"/>
      <c r="MZC45" s="291"/>
      <c r="MZD45" s="291"/>
      <c r="MZE45" s="291"/>
      <c r="MZF45" s="291"/>
      <c r="MZG45" s="291"/>
      <c r="MZH45" s="291"/>
      <c r="MZI45" s="291"/>
      <c r="MZJ45" s="291"/>
      <c r="MZK45" s="291"/>
      <c r="MZL45" s="291"/>
      <c r="MZM45" s="291"/>
      <c r="MZN45" s="291"/>
      <c r="MZO45" s="291"/>
      <c r="MZP45" s="291"/>
      <c r="MZQ45" s="291"/>
      <c r="MZR45" s="291"/>
      <c r="MZS45" s="291"/>
      <c r="MZT45" s="291"/>
      <c r="MZU45" s="291"/>
      <c r="MZV45" s="291"/>
      <c r="MZW45" s="291"/>
      <c r="MZX45" s="291"/>
      <c r="MZY45" s="291"/>
      <c r="MZZ45" s="291"/>
      <c r="NAA45" s="291"/>
      <c r="NAB45" s="291"/>
      <c r="NAC45" s="291"/>
      <c r="NAD45" s="291"/>
      <c r="NAE45" s="291"/>
      <c r="NAF45" s="291"/>
      <c r="NAG45" s="291"/>
      <c r="NAH45" s="291"/>
      <c r="NAI45" s="291"/>
      <c r="NAJ45" s="291"/>
      <c r="NAK45" s="291"/>
      <c r="NAL45" s="291"/>
      <c r="NAM45" s="291"/>
      <c r="NAN45" s="291"/>
      <c r="NAO45" s="291"/>
      <c r="NAP45" s="291"/>
      <c r="NAQ45" s="291"/>
      <c r="NAR45" s="291"/>
      <c r="NAS45" s="291"/>
      <c r="NAT45" s="291"/>
      <c r="NAU45" s="291"/>
      <c r="NAV45" s="291"/>
      <c r="NAW45" s="291"/>
      <c r="NAX45" s="291"/>
      <c r="NAY45" s="291"/>
      <c r="NAZ45" s="291"/>
      <c r="NBA45" s="291"/>
      <c r="NBB45" s="291"/>
      <c r="NBC45" s="291"/>
      <c r="NBD45" s="291"/>
      <c r="NBE45" s="291"/>
      <c r="NBF45" s="291"/>
      <c r="NBG45" s="291"/>
      <c r="NBH45" s="291"/>
      <c r="NBI45" s="291"/>
      <c r="NBJ45" s="291"/>
      <c r="NBK45" s="291"/>
      <c r="NBL45" s="291"/>
      <c r="NBM45" s="291"/>
      <c r="NBN45" s="291"/>
      <c r="NBO45" s="291"/>
      <c r="NBP45" s="291"/>
      <c r="NBQ45" s="291"/>
      <c r="NBR45" s="291"/>
      <c r="NBS45" s="291"/>
      <c r="NBT45" s="291"/>
      <c r="NBU45" s="291"/>
      <c r="NBV45" s="291"/>
      <c r="NBW45" s="291"/>
      <c r="NBX45" s="291"/>
      <c r="NBY45" s="291"/>
      <c r="NBZ45" s="291"/>
      <c r="NCA45" s="291"/>
      <c r="NCB45" s="291"/>
      <c r="NCC45" s="291"/>
      <c r="NCD45" s="291"/>
      <c r="NCE45" s="291"/>
      <c r="NCF45" s="291"/>
      <c r="NCG45" s="291"/>
      <c r="NCH45" s="291"/>
      <c r="NCI45" s="291"/>
      <c r="NCJ45" s="291"/>
      <c r="NCK45" s="291"/>
      <c r="NCL45" s="291"/>
      <c r="NCM45" s="291"/>
      <c r="NCN45" s="291"/>
      <c r="NCO45" s="291"/>
      <c r="NCP45" s="291"/>
      <c r="NCQ45" s="291"/>
      <c r="NCR45" s="291"/>
      <c r="NCS45" s="291"/>
      <c r="NCT45" s="291"/>
      <c r="NCU45" s="291"/>
      <c r="NCV45" s="291"/>
      <c r="NCW45" s="291"/>
      <c r="NCX45" s="291"/>
      <c r="NCY45" s="291"/>
      <c r="NCZ45" s="291"/>
      <c r="NDA45" s="291"/>
      <c r="NDB45" s="291"/>
      <c r="NDC45" s="291"/>
      <c r="NDD45" s="291"/>
      <c r="NDE45" s="291"/>
      <c r="NDF45" s="291"/>
      <c r="NDG45" s="291"/>
      <c r="NDH45" s="291"/>
      <c r="NDI45" s="291"/>
      <c r="NDJ45" s="291"/>
      <c r="NDK45" s="291"/>
      <c r="NDL45" s="291"/>
      <c r="NDM45" s="291"/>
      <c r="NDN45" s="291"/>
      <c r="NDO45" s="291"/>
      <c r="NDP45" s="291"/>
      <c r="NDQ45" s="291"/>
      <c r="NDR45" s="291"/>
      <c r="NDS45" s="291"/>
      <c r="NDT45" s="291"/>
      <c r="NDU45" s="291"/>
      <c r="NDV45" s="291"/>
      <c r="NDW45" s="291"/>
      <c r="NDX45" s="291"/>
      <c r="NDY45" s="291"/>
      <c r="NDZ45" s="291"/>
      <c r="NEA45" s="291"/>
      <c r="NEB45" s="291"/>
      <c r="NEC45" s="291"/>
      <c r="NED45" s="291"/>
      <c r="NEE45" s="291"/>
      <c r="NEF45" s="291"/>
      <c r="NEG45" s="291"/>
      <c r="NEH45" s="291"/>
      <c r="NEI45" s="291"/>
      <c r="NEJ45" s="291"/>
      <c r="NEK45" s="291"/>
      <c r="NEL45" s="291"/>
      <c r="NEM45" s="291"/>
      <c r="NEN45" s="291"/>
      <c r="NEO45" s="291"/>
      <c r="NEP45" s="291"/>
      <c r="NEQ45" s="291"/>
      <c r="NER45" s="291"/>
      <c r="NES45" s="291"/>
      <c r="NET45" s="291"/>
      <c r="NEU45" s="291"/>
      <c r="NEV45" s="291"/>
      <c r="NEW45" s="291"/>
      <c r="NEX45" s="291"/>
      <c r="NEY45" s="291"/>
      <c r="NEZ45" s="291"/>
      <c r="NFA45" s="291"/>
      <c r="NFB45" s="291"/>
      <c r="NFC45" s="291"/>
      <c r="NFD45" s="291"/>
      <c r="NFE45" s="291"/>
      <c r="NFF45" s="291"/>
      <c r="NFG45" s="291"/>
      <c r="NFH45" s="291"/>
      <c r="NFI45" s="291"/>
      <c r="NFJ45" s="291"/>
      <c r="NFK45" s="291"/>
      <c r="NFL45" s="291"/>
      <c r="NFM45" s="291"/>
      <c r="NFN45" s="291"/>
      <c r="NFO45" s="291"/>
      <c r="NFP45" s="291"/>
      <c r="NFQ45" s="291"/>
      <c r="NFR45" s="291"/>
      <c r="NFS45" s="291"/>
      <c r="NFT45" s="291"/>
      <c r="NFU45" s="291"/>
      <c r="NFV45" s="291"/>
      <c r="NFW45" s="291"/>
      <c r="NFX45" s="291"/>
      <c r="NFY45" s="291"/>
      <c r="NFZ45" s="291"/>
      <c r="NGA45" s="291"/>
      <c r="NGB45" s="291"/>
      <c r="NGC45" s="291"/>
      <c r="NGD45" s="291"/>
      <c r="NGE45" s="291"/>
      <c r="NGF45" s="291"/>
      <c r="NGG45" s="291"/>
      <c r="NGH45" s="291"/>
      <c r="NGI45" s="291"/>
      <c r="NGJ45" s="291"/>
      <c r="NGK45" s="291"/>
      <c r="NGL45" s="291"/>
      <c r="NGM45" s="291"/>
      <c r="NGN45" s="291"/>
      <c r="NGO45" s="291"/>
      <c r="NGP45" s="291"/>
      <c r="NGQ45" s="291"/>
      <c r="NGR45" s="291"/>
      <c r="NGS45" s="291"/>
      <c r="NGT45" s="291"/>
      <c r="NGU45" s="291"/>
      <c r="NGV45" s="291"/>
      <c r="NGW45" s="291"/>
      <c r="NGX45" s="291"/>
      <c r="NGY45" s="291"/>
      <c r="NGZ45" s="291"/>
      <c r="NHA45" s="291"/>
      <c r="NHB45" s="291"/>
      <c r="NHC45" s="291"/>
      <c r="NHD45" s="291"/>
      <c r="NHE45" s="291"/>
      <c r="NHF45" s="291"/>
      <c r="NHG45" s="291"/>
      <c r="NHH45" s="291"/>
      <c r="NHI45" s="291"/>
      <c r="NHJ45" s="291"/>
      <c r="NHK45" s="291"/>
      <c r="NHL45" s="291"/>
      <c r="NHM45" s="291"/>
      <c r="NHN45" s="291"/>
      <c r="NHO45" s="291"/>
      <c r="NHP45" s="291"/>
      <c r="NHQ45" s="291"/>
      <c r="NHR45" s="291"/>
      <c r="NHS45" s="291"/>
      <c r="NHT45" s="291"/>
      <c r="NHU45" s="291"/>
      <c r="NHV45" s="291"/>
      <c r="NHW45" s="291"/>
      <c r="NHX45" s="291"/>
      <c r="NHY45" s="291"/>
      <c r="NHZ45" s="291"/>
      <c r="NIA45" s="291"/>
      <c r="NIB45" s="291"/>
      <c r="NIC45" s="291"/>
      <c r="NID45" s="291"/>
      <c r="NIE45" s="291"/>
      <c r="NIF45" s="291"/>
      <c r="NIG45" s="291"/>
      <c r="NIH45" s="291"/>
      <c r="NII45" s="291"/>
      <c r="NIJ45" s="291"/>
      <c r="NIK45" s="291"/>
      <c r="NIL45" s="291"/>
      <c r="NIM45" s="291"/>
      <c r="NIN45" s="291"/>
      <c r="NIO45" s="291"/>
      <c r="NIP45" s="291"/>
      <c r="NIQ45" s="291"/>
      <c r="NIR45" s="291"/>
      <c r="NIS45" s="291"/>
      <c r="NIT45" s="291"/>
      <c r="NIU45" s="291"/>
      <c r="NIV45" s="291"/>
      <c r="NIW45" s="291"/>
      <c r="NIX45" s="291"/>
      <c r="NIY45" s="291"/>
      <c r="NIZ45" s="291"/>
      <c r="NJA45" s="291"/>
      <c r="NJB45" s="291"/>
      <c r="NJC45" s="291"/>
      <c r="NJD45" s="291"/>
      <c r="NJE45" s="291"/>
      <c r="NJF45" s="291"/>
      <c r="NJG45" s="291"/>
      <c r="NJH45" s="291"/>
      <c r="NJI45" s="291"/>
      <c r="NJJ45" s="291"/>
      <c r="NJK45" s="291"/>
      <c r="NJL45" s="291"/>
      <c r="NJM45" s="291"/>
      <c r="NJN45" s="291"/>
      <c r="NJO45" s="291"/>
      <c r="NJP45" s="291"/>
      <c r="NJQ45" s="291"/>
      <c r="NJR45" s="291"/>
      <c r="NJS45" s="291"/>
      <c r="NJT45" s="291"/>
      <c r="NJU45" s="291"/>
      <c r="NJV45" s="291"/>
      <c r="NJW45" s="291"/>
      <c r="NJX45" s="291"/>
      <c r="NJY45" s="291"/>
      <c r="NJZ45" s="291"/>
      <c r="NKA45" s="291"/>
      <c r="NKB45" s="291"/>
      <c r="NKC45" s="291"/>
      <c r="NKD45" s="291"/>
      <c r="NKE45" s="291"/>
      <c r="NKF45" s="291"/>
      <c r="NKG45" s="291"/>
      <c r="NKH45" s="291"/>
      <c r="NKI45" s="291"/>
      <c r="NKJ45" s="291"/>
      <c r="NKK45" s="291"/>
      <c r="NKL45" s="291"/>
      <c r="NKM45" s="291"/>
      <c r="NKN45" s="291"/>
      <c r="NKO45" s="291"/>
      <c r="NKP45" s="291"/>
      <c r="NKQ45" s="291"/>
      <c r="NKR45" s="291"/>
      <c r="NKS45" s="291"/>
      <c r="NKT45" s="291"/>
      <c r="NKU45" s="291"/>
      <c r="NKV45" s="291"/>
      <c r="NKW45" s="291"/>
      <c r="NKX45" s="291"/>
      <c r="NKY45" s="291"/>
      <c r="NKZ45" s="291"/>
      <c r="NLA45" s="291"/>
      <c r="NLB45" s="291"/>
      <c r="NLC45" s="291"/>
      <c r="NLD45" s="291"/>
      <c r="NLE45" s="291"/>
      <c r="NLF45" s="291"/>
      <c r="NLG45" s="291"/>
      <c r="NLH45" s="291"/>
      <c r="NLI45" s="291"/>
      <c r="NLJ45" s="291"/>
      <c r="NLK45" s="291"/>
      <c r="NLL45" s="291"/>
      <c r="NLM45" s="291"/>
      <c r="NLN45" s="291"/>
      <c r="NLO45" s="291"/>
      <c r="NLP45" s="291"/>
      <c r="NLQ45" s="291"/>
      <c r="NLR45" s="291"/>
      <c r="NLS45" s="291"/>
      <c r="NLT45" s="291"/>
      <c r="NLU45" s="291"/>
      <c r="NLV45" s="291"/>
      <c r="NLW45" s="291"/>
      <c r="NLX45" s="291"/>
      <c r="NLY45" s="291"/>
      <c r="NLZ45" s="291"/>
      <c r="NMA45" s="291"/>
      <c r="NMB45" s="291"/>
      <c r="NMC45" s="291"/>
      <c r="NMD45" s="291"/>
      <c r="NME45" s="291"/>
      <c r="NMF45" s="291"/>
      <c r="NMG45" s="291"/>
      <c r="NMH45" s="291"/>
      <c r="NMI45" s="291"/>
      <c r="NMJ45" s="291"/>
      <c r="NMK45" s="291"/>
      <c r="NML45" s="291"/>
      <c r="NMM45" s="291"/>
      <c r="NMN45" s="291"/>
      <c r="NMO45" s="291"/>
      <c r="NMP45" s="291"/>
      <c r="NMQ45" s="291"/>
      <c r="NMR45" s="291"/>
      <c r="NMS45" s="291"/>
      <c r="NMT45" s="291"/>
      <c r="NMU45" s="291"/>
      <c r="NMV45" s="291"/>
      <c r="NMW45" s="291"/>
      <c r="NMX45" s="291"/>
      <c r="NMY45" s="291"/>
      <c r="NMZ45" s="291"/>
      <c r="NNA45" s="291"/>
      <c r="NNB45" s="291"/>
      <c r="NNC45" s="291"/>
      <c r="NND45" s="291"/>
      <c r="NNE45" s="291"/>
      <c r="NNF45" s="291"/>
      <c r="NNG45" s="291"/>
      <c r="NNH45" s="291"/>
      <c r="NNI45" s="291"/>
      <c r="NNJ45" s="291"/>
      <c r="NNK45" s="291"/>
      <c r="NNL45" s="291"/>
      <c r="NNM45" s="291"/>
      <c r="NNN45" s="291"/>
      <c r="NNO45" s="291"/>
      <c r="NNP45" s="291"/>
      <c r="NNQ45" s="291"/>
      <c r="NNR45" s="291"/>
      <c r="NNS45" s="291"/>
      <c r="NNT45" s="291"/>
      <c r="NNU45" s="291"/>
      <c r="NNV45" s="291"/>
      <c r="NNW45" s="291"/>
      <c r="NNX45" s="291"/>
      <c r="NNY45" s="291"/>
      <c r="NNZ45" s="291"/>
      <c r="NOA45" s="291"/>
      <c r="NOB45" s="291"/>
      <c r="NOC45" s="291"/>
      <c r="NOD45" s="291"/>
      <c r="NOE45" s="291"/>
      <c r="NOF45" s="291"/>
      <c r="NOG45" s="291"/>
      <c r="NOH45" s="291"/>
      <c r="NOI45" s="291"/>
      <c r="NOJ45" s="291"/>
      <c r="NOK45" s="291"/>
      <c r="NOL45" s="291"/>
      <c r="NOM45" s="291"/>
      <c r="NON45" s="291"/>
      <c r="NOO45" s="291"/>
      <c r="NOP45" s="291"/>
      <c r="NOQ45" s="291"/>
      <c r="NOR45" s="291"/>
      <c r="NOS45" s="291"/>
      <c r="NOT45" s="291"/>
      <c r="NOU45" s="291"/>
      <c r="NOV45" s="291"/>
      <c r="NOW45" s="291"/>
      <c r="NOX45" s="291"/>
      <c r="NOY45" s="291"/>
      <c r="NOZ45" s="291"/>
      <c r="NPA45" s="291"/>
      <c r="NPB45" s="291"/>
      <c r="NPC45" s="291"/>
      <c r="NPD45" s="291"/>
      <c r="NPE45" s="291"/>
      <c r="NPF45" s="291"/>
      <c r="NPG45" s="291"/>
      <c r="NPH45" s="291"/>
      <c r="NPI45" s="291"/>
      <c r="NPJ45" s="291"/>
      <c r="NPK45" s="291"/>
      <c r="NPL45" s="291"/>
      <c r="NPM45" s="291"/>
      <c r="NPN45" s="291"/>
      <c r="NPO45" s="291"/>
      <c r="NPP45" s="291"/>
      <c r="NPQ45" s="291"/>
      <c r="NPR45" s="291"/>
      <c r="NPS45" s="291"/>
      <c r="NPT45" s="291"/>
      <c r="NPU45" s="291"/>
      <c r="NPV45" s="291"/>
      <c r="NPW45" s="291"/>
      <c r="NPX45" s="291"/>
      <c r="NPY45" s="291"/>
      <c r="NPZ45" s="291"/>
      <c r="NQA45" s="291"/>
      <c r="NQB45" s="291"/>
      <c r="NQC45" s="291"/>
      <c r="NQD45" s="291"/>
      <c r="NQE45" s="291"/>
      <c r="NQF45" s="291"/>
      <c r="NQG45" s="291"/>
      <c r="NQH45" s="291"/>
      <c r="NQI45" s="291"/>
      <c r="NQJ45" s="291"/>
      <c r="NQK45" s="291"/>
      <c r="NQL45" s="291"/>
      <c r="NQM45" s="291"/>
      <c r="NQN45" s="291"/>
      <c r="NQO45" s="291"/>
      <c r="NQP45" s="291"/>
      <c r="NQQ45" s="291"/>
      <c r="NQR45" s="291"/>
      <c r="NQS45" s="291"/>
      <c r="NQT45" s="291"/>
      <c r="NQU45" s="291"/>
      <c r="NQV45" s="291"/>
      <c r="NQW45" s="291"/>
      <c r="NQX45" s="291"/>
      <c r="NQY45" s="291"/>
      <c r="NQZ45" s="291"/>
      <c r="NRA45" s="291"/>
      <c r="NRB45" s="291"/>
      <c r="NRC45" s="291"/>
      <c r="NRD45" s="291"/>
      <c r="NRE45" s="291"/>
      <c r="NRF45" s="291"/>
      <c r="NRG45" s="291"/>
      <c r="NRH45" s="291"/>
      <c r="NRI45" s="291"/>
      <c r="NRJ45" s="291"/>
      <c r="NRK45" s="291"/>
      <c r="NRL45" s="291"/>
      <c r="NRM45" s="291"/>
      <c r="NRN45" s="291"/>
      <c r="NRO45" s="291"/>
      <c r="NRP45" s="291"/>
      <c r="NRQ45" s="291"/>
      <c r="NRR45" s="291"/>
      <c r="NRS45" s="291"/>
      <c r="NRT45" s="291"/>
      <c r="NRU45" s="291"/>
      <c r="NRV45" s="291"/>
      <c r="NRW45" s="291"/>
      <c r="NRX45" s="291"/>
      <c r="NRY45" s="291"/>
      <c r="NRZ45" s="291"/>
      <c r="NSA45" s="291"/>
      <c r="NSB45" s="291"/>
      <c r="NSC45" s="291"/>
      <c r="NSD45" s="291"/>
      <c r="NSE45" s="291"/>
      <c r="NSF45" s="291"/>
      <c r="NSG45" s="291"/>
      <c r="NSH45" s="291"/>
      <c r="NSI45" s="291"/>
      <c r="NSJ45" s="291"/>
      <c r="NSK45" s="291"/>
      <c r="NSL45" s="291"/>
      <c r="NSM45" s="291"/>
      <c r="NSN45" s="291"/>
      <c r="NSO45" s="291"/>
      <c r="NSP45" s="291"/>
      <c r="NSQ45" s="291"/>
      <c r="NSR45" s="291"/>
      <c r="NSS45" s="291"/>
      <c r="NST45" s="291"/>
      <c r="NSU45" s="291"/>
      <c r="NSV45" s="291"/>
      <c r="NSW45" s="291"/>
      <c r="NSX45" s="291"/>
      <c r="NSY45" s="291"/>
      <c r="NSZ45" s="291"/>
      <c r="NTA45" s="291"/>
      <c r="NTB45" s="291"/>
      <c r="NTC45" s="291"/>
      <c r="NTD45" s="291"/>
      <c r="NTE45" s="291"/>
      <c r="NTF45" s="291"/>
      <c r="NTG45" s="291"/>
      <c r="NTH45" s="291"/>
      <c r="NTI45" s="291"/>
      <c r="NTJ45" s="291"/>
      <c r="NTK45" s="291"/>
      <c r="NTL45" s="291"/>
      <c r="NTM45" s="291"/>
      <c r="NTN45" s="291"/>
      <c r="NTO45" s="291"/>
      <c r="NTP45" s="291"/>
      <c r="NTQ45" s="291"/>
      <c r="NTR45" s="291"/>
      <c r="NTS45" s="291"/>
      <c r="NTT45" s="291"/>
      <c r="NTU45" s="291"/>
      <c r="NTV45" s="291"/>
      <c r="NTW45" s="291"/>
      <c r="NTX45" s="291"/>
      <c r="NTY45" s="291"/>
      <c r="NTZ45" s="291"/>
      <c r="NUA45" s="291"/>
      <c r="NUB45" s="291"/>
      <c r="NUC45" s="291"/>
      <c r="NUD45" s="291"/>
      <c r="NUE45" s="291"/>
      <c r="NUF45" s="291"/>
      <c r="NUG45" s="291"/>
      <c r="NUH45" s="291"/>
      <c r="NUI45" s="291"/>
      <c r="NUJ45" s="291"/>
      <c r="NUK45" s="291"/>
      <c r="NUL45" s="291"/>
      <c r="NUM45" s="291"/>
      <c r="NUN45" s="291"/>
      <c r="NUO45" s="291"/>
      <c r="NUP45" s="291"/>
      <c r="NUQ45" s="291"/>
      <c r="NUR45" s="291"/>
      <c r="NUS45" s="291"/>
      <c r="NUT45" s="291"/>
      <c r="NUU45" s="291"/>
      <c r="NUV45" s="291"/>
      <c r="NUW45" s="291"/>
      <c r="NUX45" s="291"/>
      <c r="NUY45" s="291"/>
      <c r="NUZ45" s="291"/>
      <c r="NVA45" s="291"/>
      <c r="NVB45" s="291"/>
      <c r="NVC45" s="291"/>
      <c r="NVD45" s="291"/>
      <c r="NVE45" s="291"/>
      <c r="NVF45" s="291"/>
      <c r="NVG45" s="291"/>
      <c r="NVH45" s="291"/>
      <c r="NVI45" s="291"/>
      <c r="NVJ45" s="291"/>
      <c r="NVK45" s="291"/>
      <c r="NVL45" s="291"/>
      <c r="NVM45" s="291"/>
      <c r="NVN45" s="291"/>
      <c r="NVO45" s="291"/>
      <c r="NVP45" s="291"/>
      <c r="NVQ45" s="291"/>
      <c r="NVR45" s="291"/>
      <c r="NVS45" s="291"/>
      <c r="NVT45" s="291"/>
      <c r="NVU45" s="291"/>
      <c r="NVV45" s="291"/>
      <c r="NVW45" s="291"/>
      <c r="NVX45" s="291"/>
      <c r="NVY45" s="291"/>
      <c r="NVZ45" s="291"/>
      <c r="NWA45" s="291"/>
      <c r="NWB45" s="291"/>
      <c r="NWC45" s="291"/>
      <c r="NWD45" s="291"/>
      <c r="NWE45" s="291"/>
      <c r="NWF45" s="291"/>
      <c r="NWG45" s="291"/>
      <c r="NWH45" s="291"/>
      <c r="NWI45" s="291"/>
      <c r="NWJ45" s="291"/>
      <c r="NWK45" s="291"/>
      <c r="NWL45" s="291"/>
      <c r="NWM45" s="291"/>
      <c r="NWN45" s="291"/>
      <c r="NWO45" s="291"/>
      <c r="NWP45" s="291"/>
      <c r="NWQ45" s="291"/>
      <c r="NWR45" s="291"/>
      <c r="NWS45" s="291"/>
      <c r="NWT45" s="291"/>
      <c r="NWU45" s="291"/>
      <c r="NWV45" s="291"/>
      <c r="NWW45" s="291"/>
      <c r="NWX45" s="291"/>
      <c r="NWY45" s="291"/>
      <c r="NWZ45" s="291"/>
      <c r="NXA45" s="291"/>
      <c r="NXB45" s="291"/>
      <c r="NXC45" s="291"/>
      <c r="NXD45" s="291"/>
      <c r="NXE45" s="291"/>
      <c r="NXF45" s="291"/>
      <c r="NXG45" s="291"/>
      <c r="NXH45" s="291"/>
      <c r="NXI45" s="291"/>
      <c r="NXJ45" s="291"/>
      <c r="NXK45" s="291"/>
      <c r="NXL45" s="291"/>
      <c r="NXM45" s="291"/>
      <c r="NXN45" s="291"/>
      <c r="NXO45" s="291"/>
      <c r="NXP45" s="291"/>
      <c r="NXQ45" s="291"/>
      <c r="NXR45" s="291"/>
      <c r="NXS45" s="291"/>
      <c r="NXT45" s="291"/>
      <c r="NXU45" s="291"/>
      <c r="NXV45" s="291"/>
      <c r="NXW45" s="291"/>
      <c r="NXX45" s="291"/>
      <c r="NXY45" s="291"/>
      <c r="NXZ45" s="291"/>
      <c r="NYA45" s="291"/>
      <c r="NYB45" s="291"/>
      <c r="NYC45" s="291"/>
      <c r="NYD45" s="291"/>
      <c r="NYE45" s="291"/>
      <c r="NYF45" s="291"/>
      <c r="NYG45" s="291"/>
      <c r="NYH45" s="291"/>
      <c r="NYI45" s="291"/>
      <c r="NYJ45" s="291"/>
      <c r="NYK45" s="291"/>
      <c r="NYL45" s="291"/>
      <c r="NYM45" s="291"/>
      <c r="NYN45" s="291"/>
      <c r="NYO45" s="291"/>
      <c r="NYP45" s="291"/>
      <c r="NYQ45" s="291"/>
      <c r="NYR45" s="291"/>
      <c r="NYS45" s="291"/>
      <c r="NYT45" s="291"/>
      <c r="NYU45" s="291"/>
      <c r="NYV45" s="291"/>
      <c r="NYW45" s="291"/>
      <c r="NYX45" s="291"/>
      <c r="NYY45" s="291"/>
      <c r="NYZ45" s="291"/>
      <c r="NZA45" s="291"/>
      <c r="NZB45" s="291"/>
      <c r="NZC45" s="291"/>
      <c r="NZD45" s="291"/>
      <c r="NZE45" s="291"/>
      <c r="NZF45" s="291"/>
      <c r="NZG45" s="291"/>
      <c r="NZH45" s="291"/>
      <c r="NZI45" s="291"/>
      <c r="NZJ45" s="291"/>
      <c r="NZK45" s="291"/>
      <c r="NZL45" s="291"/>
      <c r="NZM45" s="291"/>
      <c r="NZN45" s="291"/>
      <c r="NZO45" s="291"/>
      <c r="NZP45" s="291"/>
      <c r="NZQ45" s="291"/>
      <c r="NZR45" s="291"/>
      <c r="NZS45" s="291"/>
      <c r="NZT45" s="291"/>
      <c r="NZU45" s="291"/>
      <c r="NZV45" s="291"/>
      <c r="NZW45" s="291"/>
      <c r="NZX45" s="291"/>
      <c r="NZY45" s="291"/>
      <c r="NZZ45" s="291"/>
      <c r="OAA45" s="291"/>
      <c r="OAB45" s="291"/>
      <c r="OAC45" s="291"/>
      <c r="OAD45" s="291"/>
      <c r="OAE45" s="291"/>
      <c r="OAF45" s="291"/>
      <c r="OAG45" s="291"/>
      <c r="OAH45" s="291"/>
      <c r="OAI45" s="291"/>
      <c r="OAJ45" s="291"/>
      <c r="OAK45" s="291"/>
      <c r="OAL45" s="291"/>
      <c r="OAM45" s="291"/>
      <c r="OAN45" s="291"/>
      <c r="OAO45" s="291"/>
      <c r="OAP45" s="291"/>
      <c r="OAQ45" s="291"/>
      <c r="OAR45" s="291"/>
      <c r="OAS45" s="291"/>
      <c r="OAT45" s="291"/>
      <c r="OAU45" s="291"/>
      <c r="OAV45" s="291"/>
      <c r="OAW45" s="291"/>
      <c r="OAX45" s="291"/>
      <c r="OAY45" s="291"/>
      <c r="OAZ45" s="291"/>
      <c r="OBA45" s="291"/>
      <c r="OBB45" s="291"/>
      <c r="OBC45" s="291"/>
      <c r="OBD45" s="291"/>
      <c r="OBE45" s="291"/>
      <c r="OBF45" s="291"/>
      <c r="OBG45" s="291"/>
      <c r="OBH45" s="291"/>
      <c r="OBI45" s="291"/>
      <c r="OBJ45" s="291"/>
      <c r="OBK45" s="291"/>
      <c r="OBL45" s="291"/>
      <c r="OBM45" s="291"/>
      <c r="OBN45" s="291"/>
      <c r="OBO45" s="291"/>
      <c r="OBP45" s="291"/>
      <c r="OBQ45" s="291"/>
      <c r="OBR45" s="291"/>
      <c r="OBS45" s="291"/>
      <c r="OBT45" s="291"/>
      <c r="OBU45" s="291"/>
      <c r="OBV45" s="291"/>
      <c r="OBW45" s="291"/>
      <c r="OBX45" s="291"/>
      <c r="OBY45" s="291"/>
      <c r="OBZ45" s="291"/>
      <c r="OCA45" s="291"/>
      <c r="OCB45" s="291"/>
      <c r="OCC45" s="291"/>
      <c r="OCD45" s="291"/>
      <c r="OCE45" s="291"/>
      <c r="OCF45" s="291"/>
      <c r="OCG45" s="291"/>
      <c r="OCH45" s="291"/>
      <c r="OCI45" s="291"/>
      <c r="OCJ45" s="291"/>
      <c r="OCK45" s="291"/>
      <c r="OCL45" s="291"/>
      <c r="OCM45" s="291"/>
      <c r="OCN45" s="291"/>
      <c r="OCO45" s="291"/>
      <c r="OCP45" s="291"/>
      <c r="OCQ45" s="291"/>
      <c r="OCR45" s="291"/>
      <c r="OCS45" s="291"/>
      <c r="OCT45" s="291"/>
      <c r="OCU45" s="291"/>
      <c r="OCV45" s="291"/>
      <c r="OCW45" s="291"/>
      <c r="OCX45" s="291"/>
      <c r="OCY45" s="291"/>
      <c r="OCZ45" s="291"/>
      <c r="ODA45" s="291"/>
      <c r="ODB45" s="291"/>
      <c r="ODC45" s="291"/>
      <c r="ODD45" s="291"/>
      <c r="ODE45" s="291"/>
      <c r="ODF45" s="291"/>
      <c r="ODG45" s="291"/>
      <c r="ODH45" s="291"/>
      <c r="ODI45" s="291"/>
      <c r="ODJ45" s="291"/>
      <c r="ODK45" s="291"/>
      <c r="ODL45" s="291"/>
      <c r="ODM45" s="291"/>
      <c r="ODN45" s="291"/>
      <c r="ODO45" s="291"/>
      <c r="ODP45" s="291"/>
      <c r="ODQ45" s="291"/>
      <c r="ODR45" s="291"/>
      <c r="ODS45" s="291"/>
      <c r="ODT45" s="291"/>
      <c r="ODU45" s="291"/>
      <c r="ODV45" s="291"/>
      <c r="ODW45" s="291"/>
      <c r="ODX45" s="291"/>
      <c r="ODY45" s="291"/>
      <c r="ODZ45" s="291"/>
      <c r="OEA45" s="291"/>
      <c r="OEB45" s="291"/>
      <c r="OEC45" s="291"/>
      <c r="OED45" s="291"/>
      <c r="OEE45" s="291"/>
      <c r="OEF45" s="291"/>
      <c r="OEG45" s="291"/>
      <c r="OEH45" s="291"/>
      <c r="OEI45" s="291"/>
      <c r="OEJ45" s="291"/>
      <c r="OEK45" s="291"/>
      <c r="OEL45" s="291"/>
      <c r="OEM45" s="291"/>
      <c r="OEN45" s="291"/>
      <c r="OEO45" s="291"/>
      <c r="OEP45" s="291"/>
      <c r="OEQ45" s="291"/>
      <c r="OER45" s="291"/>
      <c r="OES45" s="291"/>
      <c r="OET45" s="291"/>
      <c r="OEU45" s="291"/>
      <c r="OEV45" s="291"/>
      <c r="OEW45" s="291"/>
      <c r="OEX45" s="291"/>
      <c r="OEY45" s="291"/>
      <c r="OEZ45" s="291"/>
      <c r="OFA45" s="291"/>
      <c r="OFB45" s="291"/>
      <c r="OFC45" s="291"/>
      <c r="OFD45" s="291"/>
      <c r="OFE45" s="291"/>
      <c r="OFF45" s="291"/>
      <c r="OFG45" s="291"/>
      <c r="OFH45" s="291"/>
      <c r="OFI45" s="291"/>
      <c r="OFJ45" s="291"/>
      <c r="OFK45" s="291"/>
      <c r="OFL45" s="291"/>
      <c r="OFM45" s="291"/>
      <c r="OFN45" s="291"/>
      <c r="OFO45" s="291"/>
      <c r="OFP45" s="291"/>
      <c r="OFQ45" s="291"/>
      <c r="OFR45" s="291"/>
      <c r="OFS45" s="291"/>
      <c r="OFT45" s="291"/>
      <c r="OFU45" s="291"/>
      <c r="OFV45" s="291"/>
      <c r="OFW45" s="291"/>
      <c r="OFX45" s="291"/>
      <c r="OFY45" s="291"/>
      <c r="OFZ45" s="291"/>
      <c r="OGA45" s="291"/>
      <c r="OGB45" s="291"/>
      <c r="OGC45" s="291"/>
      <c r="OGD45" s="291"/>
      <c r="OGE45" s="291"/>
      <c r="OGF45" s="291"/>
      <c r="OGG45" s="291"/>
      <c r="OGH45" s="291"/>
      <c r="OGI45" s="291"/>
      <c r="OGJ45" s="291"/>
      <c r="OGK45" s="291"/>
      <c r="OGL45" s="291"/>
      <c r="OGM45" s="291"/>
      <c r="OGN45" s="291"/>
      <c r="OGO45" s="291"/>
      <c r="OGP45" s="291"/>
      <c r="OGQ45" s="291"/>
      <c r="OGR45" s="291"/>
      <c r="OGS45" s="291"/>
      <c r="OGT45" s="291"/>
      <c r="OGU45" s="291"/>
      <c r="OGV45" s="291"/>
      <c r="OGW45" s="291"/>
      <c r="OGX45" s="291"/>
      <c r="OGY45" s="291"/>
      <c r="OGZ45" s="291"/>
      <c r="OHA45" s="291"/>
      <c r="OHB45" s="291"/>
      <c r="OHC45" s="291"/>
      <c r="OHD45" s="291"/>
      <c r="OHE45" s="291"/>
      <c r="OHF45" s="291"/>
      <c r="OHG45" s="291"/>
      <c r="OHH45" s="291"/>
      <c r="OHI45" s="291"/>
      <c r="OHJ45" s="291"/>
      <c r="OHK45" s="291"/>
      <c r="OHL45" s="291"/>
      <c r="OHM45" s="291"/>
      <c r="OHN45" s="291"/>
      <c r="OHO45" s="291"/>
      <c r="OHP45" s="291"/>
      <c r="OHQ45" s="291"/>
      <c r="OHR45" s="291"/>
      <c r="OHS45" s="291"/>
      <c r="OHT45" s="291"/>
      <c r="OHU45" s="291"/>
      <c r="OHV45" s="291"/>
      <c r="OHW45" s="291"/>
      <c r="OHX45" s="291"/>
      <c r="OHY45" s="291"/>
      <c r="OHZ45" s="291"/>
      <c r="OIA45" s="291"/>
      <c r="OIB45" s="291"/>
      <c r="OIC45" s="291"/>
      <c r="OID45" s="291"/>
      <c r="OIE45" s="291"/>
      <c r="OIF45" s="291"/>
      <c r="OIG45" s="291"/>
      <c r="OIH45" s="291"/>
      <c r="OII45" s="291"/>
      <c r="OIJ45" s="291"/>
      <c r="OIK45" s="291"/>
      <c r="OIL45" s="291"/>
      <c r="OIM45" s="291"/>
      <c r="OIN45" s="291"/>
      <c r="OIO45" s="291"/>
      <c r="OIP45" s="291"/>
      <c r="OIQ45" s="291"/>
      <c r="OIR45" s="291"/>
      <c r="OIS45" s="291"/>
      <c r="OIT45" s="291"/>
      <c r="OIU45" s="291"/>
      <c r="OIV45" s="291"/>
      <c r="OIW45" s="291"/>
      <c r="OIX45" s="291"/>
      <c r="OIY45" s="291"/>
      <c r="OIZ45" s="291"/>
      <c r="OJA45" s="291"/>
      <c r="OJB45" s="291"/>
      <c r="OJC45" s="291"/>
      <c r="OJD45" s="291"/>
      <c r="OJE45" s="291"/>
      <c r="OJF45" s="291"/>
      <c r="OJG45" s="291"/>
      <c r="OJH45" s="291"/>
      <c r="OJI45" s="291"/>
      <c r="OJJ45" s="291"/>
      <c r="OJK45" s="291"/>
      <c r="OJL45" s="291"/>
      <c r="OJM45" s="291"/>
      <c r="OJN45" s="291"/>
      <c r="OJO45" s="291"/>
      <c r="OJP45" s="291"/>
      <c r="OJQ45" s="291"/>
      <c r="OJR45" s="291"/>
      <c r="OJS45" s="291"/>
      <c r="OJT45" s="291"/>
      <c r="OJU45" s="291"/>
      <c r="OJV45" s="291"/>
      <c r="OJW45" s="291"/>
      <c r="OJX45" s="291"/>
      <c r="OJY45" s="291"/>
      <c r="OJZ45" s="291"/>
      <c r="OKA45" s="291"/>
      <c r="OKB45" s="291"/>
      <c r="OKC45" s="291"/>
      <c r="OKD45" s="291"/>
      <c r="OKE45" s="291"/>
      <c r="OKF45" s="291"/>
      <c r="OKG45" s="291"/>
      <c r="OKH45" s="291"/>
      <c r="OKI45" s="291"/>
      <c r="OKJ45" s="291"/>
      <c r="OKK45" s="291"/>
      <c r="OKL45" s="291"/>
      <c r="OKM45" s="291"/>
      <c r="OKN45" s="291"/>
      <c r="OKO45" s="291"/>
      <c r="OKP45" s="291"/>
      <c r="OKQ45" s="291"/>
      <c r="OKR45" s="291"/>
      <c r="OKS45" s="291"/>
      <c r="OKT45" s="291"/>
      <c r="OKU45" s="291"/>
      <c r="OKV45" s="291"/>
      <c r="OKW45" s="291"/>
      <c r="OKX45" s="291"/>
      <c r="OKY45" s="291"/>
      <c r="OKZ45" s="291"/>
      <c r="OLA45" s="291"/>
      <c r="OLB45" s="291"/>
      <c r="OLC45" s="291"/>
      <c r="OLD45" s="291"/>
      <c r="OLE45" s="291"/>
      <c r="OLF45" s="291"/>
      <c r="OLG45" s="291"/>
      <c r="OLH45" s="291"/>
      <c r="OLI45" s="291"/>
      <c r="OLJ45" s="291"/>
      <c r="OLK45" s="291"/>
      <c r="OLL45" s="291"/>
      <c r="OLM45" s="291"/>
      <c r="OLN45" s="291"/>
      <c r="OLO45" s="291"/>
      <c r="OLP45" s="291"/>
      <c r="OLQ45" s="291"/>
      <c r="OLR45" s="291"/>
      <c r="OLS45" s="291"/>
      <c r="OLT45" s="291"/>
      <c r="OLU45" s="291"/>
      <c r="OLV45" s="291"/>
      <c r="OLW45" s="291"/>
      <c r="OLX45" s="291"/>
      <c r="OLY45" s="291"/>
      <c r="OLZ45" s="291"/>
      <c r="OMA45" s="291"/>
      <c r="OMB45" s="291"/>
      <c r="OMC45" s="291"/>
      <c r="OMD45" s="291"/>
      <c r="OME45" s="291"/>
      <c r="OMF45" s="291"/>
      <c r="OMG45" s="291"/>
      <c r="OMH45" s="291"/>
      <c r="OMI45" s="291"/>
      <c r="OMJ45" s="291"/>
      <c r="OMK45" s="291"/>
      <c r="OML45" s="291"/>
      <c r="OMM45" s="291"/>
      <c r="OMN45" s="291"/>
      <c r="OMO45" s="291"/>
      <c r="OMP45" s="291"/>
      <c r="OMQ45" s="291"/>
      <c r="OMR45" s="291"/>
      <c r="OMS45" s="291"/>
      <c r="OMT45" s="291"/>
      <c r="OMU45" s="291"/>
      <c r="OMV45" s="291"/>
      <c r="OMW45" s="291"/>
      <c r="OMX45" s="291"/>
      <c r="OMY45" s="291"/>
      <c r="OMZ45" s="291"/>
      <c r="ONA45" s="291"/>
      <c r="ONB45" s="291"/>
      <c r="ONC45" s="291"/>
      <c r="OND45" s="291"/>
      <c r="ONE45" s="291"/>
      <c r="ONF45" s="291"/>
      <c r="ONG45" s="291"/>
      <c r="ONH45" s="291"/>
      <c r="ONI45" s="291"/>
      <c r="ONJ45" s="291"/>
      <c r="ONK45" s="291"/>
      <c r="ONL45" s="291"/>
      <c r="ONM45" s="291"/>
      <c r="ONN45" s="291"/>
      <c r="ONO45" s="291"/>
      <c r="ONP45" s="291"/>
      <c r="ONQ45" s="291"/>
      <c r="ONR45" s="291"/>
      <c r="ONS45" s="291"/>
      <c r="ONT45" s="291"/>
      <c r="ONU45" s="291"/>
      <c r="ONV45" s="291"/>
      <c r="ONW45" s="291"/>
      <c r="ONX45" s="291"/>
      <c r="ONY45" s="291"/>
      <c r="ONZ45" s="291"/>
      <c r="OOA45" s="291"/>
      <c r="OOB45" s="291"/>
      <c r="OOC45" s="291"/>
      <c r="OOD45" s="291"/>
      <c r="OOE45" s="291"/>
      <c r="OOF45" s="291"/>
      <c r="OOG45" s="291"/>
      <c r="OOH45" s="291"/>
      <c r="OOI45" s="291"/>
      <c r="OOJ45" s="291"/>
      <c r="OOK45" s="291"/>
      <c r="OOL45" s="291"/>
      <c r="OOM45" s="291"/>
      <c r="OON45" s="291"/>
      <c r="OOO45" s="291"/>
      <c r="OOP45" s="291"/>
      <c r="OOQ45" s="291"/>
      <c r="OOR45" s="291"/>
      <c r="OOS45" s="291"/>
      <c r="OOT45" s="291"/>
      <c r="OOU45" s="291"/>
      <c r="OOV45" s="291"/>
      <c r="OOW45" s="291"/>
      <c r="OOX45" s="291"/>
      <c r="OOY45" s="291"/>
      <c r="OOZ45" s="291"/>
      <c r="OPA45" s="291"/>
      <c r="OPB45" s="291"/>
      <c r="OPC45" s="291"/>
      <c r="OPD45" s="291"/>
      <c r="OPE45" s="291"/>
      <c r="OPF45" s="291"/>
      <c r="OPG45" s="291"/>
      <c r="OPH45" s="291"/>
      <c r="OPI45" s="291"/>
      <c r="OPJ45" s="291"/>
      <c r="OPK45" s="291"/>
      <c r="OPL45" s="291"/>
      <c r="OPM45" s="291"/>
      <c r="OPN45" s="291"/>
      <c r="OPO45" s="291"/>
      <c r="OPP45" s="291"/>
      <c r="OPQ45" s="291"/>
      <c r="OPR45" s="291"/>
      <c r="OPS45" s="291"/>
      <c r="OPT45" s="291"/>
      <c r="OPU45" s="291"/>
      <c r="OPV45" s="291"/>
      <c r="OPW45" s="291"/>
      <c r="OPX45" s="291"/>
      <c r="OPY45" s="291"/>
      <c r="OPZ45" s="291"/>
      <c r="OQA45" s="291"/>
      <c r="OQB45" s="291"/>
      <c r="OQC45" s="291"/>
      <c r="OQD45" s="291"/>
      <c r="OQE45" s="291"/>
      <c r="OQF45" s="291"/>
      <c r="OQG45" s="291"/>
      <c r="OQH45" s="291"/>
      <c r="OQI45" s="291"/>
      <c r="OQJ45" s="291"/>
      <c r="OQK45" s="291"/>
      <c r="OQL45" s="291"/>
      <c r="OQM45" s="291"/>
      <c r="OQN45" s="291"/>
      <c r="OQO45" s="291"/>
      <c r="OQP45" s="291"/>
      <c r="OQQ45" s="291"/>
      <c r="OQR45" s="291"/>
      <c r="OQS45" s="291"/>
      <c r="OQT45" s="291"/>
      <c r="OQU45" s="291"/>
      <c r="OQV45" s="291"/>
      <c r="OQW45" s="291"/>
      <c r="OQX45" s="291"/>
      <c r="OQY45" s="291"/>
      <c r="OQZ45" s="291"/>
      <c r="ORA45" s="291"/>
      <c r="ORB45" s="291"/>
      <c r="ORC45" s="291"/>
      <c r="ORD45" s="291"/>
      <c r="ORE45" s="291"/>
      <c r="ORF45" s="291"/>
      <c r="ORG45" s="291"/>
      <c r="ORH45" s="291"/>
      <c r="ORI45" s="291"/>
      <c r="ORJ45" s="291"/>
      <c r="ORK45" s="291"/>
      <c r="ORL45" s="291"/>
      <c r="ORM45" s="291"/>
      <c r="ORN45" s="291"/>
      <c r="ORO45" s="291"/>
      <c r="ORP45" s="291"/>
      <c r="ORQ45" s="291"/>
      <c r="ORR45" s="291"/>
      <c r="ORS45" s="291"/>
      <c r="ORT45" s="291"/>
      <c r="ORU45" s="291"/>
      <c r="ORV45" s="291"/>
      <c r="ORW45" s="291"/>
      <c r="ORX45" s="291"/>
      <c r="ORY45" s="291"/>
      <c r="ORZ45" s="291"/>
      <c r="OSA45" s="291"/>
      <c r="OSB45" s="291"/>
      <c r="OSC45" s="291"/>
      <c r="OSD45" s="291"/>
      <c r="OSE45" s="291"/>
      <c r="OSF45" s="291"/>
      <c r="OSG45" s="291"/>
      <c r="OSH45" s="291"/>
      <c r="OSI45" s="291"/>
      <c r="OSJ45" s="291"/>
      <c r="OSK45" s="291"/>
      <c r="OSL45" s="291"/>
      <c r="OSM45" s="291"/>
      <c r="OSN45" s="291"/>
      <c r="OSO45" s="291"/>
      <c r="OSP45" s="291"/>
      <c r="OSQ45" s="291"/>
      <c r="OSR45" s="291"/>
      <c r="OSS45" s="291"/>
      <c r="OST45" s="291"/>
      <c r="OSU45" s="291"/>
      <c r="OSV45" s="291"/>
      <c r="OSW45" s="291"/>
      <c r="OSX45" s="291"/>
      <c r="OSY45" s="291"/>
      <c r="OSZ45" s="291"/>
      <c r="OTA45" s="291"/>
      <c r="OTB45" s="291"/>
      <c r="OTC45" s="291"/>
      <c r="OTD45" s="291"/>
      <c r="OTE45" s="291"/>
      <c r="OTF45" s="291"/>
      <c r="OTG45" s="291"/>
      <c r="OTH45" s="291"/>
      <c r="OTI45" s="291"/>
      <c r="OTJ45" s="291"/>
      <c r="OTK45" s="291"/>
      <c r="OTL45" s="291"/>
      <c r="OTM45" s="291"/>
      <c r="OTN45" s="291"/>
      <c r="OTO45" s="291"/>
      <c r="OTP45" s="291"/>
      <c r="OTQ45" s="291"/>
      <c r="OTR45" s="291"/>
      <c r="OTS45" s="291"/>
      <c r="OTT45" s="291"/>
      <c r="OTU45" s="291"/>
      <c r="OTV45" s="291"/>
      <c r="OTW45" s="291"/>
      <c r="OTX45" s="291"/>
      <c r="OTY45" s="291"/>
      <c r="OTZ45" s="291"/>
      <c r="OUA45" s="291"/>
      <c r="OUB45" s="291"/>
      <c r="OUC45" s="291"/>
      <c r="OUD45" s="291"/>
      <c r="OUE45" s="291"/>
      <c r="OUF45" s="291"/>
      <c r="OUG45" s="291"/>
      <c r="OUH45" s="291"/>
      <c r="OUI45" s="291"/>
      <c r="OUJ45" s="291"/>
      <c r="OUK45" s="291"/>
      <c r="OUL45" s="291"/>
      <c r="OUM45" s="291"/>
      <c r="OUN45" s="291"/>
      <c r="OUO45" s="291"/>
      <c r="OUP45" s="291"/>
      <c r="OUQ45" s="291"/>
      <c r="OUR45" s="291"/>
      <c r="OUS45" s="291"/>
      <c r="OUT45" s="291"/>
      <c r="OUU45" s="291"/>
      <c r="OUV45" s="291"/>
      <c r="OUW45" s="291"/>
      <c r="OUX45" s="291"/>
      <c r="OUY45" s="291"/>
      <c r="OUZ45" s="291"/>
      <c r="OVA45" s="291"/>
      <c r="OVB45" s="291"/>
      <c r="OVC45" s="291"/>
      <c r="OVD45" s="291"/>
      <c r="OVE45" s="291"/>
      <c r="OVF45" s="291"/>
      <c r="OVG45" s="291"/>
      <c r="OVH45" s="291"/>
      <c r="OVI45" s="291"/>
      <c r="OVJ45" s="291"/>
      <c r="OVK45" s="291"/>
      <c r="OVL45" s="291"/>
      <c r="OVM45" s="291"/>
      <c r="OVN45" s="291"/>
      <c r="OVO45" s="291"/>
      <c r="OVP45" s="291"/>
      <c r="OVQ45" s="291"/>
      <c r="OVR45" s="291"/>
      <c r="OVS45" s="291"/>
      <c r="OVT45" s="291"/>
      <c r="OVU45" s="291"/>
      <c r="OVV45" s="291"/>
      <c r="OVW45" s="291"/>
      <c r="OVX45" s="291"/>
      <c r="OVY45" s="291"/>
      <c r="OVZ45" s="291"/>
      <c r="OWA45" s="291"/>
      <c r="OWB45" s="291"/>
      <c r="OWC45" s="291"/>
      <c r="OWD45" s="291"/>
      <c r="OWE45" s="291"/>
      <c r="OWF45" s="291"/>
      <c r="OWG45" s="291"/>
      <c r="OWH45" s="291"/>
      <c r="OWI45" s="291"/>
      <c r="OWJ45" s="291"/>
      <c r="OWK45" s="291"/>
      <c r="OWL45" s="291"/>
      <c r="OWM45" s="291"/>
      <c r="OWN45" s="291"/>
      <c r="OWO45" s="291"/>
      <c r="OWP45" s="291"/>
      <c r="OWQ45" s="291"/>
      <c r="OWR45" s="291"/>
      <c r="OWS45" s="291"/>
      <c r="OWT45" s="291"/>
      <c r="OWU45" s="291"/>
      <c r="OWV45" s="291"/>
      <c r="OWW45" s="291"/>
      <c r="OWX45" s="291"/>
      <c r="OWY45" s="291"/>
      <c r="OWZ45" s="291"/>
      <c r="OXA45" s="291"/>
      <c r="OXB45" s="291"/>
      <c r="OXC45" s="291"/>
      <c r="OXD45" s="291"/>
      <c r="OXE45" s="291"/>
      <c r="OXF45" s="291"/>
      <c r="OXG45" s="291"/>
      <c r="OXH45" s="291"/>
      <c r="OXI45" s="291"/>
      <c r="OXJ45" s="291"/>
      <c r="OXK45" s="291"/>
      <c r="OXL45" s="291"/>
      <c r="OXM45" s="291"/>
      <c r="OXN45" s="291"/>
      <c r="OXO45" s="291"/>
      <c r="OXP45" s="291"/>
      <c r="OXQ45" s="291"/>
      <c r="OXR45" s="291"/>
      <c r="OXS45" s="291"/>
      <c r="OXT45" s="291"/>
      <c r="OXU45" s="291"/>
      <c r="OXV45" s="291"/>
      <c r="OXW45" s="291"/>
      <c r="OXX45" s="291"/>
      <c r="OXY45" s="291"/>
      <c r="OXZ45" s="291"/>
      <c r="OYA45" s="291"/>
      <c r="OYB45" s="291"/>
      <c r="OYC45" s="291"/>
      <c r="OYD45" s="291"/>
      <c r="OYE45" s="291"/>
      <c r="OYF45" s="291"/>
      <c r="OYG45" s="291"/>
      <c r="OYH45" s="291"/>
      <c r="OYI45" s="291"/>
      <c r="OYJ45" s="291"/>
      <c r="OYK45" s="291"/>
      <c r="OYL45" s="291"/>
      <c r="OYM45" s="291"/>
      <c r="OYN45" s="291"/>
      <c r="OYO45" s="291"/>
      <c r="OYP45" s="291"/>
      <c r="OYQ45" s="291"/>
      <c r="OYR45" s="291"/>
      <c r="OYS45" s="291"/>
      <c r="OYT45" s="291"/>
      <c r="OYU45" s="291"/>
      <c r="OYV45" s="291"/>
      <c r="OYW45" s="291"/>
      <c r="OYX45" s="291"/>
      <c r="OYY45" s="291"/>
      <c r="OYZ45" s="291"/>
      <c r="OZA45" s="291"/>
      <c r="OZB45" s="291"/>
      <c r="OZC45" s="291"/>
      <c r="OZD45" s="291"/>
      <c r="OZE45" s="291"/>
      <c r="OZF45" s="291"/>
      <c r="OZG45" s="291"/>
      <c r="OZH45" s="291"/>
      <c r="OZI45" s="291"/>
      <c r="OZJ45" s="291"/>
      <c r="OZK45" s="291"/>
      <c r="OZL45" s="291"/>
      <c r="OZM45" s="291"/>
      <c r="OZN45" s="291"/>
      <c r="OZO45" s="291"/>
      <c r="OZP45" s="291"/>
      <c r="OZQ45" s="291"/>
      <c r="OZR45" s="291"/>
      <c r="OZS45" s="291"/>
      <c r="OZT45" s="291"/>
      <c r="OZU45" s="291"/>
      <c r="OZV45" s="291"/>
      <c r="OZW45" s="291"/>
      <c r="OZX45" s="291"/>
      <c r="OZY45" s="291"/>
      <c r="OZZ45" s="291"/>
      <c r="PAA45" s="291"/>
      <c r="PAB45" s="291"/>
      <c r="PAC45" s="291"/>
      <c r="PAD45" s="291"/>
      <c r="PAE45" s="291"/>
      <c r="PAF45" s="291"/>
      <c r="PAG45" s="291"/>
      <c r="PAH45" s="291"/>
      <c r="PAI45" s="291"/>
      <c r="PAJ45" s="291"/>
      <c r="PAK45" s="291"/>
      <c r="PAL45" s="291"/>
      <c r="PAM45" s="291"/>
      <c r="PAN45" s="291"/>
      <c r="PAO45" s="291"/>
      <c r="PAP45" s="291"/>
      <c r="PAQ45" s="291"/>
      <c r="PAR45" s="291"/>
      <c r="PAS45" s="291"/>
      <c r="PAT45" s="291"/>
      <c r="PAU45" s="291"/>
      <c r="PAV45" s="291"/>
      <c r="PAW45" s="291"/>
      <c r="PAX45" s="291"/>
      <c r="PAY45" s="291"/>
      <c r="PAZ45" s="291"/>
      <c r="PBA45" s="291"/>
      <c r="PBB45" s="291"/>
      <c r="PBC45" s="291"/>
      <c r="PBD45" s="291"/>
      <c r="PBE45" s="291"/>
      <c r="PBF45" s="291"/>
      <c r="PBG45" s="291"/>
      <c r="PBH45" s="291"/>
      <c r="PBI45" s="291"/>
      <c r="PBJ45" s="291"/>
      <c r="PBK45" s="291"/>
      <c r="PBL45" s="291"/>
      <c r="PBM45" s="291"/>
      <c r="PBN45" s="291"/>
      <c r="PBO45" s="291"/>
      <c r="PBP45" s="291"/>
      <c r="PBQ45" s="291"/>
      <c r="PBR45" s="291"/>
      <c r="PBS45" s="291"/>
      <c r="PBT45" s="291"/>
      <c r="PBU45" s="291"/>
      <c r="PBV45" s="291"/>
      <c r="PBW45" s="291"/>
      <c r="PBX45" s="291"/>
      <c r="PBY45" s="291"/>
      <c r="PBZ45" s="291"/>
      <c r="PCA45" s="291"/>
      <c r="PCB45" s="291"/>
      <c r="PCC45" s="291"/>
      <c r="PCD45" s="291"/>
      <c r="PCE45" s="291"/>
      <c r="PCF45" s="291"/>
      <c r="PCG45" s="291"/>
      <c r="PCH45" s="291"/>
      <c r="PCI45" s="291"/>
      <c r="PCJ45" s="291"/>
      <c r="PCK45" s="291"/>
      <c r="PCL45" s="291"/>
      <c r="PCM45" s="291"/>
      <c r="PCN45" s="291"/>
      <c r="PCO45" s="291"/>
      <c r="PCP45" s="291"/>
      <c r="PCQ45" s="291"/>
      <c r="PCR45" s="291"/>
      <c r="PCS45" s="291"/>
      <c r="PCT45" s="291"/>
      <c r="PCU45" s="291"/>
      <c r="PCV45" s="291"/>
      <c r="PCW45" s="291"/>
      <c r="PCX45" s="291"/>
      <c r="PCY45" s="291"/>
      <c r="PCZ45" s="291"/>
      <c r="PDA45" s="291"/>
      <c r="PDB45" s="291"/>
      <c r="PDC45" s="291"/>
      <c r="PDD45" s="291"/>
      <c r="PDE45" s="291"/>
      <c r="PDF45" s="291"/>
      <c r="PDG45" s="291"/>
      <c r="PDH45" s="291"/>
      <c r="PDI45" s="291"/>
      <c r="PDJ45" s="291"/>
      <c r="PDK45" s="291"/>
      <c r="PDL45" s="291"/>
      <c r="PDM45" s="291"/>
      <c r="PDN45" s="291"/>
      <c r="PDO45" s="291"/>
      <c r="PDP45" s="291"/>
      <c r="PDQ45" s="291"/>
      <c r="PDR45" s="291"/>
      <c r="PDS45" s="291"/>
      <c r="PDT45" s="291"/>
      <c r="PDU45" s="291"/>
      <c r="PDV45" s="291"/>
      <c r="PDW45" s="291"/>
      <c r="PDX45" s="291"/>
      <c r="PDY45" s="291"/>
      <c r="PDZ45" s="291"/>
      <c r="PEA45" s="291"/>
      <c r="PEB45" s="291"/>
      <c r="PEC45" s="291"/>
      <c r="PED45" s="291"/>
      <c r="PEE45" s="291"/>
      <c r="PEF45" s="291"/>
      <c r="PEG45" s="291"/>
      <c r="PEH45" s="291"/>
      <c r="PEI45" s="291"/>
      <c r="PEJ45" s="291"/>
      <c r="PEK45" s="291"/>
      <c r="PEL45" s="291"/>
      <c r="PEM45" s="291"/>
      <c r="PEN45" s="291"/>
      <c r="PEO45" s="291"/>
      <c r="PEP45" s="291"/>
      <c r="PEQ45" s="291"/>
      <c r="PER45" s="291"/>
      <c r="PES45" s="291"/>
      <c r="PET45" s="291"/>
      <c r="PEU45" s="291"/>
      <c r="PEV45" s="291"/>
      <c r="PEW45" s="291"/>
      <c r="PEX45" s="291"/>
      <c r="PEY45" s="291"/>
      <c r="PEZ45" s="291"/>
      <c r="PFA45" s="291"/>
      <c r="PFB45" s="291"/>
      <c r="PFC45" s="291"/>
      <c r="PFD45" s="291"/>
      <c r="PFE45" s="291"/>
      <c r="PFF45" s="291"/>
      <c r="PFG45" s="291"/>
      <c r="PFH45" s="291"/>
      <c r="PFI45" s="291"/>
      <c r="PFJ45" s="291"/>
      <c r="PFK45" s="291"/>
      <c r="PFL45" s="291"/>
      <c r="PFM45" s="291"/>
      <c r="PFN45" s="291"/>
      <c r="PFO45" s="291"/>
      <c r="PFP45" s="291"/>
      <c r="PFQ45" s="291"/>
      <c r="PFR45" s="291"/>
      <c r="PFS45" s="291"/>
      <c r="PFT45" s="291"/>
      <c r="PFU45" s="291"/>
      <c r="PFV45" s="291"/>
      <c r="PFW45" s="291"/>
      <c r="PFX45" s="291"/>
      <c r="PFY45" s="291"/>
      <c r="PFZ45" s="291"/>
      <c r="PGA45" s="291"/>
      <c r="PGB45" s="291"/>
      <c r="PGC45" s="291"/>
      <c r="PGD45" s="291"/>
      <c r="PGE45" s="291"/>
      <c r="PGF45" s="291"/>
      <c r="PGG45" s="291"/>
      <c r="PGH45" s="291"/>
      <c r="PGI45" s="291"/>
      <c r="PGJ45" s="291"/>
      <c r="PGK45" s="291"/>
      <c r="PGL45" s="291"/>
      <c r="PGM45" s="291"/>
      <c r="PGN45" s="291"/>
      <c r="PGO45" s="291"/>
      <c r="PGP45" s="291"/>
      <c r="PGQ45" s="291"/>
      <c r="PGR45" s="291"/>
      <c r="PGS45" s="291"/>
      <c r="PGT45" s="291"/>
      <c r="PGU45" s="291"/>
      <c r="PGV45" s="291"/>
      <c r="PGW45" s="291"/>
      <c r="PGX45" s="291"/>
      <c r="PGY45" s="291"/>
      <c r="PGZ45" s="291"/>
      <c r="PHA45" s="291"/>
      <c r="PHB45" s="291"/>
      <c r="PHC45" s="291"/>
      <c r="PHD45" s="291"/>
      <c r="PHE45" s="291"/>
      <c r="PHF45" s="291"/>
      <c r="PHG45" s="291"/>
      <c r="PHH45" s="291"/>
      <c r="PHI45" s="291"/>
      <c r="PHJ45" s="291"/>
      <c r="PHK45" s="291"/>
      <c r="PHL45" s="291"/>
      <c r="PHM45" s="291"/>
      <c r="PHN45" s="291"/>
      <c r="PHO45" s="291"/>
      <c r="PHP45" s="291"/>
      <c r="PHQ45" s="291"/>
      <c r="PHR45" s="291"/>
      <c r="PHS45" s="291"/>
      <c r="PHT45" s="291"/>
      <c r="PHU45" s="291"/>
      <c r="PHV45" s="291"/>
      <c r="PHW45" s="291"/>
      <c r="PHX45" s="291"/>
      <c r="PHY45" s="291"/>
      <c r="PHZ45" s="291"/>
      <c r="PIA45" s="291"/>
      <c r="PIB45" s="291"/>
      <c r="PIC45" s="291"/>
      <c r="PID45" s="291"/>
      <c r="PIE45" s="291"/>
      <c r="PIF45" s="291"/>
      <c r="PIG45" s="291"/>
      <c r="PIH45" s="291"/>
      <c r="PII45" s="291"/>
      <c r="PIJ45" s="291"/>
      <c r="PIK45" s="291"/>
      <c r="PIL45" s="291"/>
      <c r="PIM45" s="291"/>
      <c r="PIN45" s="291"/>
      <c r="PIO45" s="291"/>
      <c r="PIP45" s="291"/>
      <c r="PIQ45" s="291"/>
      <c r="PIR45" s="291"/>
      <c r="PIS45" s="291"/>
      <c r="PIT45" s="291"/>
      <c r="PIU45" s="291"/>
      <c r="PIV45" s="291"/>
      <c r="PIW45" s="291"/>
      <c r="PIX45" s="291"/>
      <c r="PIY45" s="291"/>
      <c r="PIZ45" s="291"/>
      <c r="PJA45" s="291"/>
      <c r="PJB45" s="291"/>
      <c r="PJC45" s="291"/>
      <c r="PJD45" s="291"/>
      <c r="PJE45" s="291"/>
      <c r="PJF45" s="291"/>
      <c r="PJG45" s="291"/>
      <c r="PJH45" s="291"/>
      <c r="PJI45" s="291"/>
      <c r="PJJ45" s="291"/>
      <c r="PJK45" s="291"/>
      <c r="PJL45" s="291"/>
      <c r="PJM45" s="291"/>
      <c r="PJN45" s="291"/>
      <c r="PJO45" s="291"/>
      <c r="PJP45" s="291"/>
      <c r="PJQ45" s="291"/>
      <c r="PJR45" s="291"/>
      <c r="PJS45" s="291"/>
      <c r="PJT45" s="291"/>
      <c r="PJU45" s="291"/>
      <c r="PJV45" s="291"/>
      <c r="PJW45" s="291"/>
      <c r="PJX45" s="291"/>
      <c r="PJY45" s="291"/>
      <c r="PJZ45" s="291"/>
      <c r="PKA45" s="291"/>
      <c r="PKB45" s="291"/>
      <c r="PKC45" s="291"/>
      <c r="PKD45" s="291"/>
      <c r="PKE45" s="291"/>
      <c r="PKF45" s="291"/>
      <c r="PKG45" s="291"/>
      <c r="PKH45" s="291"/>
      <c r="PKI45" s="291"/>
      <c r="PKJ45" s="291"/>
      <c r="PKK45" s="291"/>
      <c r="PKL45" s="291"/>
      <c r="PKM45" s="291"/>
      <c r="PKN45" s="291"/>
      <c r="PKO45" s="291"/>
      <c r="PKP45" s="291"/>
      <c r="PKQ45" s="291"/>
      <c r="PKR45" s="291"/>
      <c r="PKS45" s="291"/>
      <c r="PKT45" s="291"/>
      <c r="PKU45" s="291"/>
      <c r="PKV45" s="291"/>
      <c r="PKW45" s="291"/>
      <c r="PKX45" s="291"/>
      <c r="PKY45" s="291"/>
      <c r="PKZ45" s="291"/>
      <c r="PLA45" s="291"/>
      <c r="PLB45" s="291"/>
      <c r="PLC45" s="291"/>
      <c r="PLD45" s="291"/>
      <c r="PLE45" s="291"/>
      <c r="PLF45" s="291"/>
      <c r="PLG45" s="291"/>
      <c r="PLH45" s="291"/>
      <c r="PLI45" s="291"/>
      <c r="PLJ45" s="291"/>
      <c r="PLK45" s="291"/>
      <c r="PLL45" s="291"/>
      <c r="PLM45" s="291"/>
      <c r="PLN45" s="291"/>
      <c r="PLO45" s="291"/>
      <c r="PLP45" s="291"/>
      <c r="PLQ45" s="291"/>
      <c r="PLR45" s="291"/>
      <c r="PLS45" s="291"/>
      <c r="PLT45" s="291"/>
      <c r="PLU45" s="291"/>
      <c r="PLV45" s="291"/>
      <c r="PLW45" s="291"/>
      <c r="PLX45" s="291"/>
      <c r="PLY45" s="291"/>
      <c r="PLZ45" s="291"/>
      <c r="PMA45" s="291"/>
      <c r="PMB45" s="291"/>
      <c r="PMC45" s="291"/>
      <c r="PMD45" s="291"/>
      <c r="PME45" s="291"/>
      <c r="PMF45" s="291"/>
      <c r="PMG45" s="291"/>
      <c r="PMH45" s="291"/>
      <c r="PMI45" s="291"/>
      <c r="PMJ45" s="291"/>
      <c r="PMK45" s="291"/>
      <c r="PML45" s="291"/>
      <c r="PMM45" s="291"/>
      <c r="PMN45" s="291"/>
      <c r="PMO45" s="291"/>
      <c r="PMP45" s="291"/>
      <c r="PMQ45" s="291"/>
      <c r="PMR45" s="291"/>
      <c r="PMS45" s="291"/>
      <c r="PMT45" s="291"/>
      <c r="PMU45" s="291"/>
      <c r="PMV45" s="291"/>
      <c r="PMW45" s="291"/>
      <c r="PMX45" s="291"/>
      <c r="PMY45" s="291"/>
      <c r="PMZ45" s="291"/>
      <c r="PNA45" s="291"/>
      <c r="PNB45" s="291"/>
      <c r="PNC45" s="291"/>
      <c r="PND45" s="291"/>
      <c r="PNE45" s="291"/>
      <c r="PNF45" s="291"/>
      <c r="PNG45" s="291"/>
      <c r="PNH45" s="291"/>
      <c r="PNI45" s="291"/>
      <c r="PNJ45" s="291"/>
      <c r="PNK45" s="291"/>
      <c r="PNL45" s="291"/>
      <c r="PNM45" s="291"/>
      <c r="PNN45" s="291"/>
      <c r="PNO45" s="291"/>
      <c r="PNP45" s="291"/>
      <c r="PNQ45" s="291"/>
      <c r="PNR45" s="291"/>
      <c r="PNS45" s="291"/>
      <c r="PNT45" s="291"/>
      <c r="PNU45" s="291"/>
      <c r="PNV45" s="291"/>
      <c r="PNW45" s="291"/>
      <c r="PNX45" s="291"/>
      <c r="PNY45" s="291"/>
      <c r="PNZ45" s="291"/>
      <c r="POA45" s="291"/>
      <c r="POB45" s="291"/>
      <c r="POC45" s="291"/>
      <c r="POD45" s="291"/>
      <c r="POE45" s="291"/>
      <c r="POF45" s="291"/>
      <c r="POG45" s="291"/>
      <c r="POH45" s="291"/>
      <c r="POI45" s="291"/>
      <c r="POJ45" s="291"/>
      <c r="POK45" s="291"/>
      <c r="POL45" s="291"/>
      <c r="POM45" s="291"/>
      <c r="PON45" s="291"/>
      <c r="POO45" s="291"/>
      <c r="POP45" s="291"/>
      <c r="POQ45" s="291"/>
      <c r="POR45" s="291"/>
      <c r="POS45" s="291"/>
      <c r="POT45" s="291"/>
      <c r="POU45" s="291"/>
      <c r="POV45" s="291"/>
      <c r="POW45" s="291"/>
      <c r="POX45" s="291"/>
      <c r="POY45" s="291"/>
      <c r="POZ45" s="291"/>
      <c r="PPA45" s="291"/>
      <c r="PPB45" s="291"/>
      <c r="PPC45" s="291"/>
      <c r="PPD45" s="291"/>
      <c r="PPE45" s="291"/>
      <c r="PPF45" s="291"/>
      <c r="PPG45" s="291"/>
      <c r="PPH45" s="291"/>
      <c r="PPI45" s="291"/>
      <c r="PPJ45" s="291"/>
      <c r="PPK45" s="291"/>
      <c r="PPL45" s="291"/>
      <c r="PPM45" s="291"/>
      <c r="PPN45" s="291"/>
      <c r="PPO45" s="291"/>
      <c r="PPP45" s="291"/>
      <c r="PPQ45" s="291"/>
      <c r="PPR45" s="291"/>
      <c r="PPS45" s="291"/>
      <c r="PPT45" s="291"/>
      <c r="PPU45" s="291"/>
      <c r="PPV45" s="291"/>
      <c r="PPW45" s="291"/>
      <c r="PPX45" s="291"/>
      <c r="PPY45" s="291"/>
      <c r="PPZ45" s="291"/>
      <c r="PQA45" s="291"/>
      <c r="PQB45" s="291"/>
      <c r="PQC45" s="291"/>
      <c r="PQD45" s="291"/>
      <c r="PQE45" s="291"/>
      <c r="PQF45" s="291"/>
      <c r="PQG45" s="291"/>
      <c r="PQH45" s="291"/>
      <c r="PQI45" s="291"/>
      <c r="PQJ45" s="291"/>
      <c r="PQK45" s="291"/>
      <c r="PQL45" s="291"/>
      <c r="PQM45" s="291"/>
      <c r="PQN45" s="291"/>
      <c r="PQO45" s="291"/>
      <c r="PQP45" s="291"/>
      <c r="PQQ45" s="291"/>
      <c r="PQR45" s="291"/>
      <c r="PQS45" s="291"/>
      <c r="PQT45" s="291"/>
      <c r="PQU45" s="291"/>
      <c r="PQV45" s="291"/>
      <c r="PQW45" s="291"/>
      <c r="PQX45" s="291"/>
      <c r="PQY45" s="291"/>
      <c r="PQZ45" s="291"/>
      <c r="PRA45" s="291"/>
      <c r="PRB45" s="291"/>
      <c r="PRC45" s="291"/>
      <c r="PRD45" s="291"/>
      <c r="PRE45" s="291"/>
      <c r="PRF45" s="291"/>
      <c r="PRG45" s="291"/>
      <c r="PRH45" s="291"/>
      <c r="PRI45" s="291"/>
      <c r="PRJ45" s="291"/>
      <c r="PRK45" s="291"/>
      <c r="PRL45" s="291"/>
      <c r="PRM45" s="291"/>
      <c r="PRN45" s="291"/>
      <c r="PRO45" s="291"/>
      <c r="PRP45" s="291"/>
      <c r="PRQ45" s="291"/>
      <c r="PRR45" s="291"/>
      <c r="PRS45" s="291"/>
      <c r="PRT45" s="291"/>
      <c r="PRU45" s="291"/>
      <c r="PRV45" s="291"/>
      <c r="PRW45" s="291"/>
      <c r="PRX45" s="291"/>
      <c r="PRY45" s="291"/>
      <c r="PRZ45" s="291"/>
      <c r="PSA45" s="291"/>
      <c r="PSB45" s="291"/>
      <c r="PSC45" s="291"/>
      <c r="PSD45" s="291"/>
      <c r="PSE45" s="291"/>
      <c r="PSF45" s="291"/>
      <c r="PSG45" s="291"/>
      <c r="PSH45" s="291"/>
      <c r="PSI45" s="291"/>
      <c r="PSJ45" s="291"/>
      <c r="PSK45" s="291"/>
      <c r="PSL45" s="291"/>
      <c r="PSM45" s="291"/>
      <c r="PSN45" s="291"/>
      <c r="PSO45" s="291"/>
      <c r="PSP45" s="291"/>
      <c r="PSQ45" s="291"/>
      <c r="PSR45" s="291"/>
      <c r="PSS45" s="291"/>
      <c r="PST45" s="291"/>
      <c r="PSU45" s="291"/>
      <c r="PSV45" s="291"/>
      <c r="PSW45" s="291"/>
      <c r="PSX45" s="291"/>
      <c r="PSY45" s="291"/>
      <c r="PSZ45" s="291"/>
      <c r="PTA45" s="291"/>
      <c r="PTB45" s="291"/>
      <c r="PTC45" s="291"/>
      <c r="PTD45" s="291"/>
      <c r="PTE45" s="291"/>
      <c r="PTF45" s="291"/>
      <c r="PTG45" s="291"/>
      <c r="PTH45" s="291"/>
      <c r="PTI45" s="291"/>
      <c r="PTJ45" s="291"/>
      <c r="PTK45" s="291"/>
      <c r="PTL45" s="291"/>
      <c r="PTM45" s="291"/>
      <c r="PTN45" s="291"/>
      <c r="PTO45" s="291"/>
      <c r="PTP45" s="291"/>
      <c r="PTQ45" s="291"/>
      <c r="PTR45" s="291"/>
      <c r="PTS45" s="291"/>
      <c r="PTT45" s="291"/>
      <c r="PTU45" s="291"/>
      <c r="PTV45" s="291"/>
      <c r="PTW45" s="291"/>
      <c r="PTX45" s="291"/>
      <c r="PTY45" s="291"/>
      <c r="PTZ45" s="291"/>
      <c r="PUA45" s="291"/>
      <c r="PUB45" s="291"/>
      <c r="PUC45" s="291"/>
      <c r="PUD45" s="291"/>
      <c r="PUE45" s="291"/>
      <c r="PUF45" s="291"/>
      <c r="PUG45" s="291"/>
      <c r="PUH45" s="291"/>
      <c r="PUI45" s="291"/>
      <c r="PUJ45" s="291"/>
      <c r="PUK45" s="291"/>
      <c r="PUL45" s="291"/>
      <c r="PUM45" s="291"/>
      <c r="PUN45" s="291"/>
      <c r="PUO45" s="291"/>
      <c r="PUP45" s="291"/>
      <c r="PUQ45" s="291"/>
      <c r="PUR45" s="291"/>
      <c r="PUS45" s="291"/>
      <c r="PUT45" s="291"/>
      <c r="PUU45" s="291"/>
      <c r="PUV45" s="291"/>
      <c r="PUW45" s="291"/>
      <c r="PUX45" s="291"/>
      <c r="PUY45" s="291"/>
      <c r="PUZ45" s="291"/>
      <c r="PVA45" s="291"/>
      <c r="PVB45" s="291"/>
      <c r="PVC45" s="291"/>
      <c r="PVD45" s="291"/>
      <c r="PVE45" s="291"/>
      <c r="PVF45" s="291"/>
      <c r="PVG45" s="291"/>
      <c r="PVH45" s="291"/>
      <c r="PVI45" s="291"/>
      <c r="PVJ45" s="291"/>
      <c r="PVK45" s="291"/>
      <c r="PVL45" s="291"/>
      <c r="PVM45" s="291"/>
      <c r="PVN45" s="291"/>
      <c r="PVO45" s="291"/>
      <c r="PVP45" s="291"/>
      <c r="PVQ45" s="291"/>
      <c r="PVR45" s="291"/>
      <c r="PVS45" s="291"/>
      <c r="PVT45" s="291"/>
      <c r="PVU45" s="291"/>
      <c r="PVV45" s="291"/>
      <c r="PVW45" s="291"/>
      <c r="PVX45" s="291"/>
      <c r="PVY45" s="291"/>
      <c r="PVZ45" s="291"/>
      <c r="PWA45" s="291"/>
      <c r="PWB45" s="291"/>
      <c r="PWC45" s="291"/>
      <c r="PWD45" s="291"/>
      <c r="PWE45" s="291"/>
      <c r="PWF45" s="291"/>
      <c r="PWG45" s="291"/>
      <c r="PWH45" s="291"/>
      <c r="PWI45" s="291"/>
      <c r="PWJ45" s="291"/>
      <c r="PWK45" s="291"/>
      <c r="PWL45" s="291"/>
      <c r="PWM45" s="291"/>
      <c r="PWN45" s="291"/>
      <c r="PWO45" s="291"/>
      <c r="PWP45" s="291"/>
      <c r="PWQ45" s="291"/>
      <c r="PWR45" s="291"/>
      <c r="PWS45" s="291"/>
      <c r="PWT45" s="291"/>
      <c r="PWU45" s="291"/>
      <c r="PWV45" s="291"/>
      <c r="PWW45" s="291"/>
      <c r="PWX45" s="291"/>
      <c r="PWY45" s="291"/>
      <c r="PWZ45" s="291"/>
      <c r="PXA45" s="291"/>
      <c r="PXB45" s="291"/>
      <c r="PXC45" s="291"/>
      <c r="PXD45" s="291"/>
      <c r="PXE45" s="291"/>
      <c r="PXF45" s="291"/>
      <c r="PXG45" s="291"/>
      <c r="PXH45" s="291"/>
      <c r="PXI45" s="291"/>
      <c r="PXJ45" s="291"/>
      <c r="PXK45" s="291"/>
      <c r="PXL45" s="291"/>
      <c r="PXM45" s="291"/>
      <c r="PXN45" s="291"/>
      <c r="PXO45" s="291"/>
      <c r="PXP45" s="291"/>
      <c r="PXQ45" s="291"/>
      <c r="PXR45" s="291"/>
      <c r="PXS45" s="291"/>
      <c r="PXT45" s="291"/>
      <c r="PXU45" s="291"/>
      <c r="PXV45" s="291"/>
      <c r="PXW45" s="291"/>
      <c r="PXX45" s="291"/>
      <c r="PXY45" s="291"/>
      <c r="PXZ45" s="291"/>
      <c r="PYA45" s="291"/>
      <c r="PYB45" s="291"/>
      <c r="PYC45" s="291"/>
      <c r="PYD45" s="291"/>
      <c r="PYE45" s="291"/>
      <c r="PYF45" s="291"/>
      <c r="PYG45" s="291"/>
      <c r="PYH45" s="291"/>
      <c r="PYI45" s="291"/>
      <c r="PYJ45" s="291"/>
      <c r="PYK45" s="291"/>
      <c r="PYL45" s="291"/>
      <c r="PYM45" s="291"/>
      <c r="PYN45" s="291"/>
      <c r="PYO45" s="291"/>
      <c r="PYP45" s="291"/>
      <c r="PYQ45" s="291"/>
      <c r="PYR45" s="291"/>
      <c r="PYS45" s="291"/>
      <c r="PYT45" s="291"/>
      <c r="PYU45" s="291"/>
      <c r="PYV45" s="291"/>
      <c r="PYW45" s="291"/>
      <c r="PYX45" s="291"/>
      <c r="PYY45" s="291"/>
      <c r="PYZ45" s="291"/>
      <c r="PZA45" s="291"/>
      <c r="PZB45" s="291"/>
      <c r="PZC45" s="291"/>
      <c r="PZD45" s="291"/>
      <c r="PZE45" s="291"/>
      <c r="PZF45" s="291"/>
      <c r="PZG45" s="291"/>
      <c r="PZH45" s="291"/>
      <c r="PZI45" s="291"/>
      <c r="PZJ45" s="291"/>
      <c r="PZK45" s="291"/>
      <c r="PZL45" s="291"/>
      <c r="PZM45" s="291"/>
      <c r="PZN45" s="291"/>
      <c r="PZO45" s="291"/>
      <c r="PZP45" s="291"/>
      <c r="PZQ45" s="291"/>
      <c r="PZR45" s="291"/>
      <c r="PZS45" s="291"/>
      <c r="PZT45" s="291"/>
      <c r="PZU45" s="291"/>
      <c r="PZV45" s="291"/>
      <c r="PZW45" s="291"/>
      <c r="PZX45" s="291"/>
      <c r="PZY45" s="291"/>
      <c r="PZZ45" s="291"/>
      <c r="QAA45" s="291"/>
      <c r="QAB45" s="291"/>
      <c r="QAC45" s="291"/>
      <c r="QAD45" s="291"/>
      <c r="QAE45" s="291"/>
      <c r="QAF45" s="291"/>
      <c r="QAG45" s="291"/>
      <c r="QAH45" s="291"/>
      <c r="QAI45" s="291"/>
      <c r="QAJ45" s="291"/>
      <c r="QAK45" s="291"/>
      <c r="QAL45" s="291"/>
      <c r="QAM45" s="291"/>
      <c r="QAN45" s="291"/>
      <c r="QAO45" s="291"/>
      <c r="QAP45" s="291"/>
      <c r="QAQ45" s="291"/>
      <c r="QAR45" s="291"/>
      <c r="QAS45" s="291"/>
      <c r="QAT45" s="291"/>
      <c r="QAU45" s="291"/>
      <c r="QAV45" s="291"/>
      <c r="QAW45" s="291"/>
      <c r="QAX45" s="291"/>
      <c r="QAY45" s="291"/>
      <c r="QAZ45" s="291"/>
      <c r="QBA45" s="291"/>
      <c r="QBB45" s="291"/>
      <c r="QBC45" s="291"/>
      <c r="QBD45" s="291"/>
      <c r="QBE45" s="291"/>
      <c r="QBF45" s="291"/>
      <c r="QBG45" s="291"/>
      <c r="QBH45" s="291"/>
      <c r="QBI45" s="291"/>
      <c r="QBJ45" s="291"/>
      <c r="QBK45" s="291"/>
      <c r="QBL45" s="291"/>
      <c r="QBM45" s="291"/>
      <c r="QBN45" s="291"/>
      <c r="QBO45" s="291"/>
      <c r="QBP45" s="291"/>
      <c r="QBQ45" s="291"/>
      <c r="QBR45" s="291"/>
      <c r="QBS45" s="291"/>
      <c r="QBT45" s="291"/>
      <c r="QBU45" s="291"/>
      <c r="QBV45" s="291"/>
      <c r="QBW45" s="291"/>
      <c r="QBX45" s="291"/>
      <c r="QBY45" s="291"/>
      <c r="QBZ45" s="291"/>
      <c r="QCA45" s="291"/>
      <c r="QCB45" s="291"/>
      <c r="QCC45" s="291"/>
      <c r="QCD45" s="291"/>
      <c r="QCE45" s="291"/>
      <c r="QCF45" s="291"/>
      <c r="QCG45" s="291"/>
      <c r="QCH45" s="291"/>
      <c r="QCI45" s="291"/>
      <c r="QCJ45" s="291"/>
      <c r="QCK45" s="291"/>
      <c r="QCL45" s="291"/>
      <c r="QCM45" s="291"/>
      <c r="QCN45" s="291"/>
      <c r="QCO45" s="291"/>
      <c r="QCP45" s="291"/>
      <c r="QCQ45" s="291"/>
      <c r="QCR45" s="291"/>
      <c r="QCS45" s="291"/>
      <c r="QCT45" s="291"/>
      <c r="QCU45" s="291"/>
      <c r="QCV45" s="291"/>
      <c r="QCW45" s="291"/>
      <c r="QCX45" s="291"/>
      <c r="QCY45" s="291"/>
      <c r="QCZ45" s="291"/>
      <c r="QDA45" s="291"/>
      <c r="QDB45" s="291"/>
      <c r="QDC45" s="291"/>
      <c r="QDD45" s="291"/>
      <c r="QDE45" s="291"/>
      <c r="QDF45" s="291"/>
      <c r="QDG45" s="291"/>
      <c r="QDH45" s="291"/>
      <c r="QDI45" s="291"/>
      <c r="QDJ45" s="291"/>
      <c r="QDK45" s="291"/>
      <c r="QDL45" s="291"/>
      <c r="QDM45" s="291"/>
      <c r="QDN45" s="291"/>
      <c r="QDO45" s="291"/>
      <c r="QDP45" s="291"/>
      <c r="QDQ45" s="291"/>
      <c r="QDR45" s="291"/>
      <c r="QDS45" s="291"/>
      <c r="QDT45" s="291"/>
      <c r="QDU45" s="291"/>
      <c r="QDV45" s="291"/>
      <c r="QDW45" s="291"/>
      <c r="QDX45" s="291"/>
      <c r="QDY45" s="291"/>
      <c r="QDZ45" s="291"/>
      <c r="QEA45" s="291"/>
      <c r="QEB45" s="291"/>
      <c r="QEC45" s="291"/>
      <c r="QED45" s="291"/>
      <c r="QEE45" s="291"/>
      <c r="QEF45" s="291"/>
      <c r="QEG45" s="291"/>
      <c r="QEH45" s="291"/>
      <c r="QEI45" s="291"/>
      <c r="QEJ45" s="291"/>
      <c r="QEK45" s="291"/>
      <c r="QEL45" s="291"/>
      <c r="QEM45" s="291"/>
      <c r="QEN45" s="291"/>
      <c r="QEO45" s="291"/>
      <c r="QEP45" s="291"/>
      <c r="QEQ45" s="291"/>
      <c r="QER45" s="291"/>
      <c r="QES45" s="291"/>
      <c r="QET45" s="291"/>
      <c r="QEU45" s="291"/>
      <c r="QEV45" s="291"/>
      <c r="QEW45" s="291"/>
      <c r="QEX45" s="291"/>
      <c r="QEY45" s="291"/>
      <c r="QEZ45" s="291"/>
      <c r="QFA45" s="291"/>
      <c r="QFB45" s="291"/>
      <c r="QFC45" s="291"/>
      <c r="QFD45" s="291"/>
      <c r="QFE45" s="291"/>
      <c r="QFF45" s="291"/>
      <c r="QFG45" s="291"/>
      <c r="QFH45" s="291"/>
      <c r="QFI45" s="291"/>
      <c r="QFJ45" s="291"/>
      <c r="QFK45" s="291"/>
      <c r="QFL45" s="291"/>
      <c r="QFM45" s="291"/>
      <c r="QFN45" s="291"/>
      <c r="QFO45" s="291"/>
      <c r="QFP45" s="291"/>
      <c r="QFQ45" s="291"/>
      <c r="QFR45" s="291"/>
      <c r="QFS45" s="291"/>
      <c r="QFT45" s="291"/>
      <c r="QFU45" s="291"/>
      <c r="QFV45" s="291"/>
      <c r="QFW45" s="291"/>
      <c r="QFX45" s="291"/>
      <c r="QFY45" s="291"/>
      <c r="QFZ45" s="291"/>
      <c r="QGA45" s="291"/>
      <c r="QGB45" s="291"/>
      <c r="QGC45" s="291"/>
      <c r="QGD45" s="291"/>
      <c r="QGE45" s="291"/>
      <c r="QGF45" s="291"/>
      <c r="QGG45" s="291"/>
      <c r="QGH45" s="291"/>
      <c r="QGI45" s="291"/>
      <c r="QGJ45" s="291"/>
      <c r="QGK45" s="291"/>
      <c r="QGL45" s="291"/>
      <c r="QGM45" s="291"/>
      <c r="QGN45" s="291"/>
      <c r="QGO45" s="291"/>
      <c r="QGP45" s="291"/>
      <c r="QGQ45" s="291"/>
      <c r="QGR45" s="291"/>
      <c r="QGS45" s="291"/>
      <c r="QGT45" s="291"/>
      <c r="QGU45" s="291"/>
      <c r="QGV45" s="291"/>
      <c r="QGW45" s="291"/>
      <c r="QGX45" s="291"/>
      <c r="QGY45" s="291"/>
      <c r="QGZ45" s="291"/>
      <c r="QHA45" s="291"/>
      <c r="QHB45" s="291"/>
      <c r="QHC45" s="291"/>
      <c r="QHD45" s="291"/>
      <c r="QHE45" s="291"/>
      <c r="QHF45" s="291"/>
      <c r="QHG45" s="291"/>
      <c r="QHH45" s="291"/>
      <c r="QHI45" s="291"/>
      <c r="QHJ45" s="291"/>
      <c r="QHK45" s="291"/>
      <c r="QHL45" s="291"/>
      <c r="QHM45" s="291"/>
      <c r="QHN45" s="291"/>
      <c r="QHO45" s="291"/>
      <c r="QHP45" s="291"/>
      <c r="QHQ45" s="291"/>
      <c r="QHR45" s="291"/>
      <c r="QHS45" s="291"/>
      <c r="QHT45" s="291"/>
      <c r="QHU45" s="291"/>
      <c r="QHV45" s="291"/>
      <c r="QHW45" s="291"/>
      <c r="QHX45" s="291"/>
      <c r="QHY45" s="291"/>
      <c r="QHZ45" s="291"/>
      <c r="QIA45" s="291"/>
      <c r="QIB45" s="291"/>
      <c r="QIC45" s="291"/>
      <c r="QID45" s="291"/>
      <c r="QIE45" s="291"/>
      <c r="QIF45" s="291"/>
      <c r="QIG45" s="291"/>
      <c r="QIH45" s="291"/>
      <c r="QII45" s="291"/>
      <c r="QIJ45" s="291"/>
      <c r="QIK45" s="291"/>
      <c r="QIL45" s="291"/>
      <c r="QIM45" s="291"/>
      <c r="QIN45" s="291"/>
      <c r="QIO45" s="291"/>
      <c r="QIP45" s="291"/>
      <c r="QIQ45" s="291"/>
      <c r="QIR45" s="291"/>
      <c r="QIS45" s="291"/>
      <c r="QIT45" s="291"/>
      <c r="QIU45" s="291"/>
      <c r="QIV45" s="291"/>
      <c r="QIW45" s="291"/>
      <c r="QIX45" s="291"/>
      <c r="QIY45" s="291"/>
      <c r="QIZ45" s="291"/>
      <c r="QJA45" s="291"/>
      <c r="QJB45" s="291"/>
      <c r="QJC45" s="291"/>
      <c r="QJD45" s="291"/>
      <c r="QJE45" s="291"/>
      <c r="QJF45" s="291"/>
      <c r="QJG45" s="291"/>
      <c r="QJH45" s="291"/>
      <c r="QJI45" s="291"/>
      <c r="QJJ45" s="291"/>
      <c r="QJK45" s="291"/>
      <c r="QJL45" s="291"/>
      <c r="QJM45" s="291"/>
      <c r="QJN45" s="291"/>
      <c r="QJO45" s="291"/>
      <c r="QJP45" s="291"/>
      <c r="QJQ45" s="291"/>
      <c r="QJR45" s="291"/>
      <c r="QJS45" s="291"/>
      <c r="QJT45" s="291"/>
      <c r="QJU45" s="291"/>
      <c r="QJV45" s="291"/>
      <c r="QJW45" s="291"/>
      <c r="QJX45" s="291"/>
      <c r="QJY45" s="291"/>
      <c r="QJZ45" s="291"/>
      <c r="QKA45" s="291"/>
      <c r="QKB45" s="291"/>
      <c r="QKC45" s="291"/>
      <c r="QKD45" s="291"/>
      <c r="QKE45" s="291"/>
      <c r="QKF45" s="291"/>
      <c r="QKG45" s="291"/>
      <c r="QKH45" s="291"/>
      <c r="QKI45" s="291"/>
      <c r="QKJ45" s="291"/>
      <c r="QKK45" s="291"/>
      <c r="QKL45" s="291"/>
      <c r="QKM45" s="291"/>
      <c r="QKN45" s="291"/>
      <c r="QKO45" s="291"/>
      <c r="QKP45" s="291"/>
      <c r="QKQ45" s="291"/>
      <c r="QKR45" s="291"/>
      <c r="QKS45" s="291"/>
      <c r="QKT45" s="291"/>
      <c r="QKU45" s="291"/>
      <c r="QKV45" s="291"/>
      <c r="QKW45" s="291"/>
      <c r="QKX45" s="291"/>
      <c r="QKY45" s="291"/>
      <c r="QKZ45" s="291"/>
      <c r="QLA45" s="291"/>
      <c r="QLB45" s="291"/>
      <c r="QLC45" s="291"/>
      <c r="QLD45" s="291"/>
      <c r="QLE45" s="291"/>
      <c r="QLF45" s="291"/>
      <c r="QLG45" s="291"/>
      <c r="QLH45" s="291"/>
      <c r="QLI45" s="291"/>
      <c r="QLJ45" s="291"/>
      <c r="QLK45" s="291"/>
      <c r="QLL45" s="291"/>
      <c r="QLM45" s="291"/>
      <c r="QLN45" s="291"/>
      <c r="QLO45" s="291"/>
      <c r="QLP45" s="291"/>
      <c r="QLQ45" s="291"/>
      <c r="QLR45" s="291"/>
      <c r="QLS45" s="291"/>
      <c r="QLT45" s="291"/>
      <c r="QLU45" s="291"/>
      <c r="QLV45" s="291"/>
      <c r="QLW45" s="291"/>
      <c r="QLX45" s="291"/>
      <c r="QLY45" s="291"/>
      <c r="QLZ45" s="291"/>
      <c r="QMA45" s="291"/>
      <c r="QMB45" s="291"/>
      <c r="QMC45" s="291"/>
      <c r="QMD45" s="291"/>
      <c r="QME45" s="291"/>
      <c r="QMF45" s="291"/>
      <c r="QMG45" s="291"/>
      <c r="QMH45" s="291"/>
      <c r="QMI45" s="291"/>
      <c r="QMJ45" s="291"/>
      <c r="QMK45" s="291"/>
      <c r="QML45" s="291"/>
      <c r="QMM45" s="291"/>
      <c r="QMN45" s="291"/>
      <c r="QMO45" s="291"/>
      <c r="QMP45" s="291"/>
      <c r="QMQ45" s="291"/>
      <c r="QMR45" s="291"/>
      <c r="QMS45" s="291"/>
      <c r="QMT45" s="291"/>
      <c r="QMU45" s="291"/>
      <c r="QMV45" s="291"/>
      <c r="QMW45" s="291"/>
      <c r="QMX45" s="291"/>
      <c r="QMY45" s="291"/>
      <c r="QMZ45" s="291"/>
      <c r="QNA45" s="291"/>
      <c r="QNB45" s="291"/>
      <c r="QNC45" s="291"/>
      <c r="QND45" s="291"/>
      <c r="QNE45" s="291"/>
      <c r="QNF45" s="291"/>
      <c r="QNG45" s="291"/>
      <c r="QNH45" s="291"/>
      <c r="QNI45" s="291"/>
      <c r="QNJ45" s="291"/>
      <c r="QNK45" s="291"/>
      <c r="QNL45" s="291"/>
      <c r="QNM45" s="291"/>
      <c r="QNN45" s="291"/>
      <c r="QNO45" s="291"/>
      <c r="QNP45" s="291"/>
      <c r="QNQ45" s="291"/>
      <c r="QNR45" s="291"/>
      <c r="QNS45" s="291"/>
      <c r="QNT45" s="291"/>
      <c r="QNU45" s="291"/>
      <c r="QNV45" s="291"/>
      <c r="QNW45" s="291"/>
      <c r="QNX45" s="291"/>
      <c r="QNY45" s="291"/>
      <c r="QNZ45" s="291"/>
      <c r="QOA45" s="291"/>
      <c r="QOB45" s="291"/>
      <c r="QOC45" s="291"/>
      <c r="QOD45" s="291"/>
      <c r="QOE45" s="291"/>
      <c r="QOF45" s="291"/>
      <c r="QOG45" s="291"/>
      <c r="QOH45" s="291"/>
      <c r="QOI45" s="291"/>
      <c r="QOJ45" s="291"/>
      <c r="QOK45" s="291"/>
      <c r="QOL45" s="291"/>
      <c r="QOM45" s="291"/>
      <c r="QON45" s="291"/>
      <c r="QOO45" s="291"/>
      <c r="QOP45" s="291"/>
      <c r="QOQ45" s="291"/>
      <c r="QOR45" s="291"/>
      <c r="QOS45" s="291"/>
      <c r="QOT45" s="291"/>
      <c r="QOU45" s="291"/>
      <c r="QOV45" s="291"/>
      <c r="QOW45" s="291"/>
      <c r="QOX45" s="291"/>
      <c r="QOY45" s="291"/>
      <c r="QOZ45" s="291"/>
      <c r="QPA45" s="291"/>
      <c r="QPB45" s="291"/>
      <c r="QPC45" s="291"/>
      <c r="QPD45" s="291"/>
      <c r="QPE45" s="291"/>
      <c r="QPF45" s="291"/>
      <c r="QPG45" s="291"/>
      <c r="QPH45" s="291"/>
      <c r="QPI45" s="291"/>
      <c r="QPJ45" s="291"/>
      <c r="QPK45" s="291"/>
      <c r="QPL45" s="291"/>
      <c r="QPM45" s="291"/>
      <c r="QPN45" s="291"/>
      <c r="QPO45" s="291"/>
      <c r="QPP45" s="291"/>
      <c r="QPQ45" s="291"/>
      <c r="QPR45" s="291"/>
      <c r="QPS45" s="291"/>
      <c r="QPT45" s="291"/>
      <c r="QPU45" s="291"/>
      <c r="QPV45" s="291"/>
      <c r="QPW45" s="291"/>
      <c r="QPX45" s="291"/>
      <c r="QPY45" s="291"/>
      <c r="QPZ45" s="291"/>
      <c r="QQA45" s="291"/>
      <c r="QQB45" s="291"/>
      <c r="QQC45" s="291"/>
      <c r="QQD45" s="291"/>
      <c r="QQE45" s="291"/>
      <c r="QQF45" s="291"/>
      <c r="QQG45" s="291"/>
      <c r="QQH45" s="291"/>
      <c r="QQI45" s="291"/>
      <c r="QQJ45" s="291"/>
      <c r="QQK45" s="291"/>
      <c r="QQL45" s="291"/>
      <c r="QQM45" s="291"/>
      <c r="QQN45" s="291"/>
      <c r="QQO45" s="291"/>
      <c r="QQP45" s="291"/>
      <c r="QQQ45" s="291"/>
      <c r="QQR45" s="291"/>
      <c r="QQS45" s="291"/>
      <c r="QQT45" s="291"/>
      <c r="QQU45" s="291"/>
      <c r="QQV45" s="291"/>
      <c r="QQW45" s="291"/>
      <c r="QQX45" s="291"/>
      <c r="QQY45" s="291"/>
      <c r="QQZ45" s="291"/>
      <c r="QRA45" s="291"/>
      <c r="QRB45" s="291"/>
      <c r="QRC45" s="291"/>
      <c r="QRD45" s="291"/>
      <c r="QRE45" s="291"/>
      <c r="QRF45" s="291"/>
      <c r="QRG45" s="291"/>
      <c r="QRH45" s="291"/>
      <c r="QRI45" s="291"/>
      <c r="QRJ45" s="291"/>
      <c r="QRK45" s="291"/>
      <c r="QRL45" s="291"/>
      <c r="QRM45" s="291"/>
      <c r="QRN45" s="291"/>
      <c r="QRO45" s="291"/>
      <c r="QRP45" s="291"/>
      <c r="QRQ45" s="291"/>
      <c r="QRR45" s="291"/>
      <c r="QRS45" s="291"/>
      <c r="QRT45" s="291"/>
      <c r="QRU45" s="291"/>
      <c r="QRV45" s="291"/>
      <c r="QRW45" s="291"/>
      <c r="QRX45" s="291"/>
      <c r="QRY45" s="291"/>
      <c r="QRZ45" s="291"/>
      <c r="QSA45" s="291"/>
      <c r="QSB45" s="291"/>
      <c r="QSC45" s="291"/>
      <c r="QSD45" s="291"/>
      <c r="QSE45" s="291"/>
      <c r="QSF45" s="291"/>
      <c r="QSG45" s="291"/>
      <c r="QSH45" s="291"/>
      <c r="QSI45" s="291"/>
      <c r="QSJ45" s="291"/>
      <c r="QSK45" s="291"/>
      <c r="QSL45" s="291"/>
      <c r="QSM45" s="291"/>
      <c r="QSN45" s="291"/>
      <c r="QSO45" s="291"/>
      <c r="QSP45" s="291"/>
      <c r="QSQ45" s="291"/>
      <c r="QSR45" s="291"/>
      <c r="QSS45" s="291"/>
      <c r="QST45" s="291"/>
      <c r="QSU45" s="291"/>
      <c r="QSV45" s="291"/>
      <c r="QSW45" s="291"/>
      <c r="QSX45" s="291"/>
      <c r="QSY45" s="291"/>
      <c r="QSZ45" s="291"/>
      <c r="QTA45" s="291"/>
      <c r="QTB45" s="291"/>
      <c r="QTC45" s="291"/>
      <c r="QTD45" s="291"/>
      <c r="QTE45" s="291"/>
      <c r="QTF45" s="291"/>
      <c r="QTG45" s="291"/>
      <c r="QTH45" s="291"/>
      <c r="QTI45" s="291"/>
      <c r="QTJ45" s="291"/>
      <c r="QTK45" s="291"/>
      <c r="QTL45" s="291"/>
      <c r="QTM45" s="291"/>
      <c r="QTN45" s="291"/>
      <c r="QTO45" s="291"/>
      <c r="QTP45" s="291"/>
      <c r="QTQ45" s="291"/>
      <c r="QTR45" s="291"/>
      <c r="QTS45" s="291"/>
      <c r="QTT45" s="291"/>
      <c r="QTU45" s="291"/>
      <c r="QTV45" s="291"/>
      <c r="QTW45" s="291"/>
      <c r="QTX45" s="291"/>
      <c r="QTY45" s="291"/>
      <c r="QTZ45" s="291"/>
      <c r="QUA45" s="291"/>
      <c r="QUB45" s="291"/>
      <c r="QUC45" s="291"/>
      <c r="QUD45" s="291"/>
      <c r="QUE45" s="291"/>
      <c r="QUF45" s="291"/>
      <c r="QUG45" s="291"/>
      <c r="QUH45" s="291"/>
      <c r="QUI45" s="291"/>
      <c r="QUJ45" s="291"/>
      <c r="QUK45" s="291"/>
      <c r="QUL45" s="291"/>
      <c r="QUM45" s="291"/>
      <c r="QUN45" s="291"/>
      <c r="QUO45" s="291"/>
      <c r="QUP45" s="291"/>
      <c r="QUQ45" s="291"/>
      <c r="QUR45" s="291"/>
      <c r="QUS45" s="291"/>
      <c r="QUT45" s="291"/>
      <c r="QUU45" s="291"/>
      <c r="QUV45" s="291"/>
      <c r="QUW45" s="291"/>
      <c r="QUX45" s="291"/>
      <c r="QUY45" s="291"/>
      <c r="QUZ45" s="291"/>
      <c r="QVA45" s="291"/>
      <c r="QVB45" s="291"/>
      <c r="QVC45" s="291"/>
      <c r="QVD45" s="291"/>
      <c r="QVE45" s="291"/>
      <c r="QVF45" s="291"/>
      <c r="QVG45" s="291"/>
      <c r="QVH45" s="291"/>
      <c r="QVI45" s="291"/>
      <c r="QVJ45" s="291"/>
      <c r="QVK45" s="291"/>
      <c r="QVL45" s="291"/>
      <c r="QVM45" s="291"/>
      <c r="QVN45" s="291"/>
      <c r="QVO45" s="291"/>
      <c r="QVP45" s="291"/>
      <c r="QVQ45" s="291"/>
      <c r="QVR45" s="291"/>
      <c r="QVS45" s="291"/>
      <c r="QVT45" s="291"/>
      <c r="QVU45" s="291"/>
      <c r="QVV45" s="291"/>
      <c r="QVW45" s="291"/>
      <c r="QVX45" s="291"/>
      <c r="QVY45" s="291"/>
      <c r="QVZ45" s="291"/>
      <c r="QWA45" s="291"/>
      <c r="QWB45" s="291"/>
      <c r="QWC45" s="291"/>
      <c r="QWD45" s="291"/>
      <c r="QWE45" s="291"/>
      <c r="QWF45" s="291"/>
      <c r="QWG45" s="291"/>
      <c r="QWH45" s="291"/>
      <c r="QWI45" s="291"/>
      <c r="QWJ45" s="291"/>
      <c r="QWK45" s="291"/>
      <c r="QWL45" s="291"/>
      <c r="QWM45" s="291"/>
      <c r="QWN45" s="291"/>
      <c r="QWO45" s="291"/>
      <c r="QWP45" s="291"/>
      <c r="QWQ45" s="291"/>
      <c r="QWR45" s="291"/>
      <c r="QWS45" s="291"/>
      <c r="QWT45" s="291"/>
      <c r="QWU45" s="291"/>
      <c r="QWV45" s="291"/>
      <c r="QWW45" s="291"/>
      <c r="QWX45" s="291"/>
      <c r="QWY45" s="291"/>
      <c r="QWZ45" s="291"/>
      <c r="QXA45" s="291"/>
      <c r="QXB45" s="291"/>
      <c r="QXC45" s="291"/>
      <c r="QXD45" s="291"/>
      <c r="QXE45" s="291"/>
      <c r="QXF45" s="291"/>
      <c r="QXG45" s="291"/>
      <c r="QXH45" s="291"/>
      <c r="QXI45" s="291"/>
      <c r="QXJ45" s="291"/>
      <c r="QXK45" s="291"/>
      <c r="QXL45" s="291"/>
      <c r="QXM45" s="291"/>
      <c r="QXN45" s="291"/>
      <c r="QXO45" s="291"/>
      <c r="QXP45" s="291"/>
      <c r="QXQ45" s="291"/>
      <c r="QXR45" s="291"/>
      <c r="QXS45" s="291"/>
      <c r="QXT45" s="291"/>
      <c r="QXU45" s="291"/>
      <c r="QXV45" s="291"/>
      <c r="QXW45" s="291"/>
      <c r="QXX45" s="291"/>
      <c r="QXY45" s="291"/>
      <c r="QXZ45" s="291"/>
      <c r="QYA45" s="291"/>
      <c r="QYB45" s="291"/>
      <c r="QYC45" s="291"/>
      <c r="QYD45" s="291"/>
      <c r="QYE45" s="291"/>
      <c r="QYF45" s="291"/>
      <c r="QYG45" s="291"/>
      <c r="QYH45" s="291"/>
      <c r="QYI45" s="291"/>
      <c r="QYJ45" s="291"/>
      <c r="QYK45" s="291"/>
      <c r="QYL45" s="291"/>
      <c r="QYM45" s="291"/>
      <c r="QYN45" s="291"/>
      <c r="QYO45" s="291"/>
      <c r="QYP45" s="291"/>
      <c r="QYQ45" s="291"/>
      <c r="QYR45" s="291"/>
      <c r="QYS45" s="291"/>
      <c r="QYT45" s="291"/>
      <c r="QYU45" s="291"/>
      <c r="QYV45" s="291"/>
      <c r="QYW45" s="291"/>
      <c r="QYX45" s="291"/>
      <c r="QYY45" s="291"/>
      <c r="QYZ45" s="291"/>
      <c r="QZA45" s="291"/>
      <c r="QZB45" s="291"/>
      <c r="QZC45" s="291"/>
      <c r="QZD45" s="291"/>
      <c r="QZE45" s="291"/>
      <c r="QZF45" s="291"/>
      <c r="QZG45" s="291"/>
      <c r="QZH45" s="291"/>
      <c r="QZI45" s="291"/>
      <c r="QZJ45" s="291"/>
      <c r="QZK45" s="291"/>
      <c r="QZL45" s="291"/>
      <c r="QZM45" s="291"/>
      <c r="QZN45" s="291"/>
      <c r="QZO45" s="291"/>
      <c r="QZP45" s="291"/>
      <c r="QZQ45" s="291"/>
      <c r="QZR45" s="291"/>
      <c r="QZS45" s="291"/>
      <c r="QZT45" s="291"/>
      <c r="QZU45" s="291"/>
      <c r="QZV45" s="291"/>
      <c r="QZW45" s="291"/>
      <c r="QZX45" s="291"/>
      <c r="QZY45" s="291"/>
      <c r="QZZ45" s="291"/>
      <c r="RAA45" s="291"/>
      <c r="RAB45" s="291"/>
      <c r="RAC45" s="291"/>
      <c r="RAD45" s="291"/>
      <c r="RAE45" s="291"/>
      <c r="RAF45" s="291"/>
      <c r="RAG45" s="291"/>
      <c r="RAH45" s="291"/>
      <c r="RAI45" s="291"/>
      <c r="RAJ45" s="291"/>
      <c r="RAK45" s="291"/>
      <c r="RAL45" s="291"/>
      <c r="RAM45" s="291"/>
      <c r="RAN45" s="291"/>
      <c r="RAO45" s="291"/>
      <c r="RAP45" s="291"/>
      <c r="RAQ45" s="291"/>
      <c r="RAR45" s="291"/>
      <c r="RAS45" s="291"/>
      <c r="RAT45" s="291"/>
      <c r="RAU45" s="291"/>
      <c r="RAV45" s="291"/>
      <c r="RAW45" s="291"/>
      <c r="RAX45" s="291"/>
      <c r="RAY45" s="291"/>
      <c r="RAZ45" s="291"/>
      <c r="RBA45" s="291"/>
      <c r="RBB45" s="291"/>
      <c r="RBC45" s="291"/>
      <c r="RBD45" s="291"/>
      <c r="RBE45" s="291"/>
      <c r="RBF45" s="291"/>
      <c r="RBG45" s="291"/>
      <c r="RBH45" s="291"/>
      <c r="RBI45" s="291"/>
      <c r="RBJ45" s="291"/>
      <c r="RBK45" s="291"/>
      <c r="RBL45" s="291"/>
      <c r="RBM45" s="291"/>
      <c r="RBN45" s="291"/>
      <c r="RBO45" s="291"/>
      <c r="RBP45" s="291"/>
      <c r="RBQ45" s="291"/>
      <c r="RBR45" s="291"/>
      <c r="RBS45" s="291"/>
      <c r="RBT45" s="291"/>
      <c r="RBU45" s="291"/>
      <c r="RBV45" s="291"/>
      <c r="RBW45" s="291"/>
      <c r="RBX45" s="291"/>
      <c r="RBY45" s="291"/>
      <c r="RBZ45" s="291"/>
      <c r="RCA45" s="291"/>
      <c r="RCB45" s="291"/>
      <c r="RCC45" s="291"/>
      <c r="RCD45" s="291"/>
      <c r="RCE45" s="291"/>
      <c r="RCF45" s="291"/>
      <c r="RCG45" s="291"/>
      <c r="RCH45" s="291"/>
      <c r="RCI45" s="291"/>
      <c r="RCJ45" s="291"/>
      <c r="RCK45" s="291"/>
      <c r="RCL45" s="291"/>
      <c r="RCM45" s="291"/>
      <c r="RCN45" s="291"/>
      <c r="RCO45" s="291"/>
      <c r="RCP45" s="291"/>
      <c r="RCQ45" s="291"/>
      <c r="RCR45" s="291"/>
      <c r="RCS45" s="291"/>
      <c r="RCT45" s="291"/>
      <c r="RCU45" s="291"/>
      <c r="RCV45" s="291"/>
      <c r="RCW45" s="291"/>
      <c r="RCX45" s="291"/>
      <c r="RCY45" s="291"/>
      <c r="RCZ45" s="291"/>
      <c r="RDA45" s="291"/>
      <c r="RDB45" s="291"/>
      <c r="RDC45" s="291"/>
      <c r="RDD45" s="291"/>
      <c r="RDE45" s="291"/>
      <c r="RDF45" s="291"/>
      <c r="RDG45" s="291"/>
      <c r="RDH45" s="291"/>
      <c r="RDI45" s="291"/>
      <c r="RDJ45" s="291"/>
      <c r="RDK45" s="291"/>
      <c r="RDL45" s="291"/>
      <c r="RDM45" s="291"/>
      <c r="RDN45" s="291"/>
      <c r="RDO45" s="291"/>
      <c r="RDP45" s="291"/>
      <c r="RDQ45" s="291"/>
      <c r="RDR45" s="291"/>
      <c r="RDS45" s="291"/>
      <c r="RDT45" s="291"/>
      <c r="RDU45" s="291"/>
      <c r="RDV45" s="291"/>
      <c r="RDW45" s="291"/>
      <c r="RDX45" s="291"/>
      <c r="RDY45" s="291"/>
      <c r="RDZ45" s="291"/>
      <c r="REA45" s="291"/>
      <c r="REB45" s="291"/>
      <c r="REC45" s="291"/>
      <c r="RED45" s="291"/>
      <c r="REE45" s="291"/>
      <c r="REF45" s="291"/>
      <c r="REG45" s="291"/>
      <c r="REH45" s="291"/>
      <c r="REI45" s="291"/>
      <c r="REJ45" s="291"/>
      <c r="REK45" s="291"/>
      <c r="REL45" s="291"/>
      <c r="REM45" s="291"/>
      <c r="REN45" s="291"/>
      <c r="REO45" s="291"/>
      <c r="REP45" s="291"/>
      <c r="REQ45" s="291"/>
      <c r="RER45" s="291"/>
      <c r="RES45" s="291"/>
      <c r="RET45" s="291"/>
      <c r="REU45" s="291"/>
      <c r="REV45" s="291"/>
      <c r="REW45" s="291"/>
      <c r="REX45" s="291"/>
      <c r="REY45" s="291"/>
      <c r="REZ45" s="291"/>
      <c r="RFA45" s="291"/>
      <c r="RFB45" s="291"/>
      <c r="RFC45" s="291"/>
      <c r="RFD45" s="291"/>
      <c r="RFE45" s="291"/>
      <c r="RFF45" s="291"/>
      <c r="RFG45" s="291"/>
      <c r="RFH45" s="291"/>
      <c r="RFI45" s="291"/>
      <c r="RFJ45" s="291"/>
      <c r="RFK45" s="291"/>
      <c r="RFL45" s="291"/>
      <c r="RFM45" s="291"/>
      <c r="RFN45" s="291"/>
      <c r="RFO45" s="291"/>
      <c r="RFP45" s="291"/>
      <c r="RFQ45" s="291"/>
      <c r="RFR45" s="291"/>
      <c r="RFS45" s="291"/>
      <c r="RFT45" s="291"/>
      <c r="RFU45" s="291"/>
      <c r="RFV45" s="291"/>
      <c r="RFW45" s="291"/>
      <c r="RFX45" s="291"/>
      <c r="RFY45" s="291"/>
      <c r="RFZ45" s="291"/>
      <c r="RGA45" s="291"/>
      <c r="RGB45" s="291"/>
      <c r="RGC45" s="291"/>
      <c r="RGD45" s="291"/>
      <c r="RGE45" s="291"/>
      <c r="RGF45" s="291"/>
      <c r="RGG45" s="291"/>
      <c r="RGH45" s="291"/>
      <c r="RGI45" s="291"/>
      <c r="RGJ45" s="291"/>
      <c r="RGK45" s="291"/>
      <c r="RGL45" s="291"/>
      <c r="RGM45" s="291"/>
      <c r="RGN45" s="291"/>
      <c r="RGO45" s="291"/>
      <c r="RGP45" s="291"/>
      <c r="RGQ45" s="291"/>
      <c r="RGR45" s="291"/>
      <c r="RGS45" s="291"/>
      <c r="RGT45" s="291"/>
      <c r="RGU45" s="291"/>
      <c r="RGV45" s="291"/>
      <c r="RGW45" s="291"/>
      <c r="RGX45" s="291"/>
      <c r="RGY45" s="291"/>
      <c r="RGZ45" s="291"/>
      <c r="RHA45" s="291"/>
      <c r="RHB45" s="291"/>
      <c r="RHC45" s="291"/>
      <c r="RHD45" s="291"/>
      <c r="RHE45" s="291"/>
      <c r="RHF45" s="291"/>
      <c r="RHG45" s="291"/>
      <c r="RHH45" s="291"/>
      <c r="RHI45" s="291"/>
      <c r="RHJ45" s="291"/>
      <c r="RHK45" s="291"/>
      <c r="RHL45" s="291"/>
      <c r="RHM45" s="291"/>
      <c r="RHN45" s="291"/>
      <c r="RHO45" s="291"/>
      <c r="RHP45" s="291"/>
      <c r="RHQ45" s="291"/>
      <c r="RHR45" s="291"/>
      <c r="RHS45" s="291"/>
      <c r="RHT45" s="291"/>
      <c r="RHU45" s="291"/>
      <c r="RHV45" s="291"/>
      <c r="RHW45" s="291"/>
      <c r="RHX45" s="291"/>
      <c r="RHY45" s="291"/>
      <c r="RHZ45" s="291"/>
      <c r="RIA45" s="291"/>
      <c r="RIB45" s="291"/>
      <c r="RIC45" s="291"/>
      <c r="RID45" s="291"/>
      <c r="RIE45" s="291"/>
      <c r="RIF45" s="291"/>
      <c r="RIG45" s="291"/>
      <c r="RIH45" s="291"/>
      <c r="RII45" s="291"/>
      <c r="RIJ45" s="291"/>
      <c r="RIK45" s="291"/>
      <c r="RIL45" s="291"/>
      <c r="RIM45" s="291"/>
      <c r="RIN45" s="291"/>
      <c r="RIO45" s="291"/>
      <c r="RIP45" s="291"/>
      <c r="RIQ45" s="291"/>
      <c r="RIR45" s="291"/>
      <c r="RIS45" s="291"/>
      <c r="RIT45" s="291"/>
      <c r="RIU45" s="291"/>
      <c r="RIV45" s="291"/>
      <c r="RIW45" s="291"/>
      <c r="RIX45" s="291"/>
      <c r="RIY45" s="291"/>
      <c r="RIZ45" s="291"/>
      <c r="RJA45" s="291"/>
      <c r="RJB45" s="291"/>
      <c r="RJC45" s="291"/>
      <c r="RJD45" s="291"/>
      <c r="RJE45" s="291"/>
      <c r="RJF45" s="291"/>
      <c r="RJG45" s="291"/>
      <c r="RJH45" s="291"/>
      <c r="RJI45" s="291"/>
      <c r="RJJ45" s="291"/>
      <c r="RJK45" s="291"/>
      <c r="RJL45" s="291"/>
      <c r="RJM45" s="291"/>
      <c r="RJN45" s="291"/>
      <c r="RJO45" s="291"/>
      <c r="RJP45" s="291"/>
      <c r="RJQ45" s="291"/>
      <c r="RJR45" s="291"/>
      <c r="RJS45" s="291"/>
      <c r="RJT45" s="291"/>
      <c r="RJU45" s="291"/>
      <c r="RJV45" s="291"/>
      <c r="RJW45" s="291"/>
      <c r="RJX45" s="291"/>
      <c r="RJY45" s="291"/>
      <c r="RJZ45" s="291"/>
      <c r="RKA45" s="291"/>
      <c r="RKB45" s="291"/>
      <c r="RKC45" s="291"/>
      <c r="RKD45" s="291"/>
      <c r="RKE45" s="291"/>
      <c r="RKF45" s="291"/>
      <c r="RKG45" s="291"/>
      <c r="RKH45" s="291"/>
      <c r="RKI45" s="291"/>
      <c r="RKJ45" s="291"/>
      <c r="RKK45" s="291"/>
      <c r="RKL45" s="291"/>
      <c r="RKM45" s="291"/>
      <c r="RKN45" s="291"/>
      <c r="RKO45" s="291"/>
      <c r="RKP45" s="291"/>
      <c r="RKQ45" s="291"/>
      <c r="RKR45" s="291"/>
      <c r="RKS45" s="291"/>
      <c r="RKT45" s="291"/>
      <c r="RKU45" s="291"/>
      <c r="RKV45" s="291"/>
      <c r="RKW45" s="291"/>
      <c r="RKX45" s="291"/>
      <c r="RKY45" s="291"/>
      <c r="RKZ45" s="291"/>
      <c r="RLA45" s="291"/>
      <c r="RLB45" s="291"/>
      <c r="RLC45" s="291"/>
      <c r="RLD45" s="291"/>
      <c r="RLE45" s="291"/>
      <c r="RLF45" s="291"/>
      <c r="RLG45" s="291"/>
      <c r="RLH45" s="291"/>
      <c r="RLI45" s="291"/>
      <c r="RLJ45" s="291"/>
      <c r="RLK45" s="291"/>
      <c r="RLL45" s="291"/>
      <c r="RLM45" s="291"/>
      <c r="RLN45" s="291"/>
      <c r="RLO45" s="291"/>
      <c r="RLP45" s="291"/>
      <c r="RLQ45" s="291"/>
      <c r="RLR45" s="291"/>
      <c r="RLS45" s="291"/>
      <c r="RLT45" s="291"/>
      <c r="RLU45" s="291"/>
      <c r="RLV45" s="291"/>
      <c r="RLW45" s="291"/>
      <c r="RLX45" s="291"/>
      <c r="RLY45" s="291"/>
      <c r="RLZ45" s="291"/>
      <c r="RMA45" s="291"/>
      <c r="RMB45" s="291"/>
      <c r="RMC45" s="291"/>
      <c r="RMD45" s="291"/>
      <c r="RME45" s="291"/>
      <c r="RMF45" s="291"/>
      <c r="RMG45" s="291"/>
      <c r="RMH45" s="291"/>
      <c r="RMI45" s="291"/>
      <c r="RMJ45" s="291"/>
      <c r="RMK45" s="291"/>
      <c r="RML45" s="291"/>
      <c r="RMM45" s="291"/>
      <c r="RMN45" s="291"/>
      <c r="RMO45" s="291"/>
      <c r="RMP45" s="291"/>
      <c r="RMQ45" s="291"/>
      <c r="RMR45" s="291"/>
      <c r="RMS45" s="291"/>
      <c r="RMT45" s="291"/>
      <c r="RMU45" s="291"/>
      <c r="RMV45" s="291"/>
      <c r="RMW45" s="291"/>
      <c r="RMX45" s="291"/>
      <c r="RMY45" s="291"/>
      <c r="RMZ45" s="291"/>
      <c r="RNA45" s="291"/>
      <c r="RNB45" s="291"/>
      <c r="RNC45" s="291"/>
      <c r="RND45" s="291"/>
      <c r="RNE45" s="291"/>
      <c r="RNF45" s="291"/>
      <c r="RNG45" s="291"/>
      <c r="RNH45" s="291"/>
      <c r="RNI45" s="291"/>
      <c r="RNJ45" s="291"/>
      <c r="RNK45" s="291"/>
      <c r="RNL45" s="291"/>
      <c r="RNM45" s="291"/>
      <c r="RNN45" s="291"/>
      <c r="RNO45" s="291"/>
      <c r="RNP45" s="291"/>
      <c r="RNQ45" s="291"/>
      <c r="RNR45" s="291"/>
      <c r="RNS45" s="291"/>
      <c r="RNT45" s="291"/>
      <c r="RNU45" s="291"/>
      <c r="RNV45" s="291"/>
      <c r="RNW45" s="291"/>
      <c r="RNX45" s="291"/>
      <c r="RNY45" s="291"/>
      <c r="RNZ45" s="291"/>
      <c r="ROA45" s="291"/>
      <c r="ROB45" s="291"/>
      <c r="ROC45" s="291"/>
      <c r="ROD45" s="291"/>
      <c r="ROE45" s="291"/>
      <c r="ROF45" s="291"/>
      <c r="ROG45" s="291"/>
      <c r="ROH45" s="291"/>
      <c r="ROI45" s="291"/>
      <c r="ROJ45" s="291"/>
      <c r="ROK45" s="291"/>
      <c r="ROL45" s="291"/>
      <c r="ROM45" s="291"/>
      <c r="RON45" s="291"/>
      <c r="ROO45" s="291"/>
      <c r="ROP45" s="291"/>
      <c r="ROQ45" s="291"/>
      <c r="ROR45" s="291"/>
      <c r="ROS45" s="291"/>
      <c r="ROT45" s="291"/>
      <c r="ROU45" s="291"/>
      <c r="ROV45" s="291"/>
      <c r="ROW45" s="291"/>
      <c r="ROX45" s="291"/>
      <c r="ROY45" s="291"/>
      <c r="ROZ45" s="291"/>
      <c r="RPA45" s="291"/>
      <c r="RPB45" s="291"/>
      <c r="RPC45" s="291"/>
      <c r="RPD45" s="291"/>
      <c r="RPE45" s="291"/>
      <c r="RPF45" s="291"/>
      <c r="RPG45" s="291"/>
      <c r="RPH45" s="291"/>
      <c r="RPI45" s="291"/>
      <c r="RPJ45" s="291"/>
      <c r="RPK45" s="291"/>
      <c r="RPL45" s="291"/>
      <c r="RPM45" s="291"/>
      <c r="RPN45" s="291"/>
      <c r="RPO45" s="291"/>
      <c r="RPP45" s="291"/>
      <c r="RPQ45" s="291"/>
      <c r="RPR45" s="291"/>
      <c r="RPS45" s="291"/>
      <c r="RPT45" s="291"/>
      <c r="RPU45" s="291"/>
      <c r="RPV45" s="291"/>
      <c r="RPW45" s="291"/>
      <c r="RPX45" s="291"/>
      <c r="RPY45" s="291"/>
      <c r="RPZ45" s="291"/>
      <c r="RQA45" s="291"/>
      <c r="RQB45" s="291"/>
      <c r="RQC45" s="291"/>
      <c r="RQD45" s="291"/>
      <c r="RQE45" s="291"/>
      <c r="RQF45" s="291"/>
      <c r="RQG45" s="291"/>
      <c r="RQH45" s="291"/>
      <c r="RQI45" s="291"/>
      <c r="RQJ45" s="291"/>
      <c r="RQK45" s="291"/>
      <c r="RQL45" s="291"/>
      <c r="RQM45" s="291"/>
      <c r="RQN45" s="291"/>
      <c r="RQO45" s="291"/>
      <c r="RQP45" s="291"/>
      <c r="RQQ45" s="291"/>
      <c r="RQR45" s="291"/>
      <c r="RQS45" s="291"/>
      <c r="RQT45" s="291"/>
      <c r="RQU45" s="291"/>
      <c r="RQV45" s="291"/>
      <c r="RQW45" s="291"/>
      <c r="RQX45" s="291"/>
      <c r="RQY45" s="291"/>
      <c r="RQZ45" s="291"/>
      <c r="RRA45" s="291"/>
      <c r="RRB45" s="291"/>
      <c r="RRC45" s="291"/>
      <c r="RRD45" s="291"/>
      <c r="RRE45" s="291"/>
      <c r="RRF45" s="291"/>
      <c r="RRG45" s="291"/>
      <c r="RRH45" s="291"/>
      <c r="RRI45" s="291"/>
      <c r="RRJ45" s="291"/>
      <c r="RRK45" s="291"/>
      <c r="RRL45" s="291"/>
      <c r="RRM45" s="291"/>
      <c r="RRN45" s="291"/>
      <c r="RRO45" s="291"/>
      <c r="RRP45" s="291"/>
      <c r="RRQ45" s="291"/>
      <c r="RRR45" s="291"/>
      <c r="RRS45" s="291"/>
      <c r="RRT45" s="291"/>
      <c r="RRU45" s="291"/>
      <c r="RRV45" s="291"/>
      <c r="RRW45" s="291"/>
      <c r="RRX45" s="291"/>
      <c r="RRY45" s="291"/>
      <c r="RRZ45" s="291"/>
      <c r="RSA45" s="291"/>
      <c r="RSB45" s="291"/>
      <c r="RSC45" s="291"/>
      <c r="RSD45" s="291"/>
      <c r="RSE45" s="291"/>
      <c r="RSF45" s="291"/>
      <c r="RSG45" s="291"/>
      <c r="RSH45" s="291"/>
      <c r="RSI45" s="291"/>
      <c r="RSJ45" s="291"/>
      <c r="RSK45" s="291"/>
      <c r="RSL45" s="291"/>
      <c r="RSM45" s="291"/>
      <c r="RSN45" s="291"/>
      <c r="RSO45" s="291"/>
      <c r="RSP45" s="291"/>
      <c r="RSQ45" s="291"/>
      <c r="RSR45" s="291"/>
      <c r="RSS45" s="291"/>
      <c r="RST45" s="291"/>
      <c r="RSU45" s="291"/>
      <c r="RSV45" s="291"/>
      <c r="RSW45" s="291"/>
      <c r="RSX45" s="291"/>
      <c r="RSY45" s="291"/>
      <c r="RSZ45" s="291"/>
      <c r="RTA45" s="291"/>
      <c r="RTB45" s="291"/>
      <c r="RTC45" s="291"/>
      <c r="RTD45" s="291"/>
      <c r="RTE45" s="291"/>
      <c r="RTF45" s="291"/>
      <c r="RTG45" s="291"/>
      <c r="RTH45" s="291"/>
      <c r="RTI45" s="291"/>
      <c r="RTJ45" s="291"/>
      <c r="RTK45" s="291"/>
      <c r="RTL45" s="291"/>
      <c r="RTM45" s="291"/>
      <c r="RTN45" s="291"/>
      <c r="RTO45" s="291"/>
      <c r="RTP45" s="291"/>
      <c r="RTQ45" s="291"/>
      <c r="RTR45" s="291"/>
      <c r="RTS45" s="291"/>
      <c r="RTT45" s="291"/>
      <c r="RTU45" s="291"/>
      <c r="RTV45" s="291"/>
      <c r="RTW45" s="291"/>
      <c r="RTX45" s="291"/>
      <c r="RTY45" s="291"/>
      <c r="RTZ45" s="291"/>
      <c r="RUA45" s="291"/>
      <c r="RUB45" s="291"/>
      <c r="RUC45" s="291"/>
      <c r="RUD45" s="291"/>
      <c r="RUE45" s="291"/>
      <c r="RUF45" s="291"/>
      <c r="RUG45" s="291"/>
      <c r="RUH45" s="291"/>
      <c r="RUI45" s="291"/>
      <c r="RUJ45" s="291"/>
      <c r="RUK45" s="291"/>
      <c r="RUL45" s="291"/>
      <c r="RUM45" s="291"/>
      <c r="RUN45" s="291"/>
      <c r="RUO45" s="291"/>
      <c r="RUP45" s="291"/>
      <c r="RUQ45" s="291"/>
      <c r="RUR45" s="291"/>
      <c r="RUS45" s="291"/>
      <c r="RUT45" s="291"/>
      <c r="RUU45" s="291"/>
      <c r="RUV45" s="291"/>
      <c r="RUW45" s="291"/>
      <c r="RUX45" s="291"/>
      <c r="RUY45" s="291"/>
      <c r="RUZ45" s="291"/>
      <c r="RVA45" s="291"/>
      <c r="RVB45" s="291"/>
      <c r="RVC45" s="291"/>
      <c r="RVD45" s="291"/>
      <c r="RVE45" s="291"/>
      <c r="RVF45" s="291"/>
      <c r="RVG45" s="291"/>
      <c r="RVH45" s="291"/>
      <c r="RVI45" s="291"/>
      <c r="RVJ45" s="291"/>
      <c r="RVK45" s="291"/>
      <c r="RVL45" s="291"/>
      <c r="RVM45" s="291"/>
      <c r="RVN45" s="291"/>
      <c r="RVO45" s="291"/>
      <c r="RVP45" s="291"/>
      <c r="RVQ45" s="291"/>
      <c r="RVR45" s="291"/>
      <c r="RVS45" s="291"/>
      <c r="RVT45" s="291"/>
      <c r="RVU45" s="291"/>
      <c r="RVV45" s="291"/>
      <c r="RVW45" s="291"/>
      <c r="RVX45" s="291"/>
      <c r="RVY45" s="291"/>
      <c r="RVZ45" s="291"/>
      <c r="RWA45" s="291"/>
      <c r="RWB45" s="291"/>
      <c r="RWC45" s="291"/>
      <c r="RWD45" s="291"/>
      <c r="RWE45" s="291"/>
      <c r="RWF45" s="291"/>
      <c r="RWG45" s="291"/>
      <c r="RWH45" s="291"/>
      <c r="RWI45" s="291"/>
      <c r="RWJ45" s="291"/>
      <c r="RWK45" s="291"/>
      <c r="RWL45" s="291"/>
      <c r="RWM45" s="291"/>
      <c r="RWN45" s="291"/>
      <c r="RWO45" s="291"/>
      <c r="RWP45" s="291"/>
      <c r="RWQ45" s="291"/>
      <c r="RWR45" s="291"/>
      <c r="RWS45" s="291"/>
      <c r="RWT45" s="291"/>
      <c r="RWU45" s="291"/>
      <c r="RWV45" s="291"/>
      <c r="RWW45" s="291"/>
      <c r="RWX45" s="291"/>
      <c r="RWY45" s="291"/>
      <c r="RWZ45" s="291"/>
      <c r="RXA45" s="291"/>
      <c r="RXB45" s="291"/>
      <c r="RXC45" s="291"/>
      <c r="RXD45" s="291"/>
      <c r="RXE45" s="291"/>
      <c r="RXF45" s="291"/>
      <c r="RXG45" s="291"/>
      <c r="RXH45" s="291"/>
      <c r="RXI45" s="291"/>
      <c r="RXJ45" s="291"/>
      <c r="RXK45" s="291"/>
      <c r="RXL45" s="291"/>
      <c r="RXM45" s="291"/>
      <c r="RXN45" s="291"/>
      <c r="RXO45" s="291"/>
      <c r="RXP45" s="291"/>
      <c r="RXQ45" s="291"/>
      <c r="RXR45" s="291"/>
      <c r="RXS45" s="291"/>
      <c r="RXT45" s="291"/>
      <c r="RXU45" s="291"/>
      <c r="RXV45" s="291"/>
      <c r="RXW45" s="291"/>
      <c r="RXX45" s="291"/>
      <c r="RXY45" s="291"/>
      <c r="RXZ45" s="291"/>
      <c r="RYA45" s="291"/>
      <c r="RYB45" s="291"/>
      <c r="RYC45" s="291"/>
      <c r="RYD45" s="291"/>
      <c r="RYE45" s="291"/>
      <c r="RYF45" s="291"/>
      <c r="RYG45" s="291"/>
      <c r="RYH45" s="291"/>
      <c r="RYI45" s="291"/>
      <c r="RYJ45" s="291"/>
      <c r="RYK45" s="291"/>
      <c r="RYL45" s="291"/>
      <c r="RYM45" s="291"/>
      <c r="RYN45" s="291"/>
      <c r="RYO45" s="291"/>
      <c r="RYP45" s="291"/>
      <c r="RYQ45" s="291"/>
      <c r="RYR45" s="291"/>
      <c r="RYS45" s="291"/>
      <c r="RYT45" s="291"/>
      <c r="RYU45" s="291"/>
      <c r="RYV45" s="291"/>
      <c r="RYW45" s="291"/>
      <c r="RYX45" s="291"/>
      <c r="RYY45" s="291"/>
      <c r="RYZ45" s="291"/>
      <c r="RZA45" s="291"/>
      <c r="RZB45" s="291"/>
      <c r="RZC45" s="291"/>
      <c r="RZD45" s="291"/>
      <c r="RZE45" s="291"/>
      <c r="RZF45" s="291"/>
      <c r="RZG45" s="291"/>
      <c r="RZH45" s="291"/>
      <c r="RZI45" s="291"/>
      <c r="RZJ45" s="291"/>
      <c r="RZK45" s="291"/>
      <c r="RZL45" s="291"/>
      <c r="RZM45" s="291"/>
      <c r="RZN45" s="291"/>
      <c r="RZO45" s="291"/>
      <c r="RZP45" s="291"/>
      <c r="RZQ45" s="291"/>
      <c r="RZR45" s="291"/>
      <c r="RZS45" s="291"/>
      <c r="RZT45" s="291"/>
      <c r="RZU45" s="291"/>
      <c r="RZV45" s="291"/>
      <c r="RZW45" s="291"/>
      <c r="RZX45" s="291"/>
      <c r="RZY45" s="291"/>
      <c r="RZZ45" s="291"/>
      <c r="SAA45" s="291"/>
      <c r="SAB45" s="291"/>
      <c r="SAC45" s="291"/>
      <c r="SAD45" s="291"/>
      <c r="SAE45" s="291"/>
      <c r="SAF45" s="291"/>
      <c r="SAG45" s="291"/>
      <c r="SAH45" s="291"/>
      <c r="SAI45" s="291"/>
      <c r="SAJ45" s="291"/>
      <c r="SAK45" s="291"/>
      <c r="SAL45" s="291"/>
      <c r="SAM45" s="291"/>
      <c r="SAN45" s="291"/>
      <c r="SAO45" s="291"/>
      <c r="SAP45" s="291"/>
      <c r="SAQ45" s="291"/>
      <c r="SAR45" s="291"/>
      <c r="SAS45" s="291"/>
      <c r="SAT45" s="291"/>
      <c r="SAU45" s="291"/>
      <c r="SAV45" s="291"/>
      <c r="SAW45" s="291"/>
      <c r="SAX45" s="291"/>
      <c r="SAY45" s="291"/>
      <c r="SAZ45" s="291"/>
      <c r="SBA45" s="291"/>
      <c r="SBB45" s="291"/>
      <c r="SBC45" s="291"/>
      <c r="SBD45" s="291"/>
      <c r="SBE45" s="291"/>
      <c r="SBF45" s="291"/>
      <c r="SBG45" s="291"/>
      <c r="SBH45" s="291"/>
      <c r="SBI45" s="291"/>
      <c r="SBJ45" s="291"/>
      <c r="SBK45" s="291"/>
      <c r="SBL45" s="291"/>
      <c r="SBM45" s="291"/>
      <c r="SBN45" s="291"/>
      <c r="SBO45" s="291"/>
      <c r="SBP45" s="291"/>
      <c r="SBQ45" s="291"/>
      <c r="SBR45" s="291"/>
      <c r="SBS45" s="291"/>
      <c r="SBT45" s="291"/>
      <c r="SBU45" s="291"/>
      <c r="SBV45" s="291"/>
      <c r="SBW45" s="291"/>
      <c r="SBX45" s="291"/>
      <c r="SBY45" s="291"/>
      <c r="SBZ45" s="291"/>
      <c r="SCA45" s="291"/>
      <c r="SCB45" s="291"/>
      <c r="SCC45" s="291"/>
      <c r="SCD45" s="291"/>
      <c r="SCE45" s="291"/>
      <c r="SCF45" s="291"/>
      <c r="SCG45" s="291"/>
      <c r="SCH45" s="291"/>
      <c r="SCI45" s="291"/>
      <c r="SCJ45" s="291"/>
      <c r="SCK45" s="291"/>
      <c r="SCL45" s="291"/>
      <c r="SCM45" s="291"/>
      <c r="SCN45" s="291"/>
      <c r="SCO45" s="291"/>
      <c r="SCP45" s="291"/>
      <c r="SCQ45" s="291"/>
      <c r="SCR45" s="291"/>
      <c r="SCS45" s="291"/>
      <c r="SCT45" s="291"/>
      <c r="SCU45" s="291"/>
      <c r="SCV45" s="291"/>
      <c r="SCW45" s="291"/>
      <c r="SCX45" s="291"/>
      <c r="SCY45" s="291"/>
      <c r="SCZ45" s="291"/>
      <c r="SDA45" s="291"/>
      <c r="SDB45" s="291"/>
      <c r="SDC45" s="291"/>
      <c r="SDD45" s="291"/>
      <c r="SDE45" s="291"/>
      <c r="SDF45" s="291"/>
      <c r="SDG45" s="291"/>
      <c r="SDH45" s="291"/>
      <c r="SDI45" s="291"/>
      <c r="SDJ45" s="291"/>
      <c r="SDK45" s="291"/>
      <c r="SDL45" s="291"/>
      <c r="SDM45" s="291"/>
      <c r="SDN45" s="291"/>
      <c r="SDO45" s="291"/>
      <c r="SDP45" s="291"/>
      <c r="SDQ45" s="291"/>
      <c r="SDR45" s="291"/>
      <c r="SDS45" s="291"/>
      <c r="SDT45" s="291"/>
      <c r="SDU45" s="291"/>
      <c r="SDV45" s="291"/>
      <c r="SDW45" s="291"/>
      <c r="SDX45" s="291"/>
      <c r="SDY45" s="291"/>
      <c r="SDZ45" s="291"/>
      <c r="SEA45" s="291"/>
      <c r="SEB45" s="291"/>
      <c r="SEC45" s="291"/>
      <c r="SED45" s="291"/>
      <c r="SEE45" s="291"/>
      <c r="SEF45" s="291"/>
      <c r="SEG45" s="291"/>
      <c r="SEH45" s="291"/>
      <c r="SEI45" s="291"/>
      <c r="SEJ45" s="291"/>
      <c r="SEK45" s="291"/>
      <c r="SEL45" s="291"/>
      <c r="SEM45" s="291"/>
      <c r="SEN45" s="291"/>
      <c r="SEO45" s="291"/>
      <c r="SEP45" s="291"/>
      <c r="SEQ45" s="291"/>
      <c r="SER45" s="291"/>
      <c r="SES45" s="291"/>
      <c r="SET45" s="291"/>
      <c r="SEU45" s="291"/>
      <c r="SEV45" s="291"/>
      <c r="SEW45" s="291"/>
      <c r="SEX45" s="291"/>
      <c r="SEY45" s="291"/>
      <c r="SEZ45" s="291"/>
      <c r="SFA45" s="291"/>
      <c r="SFB45" s="291"/>
      <c r="SFC45" s="291"/>
      <c r="SFD45" s="291"/>
      <c r="SFE45" s="291"/>
      <c r="SFF45" s="291"/>
      <c r="SFG45" s="291"/>
      <c r="SFH45" s="291"/>
      <c r="SFI45" s="291"/>
      <c r="SFJ45" s="291"/>
      <c r="SFK45" s="291"/>
      <c r="SFL45" s="291"/>
      <c r="SFM45" s="291"/>
      <c r="SFN45" s="291"/>
      <c r="SFO45" s="291"/>
      <c r="SFP45" s="291"/>
      <c r="SFQ45" s="291"/>
      <c r="SFR45" s="291"/>
      <c r="SFS45" s="291"/>
      <c r="SFT45" s="291"/>
      <c r="SFU45" s="291"/>
      <c r="SFV45" s="291"/>
      <c r="SFW45" s="291"/>
      <c r="SFX45" s="291"/>
      <c r="SFY45" s="291"/>
      <c r="SFZ45" s="291"/>
      <c r="SGA45" s="291"/>
      <c r="SGB45" s="291"/>
      <c r="SGC45" s="291"/>
      <c r="SGD45" s="291"/>
      <c r="SGE45" s="291"/>
      <c r="SGF45" s="291"/>
      <c r="SGG45" s="291"/>
      <c r="SGH45" s="291"/>
      <c r="SGI45" s="291"/>
      <c r="SGJ45" s="291"/>
      <c r="SGK45" s="291"/>
      <c r="SGL45" s="291"/>
      <c r="SGM45" s="291"/>
      <c r="SGN45" s="291"/>
      <c r="SGO45" s="291"/>
      <c r="SGP45" s="291"/>
      <c r="SGQ45" s="291"/>
      <c r="SGR45" s="291"/>
      <c r="SGS45" s="291"/>
      <c r="SGT45" s="291"/>
      <c r="SGU45" s="291"/>
      <c r="SGV45" s="291"/>
      <c r="SGW45" s="291"/>
      <c r="SGX45" s="291"/>
      <c r="SGY45" s="291"/>
      <c r="SGZ45" s="291"/>
      <c r="SHA45" s="291"/>
      <c r="SHB45" s="291"/>
      <c r="SHC45" s="291"/>
      <c r="SHD45" s="291"/>
      <c r="SHE45" s="291"/>
      <c r="SHF45" s="291"/>
      <c r="SHG45" s="291"/>
      <c r="SHH45" s="291"/>
      <c r="SHI45" s="291"/>
      <c r="SHJ45" s="291"/>
      <c r="SHK45" s="291"/>
      <c r="SHL45" s="291"/>
      <c r="SHM45" s="291"/>
      <c r="SHN45" s="291"/>
      <c r="SHO45" s="291"/>
      <c r="SHP45" s="291"/>
      <c r="SHQ45" s="291"/>
      <c r="SHR45" s="291"/>
      <c r="SHS45" s="291"/>
      <c r="SHT45" s="291"/>
      <c r="SHU45" s="291"/>
      <c r="SHV45" s="291"/>
      <c r="SHW45" s="291"/>
      <c r="SHX45" s="291"/>
      <c r="SHY45" s="291"/>
      <c r="SHZ45" s="291"/>
      <c r="SIA45" s="291"/>
      <c r="SIB45" s="291"/>
      <c r="SIC45" s="291"/>
      <c r="SID45" s="291"/>
      <c r="SIE45" s="291"/>
      <c r="SIF45" s="291"/>
      <c r="SIG45" s="291"/>
      <c r="SIH45" s="291"/>
      <c r="SII45" s="291"/>
      <c r="SIJ45" s="291"/>
      <c r="SIK45" s="291"/>
      <c r="SIL45" s="291"/>
      <c r="SIM45" s="291"/>
      <c r="SIN45" s="291"/>
      <c r="SIO45" s="291"/>
      <c r="SIP45" s="291"/>
      <c r="SIQ45" s="291"/>
      <c r="SIR45" s="291"/>
      <c r="SIS45" s="291"/>
      <c r="SIT45" s="291"/>
      <c r="SIU45" s="291"/>
      <c r="SIV45" s="291"/>
      <c r="SIW45" s="291"/>
      <c r="SIX45" s="291"/>
      <c r="SIY45" s="291"/>
      <c r="SIZ45" s="291"/>
      <c r="SJA45" s="291"/>
      <c r="SJB45" s="291"/>
      <c r="SJC45" s="291"/>
      <c r="SJD45" s="291"/>
      <c r="SJE45" s="291"/>
      <c r="SJF45" s="291"/>
      <c r="SJG45" s="291"/>
      <c r="SJH45" s="291"/>
      <c r="SJI45" s="291"/>
      <c r="SJJ45" s="291"/>
      <c r="SJK45" s="291"/>
      <c r="SJL45" s="291"/>
      <c r="SJM45" s="291"/>
      <c r="SJN45" s="291"/>
      <c r="SJO45" s="291"/>
      <c r="SJP45" s="291"/>
      <c r="SJQ45" s="291"/>
      <c r="SJR45" s="291"/>
      <c r="SJS45" s="291"/>
      <c r="SJT45" s="291"/>
      <c r="SJU45" s="291"/>
      <c r="SJV45" s="291"/>
      <c r="SJW45" s="291"/>
      <c r="SJX45" s="291"/>
      <c r="SJY45" s="291"/>
      <c r="SJZ45" s="291"/>
      <c r="SKA45" s="291"/>
      <c r="SKB45" s="291"/>
      <c r="SKC45" s="291"/>
      <c r="SKD45" s="291"/>
      <c r="SKE45" s="291"/>
      <c r="SKF45" s="291"/>
      <c r="SKG45" s="291"/>
      <c r="SKH45" s="291"/>
      <c r="SKI45" s="291"/>
      <c r="SKJ45" s="291"/>
      <c r="SKK45" s="291"/>
      <c r="SKL45" s="291"/>
      <c r="SKM45" s="291"/>
      <c r="SKN45" s="291"/>
      <c r="SKO45" s="291"/>
      <c r="SKP45" s="291"/>
      <c r="SKQ45" s="291"/>
      <c r="SKR45" s="291"/>
      <c r="SKS45" s="291"/>
      <c r="SKT45" s="291"/>
      <c r="SKU45" s="291"/>
      <c r="SKV45" s="291"/>
      <c r="SKW45" s="291"/>
      <c r="SKX45" s="291"/>
      <c r="SKY45" s="291"/>
      <c r="SKZ45" s="291"/>
      <c r="SLA45" s="291"/>
      <c r="SLB45" s="291"/>
      <c r="SLC45" s="291"/>
      <c r="SLD45" s="291"/>
      <c r="SLE45" s="291"/>
      <c r="SLF45" s="291"/>
      <c r="SLG45" s="291"/>
      <c r="SLH45" s="291"/>
      <c r="SLI45" s="291"/>
      <c r="SLJ45" s="291"/>
      <c r="SLK45" s="291"/>
      <c r="SLL45" s="291"/>
      <c r="SLM45" s="291"/>
      <c r="SLN45" s="291"/>
      <c r="SLO45" s="291"/>
      <c r="SLP45" s="291"/>
      <c r="SLQ45" s="291"/>
      <c r="SLR45" s="291"/>
      <c r="SLS45" s="291"/>
      <c r="SLT45" s="291"/>
      <c r="SLU45" s="291"/>
      <c r="SLV45" s="291"/>
      <c r="SLW45" s="291"/>
      <c r="SLX45" s="291"/>
      <c r="SLY45" s="291"/>
      <c r="SLZ45" s="291"/>
      <c r="SMA45" s="291"/>
      <c r="SMB45" s="291"/>
      <c r="SMC45" s="291"/>
      <c r="SMD45" s="291"/>
      <c r="SME45" s="291"/>
      <c r="SMF45" s="291"/>
      <c r="SMG45" s="291"/>
      <c r="SMH45" s="291"/>
      <c r="SMI45" s="291"/>
      <c r="SMJ45" s="291"/>
      <c r="SMK45" s="291"/>
      <c r="SML45" s="291"/>
      <c r="SMM45" s="291"/>
      <c r="SMN45" s="291"/>
      <c r="SMO45" s="291"/>
      <c r="SMP45" s="291"/>
      <c r="SMQ45" s="291"/>
      <c r="SMR45" s="291"/>
      <c r="SMS45" s="291"/>
      <c r="SMT45" s="291"/>
      <c r="SMU45" s="291"/>
      <c r="SMV45" s="291"/>
      <c r="SMW45" s="291"/>
      <c r="SMX45" s="291"/>
      <c r="SMY45" s="291"/>
      <c r="SMZ45" s="291"/>
      <c r="SNA45" s="291"/>
      <c r="SNB45" s="291"/>
      <c r="SNC45" s="291"/>
      <c r="SND45" s="291"/>
      <c r="SNE45" s="291"/>
      <c r="SNF45" s="291"/>
      <c r="SNG45" s="291"/>
      <c r="SNH45" s="291"/>
      <c r="SNI45" s="291"/>
      <c r="SNJ45" s="291"/>
      <c r="SNK45" s="291"/>
      <c r="SNL45" s="291"/>
      <c r="SNM45" s="291"/>
      <c r="SNN45" s="291"/>
      <c r="SNO45" s="291"/>
      <c r="SNP45" s="291"/>
      <c r="SNQ45" s="291"/>
      <c r="SNR45" s="291"/>
      <c r="SNS45" s="291"/>
      <c r="SNT45" s="291"/>
      <c r="SNU45" s="291"/>
      <c r="SNV45" s="291"/>
      <c r="SNW45" s="291"/>
      <c r="SNX45" s="291"/>
      <c r="SNY45" s="291"/>
      <c r="SNZ45" s="291"/>
      <c r="SOA45" s="291"/>
      <c r="SOB45" s="291"/>
      <c r="SOC45" s="291"/>
      <c r="SOD45" s="291"/>
      <c r="SOE45" s="291"/>
      <c r="SOF45" s="291"/>
      <c r="SOG45" s="291"/>
      <c r="SOH45" s="291"/>
      <c r="SOI45" s="291"/>
      <c r="SOJ45" s="291"/>
      <c r="SOK45" s="291"/>
      <c r="SOL45" s="291"/>
      <c r="SOM45" s="291"/>
      <c r="SON45" s="291"/>
      <c r="SOO45" s="291"/>
      <c r="SOP45" s="291"/>
      <c r="SOQ45" s="291"/>
      <c r="SOR45" s="291"/>
      <c r="SOS45" s="291"/>
      <c r="SOT45" s="291"/>
      <c r="SOU45" s="291"/>
      <c r="SOV45" s="291"/>
      <c r="SOW45" s="291"/>
      <c r="SOX45" s="291"/>
      <c r="SOY45" s="291"/>
      <c r="SOZ45" s="291"/>
      <c r="SPA45" s="291"/>
      <c r="SPB45" s="291"/>
      <c r="SPC45" s="291"/>
      <c r="SPD45" s="291"/>
      <c r="SPE45" s="291"/>
      <c r="SPF45" s="291"/>
      <c r="SPG45" s="291"/>
      <c r="SPH45" s="291"/>
      <c r="SPI45" s="291"/>
      <c r="SPJ45" s="291"/>
      <c r="SPK45" s="291"/>
      <c r="SPL45" s="291"/>
      <c r="SPM45" s="291"/>
      <c r="SPN45" s="291"/>
      <c r="SPO45" s="291"/>
      <c r="SPP45" s="291"/>
      <c r="SPQ45" s="291"/>
      <c r="SPR45" s="291"/>
      <c r="SPS45" s="291"/>
      <c r="SPT45" s="291"/>
      <c r="SPU45" s="291"/>
      <c r="SPV45" s="291"/>
      <c r="SPW45" s="291"/>
      <c r="SPX45" s="291"/>
      <c r="SPY45" s="291"/>
      <c r="SPZ45" s="291"/>
      <c r="SQA45" s="291"/>
      <c r="SQB45" s="291"/>
      <c r="SQC45" s="291"/>
      <c r="SQD45" s="291"/>
      <c r="SQE45" s="291"/>
      <c r="SQF45" s="291"/>
      <c r="SQG45" s="291"/>
      <c r="SQH45" s="291"/>
      <c r="SQI45" s="291"/>
      <c r="SQJ45" s="291"/>
      <c r="SQK45" s="291"/>
      <c r="SQL45" s="291"/>
      <c r="SQM45" s="291"/>
      <c r="SQN45" s="291"/>
      <c r="SQO45" s="291"/>
      <c r="SQP45" s="291"/>
      <c r="SQQ45" s="291"/>
      <c r="SQR45" s="291"/>
      <c r="SQS45" s="291"/>
      <c r="SQT45" s="291"/>
      <c r="SQU45" s="291"/>
      <c r="SQV45" s="291"/>
      <c r="SQW45" s="291"/>
      <c r="SQX45" s="291"/>
      <c r="SQY45" s="291"/>
      <c r="SQZ45" s="291"/>
      <c r="SRA45" s="291"/>
      <c r="SRB45" s="291"/>
      <c r="SRC45" s="291"/>
      <c r="SRD45" s="291"/>
      <c r="SRE45" s="291"/>
      <c r="SRF45" s="291"/>
      <c r="SRG45" s="291"/>
      <c r="SRH45" s="291"/>
      <c r="SRI45" s="291"/>
      <c r="SRJ45" s="291"/>
      <c r="SRK45" s="291"/>
      <c r="SRL45" s="291"/>
      <c r="SRM45" s="291"/>
      <c r="SRN45" s="291"/>
      <c r="SRO45" s="291"/>
      <c r="SRP45" s="291"/>
      <c r="SRQ45" s="291"/>
      <c r="SRR45" s="291"/>
      <c r="SRS45" s="291"/>
      <c r="SRT45" s="291"/>
      <c r="SRU45" s="291"/>
      <c r="SRV45" s="291"/>
      <c r="SRW45" s="291"/>
      <c r="SRX45" s="291"/>
      <c r="SRY45" s="291"/>
      <c r="SRZ45" s="291"/>
      <c r="SSA45" s="291"/>
      <c r="SSB45" s="291"/>
      <c r="SSC45" s="291"/>
      <c r="SSD45" s="291"/>
      <c r="SSE45" s="291"/>
      <c r="SSF45" s="291"/>
      <c r="SSG45" s="291"/>
      <c r="SSH45" s="291"/>
      <c r="SSI45" s="291"/>
      <c r="SSJ45" s="291"/>
      <c r="SSK45" s="291"/>
      <c r="SSL45" s="291"/>
      <c r="SSM45" s="291"/>
      <c r="SSN45" s="291"/>
      <c r="SSO45" s="291"/>
      <c r="SSP45" s="291"/>
      <c r="SSQ45" s="291"/>
      <c r="SSR45" s="291"/>
      <c r="SSS45" s="291"/>
      <c r="SST45" s="291"/>
      <c r="SSU45" s="291"/>
      <c r="SSV45" s="291"/>
      <c r="SSW45" s="291"/>
      <c r="SSX45" s="291"/>
      <c r="SSY45" s="291"/>
      <c r="SSZ45" s="291"/>
      <c r="STA45" s="291"/>
      <c r="STB45" s="291"/>
      <c r="STC45" s="291"/>
      <c r="STD45" s="291"/>
      <c r="STE45" s="291"/>
      <c r="STF45" s="291"/>
      <c r="STG45" s="291"/>
      <c r="STH45" s="291"/>
      <c r="STI45" s="291"/>
      <c r="STJ45" s="291"/>
      <c r="STK45" s="291"/>
      <c r="STL45" s="291"/>
      <c r="STM45" s="291"/>
      <c r="STN45" s="291"/>
      <c r="STO45" s="291"/>
      <c r="STP45" s="291"/>
      <c r="STQ45" s="291"/>
      <c r="STR45" s="291"/>
      <c r="STS45" s="291"/>
      <c r="STT45" s="291"/>
      <c r="STU45" s="291"/>
      <c r="STV45" s="291"/>
      <c r="STW45" s="291"/>
      <c r="STX45" s="291"/>
      <c r="STY45" s="291"/>
      <c r="STZ45" s="291"/>
      <c r="SUA45" s="291"/>
      <c r="SUB45" s="291"/>
      <c r="SUC45" s="291"/>
      <c r="SUD45" s="291"/>
      <c r="SUE45" s="291"/>
      <c r="SUF45" s="291"/>
      <c r="SUG45" s="291"/>
      <c r="SUH45" s="291"/>
      <c r="SUI45" s="291"/>
      <c r="SUJ45" s="291"/>
      <c r="SUK45" s="291"/>
      <c r="SUL45" s="291"/>
      <c r="SUM45" s="291"/>
      <c r="SUN45" s="291"/>
      <c r="SUO45" s="291"/>
      <c r="SUP45" s="291"/>
      <c r="SUQ45" s="291"/>
      <c r="SUR45" s="291"/>
      <c r="SUS45" s="291"/>
      <c r="SUT45" s="291"/>
      <c r="SUU45" s="291"/>
      <c r="SUV45" s="291"/>
      <c r="SUW45" s="291"/>
      <c r="SUX45" s="291"/>
      <c r="SUY45" s="291"/>
      <c r="SUZ45" s="291"/>
      <c r="SVA45" s="291"/>
      <c r="SVB45" s="291"/>
      <c r="SVC45" s="291"/>
      <c r="SVD45" s="291"/>
      <c r="SVE45" s="291"/>
      <c r="SVF45" s="291"/>
      <c r="SVG45" s="291"/>
      <c r="SVH45" s="291"/>
      <c r="SVI45" s="291"/>
      <c r="SVJ45" s="291"/>
      <c r="SVK45" s="291"/>
      <c r="SVL45" s="291"/>
      <c r="SVM45" s="291"/>
      <c r="SVN45" s="291"/>
      <c r="SVO45" s="291"/>
      <c r="SVP45" s="291"/>
      <c r="SVQ45" s="291"/>
      <c r="SVR45" s="291"/>
      <c r="SVS45" s="291"/>
      <c r="SVT45" s="291"/>
      <c r="SVU45" s="291"/>
      <c r="SVV45" s="291"/>
      <c r="SVW45" s="291"/>
      <c r="SVX45" s="291"/>
      <c r="SVY45" s="291"/>
      <c r="SVZ45" s="291"/>
      <c r="SWA45" s="291"/>
      <c r="SWB45" s="291"/>
      <c r="SWC45" s="291"/>
      <c r="SWD45" s="291"/>
      <c r="SWE45" s="291"/>
      <c r="SWF45" s="291"/>
      <c r="SWG45" s="291"/>
      <c r="SWH45" s="291"/>
      <c r="SWI45" s="291"/>
      <c r="SWJ45" s="291"/>
      <c r="SWK45" s="291"/>
      <c r="SWL45" s="291"/>
      <c r="SWM45" s="291"/>
      <c r="SWN45" s="291"/>
      <c r="SWO45" s="291"/>
      <c r="SWP45" s="291"/>
      <c r="SWQ45" s="291"/>
      <c r="SWR45" s="291"/>
      <c r="SWS45" s="291"/>
      <c r="SWT45" s="291"/>
      <c r="SWU45" s="291"/>
      <c r="SWV45" s="291"/>
      <c r="SWW45" s="291"/>
      <c r="SWX45" s="291"/>
      <c r="SWY45" s="291"/>
      <c r="SWZ45" s="291"/>
      <c r="SXA45" s="291"/>
      <c r="SXB45" s="291"/>
      <c r="SXC45" s="291"/>
      <c r="SXD45" s="291"/>
      <c r="SXE45" s="291"/>
      <c r="SXF45" s="291"/>
      <c r="SXG45" s="291"/>
      <c r="SXH45" s="291"/>
      <c r="SXI45" s="291"/>
      <c r="SXJ45" s="291"/>
      <c r="SXK45" s="291"/>
      <c r="SXL45" s="291"/>
      <c r="SXM45" s="291"/>
      <c r="SXN45" s="291"/>
      <c r="SXO45" s="291"/>
      <c r="SXP45" s="291"/>
      <c r="SXQ45" s="291"/>
      <c r="SXR45" s="291"/>
      <c r="SXS45" s="291"/>
      <c r="SXT45" s="291"/>
      <c r="SXU45" s="291"/>
      <c r="SXV45" s="291"/>
      <c r="SXW45" s="291"/>
      <c r="SXX45" s="291"/>
      <c r="SXY45" s="291"/>
      <c r="SXZ45" s="291"/>
      <c r="SYA45" s="291"/>
      <c r="SYB45" s="291"/>
      <c r="SYC45" s="291"/>
      <c r="SYD45" s="291"/>
      <c r="SYE45" s="291"/>
      <c r="SYF45" s="291"/>
      <c r="SYG45" s="291"/>
      <c r="SYH45" s="291"/>
      <c r="SYI45" s="291"/>
      <c r="SYJ45" s="291"/>
      <c r="SYK45" s="291"/>
      <c r="SYL45" s="291"/>
      <c r="SYM45" s="291"/>
      <c r="SYN45" s="291"/>
      <c r="SYO45" s="291"/>
      <c r="SYP45" s="291"/>
      <c r="SYQ45" s="291"/>
      <c r="SYR45" s="291"/>
      <c r="SYS45" s="291"/>
      <c r="SYT45" s="291"/>
      <c r="SYU45" s="291"/>
      <c r="SYV45" s="291"/>
      <c r="SYW45" s="291"/>
      <c r="SYX45" s="291"/>
      <c r="SYY45" s="291"/>
      <c r="SYZ45" s="291"/>
      <c r="SZA45" s="291"/>
      <c r="SZB45" s="291"/>
      <c r="SZC45" s="291"/>
      <c r="SZD45" s="291"/>
      <c r="SZE45" s="291"/>
      <c r="SZF45" s="291"/>
      <c r="SZG45" s="291"/>
      <c r="SZH45" s="291"/>
      <c r="SZI45" s="291"/>
      <c r="SZJ45" s="291"/>
      <c r="SZK45" s="291"/>
      <c r="SZL45" s="291"/>
      <c r="SZM45" s="291"/>
      <c r="SZN45" s="291"/>
      <c r="SZO45" s="291"/>
      <c r="SZP45" s="291"/>
      <c r="SZQ45" s="291"/>
      <c r="SZR45" s="291"/>
      <c r="SZS45" s="291"/>
      <c r="SZT45" s="291"/>
      <c r="SZU45" s="291"/>
      <c r="SZV45" s="291"/>
      <c r="SZW45" s="291"/>
      <c r="SZX45" s="291"/>
      <c r="SZY45" s="291"/>
      <c r="SZZ45" s="291"/>
      <c r="TAA45" s="291"/>
      <c r="TAB45" s="291"/>
      <c r="TAC45" s="291"/>
      <c r="TAD45" s="291"/>
      <c r="TAE45" s="291"/>
      <c r="TAF45" s="291"/>
      <c r="TAG45" s="291"/>
      <c r="TAH45" s="291"/>
      <c r="TAI45" s="291"/>
      <c r="TAJ45" s="291"/>
      <c r="TAK45" s="291"/>
      <c r="TAL45" s="291"/>
      <c r="TAM45" s="291"/>
      <c r="TAN45" s="291"/>
      <c r="TAO45" s="291"/>
      <c r="TAP45" s="291"/>
      <c r="TAQ45" s="291"/>
      <c r="TAR45" s="291"/>
      <c r="TAS45" s="291"/>
      <c r="TAT45" s="291"/>
      <c r="TAU45" s="291"/>
      <c r="TAV45" s="291"/>
      <c r="TAW45" s="291"/>
      <c r="TAX45" s="291"/>
      <c r="TAY45" s="291"/>
      <c r="TAZ45" s="291"/>
      <c r="TBA45" s="291"/>
      <c r="TBB45" s="291"/>
      <c r="TBC45" s="291"/>
      <c r="TBD45" s="291"/>
      <c r="TBE45" s="291"/>
      <c r="TBF45" s="291"/>
      <c r="TBG45" s="291"/>
      <c r="TBH45" s="291"/>
      <c r="TBI45" s="291"/>
      <c r="TBJ45" s="291"/>
      <c r="TBK45" s="291"/>
      <c r="TBL45" s="291"/>
      <c r="TBM45" s="291"/>
      <c r="TBN45" s="291"/>
      <c r="TBO45" s="291"/>
      <c r="TBP45" s="291"/>
      <c r="TBQ45" s="291"/>
      <c r="TBR45" s="291"/>
      <c r="TBS45" s="291"/>
      <c r="TBT45" s="291"/>
      <c r="TBU45" s="291"/>
      <c r="TBV45" s="291"/>
      <c r="TBW45" s="291"/>
      <c r="TBX45" s="291"/>
      <c r="TBY45" s="291"/>
      <c r="TBZ45" s="291"/>
      <c r="TCA45" s="291"/>
      <c r="TCB45" s="291"/>
      <c r="TCC45" s="291"/>
      <c r="TCD45" s="291"/>
      <c r="TCE45" s="291"/>
      <c r="TCF45" s="291"/>
      <c r="TCG45" s="291"/>
      <c r="TCH45" s="291"/>
      <c r="TCI45" s="291"/>
      <c r="TCJ45" s="291"/>
      <c r="TCK45" s="291"/>
      <c r="TCL45" s="291"/>
      <c r="TCM45" s="291"/>
      <c r="TCN45" s="291"/>
      <c r="TCO45" s="291"/>
      <c r="TCP45" s="291"/>
      <c r="TCQ45" s="291"/>
      <c r="TCR45" s="291"/>
      <c r="TCS45" s="291"/>
      <c r="TCT45" s="291"/>
      <c r="TCU45" s="291"/>
      <c r="TCV45" s="291"/>
      <c r="TCW45" s="291"/>
      <c r="TCX45" s="291"/>
      <c r="TCY45" s="291"/>
      <c r="TCZ45" s="291"/>
      <c r="TDA45" s="291"/>
      <c r="TDB45" s="291"/>
      <c r="TDC45" s="291"/>
      <c r="TDD45" s="291"/>
      <c r="TDE45" s="291"/>
      <c r="TDF45" s="291"/>
      <c r="TDG45" s="291"/>
      <c r="TDH45" s="291"/>
      <c r="TDI45" s="291"/>
      <c r="TDJ45" s="291"/>
      <c r="TDK45" s="291"/>
      <c r="TDL45" s="291"/>
      <c r="TDM45" s="291"/>
      <c r="TDN45" s="291"/>
      <c r="TDO45" s="291"/>
      <c r="TDP45" s="291"/>
      <c r="TDQ45" s="291"/>
      <c r="TDR45" s="291"/>
      <c r="TDS45" s="291"/>
      <c r="TDT45" s="291"/>
      <c r="TDU45" s="291"/>
      <c r="TDV45" s="291"/>
      <c r="TDW45" s="291"/>
      <c r="TDX45" s="291"/>
      <c r="TDY45" s="291"/>
      <c r="TDZ45" s="291"/>
      <c r="TEA45" s="291"/>
      <c r="TEB45" s="291"/>
      <c r="TEC45" s="291"/>
      <c r="TED45" s="291"/>
      <c r="TEE45" s="291"/>
      <c r="TEF45" s="291"/>
      <c r="TEG45" s="291"/>
      <c r="TEH45" s="291"/>
      <c r="TEI45" s="291"/>
      <c r="TEJ45" s="291"/>
      <c r="TEK45" s="291"/>
      <c r="TEL45" s="291"/>
      <c r="TEM45" s="291"/>
      <c r="TEN45" s="291"/>
      <c r="TEO45" s="291"/>
      <c r="TEP45" s="291"/>
      <c r="TEQ45" s="291"/>
      <c r="TER45" s="291"/>
      <c r="TES45" s="291"/>
      <c r="TET45" s="291"/>
      <c r="TEU45" s="291"/>
      <c r="TEV45" s="291"/>
      <c r="TEW45" s="291"/>
      <c r="TEX45" s="291"/>
      <c r="TEY45" s="291"/>
      <c r="TEZ45" s="291"/>
      <c r="TFA45" s="291"/>
      <c r="TFB45" s="291"/>
      <c r="TFC45" s="291"/>
      <c r="TFD45" s="291"/>
      <c r="TFE45" s="291"/>
      <c r="TFF45" s="291"/>
      <c r="TFG45" s="291"/>
      <c r="TFH45" s="291"/>
      <c r="TFI45" s="291"/>
      <c r="TFJ45" s="291"/>
      <c r="TFK45" s="291"/>
      <c r="TFL45" s="291"/>
      <c r="TFM45" s="291"/>
      <c r="TFN45" s="291"/>
      <c r="TFO45" s="291"/>
      <c r="TFP45" s="291"/>
      <c r="TFQ45" s="291"/>
      <c r="TFR45" s="291"/>
      <c r="TFS45" s="291"/>
      <c r="TFT45" s="291"/>
      <c r="TFU45" s="291"/>
      <c r="TFV45" s="291"/>
      <c r="TFW45" s="291"/>
      <c r="TFX45" s="291"/>
      <c r="TFY45" s="291"/>
      <c r="TFZ45" s="291"/>
      <c r="TGA45" s="291"/>
      <c r="TGB45" s="291"/>
      <c r="TGC45" s="291"/>
      <c r="TGD45" s="291"/>
      <c r="TGE45" s="291"/>
      <c r="TGF45" s="291"/>
      <c r="TGG45" s="291"/>
      <c r="TGH45" s="291"/>
      <c r="TGI45" s="291"/>
      <c r="TGJ45" s="291"/>
      <c r="TGK45" s="291"/>
      <c r="TGL45" s="291"/>
      <c r="TGM45" s="291"/>
      <c r="TGN45" s="291"/>
      <c r="TGO45" s="291"/>
      <c r="TGP45" s="291"/>
      <c r="TGQ45" s="291"/>
      <c r="TGR45" s="291"/>
      <c r="TGS45" s="291"/>
      <c r="TGT45" s="291"/>
      <c r="TGU45" s="291"/>
      <c r="TGV45" s="291"/>
      <c r="TGW45" s="291"/>
      <c r="TGX45" s="291"/>
      <c r="TGY45" s="291"/>
      <c r="TGZ45" s="291"/>
      <c r="THA45" s="291"/>
      <c r="THB45" s="291"/>
      <c r="THC45" s="291"/>
      <c r="THD45" s="291"/>
      <c r="THE45" s="291"/>
      <c r="THF45" s="291"/>
      <c r="THG45" s="291"/>
      <c r="THH45" s="291"/>
      <c r="THI45" s="291"/>
      <c r="THJ45" s="291"/>
      <c r="THK45" s="291"/>
      <c r="THL45" s="291"/>
      <c r="THM45" s="291"/>
      <c r="THN45" s="291"/>
      <c r="THO45" s="291"/>
      <c r="THP45" s="291"/>
      <c r="THQ45" s="291"/>
      <c r="THR45" s="291"/>
      <c r="THS45" s="291"/>
      <c r="THT45" s="291"/>
      <c r="THU45" s="291"/>
      <c r="THV45" s="291"/>
      <c r="THW45" s="291"/>
      <c r="THX45" s="291"/>
      <c r="THY45" s="291"/>
      <c r="THZ45" s="291"/>
      <c r="TIA45" s="291"/>
      <c r="TIB45" s="291"/>
      <c r="TIC45" s="291"/>
      <c r="TID45" s="291"/>
      <c r="TIE45" s="291"/>
      <c r="TIF45" s="291"/>
      <c r="TIG45" s="291"/>
      <c r="TIH45" s="291"/>
      <c r="TII45" s="291"/>
      <c r="TIJ45" s="291"/>
      <c r="TIK45" s="291"/>
      <c r="TIL45" s="291"/>
      <c r="TIM45" s="291"/>
      <c r="TIN45" s="291"/>
      <c r="TIO45" s="291"/>
      <c r="TIP45" s="291"/>
      <c r="TIQ45" s="291"/>
      <c r="TIR45" s="291"/>
      <c r="TIS45" s="291"/>
      <c r="TIT45" s="291"/>
      <c r="TIU45" s="291"/>
      <c r="TIV45" s="291"/>
      <c r="TIW45" s="291"/>
      <c r="TIX45" s="291"/>
      <c r="TIY45" s="291"/>
      <c r="TIZ45" s="291"/>
      <c r="TJA45" s="291"/>
      <c r="TJB45" s="291"/>
      <c r="TJC45" s="291"/>
      <c r="TJD45" s="291"/>
      <c r="TJE45" s="291"/>
      <c r="TJF45" s="291"/>
      <c r="TJG45" s="291"/>
      <c r="TJH45" s="291"/>
      <c r="TJI45" s="291"/>
      <c r="TJJ45" s="291"/>
      <c r="TJK45" s="291"/>
      <c r="TJL45" s="291"/>
      <c r="TJM45" s="291"/>
      <c r="TJN45" s="291"/>
      <c r="TJO45" s="291"/>
      <c r="TJP45" s="291"/>
      <c r="TJQ45" s="291"/>
      <c r="TJR45" s="291"/>
      <c r="TJS45" s="291"/>
      <c r="TJT45" s="291"/>
      <c r="TJU45" s="291"/>
      <c r="TJV45" s="291"/>
      <c r="TJW45" s="291"/>
      <c r="TJX45" s="291"/>
      <c r="TJY45" s="291"/>
      <c r="TJZ45" s="291"/>
      <c r="TKA45" s="291"/>
      <c r="TKB45" s="291"/>
      <c r="TKC45" s="291"/>
      <c r="TKD45" s="291"/>
      <c r="TKE45" s="291"/>
      <c r="TKF45" s="291"/>
      <c r="TKG45" s="291"/>
      <c r="TKH45" s="291"/>
      <c r="TKI45" s="291"/>
      <c r="TKJ45" s="291"/>
      <c r="TKK45" s="291"/>
      <c r="TKL45" s="291"/>
      <c r="TKM45" s="291"/>
      <c r="TKN45" s="291"/>
      <c r="TKO45" s="291"/>
      <c r="TKP45" s="291"/>
      <c r="TKQ45" s="291"/>
      <c r="TKR45" s="291"/>
      <c r="TKS45" s="291"/>
      <c r="TKT45" s="291"/>
      <c r="TKU45" s="291"/>
      <c r="TKV45" s="291"/>
      <c r="TKW45" s="291"/>
      <c r="TKX45" s="291"/>
      <c r="TKY45" s="291"/>
      <c r="TKZ45" s="291"/>
      <c r="TLA45" s="291"/>
      <c r="TLB45" s="291"/>
      <c r="TLC45" s="291"/>
      <c r="TLD45" s="291"/>
      <c r="TLE45" s="291"/>
      <c r="TLF45" s="291"/>
      <c r="TLG45" s="291"/>
      <c r="TLH45" s="291"/>
      <c r="TLI45" s="291"/>
      <c r="TLJ45" s="291"/>
      <c r="TLK45" s="291"/>
      <c r="TLL45" s="291"/>
      <c r="TLM45" s="291"/>
      <c r="TLN45" s="291"/>
      <c r="TLO45" s="291"/>
      <c r="TLP45" s="291"/>
      <c r="TLQ45" s="291"/>
      <c r="TLR45" s="291"/>
      <c r="TLS45" s="291"/>
      <c r="TLT45" s="291"/>
      <c r="TLU45" s="291"/>
      <c r="TLV45" s="291"/>
      <c r="TLW45" s="291"/>
      <c r="TLX45" s="291"/>
      <c r="TLY45" s="291"/>
      <c r="TLZ45" s="291"/>
      <c r="TMA45" s="291"/>
      <c r="TMB45" s="291"/>
      <c r="TMC45" s="291"/>
      <c r="TMD45" s="291"/>
      <c r="TME45" s="291"/>
      <c r="TMF45" s="291"/>
      <c r="TMG45" s="291"/>
      <c r="TMH45" s="291"/>
      <c r="TMI45" s="291"/>
      <c r="TMJ45" s="291"/>
      <c r="TMK45" s="291"/>
      <c r="TML45" s="291"/>
      <c r="TMM45" s="291"/>
      <c r="TMN45" s="291"/>
      <c r="TMO45" s="291"/>
      <c r="TMP45" s="291"/>
      <c r="TMQ45" s="291"/>
      <c r="TMR45" s="291"/>
      <c r="TMS45" s="291"/>
      <c r="TMT45" s="291"/>
      <c r="TMU45" s="291"/>
      <c r="TMV45" s="291"/>
      <c r="TMW45" s="291"/>
      <c r="TMX45" s="291"/>
      <c r="TMY45" s="291"/>
      <c r="TMZ45" s="291"/>
      <c r="TNA45" s="291"/>
      <c r="TNB45" s="291"/>
      <c r="TNC45" s="291"/>
      <c r="TND45" s="291"/>
      <c r="TNE45" s="291"/>
      <c r="TNF45" s="291"/>
      <c r="TNG45" s="291"/>
      <c r="TNH45" s="291"/>
      <c r="TNI45" s="291"/>
      <c r="TNJ45" s="291"/>
      <c r="TNK45" s="291"/>
      <c r="TNL45" s="291"/>
      <c r="TNM45" s="291"/>
      <c r="TNN45" s="291"/>
      <c r="TNO45" s="291"/>
      <c r="TNP45" s="291"/>
      <c r="TNQ45" s="291"/>
      <c r="TNR45" s="291"/>
      <c r="TNS45" s="291"/>
      <c r="TNT45" s="291"/>
      <c r="TNU45" s="291"/>
      <c r="TNV45" s="291"/>
      <c r="TNW45" s="291"/>
      <c r="TNX45" s="291"/>
      <c r="TNY45" s="291"/>
      <c r="TNZ45" s="291"/>
      <c r="TOA45" s="291"/>
      <c r="TOB45" s="291"/>
      <c r="TOC45" s="291"/>
      <c r="TOD45" s="291"/>
      <c r="TOE45" s="291"/>
      <c r="TOF45" s="291"/>
      <c r="TOG45" s="291"/>
      <c r="TOH45" s="291"/>
      <c r="TOI45" s="291"/>
      <c r="TOJ45" s="291"/>
      <c r="TOK45" s="291"/>
      <c r="TOL45" s="291"/>
      <c r="TOM45" s="291"/>
      <c r="TON45" s="291"/>
      <c r="TOO45" s="291"/>
      <c r="TOP45" s="291"/>
      <c r="TOQ45" s="291"/>
      <c r="TOR45" s="291"/>
      <c r="TOS45" s="291"/>
      <c r="TOT45" s="291"/>
      <c r="TOU45" s="291"/>
      <c r="TOV45" s="291"/>
      <c r="TOW45" s="291"/>
      <c r="TOX45" s="291"/>
      <c r="TOY45" s="291"/>
      <c r="TOZ45" s="291"/>
      <c r="TPA45" s="291"/>
      <c r="TPB45" s="291"/>
      <c r="TPC45" s="291"/>
      <c r="TPD45" s="291"/>
      <c r="TPE45" s="291"/>
      <c r="TPF45" s="291"/>
      <c r="TPG45" s="291"/>
      <c r="TPH45" s="291"/>
      <c r="TPI45" s="291"/>
      <c r="TPJ45" s="291"/>
      <c r="TPK45" s="291"/>
      <c r="TPL45" s="291"/>
      <c r="TPM45" s="291"/>
      <c r="TPN45" s="291"/>
      <c r="TPO45" s="291"/>
      <c r="TPP45" s="291"/>
      <c r="TPQ45" s="291"/>
      <c r="TPR45" s="291"/>
      <c r="TPS45" s="291"/>
      <c r="TPT45" s="291"/>
      <c r="TPU45" s="291"/>
      <c r="TPV45" s="291"/>
      <c r="TPW45" s="291"/>
      <c r="TPX45" s="291"/>
      <c r="TPY45" s="291"/>
      <c r="TPZ45" s="291"/>
      <c r="TQA45" s="291"/>
      <c r="TQB45" s="291"/>
      <c r="TQC45" s="291"/>
      <c r="TQD45" s="291"/>
      <c r="TQE45" s="291"/>
      <c r="TQF45" s="291"/>
      <c r="TQG45" s="291"/>
      <c r="TQH45" s="291"/>
      <c r="TQI45" s="291"/>
      <c r="TQJ45" s="291"/>
      <c r="TQK45" s="291"/>
      <c r="TQL45" s="291"/>
      <c r="TQM45" s="291"/>
      <c r="TQN45" s="291"/>
      <c r="TQO45" s="291"/>
      <c r="TQP45" s="291"/>
      <c r="TQQ45" s="291"/>
      <c r="TQR45" s="291"/>
      <c r="TQS45" s="291"/>
      <c r="TQT45" s="291"/>
      <c r="TQU45" s="291"/>
      <c r="TQV45" s="291"/>
      <c r="TQW45" s="291"/>
      <c r="TQX45" s="291"/>
      <c r="TQY45" s="291"/>
      <c r="TQZ45" s="291"/>
      <c r="TRA45" s="291"/>
      <c r="TRB45" s="291"/>
      <c r="TRC45" s="291"/>
      <c r="TRD45" s="291"/>
      <c r="TRE45" s="291"/>
      <c r="TRF45" s="291"/>
      <c r="TRG45" s="291"/>
      <c r="TRH45" s="291"/>
      <c r="TRI45" s="291"/>
      <c r="TRJ45" s="291"/>
      <c r="TRK45" s="291"/>
      <c r="TRL45" s="291"/>
      <c r="TRM45" s="291"/>
      <c r="TRN45" s="291"/>
      <c r="TRO45" s="291"/>
      <c r="TRP45" s="291"/>
      <c r="TRQ45" s="291"/>
      <c r="TRR45" s="291"/>
      <c r="TRS45" s="291"/>
      <c r="TRT45" s="291"/>
      <c r="TRU45" s="291"/>
      <c r="TRV45" s="291"/>
      <c r="TRW45" s="291"/>
      <c r="TRX45" s="291"/>
      <c r="TRY45" s="291"/>
      <c r="TRZ45" s="291"/>
      <c r="TSA45" s="291"/>
      <c r="TSB45" s="291"/>
      <c r="TSC45" s="291"/>
      <c r="TSD45" s="291"/>
      <c r="TSE45" s="291"/>
      <c r="TSF45" s="291"/>
      <c r="TSG45" s="291"/>
      <c r="TSH45" s="291"/>
      <c r="TSI45" s="291"/>
      <c r="TSJ45" s="291"/>
      <c r="TSK45" s="291"/>
      <c r="TSL45" s="291"/>
      <c r="TSM45" s="291"/>
      <c r="TSN45" s="291"/>
      <c r="TSO45" s="291"/>
      <c r="TSP45" s="291"/>
      <c r="TSQ45" s="291"/>
      <c r="TSR45" s="291"/>
      <c r="TSS45" s="291"/>
      <c r="TST45" s="291"/>
      <c r="TSU45" s="291"/>
      <c r="TSV45" s="291"/>
      <c r="TSW45" s="291"/>
      <c r="TSX45" s="291"/>
      <c r="TSY45" s="291"/>
      <c r="TSZ45" s="291"/>
      <c r="TTA45" s="291"/>
      <c r="TTB45" s="291"/>
      <c r="TTC45" s="291"/>
      <c r="TTD45" s="291"/>
      <c r="TTE45" s="291"/>
      <c r="TTF45" s="291"/>
      <c r="TTG45" s="291"/>
      <c r="TTH45" s="291"/>
      <c r="TTI45" s="291"/>
      <c r="TTJ45" s="291"/>
      <c r="TTK45" s="291"/>
      <c r="TTL45" s="291"/>
      <c r="TTM45" s="291"/>
      <c r="TTN45" s="291"/>
      <c r="TTO45" s="291"/>
      <c r="TTP45" s="291"/>
      <c r="TTQ45" s="291"/>
      <c r="TTR45" s="291"/>
      <c r="TTS45" s="291"/>
      <c r="TTT45" s="291"/>
      <c r="TTU45" s="291"/>
      <c r="TTV45" s="291"/>
      <c r="TTW45" s="291"/>
      <c r="TTX45" s="291"/>
      <c r="TTY45" s="291"/>
      <c r="TTZ45" s="291"/>
      <c r="TUA45" s="291"/>
      <c r="TUB45" s="291"/>
      <c r="TUC45" s="291"/>
      <c r="TUD45" s="291"/>
      <c r="TUE45" s="291"/>
      <c r="TUF45" s="291"/>
      <c r="TUG45" s="291"/>
      <c r="TUH45" s="291"/>
      <c r="TUI45" s="291"/>
      <c r="TUJ45" s="291"/>
      <c r="TUK45" s="291"/>
      <c r="TUL45" s="291"/>
      <c r="TUM45" s="291"/>
      <c r="TUN45" s="291"/>
      <c r="TUO45" s="291"/>
      <c r="TUP45" s="291"/>
      <c r="TUQ45" s="291"/>
      <c r="TUR45" s="291"/>
      <c r="TUS45" s="291"/>
      <c r="TUT45" s="291"/>
      <c r="TUU45" s="291"/>
      <c r="TUV45" s="291"/>
      <c r="TUW45" s="291"/>
      <c r="TUX45" s="291"/>
      <c r="TUY45" s="291"/>
      <c r="TUZ45" s="291"/>
      <c r="TVA45" s="291"/>
      <c r="TVB45" s="291"/>
      <c r="TVC45" s="291"/>
      <c r="TVD45" s="291"/>
      <c r="TVE45" s="291"/>
      <c r="TVF45" s="291"/>
      <c r="TVG45" s="291"/>
      <c r="TVH45" s="291"/>
      <c r="TVI45" s="291"/>
      <c r="TVJ45" s="291"/>
      <c r="TVK45" s="291"/>
      <c r="TVL45" s="291"/>
      <c r="TVM45" s="291"/>
      <c r="TVN45" s="291"/>
      <c r="TVO45" s="291"/>
      <c r="TVP45" s="291"/>
      <c r="TVQ45" s="291"/>
      <c r="TVR45" s="291"/>
      <c r="TVS45" s="291"/>
      <c r="TVT45" s="291"/>
      <c r="TVU45" s="291"/>
      <c r="TVV45" s="291"/>
      <c r="TVW45" s="291"/>
      <c r="TVX45" s="291"/>
      <c r="TVY45" s="291"/>
      <c r="TVZ45" s="291"/>
      <c r="TWA45" s="291"/>
      <c r="TWB45" s="291"/>
      <c r="TWC45" s="291"/>
      <c r="TWD45" s="291"/>
      <c r="TWE45" s="291"/>
      <c r="TWF45" s="291"/>
      <c r="TWG45" s="291"/>
      <c r="TWH45" s="291"/>
      <c r="TWI45" s="291"/>
      <c r="TWJ45" s="291"/>
      <c r="TWK45" s="291"/>
      <c r="TWL45" s="291"/>
      <c r="TWM45" s="291"/>
      <c r="TWN45" s="291"/>
      <c r="TWO45" s="291"/>
      <c r="TWP45" s="291"/>
      <c r="TWQ45" s="291"/>
      <c r="TWR45" s="291"/>
      <c r="TWS45" s="291"/>
      <c r="TWT45" s="291"/>
      <c r="TWU45" s="291"/>
      <c r="TWV45" s="291"/>
      <c r="TWW45" s="291"/>
      <c r="TWX45" s="291"/>
      <c r="TWY45" s="291"/>
      <c r="TWZ45" s="291"/>
      <c r="TXA45" s="291"/>
      <c r="TXB45" s="291"/>
      <c r="TXC45" s="291"/>
      <c r="TXD45" s="291"/>
      <c r="TXE45" s="291"/>
      <c r="TXF45" s="291"/>
      <c r="TXG45" s="291"/>
      <c r="TXH45" s="291"/>
      <c r="TXI45" s="291"/>
      <c r="TXJ45" s="291"/>
      <c r="TXK45" s="291"/>
      <c r="TXL45" s="291"/>
      <c r="TXM45" s="291"/>
      <c r="TXN45" s="291"/>
      <c r="TXO45" s="291"/>
      <c r="TXP45" s="291"/>
      <c r="TXQ45" s="291"/>
      <c r="TXR45" s="291"/>
      <c r="TXS45" s="291"/>
      <c r="TXT45" s="291"/>
      <c r="TXU45" s="291"/>
      <c r="TXV45" s="291"/>
      <c r="TXW45" s="291"/>
      <c r="TXX45" s="291"/>
      <c r="TXY45" s="291"/>
      <c r="TXZ45" s="291"/>
      <c r="TYA45" s="291"/>
      <c r="TYB45" s="291"/>
      <c r="TYC45" s="291"/>
      <c r="TYD45" s="291"/>
      <c r="TYE45" s="291"/>
      <c r="TYF45" s="291"/>
      <c r="TYG45" s="291"/>
      <c r="TYH45" s="291"/>
      <c r="TYI45" s="291"/>
      <c r="TYJ45" s="291"/>
      <c r="TYK45" s="291"/>
      <c r="TYL45" s="291"/>
      <c r="TYM45" s="291"/>
      <c r="TYN45" s="291"/>
      <c r="TYO45" s="291"/>
      <c r="TYP45" s="291"/>
      <c r="TYQ45" s="291"/>
      <c r="TYR45" s="291"/>
      <c r="TYS45" s="291"/>
      <c r="TYT45" s="291"/>
      <c r="TYU45" s="291"/>
      <c r="TYV45" s="291"/>
      <c r="TYW45" s="291"/>
      <c r="TYX45" s="291"/>
      <c r="TYY45" s="291"/>
      <c r="TYZ45" s="291"/>
      <c r="TZA45" s="291"/>
      <c r="TZB45" s="291"/>
      <c r="TZC45" s="291"/>
      <c r="TZD45" s="291"/>
      <c r="TZE45" s="291"/>
      <c r="TZF45" s="291"/>
      <c r="TZG45" s="291"/>
      <c r="TZH45" s="291"/>
      <c r="TZI45" s="291"/>
      <c r="TZJ45" s="291"/>
      <c r="TZK45" s="291"/>
      <c r="TZL45" s="291"/>
      <c r="TZM45" s="291"/>
      <c r="TZN45" s="291"/>
      <c r="TZO45" s="291"/>
      <c r="TZP45" s="291"/>
      <c r="TZQ45" s="291"/>
      <c r="TZR45" s="291"/>
      <c r="TZS45" s="291"/>
      <c r="TZT45" s="291"/>
      <c r="TZU45" s="291"/>
      <c r="TZV45" s="291"/>
      <c r="TZW45" s="291"/>
      <c r="TZX45" s="291"/>
      <c r="TZY45" s="291"/>
      <c r="TZZ45" s="291"/>
      <c r="UAA45" s="291"/>
      <c r="UAB45" s="291"/>
      <c r="UAC45" s="291"/>
      <c r="UAD45" s="291"/>
      <c r="UAE45" s="291"/>
      <c r="UAF45" s="291"/>
      <c r="UAG45" s="291"/>
      <c r="UAH45" s="291"/>
      <c r="UAI45" s="291"/>
      <c r="UAJ45" s="291"/>
      <c r="UAK45" s="291"/>
      <c r="UAL45" s="291"/>
      <c r="UAM45" s="291"/>
      <c r="UAN45" s="291"/>
      <c r="UAO45" s="291"/>
      <c r="UAP45" s="291"/>
      <c r="UAQ45" s="291"/>
      <c r="UAR45" s="291"/>
      <c r="UAS45" s="291"/>
      <c r="UAT45" s="291"/>
      <c r="UAU45" s="291"/>
      <c r="UAV45" s="291"/>
      <c r="UAW45" s="291"/>
      <c r="UAX45" s="291"/>
      <c r="UAY45" s="291"/>
      <c r="UAZ45" s="291"/>
      <c r="UBA45" s="291"/>
      <c r="UBB45" s="291"/>
      <c r="UBC45" s="291"/>
      <c r="UBD45" s="291"/>
      <c r="UBE45" s="291"/>
      <c r="UBF45" s="291"/>
      <c r="UBG45" s="291"/>
      <c r="UBH45" s="291"/>
      <c r="UBI45" s="291"/>
      <c r="UBJ45" s="291"/>
      <c r="UBK45" s="291"/>
      <c r="UBL45" s="291"/>
      <c r="UBM45" s="291"/>
      <c r="UBN45" s="291"/>
      <c r="UBO45" s="291"/>
      <c r="UBP45" s="291"/>
      <c r="UBQ45" s="291"/>
      <c r="UBR45" s="291"/>
      <c r="UBS45" s="291"/>
      <c r="UBT45" s="291"/>
      <c r="UBU45" s="291"/>
      <c r="UBV45" s="291"/>
      <c r="UBW45" s="291"/>
      <c r="UBX45" s="291"/>
      <c r="UBY45" s="291"/>
      <c r="UBZ45" s="291"/>
      <c r="UCA45" s="291"/>
      <c r="UCB45" s="291"/>
      <c r="UCC45" s="291"/>
      <c r="UCD45" s="291"/>
      <c r="UCE45" s="291"/>
      <c r="UCF45" s="291"/>
      <c r="UCG45" s="291"/>
      <c r="UCH45" s="291"/>
      <c r="UCI45" s="291"/>
      <c r="UCJ45" s="291"/>
      <c r="UCK45" s="291"/>
      <c r="UCL45" s="291"/>
      <c r="UCM45" s="291"/>
      <c r="UCN45" s="291"/>
      <c r="UCO45" s="291"/>
      <c r="UCP45" s="291"/>
      <c r="UCQ45" s="291"/>
      <c r="UCR45" s="291"/>
      <c r="UCS45" s="291"/>
      <c r="UCT45" s="291"/>
      <c r="UCU45" s="291"/>
      <c r="UCV45" s="291"/>
      <c r="UCW45" s="291"/>
      <c r="UCX45" s="291"/>
      <c r="UCY45" s="291"/>
      <c r="UCZ45" s="291"/>
      <c r="UDA45" s="291"/>
      <c r="UDB45" s="291"/>
      <c r="UDC45" s="291"/>
      <c r="UDD45" s="291"/>
      <c r="UDE45" s="291"/>
      <c r="UDF45" s="291"/>
      <c r="UDG45" s="291"/>
      <c r="UDH45" s="291"/>
      <c r="UDI45" s="291"/>
      <c r="UDJ45" s="291"/>
      <c r="UDK45" s="291"/>
      <c r="UDL45" s="291"/>
      <c r="UDM45" s="291"/>
      <c r="UDN45" s="291"/>
      <c r="UDO45" s="291"/>
      <c r="UDP45" s="291"/>
      <c r="UDQ45" s="291"/>
      <c r="UDR45" s="291"/>
      <c r="UDS45" s="291"/>
      <c r="UDT45" s="291"/>
      <c r="UDU45" s="291"/>
      <c r="UDV45" s="291"/>
      <c r="UDW45" s="291"/>
      <c r="UDX45" s="291"/>
      <c r="UDY45" s="291"/>
      <c r="UDZ45" s="291"/>
      <c r="UEA45" s="291"/>
      <c r="UEB45" s="291"/>
      <c r="UEC45" s="291"/>
      <c r="UED45" s="291"/>
      <c r="UEE45" s="291"/>
      <c r="UEF45" s="291"/>
      <c r="UEG45" s="291"/>
      <c r="UEH45" s="291"/>
      <c r="UEI45" s="291"/>
      <c r="UEJ45" s="291"/>
      <c r="UEK45" s="291"/>
      <c r="UEL45" s="291"/>
      <c r="UEM45" s="291"/>
      <c r="UEN45" s="291"/>
      <c r="UEO45" s="291"/>
      <c r="UEP45" s="291"/>
      <c r="UEQ45" s="291"/>
      <c r="UER45" s="291"/>
      <c r="UES45" s="291"/>
      <c r="UET45" s="291"/>
      <c r="UEU45" s="291"/>
      <c r="UEV45" s="291"/>
      <c r="UEW45" s="291"/>
      <c r="UEX45" s="291"/>
      <c r="UEY45" s="291"/>
      <c r="UEZ45" s="291"/>
      <c r="UFA45" s="291"/>
      <c r="UFB45" s="291"/>
      <c r="UFC45" s="291"/>
      <c r="UFD45" s="291"/>
      <c r="UFE45" s="291"/>
      <c r="UFF45" s="291"/>
      <c r="UFG45" s="291"/>
      <c r="UFH45" s="291"/>
      <c r="UFI45" s="291"/>
      <c r="UFJ45" s="291"/>
      <c r="UFK45" s="291"/>
      <c r="UFL45" s="291"/>
      <c r="UFM45" s="291"/>
      <c r="UFN45" s="291"/>
      <c r="UFO45" s="291"/>
      <c r="UFP45" s="291"/>
      <c r="UFQ45" s="291"/>
      <c r="UFR45" s="291"/>
      <c r="UFS45" s="291"/>
      <c r="UFT45" s="291"/>
      <c r="UFU45" s="291"/>
      <c r="UFV45" s="291"/>
      <c r="UFW45" s="291"/>
      <c r="UFX45" s="291"/>
      <c r="UFY45" s="291"/>
      <c r="UFZ45" s="291"/>
      <c r="UGA45" s="291"/>
      <c r="UGB45" s="291"/>
      <c r="UGC45" s="291"/>
      <c r="UGD45" s="291"/>
      <c r="UGE45" s="291"/>
      <c r="UGF45" s="291"/>
      <c r="UGG45" s="291"/>
      <c r="UGH45" s="291"/>
      <c r="UGI45" s="291"/>
      <c r="UGJ45" s="291"/>
      <c r="UGK45" s="291"/>
      <c r="UGL45" s="291"/>
      <c r="UGM45" s="291"/>
      <c r="UGN45" s="291"/>
      <c r="UGO45" s="291"/>
      <c r="UGP45" s="291"/>
      <c r="UGQ45" s="291"/>
      <c r="UGR45" s="291"/>
      <c r="UGS45" s="291"/>
      <c r="UGT45" s="291"/>
      <c r="UGU45" s="291"/>
      <c r="UGV45" s="291"/>
      <c r="UGW45" s="291"/>
      <c r="UGX45" s="291"/>
      <c r="UGY45" s="291"/>
      <c r="UGZ45" s="291"/>
      <c r="UHA45" s="291"/>
      <c r="UHB45" s="291"/>
      <c r="UHC45" s="291"/>
      <c r="UHD45" s="291"/>
      <c r="UHE45" s="291"/>
      <c r="UHF45" s="291"/>
      <c r="UHG45" s="291"/>
      <c r="UHH45" s="291"/>
      <c r="UHI45" s="291"/>
      <c r="UHJ45" s="291"/>
      <c r="UHK45" s="291"/>
      <c r="UHL45" s="291"/>
      <c r="UHM45" s="291"/>
      <c r="UHN45" s="291"/>
      <c r="UHO45" s="291"/>
      <c r="UHP45" s="291"/>
      <c r="UHQ45" s="291"/>
      <c r="UHR45" s="291"/>
      <c r="UHS45" s="291"/>
      <c r="UHT45" s="291"/>
      <c r="UHU45" s="291"/>
      <c r="UHV45" s="291"/>
      <c r="UHW45" s="291"/>
      <c r="UHX45" s="291"/>
      <c r="UHY45" s="291"/>
      <c r="UHZ45" s="291"/>
      <c r="UIA45" s="291"/>
      <c r="UIB45" s="291"/>
      <c r="UIC45" s="291"/>
      <c r="UID45" s="291"/>
      <c r="UIE45" s="291"/>
      <c r="UIF45" s="291"/>
      <c r="UIG45" s="291"/>
      <c r="UIH45" s="291"/>
      <c r="UII45" s="291"/>
      <c r="UIJ45" s="291"/>
      <c r="UIK45" s="291"/>
      <c r="UIL45" s="291"/>
      <c r="UIM45" s="291"/>
      <c r="UIN45" s="291"/>
      <c r="UIO45" s="291"/>
      <c r="UIP45" s="291"/>
      <c r="UIQ45" s="291"/>
      <c r="UIR45" s="291"/>
      <c r="UIS45" s="291"/>
      <c r="UIT45" s="291"/>
      <c r="UIU45" s="291"/>
      <c r="UIV45" s="291"/>
      <c r="UIW45" s="291"/>
      <c r="UIX45" s="291"/>
      <c r="UIY45" s="291"/>
      <c r="UIZ45" s="291"/>
      <c r="UJA45" s="291"/>
      <c r="UJB45" s="291"/>
      <c r="UJC45" s="291"/>
      <c r="UJD45" s="291"/>
      <c r="UJE45" s="291"/>
      <c r="UJF45" s="291"/>
      <c r="UJG45" s="291"/>
      <c r="UJH45" s="291"/>
      <c r="UJI45" s="291"/>
      <c r="UJJ45" s="291"/>
      <c r="UJK45" s="291"/>
      <c r="UJL45" s="291"/>
      <c r="UJM45" s="291"/>
      <c r="UJN45" s="291"/>
      <c r="UJO45" s="291"/>
      <c r="UJP45" s="291"/>
      <c r="UJQ45" s="291"/>
      <c r="UJR45" s="291"/>
      <c r="UJS45" s="291"/>
      <c r="UJT45" s="291"/>
      <c r="UJU45" s="291"/>
      <c r="UJV45" s="291"/>
      <c r="UJW45" s="291"/>
      <c r="UJX45" s="291"/>
      <c r="UJY45" s="291"/>
      <c r="UJZ45" s="291"/>
      <c r="UKA45" s="291"/>
      <c r="UKB45" s="291"/>
      <c r="UKC45" s="291"/>
      <c r="UKD45" s="291"/>
      <c r="UKE45" s="291"/>
      <c r="UKF45" s="291"/>
      <c r="UKG45" s="291"/>
      <c r="UKH45" s="291"/>
      <c r="UKI45" s="291"/>
      <c r="UKJ45" s="291"/>
      <c r="UKK45" s="291"/>
      <c r="UKL45" s="291"/>
      <c r="UKM45" s="291"/>
      <c r="UKN45" s="291"/>
      <c r="UKO45" s="291"/>
      <c r="UKP45" s="291"/>
      <c r="UKQ45" s="291"/>
      <c r="UKR45" s="291"/>
      <c r="UKS45" s="291"/>
      <c r="UKT45" s="291"/>
      <c r="UKU45" s="291"/>
      <c r="UKV45" s="291"/>
      <c r="UKW45" s="291"/>
      <c r="UKX45" s="291"/>
      <c r="UKY45" s="291"/>
      <c r="UKZ45" s="291"/>
      <c r="ULA45" s="291"/>
      <c r="ULB45" s="291"/>
      <c r="ULC45" s="291"/>
      <c r="ULD45" s="291"/>
      <c r="ULE45" s="291"/>
      <c r="ULF45" s="291"/>
      <c r="ULG45" s="291"/>
      <c r="ULH45" s="291"/>
      <c r="ULI45" s="291"/>
      <c r="ULJ45" s="291"/>
      <c r="ULK45" s="291"/>
      <c r="ULL45" s="291"/>
      <c r="ULM45" s="291"/>
      <c r="ULN45" s="291"/>
      <c r="ULO45" s="291"/>
      <c r="ULP45" s="291"/>
      <c r="ULQ45" s="291"/>
      <c r="ULR45" s="291"/>
      <c r="ULS45" s="291"/>
      <c r="ULT45" s="291"/>
      <c r="ULU45" s="291"/>
      <c r="ULV45" s="291"/>
      <c r="ULW45" s="291"/>
      <c r="ULX45" s="291"/>
      <c r="ULY45" s="291"/>
      <c r="ULZ45" s="291"/>
      <c r="UMA45" s="291"/>
      <c r="UMB45" s="291"/>
      <c r="UMC45" s="291"/>
      <c r="UMD45" s="291"/>
      <c r="UME45" s="291"/>
      <c r="UMF45" s="291"/>
      <c r="UMG45" s="291"/>
      <c r="UMH45" s="291"/>
      <c r="UMI45" s="291"/>
      <c r="UMJ45" s="291"/>
      <c r="UMK45" s="291"/>
      <c r="UML45" s="291"/>
      <c r="UMM45" s="291"/>
      <c r="UMN45" s="291"/>
      <c r="UMO45" s="291"/>
      <c r="UMP45" s="291"/>
      <c r="UMQ45" s="291"/>
      <c r="UMR45" s="291"/>
      <c r="UMS45" s="291"/>
      <c r="UMT45" s="291"/>
      <c r="UMU45" s="291"/>
      <c r="UMV45" s="291"/>
      <c r="UMW45" s="291"/>
      <c r="UMX45" s="291"/>
      <c r="UMY45" s="291"/>
      <c r="UMZ45" s="291"/>
      <c r="UNA45" s="291"/>
      <c r="UNB45" s="291"/>
      <c r="UNC45" s="291"/>
      <c r="UND45" s="291"/>
      <c r="UNE45" s="291"/>
      <c r="UNF45" s="291"/>
      <c r="UNG45" s="291"/>
      <c r="UNH45" s="291"/>
      <c r="UNI45" s="291"/>
      <c r="UNJ45" s="291"/>
      <c r="UNK45" s="291"/>
      <c r="UNL45" s="291"/>
      <c r="UNM45" s="291"/>
      <c r="UNN45" s="291"/>
      <c r="UNO45" s="291"/>
      <c r="UNP45" s="291"/>
      <c r="UNQ45" s="291"/>
      <c r="UNR45" s="291"/>
      <c r="UNS45" s="291"/>
      <c r="UNT45" s="291"/>
      <c r="UNU45" s="291"/>
      <c r="UNV45" s="291"/>
      <c r="UNW45" s="291"/>
      <c r="UNX45" s="291"/>
      <c r="UNY45" s="291"/>
      <c r="UNZ45" s="291"/>
      <c r="UOA45" s="291"/>
      <c r="UOB45" s="291"/>
      <c r="UOC45" s="291"/>
      <c r="UOD45" s="291"/>
      <c r="UOE45" s="291"/>
      <c r="UOF45" s="291"/>
      <c r="UOG45" s="291"/>
      <c r="UOH45" s="291"/>
      <c r="UOI45" s="291"/>
      <c r="UOJ45" s="291"/>
      <c r="UOK45" s="291"/>
      <c r="UOL45" s="291"/>
      <c r="UOM45" s="291"/>
      <c r="UON45" s="291"/>
      <c r="UOO45" s="291"/>
      <c r="UOP45" s="291"/>
      <c r="UOQ45" s="291"/>
      <c r="UOR45" s="291"/>
      <c r="UOS45" s="291"/>
      <c r="UOT45" s="291"/>
      <c r="UOU45" s="291"/>
      <c r="UOV45" s="291"/>
      <c r="UOW45" s="291"/>
      <c r="UOX45" s="291"/>
      <c r="UOY45" s="291"/>
      <c r="UOZ45" s="291"/>
      <c r="UPA45" s="291"/>
      <c r="UPB45" s="291"/>
      <c r="UPC45" s="291"/>
      <c r="UPD45" s="291"/>
      <c r="UPE45" s="291"/>
      <c r="UPF45" s="291"/>
      <c r="UPG45" s="291"/>
      <c r="UPH45" s="291"/>
      <c r="UPI45" s="291"/>
      <c r="UPJ45" s="291"/>
      <c r="UPK45" s="291"/>
      <c r="UPL45" s="291"/>
      <c r="UPM45" s="291"/>
      <c r="UPN45" s="291"/>
      <c r="UPO45" s="291"/>
      <c r="UPP45" s="291"/>
      <c r="UPQ45" s="291"/>
      <c r="UPR45" s="291"/>
      <c r="UPS45" s="291"/>
      <c r="UPT45" s="291"/>
      <c r="UPU45" s="291"/>
      <c r="UPV45" s="291"/>
      <c r="UPW45" s="291"/>
      <c r="UPX45" s="291"/>
      <c r="UPY45" s="291"/>
      <c r="UPZ45" s="291"/>
      <c r="UQA45" s="291"/>
      <c r="UQB45" s="291"/>
      <c r="UQC45" s="291"/>
      <c r="UQD45" s="291"/>
      <c r="UQE45" s="291"/>
      <c r="UQF45" s="291"/>
      <c r="UQG45" s="291"/>
      <c r="UQH45" s="291"/>
      <c r="UQI45" s="291"/>
      <c r="UQJ45" s="291"/>
      <c r="UQK45" s="291"/>
      <c r="UQL45" s="291"/>
      <c r="UQM45" s="291"/>
      <c r="UQN45" s="291"/>
      <c r="UQO45" s="291"/>
      <c r="UQP45" s="291"/>
      <c r="UQQ45" s="291"/>
      <c r="UQR45" s="291"/>
      <c r="UQS45" s="291"/>
      <c r="UQT45" s="291"/>
      <c r="UQU45" s="291"/>
      <c r="UQV45" s="291"/>
      <c r="UQW45" s="291"/>
      <c r="UQX45" s="291"/>
      <c r="UQY45" s="291"/>
      <c r="UQZ45" s="291"/>
      <c r="URA45" s="291"/>
      <c r="URB45" s="291"/>
      <c r="URC45" s="291"/>
      <c r="URD45" s="291"/>
      <c r="URE45" s="291"/>
      <c r="URF45" s="291"/>
      <c r="URG45" s="291"/>
      <c r="URH45" s="291"/>
      <c r="URI45" s="291"/>
      <c r="URJ45" s="291"/>
      <c r="URK45" s="291"/>
      <c r="URL45" s="291"/>
      <c r="URM45" s="291"/>
      <c r="URN45" s="291"/>
      <c r="URO45" s="291"/>
      <c r="URP45" s="291"/>
      <c r="URQ45" s="291"/>
      <c r="URR45" s="291"/>
      <c r="URS45" s="291"/>
      <c r="URT45" s="291"/>
      <c r="URU45" s="291"/>
      <c r="URV45" s="291"/>
      <c r="URW45" s="291"/>
      <c r="URX45" s="291"/>
      <c r="URY45" s="291"/>
      <c r="URZ45" s="291"/>
      <c r="USA45" s="291"/>
      <c r="USB45" s="291"/>
      <c r="USC45" s="291"/>
      <c r="USD45" s="291"/>
      <c r="USE45" s="291"/>
      <c r="USF45" s="291"/>
      <c r="USG45" s="291"/>
      <c r="USH45" s="291"/>
      <c r="USI45" s="291"/>
      <c r="USJ45" s="291"/>
      <c r="USK45" s="291"/>
      <c r="USL45" s="291"/>
      <c r="USM45" s="291"/>
      <c r="USN45" s="291"/>
      <c r="USO45" s="291"/>
      <c r="USP45" s="291"/>
      <c r="USQ45" s="291"/>
      <c r="USR45" s="291"/>
      <c r="USS45" s="291"/>
      <c r="UST45" s="291"/>
      <c r="USU45" s="291"/>
      <c r="USV45" s="291"/>
      <c r="USW45" s="291"/>
      <c r="USX45" s="291"/>
      <c r="USY45" s="291"/>
      <c r="USZ45" s="291"/>
      <c r="UTA45" s="291"/>
      <c r="UTB45" s="291"/>
      <c r="UTC45" s="291"/>
      <c r="UTD45" s="291"/>
      <c r="UTE45" s="291"/>
      <c r="UTF45" s="291"/>
      <c r="UTG45" s="291"/>
      <c r="UTH45" s="291"/>
      <c r="UTI45" s="291"/>
      <c r="UTJ45" s="291"/>
      <c r="UTK45" s="291"/>
      <c r="UTL45" s="291"/>
      <c r="UTM45" s="291"/>
      <c r="UTN45" s="291"/>
      <c r="UTO45" s="291"/>
      <c r="UTP45" s="291"/>
      <c r="UTQ45" s="291"/>
      <c r="UTR45" s="291"/>
      <c r="UTS45" s="291"/>
      <c r="UTT45" s="291"/>
      <c r="UTU45" s="291"/>
      <c r="UTV45" s="291"/>
      <c r="UTW45" s="291"/>
      <c r="UTX45" s="291"/>
      <c r="UTY45" s="291"/>
      <c r="UTZ45" s="291"/>
      <c r="UUA45" s="291"/>
      <c r="UUB45" s="291"/>
      <c r="UUC45" s="291"/>
      <c r="UUD45" s="291"/>
      <c r="UUE45" s="291"/>
      <c r="UUF45" s="291"/>
      <c r="UUG45" s="291"/>
      <c r="UUH45" s="291"/>
      <c r="UUI45" s="291"/>
      <c r="UUJ45" s="291"/>
      <c r="UUK45" s="291"/>
      <c r="UUL45" s="291"/>
      <c r="UUM45" s="291"/>
      <c r="UUN45" s="291"/>
      <c r="UUO45" s="291"/>
      <c r="UUP45" s="291"/>
      <c r="UUQ45" s="291"/>
      <c r="UUR45" s="291"/>
      <c r="UUS45" s="291"/>
      <c r="UUT45" s="291"/>
      <c r="UUU45" s="291"/>
      <c r="UUV45" s="291"/>
      <c r="UUW45" s="291"/>
      <c r="UUX45" s="291"/>
      <c r="UUY45" s="291"/>
      <c r="UUZ45" s="291"/>
      <c r="UVA45" s="291"/>
      <c r="UVB45" s="291"/>
      <c r="UVC45" s="291"/>
      <c r="UVD45" s="291"/>
      <c r="UVE45" s="291"/>
      <c r="UVF45" s="291"/>
      <c r="UVG45" s="291"/>
      <c r="UVH45" s="291"/>
      <c r="UVI45" s="291"/>
      <c r="UVJ45" s="291"/>
      <c r="UVK45" s="291"/>
      <c r="UVL45" s="291"/>
      <c r="UVM45" s="291"/>
      <c r="UVN45" s="291"/>
      <c r="UVO45" s="291"/>
      <c r="UVP45" s="291"/>
      <c r="UVQ45" s="291"/>
      <c r="UVR45" s="291"/>
      <c r="UVS45" s="291"/>
      <c r="UVT45" s="291"/>
      <c r="UVU45" s="291"/>
      <c r="UVV45" s="291"/>
      <c r="UVW45" s="291"/>
      <c r="UVX45" s="291"/>
      <c r="UVY45" s="291"/>
      <c r="UVZ45" s="291"/>
      <c r="UWA45" s="291"/>
      <c r="UWB45" s="291"/>
      <c r="UWC45" s="291"/>
      <c r="UWD45" s="291"/>
      <c r="UWE45" s="291"/>
      <c r="UWF45" s="291"/>
      <c r="UWG45" s="291"/>
      <c r="UWH45" s="291"/>
      <c r="UWI45" s="291"/>
      <c r="UWJ45" s="291"/>
      <c r="UWK45" s="291"/>
      <c r="UWL45" s="291"/>
      <c r="UWM45" s="291"/>
      <c r="UWN45" s="291"/>
      <c r="UWO45" s="291"/>
      <c r="UWP45" s="291"/>
      <c r="UWQ45" s="291"/>
      <c r="UWR45" s="291"/>
      <c r="UWS45" s="291"/>
      <c r="UWT45" s="291"/>
      <c r="UWU45" s="291"/>
      <c r="UWV45" s="291"/>
      <c r="UWW45" s="291"/>
      <c r="UWX45" s="291"/>
      <c r="UWY45" s="291"/>
      <c r="UWZ45" s="291"/>
      <c r="UXA45" s="291"/>
      <c r="UXB45" s="291"/>
      <c r="UXC45" s="291"/>
      <c r="UXD45" s="291"/>
      <c r="UXE45" s="291"/>
      <c r="UXF45" s="291"/>
      <c r="UXG45" s="291"/>
      <c r="UXH45" s="291"/>
      <c r="UXI45" s="291"/>
      <c r="UXJ45" s="291"/>
      <c r="UXK45" s="291"/>
      <c r="UXL45" s="291"/>
      <c r="UXM45" s="291"/>
      <c r="UXN45" s="291"/>
      <c r="UXO45" s="291"/>
      <c r="UXP45" s="291"/>
      <c r="UXQ45" s="291"/>
      <c r="UXR45" s="291"/>
      <c r="UXS45" s="291"/>
      <c r="UXT45" s="291"/>
      <c r="UXU45" s="291"/>
      <c r="UXV45" s="291"/>
      <c r="UXW45" s="291"/>
      <c r="UXX45" s="291"/>
      <c r="UXY45" s="291"/>
      <c r="UXZ45" s="291"/>
      <c r="UYA45" s="291"/>
      <c r="UYB45" s="291"/>
      <c r="UYC45" s="291"/>
      <c r="UYD45" s="291"/>
      <c r="UYE45" s="291"/>
      <c r="UYF45" s="291"/>
      <c r="UYG45" s="291"/>
      <c r="UYH45" s="291"/>
      <c r="UYI45" s="291"/>
      <c r="UYJ45" s="291"/>
      <c r="UYK45" s="291"/>
      <c r="UYL45" s="291"/>
      <c r="UYM45" s="291"/>
      <c r="UYN45" s="291"/>
      <c r="UYO45" s="291"/>
      <c r="UYP45" s="291"/>
      <c r="UYQ45" s="291"/>
      <c r="UYR45" s="291"/>
      <c r="UYS45" s="291"/>
      <c r="UYT45" s="291"/>
      <c r="UYU45" s="291"/>
      <c r="UYV45" s="291"/>
      <c r="UYW45" s="291"/>
      <c r="UYX45" s="291"/>
      <c r="UYY45" s="291"/>
      <c r="UYZ45" s="291"/>
      <c r="UZA45" s="291"/>
      <c r="UZB45" s="291"/>
      <c r="UZC45" s="291"/>
      <c r="UZD45" s="291"/>
      <c r="UZE45" s="291"/>
      <c r="UZF45" s="291"/>
      <c r="UZG45" s="291"/>
      <c r="UZH45" s="291"/>
      <c r="UZI45" s="291"/>
      <c r="UZJ45" s="291"/>
      <c r="UZK45" s="291"/>
      <c r="UZL45" s="291"/>
      <c r="UZM45" s="291"/>
      <c r="UZN45" s="291"/>
      <c r="UZO45" s="291"/>
      <c r="UZP45" s="291"/>
      <c r="UZQ45" s="291"/>
      <c r="UZR45" s="291"/>
      <c r="UZS45" s="291"/>
      <c r="UZT45" s="291"/>
      <c r="UZU45" s="291"/>
      <c r="UZV45" s="291"/>
      <c r="UZW45" s="291"/>
      <c r="UZX45" s="291"/>
      <c r="UZY45" s="291"/>
      <c r="UZZ45" s="291"/>
      <c r="VAA45" s="291"/>
      <c r="VAB45" s="291"/>
      <c r="VAC45" s="291"/>
      <c r="VAD45" s="291"/>
      <c r="VAE45" s="291"/>
      <c r="VAF45" s="291"/>
      <c r="VAG45" s="291"/>
      <c r="VAH45" s="291"/>
      <c r="VAI45" s="291"/>
      <c r="VAJ45" s="291"/>
      <c r="VAK45" s="291"/>
      <c r="VAL45" s="291"/>
      <c r="VAM45" s="291"/>
      <c r="VAN45" s="291"/>
      <c r="VAO45" s="291"/>
      <c r="VAP45" s="291"/>
      <c r="VAQ45" s="291"/>
      <c r="VAR45" s="291"/>
      <c r="VAS45" s="291"/>
      <c r="VAT45" s="291"/>
      <c r="VAU45" s="291"/>
      <c r="VAV45" s="291"/>
      <c r="VAW45" s="291"/>
      <c r="VAX45" s="291"/>
      <c r="VAY45" s="291"/>
      <c r="VAZ45" s="291"/>
      <c r="VBA45" s="291"/>
      <c r="VBB45" s="291"/>
      <c r="VBC45" s="291"/>
      <c r="VBD45" s="291"/>
      <c r="VBE45" s="291"/>
      <c r="VBF45" s="291"/>
      <c r="VBG45" s="291"/>
      <c r="VBH45" s="291"/>
      <c r="VBI45" s="291"/>
      <c r="VBJ45" s="291"/>
      <c r="VBK45" s="291"/>
      <c r="VBL45" s="291"/>
      <c r="VBM45" s="291"/>
      <c r="VBN45" s="291"/>
      <c r="VBO45" s="291"/>
      <c r="VBP45" s="291"/>
      <c r="VBQ45" s="291"/>
      <c r="VBR45" s="291"/>
      <c r="VBS45" s="291"/>
      <c r="VBT45" s="291"/>
      <c r="VBU45" s="291"/>
      <c r="VBV45" s="291"/>
      <c r="VBW45" s="291"/>
      <c r="VBX45" s="291"/>
      <c r="VBY45" s="291"/>
      <c r="VBZ45" s="291"/>
      <c r="VCA45" s="291"/>
      <c r="VCB45" s="291"/>
      <c r="VCC45" s="291"/>
      <c r="VCD45" s="291"/>
      <c r="VCE45" s="291"/>
      <c r="VCF45" s="291"/>
      <c r="VCG45" s="291"/>
      <c r="VCH45" s="291"/>
      <c r="VCI45" s="291"/>
      <c r="VCJ45" s="291"/>
      <c r="VCK45" s="291"/>
      <c r="VCL45" s="291"/>
      <c r="VCM45" s="291"/>
      <c r="VCN45" s="291"/>
      <c r="VCO45" s="291"/>
      <c r="VCP45" s="291"/>
      <c r="VCQ45" s="291"/>
      <c r="VCR45" s="291"/>
      <c r="VCS45" s="291"/>
      <c r="VCT45" s="291"/>
      <c r="VCU45" s="291"/>
      <c r="VCV45" s="291"/>
      <c r="VCW45" s="291"/>
      <c r="VCX45" s="291"/>
      <c r="VCY45" s="291"/>
      <c r="VCZ45" s="291"/>
      <c r="VDA45" s="291"/>
      <c r="VDB45" s="291"/>
      <c r="VDC45" s="291"/>
      <c r="VDD45" s="291"/>
      <c r="VDE45" s="291"/>
      <c r="VDF45" s="291"/>
      <c r="VDG45" s="291"/>
      <c r="VDH45" s="291"/>
      <c r="VDI45" s="291"/>
      <c r="VDJ45" s="291"/>
      <c r="VDK45" s="291"/>
      <c r="VDL45" s="291"/>
      <c r="VDM45" s="291"/>
      <c r="VDN45" s="291"/>
      <c r="VDO45" s="291"/>
      <c r="VDP45" s="291"/>
      <c r="VDQ45" s="291"/>
      <c r="VDR45" s="291"/>
      <c r="VDS45" s="291"/>
      <c r="VDT45" s="291"/>
      <c r="VDU45" s="291"/>
      <c r="VDV45" s="291"/>
      <c r="VDW45" s="291"/>
      <c r="VDX45" s="291"/>
      <c r="VDY45" s="291"/>
      <c r="VDZ45" s="291"/>
      <c r="VEA45" s="291"/>
      <c r="VEB45" s="291"/>
      <c r="VEC45" s="291"/>
      <c r="VED45" s="291"/>
      <c r="VEE45" s="291"/>
      <c r="VEF45" s="291"/>
      <c r="VEG45" s="291"/>
      <c r="VEH45" s="291"/>
      <c r="VEI45" s="291"/>
      <c r="VEJ45" s="291"/>
      <c r="VEK45" s="291"/>
      <c r="VEL45" s="291"/>
      <c r="VEM45" s="291"/>
      <c r="VEN45" s="291"/>
      <c r="VEO45" s="291"/>
      <c r="VEP45" s="291"/>
      <c r="VEQ45" s="291"/>
      <c r="VER45" s="291"/>
      <c r="VES45" s="291"/>
      <c r="VET45" s="291"/>
      <c r="VEU45" s="291"/>
      <c r="VEV45" s="291"/>
      <c r="VEW45" s="291"/>
      <c r="VEX45" s="291"/>
      <c r="VEY45" s="291"/>
      <c r="VEZ45" s="291"/>
      <c r="VFA45" s="291"/>
      <c r="VFB45" s="291"/>
      <c r="VFC45" s="291"/>
      <c r="VFD45" s="291"/>
      <c r="VFE45" s="291"/>
      <c r="VFF45" s="291"/>
      <c r="VFG45" s="291"/>
      <c r="VFH45" s="291"/>
      <c r="VFI45" s="291"/>
      <c r="VFJ45" s="291"/>
      <c r="VFK45" s="291"/>
      <c r="VFL45" s="291"/>
      <c r="VFM45" s="291"/>
      <c r="VFN45" s="291"/>
      <c r="VFO45" s="291"/>
      <c r="VFP45" s="291"/>
      <c r="VFQ45" s="291"/>
      <c r="VFR45" s="291"/>
      <c r="VFS45" s="291"/>
      <c r="VFT45" s="291"/>
      <c r="VFU45" s="291"/>
      <c r="VFV45" s="291"/>
      <c r="VFW45" s="291"/>
      <c r="VFX45" s="291"/>
      <c r="VFY45" s="291"/>
      <c r="VFZ45" s="291"/>
      <c r="VGA45" s="291"/>
      <c r="VGB45" s="291"/>
      <c r="VGC45" s="291"/>
      <c r="VGD45" s="291"/>
      <c r="VGE45" s="291"/>
      <c r="VGF45" s="291"/>
      <c r="VGG45" s="291"/>
      <c r="VGH45" s="291"/>
      <c r="VGI45" s="291"/>
      <c r="VGJ45" s="291"/>
      <c r="VGK45" s="291"/>
      <c r="VGL45" s="291"/>
      <c r="VGM45" s="291"/>
      <c r="VGN45" s="291"/>
      <c r="VGO45" s="291"/>
      <c r="VGP45" s="291"/>
      <c r="VGQ45" s="291"/>
      <c r="VGR45" s="291"/>
      <c r="VGS45" s="291"/>
      <c r="VGT45" s="291"/>
      <c r="VGU45" s="291"/>
      <c r="VGV45" s="291"/>
      <c r="VGW45" s="291"/>
      <c r="VGX45" s="291"/>
      <c r="VGY45" s="291"/>
      <c r="VGZ45" s="291"/>
      <c r="VHA45" s="291"/>
      <c r="VHB45" s="291"/>
      <c r="VHC45" s="291"/>
      <c r="VHD45" s="291"/>
      <c r="VHE45" s="291"/>
      <c r="VHF45" s="291"/>
      <c r="VHG45" s="291"/>
      <c r="VHH45" s="291"/>
      <c r="VHI45" s="291"/>
      <c r="VHJ45" s="291"/>
      <c r="VHK45" s="291"/>
      <c r="VHL45" s="291"/>
      <c r="VHM45" s="291"/>
      <c r="VHN45" s="291"/>
      <c r="VHO45" s="291"/>
      <c r="VHP45" s="291"/>
      <c r="VHQ45" s="291"/>
      <c r="VHR45" s="291"/>
      <c r="VHS45" s="291"/>
      <c r="VHT45" s="291"/>
      <c r="VHU45" s="291"/>
      <c r="VHV45" s="291"/>
      <c r="VHW45" s="291"/>
      <c r="VHX45" s="291"/>
      <c r="VHY45" s="291"/>
      <c r="VHZ45" s="291"/>
      <c r="VIA45" s="291"/>
      <c r="VIB45" s="291"/>
      <c r="VIC45" s="291"/>
      <c r="VID45" s="291"/>
      <c r="VIE45" s="291"/>
      <c r="VIF45" s="291"/>
      <c r="VIG45" s="291"/>
      <c r="VIH45" s="291"/>
      <c r="VII45" s="291"/>
      <c r="VIJ45" s="291"/>
      <c r="VIK45" s="291"/>
      <c r="VIL45" s="291"/>
      <c r="VIM45" s="291"/>
      <c r="VIN45" s="291"/>
      <c r="VIO45" s="291"/>
      <c r="VIP45" s="291"/>
      <c r="VIQ45" s="291"/>
      <c r="VIR45" s="291"/>
      <c r="VIS45" s="291"/>
      <c r="VIT45" s="291"/>
      <c r="VIU45" s="291"/>
      <c r="VIV45" s="291"/>
      <c r="VIW45" s="291"/>
      <c r="VIX45" s="291"/>
      <c r="VIY45" s="291"/>
      <c r="VIZ45" s="291"/>
      <c r="VJA45" s="291"/>
      <c r="VJB45" s="291"/>
      <c r="VJC45" s="291"/>
      <c r="VJD45" s="291"/>
      <c r="VJE45" s="291"/>
      <c r="VJF45" s="291"/>
      <c r="VJG45" s="291"/>
      <c r="VJH45" s="291"/>
      <c r="VJI45" s="291"/>
      <c r="VJJ45" s="291"/>
      <c r="VJK45" s="291"/>
      <c r="VJL45" s="291"/>
      <c r="VJM45" s="291"/>
      <c r="VJN45" s="291"/>
      <c r="VJO45" s="291"/>
      <c r="VJP45" s="291"/>
      <c r="VJQ45" s="291"/>
      <c r="VJR45" s="291"/>
      <c r="VJS45" s="291"/>
      <c r="VJT45" s="291"/>
      <c r="VJU45" s="291"/>
      <c r="VJV45" s="291"/>
      <c r="VJW45" s="291"/>
      <c r="VJX45" s="291"/>
      <c r="VJY45" s="291"/>
      <c r="VJZ45" s="291"/>
      <c r="VKA45" s="291"/>
      <c r="VKB45" s="291"/>
      <c r="VKC45" s="291"/>
      <c r="VKD45" s="291"/>
      <c r="VKE45" s="291"/>
      <c r="VKF45" s="291"/>
      <c r="VKG45" s="291"/>
      <c r="VKH45" s="291"/>
      <c r="VKI45" s="291"/>
      <c r="VKJ45" s="291"/>
      <c r="VKK45" s="291"/>
      <c r="VKL45" s="291"/>
      <c r="VKM45" s="291"/>
      <c r="VKN45" s="291"/>
      <c r="VKO45" s="291"/>
      <c r="VKP45" s="291"/>
      <c r="VKQ45" s="291"/>
      <c r="VKR45" s="291"/>
      <c r="VKS45" s="291"/>
      <c r="VKT45" s="291"/>
      <c r="VKU45" s="291"/>
      <c r="VKV45" s="291"/>
      <c r="VKW45" s="291"/>
      <c r="VKX45" s="291"/>
      <c r="VKY45" s="291"/>
      <c r="VKZ45" s="291"/>
      <c r="VLA45" s="291"/>
      <c r="VLB45" s="291"/>
      <c r="VLC45" s="291"/>
      <c r="VLD45" s="291"/>
      <c r="VLE45" s="291"/>
      <c r="VLF45" s="291"/>
      <c r="VLG45" s="291"/>
      <c r="VLH45" s="291"/>
      <c r="VLI45" s="291"/>
      <c r="VLJ45" s="291"/>
      <c r="VLK45" s="291"/>
      <c r="VLL45" s="291"/>
      <c r="VLM45" s="291"/>
      <c r="VLN45" s="291"/>
      <c r="VLO45" s="291"/>
      <c r="VLP45" s="291"/>
      <c r="VLQ45" s="291"/>
      <c r="VLR45" s="291"/>
      <c r="VLS45" s="291"/>
      <c r="VLT45" s="291"/>
      <c r="VLU45" s="291"/>
      <c r="VLV45" s="291"/>
      <c r="VLW45" s="291"/>
      <c r="VLX45" s="291"/>
      <c r="VLY45" s="291"/>
      <c r="VLZ45" s="291"/>
      <c r="VMA45" s="291"/>
      <c r="VMB45" s="291"/>
      <c r="VMC45" s="291"/>
      <c r="VMD45" s="291"/>
      <c r="VME45" s="291"/>
      <c r="VMF45" s="291"/>
      <c r="VMG45" s="291"/>
      <c r="VMH45" s="291"/>
      <c r="VMI45" s="291"/>
      <c r="VMJ45" s="291"/>
      <c r="VMK45" s="291"/>
      <c r="VML45" s="291"/>
      <c r="VMM45" s="291"/>
      <c r="VMN45" s="291"/>
      <c r="VMO45" s="291"/>
      <c r="VMP45" s="291"/>
      <c r="VMQ45" s="291"/>
      <c r="VMR45" s="291"/>
      <c r="VMS45" s="291"/>
      <c r="VMT45" s="291"/>
      <c r="VMU45" s="291"/>
      <c r="VMV45" s="291"/>
      <c r="VMW45" s="291"/>
      <c r="VMX45" s="291"/>
      <c r="VMY45" s="291"/>
      <c r="VMZ45" s="291"/>
      <c r="VNA45" s="291"/>
      <c r="VNB45" s="291"/>
      <c r="VNC45" s="291"/>
      <c r="VND45" s="291"/>
      <c r="VNE45" s="291"/>
      <c r="VNF45" s="291"/>
      <c r="VNG45" s="291"/>
      <c r="VNH45" s="291"/>
      <c r="VNI45" s="291"/>
      <c r="VNJ45" s="291"/>
      <c r="VNK45" s="291"/>
      <c r="VNL45" s="291"/>
      <c r="VNM45" s="291"/>
      <c r="VNN45" s="291"/>
      <c r="VNO45" s="291"/>
      <c r="VNP45" s="291"/>
      <c r="VNQ45" s="291"/>
      <c r="VNR45" s="291"/>
      <c r="VNS45" s="291"/>
      <c r="VNT45" s="291"/>
      <c r="VNU45" s="291"/>
      <c r="VNV45" s="291"/>
      <c r="VNW45" s="291"/>
      <c r="VNX45" s="291"/>
      <c r="VNY45" s="291"/>
      <c r="VNZ45" s="291"/>
      <c r="VOA45" s="291"/>
      <c r="VOB45" s="291"/>
      <c r="VOC45" s="291"/>
      <c r="VOD45" s="291"/>
      <c r="VOE45" s="291"/>
      <c r="VOF45" s="291"/>
      <c r="VOG45" s="291"/>
      <c r="VOH45" s="291"/>
      <c r="VOI45" s="291"/>
      <c r="VOJ45" s="291"/>
      <c r="VOK45" s="291"/>
      <c r="VOL45" s="291"/>
      <c r="VOM45" s="291"/>
      <c r="VON45" s="291"/>
      <c r="VOO45" s="291"/>
      <c r="VOP45" s="291"/>
      <c r="VOQ45" s="291"/>
      <c r="VOR45" s="291"/>
      <c r="VOS45" s="291"/>
      <c r="VOT45" s="291"/>
      <c r="VOU45" s="291"/>
      <c r="VOV45" s="291"/>
      <c r="VOW45" s="291"/>
      <c r="VOX45" s="291"/>
      <c r="VOY45" s="291"/>
      <c r="VOZ45" s="291"/>
      <c r="VPA45" s="291"/>
      <c r="VPB45" s="291"/>
      <c r="VPC45" s="291"/>
      <c r="VPD45" s="291"/>
      <c r="VPE45" s="291"/>
      <c r="VPF45" s="291"/>
      <c r="VPG45" s="291"/>
      <c r="VPH45" s="291"/>
      <c r="VPI45" s="291"/>
      <c r="VPJ45" s="291"/>
      <c r="VPK45" s="291"/>
      <c r="VPL45" s="291"/>
      <c r="VPM45" s="291"/>
      <c r="VPN45" s="291"/>
      <c r="VPO45" s="291"/>
      <c r="VPP45" s="291"/>
      <c r="VPQ45" s="291"/>
      <c r="VPR45" s="291"/>
      <c r="VPS45" s="291"/>
      <c r="VPT45" s="291"/>
      <c r="VPU45" s="291"/>
      <c r="VPV45" s="291"/>
      <c r="VPW45" s="291"/>
      <c r="VPX45" s="291"/>
      <c r="VPY45" s="291"/>
      <c r="VPZ45" s="291"/>
      <c r="VQA45" s="291"/>
      <c r="VQB45" s="291"/>
      <c r="VQC45" s="291"/>
      <c r="VQD45" s="291"/>
      <c r="VQE45" s="291"/>
      <c r="VQF45" s="291"/>
      <c r="VQG45" s="291"/>
      <c r="VQH45" s="291"/>
      <c r="VQI45" s="291"/>
      <c r="VQJ45" s="291"/>
      <c r="VQK45" s="291"/>
      <c r="VQL45" s="291"/>
      <c r="VQM45" s="291"/>
      <c r="VQN45" s="291"/>
      <c r="VQO45" s="291"/>
      <c r="VQP45" s="291"/>
      <c r="VQQ45" s="291"/>
      <c r="VQR45" s="291"/>
      <c r="VQS45" s="291"/>
      <c r="VQT45" s="291"/>
      <c r="VQU45" s="291"/>
      <c r="VQV45" s="291"/>
      <c r="VQW45" s="291"/>
      <c r="VQX45" s="291"/>
      <c r="VQY45" s="291"/>
      <c r="VQZ45" s="291"/>
      <c r="VRA45" s="291"/>
      <c r="VRB45" s="291"/>
      <c r="VRC45" s="291"/>
      <c r="VRD45" s="291"/>
      <c r="VRE45" s="291"/>
      <c r="VRF45" s="291"/>
      <c r="VRG45" s="291"/>
      <c r="VRH45" s="291"/>
      <c r="VRI45" s="291"/>
      <c r="VRJ45" s="291"/>
      <c r="VRK45" s="291"/>
      <c r="VRL45" s="291"/>
      <c r="VRM45" s="291"/>
      <c r="VRN45" s="291"/>
      <c r="VRO45" s="291"/>
      <c r="VRP45" s="291"/>
      <c r="VRQ45" s="291"/>
      <c r="VRR45" s="291"/>
      <c r="VRS45" s="291"/>
      <c r="VRT45" s="291"/>
      <c r="VRU45" s="291"/>
      <c r="VRV45" s="291"/>
      <c r="VRW45" s="291"/>
      <c r="VRX45" s="291"/>
      <c r="VRY45" s="291"/>
      <c r="VRZ45" s="291"/>
      <c r="VSA45" s="291"/>
      <c r="VSB45" s="291"/>
      <c r="VSC45" s="291"/>
      <c r="VSD45" s="291"/>
      <c r="VSE45" s="291"/>
      <c r="VSF45" s="291"/>
      <c r="VSG45" s="291"/>
      <c r="VSH45" s="291"/>
      <c r="VSI45" s="291"/>
      <c r="VSJ45" s="291"/>
      <c r="VSK45" s="291"/>
      <c r="VSL45" s="291"/>
      <c r="VSM45" s="291"/>
      <c r="VSN45" s="291"/>
      <c r="VSO45" s="291"/>
      <c r="VSP45" s="291"/>
      <c r="VSQ45" s="291"/>
      <c r="VSR45" s="291"/>
      <c r="VSS45" s="291"/>
      <c r="VST45" s="291"/>
      <c r="VSU45" s="291"/>
      <c r="VSV45" s="291"/>
      <c r="VSW45" s="291"/>
      <c r="VSX45" s="291"/>
      <c r="VSY45" s="291"/>
      <c r="VSZ45" s="291"/>
      <c r="VTA45" s="291"/>
      <c r="VTB45" s="291"/>
      <c r="VTC45" s="291"/>
      <c r="VTD45" s="291"/>
      <c r="VTE45" s="291"/>
      <c r="VTF45" s="291"/>
      <c r="VTG45" s="291"/>
      <c r="VTH45" s="291"/>
      <c r="VTI45" s="291"/>
      <c r="VTJ45" s="291"/>
      <c r="VTK45" s="291"/>
      <c r="VTL45" s="291"/>
      <c r="VTM45" s="291"/>
      <c r="VTN45" s="291"/>
      <c r="VTO45" s="291"/>
      <c r="VTP45" s="291"/>
      <c r="VTQ45" s="291"/>
      <c r="VTR45" s="291"/>
      <c r="VTS45" s="291"/>
      <c r="VTT45" s="291"/>
      <c r="VTU45" s="291"/>
      <c r="VTV45" s="291"/>
      <c r="VTW45" s="291"/>
      <c r="VTX45" s="291"/>
      <c r="VTY45" s="291"/>
      <c r="VTZ45" s="291"/>
      <c r="VUA45" s="291"/>
      <c r="VUB45" s="291"/>
      <c r="VUC45" s="291"/>
      <c r="VUD45" s="291"/>
      <c r="VUE45" s="291"/>
      <c r="VUF45" s="291"/>
      <c r="VUG45" s="291"/>
      <c r="VUH45" s="291"/>
      <c r="VUI45" s="291"/>
      <c r="VUJ45" s="291"/>
      <c r="VUK45" s="291"/>
      <c r="VUL45" s="291"/>
      <c r="VUM45" s="291"/>
      <c r="VUN45" s="291"/>
      <c r="VUO45" s="291"/>
      <c r="VUP45" s="291"/>
      <c r="VUQ45" s="291"/>
      <c r="VUR45" s="291"/>
      <c r="VUS45" s="291"/>
      <c r="VUT45" s="291"/>
      <c r="VUU45" s="291"/>
      <c r="VUV45" s="291"/>
      <c r="VUW45" s="291"/>
      <c r="VUX45" s="291"/>
      <c r="VUY45" s="291"/>
      <c r="VUZ45" s="291"/>
      <c r="VVA45" s="291"/>
      <c r="VVB45" s="291"/>
      <c r="VVC45" s="291"/>
      <c r="VVD45" s="291"/>
      <c r="VVE45" s="291"/>
      <c r="VVF45" s="291"/>
      <c r="VVG45" s="291"/>
      <c r="VVH45" s="291"/>
      <c r="VVI45" s="291"/>
      <c r="VVJ45" s="291"/>
      <c r="VVK45" s="291"/>
      <c r="VVL45" s="291"/>
      <c r="VVM45" s="291"/>
      <c r="VVN45" s="291"/>
      <c r="VVO45" s="291"/>
      <c r="VVP45" s="291"/>
      <c r="VVQ45" s="291"/>
      <c r="VVR45" s="291"/>
      <c r="VVS45" s="291"/>
      <c r="VVT45" s="291"/>
      <c r="VVU45" s="291"/>
      <c r="VVV45" s="291"/>
      <c r="VVW45" s="291"/>
      <c r="VVX45" s="291"/>
      <c r="VVY45" s="291"/>
      <c r="VVZ45" s="291"/>
      <c r="VWA45" s="291"/>
      <c r="VWB45" s="291"/>
      <c r="VWC45" s="291"/>
      <c r="VWD45" s="291"/>
      <c r="VWE45" s="291"/>
      <c r="VWF45" s="291"/>
      <c r="VWG45" s="291"/>
      <c r="VWH45" s="291"/>
      <c r="VWI45" s="291"/>
      <c r="VWJ45" s="291"/>
      <c r="VWK45" s="291"/>
      <c r="VWL45" s="291"/>
      <c r="VWM45" s="291"/>
      <c r="VWN45" s="291"/>
      <c r="VWO45" s="291"/>
      <c r="VWP45" s="291"/>
      <c r="VWQ45" s="291"/>
      <c r="VWR45" s="291"/>
      <c r="VWS45" s="291"/>
      <c r="VWT45" s="291"/>
      <c r="VWU45" s="291"/>
      <c r="VWV45" s="291"/>
      <c r="VWW45" s="291"/>
      <c r="VWX45" s="291"/>
      <c r="VWY45" s="291"/>
      <c r="VWZ45" s="291"/>
      <c r="VXA45" s="291"/>
      <c r="VXB45" s="291"/>
      <c r="VXC45" s="291"/>
      <c r="VXD45" s="291"/>
      <c r="VXE45" s="291"/>
      <c r="VXF45" s="291"/>
      <c r="VXG45" s="291"/>
      <c r="VXH45" s="291"/>
      <c r="VXI45" s="291"/>
      <c r="VXJ45" s="291"/>
      <c r="VXK45" s="291"/>
      <c r="VXL45" s="291"/>
      <c r="VXM45" s="291"/>
      <c r="VXN45" s="291"/>
      <c r="VXO45" s="291"/>
      <c r="VXP45" s="291"/>
      <c r="VXQ45" s="291"/>
      <c r="VXR45" s="291"/>
      <c r="VXS45" s="291"/>
      <c r="VXT45" s="291"/>
      <c r="VXU45" s="291"/>
      <c r="VXV45" s="291"/>
      <c r="VXW45" s="291"/>
      <c r="VXX45" s="291"/>
      <c r="VXY45" s="291"/>
      <c r="VXZ45" s="291"/>
      <c r="VYA45" s="291"/>
      <c r="VYB45" s="291"/>
      <c r="VYC45" s="291"/>
      <c r="VYD45" s="291"/>
      <c r="VYE45" s="291"/>
      <c r="VYF45" s="291"/>
      <c r="VYG45" s="291"/>
      <c r="VYH45" s="291"/>
      <c r="VYI45" s="291"/>
      <c r="VYJ45" s="291"/>
      <c r="VYK45" s="291"/>
      <c r="VYL45" s="291"/>
      <c r="VYM45" s="291"/>
      <c r="VYN45" s="291"/>
      <c r="VYO45" s="291"/>
      <c r="VYP45" s="291"/>
      <c r="VYQ45" s="291"/>
      <c r="VYR45" s="291"/>
      <c r="VYS45" s="291"/>
      <c r="VYT45" s="291"/>
      <c r="VYU45" s="291"/>
      <c r="VYV45" s="291"/>
      <c r="VYW45" s="291"/>
      <c r="VYX45" s="291"/>
      <c r="VYY45" s="291"/>
      <c r="VYZ45" s="291"/>
      <c r="VZA45" s="291"/>
      <c r="VZB45" s="291"/>
      <c r="VZC45" s="291"/>
      <c r="VZD45" s="291"/>
      <c r="VZE45" s="291"/>
      <c r="VZF45" s="291"/>
      <c r="VZG45" s="291"/>
      <c r="VZH45" s="291"/>
      <c r="VZI45" s="291"/>
      <c r="VZJ45" s="291"/>
      <c r="VZK45" s="291"/>
      <c r="VZL45" s="291"/>
      <c r="VZM45" s="291"/>
      <c r="VZN45" s="291"/>
      <c r="VZO45" s="291"/>
      <c r="VZP45" s="291"/>
      <c r="VZQ45" s="291"/>
      <c r="VZR45" s="291"/>
      <c r="VZS45" s="291"/>
      <c r="VZT45" s="291"/>
      <c r="VZU45" s="291"/>
      <c r="VZV45" s="291"/>
      <c r="VZW45" s="291"/>
      <c r="VZX45" s="291"/>
      <c r="VZY45" s="291"/>
      <c r="VZZ45" s="291"/>
      <c r="WAA45" s="291"/>
      <c r="WAB45" s="291"/>
      <c r="WAC45" s="291"/>
      <c r="WAD45" s="291"/>
      <c r="WAE45" s="291"/>
      <c r="WAF45" s="291"/>
      <c r="WAG45" s="291"/>
      <c r="WAH45" s="291"/>
      <c r="WAI45" s="291"/>
      <c r="WAJ45" s="291"/>
      <c r="WAK45" s="291"/>
      <c r="WAL45" s="291"/>
      <c r="WAM45" s="291"/>
      <c r="WAN45" s="291"/>
      <c r="WAO45" s="291"/>
      <c r="WAP45" s="291"/>
      <c r="WAQ45" s="291"/>
      <c r="WAR45" s="291"/>
      <c r="WAS45" s="291"/>
      <c r="WAT45" s="291"/>
      <c r="WAU45" s="291"/>
      <c r="WAV45" s="291"/>
      <c r="WAW45" s="291"/>
      <c r="WAX45" s="291"/>
      <c r="WAY45" s="291"/>
      <c r="WAZ45" s="291"/>
      <c r="WBA45" s="291"/>
      <c r="WBB45" s="291"/>
      <c r="WBC45" s="291"/>
      <c r="WBD45" s="291"/>
      <c r="WBE45" s="291"/>
      <c r="WBF45" s="291"/>
      <c r="WBG45" s="291"/>
      <c r="WBH45" s="291"/>
      <c r="WBI45" s="291"/>
      <c r="WBJ45" s="291"/>
      <c r="WBK45" s="291"/>
      <c r="WBL45" s="291"/>
      <c r="WBM45" s="291"/>
      <c r="WBN45" s="291"/>
      <c r="WBO45" s="291"/>
      <c r="WBP45" s="291"/>
      <c r="WBQ45" s="291"/>
      <c r="WBR45" s="291"/>
      <c r="WBS45" s="291"/>
      <c r="WBT45" s="291"/>
      <c r="WBU45" s="291"/>
      <c r="WBV45" s="291"/>
      <c r="WBW45" s="291"/>
      <c r="WBX45" s="291"/>
      <c r="WBY45" s="291"/>
      <c r="WBZ45" s="291"/>
      <c r="WCA45" s="291"/>
      <c r="WCB45" s="291"/>
      <c r="WCC45" s="291"/>
      <c r="WCD45" s="291"/>
      <c r="WCE45" s="291"/>
      <c r="WCF45" s="291"/>
      <c r="WCG45" s="291"/>
      <c r="WCH45" s="291"/>
      <c r="WCI45" s="291"/>
      <c r="WCJ45" s="291"/>
      <c r="WCK45" s="291"/>
      <c r="WCL45" s="291"/>
      <c r="WCM45" s="291"/>
      <c r="WCN45" s="291"/>
      <c r="WCO45" s="291"/>
      <c r="WCP45" s="291"/>
      <c r="WCQ45" s="291"/>
      <c r="WCR45" s="291"/>
      <c r="WCS45" s="291"/>
      <c r="WCT45" s="291"/>
      <c r="WCU45" s="291"/>
      <c r="WCV45" s="291"/>
      <c r="WCW45" s="291"/>
      <c r="WCX45" s="291"/>
      <c r="WCY45" s="291"/>
      <c r="WCZ45" s="291"/>
      <c r="WDA45" s="291"/>
      <c r="WDB45" s="291"/>
      <c r="WDC45" s="291"/>
      <c r="WDD45" s="291"/>
      <c r="WDE45" s="291"/>
      <c r="WDF45" s="291"/>
      <c r="WDG45" s="291"/>
      <c r="WDH45" s="291"/>
      <c r="WDI45" s="291"/>
      <c r="WDJ45" s="291"/>
      <c r="WDK45" s="291"/>
      <c r="WDL45" s="291"/>
      <c r="WDM45" s="291"/>
      <c r="WDN45" s="291"/>
      <c r="WDO45" s="291"/>
      <c r="WDP45" s="291"/>
      <c r="WDQ45" s="291"/>
      <c r="WDR45" s="291"/>
      <c r="WDS45" s="291"/>
      <c r="WDT45" s="291"/>
      <c r="WDU45" s="291"/>
      <c r="WDV45" s="291"/>
      <c r="WDW45" s="291"/>
      <c r="WDX45" s="291"/>
      <c r="WDY45" s="291"/>
      <c r="WDZ45" s="291"/>
      <c r="WEA45" s="291"/>
      <c r="WEB45" s="291"/>
      <c r="WEC45" s="291"/>
      <c r="WED45" s="291"/>
      <c r="WEE45" s="291"/>
      <c r="WEF45" s="291"/>
      <c r="WEG45" s="291"/>
      <c r="WEH45" s="291"/>
      <c r="WEI45" s="291"/>
      <c r="WEJ45" s="291"/>
      <c r="WEK45" s="291"/>
      <c r="WEL45" s="291"/>
      <c r="WEM45" s="291"/>
      <c r="WEN45" s="291"/>
      <c r="WEO45" s="291"/>
      <c r="WEP45" s="291"/>
      <c r="WEQ45" s="291"/>
      <c r="WER45" s="291"/>
      <c r="WES45" s="291"/>
      <c r="WET45" s="291"/>
      <c r="WEU45" s="291"/>
      <c r="WEV45" s="291"/>
      <c r="WEW45" s="291"/>
      <c r="WEX45" s="291"/>
      <c r="WEY45" s="291"/>
      <c r="WEZ45" s="291"/>
      <c r="WFA45" s="291"/>
      <c r="WFB45" s="291"/>
      <c r="WFC45" s="291"/>
      <c r="WFD45" s="291"/>
      <c r="WFE45" s="291"/>
      <c r="WFF45" s="291"/>
      <c r="WFG45" s="291"/>
      <c r="WFH45" s="291"/>
      <c r="WFI45" s="291"/>
      <c r="WFJ45" s="291"/>
      <c r="WFK45" s="291"/>
      <c r="WFL45" s="291"/>
      <c r="WFM45" s="291"/>
      <c r="WFN45" s="291"/>
      <c r="WFO45" s="291"/>
      <c r="WFP45" s="291"/>
      <c r="WFQ45" s="291"/>
      <c r="WFR45" s="291"/>
      <c r="WFS45" s="291"/>
      <c r="WFT45" s="291"/>
      <c r="WFU45" s="291"/>
      <c r="WFV45" s="291"/>
      <c r="WFW45" s="291"/>
      <c r="WFX45" s="291"/>
      <c r="WFY45" s="291"/>
      <c r="WFZ45" s="291"/>
      <c r="WGA45" s="291"/>
      <c r="WGB45" s="291"/>
      <c r="WGC45" s="291"/>
      <c r="WGD45" s="291"/>
      <c r="WGE45" s="291"/>
      <c r="WGF45" s="291"/>
      <c r="WGG45" s="291"/>
      <c r="WGH45" s="291"/>
      <c r="WGI45" s="291"/>
      <c r="WGJ45" s="291"/>
      <c r="WGK45" s="291"/>
      <c r="WGL45" s="291"/>
      <c r="WGM45" s="291"/>
      <c r="WGN45" s="291"/>
      <c r="WGO45" s="291"/>
      <c r="WGP45" s="291"/>
      <c r="WGQ45" s="291"/>
      <c r="WGR45" s="291"/>
      <c r="WGS45" s="291"/>
      <c r="WGT45" s="291"/>
      <c r="WGU45" s="291"/>
      <c r="WGV45" s="291"/>
      <c r="WGW45" s="291"/>
      <c r="WGX45" s="291"/>
      <c r="WGY45" s="291"/>
      <c r="WGZ45" s="291"/>
      <c r="WHA45" s="291"/>
      <c r="WHB45" s="291"/>
      <c r="WHC45" s="291"/>
      <c r="WHD45" s="291"/>
      <c r="WHE45" s="291"/>
      <c r="WHF45" s="291"/>
      <c r="WHG45" s="291"/>
      <c r="WHH45" s="291"/>
      <c r="WHI45" s="291"/>
      <c r="WHJ45" s="291"/>
      <c r="WHK45" s="291"/>
      <c r="WHL45" s="291"/>
      <c r="WHM45" s="291"/>
      <c r="WHN45" s="291"/>
      <c r="WHO45" s="291"/>
      <c r="WHP45" s="291"/>
      <c r="WHQ45" s="291"/>
      <c r="WHR45" s="291"/>
      <c r="WHS45" s="291"/>
      <c r="WHT45" s="291"/>
      <c r="WHU45" s="291"/>
      <c r="WHV45" s="291"/>
      <c r="WHW45" s="291"/>
      <c r="WHX45" s="291"/>
      <c r="WHY45" s="291"/>
      <c r="WHZ45" s="291"/>
      <c r="WIA45" s="291"/>
      <c r="WIB45" s="291"/>
      <c r="WIC45" s="291"/>
      <c r="WID45" s="291"/>
      <c r="WIE45" s="291"/>
      <c r="WIF45" s="291"/>
      <c r="WIG45" s="291"/>
      <c r="WIH45" s="291"/>
      <c r="WII45" s="291"/>
      <c r="WIJ45" s="291"/>
      <c r="WIK45" s="291"/>
      <c r="WIL45" s="291"/>
      <c r="WIM45" s="291"/>
      <c r="WIN45" s="291"/>
      <c r="WIO45" s="291"/>
      <c r="WIP45" s="291"/>
      <c r="WIQ45" s="291"/>
      <c r="WIR45" s="291"/>
      <c r="WIS45" s="291"/>
      <c r="WIT45" s="291"/>
      <c r="WIU45" s="291"/>
      <c r="WIV45" s="291"/>
      <c r="WIW45" s="291"/>
      <c r="WIX45" s="291"/>
      <c r="WIY45" s="291"/>
      <c r="WIZ45" s="291"/>
      <c r="WJA45" s="291"/>
      <c r="WJB45" s="291"/>
      <c r="WJC45" s="291"/>
      <c r="WJD45" s="291"/>
      <c r="WJE45" s="291"/>
      <c r="WJF45" s="291"/>
      <c r="WJG45" s="291"/>
      <c r="WJH45" s="291"/>
      <c r="WJI45" s="291"/>
      <c r="WJJ45" s="291"/>
      <c r="WJK45" s="291"/>
      <c r="WJL45" s="291"/>
      <c r="WJM45" s="291"/>
      <c r="WJN45" s="291"/>
      <c r="WJO45" s="291"/>
      <c r="WJP45" s="291"/>
      <c r="WJQ45" s="291"/>
      <c r="WJR45" s="291"/>
      <c r="WJS45" s="291"/>
      <c r="WJT45" s="291"/>
      <c r="WJU45" s="291"/>
      <c r="WJV45" s="291"/>
      <c r="WJW45" s="291"/>
      <c r="WJX45" s="291"/>
      <c r="WJY45" s="291"/>
      <c r="WJZ45" s="291"/>
      <c r="WKA45" s="291"/>
      <c r="WKB45" s="291"/>
      <c r="WKC45" s="291"/>
      <c r="WKD45" s="291"/>
      <c r="WKE45" s="291"/>
      <c r="WKF45" s="291"/>
      <c r="WKG45" s="291"/>
      <c r="WKH45" s="291"/>
      <c r="WKI45" s="291"/>
      <c r="WKJ45" s="291"/>
      <c r="WKK45" s="291"/>
      <c r="WKL45" s="291"/>
      <c r="WKM45" s="291"/>
      <c r="WKN45" s="291"/>
      <c r="WKO45" s="291"/>
      <c r="WKP45" s="291"/>
      <c r="WKQ45" s="291"/>
      <c r="WKR45" s="291"/>
      <c r="WKS45" s="291"/>
      <c r="WKT45" s="291"/>
      <c r="WKU45" s="291"/>
      <c r="WKV45" s="291"/>
      <c r="WKW45" s="291"/>
      <c r="WKX45" s="291"/>
      <c r="WKY45" s="291"/>
      <c r="WKZ45" s="291"/>
      <c r="WLA45" s="291"/>
      <c r="WLB45" s="291"/>
      <c r="WLC45" s="291"/>
      <c r="WLD45" s="291"/>
      <c r="WLE45" s="291"/>
      <c r="WLF45" s="291"/>
      <c r="WLG45" s="291"/>
      <c r="WLH45" s="291"/>
      <c r="WLI45" s="291"/>
      <c r="WLJ45" s="291"/>
      <c r="WLK45" s="291"/>
      <c r="WLL45" s="291"/>
      <c r="WLM45" s="291"/>
      <c r="WLN45" s="291"/>
      <c r="WLO45" s="291"/>
      <c r="WLP45" s="291"/>
      <c r="WLQ45" s="291"/>
      <c r="WLR45" s="291"/>
      <c r="WLS45" s="291"/>
      <c r="WLT45" s="291"/>
      <c r="WLU45" s="291"/>
      <c r="WLV45" s="291"/>
      <c r="WLW45" s="291"/>
      <c r="WLX45" s="291"/>
      <c r="WLY45" s="291"/>
      <c r="WLZ45" s="291"/>
      <c r="WMA45" s="291"/>
      <c r="WMB45" s="291"/>
      <c r="WMC45" s="291"/>
      <c r="WMD45" s="291"/>
      <c r="WME45" s="291"/>
      <c r="WMF45" s="291"/>
      <c r="WMG45" s="291"/>
      <c r="WMH45" s="291"/>
      <c r="WMI45" s="291"/>
      <c r="WMJ45" s="291"/>
      <c r="WMK45" s="291"/>
      <c r="WML45" s="291"/>
      <c r="WMM45" s="291"/>
      <c r="WMN45" s="291"/>
      <c r="WMO45" s="291"/>
      <c r="WMP45" s="291"/>
      <c r="WMQ45" s="291"/>
      <c r="WMR45" s="291"/>
      <c r="WMS45" s="291"/>
      <c r="WMT45" s="291"/>
      <c r="WMU45" s="291"/>
      <c r="WMV45" s="291"/>
      <c r="WMW45" s="291"/>
      <c r="WMX45" s="291"/>
      <c r="WMY45" s="291"/>
      <c r="WMZ45" s="291"/>
      <c r="WNA45" s="291"/>
      <c r="WNB45" s="291"/>
      <c r="WNC45" s="291"/>
      <c r="WND45" s="291"/>
      <c r="WNE45" s="291"/>
      <c r="WNF45" s="291"/>
      <c r="WNG45" s="291"/>
      <c r="WNH45" s="291"/>
      <c r="WNI45" s="291"/>
      <c r="WNJ45" s="291"/>
      <c r="WNK45" s="291"/>
      <c r="WNL45" s="291"/>
      <c r="WNM45" s="291"/>
      <c r="WNN45" s="291"/>
      <c r="WNO45" s="291"/>
      <c r="WNP45" s="291"/>
      <c r="WNQ45" s="291"/>
      <c r="WNR45" s="291"/>
      <c r="WNS45" s="291"/>
      <c r="WNT45" s="291"/>
      <c r="WNU45" s="291"/>
      <c r="WNV45" s="291"/>
      <c r="WNW45" s="291"/>
      <c r="WNX45" s="291"/>
      <c r="WNY45" s="291"/>
      <c r="WNZ45" s="291"/>
      <c r="WOA45" s="291"/>
      <c r="WOB45" s="291"/>
      <c r="WOC45" s="291"/>
      <c r="WOD45" s="291"/>
      <c r="WOE45" s="291"/>
      <c r="WOF45" s="291"/>
      <c r="WOG45" s="291"/>
      <c r="WOH45" s="291"/>
      <c r="WOI45" s="291"/>
      <c r="WOJ45" s="291"/>
      <c r="WOK45" s="291"/>
      <c r="WOL45" s="291"/>
      <c r="WOM45" s="291"/>
      <c r="WON45" s="291"/>
      <c r="WOO45" s="291"/>
      <c r="WOP45" s="291"/>
      <c r="WOQ45" s="291"/>
      <c r="WOR45" s="291"/>
      <c r="WOS45" s="291"/>
      <c r="WOT45" s="291"/>
      <c r="WOU45" s="291"/>
      <c r="WOV45" s="291"/>
      <c r="WOW45" s="291"/>
      <c r="WOX45" s="291"/>
      <c r="WOY45" s="291"/>
      <c r="WOZ45" s="291"/>
      <c r="WPA45" s="291"/>
      <c r="WPB45" s="291"/>
      <c r="WPC45" s="291"/>
      <c r="WPD45" s="291"/>
      <c r="WPE45" s="291"/>
      <c r="WPF45" s="291"/>
      <c r="WPG45" s="291"/>
      <c r="WPH45" s="291"/>
      <c r="WPI45" s="291"/>
      <c r="WPJ45" s="291"/>
      <c r="WPK45" s="291"/>
      <c r="WPL45" s="291"/>
      <c r="WPM45" s="291"/>
      <c r="WPN45" s="291"/>
      <c r="WPO45" s="291"/>
      <c r="WPP45" s="291"/>
      <c r="WPQ45" s="291"/>
      <c r="WPR45" s="291"/>
      <c r="WPS45" s="291"/>
      <c r="WPT45" s="291"/>
      <c r="WPU45" s="291"/>
      <c r="WPV45" s="291"/>
      <c r="WPW45" s="291"/>
      <c r="WPX45" s="291"/>
      <c r="WPY45" s="291"/>
      <c r="WPZ45" s="291"/>
      <c r="WQA45" s="291"/>
      <c r="WQB45" s="291"/>
      <c r="WQC45" s="291"/>
      <c r="WQD45" s="291"/>
      <c r="WQE45" s="291"/>
      <c r="WQF45" s="291"/>
      <c r="WQG45" s="291"/>
      <c r="WQH45" s="291"/>
      <c r="WQI45" s="291"/>
      <c r="WQJ45" s="291"/>
      <c r="WQK45" s="291"/>
      <c r="WQL45" s="291"/>
      <c r="WQM45" s="291"/>
      <c r="WQN45" s="291"/>
      <c r="WQO45" s="291"/>
      <c r="WQP45" s="291"/>
      <c r="WQQ45" s="291"/>
      <c r="WQR45" s="291"/>
      <c r="WQS45" s="291"/>
      <c r="WQT45" s="291"/>
      <c r="WQU45" s="291"/>
      <c r="WQV45" s="291"/>
      <c r="WQW45" s="291"/>
      <c r="WQX45" s="291"/>
      <c r="WQY45" s="291"/>
      <c r="WQZ45" s="291"/>
      <c r="WRA45" s="291"/>
      <c r="WRB45" s="291"/>
      <c r="WRC45" s="291"/>
      <c r="WRD45" s="291"/>
      <c r="WRE45" s="291"/>
      <c r="WRF45" s="291"/>
      <c r="WRG45" s="291"/>
      <c r="WRH45" s="291"/>
      <c r="WRI45" s="291"/>
      <c r="WRJ45" s="291"/>
      <c r="WRK45" s="291"/>
      <c r="WRL45" s="291"/>
      <c r="WRM45" s="291"/>
      <c r="WRN45" s="291"/>
      <c r="WRO45" s="291"/>
      <c r="WRP45" s="291"/>
      <c r="WRQ45" s="291"/>
      <c r="WRR45" s="291"/>
      <c r="WRS45" s="291"/>
      <c r="WRT45" s="291"/>
      <c r="WRU45" s="291"/>
      <c r="WRV45" s="291"/>
      <c r="WRW45" s="291"/>
      <c r="WRX45" s="291"/>
      <c r="WRY45" s="291"/>
      <c r="WRZ45" s="291"/>
      <c r="WSA45" s="291"/>
      <c r="WSB45" s="291"/>
      <c r="WSC45" s="291"/>
      <c r="WSD45" s="291"/>
      <c r="WSE45" s="291"/>
      <c r="WSF45" s="291"/>
      <c r="WSG45" s="291"/>
      <c r="WSH45" s="291"/>
      <c r="WSI45" s="291"/>
      <c r="WSJ45" s="291"/>
      <c r="WSK45" s="291"/>
      <c r="WSL45" s="291"/>
      <c r="WSM45" s="291"/>
      <c r="WSN45" s="291"/>
      <c r="WSO45" s="291"/>
      <c r="WSP45" s="291"/>
      <c r="WSQ45" s="291"/>
      <c r="WSR45" s="291"/>
      <c r="WSS45" s="291"/>
      <c r="WST45" s="291"/>
      <c r="WSU45" s="291"/>
      <c r="WSV45" s="291"/>
      <c r="WSW45" s="291"/>
      <c r="WSX45" s="291"/>
      <c r="WSY45" s="291"/>
      <c r="WSZ45" s="291"/>
      <c r="WTA45" s="291"/>
      <c r="WTB45" s="291"/>
      <c r="WTC45" s="291"/>
      <c r="WTD45" s="291"/>
      <c r="WTE45" s="291"/>
      <c r="WTF45" s="291"/>
      <c r="WTG45" s="291"/>
      <c r="WTH45" s="291"/>
      <c r="WTI45" s="291"/>
      <c r="WTJ45" s="291"/>
      <c r="WTK45" s="291"/>
      <c r="WTL45" s="291"/>
      <c r="WTM45" s="291"/>
      <c r="WTN45" s="291"/>
      <c r="WTO45" s="291"/>
      <c r="WTP45" s="291"/>
      <c r="WTQ45" s="291"/>
      <c r="WTR45" s="291"/>
      <c r="WTS45" s="291"/>
      <c r="WTT45" s="291"/>
      <c r="WTU45" s="291"/>
      <c r="WTV45" s="291"/>
      <c r="WTW45" s="291"/>
      <c r="WTX45" s="291"/>
      <c r="WTY45" s="291"/>
      <c r="WTZ45" s="291"/>
      <c r="WUA45" s="291"/>
      <c r="WUB45" s="291"/>
      <c r="WUC45" s="291"/>
      <c r="WUD45" s="291"/>
      <c r="WUE45" s="291"/>
      <c r="WUF45" s="291"/>
      <c r="WUG45" s="291"/>
      <c r="WUH45" s="291"/>
      <c r="WUI45" s="291"/>
      <c r="WUJ45" s="291"/>
      <c r="WUK45" s="291"/>
      <c r="WUL45" s="291"/>
      <c r="WUM45" s="291"/>
      <c r="WUN45" s="291"/>
      <c r="WUO45" s="291"/>
      <c r="WUP45" s="291"/>
      <c r="WUQ45" s="291"/>
      <c r="WUR45" s="291"/>
      <c r="WUS45" s="291"/>
      <c r="WUT45" s="291"/>
      <c r="WUU45" s="291"/>
      <c r="WUV45" s="291"/>
      <c r="WUW45" s="291"/>
      <c r="WUX45" s="291"/>
      <c r="WUY45" s="291"/>
      <c r="WUZ45" s="291"/>
      <c r="WVA45" s="291"/>
      <c r="WVB45" s="291"/>
      <c r="WVC45" s="291"/>
      <c r="WVD45" s="291"/>
      <c r="WVE45" s="291"/>
      <c r="WVF45" s="291"/>
      <c r="WVG45" s="291"/>
      <c r="WVH45" s="291"/>
      <c r="WVI45" s="291"/>
      <c r="WVJ45" s="291"/>
      <c r="WVK45" s="291"/>
      <c r="WVL45" s="291"/>
      <c r="WVM45" s="291"/>
      <c r="WVN45" s="291"/>
      <c r="WVO45" s="291"/>
      <c r="WVP45" s="291"/>
      <c r="WVQ45" s="291"/>
      <c r="WVR45" s="291"/>
      <c r="WVS45" s="291"/>
      <c r="WVT45" s="291"/>
      <c r="WVU45" s="291"/>
      <c r="WVV45" s="291"/>
      <c r="WVW45" s="291"/>
      <c r="WVX45" s="291"/>
      <c r="WVY45" s="291"/>
      <c r="WVZ45" s="291"/>
      <c r="WWA45" s="291"/>
      <c r="WWB45" s="291"/>
      <c r="WWC45" s="291"/>
      <c r="WWD45" s="291"/>
      <c r="WWE45" s="291"/>
      <c r="WWF45" s="291"/>
      <c r="WWG45" s="291"/>
      <c r="WWH45" s="291"/>
      <c r="WWI45" s="291"/>
      <c r="WWJ45" s="291"/>
      <c r="WWK45" s="291"/>
      <c r="WWL45" s="291"/>
      <c r="WWM45" s="291"/>
      <c r="WWN45" s="291"/>
      <c r="WWO45" s="291"/>
      <c r="WWP45" s="291"/>
      <c r="WWQ45" s="291"/>
      <c r="WWR45" s="291"/>
      <c r="WWS45" s="291"/>
      <c r="WWT45" s="291"/>
      <c r="WWU45" s="291"/>
      <c r="WWV45" s="291"/>
      <c r="WWW45" s="291"/>
      <c r="WWX45" s="291"/>
      <c r="WWY45" s="291"/>
      <c r="WWZ45" s="291"/>
      <c r="WXA45" s="291"/>
      <c r="WXB45" s="291"/>
      <c r="WXC45" s="291"/>
      <c r="WXD45" s="291"/>
      <c r="WXE45" s="291"/>
      <c r="WXF45" s="291"/>
      <c r="WXG45" s="291"/>
      <c r="WXH45" s="291"/>
      <c r="WXI45" s="291"/>
      <c r="WXJ45" s="291"/>
      <c r="WXK45" s="291"/>
      <c r="WXL45" s="291"/>
      <c r="WXM45" s="291"/>
      <c r="WXN45" s="291"/>
      <c r="WXO45" s="291"/>
      <c r="WXP45" s="291"/>
      <c r="WXQ45" s="291"/>
      <c r="WXR45" s="291"/>
      <c r="WXS45" s="291"/>
      <c r="WXT45" s="291"/>
      <c r="WXU45" s="291"/>
      <c r="WXV45" s="291"/>
      <c r="WXW45" s="291"/>
      <c r="WXX45" s="291"/>
      <c r="WXY45" s="291"/>
      <c r="WXZ45" s="291"/>
      <c r="WYA45" s="291"/>
      <c r="WYB45" s="291"/>
      <c r="WYC45" s="291"/>
      <c r="WYD45" s="291"/>
      <c r="WYE45" s="291"/>
      <c r="WYF45" s="291"/>
      <c r="WYG45" s="291"/>
      <c r="WYH45" s="291"/>
      <c r="WYI45" s="291"/>
      <c r="WYJ45" s="291"/>
      <c r="WYK45" s="291"/>
      <c r="WYL45" s="291"/>
      <c r="WYM45" s="291"/>
      <c r="WYN45" s="291"/>
      <c r="WYO45" s="291"/>
      <c r="WYP45" s="291"/>
      <c r="WYQ45" s="291"/>
      <c r="WYR45" s="291"/>
      <c r="WYS45" s="291"/>
      <c r="WYT45" s="291"/>
      <c r="WYU45" s="291"/>
      <c r="WYV45" s="291"/>
      <c r="WYW45" s="291"/>
      <c r="WYX45" s="291"/>
      <c r="WYY45" s="291"/>
      <c r="WYZ45" s="291"/>
      <c r="WZA45" s="291"/>
      <c r="WZB45" s="291"/>
      <c r="WZC45" s="291"/>
      <c r="WZD45" s="291"/>
      <c r="WZE45" s="291"/>
      <c r="WZF45" s="291"/>
      <c r="WZG45" s="291"/>
      <c r="WZH45" s="291"/>
      <c r="WZI45" s="291"/>
      <c r="WZJ45" s="291"/>
      <c r="WZK45" s="291"/>
      <c r="WZL45" s="291"/>
      <c r="WZM45" s="291"/>
      <c r="WZN45" s="291"/>
      <c r="WZO45" s="291"/>
      <c r="WZP45" s="291"/>
      <c r="WZQ45" s="291"/>
      <c r="WZR45" s="291"/>
      <c r="WZS45" s="291"/>
      <c r="WZT45" s="291"/>
      <c r="WZU45" s="291"/>
      <c r="WZV45" s="291"/>
      <c r="WZW45" s="291"/>
      <c r="WZX45" s="291"/>
      <c r="WZY45" s="291"/>
      <c r="WZZ45" s="291"/>
      <c r="XAA45" s="291"/>
      <c r="XAB45" s="291"/>
      <c r="XAC45" s="291"/>
      <c r="XAD45" s="291"/>
      <c r="XAE45" s="291"/>
      <c r="XAF45" s="291"/>
      <c r="XAG45" s="291"/>
      <c r="XAH45" s="291"/>
      <c r="XAI45" s="291"/>
      <c r="XAJ45" s="291"/>
      <c r="XAK45" s="291"/>
      <c r="XAL45" s="291"/>
      <c r="XAM45" s="291"/>
      <c r="XAN45" s="291"/>
      <c r="XAO45" s="291"/>
      <c r="XAP45" s="291"/>
      <c r="XAQ45" s="291"/>
      <c r="XAR45" s="291"/>
      <c r="XAS45" s="291"/>
      <c r="XAT45" s="291"/>
      <c r="XAU45" s="291"/>
      <c r="XAV45" s="291"/>
      <c r="XAW45" s="291"/>
      <c r="XAX45" s="291"/>
      <c r="XAY45" s="291"/>
      <c r="XAZ45" s="291"/>
      <c r="XBA45" s="291"/>
      <c r="XBB45" s="291"/>
      <c r="XBC45" s="291"/>
      <c r="XBD45" s="291"/>
      <c r="XBE45" s="291"/>
      <c r="XBF45" s="291"/>
      <c r="XBG45" s="291"/>
      <c r="XBH45" s="291"/>
      <c r="XBI45" s="291"/>
      <c r="XBJ45" s="291"/>
      <c r="XBK45" s="291"/>
      <c r="XBL45" s="291"/>
      <c r="XBM45" s="291"/>
      <c r="XBN45" s="291"/>
      <c r="XBO45" s="291"/>
      <c r="XBP45" s="291"/>
      <c r="XBQ45" s="291"/>
      <c r="XBR45" s="291"/>
      <c r="XBS45" s="291"/>
      <c r="XBT45" s="291"/>
      <c r="XBU45" s="291"/>
      <c r="XBV45" s="291"/>
      <c r="XBW45" s="291"/>
      <c r="XBX45" s="291"/>
      <c r="XBY45" s="291"/>
      <c r="XBZ45" s="291"/>
      <c r="XCA45" s="291"/>
      <c r="XCB45" s="291"/>
      <c r="XCC45" s="291"/>
      <c r="XCD45" s="291"/>
      <c r="XCE45" s="291"/>
      <c r="XCF45" s="291"/>
      <c r="XCG45" s="291"/>
      <c r="XCH45" s="291"/>
      <c r="XCI45" s="291"/>
      <c r="XCJ45" s="291"/>
      <c r="XCK45" s="291"/>
      <c r="XCL45" s="291"/>
      <c r="XCM45" s="291"/>
      <c r="XCN45" s="291"/>
      <c r="XCO45" s="291"/>
      <c r="XCP45" s="291"/>
      <c r="XCQ45" s="291"/>
      <c r="XCR45" s="291"/>
      <c r="XCS45" s="291"/>
      <c r="XCT45" s="291"/>
      <c r="XCU45" s="291"/>
      <c r="XCV45" s="291"/>
      <c r="XCW45" s="291"/>
      <c r="XCX45" s="291"/>
      <c r="XCY45" s="291"/>
      <c r="XCZ45" s="291"/>
      <c r="XDA45" s="291"/>
      <c r="XDB45" s="291"/>
      <c r="XDC45" s="291"/>
      <c r="XDD45" s="291"/>
      <c r="XDE45" s="291"/>
      <c r="XDF45" s="291"/>
      <c r="XDG45" s="291"/>
      <c r="XDH45" s="291"/>
      <c r="XDI45" s="291"/>
      <c r="XDJ45" s="291"/>
      <c r="XDK45" s="291"/>
      <c r="XDL45" s="291"/>
      <c r="XDM45" s="291"/>
      <c r="XDN45" s="291"/>
      <c r="XDO45" s="291"/>
      <c r="XDP45" s="291"/>
      <c r="XDQ45" s="291"/>
      <c r="XDR45" s="291"/>
      <c r="XDS45" s="291"/>
      <c r="XDT45" s="291"/>
      <c r="XDU45" s="291"/>
      <c r="XDV45" s="291"/>
      <c r="XDW45" s="291"/>
      <c r="XDX45" s="291"/>
      <c r="XDY45" s="291"/>
      <c r="XDZ45" s="291"/>
      <c r="XEA45" s="291"/>
      <c r="XEB45" s="291"/>
      <c r="XEC45" s="291"/>
      <c r="XED45" s="291"/>
    </row>
    <row r="46" spans="1:16358" s="292" customFormat="1" ht="15.75" thickBot="1">
      <c r="A46" s="286" t="s">
        <v>141</v>
      </c>
      <c r="B46" s="285" t="s">
        <v>163</v>
      </c>
      <c r="C46" s="285" t="s">
        <v>185</v>
      </c>
      <c r="D46" s="156">
        <v>150000</v>
      </c>
      <c r="E46" s="169"/>
      <c r="F46" s="287">
        <f t="shared" si="0"/>
        <v>150000</v>
      </c>
      <c r="G46" s="156">
        <f t="shared" si="6"/>
        <v>51975</v>
      </c>
      <c r="H46" s="156">
        <f t="shared" si="7"/>
        <v>98025</v>
      </c>
      <c r="I46" s="288"/>
      <c r="J46" s="288"/>
      <c r="K46" s="288"/>
      <c r="L46" s="288"/>
      <c r="M46" s="288"/>
      <c r="N46" s="288">
        <v>41408</v>
      </c>
      <c r="O46" s="288"/>
      <c r="P46" s="288">
        <v>10567</v>
      </c>
      <c r="Q46" s="288"/>
      <c r="R46" s="288"/>
      <c r="S46" s="288"/>
      <c r="T46" s="288"/>
      <c r="U46" s="288"/>
      <c r="V46" s="288"/>
      <c r="W46" s="288"/>
    </row>
    <row r="47" spans="1:16358" s="292" customFormat="1" ht="15.75" thickBot="1">
      <c r="A47" s="286" t="s">
        <v>142</v>
      </c>
      <c r="B47" s="285" t="s">
        <v>164</v>
      </c>
      <c r="C47" s="285" t="s">
        <v>186</v>
      </c>
      <c r="D47" s="156">
        <v>150000</v>
      </c>
      <c r="E47" s="169"/>
      <c r="F47" s="287">
        <f t="shared" si="0"/>
        <v>150000</v>
      </c>
      <c r="G47" s="156">
        <f t="shared" si="6"/>
        <v>77366</v>
      </c>
      <c r="H47" s="156">
        <f t="shared" si="7"/>
        <v>72634</v>
      </c>
      <c r="I47" s="288"/>
      <c r="J47" s="288"/>
      <c r="K47" s="288"/>
      <c r="L47" s="288"/>
      <c r="M47" s="288"/>
      <c r="N47" s="288"/>
      <c r="O47" s="288"/>
      <c r="P47" s="288">
        <f>23221+30110</f>
        <v>53331</v>
      </c>
      <c r="Q47" s="288">
        <v>24035</v>
      </c>
      <c r="R47" s="288"/>
      <c r="S47" s="288"/>
      <c r="T47" s="288"/>
      <c r="U47" s="288"/>
      <c r="V47" s="288"/>
      <c r="W47" s="288"/>
    </row>
    <row r="48" spans="1:16358" s="256" customFormat="1" ht="15.75" thickBot="1">
      <c r="A48" s="286"/>
      <c r="B48" s="285"/>
      <c r="C48" s="285"/>
      <c r="D48" s="178"/>
      <c r="E48" s="83"/>
      <c r="F48" s="177"/>
      <c r="G48" s="178"/>
      <c r="H48" s="178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</row>
    <row r="49" spans="1:23" ht="15.75" thickBot="1">
      <c r="A49" s="49"/>
      <c r="B49" s="49"/>
      <c r="C49" s="49"/>
      <c r="D49" s="148">
        <f>SUM(D13:D48)</f>
        <v>8074200</v>
      </c>
      <c r="E49" s="148">
        <f>SUM(E13:E48)</f>
        <v>0</v>
      </c>
      <c r="F49" s="148">
        <f>SUM(F13:F48)</f>
        <v>8074200</v>
      </c>
      <c r="G49" s="148">
        <f>SUM(G13:G48)</f>
        <v>3110584</v>
      </c>
      <c r="H49" s="148">
        <f>SUM(H13:H48)</f>
        <v>4963616</v>
      </c>
      <c r="I49" s="150">
        <f>SUM(I13:I43)</f>
        <v>0</v>
      </c>
      <c r="J49" s="150">
        <f>SUM(J13:J43)</f>
        <v>0</v>
      </c>
      <c r="K49" s="150">
        <f>SUM(K13:K43)</f>
        <v>0</v>
      </c>
      <c r="L49" s="150">
        <f>SUM(L13:L48)</f>
        <v>409206</v>
      </c>
      <c r="M49" s="150">
        <f t="shared" ref="M49:W49" si="9">SUM(M13:M48)</f>
        <v>648281</v>
      </c>
      <c r="N49" s="150">
        <f t="shared" si="9"/>
        <v>593107</v>
      </c>
      <c r="O49" s="150">
        <f t="shared" si="9"/>
        <v>358824</v>
      </c>
      <c r="P49" s="150">
        <f t="shared" si="9"/>
        <v>653788</v>
      </c>
      <c r="Q49" s="150">
        <f t="shared" si="9"/>
        <v>447378</v>
      </c>
      <c r="R49" s="150">
        <f t="shared" si="9"/>
        <v>0</v>
      </c>
      <c r="S49" s="150">
        <f t="shared" si="9"/>
        <v>0</v>
      </c>
      <c r="T49" s="150">
        <f t="shared" si="9"/>
        <v>0</v>
      </c>
      <c r="U49" s="150">
        <f t="shared" si="9"/>
        <v>0</v>
      </c>
      <c r="V49" s="150">
        <f t="shared" si="9"/>
        <v>0</v>
      </c>
      <c r="W49" s="150">
        <f t="shared" si="9"/>
        <v>0</v>
      </c>
    </row>
    <row r="50" spans="1:23">
      <c r="D50" s="131"/>
      <c r="E50" s="131"/>
      <c r="F50" s="131"/>
      <c r="G50" s="131"/>
      <c r="H50" s="131"/>
    </row>
    <row r="51" spans="1:23">
      <c r="D51" s="131"/>
      <c r="E51" s="131"/>
      <c r="F51" s="131"/>
      <c r="G51" s="131"/>
      <c r="H51" s="131"/>
      <c r="O51" s="21"/>
      <c r="U51" s="176"/>
    </row>
    <row r="52" spans="1:23">
      <c r="D52" s="131"/>
      <c r="E52" s="131"/>
      <c r="F52" s="131"/>
      <c r="G52" s="131"/>
      <c r="H52" s="131"/>
    </row>
    <row r="53" spans="1:23">
      <c r="D53" s="131"/>
      <c r="E53" s="131"/>
      <c r="F53" s="131"/>
      <c r="G53" s="131"/>
      <c r="H53" s="131"/>
    </row>
    <row r="54" spans="1:23">
      <c r="D54" s="131"/>
      <c r="E54" s="131"/>
      <c r="F54" s="131"/>
      <c r="G54" s="131"/>
      <c r="H54" s="131"/>
    </row>
    <row r="55" spans="1:23">
      <c r="D55" s="131"/>
      <c r="E55" s="131"/>
      <c r="F55" s="131"/>
      <c r="G55" s="131"/>
      <c r="H55" s="131"/>
    </row>
    <row r="56" spans="1:23">
      <c r="D56" s="131"/>
      <c r="E56" s="131"/>
      <c r="F56" s="131"/>
      <c r="G56" s="131"/>
      <c r="H56" s="131"/>
    </row>
    <row r="57" spans="1:23">
      <c r="D57" s="131"/>
      <c r="E57" s="131"/>
      <c r="F57" s="131"/>
      <c r="G57" s="131"/>
      <c r="H57" s="131"/>
    </row>
    <row r="58" spans="1:23">
      <c r="D58" s="131"/>
      <c r="E58" s="131"/>
      <c r="F58" s="131"/>
      <c r="G58" s="131"/>
      <c r="H58" s="131"/>
    </row>
    <row r="59" spans="1:23">
      <c r="D59" s="131"/>
      <c r="E59" s="131"/>
      <c r="F59" s="131"/>
      <c r="G59" s="131"/>
      <c r="H59" s="131"/>
    </row>
    <row r="60" spans="1:23">
      <c r="D60" s="131"/>
      <c r="E60" s="131"/>
      <c r="F60" s="131"/>
      <c r="G60" s="131"/>
      <c r="H60" s="131"/>
    </row>
    <row r="61" spans="1:23">
      <c r="D61" s="131"/>
      <c r="E61" s="131"/>
      <c r="F61" s="131"/>
      <c r="G61" s="131"/>
      <c r="H61" s="131"/>
    </row>
    <row r="62" spans="1:23">
      <c r="D62" s="131"/>
      <c r="E62" s="131"/>
      <c r="F62" s="131"/>
      <c r="G62" s="131"/>
      <c r="H62" s="131"/>
    </row>
    <row r="63" spans="1:23">
      <c r="D63" s="131"/>
      <c r="E63" s="131"/>
      <c r="F63" s="131"/>
      <c r="G63" s="131"/>
      <c r="H63" s="131"/>
    </row>
    <row r="64" spans="1:23">
      <c r="D64" s="131"/>
      <c r="E64" s="131"/>
      <c r="F64" s="131"/>
      <c r="G64" s="131"/>
      <c r="H64" s="131"/>
    </row>
    <row r="65" spans="4:8">
      <c r="D65" s="131"/>
      <c r="E65" s="131"/>
      <c r="F65" s="131"/>
      <c r="G65" s="131"/>
      <c r="H65" s="131"/>
    </row>
    <row r="66" spans="4:8">
      <c r="D66" s="131"/>
      <c r="E66" s="131"/>
      <c r="F66" s="131"/>
      <c r="G66" s="131"/>
      <c r="H66" s="131"/>
    </row>
    <row r="67" spans="4:8">
      <c r="D67" s="131"/>
      <c r="E67" s="131"/>
      <c r="F67" s="131"/>
      <c r="G67" s="131"/>
      <c r="H67" s="131"/>
    </row>
    <row r="68" spans="4:8">
      <c r="D68" s="131"/>
      <c r="E68" s="131"/>
      <c r="F68" s="131"/>
      <c r="G68" s="131"/>
      <c r="H68" s="131"/>
    </row>
    <row r="69" spans="4:8">
      <c r="D69" s="131"/>
      <c r="E69" s="131"/>
      <c r="F69" s="131"/>
      <c r="G69" s="131"/>
      <c r="H69" s="131"/>
    </row>
    <row r="70" spans="4:8">
      <c r="D70" s="131"/>
      <c r="E70" s="131"/>
      <c r="F70" s="131"/>
      <c r="G70" s="131"/>
      <c r="H70" s="131"/>
    </row>
    <row r="71" spans="4:8">
      <c r="D71" s="131"/>
      <c r="E71" s="131"/>
      <c r="F71" s="131"/>
      <c r="G71" s="131"/>
      <c r="H71" s="131"/>
    </row>
    <row r="72" spans="4:8">
      <c r="E72" s="131"/>
      <c r="F72" s="131"/>
      <c r="G72" s="131"/>
      <c r="H72" s="131"/>
    </row>
    <row r="73" spans="4:8">
      <c r="E73" s="131"/>
      <c r="F73" s="131"/>
      <c r="G73" s="131"/>
      <c r="H73" s="131"/>
    </row>
    <row r="74" spans="4:8">
      <c r="E74" s="131"/>
      <c r="F74" s="131"/>
      <c r="G74" s="131"/>
      <c r="H74" s="131"/>
    </row>
  </sheetData>
  <sheetProtection password="EF32" sheet="1" objects="1" scenarios="1"/>
  <mergeCells count="1">
    <mergeCell ref="A10:D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8">
    <tabColor rgb="FFCCFFCC"/>
  </sheetPr>
  <dimension ref="A1:U70"/>
  <sheetViews>
    <sheetView workbookViewId="0">
      <pane xSplit="5" ySplit="11" topLeftCell="M12" activePane="bottomRight" state="frozen"/>
      <selection pane="topRight" activeCell="F1" sqref="F1"/>
      <selection pane="bottomLeft" activeCell="A11" sqref="A11"/>
      <selection pane="bottomRight" activeCell="N27" sqref="N27"/>
    </sheetView>
  </sheetViews>
  <sheetFormatPr defaultColWidth="9.140625" defaultRowHeight="15"/>
  <cols>
    <col min="1" max="1" width="9.140625" style="4"/>
    <col min="2" max="2" width="32.140625" style="4" customWidth="1"/>
    <col min="3" max="3" width="13.5703125" style="4" customWidth="1"/>
    <col min="4" max="4" width="11.42578125" style="4" customWidth="1"/>
    <col min="5" max="5" width="18" style="4" customWidth="1"/>
    <col min="6" max="20" width="15.7109375" style="4" customWidth="1"/>
    <col min="21" max="16384" width="9.140625" style="4"/>
  </cols>
  <sheetData>
    <row r="1" spans="1:20" ht="21">
      <c r="A1" s="34" t="s">
        <v>0</v>
      </c>
      <c r="B1" s="42"/>
      <c r="C1" s="35" t="s">
        <v>95</v>
      </c>
      <c r="D1" s="34"/>
      <c r="E1" s="36"/>
      <c r="F1" s="43"/>
      <c r="G1" s="42"/>
      <c r="H1" s="42"/>
      <c r="I1" s="42"/>
      <c r="J1" s="35" t="s">
        <v>95</v>
      </c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 ht="18.75">
      <c r="A2" s="37" t="s">
        <v>1</v>
      </c>
      <c r="B2" s="42"/>
      <c r="C2" s="38">
        <v>84.195999999999998</v>
      </c>
      <c r="D2" s="37"/>
      <c r="E2" s="39"/>
      <c r="F2" s="43"/>
      <c r="G2" s="42"/>
      <c r="H2" s="42"/>
      <c r="I2" s="42"/>
      <c r="J2" s="59" t="str">
        <f>$C$4</f>
        <v>2013-14</v>
      </c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20" ht="15.75">
      <c r="A3" s="37" t="s">
        <v>2</v>
      </c>
      <c r="B3" s="42"/>
      <c r="C3" s="38">
        <v>5196</v>
      </c>
      <c r="D3" s="37"/>
      <c r="E3" s="39"/>
      <c r="F3" s="43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spans="1:20" ht="15.75">
      <c r="A4" s="37" t="s">
        <v>3</v>
      </c>
      <c r="B4" s="42"/>
      <c r="C4" s="38" t="s">
        <v>249</v>
      </c>
      <c r="D4" s="39"/>
      <c r="E4" s="39"/>
      <c r="F4" s="43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0" ht="15.75">
      <c r="A5" s="37" t="s">
        <v>104</v>
      </c>
      <c r="B5" s="42"/>
      <c r="C5" s="77" t="s">
        <v>107</v>
      </c>
      <c r="D5" s="39"/>
      <c r="E5" s="39"/>
      <c r="F5" s="43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20" ht="15.75">
      <c r="A6" s="37" t="s">
        <v>65</v>
      </c>
      <c r="B6" s="42"/>
      <c r="C6" s="38" t="s">
        <v>263</v>
      </c>
      <c r="D6" s="39"/>
      <c r="E6" s="39"/>
      <c r="F6" s="41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</row>
    <row r="7" spans="1:20" ht="15.75">
      <c r="A7" s="37" t="s">
        <v>67</v>
      </c>
      <c r="B7" s="42"/>
      <c r="C7" s="38" t="s">
        <v>223</v>
      </c>
      <c r="D7" s="39"/>
      <c r="E7" s="39"/>
      <c r="F7" s="41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</row>
    <row r="8" spans="1:20" ht="15.75">
      <c r="A8" s="79" t="s">
        <v>207</v>
      </c>
      <c r="B8" s="73"/>
      <c r="C8" s="77" t="s">
        <v>264</v>
      </c>
      <c r="D8" s="71"/>
      <c r="E8" s="71"/>
      <c r="F8" s="72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</row>
    <row r="9" spans="1:20" s="26" customFormat="1" ht="21">
      <c r="A9" s="34" t="s">
        <v>265</v>
      </c>
      <c r="B9" s="36"/>
      <c r="C9" s="35"/>
      <c r="D9" s="36"/>
      <c r="E9" s="36"/>
      <c r="F9" s="64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</row>
    <row r="10" spans="1:20" ht="15.75" thickBot="1">
      <c r="A10" s="67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</row>
    <row r="11" spans="1:20" ht="30.75" thickBot="1">
      <c r="A11" s="56" t="s">
        <v>4</v>
      </c>
      <c r="B11" s="57" t="s">
        <v>5</v>
      </c>
      <c r="C11" s="57" t="s">
        <v>44</v>
      </c>
      <c r="D11" s="57" t="s">
        <v>45</v>
      </c>
      <c r="E11" s="87" t="s">
        <v>46</v>
      </c>
      <c r="F11" s="307" t="s">
        <v>524</v>
      </c>
      <c r="G11" s="307" t="s">
        <v>525</v>
      </c>
      <c r="H11" s="307" t="s">
        <v>526</v>
      </c>
      <c r="I11" s="307" t="s">
        <v>527</v>
      </c>
      <c r="J11" s="307" t="s">
        <v>528</v>
      </c>
      <c r="K11" s="307" t="s">
        <v>529</v>
      </c>
      <c r="L11" s="307" t="s">
        <v>530</v>
      </c>
      <c r="M11" s="307" t="s">
        <v>531</v>
      </c>
      <c r="N11" s="307" t="s">
        <v>532</v>
      </c>
      <c r="O11" s="307" t="s">
        <v>533</v>
      </c>
      <c r="P11" s="307" t="s">
        <v>534</v>
      </c>
      <c r="Q11" s="307" t="s">
        <v>520</v>
      </c>
      <c r="R11" s="307" t="s">
        <v>521</v>
      </c>
      <c r="S11" s="307" t="s">
        <v>522</v>
      </c>
      <c r="T11" s="307" t="s">
        <v>523</v>
      </c>
    </row>
    <row r="12" spans="1:20" ht="15.75" thickBot="1">
      <c r="A12" s="207" t="s">
        <v>73</v>
      </c>
      <c r="B12" s="205" t="s">
        <v>360</v>
      </c>
      <c r="C12" s="208">
        <v>33000</v>
      </c>
      <c r="D12" s="45">
        <f t="shared" ref="D12:D27" si="0">SUM(F12:T12)</f>
        <v>15710</v>
      </c>
      <c r="E12" s="45">
        <f t="shared" ref="E12:E27" si="1">C12-D12</f>
        <v>17290</v>
      </c>
      <c r="F12" s="24"/>
      <c r="G12" s="24"/>
      <c r="H12" s="24"/>
      <c r="I12" s="24">
        <v>303</v>
      </c>
      <c r="J12" s="24">
        <v>4273</v>
      </c>
      <c r="K12" s="24">
        <f>883+3343</f>
        <v>4226</v>
      </c>
      <c r="L12" s="24">
        <v>1887</v>
      </c>
      <c r="M12" s="24">
        <v>2788</v>
      </c>
      <c r="N12" s="24">
        <v>2233</v>
      </c>
      <c r="O12" s="24"/>
      <c r="P12" s="24"/>
      <c r="Q12" s="24"/>
      <c r="R12" s="24"/>
      <c r="S12" s="24"/>
      <c r="T12" s="24"/>
    </row>
    <row r="13" spans="1:20" ht="15.75" thickBot="1">
      <c r="A13" s="209" t="s">
        <v>6</v>
      </c>
      <c r="B13" s="210" t="s">
        <v>361</v>
      </c>
      <c r="C13" s="211">
        <v>33000</v>
      </c>
      <c r="D13" s="45">
        <f t="shared" si="0"/>
        <v>22181</v>
      </c>
      <c r="E13" s="45">
        <f t="shared" si="1"/>
        <v>10819</v>
      </c>
      <c r="F13" s="24"/>
      <c r="G13" s="24"/>
      <c r="H13" s="24"/>
      <c r="I13" s="24"/>
      <c r="J13" s="24">
        <v>11287</v>
      </c>
      <c r="K13" s="24">
        <v>2986</v>
      </c>
      <c r="L13" s="24">
        <v>1445</v>
      </c>
      <c r="M13" s="159">
        <v>3257</v>
      </c>
      <c r="N13" s="24">
        <v>3206</v>
      </c>
      <c r="O13" s="24"/>
      <c r="P13" s="24"/>
      <c r="Q13" s="24"/>
      <c r="R13" s="24"/>
      <c r="S13" s="24"/>
      <c r="T13" s="24"/>
    </row>
    <row r="14" spans="1:20" ht="15.75" thickBot="1">
      <c r="A14" s="209" t="s">
        <v>96</v>
      </c>
      <c r="B14" s="210" t="s">
        <v>362</v>
      </c>
      <c r="C14" s="211">
        <v>37000</v>
      </c>
      <c r="D14" s="45">
        <f t="shared" si="0"/>
        <v>29708</v>
      </c>
      <c r="E14" s="45">
        <f t="shared" si="1"/>
        <v>7292</v>
      </c>
      <c r="F14" s="24"/>
      <c r="G14" s="24"/>
      <c r="H14" s="24"/>
      <c r="I14" s="24">
        <v>2425</v>
      </c>
      <c r="J14" s="24">
        <v>3617</v>
      </c>
      <c r="K14" s="24">
        <v>3369</v>
      </c>
      <c r="L14" s="24">
        <v>4503</v>
      </c>
      <c r="M14" s="24">
        <v>12442</v>
      </c>
      <c r="N14" s="24">
        <v>3352</v>
      </c>
      <c r="O14" s="24"/>
      <c r="P14" s="24"/>
      <c r="Q14" s="24"/>
      <c r="R14" s="24"/>
      <c r="S14" s="24"/>
      <c r="T14" s="24"/>
    </row>
    <row r="15" spans="1:20" ht="15.75" thickBot="1">
      <c r="A15" s="209" t="s">
        <v>97</v>
      </c>
      <c r="B15" s="210" t="s">
        <v>373</v>
      </c>
      <c r="C15" s="211">
        <v>25000</v>
      </c>
      <c r="D15" s="45">
        <f t="shared" si="0"/>
        <v>7620</v>
      </c>
      <c r="E15" s="45">
        <f t="shared" si="1"/>
        <v>17380</v>
      </c>
      <c r="F15" s="24"/>
      <c r="G15" s="24"/>
      <c r="H15" s="24"/>
      <c r="I15" s="24"/>
      <c r="J15" s="24"/>
      <c r="K15" s="24"/>
      <c r="L15" s="24"/>
      <c r="M15" s="24"/>
      <c r="N15" s="24">
        <v>7620</v>
      </c>
      <c r="O15" s="24"/>
      <c r="P15" s="24"/>
      <c r="Q15" s="24"/>
      <c r="R15" s="24"/>
      <c r="S15" s="24"/>
      <c r="T15" s="24"/>
    </row>
    <row r="16" spans="1:20" ht="15.75" thickBot="1">
      <c r="A16" s="209" t="s">
        <v>8</v>
      </c>
      <c r="B16" s="210" t="s">
        <v>145</v>
      </c>
      <c r="C16" s="211">
        <v>36000</v>
      </c>
      <c r="D16" s="45">
        <f t="shared" si="0"/>
        <v>17312</v>
      </c>
      <c r="E16" s="45">
        <f t="shared" si="1"/>
        <v>18688</v>
      </c>
      <c r="F16" s="24"/>
      <c r="G16" s="24"/>
      <c r="H16" s="24"/>
      <c r="I16" s="24"/>
      <c r="J16" s="24">
        <v>5678</v>
      </c>
      <c r="K16" s="24">
        <v>2770</v>
      </c>
      <c r="L16" s="24"/>
      <c r="M16" s="24">
        <v>5817</v>
      </c>
      <c r="N16" s="24">
        <v>3047</v>
      </c>
      <c r="O16" s="24"/>
      <c r="P16" s="24"/>
      <c r="Q16" s="24"/>
      <c r="R16" s="24"/>
      <c r="S16" s="24"/>
      <c r="T16" s="24"/>
    </row>
    <row r="17" spans="1:21" ht="15.75" thickBot="1">
      <c r="A17" s="209" t="s">
        <v>9</v>
      </c>
      <c r="B17" s="210" t="s">
        <v>375</v>
      </c>
      <c r="C17" s="211">
        <v>34000</v>
      </c>
      <c r="D17" s="45">
        <f t="shared" si="0"/>
        <v>11718</v>
      </c>
      <c r="E17" s="45">
        <f t="shared" si="1"/>
        <v>22282</v>
      </c>
      <c r="F17" s="24"/>
      <c r="G17" s="24"/>
      <c r="H17" s="24"/>
      <c r="I17" s="24"/>
      <c r="J17" s="24"/>
      <c r="K17" s="24">
        <v>889</v>
      </c>
      <c r="L17" s="24">
        <v>6381</v>
      </c>
      <c r="M17" s="24">
        <v>526</v>
      </c>
      <c r="N17" s="24">
        <v>3922</v>
      </c>
      <c r="O17" s="24"/>
      <c r="P17" s="24"/>
      <c r="Q17" s="24"/>
      <c r="R17" s="24"/>
      <c r="S17" s="24"/>
      <c r="T17" s="24"/>
    </row>
    <row r="18" spans="1:21" ht="15.75" thickBot="1">
      <c r="A18" s="209" t="s">
        <v>10</v>
      </c>
      <c r="B18" s="210" t="s">
        <v>146</v>
      </c>
      <c r="C18" s="211">
        <v>34000</v>
      </c>
      <c r="D18" s="45">
        <f t="shared" si="0"/>
        <v>16085</v>
      </c>
      <c r="E18" s="45">
        <f t="shared" si="1"/>
        <v>17915</v>
      </c>
      <c r="F18" s="24"/>
      <c r="G18" s="24"/>
      <c r="H18" s="24"/>
      <c r="I18" s="24"/>
      <c r="J18" s="24">
        <v>3051</v>
      </c>
      <c r="K18" s="24">
        <v>5380</v>
      </c>
      <c r="L18" s="24">
        <v>2308</v>
      </c>
      <c r="M18" s="24">
        <v>1998</v>
      </c>
      <c r="N18" s="24">
        <v>3348</v>
      </c>
      <c r="O18" s="24"/>
      <c r="P18" s="24"/>
      <c r="Q18" s="24"/>
      <c r="R18" s="24"/>
      <c r="S18" s="24"/>
      <c r="T18" s="24"/>
    </row>
    <row r="19" spans="1:21" ht="15.75" thickBot="1">
      <c r="A19" s="209" t="s">
        <v>75</v>
      </c>
      <c r="B19" s="210" t="s">
        <v>109</v>
      </c>
      <c r="C19" s="211">
        <v>36000</v>
      </c>
      <c r="D19" s="45">
        <f t="shared" si="0"/>
        <v>17830</v>
      </c>
      <c r="E19" s="45">
        <f t="shared" si="1"/>
        <v>18170</v>
      </c>
      <c r="F19" s="24"/>
      <c r="G19" s="24"/>
      <c r="H19" s="24"/>
      <c r="I19" s="24"/>
      <c r="J19" s="24"/>
      <c r="K19" s="24"/>
      <c r="L19" s="24"/>
      <c r="M19" s="24"/>
      <c r="N19" s="24">
        <v>17830</v>
      </c>
      <c r="O19" s="24"/>
      <c r="P19" s="24"/>
      <c r="Q19" s="24"/>
      <c r="R19" s="24"/>
      <c r="S19" s="24"/>
      <c r="T19" s="24"/>
    </row>
    <row r="20" spans="1:21" ht="15.75" thickBot="1">
      <c r="A20" s="209" t="s">
        <v>365</v>
      </c>
      <c r="B20" s="210" t="s">
        <v>366</v>
      </c>
      <c r="C20" s="211">
        <v>27500</v>
      </c>
      <c r="D20" s="45">
        <f t="shared" si="0"/>
        <v>17751</v>
      </c>
      <c r="E20" s="45">
        <f t="shared" si="1"/>
        <v>9749</v>
      </c>
      <c r="F20" s="24"/>
      <c r="G20" s="24"/>
      <c r="H20" s="24"/>
      <c r="I20" s="24">
        <v>4207</v>
      </c>
      <c r="J20" s="24">
        <v>8713</v>
      </c>
      <c r="K20" s="24"/>
      <c r="L20" s="24">
        <v>298</v>
      </c>
      <c r="M20" s="24">
        <v>2267</v>
      </c>
      <c r="N20" s="24">
        <v>2266</v>
      </c>
      <c r="O20" s="24"/>
      <c r="P20" s="24"/>
      <c r="Q20" s="24"/>
      <c r="R20" s="24"/>
      <c r="S20" s="24"/>
      <c r="T20" s="24"/>
    </row>
    <row r="21" spans="1:21" ht="15.75" thickBot="1">
      <c r="A21" s="209" t="s">
        <v>127</v>
      </c>
      <c r="B21" s="210" t="s">
        <v>367</v>
      </c>
      <c r="C21" s="211">
        <v>36000</v>
      </c>
      <c r="D21" s="45">
        <f t="shared" si="0"/>
        <v>14647</v>
      </c>
      <c r="E21" s="45">
        <f t="shared" si="1"/>
        <v>21353</v>
      </c>
      <c r="F21" s="24"/>
      <c r="G21" s="24"/>
      <c r="H21" s="24"/>
      <c r="I21" s="24"/>
      <c r="J21" s="24"/>
      <c r="K21" s="24"/>
      <c r="L21" s="24">
        <v>6102</v>
      </c>
      <c r="M21" s="24">
        <v>8545</v>
      </c>
      <c r="N21" s="24"/>
      <c r="O21" s="24"/>
      <c r="P21" s="24"/>
      <c r="Q21" s="24"/>
      <c r="R21" s="24"/>
      <c r="S21" s="24"/>
      <c r="T21" s="24"/>
    </row>
    <row r="22" spans="1:21" ht="15.75" thickBot="1">
      <c r="A22" s="209" t="s">
        <v>298</v>
      </c>
      <c r="B22" s="210" t="s">
        <v>371</v>
      </c>
      <c r="C22" s="211">
        <v>36000</v>
      </c>
      <c r="D22" s="45">
        <f t="shared" si="0"/>
        <v>2739</v>
      </c>
      <c r="E22" s="45">
        <f t="shared" si="1"/>
        <v>33261</v>
      </c>
      <c r="F22" s="24"/>
      <c r="G22" s="24"/>
      <c r="H22" s="24"/>
      <c r="I22" s="24"/>
      <c r="J22" s="24"/>
      <c r="K22" s="24"/>
      <c r="L22" s="24">
        <v>2739</v>
      </c>
      <c r="M22" s="24"/>
      <c r="N22" s="24"/>
      <c r="O22" s="24"/>
      <c r="P22" s="24"/>
      <c r="Q22" s="24"/>
      <c r="R22" s="24"/>
      <c r="S22" s="24"/>
      <c r="T22" s="24"/>
    </row>
    <row r="23" spans="1:21" ht="15.75" thickBot="1">
      <c r="A23" s="209" t="s">
        <v>114</v>
      </c>
      <c r="B23" s="210" t="s">
        <v>368</v>
      </c>
      <c r="C23" s="211">
        <v>37000</v>
      </c>
      <c r="D23" s="45">
        <f t="shared" si="0"/>
        <v>21071</v>
      </c>
      <c r="E23" s="45">
        <f t="shared" si="1"/>
        <v>15929</v>
      </c>
      <c r="F23" s="24"/>
      <c r="G23" s="24"/>
      <c r="H23" s="24"/>
      <c r="I23" s="24">
        <v>3884</v>
      </c>
      <c r="J23" s="24">
        <v>4694</v>
      </c>
      <c r="K23" s="24">
        <v>3963</v>
      </c>
      <c r="L23" s="24">
        <v>2520</v>
      </c>
      <c r="M23" s="24">
        <v>3077</v>
      </c>
      <c r="N23" s="24">
        <v>2933</v>
      </c>
      <c r="O23" s="24"/>
      <c r="P23" s="24"/>
      <c r="Q23" s="24"/>
      <c r="R23" s="24"/>
      <c r="S23" s="24"/>
      <c r="T23" s="24"/>
    </row>
    <row r="24" spans="1:21" ht="15.75" thickBot="1">
      <c r="A24" s="209" t="s">
        <v>303</v>
      </c>
      <c r="B24" s="210" t="s">
        <v>372</v>
      </c>
      <c r="C24" s="211">
        <v>36000</v>
      </c>
      <c r="D24" s="45">
        <f t="shared" si="0"/>
        <v>6096</v>
      </c>
      <c r="E24" s="45">
        <f t="shared" si="1"/>
        <v>29904</v>
      </c>
      <c r="F24" s="24"/>
      <c r="G24" s="24"/>
      <c r="H24" s="24"/>
      <c r="I24" s="24"/>
      <c r="J24" s="24"/>
      <c r="K24" s="24">
        <v>5000</v>
      </c>
      <c r="L24" s="24"/>
      <c r="M24" s="24"/>
      <c r="N24" s="24">
        <v>1096</v>
      </c>
      <c r="O24" s="24"/>
      <c r="P24" s="24"/>
      <c r="Q24" s="24"/>
      <c r="R24" s="24"/>
      <c r="S24" s="24"/>
      <c r="T24" s="24"/>
    </row>
    <row r="25" spans="1:21" ht="15.75" thickBot="1">
      <c r="A25" s="209" t="s">
        <v>369</v>
      </c>
      <c r="B25" s="210" t="s">
        <v>370</v>
      </c>
      <c r="C25" s="211">
        <v>9000</v>
      </c>
      <c r="D25" s="45">
        <f t="shared" si="0"/>
        <v>6000</v>
      </c>
      <c r="E25" s="45">
        <f t="shared" si="1"/>
        <v>3000</v>
      </c>
      <c r="F25" s="24"/>
      <c r="G25" s="24"/>
      <c r="H25" s="24"/>
      <c r="I25" s="24"/>
      <c r="J25" s="24"/>
      <c r="K25" s="24"/>
      <c r="L25" s="24"/>
      <c r="M25" s="24"/>
      <c r="N25" s="24">
        <v>6000</v>
      </c>
      <c r="O25" s="24"/>
      <c r="P25" s="24"/>
      <c r="Q25" s="24"/>
      <c r="R25" s="24"/>
      <c r="S25" s="24"/>
      <c r="T25" s="24"/>
    </row>
    <row r="26" spans="1:21" ht="15.75" thickBot="1">
      <c r="A26" s="209" t="s">
        <v>363</v>
      </c>
      <c r="B26" s="210" t="s">
        <v>364</v>
      </c>
      <c r="C26" s="211">
        <v>39000</v>
      </c>
      <c r="D26" s="45">
        <f t="shared" si="0"/>
        <v>27450</v>
      </c>
      <c r="E26" s="45">
        <f t="shared" si="1"/>
        <v>11550</v>
      </c>
      <c r="F26" s="24"/>
      <c r="G26" s="24"/>
      <c r="H26" s="24"/>
      <c r="I26" s="24">
        <f>9000+3000</f>
        <v>12000</v>
      </c>
      <c r="J26" s="24">
        <v>2950</v>
      </c>
      <c r="K26" s="24">
        <v>3400</v>
      </c>
      <c r="L26" s="24">
        <v>3000</v>
      </c>
      <c r="M26" s="24">
        <v>3000</v>
      </c>
      <c r="N26" s="24">
        <v>3100</v>
      </c>
      <c r="O26" s="24"/>
      <c r="P26" s="24"/>
      <c r="Q26" s="24"/>
      <c r="R26" s="24"/>
      <c r="S26" s="24"/>
      <c r="T26" s="24"/>
    </row>
    <row r="27" spans="1:21" ht="15.75" thickBot="1">
      <c r="A27" s="212">
        <v>9055</v>
      </c>
      <c r="B27" s="213" t="s">
        <v>374</v>
      </c>
      <c r="C27" s="214">
        <v>33000</v>
      </c>
      <c r="D27" s="45">
        <f t="shared" si="0"/>
        <v>14976</v>
      </c>
      <c r="E27" s="45">
        <f t="shared" si="1"/>
        <v>18024</v>
      </c>
      <c r="F27" s="24"/>
      <c r="G27" s="24"/>
      <c r="H27" s="24"/>
      <c r="I27" s="24">
        <v>9692</v>
      </c>
      <c r="J27" s="24">
        <v>2642</v>
      </c>
      <c r="K27" s="24"/>
      <c r="L27" s="24">
        <v>2642</v>
      </c>
      <c r="M27" s="24"/>
      <c r="N27" s="24"/>
      <c r="O27" s="24"/>
      <c r="P27" s="24"/>
      <c r="Q27" s="24"/>
      <c r="R27" s="24"/>
      <c r="S27" s="24"/>
      <c r="T27" s="24"/>
    </row>
    <row r="28" spans="1:21" ht="15.75" thickBot="1">
      <c r="A28" s="93"/>
      <c r="B28" s="94"/>
      <c r="C28" s="95"/>
      <c r="D28" s="45"/>
      <c r="E28" s="45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1" ht="15.75" thickBot="1">
      <c r="A29" s="93"/>
      <c r="B29" s="94"/>
      <c r="C29" s="95"/>
      <c r="D29" s="96"/>
      <c r="E29" s="96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1" s="62" customFormat="1" ht="15.75" thickBot="1">
      <c r="A30" s="90"/>
      <c r="B30" s="82"/>
      <c r="C30" s="91">
        <f>SUM(C12:C28)</f>
        <v>521500</v>
      </c>
      <c r="D30" s="91">
        <f t="shared" ref="D30:T30" si="2">SUM(D12:D28)</f>
        <v>248894</v>
      </c>
      <c r="E30" s="91">
        <f t="shared" si="2"/>
        <v>272606</v>
      </c>
      <c r="F30" s="92">
        <f>SUM(F12:F28)</f>
        <v>0</v>
      </c>
      <c r="G30" s="92">
        <f t="shared" si="2"/>
        <v>0</v>
      </c>
      <c r="H30" s="92">
        <f t="shared" si="2"/>
        <v>0</v>
      </c>
      <c r="I30" s="92">
        <f t="shared" si="2"/>
        <v>32511</v>
      </c>
      <c r="J30" s="92">
        <f t="shared" si="2"/>
        <v>46905</v>
      </c>
      <c r="K30" s="92">
        <f t="shared" si="2"/>
        <v>31983</v>
      </c>
      <c r="L30" s="92">
        <f t="shared" si="2"/>
        <v>33825</v>
      </c>
      <c r="M30" s="92">
        <f t="shared" si="2"/>
        <v>43717</v>
      </c>
      <c r="N30" s="92">
        <f t="shared" si="2"/>
        <v>59953</v>
      </c>
      <c r="O30" s="92">
        <f t="shared" si="2"/>
        <v>0</v>
      </c>
      <c r="P30" s="92">
        <f t="shared" si="2"/>
        <v>0</v>
      </c>
      <c r="Q30" s="92">
        <f t="shared" si="2"/>
        <v>0</v>
      </c>
      <c r="R30" s="92">
        <f t="shared" si="2"/>
        <v>0</v>
      </c>
      <c r="S30" s="92">
        <f t="shared" si="2"/>
        <v>0</v>
      </c>
      <c r="T30" s="92">
        <f t="shared" si="2"/>
        <v>0</v>
      </c>
      <c r="U30" s="60"/>
    </row>
    <row r="31" spans="1:21">
      <c r="A31" s="32"/>
      <c r="B31" s="20"/>
      <c r="C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1">
      <c r="A32" s="32"/>
      <c r="B32" s="20"/>
      <c r="C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spans="1:20">
      <c r="A33" s="32"/>
      <c r="B33" s="20"/>
      <c r="C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24"/>
      <c r="R33" s="24"/>
      <c r="S33" s="24"/>
      <c r="T33" s="24"/>
    </row>
    <row r="34" spans="1:20">
      <c r="C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spans="1:20">
      <c r="C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spans="1:20">
      <c r="C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spans="1:20">
      <c r="C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spans="1:20">
      <c r="C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spans="1:20">
      <c r="C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spans="1:20">
      <c r="C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spans="1:20">
      <c r="C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spans="1:20">
      <c r="C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spans="1:20">
      <c r="C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spans="1:20">
      <c r="C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spans="1:20">
      <c r="C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spans="1:20">
      <c r="C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spans="1:20">
      <c r="C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spans="1:20">
      <c r="C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spans="3:20">
      <c r="C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spans="3:20">
      <c r="C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spans="3:20">
      <c r="C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spans="3:20">
      <c r="C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spans="3:20"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spans="3:20"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spans="3:20"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spans="3:20"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spans="3:20"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spans="3:20"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spans="3:20"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spans="3:20"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spans="3:20"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spans="3:20"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spans="3:20"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spans="3:20"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 spans="6:20"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</row>
    <row r="66" spans="6:20"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 spans="6:20"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 spans="6:20"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</row>
    <row r="69" spans="6:20"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</row>
    <row r="70" spans="6:20"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</row>
  </sheetData>
  <sheetProtection password="EF32" sheet="1" objects="1" scenarios="1"/>
  <sortState ref="A12:V27">
    <sortCondition ref="A12:A27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9">
    <tabColor rgb="FFCCFFCC"/>
  </sheetPr>
  <dimension ref="A1:AN49"/>
  <sheetViews>
    <sheetView zoomScaleNormal="100" workbookViewId="0">
      <pane xSplit="11" ySplit="11" topLeftCell="P12" activePane="bottomRight" state="frozen"/>
      <selection pane="topRight" activeCell="J1" sqref="J1"/>
      <selection pane="bottomLeft" activeCell="A12" sqref="A12"/>
      <selection pane="bottomRight" activeCell="Q19" sqref="Q19"/>
    </sheetView>
  </sheetViews>
  <sheetFormatPr defaultRowHeight="15"/>
  <cols>
    <col min="1" max="1" width="10.7109375" customWidth="1"/>
    <col min="2" max="2" width="32.140625" customWidth="1"/>
    <col min="3" max="5" width="13.5703125" style="4" customWidth="1"/>
    <col min="6" max="6" width="11.42578125" style="4" customWidth="1"/>
    <col min="7" max="7" width="12" style="4" customWidth="1"/>
    <col min="8" max="8" width="15" hidden="1" customWidth="1"/>
    <col min="9" max="9" width="12.140625" hidden="1" customWidth="1"/>
    <col min="10" max="11" width="12.7109375" hidden="1" customWidth="1"/>
    <col min="12" max="12" width="15.7109375" style="130" customWidth="1"/>
    <col min="13" max="23" width="15.7109375" customWidth="1"/>
    <col min="24" max="24" width="10.85546875" customWidth="1"/>
  </cols>
  <sheetData>
    <row r="1" spans="1:40" s="4" customFormat="1" ht="21">
      <c r="A1" s="78" t="s">
        <v>0</v>
      </c>
      <c r="B1" s="73"/>
      <c r="C1" s="69" t="s">
        <v>126</v>
      </c>
      <c r="D1" s="133"/>
      <c r="E1" s="133"/>
      <c r="F1" s="78"/>
      <c r="G1" s="70"/>
      <c r="H1" s="74"/>
      <c r="I1" s="73"/>
      <c r="J1" s="73"/>
      <c r="K1" s="73"/>
      <c r="L1" s="138"/>
      <c r="M1" s="69" t="str">
        <f>C1</f>
        <v>Colorado Graduation Pathways</v>
      </c>
      <c r="N1" s="73"/>
      <c r="O1" s="73"/>
      <c r="P1" s="73"/>
      <c r="Q1" s="73"/>
      <c r="R1" s="73"/>
      <c r="S1" s="69" t="str">
        <f>C1</f>
        <v>Colorado Graduation Pathways</v>
      </c>
      <c r="T1" s="73"/>
      <c r="U1" s="73"/>
      <c r="V1" s="73"/>
      <c r="W1" s="73"/>
    </row>
    <row r="2" spans="1:40" s="4" customFormat="1" ht="18.75">
      <c r="A2" s="79" t="s">
        <v>1</v>
      </c>
      <c r="B2" s="73"/>
      <c r="C2" s="77">
        <v>84.36</v>
      </c>
      <c r="D2" s="136"/>
      <c r="E2" s="136"/>
      <c r="F2" s="79"/>
      <c r="G2" s="71"/>
      <c r="H2" s="74"/>
      <c r="I2" s="73"/>
      <c r="J2" s="73"/>
      <c r="K2" s="73"/>
      <c r="L2" s="138"/>
      <c r="M2" s="59" t="str">
        <f>"FY"&amp;C4</f>
        <v>FYFY2013-14</v>
      </c>
      <c r="N2" s="73"/>
      <c r="O2" s="73"/>
      <c r="P2" s="73"/>
      <c r="Q2" s="73"/>
      <c r="R2" s="73"/>
      <c r="S2" s="59" t="str">
        <f>"FY"&amp;C4</f>
        <v>FYFY2013-14</v>
      </c>
      <c r="T2" s="73"/>
      <c r="U2" s="73"/>
      <c r="V2" s="73"/>
      <c r="W2" s="73"/>
    </row>
    <row r="3" spans="1:40" s="4" customFormat="1" ht="15.75">
      <c r="A3" s="79" t="s">
        <v>2</v>
      </c>
      <c r="B3" s="73"/>
      <c r="C3" s="77">
        <v>5360</v>
      </c>
      <c r="D3" s="136"/>
      <c r="E3" s="136"/>
      <c r="F3" s="79"/>
      <c r="G3" s="71"/>
      <c r="H3" s="74"/>
      <c r="I3" s="73"/>
      <c r="J3" s="73"/>
      <c r="K3" s="73"/>
      <c r="L3" s="138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</row>
    <row r="4" spans="1:40" s="4" customFormat="1" ht="15.75">
      <c r="A4" s="79" t="s">
        <v>3</v>
      </c>
      <c r="B4" s="73"/>
      <c r="C4" s="77" t="s">
        <v>266</v>
      </c>
      <c r="D4" s="136"/>
      <c r="E4" s="136"/>
      <c r="F4" s="71"/>
      <c r="G4" s="71"/>
      <c r="H4" s="74"/>
      <c r="I4" s="73"/>
      <c r="J4" s="73"/>
      <c r="K4" s="73"/>
      <c r="L4" s="138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</row>
    <row r="5" spans="1:40" s="4" customFormat="1" ht="15.75">
      <c r="A5" s="79" t="s">
        <v>104</v>
      </c>
      <c r="B5" s="73"/>
      <c r="C5" s="77" t="s">
        <v>107</v>
      </c>
      <c r="D5" s="136"/>
      <c r="E5" s="136"/>
      <c r="F5" s="71"/>
      <c r="G5" s="71"/>
      <c r="H5" s="74"/>
      <c r="I5" s="73"/>
      <c r="J5" s="73"/>
      <c r="K5" s="73"/>
      <c r="L5" s="138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</row>
    <row r="6" spans="1:40" s="4" customFormat="1" ht="15.75">
      <c r="A6" s="79" t="s">
        <v>65</v>
      </c>
      <c r="B6" s="73"/>
      <c r="C6" s="77" t="s">
        <v>274</v>
      </c>
      <c r="D6" s="136"/>
      <c r="E6" s="136"/>
      <c r="F6" s="71"/>
      <c r="G6" s="71"/>
      <c r="H6" s="72"/>
      <c r="I6" s="73"/>
      <c r="J6" s="73"/>
      <c r="K6" s="73"/>
      <c r="L6" s="138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</row>
    <row r="7" spans="1:40" s="4" customFormat="1" ht="15.75">
      <c r="A7" s="79" t="s">
        <v>67</v>
      </c>
      <c r="B7" s="73"/>
      <c r="C7" s="77" t="s">
        <v>223</v>
      </c>
      <c r="D7" s="136"/>
      <c r="E7" s="136"/>
      <c r="F7" s="71"/>
      <c r="G7" s="71"/>
      <c r="H7" s="72"/>
      <c r="I7" s="73"/>
      <c r="J7" s="73"/>
      <c r="K7" s="73"/>
      <c r="L7" s="138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</row>
    <row r="8" spans="1:40" s="4" customFormat="1" ht="15.75">
      <c r="A8" s="79" t="s">
        <v>207</v>
      </c>
      <c r="B8" s="73"/>
      <c r="C8" s="77" t="s">
        <v>267</v>
      </c>
      <c r="D8" s="136"/>
      <c r="E8" s="136"/>
      <c r="F8" s="71"/>
      <c r="G8" s="71"/>
      <c r="H8" s="72"/>
      <c r="I8" s="73"/>
      <c r="J8" s="73"/>
      <c r="K8" s="73"/>
      <c r="L8" s="138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</row>
    <row r="9" spans="1:40" s="4" customFormat="1" ht="21">
      <c r="A9" s="78" t="s">
        <v>268</v>
      </c>
      <c r="B9" s="73"/>
      <c r="C9" s="77"/>
      <c r="D9" s="136"/>
      <c r="E9" s="136"/>
      <c r="F9" s="71"/>
      <c r="G9" s="71"/>
      <c r="H9" s="72"/>
      <c r="I9" s="73"/>
      <c r="J9" s="73"/>
      <c r="K9" s="73"/>
      <c r="L9" s="138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</row>
    <row r="10" spans="1:40" s="4" customFormat="1" ht="15.75" thickBot="1">
      <c r="A10" s="67"/>
      <c r="B10" s="73"/>
      <c r="C10" s="73"/>
      <c r="D10" s="138"/>
      <c r="E10" s="138"/>
      <c r="F10" s="73"/>
      <c r="G10" s="73"/>
      <c r="H10" s="73"/>
      <c r="I10" s="73"/>
      <c r="J10" s="73"/>
      <c r="K10" s="73"/>
      <c r="L10" s="138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</row>
    <row r="11" spans="1:40" ht="45.75" thickBot="1">
      <c r="A11" s="56" t="s">
        <v>4</v>
      </c>
      <c r="B11" s="241" t="s">
        <v>5</v>
      </c>
      <c r="C11" s="57" t="s">
        <v>261</v>
      </c>
      <c r="D11" s="57" t="s">
        <v>486</v>
      </c>
      <c r="E11" s="57" t="s">
        <v>269</v>
      </c>
      <c r="F11" s="242" t="s">
        <v>45</v>
      </c>
      <c r="G11" s="50" t="s">
        <v>46</v>
      </c>
      <c r="H11" s="48" t="s">
        <v>58</v>
      </c>
      <c r="I11" s="47" t="s">
        <v>59</v>
      </c>
      <c r="J11" s="48" t="s">
        <v>60</v>
      </c>
      <c r="K11" s="47" t="s">
        <v>61</v>
      </c>
      <c r="L11" s="47" t="s">
        <v>497</v>
      </c>
      <c r="M11" s="48" t="s">
        <v>498</v>
      </c>
      <c r="N11" s="47" t="s">
        <v>499</v>
      </c>
      <c r="O11" s="48" t="s">
        <v>500</v>
      </c>
      <c r="P11" s="48" t="s">
        <v>501</v>
      </c>
      <c r="Q11" s="47" t="s">
        <v>502</v>
      </c>
      <c r="R11" s="48" t="s">
        <v>503</v>
      </c>
      <c r="S11" s="47" t="s">
        <v>504</v>
      </c>
      <c r="T11" s="48" t="s">
        <v>505</v>
      </c>
      <c r="U11" s="47" t="s">
        <v>506</v>
      </c>
      <c r="V11" s="48" t="s">
        <v>507</v>
      </c>
      <c r="W11" s="48" t="s">
        <v>508</v>
      </c>
    </row>
    <row r="12" spans="1:40" s="107" customFormat="1" ht="15.75" thickBot="1">
      <c r="A12" s="115" t="s">
        <v>116</v>
      </c>
      <c r="B12" s="86" t="s">
        <v>133</v>
      </c>
      <c r="C12" s="100">
        <v>125000</v>
      </c>
      <c r="D12" s="243">
        <v>13500</v>
      </c>
      <c r="E12" s="244">
        <f>SUM(C12:D12)</f>
        <v>138500</v>
      </c>
      <c r="F12" s="101">
        <f t="shared" ref="F12:F30" si="0">SUM(H12:W12)</f>
        <v>29218</v>
      </c>
      <c r="G12" s="102">
        <f t="shared" ref="G12:G17" si="1">E12-F12</f>
        <v>109282</v>
      </c>
      <c r="H12" s="106"/>
      <c r="I12" s="106"/>
      <c r="J12" s="106"/>
      <c r="K12" s="106"/>
      <c r="L12" s="106"/>
      <c r="M12" s="106"/>
      <c r="N12" s="106"/>
      <c r="O12" s="106">
        <v>11763</v>
      </c>
      <c r="P12" s="106"/>
      <c r="Q12" s="106">
        <v>17455</v>
      </c>
      <c r="R12" s="106"/>
      <c r="S12" s="106"/>
      <c r="T12" s="106"/>
      <c r="U12" s="106"/>
      <c r="V12" s="106"/>
      <c r="W12" s="106"/>
    </row>
    <row r="13" spans="1:40" s="107" customFormat="1" ht="16.5" thickTop="1" thickBot="1">
      <c r="A13" s="118" t="s">
        <v>135</v>
      </c>
      <c r="B13" s="86" t="s">
        <v>136</v>
      </c>
      <c r="C13" s="100"/>
      <c r="D13" s="181"/>
      <c r="E13" s="180">
        <f t="shared" ref="E13:E30" si="2">SUM(C13:D13)</f>
        <v>0</v>
      </c>
      <c r="F13" s="101">
        <f t="shared" si="0"/>
        <v>0</v>
      </c>
      <c r="G13" s="102">
        <f t="shared" si="1"/>
        <v>0</v>
      </c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</row>
    <row r="14" spans="1:40" s="107" customFormat="1" ht="16.5" thickTop="1" thickBot="1">
      <c r="A14" s="117" t="s">
        <v>73</v>
      </c>
      <c r="B14" s="86" t="s">
        <v>77</v>
      </c>
      <c r="C14" s="100">
        <v>285000</v>
      </c>
      <c r="D14" s="181">
        <v>29184</v>
      </c>
      <c r="E14" s="180">
        <f t="shared" si="2"/>
        <v>314184</v>
      </c>
      <c r="F14" s="101">
        <f t="shared" si="0"/>
        <v>145214</v>
      </c>
      <c r="G14" s="102">
        <f t="shared" si="1"/>
        <v>168970</v>
      </c>
      <c r="H14" s="106"/>
      <c r="I14" s="106"/>
      <c r="J14" s="106"/>
      <c r="K14" s="106"/>
      <c r="L14" s="106"/>
      <c r="M14" s="106">
        <v>68069</v>
      </c>
      <c r="N14" s="106">
        <v>14494</v>
      </c>
      <c r="O14" s="106">
        <v>21508</v>
      </c>
      <c r="P14" s="106">
        <v>16833</v>
      </c>
      <c r="Q14" s="106">
        <v>24310</v>
      </c>
      <c r="R14" s="106"/>
      <c r="S14" s="106"/>
      <c r="T14" s="106"/>
      <c r="U14" s="106"/>
      <c r="V14" s="106"/>
      <c r="W14" s="106"/>
    </row>
    <row r="15" spans="1:40" s="107" customFormat="1" ht="16.5" thickTop="1" thickBot="1">
      <c r="A15" s="117" t="s">
        <v>6</v>
      </c>
      <c r="B15" s="86" t="s">
        <v>99</v>
      </c>
      <c r="C15" s="100">
        <v>90000</v>
      </c>
      <c r="D15" s="181">
        <v>2605</v>
      </c>
      <c r="E15" s="180">
        <f t="shared" si="2"/>
        <v>92605</v>
      </c>
      <c r="F15" s="101">
        <f t="shared" si="0"/>
        <v>48156</v>
      </c>
      <c r="G15" s="102">
        <f t="shared" si="1"/>
        <v>44449</v>
      </c>
      <c r="H15" s="106"/>
      <c r="I15" s="106"/>
      <c r="J15" s="106"/>
      <c r="K15" s="106"/>
      <c r="L15" s="106"/>
      <c r="M15" s="106">
        <v>37646</v>
      </c>
      <c r="N15" s="106">
        <v>877</v>
      </c>
      <c r="O15" s="106"/>
      <c r="P15" s="106">
        <v>5120</v>
      </c>
      <c r="Q15" s="106">
        <v>4513</v>
      </c>
      <c r="R15" s="106"/>
      <c r="S15" s="106"/>
      <c r="T15" s="106"/>
      <c r="U15" s="106"/>
      <c r="V15" s="106"/>
      <c r="W15" s="106"/>
    </row>
    <row r="16" spans="1:40" s="107" customFormat="1" ht="16.5" thickTop="1" thickBot="1">
      <c r="A16" s="115" t="s">
        <v>96</v>
      </c>
      <c r="B16" s="86" t="s">
        <v>108</v>
      </c>
      <c r="C16" s="100">
        <v>70000</v>
      </c>
      <c r="D16" s="181"/>
      <c r="E16" s="180">
        <f t="shared" si="2"/>
        <v>70000</v>
      </c>
      <c r="F16" s="101">
        <f t="shared" si="0"/>
        <v>20327</v>
      </c>
      <c r="G16" s="102">
        <f t="shared" si="1"/>
        <v>49673</v>
      </c>
      <c r="H16" s="106"/>
      <c r="I16" s="106"/>
      <c r="J16" s="106"/>
      <c r="K16" s="106"/>
      <c r="L16" s="106"/>
      <c r="M16" s="106"/>
      <c r="N16" s="106"/>
      <c r="O16" s="106"/>
      <c r="P16" s="106"/>
      <c r="Q16" s="106">
        <f>15473+4854</f>
        <v>20327</v>
      </c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</row>
    <row r="17" spans="1:40" s="107" customFormat="1" ht="16.5" thickTop="1" thickBot="1">
      <c r="A17" s="115" t="s">
        <v>74</v>
      </c>
      <c r="B17" s="86" t="s">
        <v>118</v>
      </c>
      <c r="C17" s="100">
        <v>85500</v>
      </c>
      <c r="D17" s="181">
        <v>324</v>
      </c>
      <c r="E17" s="180">
        <f t="shared" si="2"/>
        <v>85824</v>
      </c>
      <c r="F17" s="101">
        <f t="shared" si="0"/>
        <v>43797</v>
      </c>
      <c r="G17" s="102">
        <f t="shared" si="1"/>
        <v>42027</v>
      </c>
      <c r="H17" s="106"/>
      <c r="I17" s="106"/>
      <c r="J17" s="106"/>
      <c r="K17" s="106"/>
      <c r="L17" s="106"/>
      <c r="M17" s="106">
        <v>17853</v>
      </c>
      <c r="N17" s="106"/>
      <c r="O17" s="106"/>
      <c r="P17" s="106">
        <v>20944</v>
      </c>
      <c r="Q17" s="106">
        <v>5000</v>
      </c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</row>
    <row r="18" spans="1:40" s="107" customFormat="1" ht="16.5" thickTop="1" thickBot="1">
      <c r="A18" s="115" t="s">
        <v>112</v>
      </c>
      <c r="B18" s="86" t="s">
        <v>130</v>
      </c>
      <c r="C18" s="100">
        <v>35000</v>
      </c>
      <c r="D18" s="181">
        <v>3500</v>
      </c>
      <c r="E18" s="180">
        <f t="shared" si="2"/>
        <v>38500</v>
      </c>
      <c r="F18" s="101">
        <f t="shared" si="0"/>
        <v>17760</v>
      </c>
      <c r="G18" s="102">
        <f>E18-F18</f>
        <v>20740</v>
      </c>
      <c r="H18" s="106"/>
      <c r="I18" s="106"/>
      <c r="J18" s="106"/>
      <c r="K18" s="106"/>
      <c r="L18" s="106"/>
      <c r="M18" s="106"/>
      <c r="N18" s="106"/>
      <c r="O18" s="106"/>
      <c r="P18" s="106"/>
      <c r="Q18" s="106">
        <v>17760</v>
      </c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</row>
    <row r="19" spans="1:40" s="107" customFormat="1" ht="16.5" thickTop="1" thickBot="1">
      <c r="A19" s="117" t="s">
        <v>8</v>
      </c>
      <c r="B19" s="86" t="s">
        <v>79</v>
      </c>
      <c r="C19" s="100">
        <v>324000</v>
      </c>
      <c r="D19" s="181"/>
      <c r="E19" s="180">
        <f t="shared" si="2"/>
        <v>324000</v>
      </c>
      <c r="F19" s="101">
        <f t="shared" si="0"/>
        <v>192514</v>
      </c>
      <c r="G19" s="102">
        <f t="shared" ref="G19:G30" si="3">E19-F19</f>
        <v>131486</v>
      </c>
      <c r="H19" s="106"/>
      <c r="I19" s="106"/>
      <c r="J19" s="106"/>
      <c r="K19" s="106"/>
      <c r="L19" s="106"/>
      <c r="M19" s="106">
        <v>101014</v>
      </c>
      <c r="N19" s="106">
        <v>5193</v>
      </c>
      <c r="O19" s="106">
        <v>30397</v>
      </c>
      <c r="P19" s="106">
        <v>26795</v>
      </c>
      <c r="Q19" s="106">
        <v>29115</v>
      </c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</row>
    <row r="20" spans="1:40" s="107" customFormat="1" ht="16.5" thickTop="1" thickBot="1">
      <c r="A20" s="118" t="s">
        <v>199</v>
      </c>
      <c r="B20" s="86" t="s">
        <v>136</v>
      </c>
      <c r="C20" s="100">
        <v>47500</v>
      </c>
      <c r="D20" s="181"/>
      <c r="E20" s="180">
        <f t="shared" si="2"/>
        <v>47500</v>
      </c>
      <c r="F20" s="101">
        <f t="shared" si="0"/>
        <v>22580</v>
      </c>
      <c r="G20" s="102">
        <f t="shared" si="3"/>
        <v>24920</v>
      </c>
      <c r="H20" s="106"/>
      <c r="I20" s="106"/>
      <c r="J20" s="106"/>
      <c r="K20" s="106"/>
      <c r="L20" s="106"/>
      <c r="M20" s="106"/>
      <c r="N20" s="106">
        <v>9035</v>
      </c>
      <c r="O20" s="106">
        <v>452</v>
      </c>
      <c r="P20" s="106"/>
      <c r="Q20" s="106">
        <v>13093</v>
      </c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</row>
    <row r="21" spans="1:40" s="107" customFormat="1" ht="16.5" thickTop="1" thickBot="1">
      <c r="A21" s="117" t="s">
        <v>75</v>
      </c>
      <c r="B21" s="86" t="s">
        <v>109</v>
      </c>
      <c r="C21" s="100">
        <v>116000</v>
      </c>
      <c r="D21" s="181"/>
      <c r="E21" s="180">
        <f t="shared" si="2"/>
        <v>116000</v>
      </c>
      <c r="F21" s="101">
        <f t="shared" si="0"/>
        <v>4566</v>
      </c>
      <c r="G21" s="102">
        <f t="shared" si="3"/>
        <v>111434</v>
      </c>
      <c r="H21" s="106"/>
      <c r="I21" s="106"/>
      <c r="J21" s="106"/>
      <c r="K21" s="106"/>
      <c r="L21" s="106"/>
      <c r="M21" s="106"/>
      <c r="N21" s="106">
        <v>4566</v>
      </c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</row>
    <row r="22" spans="1:40" s="107" customFormat="1" ht="16.5" thickTop="1" thickBot="1">
      <c r="A22" s="118">
        <v>1010</v>
      </c>
      <c r="B22" s="86" t="s">
        <v>72</v>
      </c>
      <c r="C22" s="100">
        <v>100000</v>
      </c>
      <c r="D22" s="181">
        <v>2626</v>
      </c>
      <c r="E22" s="180">
        <f t="shared" si="2"/>
        <v>102626</v>
      </c>
      <c r="F22" s="101">
        <f t="shared" si="0"/>
        <v>23733</v>
      </c>
      <c r="G22" s="102">
        <f t="shared" si="3"/>
        <v>78893</v>
      </c>
      <c r="H22" s="106"/>
      <c r="I22" s="106"/>
      <c r="J22" s="106"/>
      <c r="K22" s="106"/>
      <c r="L22" s="106"/>
      <c r="M22" s="106"/>
      <c r="N22" s="106"/>
      <c r="O22" s="106">
        <v>23733</v>
      </c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</row>
    <row r="23" spans="1:40" s="107" customFormat="1" ht="16.5" thickTop="1" thickBot="1">
      <c r="A23" s="115" t="s">
        <v>127</v>
      </c>
      <c r="B23" s="86" t="s">
        <v>131</v>
      </c>
      <c r="C23" s="100">
        <v>210500</v>
      </c>
      <c r="D23" s="181">
        <v>23500</v>
      </c>
      <c r="E23" s="180">
        <f t="shared" si="2"/>
        <v>234000</v>
      </c>
      <c r="F23" s="101">
        <f t="shared" si="0"/>
        <v>82794</v>
      </c>
      <c r="G23" s="102">
        <f t="shared" si="3"/>
        <v>151206</v>
      </c>
      <c r="H23" s="106"/>
      <c r="I23" s="106"/>
      <c r="J23" s="106"/>
      <c r="K23" s="106"/>
      <c r="L23" s="106"/>
      <c r="M23" s="106">
        <v>18917</v>
      </c>
      <c r="N23" s="106">
        <v>17736</v>
      </c>
      <c r="O23" s="106">
        <v>17676</v>
      </c>
      <c r="P23" s="106">
        <v>12744</v>
      </c>
      <c r="Q23" s="106">
        <v>15721</v>
      </c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</row>
    <row r="24" spans="1:40" s="107" customFormat="1" ht="16.5" thickTop="1" thickBot="1">
      <c r="A24" s="115" t="s">
        <v>128</v>
      </c>
      <c r="B24" s="86" t="s">
        <v>132</v>
      </c>
      <c r="C24" s="100">
        <v>35000</v>
      </c>
      <c r="D24" s="181"/>
      <c r="E24" s="180">
        <f t="shared" si="2"/>
        <v>35000</v>
      </c>
      <c r="F24" s="101">
        <f t="shared" si="0"/>
        <v>17754</v>
      </c>
      <c r="G24" s="102">
        <f t="shared" si="3"/>
        <v>17246</v>
      </c>
      <c r="H24" s="106"/>
      <c r="I24" s="106"/>
      <c r="J24" s="106"/>
      <c r="K24" s="106"/>
      <c r="L24" s="106"/>
      <c r="M24" s="106">
        <v>6375</v>
      </c>
      <c r="N24" s="106">
        <v>2832</v>
      </c>
      <c r="O24" s="106">
        <v>2849</v>
      </c>
      <c r="P24" s="106">
        <v>2849</v>
      </c>
      <c r="Q24" s="106">
        <v>2849</v>
      </c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</row>
    <row r="25" spans="1:40" s="107" customFormat="1" ht="16.5" thickTop="1" thickBot="1">
      <c r="A25" s="115" t="s">
        <v>114</v>
      </c>
      <c r="B25" s="86" t="s">
        <v>102</v>
      </c>
      <c r="C25" s="100">
        <v>35000</v>
      </c>
      <c r="D25" s="181"/>
      <c r="E25" s="180">
        <f t="shared" si="2"/>
        <v>35000</v>
      </c>
      <c r="F25" s="101">
        <f t="shared" si="0"/>
        <v>15508</v>
      </c>
      <c r="G25" s="102">
        <f t="shared" si="3"/>
        <v>19492</v>
      </c>
      <c r="H25" s="106"/>
      <c r="I25" s="106"/>
      <c r="J25" s="106"/>
      <c r="K25" s="106"/>
      <c r="L25" s="106"/>
      <c r="M25" s="106">
        <v>3549</v>
      </c>
      <c r="N25" s="106"/>
      <c r="O25" s="106"/>
      <c r="P25" s="106">
        <v>8730</v>
      </c>
      <c r="Q25" s="106">
        <v>3229</v>
      </c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</row>
    <row r="26" spans="1:40" s="107" customFormat="1" ht="16.5" thickTop="1" thickBot="1">
      <c r="A26" s="115" t="s">
        <v>129</v>
      </c>
      <c r="B26" s="86" t="s">
        <v>87</v>
      </c>
      <c r="C26" s="100">
        <v>85500</v>
      </c>
      <c r="D26" s="181">
        <v>23696</v>
      </c>
      <c r="E26" s="180">
        <f t="shared" si="2"/>
        <v>109196</v>
      </c>
      <c r="F26" s="101">
        <f t="shared" si="0"/>
        <v>26663</v>
      </c>
      <c r="G26" s="102">
        <f t="shared" si="3"/>
        <v>82533</v>
      </c>
      <c r="H26" s="106"/>
      <c r="I26" s="106"/>
      <c r="J26" s="106"/>
      <c r="K26" s="106"/>
      <c r="L26" s="106"/>
      <c r="M26" s="106">
        <v>4993</v>
      </c>
      <c r="N26" s="106">
        <v>5319</v>
      </c>
      <c r="O26" s="106">
        <v>5326</v>
      </c>
      <c r="P26" s="106">
        <v>5394</v>
      </c>
      <c r="Q26" s="106">
        <v>5631</v>
      </c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</row>
    <row r="27" spans="1:40" s="107" customFormat="1" ht="16.5" thickTop="1" thickBot="1">
      <c r="A27" s="115">
        <v>2405</v>
      </c>
      <c r="B27" s="86" t="s">
        <v>137</v>
      </c>
      <c r="C27" s="100">
        <v>35000</v>
      </c>
      <c r="D27" s="181">
        <v>7624</v>
      </c>
      <c r="E27" s="180">
        <f t="shared" si="2"/>
        <v>42624</v>
      </c>
      <c r="F27" s="101">
        <f t="shared" si="0"/>
        <v>15672</v>
      </c>
      <c r="G27" s="102">
        <f t="shared" si="3"/>
        <v>26952</v>
      </c>
      <c r="H27" s="106"/>
      <c r="I27" s="106"/>
      <c r="J27" s="106"/>
      <c r="K27" s="106"/>
      <c r="L27" s="106"/>
      <c r="M27" s="106">
        <v>3943</v>
      </c>
      <c r="N27" s="106">
        <v>2924</v>
      </c>
      <c r="O27" s="106">
        <v>2923</v>
      </c>
      <c r="P27" s="106">
        <v>2941</v>
      </c>
      <c r="Q27" s="106">
        <v>2941</v>
      </c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</row>
    <row r="28" spans="1:40" s="107" customFormat="1" ht="16.5" thickTop="1" thickBot="1">
      <c r="A28" s="115">
        <v>2690</v>
      </c>
      <c r="B28" s="86" t="s">
        <v>134</v>
      </c>
      <c r="C28" s="100">
        <v>81000</v>
      </c>
      <c r="D28" s="181"/>
      <c r="E28" s="180">
        <f t="shared" si="2"/>
        <v>81000</v>
      </c>
      <c r="F28" s="101">
        <f t="shared" si="0"/>
        <v>41987</v>
      </c>
      <c r="G28" s="102">
        <f t="shared" si="3"/>
        <v>39013</v>
      </c>
      <c r="H28" s="106"/>
      <c r="I28" s="106"/>
      <c r="J28" s="106"/>
      <c r="K28" s="106"/>
      <c r="L28" s="106"/>
      <c r="M28" s="106">
        <v>13066</v>
      </c>
      <c r="N28" s="106">
        <v>7432</v>
      </c>
      <c r="O28" s="106">
        <v>6969</v>
      </c>
      <c r="P28" s="106">
        <v>7057</v>
      </c>
      <c r="Q28" s="106">
        <v>7463</v>
      </c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</row>
    <row r="29" spans="1:40" s="107" customFormat="1" ht="16.5" thickTop="1" thickBot="1">
      <c r="A29" s="116" t="s">
        <v>115</v>
      </c>
      <c r="B29" s="114" t="s">
        <v>90</v>
      </c>
      <c r="C29" s="98">
        <v>70000</v>
      </c>
      <c r="D29" s="181"/>
      <c r="E29" s="180">
        <f t="shared" si="2"/>
        <v>70000</v>
      </c>
      <c r="F29" s="101">
        <f t="shared" si="0"/>
        <v>34169</v>
      </c>
      <c r="G29" s="102">
        <f t="shared" si="3"/>
        <v>35831</v>
      </c>
      <c r="H29" s="106"/>
      <c r="I29" s="106"/>
      <c r="J29" s="106"/>
      <c r="K29" s="106"/>
      <c r="L29" s="106"/>
      <c r="M29" s="106">
        <v>19467</v>
      </c>
      <c r="N29" s="106">
        <v>4310</v>
      </c>
      <c r="O29" s="106">
        <v>3206</v>
      </c>
      <c r="P29" s="106">
        <v>3228</v>
      </c>
      <c r="Q29" s="106">
        <v>3958</v>
      </c>
      <c r="R29" s="106"/>
      <c r="S29" s="106"/>
      <c r="T29" s="106"/>
      <c r="U29" s="106"/>
      <c r="V29" s="106"/>
      <c r="W29" s="106"/>
    </row>
    <row r="30" spans="1:40" s="107" customFormat="1" ht="16.5" thickTop="1" thickBot="1">
      <c r="A30" s="116">
        <v>3140</v>
      </c>
      <c r="B30" s="114" t="s">
        <v>138</v>
      </c>
      <c r="C30" s="98">
        <v>35000</v>
      </c>
      <c r="D30" s="181"/>
      <c r="E30" s="180">
        <f t="shared" si="2"/>
        <v>35000</v>
      </c>
      <c r="F30" s="101">
        <f t="shared" si="0"/>
        <v>6768</v>
      </c>
      <c r="G30" s="102">
        <f t="shared" si="3"/>
        <v>28232</v>
      </c>
      <c r="H30" s="106"/>
      <c r="I30" s="106"/>
      <c r="J30" s="106"/>
      <c r="K30" s="106"/>
      <c r="L30" s="106"/>
      <c r="M30" s="106"/>
      <c r="N30" s="106">
        <v>6768</v>
      </c>
      <c r="O30" s="106"/>
      <c r="P30" s="106"/>
      <c r="Q30" s="106"/>
      <c r="R30" s="106"/>
      <c r="S30" s="106"/>
      <c r="T30" s="106"/>
      <c r="U30" s="106"/>
      <c r="V30" s="106"/>
      <c r="W30" s="106"/>
    </row>
    <row r="31" spans="1:40" s="107" customFormat="1" ht="16.5" thickTop="1" thickBot="1">
      <c r="A31" s="111"/>
      <c r="B31" s="112"/>
      <c r="C31" s="98"/>
      <c r="D31" s="181"/>
      <c r="E31" s="182"/>
      <c r="F31" s="103"/>
      <c r="G31" s="99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</row>
    <row r="32" spans="1:40" s="61" customFormat="1" ht="15.75" thickBot="1">
      <c r="A32" s="113"/>
      <c r="B32" s="112"/>
      <c r="C32" s="80">
        <f>SUM(C12:C31)</f>
        <v>1865000</v>
      </c>
      <c r="D32" s="148">
        <f t="shared" ref="D32:E32" si="4">SUM(D12:D31)</f>
        <v>106559</v>
      </c>
      <c r="E32" s="148">
        <f t="shared" si="4"/>
        <v>1971559</v>
      </c>
      <c r="F32" s="80">
        <f t="shared" ref="F32:W32" si="5">SUM(F12:F31)</f>
        <v>789180</v>
      </c>
      <c r="G32" s="80">
        <f t="shared" si="5"/>
        <v>1182379</v>
      </c>
      <c r="H32" s="85">
        <f t="shared" si="5"/>
        <v>0</v>
      </c>
      <c r="I32" s="85">
        <f t="shared" si="5"/>
        <v>0</v>
      </c>
      <c r="J32" s="85">
        <f t="shared" si="5"/>
        <v>0</v>
      </c>
      <c r="K32" s="85">
        <f t="shared" si="5"/>
        <v>0</v>
      </c>
      <c r="L32" s="150">
        <f t="shared" si="5"/>
        <v>0</v>
      </c>
      <c r="M32" s="85">
        <f t="shared" si="5"/>
        <v>294892</v>
      </c>
      <c r="N32" s="85">
        <f t="shared" si="5"/>
        <v>81486</v>
      </c>
      <c r="O32" s="85">
        <f t="shared" si="5"/>
        <v>126802</v>
      </c>
      <c r="P32" s="85">
        <f t="shared" si="5"/>
        <v>112635</v>
      </c>
      <c r="Q32" s="85">
        <f t="shared" si="5"/>
        <v>173365</v>
      </c>
      <c r="R32" s="85">
        <f t="shared" si="5"/>
        <v>0</v>
      </c>
      <c r="S32" s="85">
        <f t="shared" si="5"/>
        <v>0</v>
      </c>
      <c r="T32" s="85">
        <f t="shared" si="5"/>
        <v>0</v>
      </c>
      <c r="U32" s="85">
        <f t="shared" si="5"/>
        <v>0</v>
      </c>
      <c r="V32" s="85">
        <f t="shared" si="5"/>
        <v>0</v>
      </c>
      <c r="W32" s="85">
        <f t="shared" si="5"/>
        <v>0</v>
      </c>
    </row>
    <row r="33" spans="3:24" s="66" customFormat="1">
      <c r="C33" s="65"/>
      <c r="D33" s="65"/>
      <c r="E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 spans="3:24" s="66" customFormat="1">
      <c r="C34" s="65"/>
      <c r="D34" s="65"/>
      <c r="E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 spans="3:24" s="66" customFormat="1"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 spans="3:24" s="66" customFormat="1"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 spans="3:24" s="66" customFormat="1"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 spans="3:24" s="66" customFormat="1"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 spans="3:24" s="66" customFormat="1"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 spans="3:24" s="66" customFormat="1"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 spans="3:24"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3:24"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3:24"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3:24"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3:24"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3:24"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3:24"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9" spans="8:24"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</sheetData>
  <sheetProtection password="EF32" sheet="1" objects="1" scenarios="1"/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4">
    <tabColor rgb="FFCCFFCC"/>
  </sheetPr>
  <dimension ref="A1:V67"/>
  <sheetViews>
    <sheetView workbookViewId="0">
      <pane xSplit="5" ySplit="10" topLeftCell="N11" activePane="bottomRight" state="frozen"/>
      <selection activeCell="V12" sqref="V12"/>
      <selection pane="topRight" activeCell="V12" sqref="V12"/>
      <selection pane="bottomLeft" activeCell="V12" sqref="V12"/>
      <selection pane="bottomRight" activeCell="N13" sqref="N13"/>
    </sheetView>
  </sheetViews>
  <sheetFormatPr defaultColWidth="9.140625" defaultRowHeight="15"/>
  <cols>
    <col min="1" max="1" width="9.140625" style="4"/>
    <col min="2" max="2" width="32.140625" style="4" customWidth="1"/>
    <col min="3" max="3" width="14.7109375" style="4" customWidth="1"/>
    <col min="4" max="4" width="12.7109375" style="4" customWidth="1"/>
    <col min="5" max="5" width="18" style="4" customWidth="1"/>
    <col min="6" max="20" width="15.7109375" style="4" customWidth="1"/>
    <col min="21" max="21" width="10.85546875" style="66" customWidth="1"/>
    <col min="22" max="16384" width="9.140625" style="4"/>
  </cols>
  <sheetData>
    <row r="1" spans="1:21" ht="21">
      <c r="A1" s="78" t="s">
        <v>0</v>
      </c>
      <c r="B1" s="73"/>
      <c r="C1" s="69" t="s">
        <v>230</v>
      </c>
      <c r="D1" s="78"/>
      <c r="E1" s="70"/>
      <c r="F1" s="74"/>
      <c r="G1" s="73"/>
      <c r="H1" s="73"/>
      <c r="I1" s="73"/>
      <c r="J1" s="69" t="str">
        <f>C1</f>
        <v>Tiered Intervention Grant Cohort 1</v>
      </c>
      <c r="K1" s="73"/>
      <c r="L1" s="73"/>
      <c r="M1" s="73"/>
      <c r="N1" s="73"/>
      <c r="O1" s="73"/>
      <c r="P1" s="73"/>
      <c r="Q1" s="69" t="str">
        <f>C1</f>
        <v>Tiered Intervention Grant Cohort 1</v>
      </c>
      <c r="R1" s="73"/>
      <c r="S1" s="73"/>
      <c r="T1" s="73"/>
    </row>
    <row r="2" spans="1:21" ht="18.75">
      <c r="A2" s="79" t="s">
        <v>1</v>
      </c>
      <c r="B2" s="73"/>
      <c r="C2" s="77">
        <v>84.376999999999995</v>
      </c>
      <c r="D2" s="79"/>
      <c r="E2" s="71"/>
      <c r="F2" s="74"/>
      <c r="G2" s="73"/>
      <c r="H2" s="73"/>
      <c r="I2" s="73"/>
      <c r="J2" s="59" t="str">
        <f>"FY"&amp;C4</f>
        <v>FY2013-14</v>
      </c>
      <c r="K2" s="73"/>
      <c r="L2" s="73"/>
      <c r="M2" s="73"/>
      <c r="N2" s="73"/>
      <c r="O2" s="73"/>
      <c r="P2" s="73"/>
      <c r="Q2" s="59" t="str">
        <f>"FY"&amp;C4</f>
        <v>FY2013-14</v>
      </c>
      <c r="R2" s="73"/>
      <c r="S2" s="73"/>
      <c r="T2" s="73"/>
    </row>
    <row r="3" spans="1:21" ht="15.75">
      <c r="A3" s="79" t="s">
        <v>2</v>
      </c>
      <c r="B3" s="73"/>
      <c r="C3" s="77">
        <v>7377</v>
      </c>
      <c r="D3" s="79"/>
      <c r="E3" s="71"/>
      <c r="F3" s="74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</row>
    <row r="4" spans="1:21" ht="15.75">
      <c r="A4" s="79" t="s">
        <v>3</v>
      </c>
      <c r="B4" s="73"/>
      <c r="C4" s="77" t="s">
        <v>249</v>
      </c>
      <c r="D4" s="79"/>
      <c r="E4" s="71"/>
      <c r="F4" s="74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</row>
    <row r="5" spans="1:21" ht="15.75">
      <c r="A5" s="79" t="s">
        <v>104</v>
      </c>
      <c r="B5" s="73"/>
      <c r="C5" s="77" t="s">
        <v>105</v>
      </c>
      <c r="D5" s="71"/>
      <c r="E5" s="71"/>
      <c r="F5" s="74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</row>
    <row r="6" spans="1:21" ht="15.75">
      <c r="A6" s="79" t="s">
        <v>65</v>
      </c>
      <c r="B6" s="73"/>
      <c r="C6" s="79" t="s">
        <v>254</v>
      </c>
      <c r="D6" s="71"/>
      <c r="E6" s="71"/>
      <c r="F6" s="72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</row>
    <row r="7" spans="1:21" ht="15.75">
      <c r="A7" s="79" t="s">
        <v>67</v>
      </c>
      <c r="B7" s="73"/>
      <c r="C7" s="79" t="s">
        <v>228</v>
      </c>
      <c r="D7" s="71"/>
      <c r="E7" s="71"/>
      <c r="F7" s="72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</row>
    <row r="8" spans="1:21" s="26" customFormat="1" ht="21">
      <c r="A8" s="78" t="s">
        <v>276</v>
      </c>
      <c r="B8" s="70"/>
      <c r="C8" s="69"/>
      <c r="D8" s="70"/>
      <c r="E8" s="70"/>
      <c r="F8" s="64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123"/>
    </row>
    <row r="9" spans="1:21" ht="15.75" thickBo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</row>
    <row r="10" spans="1:21" ht="30.75" thickBot="1">
      <c r="A10" s="51" t="s">
        <v>4</v>
      </c>
      <c r="B10" s="51" t="s">
        <v>111</v>
      </c>
      <c r="C10" s="51" t="s">
        <v>44</v>
      </c>
      <c r="D10" s="51" t="s">
        <v>45</v>
      </c>
      <c r="E10" s="87" t="s">
        <v>46</v>
      </c>
      <c r="F10" s="145" t="s">
        <v>535</v>
      </c>
      <c r="G10" s="143" t="s">
        <v>536</v>
      </c>
      <c r="H10" s="145" t="s">
        <v>537</v>
      </c>
      <c r="I10" s="143" t="s">
        <v>538</v>
      </c>
      <c r="J10" s="145" t="s">
        <v>539</v>
      </c>
      <c r="K10" s="143" t="s">
        <v>540</v>
      </c>
      <c r="L10" s="145" t="s">
        <v>541</v>
      </c>
      <c r="M10" s="143" t="s">
        <v>542</v>
      </c>
      <c r="N10" s="145" t="s">
        <v>543</v>
      </c>
      <c r="O10" s="143" t="s">
        <v>544</v>
      </c>
      <c r="P10" s="145" t="s">
        <v>545</v>
      </c>
      <c r="Q10" s="139" t="s">
        <v>546</v>
      </c>
      <c r="R10" s="145" t="s">
        <v>547</v>
      </c>
      <c r="S10" s="143" t="s">
        <v>548</v>
      </c>
      <c r="T10" s="141" t="s">
        <v>549</v>
      </c>
    </row>
    <row r="11" spans="1:21" ht="15.75" thickBot="1">
      <c r="A11" s="126" t="s">
        <v>589</v>
      </c>
      <c r="B11" s="151" t="s">
        <v>563</v>
      </c>
      <c r="C11" s="247">
        <v>228583</v>
      </c>
      <c r="D11" s="250">
        <f t="shared" ref="D11:D17" si="0">SUM(F11:X11)</f>
        <v>62771</v>
      </c>
      <c r="E11" s="250">
        <f t="shared" ref="E11:E17" si="1">C11-D11</f>
        <v>165812</v>
      </c>
      <c r="F11" s="24"/>
      <c r="G11" s="24"/>
      <c r="H11" s="24"/>
      <c r="I11" s="24"/>
      <c r="J11" s="24"/>
      <c r="K11" s="24">
        <v>21900</v>
      </c>
      <c r="L11" s="24">
        <v>15081</v>
      </c>
      <c r="M11" s="24">
        <v>25790</v>
      </c>
      <c r="N11" s="24"/>
      <c r="O11" s="24"/>
      <c r="P11" s="24"/>
      <c r="Q11" s="24"/>
      <c r="R11" s="24"/>
      <c r="S11" s="24"/>
      <c r="T11" s="24"/>
    </row>
    <row r="12" spans="1:21" ht="15.75" thickBot="1">
      <c r="A12" s="126" t="s">
        <v>590</v>
      </c>
      <c r="B12" s="151" t="s">
        <v>562</v>
      </c>
      <c r="C12" s="247">
        <v>123416</v>
      </c>
      <c r="D12" s="250">
        <f t="shared" si="0"/>
        <v>11066</v>
      </c>
      <c r="E12" s="250">
        <f t="shared" si="1"/>
        <v>112350</v>
      </c>
      <c r="F12" s="24"/>
      <c r="G12" s="24"/>
      <c r="H12" s="24"/>
      <c r="I12" s="24"/>
      <c r="J12" s="24"/>
      <c r="K12" s="24" t="s">
        <v>591</v>
      </c>
      <c r="L12" s="24">
        <v>2826</v>
      </c>
      <c r="M12" s="24">
        <v>2056</v>
      </c>
      <c r="N12" s="24">
        <v>6184</v>
      </c>
      <c r="O12" s="24"/>
      <c r="P12" s="24"/>
      <c r="Q12" s="24"/>
      <c r="R12" s="24"/>
      <c r="S12" s="24"/>
      <c r="T12" s="24"/>
    </row>
    <row r="13" spans="1:21" ht="15.75" thickBot="1">
      <c r="A13" s="126" t="s">
        <v>592</v>
      </c>
      <c r="B13" s="151" t="s">
        <v>559</v>
      </c>
      <c r="C13" s="247">
        <v>61353</v>
      </c>
      <c r="D13" s="250">
        <f t="shared" si="0"/>
        <v>16771</v>
      </c>
      <c r="E13" s="250">
        <f t="shared" si="1"/>
        <v>44582</v>
      </c>
      <c r="F13" s="24"/>
      <c r="G13" s="24"/>
      <c r="H13" s="24"/>
      <c r="I13" s="24"/>
      <c r="J13" s="24"/>
      <c r="K13" s="24">
        <v>16771</v>
      </c>
      <c r="L13" s="24"/>
      <c r="M13" s="24"/>
      <c r="N13" s="24"/>
      <c r="O13" s="24"/>
      <c r="P13" s="24"/>
      <c r="Q13" s="24"/>
      <c r="R13" s="24"/>
      <c r="S13" s="24"/>
      <c r="T13" s="24"/>
    </row>
    <row r="14" spans="1:21" ht="15.75" thickBot="1">
      <c r="A14" s="126" t="s">
        <v>593</v>
      </c>
      <c r="B14" s="151" t="s">
        <v>560</v>
      </c>
      <c r="C14" s="247">
        <v>276421</v>
      </c>
      <c r="D14" s="250">
        <f t="shared" si="0"/>
        <v>0</v>
      </c>
      <c r="E14" s="250">
        <f t="shared" si="1"/>
        <v>276421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spans="1:21" ht="30.75" thickBot="1">
      <c r="A15" s="126" t="s">
        <v>595</v>
      </c>
      <c r="B15" s="308" t="s">
        <v>564</v>
      </c>
      <c r="C15" s="247">
        <v>146060</v>
      </c>
      <c r="D15" s="250">
        <f t="shared" si="0"/>
        <v>25526</v>
      </c>
      <c r="E15" s="250">
        <f t="shared" si="1"/>
        <v>120534</v>
      </c>
      <c r="F15" s="24"/>
      <c r="G15" s="24"/>
      <c r="H15" s="24"/>
      <c r="I15" s="24"/>
      <c r="J15" s="24"/>
      <c r="K15" s="24">
        <v>25526</v>
      </c>
      <c r="L15" s="24"/>
      <c r="M15" s="24"/>
      <c r="N15" s="24"/>
      <c r="O15" s="24"/>
      <c r="P15" s="24"/>
      <c r="Q15" s="24"/>
      <c r="R15" s="24"/>
      <c r="S15" s="24"/>
      <c r="T15" s="24"/>
    </row>
    <row r="16" spans="1:21" ht="15.75" thickBot="1">
      <c r="A16" s="126" t="s">
        <v>596</v>
      </c>
      <c r="B16" s="151" t="s">
        <v>565</v>
      </c>
      <c r="C16" s="247">
        <v>316314</v>
      </c>
      <c r="D16" s="250">
        <f t="shared" si="0"/>
        <v>63089</v>
      </c>
      <c r="E16" s="250">
        <f t="shared" si="1"/>
        <v>253225</v>
      </c>
      <c r="F16" s="131"/>
      <c r="G16" s="131"/>
      <c r="H16" s="131"/>
      <c r="I16" s="131"/>
      <c r="J16" s="131"/>
      <c r="K16" s="131">
        <v>63089</v>
      </c>
      <c r="L16" s="131"/>
      <c r="M16" s="131"/>
      <c r="N16" s="131"/>
      <c r="O16" s="131"/>
      <c r="P16" s="131"/>
      <c r="Q16" s="131"/>
      <c r="R16" s="131"/>
      <c r="S16" s="131"/>
      <c r="T16" s="131"/>
    </row>
    <row r="17" spans="1:22" ht="15.75" thickBot="1">
      <c r="A17" s="126" t="s">
        <v>594</v>
      </c>
      <c r="B17" s="151" t="s">
        <v>561</v>
      </c>
      <c r="C17" s="247">
        <v>266513</v>
      </c>
      <c r="D17" s="250">
        <f t="shared" si="0"/>
        <v>0</v>
      </c>
      <c r="E17" s="250">
        <f t="shared" si="1"/>
        <v>266513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</row>
    <row r="18" spans="1:22" ht="15.75" thickBot="1">
      <c r="A18" s="124"/>
      <c r="B18" s="124"/>
      <c r="C18" s="247"/>
      <c r="D18" s="250"/>
      <c r="E18" s="250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spans="1:22" ht="15.75" hidden="1" thickBot="1">
      <c r="A19" s="124"/>
      <c r="B19" s="124"/>
      <c r="C19" s="247"/>
      <c r="D19" s="250">
        <f t="shared" ref="D19:D25" si="2">SUM(F19:X19)</f>
        <v>0</v>
      </c>
      <c r="E19" s="250">
        <f t="shared" ref="E19:E25" si="3">C19-D19</f>
        <v>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1:22" ht="15.75" hidden="1" thickBot="1">
      <c r="A20" s="124"/>
      <c r="B20" s="124"/>
      <c r="C20" s="247"/>
      <c r="D20" s="250">
        <f t="shared" si="2"/>
        <v>0</v>
      </c>
      <c r="E20" s="250">
        <f t="shared" si="3"/>
        <v>0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spans="1:22" ht="15.75" hidden="1" thickBot="1">
      <c r="A21" s="124"/>
      <c r="B21" s="124"/>
      <c r="C21" s="247"/>
      <c r="D21" s="250">
        <f t="shared" si="2"/>
        <v>0</v>
      </c>
      <c r="E21" s="250">
        <f t="shared" si="3"/>
        <v>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1:22" ht="15.75" hidden="1" thickBot="1">
      <c r="A22" s="124"/>
      <c r="B22" s="124"/>
      <c r="C22" s="247"/>
      <c r="D22" s="250">
        <f t="shared" si="2"/>
        <v>0</v>
      </c>
      <c r="E22" s="250">
        <f t="shared" si="3"/>
        <v>0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2" ht="15.75" hidden="1" thickBot="1">
      <c r="A23" s="124"/>
      <c r="B23" s="124"/>
      <c r="C23" s="247"/>
      <c r="D23" s="250">
        <f t="shared" si="2"/>
        <v>0</v>
      </c>
      <c r="E23" s="250">
        <f t="shared" si="3"/>
        <v>0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2" ht="15.75" hidden="1" thickBot="1">
      <c r="A24" s="124"/>
      <c r="B24" s="124"/>
      <c r="C24" s="247"/>
      <c r="D24" s="250">
        <f t="shared" si="2"/>
        <v>0</v>
      </c>
      <c r="E24" s="250">
        <f t="shared" si="3"/>
        <v>0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1:22" ht="15.75" hidden="1" thickBot="1">
      <c r="A25" s="124"/>
      <c r="B25" s="124"/>
      <c r="C25" s="247"/>
      <c r="D25" s="250">
        <f t="shared" si="2"/>
        <v>0</v>
      </c>
      <c r="E25" s="250">
        <f t="shared" si="3"/>
        <v>0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2" ht="15.75" hidden="1" thickBot="1">
      <c r="A26" s="151"/>
      <c r="B26" s="151"/>
      <c r="C26" s="247"/>
      <c r="D26" s="247"/>
      <c r="E26" s="247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</row>
    <row r="27" spans="1:22" s="62" customFormat="1" ht="15.75" thickBot="1">
      <c r="A27" s="90"/>
      <c r="B27" s="82"/>
      <c r="C27" s="249">
        <f t="shared" ref="C27:T27" si="4">SUM(C11:C25)</f>
        <v>1418660</v>
      </c>
      <c r="D27" s="249">
        <f t="shared" si="4"/>
        <v>179223</v>
      </c>
      <c r="E27" s="249">
        <f t="shared" si="4"/>
        <v>1239437</v>
      </c>
      <c r="F27" s="92">
        <f t="shared" si="4"/>
        <v>0</v>
      </c>
      <c r="G27" s="92">
        <f t="shared" si="4"/>
        <v>0</v>
      </c>
      <c r="H27" s="92">
        <f t="shared" si="4"/>
        <v>0</v>
      </c>
      <c r="I27" s="92">
        <f t="shared" si="4"/>
        <v>0</v>
      </c>
      <c r="J27" s="92">
        <f t="shared" si="4"/>
        <v>0</v>
      </c>
      <c r="K27" s="92">
        <f t="shared" si="4"/>
        <v>127286</v>
      </c>
      <c r="L27" s="92">
        <f t="shared" si="4"/>
        <v>17907</v>
      </c>
      <c r="M27" s="92">
        <f t="shared" si="4"/>
        <v>27846</v>
      </c>
      <c r="N27" s="92">
        <f t="shared" si="4"/>
        <v>6184</v>
      </c>
      <c r="O27" s="92">
        <f t="shared" si="4"/>
        <v>0</v>
      </c>
      <c r="P27" s="92">
        <f t="shared" si="4"/>
        <v>0</v>
      </c>
      <c r="Q27" s="92">
        <f t="shared" si="4"/>
        <v>0</v>
      </c>
      <c r="R27" s="92">
        <f t="shared" si="4"/>
        <v>0</v>
      </c>
      <c r="S27" s="92">
        <f t="shared" si="4"/>
        <v>0</v>
      </c>
      <c r="T27" s="92">
        <f t="shared" si="4"/>
        <v>0</v>
      </c>
      <c r="U27" s="125"/>
      <c r="V27" s="60"/>
    </row>
    <row r="28" spans="1:22">
      <c r="A28" s="32"/>
      <c r="B28" s="20"/>
      <c r="C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65"/>
    </row>
    <row r="29" spans="1:22">
      <c r="A29" s="32"/>
      <c r="B29" s="20"/>
      <c r="C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65"/>
    </row>
    <row r="30" spans="1:22">
      <c r="A30" s="32"/>
      <c r="B30" s="20"/>
      <c r="C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65"/>
    </row>
    <row r="31" spans="1:22">
      <c r="C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5"/>
    </row>
    <row r="32" spans="1:22">
      <c r="C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65"/>
    </row>
    <row r="33" spans="3:21">
      <c r="C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65"/>
    </row>
    <row r="34" spans="3:21">
      <c r="C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65"/>
    </row>
    <row r="35" spans="3:21">
      <c r="C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65"/>
    </row>
    <row r="36" spans="3:21">
      <c r="C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65"/>
    </row>
    <row r="37" spans="3:21">
      <c r="C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65"/>
    </row>
    <row r="38" spans="3:21">
      <c r="C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65"/>
    </row>
    <row r="39" spans="3:21">
      <c r="C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65"/>
    </row>
    <row r="40" spans="3:21">
      <c r="C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65"/>
    </row>
    <row r="41" spans="3:21">
      <c r="C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65"/>
    </row>
    <row r="42" spans="3:21">
      <c r="C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65"/>
    </row>
    <row r="43" spans="3:21">
      <c r="C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65"/>
    </row>
    <row r="44" spans="3:21">
      <c r="C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65"/>
    </row>
    <row r="45" spans="3:21">
      <c r="C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65"/>
    </row>
    <row r="46" spans="3:21">
      <c r="C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65"/>
    </row>
    <row r="47" spans="3:21">
      <c r="C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65"/>
    </row>
    <row r="48" spans="3:21">
      <c r="C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65"/>
    </row>
    <row r="49" spans="3:21">
      <c r="C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65"/>
    </row>
    <row r="50" spans="3:21"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65"/>
    </row>
    <row r="51" spans="3:21"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65"/>
    </row>
    <row r="52" spans="3:21"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65"/>
    </row>
    <row r="53" spans="3:21"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65"/>
    </row>
    <row r="54" spans="3:21"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65"/>
    </row>
    <row r="55" spans="3:21"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65"/>
    </row>
    <row r="56" spans="3:21"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65"/>
    </row>
    <row r="57" spans="3:21"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65"/>
    </row>
    <row r="58" spans="3:21"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65"/>
    </row>
    <row r="59" spans="3:21"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65"/>
    </row>
    <row r="60" spans="3:21"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65"/>
    </row>
    <row r="61" spans="3:21"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65"/>
    </row>
    <row r="62" spans="3:21"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65"/>
    </row>
    <row r="63" spans="3:21"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65"/>
    </row>
    <row r="64" spans="3:21"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65"/>
    </row>
    <row r="65" spans="6:21"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65"/>
    </row>
    <row r="66" spans="6:21"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65"/>
    </row>
    <row r="67" spans="6:21"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65"/>
    </row>
  </sheetData>
  <sheetProtection password="EF32" sheet="1" objects="1" scenarios="1"/>
  <sortState ref="A11:V17">
    <sortCondition ref="A11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0">
    <tabColor rgb="FFCCFFCC"/>
  </sheetPr>
  <dimension ref="A1:T22"/>
  <sheetViews>
    <sheetView workbookViewId="0">
      <pane xSplit="5" topLeftCell="N1" activePane="topRight" state="frozen"/>
      <selection pane="topRight" activeCell="N16" sqref="N16"/>
    </sheetView>
  </sheetViews>
  <sheetFormatPr defaultRowHeight="15"/>
  <cols>
    <col min="2" max="2" width="29.5703125" customWidth="1"/>
    <col min="3" max="3" width="15" customWidth="1"/>
    <col min="4" max="4" width="12.5703125" customWidth="1"/>
    <col min="5" max="5" width="14.5703125" customWidth="1"/>
    <col min="6" max="20" width="15.7109375" customWidth="1"/>
  </cols>
  <sheetData>
    <row r="1" spans="1:20" ht="21">
      <c r="A1" s="132" t="s">
        <v>0</v>
      </c>
      <c r="B1" s="138"/>
      <c r="C1" s="133" t="s">
        <v>231</v>
      </c>
      <c r="D1" s="132"/>
      <c r="E1" s="134"/>
      <c r="F1" s="140"/>
      <c r="G1" s="138"/>
      <c r="H1" s="138"/>
      <c r="I1" s="138"/>
      <c r="J1" s="133" t="str">
        <f>C1</f>
        <v>Tiered Intervention Grant Cohort 2</v>
      </c>
      <c r="K1" s="138"/>
      <c r="L1" s="138"/>
      <c r="M1" s="138"/>
      <c r="N1" s="138"/>
      <c r="O1" s="138"/>
      <c r="P1" s="138"/>
      <c r="Q1" s="133" t="str">
        <f>C1</f>
        <v>Tiered Intervention Grant Cohort 2</v>
      </c>
      <c r="R1" s="138"/>
      <c r="S1" s="138"/>
      <c r="T1" s="138"/>
    </row>
    <row r="2" spans="1:20" ht="18.75">
      <c r="A2" s="135" t="s">
        <v>1</v>
      </c>
      <c r="B2" s="138"/>
      <c r="C2" s="136">
        <v>84.376999999999995</v>
      </c>
      <c r="D2" s="135"/>
      <c r="E2" s="71"/>
      <c r="F2" s="140"/>
      <c r="G2" s="138"/>
      <c r="H2" s="138"/>
      <c r="I2" s="138"/>
      <c r="J2" s="146" t="str">
        <f>"FY"&amp;C4</f>
        <v>FY2013-14</v>
      </c>
      <c r="K2" s="138"/>
      <c r="L2" s="138"/>
      <c r="M2" s="138"/>
      <c r="N2" s="138"/>
      <c r="O2" s="138"/>
      <c r="P2" s="138"/>
      <c r="Q2" s="146" t="str">
        <f>"FY"&amp;C4</f>
        <v>FY2013-14</v>
      </c>
      <c r="R2" s="138"/>
      <c r="S2" s="138"/>
      <c r="T2" s="138"/>
    </row>
    <row r="3" spans="1:20" ht="15.75">
      <c r="A3" s="135" t="s">
        <v>2</v>
      </c>
      <c r="B3" s="138"/>
      <c r="C3" s="136">
        <v>7377</v>
      </c>
      <c r="D3" s="135"/>
      <c r="E3" s="71"/>
      <c r="F3" s="140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</row>
    <row r="4" spans="1:20" ht="15.75">
      <c r="A4" s="135" t="s">
        <v>3</v>
      </c>
      <c r="B4" s="138"/>
      <c r="C4" s="136" t="s">
        <v>249</v>
      </c>
      <c r="D4" s="135"/>
      <c r="E4" s="71"/>
      <c r="F4" s="140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</row>
    <row r="5" spans="1:20" ht="15.75">
      <c r="A5" s="135" t="s">
        <v>104</v>
      </c>
      <c r="B5" s="138"/>
      <c r="C5" s="136" t="s">
        <v>105</v>
      </c>
      <c r="D5" s="71"/>
      <c r="E5" s="71"/>
      <c r="F5" s="140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</row>
    <row r="6" spans="1:20" ht="15.75">
      <c r="A6" s="135" t="s">
        <v>65</v>
      </c>
      <c r="B6" s="138"/>
      <c r="C6" s="135" t="s">
        <v>274</v>
      </c>
      <c r="D6" s="71"/>
      <c r="E6" s="71"/>
      <c r="F6" s="137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</row>
    <row r="7" spans="1:20" ht="15.75">
      <c r="A7" s="135" t="s">
        <v>67</v>
      </c>
      <c r="B7" s="138"/>
      <c r="C7" s="135" t="s">
        <v>228</v>
      </c>
      <c r="D7" s="71"/>
      <c r="E7" s="71"/>
      <c r="F7" s="137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</row>
    <row r="8" spans="1:20" ht="21">
      <c r="A8" s="132" t="s">
        <v>248</v>
      </c>
      <c r="B8" s="134"/>
      <c r="C8" s="133"/>
      <c r="D8" s="134"/>
      <c r="E8" s="134"/>
      <c r="F8" s="6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</row>
    <row r="9" spans="1:20" ht="15.75" thickBot="1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</row>
    <row r="10" spans="1:20" ht="30.75" thickBot="1">
      <c r="A10" s="145" t="s">
        <v>4</v>
      </c>
      <c r="B10" s="147" t="s">
        <v>111</v>
      </c>
      <c r="C10" s="145" t="s">
        <v>44</v>
      </c>
      <c r="D10" s="145" t="s">
        <v>45</v>
      </c>
      <c r="E10" s="129" t="s">
        <v>46</v>
      </c>
      <c r="F10" s="145" t="s">
        <v>535</v>
      </c>
      <c r="G10" s="143" t="s">
        <v>536</v>
      </c>
      <c r="H10" s="145" t="s">
        <v>537</v>
      </c>
      <c r="I10" s="143" t="s">
        <v>538</v>
      </c>
      <c r="J10" s="145" t="s">
        <v>539</v>
      </c>
      <c r="K10" s="143" t="s">
        <v>540</v>
      </c>
      <c r="L10" s="145" t="s">
        <v>541</v>
      </c>
      <c r="M10" s="143" t="s">
        <v>542</v>
      </c>
      <c r="N10" s="145" t="s">
        <v>543</v>
      </c>
      <c r="O10" s="143" t="s">
        <v>544</v>
      </c>
      <c r="P10" s="145" t="s">
        <v>545</v>
      </c>
      <c r="Q10" s="139" t="s">
        <v>546</v>
      </c>
      <c r="R10" s="145" t="s">
        <v>547</v>
      </c>
      <c r="S10" s="143" t="s">
        <v>548</v>
      </c>
      <c r="T10" s="141" t="s">
        <v>549</v>
      </c>
    </row>
    <row r="11" spans="1:20" ht="15.75" thickBot="1">
      <c r="A11" s="89" t="s">
        <v>571</v>
      </c>
      <c r="B11" s="89" t="s">
        <v>388</v>
      </c>
      <c r="C11" s="253">
        <v>237959</v>
      </c>
      <c r="D11" s="250">
        <f t="shared" ref="D11:D17" si="0">SUM(F11:W11)</f>
        <v>118454</v>
      </c>
      <c r="E11" s="250">
        <f t="shared" ref="E11:E17" si="1">C11-D11</f>
        <v>119505</v>
      </c>
      <c r="F11" s="131"/>
      <c r="G11" s="131"/>
      <c r="H11" s="131"/>
      <c r="I11" s="131"/>
      <c r="J11" s="131"/>
      <c r="K11" s="131">
        <v>58921</v>
      </c>
      <c r="L11" s="131">
        <v>20907</v>
      </c>
      <c r="M11" s="131">
        <v>20451</v>
      </c>
      <c r="N11" s="131">
        <v>18175</v>
      </c>
      <c r="O11" s="131"/>
      <c r="P11" s="121"/>
      <c r="Q11" s="131"/>
      <c r="R11" s="131"/>
      <c r="S11" s="131"/>
      <c r="T11" s="131"/>
    </row>
    <row r="12" spans="1:20" s="310" customFormat="1" ht="15.75" thickBot="1">
      <c r="A12" s="309" t="s">
        <v>572</v>
      </c>
      <c r="B12" s="89" t="s">
        <v>566</v>
      </c>
      <c r="C12" s="253">
        <v>138126</v>
      </c>
      <c r="D12" s="250">
        <f t="shared" si="0"/>
        <v>28050</v>
      </c>
      <c r="E12" s="250">
        <f t="shared" si="1"/>
        <v>110076</v>
      </c>
      <c r="F12" s="131"/>
      <c r="G12" s="131"/>
      <c r="H12" s="131"/>
      <c r="I12" s="131"/>
      <c r="J12" s="131"/>
      <c r="K12" s="131"/>
      <c r="L12" s="131">
        <v>9933</v>
      </c>
      <c r="M12" s="131">
        <v>4683</v>
      </c>
      <c r="N12" s="131">
        <v>13434</v>
      </c>
      <c r="O12" s="131"/>
      <c r="P12" s="131"/>
      <c r="Q12" s="131"/>
      <c r="R12" s="131"/>
      <c r="S12" s="131"/>
      <c r="T12" s="131"/>
    </row>
    <row r="13" spans="1:20" ht="15.75" thickBot="1">
      <c r="A13" s="89" t="s">
        <v>573</v>
      </c>
      <c r="B13" s="89" t="s">
        <v>389</v>
      </c>
      <c r="C13" s="253">
        <v>280966</v>
      </c>
      <c r="D13" s="250">
        <f t="shared" si="0"/>
        <v>76768</v>
      </c>
      <c r="E13" s="250">
        <f t="shared" si="1"/>
        <v>204198</v>
      </c>
      <c r="F13" s="131"/>
      <c r="G13" s="131"/>
      <c r="H13" s="131"/>
      <c r="I13" s="131">
        <v>18794</v>
      </c>
      <c r="J13" s="131">
        <v>6439</v>
      </c>
      <c r="K13" s="131"/>
      <c r="L13" s="131"/>
      <c r="M13" s="131">
        <f>20408+17535</f>
        <v>37943</v>
      </c>
      <c r="N13" s="131">
        <v>13592</v>
      </c>
      <c r="O13" s="131"/>
      <c r="P13" s="131"/>
      <c r="Q13" s="131"/>
      <c r="R13" s="131"/>
      <c r="S13" s="131"/>
      <c r="T13" s="131"/>
    </row>
    <row r="14" spans="1:20" ht="15.75" thickBot="1">
      <c r="A14" s="89" t="s">
        <v>574</v>
      </c>
      <c r="B14" s="89" t="s">
        <v>390</v>
      </c>
      <c r="C14" s="253">
        <v>433770</v>
      </c>
      <c r="D14" s="250">
        <f t="shared" si="0"/>
        <v>177827</v>
      </c>
      <c r="E14" s="250">
        <f t="shared" si="1"/>
        <v>255943</v>
      </c>
      <c r="F14" s="131"/>
      <c r="G14" s="131"/>
      <c r="H14" s="131"/>
      <c r="I14" s="131">
        <v>25911</v>
      </c>
      <c r="J14" s="131">
        <v>6240</v>
      </c>
      <c r="K14" s="131"/>
      <c r="L14" s="131"/>
      <c r="M14" s="131">
        <f>12488+28659</f>
        <v>41147</v>
      </c>
      <c r="N14" s="131">
        <v>104529</v>
      </c>
      <c r="O14" s="131"/>
      <c r="P14" s="131"/>
      <c r="Q14" s="131"/>
      <c r="R14" s="131"/>
      <c r="S14" s="131"/>
      <c r="T14" s="131"/>
    </row>
    <row r="15" spans="1:20" ht="15.75" thickBot="1">
      <c r="A15" s="89" t="s">
        <v>575</v>
      </c>
      <c r="B15" s="89" t="s">
        <v>391</v>
      </c>
      <c r="C15" s="253">
        <v>84714</v>
      </c>
      <c r="D15" s="250">
        <f t="shared" si="0"/>
        <v>33259</v>
      </c>
      <c r="E15" s="250">
        <f t="shared" si="1"/>
        <v>51455</v>
      </c>
      <c r="F15" s="131"/>
      <c r="G15" s="131"/>
      <c r="H15" s="131"/>
      <c r="I15" s="131">
        <v>538</v>
      </c>
      <c r="J15" s="131">
        <v>452</v>
      </c>
      <c r="K15" s="131"/>
      <c r="L15" s="131"/>
      <c r="M15" s="131">
        <v>15205</v>
      </c>
      <c r="N15" s="131">
        <v>17064</v>
      </c>
      <c r="O15" s="131"/>
      <c r="P15" s="131"/>
      <c r="Q15" s="131"/>
      <c r="R15" s="131"/>
      <c r="S15" s="131"/>
      <c r="T15" s="131"/>
    </row>
    <row r="16" spans="1:20" ht="15.75" thickBot="1">
      <c r="A16" s="89" t="s">
        <v>576</v>
      </c>
      <c r="B16" s="89" t="s">
        <v>393</v>
      </c>
      <c r="C16" s="253">
        <v>245744</v>
      </c>
      <c r="D16" s="250">
        <f t="shared" si="0"/>
        <v>0</v>
      </c>
      <c r="E16" s="250">
        <f t="shared" si="1"/>
        <v>245744</v>
      </c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</row>
    <row r="17" spans="1:20" ht="15.75" thickBot="1">
      <c r="A17" s="89" t="s">
        <v>577</v>
      </c>
      <c r="B17" s="89" t="s">
        <v>392</v>
      </c>
      <c r="C17" s="253">
        <v>77533</v>
      </c>
      <c r="D17" s="250">
        <f t="shared" si="0"/>
        <v>31450</v>
      </c>
      <c r="E17" s="250">
        <f t="shared" si="1"/>
        <v>46083</v>
      </c>
      <c r="F17" s="131"/>
      <c r="G17" s="131"/>
      <c r="H17" s="131"/>
      <c r="I17" s="131">
        <v>4648</v>
      </c>
      <c r="J17" s="131">
        <v>2552</v>
      </c>
      <c r="K17" s="131">
        <v>2324</v>
      </c>
      <c r="L17" s="131">
        <v>5525</v>
      </c>
      <c r="M17" s="131">
        <v>5940</v>
      </c>
      <c r="N17" s="131">
        <v>10461</v>
      </c>
      <c r="O17" s="131"/>
      <c r="P17" s="131"/>
      <c r="Q17" s="131"/>
      <c r="R17" s="131"/>
      <c r="S17" s="131"/>
      <c r="T17" s="131"/>
    </row>
    <row r="18" spans="1:20" ht="15.75" thickBot="1">
      <c r="A18" s="126"/>
      <c r="B18" s="151"/>
      <c r="C18" s="247"/>
      <c r="D18" s="250"/>
      <c r="E18" s="250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</row>
    <row r="19" spans="1:20" ht="15.75" thickBot="1">
      <c r="A19" s="90"/>
      <c r="B19" s="82"/>
      <c r="C19" s="249">
        <f t="shared" ref="C19:T19" si="2">SUM(C11:C18)</f>
        <v>1498812</v>
      </c>
      <c r="D19" s="249">
        <f t="shared" si="2"/>
        <v>465808</v>
      </c>
      <c r="E19" s="249">
        <f t="shared" si="2"/>
        <v>1033004</v>
      </c>
      <c r="F19" s="92">
        <f t="shared" si="2"/>
        <v>0</v>
      </c>
      <c r="G19" s="92">
        <f t="shared" si="2"/>
        <v>0</v>
      </c>
      <c r="H19" s="92">
        <f t="shared" si="2"/>
        <v>0</v>
      </c>
      <c r="I19" s="92">
        <f t="shared" si="2"/>
        <v>49891</v>
      </c>
      <c r="J19" s="92">
        <f t="shared" si="2"/>
        <v>15683</v>
      </c>
      <c r="K19" s="92">
        <f t="shared" si="2"/>
        <v>61245</v>
      </c>
      <c r="L19" s="92">
        <f t="shared" si="2"/>
        <v>36365</v>
      </c>
      <c r="M19" s="92">
        <f t="shared" si="2"/>
        <v>125369</v>
      </c>
      <c r="N19" s="92">
        <f t="shared" si="2"/>
        <v>177255</v>
      </c>
      <c r="O19" s="92">
        <f t="shared" si="2"/>
        <v>0</v>
      </c>
      <c r="P19" s="92">
        <f t="shared" si="2"/>
        <v>0</v>
      </c>
      <c r="Q19" s="92">
        <f t="shared" si="2"/>
        <v>0</v>
      </c>
      <c r="R19" s="92">
        <f t="shared" si="2"/>
        <v>0</v>
      </c>
      <c r="S19" s="92">
        <f t="shared" si="2"/>
        <v>0</v>
      </c>
      <c r="T19" s="92">
        <f t="shared" si="2"/>
        <v>0</v>
      </c>
    </row>
    <row r="22" spans="1:20">
      <c r="Q22" s="21"/>
    </row>
  </sheetData>
  <sheetProtection password="EF32" sheet="1" objects="1" scenarios="1"/>
  <sortState ref="A11:T17">
    <sortCondition ref="A11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2">
    <tabColor rgb="FFCCFFCC"/>
  </sheetPr>
  <dimension ref="A1:T58"/>
  <sheetViews>
    <sheetView workbookViewId="0">
      <pane xSplit="5" ySplit="10" topLeftCell="N11" activePane="bottomRight" state="frozen"/>
      <selection pane="topRight" activeCell="F1" sqref="F1"/>
      <selection pane="bottomLeft" activeCell="A11" sqref="A11"/>
      <selection pane="bottomRight" activeCell="N13" sqref="N13"/>
    </sheetView>
  </sheetViews>
  <sheetFormatPr defaultColWidth="9.140625" defaultRowHeight="15"/>
  <cols>
    <col min="1" max="1" width="9.140625" style="4"/>
    <col min="2" max="2" width="40.42578125" style="4" bestFit="1" customWidth="1"/>
    <col min="3" max="3" width="15.28515625" style="4" customWidth="1"/>
    <col min="4" max="4" width="12.5703125" style="4" bestFit="1" customWidth="1"/>
    <col min="5" max="5" width="20" style="4" customWidth="1"/>
    <col min="6" max="16" width="15.7109375" style="4" customWidth="1"/>
    <col min="17" max="17" width="15.7109375" style="66" customWidth="1"/>
    <col min="18" max="20" width="15.7109375" style="4" customWidth="1"/>
    <col min="21" max="16384" width="9.140625" style="4"/>
  </cols>
  <sheetData>
    <row r="1" spans="1:20" ht="21">
      <c r="A1" s="78" t="s">
        <v>0</v>
      </c>
      <c r="B1" s="73"/>
      <c r="C1" s="69" t="s">
        <v>232</v>
      </c>
      <c r="D1" s="78"/>
      <c r="E1" s="70"/>
      <c r="F1" s="69" t="str">
        <f>C1</f>
        <v>Tiered Intervention Grant Cohort 3</v>
      </c>
      <c r="G1" s="73"/>
      <c r="H1" s="73"/>
      <c r="I1" s="73"/>
      <c r="J1" s="73"/>
      <c r="K1" s="73"/>
      <c r="L1" s="73"/>
      <c r="M1" s="69" t="str">
        <f>C1</f>
        <v>Tiered Intervention Grant Cohort 3</v>
      </c>
      <c r="N1" s="73"/>
      <c r="O1" s="73"/>
      <c r="P1" s="73"/>
      <c r="Q1" s="138"/>
      <c r="R1" s="138"/>
      <c r="S1" s="138"/>
      <c r="T1" s="138"/>
    </row>
    <row r="2" spans="1:20" ht="18.75">
      <c r="A2" s="79" t="s">
        <v>1</v>
      </c>
      <c r="B2" s="73"/>
      <c r="C2" s="77">
        <v>84.376999999999995</v>
      </c>
      <c r="D2" s="79"/>
      <c r="E2" s="71"/>
      <c r="F2" s="59" t="str">
        <f>"FY"&amp;C4</f>
        <v>FY2013-14</v>
      </c>
      <c r="G2" s="73"/>
      <c r="H2" s="73"/>
      <c r="I2" s="73"/>
      <c r="J2" s="73"/>
      <c r="K2" s="73"/>
      <c r="L2" s="73"/>
      <c r="M2" s="59" t="str">
        <f>"FY"&amp;C4</f>
        <v>FY2013-14</v>
      </c>
      <c r="N2" s="73"/>
      <c r="O2" s="73"/>
      <c r="P2" s="73"/>
      <c r="Q2" s="138"/>
      <c r="R2" s="138"/>
      <c r="S2" s="138"/>
      <c r="T2" s="138"/>
    </row>
    <row r="3" spans="1:20" ht="15.75">
      <c r="A3" s="79" t="s">
        <v>2</v>
      </c>
      <c r="B3" s="73"/>
      <c r="C3" s="77">
        <v>7377</v>
      </c>
      <c r="D3" s="79"/>
      <c r="E3" s="71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138"/>
      <c r="R3" s="138"/>
      <c r="S3" s="138"/>
      <c r="T3" s="138"/>
    </row>
    <row r="4" spans="1:20" ht="15.75">
      <c r="A4" s="79" t="s">
        <v>3</v>
      </c>
      <c r="B4" s="73"/>
      <c r="C4" s="77" t="s">
        <v>249</v>
      </c>
      <c r="D4" s="79"/>
      <c r="E4" s="71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138"/>
      <c r="R4" s="138"/>
      <c r="S4" s="138"/>
      <c r="T4" s="138"/>
    </row>
    <row r="5" spans="1:20" ht="15.75">
      <c r="A5" s="79" t="s">
        <v>104</v>
      </c>
      <c r="B5" s="73"/>
      <c r="C5" s="77" t="s">
        <v>105</v>
      </c>
      <c r="D5" s="71"/>
      <c r="E5" s="71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138"/>
      <c r="R5" s="138"/>
      <c r="S5" s="138"/>
      <c r="T5" s="138"/>
    </row>
    <row r="6" spans="1:20" ht="15.75">
      <c r="A6" s="79" t="s">
        <v>65</v>
      </c>
      <c r="B6" s="73"/>
      <c r="C6" s="79" t="s">
        <v>271</v>
      </c>
      <c r="D6" s="71"/>
      <c r="E6" s="71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138"/>
      <c r="R6" s="138"/>
      <c r="S6" s="138"/>
      <c r="T6" s="138"/>
    </row>
    <row r="7" spans="1:20" ht="15.75">
      <c r="A7" s="79" t="s">
        <v>67</v>
      </c>
      <c r="B7" s="73"/>
      <c r="C7" s="79" t="s">
        <v>228</v>
      </c>
      <c r="D7" s="71"/>
      <c r="E7" s="71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138"/>
      <c r="R7" s="138"/>
      <c r="S7" s="138"/>
      <c r="T7" s="138"/>
    </row>
    <row r="8" spans="1:20" s="26" customFormat="1" ht="21">
      <c r="A8" s="78" t="s">
        <v>248</v>
      </c>
      <c r="B8" s="70"/>
      <c r="C8" s="69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138"/>
      <c r="R8" s="138"/>
      <c r="S8" s="138"/>
      <c r="T8" s="138"/>
    </row>
    <row r="9" spans="1:20" ht="15.75" thickBo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138"/>
      <c r="R9" s="138"/>
      <c r="S9" s="138"/>
      <c r="T9" s="138"/>
    </row>
    <row r="10" spans="1:20" ht="30.75" thickBot="1">
      <c r="A10" s="51" t="s">
        <v>4</v>
      </c>
      <c r="B10" s="51" t="s">
        <v>111</v>
      </c>
      <c r="C10" s="51" t="s">
        <v>44</v>
      </c>
      <c r="D10" s="51" t="s">
        <v>45</v>
      </c>
      <c r="E10" s="87" t="s">
        <v>46</v>
      </c>
      <c r="F10" s="145" t="s">
        <v>535</v>
      </c>
      <c r="G10" s="143" t="s">
        <v>536</v>
      </c>
      <c r="H10" s="145" t="s">
        <v>537</v>
      </c>
      <c r="I10" s="143" t="s">
        <v>538</v>
      </c>
      <c r="J10" s="145" t="s">
        <v>539</v>
      </c>
      <c r="K10" s="143" t="s">
        <v>540</v>
      </c>
      <c r="L10" s="145" t="s">
        <v>541</v>
      </c>
      <c r="M10" s="143" t="s">
        <v>542</v>
      </c>
      <c r="N10" s="145" t="s">
        <v>543</v>
      </c>
      <c r="O10" s="143" t="s">
        <v>544</v>
      </c>
      <c r="P10" s="145" t="s">
        <v>545</v>
      </c>
      <c r="Q10" s="139" t="s">
        <v>546</v>
      </c>
      <c r="R10" s="145" t="s">
        <v>547</v>
      </c>
      <c r="S10" s="143" t="s">
        <v>548</v>
      </c>
      <c r="T10" s="145" t="s">
        <v>549</v>
      </c>
    </row>
    <row r="11" spans="1:20" ht="15.75" thickBot="1">
      <c r="A11" s="311" t="s">
        <v>579</v>
      </c>
      <c r="B11" s="311" t="s">
        <v>383</v>
      </c>
      <c r="C11" s="312">
        <v>284067</v>
      </c>
      <c r="D11" s="250">
        <f t="shared" ref="D11:D16" si="0">SUM(F11:T11)</f>
        <v>0</v>
      </c>
      <c r="E11" s="250">
        <f t="shared" ref="E11:E16" si="1">C11-D11</f>
        <v>284067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20" ht="15.75" thickBot="1">
      <c r="A12" s="311" t="s">
        <v>583</v>
      </c>
      <c r="B12" s="311" t="s">
        <v>387</v>
      </c>
      <c r="C12" s="312">
        <v>475000</v>
      </c>
      <c r="D12" s="250">
        <f t="shared" si="0"/>
        <v>193695</v>
      </c>
      <c r="E12" s="250">
        <f t="shared" si="1"/>
        <v>281305</v>
      </c>
      <c r="F12" s="24"/>
      <c r="G12" s="24"/>
      <c r="H12" s="24"/>
      <c r="I12" s="24"/>
      <c r="J12" s="24">
        <v>70594</v>
      </c>
      <c r="K12" s="24">
        <v>47193</v>
      </c>
      <c r="L12" s="24">
        <v>25094</v>
      </c>
      <c r="M12" s="24">
        <v>17962</v>
      </c>
      <c r="N12" s="24">
        <v>32852</v>
      </c>
      <c r="O12" s="24"/>
      <c r="P12" s="24"/>
    </row>
    <row r="13" spans="1:20" ht="15.75" thickBot="1">
      <c r="A13" s="311" t="s">
        <v>580</v>
      </c>
      <c r="B13" s="311" t="s">
        <v>384</v>
      </c>
      <c r="C13" s="312">
        <v>367193</v>
      </c>
      <c r="D13" s="250">
        <f t="shared" si="0"/>
        <v>0</v>
      </c>
      <c r="E13" s="250">
        <f t="shared" si="1"/>
        <v>367193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20" ht="15.75" thickBot="1">
      <c r="A14" s="311" t="s">
        <v>578</v>
      </c>
      <c r="B14" s="311" t="s">
        <v>382</v>
      </c>
      <c r="C14" s="312">
        <v>446225</v>
      </c>
      <c r="D14" s="250">
        <f t="shared" si="0"/>
        <v>113936</v>
      </c>
      <c r="E14" s="250">
        <f t="shared" si="1"/>
        <v>332289</v>
      </c>
      <c r="F14" s="24"/>
      <c r="G14" s="24"/>
      <c r="H14" s="24"/>
      <c r="I14" s="24"/>
      <c r="J14" s="24"/>
      <c r="K14" s="24">
        <v>113936</v>
      </c>
      <c r="L14" s="24"/>
      <c r="M14" s="24"/>
      <c r="N14" s="24"/>
      <c r="O14" s="24"/>
      <c r="P14" s="24"/>
    </row>
    <row r="15" spans="1:20" ht="15.75" thickBot="1">
      <c r="A15" s="311" t="s">
        <v>581</v>
      </c>
      <c r="B15" s="311" t="s">
        <v>385</v>
      </c>
      <c r="C15" s="312">
        <v>283598</v>
      </c>
      <c r="D15" s="250">
        <f t="shared" si="0"/>
        <v>0</v>
      </c>
      <c r="E15" s="250">
        <f t="shared" si="1"/>
        <v>283598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20" ht="15.75" thickBot="1">
      <c r="A16" s="311" t="s">
        <v>582</v>
      </c>
      <c r="B16" s="311" t="s">
        <v>386</v>
      </c>
      <c r="C16" s="312">
        <v>407313</v>
      </c>
      <c r="D16" s="250">
        <f t="shared" si="0"/>
        <v>0</v>
      </c>
      <c r="E16" s="250">
        <f t="shared" si="1"/>
        <v>407313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20" ht="15.75" thickBot="1">
      <c r="A17" s="88"/>
      <c r="B17" s="89"/>
      <c r="C17" s="246"/>
      <c r="D17" s="253"/>
      <c r="E17" s="25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4"/>
    </row>
    <row r="18" spans="1:20" s="62" customFormat="1" ht="15.75" thickBot="1">
      <c r="A18" s="90"/>
      <c r="B18" s="82"/>
      <c r="C18" s="249">
        <f>SUM(C11:C17)</f>
        <v>2263396</v>
      </c>
      <c r="D18" s="249">
        <f>SUM(D11:D17)</f>
        <v>307631</v>
      </c>
      <c r="E18" s="249">
        <f>SUM(E11:E17)</f>
        <v>1955765</v>
      </c>
      <c r="F18" s="92">
        <f t="shared" ref="F18:T18" si="2">SUM(F11:F16)</f>
        <v>0</v>
      </c>
      <c r="G18" s="92">
        <f t="shared" si="2"/>
        <v>0</v>
      </c>
      <c r="H18" s="92">
        <f t="shared" si="2"/>
        <v>0</v>
      </c>
      <c r="I18" s="92">
        <f t="shared" si="2"/>
        <v>0</v>
      </c>
      <c r="J18" s="92">
        <f t="shared" si="2"/>
        <v>70594</v>
      </c>
      <c r="K18" s="92">
        <f t="shared" si="2"/>
        <v>161129</v>
      </c>
      <c r="L18" s="92">
        <f t="shared" si="2"/>
        <v>25094</v>
      </c>
      <c r="M18" s="92">
        <f t="shared" si="2"/>
        <v>17962</v>
      </c>
      <c r="N18" s="92">
        <f t="shared" si="2"/>
        <v>32852</v>
      </c>
      <c r="O18" s="92">
        <f t="shared" si="2"/>
        <v>0</v>
      </c>
      <c r="P18" s="92">
        <f t="shared" si="2"/>
        <v>0</v>
      </c>
      <c r="Q18" s="92">
        <f t="shared" si="2"/>
        <v>0</v>
      </c>
      <c r="R18" s="92">
        <f t="shared" si="2"/>
        <v>0</v>
      </c>
      <c r="S18" s="92">
        <f t="shared" si="2"/>
        <v>0</v>
      </c>
      <c r="T18" s="92">
        <f t="shared" si="2"/>
        <v>0</v>
      </c>
    </row>
    <row r="19" spans="1:20">
      <c r="A19" s="32"/>
      <c r="B19" s="20"/>
      <c r="C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65"/>
    </row>
    <row r="20" spans="1:20">
      <c r="A20" s="32"/>
      <c r="B20" s="20"/>
      <c r="C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65"/>
    </row>
    <row r="21" spans="1:20">
      <c r="A21" s="32"/>
      <c r="B21" s="20"/>
      <c r="C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65"/>
    </row>
    <row r="22" spans="1:20">
      <c r="C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65"/>
    </row>
    <row r="23" spans="1:20">
      <c r="C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65"/>
    </row>
    <row r="24" spans="1:20">
      <c r="C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65"/>
    </row>
    <row r="25" spans="1:20">
      <c r="C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65"/>
    </row>
    <row r="26" spans="1:20">
      <c r="C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65"/>
    </row>
    <row r="27" spans="1:20">
      <c r="C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65"/>
    </row>
    <row r="28" spans="1:20">
      <c r="C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65"/>
    </row>
    <row r="29" spans="1:20">
      <c r="C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65"/>
    </row>
    <row r="30" spans="1:20">
      <c r="C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65"/>
    </row>
    <row r="31" spans="1:20">
      <c r="C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65"/>
    </row>
    <row r="32" spans="1:20">
      <c r="C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65"/>
    </row>
    <row r="33" spans="3:17">
      <c r="C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65"/>
    </row>
    <row r="34" spans="3:17">
      <c r="C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65"/>
    </row>
    <row r="35" spans="3:17">
      <c r="C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65"/>
    </row>
    <row r="36" spans="3:17">
      <c r="C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65"/>
    </row>
    <row r="37" spans="3:17">
      <c r="C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65"/>
    </row>
    <row r="38" spans="3:17">
      <c r="C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65"/>
    </row>
    <row r="39" spans="3:17">
      <c r="C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65"/>
    </row>
    <row r="40" spans="3:17">
      <c r="C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65"/>
    </row>
    <row r="41" spans="3:17"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65"/>
    </row>
    <row r="42" spans="3:17"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65"/>
    </row>
    <row r="43" spans="3:17"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65"/>
    </row>
    <row r="44" spans="3:17"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65"/>
    </row>
    <row r="45" spans="3:17"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65"/>
    </row>
    <row r="46" spans="3:17"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65"/>
    </row>
    <row r="47" spans="3:17"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65"/>
    </row>
    <row r="48" spans="3:17"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65"/>
    </row>
    <row r="49" spans="6:17"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65"/>
    </row>
    <row r="50" spans="6:17"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65"/>
    </row>
    <row r="51" spans="6:17"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65"/>
    </row>
    <row r="52" spans="6:17"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65"/>
    </row>
    <row r="53" spans="6:17"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65"/>
    </row>
    <row r="54" spans="6:17"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65"/>
    </row>
    <row r="55" spans="6:17"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65"/>
    </row>
    <row r="56" spans="6:17"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65"/>
    </row>
    <row r="57" spans="6:17"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65"/>
    </row>
    <row r="58" spans="6:17"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65"/>
    </row>
  </sheetData>
  <sheetProtection password="EF32" sheet="1" objects="1" scenarios="1"/>
  <sortState ref="A11:T16">
    <sortCondition ref="A11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3">
    <tabColor rgb="FFCCFFCC"/>
  </sheetPr>
  <dimension ref="A1:U65"/>
  <sheetViews>
    <sheetView workbookViewId="0">
      <pane xSplit="5" ySplit="10" topLeftCell="N11" activePane="bottomRight" state="frozen"/>
      <selection pane="topRight" activeCell="F1" sqref="F1"/>
      <selection pane="bottomLeft" activeCell="A11" sqref="A11"/>
      <selection pane="bottomRight" activeCell="N24" sqref="N24"/>
    </sheetView>
  </sheetViews>
  <sheetFormatPr defaultColWidth="9.140625" defaultRowHeight="15"/>
  <cols>
    <col min="1" max="1" width="9.140625" style="4"/>
    <col min="2" max="2" width="32.140625" style="4" customWidth="1"/>
    <col min="3" max="3" width="15.5703125" style="4" customWidth="1"/>
    <col min="4" max="4" width="14.5703125" style="4" customWidth="1"/>
    <col min="5" max="5" width="18" style="4" customWidth="1"/>
    <col min="6" max="20" width="15.7109375" style="4" customWidth="1"/>
    <col min="21" max="16384" width="9.140625" style="4"/>
  </cols>
  <sheetData>
    <row r="1" spans="1:20" ht="21">
      <c r="A1" s="132" t="s">
        <v>0</v>
      </c>
      <c r="B1" s="138"/>
      <c r="C1" s="133" t="s">
        <v>376</v>
      </c>
      <c r="D1" s="132"/>
      <c r="E1" s="134"/>
      <c r="F1" s="140"/>
      <c r="G1" s="138"/>
      <c r="H1" s="138"/>
      <c r="I1" s="138"/>
      <c r="J1" s="133" t="str">
        <f>C1</f>
        <v>Tiered Intervention Grant Cohort 4</v>
      </c>
      <c r="K1" s="138"/>
      <c r="L1" s="138"/>
      <c r="M1" s="138"/>
      <c r="N1" s="138"/>
      <c r="O1" s="138"/>
      <c r="P1" s="138"/>
      <c r="Q1" s="133" t="str">
        <f>C1</f>
        <v>Tiered Intervention Grant Cohort 4</v>
      </c>
      <c r="R1" s="138"/>
      <c r="S1" s="138"/>
      <c r="T1" s="138"/>
    </row>
    <row r="2" spans="1:20" ht="18.75">
      <c r="A2" s="135" t="s">
        <v>1</v>
      </c>
      <c r="B2" s="138"/>
      <c r="C2" s="136">
        <v>84.376999999999995</v>
      </c>
      <c r="D2" s="135"/>
      <c r="E2" s="71"/>
      <c r="F2" s="140"/>
      <c r="G2" s="138"/>
      <c r="H2" s="138"/>
      <c r="I2" s="138"/>
      <c r="J2" s="146" t="str">
        <f>"FY"&amp;C4</f>
        <v>FY2013-14</v>
      </c>
      <c r="K2" s="138"/>
      <c r="L2" s="138"/>
      <c r="M2" s="138"/>
      <c r="N2" s="138"/>
      <c r="O2" s="138"/>
      <c r="P2" s="138"/>
      <c r="Q2" s="146" t="str">
        <f>"FY"&amp;C4</f>
        <v>FY2013-14</v>
      </c>
      <c r="R2" s="138"/>
      <c r="S2" s="138"/>
      <c r="T2" s="138"/>
    </row>
    <row r="3" spans="1:20" ht="15.75">
      <c r="A3" s="135" t="s">
        <v>2</v>
      </c>
      <c r="B3" s="138"/>
      <c r="C3" s="136">
        <v>737</v>
      </c>
      <c r="D3" s="135"/>
      <c r="E3" s="71"/>
      <c r="F3" s="140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</row>
    <row r="4" spans="1:20" ht="15.75">
      <c r="A4" s="135" t="s">
        <v>3</v>
      </c>
      <c r="B4" s="138"/>
      <c r="C4" s="136" t="s">
        <v>249</v>
      </c>
      <c r="D4" s="135"/>
      <c r="E4" s="71"/>
      <c r="F4" s="140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</row>
    <row r="5" spans="1:20" ht="15.75">
      <c r="A5" s="135" t="s">
        <v>104</v>
      </c>
      <c r="B5" s="138"/>
      <c r="C5" s="136" t="s">
        <v>105</v>
      </c>
      <c r="D5" s="71"/>
      <c r="E5" s="71"/>
      <c r="F5" s="140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</row>
    <row r="6" spans="1:20" ht="15.75">
      <c r="A6" s="135" t="s">
        <v>65</v>
      </c>
      <c r="B6" s="138"/>
      <c r="C6" s="135" t="s">
        <v>254</v>
      </c>
      <c r="D6" s="71"/>
      <c r="E6" s="71"/>
      <c r="F6" s="137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</row>
    <row r="7" spans="1:20" ht="15.75">
      <c r="A7" s="135" t="s">
        <v>67</v>
      </c>
      <c r="B7" s="138"/>
      <c r="C7" s="135" t="s">
        <v>228</v>
      </c>
      <c r="D7" s="71"/>
      <c r="E7" s="71"/>
      <c r="F7" s="137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</row>
    <row r="8" spans="1:20" s="26" customFormat="1" ht="21">
      <c r="A8" s="132" t="s">
        <v>276</v>
      </c>
      <c r="B8" s="134"/>
      <c r="C8" s="133"/>
      <c r="D8" s="134"/>
      <c r="E8" s="134"/>
      <c r="F8" s="6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</row>
    <row r="9" spans="1:20" ht="15.75" thickBot="1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</row>
    <row r="10" spans="1:20" ht="30.75" thickBot="1">
      <c r="A10" s="145" t="s">
        <v>4</v>
      </c>
      <c r="B10" s="145" t="s">
        <v>111</v>
      </c>
      <c r="C10" s="145" t="s">
        <v>44</v>
      </c>
      <c r="D10" s="145" t="s">
        <v>45</v>
      </c>
      <c r="E10" s="129" t="s">
        <v>46</v>
      </c>
      <c r="F10" s="145" t="s">
        <v>535</v>
      </c>
      <c r="G10" s="143" t="s">
        <v>536</v>
      </c>
      <c r="H10" s="145" t="s">
        <v>537</v>
      </c>
      <c r="I10" s="143" t="s">
        <v>538</v>
      </c>
      <c r="J10" s="145" t="s">
        <v>539</v>
      </c>
      <c r="K10" s="143" t="s">
        <v>540</v>
      </c>
      <c r="L10" s="145" t="s">
        <v>541</v>
      </c>
      <c r="M10" s="143" t="s">
        <v>542</v>
      </c>
      <c r="N10" s="145" t="s">
        <v>543</v>
      </c>
      <c r="O10" s="143" t="s">
        <v>544</v>
      </c>
      <c r="P10" s="145" t="s">
        <v>545</v>
      </c>
      <c r="Q10" s="143" t="s">
        <v>546</v>
      </c>
      <c r="R10" s="145" t="s">
        <v>547</v>
      </c>
      <c r="S10" s="143" t="s">
        <v>548</v>
      </c>
      <c r="T10" s="145" t="s">
        <v>549</v>
      </c>
    </row>
    <row r="11" spans="1:20" ht="15.75" thickBot="1">
      <c r="A11" s="151" t="s">
        <v>584</v>
      </c>
      <c r="B11" s="151" t="s">
        <v>381</v>
      </c>
      <c r="C11" s="247">
        <v>498181</v>
      </c>
      <c r="D11" s="250">
        <f>SUM(F11:W11)</f>
        <v>228040</v>
      </c>
      <c r="E11" s="250">
        <f>C11-D11</f>
        <v>270141</v>
      </c>
      <c r="F11" s="131"/>
      <c r="G11" s="131"/>
      <c r="H11" s="131"/>
      <c r="I11" s="131"/>
      <c r="J11" s="131">
        <v>60090</v>
      </c>
      <c r="K11" s="131">
        <v>44762</v>
      </c>
      <c r="L11" s="131">
        <v>40692</v>
      </c>
      <c r="M11" s="131">
        <v>42377</v>
      </c>
      <c r="N11" s="131">
        <v>40119</v>
      </c>
      <c r="O11" s="131"/>
      <c r="P11" s="131"/>
      <c r="Q11" s="131"/>
      <c r="R11" s="131"/>
      <c r="S11" s="131"/>
      <c r="T11" s="131"/>
    </row>
    <row r="12" spans="1:20" ht="15.75" thickBot="1">
      <c r="A12" s="151" t="s">
        <v>586</v>
      </c>
      <c r="B12" s="151" t="s">
        <v>378</v>
      </c>
      <c r="C12" s="247">
        <v>1070778</v>
      </c>
      <c r="D12" s="250">
        <f>SUM(F12:W12)</f>
        <v>444145</v>
      </c>
      <c r="E12" s="250">
        <f>C12-D12</f>
        <v>626633</v>
      </c>
      <c r="F12" s="131"/>
      <c r="G12" s="131"/>
      <c r="H12" s="131"/>
      <c r="I12" s="131"/>
      <c r="J12" s="131">
        <v>130588</v>
      </c>
      <c r="K12" s="131">
        <v>66436</v>
      </c>
      <c r="L12" s="131"/>
      <c r="M12" s="131">
        <v>170887</v>
      </c>
      <c r="N12" s="131">
        <v>76234</v>
      </c>
      <c r="O12" s="131"/>
      <c r="P12" s="131"/>
      <c r="Q12" s="131"/>
      <c r="R12" s="131"/>
      <c r="S12" s="131"/>
      <c r="T12" s="131"/>
    </row>
    <row r="13" spans="1:20" ht="15.75" thickBot="1">
      <c r="A13" s="151" t="s">
        <v>585</v>
      </c>
      <c r="B13" s="151" t="s">
        <v>377</v>
      </c>
      <c r="C13" s="247">
        <v>836022</v>
      </c>
      <c r="D13" s="250">
        <f>SUM(F13:W13)</f>
        <v>405476</v>
      </c>
      <c r="E13" s="250">
        <f>C13-D13</f>
        <v>430546</v>
      </c>
      <c r="F13" s="131"/>
      <c r="G13" s="131"/>
      <c r="H13" s="131"/>
      <c r="I13" s="131">
        <v>18935</v>
      </c>
      <c r="J13" s="131">
        <v>71641</v>
      </c>
      <c r="K13" s="131">
        <v>154800</v>
      </c>
      <c r="L13" s="131">
        <v>68211</v>
      </c>
      <c r="M13" s="131">
        <v>33887</v>
      </c>
      <c r="N13" s="131">
        <v>58002</v>
      </c>
      <c r="O13" s="131"/>
      <c r="P13" s="131"/>
      <c r="Q13" s="131"/>
      <c r="R13" s="131"/>
      <c r="S13" s="131"/>
      <c r="T13" s="131"/>
    </row>
    <row r="14" spans="1:20" ht="15.75" thickBot="1">
      <c r="A14" s="151" t="s">
        <v>588</v>
      </c>
      <c r="B14" s="151" t="s">
        <v>380</v>
      </c>
      <c r="C14" s="247">
        <v>508200</v>
      </c>
      <c r="D14" s="250">
        <f>SUM(F14:W14)</f>
        <v>109523</v>
      </c>
      <c r="E14" s="250">
        <f>C14-D14</f>
        <v>398677</v>
      </c>
      <c r="F14" s="131"/>
      <c r="G14" s="131"/>
      <c r="H14" s="131"/>
      <c r="I14" s="131"/>
      <c r="J14" s="131"/>
      <c r="K14" s="131"/>
      <c r="L14" s="131"/>
      <c r="M14" s="131">
        <v>109523</v>
      </c>
      <c r="N14" s="131"/>
      <c r="O14" s="131"/>
      <c r="P14" s="131"/>
      <c r="Q14" s="131"/>
      <c r="R14" s="131"/>
      <c r="S14" s="131"/>
      <c r="T14" s="131"/>
    </row>
    <row r="15" spans="1:20" ht="15.75" thickBot="1">
      <c r="A15" s="151" t="s">
        <v>587</v>
      </c>
      <c r="B15" s="151" t="s">
        <v>379</v>
      </c>
      <c r="C15" s="247">
        <v>20995</v>
      </c>
      <c r="D15" s="250">
        <f>SUM(F15:W15)</f>
        <v>20995</v>
      </c>
      <c r="E15" s="250">
        <f>C15-D15</f>
        <v>0</v>
      </c>
      <c r="F15" s="131"/>
      <c r="G15" s="131"/>
      <c r="H15" s="131"/>
      <c r="I15" s="131"/>
      <c r="J15" s="131"/>
      <c r="K15" s="131"/>
      <c r="L15" s="131"/>
      <c r="M15" s="131"/>
      <c r="N15" s="131">
        <v>20995</v>
      </c>
      <c r="O15" s="131"/>
      <c r="P15" s="131"/>
      <c r="Q15" s="131"/>
      <c r="R15" s="131"/>
      <c r="S15" s="131"/>
      <c r="T15" s="131"/>
    </row>
    <row r="16" spans="1:20" ht="15.75" hidden="1" thickBot="1">
      <c r="A16" s="151"/>
      <c r="B16" s="151"/>
      <c r="C16" s="178"/>
      <c r="D16" s="177">
        <f t="shared" ref="D16:D23" si="0">SUM(F16:W16)</f>
        <v>0</v>
      </c>
      <c r="E16" s="177">
        <f t="shared" ref="E16:E23" si="1">C16-D16</f>
        <v>0</v>
      </c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</row>
    <row r="17" spans="1:21" ht="15.75" hidden="1" thickBot="1">
      <c r="A17" s="151"/>
      <c r="B17" s="151"/>
      <c r="C17" s="178"/>
      <c r="D17" s="177">
        <f t="shared" si="0"/>
        <v>0</v>
      </c>
      <c r="E17" s="177">
        <f t="shared" si="1"/>
        <v>0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</row>
    <row r="18" spans="1:21" ht="15.75" hidden="1" thickBot="1">
      <c r="A18" s="151"/>
      <c r="B18" s="151"/>
      <c r="C18" s="178"/>
      <c r="D18" s="177">
        <f t="shared" si="0"/>
        <v>0</v>
      </c>
      <c r="E18" s="177">
        <f t="shared" si="1"/>
        <v>0</v>
      </c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</row>
    <row r="19" spans="1:21" ht="15.75" hidden="1" thickBot="1">
      <c r="A19" s="151"/>
      <c r="B19" s="151"/>
      <c r="C19" s="178"/>
      <c r="D19" s="177">
        <f t="shared" si="0"/>
        <v>0</v>
      </c>
      <c r="E19" s="177">
        <f t="shared" si="1"/>
        <v>0</v>
      </c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</row>
    <row r="20" spans="1:21" ht="15.75" hidden="1" thickBot="1">
      <c r="A20" s="151"/>
      <c r="B20" s="151"/>
      <c r="C20" s="178"/>
      <c r="D20" s="177">
        <f t="shared" si="0"/>
        <v>0</v>
      </c>
      <c r="E20" s="177">
        <f t="shared" si="1"/>
        <v>0</v>
      </c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</row>
    <row r="21" spans="1:21" ht="15.75" hidden="1" thickBot="1">
      <c r="A21" s="151"/>
      <c r="B21" s="151"/>
      <c r="C21" s="178"/>
      <c r="D21" s="177">
        <f t="shared" si="0"/>
        <v>0</v>
      </c>
      <c r="E21" s="177">
        <f t="shared" si="1"/>
        <v>0</v>
      </c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</row>
    <row r="22" spans="1:21" ht="15.75" hidden="1" thickBot="1">
      <c r="A22" s="151"/>
      <c r="B22" s="151"/>
      <c r="C22" s="178"/>
      <c r="D22" s="177">
        <f t="shared" si="0"/>
        <v>0</v>
      </c>
      <c r="E22" s="177">
        <f t="shared" si="1"/>
        <v>0</v>
      </c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</row>
    <row r="23" spans="1:21" ht="15.75" hidden="1" thickBot="1">
      <c r="A23" s="151"/>
      <c r="B23" s="151"/>
      <c r="C23" s="178"/>
      <c r="D23" s="177">
        <f t="shared" si="0"/>
        <v>0</v>
      </c>
      <c r="E23" s="177">
        <f t="shared" si="1"/>
        <v>0</v>
      </c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</row>
    <row r="24" spans="1:21" ht="15.75" thickBot="1">
      <c r="A24" s="151"/>
      <c r="B24" s="151"/>
      <c r="C24" s="151"/>
      <c r="D24" s="151"/>
      <c r="E24" s="15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</row>
    <row r="25" spans="1:21" s="127" customFormat="1" ht="15.75" thickBot="1">
      <c r="A25" s="90"/>
      <c r="B25" s="82"/>
      <c r="C25" s="249">
        <f t="shared" ref="C25:T25" si="2">SUM(C11:C23)</f>
        <v>2934176</v>
      </c>
      <c r="D25" s="249">
        <f t="shared" si="2"/>
        <v>1208179</v>
      </c>
      <c r="E25" s="249">
        <f t="shared" si="2"/>
        <v>1725997</v>
      </c>
      <c r="F25" s="92">
        <f t="shared" si="2"/>
        <v>0</v>
      </c>
      <c r="G25" s="92">
        <f t="shared" si="2"/>
        <v>0</v>
      </c>
      <c r="H25" s="92">
        <f t="shared" si="2"/>
        <v>0</v>
      </c>
      <c r="I25" s="92">
        <f t="shared" si="2"/>
        <v>18935</v>
      </c>
      <c r="J25" s="92">
        <f t="shared" si="2"/>
        <v>262319</v>
      </c>
      <c r="K25" s="92">
        <f t="shared" si="2"/>
        <v>265998</v>
      </c>
      <c r="L25" s="92">
        <f t="shared" si="2"/>
        <v>108903</v>
      </c>
      <c r="M25" s="92">
        <f t="shared" si="2"/>
        <v>356674</v>
      </c>
      <c r="N25" s="92">
        <f t="shared" si="2"/>
        <v>195350</v>
      </c>
      <c r="O25" s="92">
        <f t="shared" si="2"/>
        <v>0</v>
      </c>
      <c r="P25" s="92">
        <f t="shared" si="2"/>
        <v>0</v>
      </c>
      <c r="Q25" s="92">
        <f t="shared" si="2"/>
        <v>0</v>
      </c>
      <c r="R25" s="92">
        <f t="shared" si="2"/>
        <v>0</v>
      </c>
      <c r="S25" s="92">
        <f t="shared" si="2"/>
        <v>0</v>
      </c>
      <c r="T25" s="92">
        <f t="shared" si="2"/>
        <v>0</v>
      </c>
      <c r="U25" s="60"/>
    </row>
    <row r="26" spans="1:21">
      <c r="A26" s="32"/>
      <c r="B26" s="20"/>
      <c r="C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</row>
    <row r="27" spans="1:21">
      <c r="A27" s="32"/>
      <c r="B27" s="20"/>
      <c r="C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</row>
    <row r="28" spans="1:21">
      <c r="A28" s="32"/>
      <c r="B28" s="20"/>
      <c r="C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</row>
    <row r="29" spans="1:21">
      <c r="C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</row>
    <row r="30" spans="1:21">
      <c r="C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</row>
    <row r="31" spans="1:21">
      <c r="C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</row>
    <row r="32" spans="1:21">
      <c r="C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</row>
    <row r="33" spans="3:20">
      <c r="C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</row>
    <row r="34" spans="3:20">
      <c r="C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</row>
    <row r="35" spans="3:20">
      <c r="C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</row>
    <row r="36" spans="3:20">
      <c r="C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</row>
    <row r="37" spans="3:20">
      <c r="C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</row>
    <row r="38" spans="3:20">
      <c r="C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</row>
    <row r="39" spans="3:20">
      <c r="C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</row>
    <row r="40" spans="3:20">
      <c r="C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</row>
    <row r="41" spans="3:20">
      <c r="C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</row>
    <row r="42" spans="3:20">
      <c r="C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</row>
    <row r="43" spans="3:20">
      <c r="C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</row>
    <row r="44" spans="3:20">
      <c r="C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</row>
    <row r="45" spans="3:20">
      <c r="C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</row>
    <row r="46" spans="3:20">
      <c r="C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</row>
    <row r="47" spans="3:20">
      <c r="C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</row>
    <row r="48" spans="3:20"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</row>
    <row r="49" spans="6:20"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</row>
    <row r="50" spans="6:20"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</row>
    <row r="51" spans="6:20"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</row>
    <row r="52" spans="6:20"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</row>
    <row r="53" spans="6:20"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</row>
    <row r="54" spans="6:20"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</row>
    <row r="55" spans="6:20"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</row>
    <row r="56" spans="6:20"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</row>
    <row r="57" spans="6:20"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</row>
    <row r="58" spans="6:20"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</row>
    <row r="59" spans="6:20"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</row>
    <row r="60" spans="6:20"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</row>
    <row r="61" spans="6:20"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</row>
    <row r="62" spans="6:20"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</row>
    <row r="63" spans="6:20"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</row>
    <row r="64" spans="6:20"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</row>
    <row r="65" spans="6:20"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</row>
  </sheetData>
  <sheetProtection password="EF32" sheet="1" objects="1" scenarios="1"/>
  <sortState ref="A11:U15">
    <sortCondition ref="A11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1">
    <tabColor rgb="FFCCFFCC"/>
  </sheetPr>
  <dimension ref="A1:T39"/>
  <sheetViews>
    <sheetView workbookViewId="0">
      <pane xSplit="5" ySplit="10" topLeftCell="N11" activePane="bottomRight" state="frozen"/>
      <selection pane="topRight" activeCell="F1" sqref="F1"/>
      <selection pane="bottomLeft" activeCell="A11" sqref="A11"/>
      <selection pane="bottomRight" activeCell="N18" sqref="N18"/>
    </sheetView>
  </sheetViews>
  <sheetFormatPr defaultColWidth="9.140625" defaultRowHeight="15"/>
  <cols>
    <col min="1" max="1" width="9.140625" style="4"/>
    <col min="2" max="2" width="24.85546875" style="4" customWidth="1"/>
    <col min="3" max="3" width="15.85546875" style="4" customWidth="1"/>
    <col min="4" max="4" width="16.140625" style="4" customWidth="1"/>
    <col min="5" max="5" width="18" style="4" customWidth="1"/>
    <col min="6" max="20" width="15.7109375" style="4" customWidth="1"/>
    <col min="21" max="16384" width="9.140625" style="4"/>
  </cols>
  <sheetData>
    <row r="1" spans="1:20" ht="21">
      <c r="A1" s="78" t="s">
        <v>0</v>
      </c>
      <c r="B1" s="73"/>
      <c r="C1" s="69" t="s">
        <v>224</v>
      </c>
      <c r="D1" s="74"/>
      <c r="E1" s="73"/>
      <c r="F1" s="73"/>
      <c r="G1" s="69" t="str">
        <f>C1</f>
        <v>Title 1A Targeted District Improvement</v>
      </c>
      <c r="H1" s="73"/>
      <c r="I1" s="73"/>
      <c r="J1" s="73"/>
      <c r="K1" s="73"/>
      <c r="L1" s="69" t="str">
        <f>C1</f>
        <v>Title 1A Targeted District Improvement</v>
      </c>
      <c r="M1" s="73"/>
      <c r="N1" s="138"/>
      <c r="O1" s="73"/>
      <c r="P1" s="73"/>
      <c r="Q1" s="73"/>
      <c r="R1" s="138"/>
      <c r="S1" s="138"/>
      <c r="T1" s="138"/>
    </row>
    <row r="2" spans="1:20" ht="18.75">
      <c r="A2" s="79" t="s">
        <v>1</v>
      </c>
      <c r="B2" s="73"/>
      <c r="C2" s="97" t="s">
        <v>117</v>
      </c>
      <c r="D2" s="74"/>
      <c r="E2" s="73"/>
      <c r="F2" s="73"/>
      <c r="G2" s="59" t="str">
        <f>"FY"&amp;C4</f>
        <v>FY2013-14</v>
      </c>
      <c r="H2" s="73"/>
      <c r="I2" s="73"/>
      <c r="J2" s="73"/>
      <c r="K2" s="73"/>
      <c r="L2" s="59" t="str">
        <f>"FY"&amp;C4</f>
        <v>FY2013-14</v>
      </c>
      <c r="M2" s="73"/>
      <c r="N2" s="138"/>
      <c r="O2" s="73"/>
      <c r="P2" s="73"/>
      <c r="Q2" s="73"/>
      <c r="R2" s="138"/>
      <c r="S2" s="138"/>
      <c r="T2" s="138"/>
    </row>
    <row r="3" spans="1:20" ht="15.75">
      <c r="A3" s="79" t="s">
        <v>2</v>
      </c>
      <c r="B3" s="73"/>
      <c r="C3" s="77">
        <v>5010</v>
      </c>
      <c r="D3" s="74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138"/>
      <c r="S3" s="138"/>
      <c r="T3" s="138"/>
    </row>
    <row r="4" spans="1:20" ht="15.75">
      <c r="A4" s="79" t="s">
        <v>3</v>
      </c>
      <c r="B4" s="73"/>
      <c r="C4" s="77" t="s">
        <v>249</v>
      </c>
      <c r="D4" s="79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138"/>
      <c r="S4" s="138"/>
      <c r="T4" s="138"/>
    </row>
    <row r="5" spans="1:20" ht="15.75">
      <c r="A5" s="79" t="s">
        <v>104</v>
      </c>
      <c r="B5" s="73"/>
      <c r="C5" s="77" t="s">
        <v>105</v>
      </c>
      <c r="D5" s="74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138"/>
      <c r="S5" s="138"/>
      <c r="T5" s="138"/>
    </row>
    <row r="6" spans="1:20" ht="15.75">
      <c r="A6" s="79" t="s">
        <v>65</v>
      </c>
      <c r="B6" s="73"/>
      <c r="C6" s="79" t="s">
        <v>271</v>
      </c>
      <c r="D6" s="72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138"/>
      <c r="S6" s="138"/>
      <c r="T6" s="138"/>
    </row>
    <row r="7" spans="1:20" ht="15.75">
      <c r="A7" s="79" t="s">
        <v>67</v>
      </c>
      <c r="B7" s="73"/>
      <c r="C7" s="79" t="s">
        <v>228</v>
      </c>
      <c r="D7" s="72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138"/>
      <c r="S7" s="138"/>
      <c r="T7" s="138"/>
    </row>
    <row r="8" spans="1:20" s="26" customFormat="1" ht="21">
      <c r="A8" s="78" t="s">
        <v>248</v>
      </c>
      <c r="B8" s="70"/>
      <c r="C8" s="69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138"/>
      <c r="S8" s="138"/>
      <c r="T8" s="138"/>
    </row>
    <row r="9" spans="1:20" ht="15.75" thickBo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138"/>
      <c r="S9" s="138"/>
      <c r="T9" s="138"/>
    </row>
    <row r="10" spans="1:20" ht="30.75" thickBot="1">
      <c r="A10" s="51" t="s">
        <v>4</v>
      </c>
      <c r="B10" s="75" t="s">
        <v>113</v>
      </c>
      <c r="C10" s="51" t="s">
        <v>44</v>
      </c>
      <c r="D10" s="51" t="s">
        <v>45</v>
      </c>
      <c r="E10" s="87" t="s">
        <v>46</v>
      </c>
      <c r="F10" s="145" t="s">
        <v>535</v>
      </c>
      <c r="G10" s="143" t="s">
        <v>536</v>
      </c>
      <c r="H10" s="145" t="s">
        <v>537</v>
      </c>
      <c r="I10" s="143" t="s">
        <v>538</v>
      </c>
      <c r="J10" s="145" t="s">
        <v>539</v>
      </c>
      <c r="K10" s="143" t="s">
        <v>540</v>
      </c>
      <c r="L10" s="145" t="s">
        <v>541</v>
      </c>
      <c r="M10" s="143" t="s">
        <v>542</v>
      </c>
      <c r="N10" s="145" t="s">
        <v>543</v>
      </c>
      <c r="O10" s="143" t="s">
        <v>544</v>
      </c>
      <c r="P10" s="145" t="s">
        <v>545</v>
      </c>
      <c r="Q10" s="139" t="s">
        <v>546</v>
      </c>
      <c r="R10" s="145" t="s">
        <v>547</v>
      </c>
      <c r="S10" s="143" t="s">
        <v>548</v>
      </c>
      <c r="T10" s="145" t="s">
        <v>549</v>
      </c>
    </row>
    <row r="11" spans="1:20" ht="15.75" thickBot="1">
      <c r="A11" s="178" t="s">
        <v>397</v>
      </c>
      <c r="B11" s="178" t="s">
        <v>108</v>
      </c>
      <c r="C11" s="247">
        <v>122862</v>
      </c>
      <c r="D11" s="247">
        <f t="shared" ref="D11:D17" si="0">SUM(F11:T11)</f>
        <v>76290</v>
      </c>
      <c r="E11" s="247">
        <f t="shared" ref="E11:E21" si="1">C11-D11</f>
        <v>46572</v>
      </c>
      <c r="F11" s="24"/>
      <c r="G11" s="24"/>
      <c r="H11" s="24"/>
      <c r="I11" s="24"/>
      <c r="J11" s="24"/>
      <c r="K11" s="24">
        <v>11600</v>
      </c>
      <c r="L11" s="24"/>
      <c r="M11" s="24">
        <v>50400</v>
      </c>
      <c r="N11" s="24">
        <v>14290</v>
      </c>
      <c r="O11" s="24"/>
      <c r="P11" s="24"/>
      <c r="Q11" s="24"/>
    </row>
    <row r="12" spans="1:20" ht="15.75" thickBot="1">
      <c r="A12" s="178" t="s">
        <v>398</v>
      </c>
      <c r="B12" s="178" t="s">
        <v>118</v>
      </c>
      <c r="C12" s="247">
        <v>38660</v>
      </c>
      <c r="D12" s="247">
        <f t="shared" si="0"/>
        <v>38660</v>
      </c>
      <c r="E12" s="247">
        <f t="shared" si="1"/>
        <v>0</v>
      </c>
      <c r="F12" s="24"/>
      <c r="G12" s="24"/>
      <c r="H12" s="24"/>
      <c r="I12" s="24">
        <v>38660</v>
      </c>
      <c r="J12" s="24"/>
      <c r="K12" s="24"/>
      <c r="L12" s="24"/>
      <c r="M12" s="24"/>
      <c r="N12" s="24"/>
      <c r="O12" s="24"/>
      <c r="P12" s="24"/>
      <c r="Q12" s="24"/>
    </row>
    <row r="13" spans="1:20" ht="15.75" thickBot="1">
      <c r="A13" s="178" t="s">
        <v>399</v>
      </c>
      <c r="B13" s="178" t="s">
        <v>405</v>
      </c>
      <c r="C13" s="247">
        <v>127962</v>
      </c>
      <c r="D13" s="247">
        <f t="shared" si="0"/>
        <v>0</v>
      </c>
      <c r="E13" s="247">
        <f t="shared" si="1"/>
        <v>127962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</row>
    <row r="14" spans="1:20" ht="15.75" thickBot="1">
      <c r="A14" s="178" t="s">
        <v>400</v>
      </c>
      <c r="B14" s="178" t="s">
        <v>406</v>
      </c>
      <c r="C14" s="247">
        <v>100000</v>
      </c>
      <c r="D14" s="247">
        <f t="shared" si="0"/>
        <v>98995</v>
      </c>
      <c r="E14" s="247">
        <f t="shared" si="1"/>
        <v>1005</v>
      </c>
      <c r="F14" s="24"/>
      <c r="G14" s="24"/>
      <c r="H14" s="24"/>
      <c r="I14" s="24"/>
      <c r="J14" s="24">
        <v>28040</v>
      </c>
      <c r="K14" s="24"/>
      <c r="L14" s="24"/>
      <c r="M14" s="24"/>
      <c r="N14" s="24">
        <v>70955</v>
      </c>
      <c r="O14" s="24"/>
      <c r="P14" s="24"/>
      <c r="Q14" s="24"/>
    </row>
    <row r="15" spans="1:20" ht="15.75" thickBot="1">
      <c r="A15" s="178" t="s">
        <v>401</v>
      </c>
      <c r="B15" s="178" t="s">
        <v>407</v>
      </c>
      <c r="C15" s="247">
        <v>131496</v>
      </c>
      <c r="D15" s="247">
        <f t="shared" si="0"/>
        <v>47924</v>
      </c>
      <c r="E15" s="247">
        <f t="shared" si="1"/>
        <v>83572</v>
      </c>
      <c r="F15" s="24"/>
      <c r="G15" s="24"/>
      <c r="H15" s="24"/>
      <c r="I15" s="24"/>
      <c r="J15" s="24"/>
      <c r="K15" s="24"/>
      <c r="L15" s="24"/>
      <c r="M15" s="24">
        <v>47924</v>
      </c>
      <c r="N15" s="24"/>
      <c r="O15" s="24"/>
      <c r="P15" s="24"/>
      <c r="Q15" s="24"/>
    </row>
    <row r="16" spans="1:20" ht="15.75" thickBot="1">
      <c r="A16" s="178" t="s">
        <v>402</v>
      </c>
      <c r="B16" s="178" t="s">
        <v>408</v>
      </c>
      <c r="C16" s="247">
        <v>35128</v>
      </c>
      <c r="D16" s="247">
        <f t="shared" si="0"/>
        <v>0</v>
      </c>
      <c r="E16" s="247">
        <f t="shared" si="1"/>
        <v>35128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spans="1:20" ht="15.75" thickBot="1">
      <c r="A17" s="178" t="s">
        <v>403</v>
      </c>
      <c r="B17" s="178" t="s">
        <v>409</v>
      </c>
      <c r="C17" s="247">
        <v>137956</v>
      </c>
      <c r="D17" s="247">
        <f t="shared" si="0"/>
        <v>37493</v>
      </c>
      <c r="E17" s="247">
        <f t="shared" si="1"/>
        <v>100463</v>
      </c>
      <c r="F17" s="24"/>
      <c r="G17" s="24"/>
      <c r="H17" s="24"/>
      <c r="I17" s="24">
        <v>3333</v>
      </c>
      <c r="J17" s="24"/>
      <c r="K17" s="24">
        <v>19840</v>
      </c>
      <c r="L17" s="24">
        <v>10664</v>
      </c>
      <c r="M17" s="24"/>
      <c r="N17" s="24">
        <v>3656</v>
      </c>
      <c r="O17" s="24"/>
      <c r="P17" s="24"/>
      <c r="Q17" s="24"/>
    </row>
    <row r="18" spans="1:20" ht="15.75" thickBot="1">
      <c r="A18" s="178" t="s">
        <v>404</v>
      </c>
      <c r="B18" s="178" t="s">
        <v>410</v>
      </c>
      <c r="C18" s="247">
        <v>60729</v>
      </c>
      <c r="D18" s="247">
        <f>SUM(F18:T18)</f>
        <v>0</v>
      </c>
      <c r="E18" s="247">
        <f t="shared" si="1"/>
        <v>60729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spans="1:20" ht="15.75" hidden="1" thickBot="1">
      <c r="A19" s="46"/>
      <c r="B19" s="46"/>
      <c r="C19" s="247"/>
      <c r="D19" s="247">
        <f t="shared" ref="D19:D21" si="2">SUM(F19:Q19)</f>
        <v>0</v>
      </c>
      <c r="E19" s="247">
        <f t="shared" si="1"/>
        <v>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1:20" ht="15.75" hidden="1" thickBot="1">
      <c r="A20" s="46"/>
      <c r="B20" s="46"/>
      <c r="C20" s="247"/>
      <c r="D20" s="247">
        <f t="shared" si="2"/>
        <v>0</v>
      </c>
      <c r="E20" s="247">
        <f t="shared" si="1"/>
        <v>0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20" ht="15.75" hidden="1" thickBot="1">
      <c r="A21" s="46"/>
      <c r="B21" s="46"/>
      <c r="C21" s="247"/>
      <c r="D21" s="247">
        <f t="shared" si="2"/>
        <v>0</v>
      </c>
      <c r="E21" s="247">
        <f t="shared" si="1"/>
        <v>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1:20" ht="15.75" thickBot="1">
      <c r="A22" s="46"/>
      <c r="B22" s="46"/>
      <c r="C22" s="247"/>
      <c r="D22" s="247"/>
      <c r="E22" s="247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20" s="62" customFormat="1" ht="15.75" thickBot="1">
      <c r="A23" s="80"/>
      <c r="B23" s="80"/>
      <c r="C23" s="252">
        <f t="shared" ref="C23:T23" si="3">SUM(C11:C22)</f>
        <v>754793</v>
      </c>
      <c r="D23" s="252">
        <f t="shared" si="3"/>
        <v>299362</v>
      </c>
      <c r="E23" s="252">
        <f t="shared" si="3"/>
        <v>455431</v>
      </c>
      <c r="F23" s="85">
        <f t="shared" si="3"/>
        <v>0</v>
      </c>
      <c r="G23" s="85">
        <f t="shared" si="3"/>
        <v>0</v>
      </c>
      <c r="H23" s="85">
        <f t="shared" si="3"/>
        <v>0</v>
      </c>
      <c r="I23" s="85">
        <f t="shared" si="3"/>
        <v>41993</v>
      </c>
      <c r="J23" s="85">
        <f t="shared" si="3"/>
        <v>28040</v>
      </c>
      <c r="K23" s="85">
        <f t="shared" si="3"/>
        <v>31440</v>
      </c>
      <c r="L23" s="85">
        <f t="shared" si="3"/>
        <v>10664</v>
      </c>
      <c r="M23" s="85">
        <f t="shared" si="3"/>
        <v>98324</v>
      </c>
      <c r="N23" s="85">
        <f t="shared" si="3"/>
        <v>88901</v>
      </c>
      <c r="O23" s="85">
        <f t="shared" si="3"/>
        <v>0</v>
      </c>
      <c r="P23" s="85">
        <f t="shared" si="3"/>
        <v>0</v>
      </c>
      <c r="Q23" s="85">
        <f t="shared" si="3"/>
        <v>0</v>
      </c>
      <c r="R23" s="150">
        <f t="shared" si="3"/>
        <v>0</v>
      </c>
      <c r="S23" s="150">
        <f t="shared" si="3"/>
        <v>0</v>
      </c>
      <c r="T23" s="150">
        <f t="shared" si="3"/>
        <v>0</v>
      </c>
    </row>
    <row r="24" spans="1:20">
      <c r="C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spans="1:20"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</row>
    <row r="26" spans="1:20"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1:20"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spans="1:20"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</row>
    <row r="29" spans="1:20"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 spans="1:20"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spans="1:20"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spans="1:20"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6:17"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 spans="6:17"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6:17"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6:17"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6:17"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spans="6:17"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6:17"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</sheetData>
  <sheetProtection password="EF32" sheet="1" objects="1" scenarios="1"/>
  <sortState ref="A11:U22">
    <sortCondition ref="A11:A22"/>
  </sortState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25">
    <tabColor rgb="FFCCFFCC"/>
  </sheetPr>
  <dimension ref="A1:T45"/>
  <sheetViews>
    <sheetView workbookViewId="0">
      <pane xSplit="5" ySplit="16" topLeftCell="N17" activePane="bottomRight" state="frozen"/>
      <selection pane="topRight" activeCell="F1" sqref="F1"/>
      <selection pane="bottomLeft" activeCell="A17" sqref="A17"/>
      <selection pane="bottomRight" activeCell="O11" sqref="O11"/>
    </sheetView>
  </sheetViews>
  <sheetFormatPr defaultColWidth="9.140625" defaultRowHeight="1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22.7109375" style="4" customWidth="1"/>
    <col min="6" max="20" width="15.7109375" style="4" customWidth="1"/>
    <col min="21" max="16384" width="9.140625" style="4"/>
  </cols>
  <sheetData>
    <row r="1" spans="1:20" ht="21">
      <c r="A1" s="78" t="s">
        <v>0</v>
      </c>
      <c r="B1" s="73"/>
      <c r="C1" s="133" t="s">
        <v>238</v>
      </c>
      <c r="D1" s="74"/>
      <c r="E1" s="73"/>
      <c r="F1" s="69" t="str">
        <f>C1</f>
        <v xml:space="preserve">Title 1A Targeted District Improvement </v>
      </c>
      <c r="G1" s="73"/>
      <c r="H1" s="73"/>
      <c r="I1" s="73"/>
      <c r="J1" s="73"/>
      <c r="K1" s="73"/>
      <c r="L1" s="69"/>
      <c r="M1" s="73"/>
      <c r="N1" s="73"/>
      <c r="O1" s="73"/>
      <c r="P1" s="138"/>
      <c r="Q1" s="138"/>
      <c r="R1" s="138"/>
      <c r="S1" s="138"/>
      <c r="T1" s="138"/>
    </row>
    <row r="2" spans="1:20" ht="18.75">
      <c r="A2" s="79" t="s">
        <v>1</v>
      </c>
      <c r="B2" s="73"/>
      <c r="C2" s="97" t="s">
        <v>117</v>
      </c>
      <c r="D2" s="74"/>
      <c r="E2" s="73"/>
      <c r="F2" s="59" t="str">
        <f>"FY"&amp;C4</f>
        <v>FY2013-14</v>
      </c>
      <c r="G2" s="73"/>
      <c r="H2" s="73"/>
      <c r="I2" s="73"/>
      <c r="J2" s="73"/>
      <c r="K2" s="73"/>
      <c r="L2" s="59"/>
      <c r="M2" s="73"/>
      <c r="N2" s="73"/>
      <c r="O2" s="73"/>
      <c r="P2" s="138"/>
      <c r="Q2" s="138"/>
      <c r="R2" s="138"/>
      <c r="S2" s="138"/>
      <c r="T2" s="138"/>
    </row>
    <row r="3" spans="1:20" ht="15.75">
      <c r="A3" s="79" t="s">
        <v>2</v>
      </c>
      <c r="B3" s="73"/>
      <c r="C3" s="77">
        <v>5010</v>
      </c>
      <c r="D3" s="74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138"/>
      <c r="Q3" s="138"/>
      <c r="R3" s="138"/>
      <c r="S3" s="138"/>
      <c r="T3" s="138"/>
    </row>
    <row r="4" spans="1:20" ht="15.75">
      <c r="A4" s="79" t="s">
        <v>3</v>
      </c>
      <c r="B4" s="73"/>
      <c r="C4" s="77" t="s">
        <v>249</v>
      </c>
      <c r="D4" s="79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138"/>
      <c r="Q4" s="138"/>
      <c r="R4" s="138"/>
      <c r="S4" s="138"/>
      <c r="T4" s="138"/>
    </row>
    <row r="5" spans="1:20" ht="15.75">
      <c r="A5" s="79" t="s">
        <v>104</v>
      </c>
      <c r="B5" s="73"/>
      <c r="C5" s="77" t="s">
        <v>105</v>
      </c>
      <c r="D5" s="74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138"/>
      <c r="Q5" s="138"/>
      <c r="R5" s="138"/>
      <c r="S5" s="138"/>
      <c r="T5" s="138"/>
    </row>
    <row r="6" spans="1:20" ht="15.75">
      <c r="A6" s="79" t="s">
        <v>65</v>
      </c>
      <c r="B6" s="73"/>
      <c r="C6" s="79" t="s">
        <v>271</v>
      </c>
      <c r="D6" s="72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138"/>
      <c r="Q6" s="138"/>
      <c r="R6" s="138"/>
      <c r="S6" s="138"/>
      <c r="T6" s="138"/>
    </row>
    <row r="7" spans="1:20" ht="15.75">
      <c r="A7" s="79" t="s">
        <v>67</v>
      </c>
      <c r="B7" s="73"/>
      <c r="C7" s="79" t="s">
        <v>228</v>
      </c>
      <c r="D7" s="72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138"/>
      <c r="Q7" s="138"/>
      <c r="R7" s="138"/>
      <c r="S7" s="138"/>
      <c r="T7" s="138"/>
    </row>
    <row r="8" spans="1:20" s="26" customFormat="1" ht="21">
      <c r="A8" s="78" t="s">
        <v>248</v>
      </c>
      <c r="B8" s="70"/>
      <c r="C8" s="69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138"/>
      <c r="Q8" s="138"/>
      <c r="R8" s="138"/>
      <c r="S8" s="138"/>
      <c r="T8" s="138"/>
    </row>
    <row r="9" spans="1:20" ht="15.75" thickBo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138"/>
      <c r="Q9" s="138"/>
      <c r="R9" s="138"/>
      <c r="S9" s="138"/>
      <c r="T9" s="138"/>
    </row>
    <row r="10" spans="1:20" ht="30.75" thickBot="1">
      <c r="A10" s="51" t="s">
        <v>4</v>
      </c>
      <c r="B10" s="75" t="s">
        <v>113</v>
      </c>
      <c r="C10" s="51" t="s">
        <v>44</v>
      </c>
      <c r="D10" s="51" t="s">
        <v>45</v>
      </c>
      <c r="E10" s="87" t="s">
        <v>46</v>
      </c>
      <c r="F10" s="143" t="s">
        <v>535</v>
      </c>
      <c r="G10" s="143" t="s">
        <v>536</v>
      </c>
      <c r="H10" s="145" t="s">
        <v>537</v>
      </c>
      <c r="I10" s="143" t="s">
        <v>538</v>
      </c>
      <c r="J10" s="145" t="s">
        <v>539</v>
      </c>
      <c r="K10" s="143" t="s">
        <v>540</v>
      </c>
      <c r="L10" s="145" t="s">
        <v>541</v>
      </c>
      <c r="M10" s="143" t="s">
        <v>542</v>
      </c>
      <c r="N10" s="145" t="s">
        <v>543</v>
      </c>
      <c r="O10" s="139" t="s">
        <v>544</v>
      </c>
      <c r="P10" s="145" t="s">
        <v>545</v>
      </c>
      <c r="Q10" s="139" t="s">
        <v>546</v>
      </c>
      <c r="R10" s="145" t="s">
        <v>547</v>
      </c>
      <c r="S10" s="143" t="s">
        <v>548</v>
      </c>
      <c r="T10" s="141" t="s">
        <v>549</v>
      </c>
    </row>
    <row r="11" spans="1:20" ht="15.75" thickBot="1">
      <c r="A11" s="46" t="s">
        <v>411</v>
      </c>
      <c r="B11" s="46" t="s">
        <v>412</v>
      </c>
      <c r="C11" s="46">
        <v>179310</v>
      </c>
      <c r="D11" s="46">
        <f>SUM(F11:T11)</f>
        <v>59386</v>
      </c>
      <c r="E11" s="46">
        <f>C11-D11</f>
        <v>119924</v>
      </c>
      <c r="F11" s="24"/>
      <c r="G11" s="24"/>
      <c r="H11" s="24"/>
      <c r="I11" s="24"/>
      <c r="J11" s="24"/>
      <c r="K11" s="24"/>
      <c r="L11" s="24"/>
      <c r="M11" s="24">
        <v>37651</v>
      </c>
      <c r="N11" s="24">
        <v>21735</v>
      </c>
      <c r="O11" s="24"/>
    </row>
    <row r="12" spans="1:20" ht="15.75" thickBot="1">
      <c r="A12" s="46"/>
      <c r="B12" s="46"/>
      <c r="C12" s="46"/>
      <c r="D12" s="46"/>
      <c r="E12" s="46"/>
      <c r="F12" s="24"/>
      <c r="G12" s="24"/>
      <c r="H12" s="24"/>
      <c r="I12" s="24"/>
      <c r="J12" s="24"/>
      <c r="K12" s="24"/>
      <c r="L12" s="24"/>
      <c r="M12" s="24"/>
      <c r="N12" s="24"/>
      <c r="O12" s="24"/>
    </row>
    <row r="13" spans="1:20" s="62" customFormat="1" ht="15.75" thickBot="1">
      <c r="A13" s="80"/>
      <c r="B13" s="80"/>
      <c r="C13" s="80">
        <f t="shared" ref="C13:T13" si="0">SUM(C11:C12)</f>
        <v>179310</v>
      </c>
      <c r="D13" s="80">
        <f t="shared" si="0"/>
        <v>59386</v>
      </c>
      <c r="E13" s="80">
        <f t="shared" si="0"/>
        <v>119924</v>
      </c>
      <c r="F13" s="85">
        <f t="shared" si="0"/>
        <v>0</v>
      </c>
      <c r="G13" s="85">
        <f t="shared" si="0"/>
        <v>0</v>
      </c>
      <c r="H13" s="85">
        <f t="shared" si="0"/>
        <v>0</v>
      </c>
      <c r="I13" s="85">
        <f t="shared" si="0"/>
        <v>0</v>
      </c>
      <c r="J13" s="85">
        <f t="shared" si="0"/>
        <v>0</v>
      </c>
      <c r="K13" s="85">
        <f t="shared" si="0"/>
        <v>0</v>
      </c>
      <c r="L13" s="85">
        <f t="shared" si="0"/>
        <v>0</v>
      </c>
      <c r="M13" s="85">
        <f t="shared" si="0"/>
        <v>37651</v>
      </c>
      <c r="N13" s="85">
        <f t="shared" si="0"/>
        <v>21735</v>
      </c>
      <c r="O13" s="85">
        <f t="shared" si="0"/>
        <v>0</v>
      </c>
      <c r="P13" s="150">
        <f t="shared" si="0"/>
        <v>0</v>
      </c>
      <c r="Q13" s="150">
        <f t="shared" si="0"/>
        <v>0</v>
      </c>
      <c r="R13" s="150">
        <f t="shared" si="0"/>
        <v>0</v>
      </c>
      <c r="S13" s="150">
        <f t="shared" si="0"/>
        <v>0</v>
      </c>
      <c r="T13" s="150">
        <f t="shared" si="0"/>
        <v>0</v>
      </c>
    </row>
    <row r="14" spans="1:20">
      <c r="C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20">
      <c r="C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20">
      <c r="C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3:15">
      <c r="C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3:15">
      <c r="C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spans="3:15">
      <c r="C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3:15">
      <c r="C20" s="24"/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3:15">
      <c r="C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3:15">
      <c r="C22" s="24"/>
      <c r="F22" s="24"/>
      <c r="G22" s="24"/>
      <c r="H22" s="24"/>
      <c r="I22" s="24"/>
      <c r="J22" s="24"/>
      <c r="K22" s="24"/>
      <c r="L22" s="24"/>
      <c r="M22" s="24"/>
      <c r="N22" s="24"/>
      <c r="O22" s="24"/>
    </row>
    <row r="23" spans="3:15">
      <c r="C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spans="3:15">
      <c r="C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spans="3:15">
      <c r="C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3:15">
      <c r="C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3:15">
      <c r="C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spans="3:15">
      <c r="F28" s="24"/>
      <c r="G28" s="24"/>
      <c r="H28" s="24"/>
      <c r="I28" s="24"/>
      <c r="J28" s="24"/>
      <c r="K28" s="24"/>
      <c r="L28" s="24"/>
      <c r="M28" s="24"/>
      <c r="N28" s="24"/>
      <c r="O28" s="24"/>
    </row>
    <row r="29" spans="3:15"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 spans="3:15"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3:15"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spans="3:15"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spans="6:15">
      <c r="F33" s="24"/>
      <c r="G33" s="24"/>
      <c r="H33" s="24"/>
      <c r="I33" s="24"/>
      <c r="J33" s="24"/>
      <c r="K33" s="24"/>
      <c r="L33" s="24"/>
      <c r="M33" s="24"/>
      <c r="N33" s="24"/>
      <c r="O33" s="24"/>
    </row>
    <row r="34" spans="6:15"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6:15">
      <c r="F35" s="24"/>
      <c r="G35" s="24"/>
      <c r="H35" s="24"/>
      <c r="I35" s="24"/>
      <c r="J35" s="24"/>
      <c r="K35" s="24"/>
      <c r="L35" s="24"/>
      <c r="M35" s="24"/>
      <c r="N35" s="24"/>
      <c r="O35" s="24"/>
    </row>
    <row r="36" spans="6:15">
      <c r="F36" s="24"/>
      <c r="G36" s="24"/>
      <c r="H36" s="24"/>
      <c r="I36" s="24"/>
      <c r="J36" s="24"/>
      <c r="K36" s="24"/>
      <c r="L36" s="24"/>
      <c r="M36" s="24"/>
      <c r="N36" s="24"/>
      <c r="O36" s="24"/>
    </row>
    <row r="37" spans="6:15">
      <c r="F37" s="24"/>
      <c r="G37" s="24"/>
      <c r="H37" s="24"/>
      <c r="I37" s="24"/>
      <c r="J37" s="24"/>
      <c r="K37" s="24"/>
      <c r="L37" s="24"/>
      <c r="M37" s="24"/>
      <c r="N37" s="24"/>
      <c r="O37" s="24"/>
    </row>
    <row r="38" spans="6:15"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spans="6:15">
      <c r="F39" s="24"/>
      <c r="G39" s="24"/>
      <c r="H39" s="24"/>
      <c r="I39" s="24"/>
      <c r="J39" s="24"/>
      <c r="K39" s="24"/>
      <c r="L39" s="24"/>
      <c r="M39" s="24"/>
      <c r="N39" s="24"/>
      <c r="O39" s="24"/>
    </row>
    <row r="40" spans="6:15">
      <c r="F40" s="24"/>
      <c r="G40" s="24"/>
      <c r="H40" s="24"/>
      <c r="I40" s="24"/>
      <c r="J40" s="24"/>
      <c r="K40" s="24"/>
      <c r="L40" s="24"/>
      <c r="M40" s="24"/>
      <c r="N40" s="24"/>
      <c r="O40" s="24"/>
    </row>
    <row r="41" spans="6:15">
      <c r="F41" s="24"/>
      <c r="G41" s="24"/>
      <c r="H41" s="24"/>
      <c r="I41" s="24"/>
      <c r="J41" s="24"/>
      <c r="K41" s="24"/>
      <c r="L41" s="24"/>
      <c r="M41" s="24"/>
      <c r="N41" s="24"/>
      <c r="O41" s="24"/>
    </row>
    <row r="42" spans="6:15">
      <c r="F42" s="24"/>
      <c r="G42" s="24"/>
      <c r="H42" s="24"/>
      <c r="I42" s="24"/>
      <c r="J42" s="24"/>
      <c r="K42" s="24"/>
      <c r="L42" s="24"/>
      <c r="M42" s="24"/>
      <c r="N42" s="24"/>
      <c r="O42" s="24"/>
    </row>
    <row r="43" spans="6:15">
      <c r="F43" s="24"/>
      <c r="G43" s="24"/>
      <c r="H43" s="24"/>
      <c r="I43" s="24"/>
      <c r="J43" s="24"/>
      <c r="K43" s="24"/>
      <c r="L43" s="24"/>
      <c r="M43" s="24"/>
      <c r="N43" s="24"/>
      <c r="O43" s="24"/>
    </row>
    <row r="44" spans="6:15">
      <c r="F44" s="24"/>
      <c r="G44" s="24"/>
      <c r="H44" s="24"/>
      <c r="I44" s="24"/>
      <c r="J44" s="24"/>
      <c r="K44" s="24"/>
      <c r="L44" s="24"/>
      <c r="M44" s="24"/>
      <c r="N44" s="24"/>
      <c r="O44" s="24"/>
    </row>
    <row r="45" spans="6:15">
      <c r="F45" s="24"/>
      <c r="G45" s="24"/>
      <c r="H45" s="24"/>
      <c r="I45" s="24"/>
      <c r="J45" s="24"/>
      <c r="K45" s="24"/>
      <c r="L45" s="24"/>
      <c r="M45" s="24"/>
      <c r="N45" s="24"/>
      <c r="O45" s="24"/>
    </row>
  </sheetData>
  <sheetProtection password="EF32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>
    <tabColor rgb="FFCCFFCC"/>
  </sheetPr>
  <dimension ref="A1:T48"/>
  <sheetViews>
    <sheetView workbookViewId="0">
      <pane xSplit="5" ySplit="16" topLeftCell="N17" activePane="bottomRight" state="frozen"/>
      <selection pane="topRight" activeCell="F1" sqref="F1"/>
      <selection pane="bottomLeft" activeCell="A16" sqref="A16"/>
      <selection pane="bottomRight" activeCell="N12" sqref="N12"/>
    </sheetView>
  </sheetViews>
  <sheetFormatPr defaultColWidth="9.140625" defaultRowHeight="15"/>
  <cols>
    <col min="1" max="1" width="9.140625" style="4"/>
    <col min="2" max="2" width="35.140625" style="4" bestFit="1" customWidth="1"/>
    <col min="3" max="3" width="15.85546875" style="4" customWidth="1"/>
    <col min="4" max="4" width="14.140625" style="4" customWidth="1"/>
    <col min="5" max="5" width="22.7109375" style="4" customWidth="1"/>
    <col min="6" max="20" width="15.7109375" style="4" customWidth="1"/>
    <col min="21" max="16384" width="9.140625" style="4"/>
  </cols>
  <sheetData>
    <row r="1" spans="1:20" ht="21">
      <c r="A1" s="132" t="s">
        <v>0</v>
      </c>
      <c r="B1" s="138"/>
      <c r="C1" s="133" t="s">
        <v>275</v>
      </c>
      <c r="D1" s="140"/>
      <c r="E1" s="138"/>
      <c r="F1" s="133" t="str">
        <f>C1</f>
        <v xml:space="preserve">Title IA Targeted District Improvement </v>
      </c>
      <c r="G1" s="138"/>
      <c r="H1" s="138"/>
      <c r="I1" s="138"/>
      <c r="J1" s="138"/>
      <c r="K1" s="138"/>
      <c r="L1" s="133"/>
      <c r="M1" s="138"/>
      <c r="N1" s="138"/>
      <c r="O1" s="138"/>
      <c r="P1" s="146"/>
      <c r="Q1" s="146"/>
      <c r="R1" s="146"/>
      <c r="S1" s="146"/>
      <c r="T1" s="146"/>
    </row>
    <row r="2" spans="1:20" ht="18.75">
      <c r="A2" s="135" t="s">
        <v>1</v>
      </c>
      <c r="B2" s="138"/>
      <c r="C2" s="152" t="s">
        <v>117</v>
      </c>
      <c r="D2" s="140"/>
      <c r="E2" s="138"/>
      <c r="F2" s="146" t="str">
        <f>"FY"&amp;C4</f>
        <v>FY2013-14</v>
      </c>
      <c r="G2" s="138"/>
      <c r="H2" s="138"/>
      <c r="I2" s="138"/>
      <c r="J2" s="138"/>
      <c r="K2" s="138"/>
      <c r="L2" s="146"/>
      <c r="M2" s="138"/>
      <c r="N2" s="138"/>
      <c r="O2" s="138"/>
      <c r="P2" s="146"/>
      <c r="Q2" s="146"/>
      <c r="R2" s="146"/>
      <c r="S2" s="146"/>
      <c r="T2" s="146"/>
    </row>
    <row r="3" spans="1:20" ht="18.75">
      <c r="A3" s="135" t="s">
        <v>2</v>
      </c>
      <c r="B3" s="138"/>
      <c r="C3" s="136">
        <v>5010</v>
      </c>
      <c r="D3" s="140"/>
      <c r="E3" s="138"/>
      <c r="F3" s="183" t="s">
        <v>247</v>
      </c>
      <c r="G3" s="138"/>
      <c r="H3" s="138"/>
      <c r="I3" s="138"/>
      <c r="J3" s="138"/>
      <c r="K3" s="138"/>
      <c r="L3" s="138"/>
      <c r="M3" s="138"/>
      <c r="N3" s="138"/>
      <c r="O3" s="138"/>
      <c r="P3" s="146"/>
      <c r="Q3" s="146"/>
      <c r="R3" s="146"/>
      <c r="S3" s="146"/>
      <c r="T3" s="146"/>
    </row>
    <row r="4" spans="1:20" ht="18.75">
      <c r="A4" s="135" t="s">
        <v>3</v>
      </c>
      <c r="B4" s="138"/>
      <c r="C4" s="136" t="s">
        <v>249</v>
      </c>
      <c r="D4" s="135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46"/>
      <c r="Q4" s="146"/>
      <c r="R4" s="146"/>
      <c r="S4" s="146"/>
      <c r="T4" s="146"/>
    </row>
    <row r="5" spans="1:20" ht="18.75">
      <c r="A5" s="135" t="s">
        <v>104</v>
      </c>
      <c r="B5" s="138"/>
      <c r="C5" s="136" t="s">
        <v>105</v>
      </c>
      <c r="D5" s="140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46"/>
      <c r="Q5" s="146"/>
      <c r="R5" s="146"/>
      <c r="S5" s="146"/>
      <c r="T5" s="146"/>
    </row>
    <row r="6" spans="1:20" ht="18.75">
      <c r="A6" s="135" t="s">
        <v>65</v>
      </c>
      <c r="B6" s="138"/>
      <c r="C6" s="135" t="s">
        <v>274</v>
      </c>
      <c r="D6" s="137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46"/>
      <c r="Q6" s="146"/>
      <c r="R6" s="146"/>
      <c r="S6" s="146"/>
      <c r="T6" s="146"/>
    </row>
    <row r="7" spans="1:20" ht="18.75">
      <c r="A7" s="135" t="s">
        <v>67</v>
      </c>
      <c r="B7" s="138"/>
      <c r="C7" s="135" t="s">
        <v>228</v>
      </c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6"/>
      <c r="Q7" s="146"/>
      <c r="R7" s="146"/>
      <c r="S7" s="146"/>
      <c r="T7" s="146"/>
    </row>
    <row r="8" spans="1:20" s="26" customFormat="1" ht="21">
      <c r="A8" s="132" t="s">
        <v>248</v>
      </c>
      <c r="B8" s="134"/>
      <c r="C8" s="133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46"/>
      <c r="Q8" s="146"/>
      <c r="R8" s="146"/>
      <c r="S8" s="146"/>
      <c r="T8" s="146"/>
    </row>
    <row r="9" spans="1:20" ht="19.5" thickBot="1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46"/>
      <c r="Q9" s="146"/>
      <c r="R9" s="146"/>
      <c r="S9" s="146"/>
      <c r="T9" s="146"/>
    </row>
    <row r="10" spans="1:20" ht="30.75" thickBot="1">
      <c r="A10" s="145" t="s">
        <v>4</v>
      </c>
      <c r="B10" s="147" t="s">
        <v>113</v>
      </c>
      <c r="C10" s="145" t="s">
        <v>44</v>
      </c>
      <c r="D10" s="145" t="s">
        <v>45</v>
      </c>
      <c r="E10" s="129" t="s">
        <v>46</v>
      </c>
      <c r="F10" s="141" t="s">
        <v>535</v>
      </c>
      <c r="G10" s="143" t="s">
        <v>536</v>
      </c>
      <c r="H10" s="145" t="s">
        <v>537</v>
      </c>
      <c r="I10" s="143" t="s">
        <v>538</v>
      </c>
      <c r="J10" s="145" t="s">
        <v>539</v>
      </c>
      <c r="K10" s="143" t="s">
        <v>540</v>
      </c>
      <c r="L10" s="145" t="s">
        <v>541</v>
      </c>
      <c r="M10" s="145" t="s">
        <v>542</v>
      </c>
      <c r="N10" s="145" t="s">
        <v>543</v>
      </c>
      <c r="O10" s="145" t="s">
        <v>544</v>
      </c>
      <c r="P10" s="145" t="s">
        <v>545</v>
      </c>
      <c r="Q10" s="145" t="s">
        <v>546</v>
      </c>
      <c r="R10" s="145" t="s">
        <v>547</v>
      </c>
      <c r="S10" s="143" t="s">
        <v>548</v>
      </c>
      <c r="T10" s="141" t="s">
        <v>549</v>
      </c>
    </row>
    <row r="11" spans="1:20" ht="15.75" thickBot="1">
      <c r="A11" s="98" t="s">
        <v>413</v>
      </c>
      <c r="B11" s="98" t="s">
        <v>417</v>
      </c>
      <c r="C11" s="257">
        <v>118869</v>
      </c>
      <c r="D11" s="247">
        <f>SUM(F11:T11)</f>
        <v>23666</v>
      </c>
      <c r="E11" s="247">
        <f>C11-D11</f>
        <v>95203</v>
      </c>
      <c r="F11" s="131"/>
      <c r="G11" s="131"/>
      <c r="H11" s="131"/>
      <c r="I11" s="131"/>
      <c r="J11" s="131"/>
      <c r="K11" s="131"/>
      <c r="L11" s="131"/>
      <c r="M11" s="131"/>
      <c r="N11" s="131">
        <v>23666</v>
      </c>
      <c r="O11" s="131"/>
    </row>
    <row r="12" spans="1:20" ht="15.75" thickBot="1">
      <c r="A12" s="98" t="s">
        <v>414</v>
      </c>
      <c r="B12" s="98" t="s">
        <v>418</v>
      </c>
      <c r="C12" s="257">
        <v>150000</v>
      </c>
      <c r="D12" s="247">
        <f t="shared" ref="D12:D14" si="0">SUM(F12:T12)</f>
        <v>73662</v>
      </c>
      <c r="E12" s="247">
        <f t="shared" ref="E12:E13" si="1">C12-D12</f>
        <v>76338</v>
      </c>
      <c r="F12" s="131"/>
      <c r="G12" s="131"/>
      <c r="H12" s="131"/>
      <c r="I12" s="131"/>
      <c r="J12" s="131">
        <v>39255</v>
      </c>
      <c r="K12" s="131"/>
      <c r="L12" s="131">
        <v>34407</v>
      </c>
      <c r="M12" s="131"/>
      <c r="N12" s="131"/>
      <c r="O12" s="131"/>
    </row>
    <row r="13" spans="1:20" ht="15.75" thickBot="1">
      <c r="A13" s="98" t="s">
        <v>415</v>
      </c>
      <c r="B13" s="98" t="s">
        <v>419</v>
      </c>
      <c r="C13" s="257">
        <v>150000</v>
      </c>
      <c r="D13" s="247">
        <f t="shared" si="0"/>
        <v>85086</v>
      </c>
      <c r="E13" s="247">
        <f t="shared" si="1"/>
        <v>64914</v>
      </c>
      <c r="F13" s="131"/>
      <c r="G13" s="131"/>
      <c r="H13" s="131"/>
      <c r="I13" s="131">
        <v>35068</v>
      </c>
      <c r="J13" s="131">
        <f>7802+15588</f>
        <v>23390</v>
      </c>
      <c r="K13" s="131">
        <f>9800+9292</f>
        <v>19092</v>
      </c>
      <c r="L13" s="131"/>
      <c r="M13" s="131">
        <v>7536</v>
      </c>
      <c r="N13" s="131"/>
      <c r="O13" s="131"/>
    </row>
    <row r="14" spans="1:20" ht="15.75" thickBot="1">
      <c r="A14" s="98" t="s">
        <v>416</v>
      </c>
      <c r="B14" s="98" t="s">
        <v>420</v>
      </c>
      <c r="C14" s="257">
        <v>150000</v>
      </c>
      <c r="D14" s="247">
        <f t="shared" si="0"/>
        <v>28264</v>
      </c>
      <c r="E14" s="247">
        <f>C14-D14</f>
        <v>121736</v>
      </c>
      <c r="F14" s="131"/>
      <c r="G14" s="131"/>
      <c r="H14" s="131"/>
      <c r="I14" s="131">
        <v>28264</v>
      </c>
      <c r="J14" s="131"/>
      <c r="K14" s="131"/>
      <c r="L14" s="131"/>
      <c r="M14" s="131"/>
      <c r="N14" s="131"/>
      <c r="O14" s="131"/>
    </row>
    <row r="15" spans="1:20" ht="15.75" thickBot="1">
      <c r="A15" s="148"/>
      <c r="B15" s="148"/>
      <c r="C15" s="252"/>
      <c r="D15" s="247"/>
      <c r="E15" s="247"/>
      <c r="F15" s="131"/>
      <c r="G15" s="131"/>
      <c r="H15" s="131"/>
      <c r="I15" s="131"/>
      <c r="J15" s="131"/>
      <c r="K15" s="131"/>
      <c r="L15" s="131"/>
      <c r="M15" s="131"/>
      <c r="N15" s="131"/>
      <c r="O15" s="131"/>
    </row>
    <row r="16" spans="1:20" s="127" customFormat="1" ht="15.75" thickBot="1">
      <c r="A16" s="148"/>
      <c r="B16" s="148"/>
      <c r="C16" s="252">
        <f t="shared" ref="C16:T16" si="2">SUM(C11:C14)</f>
        <v>568869</v>
      </c>
      <c r="D16" s="252">
        <f t="shared" si="2"/>
        <v>210678</v>
      </c>
      <c r="E16" s="252">
        <f>SUM(E11:E14)</f>
        <v>358191</v>
      </c>
      <c r="F16" s="150">
        <f t="shared" si="2"/>
        <v>0</v>
      </c>
      <c r="G16" s="150">
        <f t="shared" si="2"/>
        <v>0</v>
      </c>
      <c r="H16" s="150">
        <f t="shared" si="2"/>
        <v>0</v>
      </c>
      <c r="I16" s="150">
        <f t="shared" si="2"/>
        <v>63332</v>
      </c>
      <c r="J16" s="150">
        <f t="shared" si="2"/>
        <v>62645</v>
      </c>
      <c r="K16" s="150">
        <f t="shared" si="2"/>
        <v>19092</v>
      </c>
      <c r="L16" s="150">
        <f t="shared" si="2"/>
        <v>34407</v>
      </c>
      <c r="M16" s="150">
        <f t="shared" si="2"/>
        <v>7536</v>
      </c>
      <c r="N16" s="150">
        <f t="shared" si="2"/>
        <v>23666</v>
      </c>
      <c r="O16" s="150">
        <f t="shared" si="2"/>
        <v>0</v>
      </c>
      <c r="P16" s="150">
        <f t="shared" si="2"/>
        <v>0</v>
      </c>
      <c r="Q16" s="150">
        <f t="shared" si="2"/>
        <v>0</v>
      </c>
      <c r="R16" s="150">
        <f t="shared" si="2"/>
        <v>0</v>
      </c>
      <c r="S16" s="150">
        <f t="shared" si="2"/>
        <v>0</v>
      </c>
      <c r="T16" s="150">
        <f t="shared" si="2"/>
        <v>0</v>
      </c>
    </row>
    <row r="17" spans="3:15">
      <c r="C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</row>
    <row r="18" spans="3:15">
      <c r="C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</row>
    <row r="19" spans="3:15">
      <c r="C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</row>
    <row r="20" spans="3:15">
      <c r="C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</row>
    <row r="21" spans="3:15">
      <c r="C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</row>
    <row r="22" spans="3:15">
      <c r="C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</row>
    <row r="23" spans="3:15">
      <c r="C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</row>
    <row r="24" spans="3:15">
      <c r="C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</row>
    <row r="25" spans="3:15">
      <c r="C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</row>
    <row r="26" spans="3:15">
      <c r="C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</row>
    <row r="27" spans="3:15">
      <c r="C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</row>
    <row r="28" spans="3:15">
      <c r="C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</row>
    <row r="29" spans="3:15">
      <c r="C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</row>
    <row r="30" spans="3:15">
      <c r="C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</row>
    <row r="31" spans="3:15">
      <c r="F31" s="131"/>
      <c r="G31" s="131"/>
      <c r="H31" s="131"/>
      <c r="I31" s="131"/>
      <c r="J31" s="131"/>
      <c r="K31" s="131"/>
      <c r="L31" s="131"/>
      <c r="M31" s="131"/>
      <c r="N31" s="131"/>
      <c r="O31" s="131"/>
    </row>
    <row r="32" spans="3:15">
      <c r="F32" s="131"/>
      <c r="G32" s="131"/>
      <c r="H32" s="131"/>
      <c r="I32" s="131"/>
      <c r="J32" s="131"/>
      <c r="K32" s="131"/>
      <c r="L32" s="131"/>
      <c r="M32" s="131"/>
      <c r="N32" s="131"/>
      <c r="O32" s="131"/>
    </row>
    <row r="33" spans="6:15">
      <c r="F33" s="131"/>
      <c r="G33" s="131"/>
      <c r="H33" s="131"/>
      <c r="I33" s="131"/>
      <c r="J33" s="131"/>
      <c r="K33" s="131"/>
      <c r="L33" s="131"/>
      <c r="M33" s="131"/>
      <c r="N33" s="131"/>
      <c r="O33" s="131"/>
    </row>
    <row r="34" spans="6:15">
      <c r="F34" s="131"/>
      <c r="G34" s="131"/>
      <c r="H34" s="131"/>
      <c r="I34" s="131"/>
      <c r="J34" s="131"/>
      <c r="K34" s="131"/>
      <c r="L34" s="131"/>
      <c r="M34" s="131"/>
      <c r="N34" s="131"/>
      <c r="O34" s="131"/>
    </row>
    <row r="35" spans="6:15">
      <c r="F35" s="131"/>
      <c r="G35" s="131"/>
      <c r="H35" s="131"/>
      <c r="I35" s="131"/>
      <c r="J35" s="131"/>
      <c r="K35" s="131"/>
      <c r="L35" s="131"/>
      <c r="M35" s="131"/>
      <c r="N35" s="131"/>
      <c r="O35" s="131"/>
    </row>
    <row r="36" spans="6:15">
      <c r="F36" s="131"/>
      <c r="G36" s="131"/>
      <c r="H36" s="131"/>
      <c r="I36" s="131"/>
      <c r="J36" s="131"/>
      <c r="K36" s="131"/>
      <c r="L36" s="131"/>
      <c r="M36" s="131"/>
      <c r="N36" s="131"/>
      <c r="O36" s="131"/>
    </row>
    <row r="37" spans="6:15">
      <c r="F37" s="131"/>
      <c r="G37" s="131"/>
      <c r="H37" s="131"/>
      <c r="I37" s="131"/>
      <c r="J37" s="131"/>
      <c r="K37" s="131"/>
      <c r="L37" s="131"/>
      <c r="M37" s="131"/>
      <c r="N37" s="131"/>
      <c r="O37" s="131"/>
    </row>
    <row r="38" spans="6:15">
      <c r="F38" s="131"/>
      <c r="G38" s="131"/>
      <c r="H38" s="131"/>
      <c r="I38" s="131"/>
      <c r="J38" s="131"/>
      <c r="K38" s="131"/>
      <c r="L38" s="131"/>
      <c r="M38" s="131"/>
      <c r="N38" s="131"/>
      <c r="O38" s="131"/>
    </row>
    <row r="39" spans="6:15">
      <c r="F39" s="131"/>
      <c r="G39" s="131"/>
      <c r="H39" s="131"/>
      <c r="I39" s="131"/>
      <c r="J39" s="131"/>
      <c r="K39" s="131"/>
      <c r="L39" s="131"/>
      <c r="M39" s="131"/>
      <c r="N39" s="131"/>
      <c r="O39" s="131"/>
    </row>
    <row r="40" spans="6:15">
      <c r="F40" s="131"/>
      <c r="G40" s="131"/>
      <c r="H40" s="131"/>
      <c r="I40" s="131"/>
      <c r="J40" s="131"/>
      <c r="K40" s="131"/>
      <c r="L40" s="131"/>
      <c r="M40" s="131"/>
      <c r="N40" s="131"/>
      <c r="O40" s="131"/>
    </row>
    <row r="41" spans="6:15">
      <c r="F41" s="131"/>
      <c r="G41" s="131"/>
      <c r="H41" s="131"/>
      <c r="I41" s="131"/>
      <c r="J41" s="131"/>
      <c r="K41" s="131"/>
      <c r="L41" s="131"/>
      <c r="M41" s="131"/>
      <c r="N41" s="131"/>
      <c r="O41" s="131"/>
    </row>
    <row r="42" spans="6:15">
      <c r="F42" s="131"/>
      <c r="G42" s="131"/>
      <c r="H42" s="131"/>
      <c r="I42" s="131"/>
      <c r="J42" s="131"/>
      <c r="K42" s="131"/>
      <c r="L42" s="131"/>
      <c r="M42" s="131"/>
      <c r="N42" s="131"/>
      <c r="O42" s="131"/>
    </row>
    <row r="43" spans="6:15">
      <c r="F43" s="131"/>
      <c r="G43" s="131"/>
      <c r="H43" s="131"/>
      <c r="I43" s="131"/>
      <c r="J43" s="131"/>
      <c r="K43" s="131"/>
      <c r="L43" s="131"/>
      <c r="M43" s="131"/>
      <c r="N43" s="131"/>
      <c r="O43" s="131"/>
    </row>
    <row r="44" spans="6:15">
      <c r="F44" s="131"/>
      <c r="G44" s="131"/>
      <c r="H44" s="131"/>
      <c r="I44" s="131"/>
      <c r="J44" s="131"/>
      <c r="K44" s="131"/>
      <c r="L44" s="131"/>
      <c r="M44" s="131"/>
      <c r="N44" s="131"/>
      <c r="O44" s="131"/>
    </row>
    <row r="45" spans="6:15">
      <c r="F45" s="131"/>
      <c r="G45" s="131"/>
      <c r="H45" s="131"/>
      <c r="I45" s="131"/>
      <c r="J45" s="131"/>
      <c r="K45" s="131"/>
      <c r="L45" s="131"/>
      <c r="M45" s="131"/>
      <c r="N45" s="131"/>
      <c r="O45" s="131"/>
    </row>
    <row r="46" spans="6:15"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6:15"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6:15"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>
    <tabColor rgb="FFCCFFCC"/>
  </sheetPr>
  <dimension ref="A1:V82"/>
  <sheetViews>
    <sheetView topLeftCell="A25" workbookViewId="0">
      <pane xSplit="6" topLeftCell="P1" activePane="topRight" state="frozen"/>
      <selection pane="topRight" activeCell="P44" sqref="P44"/>
    </sheetView>
  </sheetViews>
  <sheetFormatPr defaultColWidth="8.85546875" defaultRowHeight="15"/>
  <cols>
    <col min="1" max="1" width="10" style="130" customWidth="1"/>
    <col min="2" max="2" width="33.28515625" style="130" customWidth="1"/>
    <col min="3" max="3" width="36" style="130" customWidth="1"/>
    <col min="4" max="4" width="14.7109375" style="130" customWidth="1"/>
    <col min="5" max="5" width="14.140625" style="130" customWidth="1"/>
    <col min="6" max="6" width="14.42578125" style="130" customWidth="1"/>
    <col min="7" max="7" width="15.7109375" style="130" customWidth="1"/>
    <col min="8" max="22" width="15.7109375" style="176" customWidth="1"/>
    <col min="23" max="16384" width="8.85546875" style="130"/>
  </cols>
  <sheetData>
    <row r="1" spans="1:22" ht="21">
      <c r="A1" s="132" t="s">
        <v>0</v>
      </c>
      <c r="B1" s="138"/>
      <c r="C1" s="133" t="s">
        <v>250</v>
      </c>
      <c r="D1" s="140"/>
      <c r="E1" s="138"/>
      <c r="F1" s="138"/>
      <c r="G1" s="138"/>
      <c r="H1" s="258" t="s">
        <v>250</v>
      </c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</row>
    <row r="2" spans="1:22" ht="18.75">
      <c r="A2" s="135" t="s">
        <v>1</v>
      </c>
      <c r="B2" s="138"/>
      <c r="C2" s="152" t="s">
        <v>117</v>
      </c>
      <c r="D2" s="140"/>
      <c r="E2" s="138"/>
      <c r="F2" s="138"/>
      <c r="G2" s="138"/>
      <c r="H2" s="260" t="s">
        <v>475</v>
      </c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</row>
    <row r="3" spans="1:22" ht="15.75">
      <c r="A3" s="135" t="s">
        <v>2</v>
      </c>
      <c r="B3" s="138"/>
      <c r="C3" s="136">
        <v>5010</v>
      </c>
      <c r="D3" s="140"/>
      <c r="E3" s="138"/>
      <c r="F3" s="138"/>
      <c r="G3" s="138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</row>
    <row r="4" spans="1:22" ht="18.75">
      <c r="A4" s="135" t="s">
        <v>3</v>
      </c>
      <c r="B4" s="138"/>
      <c r="C4" s="136" t="s">
        <v>251</v>
      </c>
      <c r="D4" s="146"/>
      <c r="E4" s="138"/>
      <c r="F4" s="138"/>
      <c r="G4" s="138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</row>
    <row r="5" spans="1:22" ht="15.75">
      <c r="A5" s="135" t="s">
        <v>104</v>
      </c>
      <c r="B5" s="138"/>
      <c r="C5" s="136" t="s">
        <v>246</v>
      </c>
      <c r="D5" s="140"/>
      <c r="E5" s="138"/>
      <c r="F5" s="138"/>
      <c r="G5" s="138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</row>
    <row r="6" spans="1:22" ht="15.75">
      <c r="A6" s="135" t="s">
        <v>65</v>
      </c>
      <c r="B6" s="138"/>
      <c r="C6" s="135" t="s">
        <v>550</v>
      </c>
      <c r="D6" s="137"/>
      <c r="E6" s="138"/>
      <c r="F6" s="138"/>
      <c r="G6" s="138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</row>
    <row r="7" spans="1:22" ht="15.75">
      <c r="A7" s="135" t="s">
        <v>67</v>
      </c>
      <c r="B7" s="138"/>
      <c r="C7" s="135" t="s">
        <v>228</v>
      </c>
      <c r="D7" s="137"/>
      <c r="E7" s="138"/>
      <c r="F7" s="138"/>
      <c r="G7" s="138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</row>
    <row r="8" spans="1:22" ht="21">
      <c r="A8" s="132" t="s">
        <v>248</v>
      </c>
      <c r="B8" s="134"/>
      <c r="C8" s="134"/>
      <c r="D8" s="133"/>
      <c r="E8" s="134"/>
      <c r="F8" s="134"/>
      <c r="G8" s="134"/>
      <c r="H8" s="261"/>
      <c r="I8" s="261"/>
      <c r="J8" s="261"/>
      <c r="K8" s="261"/>
      <c r="L8" s="261"/>
      <c r="M8" s="259"/>
      <c r="N8" s="259"/>
      <c r="O8" s="259"/>
      <c r="P8" s="259"/>
      <c r="Q8" s="259"/>
      <c r="R8" s="259"/>
      <c r="S8" s="259"/>
      <c r="T8" s="259"/>
      <c r="U8" s="259"/>
      <c r="V8" s="259"/>
    </row>
    <row r="9" spans="1:22" ht="15.75" thickBot="1">
      <c r="A9" s="138"/>
      <c r="B9" s="138"/>
      <c r="C9" s="138"/>
      <c r="D9" s="138"/>
      <c r="E9" s="138"/>
      <c r="F9" s="138"/>
      <c r="G9" s="138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</row>
    <row r="10" spans="1:22" ht="30.75" thickBot="1">
      <c r="A10" s="145" t="s">
        <v>4</v>
      </c>
      <c r="B10" s="147" t="s">
        <v>113</v>
      </c>
      <c r="C10" s="147" t="s">
        <v>111</v>
      </c>
      <c r="D10" s="145" t="s">
        <v>44</v>
      </c>
      <c r="E10" s="145" t="s">
        <v>45</v>
      </c>
      <c r="F10" s="149" t="s">
        <v>46</v>
      </c>
      <c r="G10" s="143" t="s">
        <v>551</v>
      </c>
      <c r="H10" s="262" t="s">
        <v>535</v>
      </c>
      <c r="I10" s="263" t="s">
        <v>536</v>
      </c>
      <c r="J10" s="262" t="s">
        <v>537</v>
      </c>
      <c r="K10" s="264" t="s">
        <v>538</v>
      </c>
      <c r="L10" s="264" t="s">
        <v>539</v>
      </c>
      <c r="M10" s="263" t="s">
        <v>540</v>
      </c>
      <c r="N10" s="262" t="s">
        <v>541</v>
      </c>
      <c r="O10" s="263" t="s">
        <v>542</v>
      </c>
      <c r="P10" s="262" t="s">
        <v>543</v>
      </c>
      <c r="Q10" s="263" t="s">
        <v>544</v>
      </c>
      <c r="R10" s="262" t="s">
        <v>545</v>
      </c>
      <c r="S10" s="265" t="s">
        <v>546</v>
      </c>
      <c r="T10" s="262" t="s">
        <v>547</v>
      </c>
      <c r="U10" s="263" t="s">
        <v>548</v>
      </c>
      <c r="V10" s="266" t="s">
        <v>549</v>
      </c>
    </row>
    <row r="11" spans="1:22" ht="15.75" thickBot="1">
      <c r="A11" s="157" t="s">
        <v>116</v>
      </c>
      <c r="B11" s="157" t="s">
        <v>421</v>
      </c>
      <c r="C11" s="157" t="s">
        <v>422</v>
      </c>
      <c r="D11" s="245">
        <v>50000</v>
      </c>
      <c r="E11" s="248">
        <f>SUM(G11:V11)</f>
        <v>23795</v>
      </c>
      <c r="F11" s="248">
        <f>SUM(D11-E11)</f>
        <v>26205</v>
      </c>
      <c r="G11" s="155"/>
      <c r="H11" s="155"/>
      <c r="L11" s="176">
        <v>6487</v>
      </c>
      <c r="M11" s="176">
        <v>1806</v>
      </c>
      <c r="N11" s="176">
        <v>3616</v>
      </c>
      <c r="O11" s="176">
        <v>3490</v>
      </c>
      <c r="P11" s="176">
        <v>8396</v>
      </c>
    </row>
    <row r="12" spans="1:22" s="255" customFormat="1" ht="15.75" thickBot="1">
      <c r="A12" s="157" t="s">
        <v>116</v>
      </c>
      <c r="B12" s="157" t="s">
        <v>421</v>
      </c>
      <c r="C12" s="157" t="s">
        <v>423</v>
      </c>
      <c r="D12" s="245">
        <v>50000</v>
      </c>
      <c r="E12" s="248">
        <f t="shared" ref="E12:E47" si="0">SUM(G12:V12)</f>
        <v>8920</v>
      </c>
      <c r="F12" s="248">
        <f t="shared" ref="F12:F47" si="1">SUM(D12-E12)</f>
        <v>41080</v>
      </c>
      <c r="G12" s="155"/>
      <c r="H12" s="155"/>
      <c r="I12" s="176"/>
      <c r="J12" s="176"/>
      <c r="K12" s="176"/>
      <c r="L12" s="176">
        <v>2875</v>
      </c>
      <c r="M12" s="176">
        <v>114</v>
      </c>
      <c r="N12" s="176">
        <v>2359</v>
      </c>
      <c r="O12" s="176">
        <v>2168</v>
      </c>
      <c r="P12" s="176">
        <v>1404</v>
      </c>
      <c r="Q12" s="176"/>
      <c r="R12" s="176"/>
      <c r="S12" s="176"/>
      <c r="T12" s="176"/>
      <c r="U12" s="176"/>
      <c r="V12" s="176"/>
    </row>
    <row r="13" spans="1:22" s="255" customFormat="1" ht="15.75" thickBot="1">
      <c r="A13" s="157" t="s">
        <v>116</v>
      </c>
      <c r="B13" s="157" t="s">
        <v>421</v>
      </c>
      <c r="C13" s="157" t="s">
        <v>424</v>
      </c>
      <c r="D13" s="245">
        <v>50000</v>
      </c>
      <c r="E13" s="248">
        <f t="shared" si="0"/>
        <v>23860</v>
      </c>
      <c r="F13" s="248">
        <f t="shared" si="1"/>
        <v>26140</v>
      </c>
      <c r="G13" s="155"/>
      <c r="H13" s="155"/>
      <c r="I13" s="176"/>
      <c r="J13" s="176"/>
      <c r="K13" s="176"/>
      <c r="L13" s="176">
        <v>8494</v>
      </c>
      <c r="M13" s="176">
        <v>3006</v>
      </c>
      <c r="N13" s="176">
        <v>3052</v>
      </c>
      <c r="O13" s="176">
        <v>4094</v>
      </c>
      <c r="P13" s="176">
        <v>5214</v>
      </c>
      <c r="Q13" s="176"/>
      <c r="R13" s="176"/>
      <c r="S13" s="176"/>
      <c r="T13" s="176"/>
      <c r="U13" s="176"/>
      <c r="V13" s="176"/>
    </row>
    <row r="14" spans="1:22" s="255" customFormat="1" ht="15.75" thickBot="1">
      <c r="A14" s="157" t="s">
        <v>116</v>
      </c>
      <c r="B14" s="157" t="s">
        <v>421</v>
      </c>
      <c r="C14" s="157" t="s">
        <v>425</v>
      </c>
      <c r="D14" s="245">
        <v>50000</v>
      </c>
      <c r="E14" s="248">
        <f t="shared" si="0"/>
        <v>25090</v>
      </c>
      <c r="F14" s="248">
        <f t="shared" si="1"/>
        <v>24910</v>
      </c>
      <c r="G14" s="155"/>
      <c r="H14" s="155"/>
      <c r="I14" s="176"/>
      <c r="J14" s="176"/>
      <c r="K14" s="176"/>
      <c r="L14" s="176">
        <v>7015</v>
      </c>
      <c r="M14" s="176">
        <v>2743</v>
      </c>
      <c r="N14" s="176">
        <v>3529</v>
      </c>
      <c r="O14" s="176">
        <v>3754</v>
      </c>
      <c r="P14" s="176">
        <v>8049</v>
      </c>
      <c r="Q14" s="176"/>
      <c r="R14" s="176"/>
      <c r="S14" s="176"/>
      <c r="T14" s="176"/>
      <c r="U14" s="176"/>
      <c r="V14" s="176"/>
    </row>
    <row r="15" spans="1:22" s="255" customFormat="1" ht="15.75" thickBot="1">
      <c r="A15" s="157" t="s">
        <v>73</v>
      </c>
      <c r="B15" s="157" t="s">
        <v>426</v>
      </c>
      <c r="C15" s="157" t="s">
        <v>427</v>
      </c>
      <c r="D15" s="245">
        <v>50000</v>
      </c>
      <c r="E15" s="248">
        <f t="shared" si="0"/>
        <v>35053</v>
      </c>
      <c r="F15" s="248">
        <f t="shared" si="1"/>
        <v>14947</v>
      </c>
      <c r="G15" s="155"/>
      <c r="H15" s="155"/>
      <c r="I15" s="176"/>
      <c r="J15" s="176"/>
      <c r="K15" s="176">
        <v>20000</v>
      </c>
      <c r="L15" s="176">
        <v>14114</v>
      </c>
      <c r="M15" s="176"/>
      <c r="N15" s="176"/>
      <c r="O15" s="176"/>
      <c r="P15" s="176">
        <v>939</v>
      </c>
      <c r="Q15" s="176"/>
      <c r="R15" s="176"/>
      <c r="S15" s="176"/>
      <c r="T15" s="176"/>
      <c r="U15" s="176"/>
      <c r="V15" s="176"/>
    </row>
    <row r="16" spans="1:22" s="255" customFormat="1" ht="15.75" thickBot="1">
      <c r="A16" s="157" t="s">
        <v>73</v>
      </c>
      <c r="B16" s="157" t="s">
        <v>426</v>
      </c>
      <c r="C16" s="157" t="s">
        <v>428</v>
      </c>
      <c r="D16" s="245">
        <v>50000</v>
      </c>
      <c r="E16" s="248">
        <f t="shared" si="0"/>
        <v>1593</v>
      </c>
      <c r="F16" s="248">
        <f t="shared" si="1"/>
        <v>48407</v>
      </c>
      <c r="G16" s="155"/>
      <c r="H16" s="155"/>
      <c r="I16" s="176"/>
      <c r="J16" s="176"/>
      <c r="K16" s="176"/>
      <c r="L16" s="176"/>
      <c r="M16" s="176"/>
      <c r="N16" s="176"/>
      <c r="O16" s="176"/>
      <c r="P16" s="176">
        <v>1593</v>
      </c>
      <c r="Q16" s="176"/>
      <c r="R16" s="176"/>
      <c r="S16" s="176"/>
      <c r="T16" s="176"/>
      <c r="U16" s="176"/>
      <c r="V16" s="176"/>
    </row>
    <row r="17" spans="1:22" s="255" customFormat="1" ht="15.75" thickBot="1">
      <c r="A17" s="157" t="s">
        <v>73</v>
      </c>
      <c r="B17" s="157" t="s">
        <v>426</v>
      </c>
      <c r="C17" s="157" t="s">
        <v>429</v>
      </c>
      <c r="D17" s="245">
        <v>50000</v>
      </c>
      <c r="E17" s="248">
        <f t="shared" si="0"/>
        <v>6137</v>
      </c>
      <c r="F17" s="248">
        <f t="shared" si="1"/>
        <v>43863</v>
      </c>
      <c r="G17" s="155"/>
      <c r="H17" s="155"/>
      <c r="I17" s="176"/>
      <c r="J17" s="176"/>
      <c r="K17" s="176"/>
      <c r="L17" s="176"/>
      <c r="M17" s="176">
        <v>1625</v>
      </c>
      <c r="N17" s="176"/>
      <c r="O17" s="176"/>
      <c r="P17" s="176">
        <v>4512</v>
      </c>
      <c r="Q17" s="176"/>
      <c r="R17" s="176"/>
      <c r="S17" s="176"/>
      <c r="T17" s="176"/>
      <c r="U17" s="176"/>
      <c r="V17" s="176"/>
    </row>
    <row r="18" spans="1:22" s="255" customFormat="1" ht="15.75" thickBot="1">
      <c r="A18" s="157" t="s">
        <v>6</v>
      </c>
      <c r="B18" s="157" t="s">
        <v>361</v>
      </c>
      <c r="C18" s="157" t="s">
        <v>430</v>
      </c>
      <c r="D18" s="245">
        <v>72547</v>
      </c>
      <c r="E18" s="248">
        <f t="shared" si="0"/>
        <v>31852</v>
      </c>
      <c r="F18" s="248">
        <f t="shared" si="1"/>
        <v>40695</v>
      </c>
      <c r="G18" s="155"/>
      <c r="H18" s="155"/>
      <c r="I18" s="176"/>
      <c r="J18" s="176"/>
      <c r="K18" s="176"/>
      <c r="L18" s="176">
        <v>5179</v>
      </c>
      <c r="M18" s="176">
        <v>9332</v>
      </c>
      <c r="N18" s="176">
        <v>10404</v>
      </c>
      <c r="O18" s="176">
        <v>2791</v>
      </c>
      <c r="P18" s="176">
        <v>4146</v>
      </c>
      <c r="Q18" s="176"/>
      <c r="R18" s="176"/>
      <c r="S18" s="176"/>
      <c r="T18" s="176"/>
      <c r="U18" s="176"/>
      <c r="V18" s="176"/>
    </row>
    <row r="19" spans="1:22" s="255" customFormat="1" ht="15.75" thickBot="1">
      <c r="A19" s="157" t="s">
        <v>6</v>
      </c>
      <c r="B19" s="157" t="s">
        <v>361</v>
      </c>
      <c r="C19" s="157" t="s">
        <v>431</v>
      </c>
      <c r="D19" s="245">
        <v>97572</v>
      </c>
      <c r="E19" s="248">
        <f t="shared" si="0"/>
        <v>89425</v>
      </c>
      <c r="F19" s="248">
        <f t="shared" si="1"/>
        <v>8147</v>
      </c>
      <c r="G19" s="155"/>
      <c r="H19" s="155"/>
      <c r="I19" s="176"/>
      <c r="J19" s="176"/>
      <c r="K19" s="176">
        <v>45980</v>
      </c>
      <c r="L19" s="176">
        <v>8375</v>
      </c>
      <c r="M19" s="176">
        <v>11505</v>
      </c>
      <c r="N19" s="176">
        <v>7732</v>
      </c>
      <c r="O19" s="176">
        <v>7243</v>
      </c>
      <c r="P19" s="176">
        <v>8590</v>
      </c>
      <c r="Q19" s="176"/>
      <c r="R19" s="176"/>
      <c r="S19" s="176"/>
      <c r="T19" s="176"/>
      <c r="U19" s="176"/>
      <c r="V19" s="176"/>
    </row>
    <row r="20" spans="1:22" s="255" customFormat="1" ht="15.75" thickBot="1">
      <c r="A20" s="157" t="s">
        <v>6</v>
      </c>
      <c r="B20" s="157" t="s">
        <v>361</v>
      </c>
      <c r="C20" s="157" t="s">
        <v>432</v>
      </c>
      <c r="D20" s="245">
        <v>87725</v>
      </c>
      <c r="E20" s="248">
        <f t="shared" si="0"/>
        <v>68037</v>
      </c>
      <c r="F20" s="248">
        <f t="shared" si="1"/>
        <v>19688</v>
      </c>
      <c r="G20" s="155"/>
      <c r="H20" s="155"/>
      <c r="I20" s="176"/>
      <c r="J20" s="176"/>
      <c r="K20" s="176">
        <v>11964</v>
      </c>
      <c r="L20" s="176"/>
      <c r="M20" s="176">
        <v>10468</v>
      </c>
      <c r="N20" s="176">
        <f>12795+8150</f>
        <v>20945</v>
      </c>
      <c r="O20" s="176">
        <v>12606</v>
      </c>
      <c r="P20" s="176">
        <v>12054</v>
      </c>
      <c r="Q20" s="176"/>
      <c r="R20" s="176"/>
      <c r="S20" s="176"/>
      <c r="T20" s="176"/>
      <c r="U20" s="176"/>
      <c r="V20" s="176"/>
    </row>
    <row r="21" spans="1:22" s="255" customFormat="1" ht="15.75" thickBot="1">
      <c r="A21" s="157" t="s">
        <v>96</v>
      </c>
      <c r="B21" s="157" t="s">
        <v>433</v>
      </c>
      <c r="C21" s="157" t="s">
        <v>434</v>
      </c>
      <c r="D21" s="245">
        <v>100000</v>
      </c>
      <c r="E21" s="248">
        <f t="shared" si="0"/>
        <v>60293</v>
      </c>
      <c r="F21" s="248">
        <f t="shared" si="1"/>
        <v>39707</v>
      </c>
      <c r="G21" s="155"/>
      <c r="H21" s="155"/>
      <c r="I21" s="176"/>
      <c r="J21" s="176"/>
      <c r="K21" s="176">
        <v>3737</v>
      </c>
      <c r="L21" s="176">
        <v>20745</v>
      </c>
      <c r="M21" s="176">
        <v>19754</v>
      </c>
      <c r="N21" s="176">
        <v>8302</v>
      </c>
      <c r="O21" s="176">
        <v>6216</v>
      </c>
      <c r="P21" s="176">
        <v>1539</v>
      </c>
      <c r="Q21" s="176"/>
      <c r="R21" s="176"/>
      <c r="S21" s="176"/>
      <c r="T21" s="176"/>
      <c r="U21" s="176"/>
      <c r="V21" s="176"/>
    </row>
    <row r="22" spans="1:22" s="255" customFormat="1" ht="15.75" thickBot="1">
      <c r="A22" s="157" t="s">
        <v>8</v>
      </c>
      <c r="B22" s="157" t="s">
        <v>435</v>
      </c>
      <c r="C22" s="157" t="s">
        <v>436</v>
      </c>
      <c r="D22" s="245">
        <v>100000</v>
      </c>
      <c r="E22" s="248">
        <f t="shared" si="0"/>
        <v>49426</v>
      </c>
      <c r="F22" s="248">
        <f t="shared" si="1"/>
        <v>50574</v>
      </c>
      <c r="G22" s="155"/>
      <c r="H22" s="155"/>
      <c r="I22" s="176"/>
      <c r="J22" s="176"/>
      <c r="K22" s="176">
        <v>5898</v>
      </c>
      <c r="L22" s="176">
        <v>11524</v>
      </c>
      <c r="M22" s="176">
        <v>5141</v>
      </c>
      <c r="N22" s="176">
        <v>12440</v>
      </c>
      <c r="O22" s="176">
        <v>6539</v>
      </c>
      <c r="P22" s="176">
        <v>7884</v>
      </c>
      <c r="Q22" s="176"/>
      <c r="R22" s="176"/>
      <c r="S22" s="176"/>
      <c r="T22" s="176"/>
      <c r="U22" s="176"/>
      <c r="V22" s="176"/>
    </row>
    <row r="23" spans="1:22" s="255" customFormat="1" ht="15.75" thickBot="1">
      <c r="A23" s="157" t="s">
        <v>8</v>
      </c>
      <c r="B23" s="157" t="s">
        <v>435</v>
      </c>
      <c r="C23" s="157" t="s">
        <v>437</v>
      </c>
      <c r="D23" s="245">
        <v>100000</v>
      </c>
      <c r="E23" s="248">
        <f t="shared" si="0"/>
        <v>41397</v>
      </c>
      <c r="F23" s="248">
        <f t="shared" si="1"/>
        <v>58603</v>
      </c>
      <c r="G23" s="155"/>
      <c r="H23" s="155"/>
      <c r="I23" s="176"/>
      <c r="J23" s="176"/>
      <c r="K23" s="176">
        <v>289</v>
      </c>
      <c r="L23" s="176">
        <v>4143</v>
      </c>
      <c r="M23" s="176">
        <v>3393</v>
      </c>
      <c r="N23" s="176">
        <v>15220</v>
      </c>
      <c r="O23" s="176">
        <v>6191</v>
      </c>
      <c r="P23" s="176">
        <v>12161</v>
      </c>
      <c r="Q23" s="176"/>
      <c r="R23" s="176"/>
      <c r="S23" s="176"/>
      <c r="T23" s="176"/>
      <c r="U23" s="176"/>
      <c r="V23" s="176"/>
    </row>
    <row r="24" spans="1:22" s="255" customFormat="1" ht="15.75" thickBot="1">
      <c r="A24" s="157" t="s">
        <v>8</v>
      </c>
      <c r="B24" s="157" t="s">
        <v>435</v>
      </c>
      <c r="C24" s="157" t="s">
        <v>438</v>
      </c>
      <c r="D24" s="245">
        <v>100000</v>
      </c>
      <c r="E24" s="248">
        <f t="shared" si="0"/>
        <v>53434</v>
      </c>
      <c r="F24" s="248">
        <f t="shared" si="1"/>
        <v>46566</v>
      </c>
      <c r="G24" s="155"/>
      <c r="H24" s="155"/>
      <c r="I24" s="176"/>
      <c r="J24" s="176"/>
      <c r="K24" s="176">
        <v>5919</v>
      </c>
      <c r="L24" s="176">
        <v>8795</v>
      </c>
      <c r="M24" s="176">
        <v>4642</v>
      </c>
      <c r="N24" s="176">
        <v>15051</v>
      </c>
      <c r="O24" s="176">
        <v>8586</v>
      </c>
      <c r="P24" s="176">
        <v>10441</v>
      </c>
      <c r="Q24" s="176"/>
      <c r="R24" s="176"/>
      <c r="S24" s="176"/>
      <c r="T24" s="176"/>
      <c r="U24" s="176"/>
      <c r="V24" s="176"/>
    </row>
    <row r="25" spans="1:22" s="255" customFormat="1" ht="15.75" thickBot="1">
      <c r="A25" s="157" t="s">
        <v>8</v>
      </c>
      <c r="B25" s="157" t="s">
        <v>435</v>
      </c>
      <c r="C25" s="157" t="s">
        <v>439</v>
      </c>
      <c r="D25" s="245">
        <v>50000</v>
      </c>
      <c r="E25" s="248">
        <f t="shared" si="0"/>
        <v>34544</v>
      </c>
      <c r="F25" s="248">
        <f t="shared" si="1"/>
        <v>15456</v>
      </c>
      <c r="G25" s="155"/>
      <c r="H25" s="155"/>
      <c r="I25" s="176"/>
      <c r="J25" s="176"/>
      <c r="K25" s="176">
        <v>10286</v>
      </c>
      <c r="L25" s="176">
        <v>5457</v>
      </c>
      <c r="M25" s="176">
        <v>5255</v>
      </c>
      <c r="N25" s="176">
        <v>3853</v>
      </c>
      <c r="O25" s="176">
        <v>4729</v>
      </c>
      <c r="P25" s="176">
        <v>4964</v>
      </c>
      <c r="Q25" s="176"/>
      <c r="R25" s="176"/>
      <c r="S25" s="176"/>
      <c r="T25" s="176"/>
      <c r="U25" s="176"/>
      <c r="V25" s="176"/>
    </row>
    <row r="26" spans="1:22" s="255" customFormat="1" ht="15.75" thickBot="1">
      <c r="A26" s="157" t="s">
        <v>8</v>
      </c>
      <c r="B26" s="157" t="s">
        <v>435</v>
      </c>
      <c r="C26" s="157" t="s">
        <v>440</v>
      </c>
      <c r="D26" s="245">
        <v>100000</v>
      </c>
      <c r="E26" s="248">
        <f t="shared" si="0"/>
        <v>41999</v>
      </c>
      <c r="F26" s="248">
        <f t="shared" si="1"/>
        <v>58001</v>
      </c>
      <c r="G26" s="155"/>
      <c r="H26" s="155"/>
      <c r="I26" s="176"/>
      <c r="J26" s="176"/>
      <c r="K26" s="176">
        <v>6042</v>
      </c>
      <c r="L26" s="176">
        <v>5037</v>
      </c>
      <c r="M26" s="176">
        <v>3337</v>
      </c>
      <c r="N26" s="176">
        <v>2560</v>
      </c>
      <c r="O26" s="176">
        <v>7190</v>
      </c>
      <c r="P26" s="176">
        <v>17833</v>
      </c>
      <c r="Q26" s="176"/>
      <c r="R26" s="176"/>
      <c r="S26" s="176"/>
      <c r="T26" s="176"/>
      <c r="U26" s="176"/>
      <c r="V26" s="176"/>
    </row>
    <row r="27" spans="1:22" s="255" customFormat="1" ht="15.75" thickBot="1">
      <c r="A27" s="157" t="s">
        <v>75</v>
      </c>
      <c r="B27" s="157" t="s">
        <v>109</v>
      </c>
      <c r="C27" s="157" t="s">
        <v>441</v>
      </c>
      <c r="D27" s="245">
        <v>100000</v>
      </c>
      <c r="E27" s="248">
        <f t="shared" si="0"/>
        <v>0</v>
      </c>
      <c r="F27" s="248">
        <f t="shared" si="1"/>
        <v>100000</v>
      </c>
      <c r="G27" s="155"/>
      <c r="H27" s="155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</row>
    <row r="28" spans="1:22" s="255" customFormat="1" ht="15.75" thickBot="1">
      <c r="A28" s="157" t="s">
        <v>75</v>
      </c>
      <c r="B28" s="157" t="s">
        <v>109</v>
      </c>
      <c r="C28" s="157" t="s">
        <v>442</v>
      </c>
      <c r="D28" s="245">
        <v>100000</v>
      </c>
      <c r="E28" s="248">
        <f t="shared" si="0"/>
        <v>0</v>
      </c>
      <c r="F28" s="248">
        <f t="shared" si="1"/>
        <v>100000</v>
      </c>
      <c r="G28" s="155"/>
      <c r="H28" s="155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</row>
    <row r="29" spans="1:22" s="255" customFormat="1" ht="15.75" thickBot="1">
      <c r="A29" s="157" t="s">
        <v>443</v>
      </c>
      <c r="B29" s="157" t="s">
        <v>109</v>
      </c>
      <c r="C29" s="157" t="s">
        <v>444</v>
      </c>
      <c r="D29" s="245">
        <v>100000</v>
      </c>
      <c r="E29" s="248">
        <f t="shared" si="0"/>
        <v>0</v>
      </c>
      <c r="F29" s="248">
        <f t="shared" si="1"/>
        <v>100000</v>
      </c>
      <c r="G29" s="155"/>
      <c r="H29" s="155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</row>
    <row r="30" spans="1:22" s="255" customFormat="1" ht="15.75" thickBot="1">
      <c r="A30" s="157" t="s">
        <v>443</v>
      </c>
      <c r="B30" s="157" t="s">
        <v>109</v>
      </c>
      <c r="C30" s="157" t="s">
        <v>445</v>
      </c>
      <c r="D30" s="245">
        <v>100000</v>
      </c>
      <c r="E30" s="248">
        <f t="shared" si="0"/>
        <v>0</v>
      </c>
      <c r="F30" s="248">
        <f t="shared" si="1"/>
        <v>100000</v>
      </c>
      <c r="G30" s="155"/>
      <c r="H30" s="155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</row>
    <row r="31" spans="1:22" s="255" customFormat="1" ht="15.75" thickBot="1">
      <c r="A31" s="157" t="s">
        <v>75</v>
      </c>
      <c r="B31" s="157" t="s">
        <v>109</v>
      </c>
      <c r="C31" s="157" t="s">
        <v>446</v>
      </c>
      <c r="D31" s="245">
        <v>100000</v>
      </c>
      <c r="E31" s="248">
        <f t="shared" si="0"/>
        <v>0</v>
      </c>
      <c r="F31" s="248">
        <f t="shared" si="1"/>
        <v>100000</v>
      </c>
      <c r="G31" s="155"/>
      <c r="H31" s="155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</row>
    <row r="32" spans="1:22" s="255" customFormat="1" ht="15.75" thickBot="1">
      <c r="A32" s="157" t="s">
        <v>75</v>
      </c>
      <c r="B32" s="157" t="s">
        <v>109</v>
      </c>
      <c r="C32" s="157" t="s">
        <v>447</v>
      </c>
      <c r="D32" s="245">
        <v>85200</v>
      </c>
      <c r="E32" s="248">
        <f t="shared" si="0"/>
        <v>10817</v>
      </c>
      <c r="F32" s="248">
        <f t="shared" si="1"/>
        <v>74383</v>
      </c>
      <c r="G32" s="155"/>
      <c r="H32" s="155"/>
      <c r="I32" s="176"/>
      <c r="J32" s="176"/>
      <c r="K32" s="176"/>
      <c r="L32" s="176"/>
      <c r="M32" s="176"/>
      <c r="N32" s="176"/>
      <c r="O32" s="176">
        <v>10817</v>
      </c>
      <c r="P32" s="176"/>
      <c r="Q32" s="176"/>
      <c r="R32" s="176"/>
      <c r="S32" s="176"/>
      <c r="T32" s="176"/>
      <c r="U32" s="176"/>
      <c r="V32" s="176"/>
    </row>
    <row r="33" spans="1:22" s="256" customFormat="1" ht="15.75" thickBot="1">
      <c r="A33" s="157" t="s">
        <v>443</v>
      </c>
      <c r="B33" s="157" t="s">
        <v>109</v>
      </c>
      <c r="C33" s="157" t="s">
        <v>448</v>
      </c>
      <c r="D33" s="245">
        <v>100000</v>
      </c>
      <c r="E33" s="248">
        <f t="shared" si="0"/>
        <v>0</v>
      </c>
      <c r="F33" s="248">
        <f t="shared" si="1"/>
        <v>100000</v>
      </c>
      <c r="G33" s="155"/>
      <c r="H33" s="155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</row>
    <row r="34" spans="1:22" s="256" customFormat="1" ht="15.75" thickBot="1">
      <c r="A34" s="157" t="s">
        <v>75</v>
      </c>
      <c r="B34" s="157" t="s">
        <v>109</v>
      </c>
      <c r="C34" s="157" t="s">
        <v>449</v>
      </c>
      <c r="D34" s="245">
        <v>100000</v>
      </c>
      <c r="E34" s="248">
        <f t="shared" si="0"/>
        <v>0</v>
      </c>
      <c r="F34" s="248">
        <f t="shared" si="1"/>
        <v>100000</v>
      </c>
      <c r="G34" s="155"/>
      <c r="H34" s="155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</row>
    <row r="35" spans="1:22" s="256" customFormat="1" ht="15.75" thickBot="1">
      <c r="A35" s="157" t="s">
        <v>450</v>
      </c>
      <c r="B35" s="157" t="s">
        <v>451</v>
      </c>
      <c r="C35" s="157" t="s">
        <v>452</v>
      </c>
      <c r="D35" s="245">
        <v>13729</v>
      </c>
      <c r="E35" s="248">
        <f t="shared" si="0"/>
        <v>2227</v>
      </c>
      <c r="F35" s="248">
        <f t="shared" si="1"/>
        <v>11502</v>
      </c>
      <c r="G35" s="155"/>
      <c r="H35" s="155"/>
      <c r="I35" s="176"/>
      <c r="J35" s="176"/>
      <c r="K35" s="176"/>
      <c r="L35" s="176"/>
      <c r="M35" s="176">
        <v>2227</v>
      </c>
      <c r="N35" s="176"/>
      <c r="O35" s="176"/>
      <c r="P35" s="176"/>
      <c r="Q35" s="176"/>
      <c r="R35" s="176"/>
      <c r="S35" s="176"/>
      <c r="T35" s="176"/>
      <c r="U35" s="176"/>
      <c r="V35" s="176"/>
    </row>
    <row r="36" spans="1:22" s="256" customFormat="1" ht="15.75" thickBot="1">
      <c r="A36" s="157" t="s">
        <v>11</v>
      </c>
      <c r="B36" s="157" t="s">
        <v>453</v>
      </c>
      <c r="C36" s="157" t="s">
        <v>454</v>
      </c>
      <c r="D36" s="245">
        <v>50000</v>
      </c>
      <c r="E36" s="248">
        <f t="shared" si="0"/>
        <v>3470</v>
      </c>
      <c r="F36" s="248">
        <f t="shared" si="1"/>
        <v>46530</v>
      </c>
      <c r="G36" s="155"/>
      <c r="H36" s="155"/>
      <c r="I36" s="176"/>
      <c r="J36" s="176"/>
      <c r="K36" s="176">
        <v>571</v>
      </c>
      <c r="L36" s="176">
        <v>574</v>
      </c>
      <c r="M36" s="176">
        <v>1549</v>
      </c>
      <c r="N36" s="176">
        <v>776</v>
      </c>
      <c r="O36" s="176"/>
      <c r="P36" s="176"/>
      <c r="Q36" s="176"/>
      <c r="R36" s="176"/>
      <c r="S36" s="176"/>
      <c r="T36" s="176"/>
      <c r="U36" s="176"/>
      <c r="V36" s="176"/>
    </row>
    <row r="37" spans="1:22" s="256" customFormat="1" ht="15.75" thickBot="1">
      <c r="A37" s="157" t="s">
        <v>297</v>
      </c>
      <c r="B37" s="157" t="s">
        <v>412</v>
      </c>
      <c r="C37" s="157" t="s">
        <v>455</v>
      </c>
      <c r="D37" s="245">
        <v>99839</v>
      </c>
      <c r="E37" s="248">
        <f t="shared" si="0"/>
        <v>66365</v>
      </c>
      <c r="F37" s="248">
        <f t="shared" si="1"/>
        <v>33474</v>
      </c>
      <c r="G37" s="155"/>
      <c r="H37" s="155"/>
      <c r="I37" s="176"/>
      <c r="J37" s="176"/>
      <c r="K37" s="176"/>
      <c r="L37" s="176"/>
      <c r="M37" s="176">
        <v>26128</v>
      </c>
      <c r="N37" s="176"/>
      <c r="O37" s="176">
        <v>13113</v>
      </c>
      <c r="P37" s="176">
        <v>27124</v>
      </c>
      <c r="Q37" s="176"/>
      <c r="R37" s="176"/>
      <c r="S37" s="176"/>
      <c r="T37" s="176"/>
      <c r="U37" s="176"/>
      <c r="V37" s="176"/>
    </row>
    <row r="38" spans="1:22" s="256" customFormat="1" ht="15.75" thickBot="1">
      <c r="A38" s="157" t="s">
        <v>456</v>
      </c>
      <c r="B38" s="157" t="s">
        <v>457</v>
      </c>
      <c r="C38" s="157" t="s">
        <v>458</v>
      </c>
      <c r="D38" s="245">
        <v>100000</v>
      </c>
      <c r="E38" s="248">
        <f t="shared" si="0"/>
        <v>52598</v>
      </c>
      <c r="F38" s="248">
        <f t="shared" si="1"/>
        <v>47402</v>
      </c>
      <c r="G38" s="155"/>
      <c r="H38" s="155"/>
      <c r="I38" s="176"/>
      <c r="J38" s="176"/>
      <c r="K38" s="176"/>
      <c r="L38" s="176"/>
      <c r="M38" s="176"/>
      <c r="N38" s="176">
        <v>15054</v>
      </c>
      <c r="O38" s="176"/>
      <c r="P38" s="176">
        <v>37544</v>
      </c>
      <c r="Q38" s="176"/>
      <c r="R38" s="176"/>
      <c r="S38" s="176"/>
      <c r="T38" s="176"/>
      <c r="U38" s="176"/>
      <c r="V38" s="176"/>
    </row>
    <row r="39" spans="1:22" s="256" customFormat="1" ht="15.75" thickBot="1">
      <c r="A39" s="157" t="s">
        <v>129</v>
      </c>
      <c r="B39" s="157" t="s">
        <v>459</v>
      </c>
      <c r="C39" s="157" t="s">
        <v>460</v>
      </c>
      <c r="D39" s="245">
        <v>43993</v>
      </c>
      <c r="E39" s="248">
        <f t="shared" si="0"/>
        <v>29466</v>
      </c>
      <c r="F39" s="248">
        <f t="shared" si="1"/>
        <v>14527</v>
      </c>
      <c r="G39" s="155"/>
      <c r="H39" s="155"/>
      <c r="I39" s="176"/>
      <c r="J39" s="176"/>
      <c r="K39" s="176"/>
      <c r="L39" s="176">
        <v>7510</v>
      </c>
      <c r="M39" s="176">
        <v>6083</v>
      </c>
      <c r="N39" s="176">
        <v>5950</v>
      </c>
      <c r="O39" s="176">
        <v>9923</v>
      </c>
      <c r="P39" s="176"/>
      <c r="Q39" s="176"/>
      <c r="R39" s="176"/>
      <c r="S39" s="176"/>
      <c r="T39" s="176"/>
      <c r="U39" s="176"/>
      <c r="V39" s="176"/>
    </row>
    <row r="40" spans="1:22" s="256" customFormat="1" ht="15.75" thickBot="1">
      <c r="A40" s="157" t="s">
        <v>461</v>
      </c>
      <c r="B40" s="157" t="s">
        <v>462</v>
      </c>
      <c r="C40" s="157" t="s">
        <v>463</v>
      </c>
      <c r="D40" s="245">
        <v>96165</v>
      </c>
      <c r="E40" s="248">
        <f t="shared" si="0"/>
        <v>0</v>
      </c>
      <c r="F40" s="248">
        <f t="shared" si="1"/>
        <v>96165</v>
      </c>
      <c r="G40" s="155"/>
      <c r="H40" s="155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</row>
    <row r="41" spans="1:22" s="255" customFormat="1" ht="15.75" thickBot="1">
      <c r="A41" s="157" t="s">
        <v>303</v>
      </c>
      <c r="B41" s="157" t="s">
        <v>464</v>
      </c>
      <c r="C41" s="157" t="s">
        <v>465</v>
      </c>
      <c r="D41" s="245">
        <v>97475</v>
      </c>
      <c r="E41" s="248">
        <f t="shared" si="0"/>
        <v>69736</v>
      </c>
      <c r="F41" s="248">
        <f t="shared" si="1"/>
        <v>27739</v>
      </c>
      <c r="G41" s="155"/>
      <c r="H41" s="155"/>
      <c r="I41" s="176"/>
      <c r="J41" s="176"/>
      <c r="K41" s="176"/>
      <c r="L41" s="176">
        <v>11875</v>
      </c>
      <c r="M41" s="176">
        <v>12556</v>
      </c>
      <c r="N41" s="176">
        <v>35323</v>
      </c>
      <c r="O41" s="176">
        <v>8690</v>
      </c>
      <c r="P41" s="176">
        <v>1292</v>
      </c>
      <c r="Q41" s="176"/>
      <c r="R41" s="176"/>
      <c r="S41" s="176"/>
      <c r="T41" s="176"/>
      <c r="U41" s="176"/>
      <c r="V41" s="176"/>
    </row>
    <row r="42" spans="1:22" s="255" customFormat="1" ht="15.75" thickBot="1">
      <c r="A42" s="157" t="s">
        <v>303</v>
      </c>
      <c r="B42" s="157" t="s">
        <v>464</v>
      </c>
      <c r="C42" s="157" t="s">
        <v>252</v>
      </c>
      <c r="D42" s="245">
        <v>44140</v>
      </c>
      <c r="E42" s="248">
        <f t="shared" si="0"/>
        <v>44140</v>
      </c>
      <c r="F42" s="248">
        <f t="shared" si="1"/>
        <v>0</v>
      </c>
      <c r="G42" s="155">
        <v>20000</v>
      </c>
      <c r="H42" s="155">
        <v>2623</v>
      </c>
      <c r="I42" s="176"/>
      <c r="J42" s="176"/>
      <c r="K42" s="176">
        <v>7379</v>
      </c>
      <c r="L42" s="176">
        <v>7883</v>
      </c>
      <c r="M42" s="176">
        <v>3575</v>
      </c>
      <c r="N42" s="176">
        <v>2680</v>
      </c>
      <c r="O42" s="176"/>
      <c r="P42" s="176"/>
      <c r="Q42" s="176"/>
      <c r="R42" s="176"/>
      <c r="S42" s="176"/>
      <c r="T42" s="176"/>
      <c r="U42" s="176"/>
      <c r="V42" s="176"/>
    </row>
    <row r="43" spans="1:22" s="255" customFormat="1" ht="15.75" thickBot="1">
      <c r="A43" s="157" t="s">
        <v>303</v>
      </c>
      <c r="B43" s="157" t="s">
        <v>464</v>
      </c>
      <c r="C43" s="157" t="s">
        <v>466</v>
      </c>
      <c r="D43" s="245">
        <v>47475</v>
      </c>
      <c r="E43" s="248">
        <f t="shared" si="0"/>
        <v>7597</v>
      </c>
      <c r="F43" s="248">
        <f t="shared" si="1"/>
        <v>39878</v>
      </c>
      <c r="G43" s="155"/>
      <c r="H43" s="155"/>
      <c r="I43" s="176"/>
      <c r="J43" s="176"/>
      <c r="K43" s="176"/>
      <c r="L43" s="176"/>
      <c r="M43" s="176"/>
      <c r="N43" s="176">
        <v>639</v>
      </c>
      <c r="O43" s="176"/>
      <c r="P43" s="176">
        <v>6958</v>
      </c>
      <c r="Q43" s="176"/>
      <c r="R43" s="176"/>
      <c r="S43" s="176"/>
      <c r="T43" s="176"/>
      <c r="U43" s="176"/>
      <c r="V43" s="176"/>
    </row>
    <row r="44" spans="1:22" s="255" customFormat="1" ht="15.75" thickBot="1">
      <c r="A44" s="157" t="s">
        <v>467</v>
      </c>
      <c r="B44" s="157" t="s">
        <v>468</v>
      </c>
      <c r="C44" s="157" t="s">
        <v>469</v>
      </c>
      <c r="D44" s="245">
        <v>71000</v>
      </c>
      <c r="E44" s="248">
        <f t="shared" si="0"/>
        <v>25747</v>
      </c>
      <c r="F44" s="248">
        <f t="shared" si="1"/>
        <v>45253</v>
      </c>
      <c r="G44" s="155"/>
      <c r="H44" s="155"/>
      <c r="I44" s="176"/>
      <c r="J44" s="176"/>
      <c r="K44" s="176"/>
      <c r="L44" s="176"/>
      <c r="M44" s="176"/>
      <c r="N44" s="176">
        <v>14413</v>
      </c>
      <c r="O44" s="176"/>
      <c r="P44" s="176">
        <v>11334</v>
      </c>
      <c r="Q44" s="176"/>
      <c r="R44" s="176"/>
      <c r="S44" s="176"/>
      <c r="T44" s="176"/>
      <c r="U44" s="176"/>
      <c r="V44" s="176"/>
    </row>
    <row r="45" spans="1:22" s="255" customFormat="1" ht="15.75" thickBot="1">
      <c r="A45" s="157" t="s">
        <v>396</v>
      </c>
      <c r="B45" s="157" t="s">
        <v>470</v>
      </c>
      <c r="C45" s="157" t="s">
        <v>471</v>
      </c>
      <c r="D45" s="245">
        <v>30000</v>
      </c>
      <c r="E45" s="248">
        <f t="shared" si="0"/>
        <v>0</v>
      </c>
      <c r="F45" s="248">
        <f t="shared" si="1"/>
        <v>30000</v>
      </c>
      <c r="G45" s="155"/>
      <c r="H45" s="155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</row>
    <row r="46" spans="1:22" s="255" customFormat="1" ht="15.75" thickBot="1">
      <c r="A46" s="157" t="s">
        <v>472</v>
      </c>
      <c r="B46" s="157" t="s">
        <v>420</v>
      </c>
      <c r="C46" s="157" t="s">
        <v>473</v>
      </c>
      <c r="D46" s="245">
        <v>49735</v>
      </c>
      <c r="E46" s="248">
        <f t="shared" si="0"/>
        <v>0</v>
      </c>
      <c r="F46" s="248">
        <f t="shared" si="1"/>
        <v>49735</v>
      </c>
      <c r="G46" s="155"/>
      <c r="H46" s="155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</row>
    <row r="47" spans="1:22" s="255" customFormat="1" ht="15.75" thickBot="1">
      <c r="A47" s="157" t="s">
        <v>472</v>
      </c>
      <c r="B47" s="157" t="s">
        <v>420</v>
      </c>
      <c r="C47" s="157" t="s">
        <v>474</v>
      </c>
      <c r="D47" s="245">
        <v>100000</v>
      </c>
      <c r="E47" s="248">
        <f t="shared" si="0"/>
        <v>51111</v>
      </c>
      <c r="F47" s="248">
        <f t="shared" si="1"/>
        <v>48889</v>
      </c>
      <c r="G47" s="155"/>
      <c r="H47" s="155"/>
      <c r="I47" s="176"/>
      <c r="J47" s="176"/>
      <c r="K47" s="176"/>
      <c r="L47" s="176"/>
      <c r="M47" s="176"/>
      <c r="N47" s="176">
        <v>51111</v>
      </c>
      <c r="O47" s="176"/>
      <c r="P47" s="176"/>
      <c r="Q47" s="176"/>
      <c r="R47" s="176"/>
      <c r="S47" s="176"/>
      <c r="T47" s="176"/>
      <c r="U47" s="176"/>
      <c r="V47" s="176"/>
    </row>
    <row r="48" spans="1:22" s="255" customFormat="1" ht="15.75" thickBot="1">
      <c r="A48" s="153"/>
      <c r="B48" s="156"/>
      <c r="C48" s="157"/>
      <c r="D48" s="248"/>
      <c r="E48" s="248"/>
      <c r="F48" s="248"/>
      <c r="G48" s="155"/>
      <c r="H48" s="155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</row>
    <row r="49" spans="1:22" ht="15.75" thickBot="1">
      <c r="A49" s="142"/>
      <c r="B49" s="142"/>
      <c r="C49" s="142"/>
      <c r="D49" s="247"/>
      <c r="E49" s="247"/>
      <c r="F49" s="248"/>
      <c r="G49" s="131"/>
      <c r="H49" s="131"/>
    </row>
    <row r="50" spans="1:22" ht="15.75" thickBot="1">
      <c r="A50" s="148"/>
      <c r="B50" s="148"/>
      <c r="C50" s="148"/>
      <c r="D50" s="252">
        <f t="shared" ref="D50:V50" si="2">SUM(D11:D49)</f>
        <v>2786595</v>
      </c>
      <c r="E50" s="252">
        <f t="shared" si="2"/>
        <v>958129</v>
      </c>
      <c r="F50" s="252">
        <f t="shared" si="2"/>
        <v>1828466</v>
      </c>
      <c r="G50" s="150">
        <f t="shared" si="2"/>
        <v>20000</v>
      </c>
      <c r="H50" s="150">
        <f t="shared" si="2"/>
        <v>2623</v>
      </c>
      <c r="I50" s="150">
        <f t="shared" si="2"/>
        <v>0</v>
      </c>
      <c r="J50" s="150">
        <f t="shared" si="2"/>
        <v>0</v>
      </c>
      <c r="K50" s="150">
        <f t="shared" si="2"/>
        <v>118065</v>
      </c>
      <c r="L50" s="150">
        <f t="shared" si="2"/>
        <v>136082</v>
      </c>
      <c r="M50" s="150">
        <f t="shared" si="2"/>
        <v>134239</v>
      </c>
      <c r="N50" s="150">
        <f t="shared" si="2"/>
        <v>235009</v>
      </c>
      <c r="O50" s="150">
        <f t="shared" si="2"/>
        <v>118140</v>
      </c>
      <c r="P50" s="150">
        <f t="shared" si="2"/>
        <v>193971</v>
      </c>
      <c r="Q50" s="150">
        <f t="shared" si="2"/>
        <v>0</v>
      </c>
      <c r="R50" s="150">
        <f t="shared" si="2"/>
        <v>0</v>
      </c>
      <c r="S50" s="150">
        <f t="shared" si="2"/>
        <v>0</v>
      </c>
      <c r="T50" s="150">
        <f t="shared" si="2"/>
        <v>0</v>
      </c>
      <c r="U50" s="150">
        <f t="shared" si="2"/>
        <v>0</v>
      </c>
      <c r="V50" s="150">
        <f t="shared" si="2"/>
        <v>0</v>
      </c>
    </row>
    <row r="51" spans="1:22">
      <c r="D51" s="131"/>
      <c r="G51" s="131"/>
      <c r="H51" s="131"/>
      <c r="I51" s="131"/>
      <c r="J51" s="131"/>
    </row>
    <row r="52" spans="1:22">
      <c r="D52" s="131"/>
      <c r="G52" s="131"/>
      <c r="H52" s="131"/>
      <c r="I52" s="131"/>
      <c r="J52" s="131"/>
    </row>
    <row r="53" spans="1:22">
      <c r="D53" s="131"/>
      <c r="G53" s="131"/>
      <c r="H53" s="131"/>
      <c r="I53" s="131"/>
      <c r="J53" s="131"/>
    </row>
    <row r="54" spans="1:22">
      <c r="D54" s="131"/>
      <c r="G54" s="131"/>
      <c r="H54" s="131"/>
      <c r="I54" s="131"/>
      <c r="J54" s="131"/>
    </row>
    <row r="55" spans="1:22">
      <c r="D55" s="131"/>
      <c r="G55" s="131"/>
      <c r="H55" s="131"/>
      <c r="I55" s="131"/>
      <c r="J55" s="131"/>
    </row>
    <row r="56" spans="1:22">
      <c r="D56" s="131"/>
      <c r="G56" s="131"/>
      <c r="H56" s="131"/>
      <c r="I56" s="131"/>
      <c r="J56" s="131"/>
    </row>
    <row r="57" spans="1:22">
      <c r="D57" s="131"/>
      <c r="G57" s="131"/>
      <c r="H57" s="131"/>
      <c r="I57" s="131"/>
      <c r="J57" s="131"/>
    </row>
    <row r="58" spans="1:22">
      <c r="D58" s="131"/>
      <c r="G58" s="131"/>
      <c r="H58" s="131"/>
      <c r="I58" s="131"/>
      <c r="J58" s="131"/>
    </row>
    <row r="59" spans="1:22">
      <c r="D59" s="131"/>
      <c r="G59" s="131"/>
      <c r="H59" s="131"/>
      <c r="I59" s="131"/>
      <c r="J59" s="131"/>
    </row>
    <row r="60" spans="1:22">
      <c r="D60" s="131"/>
      <c r="G60" s="131"/>
      <c r="H60" s="131"/>
      <c r="I60" s="131"/>
      <c r="J60" s="131"/>
    </row>
    <row r="61" spans="1:22">
      <c r="D61" s="131"/>
      <c r="G61" s="131"/>
      <c r="H61" s="131"/>
      <c r="I61" s="131"/>
      <c r="J61" s="131"/>
    </row>
    <row r="62" spans="1:22">
      <c r="D62" s="131"/>
      <c r="G62" s="131"/>
      <c r="H62" s="131"/>
      <c r="I62" s="131"/>
      <c r="J62" s="131"/>
    </row>
    <row r="63" spans="1:22">
      <c r="D63" s="131"/>
      <c r="G63" s="131"/>
      <c r="H63" s="131"/>
      <c r="I63" s="131"/>
      <c r="J63" s="131"/>
    </row>
    <row r="64" spans="1:22">
      <c r="D64" s="131"/>
      <c r="G64" s="131"/>
      <c r="H64" s="131"/>
      <c r="I64" s="131"/>
      <c r="J64" s="131"/>
    </row>
    <row r="65" spans="7:10">
      <c r="G65" s="131"/>
      <c r="H65" s="131"/>
      <c r="I65" s="131"/>
      <c r="J65" s="131"/>
    </row>
    <row r="66" spans="7:10">
      <c r="G66" s="131"/>
      <c r="H66" s="131"/>
      <c r="I66" s="131"/>
      <c r="J66" s="131"/>
    </row>
    <row r="67" spans="7:10">
      <c r="G67" s="131"/>
      <c r="H67" s="131"/>
      <c r="I67" s="131"/>
      <c r="J67" s="131"/>
    </row>
    <row r="68" spans="7:10">
      <c r="G68" s="131"/>
      <c r="H68" s="131"/>
      <c r="I68" s="131"/>
      <c r="J68" s="131"/>
    </row>
    <row r="69" spans="7:10">
      <c r="G69" s="131"/>
      <c r="H69" s="131"/>
      <c r="I69" s="131"/>
      <c r="J69" s="131"/>
    </row>
    <row r="70" spans="7:10">
      <c r="G70" s="131"/>
      <c r="H70" s="131"/>
      <c r="I70" s="131"/>
      <c r="J70" s="131"/>
    </row>
    <row r="71" spans="7:10">
      <c r="G71" s="131"/>
      <c r="H71" s="131"/>
      <c r="I71" s="131"/>
      <c r="J71" s="131"/>
    </row>
    <row r="72" spans="7:10">
      <c r="G72" s="131"/>
      <c r="H72" s="131"/>
      <c r="I72" s="131"/>
      <c r="J72" s="131"/>
    </row>
    <row r="73" spans="7:10">
      <c r="G73" s="131"/>
      <c r="H73" s="131"/>
      <c r="I73" s="131"/>
      <c r="J73" s="131"/>
    </row>
    <row r="74" spans="7:10">
      <c r="G74" s="131"/>
      <c r="H74" s="131"/>
      <c r="I74" s="131"/>
      <c r="J74" s="131"/>
    </row>
    <row r="75" spans="7:10">
      <c r="G75" s="131"/>
      <c r="H75" s="131"/>
      <c r="I75" s="131"/>
      <c r="J75" s="131"/>
    </row>
    <row r="76" spans="7:10">
      <c r="G76" s="131"/>
      <c r="H76" s="131"/>
      <c r="I76" s="131"/>
      <c r="J76" s="131"/>
    </row>
    <row r="77" spans="7:10">
      <c r="G77" s="131"/>
      <c r="H77" s="131"/>
      <c r="I77" s="131"/>
      <c r="J77" s="131"/>
    </row>
    <row r="78" spans="7:10">
      <c r="G78" s="131"/>
      <c r="H78" s="131"/>
      <c r="I78" s="131"/>
      <c r="J78" s="131"/>
    </row>
    <row r="79" spans="7:10">
      <c r="G79" s="131"/>
      <c r="H79" s="131"/>
      <c r="I79" s="131"/>
      <c r="J79" s="131"/>
    </row>
    <row r="80" spans="7:10">
      <c r="G80" s="131"/>
      <c r="H80" s="131"/>
      <c r="I80" s="131"/>
      <c r="J80" s="131"/>
    </row>
    <row r="81" spans="7:10">
      <c r="G81" s="131"/>
      <c r="H81" s="131"/>
      <c r="I81" s="131"/>
      <c r="J81" s="131"/>
    </row>
    <row r="82" spans="7:10">
      <c r="G82" s="131"/>
      <c r="H82" s="131"/>
      <c r="I82" s="131"/>
      <c r="J82" s="131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7">
    <tabColor rgb="FFCCFFCC"/>
  </sheetPr>
  <dimension ref="A1:U47"/>
  <sheetViews>
    <sheetView workbookViewId="0">
      <pane xSplit="6" ySplit="10" topLeftCell="O11" activePane="bottomRight" state="frozen"/>
      <selection pane="topRight" activeCell="G1" sqref="G1"/>
      <selection pane="bottomLeft" activeCell="A11" sqref="A11"/>
      <selection pane="bottomRight" activeCell="O14" sqref="O14"/>
    </sheetView>
  </sheetViews>
  <sheetFormatPr defaultRowHeight="15"/>
  <cols>
    <col min="1" max="1" width="10" customWidth="1"/>
    <col min="2" max="2" width="12.140625" customWidth="1"/>
    <col min="3" max="3" width="36" customWidth="1"/>
    <col min="4" max="4" width="13.140625" customWidth="1"/>
    <col min="5" max="5" width="14.140625" customWidth="1"/>
    <col min="6" max="6" width="13.5703125" customWidth="1"/>
    <col min="7" max="21" width="15.7109375" customWidth="1"/>
  </cols>
  <sheetData>
    <row r="1" spans="1:21" ht="21">
      <c r="A1" s="132" t="s">
        <v>0</v>
      </c>
      <c r="B1" s="138"/>
      <c r="C1" s="133" t="s">
        <v>234</v>
      </c>
      <c r="D1" s="140"/>
      <c r="E1" s="138"/>
      <c r="F1" s="138"/>
      <c r="G1" s="138"/>
      <c r="H1" s="138"/>
      <c r="I1" s="133" t="s">
        <v>234</v>
      </c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1" ht="18.75">
      <c r="A2" s="135" t="s">
        <v>1</v>
      </c>
      <c r="B2" s="138"/>
      <c r="C2" s="152" t="s">
        <v>117</v>
      </c>
      <c r="D2" s="140"/>
      <c r="E2" s="138"/>
      <c r="F2" s="138"/>
      <c r="G2" s="138"/>
      <c r="H2" s="138"/>
      <c r="I2" s="146" t="str">
        <f>$C$4</f>
        <v>2013-14</v>
      </c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</row>
    <row r="3" spans="1:21" ht="15.75">
      <c r="A3" s="135" t="s">
        <v>2</v>
      </c>
      <c r="B3" s="138"/>
      <c r="C3" s="136">
        <v>5010</v>
      </c>
      <c r="D3" s="140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</row>
    <row r="4" spans="1:21" ht="15.75">
      <c r="A4" s="135" t="s">
        <v>3</v>
      </c>
      <c r="B4" s="138"/>
      <c r="C4" s="128" t="s">
        <v>249</v>
      </c>
      <c r="D4" s="135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</row>
    <row r="5" spans="1:21" ht="15.75">
      <c r="A5" s="135" t="s">
        <v>104</v>
      </c>
      <c r="B5" s="138"/>
      <c r="C5" s="136" t="s">
        <v>105</v>
      </c>
      <c r="D5" s="140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</row>
    <row r="6" spans="1:21" ht="15.75">
      <c r="A6" s="135" t="s">
        <v>65</v>
      </c>
      <c r="B6" s="138"/>
      <c r="C6" s="135" t="s">
        <v>274</v>
      </c>
      <c r="D6" s="137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</row>
    <row r="7" spans="1:21" ht="15.75">
      <c r="A7" s="135" t="s">
        <v>67</v>
      </c>
      <c r="B7" s="138"/>
      <c r="C7" s="135" t="s">
        <v>228</v>
      </c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</row>
    <row r="8" spans="1:21" ht="21">
      <c r="A8" s="132" t="s">
        <v>248</v>
      </c>
      <c r="B8" s="134"/>
      <c r="C8" s="134"/>
      <c r="D8" s="133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8"/>
      <c r="T8" s="138"/>
      <c r="U8" s="138"/>
    </row>
    <row r="9" spans="1:21" ht="15.75" thickBot="1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</row>
    <row r="10" spans="1:21" ht="30.75" thickBot="1">
      <c r="A10" s="145" t="s">
        <v>4</v>
      </c>
      <c r="B10" s="147" t="s">
        <v>113</v>
      </c>
      <c r="C10" s="147" t="s">
        <v>111</v>
      </c>
      <c r="D10" s="145" t="s">
        <v>44</v>
      </c>
      <c r="E10" s="145" t="s">
        <v>45</v>
      </c>
      <c r="F10" s="149" t="s">
        <v>46</v>
      </c>
      <c r="G10" s="141" t="s">
        <v>535</v>
      </c>
      <c r="H10" s="143" t="s">
        <v>536</v>
      </c>
      <c r="I10" s="145" t="s">
        <v>537</v>
      </c>
      <c r="J10" s="143" t="s">
        <v>538</v>
      </c>
      <c r="K10" s="145" t="s">
        <v>539</v>
      </c>
      <c r="L10" s="143" t="s">
        <v>540</v>
      </c>
      <c r="M10" s="145" t="s">
        <v>541</v>
      </c>
      <c r="N10" s="143" t="s">
        <v>542</v>
      </c>
      <c r="O10" s="145" t="s">
        <v>543</v>
      </c>
      <c r="P10" s="139" t="s">
        <v>544</v>
      </c>
      <c r="Q10" s="145" t="s">
        <v>545</v>
      </c>
      <c r="R10" s="139" t="s">
        <v>546</v>
      </c>
      <c r="S10" s="145" t="s">
        <v>547</v>
      </c>
      <c r="T10" s="143" t="s">
        <v>548</v>
      </c>
      <c r="U10" s="141" t="s">
        <v>549</v>
      </c>
    </row>
    <row r="11" spans="1:21" ht="35.25" customHeight="1" thickBot="1">
      <c r="A11" s="153">
        <v>30</v>
      </c>
      <c r="B11" s="156" t="s">
        <v>99</v>
      </c>
      <c r="C11" s="157" t="s">
        <v>235</v>
      </c>
      <c r="D11" s="248">
        <v>47914</v>
      </c>
      <c r="E11" s="248">
        <f>SUM(G11:R11)</f>
        <v>47914</v>
      </c>
      <c r="F11" s="248">
        <f>SUM(D11-E11)</f>
        <v>0</v>
      </c>
      <c r="G11" s="155"/>
      <c r="H11" s="155"/>
      <c r="I11" s="155"/>
      <c r="J11" s="155">
        <v>25297</v>
      </c>
      <c r="K11" s="155"/>
      <c r="L11" s="155">
        <v>3223</v>
      </c>
      <c r="M11" s="155"/>
      <c r="N11" s="155"/>
      <c r="O11" s="130">
        <v>19394</v>
      </c>
      <c r="P11" s="130"/>
    </row>
    <row r="12" spans="1:21" ht="30.75" customHeight="1" thickBot="1">
      <c r="A12" s="153">
        <v>123</v>
      </c>
      <c r="B12" s="156" t="s">
        <v>236</v>
      </c>
      <c r="C12" s="157" t="s">
        <v>237</v>
      </c>
      <c r="D12" s="248">
        <v>8400</v>
      </c>
      <c r="E12" s="248">
        <f>SUM(G12:R12)</f>
        <v>0</v>
      </c>
      <c r="F12" s="248">
        <f>SUM(D12-E12)</f>
        <v>8400</v>
      </c>
      <c r="G12" s="155"/>
      <c r="H12" s="155"/>
      <c r="I12" s="155"/>
      <c r="J12" s="155"/>
      <c r="K12" s="155"/>
      <c r="L12" s="155"/>
      <c r="M12" s="155"/>
      <c r="N12" s="155"/>
      <c r="O12" s="154"/>
      <c r="P12" s="154"/>
    </row>
    <row r="13" spans="1:21" ht="15.75" thickBot="1">
      <c r="A13" s="251" t="s">
        <v>396</v>
      </c>
      <c r="B13" s="178" t="s">
        <v>394</v>
      </c>
      <c r="C13" s="142" t="s">
        <v>395</v>
      </c>
      <c r="D13" s="247">
        <v>231000</v>
      </c>
      <c r="E13" s="248">
        <f>SUM(G13:R13)</f>
        <v>143400</v>
      </c>
      <c r="F13" s="248">
        <f>SUM(D13-E13)</f>
        <v>87600</v>
      </c>
      <c r="G13" s="131"/>
      <c r="H13" s="131"/>
      <c r="I13" s="131"/>
      <c r="J13" s="131">
        <v>36000</v>
      </c>
      <c r="K13" s="131"/>
      <c r="L13" s="131"/>
      <c r="M13" s="131"/>
      <c r="N13" s="131"/>
      <c r="O13" s="130">
        <v>107400</v>
      </c>
      <c r="P13" s="130"/>
    </row>
    <row r="14" spans="1:21" s="254" customFormat="1" ht="15.75" thickBot="1">
      <c r="A14" s="178"/>
      <c r="B14" s="178"/>
      <c r="C14" s="178"/>
      <c r="D14" s="247"/>
      <c r="E14" s="248"/>
      <c r="F14" s="248"/>
      <c r="G14" s="131"/>
      <c r="H14" s="131"/>
      <c r="I14" s="131"/>
      <c r="J14" s="131"/>
      <c r="K14" s="131"/>
      <c r="L14" s="131"/>
      <c r="M14" s="131"/>
      <c r="N14" s="131"/>
    </row>
    <row r="15" spans="1:21" ht="15.75" thickBot="1">
      <c r="A15" s="148"/>
      <c r="B15" s="148"/>
      <c r="C15" s="148"/>
      <c r="D15" s="252">
        <f>SUM(D11:D13)</f>
        <v>287314</v>
      </c>
      <c r="E15" s="252">
        <f>SUM(E11:E13)</f>
        <v>191314</v>
      </c>
      <c r="F15" s="252">
        <f>SUM(F11:F13)</f>
        <v>96000</v>
      </c>
      <c r="G15" s="150">
        <f>SUM(G11:G13)</f>
        <v>0</v>
      </c>
      <c r="H15" s="150">
        <f t="shared" ref="H15:Q15" si="0">SUM(H11:H13)</f>
        <v>0</v>
      </c>
      <c r="I15" s="150">
        <f t="shared" si="0"/>
        <v>0</v>
      </c>
      <c r="J15" s="150">
        <f t="shared" si="0"/>
        <v>61297</v>
      </c>
      <c r="K15" s="150">
        <f t="shared" si="0"/>
        <v>0</v>
      </c>
      <c r="L15" s="150">
        <f t="shared" si="0"/>
        <v>3223</v>
      </c>
      <c r="M15" s="150">
        <f t="shared" si="0"/>
        <v>0</v>
      </c>
      <c r="N15" s="150">
        <f t="shared" si="0"/>
        <v>0</v>
      </c>
      <c r="O15" s="150">
        <f t="shared" si="0"/>
        <v>126794</v>
      </c>
      <c r="P15" s="150">
        <f t="shared" si="0"/>
        <v>0</v>
      </c>
      <c r="Q15" s="150">
        <f t="shared" si="0"/>
        <v>0</v>
      </c>
      <c r="R15" s="150">
        <f>SUM(R11:R13)</f>
        <v>0</v>
      </c>
      <c r="S15" s="150">
        <f t="shared" ref="S15:U15" si="1">SUM(S11:S13)</f>
        <v>0</v>
      </c>
      <c r="T15" s="150">
        <f t="shared" si="1"/>
        <v>0</v>
      </c>
      <c r="U15" s="150">
        <f t="shared" si="1"/>
        <v>0</v>
      </c>
    </row>
    <row r="16" spans="1:21">
      <c r="A16" s="130"/>
      <c r="B16" s="130"/>
      <c r="C16" s="130"/>
      <c r="D16" s="131"/>
      <c r="E16" s="130"/>
      <c r="F16" s="130"/>
      <c r="G16" s="131"/>
      <c r="H16" s="131"/>
      <c r="I16" s="131"/>
      <c r="J16" s="131"/>
      <c r="K16" s="131"/>
      <c r="L16" s="131"/>
      <c r="M16" s="131"/>
      <c r="N16" s="131"/>
      <c r="O16" s="131"/>
      <c r="P16" s="131"/>
    </row>
    <row r="17" spans="1:16">
      <c r="A17" s="130"/>
      <c r="B17" s="130"/>
      <c r="C17" s="130"/>
      <c r="D17" s="131"/>
      <c r="E17" s="130"/>
      <c r="F17" s="130"/>
      <c r="G17" s="131"/>
      <c r="H17" s="131"/>
      <c r="I17" s="131"/>
      <c r="J17" s="131"/>
      <c r="K17" s="131"/>
      <c r="L17" s="131"/>
      <c r="M17" s="131"/>
      <c r="N17" s="131"/>
      <c r="O17" s="131"/>
      <c r="P17" s="131"/>
    </row>
    <row r="18" spans="1:16">
      <c r="D18" s="131"/>
      <c r="E18" s="130"/>
      <c r="F18" s="130"/>
      <c r="G18" s="131"/>
      <c r="H18" s="131"/>
      <c r="I18" s="131"/>
      <c r="J18" s="131"/>
      <c r="K18" s="131"/>
      <c r="L18" s="131"/>
      <c r="M18" s="131"/>
      <c r="N18" s="131"/>
      <c r="O18" s="131"/>
      <c r="P18" s="131"/>
    </row>
    <row r="19" spans="1:16">
      <c r="D19" s="131"/>
      <c r="E19" s="130"/>
      <c r="F19" s="130"/>
      <c r="G19" s="131"/>
      <c r="H19" s="131"/>
      <c r="I19" s="131"/>
      <c r="J19" s="131"/>
      <c r="K19" s="131"/>
      <c r="L19" s="131"/>
      <c r="M19" s="131"/>
      <c r="N19" s="131"/>
      <c r="O19" s="131"/>
      <c r="P19" s="131"/>
    </row>
    <row r="20" spans="1:16">
      <c r="D20" s="131"/>
      <c r="E20" s="130"/>
      <c r="F20" s="130"/>
      <c r="G20" s="131"/>
      <c r="H20" s="131"/>
      <c r="I20" s="131"/>
      <c r="J20" s="131"/>
      <c r="K20" s="131"/>
      <c r="L20" s="131"/>
      <c r="M20" s="131"/>
      <c r="N20" s="131"/>
      <c r="O20" s="131"/>
      <c r="P20" s="131"/>
    </row>
    <row r="21" spans="1:16">
      <c r="D21" s="131"/>
      <c r="E21" s="130"/>
      <c r="F21" s="130"/>
      <c r="G21" s="131"/>
      <c r="H21" s="131"/>
      <c r="I21" s="131"/>
      <c r="J21" s="131"/>
      <c r="K21" s="131"/>
      <c r="L21" s="131"/>
      <c r="M21" s="131"/>
      <c r="N21" s="131"/>
      <c r="O21" s="131"/>
      <c r="P21" s="131"/>
    </row>
    <row r="22" spans="1:16">
      <c r="D22" s="131"/>
      <c r="E22" s="130"/>
      <c r="F22" s="130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  <row r="23" spans="1:16">
      <c r="D23" s="131"/>
      <c r="E23" s="130"/>
      <c r="F23" s="130"/>
      <c r="G23" s="131"/>
      <c r="H23" s="131"/>
      <c r="I23" s="131"/>
      <c r="J23" s="131"/>
      <c r="K23" s="131"/>
      <c r="L23" s="131"/>
      <c r="M23" s="131"/>
      <c r="N23" s="131"/>
      <c r="O23" s="131"/>
      <c r="P23" s="131"/>
    </row>
    <row r="24" spans="1:16">
      <c r="D24" s="131"/>
      <c r="E24" s="130"/>
      <c r="F24" s="130"/>
      <c r="G24" s="131"/>
      <c r="H24" s="131"/>
      <c r="I24" s="131"/>
      <c r="J24" s="131"/>
      <c r="K24" s="131"/>
      <c r="L24" s="131"/>
      <c r="M24" s="131"/>
      <c r="N24" s="131"/>
      <c r="O24" s="131"/>
      <c r="P24" s="131"/>
    </row>
    <row r="25" spans="1:16">
      <c r="D25" s="131"/>
      <c r="E25" s="130"/>
      <c r="F25" s="130"/>
      <c r="G25" s="131"/>
      <c r="H25" s="131"/>
      <c r="I25" s="131"/>
      <c r="J25" s="131"/>
      <c r="K25" s="131"/>
      <c r="L25" s="131"/>
      <c r="M25" s="131"/>
      <c r="N25" s="131"/>
      <c r="O25" s="131"/>
      <c r="P25" s="131"/>
    </row>
    <row r="26" spans="1:16">
      <c r="D26" s="131"/>
      <c r="E26" s="130"/>
      <c r="F26" s="130"/>
      <c r="G26" s="131"/>
      <c r="H26" s="131"/>
      <c r="I26" s="131"/>
      <c r="J26" s="131"/>
      <c r="K26" s="131"/>
      <c r="L26" s="131"/>
      <c r="M26" s="131"/>
      <c r="N26" s="131"/>
      <c r="O26" s="131"/>
      <c r="P26" s="131"/>
    </row>
    <row r="27" spans="1:16">
      <c r="D27" s="131"/>
      <c r="E27" s="130"/>
      <c r="F27" s="130"/>
      <c r="G27" s="131"/>
      <c r="H27" s="131"/>
      <c r="I27" s="131"/>
      <c r="J27" s="131"/>
      <c r="K27" s="131"/>
      <c r="L27" s="131"/>
      <c r="M27" s="131"/>
      <c r="N27" s="131"/>
      <c r="O27" s="131"/>
      <c r="P27" s="131"/>
    </row>
    <row r="28" spans="1:16">
      <c r="D28" s="131"/>
      <c r="E28" s="130"/>
      <c r="F28" s="130"/>
      <c r="G28" s="131"/>
      <c r="H28" s="131"/>
      <c r="I28" s="131"/>
      <c r="J28" s="131"/>
      <c r="K28" s="131"/>
      <c r="L28" s="131"/>
      <c r="M28" s="131"/>
      <c r="N28" s="131"/>
      <c r="O28" s="131"/>
      <c r="P28" s="131"/>
    </row>
    <row r="29" spans="1:16">
      <c r="D29" s="131"/>
      <c r="E29" s="130"/>
      <c r="F29" s="130"/>
      <c r="G29" s="131"/>
      <c r="H29" s="131"/>
      <c r="I29" s="131"/>
      <c r="J29" s="131"/>
      <c r="K29" s="131"/>
      <c r="L29" s="131"/>
      <c r="M29" s="131"/>
      <c r="N29" s="131"/>
      <c r="O29" s="131"/>
      <c r="P29" s="131"/>
    </row>
    <row r="30" spans="1:16">
      <c r="D30" s="130"/>
      <c r="E30" s="130"/>
      <c r="F30" s="130"/>
      <c r="G30" s="131"/>
      <c r="H30" s="131"/>
      <c r="I30" s="131"/>
      <c r="J30" s="131"/>
      <c r="K30" s="131"/>
      <c r="L30" s="131"/>
      <c r="M30" s="131"/>
      <c r="N30" s="131"/>
      <c r="O30" s="131"/>
      <c r="P30" s="131"/>
    </row>
    <row r="31" spans="1:16">
      <c r="D31" s="130"/>
      <c r="E31" s="130"/>
      <c r="F31" s="130"/>
      <c r="G31" s="131"/>
      <c r="H31" s="131"/>
      <c r="I31" s="131"/>
      <c r="J31" s="131"/>
      <c r="K31" s="131"/>
      <c r="L31" s="131"/>
      <c r="M31" s="131"/>
      <c r="N31" s="131"/>
      <c r="O31" s="131"/>
      <c r="P31" s="131"/>
    </row>
    <row r="32" spans="1:16">
      <c r="D32" s="130"/>
      <c r="E32" s="130"/>
      <c r="F32" s="130"/>
      <c r="G32" s="131"/>
      <c r="H32" s="131"/>
      <c r="I32" s="131"/>
      <c r="J32" s="131"/>
      <c r="K32" s="131"/>
      <c r="L32" s="131"/>
      <c r="M32" s="131"/>
      <c r="N32" s="131"/>
      <c r="O32" s="131"/>
      <c r="P32" s="131"/>
    </row>
    <row r="33" spans="4:16">
      <c r="D33" s="130"/>
      <c r="E33" s="130"/>
      <c r="F33" s="130"/>
      <c r="G33" s="131"/>
      <c r="H33" s="131"/>
      <c r="I33" s="131"/>
      <c r="J33" s="131"/>
      <c r="K33" s="131"/>
      <c r="L33" s="131"/>
      <c r="M33" s="131"/>
      <c r="N33" s="131"/>
      <c r="O33" s="131"/>
      <c r="P33" s="131"/>
    </row>
    <row r="34" spans="4:16">
      <c r="G34" s="131"/>
      <c r="H34" s="131"/>
      <c r="I34" s="131"/>
      <c r="J34" s="131"/>
      <c r="K34" s="131"/>
      <c r="L34" s="131"/>
      <c r="M34" s="131"/>
      <c r="N34" s="131"/>
      <c r="O34" s="131"/>
      <c r="P34" s="131"/>
    </row>
    <row r="35" spans="4:16">
      <c r="G35" s="131"/>
      <c r="H35" s="131"/>
      <c r="I35" s="131"/>
      <c r="J35" s="131"/>
      <c r="K35" s="131"/>
      <c r="L35" s="131"/>
      <c r="M35" s="131"/>
      <c r="N35" s="131"/>
      <c r="O35" s="131"/>
      <c r="P35" s="131"/>
    </row>
    <row r="36" spans="4:16">
      <c r="G36" s="131"/>
      <c r="H36" s="131"/>
      <c r="I36" s="131"/>
      <c r="J36" s="131"/>
      <c r="K36" s="131"/>
      <c r="L36" s="131"/>
      <c r="M36" s="131"/>
      <c r="N36" s="131"/>
      <c r="O36" s="131"/>
      <c r="P36" s="131"/>
    </row>
    <row r="37" spans="4:16">
      <c r="G37" s="131"/>
      <c r="H37" s="131"/>
      <c r="I37" s="131"/>
      <c r="J37" s="131"/>
      <c r="K37" s="131"/>
      <c r="L37" s="131"/>
      <c r="M37" s="131"/>
      <c r="N37" s="131"/>
      <c r="O37" s="131"/>
      <c r="P37" s="131"/>
    </row>
    <row r="38" spans="4:16">
      <c r="G38" s="131"/>
      <c r="H38" s="131"/>
      <c r="I38" s="131"/>
      <c r="J38" s="131"/>
      <c r="K38" s="131"/>
      <c r="L38" s="131"/>
      <c r="M38" s="131"/>
      <c r="N38" s="131"/>
      <c r="O38" s="131"/>
      <c r="P38" s="131"/>
    </row>
    <row r="39" spans="4:16">
      <c r="G39" s="131"/>
      <c r="H39" s="131"/>
      <c r="I39" s="131"/>
      <c r="J39" s="131"/>
      <c r="K39" s="131"/>
      <c r="L39" s="131"/>
      <c r="M39" s="131"/>
      <c r="N39" s="131"/>
      <c r="O39" s="131"/>
      <c r="P39" s="131"/>
    </row>
    <row r="40" spans="4:16">
      <c r="G40" s="131"/>
      <c r="H40" s="131"/>
      <c r="I40" s="131"/>
      <c r="J40" s="131"/>
      <c r="K40" s="131"/>
      <c r="L40" s="131"/>
      <c r="M40" s="131"/>
      <c r="N40" s="131"/>
      <c r="O40" s="131"/>
      <c r="P40" s="131"/>
    </row>
    <row r="41" spans="4:16">
      <c r="G41" s="131"/>
      <c r="H41" s="131"/>
      <c r="I41" s="131"/>
      <c r="J41" s="131"/>
      <c r="K41" s="131"/>
      <c r="L41" s="131"/>
      <c r="M41" s="131"/>
      <c r="N41" s="131"/>
      <c r="O41" s="131"/>
      <c r="P41" s="131"/>
    </row>
    <row r="42" spans="4:16">
      <c r="G42" s="131"/>
      <c r="H42" s="131"/>
      <c r="I42" s="131"/>
      <c r="J42" s="131"/>
      <c r="K42" s="131"/>
      <c r="L42" s="131"/>
      <c r="M42" s="131"/>
      <c r="N42" s="131"/>
      <c r="O42" s="131"/>
      <c r="P42" s="131"/>
    </row>
    <row r="43" spans="4:16">
      <c r="G43" s="131"/>
      <c r="H43" s="131"/>
      <c r="I43" s="131"/>
      <c r="J43" s="131"/>
      <c r="K43" s="131"/>
      <c r="L43" s="131"/>
      <c r="M43" s="131"/>
      <c r="N43" s="131"/>
      <c r="O43" s="131"/>
      <c r="P43" s="131"/>
    </row>
    <row r="44" spans="4:16">
      <c r="G44" s="131"/>
      <c r="H44" s="131"/>
      <c r="I44" s="131"/>
      <c r="J44" s="131"/>
      <c r="K44" s="131"/>
      <c r="L44" s="131"/>
      <c r="M44" s="131"/>
      <c r="N44" s="131"/>
      <c r="O44" s="131"/>
      <c r="P44" s="131"/>
    </row>
    <row r="45" spans="4:16">
      <c r="G45" s="131"/>
      <c r="H45" s="131"/>
      <c r="I45" s="131"/>
      <c r="J45" s="131"/>
      <c r="K45" s="131"/>
      <c r="L45" s="131"/>
      <c r="M45" s="131"/>
      <c r="N45" s="131"/>
      <c r="O45" s="131"/>
      <c r="P45" s="131"/>
    </row>
    <row r="46" spans="4:16">
      <c r="G46" s="131"/>
      <c r="H46" s="131"/>
      <c r="I46" s="131"/>
      <c r="J46" s="131"/>
      <c r="K46" s="131"/>
      <c r="L46" s="131"/>
      <c r="M46" s="131"/>
      <c r="N46" s="131"/>
      <c r="O46" s="131"/>
      <c r="P46" s="131"/>
    </row>
    <row r="47" spans="4:16">
      <c r="G47" s="131"/>
      <c r="H47" s="131"/>
      <c r="I47" s="131"/>
      <c r="J47" s="131"/>
      <c r="K47" s="131"/>
      <c r="L47" s="131"/>
      <c r="M47" s="131"/>
      <c r="N47" s="131"/>
      <c r="O47" s="131"/>
      <c r="P47" s="131"/>
    </row>
  </sheetData>
  <sheetProtection password="EF32" sheet="1" objects="1" scenario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23">
    <tabColor rgb="FFCCFFCC"/>
  </sheetPr>
  <dimension ref="A1:R48"/>
  <sheetViews>
    <sheetView workbookViewId="0">
      <pane xSplit="5" ySplit="11" topLeftCell="K12" activePane="bottomRight" state="frozen"/>
      <selection pane="topRight" activeCell="F1" sqref="F1"/>
      <selection pane="bottomLeft" activeCell="A11" sqref="A11"/>
      <selection pane="bottomRight" activeCell="K15" sqref="K15"/>
    </sheetView>
  </sheetViews>
  <sheetFormatPr defaultColWidth="9.140625" defaultRowHeight="1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18" style="4" customWidth="1"/>
    <col min="6" max="17" width="15.7109375" style="4" customWidth="1"/>
    <col min="18" max="18" width="10.85546875" style="4" customWidth="1"/>
    <col min="19" max="16384" width="9.140625" style="4"/>
  </cols>
  <sheetData>
    <row r="1" spans="1:17" ht="21" customHeight="1">
      <c r="A1" s="78" t="s">
        <v>0</v>
      </c>
      <c r="B1" s="73"/>
      <c r="C1" s="69" t="s">
        <v>119</v>
      </c>
      <c r="D1" s="74"/>
      <c r="E1" s="73"/>
      <c r="F1" s="73"/>
      <c r="G1" s="69" t="str">
        <f>C1</f>
        <v>Title V - Abstinence Education Grant Program</v>
      </c>
      <c r="H1" s="73"/>
      <c r="I1" s="73"/>
      <c r="J1" s="73"/>
      <c r="K1" s="73"/>
      <c r="L1" s="73"/>
      <c r="M1" s="73"/>
      <c r="N1" s="69" t="str">
        <f>C1</f>
        <v>Title V - Abstinence Education Grant Program</v>
      </c>
      <c r="O1" s="73"/>
      <c r="P1" s="73"/>
      <c r="Q1" s="73"/>
    </row>
    <row r="2" spans="1:17" ht="18.75">
      <c r="A2" s="79" t="s">
        <v>1</v>
      </c>
      <c r="B2" s="73"/>
      <c r="C2" s="97">
        <v>93.234999999999999</v>
      </c>
      <c r="D2" s="74"/>
      <c r="E2" s="73"/>
      <c r="F2" s="73"/>
      <c r="G2" s="59" t="str">
        <f>"FY"&amp;C4</f>
        <v>FY10/1/2013 THROUGH 9/30/2014</v>
      </c>
      <c r="H2" s="73"/>
      <c r="I2" s="73"/>
      <c r="J2" s="73"/>
      <c r="K2" s="73"/>
      <c r="L2" s="73"/>
      <c r="M2" s="73"/>
      <c r="N2" s="59" t="str">
        <f>"FY"&amp;C4</f>
        <v>FY10/1/2013 THROUGH 9/30/2014</v>
      </c>
      <c r="O2" s="73"/>
      <c r="P2" s="73"/>
      <c r="Q2" s="73"/>
    </row>
    <row r="3" spans="1:17" ht="15.75">
      <c r="A3" s="79" t="s">
        <v>2</v>
      </c>
      <c r="B3" s="73"/>
      <c r="C3" s="77">
        <v>6710</v>
      </c>
      <c r="D3" s="74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</row>
    <row r="4" spans="1:17" ht="15.75">
      <c r="A4" s="79" t="s">
        <v>3</v>
      </c>
      <c r="B4" s="73"/>
      <c r="C4" s="77" t="s">
        <v>272</v>
      </c>
      <c r="D4" s="79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</row>
    <row r="5" spans="1:17" ht="15.75">
      <c r="A5" s="79" t="s">
        <v>104</v>
      </c>
      <c r="B5" s="73"/>
      <c r="C5" s="77" t="s">
        <v>105</v>
      </c>
      <c r="D5" s="74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</row>
    <row r="6" spans="1:17" ht="15.75">
      <c r="A6" s="79" t="s">
        <v>65</v>
      </c>
      <c r="B6" s="73"/>
      <c r="C6" s="79" t="s">
        <v>271</v>
      </c>
      <c r="D6" s="72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</row>
    <row r="7" spans="1:17" ht="15.75">
      <c r="A7" s="79" t="s">
        <v>67</v>
      </c>
      <c r="B7" s="73"/>
      <c r="C7" s="79" t="s">
        <v>223</v>
      </c>
      <c r="D7" s="72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</row>
    <row r="8" spans="1:17" ht="15.75">
      <c r="A8" s="79"/>
      <c r="B8" s="73"/>
      <c r="C8" s="79"/>
      <c r="D8" s="72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</row>
    <row r="9" spans="1:17" s="26" customFormat="1" ht="21">
      <c r="A9" s="78" t="s">
        <v>273</v>
      </c>
      <c r="B9" s="70"/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ht="15.75" thickBo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</row>
    <row r="11" spans="1:17" ht="30.75" thickBot="1">
      <c r="A11" s="51" t="s">
        <v>4</v>
      </c>
      <c r="B11" s="75" t="s">
        <v>113</v>
      </c>
      <c r="C11" s="51" t="s">
        <v>44</v>
      </c>
      <c r="D11" s="51" t="s">
        <v>45</v>
      </c>
      <c r="E11" s="87" t="s">
        <v>46</v>
      </c>
      <c r="F11" s="143" t="s">
        <v>538</v>
      </c>
      <c r="G11" s="145" t="s">
        <v>539</v>
      </c>
      <c r="H11" s="143" t="s">
        <v>540</v>
      </c>
      <c r="I11" s="145" t="s">
        <v>541</v>
      </c>
      <c r="J11" s="143" t="s">
        <v>542</v>
      </c>
      <c r="K11" s="145" t="s">
        <v>543</v>
      </c>
      <c r="L11" s="143" t="s">
        <v>544</v>
      </c>
      <c r="M11" s="145" t="s">
        <v>545</v>
      </c>
      <c r="N11" s="143" t="s">
        <v>546</v>
      </c>
      <c r="O11" s="145" t="s">
        <v>547</v>
      </c>
      <c r="P11" s="143" t="s">
        <v>548</v>
      </c>
      <c r="Q11" s="145" t="s">
        <v>549</v>
      </c>
    </row>
    <row r="12" spans="1:17" ht="15.75" thickBot="1">
      <c r="A12" s="46" t="s">
        <v>120</v>
      </c>
      <c r="B12" s="46" t="s">
        <v>121</v>
      </c>
      <c r="C12" s="46">
        <v>57193</v>
      </c>
      <c r="D12" s="46">
        <f>SUM(F12:Q12)</f>
        <v>15315</v>
      </c>
      <c r="E12" s="46">
        <f>C12-D12</f>
        <v>41878</v>
      </c>
      <c r="F12" s="24"/>
      <c r="G12" s="24"/>
      <c r="H12" s="24">
        <v>5463</v>
      </c>
      <c r="I12" s="24">
        <v>3497</v>
      </c>
      <c r="J12" s="24">
        <v>6355</v>
      </c>
      <c r="K12" s="24"/>
      <c r="L12" s="24"/>
      <c r="M12" s="24"/>
      <c r="N12" s="24"/>
      <c r="O12" s="24"/>
      <c r="P12" s="24"/>
      <c r="Q12" s="24"/>
    </row>
    <row r="13" spans="1:17" ht="15.75" thickBot="1">
      <c r="A13" s="46" t="s">
        <v>226</v>
      </c>
      <c r="B13" s="46" t="s">
        <v>227</v>
      </c>
      <c r="C13" s="46">
        <v>211867</v>
      </c>
      <c r="D13" s="46">
        <f>SUM(F13:Q13)</f>
        <v>72621</v>
      </c>
      <c r="E13" s="46">
        <f>C13-D13</f>
        <v>139246</v>
      </c>
      <c r="F13" s="24"/>
      <c r="G13" s="24"/>
      <c r="H13" s="24">
        <f>13445+12005</f>
        <v>25450</v>
      </c>
      <c r="I13" s="24">
        <v>13297</v>
      </c>
      <c r="J13" s="24">
        <v>16589</v>
      </c>
      <c r="K13" s="24">
        <v>17285</v>
      </c>
      <c r="L13" s="131"/>
      <c r="M13" s="24"/>
      <c r="N13" s="24"/>
      <c r="O13" s="24"/>
      <c r="P13" s="24"/>
      <c r="Q13" s="24"/>
    </row>
    <row r="14" spans="1:17" ht="15.75" thickBot="1">
      <c r="A14" s="46" t="s">
        <v>239</v>
      </c>
      <c r="B14" s="46" t="s">
        <v>240</v>
      </c>
      <c r="C14" s="46">
        <v>229757</v>
      </c>
      <c r="D14" s="46">
        <f>SUM(F14:Q14)</f>
        <v>74331</v>
      </c>
      <c r="E14" s="46">
        <f>C14-D14</f>
        <v>155426</v>
      </c>
      <c r="F14" s="24"/>
      <c r="G14" s="24"/>
      <c r="H14" s="24">
        <v>16210</v>
      </c>
      <c r="I14" s="24">
        <f>14867+12167</f>
        <v>27034</v>
      </c>
      <c r="J14" s="24">
        <v>16246</v>
      </c>
      <c r="K14" s="24">
        <v>14841</v>
      </c>
      <c r="L14" s="24"/>
      <c r="M14" s="24"/>
      <c r="N14" s="24"/>
      <c r="O14" s="24"/>
      <c r="P14" s="24"/>
      <c r="Q14" s="24"/>
    </row>
    <row r="15" spans="1:17" ht="15.75" thickBot="1">
      <c r="A15" s="46"/>
      <c r="B15" s="46"/>
      <c r="C15" s="46"/>
      <c r="D15" s="46"/>
      <c r="E15" s="46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spans="1:17" s="62" customFormat="1" ht="15.75" thickBot="1">
      <c r="A16" s="80"/>
      <c r="B16" s="80"/>
      <c r="C16" s="80">
        <f t="shared" ref="C16:Q16" si="0">SUM(C12:C15)</f>
        <v>498817</v>
      </c>
      <c r="D16" s="80">
        <f t="shared" si="0"/>
        <v>162267</v>
      </c>
      <c r="E16" s="80">
        <f t="shared" si="0"/>
        <v>336550</v>
      </c>
      <c r="F16" s="80">
        <f t="shared" si="0"/>
        <v>0</v>
      </c>
      <c r="G16" s="80">
        <f t="shared" si="0"/>
        <v>0</v>
      </c>
      <c r="H16" s="148">
        <f t="shared" si="0"/>
        <v>47123</v>
      </c>
      <c r="I16" s="148">
        <f t="shared" si="0"/>
        <v>43828</v>
      </c>
      <c r="J16" s="80">
        <f t="shared" si="0"/>
        <v>39190</v>
      </c>
      <c r="K16" s="148">
        <f t="shared" si="0"/>
        <v>32126</v>
      </c>
      <c r="L16" s="148">
        <f t="shared" si="0"/>
        <v>0</v>
      </c>
      <c r="M16" s="148">
        <f t="shared" si="0"/>
        <v>0</v>
      </c>
      <c r="N16" s="148">
        <f t="shared" si="0"/>
        <v>0</v>
      </c>
      <c r="O16" s="148">
        <f t="shared" si="0"/>
        <v>0</v>
      </c>
      <c r="P16" s="148">
        <f t="shared" si="0"/>
        <v>0</v>
      </c>
      <c r="Q16" s="148">
        <f t="shared" si="0"/>
        <v>0</v>
      </c>
    </row>
    <row r="17" spans="3:18">
      <c r="C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3:18">
      <c r="C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3:18">
      <c r="C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3:18">
      <c r="C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3:18">
      <c r="C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3:18">
      <c r="C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3:18">
      <c r="C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3:18">
      <c r="C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3:18">
      <c r="C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3:18">
      <c r="C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3:18">
      <c r="C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3:18">
      <c r="C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3:18">
      <c r="C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3:18">
      <c r="C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3:18"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spans="3:18"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</row>
    <row r="33" spans="6:18"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spans="6:18"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</row>
    <row r="35" spans="6:18"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spans="6:18"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6:18"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6:18"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6:18"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6:18"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6:18"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6:18"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6:18"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 spans="6:18"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spans="6:18"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 spans="6:18"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spans="6:18"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 spans="6:18"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24">
    <tabColor rgb="FFCCFFCC"/>
  </sheetPr>
  <dimension ref="A1:X53"/>
  <sheetViews>
    <sheetView zoomScaleNormal="100" workbookViewId="0">
      <pane xSplit="9" ySplit="10" topLeftCell="P11" activePane="bottomRight" state="frozen"/>
      <selection pane="topRight" activeCell="I1" sqref="I1"/>
      <selection pane="bottomLeft" activeCell="A11" sqref="A11"/>
      <selection pane="bottomRight" activeCell="P21" sqref="P21"/>
    </sheetView>
  </sheetViews>
  <sheetFormatPr defaultColWidth="9.140625" defaultRowHeight="15"/>
  <cols>
    <col min="1" max="1" width="9.140625" style="4"/>
    <col min="2" max="2" width="34.5703125" style="4" customWidth="1"/>
    <col min="3" max="3" width="30" style="4" customWidth="1"/>
    <col min="4" max="4" width="5" style="28" customWidth="1"/>
    <col min="5" max="5" width="16.5703125" style="4" customWidth="1"/>
    <col min="6" max="6" width="12.28515625" style="4" bestFit="1" customWidth="1"/>
    <col min="7" max="7" width="15.42578125" style="4" customWidth="1"/>
    <col min="8" max="8" width="8.7109375" style="4" customWidth="1"/>
    <col min="9" max="22" width="15.7109375" style="4" customWidth="1"/>
    <col min="23" max="23" width="12" style="4" customWidth="1"/>
    <col min="24" max="24" width="10.85546875" style="4" customWidth="1"/>
    <col min="25" max="16384" width="9.140625" style="4"/>
  </cols>
  <sheetData>
    <row r="1" spans="1:24" ht="21">
      <c r="A1" s="34" t="s">
        <v>0</v>
      </c>
      <c r="B1" s="42"/>
      <c r="C1" s="69" t="s">
        <v>122</v>
      </c>
      <c r="D1" s="161"/>
      <c r="E1" s="133"/>
      <c r="F1" s="74"/>
      <c r="G1" s="74"/>
      <c r="H1" s="140"/>
      <c r="I1" s="73"/>
      <c r="J1" s="138"/>
      <c r="K1" s="73"/>
      <c r="L1" s="69" t="str">
        <f>C1</f>
        <v>Title V-B Charter School Grant Program</v>
      </c>
      <c r="M1" s="42"/>
      <c r="N1" s="42"/>
      <c r="O1" s="42"/>
      <c r="P1" s="42"/>
      <c r="Q1" s="42"/>
      <c r="R1" s="42"/>
      <c r="S1" s="35" t="str">
        <f>C1</f>
        <v>Title V-B Charter School Grant Program</v>
      </c>
      <c r="T1" s="42"/>
      <c r="U1" s="42"/>
      <c r="V1" s="42"/>
    </row>
    <row r="2" spans="1:24" ht="18.75">
      <c r="A2" s="37" t="s">
        <v>1</v>
      </c>
      <c r="B2" s="42"/>
      <c r="C2" s="77" t="s">
        <v>123</v>
      </c>
      <c r="D2" s="162"/>
      <c r="E2" s="136"/>
      <c r="F2" s="74"/>
      <c r="G2" s="43"/>
      <c r="H2" s="140"/>
      <c r="I2" s="73"/>
      <c r="J2" s="138"/>
      <c r="K2" s="42"/>
      <c r="L2" s="59" t="str">
        <f>"FY"&amp;C4</f>
        <v>FY2013-14</v>
      </c>
      <c r="M2" s="42"/>
      <c r="N2" s="42"/>
      <c r="O2" s="42"/>
      <c r="P2" s="42"/>
      <c r="Q2" s="42"/>
      <c r="R2" s="42"/>
      <c r="S2" s="59" t="str">
        <f>"FY"&amp;C4</f>
        <v>FY2013-14</v>
      </c>
      <c r="T2" s="42"/>
      <c r="U2" s="42"/>
      <c r="V2" s="42"/>
    </row>
    <row r="3" spans="1:24" ht="15.75">
      <c r="A3" s="37" t="s">
        <v>2</v>
      </c>
      <c r="B3" s="42"/>
      <c r="C3" s="77">
        <v>5282</v>
      </c>
      <c r="D3" s="162"/>
      <c r="E3" s="136"/>
      <c r="F3" s="74"/>
      <c r="G3" s="43"/>
      <c r="H3" s="140"/>
      <c r="I3" s="73"/>
      <c r="J3" s="138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4" ht="15.75">
      <c r="A4" s="37" t="s">
        <v>3</v>
      </c>
      <c r="B4" s="42"/>
      <c r="C4" s="77" t="s">
        <v>249</v>
      </c>
      <c r="D4" s="162"/>
      <c r="E4" s="136"/>
      <c r="F4" s="79"/>
      <c r="G4" s="73"/>
      <c r="H4" s="138"/>
      <c r="I4" s="73"/>
      <c r="J4" s="138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4" ht="15.75">
      <c r="A5" s="37" t="s">
        <v>104</v>
      </c>
      <c r="B5" s="42"/>
      <c r="C5" s="77" t="s">
        <v>105</v>
      </c>
      <c r="D5" s="162"/>
      <c r="E5" s="136"/>
      <c r="F5" s="74"/>
      <c r="G5" s="43"/>
      <c r="H5" s="140"/>
      <c r="I5" s="73"/>
      <c r="J5" s="138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4" ht="15.75">
      <c r="A6" s="37" t="s">
        <v>65</v>
      </c>
      <c r="B6" s="42"/>
      <c r="C6" s="76" t="s">
        <v>271</v>
      </c>
      <c r="D6" s="162"/>
      <c r="E6" s="135"/>
      <c r="F6" s="74"/>
      <c r="G6" s="41"/>
      <c r="H6" s="137"/>
      <c r="I6" s="73"/>
      <c r="J6" s="138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4" ht="15.75">
      <c r="A7" s="37" t="s">
        <v>67</v>
      </c>
      <c r="B7" s="42"/>
      <c r="C7" s="68" t="s">
        <v>223</v>
      </c>
      <c r="D7" s="162"/>
      <c r="E7" s="135"/>
      <c r="F7" s="74"/>
      <c r="G7" s="41"/>
      <c r="H7" s="137"/>
      <c r="I7" s="73"/>
      <c r="J7" s="138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4" s="26" customFormat="1" ht="21">
      <c r="A8" s="78" t="s">
        <v>248</v>
      </c>
      <c r="B8" s="36"/>
      <c r="C8" s="70"/>
      <c r="D8" s="164"/>
      <c r="E8" s="134"/>
      <c r="F8" s="35"/>
      <c r="G8" s="36"/>
      <c r="H8" s="134"/>
      <c r="I8" s="36"/>
      <c r="J8" s="134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spans="1:24" ht="15.75" thickBot="1">
      <c r="A9" s="42"/>
      <c r="B9" s="42"/>
      <c r="C9" s="73"/>
      <c r="D9" s="49"/>
      <c r="E9" s="138"/>
      <c r="F9" s="42"/>
      <c r="G9" s="42"/>
      <c r="H9" s="138"/>
      <c r="I9" s="42"/>
      <c r="J9" s="138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4" ht="30.75" thickBot="1">
      <c r="A10" s="75" t="s">
        <v>243</v>
      </c>
      <c r="B10" s="75" t="s">
        <v>124</v>
      </c>
      <c r="C10" s="75" t="s">
        <v>125</v>
      </c>
      <c r="D10" s="147" t="s">
        <v>241</v>
      </c>
      <c r="E10" s="147" t="s">
        <v>242</v>
      </c>
      <c r="F10" s="51" t="s">
        <v>44</v>
      </c>
      <c r="G10" s="51" t="s">
        <v>45</v>
      </c>
      <c r="H10" s="144" t="s">
        <v>244</v>
      </c>
      <c r="I10" s="87" t="s">
        <v>46</v>
      </c>
      <c r="J10" s="143" t="s">
        <v>552</v>
      </c>
      <c r="K10" s="143" t="s">
        <v>538</v>
      </c>
      <c r="L10" s="145" t="s">
        <v>539</v>
      </c>
      <c r="M10" s="143" t="s">
        <v>540</v>
      </c>
      <c r="N10" s="145" t="s">
        <v>541</v>
      </c>
      <c r="O10" s="143" t="s">
        <v>542</v>
      </c>
      <c r="P10" s="145" t="s">
        <v>543</v>
      </c>
      <c r="Q10" s="143" t="s">
        <v>544</v>
      </c>
      <c r="R10" s="145" t="s">
        <v>545</v>
      </c>
      <c r="S10" s="143" t="s">
        <v>546</v>
      </c>
      <c r="T10" s="145" t="s">
        <v>547</v>
      </c>
      <c r="U10" s="143" t="s">
        <v>548</v>
      </c>
      <c r="V10" s="145" t="s">
        <v>549</v>
      </c>
    </row>
    <row r="11" spans="1:24" ht="15.75" thickBot="1">
      <c r="A11" s="322" t="s">
        <v>495</v>
      </c>
      <c r="B11" s="316" t="s">
        <v>480</v>
      </c>
      <c r="C11" s="314" t="s">
        <v>367</v>
      </c>
      <c r="D11" s="319"/>
      <c r="E11" s="316"/>
      <c r="F11" s="314">
        <v>196500</v>
      </c>
      <c r="G11" s="314">
        <f t="shared" ref="G11:G34" si="0">SUM(K11:V11)</f>
        <v>166451</v>
      </c>
      <c r="H11" s="315"/>
      <c r="I11" s="314">
        <f t="shared" ref="I11:I34" si="1">F11-G11</f>
        <v>30049</v>
      </c>
      <c r="J11" s="131"/>
      <c r="K11" s="131">
        <v>25808</v>
      </c>
      <c r="L11" s="131">
        <v>9706</v>
      </c>
      <c r="M11" s="131">
        <v>90147</v>
      </c>
      <c r="N11" s="131"/>
      <c r="O11" s="131">
        <f>18053+15476</f>
        <v>33529</v>
      </c>
      <c r="P11" s="131">
        <v>7261</v>
      </c>
      <c r="Q11" s="131"/>
      <c r="R11" s="131"/>
      <c r="S11" s="131"/>
      <c r="T11" s="131"/>
      <c r="U11" s="131"/>
      <c r="V11" s="131"/>
    </row>
    <row r="12" spans="1:24">
      <c r="A12" s="323" t="s">
        <v>612</v>
      </c>
      <c r="B12" s="318" t="s">
        <v>613</v>
      </c>
      <c r="C12" s="318" t="s">
        <v>109</v>
      </c>
      <c r="D12" s="318"/>
      <c r="E12" s="318"/>
      <c r="F12" s="321">
        <v>215000</v>
      </c>
      <c r="G12" s="314">
        <f t="shared" si="0"/>
        <v>78882</v>
      </c>
      <c r="H12" s="166"/>
      <c r="I12" s="314">
        <f t="shared" si="1"/>
        <v>136118</v>
      </c>
      <c r="J12" s="131"/>
      <c r="K12" s="24"/>
      <c r="L12" s="24"/>
      <c r="M12" s="24"/>
      <c r="N12" s="24"/>
      <c r="O12" s="24">
        <v>78882</v>
      </c>
      <c r="P12" s="24"/>
      <c r="Q12" s="24"/>
      <c r="R12" s="24"/>
      <c r="S12" s="24"/>
      <c r="T12" s="24"/>
      <c r="U12" s="24"/>
      <c r="V12" s="24"/>
      <c r="W12" s="131"/>
      <c r="X12" s="131"/>
    </row>
    <row r="13" spans="1:24">
      <c r="A13" s="324">
        <v>2233</v>
      </c>
      <c r="B13" s="317" t="s">
        <v>614</v>
      </c>
      <c r="C13" s="317" t="s">
        <v>109</v>
      </c>
      <c r="D13" s="317"/>
      <c r="E13" s="317"/>
      <c r="F13" s="320"/>
      <c r="G13" s="314">
        <f t="shared" si="0"/>
        <v>0</v>
      </c>
      <c r="H13" s="167"/>
      <c r="I13" s="314">
        <f t="shared" si="1"/>
        <v>0</v>
      </c>
      <c r="J13" s="131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131"/>
      <c r="X13" s="131"/>
    </row>
    <row r="14" spans="1:24" ht="30">
      <c r="A14" s="324" t="s">
        <v>567</v>
      </c>
      <c r="B14" s="160" t="s">
        <v>569</v>
      </c>
      <c r="C14" s="165" t="s">
        <v>420</v>
      </c>
      <c r="D14" s="163"/>
      <c r="E14" s="160"/>
      <c r="F14" s="165">
        <v>215000</v>
      </c>
      <c r="G14" s="314">
        <f t="shared" si="0"/>
        <v>53750</v>
      </c>
      <c r="H14" s="167">
        <v>41211</v>
      </c>
      <c r="I14" s="314">
        <f t="shared" si="1"/>
        <v>161250</v>
      </c>
      <c r="J14" s="131"/>
      <c r="K14" s="131"/>
      <c r="L14" s="131"/>
      <c r="M14" s="131"/>
      <c r="N14" s="131">
        <v>53750</v>
      </c>
      <c r="O14" s="131"/>
      <c r="P14" s="131"/>
      <c r="Q14" s="131"/>
      <c r="R14" s="131"/>
      <c r="S14" s="131"/>
      <c r="T14" s="131"/>
      <c r="U14" s="131"/>
      <c r="V14" s="131"/>
    </row>
    <row r="15" spans="1:24">
      <c r="A15" s="324" t="s">
        <v>568</v>
      </c>
      <c r="B15" s="160" t="s">
        <v>570</v>
      </c>
      <c r="C15" s="165" t="s">
        <v>420</v>
      </c>
      <c r="D15" s="163"/>
      <c r="E15" s="160"/>
      <c r="F15" s="165">
        <v>196500</v>
      </c>
      <c r="G15" s="314">
        <f t="shared" si="0"/>
        <v>47993</v>
      </c>
      <c r="H15" s="167">
        <v>41211</v>
      </c>
      <c r="I15" s="314">
        <f t="shared" si="1"/>
        <v>148507</v>
      </c>
      <c r="J15" s="131"/>
      <c r="K15" s="131"/>
      <c r="L15" s="131"/>
      <c r="M15" s="131"/>
      <c r="N15" s="131">
        <v>47993</v>
      </c>
      <c r="O15" s="131"/>
      <c r="P15" s="131"/>
      <c r="Q15" s="131"/>
      <c r="R15" s="131"/>
      <c r="S15" s="131"/>
      <c r="T15" s="131"/>
      <c r="U15" s="131"/>
      <c r="V15" s="131"/>
    </row>
    <row r="16" spans="1:24">
      <c r="A16" s="324" t="s">
        <v>597</v>
      </c>
      <c r="B16" s="317" t="s">
        <v>598</v>
      </c>
      <c r="C16" s="317" t="s">
        <v>420</v>
      </c>
      <c r="D16" s="317"/>
      <c r="E16" s="317"/>
      <c r="F16" s="320">
        <v>215000</v>
      </c>
      <c r="G16" s="314">
        <f t="shared" si="0"/>
        <v>26806</v>
      </c>
      <c r="H16" s="167">
        <v>41377</v>
      </c>
      <c r="I16" s="314">
        <f t="shared" si="1"/>
        <v>188194</v>
      </c>
      <c r="J16" s="131"/>
      <c r="K16" s="24"/>
      <c r="L16" s="24"/>
      <c r="M16" s="24"/>
      <c r="N16" s="24"/>
      <c r="O16" s="24">
        <v>26806</v>
      </c>
      <c r="P16" s="24"/>
      <c r="Q16" s="24"/>
      <c r="R16" s="24"/>
      <c r="S16" s="24"/>
      <c r="T16" s="24"/>
      <c r="U16" s="24"/>
      <c r="V16" s="24"/>
      <c r="W16" s="131"/>
      <c r="X16" s="131"/>
    </row>
    <row r="17" spans="1:24">
      <c r="A17" s="324" t="s">
        <v>553</v>
      </c>
      <c r="B17" s="160" t="s">
        <v>479</v>
      </c>
      <c r="C17" s="165" t="s">
        <v>368</v>
      </c>
      <c r="D17" s="163"/>
      <c r="E17" s="160"/>
      <c r="F17" s="165">
        <v>196500</v>
      </c>
      <c r="G17" s="314">
        <f t="shared" si="0"/>
        <v>97904</v>
      </c>
      <c r="H17" s="167">
        <v>41211</v>
      </c>
      <c r="I17" s="314">
        <f t="shared" si="1"/>
        <v>98596</v>
      </c>
      <c r="J17" s="131"/>
      <c r="K17" s="131">
        <v>40755</v>
      </c>
      <c r="L17" s="131"/>
      <c r="M17" s="131">
        <v>43119</v>
      </c>
      <c r="N17" s="131"/>
      <c r="O17" s="131">
        <v>9488</v>
      </c>
      <c r="P17" s="131">
        <v>4542</v>
      </c>
      <c r="Q17" s="131"/>
      <c r="R17" s="131"/>
      <c r="S17" s="131"/>
      <c r="T17" s="131"/>
      <c r="U17" s="131"/>
      <c r="V17" s="131"/>
    </row>
    <row r="18" spans="1:24">
      <c r="A18" s="324" t="s">
        <v>496</v>
      </c>
      <c r="B18" s="160" t="s">
        <v>490</v>
      </c>
      <c r="C18" s="165" t="s">
        <v>491</v>
      </c>
      <c r="D18" s="163"/>
      <c r="E18" s="160"/>
      <c r="F18" s="165">
        <v>196600</v>
      </c>
      <c r="G18" s="314">
        <f t="shared" si="0"/>
        <v>81442</v>
      </c>
      <c r="H18" s="167"/>
      <c r="I18" s="314">
        <f t="shared" si="1"/>
        <v>115158</v>
      </c>
      <c r="J18" s="131"/>
      <c r="K18" s="24"/>
      <c r="L18" s="24">
        <v>3338</v>
      </c>
      <c r="M18" s="24">
        <v>21118</v>
      </c>
      <c r="N18" s="24"/>
      <c r="O18" s="24">
        <f>21043+26578</f>
        <v>47621</v>
      </c>
      <c r="P18" s="168">
        <v>9365</v>
      </c>
      <c r="Q18" s="24"/>
      <c r="R18" s="24"/>
      <c r="S18" s="24"/>
      <c r="T18" s="24"/>
      <c r="U18" s="24"/>
      <c r="V18" s="24"/>
    </row>
    <row r="19" spans="1:24">
      <c r="A19" s="324" t="s">
        <v>492</v>
      </c>
      <c r="B19" s="160" t="s">
        <v>488</v>
      </c>
      <c r="C19" s="165" t="s">
        <v>109</v>
      </c>
      <c r="D19" s="163"/>
      <c r="E19" s="160"/>
      <c r="F19" s="165">
        <v>196500</v>
      </c>
      <c r="G19" s="314">
        <f t="shared" si="0"/>
        <v>68842</v>
      </c>
      <c r="H19" s="167"/>
      <c r="I19" s="314">
        <f t="shared" si="1"/>
        <v>127658</v>
      </c>
      <c r="J19" s="131"/>
      <c r="K19" s="24"/>
      <c r="L19" s="24">
        <v>33529</v>
      </c>
      <c r="M19" s="24"/>
      <c r="N19" s="24"/>
      <c r="O19" s="24"/>
      <c r="P19" s="131">
        <v>35313</v>
      </c>
      <c r="Q19" s="24"/>
      <c r="R19" s="24"/>
      <c r="S19" s="24"/>
      <c r="T19" s="24"/>
      <c r="U19" s="24"/>
      <c r="V19" s="24"/>
    </row>
    <row r="20" spans="1:24">
      <c r="A20" s="361" t="s">
        <v>708</v>
      </c>
      <c r="B20" s="160" t="s">
        <v>484</v>
      </c>
      <c r="C20" s="165" t="s">
        <v>485</v>
      </c>
      <c r="D20" s="163"/>
      <c r="E20" s="160"/>
      <c r="F20" s="165">
        <v>215000</v>
      </c>
      <c r="G20" s="314">
        <f t="shared" si="0"/>
        <v>107483</v>
      </c>
      <c r="H20" s="167">
        <v>41204</v>
      </c>
      <c r="I20" s="314">
        <f t="shared" si="1"/>
        <v>107517</v>
      </c>
      <c r="J20" s="131"/>
      <c r="K20" s="24">
        <v>24854</v>
      </c>
      <c r="L20" s="24"/>
      <c r="M20" s="24"/>
      <c r="N20" s="24"/>
      <c r="O20" s="24"/>
      <c r="P20" s="24">
        <f>42594+40035</f>
        <v>82629</v>
      </c>
      <c r="Q20" s="24"/>
      <c r="R20" s="24"/>
      <c r="S20" s="24"/>
      <c r="T20" s="24"/>
      <c r="U20" s="24"/>
      <c r="V20" s="24"/>
    </row>
    <row r="21" spans="1:24">
      <c r="A21" s="324" t="s">
        <v>623</v>
      </c>
      <c r="B21" s="160" t="s">
        <v>622</v>
      </c>
      <c r="C21" s="165" t="s">
        <v>420</v>
      </c>
      <c r="D21" s="163"/>
      <c r="E21" s="160"/>
      <c r="F21" s="165">
        <v>196500</v>
      </c>
      <c r="G21" s="314">
        <f t="shared" si="0"/>
        <v>0</v>
      </c>
      <c r="H21" s="167"/>
      <c r="I21" s="314">
        <f t="shared" si="1"/>
        <v>196500</v>
      </c>
      <c r="J21" s="131"/>
      <c r="K21" s="24"/>
      <c r="L21" s="24"/>
      <c r="M21" s="24"/>
      <c r="N21" s="24"/>
      <c r="O21" s="24"/>
      <c r="P21" s="131"/>
      <c r="Q21" s="24"/>
      <c r="R21" s="24"/>
      <c r="S21" s="24"/>
      <c r="T21" s="24"/>
      <c r="U21" s="24"/>
      <c r="V21" s="24"/>
    </row>
    <row r="22" spans="1:24">
      <c r="A22" s="324" t="s">
        <v>610</v>
      </c>
      <c r="B22" s="317" t="s">
        <v>609</v>
      </c>
      <c r="C22" s="317" t="s">
        <v>451</v>
      </c>
      <c r="D22" s="317"/>
      <c r="E22" s="317"/>
      <c r="F22" s="320">
        <v>215000</v>
      </c>
      <c r="G22" s="314">
        <f t="shared" si="0"/>
        <v>149637</v>
      </c>
      <c r="H22" s="167"/>
      <c r="I22" s="314">
        <f t="shared" si="1"/>
        <v>65363</v>
      </c>
      <c r="J22" s="131"/>
      <c r="K22" s="131"/>
      <c r="L22" s="131"/>
      <c r="M22" s="131"/>
      <c r="N22" s="131"/>
      <c r="O22" s="131">
        <v>149637</v>
      </c>
      <c r="P22" s="131"/>
      <c r="Q22" s="131"/>
      <c r="R22" s="131"/>
      <c r="S22" s="131"/>
      <c r="T22" s="131"/>
      <c r="U22" s="131"/>
      <c r="V22" s="131"/>
      <c r="W22" s="131"/>
      <c r="X22" s="131"/>
    </row>
    <row r="23" spans="1:24">
      <c r="A23" s="324" t="s">
        <v>615</v>
      </c>
      <c r="B23" s="317" t="s">
        <v>616</v>
      </c>
      <c r="C23" s="317" t="s">
        <v>109</v>
      </c>
      <c r="D23" s="317"/>
      <c r="E23" s="317"/>
      <c r="F23" s="320">
        <v>215000</v>
      </c>
      <c r="G23" s="314">
        <f t="shared" si="0"/>
        <v>148075</v>
      </c>
      <c r="H23" s="167"/>
      <c r="I23" s="314">
        <f t="shared" si="1"/>
        <v>66925</v>
      </c>
      <c r="J23" s="131"/>
      <c r="K23" s="131"/>
      <c r="L23" s="131"/>
      <c r="M23" s="131"/>
      <c r="N23" s="131"/>
      <c r="O23" s="131">
        <v>148075</v>
      </c>
      <c r="P23" s="131"/>
      <c r="Q23" s="131"/>
      <c r="R23" s="131"/>
      <c r="S23" s="131"/>
      <c r="T23" s="131"/>
      <c r="U23" s="131"/>
      <c r="V23" s="131"/>
      <c r="W23" s="131"/>
      <c r="X23" s="131"/>
    </row>
    <row r="24" spans="1:24">
      <c r="A24" s="324" t="s">
        <v>493</v>
      </c>
      <c r="B24" s="160" t="s">
        <v>489</v>
      </c>
      <c r="C24" s="165" t="s">
        <v>109</v>
      </c>
      <c r="D24" s="163"/>
      <c r="E24" s="160"/>
      <c r="F24" s="165">
        <v>196600</v>
      </c>
      <c r="G24" s="314">
        <f t="shared" si="0"/>
        <v>81899</v>
      </c>
      <c r="H24" s="167">
        <v>41246</v>
      </c>
      <c r="I24" s="314">
        <f t="shared" si="1"/>
        <v>114701</v>
      </c>
      <c r="J24" s="131"/>
      <c r="K24" s="131"/>
      <c r="L24" s="131">
        <v>46211</v>
      </c>
      <c r="M24" s="131"/>
      <c r="N24" s="131"/>
      <c r="O24" s="131">
        <v>11000</v>
      </c>
      <c r="P24" s="131">
        <v>24688</v>
      </c>
      <c r="Q24" s="131"/>
      <c r="R24" s="131"/>
      <c r="S24" s="131"/>
      <c r="T24" s="131"/>
      <c r="U24" s="131"/>
      <c r="V24" s="131"/>
    </row>
    <row r="25" spans="1:24">
      <c r="A25" s="324" t="s">
        <v>557</v>
      </c>
      <c r="B25" s="160" t="s">
        <v>558</v>
      </c>
      <c r="C25" s="165" t="s">
        <v>90</v>
      </c>
      <c r="D25" s="163"/>
      <c r="E25" s="160"/>
      <c r="F25" s="165">
        <v>196600</v>
      </c>
      <c r="G25" s="314">
        <f t="shared" si="0"/>
        <v>128707</v>
      </c>
      <c r="H25" s="167">
        <v>41246</v>
      </c>
      <c r="I25" s="314">
        <f t="shared" si="1"/>
        <v>67893</v>
      </c>
      <c r="J25" s="131"/>
      <c r="K25" s="24"/>
      <c r="L25" s="24"/>
      <c r="M25" s="24"/>
      <c r="N25" s="24"/>
      <c r="O25" s="24"/>
      <c r="P25" s="24">
        <f>91109+37598</f>
        <v>128707</v>
      </c>
      <c r="Q25" s="24"/>
      <c r="R25" s="24"/>
      <c r="S25" s="24"/>
      <c r="T25" s="24"/>
      <c r="U25" s="24"/>
      <c r="V25" s="24"/>
    </row>
    <row r="26" spans="1:24">
      <c r="A26" s="324" t="s">
        <v>494</v>
      </c>
      <c r="B26" s="160" t="s">
        <v>617</v>
      </c>
      <c r="C26" s="165" t="s">
        <v>109</v>
      </c>
      <c r="D26" s="163"/>
      <c r="E26" s="160"/>
      <c r="F26" s="165">
        <v>195000</v>
      </c>
      <c r="G26" s="314">
        <f t="shared" si="0"/>
        <v>25241</v>
      </c>
      <c r="H26" s="167">
        <v>41249</v>
      </c>
      <c r="I26" s="314">
        <f t="shared" si="1"/>
        <v>169759</v>
      </c>
      <c r="J26" s="131"/>
      <c r="K26" s="24"/>
      <c r="L26" s="24">
        <v>17886</v>
      </c>
      <c r="M26" s="24"/>
      <c r="N26" s="24"/>
      <c r="O26" s="24">
        <v>4369</v>
      </c>
      <c r="P26" s="131">
        <f>1726+1260</f>
        <v>2986</v>
      </c>
      <c r="Q26" s="24"/>
      <c r="R26" s="24"/>
      <c r="S26" s="24"/>
      <c r="T26" s="24"/>
      <c r="U26" s="24"/>
      <c r="V26" s="24"/>
    </row>
    <row r="27" spans="1:24">
      <c r="A27" s="322" t="s">
        <v>554</v>
      </c>
      <c r="B27" s="316" t="s">
        <v>555</v>
      </c>
      <c r="C27" s="314" t="s">
        <v>109</v>
      </c>
      <c r="D27" s="319"/>
      <c r="E27" s="316"/>
      <c r="F27" s="314">
        <v>195000</v>
      </c>
      <c r="G27" s="314">
        <f t="shared" si="0"/>
        <v>28606</v>
      </c>
      <c r="H27" s="170">
        <v>41249</v>
      </c>
      <c r="I27" s="314">
        <f t="shared" si="1"/>
        <v>166394</v>
      </c>
      <c r="J27" s="131"/>
      <c r="K27" s="131"/>
      <c r="L27" s="131"/>
      <c r="M27" s="131">
        <v>22974</v>
      </c>
      <c r="N27" s="131"/>
      <c r="O27" s="131">
        <v>4074</v>
      </c>
      <c r="P27" s="131">
        <v>1558</v>
      </c>
      <c r="Q27" s="131"/>
      <c r="R27" s="131"/>
      <c r="S27" s="131"/>
      <c r="T27" s="131"/>
      <c r="U27" s="131"/>
      <c r="V27" s="131"/>
    </row>
    <row r="28" spans="1:24">
      <c r="A28" s="360" t="s">
        <v>604</v>
      </c>
      <c r="B28" s="331" t="s">
        <v>605</v>
      </c>
      <c r="C28" s="331" t="s">
        <v>109</v>
      </c>
      <c r="D28" s="331"/>
      <c r="E28" s="331"/>
      <c r="F28" s="332">
        <v>196500</v>
      </c>
      <c r="G28" s="314">
        <f t="shared" si="0"/>
        <v>0</v>
      </c>
      <c r="H28" s="328"/>
      <c r="I28" s="314">
        <f t="shared" si="1"/>
        <v>196500</v>
      </c>
      <c r="J28" s="131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131"/>
      <c r="X28" s="131"/>
    </row>
    <row r="29" spans="1:24">
      <c r="A29" s="358" t="s">
        <v>476</v>
      </c>
      <c r="B29" s="325" t="s">
        <v>477</v>
      </c>
      <c r="C29" s="326" t="s">
        <v>478</v>
      </c>
      <c r="D29" s="327"/>
      <c r="E29" s="325"/>
      <c r="F29" s="326">
        <v>215000</v>
      </c>
      <c r="G29" s="314">
        <f t="shared" si="0"/>
        <v>0</v>
      </c>
      <c r="H29" s="330"/>
      <c r="I29" s="314">
        <f t="shared" si="1"/>
        <v>215000</v>
      </c>
      <c r="J29" s="131">
        <v>53750</v>
      </c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</row>
    <row r="30" spans="1:24">
      <c r="A30" s="358" t="s">
        <v>482</v>
      </c>
      <c r="B30" s="325" t="s">
        <v>483</v>
      </c>
      <c r="C30" s="326" t="s">
        <v>420</v>
      </c>
      <c r="D30" s="327"/>
      <c r="E30" s="325"/>
      <c r="F30" s="326">
        <v>215000</v>
      </c>
      <c r="G30" s="314">
        <f t="shared" si="0"/>
        <v>91547</v>
      </c>
      <c r="H30" s="330">
        <v>41281</v>
      </c>
      <c r="I30" s="314">
        <f t="shared" si="1"/>
        <v>123453</v>
      </c>
      <c r="J30" s="131"/>
      <c r="K30" s="131">
        <v>43637</v>
      </c>
      <c r="L30" s="131"/>
      <c r="M30" s="131"/>
      <c r="N30" s="131">
        <f>9778+38132</f>
        <v>47910</v>
      </c>
      <c r="O30" s="131"/>
      <c r="P30" s="131"/>
      <c r="Q30" s="131"/>
      <c r="R30" s="131"/>
      <c r="S30" s="131"/>
      <c r="T30" s="131"/>
      <c r="U30" s="131"/>
      <c r="V30" s="131"/>
    </row>
    <row r="31" spans="1:24">
      <c r="A31" s="329" t="s">
        <v>608</v>
      </c>
      <c r="B31" s="331" t="s">
        <v>606</v>
      </c>
      <c r="C31" s="331" t="s">
        <v>607</v>
      </c>
      <c r="D31" s="331"/>
      <c r="E31" s="331"/>
      <c r="F31" s="332">
        <v>215000</v>
      </c>
      <c r="G31" s="314">
        <f t="shared" si="0"/>
        <v>0</v>
      </c>
      <c r="H31" s="330"/>
      <c r="I31" s="314">
        <f t="shared" si="1"/>
        <v>215000</v>
      </c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</row>
    <row r="32" spans="1:24">
      <c r="A32" s="329" t="s">
        <v>618</v>
      </c>
      <c r="B32" s="325" t="s">
        <v>619</v>
      </c>
      <c r="C32" s="326" t="s">
        <v>109</v>
      </c>
      <c r="D32" s="327"/>
      <c r="E32" s="325"/>
      <c r="F32" s="326">
        <v>196500</v>
      </c>
      <c r="G32" s="314">
        <f t="shared" si="0"/>
        <v>0</v>
      </c>
      <c r="H32" s="330"/>
      <c r="I32" s="314">
        <f t="shared" si="1"/>
        <v>196500</v>
      </c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</row>
    <row r="33" spans="1:24">
      <c r="A33" s="329" t="s">
        <v>620</v>
      </c>
      <c r="B33" s="331" t="s">
        <v>621</v>
      </c>
      <c r="C33" s="331" t="s">
        <v>451</v>
      </c>
      <c r="D33" s="331"/>
      <c r="E33" s="331"/>
      <c r="F33" s="332">
        <v>215000</v>
      </c>
      <c r="G33" s="314">
        <f t="shared" si="0"/>
        <v>0</v>
      </c>
      <c r="H33" s="330"/>
      <c r="I33" s="314">
        <f t="shared" si="1"/>
        <v>215000</v>
      </c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</row>
    <row r="34" spans="1:24" ht="15.75" thickBot="1">
      <c r="A34" s="359" t="s">
        <v>707</v>
      </c>
      <c r="B34" s="171" t="s">
        <v>611</v>
      </c>
      <c r="C34" s="171" t="s">
        <v>420</v>
      </c>
      <c r="D34" s="171"/>
      <c r="E34" s="171"/>
      <c r="F34" s="172">
        <v>160000</v>
      </c>
      <c r="G34" s="314">
        <f t="shared" si="0"/>
        <v>3491</v>
      </c>
      <c r="H34" s="333"/>
      <c r="I34" s="314">
        <f t="shared" si="1"/>
        <v>156509</v>
      </c>
      <c r="J34" s="131"/>
      <c r="K34" s="131"/>
      <c r="L34" s="131"/>
      <c r="M34" s="131"/>
      <c r="N34" s="131"/>
      <c r="O34" s="131"/>
      <c r="P34" s="131">
        <v>3491</v>
      </c>
      <c r="Q34" s="131"/>
      <c r="R34" s="131"/>
      <c r="S34" s="131"/>
      <c r="T34" s="131"/>
      <c r="U34" s="131"/>
      <c r="V34" s="131"/>
      <c r="W34" s="131"/>
      <c r="X34" s="131"/>
    </row>
    <row r="35" spans="1:24" ht="16.5" thickTop="1" thickBot="1">
      <c r="A35" s="173"/>
      <c r="B35" s="173"/>
      <c r="C35" s="173"/>
      <c r="D35" s="174"/>
      <c r="E35" s="173"/>
      <c r="F35" s="175">
        <f>SUM(F12:F34)</f>
        <v>4468800</v>
      </c>
      <c r="G35" s="175">
        <f>SUM(G12:G28)</f>
        <v>1125267</v>
      </c>
      <c r="H35" s="175">
        <f>SUM(H12:H28)</f>
        <v>371204</v>
      </c>
      <c r="I35" s="175">
        <f>SUM(I12:I28)</f>
        <v>2127033</v>
      </c>
      <c r="J35" s="175"/>
      <c r="K35" s="175">
        <f t="shared" ref="K35:O35" si="2">SUM(K12:K28)</f>
        <v>65609</v>
      </c>
      <c r="L35" s="175">
        <f t="shared" si="2"/>
        <v>100964</v>
      </c>
      <c r="M35" s="175">
        <f t="shared" si="2"/>
        <v>87211</v>
      </c>
      <c r="N35" s="175">
        <f t="shared" si="2"/>
        <v>101743</v>
      </c>
      <c r="O35" s="175">
        <f t="shared" si="2"/>
        <v>479952</v>
      </c>
      <c r="P35" s="175">
        <f>SUM(P11:P34)</f>
        <v>300540</v>
      </c>
      <c r="Q35" s="175">
        <f t="shared" ref="Q35:V35" si="3">SUM(Q11:Q34)</f>
        <v>0</v>
      </c>
      <c r="R35" s="175">
        <f t="shared" si="3"/>
        <v>0</v>
      </c>
      <c r="S35" s="175">
        <f t="shared" si="3"/>
        <v>0</v>
      </c>
      <c r="T35" s="175">
        <f t="shared" si="3"/>
        <v>0</v>
      </c>
      <c r="U35" s="175">
        <f t="shared" si="3"/>
        <v>0</v>
      </c>
      <c r="V35" s="175">
        <f t="shared" si="3"/>
        <v>0</v>
      </c>
      <c r="W35" s="24"/>
      <c r="X35" s="24"/>
    </row>
    <row r="36" spans="1:24" ht="15.75" thickTop="1">
      <c r="J36" s="131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1:24">
      <c r="J37" s="131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1:24">
      <c r="J38" s="131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1:24">
      <c r="J39" s="131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1:24">
      <c r="J40" s="131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1:24">
      <c r="J41" s="131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1:24">
      <c r="J42" s="131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1:24">
      <c r="J43" s="131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1:24">
      <c r="J44" s="131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1:24">
      <c r="J45" s="131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1:24">
      <c r="J46" s="131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1:24">
      <c r="J47" s="131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1:24">
      <c r="J48" s="131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0:24">
      <c r="J49" s="131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10:24">
      <c r="J50" s="131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10:24">
      <c r="J51" s="131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10:24">
      <c r="J52" s="131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10:24">
      <c r="J53" s="131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</sheetData>
  <sheetProtection password="EF32" sheet="1" objects="1" scenarios="1"/>
  <sortState ref="A11:X34">
    <sortCondition ref="A11:A34"/>
  </sortState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12"/>
  <sheetViews>
    <sheetView workbookViewId="0">
      <pane xSplit="5" ySplit="10" topLeftCell="M11" activePane="bottomRight" state="frozen"/>
      <selection pane="topRight" activeCell="F1" sqref="F1"/>
      <selection pane="bottomLeft" activeCell="A11" sqref="A11"/>
      <selection pane="bottomRight" activeCell="M12" sqref="M12"/>
    </sheetView>
  </sheetViews>
  <sheetFormatPr defaultRowHeight="15"/>
  <cols>
    <col min="2" max="2" width="37.28515625" customWidth="1"/>
    <col min="3" max="3" width="19" customWidth="1"/>
    <col min="4" max="4" width="16.42578125" customWidth="1"/>
    <col min="5" max="5" width="16" customWidth="1"/>
    <col min="13" max="13" width="11.5703125" customWidth="1"/>
    <col min="14" max="14" width="12.42578125" customWidth="1"/>
    <col min="15" max="15" width="14" customWidth="1"/>
    <col min="16" max="16" width="12.7109375" customWidth="1"/>
    <col min="17" max="17" width="13.28515625" customWidth="1"/>
    <col min="18" max="18" width="13" customWidth="1"/>
    <col min="19" max="19" width="12.5703125" customWidth="1"/>
    <col min="20" max="20" width="13.28515625" customWidth="1"/>
  </cols>
  <sheetData>
    <row r="1" spans="1:20" ht="21">
      <c r="A1" s="132" t="s">
        <v>0</v>
      </c>
      <c r="B1" s="138"/>
      <c r="C1" s="133" t="s">
        <v>601</v>
      </c>
      <c r="D1" s="140"/>
      <c r="E1" s="138"/>
      <c r="F1" s="133" t="str">
        <f>C1</f>
        <v>Title IA School Improvement Support</v>
      </c>
      <c r="G1" s="138"/>
      <c r="H1" s="138"/>
      <c r="I1" s="138"/>
      <c r="J1" s="138"/>
      <c r="K1" s="138"/>
      <c r="L1" s="133"/>
      <c r="M1" s="138"/>
      <c r="N1" s="138"/>
      <c r="O1" s="138"/>
      <c r="P1" s="146"/>
      <c r="Q1" s="146"/>
      <c r="R1" s="146"/>
      <c r="S1" s="146"/>
      <c r="T1" s="146"/>
    </row>
    <row r="2" spans="1:20" ht="18.75">
      <c r="A2" s="135" t="s">
        <v>1</v>
      </c>
      <c r="B2" s="138"/>
      <c r="C2" s="152" t="s">
        <v>117</v>
      </c>
      <c r="D2" s="140"/>
      <c r="E2" s="138"/>
      <c r="F2" s="146" t="str">
        <f>"FY"&amp;C4</f>
        <v>FY2013-14</v>
      </c>
      <c r="G2" s="138"/>
      <c r="H2" s="138"/>
      <c r="I2" s="138"/>
      <c r="J2" s="138"/>
      <c r="K2" s="138"/>
      <c r="L2" s="146"/>
      <c r="M2" s="138"/>
      <c r="N2" s="138"/>
      <c r="O2" s="138"/>
      <c r="P2" s="146"/>
      <c r="Q2" s="146"/>
      <c r="R2" s="146"/>
      <c r="S2" s="146"/>
      <c r="T2" s="146"/>
    </row>
    <row r="3" spans="1:20" ht="18.75">
      <c r="A3" s="135" t="s">
        <v>2</v>
      </c>
      <c r="B3" s="138"/>
      <c r="C3" s="136">
        <v>5010</v>
      </c>
      <c r="D3" s="140"/>
      <c r="E3" s="138"/>
      <c r="F3" s="183" t="s">
        <v>247</v>
      </c>
      <c r="G3" s="138"/>
      <c r="H3" s="138"/>
      <c r="I3" s="138"/>
      <c r="J3" s="138"/>
      <c r="K3" s="138"/>
      <c r="L3" s="138"/>
      <c r="M3" s="138"/>
      <c r="N3" s="138"/>
      <c r="O3" s="138"/>
      <c r="P3" s="146"/>
      <c r="Q3" s="146"/>
      <c r="R3" s="146"/>
      <c r="S3" s="146"/>
      <c r="T3" s="146"/>
    </row>
    <row r="4" spans="1:20" ht="18.75">
      <c r="A4" s="135" t="s">
        <v>3</v>
      </c>
      <c r="B4" s="138"/>
      <c r="C4" s="136" t="s">
        <v>249</v>
      </c>
      <c r="D4" s="135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46"/>
      <c r="Q4" s="146"/>
      <c r="R4" s="146"/>
      <c r="S4" s="146"/>
      <c r="T4" s="146"/>
    </row>
    <row r="5" spans="1:20" ht="18.75">
      <c r="A5" s="135" t="s">
        <v>104</v>
      </c>
      <c r="B5" s="138"/>
      <c r="C5" s="136" t="s">
        <v>105</v>
      </c>
      <c r="D5" s="140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46"/>
      <c r="Q5" s="146"/>
      <c r="R5" s="146"/>
      <c r="S5" s="146"/>
      <c r="T5" s="146"/>
    </row>
    <row r="6" spans="1:20" ht="18.75">
      <c r="A6" s="135" t="s">
        <v>65</v>
      </c>
      <c r="B6" s="138"/>
      <c r="C6" s="135" t="s">
        <v>274</v>
      </c>
      <c r="D6" s="137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46"/>
      <c r="Q6" s="146"/>
      <c r="R6" s="146"/>
      <c r="S6" s="146"/>
      <c r="T6" s="146"/>
    </row>
    <row r="7" spans="1:20" ht="18.75">
      <c r="A7" s="135" t="s">
        <v>67</v>
      </c>
      <c r="B7" s="138"/>
      <c r="C7" s="135" t="s">
        <v>228</v>
      </c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6"/>
      <c r="Q7" s="146"/>
      <c r="R7" s="146"/>
      <c r="S7" s="146"/>
      <c r="T7" s="146"/>
    </row>
    <row r="8" spans="1:20" ht="21">
      <c r="A8" s="132" t="s">
        <v>248</v>
      </c>
      <c r="B8" s="134"/>
      <c r="C8" s="133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46"/>
      <c r="Q8" s="146"/>
      <c r="R8" s="146"/>
      <c r="S8" s="146"/>
      <c r="T8" s="146"/>
    </row>
    <row r="9" spans="1:20" ht="19.5" thickBot="1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46"/>
      <c r="Q9" s="146"/>
      <c r="R9" s="146"/>
      <c r="S9" s="146"/>
      <c r="T9" s="146"/>
    </row>
    <row r="10" spans="1:20" ht="45.75" thickBot="1">
      <c r="A10" s="145" t="s">
        <v>4</v>
      </c>
      <c r="B10" s="147" t="s">
        <v>113</v>
      </c>
      <c r="C10" s="145" t="s">
        <v>44</v>
      </c>
      <c r="D10" s="145" t="s">
        <v>45</v>
      </c>
      <c r="E10" s="129" t="s">
        <v>46</v>
      </c>
      <c r="F10" s="141" t="s">
        <v>535</v>
      </c>
      <c r="G10" s="143" t="s">
        <v>536</v>
      </c>
      <c r="H10" s="145" t="s">
        <v>537</v>
      </c>
      <c r="I10" s="143" t="s">
        <v>538</v>
      </c>
      <c r="J10" s="145" t="s">
        <v>539</v>
      </c>
      <c r="K10" s="143" t="s">
        <v>540</v>
      </c>
      <c r="L10" s="145" t="s">
        <v>541</v>
      </c>
      <c r="M10" s="145" t="s">
        <v>542</v>
      </c>
      <c r="N10" s="145" t="s">
        <v>543</v>
      </c>
      <c r="O10" s="145" t="s">
        <v>544</v>
      </c>
      <c r="P10" s="145" t="s">
        <v>545</v>
      </c>
      <c r="Q10" s="145" t="s">
        <v>546</v>
      </c>
      <c r="R10" s="145" t="s">
        <v>547</v>
      </c>
      <c r="S10" s="143" t="s">
        <v>548</v>
      </c>
      <c r="T10" s="141" t="s">
        <v>549</v>
      </c>
    </row>
    <row r="11" spans="1:20" ht="30.75" thickBot="1">
      <c r="A11" s="178" t="s">
        <v>602</v>
      </c>
      <c r="B11" s="313" t="s">
        <v>603</v>
      </c>
      <c r="C11" s="257">
        <v>460874</v>
      </c>
      <c r="D11" s="247">
        <f>SUM(F11:T11)</f>
        <v>221934</v>
      </c>
      <c r="E11" s="247">
        <f>C11-D11</f>
        <v>238940</v>
      </c>
      <c r="F11" s="131"/>
      <c r="G11" s="131"/>
      <c r="H11" s="131"/>
      <c r="I11" s="131"/>
      <c r="J11" s="131"/>
      <c r="K11" s="131"/>
      <c r="L11" s="131"/>
      <c r="M11" s="131">
        <v>221934</v>
      </c>
      <c r="N11" s="131"/>
      <c r="O11" s="131"/>
      <c r="P11" s="4"/>
      <c r="Q11" s="4"/>
      <c r="R11" s="4"/>
      <c r="S11" s="4"/>
      <c r="T11" s="4"/>
    </row>
    <row r="12" spans="1:20" ht="15.75" thickBot="1">
      <c r="A12" s="148"/>
      <c r="B12" s="148"/>
      <c r="C12" s="252"/>
      <c r="D12" s="247"/>
      <c r="E12" s="24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4"/>
      <c r="Q12" s="4"/>
      <c r="R12" s="4"/>
      <c r="S12" s="4"/>
      <c r="T12" s="4"/>
    </row>
  </sheetData>
  <sheetProtection password="EF32" sheet="1" objects="1" scenario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28"/>
  <sheetViews>
    <sheetView workbookViewId="0">
      <pane xSplit="5" ySplit="11" topLeftCell="N12" activePane="bottomRight" state="frozen"/>
      <selection pane="topRight" activeCell="F1" sqref="F1"/>
      <selection pane="bottomLeft" activeCell="A12" sqref="A12"/>
      <selection pane="bottomRight" activeCell="N24" sqref="N24"/>
    </sheetView>
  </sheetViews>
  <sheetFormatPr defaultRowHeight="15"/>
  <cols>
    <col min="2" max="2" width="29.85546875" customWidth="1"/>
    <col min="3" max="3" width="13.5703125" customWidth="1"/>
    <col min="4" max="4" width="15.28515625" customWidth="1"/>
    <col min="5" max="5" width="14.42578125" customWidth="1"/>
    <col min="6" max="6" width="15" customWidth="1"/>
    <col min="7" max="7" width="14.28515625" customWidth="1"/>
    <col min="8" max="8" width="12.140625" customWidth="1"/>
    <col min="9" max="9" width="13" customWidth="1"/>
    <col min="10" max="10" width="13.5703125" customWidth="1"/>
    <col min="11" max="11" width="13.140625" customWidth="1"/>
    <col min="12" max="12" width="14.28515625" customWidth="1"/>
    <col min="13" max="13" width="13.7109375" customWidth="1"/>
    <col min="14" max="14" width="13" customWidth="1"/>
    <col min="15" max="15" width="12.28515625" customWidth="1"/>
    <col min="16" max="16" width="11.28515625" customWidth="1"/>
    <col min="17" max="17" width="10.85546875" customWidth="1"/>
    <col min="18" max="19" width="11.5703125" customWidth="1"/>
    <col min="20" max="20" width="12.28515625" customWidth="1"/>
  </cols>
  <sheetData>
    <row r="1" spans="1:20" ht="21">
      <c r="A1" s="132" t="s">
        <v>0</v>
      </c>
      <c r="B1" s="138"/>
      <c r="C1" s="133" t="s">
        <v>71</v>
      </c>
      <c r="D1" s="132"/>
      <c r="E1" s="134"/>
      <c r="F1" s="140"/>
      <c r="G1" s="140"/>
      <c r="H1" s="133" t="str">
        <f>C1</f>
        <v>EL CIVICS</v>
      </c>
      <c r="I1" s="133"/>
      <c r="J1" s="133"/>
      <c r="K1" s="132"/>
      <c r="L1" s="132"/>
      <c r="M1" s="134"/>
      <c r="N1" s="134"/>
      <c r="O1" s="140"/>
      <c r="P1" s="140"/>
      <c r="Q1" s="133" t="str">
        <f>C1</f>
        <v>EL CIVICS</v>
      </c>
      <c r="R1" s="133"/>
      <c r="S1" s="132"/>
      <c r="T1" s="132"/>
    </row>
    <row r="2" spans="1:20" ht="15.75">
      <c r="A2" s="135" t="s">
        <v>1</v>
      </c>
      <c r="B2" s="138"/>
      <c r="C2" s="136">
        <v>84.001999999999995</v>
      </c>
      <c r="D2" s="135"/>
      <c r="E2" s="71"/>
      <c r="F2" s="140"/>
      <c r="G2" s="140"/>
      <c r="H2" s="135" t="str">
        <f>"FY"&amp;C4</f>
        <v>FY2013-14</v>
      </c>
      <c r="I2" s="135"/>
      <c r="J2" s="135"/>
      <c r="K2" s="136"/>
      <c r="L2" s="136"/>
      <c r="M2" s="71"/>
      <c r="N2" s="71"/>
      <c r="O2" s="71"/>
      <c r="P2" s="71"/>
      <c r="Q2" s="135" t="str">
        <f>"FY"&amp;C4</f>
        <v>FY2013-14</v>
      </c>
      <c r="R2" s="135"/>
      <c r="S2" s="136"/>
      <c r="T2" s="136"/>
    </row>
    <row r="3" spans="1:20" ht="15.75">
      <c r="A3" s="135" t="s">
        <v>2</v>
      </c>
      <c r="B3" s="138"/>
      <c r="C3" s="136">
        <v>6002</v>
      </c>
      <c r="D3" s="135"/>
      <c r="E3" s="71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</row>
    <row r="4" spans="1:20" ht="15.75">
      <c r="A4" s="135" t="s">
        <v>3</v>
      </c>
      <c r="B4" s="138"/>
      <c r="C4" s="136" t="s">
        <v>249</v>
      </c>
      <c r="D4" s="71"/>
      <c r="E4" s="71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</row>
    <row r="5" spans="1:20" ht="15.75">
      <c r="A5" s="135" t="s">
        <v>104</v>
      </c>
      <c r="B5" s="135"/>
      <c r="C5" s="136" t="s">
        <v>105</v>
      </c>
      <c r="D5" s="135"/>
      <c r="E5" s="40"/>
      <c r="F5" s="40"/>
      <c r="G5" s="40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</row>
    <row r="6" spans="1:20" ht="15.75">
      <c r="A6" s="135" t="s">
        <v>65</v>
      </c>
      <c r="B6" s="135"/>
      <c r="C6" s="135" t="s">
        <v>254</v>
      </c>
      <c r="D6" s="135"/>
      <c r="E6" s="40"/>
      <c r="F6" s="40"/>
      <c r="G6" s="40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</row>
    <row r="7" spans="1:20" ht="15.75">
      <c r="A7" s="135" t="s">
        <v>67</v>
      </c>
      <c r="B7" s="135"/>
      <c r="C7" s="135" t="s">
        <v>70</v>
      </c>
      <c r="D7" s="135"/>
      <c r="E7" s="40"/>
      <c r="F7" s="40"/>
      <c r="G7" s="40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</row>
    <row r="8" spans="1:20" ht="15.75">
      <c r="A8" s="135" t="s">
        <v>207</v>
      </c>
      <c r="B8" s="135"/>
      <c r="C8" s="135" t="s">
        <v>257</v>
      </c>
      <c r="D8" s="135"/>
      <c r="E8" s="40"/>
      <c r="F8" s="40"/>
      <c r="G8" s="40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</row>
    <row r="9" spans="1:20" ht="21">
      <c r="A9" s="132" t="s">
        <v>256</v>
      </c>
      <c r="B9" s="135"/>
      <c r="C9" s="138"/>
      <c r="D9" s="135"/>
      <c r="E9" s="40"/>
      <c r="F9" s="40"/>
      <c r="G9" s="40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</row>
    <row r="10" spans="1:20" ht="16.5" thickBot="1">
      <c r="A10" s="33"/>
      <c r="B10" s="135"/>
      <c r="C10" s="71"/>
      <c r="D10" s="71"/>
      <c r="E10" s="137"/>
      <c r="F10" s="137"/>
      <c r="G10" s="137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</row>
    <row r="11" spans="1:20" ht="30.75" thickBot="1">
      <c r="A11" s="55" t="s">
        <v>4</v>
      </c>
      <c r="B11" s="53" t="s">
        <v>5</v>
      </c>
      <c r="C11" s="54" t="s">
        <v>44</v>
      </c>
      <c r="D11" s="53" t="s">
        <v>45</v>
      </c>
      <c r="E11" s="149" t="s">
        <v>46</v>
      </c>
      <c r="F11" s="307" t="s">
        <v>524</v>
      </c>
      <c r="G11" s="307" t="s">
        <v>525</v>
      </c>
      <c r="H11" s="307" t="s">
        <v>526</v>
      </c>
      <c r="I11" s="307" t="s">
        <v>527</v>
      </c>
      <c r="J11" s="307" t="s">
        <v>528</v>
      </c>
      <c r="K11" s="307" t="s">
        <v>529</v>
      </c>
      <c r="L11" s="307" t="s">
        <v>530</v>
      </c>
      <c r="M11" s="307" t="s">
        <v>531</v>
      </c>
      <c r="N11" s="307" t="s">
        <v>532</v>
      </c>
      <c r="O11" s="307" t="s">
        <v>533</v>
      </c>
      <c r="P11" s="307" t="s">
        <v>534</v>
      </c>
      <c r="Q11" s="307" t="s">
        <v>520</v>
      </c>
      <c r="R11" s="307" t="s">
        <v>521</v>
      </c>
      <c r="S11" s="307" t="s">
        <v>522</v>
      </c>
      <c r="T11" s="307" t="s">
        <v>523</v>
      </c>
    </row>
    <row r="12" spans="1:20" ht="15.75" thickBot="1">
      <c r="A12" s="190" t="s">
        <v>6</v>
      </c>
      <c r="B12" s="191" t="s">
        <v>355</v>
      </c>
      <c r="C12" s="220">
        <v>102832</v>
      </c>
      <c r="D12" s="202">
        <f t="shared" ref="D12:D25" si="0">SUM(F12:V12)</f>
        <v>65083</v>
      </c>
      <c r="E12" s="206">
        <f t="shared" ref="E12:E25" si="1">C12-D12</f>
        <v>37749</v>
      </c>
      <c r="F12" s="268"/>
      <c r="G12" s="268"/>
      <c r="H12" s="268"/>
      <c r="I12" s="268"/>
      <c r="J12" s="268">
        <v>29390</v>
      </c>
      <c r="K12" s="268">
        <v>17259</v>
      </c>
      <c r="L12" s="268"/>
      <c r="M12" s="268">
        <v>10940</v>
      </c>
      <c r="N12" s="268">
        <v>7494</v>
      </c>
      <c r="O12" s="268"/>
      <c r="P12" s="268"/>
      <c r="Q12" s="268"/>
      <c r="R12" s="268"/>
      <c r="S12" s="268"/>
      <c r="T12" s="268"/>
    </row>
    <row r="13" spans="1:20" ht="15.75" thickBot="1">
      <c r="A13" s="195">
        <v>1010</v>
      </c>
      <c r="B13" s="191" t="s">
        <v>12</v>
      </c>
      <c r="C13" s="220">
        <v>124565</v>
      </c>
      <c r="D13" s="202">
        <f t="shared" si="0"/>
        <v>36787</v>
      </c>
      <c r="E13" s="206">
        <f t="shared" si="1"/>
        <v>87778</v>
      </c>
      <c r="F13" s="268"/>
      <c r="G13" s="268"/>
      <c r="H13" s="268"/>
      <c r="I13" s="268">
        <v>6499</v>
      </c>
      <c r="J13" s="268">
        <v>5944</v>
      </c>
      <c r="K13" s="268">
        <v>9540</v>
      </c>
      <c r="L13" s="268"/>
      <c r="M13" s="268">
        <v>4236</v>
      </c>
      <c r="N13" s="268">
        <v>10568</v>
      </c>
      <c r="O13" s="268"/>
      <c r="P13" s="268"/>
      <c r="Q13" s="268"/>
      <c r="R13" s="268"/>
      <c r="S13" s="268"/>
      <c r="T13" s="268"/>
    </row>
    <row r="14" spans="1:20" ht="15.75" thickBot="1">
      <c r="A14" s="195">
        <v>1420</v>
      </c>
      <c r="B14" s="191" t="s">
        <v>356</v>
      </c>
      <c r="C14" s="220">
        <v>68126</v>
      </c>
      <c r="D14" s="202">
        <f t="shared" si="0"/>
        <v>38084</v>
      </c>
      <c r="E14" s="206">
        <f t="shared" si="1"/>
        <v>30042</v>
      </c>
      <c r="F14" s="268"/>
      <c r="G14" s="268"/>
      <c r="H14" s="268"/>
      <c r="I14" s="268">
        <v>10422</v>
      </c>
      <c r="J14" s="268">
        <v>8692</v>
      </c>
      <c r="K14" s="268">
        <v>8441</v>
      </c>
      <c r="L14" s="268"/>
      <c r="M14" s="268">
        <v>3910</v>
      </c>
      <c r="N14" s="268">
        <v>6619</v>
      </c>
      <c r="O14" s="268"/>
      <c r="P14" s="268"/>
      <c r="Q14" s="268"/>
      <c r="R14" s="268"/>
      <c r="S14" s="268"/>
      <c r="T14" s="268"/>
    </row>
    <row r="15" spans="1:20" ht="15.75" thickBot="1">
      <c r="A15" s="195">
        <v>2180</v>
      </c>
      <c r="B15" s="194" t="s">
        <v>13</v>
      </c>
      <c r="C15" s="220">
        <v>16897</v>
      </c>
      <c r="D15" s="202">
        <f t="shared" si="0"/>
        <v>9031</v>
      </c>
      <c r="E15" s="206">
        <f t="shared" si="1"/>
        <v>7866</v>
      </c>
      <c r="F15" s="268"/>
      <c r="G15" s="268"/>
      <c r="H15" s="268">
        <v>557</v>
      </c>
      <c r="I15" s="268"/>
      <c r="J15" s="268"/>
      <c r="K15" s="268">
        <v>4937</v>
      </c>
      <c r="L15" s="268"/>
      <c r="M15" s="268"/>
      <c r="N15" s="268">
        <v>3537</v>
      </c>
      <c r="O15" s="268"/>
      <c r="P15" s="268"/>
      <c r="Q15" s="268"/>
      <c r="R15" s="268"/>
      <c r="S15" s="268"/>
      <c r="T15" s="268"/>
    </row>
    <row r="16" spans="1:20" ht="15.75" thickBot="1">
      <c r="A16" s="195" t="s">
        <v>15</v>
      </c>
      <c r="B16" s="191" t="s">
        <v>16</v>
      </c>
      <c r="C16" s="220">
        <v>34000</v>
      </c>
      <c r="D16" s="202">
        <f t="shared" si="0"/>
        <v>15147</v>
      </c>
      <c r="E16" s="206">
        <f t="shared" si="1"/>
        <v>18853</v>
      </c>
      <c r="F16" s="268"/>
      <c r="G16" s="268"/>
      <c r="H16" s="268"/>
      <c r="I16" s="268">
        <v>5049</v>
      </c>
      <c r="J16" s="268"/>
      <c r="K16" s="268"/>
      <c r="L16" s="268">
        <v>10098</v>
      </c>
      <c r="M16" s="268"/>
      <c r="N16" s="268"/>
      <c r="O16" s="268"/>
      <c r="P16" s="268"/>
      <c r="Q16" s="268"/>
      <c r="R16" s="268"/>
      <c r="S16" s="268"/>
      <c r="T16" s="268"/>
    </row>
    <row r="17" spans="1:20" ht="15.75" thickBot="1">
      <c r="A17" s="196" t="s">
        <v>336</v>
      </c>
      <c r="B17" s="197" t="s">
        <v>337</v>
      </c>
      <c r="C17" s="221">
        <v>35990</v>
      </c>
      <c r="D17" s="202">
        <f t="shared" si="0"/>
        <v>1935</v>
      </c>
      <c r="E17" s="206">
        <f t="shared" si="1"/>
        <v>34055</v>
      </c>
      <c r="F17" s="268"/>
      <c r="G17" s="268"/>
      <c r="H17" s="268"/>
      <c r="I17" s="268"/>
      <c r="J17" s="268"/>
      <c r="K17" s="268"/>
      <c r="L17" s="268"/>
      <c r="M17" s="268">
        <v>1935</v>
      </c>
      <c r="N17" s="268"/>
      <c r="O17" s="268"/>
      <c r="P17" s="268"/>
      <c r="Q17" s="268"/>
      <c r="R17" s="268"/>
      <c r="S17" s="268"/>
      <c r="T17" s="268"/>
    </row>
    <row r="18" spans="1:20" ht="30.75" thickBot="1">
      <c r="A18" s="195" t="s">
        <v>25</v>
      </c>
      <c r="B18" s="191" t="s">
        <v>339</v>
      </c>
      <c r="C18" s="220">
        <v>100011</v>
      </c>
      <c r="D18" s="202">
        <f t="shared" si="0"/>
        <v>91582</v>
      </c>
      <c r="E18" s="206">
        <f t="shared" si="1"/>
        <v>8429</v>
      </c>
      <c r="F18" s="268"/>
      <c r="G18" s="268"/>
      <c r="H18" s="268">
        <v>23234</v>
      </c>
      <c r="I18" s="268">
        <v>14801</v>
      </c>
      <c r="J18" s="268">
        <v>18006</v>
      </c>
      <c r="K18" s="268">
        <v>15240</v>
      </c>
      <c r="L18" s="268">
        <v>12937</v>
      </c>
      <c r="M18" s="268">
        <v>7364</v>
      </c>
      <c r="N18" s="268"/>
      <c r="O18" s="268"/>
      <c r="P18" s="268"/>
      <c r="Q18" s="268"/>
      <c r="R18" s="268"/>
      <c r="S18" s="268"/>
      <c r="T18" s="268"/>
    </row>
    <row r="19" spans="1:20" ht="15.75" thickBot="1">
      <c r="A19" s="196" t="s">
        <v>27</v>
      </c>
      <c r="B19" s="197" t="s">
        <v>357</v>
      </c>
      <c r="C19" s="221">
        <v>85609</v>
      </c>
      <c r="D19" s="202">
        <f t="shared" si="0"/>
        <v>23072</v>
      </c>
      <c r="E19" s="206">
        <f t="shared" si="1"/>
        <v>62537</v>
      </c>
      <c r="F19" s="268"/>
      <c r="G19" s="268"/>
      <c r="H19" s="268"/>
      <c r="I19" s="268">
        <v>8572</v>
      </c>
      <c r="J19" s="268">
        <v>5000</v>
      </c>
      <c r="K19" s="268">
        <v>1500</v>
      </c>
      <c r="L19" s="268">
        <v>8000</v>
      </c>
      <c r="M19" s="268"/>
      <c r="N19" s="268"/>
      <c r="O19" s="268"/>
      <c r="P19" s="268"/>
      <c r="Q19" s="268"/>
      <c r="R19" s="268"/>
      <c r="S19" s="268"/>
      <c r="T19" s="268"/>
    </row>
    <row r="20" spans="1:20" ht="15.75" thickBot="1">
      <c r="A20" s="195" t="s">
        <v>28</v>
      </c>
      <c r="B20" s="191" t="s">
        <v>29</v>
      </c>
      <c r="C20" s="220">
        <v>33504</v>
      </c>
      <c r="D20" s="202">
        <f t="shared" si="0"/>
        <v>13801</v>
      </c>
      <c r="E20" s="206">
        <f t="shared" si="1"/>
        <v>19703</v>
      </c>
      <c r="F20" s="268"/>
      <c r="G20" s="268"/>
      <c r="H20" s="268"/>
      <c r="I20" s="268">
        <v>7300</v>
      </c>
      <c r="J20" s="268"/>
      <c r="K20" s="268">
        <v>6501</v>
      </c>
      <c r="L20" s="268"/>
      <c r="M20" s="268"/>
      <c r="N20" s="268"/>
      <c r="O20" s="268"/>
      <c r="P20" s="268"/>
      <c r="Q20" s="268"/>
      <c r="R20" s="268"/>
      <c r="S20" s="268"/>
      <c r="T20" s="268"/>
    </row>
    <row r="21" spans="1:20" ht="30.75" thickBot="1">
      <c r="A21" s="195" t="s">
        <v>31</v>
      </c>
      <c r="B21" s="191" t="s">
        <v>32</v>
      </c>
      <c r="C21" s="220">
        <v>106413</v>
      </c>
      <c r="D21" s="202">
        <f t="shared" si="0"/>
        <v>60945</v>
      </c>
      <c r="E21" s="206">
        <f t="shared" si="1"/>
        <v>45468</v>
      </c>
      <c r="F21" s="268"/>
      <c r="G21" s="268"/>
      <c r="H21" s="268">
        <v>11834</v>
      </c>
      <c r="I21" s="268">
        <v>7932</v>
      </c>
      <c r="J21" s="268">
        <v>9994</v>
      </c>
      <c r="K21" s="268">
        <v>8288</v>
      </c>
      <c r="L21" s="268">
        <v>7765</v>
      </c>
      <c r="M21" s="268">
        <v>6859</v>
      </c>
      <c r="N21" s="268">
        <v>8273</v>
      </c>
      <c r="O21" s="268"/>
      <c r="P21" s="268"/>
      <c r="Q21" s="268"/>
      <c r="R21" s="268"/>
      <c r="S21" s="268"/>
      <c r="T21" s="268"/>
    </row>
    <row r="22" spans="1:20" ht="15.75" thickBot="1">
      <c r="A22" s="196" t="s">
        <v>33</v>
      </c>
      <c r="B22" s="197" t="s">
        <v>358</v>
      </c>
      <c r="C22" s="221">
        <v>53521</v>
      </c>
      <c r="D22" s="202">
        <f t="shared" si="0"/>
        <v>18176</v>
      </c>
      <c r="E22" s="206">
        <f t="shared" si="1"/>
        <v>35345</v>
      </c>
      <c r="F22" s="227"/>
      <c r="G22" s="227"/>
      <c r="H22" s="227"/>
      <c r="I22" s="227">
        <v>1651</v>
      </c>
      <c r="J22" s="227"/>
      <c r="K22" s="227"/>
      <c r="L22" s="227">
        <v>16525</v>
      </c>
      <c r="M22" s="227"/>
      <c r="N22" s="227"/>
      <c r="O22" s="227"/>
      <c r="P22" s="227"/>
      <c r="Q22" s="227"/>
      <c r="R22" s="227"/>
      <c r="S22" s="227"/>
      <c r="T22" s="227"/>
    </row>
    <row r="23" spans="1:20" ht="30.75" thickBot="1">
      <c r="A23" s="195" t="s">
        <v>34</v>
      </c>
      <c r="B23" s="194" t="s">
        <v>343</v>
      </c>
      <c r="C23" s="220">
        <v>50000</v>
      </c>
      <c r="D23" s="202">
        <f t="shared" si="0"/>
        <v>30000</v>
      </c>
      <c r="E23" s="219">
        <f t="shared" si="1"/>
        <v>20000</v>
      </c>
      <c r="F23" s="125"/>
      <c r="G23" s="125"/>
      <c r="H23" s="125">
        <v>10000</v>
      </c>
      <c r="I23" s="125">
        <v>5000</v>
      </c>
      <c r="J23" s="125"/>
      <c r="K23" s="125">
        <v>5000</v>
      </c>
      <c r="L23" s="125">
        <v>5000</v>
      </c>
      <c r="M23" s="125">
        <v>5000</v>
      </c>
      <c r="N23" s="125"/>
      <c r="O23" s="125"/>
      <c r="P23" s="125"/>
      <c r="Q23" s="125"/>
      <c r="R23" s="125"/>
      <c r="S23" s="125"/>
      <c r="T23" s="125"/>
    </row>
    <row r="24" spans="1:20" ht="15.75" thickBot="1">
      <c r="A24" s="195" t="s">
        <v>38</v>
      </c>
      <c r="B24" s="191" t="s">
        <v>359</v>
      </c>
      <c r="C24" s="220">
        <v>11045</v>
      </c>
      <c r="D24" s="202">
        <f t="shared" si="0"/>
        <v>5708</v>
      </c>
      <c r="E24" s="206">
        <f t="shared" si="1"/>
        <v>5337</v>
      </c>
      <c r="F24" s="227"/>
      <c r="G24" s="227">
        <v>1004</v>
      </c>
      <c r="H24" s="227">
        <v>1004</v>
      </c>
      <c r="I24" s="227">
        <v>1300</v>
      </c>
      <c r="J24" s="227">
        <v>1300</v>
      </c>
      <c r="K24" s="227">
        <v>1100</v>
      </c>
      <c r="L24" s="227"/>
      <c r="M24" s="227"/>
      <c r="N24" s="227"/>
      <c r="O24" s="227"/>
      <c r="P24" s="227"/>
      <c r="Q24" s="227"/>
      <c r="R24" s="227"/>
      <c r="S24" s="227"/>
      <c r="T24" s="227"/>
    </row>
    <row r="25" spans="1:20" ht="15.75" thickBot="1">
      <c r="A25" s="196" t="s">
        <v>40</v>
      </c>
      <c r="B25" s="197" t="s">
        <v>161</v>
      </c>
      <c r="C25" s="221">
        <v>22000</v>
      </c>
      <c r="D25" s="202">
        <f t="shared" si="0"/>
        <v>9197</v>
      </c>
      <c r="E25" s="206">
        <f t="shared" si="1"/>
        <v>12803</v>
      </c>
      <c r="F25" s="227"/>
      <c r="G25" s="227"/>
      <c r="H25" s="227"/>
      <c r="I25" s="227"/>
      <c r="J25" s="227">
        <v>3266</v>
      </c>
      <c r="K25" s="227">
        <v>2562</v>
      </c>
      <c r="L25" s="227"/>
      <c r="M25" s="227">
        <v>2070</v>
      </c>
      <c r="N25" s="227">
        <v>1299</v>
      </c>
      <c r="O25" s="227"/>
      <c r="P25" s="227"/>
      <c r="Q25" s="227"/>
      <c r="R25" s="227"/>
      <c r="S25" s="227"/>
      <c r="T25" s="227"/>
    </row>
    <row r="26" spans="1:20">
      <c r="A26" s="222"/>
      <c r="B26" s="223"/>
      <c r="C26" s="224">
        <f>SUM(C12:C25)</f>
        <v>844513</v>
      </c>
      <c r="D26" s="224">
        <f>SUM(D12:D25)</f>
        <v>418548</v>
      </c>
      <c r="E26" s="224">
        <f>SUM(E12:E25)</f>
        <v>425965</v>
      </c>
      <c r="F26" s="269">
        <f t="shared" ref="F26:T26" si="2">SUM(F12:F25)</f>
        <v>0</v>
      </c>
      <c r="G26" s="269">
        <f t="shared" si="2"/>
        <v>1004</v>
      </c>
      <c r="H26" s="269">
        <f t="shared" si="2"/>
        <v>46629</v>
      </c>
      <c r="I26" s="269">
        <f t="shared" si="2"/>
        <v>68526</v>
      </c>
      <c r="J26" s="269">
        <f t="shared" si="2"/>
        <v>81592</v>
      </c>
      <c r="K26" s="269">
        <f t="shared" si="2"/>
        <v>80368</v>
      </c>
      <c r="L26" s="269">
        <f t="shared" si="2"/>
        <v>60325</v>
      </c>
      <c r="M26" s="269">
        <f t="shared" si="2"/>
        <v>42314</v>
      </c>
      <c r="N26" s="269">
        <f t="shared" si="2"/>
        <v>37790</v>
      </c>
      <c r="O26" s="269">
        <f t="shared" si="2"/>
        <v>0</v>
      </c>
      <c r="P26" s="269">
        <f t="shared" si="2"/>
        <v>0</v>
      </c>
      <c r="Q26" s="269">
        <f t="shared" si="2"/>
        <v>0</v>
      </c>
      <c r="R26" s="269">
        <f t="shared" si="2"/>
        <v>0</v>
      </c>
      <c r="S26" s="269">
        <f t="shared" si="2"/>
        <v>0</v>
      </c>
      <c r="T26" s="269">
        <f t="shared" si="2"/>
        <v>0</v>
      </c>
    </row>
    <row r="28" spans="1:20">
      <c r="N28" s="176"/>
    </row>
  </sheetData>
  <sheetProtection password="EF32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19"/>
  <sheetViews>
    <sheetView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F11" sqref="F11"/>
    </sheetView>
  </sheetViews>
  <sheetFormatPr defaultRowHeight="15"/>
  <cols>
    <col min="2" max="2" width="31" customWidth="1"/>
    <col min="3" max="3" width="18.5703125" customWidth="1"/>
    <col min="4" max="4" width="18.7109375" customWidth="1"/>
    <col min="5" max="5" width="17.5703125" customWidth="1"/>
    <col min="6" max="7" width="15.28515625" customWidth="1"/>
    <col min="8" max="9" width="13.7109375" customWidth="1"/>
    <col min="10" max="10" width="14.140625" customWidth="1"/>
    <col min="11" max="11" width="15" customWidth="1"/>
    <col min="12" max="12" width="15.28515625" customWidth="1"/>
  </cols>
  <sheetData>
    <row r="1" spans="1:12" ht="21">
      <c r="A1" s="132" t="s">
        <v>0</v>
      </c>
      <c r="B1" s="138"/>
      <c r="C1" s="133" t="s">
        <v>624</v>
      </c>
      <c r="D1" s="132"/>
      <c r="E1" s="134"/>
      <c r="F1" s="134"/>
      <c r="G1" s="140"/>
      <c r="H1" s="140"/>
      <c r="I1" s="133" t="str">
        <f>C1</f>
        <v>Gill Foundation STEM Curriculum Unitl Building Grant</v>
      </c>
      <c r="J1" s="133"/>
      <c r="K1" s="132"/>
      <c r="L1" s="132"/>
    </row>
    <row r="2" spans="1:12" ht="15.75">
      <c r="A2" s="135" t="s">
        <v>1</v>
      </c>
      <c r="B2" s="138"/>
      <c r="C2" s="136">
        <v>84.001999999999995</v>
      </c>
      <c r="D2" s="135"/>
      <c r="E2" s="71"/>
      <c r="F2" s="71"/>
      <c r="G2" s="71"/>
      <c r="H2" s="71"/>
      <c r="I2" s="135" t="str">
        <f>"FY"&amp;C4</f>
        <v>FY2013-14</v>
      </c>
      <c r="J2" s="135"/>
      <c r="K2" s="136"/>
      <c r="L2" s="136"/>
    </row>
    <row r="3" spans="1:12" ht="15.75">
      <c r="A3" s="135" t="s">
        <v>2</v>
      </c>
      <c r="B3" s="138"/>
      <c r="C3" s="136">
        <v>5002</v>
      </c>
      <c r="D3" s="135"/>
      <c r="E3" s="71"/>
      <c r="F3" s="140"/>
      <c r="G3" s="140"/>
      <c r="H3" s="140"/>
      <c r="I3" s="140"/>
      <c r="J3" s="140"/>
      <c r="K3" s="140"/>
      <c r="L3" s="140"/>
    </row>
    <row r="4" spans="1:12" ht="15.75">
      <c r="A4" s="135" t="s">
        <v>3</v>
      </c>
      <c r="B4" s="138"/>
      <c r="C4" s="136" t="s">
        <v>249</v>
      </c>
      <c r="D4" s="135" t="s">
        <v>253</v>
      </c>
      <c r="E4" s="71"/>
      <c r="F4" s="140"/>
      <c r="G4" s="140"/>
      <c r="H4" s="140"/>
      <c r="I4" s="140"/>
      <c r="J4" s="140"/>
      <c r="K4" s="140"/>
      <c r="L4" s="140"/>
    </row>
    <row r="5" spans="1:12" ht="15.75">
      <c r="A5" s="135" t="s">
        <v>104</v>
      </c>
      <c r="B5" s="138"/>
      <c r="C5" s="136" t="s">
        <v>105</v>
      </c>
      <c r="D5" s="135"/>
      <c r="E5" s="71"/>
      <c r="F5" s="140"/>
      <c r="G5" s="140"/>
      <c r="H5" s="140"/>
      <c r="I5" s="140"/>
      <c r="J5" s="140"/>
      <c r="K5" s="140"/>
      <c r="L5" s="140"/>
    </row>
    <row r="6" spans="1:12" ht="15.75">
      <c r="A6" s="135" t="s">
        <v>65</v>
      </c>
      <c r="B6" s="138"/>
      <c r="C6" s="135" t="s">
        <v>254</v>
      </c>
      <c r="D6" s="135"/>
      <c r="E6" s="40"/>
      <c r="F6" s="137"/>
      <c r="G6" s="137"/>
      <c r="H6" s="137"/>
      <c r="I6" s="137"/>
      <c r="J6" s="137"/>
      <c r="K6" s="137"/>
      <c r="L6" s="137"/>
    </row>
    <row r="7" spans="1:12" ht="15.75">
      <c r="A7" s="135" t="s">
        <v>67</v>
      </c>
      <c r="B7" s="138"/>
      <c r="C7" s="135" t="s">
        <v>70</v>
      </c>
      <c r="D7" s="135"/>
      <c r="E7" s="40"/>
      <c r="F7" s="137"/>
      <c r="G7" s="137"/>
      <c r="H7" s="137"/>
      <c r="I7" s="137"/>
      <c r="J7" s="137"/>
      <c r="K7" s="137"/>
      <c r="L7" s="137"/>
    </row>
    <row r="8" spans="1:12" ht="15.75">
      <c r="A8" s="135" t="s">
        <v>208</v>
      </c>
      <c r="B8" s="138"/>
      <c r="C8" s="135" t="s">
        <v>255</v>
      </c>
      <c r="D8" s="135"/>
      <c r="E8" s="40"/>
      <c r="F8" s="137"/>
      <c r="G8" s="137"/>
      <c r="H8" s="137"/>
      <c r="I8" s="137"/>
      <c r="J8" s="137"/>
      <c r="K8" s="137"/>
      <c r="L8" s="137"/>
    </row>
    <row r="9" spans="1:12" ht="21.75" thickBot="1">
      <c r="A9" s="132" t="s">
        <v>256</v>
      </c>
      <c r="B9" s="138"/>
      <c r="C9" s="71"/>
      <c r="D9" s="71"/>
      <c r="E9" s="137"/>
      <c r="F9" s="137"/>
      <c r="G9" s="137"/>
      <c r="H9" s="137"/>
      <c r="I9" s="137"/>
      <c r="J9" s="137"/>
      <c r="K9" s="137"/>
      <c r="L9" s="137"/>
    </row>
    <row r="10" spans="1:12" ht="30.75" thickBot="1">
      <c r="A10" s="52" t="s">
        <v>4</v>
      </c>
      <c r="B10" s="53" t="s">
        <v>5</v>
      </c>
      <c r="C10" s="53" t="s">
        <v>44</v>
      </c>
      <c r="D10" s="54" t="s">
        <v>45</v>
      </c>
      <c r="E10" s="44" t="s">
        <v>46</v>
      </c>
      <c r="F10" s="307" t="s">
        <v>517</v>
      </c>
      <c r="G10" s="307" t="s">
        <v>518</v>
      </c>
      <c r="H10" s="307" t="s">
        <v>519</v>
      </c>
      <c r="I10" s="307" t="s">
        <v>520</v>
      </c>
      <c r="J10" s="307" t="s">
        <v>521</v>
      </c>
      <c r="K10" s="307" t="s">
        <v>522</v>
      </c>
      <c r="L10" s="307" t="s">
        <v>523</v>
      </c>
    </row>
    <row r="11" spans="1:12" ht="15.75" thickBot="1">
      <c r="A11" s="186" t="s">
        <v>10</v>
      </c>
      <c r="B11" s="187" t="s">
        <v>625</v>
      </c>
      <c r="C11" s="200">
        <v>3000</v>
      </c>
      <c r="D11" s="188">
        <f t="shared" ref="D11:D16" si="0">SUM(F11:L11)</f>
        <v>0</v>
      </c>
      <c r="E11" s="189">
        <f>C11-D11</f>
        <v>3000</v>
      </c>
      <c r="F11" s="120"/>
      <c r="G11" s="120"/>
      <c r="H11" s="120"/>
      <c r="I11" s="120"/>
      <c r="J11" s="120"/>
      <c r="K11" s="120"/>
      <c r="L11" s="120"/>
    </row>
    <row r="12" spans="1:12" ht="15.75" thickBot="1">
      <c r="A12" s="190" t="s">
        <v>626</v>
      </c>
      <c r="B12" s="191" t="s">
        <v>627</v>
      </c>
      <c r="C12" s="201">
        <v>3000</v>
      </c>
      <c r="D12" s="192">
        <f t="shared" si="0"/>
        <v>0</v>
      </c>
      <c r="E12" s="193">
        <f t="shared" ref="E12:E18" si="1">C12-D12</f>
        <v>3000</v>
      </c>
      <c r="F12" s="120"/>
      <c r="G12" s="120"/>
      <c r="H12" s="120"/>
      <c r="I12" s="120"/>
      <c r="J12" s="120"/>
      <c r="K12" s="120"/>
      <c r="L12" s="120"/>
    </row>
    <row r="13" spans="1:12" ht="15.75" thickBot="1">
      <c r="A13" s="190" t="s">
        <v>74</v>
      </c>
      <c r="B13" s="191" t="s">
        <v>628</v>
      </c>
      <c r="C13" s="201">
        <v>3000</v>
      </c>
      <c r="D13" s="192">
        <f t="shared" si="0"/>
        <v>0</v>
      </c>
      <c r="E13" s="193">
        <f t="shared" si="1"/>
        <v>3000</v>
      </c>
      <c r="F13" s="120"/>
      <c r="G13" s="120"/>
      <c r="H13" s="120"/>
      <c r="I13" s="120"/>
      <c r="J13" s="120"/>
      <c r="K13" s="120"/>
      <c r="L13" s="120"/>
    </row>
    <row r="14" spans="1:12" ht="15.75" thickBot="1">
      <c r="A14" s="190" t="s">
        <v>115</v>
      </c>
      <c r="B14" s="191" t="s">
        <v>629</v>
      </c>
      <c r="C14" s="201">
        <v>3000</v>
      </c>
      <c r="D14" s="192">
        <f t="shared" si="0"/>
        <v>0</v>
      </c>
      <c r="E14" s="193">
        <f t="shared" si="1"/>
        <v>3000</v>
      </c>
      <c r="F14" s="120"/>
      <c r="G14" s="120"/>
      <c r="H14" s="120"/>
      <c r="I14" s="120"/>
      <c r="J14" s="120"/>
      <c r="K14" s="120"/>
      <c r="L14" s="120"/>
    </row>
    <row r="15" spans="1:12" ht="15.75" thickBot="1">
      <c r="A15" s="334" t="s">
        <v>630</v>
      </c>
      <c r="B15" s="210" t="s">
        <v>631</v>
      </c>
      <c r="C15" s="202">
        <v>3000</v>
      </c>
      <c r="D15" s="192">
        <f t="shared" si="0"/>
        <v>0</v>
      </c>
      <c r="E15" s="193">
        <f t="shared" si="1"/>
        <v>3000</v>
      </c>
      <c r="F15" s="120"/>
      <c r="G15" s="120"/>
      <c r="H15" s="120"/>
      <c r="I15" s="120"/>
      <c r="J15" s="120"/>
      <c r="K15" s="120"/>
      <c r="L15" s="120"/>
    </row>
    <row r="16" spans="1:12" ht="15.75" thickBot="1">
      <c r="A16" s="334" t="s">
        <v>369</v>
      </c>
      <c r="B16" s="210" t="s">
        <v>632</v>
      </c>
      <c r="C16" s="202">
        <v>3000</v>
      </c>
      <c r="D16" s="192">
        <f t="shared" si="0"/>
        <v>0</v>
      </c>
      <c r="E16" s="193">
        <f t="shared" si="1"/>
        <v>3000</v>
      </c>
      <c r="F16" s="120"/>
      <c r="G16" s="120"/>
      <c r="H16" s="120"/>
      <c r="I16" s="120"/>
      <c r="J16" s="120"/>
      <c r="K16" s="120"/>
      <c r="L16" s="120"/>
    </row>
    <row r="17" spans="1:12" s="310" customFormat="1" ht="15.75" thickBot="1">
      <c r="A17" s="334"/>
      <c r="B17" s="210"/>
      <c r="C17" s="202"/>
      <c r="D17" s="192"/>
      <c r="E17" s="193"/>
      <c r="F17" s="120"/>
      <c r="G17" s="120"/>
      <c r="H17" s="120"/>
      <c r="I17" s="120"/>
      <c r="J17" s="120"/>
      <c r="K17" s="120"/>
      <c r="L17" s="120"/>
    </row>
    <row r="18" spans="1:12" ht="15.75" thickBot="1">
      <c r="A18" s="195"/>
      <c r="B18" s="191"/>
      <c r="C18" s="201">
        <f>SUM(C11:C16)</f>
        <v>18000</v>
      </c>
      <c r="D18" s="192">
        <f>SUM(F18:L18)</f>
        <v>0</v>
      </c>
      <c r="E18" s="193">
        <f t="shared" si="1"/>
        <v>18000</v>
      </c>
      <c r="F18" s="31"/>
      <c r="G18" s="31"/>
      <c r="H18" s="31"/>
      <c r="I18" s="31"/>
      <c r="J18" s="31"/>
      <c r="K18" s="31"/>
      <c r="L18" s="31"/>
    </row>
    <row r="19" spans="1:12" ht="15.75" thickBot="1">
      <c r="A19" s="209"/>
      <c r="B19" s="197"/>
      <c r="C19" s="203"/>
      <c r="D19" s="203"/>
      <c r="E19" s="203"/>
      <c r="F19" s="31"/>
      <c r="G19" s="31"/>
      <c r="H19" s="31"/>
      <c r="I19" s="31" t="s">
        <v>245</v>
      </c>
      <c r="J19" s="31"/>
      <c r="K19" s="31"/>
      <c r="L19" s="31"/>
    </row>
  </sheetData>
  <sheetProtection password="EF32" sheet="1" objects="1" scenarios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R104"/>
  <sheetViews>
    <sheetView workbookViewId="0">
      <pane xSplit="5" ySplit="10" topLeftCell="K77" activePane="bottomRight" state="frozen"/>
      <selection pane="topRight" activeCell="F1" sqref="F1"/>
      <selection pane="bottomLeft" activeCell="A11" sqref="A11"/>
      <selection pane="bottomRight" activeCell="K93" sqref="K93"/>
    </sheetView>
  </sheetViews>
  <sheetFormatPr defaultRowHeight="15"/>
  <cols>
    <col min="2" max="2" width="27.42578125" customWidth="1"/>
    <col min="3" max="3" width="13.42578125" style="345" customWidth="1"/>
    <col min="4" max="4" width="14" style="345" customWidth="1"/>
    <col min="5" max="5" width="14.28515625" style="345" customWidth="1"/>
    <col min="6" max="6" width="11.85546875" style="345" customWidth="1"/>
    <col min="7" max="7" width="12.5703125" style="345" customWidth="1"/>
    <col min="8" max="8" width="12.28515625" style="345" customWidth="1"/>
    <col min="9" max="9" width="12.5703125" style="345" customWidth="1"/>
    <col min="10" max="10" width="13.28515625" style="345" customWidth="1"/>
    <col min="11" max="11" width="11" style="345" customWidth="1"/>
    <col min="12" max="12" width="13.140625" style="345" customWidth="1"/>
    <col min="13" max="14" width="12.7109375" style="345" customWidth="1"/>
    <col min="15" max="15" width="11.28515625" style="345" customWidth="1"/>
    <col min="16" max="16" width="11.5703125" style="345" customWidth="1"/>
    <col min="17" max="17" width="12.7109375" style="345" customWidth="1"/>
  </cols>
  <sheetData>
    <row r="1" spans="1:17" ht="21">
      <c r="A1" s="132" t="s">
        <v>0</v>
      </c>
      <c r="B1" s="138"/>
      <c r="C1" s="335" t="s">
        <v>704</v>
      </c>
      <c r="D1" s="336"/>
      <c r="E1" s="337"/>
      <c r="F1" s="335"/>
      <c r="G1" s="335"/>
      <c r="H1" s="336"/>
      <c r="I1" s="336"/>
      <c r="J1" s="337"/>
      <c r="K1" s="337"/>
      <c r="L1" s="338"/>
      <c r="M1" s="338"/>
      <c r="N1" s="335" t="str">
        <f>C1</f>
        <v>Race To The Top- Early Childhood Readiness</v>
      </c>
      <c r="O1" s="335"/>
      <c r="P1" s="336"/>
      <c r="Q1" s="336"/>
    </row>
    <row r="2" spans="1:17" ht="15.75">
      <c r="A2" s="135" t="s">
        <v>1</v>
      </c>
      <c r="B2" s="138"/>
      <c r="C2" s="340">
        <v>84.412000000000006</v>
      </c>
      <c r="D2" s="339"/>
      <c r="E2" s="341"/>
      <c r="F2" s="339"/>
      <c r="G2" s="339"/>
      <c r="H2" s="340"/>
      <c r="I2" s="340"/>
      <c r="J2" s="341"/>
      <c r="K2" s="341"/>
      <c r="L2" s="341"/>
      <c r="M2" s="341"/>
      <c r="N2" s="339" t="str">
        <f>"FY"&amp;C4</f>
        <v>FY2013-14</v>
      </c>
      <c r="O2" s="339"/>
      <c r="P2" s="340"/>
      <c r="Q2" s="340"/>
    </row>
    <row r="3" spans="1:17" ht="15.75">
      <c r="A3" s="135" t="s">
        <v>2</v>
      </c>
      <c r="B3" s="138"/>
      <c r="C3" s="357" t="s">
        <v>705</v>
      </c>
      <c r="D3" s="339"/>
      <c r="E3" s="341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</row>
    <row r="4" spans="1:17" ht="15.75">
      <c r="A4" s="135" t="s">
        <v>3</v>
      </c>
      <c r="B4" s="138"/>
      <c r="C4" s="340" t="s">
        <v>249</v>
      </c>
      <c r="D4" s="339" t="s">
        <v>253</v>
      </c>
      <c r="E4" s="341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</row>
    <row r="5" spans="1:17" ht="15.75">
      <c r="A5" s="135" t="s">
        <v>104</v>
      </c>
      <c r="B5" s="138"/>
      <c r="C5" s="340" t="s">
        <v>105</v>
      </c>
      <c r="D5" s="339"/>
      <c r="E5" s="341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</row>
    <row r="6" spans="1:17" ht="15.75">
      <c r="A6" s="135" t="s">
        <v>65</v>
      </c>
      <c r="B6" s="138"/>
      <c r="C6" s="339" t="s">
        <v>254</v>
      </c>
      <c r="D6" s="339"/>
      <c r="E6" s="342"/>
      <c r="F6" s="342"/>
      <c r="G6" s="342"/>
      <c r="H6" s="343"/>
      <c r="I6" s="343"/>
      <c r="J6" s="343"/>
      <c r="K6" s="343"/>
      <c r="L6" s="343"/>
      <c r="M6" s="343"/>
      <c r="N6" s="343"/>
      <c r="O6" s="343"/>
      <c r="P6" s="343"/>
      <c r="Q6" s="343"/>
    </row>
    <row r="7" spans="1:17" ht="15.75">
      <c r="A7" s="135" t="s">
        <v>67</v>
      </c>
      <c r="B7" s="138"/>
      <c r="C7" s="339" t="s">
        <v>70</v>
      </c>
      <c r="D7" s="339"/>
      <c r="E7" s="342"/>
      <c r="F7" s="342"/>
      <c r="G7" s="342"/>
      <c r="H7" s="343"/>
      <c r="I7" s="343"/>
      <c r="J7" s="343"/>
      <c r="K7" s="343"/>
      <c r="L7" s="343"/>
      <c r="M7" s="343"/>
      <c r="N7" s="343"/>
      <c r="O7" s="343"/>
      <c r="P7" s="343"/>
      <c r="Q7" s="343"/>
    </row>
    <row r="8" spans="1:17" ht="15.75">
      <c r="A8" s="135" t="s">
        <v>208</v>
      </c>
      <c r="B8" s="138"/>
      <c r="C8" s="339" t="s">
        <v>706</v>
      </c>
      <c r="D8" s="339"/>
      <c r="E8" s="342"/>
      <c r="F8" s="342"/>
      <c r="G8" s="342"/>
      <c r="H8" s="343"/>
      <c r="I8" s="343"/>
      <c r="J8" s="343"/>
      <c r="K8" s="343"/>
      <c r="L8" s="343"/>
      <c r="M8" s="343"/>
      <c r="N8" s="343"/>
      <c r="O8" s="343"/>
      <c r="P8" s="343"/>
      <c r="Q8" s="343"/>
    </row>
    <row r="9" spans="1:17" ht="21.75" thickBot="1">
      <c r="A9" s="132" t="s">
        <v>256</v>
      </c>
      <c r="B9" s="138"/>
      <c r="C9" s="341"/>
      <c r="D9" s="341"/>
      <c r="E9" s="343"/>
      <c r="F9" s="343"/>
      <c r="G9" s="343"/>
      <c r="H9" s="343"/>
      <c r="I9" s="343"/>
      <c r="J9" s="343"/>
      <c r="K9" s="343"/>
      <c r="L9" s="343"/>
      <c r="M9" s="343"/>
      <c r="N9" s="343"/>
      <c r="O9" s="343"/>
      <c r="P9" s="343"/>
      <c r="Q9" s="343"/>
    </row>
    <row r="10" spans="1:17" ht="30.75" thickBot="1">
      <c r="A10" s="52" t="s">
        <v>4</v>
      </c>
      <c r="B10" s="53" t="s">
        <v>5</v>
      </c>
      <c r="C10" s="346" t="s">
        <v>44</v>
      </c>
      <c r="D10" s="347" t="s">
        <v>45</v>
      </c>
      <c r="E10" s="348" t="s">
        <v>46</v>
      </c>
      <c r="F10" s="344" t="s">
        <v>512</v>
      </c>
      <c r="G10" s="344" t="s">
        <v>513</v>
      </c>
      <c r="H10" s="344" t="s">
        <v>514</v>
      </c>
      <c r="I10" s="344" t="s">
        <v>515</v>
      </c>
      <c r="J10" s="344" t="s">
        <v>516</v>
      </c>
      <c r="K10" s="344" t="s">
        <v>517</v>
      </c>
      <c r="L10" s="344" t="s">
        <v>518</v>
      </c>
      <c r="M10" s="344" t="s">
        <v>519</v>
      </c>
      <c r="N10" s="344" t="s">
        <v>520</v>
      </c>
      <c r="O10" s="344" t="s">
        <v>521</v>
      </c>
      <c r="P10" s="344" t="s">
        <v>522</v>
      </c>
      <c r="Q10" s="344" t="s">
        <v>523</v>
      </c>
    </row>
    <row r="11" spans="1:17" ht="15.75" thickBot="1">
      <c r="A11" s="186" t="s">
        <v>633</v>
      </c>
      <c r="B11" s="187"/>
      <c r="C11" s="349">
        <v>12189.9</v>
      </c>
      <c r="D11" s="350">
        <f t="shared" ref="D11:D42" si="0">SUM(F11:Q11)</f>
        <v>11458.51</v>
      </c>
      <c r="E11" s="351">
        <f>C11-D11</f>
        <v>731.38999999999942</v>
      </c>
      <c r="F11" s="31"/>
      <c r="G11" s="31"/>
      <c r="H11" s="31"/>
      <c r="I11" s="31">
        <v>11458.51</v>
      </c>
      <c r="J11" s="31"/>
      <c r="K11" s="31"/>
      <c r="L11" s="31"/>
      <c r="M11" s="31"/>
      <c r="N11" s="31"/>
      <c r="O11" s="31"/>
      <c r="P11" s="31"/>
      <c r="Q11" s="31"/>
    </row>
    <row r="12" spans="1:17" ht="15.75" thickBot="1">
      <c r="A12" s="190" t="s">
        <v>634</v>
      </c>
      <c r="B12" s="191"/>
      <c r="C12" s="352">
        <v>581.75</v>
      </c>
      <c r="D12" s="353">
        <f t="shared" si="0"/>
        <v>0</v>
      </c>
      <c r="E12" s="354">
        <f t="shared" ref="E12:E75" si="1">C12-D12</f>
        <v>581.75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spans="1:17" ht="15.75" thickBot="1">
      <c r="A13" s="190" t="s">
        <v>635</v>
      </c>
      <c r="B13" s="194"/>
      <c r="C13" s="352">
        <v>1476.75</v>
      </c>
      <c r="D13" s="353">
        <f t="shared" si="0"/>
        <v>1476.75</v>
      </c>
      <c r="E13" s="354">
        <f t="shared" si="1"/>
        <v>0</v>
      </c>
      <c r="F13" s="31">
        <v>1476.75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1:17" ht="15.75" thickBot="1">
      <c r="A14" s="195" t="s">
        <v>74</v>
      </c>
      <c r="B14" s="191"/>
      <c r="C14" s="352">
        <v>1151.8699999999999</v>
      </c>
      <c r="D14" s="353">
        <f t="shared" si="0"/>
        <v>1151.8699999999999</v>
      </c>
      <c r="E14" s="354">
        <f t="shared" si="1"/>
        <v>0</v>
      </c>
      <c r="F14" s="31">
        <v>480.62</v>
      </c>
      <c r="G14" s="31">
        <v>190.63</v>
      </c>
      <c r="H14" s="31"/>
      <c r="I14" s="31"/>
      <c r="J14" s="31"/>
      <c r="K14" s="31">
        <v>480.62</v>
      </c>
      <c r="L14" s="31"/>
      <c r="M14" s="31"/>
      <c r="N14" s="31"/>
      <c r="O14" s="31"/>
      <c r="P14" s="31"/>
      <c r="Q14" s="31"/>
    </row>
    <row r="15" spans="1:17" ht="15.75" thickBot="1">
      <c r="A15" s="196" t="s">
        <v>636</v>
      </c>
      <c r="B15" s="197"/>
      <c r="C15" s="355">
        <v>125.3</v>
      </c>
      <c r="D15" s="353">
        <f t="shared" si="0"/>
        <v>115.28</v>
      </c>
      <c r="E15" s="354">
        <f t="shared" si="1"/>
        <v>10.019999999999996</v>
      </c>
      <c r="F15" s="31">
        <v>115.28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r="16" spans="1:17" ht="15.75" thickBot="1">
      <c r="A16" s="196" t="s">
        <v>8</v>
      </c>
      <c r="B16" s="197"/>
      <c r="C16" s="355">
        <v>4475</v>
      </c>
      <c r="D16" s="353">
        <f t="shared" si="0"/>
        <v>4475</v>
      </c>
      <c r="E16" s="354">
        <f t="shared" si="1"/>
        <v>0</v>
      </c>
      <c r="F16" s="31">
        <v>4475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</row>
    <row r="17" spans="1:17" ht="15.75" thickBot="1">
      <c r="A17" s="195" t="s">
        <v>637</v>
      </c>
      <c r="B17" s="194"/>
      <c r="C17" s="352">
        <v>152.15</v>
      </c>
      <c r="D17" s="353">
        <f t="shared" si="0"/>
        <v>0</v>
      </c>
      <c r="E17" s="354">
        <f t="shared" si="1"/>
        <v>152.15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</row>
    <row r="18" spans="1:17" ht="15.75" thickBot="1">
      <c r="A18" s="195" t="s">
        <v>638</v>
      </c>
      <c r="B18" s="191"/>
      <c r="C18" s="352">
        <v>26.85</v>
      </c>
      <c r="D18" s="353">
        <f t="shared" si="0"/>
        <v>0</v>
      </c>
      <c r="E18" s="354">
        <f t="shared" si="1"/>
        <v>26.85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</row>
    <row r="19" spans="1:17" ht="15.75" thickBot="1">
      <c r="A19" s="195" t="s">
        <v>639</v>
      </c>
      <c r="B19" s="191"/>
      <c r="C19" s="352">
        <v>17.899999999999999</v>
      </c>
      <c r="D19" s="353">
        <f t="shared" si="0"/>
        <v>17.899999999999999</v>
      </c>
      <c r="E19" s="354">
        <f t="shared" si="1"/>
        <v>0</v>
      </c>
      <c r="F19" s="31"/>
      <c r="G19" s="31"/>
      <c r="H19" s="31"/>
      <c r="I19" s="31"/>
      <c r="J19" s="31"/>
      <c r="K19" s="31">
        <v>17.899999999999999</v>
      </c>
      <c r="L19" s="31"/>
      <c r="M19" s="31"/>
      <c r="N19" s="31"/>
      <c r="O19" s="31"/>
      <c r="P19" s="31"/>
      <c r="Q19" s="31"/>
    </row>
    <row r="20" spans="1:17" ht="15.75" thickBot="1">
      <c r="A20" s="195" t="s">
        <v>640</v>
      </c>
      <c r="B20" s="191"/>
      <c r="C20" s="352">
        <v>35.799999999999997</v>
      </c>
      <c r="D20" s="353">
        <f t="shared" si="0"/>
        <v>35.799999999999997</v>
      </c>
      <c r="E20" s="354">
        <f t="shared" si="1"/>
        <v>0</v>
      </c>
      <c r="F20" s="31"/>
      <c r="G20" s="31"/>
      <c r="H20" s="31">
        <v>35.799999999999997</v>
      </c>
      <c r="I20" s="31"/>
      <c r="J20" s="31"/>
      <c r="K20" s="31"/>
      <c r="L20" s="31"/>
      <c r="M20" s="31"/>
      <c r="N20" s="31"/>
      <c r="O20" s="31"/>
      <c r="P20" s="31"/>
      <c r="Q20" s="31"/>
    </row>
    <row r="21" spans="1:17" ht="15.75" thickBot="1">
      <c r="A21" s="195" t="s">
        <v>641</v>
      </c>
      <c r="B21" s="191"/>
      <c r="C21" s="352">
        <v>375.9</v>
      </c>
      <c r="D21" s="353">
        <f t="shared" si="0"/>
        <v>375.9</v>
      </c>
      <c r="E21" s="354">
        <f t="shared" si="1"/>
        <v>0</v>
      </c>
      <c r="F21" s="31">
        <v>375.9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spans="1:17" ht="15.75" thickBot="1">
      <c r="A22" s="195" t="s">
        <v>642</v>
      </c>
      <c r="B22" s="194"/>
      <c r="C22" s="352">
        <v>179</v>
      </c>
      <c r="D22" s="353">
        <f t="shared" si="0"/>
        <v>179</v>
      </c>
      <c r="E22" s="354">
        <f t="shared" si="1"/>
        <v>0</v>
      </c>
      <c r="F22" s="31"/>
      <c r="G22" s="31">
        <v>179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</row>
    <row r="23" spans="1:17" ht="15.75" thickBot="1">
      <c r="A23" s="195" t="s">
        <v>9</v>
      </c>
      <c r="B23" s="194"/>
      <c r="C23" s="352">
        <v>2416.5</v>
      </c>
      <c r="D23" s="353">
        <f t="shared" si="0"/>
        <v>2357.5</v>
      </c>
      <c r="E23" s="354">
        <f t="shared" si="1"/>
        <v>59</v>
      </c>
      <c r="F23" s="31"/>
      <c r="G23" s="31"/>
      <c r="H23" s="31">
        <v>2357.5</v>
      </c>
      <c r="I23" s="31"/>
      <c r="J23" s="31"/>
      <c r="K23" s="31"/>
      <c r="L23" s="31"/>
      <c r="M23" s="31"/>
      <c r="N23" s="31"/>
      <c r="O23" s="31"/>
      <c r="P23" s="31"/>
      <c r="Q23" s="31"/>
    </row>
    <row r="24" spans="1:17" ht="15.75" thickBot="1">
      <c r="A24" s="196" t="s">
        <v>643</v>
      </c>
      <c r="B24" s="197"/>
      <c r="C24" s="355">
        <v>760.75</v>
      </c>
      <c r="D24" s="353">
        <f t="shared" si="0"/>
        <v>760.75</v>
      </c>
      <c r="E24" s="354">
        <f t="shared" si="1"/>
        <v>0</v>
      </c>
      <c r="F24" s="31">
        <f>358+402.75</f>
        <v>760.75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</row>
    <row r="25" spans="1:17" ht="15.75" thickBot="1">
      <c r="A25" s="196" t="s">
        <v>644</v>
      </c>
      <c r="B25" s="197"/>
      <c r="C25" s="355">
        <v>125.3</v>
      </c>
      <c r="D25" s="353">
        <f t="shared" si="0"/>
        <v>125.3</v>
      </c>
      <c r="E25" s="354">
        <f t="shared" si="1"/>
        <v>0</v>
      </c>
      <c r="F25" s="31"/>
      <c r="G25" s="31"/>
      <c r="H25" s="31"/>
      <c r="I25" s="31"/>
      <c r="J25" s="31"/>
      <c r="K25" s="31">
        <v>125.3</v>
      </c>
      <c r="L25" s="31"/>
      <c r="M25" s="31"/>
      <c r="N25" s="31"/>
      <c r="O25" s="31"/>
      <c r="P25" s="31"/>
      <c r="Q25" s="31"/>
    </row>
    <row r="26" spans="1:17" ht="15.75" thickBot="1">
      <c r="A26" s="196" t="s">
        <v>645</v>
      </c>
      <c r="B26" s="197"/>
      <c r="C26" s="355">
        <v>143.19999999999999</v>
      </c>
      <c r="D26" s="353">
        <f t="shared" si="0"/>
        <v>143.19999999999999</v>
      </c>
      <c r="E26" s="354">
        <f t="shared" si="1"/>
        <v>0</v>
      </c>
      <c r="F26" s="31"/>
      <c r="G26" s="31"/>
      <c r="H26" s="31"/>
      <c r="I26" s="31"/>
      <c r="J26" s="31"/>
      <c r="K26" s="31">
        <v>143.19999999999999</v>
      </c>
      <c r="L26" s="31"/>
      <c r="M26" s="31"/>
      <c r="N26" s="31"/>
      <c r="O26" s="31"/>
      <c r="P26" s="31"/>
      <c r="Q26" s="31"/>
    </row>
    <row r="27" spans="1:17" ht="15.75" thickBot="1">
      <c r="A27" s="195" t="s">
        <v>646</v>
      </c>
      <c r="B27" s="194"/>
      <c r="C27" s="352">
        <v>608.6</v>
      </c>
      <c r="D27" s="353">
        <f t="shared" si="0"/>
        <v>608.6</v>
      </c>
      <c r="E27" s="356">
        <f t="shared" si="1"/>
        <v>0</v>
      </c>
      <c r="F27" s="31">
        <v>608.6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</row>
    <row r="28" spans="1:17" ht="15.75" thickBot="1">
      <c r="A28" s="195" t="s">
        <v>647</v>
      </c>
      <c r="B28" s="191"/>
      <c r="C28" s="352">
        <v>286.39999999999998</v>
      </c>
      <c r="D28" s="353">
        <f t="shared" si="0"/>
        <v>286.39999999999998</v>
      </c>
      <c r="E28" s="356">
        <f t="shared" si="1"/>
        <v>0</v>
      </c>
      <c r="F28" s="31"/>
      <c r="G28" s="31"/>
      <c r="H28" s="31">
        <v>286.39999999999998</v>
      </c>
      <c r="I28" s="31"/>
      <c r="J28" s="31"/>
      <c r="K28" s="31"/>
      <c r="L28" s="31"/>
      <c r="M28" s="31"/>
      <c r="N28" s="31"/>
      <c r="O28" s="31"/>
      <c r="P28" s="31"/>
      <c r="Q28" s="31"/>
    </row>
    <row r="29" spans="1:17" ht="15.75" thickBot="1">
      <c r="A29" s="195" t="s">
        <v>648</v>
      </c>
      <c r="B29" s="194"/>
      <c r="C29" s="352">
        <v>214.8</v>
      </c>
      <c r="D29" s="353">
        <f t="shared" si="0"/>
        <v>0</v>
      </c>
      <c r="E29" s="354">
        <f t="shared" si="1"/>
        <v>214.8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</row>
    <row r="30" spans="1:17" ht="15.75" thickBot="1">
      <c r="A30" s="190" t="s">
        <v>649</v>
      </c>
      <c r="B30" s="191"/>
      <c r="C30" s="352">
        <v>179</v>
      </c>
      <c r="D30" s="353">
        <f t="shared" si="0"/>
        <v>0</v>
      </c>
      <c r="E30" s="354">
        <f t="shared" si="1"/>
        <v>179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</row>
    <row r="31" spans="1:17" ht="15.75" thickBot="1">
      <c r="A31" s="195" t="s">
        <v>650</v>
      </c>
      <c r="B31" s="191"/>
      <c r="C31" s="352">
        <v>44.75</v>
      </c>
      <c r="D31" s="353">
        <f t="shared" si="0"/>
        <v>44.75</v>
      </c>
      <c r="E31" s="354">
        <f t="shared" si="1"/>
        <v>0</v>
      </c>
      <c r="F31" s="31">
        <v>44.75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</row>
    <row r="32" spans="1:17" ht="15.75" thickBot="1">
      <c r="A32" s="195" t="s">
        <v>651</v>
      </c>
      <c r="B32" s="191"/>
      <c r="C32" s="352">
        <v>179</v>
      </c>
      <c r="D32" s="353">
        <f t="shared" si="0"/>
        <v>179</v>
      </c>
      <c r="E32" s="354">
        <f t="shared" si="1"/>
        <v>0</v>
      </c>
      <c r="F32" s="31"/>
      <c r="G32" s="31"/>
      <c r="H32" s="31">
        <v>179</v>
      </c>
      <c r="I32" s="31"/>
      <c r="J32" s="31"/>
      <c r="K32" s="31"/>
      <c r="L32" s="31"/>
      <c r="M32" s="31"/>
      <c r="N32" s="31"/>
      <c r="O32" s="31"/>
      <c r="P32" s="31"/>
      <c r="Q32" s="31"/>
    </row>
    <row r="33" spans="1:17" ht="15.75" thickBot="1">
      <c r="A33" s="195" t="s">
        <v>626</v>
      </c>
      <c r="B33" s="191"/>
      <c r="C33" s="352">
        <v>2989.3</v>
      </c>
      <c r="D33" s="353">
        <f t="shared" si="0"/>
        <v>2869.73</v>
      </c>
      <c r="E33" s="354">
        <f t="shared" si="1"/>
        <v>119.57000000000016</v>
      </c>
      <c r="F33" s="31">
        <v>2869.73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</row>
    <row r="34" spans="1:17" ht="15.75" thickBot="1">
      <c r="A34" s="195" t="s">
        <v>75</v>
      </c>
      <c r="B34" s="191"/>
      <c r="C34" s="352">
        <v>25955</v>
      </c>
      <c r="D34" s="353">
        <f t="shared" si="0"/>
        <v>0</v>
      </c>
      <c r="E34" s="354">
        <f t="shared" si="1"/>
        <v>25955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</row>
    <row r="35" spans="1:17" ht="15.75" thickBot="1">
      <c r="A35" s="195" t="s">
        <v>652</v>
      </c>
      <c r="B35" s="194"/>
      <c r="C35" s="352">
        <v>268.5</v>
      </c>
      <c r="D35" s="353">
        <f t="shared" si="0"/>
        <v>268.5</v>
      </c>
      <c r="E35" s="354">
        <f t="shared" si="1"/>
        <v>0</v>
      </c>
      <c r="F35" s="31"/>
      <c r="G35" s="31"/>
      <c r="H35" s="31"/>
      <c r="I35" s="31"/>
      <c r="J35" s="31"/>
      <c r="K35" s="31">
        <v>268.5</v>
      </c>
      <c r="L35" s="31"/>
      <c r="M35" s="31"/>
      <c r="N35" s="31"/>
      <c r="O35" s="31"/>
      <c r="P35" s="31"/>
      <c r="Q35" s="31"/>
    </row>
    <row r="36" spans="1:17" ht="15.75" thickBot="1">
      <c r="A36" s="195" t="s">
        <v>487</v>
      </c>
      <c r="B36" s="191"/>
      <c r="C36" s="352">
        <v>1942.15</v>
      </c>
      <c r="D36" s="353">
        <f t="shared" si="0"/>
        <v>1824.97</v>
      </c>
      <c r="E36" s="354">
        <f t="shared" si="1"/>
        <v>117.18000000000006</v>
      </c>
      <c r="F36" s="31"/>
      <c r="G36" s="31"/>
      <c r="H36" s="31">
        <v>1824.97</v>
      </c>
      <c r="I36" s="31"/>
      <c r="J36" s="31"/>
      <c r="K36" s="31"/>
      <c r="L36" s="31"/>
      <c r="M36" s="31"/>
      <c r="N36" s="31"/>
      <c r="O36" s="31"/>
      <c r="P36" s="31"/>
      <c r="Q36" s="31"/>
    </row>
    <row r="37" spans="1:17" ht="15.75" thickBot="1">
      <c r="A37" s="190" t="s">
        <v>653</v>
      </c>
      <c r="B37" s="191"/>
      <c r="C37" s="352">
        <v>107.4</v>
      </c>
      <c r="D37" s="353">
        <f t="shared" si="0"/>
        <v>107.4</v>
      </c>
      <c r="E37" s="354">
        <f t="shared" si="1"/>
        <v>0</v>
      </c>
      <c r="F37" s="31">
        <v>107.4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spans="1:17" ht="15.75" thickBot="1">
      <c r="A38" s="195" t="s">
        <v>654</v>
      </c>
      <c r="B38" s="191"/>
      <c r="C38" s="352">
        <v>358</v>
      </c>
      <c r="D38" s="353">
        <f t="shared" si="0"/>
        <v>358</v>
      </c>
      <c r="E38" s="354">
        <f t="shared" si="1"/>
        <v>0</v>
      </c>
      <c r="F38" s="31"/>
      <c r="G38" s="31"/>
      <c r="H38" s="31"/>
      <c r="I38" s="31"/>
      <c r="J38" s="31"/>
      <c r="K38" s="31">
        <v>358</v>
      </c>
      <c r="L38" s="31"/>
      <c r="M38" s="31"/>
      <c r="N38" s="31"/>
      <c r="O38" s="31"/>
      <c r="P38" s="31"/>
      <c r="Q38" s="31"/>
    </row>
    <row r="39" spans="1:17" ht="15.75" thickBot="1">
      <c r="A39" s="195" t="s">
        <v>76</v>
      </c>
      <c r="B39" s="191"/>
      <c r="C39" s="352">
        <v>2192.75</v>
      </c>
      <c r="D39" s="353">
        <f t="shared" si="0"/>
        <v>2192.75</v>
      </c>
      <c r="E39" s="354">
        <f t="shared" si="1"/>
        <v>0</v>
      </c>
      <c r="F39" s="31"/>
      <c r="G39" s="31">
        <v>2192.75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spans="1:17" s="310" customFormat="1" ht="15.75" thickBot="1">
      <c r="A40" s="195" t="s">
        <v>365</v>
      </c>
      <c r="B40" s="191"/>
      <c r="C40" s="352">
        <v>1825.8</v>
      </c>
      <c r="D40" s="353">
        <f t="shared" si="0"/>
        <v>1825.8</v>
      </c>
      <c r="E40" s="354">
        <f t="shared" si="1"/>
        <v>0</v>
      </c>
      <c r="F40" s="31"/>
      <c r="G40" s="31">
        <v>1825.8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1:17" s="310" customFormat="1" ht="15.75" thickBot="1">
      <c r="A41" s="195" t="s">
        <v>655</v>
      </c>
      <c r="B41" s="191"/>
      <c r="C41" s="352">
        <v>626.5</v>
      </c>
      <c r="D41" s="353">
        <f t="shared" si="0"/>
        <v>0</v>
      </c>
      <c r="E41" s="354">
        <f t="shared" si="1"/>
        <v>626.5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17" s="310" customFormat="1" ht="15.75" thickBot="1">
      <c r="A42" s="195" t="s">
        <v>656</v>
      </c>
      <c r="B42" s="191"/>
      <c r="C42" s="352">
        <v>250.6</v>
      </c>
      <c r="D42" s="353">
        <f t="shared" si="0"/>
        <v>250.6</v>
      </c>
      <c r="E42" s="354">
        <f t="shared" si="1"/>
        <v>0</v>
      </c>
      <c r="F42" s="31"/>
      <c r="G42" s="31"/>
      <c r="H42" s="31"/>
      <c r="I42" s="31"/>
      <c r="J42" s="31"/>
      <c r="K42" s="31">
        <v>250.6</v>
      </c>
      <c r="L42" s="31"/>
      <c r="M42" s="31"/>
      <c r="N42" s="31"/>
      <c r="O42" s="31"/>
      <c r="P42" s="31"/>
      <c r="Q42" s="31"/>
    </row>
    <row r="43" spans="1:17" s="310" customFormat="1" ht="15.75" thickBot="1">
      <c r="A43" s="195" t="s">
        <v>289</v>
      </c>
      <c r="B43" s="191"/>
      <c r="C43" s="352">
        <v>179</v>
      </c>
      <c r="D43" s="353">
        <f t="shared" ref="D43:D74" si="2">SUM(F43:Q43)</f>
        <v>146.78</v>
      </c>
      <c r="E43" s="354">
        <f t="shared" si="1"/>
        <v>32.22</v>
      </c>
      <c r="F43" s="31"/>
      <c r="G43" s="31"/>
      <c r="H43" s="31"/>
      <c r="I43" s="31">
        <v>146.78</v>
      </c>
      <c r="J43" s="31"/>
      <c r="K43" s="31"/>
      <c r="L43" s="31"/>
      <c r="M43" s="31"/>
      <c r="N43" s="31"/>
      <c r="O43" s="31"/>
      <c r="P43" s="31"/>
      <c r="Q43" s="31"/>
    </row>
    <row r="44" spans="1:17" s="310" customFormat="1" ht="15.75" thickBot="1">
      <c r="A44" s="195" t="s">
        <v>657</v>
      </c>
      <c r="B44" s="191"/>
      <c r="C44" s="352">
        <v>143.19999999999999</v>
      </c>
      <c r="D44" s="353">
        <f t="shared" si="2"/>
        <v>143.19999999999999</v>
      </c>
      <c r="E44" s="354">
        <f t="shared" si="1"/>
        <v>0</v>
      </c>
      <c r="F44" s="31">
        <v>143.19999999999999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17" s="310" customFormat="1" ht="15.75" thickBot="1">
      <c r="A45" s="195" t="s">
        <v>658</v>
      </c>
      <c r="B45" s="191"/>
      <c r="C45" s="352">
        <v>2685</v>
      </c>
      <c r="D45" s="353">
        <f t="shared" si="2"/>
        <v>630.98</v>
      </c>
      <c r="E45" s="354">
        <f t="shared" si="1"/>
        <v>2054.02</v>
      </c>
      <c r="F45" s="31"/>
      <c r="G45" s="31"/>
      <c r="H45" s="31">
        <v>630.98</v>
      </c>
      <c r="I45" s="31"/>
      <c r="J45" s="31"/>
      <c r="K45" s="31"/>
      <c r="L45" s="31"/>
      <c r="M45" s="31"/>
      <c r="N45" s="31"/>
      <c r="O45" s="31"/>
      <c r="P45" s="31"/>
      <c r="Q45" s="31"/>
    </row>
    <row r="46" spans="1:17" s="310" customFormat="1" ht="15.75" thickBot="1">
      <c r="A46" s="195" t="s">
        <v>659</v>
      </c>
      <c r="B46" s="191"/>
      <c r="C46" s="352">
        <v>134.25</v>
      </c>
      <c r="D46" s="353">
        <f t="shared" si="2"/>
        <v>26.85</v>
      </c>
      <c r="E46" s="354">
        <f t="shared" si="1"/>
        <v>107.4</v>
      </c>
      <c r="F46" s="31">
        <v>26.85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17" s="310" customFormat="1" ht="15.75" thickBot="1">
      <c r="A47" s="195" t="s">
        <v>291</v>
      </c>
      <c r="B47" s="191"/>
      <c r="C47" s="352">
        <v>3490.5</v>
      </c>
      <c r="D47" s="353">
        <f t="shared" si="2"/>
        <v>3490.5</v>
      </c>
      <c r="E47" s="354">
        <f t="shared" si="1"/>
        <v>0</v>
      </c>
      <c r="F47" s="31"/>
      <c r="G47" s="31"/>
      <c r="H47" s="31">
        <v>3490.5</v>
      </c>
      <c r="I47" s="31"/>
      <c r="J47" s="31"/>
      <c r="K47" s="31"/>
      <c r="L47" s="31"/>
      <c r="M47" s="31"/>
      <c r="N47" s="31"/>
      <c r="O47" s="31"/>
      <c r="P47" s="31"/>
      <c r="Q47" s="31"/>
    </row>
    <row r="48" spans="1:17" s="310" customFormat="1" ht="15.75" thickBot="1">
      <c r="A48" s="195" t="s">
        <v>660</v>
      </c>
      <c r="B48" s="191"/>
      <c r="C48" s="352">
        <v>895</v>
      </c>
      <c r="D48" s="353">
        <f t="shared" si="2"/>
        <v>153.05000000000001</v>
      </c>
      <c r="E48" s="354">
        <f t="shared" si="1"/>
        <v>741.95</v>
      </c>
      <c r="F48" s="31"/>
      <c r="G48" s="31"/>
      <c r="H48" s="31">
        <v>153.05000000000001</v>
      </c>
      <c r="I48" s="31"/>
      <c r="J48" s="31"/>
      <c r="K48" s="31"/>
      <c r="L48" s="31"/>
      <c r="M48" s="31"/>
      <c r="N48" s="31"/>
      <c r="O48" s="31"/>
      <c r="P48" s="31"/>
      <c r="Q48" s="31"/>
    </row>
    <row r="49" spans="1:17" s="310" customFormat="1" ht="15.75" thickBot="1">
      <c r="A49" s="195" t="s">
        <v>661</v>
      </c>
      <c r="B49" s="191"/>
      <c r="C49" s="352">
        <v>44.75</v>
      </c>
      <c r="D49" s="353">
        <f t="shared" si="2"/>
        <v>44.75</v>
      </c>
      <c r="E49" s="354">
        <f t="shared" si="1"/>
        <v>0</v>
      </c>
      <c r="F49" s="31"/>
      <c r="G49" s="31">
        <v>44.75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1:17" s="310" customFormat="1" ht="15.75" thickBot="1">
      <c r="A50" s="195" t="s">
        <v>292</v>
      </c>
      <c r="B50" s="191"/>
      <c r="C50" s="352">
        <v>393.8</v>
      </c>
      <c r="D50" s="353">
        <f t="shared" si="2"/>
        <v>0</v>
      </c>
      <c r="E50" s="354">
        <f t="shared" si="1"/>
        <v>393.8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1:17" s="310" customFormat="1" ht="15.75" thickBot="1">
      <c r="A51" s="195" t="s">
        <v>662</v>
      </c>
      <c r="B51" s="191"/>
      <c r="C51" s="352">
        <v>107.4</v>
      </c>
      <c r="D51" s="353">
        <f t="shared" si="2"/>
        <v>0</v>
      </c>
      <c r="E51" s="354">
        <f t="shared" si="1"/>
        <v>107.4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1:17" s="310" customFormat="1" ht="15.75" thickBot="1">
      <c r="A52" s="195" t="s">
        <v>663</v>
      </c>
      <c r="B52" s="191"/>
      <c r="C52" s="352">
        <v>152.15</v>
      </c>
      <c r="D52" s="353">
        <f t="shared" si="2"/>
        <v>152.15</v>
      </c>
      <c r="E52" s="354">
        <f t="shared" si="1"/>
        <v>0</v>
      </c>
      <c r="F52" s="31">
        <v>152.15</v>
      </c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1:17" s="310" customFormat="1" ht="15.75" thickBot="1">
      <c r="A53" s="195" t="s">
        <v>127</v>
      </c>
      <c r="B53" s="191"/>
      <c r="C53" s="352">
        <v>53700</v>
      </c>
      <c r="D53" s="353">
        <f t="shared" si="2"/>
        <v>0</v>
      </c>
      <c r="E53" s="354">
        <f t="shared" si="1"/>
        <v>53700</v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1:17" s="310" customFormat="1" ht="15.75" thickBot="1">
      <c r="A54" s="195" t="s">
        <v>664</v>
      </c>
      <c r="B54" s="191"/>
      <c r="C54" s="352">
        <v>98.45</v>
      </c>
      <c r="D54" s="353">
        <f t="shared" si="2"/>
        <v>98.45</v>
      </c>
      <c r="E54" s="354">
        <f t="shared" si="1"/>
        <v>0</v>
      </c>
      <c r="F54" s="31"/>
      <c r="G54" s="31"/>
      <c r="H54" s="31"/>
      <c r="I54" s="31"/>
      <c r="J54" s="31"/>
      <c r="K54" s="31">
        <v>98.45</v>
      </c>
      <c r="L54" s="31"/>
      <c r="M54" s="31"/>
      <c r="N54" s="31"/>
      <c r="O54" s="31"/>
      <c r="P54" s="31"/>
      <c r="Q54" s="31"/>
    </row>
    <row r="55" spans="1:17" s="310" customFormat="1" ht="15.75" thickBot="1">
      <c r="A55" s="195" t="s">
        <v>665</v>
      </c>
      <c r="B55" s="191"/>
      <c r="C55" s="352">
        <v>26.85</v>
      </c>
      <c r="D55" s="353">
        <f t="shared" si="2"/>
        <v>0</v>
      </c>
      <c r="E55" s="354">
        <f t="shared" si="1"/>
        <v>26.85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1:17" s="310" customFormat="1" ht="15.75" thickBot="1">
      <c r="A56" s="195" t="s">
        <v>666</v>
      </c>
      <c r="B56" s="191"/>
      <c r="C56" s="352">
        <v>626.5</v>
      </c>
      <c r="D56" s="353">
        <f t="shared" si="2"/>
        <v>626.5</v>
      </c>
      <c r="E56" s="354">
        <f t="shared" si="1"/>
        <v>0</v>
      </c>
      <c r="F56" s="31"/>
      <c r="G56" s="31"/>
      <c r="H56" s="31"/>
      <c r="I56" s="31">
        <v>626.5</v>
      </c>
      <c r="J56" s="31"/>
      <c r="K56" s="31"/>
      <c r="L56" s="31"/>
      <c r="M56" s="31"/>
      <c r="N56" s="31"/>
      <c r="O56" s="31"/>
      <c r="P56" s="31"/>
      <c r="Q56" s="31"/>
    </row>
    <row r="57" spans="1:17" s="310" customFormat="1" ht="15.75" thickBot="1">
      <c r="A57" s="195" t="s">
        <v>456</v>
      </c>
      <c r="B57" s="191"/>
      <c r="C57" s="352">
        <v>3938</v>
      </c>
      <c r="D57" s="353">
        <f t="shared" si="2"/>
        <v>3660.8</v>
      </c>
      <c r="E57" s="354">
        <f t="shared" si="1"/>
        <v>277.19999999999982</v>
      </c>
      <c r="F57" s="31"/>
      <c r="G57" s="31"/>
      <c r="H57" s="31"/>
      <c r="I57" s="31"/>
      <c r="J57" s="31"/>
      <c r="K57" s="31">
        <v>3660.8</v>
      </c>
      <c r="L57" s="31"/>
      <c r="M57" s="31"/>
      <c r="N57" s="31"/>
      <c r="O57" s="31"/>
      <c r="P57" s="31"/>
      <c r="Q57" s="31"/>
    </row>
    <row r="58" spans="1:17" s="310" customFormat="1" ht="15.75" thickBot="1">
      <c r="A58" s="195" t="s">
        <v>667</v>
      </c>
      <c r="B58" s="191"/>
      <c r="C58" s="352">
        <v>1029.25</v>
      </c>
      <c r="D58" s="353">
        <f t="shared" si="2"/>
        <v>946.45</v>
      </c>
      <c r="E58" s="354">
        <f t="shared" si="1"/>
        <v>82.799999999999955</v>
      </c>
      <c r="F58" s="31"/>
      <c r="G58" s="31"/>
      <c r="H58" s="31">
        <v>946.45</v>
      </c>
      <c r="I58" s="31"/>
      <c r="J58" s="31"/>
      <c r="K58" s="31"/>
      <c r="L58" s="31"/>
      <c r="M58" s="31"/>
      <c r="N58" s="31"/>
      <c r="O58" s="31"/>
      <c r="P58" s="31"/>
      <c r="Q58" s="31"/>
    </row>
    <row r="59" spans="1:17" s="310" customFormat="1" ht="15.75" thickBot="1">
      <c r="A59" s="195" t="s">
        <v>668</v>
      </c>
      <c r="B59" s="191"/>
      <c r="C59" s="352">
        <v>5683.25</v>
      </c>
      <c r="D59" s="353">
        <f t="shared" si="2"/>
        <v>5570</v>
      </c>
      <c r="E59" s="354">
        <f t="shared" si="1"/>
        <v>113.25</v>
      </c>
      <c r="F59" s="31">
        <v>5570</v>
      </c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1:17" s="310" customFormat="1" ht="15.75" thickBot="1">
      <c r="A60" s="195" t="s">
        <v>299</v>
      </c>
      <c r="B60" s="191"/>
      <c r="C60" s="352">
        <v>134.25</v>
      </c>
      <c r="D60" s="353">
        <f t="shared" si="2"/>
        <v>127.5</v>
      </c>
      <c r="E60" s="354">
        <f t="shared" si="1"/>
        <v>6.75</v>
      </c>
      <c r="F60" s="31"/>
      <c r="G60" s="31">
        <v>127.5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1:17" s="310" customFormat="1" ht="15.75" thickBot="1">
      <c r="A61" s="195" t="s">
        <v>669</v>
      </c>
      <c r="B61" s="191"/>
      <c r="C61" s="352">
        <v>223.75</v>
      </c>
      <c r="D61" s="353">
        <f t="shared" si="2"/>
        <v>197</v>
      </c>
      <c r="E61" s="354">
        <f t="shared" si="1"/>
        <v>26.75</v>
      </c>
      <c r="F61" s="31"/>
      <c r="G61" s="31"/>
      <c r="H61" s="31"/>
      <c r="I61" s="31"/>
      <c r="J61" s="31">
        <v>197</v>
      </c>
      <c r="K61" s="31"/>
      <c r="L61" s="31"/>
      <c r="M61" s="31"/>
      <c r="N61" s="31"/>
      <c r="O61" s="31"/>
      <c r="P61" s="31"/>
      <c r="Q61" s="31"/>
    </row>
    <row r="62" spans="1:17" s="310" customFormat="1" ht="15.75" thickBot="1">
      <c r="A62" s="195" t="s">
        <v>670</v>
      </c>
      <c r="B62" s="191"/>
      <c r="C62" s="352">
        <v>26.85</v>
      </c>
      <c r="D62" s="353">
        <f t="shared" si="2"/>
        <v>26.85</v>
      </c>
      <c r="E62" s="354">
        <f t="shared" si="1"/>
        <v>0</v>
      </c>
      <c r="F62" s="31">
        <v>26.85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1:17" s="310" customFormat="1" ht="15.75" thickBot="1">
      <c r="A63" s="195" t="s">
        <v>671</v>
      </c>
      <c r="B63" s="191"/>
      <c r="C63" s="352">
        <v>107.4</v>
      </c>
      <c r="D63" s="353">
        <f t="shared" si="2"/>
        <v>107.4</v>
      </c>
      <c r="E63" s="354">
        <f t="shared" si="1"/>
        <v>0</v>
      </c>
      <c r="F63" s="31">
        <v>107.4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1:17" s="310" customFormat="1" ht="15.75" thickBot="1">
      <c r="A64" s="195" t="s">
        <v>672</v>
      </c>
      <c r="B64" s="191"/>
      <c r="C64" s="352">
        <v>358</v>
      </c>
      <c r="D64" s="353">
        <f t="shared" si="2"/>
        <v>358</v>
      </c>
      <c r="E64" s="354">
        <f t="shared" si="1"/>
        <v>0</v>
      </c>
      <c r="F64" s="31"/>
      <c r="G64" s="31"/>
      <c r="H64" s="31">
        <v>358</v>
      </c>
      <c r="I64" s="31"/>
      <c r="J64" s="31"/>
      <c r="K64" s="31"/>
      <c r="L64" s="31"/>
      <c r="M64" s="31"/>
      <c r="N64" s="31"/>
      <c r="O64" s="31"/>
      <c r="P64" s="31"/>
      <c r="Q64" s="31"/>
    </row>
    <row r="65" spans="1:17" s="310" customFormat="1" ht="15.75" thickBot="1">
      <c r="A65" s="195" t="s">
        <v>673</v>
      </c>
      <c r="B65" s="191"/>
      <c r="C65" s="352">
        <v>187.95</v>
      </c>
      <c r="D65" s="353">
        <f t="shared" si="2"/>
        <v>187.5</v>
      </c>
      <c r="E65" s="354">
        <f t="shared" si="1"/>
        <v>0.44999999999998863</v>
      </c>
      <c r="F65" s="31"/>
      <c r="G65" s="31">
        <v>187.5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1:17" s="310" customFormat="1" ht="15.75" thickBot="1">
      <c r="A66" s="195" t="s">
        <v>128</v>
      </c>
      <c r="B66" s="191"/>
      <c r="C66" s="352">
        <v>268.5</v>
      </c>
      <c r="D66" s="353">
        <f t="shared" si="2"/>
        <v>257.76</v>
      </c>
      <c r="E66" s="354">
        <f t="shared" si="1"/>
        <v>10.740000000000009</v>
      </c>
      <c r="F66" s="31"/>
      <c r="G66" s="31"/>
      <c r="H66" s="31"/>
      <c r="I66" s="31"/>
      <c r="J66" s="31"/>
      <c r="K66" s="31">
        <v>257.76</v>
      </c>
      <c r="L66" s="31"/>
      <c r="M66" s="31"/>
      <c r="N66" s="31"/>
      <c r="O66" s="31"/>
      <c r="P66" s="31"/>
      <c r="Q66" s="31"/>
    </row>
    <row r="67" spans="1:17" s="310" customFormat="1" ht="15.75" thickBot="1">
      <c r="A67" s="195" t="s">
        <v>674</v>
      </c>
      <c r="B67" s="191"/>
      <c r="C67" s="352">
        <v>537</v>
      </c>
      <c r="D67" s="353">
        <f t="shared" si="2"/>
        <v>526.20000000000005</v>
      </c>
      <c r="E67" s="354">
        <f t="shared" si="1"/>
        <v>10.799999999999955</v>
      </c>
      <c r="F67" s="31">
        <v>526.20000000000005</v>
      </c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1:17" s="310" customFormat="1" ht="15.75" thickBot="1">
      <c r="A68" s="195" t="s">
        <v>675</v>
      </c>
      <c r="B68" s="191"/>
      <c r="C68" s="352">
        <v>89.5</v>
      </c>
      <c r="D68" s="353">
        <f t="shared" si="2"/>
        <v>89.5</v>
      </c>
      <c r="E68" s="354">
        <f t="shared" si="1"/>
        <v>0</v>
      </c>
      <c r="F68" s="31"/>
      <c r="G68" s="31">
        <v>89.5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1:17" s="310" customFormat="1" ht="15.75" thickBot="1">
      <c r="A69" s="195" t="s">
        <v>676</v>
      </c>
      <c r="B69" s="191"/>
      <c r="C69" s="352">
        <v>1074</v>
      </c>
      <c r="D69" s="353">
        <f t="shared" si="2"/>
        <v>1074</v>
      </c>
      <c r="E69" s="354">
        <f t="shared" si="1"/>
        <v>0</v>
      </c>
      <c r="F69" s="31"/>
      <c r="G69" s="31">
        <v>1074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1:17" s="310" customFormat="1" ht="15.75" thickBot="1">
      <c r="A70" s="195" t="s">
        <v>677</v>
      </c>
      <c r="B70" s="191"/>
      <c r="C70" s="352">
        <v>161.1</v>
      </c>
      <c r="D70" s="353">
        <f t="shared" si="2"/>
        <v>154.66</v>
      </c>
      <c r="E70" s="354">
        <f t="shared" si="1"/>
        <v>6.4399999999999977</v>
      </c>
      <c r="F70" s="31"/>
      <c r="G70" s="31"/>
      <c r="H70" s="31">
        <v>154.66</v>
      </c>
      <c r="I70" s="31"/>
      <c r="J70" s="31"/>
      <c r="K70" s="31"/>
      <c r="L70" s="31"/>
      <c r="M70" s="31"/>
      <c r="N70" s="31"/>
      <c r="O70" s="31"/>
      <c r="P70" s="31"/>
      <c r="Q70" s="31"/>
    </row>
    <row r="71" spans="1:17" s="310" customFormat="1" ht="15.75" thickBot="1">
      <c r="A71" s="195" t="s">
        <v>461</v>
      </c>
      <c r="B71" s="191"/>
      <c r="C71" s="352">
        <v>134.25</v>
      </c>
      <c r="D71" s="353">
        <f t="shared" si="2"/>
        <v>127.54</v>
      </c>
      <c r="E71" s="354">
        <f t="shared" si="1"/>
        <v>6.7099999999999937</v>
      </c>
      <c r="F71" s="31"/>
      <c r="G71" s="31">
        <v>127.54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1:17" s="310" customFormat="1" ht="15.75" thickBot="1">
      <c r="A72" s="195" t="s">
        <v>678</v>
      </c>
      <c r="B72" s="191"/>
      <c r="C72" s="352">
        <v>125.3</v>
      </c>
      <c r="D72" s="353">
        <f t="shared" si="2"/>
        <v>110.26</v>
      </c>
      <c r="E72" s="354">
        <f t="shared" si="1"/>
        <v>15.039999999999992</v>
      </c>
      <c r="F72" s="31">
        <v>110.26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1:17" s="310" customFormat="1" ht="15.75" thickBot="1">
      <c r="A73" s="195" t="s">
        <v>679</v>
      </c>
      <c r="B73" s="191"/>
      <c r="C73" s="352">
        <v>286.39999999999998</v>
      </c>
      <c r="D73" s="353">
        <f t="shared" si="2"/>
        <v>0</v>
      </c>
      <c r="E73" s="354">
        <f t="shared" si="1"/>
        <v>286.39999999999998</v>
      </c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1:17" s="310" customFormat="1" ht="15.75" thickBot="1">
      <c r="A74" s="195" t="s">
        <v>680</v>
      </c>
      <c r="B74" s="191"/>
      <c r="C74" s="352">
        <v>134.25</v>
      </c>
      <c r="D74" s="353">
        <f t="shared" si="2"/>
        <v>104.72</v>
      </c>
      <c r="E74" s="354">
        <f t="shared" si="1"/>
        <v>29.53</v>
      </c>
      <c r="F74" s="31">
        <v>104.72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1:17" s="310" customFormat="1" ht="15.75" thickBot="1">
      <c r="A75" s="195" t="s">
        <v>681</v>
      </c>
      <c r="B75" s="191"/>
      <c r="C75" s="352">
        <v>0</v>
      </c>
      <c r="D75" s="353">
        <f t="shared" ref="D75:D102" si="3">SUM(F75:Q75)</f>
        <v>0</v>
      </c>
      <c r="E75" s="354">
        <f t="shared" si="1"/>
        <v>0</v>
      </c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1:17" s="310" customFormat="1" ht="15.75" thickBot="1">
      <c r="A76" s="195" t="s">
        <v>682</v>
      </c>
      <c r="B76" s="191"/>
      <c r="C76" s="352">
        <v>420.65</v>
      </c>
      <c r="D76" s="353">
        <f t="shared" si="3"/>
        <v>420.65</v>
      </c>
      <c r="E76" s="354">
        <f t="shared" ref="E76:E102" si="4">C76-D76</f>
        <v>0</v>
      </c>
      <c r="F76" s="31">
        <v>420.65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1:17" s="310" customFormat="1" ht="15.75" thickBot="1">
      <c r="A77" s="195" t="s">
        <v>683</v>
      </c>
      <c r="B77" s="191"/>
      <c r="C77" s="352">
        <v>250.6</v>
      </c>
      <c r="D77" s="353">
        <f t="shared" si="3"/>
        <v>240.58</v>
      </c>
      <c r="E77" s="354">
        <f t="shared" si="4"/>
        <v>10.019999999999982</v>
      </c>
      <c r="F77" s="31">
        <v>240.58</v>
      </c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1:17" s="310" customFormat="1" ht="15.75" thickBot="1">
      <c r="A78" s="195" t="s">
        <v>684</v>
      </c>
      <c r="B78" s="191"/>
      <c r="C78" s="352">
        <v>134.25</v>
      </c>
      <c r="D78" s="353">
        <f t="shared" si="3"/>
        <v>134.25</v>
      </c>
      <c r="E78" s="354">
        <f t="shared" si="4"/>
        <v>0</v>
      </c>
      <c r="F78" s="31"/>
      <c r="G78" s="31"/>
      <c r="H78" s="31">
        <v>134.25</v>
      </c>
      <c r="I78" s="31"/>
      <c r="J78" s="31"/>
      <c r="K78" s="31"/>
      <c r="L78" s="31"/>
      <c r="M78" s="31"/>
      <c r="N78" s="31"/>
      <c r="O78" s="31"/>
      <c r="P78" s="31"/>
      <c r="Q78" s="31"/>
    </row>
    <row r="79" spans="1:17" s="310" customFormat="1" ht="15.75" thickBot="1">
      <c r="A79" s="195" t="s">
        <v>685</v>
      </c>
      <c r="B79" s="191"/>
      <c r="C79" s="352">
        <v>223.75</v>
      </c>
      <c r="D79" s="353">
        <f t="shared" si="3"/>
        <v>223.75</v>
      </c>
      <c r="E79" s="354">
        <f t="shared" si="4"/>
        <v>0</v>
      </c>
      <c r="F79" s="31">
        <v>223.75</v>
      </c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1:17" s="310" customFormat="1" ht="15.75" thickBot="1">
      <c r="A80" s="195" t="s">
        <v>303</v>
      </c>
      <c r="B80" s="191"/>
      <c r="C80" s="352">
        <v>1879.5</v>
      </c>
      <c r="D80" s="353">
        <f t="shared" si="3"/>
        <v>1879.5</v>
      </c>
      <c r="E80" s="354">
        <f t="shared" si="4"/>
        <v>0</v>
      </c>
      <c r="F80" s="31"/>
      <c r="G80" s="31"/>
      <c r="H80" s="31">
        <v>1879.5</v>
      </c>
      <c r="I80" s="31"/>
      <c r="J80" s="31"/>
      <c r="K80" s="31"/>
      <c r="L80" s="31"/>
      <c r="M80" s="31"/>
      <c r="N80" s="31"/>
      <c r="O80" s="31"/>
      <c r="P80" s="31"/>
      <c r="Q80" s="31"/>
    </row>
    <row r="81" spans="1:17" s="310" customFormat="1" ht="15.75" thickBot="1">
      <c r="A81" s="195" t="s">
        <v>686</v>
      </c>
      <c r="B81" s="191"/>
      <c r="C81" s="352">
        <v>492.25</v>
      </c>
      <c r="D81" s="353">
        <f t="shared" si="3"/>
        <v>462.55</v>
      </c>
      <c r="E81" s="354">
        <f t="shared" si="4"/>
        <v>29.699999999999989</v>
      </c>
      <c r="F81" s="31"/>
      <c r="G81" s="31">
        <v>462.55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1:17" s="310" customFormat="1" ht="15.75" thickBot="1">
      <c r="A82" s="195" t="s">
        <v>687</v>
      </c>
      <c r="B82" s="191"/>
      <c r="C82" s="352">
        <v>581.75</v>
      </c>
      <c r="D82" s="353">
        <f t="shared" si="3"/>
        <v>581.75</v>
      </c>
      <c r="E82" s="354">
        <f t="shared" si="4"/>
        <v>0</v>
      </c>
      <c r="F82" s="31"/>
      <c r="G82" s="31">
        <v>581.75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1:17" s="310" customFormat="1" ht="15.75" thickBot="1">
      <c r="A83" s="195" t="s">
        <v>688</v>
      </c>
      <c r="B83" s="191"/>
      <c r="C83" s="352">
        <v>375.9</v>
      </c>
      <c r="D83" s="353">
        <f t="shared" si="3"/>
        <v>375.9</v>
      </c>
      <c r="E83" s="354">
        <f t="shared" si="4"/>
        <v>0</v>
      </c>
      <c r="F83" s="31"/>
      <c r="G83" s="31"/>
      <c r="H83" s="31">
        <v>375.9</v>
      </c>
      <c r="I83" s="31"/>
      <c r="J83" s="31"/>
      <c r="K83" s="31"/>
      <c r="L83" s="31"/>
      <c r="M83" s="31"/>
      <c r="N83" s="31"/>
      <c r="O83" s="31"/>
      <c r="P83" s="31"/>
      <c r="Q83" s="31"/>
    </row>
    <row r="84" spans="1:17" s="310" customFormat="1" ht="15.75" thickBot="1">
      <c r="A84" s="195" t="s">
        <v>689</v>
      </c>
      <c r="B84" s="191"/>
      <c r="C84" s="352">
        <v>716</v>
      </c>
      <c r="D84" s="353">
        <f t="shared" si="3"/>
        <v>716</v>
      </c>
      <c r="E84" s="354">
        <f t="shared" si="4"/>
        <v>0</v>
      </c>
      <c r="F84" s="31">
        <v>716</v>
      </c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1:17" s="310" customFormat="1" ht="15.75" thickBot="1">
      <c r="A85" s="195" t="s">
        <v>690</v>
      </c>
      <c r="B85" s="191"/>
      <c r="C85" s="352">
        <v>358</v>
      </c>
      <c r="D85" s="353">
        <f t="shared" si="3"/>
        <v>358</v>
      </c>
      <c r="E85" s="354">
        <f t="shared" si="4"/>
        <v>0</v>
      </c>
      <c r="F85" s="31">
        <v>358</v>
      </c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1:17" s="310" customFormat="1" ht="15.75" thickBot="1">
      <c r="A86" s="195" t="s">
        <v>691</v>
      </c>
      <c r="B86" s="191"/>
      <c r="C86" s="352">
        <v>187.95</v>
      </c>
      <c r="D86" s="353">
        <f t="shared" si="3"/>
        <v>187.95</v>
      </c>
      <c r="E86" s="354">
        <f t="shared" si="4"/>
        <v>0</v>
      </c>
      <c r="F86" s="31"/>
      <c r="G86" s="31"/>
      <c r="H86" s="31"/>
      <c r="I86" s="31"/>
      <c r="J86" s="31"/>
      <c r="K86" s="31">
        <v>187.95</v>
      </c>
      <c r="L86" s="31"/>
      <c r="M86" s="31"/>
      <c r="N86" s="31"/>
      <c r="O86" s="31"/>
      <c r="P86" s="31"/>
      <c r="Q86" s="31"/>
    </row>
    <row r="87" spans="1:17" s="310" customFormat="1" ht="15.75" thickBot="1">
      <c r="A87" s="195" t="s">
        <v>692</v>
      </c>
      <c r="B87" s="191"/>
      <c r="C87" s="352">
        <v>268.5</v>
      </c>
      <c r="D87" s="353">
        <f t="shared" si="3"/>
        <v>268.5</v>
      </c>
      <c r="E87" s="354">
        <f t="shared" si="4"/>
        <v>0</v>
      </c>
      <c r="F87" s="31"/>
      <c r="G87" s="31"/>
      <c r="H87" s="31"/>
      <c r="I87" s="31"/>
      <c r="J87" s="31"/>
      <c r="K87" s="31">
        <v>268.5</v>
      </c>
      <c r="L87" s="31"/>
      <c r="M87" s="31"/>
      <c r="N87" s="31"/>
      <c r="O87" s="31"/>
      <c r="P87" s="31"/>
      <c r="Q87" s="31"/>
    </row>
    <row r="88" spans="1:17" s="310" customFormat="1" ht="15.75" thickBot="1">
      <c r="A88" s="195" t="s">
        <v>693</v>
      </c>
      <c r="B88" s="191"/>
      <c r="C88" s="352">
        <v>170.05</v>
      </c>
      <c r="D88" s="353">
        <f t="shared" si="3"/>
        <v>170.05</v>
      </c>
      <c r="E88" s="354">
        <f t="shared" si="4"/>
        <v>0</v>
      </c>
      <c r="F88" s="31">
        <v>170.05</v>
      </c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spans="1:17" s="310" customFormat="1" ht="15.75" thickBot="1">
      <c r="A89" s="195" t="s">
        <v>694</v>
      </c>
      <c r="B89" s="191"/>
      <c r="C89" s="352">
        <v>107.4</v>
      </c>
      <c r="D89" s="353">
        <f t="shared" si="3"/>
        <v>107.4</v>
      </c>
      <c r="E89" s="354">
        <f t="shared" si="4"/>
        <v>0</v>
      </c>
      <c r="F89" s="31">
        <v>107.4</v>
      </c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spans="1:17" s="310" customFormat="1" ht="15.75" thickBot="1">
      <c r="A90" s="195" t="s">
        <v>305</v>
      </c>
      <c r="B90" s="191"/>
      <c r="C90" s="352">
        <v>53.7</v>
      </c>
      <c r="D90" s="353">
        <f t="shared" si="3"/>
        <v>53.7</v>
      </c>
      <c r="E90" s="354">
        <f t="shared" si="4"/>
        <v>0</v>
      </c>
      <c r="F90" s="31">
        <v>53.7</v>
      </c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</row>
    <row r="91" spans="1:17" s="310" customFormat="1" ht="15.75" thickBot="1">
      <c r="A91" s="195" t="s">
        <v>695</v>
      </c>
      <c r="B91" s="191"/>
      <c r="C91" s="352">
        <v>196.9</v>
      </c>
      <c r="D91" s="353">
        <f t="shared" si="3"/>
        <v>196.9</v>
      </c>
      <c r="E91" s="354">
        <f t="shared" si="4"/>
        <v>0</v>
      </c>
      <c r="F91" s="31"/>
      <c r="G91" s="31"/>
      <c r="H91" s="31"/>
      <c r="I91" s="31"/>
      <c r="J91" s="31"/>
      <c r="K91" s="31">
        <v>196.9</v>
      </c>
      <c r="L91" s="31"/>
      <c r="M91" s="31"/>
      <c r="N91" s="31"/>
      <c r="O91" s="31"/>
      <c r="P91" s="31"/>
      <c r="Q91" s="31"/>
    </row>
    <row r="92" spans="1:17" s="310" customFormat="1" ht="15.75" thickBot="1">
      <c r="A92" s="195" t="s">
        <v>696</v>
      </c>
      <c r="B92" s="191"/>
      <c r="C92" s="352">
        <v>71.599999999999994</v>
      </c>
      <c r="D92" s="353">
        <f t="shared" si="3"/>
        <v>71.599999999999994</v>
      </c>
      <c r="E92" s="354">
        <f t="shared" si="4"/>
        <v>0</v>
      </c>
      <c r="F92" s="31"/>
      <c r="G92" s="31"/>
      <c r="H92" s="31"/>
      <c r="I92" s="31"/>
      <c r="J92" s="31"/>
      <c r="K92" s="31">
        <v>71.599999999999994</v>
      </c>
      <c r="L92" s="31"/>
      <c r="M92" s="31"/>
      <c r="N92" s="31"/>
      <c r="O92" s="31"/>
      <c r="P92" s="31"/>
      <c r="Q92" s="31"/>
    </row>
    <row r="93" spans="1:17" s="310" customFormat="1" ht="15.75" thickBot="1">
      <c r="A93" s="195" t="s">
        <v>467</v>
      </c>
      <c r="B93" s="191"/>
      <c r="C93" s="352">
        <v>805.5</v>
      </c>
      <c r="D93" s="353">
        <f t="shared" si="3"/>
        <v>789.39</v>
      </c>
      <c r="E93" s="354">
        <f t="shared" si="4"/>
        <v>16.110000000000014</v>
      </c>
      <c r="F93" s="31"/>
      <c r="G93" s="31"/>
      <c r="H93" s="31">
        <v>789.39</v>
      </c>
      <c r="I93" s="31"/>
      <c r="J93" s="31"/>
      <c r="K93" s="31"/>
      <c r="L93" s="31"/>
      <c r="M93" s="31"/>
      <c r="N93" s="31"/>
      <c r="O93" s="31"/>
      <c r="P93" s="31"/>
      <c r="Q93" s="31"/>
    </row>
    <row r="94" spans="1:17" s="310" customFormat="1" ht="15.75" thickBot="1">
      <c r="A94" s="195" t="s">
        <v>697</v>
      </c>
      <c r="B94" s="191"/>
      <c r="C94" s="352">
        <v>1387.25</v>
      </c>
      <c r="D94" s="353">
        <f t="shared" si="3"/>
        <v>1387.25</v>
      </c>
      <c r="E94" s="354">
        <f t="shared" si="4"/>
        <v>0</v>
      </c>
      <c r="F94" s="31">
        <v>1387.25</v>
      </c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</row>
    <row r="95" spans="1:17" s="310" customFormat="1" ht="15.75" thickBot="1">
      <c r="A95" s="195" t="s">
        <v>698</v>
      </c>
      <c r="B95" s="191"/>
      <c r="C95" s="352">
        <v>2461.25</v>
      </c>
      <c r="D95" s="353">
        <f t="shared" si="3"/>
        <v>0</v>
      </c>
      <c r="E95" s="354">
        <f t="shared" si="4"/>
        <v>2461.25</v>
      </c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</row>
    <row r="96" spans="1:17" s="310" customFormat="1" ht="15.75" thickBot="1">
      <c r="A96" s="195" t="s">
        <v>115</v>
      </c>
      <c r="B96" s="191"/>
      <c r="C96" s="352">
        <v>13442.9</v>
      </c>
      <c r="D96" s="353">
        <f t="shared" si="3"/>
        <v>12501.9</v>
      </c>
      <c r="E96" s="354">
        <f t="shared" si="4"/>
        <v>941</v>
      </c>
      <c r="F96" s="31"/>
      <c r="G96" s="31"/>
      <c r="H96" s="31">
        <v>12501.9</v>
      </c>
      <c r="I96" s="31"/>
      <c r="J96" s="31"/>
      <c r="K96" s="31"/>
      <c r="L96" s="31"/>
      <c r="M96" s="31"/>
      <c r="N96" s="31"/>
      <c r="O96" s="31"/>
      <c r="P96" s="31"/>
      <c r="Q96" s="31"/>
    </row>
    <row r="97" spans="1:18" s="310" customFormat="1" ht="15.75" thickBot="1">
      <c r="A97" s="195" t="s">
        <v>699</v>
      </c>
      <c r="B97" s="191"/>
      <c r="C97" s="352">
        <v>716</v>
      </c>
      <c r="D97" s="353">
        <f t="shared" si="3"/>
        <v>673.04</v>
      </c>
      <c r="E97" s="354">
        <f t="shared" si="4"/>
        <v>42.960000000000036</v>
      </c>
      <c r="F97" s="31"/>
      <c r="G97" s="31">
        <v>673.04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</row>
    <row r="98" spans="1:18" s="310" customFormat="1" ht="15.75" thickBot="1">
      <c r="A98" s="195" t="s">
        <v>700</v>
      </c>
      <c r="B98" s="191"/>
      <c r="C98" s="352">
        <v>89.5</v>
      </c>
      <c r="D98" s="353">
        <f t="shared" si="3"/>
        <v>89.5</v>
      </c>
      <c r="E98" s="354">
        <f t="shared" si="4"/>
        <v>0</v>
      </c>
      <c r="F98" s="31"/>
      <c r="G98" s="31">
        <v>89.5</v>
      </c>
      <c r="H98" s="31"/>
      <c r="I98" s="31"/>
      <c r="J98" s="31"/>
      <c r="K98" s="31"/>
      <c r="L98" s="31"/>
      <c r="M98" s="31"/>
      <c r="N98" s="31"/>
      <c r="O98" s="31"/>
      <c r="P98" s="31"/>
      <c r="Q98" s="31"/>
    </row>
    <row r="99" spans="1:18" s="310" customFormat="1" ht="15.75" thickBot="1">
      <c r="A99" s="195" t="s">
        <v>701</v>
      </c>
      <c r="B99" s="191"/>
      <c r="C99" s="352">
        <v>53.7</v>
      </c>
      <c r="D99" s="353">
        <f t="shared" si="3"/>
        <v>51.55</v>
      </c>
      <c r="E99" s="354">
        <f t="shared" si="4"/>
        <v>2.1500000000000057</v>
      </c>
      <c r="F99" s="31">
        <v>51.55</v>
      </c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</row>
    <row r="100" spans="1:18" s="310" customFormat="1" ht="15.75" thickBot="1">
      <c r="A100" s="195" t="s">
        <v>702</v>
      </c>
      <c r="B100" s="191"/>
      <c r="C100" s="352">
        <v>26.85</v>
      </c>
      <c r="D100" s="353">
        <f t="shared" si="3"/>
        <v>0</v>
      </c>
      <c r="E100" s="354">
        <f t="shared" si="4"/>
        <v>26.85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</row>
    <row r="101" spans="1:18" s="310" customFormat="1" ht="15.75" thickBot="1">
      <c r="A101" s="195" t="s">
        <v>472</v>
      </c>
      <c r="B101" s="191"/>
      <c r="C101" s="352">
        <v>805.5</v>
      </c>
      <c r="D101" s="353">
        <f t="shared" si="3"/>
        <v>0</v>
      </c>
      <c r="E101" s="354">
        <f t="shared" si="4"/>
        <v>805.5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</row>
    <row r="102" spans="1:18" s="310" customFormat="1" ht="15.75" thickBot="1">
      <c r="A102" s="195" t="s">
        <v>703</v>
      </c>
      <c r="B102" s="191"/>
      <c r="C102" s="352">
        <v>0</v>
      </c>
      <c r="D102" s="353">
        <f t="shared" si="3"/>
        <v>0</v>
      </c>
      <c r="E102" s="354">
        <f t="shared" si="4"/>
        <v>0</v>
      </c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</row>
    <row r="103" spans="1:18" s="310" customFormat="1" ht="15.75" thickBot="1">
      <c r="A103" s="195"/>
      <c r="B103" s="191"/>
      <c r="C103" s="352"/>
      <c r="D103" s="353"/>
      <c r="E103" s="354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</row>
    <row r="104" spans="1:18" s="310" customFormat="1" ht="15.75" thickBot="1">
      <c r="A104" s="195"/>
      <c r="B104" s="191"/>
      <c r="C104" s="352">
        <f>SUM(C11:C103)</f>
        <v>165715.52000000002</v>
      </c>
      <c r="D104" s="352">
        <f t="shared" ref="D104:R104" si="5">SUM(D11:D103)</f>
        <v>74570.270000000019</v>
      </c>
      <c r="E104" s="352">
        <f t="shared" si="5"/>
        <v>91145.250000000015</v>
      </c>
      <c r="F104" s="352">
        <f t="shared" si="5"/>
        <v>21811.340000000004</v>
      </c>
      <c r="G104" s="352">
        <f t="shared" si="5"/>
        <v>7845.81</v>
      </c>
      <c r="H104" s="352">
        <f t="shared" si="5"/>
        <v>26098.25</v>
      </c>
      <c r="I104" s="352">
        <f t="shared" si="5"/>
        <v>12231.79</v>
      </c>
      <c r="J104" s="352">
        <f t="shared" si="5"/>
        <v>197</v>
      </c>
      <c r="K104" s="352">
        <f t="shared" si="5"/>
        <v>6386.08</v>
      </c>
      <c r="L104" s="352">
        <f t="shared" si="5"/>
        <v>0</v>
      </c>
      <c r="M104" s="352">
        <f t="shared" si="5"/>
        <v>0</v>
      </c>
      <c r="N104" s="352">
        <f t="shared" si="5"/>
        <v>0</v>
      </c>
      <c r="O104" s="352">
        <f t="shared" si="5"/>
        <v>0</v>
      </c>
      <c r="P104" s="352">
        <f t="shared" si="5"/>
        <v>0</v>
      </c>
      <c r="Q104" s="352">
        <f t="shared" si="5"/>
        <v>0</v>
      </c>
      <c r="R104" s="352">
        <f t="shared" si="5"/>
        <v>0</v>
      </c>
    </row>
  </sheetData>
  <sheetProtection password="EF32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AEFLA</vt:lpstr>
      <vt:lpstr>MATH &amp; SCIENCE TITLE IIB</vt:lpstr>
      <vt:lpstr>21st CENTURY COHORT 5</vt:lpstr>
      <vt:lpstr>21s Century COHORT 6</vt:lpstr>
      <vt:lpstr>21st CENTURY CO 6</vt:lpstr>
      <vt:lpstr>HOMELESS</vt:lpstr>
      <vt:lpstr>CO GRAD PATHWAY</vt:lpstr>
      <vt:lpstr>TIG Cohort 1 Yr 4 </vt:lpstr>
      <vt:lpstr>TIG Cohort 2 Yr 3</vt:lpstr>
      <vt:lpstr>TIG Cohort 3 Yr 2</vt:lpstr>
      <vt:lpstr>TIG Cohort 4 Yr 1</vt:lpstr>
      <vt:lpstr>TDIP Cohort 1 Yr 4</vt:lpstr>
      <vt:lpstr>TDIP Cohort 2 Yr 3</vt:lpstr>
      <vt:lpstr>TDIP Cohort 3 Yr 1</vt:lpstr>
      <vt:lpstr>SIS </vt:lpstr>
      <vt:lpstr>UVA Leadership Pilot</vt:lpstr>
      <vt:lpstr>Abstinence Education</vt:lpstr>
      <vt:lpstr>Title V-B Charter Schools Pgrm</vt:lpstr>
      <vt:lpstr>SIS-Fulton</vt:lpstr>
      <vt:lpstr>El-Civics</vt:lpstr>
      <vt:lpstr>Gill Foundation</vt:lpstr>
      <vt:lpstr>RTTT Early Childhood</vt:lpstr>
    </vt:vector>
  </TitlesOfParts>
  <Company>CDE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 M. Rodriguez</dc:creator>
  <cp:lastModifiedBy>Dake, Nicole</cp:lastModifiedBy>
  <cp:lastPrinted>2013-03-19T18:25:21Z</cp:lastPrinted>
  <dcterms:created xsi:type="dcterms:W3CDTF">2011-11-11T22:30:43Z</dcterms:created>
  <dcterms:modified xsi:type="dcterms:W3CDTF">2014-03-19T19:57:00Z</dcterms:modified>
</cp:coreProperties>
</file>