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480" windowWidth="17235" windowHeight="9105"/>
  </bookViews>
  <sheets>
    <sheet name="Summary" sheetId="60" r:id="rId1"/>
    <sheet name="Rate History" sheetId="66" r:id="rId2"/>
    <sheet name="FTSE Summary" sheetId="65" r:id="rId3"/>
    <sheet name="Discipline Summary" sheetId="62" r:id="rId4"/>
    <sheet name="Discipline Analysis" sheetId="63" r:id="rId5"/>
    <sheet name="Neutral" sheetId="67" r:id="rId6"/>
    <sheet name="1" sheetId="57" r:id="rId7"/>
    <sheet name="2" sheetId="56" r:id="rId8"/>
    <sheet name="3" sheetId="55" r:id="rId9"/>
    <sheet name="4" sheetId="54" r:id="rId10"/>
    <sheet name="5" sheetId="53" r:id="rId11"/>
    <sheet name="6" sheetId="52" r:id="rId12"/>
    <sheet name="7" sheetId="51" r:id="rId13"/>
    <sheet name="8" sheetId="50" r:id="rId14"/>
    <sheet name="9" sheetId="49" r:id="rId15"/>
    <sheet name="10" sheetId="48" r:id="rId16"/>
    <sheet name="11" sheetId="47" r:id="rId17"/>
    <sheet name="12" sheetId="46" r:id="rId18"/>
    <sheet name="13" sheetId="45" r:id="rId19"/>
    <sheet name="14" sheetId="44" r:id="rId20"/>
    <sheet name="15" sheetId="43" r:id="rId21"/>
    <sheet name="16" sheetId="42" r:id="rId22"/>
    <sheet name="17" sheetId="41" r:id="rId23"/>
    <sheet name="18" sheetId="40" r:id="rId24"/>
    <sheet name="19" sheetId="39" r:id="rId25"/>
    <sheet name="20" sheetId="38" r:id="rId26"/>
    <sheet name="21" sheetId="37" r:id="rId27"/>
    <sheet name="22" sheetId="36" r:id="rId28"/>
    <sheet name="23" sheetId="35" r:id="rId29"/>
    <sheet name="24" sheetId="34" r:id="rId30"/>
    <sheet name="25" sheetId="33" r:id="rId31"/>
    <sheet name="26" sheetId="32" r:id="rId32"/>
    <sheet name="27" sheetId="31" r:id="rId33"/>
    <sheet name="28" sheetId="30" r:id="rId34"/>
    <sheet name="29" sheetId="29" r:id="rId35"/>
    <sheet name="30" sheetId="28" r:id="rId36"/>
    <sheet name="31" sheetId="27" r:id="rId37"/>
    <sheet name="32" sheetId="26" r:id="rId38"/>
    <sheet name="33" sheetId="25" r:id="rId39"/>
    <sheet name="34" sheetId="24" r:id="rId40"/>
    <sheet name="35" sheetId="23" r:id="rId41"/>
    <sheet name="36" sheetId="22" r:id="rId42"/>
    <sheet name="37" sheetId="21" r:id="rId43"/>
    <sheet name="38" sheetId="20" r:id="rId44"/>
    <sheet name="39" sheetId="19" r:id="rId45"/>
    <sheet name="40" sheetId="18" r:id="rId46"/>
    <sheet name="41" sheetId="17" r:id="rId47"/>
    <sheet name="42" sheetId="16" r:id="rId48"/>
    <sheet name="43" sheetId="15" r:id="rId49"/>
    <sheet name="44" sheetId="14" r:id="rId50"/>
    <sheet name="45" sheetId="13" r:id="rId51"/>
    <sheet name="46" sheetId="12" r:id="rId52"/>
    <sheet name="47" sheetId="11" r:id="rId53"/>
    <sheet name="48" sheetId="10" r:id="rId54"/>
    <sheet name="49" sheetId="9" r:id="rId55"/>
    <sheet name="50" sheetId="8" r:id="rId56"/>
    <sheet name="51" sheetId="7" r:id="rId57"/>
    <sheet name="52" sheetId="6" r:id="rId58"/>
    <sheet name="53" sheetId="5" r:id="rId59"/>
    <sheet name="54" sheetId="4" r:id="rId60"/>
    <sheet name="55" sheetId="3" r:id="rId61"/>
    <sheet name="56" sheetId="59" r:id="rId62"/>
    <sheet name="57" sheetId="1" r:id="rId63"/>
    <sheet name="Data" sheetId="2" r:id="rId64"/>
  </sheets>
  <definedNames>
    <definedName name="Broadway_AP_FRP_RFOE_CCSurvey" localSheetId="63" hidden="1">Data!$A$4:$LB$61</definedName>
    <definedName name="_xlnm.Print_Area" localSheetId="4">'Discipline Analysis'!$A$1:$V$64</definedName>
    <definedName name="_xlnm.Print_Titles" localSheetId="4">'Discipline Analysis'!$A:$A,'Discipline Analysis'!$5:$5</definedName>
    <definedName name="_xlnm.Print_Titles" localSheetId="3">'Discipline Summary'!$A:$A,'Discipline Summary'!$3:$3</definedName>
    <definedName name="_xlnm.Print_Titles" localSheetId="2">'FTSE Summary'!$3:$3</definedName>
    <definedName name="_xlnm.Print_Titles" localSheetId="5">Neutral!$4:$4</definedName>
    <definedName name="_xlnm.Print_Titles" localSheetId="1">'Rate History'!$B:$B</definedName>
  </definedNames>
  <calcPr calcId="145621"/>
</workbook>
</file>

<file path=xl/calcChain.xml><?xml version="1.0" encoding="utf-8"?>
<calcChain xmlns="http://schemas.openxmlformats.org/spreadsheetml/2006/main">
  <c r="C4" i="67" l="1"/>
  <c r="B4" i="67"/>
  <c r="C62" i="67" l="1"/>
  <c r="D62" i="67" s="1"/>
  <c r="E62" i="67" s="1"/>
  <c r="B62" i="67"/>
  <c r="C61" i="67"/>
  <c r="B61" i="67"/>
  <c r="C60" i="67"/>
  <c r="B60" i="67"/>
  <c r="C59" i="67"/>
  <c r="B59" i="67"/>
  <c r="C58" i="67"/>
  <c r="B58" i="67"/>
  <c r="C57" i="67"/>
  <c r="B57" i="67"/>
  <c r="C56" i="67"/>
  <c r="B56" i="67"/>
  <c r="C55" i="67"/>
  <c r="B55" i="67"/>
  <c r="C54" i="67"/>
  <c r="B54" i="67"/>
  <c r="C53" i="67"/>
  <c r="B53" i="67"/>
  <c r="C52" i="67"/>
  <c r="B52" i="67"/>
  <c r="C51" i="67"/>
  <c r="B51" i="67"/>
  <c r="C50" i="67"/>
  <c r="D50" i="67" s="1"/>
  <c r="E50" i="67" s="1"/>
  <c r="B50" i="67"/>
  <c r="C49" i="67"/>
  <c r="B49" i="67"/>
  <c r="C48" i="67"/>
  <c r="B48" i="67"/>
  <c r="C47" i="67"/>
  <c r="B47" i="67"/>
  <c r="C46" i="67"/>
  <c r="B46" i="67"/>
  <c r="C45" i="67"/>
  <c r="B45" i="67"/>
  <c r="C44" i="67"/>
  <c r="B44" i="67"/>
  <c r="C43" i="67"/>
  <c r="B43" i="67"/>
  <c r="C42" i="67"/>
  <c r="B42" i="67"/>
  <c r="C41" i="67"/>
  <c r="B41" i="67"/>
  <c r="C40" i="67"/>
  <c r="B40" i="67"/>
  <c r="C39" i="67"/>
  <c r="B39" i="67"/>
  <c r="C38" i="67"/>
  <c r="B38" i="67"/>
  <c r="C37" i="67"/>
  <c r="B37" i="67"/>
  <c r="C36" i="67"/>
  <c r="B36" i="67"/>
  <c r="C35" i="67"/>
  <c r="B35" i="67"/>
  <c r="C34" i="67"/>
  <c r="B34" i="67"/>
  <c r="C33" i="67"/>
  <c r="B33" i="67"/>
  <c r="C32" i="67"/>
  <c r="B32" i="67"/>
  <c r="C31" i="67"/>
  <c r="B31" i="67"/>
  <c r="C30" i="67"/>
  <c r="B30" i="67"/>
  <c r="C29" i="67"/>
  <c r="B29" i="67"/>
  <c r="C28" i="67"/>
  <c r="B28" i="67"/>
  <c r="C27" i="67"/>
  <c r="B27" i="67"/>
  <c r="C26" i="67"/>
  <c r="B26" i="67"/>
  <c r="C25" i="67"/>
  <c r="B25" i="67"/>
  <c r="C24" i="67"/>
  <c r="B24" i="67"/>
  <c r="C23" i="67"/>
  <c r="B23" i="67"/>
  <c r="C22" i="67"/>
  <c r="B22" i="67"/>
  <c r="C21" i="67"/>
  <c r="B21" i="67"/>
  <c r="C20" i="67"/>
  <c r="B20" i="67"/>
  <c r="C19" i="67"/>
  <c r="B19" i="67"/>
  <c r="C18" i="67"/>
  <c r="D18" i="67" s="1"/>
  <c r="E18" i="67" s="1"/>
  <c r="B18" i="67"/>
  <c r="C17" i="67"/>
  <c r="B17" i="67"/>
  <c r="C16" i="67"/>
  <c r="B16" i="67"/>
  <c r="C15" i="67"/>
  <c r="B15" i="67"/>
  <c r="C14" i="67"/>
  <c r="B14" i="67"/>
  <c r="C13" i="67"/>
  <c r="B13" i="67"/>
  <c r="C12" i="67"/>
  <c r="B12" i="67"/>
  <c r="C11" i="67"/>
  <c r="B11" i="67"/>
  <c r="C10" i="67"/>
  <c r="B10" i="67"/>
  <c r="C9" i="67"/>
  <c r="B9" i="67"/>
  <c r="C8" i="67"/>
  <c r="B8" i="67"/>
  <c r="C7" i="67"/>
  <c r="B7" i="67"/>
  <c r="C6" i="67"/>
  <c r="C63" i="67" s="1"/>
  <c r="B6" i="67"/>
  <c r="B63" i="67" s="1"/>
  <c r="A1" i="67"/>
  <c r="D5" i="67"/>
  <c r="A1" i="66"/>
  <c r="C31" i="66"/>
  <c r="C30" i="66"/>
  <c r="I31" i="66"/>
  <c r="I30" i="66"/>
  <c r="G34" i="66"/>
  <c r="F34" i="66"/>
  <c r="L34" i="66" s="1"/>
  <c r="E34" i="66"/>
  <c r="K34" i="66" s="1"/>
  <c r="G33" i="66"/>
  <c r="F33" i="66"/>
  <c r="L33" i="66" s="1"/>
  <c r="E33" i="66"/>
  <c r="K33" i="66" s="1"/>
  <c r="G32" i="66"/>
  <c r="F32" i="66"/>
  <c r="L32" i="66" s="1"/>
  <c r="E32" i="66"/>
  <c r="K32" i="66" s="1"/>
  <c r="L31" i="66"/>
  <c r="K31" i="66"/>
  <c r="J31" i="66"/>
  <c r="L30" i="66"/>
  <c r="K30" i="66"/>
  <c r="J30" i="66"/>
  <c r="L29" i="66"/>
  <c r="K29" i="66"/>
  <c r="J29" i="66"/>
  <c r="L28" i="66"/>
  <c r="K28" i="66"/>
  <c r="J28" i="66"/>
  <c r="L27" i="66"/>
  <c r="K27" i="66"/>
  <c r="J27" i="66"/>
  <c r="L26" i="66"/>
  <c r="K26" i="66"/>
  <c r="J26" i="66"/>
  <c r="L25" i="66"/>
  <c r="K25" i="66"/>
  <c r="J25" i="66"/>
  <c r="L24" i="66"/>
  <c r="K24" i="66"/>
  <c r="J24" i="66"/>
  <c r="L23" i="66"/>
  <c r="K23" i="66"/>
  <c r="J23" i="66"/>
  <c r="L22" i="66"/>
  <c r="K22" i="66"/>
  <c r="J22" i="66"/>
  <c r="L21" i="66"/>
  <c r="K21" i="66"/>
  <c r="J21" i="66"/>
  <c r="L20" i="66"/>
  <c r="K20" i="66"/>
  <c r="J20" i="66"/>
  <c r="L19" i="66"/>
  <c r="K19" i="66"/>
  <c r="J19" i="66"/>
  <c r="L18" i="66"/>
  <c r="K18" i="66"/>
  <c r="J18" i="66"/>
  <c r="L17" i="66"/>
  <c r="K17" i="66"/>
  <c r="J17" i="66"/>
  <c r="L16" i="66"/>
  <c r="K16" i="66"/>
  <c r="J16" i="66"/>
  <c r="L15" i="66"/>
  <c r="K15" i="66"/>
  <c r="J15" i="66"/>
  <c r="L14" i="66"/>
  <c r="K14" i="66"/>
  <c r="J14" i="66"/>
  <c r="L13" i="66"/>
  <c r="K13" i="66"/>
  <c r="J13" i="66"/>
  <c r="L12" i="66"/>
  <c r="K12" i="66"/>
  <c r="J12" i="66"/>
  <c r="L11" i="66"/>
  <c r="K11" i="66"/>
  <c r="J11" i="66"/>
  <c r="L10" i="66"/>
  <c r="K10" i="66"/>
  <c r="J10" i="66"/>
  <c r="L9" i="66"/>
  <c r="K9" i="66"/>
  <c r="J9" i="66"/>
  <c r="L8" i="66"/>
  <c r="K8" i="66"/>
  <c r="J8" i="66"/>
  <c r="L7" i="66"/>
  <c r="K7" i="66"/>
  <c r="J7" i="66"/>
  <c r="L6" i="66"/>
  <c r="K6" i="66"/>
  <c r="J6" i="66"/>
  <c r="L5" i="66"/>
  <c r="K5" i="66"/>
  <c r="J5" i="66"/>
  <c r="L4" i="66"/>
  <c r="K4" i="66"/>
  <c r="D34" i="66"/>
  <c r="J34" i="66" s="1"/>
  <c r="D7" i="67" l="1"/>
  <c r="E7" i="67" s="1"/>
  <c r="D8" i="67"/>
  <c r="E8" i="67" s="1"/>
  <c r="D9" i="67"/>
  <c r="E9" i="67" s="1"/>
  <c r="D10" i="67"/>
  <c r="E10" i="67" s="1"/>
  <c r="D11" i="67"/>
  <c r="E11" i="67" s="1"/>
  <c r="D12" i="67"/>
  <c r="E12" i="67" s="1"/>
  <c r="D13" i="67"/>
  <c r="E13" i="67" s="1"/>
  <c r="D14" i="67"/>
  <c r="E14" i="67" s="1"/>
  <c r="D15" i="67"/>
  <c r="E15" i="67" s="1"/>
  <c r="D16" i="67"/>
  <c r="E16" i="67" s="1"/>
  <c r="D17" i="67"/>
  <c r="E17" i="67" s="1"/>
  <c r="D19" i="67"/>
  <c r="E19" i="67" s="1"/>
  <c r="D20" i="67"/>
  <c r="E20" i="67" s="1"/>
  <c r="D21" i="67"/>
  <c r="E21" i="67" s="1"/>
  <c r="D22" i="67"/>
  <c r="E22" i="67" s="1"/>
  <c r="D23" i="67"/>
  <c r="E23" i="67" s="1"/>
  <c r="D24" i="67"/>
  <c r="E24" i="67" s="1"/>
  <c r="D25" i="67"/>
  <c r="E25" i="67" s="1"/>
  <c r="D26" i="67"/>
  <c r="E26" i="67" s="1"/>
  <c r="D27" i="67"/>
  <c r="E27" i="67" s="1"/>
  <c r="D28" i="67"/>
  <c r="E28" i="67" s="1"/>
  <c r="D29" i="67"/>
  <c r="E29" i="67" s="1"/>
  <c r="D30" i="67"/>
  <c r="E30" i="67" s="1"/>
  <c r="D31" i="67"/>
  <c r="E31" i="67" s="1"/>
  <c r="D32" i="67"/>
  <c r="E32" i="67" s="1"/>
  <c r="D33" i="67"/>
  <c r="E33" i="67" s="1"/>
  <c r="D34" i="67"/>
  <c r="E34" i="67" s="1"/>
  <c r="D35" i="67"/>
  <c r="E35" i="67" s="1"/>
  <c r="D36" i="67"/>
  <c r="E36" i="67" s="1"/>
  <c r="D37" i="67"/>
  <c r="E37" i="67" s="1"/>
  <c r="D38" i="67"/>
  <c r="E38" i="67" s="1"/>
  <c r="D39" i="67"/>
  <c r="E39" i="67" s="1"/>
  <c r="D40" i="67"/>
  <c r="E40" i="67" s="1"/>
  <c r="D41" i="67"/>
  <c r="E41" i="67" s="1"/>
  <c r="D42" i="67"/>
  <c r="E42" i="67" s="1"/>
  <c r="D43" i="67"/>
  <c r="E43" i="67" s="1"/>
  <c r="D44" i="67"/>
  <c r="E44" i="67" s="1"/>
  <c r="D45" i="67"/>
  <c r="E45" i="67" s="1"/>
  <c r="D46" i="67"/>
  <c r="E46" i="67" s="1"/>
  <c r="D47" i="67"/>
  <c r="E47" i="67" s="1"/>
  <c r="D48" i="67"/>
  <c r="E48" i="67" s="1"/>
  <c r="D49" i="67"/>
  <c r="E49" i="67" s="1"/>
  <c r="D51" i="67"/>
  <c r="E51" i="67" s="1"/>
  <c r="D52" i="67"/>
  <c r="E52" i="67" s="1"/>
  <c r="D53" i="67"/>
  <c r="E53" i="67" s="1"/>
  <c r="D54" i="67"/>
  <c r="E54" i="67" s="1"/>
  <c r="D55" i="67"/>
  <c r="E55" i="67" s="1"/>
  <c r="D56" i="67"/>
  <c r="E56" i="67" s="1"/>
  <c r="D57" i="67"/>
  <c r="E57" i="67" s="1"/>
  <c r="D58" i="67"/>
  <c r="E58" i="67" s="1"/>
  <c r="D59" i="67"/>
  <c r="E59" i="67" s="1"/>
  <c r="D60" i="67"/>
  <c r="E60" i="67" s="1"/>
  <c r="D61" i="67"/>
  <c r="E61" i="67" s="1"/>
  <c r="D63" i="67"/>
  <c r="E63" i="67" s="1"/>
  <c r="D6" i="67"/>
  <c r="E6" i="67" s="1"/>
  <c r="J4" i="66"/>
  <c r="D33" i="66"/>
  <c r="J33" i="66" s="1"/>
  <c r="D32" i="66"/>
  <c r="J32" i="66" s="1"/>
  <c r="F3" i="1" l="1"/>
  <c r="B2" i="1"/>
  <c r="A1" i="1"/>
  <c r="F3" i="59"/>
  <c r="B2" i="59"/>
  <c r="A1" i="59"/>
  <c r="F3" i="3"/>
  <c r="B2" i="3"/>
  <c r="A1" i="3"/>
  <c r="F3" i="4"/>
  <c r="B2" i="4"/>
  <c r="A1" i="4"/>
  <c r="F3" i="5"/>
  <c r="B2" i="5"/>
  <c r="A1" i="5"/>
  <c r="F3" i="6"/>
  <c r="B2" i="6"/>
  <c r="A1" i="6"/>
  <c r="F3" i="7"/>
  <c r="B2" i="7"/>
  <c r="A1" i="7"/>
  <c r="F3" i="8"/>
  <c r="B2" i="8"/>
  <c r="A1" i="8"/>
  <c r="F3" i="9"/>
  <c r="B2" i="9"/>
  <c r="A1" i="9"/>
  <c r="F3" i="10"/>
  <c r="B2" i="10"/>
  <c r="A1" i="10"/>
  <c r="F3" i="11"/>
  <c r="B2" i="11"/>
  <c r="A1" i="11"/>
  <c r="F3" i="12"/>
  <c r="B2" i="12"/>
  <c r="A1" i="12"/>
  <c r="F3" i="13"/>
  <c r="B2" i="13"/>
  <c r="A1" i="13"/>
  <c r="F3" i="14"/>
  <c r="B2" i="14"/>
  <c r="A1" i="14"/>
  <c r="F3" i="15"/>
  <c r="B2" i="15"/>
  <c r="A1" i="15"/>
  <c r="F3" i="16"/>
  <c r="B2" i="16"/>
  <c r="A1" i="16"/>
  <c r="F3" i="17"/>
  <c r="B2" i="17"/>
  <c r="A1" i="17"/>
  <c r="F3" i="18"/>
  <c r="B2" i="18"/>
  <c r="A1" i="18"/>
  <c r="F3" i="19"/>
  <c r="B2" i="19"/>
  <c r="A1" i="19"/>
  <c r="F3" i="20"/>
  <c r="B2" i="20"/>
  <c r="A1" i="20"/>
  <c r="F3" i="21"/>
  <c r="B2" i="21"/>
  <c r="A1" i="21"/>
  <c r="F3" i="22"/>
  <c r="B2" i="22"/>
  <c r="A1" i="22"/>
  <c r="F3" i="23"/>
  <c r="B2" i="23"/>
  <c r="A1" i="23"/>
  <c r="F3" i="24"/>
  <c r="B2" i="24"/>
  <c r="A1" i="24"/>
  <c r="F3" i="25"/>
  <c r="B2" i="25"/>
  <c r="A1" i="25"/>
  <c r="F3" i="26"/>
  <c r="B2" i="26"/>
  <c r="A1" i="26"/>
  <c r="F3" i="27"/>
  <c r="B2" i="27"/>
  <c r="A1" i="27"/>
  <c r="F3" i="28"/>
  <c r="B2" i="28"/>
  <c r="A1" i="28"/>
  <c r="F3" i="29"/>
  <c r="B2" i="29"/>
  <c r="A1" i="29"/>
  <c r="F3" i="30"/>
  <c r="B2" i="30"/>
  <c r="A1" i="30"/>
  <c r="F3" i="31"/>
  <c r="B2" i="31"/>
  <c r="A1" i="31"/>
  <c r="F3" i="32"/>
  <c r="B2" i="32"/>
  <c r="A1" i="32"/>
  <c r="F3" i="33"/>
  <c r="B2" i="33"/>
  <c r="A1" i="33"/>
  <c r="F3" i="34"/>
  <c r="B2" i="34"/>
  <c r="A1" i="34"/>
  <c r="F3" i="35"/>
  <c r="B2" i="35"/>
  <c r="A1" i="35"/>
  <c r="F3" i="36"/>
  <c r="B2" i="36"/>
  <c r="A1" i="36"/>
  <c r="F3" i="37"/>
  <c r="B2" i="37"/>
  <c r="A1" i="37"/>
  <c r="F3" i="38"/>
  <c r="B2" i="38"/>
  <c r="A1" i="38"/>
  <c r="F3" i="39"/>
  <c r="B2" i="39"/>
  <c r="A1" i="39"/>
  <c r="F3" i="40"/>
  <c r="B2" i="40"/>
  <c r="A1" i="40"/>
  <c r="F3" i="41"/>
  <c r="B2" i="41"/>
  <c r="A1" i="41"/>
  <c r="F3" i="42"/>
  <c r="B2" i="42"/>
  <c r="A1" i="42"/>
  <c r="F3" i="43"/>
  <c r="B2" i="43"/>
  <c r="A1" i="43"/>
  <c r="F3" i="44"/>
  <c r="B2" i="44"/>
  <c r="A1" i="44"/>
  <c r="F3" i="45"/>
  <c r="B2" i="45"/>
  <c r="A1" i="45"/>
  <c r="F3" i="46"/>
  <c r="B2" i="46"/>
  <c r="A1" i="46"/>
  <c r="F3" i="47"/>
  <c r="B2" i="47"/>
  <c r="A1" i="47"/>
  <c r="F3" i="48"/>
  <c r="B2" i="48"/>
  <c r="A1" i="48"/>
  <c r="F3" i="49"/>
  <c r="B2" i="49"/>
  <c r="A1" i="49"/>
  <c r="F3" i="50"/>
  <c r="B2" i="50"/>
  <c r="A1" i="50"/>
  <c r="F3" i="51"/>
  <c r="B2" i="51"/>
  <c r="A1" i="51"/>
  <c r="F3" i="52"/>
  <c r="B2" i="52"/>
  <c r="A1" i="52"/>
  <c r="F3" i="53"/>
  <c r="B2" i="53"/>
  <c r="A1" i="53"/>
  <c r="F3" i="54"/>
  <c r="B2" i="54"/>
  <c r="A1" i="54"/>
  <c r="F3" i="55"/>
  <c r="B2" i="55"/>
  <c r="A1" i="55"/>
  <c r="F3" i="56"/>
  <c r="B2" i="56"/>
  <c r="A1" i="56"/>
  <c r="F3" i="57"/>
  <c r="B2" i="57"/>
  <c r="A1" i="57"/>
  <c r="A1" i="63"/>
  <c r="A1" i="62"/>
  <c r="C60" i="65"/>
  <c r="C59" i="65"/>
  <c r="C58" i="65"/>
  <c r="C57" i="65"/>
  <c r="C56" i="65"/>
  <c r="C55" i="65"/>
  <c r="C54" i="65"/>
  <c r="C53" i="65"/>
  <c r="C52" i="65"/>
  <c r="C51" i="65"/>
  <c r="C50" i="65"/>
  <c r="C49" i="65"/>
  <c r="C48" i="65"/>
  <c r="C47" i="65"/>
  <c r="C46" i="65"/>
  <c r="C45" i="65"/>
  <c r="C44" i="65"/>
  <c r="C43" i="65"/>
  <c r="C42" i="65"/>
  <c r="C41" i="65"/>
  <c r="C40" i="65"/>
  <c r="C39" i="65"/>
  <c r="C38" i="65"/>
  <c r="C37" i="65"/>
  <c r="C36" i="65"/>
  <c r="C35" i="65"/>
  <c r="C34" i="65"/>
  <c r="C33" i="65"/>
  <c r="C32" i="65"/>
  <c r="C31" i="65"/>
  <c r="C30" i="65"/>
  <c r="C29" i="65"/>
  <c r="C28" i="65"/>
  <c r="C27" i="65"/>
  <c r="C26" i="65"/>
  <c r="C25" i="65"/>
  <c r="C24" i="65"/>
  <c r="C23" i="65"/>
  <c r="C22" i="65"/>
  <c r="C21" i="65"/>
  <c r="C20" i="65"/>
  <c r="C19" i="65"/>
  <c r="C18" i="65"/>
  <c r="C17" i="65"/>
  <c r="C16" i="65"/>
  <c r="C15" i="65"/>
  <c r="C14" i="65"/>
  <c r="C13" i="65"/>
  <c r="C12" i="65"/>
  <c r="C11" i="65"/>
  <c r="C10" i="65"/>
  <c r="C9" i="65"/>
  <c r="C8" i="65"/>
  <c r="C7" i="65"/>
  <c r="C6" i="65"/>
  <c r="C5" i="65"/>
  <c r="C4" i="65"/>
  <c r="A1" i="65"/>
  <c r="D120" i="60"/>
  <c r="C120" i="60"/>
  <c r="E117" i="60"/>
  <c r="C117" i="60"/>
  <c r="D116" i="60"/>
  <c r="D114" i="60"/>
  <c r="D113" i="60"/>
  <c r="D112" i="60"/>
  <c r="D111" i="60"/>
  <c r="D110" i="60"/>
  <c r="E62" i="56" l="1"/>
  <c r="E60" i="56"/>
  <c r="E58" i="56"/>
  <c r="E56" i="56"/>
  <c r="E54" i="56"/>
  <c r="E52" i="56"/>
  <c r="E50" i="56"/>
  <c r="E48" i="56"/>
  <c r="E46" i="56"/>
  <c r="E44" i="56"/>
  <c r="E42" i="56"/>
  <c r="E40" i="56"/>
  <c r="E38" i="56"/>
  <c r="E36" i="56"/>
  <c r="E63" i="56"/>
  <c r="E61" i="56"/>
  <c r="E59" i="56"/>
  <c r="E57" i="56"/>
  <c r="E55" i="56"/>
  <c r="E53" i="56"/>
  <c r="E51" i="56"/>
  <c r="E49" i="56"/>
  <c r="E47" i="56"/>
  <c r="E45" i="56"/>
  <c r="E43" i="56"/>
  <c r="E41" i="56"/>
  <c r="E39" i="56"/>
  <c r="E37" i="56"/>
  <c r="E62" i="54"/>
  <c r="E60" i="54"/>
  <c r="E58" i="54"/>
  <c r="E56" i="54"/>
  <c r="E54" i="54"/>
  <c r="E52" i="54"/>
  <c r="E50" i="54"/>
  <c r="E48" i="54"/>
  <c r="E46" i="54"/>
  <c r="E44" i="54"/>
  <c r="E42" i="54"/>
  <c r="E40" i="54"/>
  <c r="E38" i="54"/>
  <c r="E36" i="54"/>
  <c r="E63" i="54"/>
  <c r="E59" i="54"/>
  <c r="E55" i="54"/>
  <c r="E51" i="54"/>
  <c r="E47" i="54"/>
  <c r="E43" i="54"/>
  <c r="E39" i="54"/>
  <c r="E61" i="54"/>
  <c r="E57" i="54"/>
  <c r="E53" i="54"/>
  <c r="E49" i="54"/>
  <c r="E45" i="54"/>
  <c r="E41" i="54"/>
  <c r="E37" i="54"/>
  <c r="E62" i="52"/>
  <c r="E60" i="52"/>
  <c r="E58" i="52"/>
  <c r="E56" i="52"/>
  <c r="E54" i="52"/>
  <c r="E52" i="52"/>
  <c r="E50" i="52"/>
  <c r="E48" i="52"/>
  <c r="E46" i="52"/>
  <c r="E44" i="52"/>
  <c r="E42" i="52"/>
  <c r="E40" i="52"/>
  <c r="E38" i="52"/>
  <c r="E36" i="52"/>
  <c r="E63" i="52"/>
  <c r="E59" i="52"/>
  <c r="E55" i="52"/>
  <c r="E51" i="52"/>
  <c r="E47" i="52"/>
  <c r="E43" i="52"/>
  <c r="E39" i="52"/>
  <c r="E61" i="52"/>
  <c r="E57" i="52"/>
  <c r="E53" i="52"/>
  <c r="E49" i="52"/>
  <c r="E45" i="52"/>
  <c r="E41" i="52"/>
  <c r="E37" i="52"/>
  <c r="E62" i="50"/>
  <c r="E60" i="50"/>
  <c r="E58" i="50"/>
  <c r="E56" i="50"/>
  <c r="E54" i="50"/>
  <c r="E52" i="50"/>
  <c r="E50" i="50"/>
  <c r="E48" i="50"/>
  <c r="E46" i="50"/>
  <c r="E44" i="50"/>
  <c r="E42" i="50"/>
  <c r="E40" i="50"/>
  <c r="E38" i="50"/>
  <c r="E36" i="50"/>
  <c r="E63" i="50"/>
  <c r="E59" i="50"/>
  <c r="E55" i="50"/>
  <c r="E51" i="50"/>
  <c r="E47" i="50"/>
  <c r="E43" i="50"/>
  <c r="E39" i="50"/>
  <c r="E61" i="50"/>
  <c r="E57" i="50"/>
  <c r="E53" i="50"/>
  <c r="E49" i="50"/>
  <c r="E45" i="50"/>
  <c r="E41" i="50"/>
  <c r="E37" i="50"/>
  <c r="E62" i="48"/>
  <c r="E60" i="48"/>
  <c r="E58" i="48"/>
  <c r="E56" i="48"/>
  <c r="E54" i="48"/>
  <c r="E52" i="48"/>
  <c r="E50" i="48"/>
  <c r="E48" i="48"/>
  <c r="E46" i="48"/>
  <c r="E44" i="48"/>
  <c r="E42" i="48"/>
  <c r="E40" i="48"/>
  <c r="E38" i="48"/>
  <c r="E36" i="48"/>
  <c r="E63" i="48"/>
  <c r="E61" i="48"/>
  <c r="E59" i="48"/>
  <c r="E57" i="48"/>
  <c r="E55" i="48"/>
  <c r="E53" i="48"/>
  <c r="E51" i="48"/>
  <c r="E49" i="48"/>
  <c r="E47" i="48"/>
  <c r="E45" i="48"/>
  <c r="E43" i="48"/>
  <c r="E41" i="48"/>
  <c r="E39" i="48"/>
  <c r="E37" i="48"/>
  <c r="E62" i="46"/>
  <c r="E63" i="46"/>
  <c r="E61" i="46"/>
  <c r="E59" i="46"/>
  <c r="E57" i="46"/>
  <c r="E55" i="46"/>
  <c r="E53" i="46"/>
  <c r="E51" i="46"/>
  <c r="E49" i="46"/>
  <c r="E47" i="46"/>
  <c r="E45" i="46"/>
  <c r="E43" i="46"/>
  <c r="E41" i="46"/>
  <c r="E39" i="46"/>
  <c r="E37" i="46"/>
  <c r="E60" i="46"/>
  <c r="E56" i="46"/>
  <c r="E52" i="46"/>
  <c r="E48" i="46"/>
  <c r="E44" i="46"/>
  <c r="E40" i="46"/>
  <c r="E36" i="46"/>
  <c r="E58" i="46"/>
  <c r="E54" i="46"/>
  <c r="E50" i="46"/>
  <c r="E46" i="46"/>
  <c r="E42" i="46"/>
  <c r="E38" i="46"/>
  <c r="E63" i="44"/>
  <c r="E61" i="44"/>
  <c r="E59" i="44"/>
  <c r="E57" i="44"/>
  <c r="E60" i="44"/>
  <c r="E56" i="44"/>
  <c r="E54" i="44"/>
  <c r="E52" i="44"/>
  <c r="E50" i="44"/>
  <c r="E48" i="44"/>
  <c r="E46" i="44"/>
  <c r="E44" i="44"/>
  <c r="E42" i="44"/>
  <c r="E40" i="44"/>
  <c r="E38" i="44"/>
  <c r="E36" i="44"/>
  <c r="E62" i="44"/>
  <c r="E58" i="44"/>
  <c r="E55" i="44"/>
  <c r="E53" i="44"/>
  <c r="E51" i="44"/>
  <c r="E49" i="44"/>
  <c r="E47" i="44"/>
  <c r="E45" i="44"/>
  <c r="E43" i="44"/>
  <c r="E41" i="44"/>
  <c r="E39" i="44"/>
  <c r="E37" i="44"/>
  <c r="E62" i="42"/>
  <c r="E60" i="42"/>
  <c r="E58" i="42"/>
  <c r="E56" i="42"/>
  <c r="E54" i="42"/>
  <c r="E52" i="42"/>
  <c r="E50" i="42"/>
  <c r="E48" i="42"/>
  <c r="E46" i="42"/>
  <c r="E44" i="42"/>
  <c r="E42" i="42"/>
  <c r="E40" i="42"/>
  <c r="E38" i="42"/>
  <c r="E36" i="42"/>
  <c r="E63" i="42"/>
  <c r="E61" i="42"/>
  <c r="E59" i="42"/>
  <c r="E57" i="42"/>
  <c r="E55" i="42"/>
  <c r="E53" i="42"/>
  <c r="E51" i="42"/>
  <c r="E49" i="42"/>
  <c r="E47" i="42"/>
  <c r="E45" i="42"/>
  <c r="E43" i="42"/>
  <c r="E41" i="42"/>
  <c r="E39" i="42"/>
  <c r="E37" i="42"/>
  <c r="E62" i="40"/>
  <c r="E60" i="40"/>
  <c r="E58" i="40"/>
  <c r="E56" i="40"/>
  <c r="E54" i="40"/>
  <c r="E52" i="40"/>
  <c r="E50" i="40"/>
  <c r="E48" i="40"/>
  <c r="E46" i="40"/>
  <c r="E44" i="40"/>
  <c r="E42" i="40"/>
  <c r="E40" i="40"/>
  <c r="E38" i="40"/>
  <c r="E36" i="40"/>
  <c r="E63" i="40"/>
  <c r="E61" i="40"/>
  <c r="E59" i="40"/>
  <c r="E57" i="40"/>
  <c r="E55" i="40"/>
  <c r="E53" i="40"/>
  <c r="E51" i="40"/>
  <c r="E49" i="40"/>
  <c r="E47" i="40"/>
  <c r="E45" i="40"/>
  <c r="E43" i="40"/>
  <c r="E41" i="40"/>
  <c r="E39" i="40"/>
  <c r="E37" i="40"/>
  <c r="E62" i="38"/>
  <c r="E60" i="38"/>
  <c r="E58" i="38"/>
  <c r="E56" i="38"/>
  <c r="E54" i="38"/>
  <c r="E52" i="38"/>
  <c r="E50" i="38"/>
  <c r="E48" i="38"/>
  <c r="E46" i="38"/>
  <c r="E44" i="38"/>
  <c r="E42" i="38"/>
  <c r="E40" i="38"/>
  <c r="E38" i="38"/>
  <c r="E36" i="38"/>
  <c r="E63" i="38"/>
  <c r="E61" i="38"/>
  <c r="E59" i="38"/>
  <c r="E57" i="38"/>
  <c r="E55" i="38"/>
  <c r="E53" i="38"/>
  <c r="E51" i="38"/>
  <c r="E49" i="38"/>
  <c r="E47" i="38"/>
  <c r="E45" i="38"/>
  <c r="E43" i="38"/>
  <c r="E39" i="38"/>
  <c r="E41" i="38"/>
  <c r="E37" i="38"/>
  <c r="E62" i="36"/>
  <c r="E60" i="36"/>
  <c r="E58" i="36"/>
  <c r="E56" i="36"/>
  <c r="E54" i="36"/>
  <c r="E52" i="36"/>
  <c r="E50" i="36"/>
  <c r="E48" i="36"/>
  <c r="E46" i="36"/>
  <c r="E44" i="36"/>
  <c r="E42" i="36"/>
  <c r="E40" i="36"/>
  <c r="E38" i="36"/>
  <c r="E36" i="36"/>
  <c r="E63" i="36"/>
  <c r="E59" i="36"/>
  <c r="E55" i="36"/>
  <c r="E51" i="36"/>
  <c r="E47" i="36"/>
  <c r="E43" i="36"/>
  <c r="E39" i="36"/>
  <c r="E61" i="36"/>
  <c r="E57" i="36"/>
  <c r="E53" i="36"/>
  <c r="E49" i="36"/>
  <c r="E45" i="36"/>
  <c r="E41" i="36"/>
  <c r="E37" i="36"/>
  <c r="E62" i="34"/>
  <c r="E60" i="34"/>
  <c r="E58" i="34"/>
  <c r="E56" i="34"/>
  <c r="E54" i="34"/>
  <c r="E52" i="34"/>
  <c r="E50" i="34"/>
  <c r="E48" i="34"/>
  <c r="E46" i="34"/>
  <c r="E44" i="34"/>
  <c r="E42" i="34"/>
  <c r="E40" i="34"/>
  <c r="E38" i="34"/>
  <c r="E36" i="34"/>
  <c r="E63" i="34"/>
  <c r="E59" i="34"/>
  <c r="E55" i="34"/>
  <c r="E51" i="34"/>
  <c r="E47" i="34"/>
  <c r="E43" i="34"/>
  <c r="E39" i="34"/>
  <c r="E61" i="34"/>
  <c r="E57" i="34"/>
  <c r="E53" i="34"/>
  <c r="E49" i="34"/>
  <c r="E45" i="34"/>
  <c r="E41" i="34"/>
  <c r="E37" i="34"/>
  <c r="E63" i="32"/>
  <c r="E61" i="32"/>
  <c r="E59" i="32"/>
  <c r="E57" i="32"/>
  <c r="E55" i="32"/>
  <c r="E53" i="32"/>
  <c r="E51" i="32"/>
  <c r="E49" i="32"/>
  <c r="E47" i="32"/>
  <c r="E45" i="32"/>
  <c r="E43" i="32"/>
  <c r="E41" i="32"/>
  <c r="E39" i="32"/>
  <c r="E37" i="32"/>
  <c r="E62" i="32"/>
  <c r="E60" i="32"/>
  <c r="E58" i="32"/>
  <c r="E56" i="32"/>
  <c r="E54" i="32"/>
  <c r="E52" i="32"/>
  <c r="E50" i="32"/>
  <c r="E48" i="32"/>
  <c r="E46" i="32"/>
  <c r="E44" i="32"/>
  <c r="E42" i="32"/>
  <c r="E40" i="32"/>
  <c r="E38" i="32"/>
  <c r="E36" i="32"/>
  <c r="E63" i="30"/>
  <c r="E61" i="30"/>
  <c r="E59" i="30"/>
  <c r="E57" i="30"/>
  <c r="E55" i="30"/>
  <c r="E53" i="30"/>
  <c r="E51" i="30"/>
  <c r="E49" i="30"/>
  <c r="E47" i="30"/>
  <c r="E45" i="30"/>
  <c r="E43" i="30"/>
  <c r="E41" i="30"/>
  <c r="E39" i="30"/>
  <c r="E37" i="30"/>
  <c r="E62" i="30"/>
  <c r="E60" i="30"/>
  <c r="E58" i="30"/>
  <c r="E56" i="30"/>
  <c r="E54" i="30"/>
  <c r="E52" i="30"/>
  <c r="E50" i="30"/>
  <c r="E48" i="30"/>
  <c r="E46" i="30"/>
  <c r="E44" i="30"/>
  <c r="E42" i="30"/>
  <c r="E40" i="30"/>
  <c r="E38" i="30"/>
  <c r="E36" i="30"/>
  <c r="E63" i="28"/>
  <c r="E61" i="28"/>
  <c r="E59" i="28"/>
  <c r="E57" i="28"/>
  <c r="E55" i="28"/>
  <c r="E53" i="28"/>
  <c r="E51" i="28"/>
  <c r="E49" i="28"/>
  <c r="E47" i="28"/>
  <c r="E45" i="28"/>
  <c r="E43" i="28"/>
  <c r="E41" i="28"/>
  <c r="E39" i="28"/>
  <c r="E37" i="28"/>
  <c r="E62" i="28"/>
  <c r="E60" i="28"/>
  <c r="E58" i="28"/>
  <c r="E56" i="28"/>
  <c r="E54" i="28"/>
  <c r="E52" i="28"/>
  <c r="E50" i="28"/>
  <c r="E48" i="28"/>
  <c r="E46" i="28"/>
  <c r="E44" i="28"/>
  <c r="E42" i="28"/>
  <c r="E40" i="28"/>
  <c r="E38" i="28"/>
  <c r="E36" i="28"/>
  <c r="E63" i="26"/>
  <c r="E61" i="26"/>
  <c r="E59" i="26"/>
  <c r="E57" i="26"/>
  <c r="E55" i="26"/>
  <c r="E53" i="26"/>
  <c r="E51" i="26"/>
  <c r="E49" i="26"/>
  <c r="E47" i="26"/>
  <c r="E45" i="26"/>
  <c r="E43" i="26"/>
  <c r="E41" i="26"/>
  <c r="E39" i="26"/>
  <c r="E37" i="26"/>
  <c r="E62" i="26"/>
  <c r="E60" i="26"/>
  <c r="E58" i="26"/>
  <c r="E56" i="26"/>
  <c r="E54" i="26"/>
  <c r="E52" i="26"/>
  <c r="E50" i="26"/>
  <c r="E48" i="26"/>
  <c r="E46" i="26"/>
  <c r="E44" i="26"/>
  <c r="E42" i="26"/>
  <c r="E40" i="26"/>
  <c r="E38" i="26"/>
  <c r="E36" i="26"/>
  <c r="E63" i="24"/>
  <c r="E61" i="24"/>
  <c r="E59" i="24"/>
  <c r="E57" i="24"/>
  <c r="E55" i="24"/>
  <c r="E53" i="24"/>
  <c r="E51" i="24"/>
  <c r="E49" i="24"/>
  <c r="E47" i="24"/>
  <c r="E45" i="24"/>
  <c r="E43" i="24"/>
  <c r="E41" i="24"/>
  <c r="E39" i="24"/>
  <c r="E37" i="24"/>
  <c r="E62" i="24"/>
  <c r="E60" i="24"/>
  <c r="E58" i="24"/>
  <c r="E56" i="24"/>
  <c r="E54" i="24"/>
  <c r="E52" i="24"/>
  <c r="E50" i="24"/>
  <c r="E48" i="24"/>
  <c r="E46" i="24"/>
  <c r="E44" i="24"/>
  <c r="E42" i="24"/>
  <c r="E40" i="24"/>
  <c r="E38" i="24"/>
  <c r="E36" i="24"/>
  <c r="E62" i="22"/>
  <c r="E60" i="22"/>
  <c r="E58" i="22"/>
  <c r="E56" i="22"/>
  <c r="E54" i="22"/>
  <c r="E52" i="22"/>
  <c r="E50" i="22"/>
  <c r="E48" i="22"/>
  <c r="E46" i="22"/>
  <c r="E44" i="22"/>
  <c r="E42" i="22"/>
  <c r="E40" i="22"/>
  <c r="E38" i="22"/>
  <c r="E36" i="22"/>
  <c r="E63" i="22"/>
  <c r="E61" i="22"/>
  <c r="E59" i="22"/>
  <c r="E57" i="22"/>
  <c r="E55" i="22"/>
  <c r="E53" i="22"/>
  <c r="E51" i="22"/>
  <c r="E49" i="22"/>
  <c r="E47" i="22"/>
  <c r="E45" i="22"/>
  <c r="E43" i="22"/>
  <c r="E41" i="22"/>
  <c r="E39" i="22"/>
  <c r="E37" i="22"/>
  <c r="E62" i="20"/>
  <c r="E60" i="20"/>
  <c r="E58" i="20"/>
  <c r="E56" i="20"/>
  <c r="E54" i="20"/>
  <c r="E52" i="20"/>
  <c r="E50" i="20"/>
  <c r="E48" i="20"/>
  <c r="E46" i="20"/>
  <c r="E44" i="20"/>
  <c r="E42" i="20"/>
  <c r="E40" i="20"/>
  <c r="E38" i="20"/>
  <c r="E36" i="20"/>
  <c r="E63" i="20"/>
  <c r="E61" i="20"/>
  <c r="E59" i="20"/>
  <c r="E57" i="20"/>
  <c r="E55" i="20"/>
  <c r="E53" i="20"/>
  <c r="E51" i="20"/>
  <c r="E49" i="20"/>
  <c r="E47" i="20"/>
  <c r="E45" i="20"/>
  <c r="E43" i="20"/>
  <c r="E41" i="20"/>
  <c r="E39" i="20"/>
  <c r="E37" i="20"/>
  <c r="E62" i="18"/>
  <c r="E60" i="18"/>
  <c r="E58" i="18"/>
  <c r="E56" i="18"/>
  <c r="E54" i="18"/>
  <c r="E52" i="18"/>
  <c r="E50" i="18"/>
  <c r="E48" i="18"/>
  <c r="E46" i="18"/>
  <c r="E44" i="18"/>
  <c r="E42" i="18"/>
  <c r="E40" i="18"/>
  <c r="E38" i="18"/>
  <c r="E36" i="18"/>
  <c r="E63" i="18"/>
  <c r="E61" i="18"/>
  <c r="E59" i="18"/>
  <c r="E57" i="18"/>
  <c r="E55" i="18"/>
  <c r="E53" i="18"/>
  <c r="E51" i="18"/>
  <c r="E49" i="18"/>
  <c r="E47" i="18"/>
  <c r="E45" i="18"/>
  <c r="E43" i="18"/>
  <c r="E41" i="18"/>
  <c r="E39" i="18"/>
  <c r="E37" i="18"/>
  <c r="E62" i="16"/>
  <c r="E60" i="16"/>
  <c r="E58" i="16"/>
  <c r="E56" i="16"/>
  <c r="E54" i="16"/>
  <c r="E52" i="16"/>
  <c r="E50" i="16"/>
  <c r="E48" i="16"/>
  <c r="E46" i="16"/>
  <c r="E44" i="16"/>
  <c r="E42" i="16"/>
  <c r="E40" i="16"/>
  <c r="E38" i="16"/>
  <c r="E36" i="16"/>
  <c r="E63" i="16"/>
  <c r="E61" i="16"/>
  <c r="E59" i="16"/>
  <c r="E57" i="16"/>
  <c r="E55" i="16"/>
  <c r="E53" i="16"/>
  <c r="E51" i="16"/>
  <c r="E49" i="16"/>
  <c r="E47" i="16"/>
  <c r="E45" i="16"/>
  <c r="E43" i="16"/>
  <c r="E41" i="16"/>
  <c r="E39" i="16"/>
  <c r="E37" i="16"/>
  <c r="E62" i="14"/>
  <c r="E60" i="14"/>
  <c r="E58" i="14"/>
  <c r="E56" i="14"/>
  <c r="E54" i="14"/>
  <c r="E52" i="14"/>
  <c r="E50" i="14"/>
  <c r="E48" i="14"/>
  <c r="E46" i="14"/>
  <c r="E44" i="14"/>
  <c r="E42" i="14"/>
  <c r="E40" i="14"/>
  <c r="E38" i="14"/>
  <c r="E36" i="14"/>
  <c r="E63" i="14"/>
  <c r="E61" i="14"/>
  <c r="E59" i="14"/>
  <c r="E57" i="14"/>
  <c r="E55" i="14"/>
  <c r="E53" i="14"/>
  <c r="E51" i="14"/>
  <c r="E49" i="14"/>
  <c r="E47" i="14"/>
  <c r="E45" i="14"/>
  <c r="E43" i="14"/>
  <c r="E41" i="14"/>
  <c r="E39" i="14"/>
  <c r="E37" i="14"/>
  <c r="E62" i="12"/>
  <c r="E60" i="12"/>
  <c r="E58" i="12"/>
  <c r="E56" i="12"/>
  <c r="E54" i="12"/>
  <c r="E52" i="12"/>
  <c r="E50" i="12"/>
  <c r="E48" i="12"/>
  <c r="E46" i="12"/>
  <c r="E44" i="12"/>
  <c r="E42" i="12"/>
  <c r="E40" i="12"/>
  <c r="E38" i="12"/>
  <c r="E36" i="12"/>
  <c r="E63" i="12"/>
  <c r="E61" i="12"/>
  <c r="E59" i="12"/>
  <c r="E57" i="12"/>
  <c r="E55" i="12"/>
  <c r="E53" i="12"/>
  <c r="E51" i="12"/>
  <c r="E49" i="12"/>
  <c r="E47" i="12"/>
  <c r="E45" i="12"/>
  <c r="E43" i="12"/>
  <c r="E41" i="12"/>
  <c r="E39" i="12"/>
  <c r="E37" i="12"/>
  <c r="E62" i="10"/>
  <c r="E60" i="10"/>
  <c r="E58" i="10"/>
  <c r="E56" i="10"/>
  <c r="E54" i="10"/>
  <c r="E52" i="10"/>
  <c r="E50" i="10"/>
  <c r="E48" i="10"/>
  <c r="E46" i="10"/>
  <c r="E44" i="10"/>
  <c r="E42" i="10"/>
  <c r="E40" i="10"/>
  <c r="E38" i="10"/>
  <c r="E36" i="10"/>
  <c r="E63" i="10"/>
  <c r="E61" i="10"/>
  <c r="E59" i="10"/>
  <c r="E57" i="10"/>
  <c r="E55" i="10"/>
  <c r="E53" i="10"/>
  <c r="E51" i="10"/>
  <c r="E49" i="10"/>
  <c r="E47" i="10"/>
  <c r="E45" i="10"/>
  <c r="E43" i="10"/>
  <c r="E41" i="10"/>
  <c r="E39" i="10"/>
  <c r="E37" i="10"/>
  <c r="E62" i="8"/>
  <c r="E60" i="8"/>
  <c r="E58" i="8"/>
  <c r="E56" i="8"/>
  <c r="E54" i="8"/>
  <c r="E52" i="8"/>
  <c r="E50" i="8"/>
  <c r="E48" i="8"/>
  <c r="E46" i="8"/>
  <c r="E44" i="8"/>
  <c r="E42" i="8"/>
  <c r="E40" i="8"/>
  <c r="E38" i="8"/>
  <c r="E36" i="8"/>
  <c r="E63" i="8"/>
  <c r="E61" i="8"/>
  <c r="E59" i="8"/>
  <c r="E57" i="8"/>
  <c r="E55" i="8"/>
  <c r="E53" i="8"/>
  <c r="E51" i="8"/>
  <c r="E49" i="8"/>
  <c r="E47" i="8"/>
  <c r="E45" i="8"/>
  <c r="E43" i="8"/>
  <c r="E41" i="8"/>
  <c r="E39" i="8"/>
  <c r="E37" i="8"/>
  <c r="E62" i="6"/>
  <c r="E60" i="6"/>
  <c r="E58" i="6"/>
  <c r="E56" i="6"/>
  <c r="E54" i="6"/>
  <c r="E52" i="6"/>
  <c r="E50" i="6"/>
  <c r="E48" i="6"/>
  <c r="E46" i="6"/>
  <c r="E44" i="6"/>
  <c r="E42" i="6"/>
  <c r="E40" i="6"/>
  <c r="E38" i="6"/>
  <c r="E36" i="6"/>
  <c r="E63" i="6"/>
  <c r="E61" i="6"/>
  <c r="E59" i="6"/>
  <c r="E57" i="6"/>
  <c r="E55" i="6"/>
  <c r="E53" i="6"/>
  <c r="E51" i="6"/>
  <c r="E49" i="6"/>
  <c r="E47" i="6"/>
  <c r="E45" i="6"/>
  <c r="E43" i="6"/>
  <c r="E41" i="6"/>
  <c r="E39" i="6"/>
  <c r="E37" i="6"/>
  <c r="E62" i="4"/>
  <c r="E60" i="4"/>
  <c r="E58" i="4"/>
  <c r="E56" i="4"/>
  <c r="E54" i="4"/>
  <c r="E52" i="4"/>
  <c r="E50" i="4"/>
  <c r="E48" i="4"/>
  <c r="E46" i="4"/>
  <c r="E44" i="4"/>
  <c r="E42" i="4"/>
  <c r="E40" i="4"/>
  <c r="E38" i="4"/>
  <c r="E36" i="4"/>
  <c r="E63" i="4"/>
  <c r="E61" i="4"/>
  <c r="E59" i="4"/>
  <c r="E57" i="4"/>
  <c r="E55" i="4"/>
  <c r="E53" i="4"/>
  <c r="E51" i="4"/>
  <c r="E49" i="4"/>
  <c r="E47" i="4"/>
  <c r="E45" i="4"/>
  <c r="E43" i="4"/>
  <c r="E41" i="4"/>
  <c r="E39" i="4"/>
  <c r="E37" i="4"/>
  <c r="E62" i="59"/>
  <c r="E60" i="59"/>
  <c r="E58" i="59"/>
  <c r="E56" i="59"/>
  <c r="E54" i="59"/>
  <c r="E52" i="59"/>
  <c r="E50" i="59"/>
  <c r="E48" i="59"/>
  <c r="E46" i="59"/>
  <c r="E44" i="59"/>
  <c r="E42" i="59"/>
  <c r="E40" i="59"/>
  <c r="E38" i="59"/>
  <c r="E36" i="59"/>
  <c r="E63" i="59"/>
  <c r="E61" i="59"/>
  <c r="E59" i="59"/>
  <c r="E57" i="59"/>
  <c r="E55" i="59"/>
  <c r="E53" i="59"/>
  <c r="E51" i="59"/>
  <c r="E49" i="59"/>
  <c r="E47" i="59"/>
  <c r="E45" i="59"/>
  <c r="E43" i="59"/>
  <c r="E41" i="59"/>
  <c r="E39" i="59"/>
  <c r="E37" i="59"/>
  <c r="E62" i="57"/>
  <c r="E60" i="57"/>
  <c r="E58" i="57"/>
  <c r="E56" i="57"/>
  <c r="E54" i="57"/>
  <c r="E52" i="57"/>
  <c r="E50" i="57"/>
  <c r="E63" i="57"/>
  <c r="E61" i="57"/>
  <c r="E59" i="57"/>
  <c r="E57" i="57"/>
  <c r="E55" i="57"/>
  <c r="E53" i="57"/>
  <c r="E51" i="57"/>
  <c r="E49" i="57"/>
  <c r="E47" i="57"/>
  <c r="E45" i="57"/>
  <c r="E43" i="57"/>
  <c r="E41" i="57"/>
  <c r="E39" i="57"/>
  <c r="E37" i="57"/>
  <c r="E48" i="57"/>
  <c r="E46" i="57"/>
  <c r="E44" i="57"/>
  <c r="E42" i="57"/>
  <c r="E40" i="57"/>
  <c r="E38" i="57"/>
  <c r="E36" i="57"/>
  <c r="E62" i="55"/>
  <c r="E60" i="55"/>
  <c r="E58" i="55"/>
  <c r="E56" i="55"/>
  <c r="E54" i="55"/>
  <c r="E52" i="55"/>
  <c r="E50" i="55"/>
  <c r="E48" i="55"/>
  <c r="E46" i="55"/>
  <c r="E44" i="55"/>
  <c r="E42" i="55"/>
  <c r="E40" i="55"/>
  <c r="E38" i="55"/>
  <c r="E36" i="55"/>
  <c r="E63" i="55"/>
  <c r="E59" i="55"/>
  <c r="E55" i="55"/>
  <c r="E51" i="55"/>
  <c r="E47" i="55"/>
  <c r="E43" i="55"/>
  <c r="E39" i="55"/>
  <c r="E61" i="55"/>
  <c r="E57" i="55"/>
  <c r="E53" i="55"/>
  <c r="E49" i="55"/>
  <c r="E45" i="55"/>
  <c r="E41" i="55"/>
  <c r="E37" i="55"/>
  <c r="E62" i="53"/>
  <c r="E60" i="53"/>
  <c r="E58" i="53"/>
  <c r="E56" i="53"/>
  <c r="E54" i="53"/>
  <c r="E52" i="53"/>
  <c r="E50" i="53"/>
  <c r="E48" i="53"/>
  <c r="E46" i="53"/>
  <c r="E44" i="53"/>
  <c r="E42" i="53"/>
  <c r="E40" i="53"/>
  <c r="E38" i="53"/>
  <c r="E36" i="53"/>
  <c r="E63" i="53"/>
  <c r="E59" i="53"/>
  <c r="E55" i="53"/>
  <c r="E51" i="53"/>
  <c r="E47" i="53"/>
  <c r="E43" i="53"/>
  <c r="E39" i="53"/>
  <c r="E61" i="53"/>
  <c r="E57" i="53"/>
  <c r="E53" i="53"/>
  <c r="E49" i="53"/>
  <c r="E45" i="53"/>
  <c r="E41" i="53"/>
  <c r="E37" i="53"/>
  <c r="E62" i="51"/>
  <c r="E60" i="51"/>
  <c r="E58" i="51"/>
  <c r="E56" i="51"/>
  <c r="E54" i="51"/>
  <c r="E52" i="51"/>
  <c r="E50" i="51"/>
  <c r="E48" i="51"/>
  <c r="E46" i="51"/>
  <c r="E44" i="51"/>
  <c r="E42" i="51"/>
  <c r="E40" i="51"/>
  <c r="E38" i="51"/>
  <c r="E36" i="51"/>
  <c r="E63" i="51"/>
  <c r="E59" i="51"/>
  <c r="E55" i="51"/>
  <c r="E51" i="51"/>
  <c r="E47" i="51"/>
  <c r="E43" i="51"/>
  <c r="E39" i="51"/>
  <c r="E61" i="51"/>
  <c r="E57" i="51"/>
  <c r="E53" i="51"/>
  <c r="E49" i="51"/>
  <c r="E45" i="51"/>
  <c r="E41" i="51"/>
  <c r="E37" i="51"/>
  <c r="E62" i="49"/>
  <c r="E63" i="49"/>
  <c r="E60" i="49"/>
  <c r="E58" i="49"/>
  <c r="E56" i="49"/>
  <c r="E54" i="49"/>
  <c r="E52" i="49"/>
  <c r="E50" i="49"/>
  <c r="E48" i="49"/>
  <c r="E46" i="49"/>
  <c r="E44" i="49"/>
  <c r="E42" i="49"/>
  <c r="E40" i="49"/>
  <c r="E38" i="49"/>
  <c r="E36" i="49"/>
  <c r="E61" i="49"/>
  <c r="E59" i="49"/>
  <c r="E57" i="49"/>
  <c r="E55" i="49"/>
  <c r="E53" i="49"/>
  <c r="E51" i="49"/>
  <c r="E49" i="49"/>
  <c r="E47" i="49"/>
  <c r="E45" i="49"/>
  <c r="E43" i="49"/>
  <c r="E41" i="49"/>
  <c r="E39" i="49"/>
  <c r="E37" i="49"/>
  <c r="E62" i="47"/>
  <c r="E60" i="47"/>
  <c r="E58" i="47"/>
  <c r="E56" i="47"/>
  <c r="E54" i="47"/>
  <c r="E52" i="47"/>
  <c r="E50" i="47"/>
  <c r="E48" i="47"/>
  <c r="E46" i="47"/>
  <c r="E44" i="47"/>
  <c r="E42" i="47"/>
  <c r="E40" i="47"/>
  <c r="E38" i="47"/>
  <c r="E36" i="47"/>
  <c r="E63" i="47"/>
  <c r="E61" i="47"/>
  <c r="E59" i="47"/>
  <c r="E57" i="47"/>
  <c r="E55" i="47"/>
  <c r="E53" i="47"/>
  <c r="E51" i="47"/>
  <c r="E49" i="47"/>
  <c r="E47" i="47"/>
  <c r="E45" i="47"/>
  <c r="E43" i="47"/>
  <c r="E41" i="47"/>
  <c r="E39" i="47"/>
  <c r="E37" i="47"/>
  <c r="E63" i="45"/>
  <c r="E61" i="45"/>
  <c r="E59" i="45"/>
  <c r="E57" i="45"/>
  <c r="E55" i="45"/>
  <c r="E53" i="45"/>
  <c r="E51" i="45"/>
  <c r="E49" i="45"/>
  <c r="E47" i="45"/>
  <c r="E45" i="45"/>
  <c r="E43" i="45"/>
  <c r="E41" i="45"/>
  <c r="E39" i="45"/>
  <c r="E37" i="45"/>
  <c r="E60" i="45"/>
  <c r="E56" i="45"/>
  <c r="E52" i="45"/>
  <c r="E48" i="45"/>
  <c r="E44" i="45"/>
  <c r="E40" i="45"/>
  <c r="E36" i="45"/>
  <c r="E62" i="45"/>
  <c r="E58" i="45"/>
  <c r="E54" i="45"/>
  <c r="E50" i="45"/>
  <c r="E46" i="45"/>
  <c r="E42" i="45"/>
  <c r="E38" i="45"/>
  <c r="E62" i="43"/>
  <c r="E60" i="43"/>
  <c r="E58" i="43"/>
  <c r="E56" i="43"/>
  <c r="E54" i="43"/>
  <c r="E52" i="43"/>
  <c r="E50" i="43"/>
  <c r="E48" i="43"/>
  <c r="E46" i="43"/>
  <c r="E44" i="43"/>
  <c r="E42" i="43"/>
  <c r="E40" i="43"/>
  <c r="E38" i="43"/>
  <c r="E36" i="43"/>
  <c r="E63" i="43"/>
  <c r="E61" i="43"/>
  <c r="E59" i="43"/>
  <c r="E57" i="43"/>
  <c r="E55" i="43"/>
  <c r="E53" i="43"/>
  <c r="E51" i="43"/>
  <c r="E49" i="43"/>
  <c r="E47" i="43"/>
  <c r="E45" i="43"/>
  <c r="E43" i="43"/>
  <c r="E41" i="43"/>
  <c r="E39" i="43"/>
  <c r="E37" i="43"/>
  <c r="E62" i="41"/>
  <c r="E60" i="41"/>
  <c r="E58" i="41"/>
  <c r="E56" i="41"/>
  <c r="E54" i="41"/>
  <c r="E52" i="41"/>
  <c r="E50" i="41"/>
  <c r="E48" i="41"/>
  <c r="E46" i="41"/>
  <c r="E44" i="41"/>
  <c r="E42" i="41"/>
  <c r="E40" i="41"/>
  <c r="E38" i="41"/>
  <c r="E36" i="41"/>
  <c r="E63" i="41"/>
  <c r="E61" i="41"/>
  <c r="E59" i="41"/>
  <c r="E57" i="41"/>
  <c r="E55" i="41"/>
  <c r="E53" i="41"/>
  <c r="E51" i="41"/>
  <c r="E49" i="41"/>
  <c r="E47" i="41"/>
  <c r="E45" i="41"/>
  <c r="E43" i="41"/>
  <c r="E41" i="41"/>
  <c r="E39" i="41"/>
  <c r="E37" i="41"/>
  <c r="E62" i="39"/>
  <c r="E60" i="39"/>
  <c r="E58" i="39"/>
  <c r="E56" i="39"/>
  <c r="E54" i="39"/>
  <c r="E52" i="39"/>
  <c r="E50" i="39"/>
  <c r="E48" i="39"/>
  <c r="E46" i="39"/>
  <c r="E44" i="39"/>
  <c r="E42" i="39"/>
  <c r="E40" i="39"/>
  <c r="E38" i="39"/>
  <c r="E36" i="39"/>
  <c r="E63" i="39"/>
  <c r="E61" i="39"/>
  <c r="E59" i="39"/>
  <c r="E57" i="39"/>
  <c r="E55" i="39"/>
  <c r="E53" i="39"/>
  <c r="E51" i="39"/>
  <c r="E49" i="39"/>
  <c r="E47" i="39"/>
  <c r="E45" i="39"/>
  <c r="E43" i="39"/>
  <c r="E41" i="39"/>
  <c r="E39" i="39"/>
  <c r="E37" i="39"/>
  <c r="E62" i="37"/>
  <c r="E60" i="37"/>
  <c r="E58" i="37"/>
  <c r="E56" i="37"/>
  <c r="E54" i="37"/>
  <c r="E52" i="37"/>
  <c r="E50" i="37"/>
  <c r="E48" i="37"/>
  <c r="E46" i="37"/>
  <c r="E44" i="37"/>
  <c r="E42" i="37"/>
  <c r="E40" i="37"/>
  <c r="E38" i="37"/>
  <c r="E36" i="37"/>
  <c r="E63" i="37"/>
  <c r="E59" i="37"/>
  <c r="E55" i="37"/>
  <c r="E51" i="37"/>
  <c r="E47" i="37"/>
  <c r="E43" i="37"/>
  <c r="E39" i="37"/>
  <c r="E61" i="37"/>
  <c r="E57" i="37"/>
  <c r="E53" i="37"/>
  <c r="E49" i="37"/>
  <c r="E45" i="37"/>
  <c r="E41" i="37"/>
  <c r="E37" i="37"/>
  <c r="E62" i="35"/>
  <c r="E60" i="35"/>
  <c r="E58" i="35"/>
  <c r="E56" i="35"/>
  <c r="E54" i="35"/>
  <c r="E52" i="35"/>
  <c r="E50" i="35"/>
  <c r="E48" i="35"/>
  <c r="E46" i="35"/>
  <c r="E44" i="35"/>
  <c r="E42" i="35"/>
  <c r="E40" i="35"/>
  <c r="E38" i="35"/>
  <c r="E36" i="35"/>
  <c r="E63" i="35"/>
  <c r="E59" i="35"/>
  <c r="E55" i="35"/>
  <c r="E51" i="35"/>
  <c r="E47" i="35"/>
  <c r="E43" i="35"/>
  <c r="E39" i="35"/>
  <c r="E61" i="35"/>
  <c r="E57" i="35"/>
  <c r="E53" i="35"/>
  <c r="E49" i="35"/>
  <c r="E45" i="35"/>
  <c r="E41" i="35"/>
  <c r="E37" i="35"/>
  <c r="E62" i="33"/>
  <c r="E60" i="33"/>
  <c r="E58" i="33"/>
  <c r="E56" i="33"/>
  <c r="E63" i="33"/>
  <c r="E59" i="33"/>
  <c r="E55" i="33"/>
  <c r="E53" i="33"/>
  <c r="E51" i="33"/>
  <c r="E49" i="33"/>
  <c r="E47" i="33"/>
  <c r="E45" i="33"/>
  <c r="E43" i="33"/>
  <c r="E41" i="33"/>
  <c r="E39" i="33"/>
  <c r="E37" i="33"/>
  <c r="E61" i="33"/>
  <c r="E57" i="33"/>
  <c r="E54" i="33"/>
  <c r="E52" i="33"/>
  <c r="E50" i="33"/>
  <c r="E48" i="33"/>
  <c r="E46" i="33"/>
  <c r="E44" i="33"/>
  <c r="E42" i="33"/>
  <c r="E40" i="33"/>
  <c r="E38" i="33"/>
  <c r="E36" i="33"/>
  <c r="E63" i="31"/>
  <c r="E61" i="31"/>
  <c r="E59" i="31"/>
  <c r="E57" i="31"/>
  <c r="E55" i="31"/>
  <c r="E53" i="31"/>
  <c r="E51" i="31"/>
  <c r="E49" i="31"/>
  <c r="E47" i="31"/>
  <c r="E45" i="31"/>
  <c r="E43" i="31"/>
  <c r="E41" i="31"/>
  <c r="E39" i="31"/>
  <c r="E37" i="31"/>
  <c r="E62" i="31"/>
  <c r="E60" i="31"/>
  <c r="E58" i="31"/>
  <c r="E56" i="31"/>
  <c r="E54" i="31"/>
  <c r="E52" i="31"/>
  <c r="E50" i="31"/>
  <c r="E48" i="31"/>
  <c r="E46" i="31"/>
  <c r="E44" i="31"/>
  <c r="E42" i="31"/>
  <c r="E40" i="31"/>
  <c r="E38" i="31"/>
  <c r="E36" i="31"/>
  <c r="E63" i="29"/>
  <c r="E61" i="29"/>
  <c r="E59" i="29"/>
  <c r="E57" i="29"/>
  <c r="E55" i="29"/>
  <c r="E53" i="29"/>
  <c r="E51" i="29"/>
  <c r="E49" i="29"/>
  <c r="E47" i="29"/>
  <c r="E45" i="29"/>
  <c r="E43" i="29"/>
  <c r="E41" i="29"/>
  <c r="E39" i="29"/>
  <c r="E37" i="29"/>
  <c r="E62" i="29"/>
  <c r="E60" i="29"/>
  <c r="E58" i="29"/>
  <c r="E56" i="29"/>
  <c r="E54" i="29"/>
  <c r="E52" i="29"/>
  <c r="E50" i="29"/>
  <c r="E48" i="29"/>
  <c r="E46" i="29"/>
  <c r="E44" i="29"/>
  <c r="E42" i="29"/>
  <c r="E40" i="29"/>
  <c r="E38" i="29"/>
  <c r="E36" i="29"/>
  <c r="E63" i="27"/>
  <c r="E61" i="27"/>
  <c r="E59" i="27"/>
  <c r="E57" i="27"/>
  <c r="E55" i="27"/>
  <c r="E53" i="27"/>
  <c r="E51" i="27"/>
  <c r="E49" i="27"/>
  <c r="E47" i="27"/>
  <c r="E45" i="27"/>
  <c r="E43" i="27"/>
  <c r="E41" i="27"/>
  <c r="E39" i="27"/>
  <c r="E37" i="27"/>
  <c r="E62" i="27"/>
  <c r="E60" i="27"/>
  <c r="E58" i="27"/>
  <c r="E56" i="27"/>
  <c r="E54" i="27"/>
  <c r="E52" i="27"/>
  <c r="E50" i="27"/>
  <c r="E48" i="27"/>
  <c r="E46" i="27"/>
  <c r="E44" i="27"/>
  <c r="E42" i="27"/>
  <c r="E40" i="27"/>
  <c r="E38" i="27"/>
  <c r="E36" i="27"/>
  <c r="E63" i="25"/>
  <c r="E61" i="25"/>
  <c r="E59" i="25"/>
  <c r="E57" i="25"/>
  <c r="E55" i="25"/>
  <c r="E53" i="25"/>
  <c r="E51" i="25"/>
  <c r="E49" i="25"/>
  <c r="E47" i="25"/>
  <c r="E45" i="25"/>
  <c r="E43" i="25"/>
  <c r="E41" i="25"/>
  <c r="E39" i="25"/>
  <c r="E37" i="25"/>
  <c r="E62" i="25"/>
  <c r="E60" i="25"/>
  <c r="E58" i="25"/>
  <c r="E56" i="25"/>
  <c r="E54" i="25"/>
  <c r="E52" i="25"/>
  <c r="E50" i="25"/>
  <c r="E48" i="25"/>
  <c r="E46" i="25"/>
  <c r="E44" i="25"/>
  <c r="E42" i="25"/>
  <c r="E40" i="25"/>
  <c r="E38" i="25"/>
  <c r="E36" i="25"/>
  <c r="E63" i="23"/>
  <c r="E61" i="23"/>
  <c r="E59" i="23"/>
  <c r="E62" i="23"/>
  <c r="E60" i="23"/>
  <c r="E58" i="23"/>
  <c r="E56" i="23"/>
  <c r="E54" i="23"/>
  <c r="E52" i="23"/>
  <c r="E50" i="23"/>
  <c r="E48" i="23"/>
  <c r="E46" i="23"/>
  <c r="E44" i="23"/>
  <c r="E42" i="23"/>
  <c r="E40" i="23"/>
  <c r="E38" i="23"/>
  <c r="E36" i="23"/>
  <c r="E57" i="23"/>
  <c r="E55" i="23"/>
  <c r="E53" i="23"/>
  <c r="E51" i="23"/>
  <c r="E49" i="23"/>
  <c r="E47" i="23"/>
  <c r="E45" i="23"/>
  <c r="E43" i="23"/>
  <c r="E41" i="23"/>
  <c r="E39" i="23"/>
  <c r="E37" i="23"/>
  <c r="E62" i="21"/>
  <c r="E60" i="21"/>
  <c r="E58" i="21"/>
  <c r="E56" i="21"/>
  <c r="E54" i="21"/>
  <c r="E52" i="21"/>
  <c r="E50" i="21"/>
  <c r="E48" i="21"/>
  <c r="E46" i="21"/>
  <c r="E44" i="21"/>
  <c r="E42" i="21"/>
  <c r="E40" i="21"/>
  <c r="E38" i="21"/>
  <c r="E36" i="21"/>
  <c r="E63" i="21"/>
  <c r="E61" i="21"/>
  <c r="E59" i="21"/>
  <c r="E57" i="21"/>
  <c r="E55" i="21"/>
  <c r="E53" i="21"/>
  <c r="E51" i="21"/>
  <c r="E49" i="21"/>
  <c r="E47" i="21"/>
  <c r="E45" i="21"/>
  <c r="E43" i="21"/>
  <c r="E41" i="21"/>
  <c r="E39" i="21"/>
  <c r="E37" i="21"/>
  <c r="E62" i="19"/>
  <c r="E60" i="19"/>
  <c r="E58" i="19"/>
  <c r="E56" i="19"/>
  <c r="E54" i="19"/>
  <c r="E52" i="19"/>
  <c r="E50" i="19"/>
  <c r="E48" i="19"/>
  <c r="E46" i="19"/>
  <c r="E44" i="19"/>
  <c r="E42" i="19"/>
  <c r="E40" i="19"/>
  <c r="E38" i="19"/>
  <c r="E36" i="19"/>
  <c r="E63" i="19"/>
  <c r="E61" i="19"/>
  <c r="E59" i="19"/>
  <c r="E57" i="19"/>
  <c r="E55" i="19"/>
  <c r="E53" i="19"/>
  <c r="E51" i="19"/>
  <c r="E49" i="19"/>
  <c r="E47" i="19"/>
  <c r="E45" i="19"/>
  <c r="E43" i="19"/>
  <c r="E41" i="19"/>
  <c r="E39" i="19"/>
  <c r="E37" i="19"/>
  <c r="E62" i="17"/>
  <c r="E60" i="17"/>
  <c r="E58" i="17"/>
  <c r="E56" i="17"/>
  <c r="E54" i="17"/>
  <c r="E52" i="17"/>
  <c r="E50" i="17"/>
  <c r="E48" i="17"/>
  <c r="E46" i="17"/>
  <c r="E44" i="17"/>
  <c r="E42" i="17"/>
  <c r="E40" i="17"/>
  <c r="E38" i="17"/>
  <c r="E36" i="17"/>
  <c r="E63" i="17"/>
  <c r="E61" i="17"/>
  <c r="E59" i="17"/>
  <c r="E57" i="17"/>
  <c r="E55" i="17"/>
  <c r="E53" i="17"/>
  <c r="E51" i="17"/>
  <c r="E49" i="17"/>
  <c r="E47" i="17"/>
  <c r="E45" i="17"/>
  <c r="E43" i="17"/>
  <c r="E41" i="17"/>
  <c r="E39" i="17"/>
  <c r="E37" i="17"/>
  <c r="E62" i="15"/>
  <c r="E60" i="15"/>
  <c r="E58" i="15"/>
  <c r="E56" i="15"/>
  <c r="E54" i="15"/>
  <c r="E52" i="15"/>
  <c r="E50" i="15"/>
  <c r="E48" i="15"/>
  <c r="E46" i="15"/>
  <c r="E44" i="15"/>
  <c r="E42" i="15"/>
  <c r="E40" i="15"/>
  <c r="E38" i="15"/>
  <c r="E36" i="15"/>
  <c r="E63" i="15"/>
  <c r="E61" i="15"/>
  <c r="E59" i="15"/>
  <c r="E57" i="15"/>
  <c r="E55" i="15"/>
  <c r="E53" i="15"/>
  <c r="E51" i="15"/>
  <c r="E49" i="15"/>
  <c r="E47" i="15"/>
  <c r="E45" i="15"/>
  <c r="E43" i="15"/>
  <c r="E41" i="15"/>
  <c r="E39" i="15"/>
  <c r="E37" i="15"/>
  <c r="E62" i="13"/>
  <c r="E60" i="13"/>
  <c r="E58" i="13"/>
  <c r="E56" i="13"/>
  <c r="E54" i="13"/>
  <c r="E52" i="13"/>
  <c r="E50" i="13"/>
  <c r="E48" i="13"/>
  <c r="E46" i="13"/>
  <c r="E44" i="13"/>
  <c r="E42" i="13"/>
  <c r="E40" i="13"/>
  <c r="E38" i="13"/>
  <c r="E36" i="13"/>
  <c r="E63" i="13"/>
  <c r="E61" i="13"/>
  <c r="E59" i="13"/>
  <c r="E57" i="13"/>
  <c r="E55" i="13"/>
  <c r="E53" i="13"/>
  <c r="E51" i="13"/>
  <c r="E49" i="13"/>
  <c r="E47" i="13"/>
  <c r="E45" i="13"/>
  <c r="E43" i="13"/>
  <c r="E41" i="13"/>
  <c r="E39" i="13"/>
  <c r="E37" i="13"/>
  <c r="E62" i="11"/>
  <c r="E60" i="11"/>
  <c r="E58" i="11"/>
  <c r="E56" i="11"/>
  <c r="E54" i="11"/>
  <c r="E52" i="11"/>
  <c r="E50" i="11"/>
  <c r="E48" i="11"/>
  <c r="E46" i="11"/>
  <c r="E44" i="11"/>
  <c r="E42" i="11"/>
  <c r="E40" i="11"/>
  <c r="E38" i="11"/>
  <c r="E36" i="11"/>
  <c r="E63" i="11"/>
  <c r="E61" i="11"/>
  <c r="E59" i="11"/>
  <c r="E57" i="11"/>
  <c r="E55" i="11"/>
  <c r="E53" i="11"/>
  <c r="E51" i="11"/>
  <c r="E49" i="11"/>
  <c r="E47" i="11"/>
  <c r="E45" i="11"/>
  <c r="E43" i="11"/>
  <c r="E41" i="11"/>
  <c r="E39" i="11"/>
  <c r="E37" i="11"/>
  <c r="E62" i="9"/>
  <c r="E60" i="9"/>
  <c r="E58" i="9"/>
  <c r="E56" i="9"/>
  <c r="E54" i="9"/>
  <c r="E52" i="9"/>
  <c r="E50" i="9"/>
  <c r="E48" i="9"/>
  <c r="E46" i="9"/>
  <c r="E44" i="9"/>
  <c r="E42" i="9"/>
  <c r="E40" i="9"/>
  <c r="E38" i="9"/>
  <c r="E36" i="9"/>
  <c r="E63" i="9"/>
  <c r="E61" i="9"/>
  <c r="E59" i="9"/>
  <c r="E57" i="9"/>
  <c r="E55" i="9"/>
  <c r="E53" i="9"/>
  <c r="E51" i="9"/>
  <c r="E49" i="9"/>
  <c r="E47" i="9"/>
  <c r="E45" i="9"/>
  <c r="E43" i="9"/>
  <c r="E41" i="9"/>
  <c r="E39" i="9"/>
  <c r="E37" i="9"/>
  <c r="E62" i="7"/>
  <c r="E60" i="7"/>
  <c r="E58" i="7"/>
  <c r="E56" i="7"/>
  <c r="E54" i="7"/>
  <c r="E52" i="7"/>
  <c r="E50" i="7"/>
  <c r="E48" i="7"/>
  <c r="E46" i="7"/>
  <c r="E44" i="7"/>
  <c r="E42" i="7"/>
  <c r="E40" i="7"/>
  <c r="E38" i="7"/>
  <c r="E36" i="7"/>
  <c r="E63" i="7"/>
  <c r="E61" i="7"/>
  <c r="E59" i="7"/>
  <c r="E57" i="7"/>
  <c r="E55" i="7"/>
  <c r="E53" i="7"/>
  <c r="E51" i="7"/>
  <c r="E49" i="7"/>
  <c r="E47" i="7"/>
  <c r="E45" i="7"/>
  <c r="E43" i="7"/>
  <c r="E41" i="7"/>
  <c r="E39" i="7"/>
  <c r="E37" i="7"/>
  <c r="E62" i="5"/>
  <c r="E60" i="5"/>
  <c r="E58" i="5"/>
  <c r="E56" i="5"/>
  <c r="E54" i="5"/>
  <c r="E52" i="5"/>
  <c r="E50" i="5"/>
  <c r="E48" i="5"/>
  <c r="E46" i="5"/>
  <c r="E44" i="5"/>
  <c r="E42" i="5"/>
  <c r="E40" i="5"/>
  <c r="E38" i="5"/>
  <c r="E36" i="5"/>
  <c r="E63" i="5"/>
  <c r="E61" i="5"/>
  <c r="E59" i="5"/>
  <c r="E57" i="5"/>
  <c r="E55" i="5"/>
  <c r="E53" i="5"/>
  <c r="E51" i="5"/>
  <c r="E49" i="5"/>
  <c r="E47" i="5"/>
  <c r="E45" i="5"/>
  <c r="E43" i="5"/>
  <c r="E41" i="5"/>
  <c r="E39" i="5"/>
  <c r="E37" i="5"/>
  <c r="E62" i="3"/>
  <c r="E60" i="3"/>
  <c r="E58" i="3"/>
  <c r="E56" i="3"/>
  <c r="E54" i="3"/>
  <c r="E52" i="3"/>
  <c r="E50" i="3"/>
  <c r="E48" i="3"/>
  <c r="E46" i="3"/>
  <c r="E44" i="3"/>
  <c r="E42" i="3"/>
  <c r="E40" i="3"/>
  <c r="E38" i="3"/>
  <c r="E36" i="3"/>
  <c r="E63" i="3"/>
  <c r="E61" i="3"/>
  <c r="E59" i="3"/>
  <c r="E57" i="3"/>
  <c r="E55" i="3"/>
  <c r="E53" i="3"/>
  <c r="E51" i="3"/>
  <c r="E49" i="3"/>
  <c r="E47" i="3"/>
  <c r="E45" i="3"/>
  <c r="E43" i="3"/>
  <c r="E41" i="3"/>
  <c r="E39" i="3"/>
  <c r="E37" i="3"/>
  <c r="E62" i="1"/>
  <c r="E60" i="1"/>
  <c r="E58" i="1"/>
  <c r="E56" i="1"/>
  <c r="E54" i="1"/>
  <c r="E52" i="1"/>
  <c r="E50" i="1"/>
  <c r="E48" i="1"/>
  <c r="E46" i="1"/>
  <c r="E44" i="1"/>
  <c r="E42" i="1"/>
  <c r="E40" i="1"/>
  <c r="E38" i="1"/>
  <c r="E36" i="1"/>
  <c r="E63" i="1"/>
  <c r="E61" i="1"/>
  <c r="E59" i="1"/>
  <c r="E57" i="1"/>
  <c r="E55" i="1"/>
  <c r="E53" i="1"/>
  <c r="E51" i="1"/>
  <c r="E49" i="1"/>
  <c r="E47" i="1"/>
  <c r="E45" i="1"/>
  <c r="E43" i="1"/>
  <c r="E43" i="60" s="1"/>
  <c r="E41" i="1"/>
  <c r="E39" i="1"/>
  <c r="E39" i="60" s="1"/>
  <c r="E37" i="1"/>
  <c r="E104" i="55"/>
  <c r="C114" i="53"/>
  <c r="E103" i="51"/>
  <c r="C113" i="49"/>
  <c r="E113" i="45"/>
  <c r="E113" i="43"/>
  <c r="D115" i="41"/>
  <c r="C110" i="39"/>
  <c r="E114" i="35"/>
  <c r="D115" i="33"/>
  <c r="E98" i="31"/>
  <c r="C115" i="23"/>
  <c r="E115" i="21"/>
  <c r="E120" i="11"/>
  <c r="F120" i="11" s="1"/>
  <c r="C116" i="7"/>
  <c r="C116" i="5"/>
  <c r="E120" i="3"/>
  <c r="F120" i="3" s="1"/>
  <c r="C116" i="1"/>
  <c r="C116" i="56"/>
  <c r="D115" i="54"/>
  <c r="C116" i="52"/>
  <c r="D117" i="50"/>
  <c r="F117" i="50" s="1"/>
  <c r="C116" i="48"/>
  <c r="D117" i="46"/>
  <c r="F117" i="46" s="1"/>
  <c r="E120" i="44"/>
  <c r="F120" i="44" s="1"/>
  <c r="C114" i="42"/>
  <c r="D115" i="40"/>
  <c r="E111" i="38"/>
  <c r="C113" i="36"/>
  <c r="E84" i="32"/>
  <c r="C114" i="30"/>
  <c r="C116" i="22"/>
  <c r="E120" i="20"/>
  <c r="E120" i="18"/>
  <c r="F120" i="18" s="1"/>
  <c r="C116" i="14"/>
  <c r="E120" i="12"/>
  <c r="F120" i="12" s="1"/>
  <c r="C116" i="10"/>
  <c r="E120" i="8"/>
  <c r="F120" i="8" s="1"/>
  <c r="D117" i="6"/>
  <c r="F117" i="6" s="1"/>
  <c r="E120" i="4"/>
  <c r="F120" i="4" s="1"/>
  <c r="C113" i="59"/>
  <c r="E47" i="60"/>
  <c r="E120" i="57"/>
  <c r="F120" i="57" s="1"/>
  <c r="E77" i="55"/>
  <c r="D50" i="49"/>
  <c r="D81" i="49" s="1"/>
  <c r="E77" i="42"/>
  <c r="E77" i="22"/>
  <c r="C112" i="55"/>
  <c r="E77" i="50"/>
  <c r="E111" i="42"/>
  <c r="C113" i="22"/>
  <c r="C112" i="50"/>
  <c r="E81" i="31"/>
  <c r="D42" i="51"/>
  <c r="D73" i="51" s="1"/>
  <c r="D50" i="51"/>
  <c r="D81" i="51" s="1"/>
  <c r="D58" i="51"/>
  <c r="D89" i="51" s="1"/>
  <c r="E84" i="51"/>
  <c r="E115" i="51"/>
  <c r="E67" i="48"/>
  <c r="E83" i="48"/>
  <c r="E102" i="48"/>
  <c r="D115" i="48"/>
  <c r="E70" i="40"/>
  <c r="D41" i="33"/>
  <c r="D72" i="33" s="1"/>
  <c r="D49" i="33"/>
  <c r="D80" i="33" s="1"/>
  <c r="D57" i="33"/>
  <c r="D88" i="33" s="1"/>
  <c r="E70" i="33"/>
  <c r="E86" i="33"/>
  <c r="E104" i="33"/>
  <c r="D117" i="32"/>
  <c r="F117" i="32" s="1"/>
  <c r="E93" i="30"/>
  <c r="E91" i="44"/>
  <c r="E93" i="55"/>
  <c r="D38" i="51"/>
  <c r="D46" i="51"/>
  <c r="D77" i="51" s="1"/>
  <c r="D54" i="51"/>
  <c r="D85" i="51" s="1"/>
  <c r="E68" i="51"/>
  <c r="E93" i="50"/>
  <c r="E75" i="48"/>
  <c r="E91" i="48"/>
  <c r="E111" i="48"/>
  <c r="E75" i="44"/>
  <c r="C112" i="44"/>
  <c r="E93" i="42"/>
  <c r="D48" i="40"/>
  <c r="D79" i="40" s="1"/>
  <c r="E104" i="40"/>
  <c r="D37" i="33"/>
  <c r="D68" i="33" s="1"/>
  <c r="D45" i="33"/>
  <c r="D76" i="33" s="1"/>
  <c r="D53" i="33"/>
  <c r="D84" i="33" s="1"/>
  <c r="D61" i="33"/>
  <c r="D92" i="33" s="1"/>
  <c r="E78" i="33"/>
  <c r="E94" i="33"/>
  <c r="C112" i="33"/>
  <c r="E113" i="31"/>
  <c r="E77" i="30"/>
  <c r="E111" i="30"/>
  <c r="E93" i="22"/>
  <c r="E115" i="47"/>
  <c r="E110" i="47"/>
  <c r="E86" i="47"/>
  <c r="E70" i="47"/>
  <c r="D56" i="47"/>
  <c r="D48" i="47"/>
  <c r="D79" i="47" s="1"/>
  <c r="D40" i="47"/>
  <c r="D44" i="47"/>
  <c r="D60" i="47"/>
  <c r="E94" i="47"/>
  <c r="E100" i="53"/>
  <c r="E69" i="55"/>
  <c r="E85" i="55"/>
  <c r="E81" i="53"/>
  <c r="E120" i="51"/>
  <c r="F120" i="51" s="1"/>
  <c r="E114" i="51"/>
  <c r="E110" i="51"/>
  <c r="E99" i="51"/>
  <c r="E88" i="51"/>
  <c r="E80" i="51"/>
  <c r="E72" i="51"/>
  <c r="D62" i="51"/>
  <c r="D93" i="51" s="1"/>
  <c r="D36" i="51"/>
  <c r="D67" i="51" s="1"/>
  <c r="D40" i="51"/>
  <c r="D71" i="51" s="1"/>
  <c r="D44" i="51"/>
  <c r="D48" i="51"/>
  <c r="D52" i="51"/>
  <c r="D56" i="51"/>
  <c r="D87" i="51" s="1"/>
  <c r="D60" i="51"/>
  <c r="E76" i="51"/>
  <c r="E92" i="51"/>
  <c r="E112" i="51"/>
  <c r="E90" i="49"/>
  <c r="D58" i="49"/>
  <c r="D89" i="49" s="1"/>
  <c r="D42" i="49"/>
  <c r="D73" i="49" s="1"/>
  <c r="E74" i="49"/>
  <c r="D36" i="47"/>
  <c r="D52" i="47"/>
  <c r="E78" i="47"/>
  <c r="E114" i="47"/>
  <c r="E69" i="50"/>
  <c r="E85" i="50"/>
  <c r="E104" i="50"/>
  <c r="E71" i="48"/>
  <c r="E79" i="48"/>
  <c r="E87" i="48"/>
  <c r="E98" i="48"/>
  <c r="D109" i="48"/>
  <c r="D118" i="48" s="1"/>
  <c r="E113" i="48"/>
  <c r="E120" i="48"/>
  <c r="F120" i="48" s="1"/>
  <c r="E67" i="44"/>
  <c r="E83" i="44"/>
  <c r="E102" i="44"/>
  <c r="D117" i="44"/>
  <c r="F117" i="44" s="1"/>
  <c r="E69" i="42"/>
  <c r="E85" i="42"/>
  <c r="E104" i="42"/>
  <c r="D115" i="42"/>
  <c r="D40" i="40"/>
  <c r="D71" i="40" s="1"/>
  <c r="D56" i="40"/>
  <c r="E86" i="40"/>
  <c r="D36" i="35"/>
  <c r="D40" i="35"/>
  <c r="D9" i="35" s="1"/>
  <c r="D46" i="35"/>
  <c r="D54" i="35"/>
  <c r="D62" i="35"/>
  <c r="E80" i="35"/>
  <c r="E99" i="35"/>
  <c r="E120" i="32"/>
  <c r="F120" i="32" s="1"/>
  <c r="C112" i="32"/>
  <c r="E92" i="32"/>
  <c r="E76" i="32"/>
  <c r="E68" i="32"/>
  <c r="E102" i="32"/>
  <c r="D41" i="23"/>
  <c r="D57" i="23"/>
  <c r="E84" i="23"/>
  <c r="D40" i="21"/>
  <c r="D48" i="21"/>
  <c r="D56" i="21"/>
  <c r="E68" i="21"/>
  <c r="E84" i="21"/>
  <c r="E103" i="21"/>
  <c r="C114" i="17"/>
  <c r="E111" i="17"/>
  <c r="E93" i="17"/>
  <c r="E77" i="17"/>
  <c r="E69" i="17"/>
  <c r="E104" i="17"/>
  <c r="E120" i="35"/>
  <c r="F120" i="35" s="1"/>
  <c r="E115" i="35"/>
  <c r="E112" i="35"/>
  <c r="E103" i="35"/>
  <c r="E92" i="35"/>
  <c r="E84" i="35"/>
  <c r="E76" i="35"/>
  <c r="E68" i="35"/>
  <c r="D60" i="35"/>
  <c r="D29" i="35" s="1"/>
  <c r="D56" i="35"/>
  <c r="D25" i="35" s="1"/>
  <c r="D52" i="35"/>
  <c r="D48" i="35"/>
  <c r="D17" i="35" s="1"/>
  <c r="D44" i="35"/>
  <c r="D38" i="35"/>
  <c r="D42" i="35"/>
  <c r="D50" i="35"/>
  <c r="D58" i="35"/>
  <c r="E72" i="35"/>
  <c r="E88" i="35"/>
  <c r="E110" i="35"/>
  <c r="C116" i="23"/>
  <c r="C111" i="23"/>
  <c r="E92" i="23"/>
  <c r="E76" i="23"/>
  <c r="D61" i="23"/>
  <c r="D53" i="23"/>
  <c r="D45" i="23"/>
  <c r="D37" i="23"/>
  <c r="D49" i="23"/>
  <c r="E68" i="23"/>
  <c r="E103" i="23"/>
  <c r="E120" i="21"/>
  <c r="F120" i="21" s="1"/>
  <c r="E114" i="21"/>
  <c r="E110" i="21"/>
  <c r="E99" i="21"/>
  <c r="E88" i="21"/>
  <c r="E80" i="21"/>
  <c r="E72" i="21"/>
  <c r="D62" i="21"/>
  <c r="D58" i="21"/>
  <c r="D54" i="21"/>
  <c r="D50" i="21"/>
  <c r="D46" i="21"/>
  <c r="D42" i="21"/>
  <c r="D38" i="21"/>
  <c r="D36" i="21"/>
  <c r="D44" i="21"/>
  <c r="D52" i="21"/>
  <c r="D60" i="21"/>
  <c r="E76" i="21"/>
  <c r="E92" i="21"/>
  <c r="E112" i="21"/>
  <c r="E85" i="17"/>
  <c r="D115" i="17"/>
  <c r="D39" i="33"/>
  <c r="D70" i="33" s="1"/>
  <c r="F70" i="33" s="1"/>
  <c r="D43" i="33"/>
  <c r="D74" i="33" s="1"/>
  <c r="D47" i="33"/>
  <c r="D78" i="33" s="1"/>
  <c r="F78" i="33" s="1"/>
  <c r="D51" i="33"/>
  <c r="D82" i="33" s="1"/>
  <c r="D55" i="33"/>
  <c r="D86" i="33" s="1"/>
  <c r="F86" i="33" s="1"/>
  <c r="D59" i="33"/>
  <c r="D90" i="33" s="1"/>
  <c r="D63" i="33"/>
  <c r="D94" i="33" s="1"/>
  <c r="F94" i="33" s="1"/>
  <c r="E74" i="33"/>
  <c r="E82" i="33"/>
  <c r="E90" i="33"/>
  <c r="E101" i="33"/>
  <c r="C110" i="33"/>
  <c r="E69" i="30"/>
  <c r="E85" i="30"/>
  <c r="E104" i="30"/>
  <c r="D115" i="30"/>
  <c r="E69" i="22"/>
  <c r="E85" i="22"/>
  <c r="E109" i="22"/>
  <c r="D37" i="57"/>
  <c r="D39" i="57"/>
  <c r="D41" i="57"/>
  <c r="D43" i="57"/>
  <c r="D45" i="57"/>
  <c r="D47" i="57"/>
  <c r="D49" i="57"/>
  <c r="D51" i="57"/>
  <c r="D53" i="57"/>
  <c r="D55" i="57"/>
  <c r="D57" i="57"/>
  <c r="D59" i="57"/>
  <c r="D61" i="57"/>
  <c r="D63" i="57"/>
  <c r="E70" i="57"/>
  <c r="E78" i="57"/>
  <c r="E83" i="57"/>
  <c r="E90" i="57"/>
  <c r="D109" i="57"/>
  <c r="E113" i="57"/>
  <c r="C116" i="55"/>
  <c r="D117" i="55"/>
  <c r="F117" i="55" s="1"/>
  <c r="D115" i="55"/>
  <c r="E113" i="55"/>
  <c r="E111" i="55"/>
  <c r="D109" i="55"/>
  <c r="E102" i="55"/>
  <c r="E98" i="55"/>
  <c r="E91" i="55"/>
  <c r="E87" i="55"/>
  <c r="E83" i="55"/>
  <c r="E79" i="55"/>
  <c r="E75" i="55"/>
  <c r="E71" i="55"/>
  <c r="E67" i="55"/>
  <c r="E73" i="55"/>
  <c r="E81" i="55"/>
  <c r="E89" i="55"/>
  <c r="E100" i="55"/>
  <c r="C110" i="55"/>
  <c r="C114" i="55"/>
  <c r="E120" i="55"/>
  <c r="F120" i="55" s="1"/>
  <c r="D115" i="53"/>
  <c r="E111" i="53"/>
  <c r="E104" i="53"/>
  <c r="E93" i="53"/>
  <c r="E85" i="53"/>
  <c r="E77" i="53"/>
  <c r="E69" i="53"/>
  <c r="E73" i="53"/>
  <c r="E89" i="53"/>
  <c r="C110" i="53"/>
  <c r="D9" i="51"/>
  <c r="D25" i="51"/>
  <c r="C116" i="50"/>
  <c r="E120" i="50"/>
  <c r="F120" i="50" s="1"/>
  <c r="D115" i="50"/>
  <c r="E113" i="50"/>
  <c r="E111" i="50"/>
  <c r="D109" i="50"/>
  <c r="E102" i="50"/>
  <c r="E98" i="50"/>
  <c r="E91" i="50"/>
  <c r="E87" i="50"/>
  <c r="E83" i="50"/>
  <c r="E79" i="50"/>
  <c r="E75" i="50"/>
  <c r="E71" i="50"/>
  <c r="E67" i="50"/>
  <c r="E73" i="50"/>
  <c r="E81" i="50"/>
  <c r="E89" i="50"/>
  <c r="E100" i="50"/>
  <c r="C110" i="50"/>
  <c r="C114" i="50"/>
  <c r="E114" i="49"/>
  <c r="E110" i="49"/>
  <c r="E94" i="49"/>
  <c r="E86" i="49"/>
  <c r="E78" i="49"/>
  <c r="E70" i="49"/>
  <c r="D60" i="49"/>
  <c r="D56" i="49"/>
  <c r="D52" i="49"/>
  <c r="D48" i="49"/>
  <c r="D44" i="49"/>
  <c r="D40" i="49"/>
  <c r="D36" i="49"/>
  <c r="D38" i="49"/>
  <c r="D46" i="49"/>
  <c r="D77" i="49" s="1"/>
  <c r="D54" i="49"/>
  <c r="D85" i="49" s="1"/>
  <c r="D62" i="49"/>
  <c r="D93" i="49" s="1"/>
  <c r="E82" i="49"/>
  <c r="E101" i="49"/>
  <c r="E115" i="49"/>
  <c r="D17" i="47"/>
  <c r="D75" i="47"/>
  <c r="D13" i="47"/>
  <c r="D83" i="47"/>
  <c r="D21" i="47"/>
  <c r="D91" i="47"/>
  <c r="D29" i="47"/>
  <c r="E69" i="46"/>
  <c r="E77" i="46"/>
  <c r="E85" i="46"/>
  <c r="E93" i="46"/>
  <c r="E104" i="46"/>
  <c r="C112" i="46"/>
  <c r="E79" i="45"/>
  <c r="E98" i="45"/>
  <c r="D39" i="43"/>
  <c r="D70" i="43" s="1"/>
  <c r="D47" i="43"/>
  <c r="D55" i="43"/>
  <c r="D63" i="43"/>
  <c r="E80" i="43"/>
  <c r="E99" i="43"/>
  <c r="C114" i="40"/>
  <c r="C110" i="40"/>
  <c r="E101" i="40"/>
  <c r="E90" i="40"/>
  <c r="E82" i="40"/>
  <c r="E74" i="40"/>
  <c r="D62" i="40"/>
  <c r="D93" i="40" s="1"/>
  <c r="D58" i="40"/>
  <c r="D89" i="40" s="1"/>
  <c r="D54" i="40"/>
  <c r="D85" i="40" s="1"/>
  <c r="D50" i="40"/>
  <c r="D81" i="40" s="1"/>
  <c r="D46" i="40"/>
  <c r="D77" i="40" s="1"/>
  <c r="D42" i="40"/>
  <c r="D73" i="40" s="1"/>
  <c r="D38" i="40"/>
  <c r="D69" i="40" s="1"/>
  <c r="D36" i="40"/>
  <c r="D67" i="40" s="1"/>
  <c r="D44" i="40"/>
  <c r="D75" i="40" s="1"/>
  <c r="D52" i="40"/>
  <c r="D60" i="40"/>
  <c r="E78" i="40"/>
  <c r="E94" i="40"/>
  <c r="E111" i="40"/>
  <c r="E79" i="36"/>
  <c r="E98" i="36"/>
  <c r="C116" i="57"/>
  <c r="D117" i="57"/>
  <c r="F117" i="57" s="1"/>
  <c r="C114" i="57"/>
  <c r="C112" i="57"/>
  <c r="C110" i="57"/>
  <c r="E102" i="57"/>
  <c r="E91" i="57"/>
  <c r="E86" i="57"/>
  <c r="E82" i="57"/>
  <c r="E79" i="57"/>
  <c r="E75" i="57"/>
  <c r="D36" i="57"/>
  <c r="D5" i="57" s="1"/>
  <c r="D38" i="57"/>
  <c r="D40" i="57"/>
  <c r="D9" i="57" s="1"/>
  <c r="D42" i="57"/>
  <c r="D73" i="57" s="1"/>
  <c r="D44" i="57"/>
  <c r="D13" i="57" s="1"/>
  <c r="D46" i="57"/>
  <c r="D48" i="57"/>
  <c r="D17" i="57" s="1"/>
  <c r="D50" i="57"/>
  <c r="D81" i="57" s="1"/>
  <c r="D52" i="57"/>
  <c r="D21" i="57" s="1"/>
  <c r="D54" i="57"/>
  <c r="D56" i="57"/>
  <c r="D25" i="57" s="1"/>
  <c r="D58" i="57"/>
  <c r="D89" i="57" s="1"/>
  <c r="D60" i="57"/>
  <c r="D29" i="57" s="1"/>
  <c r="D62" i="57"/>
  <c r="E67" i="57"/>
  <c r="E71" i="57"/>
  <c r="E74" i="57"/>
  <c r="E87" i="57"/>
  <c r="E94" i="57"/>
  <c r="E111" i="57"/>
  <c r="D115" i="57"/>
  <c r="D118" i="57" s="1"/>
  <c r="D75" i="51"/>
  <c r="D13" i="51"/>
  <c r="D83" i="51"/>
  <c r="D21" i="51"/>
  <c r="D91" i="51"/>
  <c r="D29" i="51"/>
  <c r="C116" i="46"/>
  <c r="E120" i="46"/>
  <c r="F120" i="46" s="1"/>
  <c r="D115" i="46"/>
  <c r="E113" i="46"/>
  <c r="E111" i="46"/>
  <c r="D109" i="46"/>
  <c r="E102" i="46"/>
  <c r="E98" i="46"/>
  <c r="E91" i="46"/>
  <c r="E87" i="46"/>
  <c r="E83" i="46"/>
  <c r="E79" i="46"/>
  <c r="E75" i="46"/>
  <c r="E71" i="46"/>
  <c r="E67" i="46"/>
  <c r="E73" i="46"/>
  <c r="E81" i="46"/>
  <c r="E89" i="46"/>
  <c r="E100" i="46"/>
  <c r="C110" i="46"/>
  <c r="C114" i="46"/>
  <c r="D117" i="45"/>
  <c r="F117" i="45" s="1"/>
  <c r="C112" i="45"/>
  <c r="E102" i="45"/>
  <c r="E91" i="45"/>
  <c r="E83" i="45"/>
  <c r="E75" i="45"/>
  <c r="E67" i="45"/>
  <c r="E71" i="45"/>
  <c r="E87" i="45"/>
  <c r="D109" i="45"/>
  <c r="E120" i="45"/>
  <c r="F120" i="45" s="1"/>
  <c r="D117" i="43"/>
  <c r="F117" i="43" s="1"/>
  <c r="C112" i="43"/>
  <c r="E103" i="43"/>
  <c r="E92" i="43"/>
  <c r="E84" i="43"/>
  <c r="E76" i="43"/>
  <c r="E68" i="43"/>
  <c r="D61" i="43"/>
  <c r="D57" i="43"/>
  <c r="D53" i="43"/>
  <c r="D49" i="43"/>
  <c r="D45" i="43"/>
  <c r="D76" i="43" s="1"/>
  <c r="F76" i="43" s="1"/>
  <c r="D41" i="43"/>
  <c r="D72" i="43" s="1"/>
  <c r="D37" i="43"/>
  <c r="D68" i="43" s="1"/>
  <c r="D43" i="43"/>
  <c r="D74" i="43" s="1"/>
  <c r="D51" i="43"/>
  <c r="D59" i="43"/>
  <c r="E72" i="43"/>
  <c r="E88" i="43"/>
  <c r="D109" i="43"/>
  <c r="E120" i="43"/>
  <c r="F120" i="43" s="1"/>
  <c r="E114" i="36"/>
  <c r="E110" i="36"/>
  <c r="E100" i="36"/>
  <c r="E92" i="36"/>
  <c r="E84" i="36"/>
  <c r="E76" i="36"/>
  <c r="E68" i="36"/>
  <c r="E71" i="36"/>
  <c r="E87" i="36"/>
  <c r="E103" i="36"/>
  <c r="E115" i="36"/>
  <c r="E120" i="34"/>
  <c r="F120" i="34" s="1"/>
  <c r="E115" i="34"/>
  <c r="E114" i="34"/>
  <c r="E112" i="34"/>
  <c r="E110" i="34"/>
  <c r="E103" i="34"/>
  <c r="E99" i="34"/>
  <c r="E92" i="34"/>
  <c r="E88" i="34"/>
  <c r="E84" i="34"/>
  <c r="E80" i="34"/>
  <c r="E76" i="34"/>
  <c r="E72" i="34"/>
  <c r="E68" i="34"/>
  <c r="D62" i="34"/>
  <c r="D60" i="34"/>
  <c r="D58" i="34"/>
  <c r="D89" i="34" s="1"/>
  <c r="D56" i="34"/>
  <c r="D87" i="34" s="1"/>
  <c r="D54" i="34"/>
  <c r="D85" i="34" s="1"/>
  <c r="D52" i="34"/>
  <c r="D83" i="34" s="1"/>
  <c r="D50" i="34"/>
  <c r="D81" i="34" s="1"/>
  <c r="D48" i="34"/>
  <c r="D79" i="34" s="1"/>
  <c r="D46" i="34"/>
  <c r="D77" i="34" s="1"/>
  <c r="D44" i="34"/>
  <c r="D75" i="34" s="1"/>
  <c r="D42" i="34"/>
  <c r="D73" i="34" s="1"/>
  <c r="D40" i="34"/>
  <c r="D71" i="34" s="1"/>
  <c r="D38" i="34"/>
  <c r="D69" i="34" s="1"/>
  <c r="D36" i="34"/>
  <c r="D67" i="34" s="1"/>
  <c r="D39" i="34"/>
  <c r="D43" i="34"/>
  <c r="D47" i="34"/>
  <c r="D51" i="34"/>
  <c r="D55" i="34"/>
  <c r="D59" i="34"/>
  <c r="D63" i="34"/>
  <c r="E74" i="34"/>
  <c r="E82" i="34"/>
  <c r="E90" i="34"/>
  <c r="E101" i="34"/>
  <c r="C111" i="34"/>
  <c r="C115" i="34"/>
  <c r="D117" i="24"/>
  <c r="F117" i="24" s="1"/>
  <c r="C112" i="24"/>
  <c r="E102" i="24"/>
  <c r="E91" i="24"/>
  <c r="E83" i="24"/>
  <c r="E75" i="24"/>
  <c r="E67" i="24"/>
  <c r="E120" i="24"/>
  <c r="F120" i="24" s="1"/>
  <c r="D109" i="24"/>
  <c r="E87" i="24"/>
  <c r="E71" i="24"/>
  <c r="E98" i="24"/>
  <c r="D37" i="51"/>
  <c r="D39" i="51"/>
  <c r="D41" i="51"/>
  <c r="D43" i="51"/>
  <c r="D45" i="51"/>
  <c r="D47" i="51"/>
  <c r="D49" i="51"/>
  <c r="D51" i="51"/>
  <c r="D53" i="51"/>
  <c r="D55" i="51"/>
  <c r="D57" i="51"/>
  <c r="D59" i="51"/>
  <c r="D61" i="51"/>
  <c r="D63" i="51"/>
  <c r="E70" i="51"/>
  <c r="E74" i="51"/>
  <c r="E78" i="51"/>
  <c r="E82" i="51"/>
  <c r="E86" i="51"/>
  <c r="E90" i="51"/>
  <c r="E94" i="51"/>
  <c r="E101" i="51"/>
  <c r="E109" i="51"/>
  <c r="C111" i="51"/>
  <c r="C113" i="51"/>
  <c r="C115" i="51"/>
  <c r="C116" i="51"/>
  <c r="E69" i="48"/>
  <c r="E73" i="48"/>
  <c r="E77" i="48"/>
  <c r="E81" i="48"/>
  <c r="E85" i="48"/>
  <c r="E89" i="48"/>
  <c r="E93" i="48"/>
  <c r="E100" i="48"/>
  <c r="E104" i="48"/>
  <c r="C110" i="48"/>
  <c r="C112" i="48"/>
  <c r="C114" i="48"/>
  <c r="D117" i="48"/>
  <c r="F117" i="48" s="1"/>
  <c r="D38" i="47"/>
  <c r="D42" i="47"/>
  <c r="D73" i="47" s="1"/>
  <c r="D46" i="47"/>
  <c r="D77" i="47" s="1"/>
  <c r="D50" i="47"/>
  <c r="D81" i="47" s="1"/>
  <c r="D54" i="47"/>
  <c r="D85" i="47" s="1"/>
  <c r="D58" i="47"/>
  <c r="D89" i="47" s="1"/>
  <c r="D62" i="47"/>
  <c r="D93" i="47" s="1"/>
  <c r="E74" i="47"/>
  <c r="E82" i="47"/>
  <c r="E90" i="47"/>
  <c r="E101" i="47"/>
  <c r="C113" i="47"/>
  <c r="E71" i="44"/>
  <c r="E79" i="44"/>
  <c r="E87" i="44"/>
  <c r="E98" i="44"/>
  <c r="D109" i="44"/>
  <c r="E113" i="44"/>
  <c r="E73" i="42"/>
  <c r="E81" i="42"/>
  <c r="E89" i="42"/>
  <c r="E100" i="42"/>
  <c r="C110" i="42"/>
  <c r="D37" i="35"/>
  <c r="D68" i="35" s="1"/>
  <c r="F68" i="35" s="1"/>
  <c r="D39" i="35"/>
  <c r="D70" i="35" s="1"/>
  <c r="D41" i="35"/>
  <c r="D72" i="35" s="1"/>
  <c r="F72" i="35" s="1"/>
  <c r="D43" i="35"/>
  <c r="D74" i="35" s="1"/>
  <c r="D45" i="35"/>
  <c r="D76" i="35" s="1"/>
  <c r="F76" i="35" s="1"/>
  <c r="D47" i="35"/>
  <c r="D78" i="35" s="1"/>
  <c r="D49" i="35"/>
  <c r="D80" i="35" s="1"/>
  <c r="F80" i="35" s="1"/>
  <c r="D51" i="35"/>
  <c r="D82" i="35" s="1"/>
  <c r="D53" i="35"/>
  <c r="D84" i="35" s="1"/>
  <c r="F84" i="35" s="1"/>
  <c r="D55" i="35"/>
  <c r="D86" i="35" s="1"/>
  <c r="D57" i="35"/>
  <c r="D59" i="35"/>
  <c r="D61" i="35"/>
  <c r="D63" i="35"/>
  <c r="E70" i="35"/>
  <c r="E74" i="35"/>
  <c r="E78" i="35"/>
  <c r="E82" i="35"/>
  <c r="E86" i="35"/>
  <c r="E90" i="35"/>
  <c r="E94" i="35"/>
  <c r="E101" i="35"/>
  <c r="E109" i="35"/>
  <c r="C111" i="35"/>
  <c r="C113" i="35"/>
  <c r="C115" i="35"/>
  <c r="C116" i="35"/>
  <c r="D37" i="34"/>
  <c r="D41" i="34"/>
  <c r="D10" i="34" s="1"/>
  <c r="D45" i="34"/>
  <c r="D49" i="34"/>
  <c r="D18" i="34" s="1"/>
  <c r="D53" i="34"/>
  <c r="D57" i="34"/>
  <c r="D26" i="34" s="1"/>
  <c r="D61" i="34"/>
  <c r="E70" i="34"/>
  <c r="E78" i="34"/>
  <c r="E86" i="34"/>
  <c r="E94" i="34"/>
  <c r="E109" i="34"/>
  <c r="C113" i="34"/>
  <c r="C116" i="34"/>
  <c r="E79" i="24"/>
  <c r="E113" i="24"/>
  <c r="C116" i="33"/>
  <c r="D117" i="33"/>
  <c r="F117" i="33" s="1"/>
  <c r="C114" i="33"/>
  <c r="D36" i="33"/>
  <c r="D5" i="33" s="1"/>
  <c r="D38" i="33"/>
  <c r="D40" i="33"/>
  <c r="D9" i="33" s="1"/>
  <c r="D42" i="33"/>
  <c r="D44" i="33"/>
  <c r="D13" i="33" s="1"/>
  <c r="D46" i="33"/>
  <c r="D48" i="33"/>
  <c r="D17" i="33" s="1"/>
  <c r="D50" i="33"/>
  <c r="D52" i="33"/>
  <c r="D21" i="33" s="1"/>
  <c r="D54" i="33"/>
  <c r="D56" i="33"/>
  <c r="D25" i="33" s="1"/>
  <c r="D58" i="33"/>
  <c r="D60" i="33"/>
  <c r="D29" i="33" s="1"/>
  <c r="D62" i="33"/>
  <c r="E68" i="33"/>
  <c r="F68" i="33" s="1"/>
  <c r="E72" i="33"/>
  <c r="F72" i="33" s="1"/>
  <c r="E76" i="33"/>
  <c r="F76" i="33" s="1"/>
  <c r="E80" i="33"/>
  <c r="F80" i="33" s="1"/>
  <c r="E84" i="33"/>
  <c r="F84" i="33" s="1"/>
  <c r="E88" i="33"/>
  <c r="F88" i="33" s="1"/>
  <c r="E92" i="33"/>
  <c r="F92" i="33" s="1"/>
  <c r="E99" i="33"/>
  <c r="E103" i="33"/>
  <c r="D109" i="33"/>
  <c r="D118" i="33" s="1"/>
  <c r="E111" i="33"/>
  <c r="E113" i="33"/>
  <c r="E120" i="33"/>
  <c r="F120" i="33" s="1"/>
  <c r="D117" i="31"/>
  <c r="F117" i="31" s="1"/>
  <c r="C112" i="31"/>
  <c r="E102" i="31"/>
  <c r="E92" i="31"/>
  <c r="E84" i="31"/>
  <c r="E76" i="31"/>
  <c r="E68" i="31"/>
  <c r="E73" i="31"/>
  <c r="E89" i="31"/>
  <c r="D109" i="31"/>
  <c r="E120" i="31"/>
  <c r="F120" i="31" s="1"/>
  <c r="E120" i="22"/>
  <c r="F120" i="22" s="1"/>
  <c r="E115" i="22"/>
  <c r="E114" i="22"/>
  <c r="E112" i="22"/>
  <c r="E110" i="22"/>
  <c r="E102" i="22"/>
  <c r="E98" i="22"/>
  <c r="E91" i="22"/>
  <c r="E87" i="22"/>
  <c r="E83" i="22"/>
  <c r="E79" i="22"/>
  <c r="E75" i="22"/>
  <c r="E71" i="22"/>
  <c r="E67" i="22"/>
  <c r="E73" i="22"/>
  <c r="E81" i="22"/>
  <c r="E89" i="22"/>
  <c r="E100" i="22"/>
  <c r="C111" i="22"/>
  <c r="C115" i="22"/>
  <c r="D69" i="21"/>
  <c r="D7" i="21"/>
  <c r="D73" i="21"/>
  <c r="D11" i="21"/>
  <c r="D77" i="21"/>
  <c r="D15" i="21"/>
  <c r="D81" i="21"/>
  <c r="D19" i="21"/>
  <c r="D85" i="21"/>
  <c r="D23" i="21"/>
  <c r="D89" i="21"/>
  <c r="D27" i="21"/>
  <c r="D93" i="21"/>
  <c r="D31" i="21"/>
  <c r="E120" i="15"/>
  <c r="F120" i="15" s="1"/>
  <c r="E115" i="15"/>
  <c r="E114" i="15"/>
  <c r="E112" i="15"/>
  <c r="E110" i="15"/>
  <c r="E103" i="15"/>
  <c r="E99" i="15"/>
  <c r="E92" i="15"/>
  <c r="E88" i="15"/>
  <c r="E84" i="15"/>
  <c r="E80" i="15"/>
  <c r="E76" i="15"/>
  <c r="E72" i="15"/>
  <c r="E68" i="15"/>
  <c r="D62" i="15"/>
  <c r="D60" i="15"/>
  <c r="D58" i="15"/>
  <c r="D56" i="15"/>
  <c r="D54" i="15"/>
  <c r="D52" i="15"/>
  <c r="D36" i="15"/>
  <c r="D38" i="15"/>
  <c r="D40" i="15"/>
  <c r="D42" i="15"/>
  <c r="D44" i="15"/>
  <c r="D46" i="15"/>
  <c r="D48" i="15"/>
  <c r="D50" i="15"/>
  <c r="D53" i="15"/>
  <c r="D57" i="15"/>
  <c r="D61" i="15"/>
  <c r="E70" i="15"/>
  <c r="E78" i="15"/>
  <c r="E86" i="15"/>
  <c r="E94" i="15"/>
  <c r="E109" i="15"/>
  <c r="C113" i="15"/>
  <c r="C116" i="15"/>
  <c r="E71" i="32"/>
  <c r="E79" i="32"/>
  <c r="E87" i="32"/>
  <c r="E98" i="32"/>
  <c r="D109" i="32"/>
  <c r="E113" i="32"/>
  <c r="E72" i="30"/>
  <c r="E80" i="30"/>
  <c r="E88" i="30"/>
  <c r="E100" i="30"/>
  <c r="C110" i="30"/>
  <c r="D39" i="23"/>
  <c r="D43" i="23"/>
  <c r="D47" i="23"/>
  <c r="D51" i="23"/>
  <c r="D55" i="23"/>
  <c r="D59" i="23"/>
  <c r="D63" i="23"/>
  <c r="E72" i="23"/>
  <c r="E80" i="23"/>
  <c r="E88" i="23"/>
  <c r="E99" i="23"/>
  <c r="E109" i="23"/>
  <c r="E112" i="23"/>
  <c r="D37" i="21"/>
  <c r="D39" i="21"/>
  <c r="D41" i="21"/>
  <c r="D43" i="21"/>
  <c r="D45" i="21"/>
  <c r="D47" i="21"/>
  <c r="D49" i="21"/>
  <c r="D51" i="21"/>
  <c r="D53" i="21"/>
  <c r="D55" i="21"/>
  <c r="D57" i="21"/>
  <c r="D59" i="21"/>
  <c r="D61" i="21"/>
  <c r="D63" i="21"/>
  <c r="E70" i="21"/>
  <c r="E74" i="21"/>
  <c r="E78" i="21"/>
  <c r="E82" i="21"/>
  <c r="E86" i="21"/>
  <c r="E90" i="21"/>
  <c r="E94" i="21"/>
  <c r="E101" i="21"/>
  <c r="E109" i="21"/>
  <c r="C111" i="21"/>
  <c r="C113" i="21"/>
  <c r="C115" i="21"/>
  <c r="C116" i="21"/>
  <c r="E73" i="17"/>
  <c r="E81" i="17"/>
  <c r="E89" i="17"/>
  <c r="E100" i="17"/>
  <c r="C110" i="17"/>
  <c r="D37" i="15"/>
  <c r="D39" i="15"/>
  <c r="D41" i="15"/>
  <c r="D43" i="15"/>
  <c r="D45" i="15"/>
  <c r="D47" i="15"/>
  <c r="D49" i="15"/>
  <c r="D51" i="15"/>
  <c r="D55" i="15"/>
  <c r="D59" i="15"/>
  <c r="D63" i="15"/>
  <c r="E74" i="15"/>
  <c r="E82" i="15"/>
  <c r="E90" i="15"/>
  <c r="E101" i="15"/>
  <c r="C111" i="15"/>
  <c r="C115" i="15"/>
  <c r="E69" i="6"/>
  <c r="E73" i="6"/>
  <c r="E79" i="6"/>
  <c r="E87" i="6"/>
  <c r="E98" i="6"/>
  <c r="D109" i="6"/>
  <c r="E113" i="6"/>
  <c r="E120" i="6"/>
  <c r="F120" i="6" s="1"/>
  <c r="D37" i="4"/>
  <c r="D39" i="4"/>
  <c r="D41" i="4"/>
  <c r="D43" i="4"/>
  <c r="D45" i="4"/>
  <c r="D47" i="4"/>
  <c r="D49" i="4"/>
  <c r="D51" i="4"/>
  <c r="D53" i="4"/>
  <c r="D55" i="4"/>
  <c r="D57" i="4"/>
  <c r="D59" i="4"/>
  <c r="D61" i="4"/>
  <c r="D63" i="4"/>
  <c r="E70" i="4"/>
  <c r="E74" i="4"/>
  <c r="E78" i="4"/>
  <c r="E82" i="4"/>
  <c r="E86" i="4"/>
  <c r="E90" i="4"/>
  <c r="E94" i="4"/>
  <c r="E101" i="4"/>
  <c r="E109" i="4"/>
  <c r="C111" i="4"/>
  <c r="C113" i="4"/>
  <c r="C115" i="4"/>
  <c r="C116" i="4"/>
  <c r="E67" i="6"/>
  <c r="E71" i="6"/>
  <c r="E75" i="6"/>
  <c r="E83" i="6"/>
  <c r="E91" i="6"/>
  <c r="E102" i="6"/>
  <c r="C112" i="6"/>
  <c r="D36" i="4"/>
  <c r="D5" i="4" s="1"/>
  <c r="D38" i="4"/>
  <c r="D7" i="4" s="1"/>
  <c r="D40" i="4"/>
  <c r="D9" i="4" s="1"/>
  <c r="D42" i="4"/>
  <c r="D11" i="4" s="1"/>
  <c r="D44" i="4"/>
  <c r="D13" i="4" s="1"/>
  <c r="D46" i="4"/>
  <c r="D15" i="4" s="1"/>
  <c r="D48" i="4"/>
  <c r="D17" i="4" s="1"/>
  <c r="D50" i="4"/>
  <c r="D19" i="4" s="1"/>
  <c r="D52" i="4"/>
  <c r="D21" i="4" s="1"/>
  <c r="D54" i="4"/>
  <c r="D23" i="4" s="1"/>
  <c r="D56" i="4"/>
  <c r="D25" i="4" s="1"/>
  <c r="D58" i="4"/>
  <c r="D27" i="4" s="1"/>
  <c r="D60" i="4"/>
  <c r="D29" i="4" s="1"/>
  <c r="D62" i="4"/>
  <c r="D31" i="4" s="1"/>
  <c r="E68" i="4"/>
  <c r="E72" i="4"/>
  <c r="E76" i="4"/>
  <c r="E80" i="4"/>
  <c r="E84" i="4"/>
  <c r="E88" i="4"/>
  <c r="E92" i="4"/>
  <c r="E99" i="4"/>
  <c r="E103" i="4"/>
  <c r="E110" i="4"/>
  <c r="E112" i="4"/>
  <c r="E114" i="4"/>
  <c r="E115" i="4"/>
  <c r="D38" i="56"/>
  <c r="D42" i="56"/>
  <c r="D44" i="56"/>
  <c r="D48" i="56"/>
  <c r="D52" i="56"/>
  <c r="D54" i="56"/>
  <c r="D58" i="56"/>
  <c r="D62" i="56"/>
  <c r="E70" i="56"/>
  <c r="E86" i="56"/>
  <c r="E67" i="52"/>
  <c r="E71" i="52"/>
  <c r="E83" i="52"/>
  <c r="E87" i="52"/>
  <c r="C113" i="52"/>
  <c r="E115" i="52"/>
  <c r="D69" i="51"/>
  <c r="D7" i="51"/>
  <c r="D67" i="49"/>
  <c r="D5" i="49"/>
  <c r="D71" i="49"/>
  <c r="D9" i="49"/>
  <c r="E64" i="46"/>
  <c r="M18" i="63" s="1"/>
  <c r="D64" i="57"/>
  <c r="D67" i="57"/>
  <c r="D7" i="57"/>
  <c r="D71" i="57"/>
  <c r="F71" i="57" s="1"/>
  <c r="D11" i="57"/>
  <c r="D75" i="57"/>
  <c r="F75" i="57" s="1"/>
  <c r="D15" i="57"/>
  <c r="D79" i="57"/>
  <c r="F79" i="57" s="1"/>
  <c r="D19" i="57"/>
  <c r="D83" i="57"/>
  <c r="F83" i="57" s="1"/>
  <c r="D23" i="57"/>
  <c r="D87" i="57"/>
  <c r="F87" i="57" s="1"/>
  <c r="D27" i="57"/>
  <c r="D91" i="57"/>
  <c r="F91" i="57" s="1"/>
  <c r="D31" i="57"/>
  <c r="D69" i="57"/>
  <c r="D77" i="57"/>
  <c r="D85" i="57"/>
  <c r="D93" i="57"/>
  <c r="D37" i="56"/>
  <c r="D39" i="56"/>
  <c r="D41" i="56"/>
  <c r="D43" i="56"/>
  <c r="D45" i="56"/>
  <c r="D47" i="56"/>
  <c r="D49" i="56"/>
  <c r="D51" i="56"/>
  <c r="D53" i="56"/>
  <c r="D55" i="56"/>
  <c r="D57" i="56"/>
  <c r="D59" i="56"/>
  <c r="D61" i="56"/>
  <c r="D63" i="56"/>
  <c r="E68" i="56"/>
  <c r="E72" i="56"/>
  <c r="E76" i="56"/>
  <c r="E80" i="56"/>
  <c r="E84" i="56"/>
  <c r="E88" i="56"/>
  <c r="E92" i="56"/>
  <c r="E99" i="56"/>
  <c r="E103" i="56"/>
  <c r="E109" i="56"/>
  <c r="C111" i="56"/>
  <c r="E112" i="56"/>
  <c r="C115" i="56"/>
  <c r="E64" i="55"/>
  <c r="E69" i="54"/>
  <c r="E73" i="54"/>
  <c r="E77" i="54"/>
  <c r="E81" i="54"/>
  <c r="E85" i="54"/>
  <c r="E89" i="54"/>
  <c r="E93" i="54"/>
  <c r="E100" i="54"/>
  <c r="E104" i="54"/>
  <c r="C110" i="54"/>
  <c r="E111" i="54"/>
  <c r="C114" i="54"/>
  <c r="C116" i="53"/>
  <c r="E115" i="53"/>
  <c r="C115" i="53"/>
  <c r="E114" i="53"/>
  <c r="F114" i="53" s="1"/>
  <c r="C113" i="53"/>
  <c r="E112" i="53"/>
  <c r="C111" i="53"/>
  <c r="F111" i="53" s="1"/>
  <c r="E110" i="53"/>
  <c r="F110" i="53" s="1"/>
  <c r="E109" i="53"/>
  <c r="E103" i="53"/>
  <c r="E101" i="53"/>
  <c r="E99" i="53"/>
  <c r="E94" i="53"/>
  <c r="E92" i="53"/>
  <c r="E90" i="53"/>
  <c r="E88" i="53"/>
  <c r="E86" i="53"/>
  <c r="E84" i="53"/>
  <c r="E82" i="53"/>
  <c r="E80" i="53"/>
  <c r="E78" i="53"/>
  <c r="E76" i="53"/>
  <c r="E74" i="53"/>
  <c r="E72" i="53"/>
  <c r="E70" i="53"/>
  <c r="E68" i="53"/>
  <c r="D63" i="53"/>
  <c r="D62" i="53"/>
  <c r="D61" i="53"/>
  <c r="D60" i="53"/>
  <c r="D59" i="53"/>
  <c r="D58" i="53"/>
  <c r="D57" i="53"/>
  <c r="D56" i="53"/>
  <c r="D55" i="53"/>
  <c r="D54" i="53"/>
  <c r="D53" i="53"/>
  <c r="D52" i="53"/>
  <c r="D51" i="53"/>
  <c r="D50" i="53"/>
  <c r="D49" i="53"/>
  <c r="D48" i="53"/>
  <c r="D47" i="53"/>
  <c r="D46" i="53"/>
  <c r="D45" i="53"/>
  <c r="D44" i="53"/>
  <c r="D43" i="53"/>
  <c r="D42" i="53"/>
  <c r="D41" i="53"/>
  <c r="D40" i="53"/>
  <c r="D39" i="53"/>
  <c r="F39" i="53" s="1"/>
  <c r="D38" i="53"/>
  <c r="D37" i="53"/>
  <c r="F37" i="53" s="1"/>
  <c r="D36" i="53"/>
  <c r="E67" i="53"/>
  <c r="E71" i="53"/>
  <c r="E75" i="53"/>
  <c r="E79" i="53"/>
  <c r="E83" i="53"/>
  <c r="E87" i="53"/>
  <c r="E91" i="53"/>
  <c r="E98" i="53"/>
  <c r="E102" i="53"/>
  <c r="D109" i="53"/>
  <c r="D118" i="53" s="1"/>
  <c r="C112" i="53"/>
  <c r="F112" i="53" s="1"/>
  <c r="E113" i="53"/>
  <c r="D117" i="53"/>
  <c r="F117" i="53" s="1"/>
  <c r="E120" i="53"/>
  <c r="F120" i="53" s="1"/>
  <c r="E69" i="52"/>
  <c r="E73" i="52"/>
  <c r="E77" i="52"/>
  <c r="E81" i="52"/>
  <c r="E85" i="52"/>
  <c r="E89" i="52"/>
  <c r="E93" i="52"/>
  <c r="E100" i="52"/>
  <c r="E109" i="52"/>
  <c r="C111" i="52"/>
  <c r="E112" i="52"/>
  <c r="C115" i="52"/>
  <c r="D5" i="51"/>
  <c r="D11" i="51"/>
  <c r="D15" i="51"/>
  <c r="D19" i="51"/>
  <c r="D23" i="51"/>
  <c r="D27" i="51"/>
  <c r="D31" i="51"/>
  <c r="D10" i="51"/>
  <c r="D12" i="51"/>
  <c r="D14" i="51"/>
  <c r="D16" i="51"/>
  <c r="D18" i="51"/>
  <c r="D20" i="51"/>
  <c r="D22" i="51"/>
  <c r="D24" i="51"/>
  <c r="D26" i="51"/>
  <c r="D28" i="51"/>
  <c r="D30" i="51"/>
  <c r="D32" i="51"/>
  <c r="E120" i="49"/>
  <c r="F120" i="49" s="1"/>
  <c r="D117" i="49"/>
  <c r="F117" i="49" s="1"/>
  <c r="D115" i="49"/>
  <c r="C114" i="49"/>
  <c r="F114" i="49" s="1"/>
  <c r="E113" i="49"/>
  <c r="F113" i="49" s="1"/>
  <c r="C112" i="49"/>
  <c r="E111" i="49"/>
  <c r="C110" i="49"/>
  <c r="F110" i="49" s="1"/>
  <c r="D109" i="49"/>
  <c r="D118" i="49" s="1"/>
  <c r="E104" i="49"/>
  <c r="E102" i="49"/>
  <c r="E100" i="49"/>
  <c r="E98" i="49"/>
  <c r="E93" i="49"/>
  <c r="E91" i="49"/>
  <c r="E89" i="49"/>
  <c r="E87" i="49"/>
  <c r="E85" i="49"/>
  <c r="E83" i="49"/>
  <c r="E81" i="49"/>
  <c r="E79" i="49"/>
  <c r="E77" i="49"/>
  <c r="E75" i="49"/>
  <c r="E73" i="49"/>
  <c r="E71" i="49"/>
  <c r="E69" i="49"/>
  <c r="E67" i="49"/>
  <c r="D11" i="49"/>
  <c r="D15" i="49"/>
  <c r="D19" i="49"/>
  <c r="D23" i="49"/>
  <c r="D27" i="49"/>
  <c r="D31" i="49"/>
  <c r="D37" i="49"/>
  <c r="F37" i="49" s="1"/>
  <c r="D39" i="49"/>
  <c r="D41" i="49"/>
  <c r="F41" i="49" s="1"/>
  <c r="D43" i="49"/>
  <c r="D45" i="49"/>
  <c r="D47" i="49"/>
  <c r="D49" i="49"/>
  <c r="D51" i="49"/>
  <c r="D53" i="49"/>
  <c r="D55" i="49"/>
  <c r="D57" i="49"/>
  <c r="D59" i="49"/>
  <c r="D61" i="49"/>
  <c r="D63" i="49"/>
  <c r="E68" i="49"/>
  <c r="E72" i="49"/>
  <c r="E76" i="49"/>
  <c r="E80" i="49"/>
  <c r="E84" i="49"/>
  <c r="E88" i="49"/>
  <c r="E92" i="49"/>
  <c r="E99" i="49"/>
  <c r="E103" i="49"/>
  <c r="E109" i="49"/>
  <c r="C111" i="49"/>
  <c r="F111" i="49" s="1"/>
  <c r="E112" i="49"/>
  <c r="C115" i="49"/>
  <c r="F115" i="49" s="1"/>
  <c r="C116" i="49"/>
  <c r="E120" i="47"/>
  <c r="F120" i="47" s="1"/>
  <c r="D117" i="47"/>
  <c r="F117" i="47" s="1"/>
  <c r="D115" i="47"/>
  <c r="C114" i="47"/>
  <c r="F114" i="47" s="1"/>
  <c r="E113" i="47"/>
  <c r="F113" i="47" s="1"/>
  <c r="C112" i="47"/>
  <c r="E111" i="47"/>
  <c r="C110" i="47"/>
  <c r="F110" i="47" s="1"/>
  <c r="D109" i="47"/>
  <c r="D118" i="47" s="1"/>
  <c r="E104" i="47"/>
  <c r="E102" i="47"/>
  <c r="E100" i="47"/>
  <c r="E98" i="47"/>
  <c r="E93" i="47"/>
  <c r="F93" i="47" s="1"/>
  <c r="E91" i="47"/>
  <c r="E89" i="47"/>
  <c r="F89" i="47" s="1"/>
  <c r="E87" i="47"/>
  <c r="E85" i="47"/>
  <c r="F85" i="47" s="1"/>
  <c r="E83" i="47"/>
  <c r="E81" i="47"/>
  <c r="F81" i="47" s="1"/>
  <c r="E79" i="47"/>
  <c r="E77" i="47"/>
  <c r="F77" i="47" s="1"/>
  <c r="E75" i="47"/>
  <c r="E73" i="47"/>
  <c r="F73" i="47" s="1"/>
  <c r="E71" i="47"/>
  <c r="E69" i="47"/>
  <c r="E67" i="47"/>
  <c r="D11" i="47"/>
  <c r="D15" i="47"/>
  <c r="D19" i="47"/>
  <c r="D23" i="47"/>
  <c r="D27" i="47"/>
  <c r="D31" i="47"/>
  <c r="D37" i="47"/>
  <c r="F37" i="47" s="1"/>
  <c r="D39" i="47"/>
  <c r="D41" i="47"/>
  <c r="F41" i="47" s="1"/>
  <c r="D43" i="47"/>
  <c r="D45" i="47"/>
  <c r="D47" i="47"/>
  <c r="D49" i="47"/>
  <c r="D51" i="47"/>
  <c r="D53" i="47"/>
  <c r="D55" i="47"/>
  <c r="D57" i="47"/>
  <c r="D59" i="47"/>
  <c r="D61" i="47"/>
  <c r="D63" i="47"/>
  <c r="E68" i="47"/>
  <c r="E72" i="47"/>
  <c r="E76" i="47"/>
  <c r="E80" i="47"/>
  <c r="E84" i="47"/>
  <c r="E88" i="47"/>
  <c r="E92" i="47"/>
  <c r="E99" i="47"/>
  <c r="E103" i="47"/>
  <c r="E109" i="47"/>
  <c r="C111" i="47"/>
  <c r="E112" i="47"/>
  <c r="C115" i="47"/>
  <c r="C116" i="47"/>
  <c r="C116" i="45"/>
  <c r="E115" i="45"/>
  <c r="C115" i="45"/>
  <c r="E114" i="45"/>
  <c r="C113" i="45"/>
  <c r="F113" i="45" s="1"/>
  <c r="E112" i="45"/>
  <c r="F112" i="45" s="1"/>
  <c r="C111" i="45"/>
  <c r="E110" i="45"/>
  <c r="E109" i="45"/>
  <c r="E103" i="45"/>
  <c r="E101" i="45"/>
  <c r="E99" i="45"/>
  <c r="E94" i="45"/>
  <c r="E92" i="45"/>
  <c r="E90" i="45"/>
  <c r="E88" i="45"/>
  <c r="E86" i="45"/>
  <c r="E84" i="45"/>
  <c r="E82" i="45"/>
  <c r="E80" i="45"/>
  <c r="E78" i="45"/>
  <c r="E76" i="45"/>
  <c r="E74" i="45"/>
  <c r="E72" i="45"/>
  <c r="E70" i="45"/>
  <c r="E68" i="45"/>
  <c r="D63" i="45"/>
  <c r="D62" i="45"/>
  <c r="D61" i="45"/>
  <c r="D60" i="45"/>
  <c r="D59" i="45"/>
  <c r="D58" i="45"/>
  <c r="D57" i="45"/>
  <c r="D56" i="45"/>
  <c r="D55" i="45"/>
  <c r="D54" i="45"/>
  <c r="D53" i="45"/>
  <c r="D52" i="45"/>
  <c r="D51" i="45"/>
  <c r="D50" i="45"/>
  <c r="D49" i="45"/>
  <c r="D48" i="45"/>
  <c r="D47" i="45"/>
  <c r="D46" i="45"/>
  <c r="D45" i="45"/>
  <c r="D44" i="45"/>
  <c r="D43" i="45"/>
  <c r="D42" i="45"/>
  <c r="D41" i="45"/>
  <c r="D40" i="45"/>
  <c r="D39" i="45"/>
  <c r="D38" i="45"/>
  <c r="D37" i="45"/>
  <c r="D36" i="45"/>
  <c r="E69" i="45"/>
  <c r="E73" i="45"/>
  <c r="E77" i="45"/>
  <c r="E81" i="45"/>
  <c r="E85" i="45"/>
  <c r="E89" i="45"/>
  <c r="E93" i="45"/>
  <c r="E100" i="45"/>
  <c r="E104" i="45"/>
  <c r="C110" i="45"/>
  <c r="F110" i="45" s="1"/>
  <c r="E111" i="45"/>
  <c r="C114" i="45"/>
  <c r="F114" i="45" s="1"/>
  <c r="D115" i="45"/>
  <c r="D118" i="45" s="1"/>
  <c r="C116" i="44"/>
  <c r="E115" i="44"/>
  <c r="C115" i="44"/>
  <c r="E114" i="44"/>
  <c r="C113" i="44"/>
  <c r="F113" i="44" s="1"/>
  <c r="E112" i="44"/>
  <c r="F112" i="44" s="1"/>
  <c r="C111" i="44"/>
  <c r="E110" i="44"/>
  <c r="E109" i="44"/>
  <c r="E103" i="44"/>
  <c r="E101" i="44"/>
  <c r="E99" i="44"/>
  <c r="E94" i="44"/>
  <c r="E92" i="44"/>
  <c r="E90" i="44"/>
  <c r="E88" i="44"/>
  <c r="E86" i="44"/>
  <c r="E84" i="44"/>
  <c r="E82" i="44"/>
  <c r="E80" i="44"/>
  <c r="E78" i="44"/>
  <c r="E76" i="44"/>
  <c r="E74" i="44"/>
  <c r="E72" i="44"/>
  <c r="E70" i="44"/>
  <c r="E68" i="44"/>
  <c r="D63" i="44"/>
  <c r="D62" i="44"/>
  <c r="D61" i="44"/>
  <c r="D60" i="44"/>
  <c r="D59" i="44"/>
  <c r="D58" i="44"/>
  <c r="D57" i="44"/>
  <c r="D56" i="44"/>
  <c r="D55" i="44"/>
  <c r="D54" i="44"/>
  <c r="D53" i="44"/>
  <c r="D52" i="44"/>
  <c r="D51" i="44"/>
  <c r="D50" i="44"/>
  <c r="D49" i="44"/>
  <c r="D48" i="44"/>
  <c r="D47" i="44"/>
  <c r="D46" i="44"/>
  <c r="D45" i="44"/>
  <c r="D44" i="44"/>
  <c r="D43" i="44"/>
  <c r="D42" i="44"/>
  <c r="F42" i="44" s="1"/>
  <c r="D41" i="44"/>
  <c r="D40" i="44"/>
  <c r="F40" i="44" s="1"/>
  <c r="D39" i="44"/>
  <c r="D38" i="44"/>
  <c r="F38" i="44" s="1"/>
  <c r="D37" i="44"/>
  <c r="D36" i="44"/>
  <c r="E69" i="44"/>
  <c r="E73" i="44"/>
  <c r="E77" i="44"/>
  <c r="E81" i="44"/>
  <c r="E85" i="44"/>
  <c r="E89" i="44"/>
  <c r="E93" i="44"/>
  <c r="E100" i="44"/>
  <c r="E104" i="44"/>
  <c r="C110" i="44"/>
  <c r="F110" i="44" s="1"/>
  <c r="E111" i="44"/>
  <c r="C114" i="44"/>
  <c r="F114" i="44" s="1"/>
  <c r="D115" i="44"/>
  <c r="D118" i="44" s="1"/>
  <c r="C116" i="43"/>
  <c r="E115" i="43"/>
  <c r="C115" i="43"/>
  <c r="E114" i="43"/>
  <c r="C113" i="43"/>
  <c r="F113" i="43" s="1"/>
  <c r="E112" i="43"/>
  <c r="F112" i="43" s="1"/>
  <c r="C111" i="43"/>
  <c r="E110" i="43"/>
  <c r="E109" i="43"/>
  <c r="E102" i="43"/>
  <c r="E100" i="43"/>
  <c r="E98" i="43"/>
  <c r="E93" i="43"/>
  <c r="E91" i="43"/>
  <c r="E89" i="43"/>
  <c r="E87" i="43"/>
  <c r="E85" i="43"/>
  <c r="E83" i="43"/>
  <c r="E81" i="43"/>
  <c r="E79" i="43"/>
  <c r="E77" i="43"/>
  <c r="E75" i="43"/>
  <c r="E73" i="43"/>
  <c r="E71" i="43"/>
  <c r="E69" i="43"/>
  <c r="E67" i="43"/>
  <c r="D36" i="43"/>
  <c r="D38" i="43"/>
  <c r="D40" i="43"/>
  <c r="D42" i="43"/>
  <c r="D44" i="43"/>
  <c r="D46" i="43"/>
  <c r="D48" i="43"/>
  <c r="D50" i="43"/>
  <c r="D52" i="43"/>
  <c r="D54" i="43"/>
  <c r="D56" i="43"/>
  <c r="D58" i="43"/>
  <c r="D60" i="43"/>
  <c r="D62" i="43"/>
  <c r="E70" i="43"/>
  <c r="E74" i="43"/>
  <c r="E78" i="43"/>
  <c r="E82" i="43"/>
  <c r="E86" i="43"/>
  <c r="E90" i="43"/>
  <c r="E94" i="43"/>
  <c r="E101" i="43"/>
  <c r="E104" i="43"/>
  <c r="C110" i="43"/>
  <c r="F110" i="43" s="1"/>
  <c r="E111" i="43"/>
  <c r="C114" i="43"/>
  <c r="F114" i="43" s="1"/>
  <c r="D115" i="43"/>
  <c r="D118" i="43" s="1"/>
  <c r="C116" i="42"/>
  <c r="E115" i="42"/>
  <c r="C115" i="42"/>
  <c r="E114" i="42"/>
  <c r="F114" i="42" s="1"/>
  <c r="C113" i="42"/>
  <c r="E112" i="42"/>
  <c r="C111" i="42"/>
  <c r="F111" i="42" s="1"/>
  <c r="E110" i="42"/>
  <c r="F110" i="42" s="1"/>
  <c r="E109" i="42"/>
  <c r="E103" i="42"/>
  <c r="E101" i="42"/>
  <c r="E99" i="42"/>
  <c r="E94" i="42"/>
  <c r="E92" i="42"/>
  <c r="E90" i="42"/>
  <c r="E88" i="42"/>
  <c r="E86" i="42"/>
  <c r="E84" i="42"/>
  <c r="E82" i="42"/>
  <c r="E80" i="42"/>
  <c r="E78" i="42"/>
  <c r="E76" i="42"/>
  <c r="E74" i="42"/>
  <c r="E72" i="42"/>
  <c r="E70" i="42"/>
  <c r="E68" i="42"/>
  <c r="D63" i="42"/>
  <c r="D62" i="42"/>
  <c r="D61" i="42"/>
  <c r="D60" i="42"/>
  <c r="D59" i="42"/>
  <c r="D58" i="42"/>
  <c r="D57" i="42"/>
  <c r="D56" i="42"/>
  <c r="D55" i="42"/>
  <c r="D54" i="42"/>
  <c r="D53" i="42"/>
  <c r="D52" i="42"/>
  <c r="D51" i="42"/>
  <c r="D50" i="42"/>
  <c r="D49" i="42"/>
  <c r="D48" i="42"/>
  <c r="D47" i="42"/>
  <c r="D46" i="42"/>
  <c r="D77" i="42" s="1"/>
  <c r="F77" i="42" s="1"/>
  <c r="D45" i="42"/>
  <c r="D44" i="42"/>
  <c r="D75" i="42" s="1"/>
  <c r="D43" i="42"/>
  <c r="D42" i="42"/>
  <c r="D73" i="42" s="1"/>
  <c r="F73" i="42" s="1"/>
  <c r="D41" i="42"/>
  <c r="D40" i="42"/>
  <c r="D71" i="42" s="1"/>
  <c r="D39" i="42"/>
  <c r="D38" i="42"/>
  <c r="D69" i="42" s="1"/>
  <c r="F69" i="42" s="1"/>
  <c r="D37" i="42"/>
  <c r="D36" i="42"/>
  <c r="D67" i="42" s="1"/>
  <c r="E67" i="42"/>
  <c r="E71" i="42"/>
  <c r="E75" i="42"/>
  <c r="E79" i="42"/>
  <c r="E83" i="42"/>
  <c r="E87" i="42"/>
  <c r="E91" i="42"/>
  <c r="E98" i="42"/>
  <c r="E102" i="42"/>
  <c r="D109" i="42"/>
  <c r="D118" i="42" s="1"/>
  <c r="C112" i="42"/>
  <c r="F112" i="42" s="1"/>
  <c r="E113" i="42"/>
  <c r="D117" i="42"/>
  <c r="F117" i="42" s="1"/>
  <c r="E120" i="42"/>
  <c r="F120" i="42" s="1"/>
  <c r="E69" i="41"/>
  <c r="E73" i="41"/>
  <c r="E77" i="41"/>
  <c r="E81" i="41"/>
  <c r="E85" i="41"/>
  <c r="E89" i="41"/>
  <c r="E93" i="41"/>
  <c r="E100" i="41"/>
  <c r="E104" i="41"/>
  <c r="C110" i="41"/>
  <c r="E111" i="41"/>
  <c r="C114" i="41"/>
  <c r="C116" i="40"/>
  <c r="E115" i="40"/>
  <c r="C115" i="40"/>
  <c r="E114" i="40"/>
  <c r="F114" i="40" s="1"/>
  <c r="C113" i="40"/>
  <c r="E112" i="40"/>
  <c r="C111" i="40"/>
  <c r="F111" i="40" s="1"/>
  <c r="E110" i="40"/>
  <c r="F110" i="40" s="1"/>
  <c r="E109" i="40"/>
  <c r="E102" i="40"/>
  <c r="E100" i="40"/>
  <c r="E98" i="40"/>
  <c r="E93" i="40"/>
  <c r="E91" i="40"/>
  <c r="E89" i="40"/>
  <c r="E87" i="40"/>
  <c r="E85" i="40"/>
  <c r="E83" i="40"/>
  <c r="E81" i="40"/>
  <c r="E79" i="40"/>
  <c r="E77" i="40"/>
  <c r="E75" i="40"/>
  <c r="E73" i="40"/>
  <c r="E71" i="40"/>
  <c r="E69" i="40"/>
  <c r="E67" i="40"/>
  <c r="D19" i="40"/>
  <c r="D23" i="40"/>
  <c r="D27" i="40"/>
  <c r="D31" i="40"/>
  <c r="D37" i="40"/>
  <c r="D39" i="40"/>
  <c r="D41" i="40"/>
  <c r="D43" i="40"/>
  <c r="D45" i="40"/>
  <c r="D47" i="40"/>
  <c r="D49" i="40"/>
  <c r="D51" i="40"/>
  <c r="D53" i="40"/>
  <c r="D55" i="40"/>
  <c r="D57" i="40"/>
  <c r="D59" i="40"/>
  <c r="D61" i="40"/>
  <c r="D63" i="40"/>
  <c r="E68" i="40"/>
  <c r="E72" i="40"/>
  <c r="E76" i="40"/>
  <c r="E80" i="40"/>
  <c r="E84" i="40"/>
  <c r="E88" i="40"/>
  <c r="E92" i="40"/>
  <c r="E99" i="40"/>
  <c r="E103" i="40"/>
  <c r="D109" i="40"/>
  <c r="D118" i="40" s="1"/>
  <c r="C112" i="40"/>
  <c r="E113" i="40"/>
  <c r="D117" i="40"/>
  <c r="F117" i="40" s="1"/>
  <c r="E120" i="40"/>
  <c r="F120" i="40" s="1"/>
  <c r="E73" i="39"/>
  <c r="E81" i="39"/>
  <c r="E89" i="39"/>
  <c r="E100" i="39"/>
  <c r="E120" i="56"/>
  <c r="F120" i="56" s="1"/>
  <c r="D117" i="56"/>
  <c r="F117" i="56" s="1"/>
  <c r="D115" i="56"/>
  <c r="C114" i="56"/>
  <c r="E113" i="56"/>
  <c r="C112" i="56"/>
  <c r="F112" i="56" s="1"/>
  <c r="E111" i="56"/>
  <c r="C110" i="56"/>
  <c r="D109" i="56"/>
  <c r="D118" i="56" s="1"/>
  <c r="E104" i="56"/>
  <c r="E102" i="56"/>
  <c r="E100" i="56"/>
  <c r="E98" i="56"/>
  <c r="E93" i="56"/>
  <c r="E91" i="56"/>
  <c r="E89" i="56"/>
  <c r="E87" i="56"/>
  <c r="E85" i="56"/>
  <c r="E83" i="56"/>
  <c r="E81" i="56"/>
  <c r="E79" i="56"/>
  <c r="E77" i="56"/>
  <c r="E75" i="56"/>
  <c r="E73" i="56"/>
  <c r="E71" i="56"/>
  <c r="E69" i="56"/>
  <c r="E67" i="56"/>
  <c r="D36" i="56"/>
  <c r="D40" i="56"/>
  <c r="D46" i="56"/>
  <c r="D50" i="56"/>
  <c r="D56" i="56"/>
  <c r="D60" i="56"/>
  <c r="E74" i="56"/>
  <c r="E78" i="56"/>
  <c r="E82" i="56"/>
  <c r="E90" i="56"/>
  <c r="E94" i="56"/>
  <c r="E101" i="56"/>
  <c r="E110" i="56"/>
  <c r="C113" i="56"/>
  <c r="F113" i="56" s="1"/>
  <c r="E114" i="56"/>
  <c r="E115" i="56"/>
  <c r="C116" i="54"/>
  <c r="E115" i="54"/>
  <c r="C115" i="54"/>
  <c r="E114" i="54"/>
  <c r="C113" i="54"/>
  <c r="E112" i="54"/>
  <c r="C111" i="54"/>
  <c r="F111" i="54" s="1"/>
  <c r="E110" i="54"/>
  <c r="E109" i="54"/>
  <c r="E103" i="54"/>
  <c r="E101" i="54"/>
  <c r="E99" i="54"/>
  <c r="E94" i="54"/>
  <c r="E92" i="54"/>
  <c r="E90" i="54"/>
  <c r="E88" i="54"/>
  <c r="E86" i="54"/>
  <c r="E84" i="54"/>
  <c r="E82" i="54"/>
  <c r="E80" i="54"/>
  <c r="E78" i="54"/>
  <c r="E76" i="54"/>
  <c r="E74" i="54"/>
  <c r="E72" i="54"/>
  <c r="E70" i="54"/>
  <c r="E68" i="54"/>
  <c r="D63" i="54"/>
  <c r="D62" i="54"/>
  <c r="D61" i="54"/>
  <c r="D60" i="54"/>
  <c r="D59" i="54"/>
  <c r="D58" i="54"/>
  <c r="D57" i="54"/>
  <c r="D56" i="54"/>
  <c r="D55" i="54"/>
  <c r="D54" i="54"/>
  <c r="D53" i="54"/>
  <c r="D52" i="54"/>
  <c r="D51" i="54"/>
  <c r="D50" i="54"/>
  <c r="D49" i="54"/>
  <c r="D48" i="54"/>
  <c r="D47" i="54"/>
  <c r="D46" i="54"/>
  <c r="D45" i="54"/>
  <c r="D44" i="54"/>
  <c r="D43" i="54"/>
  <c r="D42" i="54"/>
  <c r="D41" i="54"/>
  <c r="D40" i="54"/>
  <c r="D39" i="54"/>
  <c r="D38" i="54"/>
  <c r="D37" i="54"/>
  <c r="D36" i="54"/>
  <c r="E67" i="54"/>
  <c r="E71" i="54"/>
  <c r="E75" i="54"/>
  <c r="E79" i="54"/>
  <c r="E83" i="54"/>
  <c r="E87" i="54"/>
  <c r="E91" i="54"/>
  <c r="E98" i="54"/>
  <c r="E102" i="54"/>
  <c r="D109" i="54"/>
  <c r="D118" i="54" s="1"/>
  <c r="C112" i="54"/>
  <c r="E113" i="54"/>
  <c r="D117" i="54"/>
  <c r="F117" i="54" s="1"/>
  <c r="E120" i="54"/>
  <c r="F120" i="54" s="1"/>
  <c r="E120" i="52"/>
  <c r="F120" i="52" s="1"/>
  <c r="D117" i="52"/>
  <c r="F117" i="52" s="1"/>
  <c r="D115" i="52"/>
  <c r="C114" i="52"/>
  <c r="E113" i="52"/>
  <c r="C112" i="52"/>
  <c r="F112" i="52" s="1"/>
  <c r="E111" i="52"/>
  <c r="C110" i="52"/>
  <c r="D109" i="52"/>
  <c r="D118" i="52" s="1"/>
  <c r="E104" i="52"/>
  <c r="E103" i="52"/>
  <c r="E101" i="52"/>
  <c r="E99" i="52"/>
  <c r="E94" i="52"/>
  <c r="E92" i="52"/>
  <c r="E90" i="52"/>
  <c r="E88" i="52"/>
  <c r="E86" i="52"/>
  <c r="E84" i="52"/>
  <c r="E82" i="52"/>
  <c r="E80" i="52"/>
  <c r="E78" i="52"/>
  <c r="E76" i="52"/>
  <c r="E74" i="52"/>
  <c r="E72" i="52"/>
  <c r="E70" i="52"/>
  <c r="E68" i="52"/>
  <c r="D63" i="52"/>
  <c r="D62" i="52"/>
  <c r="D61" i="52"/>
  <c r="D60" i="52"/>
  <c r="D59" i="52"/>
  <c r="D58" i="52"/>
  <c r="D57" i="52"/>
  <c r="D56" i="52"/>
  <c r="D55" i="52"/>
  <c r="D54" i="52"/>
  <c r="D53" i="52"/>
  <c r="D52" i="52"/>
  <c r="D51" i="52"/>
  <c r="D50" i="52"/>
  <c r="D49" i="52"/>
  <c r="D48" i="52"/>
  <c r="D47" i="52"/>
  <c r="D46" i="52"/>
  <c r="D45" i="52"/>
  <c r="D44" i="52"/>
  <c r="D43" i="52"/>
  <c r="D42" i="52"/>
  <c r="D41" i="52"/>
  <c r="D40" i="52"/>
  <c r="D39" i="52"/>
  <c r="D38" i="52"/>
  <c r="F38" i="52" s="1"/>
  <c r="D37" i="52"/>
  <c r="D36" i="52"/>
  <c r="E75" i="52"/>
  <c r="E79" i="52"/>
  <c r="E91" i="52"/>
  <c r="E98" i="52"/>
  <c r="E102" i="52"/>
  <c r="E110" i="52"/>
  <c r="E114" i="52"/>
  <c r="E64" i="50"/>
  <c r="M14" i="63" s="1"/>
  <c r="F73" i="49"/>
  <c r="F77" i="49"/>
  <c r="F81" i="49"/>
  <c r="F85" i="49"/>
  <c r="F89" i="49"/>
  <c r="F93" i="49"/>
  <c r="D67" i="47"/>
  <c r="D5" i="47"/>
  <c r="D71" i="47"/>
  <c r="F71" i="47" s="1"/>
  <c r="D9" i="47"/>
  <c r="F75" i="47"/>
  <c r="F79" i="47"/>
  <c r="F83" i="47"/>
  <c r="F91" i="47"/>
  <c r="E64" i="45"/>
  <c r="E95" i="45"/>
  <c r="C109" i="45" s="1"/>
  <c r="E64" i="44"/>
  <c r="E95" i="44"/>
  <c r="C109" i="44" s="1"/>
  <c r="F70" i="43"/>
  <c r="D78" i="43"/>
  <c r="F78" i="43" s="1"/>
  <c r="D16" i="43"/>
  <c r="D80" i="43"/>
  <c r="F80" i="43" s="1"/>
  <c r="D18" i="43"/>
  <c r="D82" i="43"/>
  <c r="F82" i="43" s="1"/>
  <c r="D20" i="43"/>
  <c r="D84" i="43"/>
  <c r="F84" i="43" s="1"/>
  <c r="D22" i="43"/>
  <c r="D86" i="43"/>
  <c r="F86" i="43" s="1"/>
  <c r="D24" i="43"/>
  <c r="D88" i="43"/>
  <c r="F88" i="43" s="1"/>
  <c r="D26" i="43"/>
  <c r="D90" i="43"/>
  <c r="F90" i="43" s="1"/>
  <c r="D28" i="43"/>
  <c r="D92" i="43"/>
  <c r="F92" i="43" s="1"/>
  <c r="D30" i="43"/>
  <c r="D94" i="43"/>
  <c r="F94" i="43" s="1"/>
  <c r="D32" i="43"/>
  <c r="C116" i="41"/>
  <c r="E115" i="41"/>
  <c r="C115" i="41"/>
  <c r="E114" i="41"/>
  <c r="C113" i="41"/>
  <c r="E112" i="41"/>
  <c r="C111" i="41"/>
  <c r="F111" i="41" s="1"/>
  <c r="E110" i="41"/>
  <c r="E109" i="41"/>
  <c r="E103" i="41"/>
  <c r="F103" i="41" s="1"/>
  <c r="E101" i="41"/>
  <c r="E99" i="41"/>
  <c r="E94" i="41"/>
  <c r="E92" i="41"/>
  <c r="E90" i="41"/>
  <c r="E88" i="41"/>
  <c r="E86" i="41"/>
  <c r="E84" i="41"/>
  <c r="E82" i="41"/>
  <c r="E80" i="41"/>
  <c r="E78" i="41"/>
  <c r="E76" i="41"/>
  <c r="E74" i="41"/>
  <c r="E72" i="41"/>
  <c r="E70" i="41"/>
  <c r="E68" i="41"/>
  <c r="D63" i="41"/>
  <c r="D62" i="41"/>
  <c r="D61" i="41"/>
  <c r="D60" i="41"/>
  <c r="D59" i="41"/>
  <c r="D58" i="41"/>
  <c r="D57" i="41"/>
  <c r="D56" i="41"/>
  <c r="D55" i="41"/>
  <c r="D54" i="41"/>
  <c r="D53" i="41"/>
  <c r="D52" i="41"/>
  <c r="D51" i="41"/>
  <c r="D50" i="41"/>
  <c r="D49" i="41"/>
  <c r="D48" i="41"/>
  <c r="D47" i="41"/>
  <c r="D78" i="41" s="1"/>
  <c r="F78" i="41" s="1"/>
  <c r="D46" i="41"/>
  <c r="D45" i="41"/>
  <c r="D76" i="41" s="1"/>
  <c r="D44" i="41"/>
  <c r="D43" i="41"/>
  <c r="D74" i="41" s="1"/>
  <c r="F74" i="41" s="1"/>
  <c r="D42" i="41"/>
  <c r="D41" i="41"/>
  <c r="D72" i="41" s="1"/>
  <c r="D40" i="41"/>
  <c r="D39" i="41"/>
  <c r="D70" i="41" s="1"/>
  <c r="F70" i="41" s="1"/>
  <c r="D38" i="41"/>
  <c r="D37" i="41"/>
  <c r="D68" i="41" s="1"/>
  <c r="D36" i="41"/>
  <c r="E67" i="41"/>
  <c r="E71" i="41"/>
  <c r="E75" i="41"/>
  <c r="E79" i="41"/>
  <c r="E83" i="41"/>
  <c r="E87" i="41"/>
  <c r="E91" i="41"/>
  <c r="E98" i="41"/>
  <c r="E102" i="41"/>
  <c r="D109" i="41"/>
  <c r="D118" i="41" s="1"/>
  <c r="C112" i="41"/>
  <c r="E113" i="41"/>
  <c r="D117" i="41"/>
  <c r="F117" i="41" s="1"/>
  <c r="E120" i="41"/>
  <c r="F120" i="41" s="1"/>
  <c r="F69" i="40"/>
  <c r="F71" i="40"/>
  <c r="F73" i="40"/>
  <c r="F75" i="40"/>
  <c r="F77" i="40"/>
  <c r="F79" i="40"/>
  <c r="F81" i="40"/>
  <c r="F85" i="40"/>
  <c r="F89" i="40"/>
  <c r="F93" i="40"/>
  <c r="C116" i="39"/>
  <c r="E115" i="39"/>
  <c r="C115" i="39"/>
  <c r="E114" i="39"/>
  <c r="C113" i="39"/>
  <c r="E112" i="39"/>
  <c r="C111" i="39"/>
  <c r="E110" i="39"/>
  <c r="F110" i="39" s="1"/>
  <c r="E109" i="39"/>
  <c r="E103" i="39"/>
  <c r="E101" i="39"/>
  <c r="E99" i="39"/>
  <c r="E94" i="39"/>
  <c r="E92" i="39"/>
  <c r="E90" i="39"/>
  <c r="E88" i="39"/>
  <c r="E86" i="39"/>
  <c r="E84" i="39"/>
  <c r="E82" i="39"/>
  <c r="E80" i="39"/>
  <c r="E78" i="39"/>
  <c r="E76" i="39"/>
  <c r="E74" i="39"/>
  <c r="E72" i="39"/>
  <c r="E70" i="39"/>
  <c r="E68" i="39"/>
  <c r="D63" i="39"/>
  <c r="D62" i="39"/>
  <c r="D61" i="39"/>
  <c r="D60" i="39"/>
  <c r="D59" i="39"/>
  <c r="D58" i="39"/>
  <c r="D57" i="39"/>
  <c r="D56" i="39"/>
  <c r="D55" i="39"/>
  <c r="D54" i="39"/>
  <c r="D53" i="39"/>
  <c r="D52" i="39"/>
  <c r="D51" i="39"/>
  <c r="D82" i="39" s="1"/>
  <c r="F82" i="39" s="1"/>
  <c r="D50" i="39"/>
  <c r="D49" i="39"/>
  <c r="D80" i="39" s="1"/>
  <c r="D48" i="39"/>
  <c r="D47" i="39"/>
  <c r="D78" i="39" s="1"/>
  <c r="F78" i="39" s="1"/>
  <c r="D46" i="39"/>
  <c r="D45" i="39"/>
  <c r="D76" i="39" s="1"/>
  <c r="D44" i="39"/>
  <c r="D43" i="39"/>
  <c r="D74" i="39" s="1"/>
  <c r="F74" i="39" s="1"/>
  <c r="D42" i="39"/>
  <c r="D41" i="39"/>
  <c r="D72" i="39" s="1"/>
  <c r="D40" i="39"/>
  <c r="D39" i="39"/>
  <c r="D70" i="39" s="1"/>
  <c r="F70" i="39" s="1"/>
  <c r="D38" i="39"/>
  <c r="D37" i="39"/>
  <c r="D68" i="39" s="1"/>
  <c r="D36" i="39"/>
  <c r="E120" i="39"/>
  <c r="F120" i="39" s="1"/>
  <c r="D117" i="39"/>
  <c r="F117" i="39" s="1"/>
  <c r="E113" i="39"/>
  <c r="C112" i="39"/>
  <c r="F112" i="39" s="1"/>
  <c r="D109" i="39"/>
  <c r="E102" i="39"/>
  <c r="E98" i="39"/>
  <c r="E91" i="39"/>
  <c r="E87" i="39"/>
  <c r="E83" i="39"/>
  <c r="E79" i="39"/>
  <c r="E75" i="39"/>
  <c r="E71" i="39"/>
  <c r="E67" i="39"/>
  <c r="D115" i="39"/>
  <c r="C114" i="39"/>
  <c r="F114" i="39" s="1"/>
  <c r="E111" i="39"/>
  <c r="E69" i="39"/>
  <c r="E77" i="39"/>
  <c r="E85" i="39"/>
  <c r="E93" i="39"/>
  <c r="E104" i="39"/>
  <c r="E73" i="38"/>
  <c r="E77" i="38"/>
  <c r="E85" i="38"/>
  <c r="E100" i="38"/>
  <c r="C116" i="37"/>
  <c r="E115" i="37"/>
  <c r="C115" i="37"/>
  <c r="E114" i="37"/>
  <c r="C113" i="37"/>
  <c r="E112" i="37"/>
  <c r="C111" i="37"/>
  <c r="E110" i="37"/>
  <c r="E109" i="37"/>
  <c r="E103" i="37"/>
  <c r="E101" i="37"/>
  <c r="E99" i="37"/>
  <c r="E94" i="37"/>
  <c r="E92" i="37"/>
  <c r="E90" i="37"/>
  <c r="E88" i="37"/>
  <c r="E86" i="37"/>
  <c r="E84" i="37"/>
  <c r="E82" i="37"/>
  <c r="E80" i="37"/>
  <c r="E78" i="37"/>
  <c r="E76" i="37"/>
  <c r="E74" i="37"/>
  <c r="E72" i="37"/>
  <c r="E70" i="37"/>
  <c r="E68" i="37"/>
  <c r="D63" i="37"/>
  <c r="D62" i="37"/>
  <c r="D61" i="37"/>
  <c r="D60" i="37"/>
  <c r="D59" i="37"/>
  <c r="D58" i="37"/>
  <c r="D57" i="37"/>
  <c r="D56" i="37"/>
  <c r="D55" i="37"/>
  <c r="D86" i="37" s="1"/>
  <c r="F86" i="37" s="1"/>
  <c r="D54" i="37"/>
  <c r="D53" i="37"/>
  <c r="D84" i="37" s="1"/>
  <c r="D52" i="37"/>
  <c r="D51" i="37"/>
  <c r="D82" i="37" s="1"/>
  <c r="F82" i="37" s="1"/>
  <c r="D50" i="37"/>
  <c r="D49" i="37"/>
  <c r="D80" i="37" s="1"/>
  <c r="D48" i="37"/>
  <c r="D47" i="37"/>
  <c r="D78" i="37" s="1"/>
  <c r="F78" i="37" s="1"/>
  <c r="D46" i="37"/>
  <c r="D45" i="37"/>
  <c r="D76" i="37" s="1"/>
  <c r="D44" i="37"/>
  <c r="D43" i="37"/>
  <c r="D74" i="37" s="1"/>
  <c r="F74" i="37" s="1"/>
  <c r="D42" i="37"/>
  <c r="D41" i="37"/>
  <c r="D72" i="37" s="1"/>
  <c r="D40" i="37"/>
  <c r="D39" i="37"/>
  <c r="D70" i="37" s="1"/>
  <c r="F70" i="37" s="1"/>
  <c r="D38" i="37"/>
  <c r="D37" i="37"/>
  <c r="D68" i="37" s="1"/>
  <c r="D36" i="37"/>
  <c r="E67" i="37"/>
  <c r="E71" i="37"/>
  <c r="E75" i="37"/>
  <c r="E79" i="37"/>
  <c r="E83" i="37"/>
  <c r="E87" i="37"/>
  <c r="E91" i="37"/>
  <c r="E98" i="37"/>
  <c r="E102" i="37"/>
  <c r="D109" i="37"/>
  <c r="C112" i="37"/>
  <c r="E113" i="37"/>
  <c r="D117" i="37"/>
  <c r="F117" i="37" s="1"/>
  <c r="E120" i="37"/>
  <c r="F120" i="37" s="1"/>
  <c r="D8" i="34"/>
  <c r="D12" i="34"/>
  <c r="D16" i="34"/>
  <c r="D20" i="34"/>
  <c r="D24" i="34"/>
  <c r="D28" i="34"/>
  <c r="D32" i="34"/>
  <c r="C116" i="29"/>
  <c r="E115" i="29"/>
  <c r="C115" i="29"/>
  <c r="E114" i="29"/>
  <c r="C113" i="29"/>
  <c r="E112" i="29"/>
  <c r="C111" i="29"/>
  <c r="E110" i="29"/>
  <c r="E109" i="29"/>
  <c r="E103" i="29"/>
  <c r="E101" i="29"/>
  <c r="E99" i="29"/>
  <c r="E94" i="29"/>
  <c r="E93" i="29"/>
  <c r="E90" i="29"/>
  <c r="E89" i="29"/>
  <c r="E86" i="29"/>
  <c r="E85" i="29"/>
  <c r="E82" i="29"/>
  <c r="E81" i="29"/>
  <c r="E78" i="29"/>
  <c r="E77" i="29"/>
  <c r="E74" i="29"/>
  <c r="E73" i="29"/>
  <c r="E70" i="29"/>
  <c r="E69" i="29"/>
  <c r="D63" i="29"/>
  <c r="D62" i="29"/>
  <c r="D61" i="29"/>
  <c r="D60" i="29"/>
  <c r="D59" i="29"/>
  <c r="D58" i="29"/>
  <c r="D57" i="29"/>
  <c r="D56" i="29"/>
  <c r="D55" i="29"/>
  <c r="D54" i="29"/>
  <c r="D53" i="29"/>
  <c r="D52" i="29"/>
  <c r="D51" i="29"/>
  <c r="D50" i="29"/>
  <c r="D49" i="29"/>
  <c r="D48" i="29"/>
  <c r="D47" i="29"/>
  <c r="D46" i="29"/>
  <c r="D45" i="29"/>
  <c r="D44" i="29"/>
  <c r="D43" i="29"/>
  <c r="D42" i="29"/>
  <c r="D41" i="29"/>
  <c r="D40" i="29"/>
  <c r="D39" i="29"/>
  <c r="D38" i="29"/>
  <c r="D37" i="29"/>
  <c r="D36" i="29"/>
  <c r="E67" i="29"/>
  <c r="E72" i="29"/>
  <c r="E75" i="29"/>
  <c r="E80" i="29"/>
  <c r="E83" i="29"/>
  <c r="E88" i="29"/>
  <c r="E91" i="29"/>
  <c r="E100" i="29"/>
  <c r="E104" i="29"/>
  <c r="C110" i="29"/>
  <c r="F110" i="29" s="1"/>
  <c r="E111" i="29"/>
  <c r="C114" i="29"/>
  <c r="F114" i="29" s="1"/>
  <c r="D115" i="29"/>
  <c r="C116" i="28"/>
  <c r="E115" i="28"/>
  <c r="C115" i="28"/>
  <c r="E114" i="28"/>
  <c r="C113" i="28"/>
  <c r="E112" i="28"/>
  <c r="C111" i="28"/>
  <c r="E110" i="28"/>
  <c r="E109" i="28"/>
  <c r="E103" i="28"/>
  <c r="E101" i="28"/>
  <c r="E99" i="28"/>
  <c r="E94" i="28"/>
  <c r="E91" i="28"/>
  <c r="E90" i="28"/>
  <c r="E87" i="28"/>
  <c r="E86" i="28"/>
  <c r="E83" i="28"/>
  <c r="E82" i="28"/>
  <c r="E79" i="28"/>
  <c r="E78" i="28"/>
  <c r="E75" i="28"/>
  <c r="E74" i="28"/>
  <c r="E71" i="28"/>
  <c r="E70" i="28"/>
  <c r="E67" i="28"/>
  <c r="D63" i="28"/>
  <c r="D62" i="28"/>
  <c r="D61" i="28"/>
  <c r="D60" i="28"/>
  <c r="D59" i="28"/>
  <c r="D58" i="28"/>
  <c r="D57" i="28"/>
  <c r="D56" i="28"/>
  <c r="D55" i="28"/>
  <c r="D54" i="28"/>
  <c r="D53" i="28"/>
  <c r="D52" i="28"/>
  <c r="D51" i="28"/>
  <c r="D50" i="28"/>
  <c r="D49" i="28"/>
  <c r="D48" i="28"/>
  <c r="D47" i="28"/>
  <c r="D46" i="28"/>
  <c r="D45" i="28"/>
  <c r="D44" i="28"/>
  <c r="D43" i="28"/>
  <c r="D42" i="28"/>
  <c r="D41" i="28"/>
  <c r="D40" i="28"/>
  <c r="D39" i="28"/>
  <c r="D38" i="28"/>
  <c r="D37" i="28"/>
  <c r="D36" i="28"/>
  <c r="E69" i="28"/>
  <c r="E72" i="28"/>
  <c r="E77" i="28"/>
  <c r="E80" i="28"/>
  <c r="E85" i="28"/>
  <c r="E88" i="28"/>
  <c r="E93" i="28"/>
  <c r="E100" i="28"/>
  <c r="E104" i="28"/>
  <c r="C110" i="28"/>
  <c r="F110" i="28" s="1"/>
  <c r="E111" i="28"/>
  <c r="C114" i="28"/>
  <c r="F114" i="28" s="1"/>
  <c r="D115" i="28"/>
  <c r="C116" i="27"/>
  <c r="E115" i="27"/>
  <c r="C115" i="27"/>
  <c r="E114" i="27"/>
  <c r="C113" i="27"/>
  <c r="E112" i="27"/>
  <c r="C111" i="27"/>
  <c r="E110" i="27"/>
  <c r="E109" i="27"/>
  <c r="E103" i="27"/>
  <c r="E101" i="27"/>
  <c r="E99" i="27"/>
  <c r="E94" i="27"/>
  <c r="E92" i="27"/>
  <c r="E90" i="27"/>
  <c r="E88" i="27"/>
  <c r="E86" i="27"/>
  <c r="E84" i="27"/>
  <c r="E82" i="27"/>
  <c r="E80" i="27"/>
  <c r="E78" i="27"/>
  <c r="E76" i="27"/>
  <c r="E74" i="27"/>
  <c r="E72" i="27"/>
  <c r="E70" i="27"/>
  <c r="E68" i="27"/>
  <c r="D63" i="27"/>
  <c r="D62" i="27"/>
  <c r="D61" i="27"/>
  <c r="D60" i="27"/>
  <c r="D59" i="27"/>
  <c r="D58" i="27"/>
  <c r="D57" i="27"/>
  <c r="D56" i="27"/>
  <c r="D55" i="27"/>
  <c r="D54" i="27"/>
  <c r="D53" i="27"/>
  <c r="D52" i="27"/>
  <c r="D51" i="27"/>
  <c r="D50" i="27"/>
  <c r="D49" i="27"/>
  <c r="D48" i="27"/>
  <c r="D47" i="27"/>
  <c r="D46" i="27"/>
  <c r="D45" i="27"/>
  <c r="D44" i="27"/>
  <c r="D43" i="27"/>
  <c r="D42" i="27"/>
  <c r="D41" i="27"/>
  <c r="D40" i="27"/>
  <c r="D39" i="27"/>
  <c r="D38" i="27"/>
  <c r="D37" i="27"/>
  <c r="D36" i="27"/>
  <c r="E69" i="27"/>
  <c r="E73" i="27"/>
  <c r="E77" i="27"/>
  <c r="E81" i="27"/>
  <c r="E85" i="27"/>
  <c r="E89" i="27"/>
  <c r="E93" i="27"/>
  <c r="E100" i="27"/>
  <c r="E104" i="27"/>
  <c r="C110" i="27"/>
  <c r="F110" i="27" s="1"/>
  <c r="E111" i="27"/>
  <c r="C114" i="27"/>
  <c r="F114" i="27" s="1"/>
  <c r="D115" i="27"/>
  <c r="C116" i="26"/>
  <c r="E115" i="26"/>
  <c r="C115" i="26"/>
  <c r="E114" i="26"/>
  <c r="C113" i="26"/>
  <c r="E112" i="26"/>
  <c r="C111" i="26"/>
  <c r="E110" i="26"/>
  <c r="E109" i="26"/>
  <c r="E103" i="26"/>
  <c r="E101" i="26"/>
  <c r="E99" i="26"/>
  <c r="E94" i="26"/>
  <c r="E92" i="26"/>
  <c r="E90" i="26"/>
  <c r="E88" i="26"/>
  <c r="E86" i="26"/>
  <c r="E84" i="26"/>
  <c r="E82" i="26"/>
  <c r="E80" i="26"/>
  <c r="E78" i="26"/>
  <c r="E76" i="26"/>
  <c r="E74" i="26"/>
  <c r="E72" i="26"/>
  <c r="E70" i="26"/>
  <c r="E68" i="26"/>
  <c r="D63" i="26"/>
  <c r="D62" i="26"/>
  <c r="D61" i="26"/>
  <c r="D60" i="26"/>
  <c r="D59" i="26"/>
  <c r="D58" i="26"/>
  <c r="D57" i="26"/>
  <c r="D56" i="26"/>
  <c r="D55" i="26"/>
  <c r="D54" i="26"/>
  <c r="D53" i="26"/>
  <c r="D52" i="26"/>
  <c r="D51" i="26"/>
  <c r="D50" i="26"/>
  <c r="D49" i="26"/>
  <c r="D48" i="26"/>
  <c r="D47" i="26"/>
  <c r="D46" i="26"/>
  <c r="D45" i="26"/>
  <c r="D44" i="26"/>
  <c r="D43" i="26"/>
  <c r="D42" i="26"/>
  <c r="D41" i="26"/>
  <c r="D40" i="26"/>
  <c r="D39" i="26"/>
  <c r="D38" i="26"/>
  <c r="D37" i="26"/>
  <c r="D36" i="26"/>
  <c r="E69" i="26"/>
  <c r="E73" i="26"/>
  <c r="E77" i="26"/>
  <c r="E81" i="26"/>
  <c r="E85" i="26"/>
  <c r="E89" i="26"/>
  <c r="E93" i="26"/>
  <c r="E100" i="26"/>
  <c r="E104" i="26"/>
  <c r="C110" i="26"/>
  <c r="F110" i="26" s="1"/>
  <c r="E111" i="26"/>
  <c r="C114" i="26"/>
  <c r="F114" i="26" s="1"/>
  <c r="D115" i="26"/>
  <c r="E120" i="25"/>
  <c r="F120" i="25" s="1"/>
  <c r="D117" i="25"/>
  <c r="F117" i="25" s="1"/>
  <c r="D115" i="25"/>
  <c r="C114" i="25"/>
  <c r="E113" i="25"/>
  <c r="C112" i="25"/>
  <c r="E111" i="25"/>
  <c r="C110" i="25"/>
  <c r="D109" i="25"/>
  <c r="D118" i="25" s="1"/>
  <c r="E102" i="25"/>
  <c r="E94" i="25"/>
  <c r="E93" i="25"/>
  <c r="E90" i="25"/>
  <c r="E89" i="25"/>
  <c r="E86" i="25"/>
  <c r="E85" i="25"/>
  <c r="E82" i="25"/>
  <c r="E81" i="25"/>
  <c r="E78" i="25"/>
  <c r="E77" i="25"/>
  <c r="E74" i="25"/>
  <c r="E73" i="25"/>
  <c r="E70" i="25"/>
  <c r="E69" i="25"/>
  <c r="D63" i="25"/>
  <c r="D62" i="25"/>
  <c r="D61" i="25"/>
  <c r="D60" i="25"/>
  <c r="D59" i="25"/>
  <c r="D58" i="25"/>
  <c r="D57" i="25"/>
  <c r="D56" i="25"/>
  <c r="D55" i="25"/>
  <c r="D54" i="25"/>
  <c r="D53" i="25"/>
  <c r="D52" i="25"/>
  <c r="D51" i="25"/>
  <c r="D50" i="25"/>
  <c r="D49" i="25"/>
  <c r="D48" i="25"/>
  <c r="D47" i="25"/>
  <c r="D46" i="25"/>
  <c r="D45" i="25"/>
  <c r="D44" i="25"/>
  <c r="D43" i="25"/>
  <c r="D42" i="25"/>
  <c r="D41" i="25"/>
  <c r="D40" i="25"/>
  <c r="D39" i="25"/>
  <c r="D38" i="25"/>
  <c r="D37" i="25"/>
  <c r="D36" i="25"/>
  <c r="E67" i="25"/>
  <c r="E72" i="25"/>
  <c r="E75" i="25"/>
  <c r="E80" i="25"/>
  <c r="E83" i="25"/>
  <c r="E88" i="25"/>
  <c r="E91" i="25"/>
  <c r="E99" i="25"/>
  <c r="E101" i="25"/>
  <c r="E104" i="25"/>
  <c r="E109" i="25"/>
  <c r="C111" i="25"/>
  <c r="E112" i="25"/>
  <c r="C115" i="25"/>
  <c r="C116" i="25"/>
  <c r="D70" i="23"/>
  <c r="D8" i="23"/>
  <c r="D74" i="23"/>
  <c r="D12" i="23"/>
  <c r="D78" i="23"/>
  <c r="D16" i="23"/>
  <c r="D82" i="23"/>
  <c r="D20" i="23"/>
  <c r="D86" i="23"/>
  <c r="D24" i="23"/>
  <c r="D90" i="23"/>
  <c r="D28" i="23"/>
  <c r="D94" i="23"/>
  <c r="D32" i="23"/>
  <c r="C116" i="38"/>
  <c r="E115" i="38"/>
  <c r="C115" i="38"/>
  <c r="E114" i="38"/>
  <c r="C113" i="38"/>
  <c r="E112" i="38"/>
  <c r="C111" i="38"/>
  <c r="F111" i="38" s="1"/>
  <c r="E110" i="38"/>
  <c r="E109" i="38"/>
  <c r="E103" i="38"/>
  <c r="E101" i="38"/>
  <c r="E99" i="38"/>
  <c r="E94" i="38"/>
  <c r="E92" i="38"/>
  <c r="E90" i="38"/>
  <c r="E88" i="38"/>
  <c r="E86" i="38"/>
  <c r="E84" i="38"/>
  <c r="E82" i="38"/>
  <c r="E80" i="38"/>
  <c r="E78" i="38"/>
  <c r="E76" i="38"/>
  <c r="E74" i="38"/>
  <c r="E72" i="38"/>
  <c r="E70" i="38"/>
  <c r="E68" i="38"/>
  <c r="D63" i="38"/>
  <c r="D62" i="38"/>
  <c r="D61" i="38"/>
  <c r="D60" i="38"/>
  <c r="D59" i="38"/>
  <c r="D58" i="38"/>
  <c r="D57" i="38"/>
  <c r="D56" i="38"/>
  <c r="D55" i="38"/>
  <c r="D54" i="38"/>
  <c r="D53" i="38"/>
  <c r="D52" i="38"/>
  <c r="D51" i="38"/>
  <c r="D50" i="38"/>
  <c r="D81" i="38" s="1"/>
  <c r="D49" i="38"/>
  <c r="D48" i="38"/>
  <c r="D79" i="38" s="1"/>
  <c r="D47" i="38"/>
  <c r="D46" i="38"/>
  <c r="D77" i="38" s="1"/>
  <c r="F77" i="38" s="1"/>
  <c r="D45" i="38"/>
  <c r="D44" i="38"/>
  <c r="D75" i="38" s="1"/>
  <c r="D43" i="38"/>
  <c r="D42" i="38"/>
  <c r="D73" i="38" s="1"/>
  <c r="F73" i="38" s="1"/>
  <c r="D41" i="38"/>
  <c r="D40" i="38"/>
  <c r="D71" i="38" s="1"/>
  <c r="D39" i="38"/>
  <c r="D38" i="38"/>
  <c r="D69" i="38" s="1"/>
  <c r="D37" i="38"/>
  <c r="D36" i="38"/>
  <c r="D67" i="38" s="1"/>
  <c r="E69" i="38"/>
  <c r="E81" i="38"/>
  <c r="E89" i="38"/>
  <c r="E93" i="38"/>
  <c r="E104" i="38"/>
  <c r="C110" i="38"/>
  <c r="F110" i="38" s="1"/>
  <c r="C114" i="38"/>
  <c r="D115" i="38"/>
  <c r="D7" i="35"/>
  <c r="D11" i="35"/>
  <c r="D15" i="35"/>
  <c r="D19" i="35"/>
  <c r="D23" i="35"/>
  <c r="D30" i="34"/>
  <c r="F37" i="57"/>
  <c r="F39" i="57"/>
  <c r="F40" i="57"/>
  <c r="F41" i="57"/>
  <c r="F43" i="57"/>
  <c r="F44" i="57"/>
  <c r="F45" i="57"/>
  <c r="F46" i="57"/>
  <c r="F47" i="57"/>
  <c r="F49" i="57"/>
  <c r="F50" i="57"/>
  <c r="F51" i="57"/>
  <c r="F52" i="57"/>
  <c r="F53" i="57"/>
  <c r="F55" i="57"/>
  <c r="F56" i="57"/>
  <c r="F57" i="57"/>
  <c r="F58" i="57"/>
  <c r="F59" i="57"/>
  <c r="F60" i="57"/>
  <c r="F61" i="57"/>
  <c r="F62" i="57"/>
  <c r="F63" i="57"/>
  <c r="E68" i="57"/>
  <c r="E69" i="57"/>
  <c r="E72" i="57"/>
  <c r="E73" i="57"/>
  <c r="F73" i="57" s="1"/>
  <c r="E76" i="57"/>
  <c r="E77" i="57"/>
  <c r="E80" i="57"/>
  <c r="E81" i="57"/>
  <c r="F81" i="57" s="1"/>
  <c r="E84" i="57"/>
  <c r="E85" i="57"/>
  <c r="E88" i="57"/>
  <c r="E89" i="57"/>
  <c r="F89" i="57" s="1"/>
  <c r="E92" i="57"/>
  <c r="E93" i="57"/>
  <c r="E98" i="57"/>
  <c r="E99" i="57"/>
  <c r="E100" i="57"/>
  <c r="E101" i="57"/>
  <c r="E103" i="57"/>
  <c r="E104" i="57"/>
  <c r="E109" i="57"/>
  <c r="E110" i="57"/>
  <c r="F110" i="57" s="1"/>
  <c r="C111" i="57"/>
  <c r="F111" i="57" s="1"/>
  <c r="E112" i="57"/>
  <c r="F112" i="57" s="1"/>
  <c r="C113" i="57"/>
  <c r="F113" i="57" s="1"/>
  <c r="E114" i="57"/>
  <c r="F114" i="57" s="1"/>
  <c r="C115" i="57"/>
  <c r="E115" i="57"/>
  <c r="D36" i="55"/>
  <c r="D37" i="55"/>
  <c r="F37" i="55" s="1"/>
  <c r="D38" i="55"/>
  <c r="D39" i="55"/>
  <c r="D40" i="55"/>
  <c r="D41" i="55"/>
  <c r="D42" i="55"/>
  <c r="D43" i="55"/>
  <c r="D44" i="55"/>
  <c r="D45" i="55"/>
  <c r="D46" i="55"/>
  <c r="D47" i="55"/>
  <c r="D48" i="55"/>
  <c r="D49" i="55"/>
  <c r="D50" i="55"/>
  <c r="D51" i="55"/>
  <c r="D52" i="55"/>
  <c r="D53" i="55"/>
  <c r="D54" i="55"/>
  <c r="D55" i="55"/>
  <c r="D56" i="55"/>
  <c r="D57" i="55"/>
  <c r="D58" i="55"/>
  <c r="D59" i="55"/>
  <c r="D60" i="55"/>
  <c r="D61" i="55"/>
  <c r="D62" i="55"/>
  <c r="D63" i="55"/>
  <c r="E68" i="55"/>
  <c r="E70" i="55"/>
  <c r="E72" i="55"/>
  <c r="E74" i="55"/>
  <c r="E76" i="55"/>
  <c r="E78" i="55"/>
  <c r="E80" i="55"/>
  <c r="E82" i="55"/>
  <c r="E84" i="55"/>
  <c r="E86" i="55"/>
  <c r="E88" i="55"/>
  <c r="E90" i="55"/>
  <c r="E92" i="55"/>
  <c r="E94" i="55"/>
  <c r="E99" i="55"/>
  <c r="E101" i="55"/>
  <c r="E103" i="55"/>
  <c r="E109" i="55"/>
  <c r="E110" i="55"/>
  <c r="F110" i="55" s="1"/>
  <c r="C111" i="55"/>
  <c r="F111" i="55" s="1"/>
  <c r="E112" i="55"/>
  <c r="F112" i="55" s="1"/>
  <c r="C113" i="55"/>
  <c r="F113" i="55" s="1"/>
  <c r="E114" i="55"/>
  <c r="F114" i="55" s="1"/>
  <c r="C115" i="55"/>
  <c r="E115" i="55"/>
  <c r="F37" i="51"/>
  <c r="F39" i="51"/>
  <c r="F41" i="51"/>
  <c r="F43" i="51"/>
  <c r="F45" i="51"/>
  <c r="F47" i="51"/>
  <c r="F49" i="51"/>
  <c r="F51" i="51"/>
  <c r="F53" i="51"/>
  <c r="F55" i="51"/>
  <c r="F57" i="51"/>
  <c r="F59" i="51"/>
  <c r="F61" i="51"/>
  <c r="F63" i="51"/>
  <c r="E67" i="51"/>
  <c r="E69" i="51"/>
  <c r="E71" i="51"/>
  <c r="F71" i="51" s="1"/>
  <c r="E73" i="51"/>
  <c r="F73" i="51" s="1"/>
  <c r="E75" i="51"/>
  <c r="F75" i="51" s="1"/>
  <c r="E77" i="51"/>
  <c r="F77" i="51" s="1"/>
  <c r="E79" i="51"/>
  <c r="E81" i="51"/>
  <c r="F81" i="51" s="1"/>
  <c r="E83" i="51"/>
  <c r="F83" i="51" s="1"/>
  <c r="E85" i="51"/>
  <c r="F85" i="51" s="1"/>
  <c r="E87" i="51"/>
  <c r="E89" i="51"/>
  <c r="F89" i="51" s="1"/>
  <c r="E91" i="51"/>
  <c r="F91" i="51" s="1"/>
  <c r="E93" i="51"/>
  <c r="F93" i="51" s="1"/>
  <c r="E98" i="51"/>
  <c r="E100" i="51"/>
  <c r="E102" i="51"/>
  <c r="E104" i="51"/>
  <c r="D109" i="51"/>
  <c r="C110" i="51"/>
  <c r="F110" i="51" s="1"/>
  <c r="E111" i="51"/>
  <c r="F111" i="51" s="1"/>
  <c r="C112" i="51"/>
  <c r="F112" i="51" s="1"/>
  <c r="E113" i="51"/>
  <c r="F113" i="51" s="1"/>
  <c r="C114" i="51"/>
  <c r="F114" i="51" s="1"/>
  <c r="D115" i="51"/>
  <c r="F115" i="51" s="1"/>
  <c r="D117" i="51"/>
  <c r="F117" i="51" s="1"/>
  <c r="D36" i="50"/>
  <c r="D37" i="50"/>
  <c r="D38" i="50"/>
  <c r="F38" i="50" s="1"/>
  <c r="D39" i="50"/>
  <c r="D40" i="50"/>
  <c r="F40" i="50" s="1"/>
  <c r="D41" i="50"/>
  <c r="D42" i="50"/>
  <c r="D43" i="50"/>
  <c r="D44" i="50"/>
  <c r="D45" i="50"/>
  <c r="D46" i="50"/>
  <c r="D47" i="50"/>
  <c r="D48" i="50"/>
  <c r="D49" i="50"/>
  <c r="D50" i="50"/>
  <c r="D51" i="50"/>
  <c r="D52" i="50"/>
  <c r="D53" i="50"/>
  <c r="D54" i="50"/>
  <c r="D55" i="50"/>
  <c r="D56" i="50"/>
  <c r="D57" i="50"/>
  <c r="D58" i="50"/>
  <c r="D59" i="50"/>
  <c r="D60" i="50"/>
  <c r="D61" i="50"/>
  <c r="D62" i="50"/>
  <c r="D63" i="50"/>
  <c r="E68" i="50"/>
  <c r="E70" i="50"/>
  <c r="E72" i="50"/>
  <c r="E74" i="50"/>
  <c r="E76" i="50"/>
  <c r="E78" i="50"/>
  <c r="E80" i="50"/>
  <c r="E82" i="50"/>
  <c r="E84" i="50"/>
  <c r="E86" i="50"/>
  <c r="E88" i="50"/>
  <c r="E90" i="50"/>
  <c r="E92" i="50"/>
  <c r="E94" i="50"/>
  <c r="E99" i="50"/>
  <c r="E101" i="50"/>
  <c r="E103" i="50"/>
  <c r="E109" i="50"/>
  <c r="E110" i="50"/>
  <c r="F110" i="50" s="1"/>
  <c r="C111" i="50"/>
  <c r="F111" i="50" s="1"/>
  <c r="E112" i="50"/>
  <c r="F112" i="50" s="1"/>
  <c r="C113" i="50"/>
  <c r="F113" i="50" s="1"/>
  <c r="E114" i="50"/>
  <c r="F114" i="50" s="1"/>
  <c r="C115" i="50"/>
  <c r="E115" i="50"/>
  <c r="D36" i="48"/>
  <c r="D37" i="48"/>
  <c r="D38" i="48"/>
  <c r="F38" i="48" s="1"/>
  <c r="D39" i="48"/>
  <c r="D40" i="48"/>
  <c r="F40" i="48" s="1"/>
  <c r="D41" i="48"/>
  <c r="D42" i="48"/>
  <c r="D43" i="48"/>
  <c r="D44" i="48"/>
  <c r="D45" i="48"/>
  <c r="D46" i="48"/>
  <c r="D47" i="48"/>
  <c r="D48" i="48"/>
  <c r="D49" i="48"/>
  <c r="D50" i="48"/>
  <c r="D51" i="48"/>
  <c r="D52" i="48"/>
  <c r="D53" i="48"/>
  <c r="D54" i="48"/>
  <c r="D55" i="48"/>
  <c r="D56" i="48"/>
  <c r="D57" i="48"/>
  <c r="D58" i="48"/>
  <c r="D59" i="48"/>
  <c r="D60" i="48"/>
  <c r="D61" i="48"/>
  <c r="D62" i="48"/>
  <c r="D63" i="48"/>
  <c r="E68" i="48"/>
  <c r="E70" i="48"/>
  <c r="E72" i="48"/>
  <c r="E74" i="48"/>
  <c r="E76" i="48"/>
  <c r="E78" i="48"/>
  <c r="E80" i="48"/>
  <c r="E82" i="48"/>
  <c r="E84" i="48"/>
  <c r="E86" i="48"/>
  <c r="E88" i="48"/>
  <c r="E90" i="48"/>
  <c r="E92" i="48"/>
  <c r="E94" i="48"/>
  <c r="E99" i="48"/>
  <c r="E101" i="48"/>
  <c r="E103" i="48"/>
  <c r="E109" i="48"/>
  <c r="E110" i="48"/>
  <c r="F110" i="48" s="1"/>
  <c r="C111" i="48"/>
  <c r="F111" i="48" s="1"/>
  <c r="E112" i="48"/>
  <c r="F112" i="48" s="1"/>
  <c r="C113" i="48"/>
  <c r="F113" i="48" s="1"/>
  <c r="E114" i="48"/>
  <c r="F114" i="48" s="1"/>
  <c r="C115" i="48"/>
  <c r="E115" i="48"/>
  <c r="D36" i="46"/>
  <c r="D37" i="46"/>
  <c r="D38" i="46"/>
  <c r="F38" i="46" s="1"/>
  <c r="D39" i="46"/>
  <c r="D40" i="46"/>
  <c r="F40" i="46" s="1"/>
  <c r="D41" i="46"/>
  <c r="D42" i="46"/>
  <c r="D43" i="46"/>
  <c r="D44" i="46"/>
  <c r="D45" i="46"/>
  <c r="D46" i="46"/>
  <c r="D47" i="46"/>
  <c r="D48" i="46"/>
  <c r="D49" i="46"/>
  <c r="D50" i="46"/>
  <c r="D51" i="46"/>
  <c r="D52" i="46"/>
  <c r="D53" i="46"/>
  <c r="D54" i="46"/>
  <c r="D55" i="46"/>
  <c r="D56" i="46"/>
  <c r="D57" i="46"/>
  <c r="D58" i="46"/>
  <c r="D59" i="46"/>
  <c r="D60" i="46"/>
  <c r="D61" i="46"/>
  <c r="D62" i="46"/>
  <c r="D63" i="46"/>
  <c r="E68" i="46"/>
  <c r="E70" i="46"/>
  <c r="E72" i="46"/>
  <c r="E74" i="46"/>
  <c r="E76" i="46"/>
  <c r="E78" i="46"/>
  <c r="E80" i="46"/>
  <c r="E82" i="46"/>
  <c r="E84" i="46"/>
  <c r="E86" i="46"/>
  <c r="E88" i="46"/>
  <c r="E90" i="46"/>
  <c r="E92" i="46"/>
  <c r="E94" i="46"/>
  <c r="E99" i="46"/>
  <c r="E101" i="46"/>
  <c r="E103" i="46"/>
  <c r="E109" i="46"/>
  <c r="E110" i="46"/>
  <c r="F110" i="46" s="1"/>
  <c r="C111" i="46"/>
  <c r="F111" i="46" s="1"/>
  <c r="E112" i="46"/>
  <c r="F112" i="46" s="1"/>
  <c r="C113" i="46"/>
  <c r="F113" i="46" s="1"/>
  <c r="E114" i="46"/>
  <c r="F114" i="46" s="1"/>
  <c r="C115" i="46"/>
  <c r="E115" i="46"/>
  <c r="E67" i="38"/>
  <c r="E71" i="38"/>
  <c r="E75" i="38"/>
  <c r="E79" i="38"/>
  <c r="E83" i="38"/>
  <c r="E87" i="38"/>
  <c r="E91" i="38"/>
  <c r="E98" i="38"/>
  <c r="E102" i="38"/>
  <c r="D109" i="38"/>
  <c r="D118" i="38" s="1"/>
  <c r="C112" i="38"/>
  <c r="F112" i="38" s="1"/>
  <c r="E113" i="38"/>
  <c r="D117" i="38"/>
  <c r="F117" i="38" s="1"/>
  <c r="E120" i="38"/>
  <c r="F120" i="38" s="1"/>
  <c r="E69" i="37"/>
  <c r="E73" i="37"/>
  <c r="E77" i="37"/>
  <c r="E81" i="37"/>
  <c r="E85" i="37"/>
  <c r="E89" i="37"/>
  <c r="E93" i="37"/>
  <c r="E100" i="37"/>
  <c r="E104" i="37"/>
  <c r="C110" i="37"/>
  <c r="F110" i="37" s="1"/>
  <c r="E111" i="37"/>
  <c r="C114" i="37"/>
  <c r="F114" i="37" s="1"/>
  <c r="D115" i="37"/>
  <c r="E120" i="36"/>
  <c r="F120" i="36" s="1"/>
  <c r="D117" i="36"/>
  <c r="F117" i="36" s="1"/>
  <c r="D115" i="36"/>
  <c r="C114" i="36"/>
  <c r="F114" i="36" s="1"/>
  <c r="E113" i="36"/>
  <c r="F113" i="36" s="1"/>
  <c r="C112" i="36"/>
  <c r="E111" i="36"/>
  <c r="C110" i="36"/>
  <c r="F110" i="36" s="1"/>
  <c r="D109" i="36"/>
  <c r="D118" i="36" s="1"/>
  <c r="E102" i="36"/>
  <c r="E94" i="36"/>
  <c r="E93" i="36"/>
  <c r="E90" i="36"/>
  <c r="E89" i="36"/>
  <c r="E86" i="36"/>
  <c r="E85" i="36"/>
  <c r="E82" i="36"/>
  <c r="E81" i="36"/>
  <c r="E78" i="36"/>
  <c r="E77" i="36"/>
  <c r="E74" i="36"/>
  <c r="E73" i="36"/>
  <c r="E70" i="36"/>
  <c r="E69" i="36"/>
  <c r="D63" i="36"/>
  <c r="D62" i="36"/>
  <c r="D93" i="36" s="1"/>
  <c r="F93" i="36" s="1"/>
  <c r="D61" i="36"/>
  <c r="D60" i="36"/>
  <c r="D91" i="36" s="1"/>
  <c r="D59" i="36"/>
  <c r="D58" i="36"/>
  <c r="D89" i="36" s="1"/>
  <c r="F89" i="36" s="1"/>
  <c r="D57" i="36"/>
  <c r="D56" i="36"/>
  <c r="D87" i="36" s="1"/>
  <c r="F87" i="36" s="1"/>
  <c r="D55" i="36"/>
  <c r="D54" i="36"/>
  <c r="D85" i="36" s="1"/>
  <c r="F85" i="36" s="1"/>
  <c r="D53" i="36"/>
  <c r="D52" i="36"/>
  <c r="D83" i="36" s="1"/>
  <c r="D51" i="36"/>
  <c r="D50" i="36"/>
  <c r="D81" i="36" s="1"/>
  <c r="F81" i="36" s="1"/>
  <c r="D49" i="36"/>
  <c r="D48" i="36"/>
  <c r="D79" i="36" s="1"/>
  <c r="F79" i="36" s="1"/>
  <c r="D47" i="36"/>
  <c r="D46" i="36"/>
  <c r="D77" i="36" s="1"/>
  <c r="F77" i="36" s="1"/>
  <c r="D45" i="36"/>
  <c r="D44" i="36"/>
  <c r="D75" i="36" s="1"/>
  <c r="D43" i="36"/>
  <c r="D42" i="36"/>
  <c r="D73" i="36" s="1"/>
  <c r="F73" i="36" s="1"/>
  <c r="D41" i="36"/>
  <c r="D40" i="36"/>
  <c r="D71" i="36" s="1"/>
  <c r="F71" i="36" s="1"/>
  <c r="D39" i="36"/>
  <c r="D38" i="36"/>
  <c r="D69" i="36" s="1"/>
  <c r="F69" i="36" s="1"/>
  <c r="D37" i="36"/>
  <c r="D36" i="36"/>
  <c r="D67" i="36" s="1"/>
  <c r="E67" i="36"/>
  <c r="E72" i="36"/>
  <c r="E75" i="36"/>
  <c r="E80" i="36"/>
  <c r="E83" i="36"/>
  <c r="E88" i="36"/>
  <c r="E91" i="36"/>
  <c r="E99" i="36"/>
  <c r="E101" i="36"/>
  <c r="E104" i="36"/>
  <c r="E109" i="36"/>
  <c r="C111" i="36"/>
  <c r="E112" i="36"/>
  <c r="C115" i="36"/>
  <c r="C116" i="36"/>
  <c r="D5" i="35"/>
  <c r="D13" i="35"/>
  <c r="D21" i="35"/>
  <c r="D27" i="35"/>
  <c r="D31" i="35"/>
  <c r="F70" i="35"/>
  <c r="F78" i="35"/>
  <c r="F82" i="35"/>
  <c r="F86" i="35"/>
  <c r="D88" i="35"/>
  <c r="F88" i="35" s="1"/>
  <c r="D26" i="35"/>
  <c r="D90" i="35"/>
  <c r="F90" i="35" s="1"/>
  <c r="D28" i="35"/>
  <c r="D92" i="35"/>
  <c r="F92" i="35" s="1"/>
  <c r="D30" i="35"/>
  <c r="D94" i="35"/>
  <c r="F94" i="35" s="1"/>
  <c r="D32" i="35"/>
  <c r="D6" i="34"/>
  <c r="D14" i="34"/>
  <c r="D22" i="34"/>
  <c r="D64" i="33"/>
  <c r="D7" i="33"/>
  <c r="D11" i="33"/>
  <c r="D15" i="33"/>
  <c r="D19" i="33"/>
  <c r="D23" i="33"/>
  <c r="D27" i="33"/>
  <c r="D31" i="33"/>
  <c r="C116" i="32"/>
  <c r="E115" i="32"/>
  <c r="C115" i="32"/>
  <c r="E114" i="32"/>
  <c r="C113" i="32"/>
  <c r="F113" i="32" s="1"/>
  <c r="E112" i="32"/>
  <c r="F112" i="32" s="1"/>
  <c r="C111" i="32"/>
  <c r="E110" i="32"/>
  <c r="E109" i="32"/>
  <c r="E103" i="32"/>
  <c r="E101" i="32"/>
  <c r="E99" i="32"/>
  <c r="E94" i="32"/>
  <c r="E93" i="32"/>
  <c r="E90" i="32"/>
  <c r="E89" i="32"/>
  <c r="E86" i="32"/>
  <c r="E85" i="32"/>
  <c r="E82" i="32"/>
  <c r="E81" i="32"/>
  <c r="E78" i="32"/>
  <c r="E77" i="32"/>
  <c r="E74" i="32"/>
  <c r="E73" i="32"/>
  <c r="E70" i="32"/>
  <c r="E69" i="32"/>
  <c r="D63" i="32"/>
  <c r="D62" i="32"/>
  <c r="D93" i="32" s="1"/>
  <c r="F93" i="32" s="1"/>
  <c r="D61" i="32"/>
  <c r="D60" i="32"/>
  <c r="D91" i="32" s="1"/>
  <c r="D59" i="32"/>
  <c r="D58" i="32"/>
  <c r="D89" i="32" s="1"/>
  <c r="F89" i="32" s="1"/>
  <c r="D57" i="32"/>
  <c r="D56" i="32"/>
  <c r="D87" i="32" s="1"/>
  <c r="F87" i="32" s="1"/>
  <c r="D55" i="32"/>
  <c r="D54" i="32"/>
  <c r="D85" i="32" s="1"/>
  <c r="F85" i="32" s="1"/>
  <c r="D53" i="32"/>
  <c r="D52" i="32"/>
  <c r="D83" i="32" s="1"/>
  <c r="D51" i="32"/>
  <c r="D50" i="32"/>
  <c r="D81" i="32" s="1"/>
  <c r="F81" i="32" s="1"/>
  <c r="D49" i="32"/>
  <c r="D48" i="32"/>
  <c r="D79" i="32" s="1"/>
  <c r="F79" i="32" s="1"/>
  <c r="D47" i="32"/>
  <c r="D46" i="32"/>
  <c r="D77" i="32" s="1"/>
  <c r="F77" i="32" s="1"/>
  <c r="D45" i="32"/>
  <c r="D44" i="32"/>
  <c r="D75" i="32" s="1"/>
  <c r="D43" i="32"/>
  <c r="D42" i="32"/>
  <c r="D73" i="32" s="1"/>
  <c r="F73" i="32" s="1"/>
  <c r="D41" i="32"/>
  <c r="D40" i="32"/>
  <c r="D71" i="32" s="1"/>
  <c r="F71" i="32" s="1"/>
  <c r="D39" i="32"/>
  <c r="D38" i="32"/>
  <c r="D69" i="32" s="1"/>
  <c r="F69" i="32" s="1"/>
  <c r="D37" i="32"/>
  <c r="D36" i="32"/>
  <c r="D67" i="32" s="1"/>
  <c r="E67" i="32"/>
  <c r="E72" i="32"/>
  <c r="E75" i="32"/>
  <c r="E80" i="32"/>
  <c r="E83" i="32"/>
  <c r="E88" i="32"/>
  <c r="E91" i="32"/>
  <c r="E100" i="32"/>
  <c r="E104" i="32"/>
  <c r="C110" i="32"/>
  <c r="F110" i="32" s="1"/>
  <c r="E111" i="32"/>
  <c r="C114" i="32"/>
  <c r="F114" i="32" s="1"/>
  <c r="D115" i="32"/>
  <c r="D118" i="32" s="1"/>
  <c r="C116" i="31"/>
  <c r="E115" i="31"/>
  <c r="C115" i="31"/>
  <c r="E114" i="31"/>
  <c r="C113" i="31"/>
  <c r="F113" i="31" s="1"/>
  <c r="E112" i="31"/>
  <c r="F112" i="31" s="1"/>
  <c r="C111" i="31"/>
  <c r="E110" i="31"/>
  <c r="E109" i="31"/>
  <c r="E103" i="31"/>
  <c r="E101" i="31"/>
  <c r="E99" i="31"/>
  <c r="E94" i="31"/>
  <c r="E91" i="31"/>
  <c r="E90" i="31"/>
  <c r="E87" i="31"/>
  <c r="E86" i="31"/>
  <c r="E83" i="31"/>
  <c r="E82" i="31"/>
  <c r="E79" i="31"/>
  <c r="E78" i="31"/>
  <c r="E75" i="31"/>
  <c r="E74" i="31"/>
  <c r="E71" i="31"/>
  <c r="E70" i="31"/>
  <c r="E67" i="31"/>
  <c r="D63" i="31"/>
  <c r="D94" i="31" s="1"/>
  <c r="F94" i="31" s="1"/>
  <c r="D62" i="31"/>
  <c r="D61" i="31"/>
  <c r="D92" i="31" s="1"/>
  <c r="F92" i="31" s="1"/>
  <c r="D60" i="31"/>
  <c r="D59" i="31"/>
  <c r="D90" i="31" s="1"/>
  <c r="F90" i="31" s="1"/>
  <c r="D58" i="31"/>
  <c r="D57" i="31"/>
  <c r="D88" i="31" s="1"/>
  <c r="D56" i="31"/>
  <c r="D55" i="31"/>
  <c r="D86" i="31" s="1"/>
  <c r="F86" i="31" s="1"/>
  <c r="D54" i="31"/>
  <c r="D53" i="31"/>
  <c r="D84" i="31" s="1"/>
  <c r="F84" i="31" s="1"/>
  <c r="D52" i="31"/>
  <c r="D51" i="31"/>
  <c r="D82" i="31" s="1"/>
  <c r="F82" i="31" s="1"/>
  <c r="D50" i="31"/>
  <c r="D49" i="31"/>
  <c r="D80" i="31" s="1"/>
  <c r="D48" i="31"/>
  <c r="D47" i="31"/>
  <c r="D78" i="31" s="1"/>
  <c r="F78" i="31" s="1"/>
  <c r="D46" i="31"/>
  <c r="D45" i="31"/>
  <c r="D76" i="31" s="1"/>
  <c r="F76" i="31" s="1"/>
  <c r="D44" i="31"/>
  <c r="D43" i="31"/>
  <c r="D74" i="31" s="1"/>
  <c r="F74" i="31" s="1"/>
  <c r="D42" i="31"/>
  <c r="D41" i="31"/>
  <c r="D72" i="31" s="1"/>
  <c r="D40" i="31"/>
  <c r="D39" i="31"/>
  <c r="D70" i="31" s="1"/>
  <c r="F70" i="31" s="1"/>
  <c r="D38" i="31"/>
  <c r="D37" i="31"/>
  <c r="D68" i="31" s="1"/>
  <c r="F68" i="31" s="1"/>
  <c r="D36" i="31"/>
  <c r="E69" i="31"/>
  <c r="E72" i="31"/>
  <c r="E77" i="31"/>
  <c r="E80" i="31"/>
  <c r="E85" i="31"/>
  <c r="E88" i="31"/>
  <c r="E93" i="31"/>
  <c r="E100" i="31"/>
  <c r="E104" i="31"/>
  <c r="C110" i="31"/>
  <c r="F110" i="31" s="1"/>
  <c r="E111" i="31"/>
  <c r="C114" i="31"/>
  <c r="F114" i="31" s="1"/>
  <c r="D115" i="31"/>
  <c r="D118" i="31" s="1"/>
  <c r="C116" i="30"/>
  <c r="E115" i="30"/>
  <c r="C115" i="30"/>
  <c r="E114" i="30"/>
  <c r="F114" i="30" s="1"/>
  <c r="C113" i="30"/>
  <c r="E112" i="30"/>
  <c r="C111" i="30"/>
  <c r="F111" i="30" s="1"/>
  <c r="E110" i="30"/>
  <c r="F110" i="30" s="1"/>
  <c r="E109" i="30"/>
  <c r="E103" i="30"/>
  <c r="E101" i="30"/>
  <c r="E99" i="30"/>
  <c r="E94" i="30"/>
  <c r="E91" i="30"/>
  <c r="E90" i="30"/>
  <c r="E87" i="30"/>
  <c r="E86" i="30"/>
  <c r="E83" i="30"/>
  <c r="E82" i="30"/>
  <c r="E79" i="30"/>
  <c r="E78" i="30"/>
  <c r="E75" i="30"/>
  <c r="E74" i="30"/>
  <c r="E71" i="30"/>
  <c r="E70" i="30"/>
  <c r="E68" i="30"/>
  <c r="D63" i="30"/>
  <c r="D62" i="30"/>
  <c r="D61" i="30"/>
  <c r="D60" i="30"/>
  <c r="D59" i="30"/>
  <c r="D58" i="30"/>
  <c r="D57" i="30"/>
  <c r="D56" i="30"/>
  <c r="D55" i="30"/>
  <c r="D54" i="30"/>
  <c r="D53" i="30"/>
  <c r="D52" i="30"/>
  <c r="D51" i="30"/>
  <c r="D50" i="30"/>
  <c r="D49" i="30"/>
  <c r="D48" i="30"/>
  <c r="D47" i="30"/>
  <c r="D46" i="30"/>
  <c r="D45" i="30"/>
  <c r="D44" i="30"/>
  <c r="D43" i="30"/>
  <c r="D42" i="30"/>
  <c r="D41" i="30"/>
  <c r="D40" i="30"/>
  <c r="D39" i="30"/>
  <c r="D38" i="30"/>
  <c r="D69" i="30" s="1"/>
  <c r="F69" i="30" s="1"/>
  <c r="D37" i="30"/>
  <c r="D36" i="30"/>
  <c r="E67" i="30"/>
  <c r="E73" i="30"/>
  <c r="E76" i="30"/>
  <c r="E81" i="30"/>
  <c r="E84" i="30"/>
  <c r="E89" i="30"/>
  <c r="E92" i="30"/>
  <c r="E98" i="30"/>
  <c r="E102" i="30"/>
  <c r="D109" i="30"/>
  <c r="D118" i="30" s="1"/>
  <c r="C112" i="30"/>
  <c r="E113" i="30"/>
  <c r="D117" i="30"/>
  <c r="F117" i="30" s="1"/>
  <c r="E120" i="30"/>
  <c r="F120" i="30" s="1"/>
  <c r="E68" i="29"/>
  <c r="E71" i="29"/>
  <c r="E76" i="29"/>
  <c r="E79" i="29"/>
  <c r="E84" i="29"/>
  <c r="E87" i="29"/>
  <c r="E92" i="29"/>
  <c r="E98" i="29"/>
  <c r="E102" i="29"/>
  <c r="D109" i="29"/>
  <c r="D118" i="29" s="1"/>
  <c r="C112" i="29"/>
  <c r="F112" i="29" s="1"/>
  <c r="E113" i="29"/>
  <c r="D117" i="29"/>
  <c r="F117" i="29" s="1"/>
  <c r="E120" i="29"/>
  <c r="F120" i="29" s="1"/>
  <c r="E68" i="28"/>
  <c r="E73" i="28"/>
  <c r="E76" i="28"/>
  <c r="E81" i="28"/>
  <c r="E84" i="28"/>
  <c r="E89" i="28"/>
  <c r="E92" i="28"/>
  <c r="E98" i="28"/>
  <c r="E102" i="28"/>
  <c r="D109" i="28"/>
  <c r="D118" i="28" s="1"/>
  <c r="C112" i="28"/>
  <c r="F112" i="28" s="1"/>
  <c r="E113" i="28"/>
  <c r="D117" i="28"/>
  <c r="F117" i="28" s="1"/>
  <c r="E120" i="28"/>
  <c r="F120" i="28" s="1"/>
  <c r="E67" i="27"/>
  <c r="E71" i="27"/>
  <c r="E75" i="27"/>
  <c r="E79" i="27"/>
  <c r="E83" i="27"/>
  <c r="E87" i="27"/>
  <c r="E91" i="27"/>
  <c r="E98" i="27"/>
  <c r="E102" i="27"/>
  <c r="D109" i="27"/>
  <c r="D118" i="27" s="1"/>
  <c r="C112" i="27"/>
  <c r="F112" i="27" s="1"/>
  <c r="E113" i="27"/>
  <c r="D117" i="27"/>
  <c r="F117" i="27" s="1"/>
  <c r="E120" i="27"/>
  <c r="F120" i="27" s="1"/>
  <c r="E67" i="26"/>
  <c r="E71" i="26"/>
  <c r="E75" i="26"/>
  <c r="E79" i="26"/>
  <c r="E83" i="26"/>
  <c r="E87" i="26"/>
  <c r="E91" i="26"/>
  <c r="E98" i="26"/>
  <c r="E102" i="26"/>
  <c r="D109" i="26"/>
  <c r="D118" i="26" s="1"/>
  <c r="C112" i="26"/>
  <c r="F112" i="26" s="1"/>
  <c r="E113" i="26"/>
  <c r="D117" i="26"/>
  <c r="F117" i="26" s="1"/>
  <c r="E120" i="26"/>
  <c r="F120" i="26" s="1"/>
  <c r="E68" i="25"/>
  <c r="E71" i="25"/>
  <c r="E76" i="25"/>
  <c r="E79" i="25"/>
  <c r="E84" i="25"/>
  <c r="E87" i="25"/>
  <c r="E92" i="25"/>
  <c r="E98" i="25"/>
  <c r="E100" i="25"/>
  <c r="E103" i="25"/>
  <c r="E110" i="25"/>
  <c r="C113" i="25"/>
  <c r="F113" i="25" s="1"/>
  <c r="E114" i="25"/>
  <c r="E115" i="25"/>
  <c r="D68" i="23"/>
  <c r="F68" i="23" s="1"/>
  <c r="D6" i="23"/>
  <c r="D72" i="23"/>
  <c r="F72" i="23" s="1"/>
  <c r="D10" i="23"/>
  <c r="D76" i="23"/>
  <c r="F76" i="23" s="1"/>
  <c r="D14" i="23"/>
  <c r="D80" i="23"/>
  <c r="F80" i="23" s="1"/>
  <c r="D18" i="23"/>
  <c r="D84" i="23"/>
  <c r="F84" i="23" s="1"/>
  <c r="D22" i="23"/>
  <c r="D88" i="23"/>
  <c r="F88" i="23" s="1"/>
  <c r="D26" i="23"/>
  <c r="D92" i="23"/>
  <c r="F92" i="23" s="1"/>
  <c r="D30" i="23"/>
  <c r="D6" i="21"/>
  <c r="D8" i="21"/>
  <c r="D10" i="21"/>
  <c r="D12" i="21"/>
  <c r="D14" i="21"/>
  <c r="D16" i="21"/>
  <c r="D18" i="21"/>
  <c r="D20" i="21"/>
  <c r="D22" i="21"/>
  <c r="D24" i="21"/>
  <c r="D26" i="21"/>
  <c r="D28" i="21"/>
  <c r="D30" i="21"/>
  <c r="D32" i="21"/>
  <c r="E120" i="19"/>
  <c r="F120" i="19" s="1"/>
  <c r="D117" i="19"/>
  <c r="F117" i="19" s="1"/>
  <c r="D115" i="19"/>
  <c r="C114" i="19"/>
  <c r="E113" i="19"/>
  <c r="C112" i="19"/>
  <c r="E111" i="19"/>
  <c r="C110" i="19"/>
  <c r="D109" i="19"/>
  <c r="D118" i="19" s="1"/>
  <c r="E104" i="19"/>
  <c r="E103" i="19"/>
  <c r="E101" i="19"/>
  <c r="E99" i="19"/>
  <c r="E94" i="19"/>
  <c r="E92" i="19"/>
  <c r="E90" i="19"/>
  <c r="E88" i="19"/>
  <c r="E86" i="19"/>
  <c r="E84" i="19"/>
  <c r="E82" i="19"/>
  <c r="E80" i="19"/>
  <c r="E78" i="19"/>
  <c r="E76" i="19"/>
  <c r="E74" i="19"/>
  <c r="E72" i="19"/>
  <c r="E70" i="19"/>
  <c r="E68" i="19"/>
  <c r="D63" i="19"/>
  <c r="D62" i="19"/>
  <c r="D61" i="19"/>
  <c r="D60" i="19"/>
  <c r="D59" i="19"/>
  <c r="D58" i="19"/>
  <c r="D57" i="19"/>
  <c r="D56" i="19"/>
  <c r="D55" i="19"/>
  <c r="D54" i="19"/>
  <c r="D53" i="19"/>
  <c r="D52" i="19"/>
  <c r="D51" i="19"/>
  <c r="D50" i="19"/>
  <c r="D49" i="19"/>
  <c r="D48" i="19"/>
  <c r="D47" i="19"/>
  <c r="D46" i="19"/>
  <c r="D45" i="19"/>
  <c r="D44" i="19"/>
  <c r="D43" i="19"/>
  <c r="D42" i="19"/>
  <c r="D41" i="19"/>
  <c r="D40" i="19"/>
  <c r="D39" i="19"/>
  <c r="D38" i="19"/>
  <c r="D37" i="19"/>
  <c r="D36" i="19"/>
  <c r="E67" i="19"/>
  <c r="E71" i="19"/>
  <c r="E75" i="19"/>
  <c r="E79" i="19"/>
  <c r="E83" i="19"/>
  <c r="E87" i="19"/>
  <c r="E91" i="19"/>
  <c r="E98" i="19"/>
  <c r="E102" i="19"/>
  <c r="E110" i="19"/>
  <c r="C113" i="19"/>
  <c r="F113" i="19" s="1"/>
  <c r="E114" i="19"/>
  <c r="E115" i="19"/>
  <c r="E120" i="16"/>
  <c r="F120" i="16" s="1"/>
  <c r="D117" i="16"/>
  <c r="F117" i="16" s="1"/>
  <c r="D115" i="16"/>
  <c r="C114" i="16"/>
  <c r="E113" i="16"/>
  <c r="C112" i="16"/>
  <c r="E111" i="16"/>
  <c r="C110" i="16"/>
  <c r="D109" i="16"/>
  <c r="D118" i="16" s="1"/>
  <c r="E102" i="16"/>
  <c r="E94" i="16"/>
  <c r="E93" i="16"/>
  <c r="E90" i="16"/>
  <c r="E89" i="16"/>
  <c r="E86" i="16"/>
  <c r="E85" i="16"/>
  <c r="E82" i="16"/>
  <c r="E81" i="16"/>
  <c r="E78" i="16"/>
  <c r="E77" i="16"/>
  <c r="E74" i="16"/>
  <c r="E73" i="16"/>
  <c r="E70" i="16"/>
  <c r="E69"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E67" i="16"/>
  <c r="E72" i="16"/>
  <c r="E75" i="16"/>
  <c r="E80" i="16"/>
  <c r="E83" i="16"/>
  <c r="E88" i="16"/>
  <c r="E91" i="16"/>
  <c r="E99" i="16"/>
  <c r="E101" i="16"/>
  <c r="E104" i="16"/>
  <c r="E109" i="16"/>
  <c r="C111" i="16"/>
  <c r="F111" i="16" s="1"/>
  <c r="E112" i="16"/>
  <c r="C115" i="16"/>
  <c r="C116" i="16"/>
  <c r="D10" i="15"/>
  <c r="D12" i="15"/>
  <c r="D14" i="15"/>
  <c r="D16" i="15"/>
  <c r="D18" i="15"/>
  <c r="D20" i="15"/>
  <c r="D22" i="15"/>
  <c r="D24" i="15"/>
  <c r="D26" i="15"/>
  <c r="D28" i="15"/>
  <c r="D30" i="15"/>
  <c r="D32" i="15"/>
  <c r="F38" i="35"/>
  <c r="F40" i="35"/>
  <c r="F42" i="35"/>
  <c r="F44" i="35"/>
  <c r="F46" i="35"/>
  <c r="F48" i="35"/>
  <c r="F50" i="35"/>
  <c r="F52" i="35"/>
  <c r="F54" i="35"/>
  <c r="F56" i="35"/>
  <c r="F58" i="35"/>
  <c r="F60" i="35"/>
  <c r="F62" i="35"/>
  <c r="E67" i="35"/>
  <c r="E69" i="35"/>
  <c r="E71" i="35"/>
  <c r="E73" i="35"/>
  <c r="E75" i="35"/>
  <c r="E77" i="35"/>
  <c r="E79" i="35"/>
  <c r="E81" i="35"/>
  <c r="E83" i="35"/>
  <c r="E85" i="35"/>
  <c r="E87" i="35"/>
  <c r="E89" i="35"/>
  <c r="E91" i="35"/>
  <c r="E93" i="35"/>
  <c r="E98" i="35"/>
  <c r="E100" i="35"/>
  <c r="E102" i="35"/>
  <c r="E104" i="35"/>
  <c r="D109" i="35"/>
  <c r="C110" i="35"/>
  <c r="F110" i="35" s="1"/>
  <c r="E111" i="35"/>
  <c r="F111" i="35" s="1"/>
  <c r="C112" i="35"/>
  <c r="F112" i="35" s="1"/>
  <c r="E113" i="35"/>
  <c r="F113" i="35" s="1"/>
  <c r="C114" i="35"/>
  <c r="F114" i="35" s="1"/>
  <c r="D115" i="35"/>
  <c r="F115" i="35" s="1"/>
  <c r="D117" i="35"/>
  <c r="F117" i="35" s="1"/>
  <c r="F37" i="34"/>
  <c r="F39" i="34"/>
  <c r="F41" i="34"/>
  <c r="F43" i="34"/>
  <c r="F45" i="34"/>
  <c r="F47" i="34"/>
  <c r="F49" i="34"/>
  <c r="F51" i="34"/>
  <c r="F53" i="34"/>
  <c r="F55" i="34"/>
  <c r="F57" i="34"/>
  <c r="F59" i="34"/>
  <c r="F61" i="34"/>
  <c r="F63" i="34"/>
  <c r="E67" i="34"/>
  <c r="E69" i="34"/>
  <c r="F69" i="34" s="1"/>
  <c r="E71" i="34"/>
  <c r="F71" i="34" s="1"/>
  <c r="E73" i="34"/>
  <c r="F73" i="34" s="1"/>
  <c r="E75" i="34"/>
  <c r="F75" i="34" s="1"/>
  <c r="E77" i="34"/>
  <c r="F77" i="34" s="1"/>
  <c r="E79" i="34"/>
  <c r="F79" i="34" s="1"/>
  <c r="E81" i="34"/>
  <c r="F81" i="34" s="1"/>
  <c r="E83" i="34"/>
  <c r="F83" i="34" s="1"/>
  <c r="E85" i="34"/>
  <c r="F85" i="34" s="1"/>
  <c r="E87" i="34"/>
  <c r="E89" i="34"/>
  <c r="F89" i="34" s="1"/>
  <c r="E91" i="34"/>
  <c r="E93" i="34"/>
  <c r="E98" i="34"/>
  <c r="E100" i="34"/>
  <c r="E102" i="34"/>
  <c r="E104" i="34"/>
  <c r="D109" i="34"/>
  <c r="C110" i="34"/>
  <c r="F110" i="34" s="1"/>
  <c r="E111" i="34"/>
  <c r="F111" i="34" s="1"/>
  <c r="C112" i="34"/>
  <c r="F112" i="34" s="1"/>
  <c r="E113" i="34"/>
  <c r="F113" i="34" s="1"/>
  <c r="C114" i="34"/>
  <c r="F114" i="34" s="1"/>
  <c r="D115" i="34"/>
  <c r="F115" i="34" s="1"/>
  <c r="D117" i="34"/>
  <c r="F117" i="34" s="1"/>
  <c r="F38" i="33"/>
  <c r="F40" i="33"/>
  <c r="F42" i="33"/>
  <c r="F44" i="33"/>
  <c r="F46" i="33"/>
  <c r="F48" i="33"/>
  <c r="F50" i="33"/>
  <c r="F52" i="33"/>
  <c r="F54" i="33"/>
  <c r="F56" i="33"/>
  <c r="F58" i="33"/>
  <c r="F60" i="33"/>
  <c r="F62" i="33"/>
  <c r="E67" i="33"/>
  <c r="E69" i="33"/>
  <c r="E71" i="33"/>
  <c r="E73" i="33"/>
  <c r="E75" i="33"/>
  <c r="E77" i="33"/>
  <c r="E79" i="33"/>
  <c r="E81" i="33"/>
  <c r="E83" i="33"/>
  <c r="E85" i="33"/>
  <c r="E87" i="33"/>
  <c r="E89" i="33"/>
  <c r="E91" i="33"/>
  <c r="E93" i="33"/>
  <c r="E98" i="33"/>
  <c r="E100" i="33"/>
  <c r="E102" i="33"/>
  <c r="E109" i="33"/>
  <c r="E110" i="33"/>
  <c r="F110" i="33" s="1"/>
  <c r="C111" i="33"/>
  <c r="F111" i="33" s="1"/>
  <c r="E112" i="33"/>
  <c r="F112" i="33" s="1"/>
  <c r="C113" i="33"/>
  <c r="F113" i="33" s="1"/>
  <c r="E114" i="33"/>
  <c r="F114" i="33" s="1"/>
  <c r="C115" i="33"/>
  <c r="E115" i="33"/>
  <c r="C116" i="24"/>
  <c r="E115" i="24"/>
  <c r="C115" i="24"/>
  <c r="E114" i="24"/>
  <c r="C113" i="24"/>
  <c r="F113" i="24" s="1"/>
  <c r="E112" i="24"/>
  <c r="F112" i="24" s="1"/>
  <c r="C111" i="24"/>
  <c r="E110" i="24"/>
  <c r="E109" i="24"/>
  <c r="E103" i="24"/>
  <c r="E101" i="24"/>
  <c r="E99" i="24"/>
  <c r="E94" i="24"/>
  <c r="E92" i="24"/>
  <c r="E90" i="24"/>
  <c r="E88" i="24"/>
  <c r="E86" i="24"/>
  <c r="E84" i="24"/>
  <c r="E82" i="24"/>
  <c r="E80" i="24"/>
  <c r="E78" i="24"/>
  <c r="E76" i="24"/>
  <c r="E74" i="24"/>
  <c r="E72" i="24"/>
  <c r="E70" i="24"/>
  <c r="E68" i="24"/>
  <c r="D63" i="24"/>
  <c r="D62" i="24"/>
  <c r="D61" i="24"/>
  <c r="D60" i="24"/>
  <c r="D59" i="24"/>
  <c r="D58" i="24"/>
  <c r="D57" i="24"/>
  <c r="D56" i="24"/>
  <c r="D55" i="24"/>
  <c r="D54" i="24"/>
  <c r="D53" i="24"/>
  <c r="D52" i="24"/>
  <c r="D51" i="24"/>
  <c r="D50" i="24"/>
  <c r="D49" i="24"/>
  <c r="D48" i="24"/>
  <c r="D47" i="24"/>
  <c r="D46" i="24"/>
  <c r="D45" i="24"/>
  <c r="D44" i="24"/>
  <c r="D43" i="24"/>
  <c r="D42" i="24"/>
  <c r="D41" i="24"/>
  <c r="D36" i="24"/>
  <c r="D37" i="24"/>
  <c r="F37" i="24" s="1"/>
  <c r="D38" i="24"/>
  <c r="D39" i="24"/>
  <c r="D40" i="24"/>
  <c r="E69" i="24"/>
  <c r="E73" i="24"/>
  <c r="E77" i="24"/>
  <c r="E81" i="24"/>
  <c r="E85" i="24"/>
  <c r="E89" i="24"/>
  <c r="E93" i="24"/>
  <c r="E100" i="24"/>
  <c r="E104" i="24"/>
  <c r="C110" i="24"/>
  <c r="F110" i="24" s="1"/>
  <c r="E111" i="24"/>
  <c r="C114" i="24"/>
  <c r="F114" i="24" s="1"/>
  <c r="D115" i="24"/>
  <c r="D118" i="24" s="1"/>
  <c r="E120" i="23"/>
  <c r="F120" i="23" s="1"/>
  <c r="D117" i="23"/>
  <c r="F117" i="23" s="1"/>
  <c r="D115" i="23"/>
  <c r="C114" i="23"/>
  <c r="E113" i="23"/>
  <c r="C112" i="23"/>
  <c r="F112" i="23" s="1"/>
  <c r="E111" i="23"/>
  <c r="F111" i="23" s="1"/>
  <c r="C110" i="23"/>
  <c r="D109" i="23"/>
  <c r="D118" i="23" s="1"/>
  <c r="E104" i="23"/>
  <c r="E102" i="23"/>
  <c r="E100" i="23"/>
  <c r="E98" i="23"/>
  <c r="E93" i="23"/>
  <c r="E91" i="23"/>
  <c r="E89" i="23"/>
  <c r="E87" i="23"/>
  <c r="E85" i="23"/>
  <c r="E83" i="23"/>
  <c r="E81" i="23"/>
  <c r="E79" i="23"/>
  <c r="E77" i="23"/>
  <c r="E75" i="23"/>
  <c r="E73" i="23"/>
  <c r="E71" i="23"/>
  <c r="E69" i="23"/>
  <c r="E67" i="23"/>
  <c r="D36" i="23"/>
  <c r="D38" i="23"/>
  <c r="D40" i="23"/>
  <c r="D42" i="23"/>
  <c r="D44" i="23"/>
  <c r="D46" i="23"/>
  <c r="D48" i="23"/>
  <c r="D50" i="23"/>
  <c r="D52" i="23"/>
  <c r="D54" i="23"/>
  <c r="D56" i="23"/>
  <c r="D58" i="23"/>
  <c r="D60" i="23"/>
  <c r="D62" i="23"/>
  <c r="E70" i="23"/>
  <c r="E74" i="23"/>
  <c r="E78" i="23"/>
  <c r="E82" i="23"/>
  <c r="E86" i="23"/>
  <c r="E90" i="23"/>
  <c r="E94" i="23"/>
  <c r="E101" i="23"/>
  <c r="E110" i="23"/>
  <c r="C113" i="23"/>
  <c r="F113" i="23" s="1"/>
  <c r="E114" i="23"/>
  <c r="E115" i="23"/>
  <c r="E69" i="19"/>
  <c r="E73" i="19"/>
  <c r="E77" i="19"/>
  <c r="E81" i="19"/>
  <c r="E85" i="19"/>
  <c r="E89" i="19"/>
  <c r="E93" i="19"/>
  <c r="E100" i="19"/>
  <c r="E109" i="19"/>
  <c r="C111" i="19"/>
  <c r="F111" i="19" s="1"/>
  <c r="E112" i="19"/>
  <c r="C115" i="19"/>
  <c r="F115" i="19" s="1"/>
  <c r="C116" i="19"/>
  <c r="C116" i="17"/>
  <c r="E115" i="17"/>
  <c r="C115" i="17"/>
  <c r="E114" i="17"/>
  <c r="F114" i="17" s="1"/>
  <c r="C113" i="17"/>
  <c r="E112" i="17"/>
  <c r="C111" i="17"/>
  <c r="F111" i="17" s="1"/>
  <c r="E110" i="17"/>
  <c r="F110" i="17" s="1"/>
  <c r="E109" i="17"/>
  <c r="E103" i="17"/>
  <c r="E101" i="17"/>
  <c r="E99" i="17"/>
  <c r="E94" i="17"/>
  <c r="E92" i="17"/>
  <c r="E90" i="17"/>
  <c r="E88" i="17"/>
  <c r="E86" i="17"/>
  <c r="E84" i="17"/>
  <c r="E82" i="17"/>
  <c r="E80" i="17"/>
  <c r="E78" i="17"/>
  <c r="E76" i="17"/>
  <c r="E74" i="17"/>
  <c r="E72" i="17"/>
  <c r="E70" i="17"/>
  <c r="E68" i="17"/>
  <c r="D63" i="17"/>
  <c r="D62" i="17"/>
  <c r="D61" i="17"/>
  <c r="D60" i="17"/>
  <c r="D59" i="17"/>
  <c r="D58" i="17"/>
  <c r="D57" i="17"/>
  <c r="D56" i="17"/>
  <c r="D55" i="17"/>
  <c r="D54" i="17"/>
  <c r="D53" i="17"/>
  <c r="D52" i="17"/>
  <c r="D51" i="17"/>
  <c r="D50" i="17"/>
  <c r="D49" i="17"/>
  <c r="D48" i="17"/>
  <c r="D47" i="17"/>
  <c r="D46" i="17"/>
  <c r="D45" i="17"/>
  <c r="D44" i="17"/>
  <c r="D43" i="17"/>
  <c r="F43" i="17" s="1"/>
  <c r="D42" i="17"/>
  <c r="D41" i="17"/>
  <c r="D40" i="17"/>
  <c r="D39" i="17"/>
  <c r="F39" i="17" s="1"/>
  <c r="D38" i="17"/>
  <c r="D37" i="17"/>
  <c r="F37" i="17" s="1"/>
  <c r="D36" i="17"/>
  <c r="E67" i="17"/>
  <c r="E71" i="17"/>
  <c r="E75" i="17"/>
  <c r="E79" i="17"/>
  <c r="E83" i="17"/>
  <c r="E87" i="17"/>
  <c r="E91" i="17"/>
  <c r="E98" i="17"/>
  <c r="E102" i="17"/>
  <c r="D109" i="17"/>
  <c r="D118" i="17" s="1"/>
  <c r="C112" i="17"/>
  <c r="F112" i="17" s="1"/>
  <c r="E113" i="17"/>
  <c r="D117" i="17"/>
  <c r="F117" i="17" s="1"/>
  <c r="E120" i="17"/>
  <c r="F120" i="17" s="1"/>
  <c r="E68" i="16"/>
  <c r="E71" i="16"/>
  <c r="E76" i="16"/>
  <c r="E79" i="16"/>
  <c r="E84" i="16"/>
  <c r="E87" i="16"/>
  <c r="E92" i="16"/>
  <c r="E98" i="16"/>
  <c r="E100" i="16"/>
  <c r="E103" i="16"/>
  <c r="F103" i="16" s="1"/>
  <c r="E110" i="16"/>
  <c r="C113" i="16"/>
  <c r="F113" i="16" s="1"/>
  <c r="E114" i="16"/>
  <c r="E115" i="16"/>
  <c r="D69" i="15"/>
  <c r="D7" i="15"/>
  <c r="E67" i="14"/>
  <c r="E69" i="14"/>
  <c r="E71" i="14"/>
  <c r="E73" i="14"/>
  <c r="E75" i="14"/>
  <c r="E77" i="14"/>
  <c r="E79" i="14"/>
  <c r="E81" i="14"/>
  <c r="E83" i="14"/>
  <c r="E85" i="14"/>
  <c r="E87" i="14"/>
  <c r="E89" i="14"/>
  <c r="E91" i="14"/>
  <c r="E93" i="14"/>
  <c r="E98" i="14"/>
  <c r="E100" i="14"/>
  <c r="E102" i="14"/>
  <c r="E104" i="14"/>
  <c r="D109" i="14"/>
  <c r="C110" i="14"/>
  <c r="E111" i="14"/>
  <c r="C112" i="14"/>
  <c r="E113" i="14"/>
  <c r="C114" i="14"/>
  <c r="D115" i="14"/>
  <c r="D117" i="14"/>
  <c r="F117" i="14" s="1"/>
  <c r="E120" i="14"/>
  <c r="F120" i="14" s="1"/>
  <c r="E120" i="13"/>
  <c r="F120" i="13" s="1"/>
  <c r="D117" i="13"/>
  <c r="F117" i="13" s="1"/>
  <c r="D115" i="13"/>
  <c r="C114" i="13"/>
  <c r="E113" i="13"/>
  <c r="C112" i="13"/>
  <c r="E111" i="13"/>
  <c r="C110" i="13"/>
  <c r="D109" i="13"/>
  <c r="D118" i="13" s="1"/>
  <c r="E104" i="13"/>
  <c r="E102" i="13"/>
  <c r="E100" i="13"/>
  <c r="E98" i="13"/>
  <c r="E93" i="13"/>
  <c r="E91" i="13"/>
  <c r="E89" i="13"/>
  <c r="E87" i="13"/>
  <c r="E85" i="13"/>
  <c r="E83" i="13"/>
  <c r="E81" i="13"/>
  <c r="E79" i="13"/>
  <c r="E77" i="13"/>
  <c r="E75" i="13"/>
  <c r="E73" i="13"/>
  <c r="E71" i="13"/>
  <c r="E69" i="13"/>
  <c r="E67" i="13"/>
  <c r="C116" i="13"/>
  <c r="E115" i="13"/>
  <c r="C115" i="13"/>
  <c r="E114" i="13"/>
  <c r="C113" i="13"/>
  <c r="E112" i="13"/>
  <c r="C111" i="13"/>
  <c r="E110" i="13"/>
  <c r="E109" i="13"/>
  <c r="E103" i="13"/>
  <c r="E101" i="13"/>
  <c r="E99" i="13"/>
  <c r="E94" i="13"/>
  <c r="E92" i="13"/>
  <c r="E90" i="13"/>
  <c r="E88" i="13"/>
  <c r="E86" i="13"/>
  <c r="E84" i="13"/>
  <c r="E82" i="13"/>
  <c r="E80" i="13"/>
  <c r="E78" i="13"/>
  <c r="E76" i="13"/>
  <c r="E74" i="13"/>
  <c r="E72" i="13"/>
  <c r="E70" i="13"/>
  <c r="E68" i="13"/>
  <c r="D63" i="13"/>
  <c r="D62" i="13"/>
  <c r="D61" i="13"/>
  <c r="D60" i="13"/>
  <c r="D59" i="13"/>
  <c r="D58" i="13"/>
  <c r="D57" i="13"/>
  <c r="D56" i="13"/>
  <c r="D55" i="13"/>
  <c r="D54" i="13"/>
  <c r="D53" i="13"/>
  <c r="D52" i="13"/>
  <c r="D51" i="13"/>
  <c r="D50" i="13"/>
  <c r="D49" i="13"/>
  <c r="D48" i="13"/>
  <c r="D47" i="13"/>
  <c r="D46" i="13"/>
  <c r="D45" i="13"/>
  <c r="D36" i="22"/>
  <c r="D37" i="22"/>
  <c r="F37" i="22" s="1"/>
  <c r="D38" i="22"/>
  <c r="D39" i="22"/>
  <c r="D40" i="22"/>
  <c r="D41" i="22"/>
  <c r="D42" i="22"/>
  <c r="D43" i="22"/>
  <c r="D44" i="22"/>
  <c r="D45" i="22"/>
  <c r="D46" i="22"/>
  <c r="D47" i="22"/>
  <c r="D48" i="22"/>
  <c r="D49" i="22"/>
  <c r="D50" i="22"/>
  <c r="D51" i="22"/>
  <c r="D52" i="22"/>
  <c r="D53" i="22"/>
  <c r="D54" i="22"/>
  <c r="D55" i="22"/>
  <c r="D56" i="22"/>
  <c r="D57" i="22"/>
  <c r="D58" i="22"/>
  <c r="D59" i="22"/>
  <c r="D60" i="22"/>
  <c r="D61" i="22"/>
  <c r="D62" i="22"/>
  <c r="D63" i="22"/>
  <c r="E68" i="22"/>
  <c r="E70" i="22"/>
  <c r="E72" i="22"/>
  <c r="E74" i="22"/>
  <c r="E76" i="22"/>
  <c r="E78" i="22"/>
  <c r="E80" i="22"/>
  <c r="E82" i="22"/>
  <c r="E84" i="22"/>
  <c r="E86" i="22"/>
  <c r="E88" i="22"/>
  <c r="E90" i="22"/>
  <c r="E92" i="22"/>
  <c r="E94" i="22"/>
  <c r="E99" i="22"/>
  <c r="E101" i="22"/>
  <c r="E103" i="22"/>
  <c r="E104" i="22"/>
  <c r="D109" i="22"/>
  <c r="C110" i="22"/>
  <c r="F110" i="22" s="1"/>
  <c r="E111" i="22"/>
  <c r="F111" i="22" s="1"/>
  <c r="C112" i="22"/>
  <c r="F112" i="22" s="1"/>
  <c r="E113" i="22"/>
  <c r="F113" i="22" s="1"/>
  <c r="C114" i="22"/>
  <c r="F114" i="22" s="1"/>
  <c r="D115" i="22"/>
  <c r="F115" i="22" s="1"/>
  <c r="D117" i="22"/>
  <c r="F117" i="22" s="1"/>
  <c r="F37" i="21"/>
  <c r="F39" i="21"/>
  <c r="F41" i="21"/>
  <c r="F43" i="21"/>
  <c r="F45" i="21"/>
  <c r="F47" i="21"/>
  <c r="F49" i="21"/>
  <c r="F51" i="21"/>
  <c r="F53" i="21"/>
  <c r="F55" i="21"/>
  <c r="F57" i="21"/>
  <c r="F59" i="21"/>
  <c r="F61" i="21"/>
  <c r="F63" i="21"/>
  <c r="E67" i="21"/>
  <c r="E69" i="21"/>
  <c r="F69" i="21" s="1"/>
  <c r="E71" i="21"/>
  <c r="E73" i="21"/>
  <c r="F73" i="21" s="1"/>
  <c r="E75" i="21"/>
  <c r="E77" i="21"/>
  <c r="F77" i="21" s="1"/>
  <c r="E79" i="21"/>
  <c r="E81" i="21"/>
  <c r="F81" i="21" s="1"/>
  <c r="E83" i="21"/>
  <c r="E85" i="21"/>
  <c r="F85" i="21" s="1"/>
  <c r="E87" i="21"/>
  <c r="E89" i="21"/>
  <c r="F89" i="21" s="1"/>
  <c r="E91" i="21"/>
  <c r="E93" i="21"/>
  <c r="F93" i="21" s="1"/>
  <c r="E98" i="21"/>
  <c r="E100" i="21"/>
  <c r="E102" i="21"/>
  <c r="E104" i="21"/>
  <c r="D109" i="21"/>
  <c r="C110" i="21"/>
  <c r="F110" i="21" s="1"/>
  <c r="E111" i="21"/>
  <c r="F111" i="21" s="1"/>
  <c r="C112" i="21"/>
  <c r="F112" i="21" s="1"/>
  <c r="E113" i="21"/>
  <c r="F113" i="21" s="1"/>
  <c r="C114" i="21"/>
  <c r="F114" i="21" s="1"/>
  <c r="D115" i="21"/>
  <c r="F115" i="21" s="1"/>
  <c r="D117" i="21"/>
  <c r="F117" i="21" s="1"/>
  <c r="F37" i="15"/>
  <c r="F39" i="15"/>
  <c r="F41" i="15"/>
  <c r="F43" i="15"/>
  <c r="F45" i="15"/>
  <c r="F47" i="15"/>
  <c r="F49" i="15"/>
  <c r="F51" i="15"/>
  <c r="F53" i="15"/>
  <c r="F55" i="15"/>
  <c r="F57" i="15"/>
  <c r="F59" i="15"/>
  <c r="F61" i="15"/>
  <c r="F63" i="15"/>
  <c r="E67" i="15"/>
  <c r="E69" i="15"/>
  <c r="E71" i="15"/>
  <c r="E73" i="15"/>
  <c r="E75" i="15"/>
  <c r="E77" i="15"/>
  <c r="E79" i="15"/>
  <c r="E81" i="15"/>
  <c r="E83" i="15"/>
  <c r="E85" i="15"/>
  <c r="E87" i="15"/>
  <c r="E89" i="15"/>
  <c r="E91" i="15"/>
  <c r="E93" i="15"/>
  <c r="E98" i="15"/>
  <c r="E100" i="15"/>
  <c r="E102" i="15"/>
  <c r="E104" i="15"/>
  <c r="D109" i="15"/>
  <c r="C110" i="15"/>
  <c r="F110" i="15" s="1"/>
  <c r="E111" i="15"/>
  <c r="C112" i="15"/>
  <c r="F112" i="15" s="1"/>
  <c r="E113" i="15"/>
  <c r="F113" i="15" s="1"/>
  <c r="C114" i="15"/>
  <c r="F114" i="15" s="1"/>
  <c r="D115" i="15"/>
  <c r="F115" i="15" s="1"/>
  <c r="D117" i="15"/>
  <c r="F117" i="15" s="1"/>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31" i="14" s="1"/>
  <c r="D63" i="14"/>
  <c r="E68" i="14"/>
  <c r="E70" i="14"/>
  <c r="E72" i="14"/>
  <c r="E74" i="14"/>
  <c r="E76" i="14"/>
  <c r="E78" i="14"/>
  <c r="E80" i="14"/>
  <c r="E82" i="14"/>
  <c r="E84" i="14"/>
  <c r="E86" i="14"/>
  <c r="E88" i="14"/>
  <c r="E90" i="14"/>
  <c r="E92" i="14"/>
  <c r="E94" i="14"/>
  <c r="E99" i="14"/>
  <c r="E101" i="14"/>
  <c r="E103" i="14"/>
  <c r="E109" i="14"/>
  <c r="E110" i="14"/>
  <c r="C111" i="14"/>
  <c r="F111" i="14" s="1"/>
  <c r="E112" i="14"/>
  <c r="C113" i="14"/>
  <c r="F113" i="14" s="1"/>
  <c r="E114" i="14"/>
  <c r="C115" i="14"/>
  <c r="E115" i="14"/>
  <c r="D36" i="13"/>
  <c r="D37" i="13"/>
  <c r="D38" i="13"/>
  <c r="D39" i="13"/>
  <c r="D40" i="13"/>
  <c r="D41" i="13"/>
  <c r="D42" i="13"/>
  <c r="D43" i="13"/>
  <c r="D44" i="13"/>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E68" i="12"/>
  <c r="E70" i="12"/>
  <c r="E72" i="12"/>
  <c r="E74" i="12"/>
  <c r="E76" i="12"/>
  <c r="E78" i="12"/>
  <c r="E80" i="12"/>
  <c r="E82" i="12"/>
  <c r="E84" i="12"/>
  <c r="E86" i="12"/>
  <c r="E88" i="12"/>
  <c r="E90" i="12"/>
  <c r="E92" i="12"/>
  <c r="E94" i="12"/>
  <c r="E99" i="12"/>
  <c r="E101" i="12"/>
  <c r="E103" i="12"/>
  <c r="E109" i="12"/>
  <c r="E110" i="12"/>
  <c r="C111" i="12"/>
  <c r="E112" i="12"/>
  <c r="C113" i="12"/>
  <c r="E114" i="12"/>
  <c r="C115" i="12"/>
  <c r="E115" i="12"/>
  <c r="C116" i="12"/>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E68" i="11"/>
  <c r="E70" i="11"/>
  <c r="E72" i="11"/>
  <c r="E74" i="11"/>
  <c r="E76" i="11"/>
  <c r="E78" i="11"/>
  <c r="E80" i="11"/>
  <c r="E82" i="11"/>
  <c r="E84" i="11"/>
  <c r="E86" i="11"/>
  <c r="E88" i="11"/>
  <c r="E90" i="11"/>
  <c r="E92" i="11"/>
  <c r="E94" i="11"/>
  <c r="E99" i="11"/>
  <c r="E101" i="11"/>
  <c r="E103" i="11"/>
  <c r="E109" i="11"/>
  <c r="E110" i="11"/>
  <c r="C111" i="11"/>
  <c r="E112" i="11"/>
  <c r="C113" i="11"/>
  <c r="E114" i="11"/>
  <c r="C115" i="11"/>
  <c r="E115" i="11"/>
  <c r="C116" i="11"/>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E68" i="10"/>
  <c r="E70" i="10"/>
  <c r="E72" i="10"/>
  <c r="E74" i="10"/>
  <c r="E76" i="10"/>
  <c r="E78" i="10"/>
  <c r="E80" i="10"/>
  <c r="E82" i="10"/>
  <c r="E84" i="10"/>
  <c r="E86" i="10"/>
  <c r="E88" i="10"/>
  <c r="E90" i="10"/>
  <c r="E92" i="10"/>
  <c r="E94" i="10"/>
  <c r="E99" i="10"/>
  <c r="E101" i="10"/>
  <c r="E103" i="10"/>
  <c r="D109" i="10"/>
  <c r="C110" i="10"/>
  <c r="E111" i="10"/>
  <c r="C112" i="10"/>
  <c r="E113" i="10"/>
  <c r="C114" i="10"/>
  <c r="D115" i="10"/>
  <c r="D117" i="10"/>
  <c r="F117" i="10" s="1"/>
  <c r="E120" i="10"/>
  <c r="F120" i="10" s="1"/>
  <c r="C116" i="9"/>
  <c r="E115" i="9"/>
  <c r="C115" i="9"/>
  <c r="E114" i="9"/>
  <c r="C113" i="9"/>
  <c r="E112" i="9"/>
  <c r="C111" i="9"/>
  <c r="E110" i="9"/>
  <c r="E120" i="9"/>
  <c r="F120" i="9" s="1"/>
  <c r="D117" i="9"/>
  <c r="F117" i="9" s="1"/>
  <c r="D115" i="9"/>
  <c r="C114" i="9"/>
  <c r="F114" i="9" s="1"/>
  <c r="E113" i="9"/>
  <c r="C112" i="9"/>
  <c r="F112" i="9" s="1"/>
  <c r="E111" i="9"/>
  <c r="C110" i="9"/>
  <c r="F110" i="9" s="1"/>
  <c r="D109" i="9"/>
  <c r="D118" i="9" s="1"/>
  <c r="D36" i="9"/>
  <c r="D67" i="9" s="1"/>
  <c r="D37" i="9"/>
  <c r="D38" i="9"/>
  <c r="D39" i="9"/>
  <c r="D40" i="9"/>
  <c r="D41" i="9"/>
  <c r="D42" i="9"/>
  <c r="D43" i="9"/>
  <c r="D44" i="9"/>
  <c r="D45" i="9"/>
  <c r="D46" i="9"/>
  <c r="D47" i="9"/>
  <c r="D48" i="9"/>
  <c r="D49" i="9"/>
  <c r="D50" i="9"/>
  <c r="D51" i="9"/>
  <c r="D52" i="9"/>
  <c r="D53" i="9"/>
  <c r="D54" i="9"/>
  <c r="D55" i="9"/>
  <c r="D56" i="9"/>
  <c r="D57" i="9"/>
  <c r="D58" i="9"/>
  <c r="D59" i="9"/>
  <c r="D60" i="9"/>
  <c r="D61" i="9"/>
  <c r="D62" i="9"/>
  <c r="D63" i="9"/>
  <c r="E68" i="9"/>
  <c r="E70" i="9"/>
  <c r="E72" i="9"/>
  <c r="E74" i="9"/>
  <c r="E76" i="9"/>
  <c r="E78" i="9"/>
  <c r="E80" i="9"/>
  <c r="E82" i="9"/>
  <c r="E84" i="9"/>
  <c r="E86" i="9"/>
  <c r="E88" i="9"/>
  <c r="E90" i="9"/>
  <c r="E92" i="9"/>
  <c r="E94" i="9"/>
  <c r="E99" i="9"/>
  <c r="E101" i="9"/>
  <c r="E103" i="9"/>
  <c r="F103" i="9" s="1"/>
  <c r="E67" i="12"/>
  <c r="E69" i="12"/>
  <c r="E71" i="12"/>
  <c r="E73" i="12"/>
  <c r="E75" i="12"/>
  <c r="E77" i="12"/>
  <c r="E79" i="12"/>
  <c r="E81" i="12"/>
  <c r="E83" i="12"/>
  <c r="E85" i="12"/>
  <c r="E87" i="12"/>
  <c r="E89" i="12"/>
  <c r="E91" i="12"/>
  <c r="E93" i="12"/>
  <c r="E98" i="12"/>
  <c r="E100" i="12"/>
  <c r="E102" i="12"/>
  <c r="E104" i="12"/>
  <c r="D109" i="12"/>
  <c r="C110" i="12"/>
  <c r="F110" i="12" s="1"/>
  <c r="E111" i="12"/>
  <c r="C112" i="12"/>
  <c r="F112" i="12" s="1"/>
  <c r="E113" i="12"/>
  <c r="C114" i="12"/>
  <c r="F114" i="12" s="1"/>
  <c r="D115" i="12"/>
  <c r="D117" i="12"/>
  <c r="F117" i="12" s="1"/>
  <c r="E67" i="11"/>
  <c r="E69" i="11"/>
  <c r="E71" i="11"/>
  <c r="E73" i="11"/>
  <c r="E75" i="11"/>
  <c r="E77" i="11"/>
  <c r="E79" i="11"/>
  <c r="E81" i="11"/>
  <c r="E83" i="11"/>
  <c r="E85" i="11"/>
  <c r="E87" i="11"/>
  <c r="E89" i="11"/>
  <c r="E91" i="11"/>
  <c r="E93" i="11"/>
  <c r="E98" i="11"/>
  <c r="E100" i="11"/>
  <c r="E102" i="11"/>
  <c r="E104" i="11"/>
  <c r="D109" i="11"/>
  <c r="C110" i="11"/>
  <c r="F110" i="11" s="1"/>
  <c r="E111" i="11"/>
  <c r="C112" i="11"/>
  <c r="F112" i="11" s="1"/>
  <c r="E113" i="11"/>
  <c r="C114" i="11"/>
  <c r="F114" i="11" s="1"/>
  <c r="D115" i="11"/>
  <c r="D117" i="11"/>
  <c r="F117" i="11" s="1"/>
  <c r="E67" i="10"/>
  <c r="E69" i="10"/>
  <c r="E71" i="10"/>
  <c r="E73" i="10"/>
  <c r="E75" i="10"/>
  <c r="E77" i="10"/>
  <c r="E79" i="10"/>
  <c r="E81" i="10"/>
  <c r="E83" i="10"/>
  <c r="E85" i="10"/>
  <c r="E87" i="10"/>
  <c r="E89" i="10"/>
  <c r="E91" i="10"/>
  <c r="E93" i="10"/>
  <c r="E98" i="10"/>
  <c r="E100" i="10"/>
  <c r="E102" i="10"/>
  <c r="E104" i="10"/>
  <c r="E109" i="10"/>
  <c r="E110" i="10"/>
  <c r="C111" i="10"/>
  <c r="F111" i="10" s="1"/>
  <c r="E112" i="10"/>
  <c r="C113" i="10"/>
  <c r="F113" i="10" s="1"/>
  <c r="E114" i="10"/>
  <c r="C115" i="10"/>
  <c r="E115" i="10"/>
  <c r="E67" i="9"/>
  <c r="E69" i="9"/>
  <c r="E71" i="9"/>
  <c r="E73" i="9"/>
  <c r="E75" i="9"/>
  <c r="E77" i="9"/>
  <c r="E79" i="9"/>
  <c r="E81" i="9"/>
  <c r="E83" i="9"/>
  <c r="E85" i="9"/>
  <c r="E87" i="9"/>
  <c r="E89" i="9"/>
  <c r="E91" i="9"/>
  <c r="E93" i="9"/>
  <c r="E98" i="9"/>
  <c r="E100" i="9"/>
  <c r="E102" i="9"/>
  <c r="E104" i="9"/>
  <c r="E109" i="9"/>
  <c r="D36" i="8"/>
  <c r="D37" i="8"/>
  <c r="D68" i="8" s="1"/>
  <c r="D38" i="8"/>
  <c r="D39" i="8"/>
  <c r="D40" i="8"/>
  <c r="D41" i="8"/>
  <c r="D42" i="8"/>
  <c r="D43" i="8"/>
  <c r="D44" i="8"/>
  <c r="D45" i="8"/>
  <c r="D46" i="8"/>
  <c r="D47" i="8"/>
  <c r="D48" i="8"/>
  <c r="D49" i="8"/>
  <c r="D50" i="8"/>
  <c r="D51" i="8"/>
  <c r="D52" i="8"/>
  <c r="D53" i="8"/>
  <c r="D54" i="8"/>
  <c r="D55" i="8"/>
  <c r="D56" i="8"/>
  <c r="D57" i="8"/>
  <c r="D58" i="8"/>
  <c r="D59" i="8"/>
  <c r="D60" i="8"/>
  <c r="D61" i="8"/>
  <c r="D62" i="8"/>
  <c r="D63" i="8"/>
  <c r="E68" i="8"/>
  <c r="E70" i="8"/>
  <c r="E72" i="8"/>
  <c r="E74" i="8"/>
  <c r="E76" i="8"/>
  <c r="E78" i="8"/>
  <c r="E80" i="8"/>
  <c r="E82" i="8"/>
  <c r="E84" i="8"/>
  <c r="E86" i="8"/>
  <c r="E88" i="8"/>
  <c r="E90" i="8"/>
  <c r="E92" i="8"/>
  <c r="E94" i="8"/>
  <c r="E99" i="8"/>
  <c r="E101" i="8"/>
  <c r="E103" i="8"/>
  <c r="E109" i="8"/>
  <c r="E110" i="8"/>
  <c r="C111" i="8"/>
  <c r="E112" i="8"/>
  <c r="C113" i="8"/>
  <c r="E114" i="8"/>
  <c r="C115" i="8"/>
  <c r="E115" i="8"/>
  <c r="C116" i="8"/>
  <c r="D36" i="7"/>
  <c r="D67" i="7" s="1"/>
  <c r="D37" i="7"/>
  <c r="D38" i="7"/>
  <c r="D69" i="7" s="1"/>
  <c r="D39" i="7"/>
  <c r="D40" i="7"/>
  <c r="D41" i="7"/>
  <c r="D42" i="7"/>
  <c r="D43" i="7"/>
  <c r="D44" i="7"/>
  <c r="D45" i="7"/>
  <c r="D46" i="7"/>
  <c r="D47" i="7"/>
  <c r="D48" i="7"/>
  <c r="D49" i="7"/>
  <c r="D50" i="7"/>
  <c r="D51" i="7"/>
  <c r="D52" i="7"/>
  <c r="D53" i="7"/>
  <c r="D54" i="7"/>
  <c r="D55" i="7"/>
  <c r="D56" i="7"/>
  <c r="D57" i="7"/>
  <c r="D58" i="7"/>
  <c r="D59" i="7"/>
  <c r="D60" i="7"/>
  <c r="D61" i="7"/>
  <c r="D62" i="7"/>
  <c r="D63" i="7"/>
  <c r="E68" i="7"/>
  <c r="E70" i="7"/>
  <c r="E72" i="7"/>
  <c r="E74" i="7"/>
  <c r="E76" i="7"/>
  <c r="E78" i="7"/>
  <c r="E80" i="7"/>
  <c r="E82" i="7"/>
  <c r="E84" i="7"/>
  <c r="E86" i="7"/>
  <c r="E88" i="7"/>
  <c r="E90" i="7"/>
  <c r="E92" i="7"/>
  <c r="E94" i="7"/>
  <c r="E99" i="7"/>
  <c r="E101" i="7"/>
  <c r="E103" i="7"/>
  <c r="E109" i="7"/>
  <c r="E110" i="7"/>
  <c r="C111" i="7"/>
  <c r="E112" i="7"/>
  <c r="C113" i="7"/>
  <c r="C115" i="7"/>
  <c r="E64" i="6"/>
  <c r="E67" i="8"/>
  <c r="E69" i="8"/>
  <c r="E71" i="8"/>
  <c r="E73" i="8"/>
  <c r="E75" i="8"/>
  <c r="E77" i="8"/>
  <c r="E79" i="8"/>
  <c r="E81" i="8"/>
  <c r="E83" i="8"/>
  <c r="E85" i="8"/>
  <c r="E87" i="8"/>
  <c r="E89" i="8"/>
  <c r="E91" i="8"/>
  <c r="E93" i="8"/>
  <c r="E98" i="8"/>
  <c r="E100" i="8"/>
  <c r="E102" i="8"/>
  <c r="E104" i="8"/>
  <c r="D109" i="8"/>
  <c r="C110" i="8"/>
  <c r="E111" i="8"/>
  <c r="C112" i="8"/>
  <c r="E113" i="8"/>
  <c r="C114" i="8"/>
  <c r="D115" i="8"/>
  <c r="D117" i="8"/>
  <c r="F117" i="8" s="1"/>
  <c r="E120" i="7"/>
  <c r="F120" i="7" s="1"/>
  <c r="D117" i="7"/>
  <c r="F117" i="7" s="1"/>
  <c r="D115" i="7"/>
  <c r="C114" i="7"/>
  <c r="E67" i="7"/>
  <c r="E69" i="7"/>
  <c r="E71" i="7"/>
  <c r="E73" i="7"/>
  <c r="E75" i="7"/>
  <c r="E77" i="7"/>
  <c r="E79" i="7"/>
  <c r="E81" i="7"/>
  <c r="E83" i="7"/>
  <c r="E85" i="7"/>
  <c r="E87" i="7"/>
  <c r="E89" i="7"/>
  <c r="E91" i="7"/>
  <c r="E93" i="7"/>
  <c r="E98" i="7"/>
  <c r="E100" i="7"/>
  <c r="E102" i="7"/>
  <c r="E104" i="7"/>
  <c r="D109" i="7"/>
  <c r="D118" i="7" s="1"/>
  <c r="C110" i="7"/>
  <c r="E111" i="7"/>
  <c r="C112" i="7"/>
  <c r="E113" i="7"/>
  <c r="E114" i="7"/>
  <c r="E115" i="7"/>
  <c r="D68" i="4"/>
  <c r="F68" i="4" s="1"/>
  <c r="D6" i="4"/>
  <c r="D70" i="4"/>
  <c r="F70" i="4" s="1"/>
  <c r="D8" i="4"/>
  <c r="D72" i="4"/>
  <c r="F72" i="4" s="1"/>
  <c r="D10" i="4"/>
  <c r="D74" i="4"/>
  <c r="F74" i="4" s="1"/>
  <c r="D12" i="4"/>
  <c r="D76" i="4"/>
  <c r="F76" i="4" s="1"/>
  <c r="D14" i="4"/>
  <c r="D78" i="4"/>
  <c r="F78" i="4" s="1"/>
  <c r="D16" i="4"/>
  <c r="D80" i="4"/>
  <c r="F80" i="4" s="1"/>
  <c r="D18" i="4"/>
  <c r="D82" i="4"/>
  <c r="F82" i="4" s="1"/>
  <c r="D20" i="4"/>
  <c r="D84" i="4"/>
  <c r="F84" i="4" s="1"/>
  <c r="D22" i="4"/>
  <c r="D86" i="4"/>
  <c r="F86" i="4" s="1"/>
  <c r="D24" i="4"/>
  <c r="D88" i="4"/>
  <c r="F88" i="4" s="1"/>
  <c r="D26" i="4"/>
  <c r="D90" i="4"/>
  <c r="F90" i="4" s="1"/>
  <c r="D28" i="4"/>
  <c r="D92" i="4"/>
  <c r="F92" i="4" s="1"/>
  <c r="D30" i="4"/>
  <c r="D94" i="4"/>
  <c r="F94" i="4" s="1"/>
  <c r="D32" i="4"/>
  <c r="C116" i="6"/>
  <c r="E115" i="6"/>
  <c r="C115" i="6"/>
  <c r="E114" i="6"/>
  <c r="C113" i="6"/>
  <c r="F113" i="6" s="1"/>
  <c r="E112" i="6"/>
  <c r="F112" i="6" s="1"/>
  <c r="C111" i="6"/>
  <c r="E110" i="6"/>
  <c r="E109" i="6"/>
  <c r="E103" i="6"/>
  <c r="E101" i="6"/>
  <c r="E99" i="6"/>
  <c r="E94" i="6"/>
  <c r="E92" i="6"/>
  <c r="E90" i="6"/>
  <c r="E88" i="6"/>
  <c r="E86" i="6"/>
  <c r="E84" i="6"/>
  <c r="E82" i="6"/>
  <c r="E80" i="6"/>
  <c r="E78" i="6"/>
  <c r="E76"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E68" i="6"/>
  <c r="E70" i="6"/>
  <c r="E72" i="6"/>
  <c r="E74" i="6"/>
  <c r="E77" i="6"/>
  <c r="E81" i="6"/>
  <c r="E85" i="6"/>
  <c r="E89" i="6"/>
  <c r="E93" i="6"/>
  <c r="E100" i="6"/>
  <c r="E104" i="6"/>
  <c r="C110" i="6"/>
  <c r="F110" i="6" s="1"/>
  <c r="E111" i="6"/>
  <c r="C114" i="6"/>
  <c r="F114" i="6" s="1"/>
  <c r="D115" i="6"/>
  <c r="D118" i="6" s="1"/>
  <c r="D64" i="4"/>
  <c r="F38" i="4"/>
  <c r="F40" i="4"/>
  <c r="F42" i="4"/>
  <c r="F44" i="4"/>
  <c r="F46" i="4"/>
  <c r="F48" i="4"/>
  <c r="F50" i="4"/>
  <c r="F52" i="4"/>
  <c r="F54" i="4"/>
  <c r="F56" i="4"/>
  <c r="F58" i="4"/>
  <c r="F60" i="4"/>
  <c r="F62" i="4"/>
  <c r="E67" i="4"/>
  <c r="E69" i="4"/>
  <c r="E71" i="4"/>
  <c r="E73" i="4"/>
  <c r="E75" i="4"/>
  <c r="E77" i="4"/>
  <c r="E79" i="4"/>
  <c r="E81" i="4"/>
  <c r="E83" i="4"/>
  <c r="E85" i="4"/>
  <c r="E87" i="4"/>
  <c r="E89" i="4"/>
  <c r="E91" i="4"/>
  <c r="E93" i="4"/>
  <c r="E98" i="4"/>
  <c r="E100" i="4"/>
  <c r="E102" i="4"/>
  <c r="E104" i="4"/>
  <c r="D109" i="4"/>
  <c r="C110" i="4"/>
  <c r="F110" i="4" s="1"/>
  <c r="E111" i="4"/>
  <c r="F111" i="4" s="1"/>
  <c r="C112" i="4"/>
  <c r="F112" i="4" s="1"/>
  <c r="E113" i="4"/>
  <c r="F113" i="4" s="1"/>
  <c r="C114" i="4"/>
  <c r="F114" i="4" s="1"/>
  <c r="D115" i="4"/>
  <c r="F115" i="4" s="1"/>
  <c r="D117" i="4"/>
  <c r="F117" i="4" s="1"/>
  <c r="E67" i="59"/>
  <c r="E69" i="59"/>
  <c r="E71" i="59"/>
  <c r="E73" i="59"/>
  <c r="E75" i="59"/>
  <c r="E77" i="59"/>
  <c r="E79" i="59"/>
  <c r="E81" i="59"/>
  <c r="E83" i="59"/>
  <c r="E85" i="59"/>
  <c r="E87" i="59"/>
  <c r="E89" i="59"/>
  <c r="E91" i="59"/>
  <c r="E93" i="59"/>
  <c r="E98" i="59"/>
  <c r="E100" i="59"/>
  <c r="E102" i="59"/>
  <c r="E104" i="59"/>
  <c r="D109" i="59"/>
  <c r="C110" i="59"/>
  <c r="E111" i="59"/>
  <c r="C112" i="59"/>
  <c r="C116" i="59"/>
  <c r="E115" i="59"/>
  <c r="C115" i="59"/>
  <c r="E114" i="59"/>
  <c r="E120" i="59"/>
  <c r="F120" i="59" s="1"/>
  <c r="D117" i="59"/>
  <c r="F117" i="59" s="1"/>
  <c r="D115" i="59"/>
  <c r="C114" i="59"/>
  <c r="F114" i="59" s="1"/>
  <c r="E113" i="59"/>
  <c r="F113" i="59" s="1"/>
  <c r="D36" i="59"/>
  <c r="D37" i="59"/>
  <c r="F37" i="59" s="1"/>
  <c r="D38" i="59"/>
  <c r="D39" i="59"/>
  <c r="D40" i="59"/>
  <c r="D41" i="59"/>
  <c r="D42" i="59"/>
  <c r="D43" i="59"/>
  <c r="D44" i="59"/>
  <c r="D45" i="59"/>
  <c r="D46" i="59"/>
  <c r="D47" i="59"/>
  <c r="D48" i="59"/>
  <c r="D49" i="59"/>
  <c r="D50" i="59"/>
  <c r="D51" i="59"/>
  <c r="D52" i="59"/>
  <c r="D53" i="59"/>
  <c r="D54" i="59"/>
  <c r="D55" i="59"/>
  <c r="D56" i="59"/>
  <c r="D57" i="59"/>
  <c r="D58" i="59"/>
  <c r="D59" i="59"/>
  <c r="D60" i="59"/>
  <c r="D61" i="59"/>
  <c r="D62" i="59"/>
  <c r="D63" i="59"/>
  <c r="E68" i="59"/>
  <c r="E70" i="59"/>
  <c r="E72" i="59"/>
  <c r="E74" i="59"/>
  <c r="E76" i="59"/>
  <c r="E78" i="59"/>
  <c r="E80" i="59"/>
  <c r="E82" i="59"/>
  <c r="E84" i="59"/>
  <c r="E86" i="59"/>
  <c r="E88" i="59"/>
  <c r="E90" i="59"/>
  <c r="E92" i="59"/>
  <c r="E94" i="59"/>
  <c r="E99" i="59"/>
  <c r="E101" i="59"/>
  <c r="E103" i="59"/>
  <c r="E109" i="59"/>
  <c r="E110" i="59"/>
  <c r="C111" i="59"/>
  <c r="F111" i="59" s="1"/>
  <c r="E112" i="59"/>
  <c r="E67" i="1"/>
  <c r="E69" i="1"/>
  <c r="E71" i="1"/>
  <c r="E73" i="1"/>
  <c r="E75" i="1"/>
  <c r="E77" i="1"/>
  <c r="E79" i="1"/>
  <c r="E81" i="1"/>
  <c r="E83" i="1"/>
  <c r="E85" i="1"/>
  <c r="E87" i="1"/>
  <c r="E89" i="1"/>
  <c r="E91" i="1"/>
  <c r="E93" i="1"/>
  <c r="E98" i="1"/>
  <c r="E100" i="1"/>
  <c r="E102" i="1"/>
  <c r="E104" i="1"/>
  <c r="D109" i="1"/>
  <c r="C110" i="1"/>
  <c r="E111" i="1"/>
  <c r="C112" i="1"/>
  <c r="E113" i="1"/>
  <c r="C114" i="1"/>
  <c r="D115" i="1"/>
  <c r="D117" i="1"/>
  <c r="F117" i="1" s="1"/>
  <c r="E120" i="1"/>
  <c r="F120" i="1" s="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E68" i="1"/>
  <c r="E70" i="1"/>
  <c r="E72" i="1"/>
  <c r="E74" i="1"/>
  <c r="E76" i="1"/>
  <c r="E78" i="1"/>
  <c r="E80" i="1"/>
  <c r="E82" i="1"/>
  <c r="E84" i="1"/>
  <c r="E86" i="1"/>
  <c r="E88" i="1"/>
  <c r="E90" i="1"/>
  <c r="E92" i="1"/>
  <c r="E94" i="1"/>
  <c r="E99" i="1"/>
  <c r="E101" i="1"/>
  <c r="E103" i="1"/>
  <c r="E109" i="1"/>
  <c r="E110" i="1"/>
  <c r="C111" i="1"/>
  <c r="F111" i="1" s="1"/>
  <c r="E112" i="1"/>
  <c r="C113" i="1"/>
  <c r="F113" i="1" s="1"/>
  <c r="E114" i="1"/>
  <c r="C115" i="1"/>
  <c r="E115" i="1"/>
  <c r="E67" i="3"/>
  <c r="E69" i="3"/>
  <c r="E71" i="3"/>
  <c r="E73" i="3"/>
  <c r="E75" i="3"/>
  <c r="E77" i="3"/>
  <c r="E79" i="3"/>
  <c r="E81" i="3"/>
  <c r="E83" i="3"/>
  <c r="E85" i="3"/>
  <c r="E87" i="3"/>
  <c r="E89" i="3"/>
  <c r="E91" i="3"/>
  <c r="E93" i="3"/>
  <c r="E98" i="3"/>
  <c r="E99" i="3"/>
  <c r="E100" i="3"/>
  <c r="E101" i="3"/>
  <c r="E103" i="3"/>
  <c r="E104" i="3"/>
  <c r="E109" i="3"/>
  <c r="E110" i="3"/>
  <c r="C111" i="3"/>
  <c r="E112" i="3"/>
  <c r="C113" i="3"/>
  <c r="E114" i="3"/>
  <c r="C115" i="3"/>
  <c r="E115" i="3"/>
  <c r="C116"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E68" i="3"/>
  <c r="E70" i="3"/>
  <c r="E72" i="3"/>
  <c r="E74" i="3"/>
  <c r="E76" i="3"/>
  <c r="E78" i="3"/>
  <c r="E80" i="3"/>
  <c r="E82" i="3"/>
  <c r="E84" i="3"/>
  <c r="E86" i="3"/>
  <c r="E88" i="3"/>
  <c r="E90" i="3"/>
  <c r="E92" i="3"/>
  <c r="E94" i="3"/>
  <c r="E102" i="3"/>
  <c r="D109" i="3"/>
  <c r="C110" i="3"/>
  <c r="F110" i="3" s="1"/>
  <c r="E111" i="3"/>
  <c r="C112" i="3"/>
  <c r="F112" i="3" s="1"/>
  <c r="E113" i="3"/>
  <c r="C114" i="3"/>
  <c r="F114" i="3" s="1"/>
  <c r="D115" i="3"/>
  <c r="D117" i="3"/>
  <c r="F117" i="3" s="1"/>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E67" i="5"/>
  <c r="E70" i="5"/>
  <c r="E71" i="5"/>
  <c r="E74" i="5"/>
  <c r="E75" i="5"/>
  <c r="E78" i="5"/>
  <c r="E79" i="5"/>
  <c r="E82" i="5"/>
  <c r="E83" i="5"/>
  <c r="E86" i="5"/>
  <c r="E87" i="5"/>
  <c r="E90" i="5"/>
  <c r="E91" i="5"/>
  <c r="E94" i="5"/>
  <c r="E102" i="5"/>
  <c r="D109" i="5"/>
  <c r="C110" i="5"/>
  <c r="E111" i="5"/>
  <c r="C112" i="5"/>
  <c r="E113" i="5"/>
  <c r="C114" i="5"/>
  <c r="D115" i="5"/>
  <c r="D117" i="5"/>
  <c r="F117" i="5" s="1"/>
  <c r="E120" i="5"/>
  <c r="F120" i="5" s="1"/>
  <c r="E68" i="5"/>
  <c r="E69" i="5"/>
  <c r="E72" i="5"/>
  <c r="E73" i="5"/>
  <c r="E76" i="5"/>
  <c r="E77" i="5"/>
  <c r="E80" i="5"/>
  <c r="E81" i="5"/>
  <c r="E84" i="5"/>
  <c r="E85" i="5"/>
  <c r="E88" i="5"/>
  <c r="E89" i="5"/>
  <c r="E92" i="5"/>
  <c r="E93" i="5"/>
  <c r="E98" i="5"/>
  <c r="E99" i="5"/>
  <c r="E100" i="5"/>
  <c r="E101" i="5"/>
  <c r="E103" i="5"/>
  <c r="E104" i="5"/>
  <c r="E109" i="5"/>
  <c r="E110" i="5"/>
  <c r="C111" i="5"/>
  <c r="E112" i="5"/>
  <c r="C113" i="5"/>
  <c r="E114" i="5"/>
  <c r="C115" i="5"/>
  <c r="E115" i="5"/>
  <c r="E67" i="18"/>
  <c r="E68" i="18"/>
  <c r="E71" i="18"/>
  <c r="E72" i="18"/>
  <c r="E75" i="18"/>
  <c r="E76" i="18"/>
  <c r="E79" i="18"/>
  <c r="E80" i="18"/>
  <c r="E83" i="18"/>
  <c r="E84" i="18"/>
  <c r="E87" i="18"/>
  <c r="E88" i="18"/>
  <c r="E91" i="18"/>
  <c r="E92" i="18"/>
  <c r="E98" i="18"/>
  <c r="E99" i="18"/>
  <c r="E100" i="18"/>
  <c r="E101" i="18"/>
  <c r="E103" i="18"/>
  <c r="E104" i="18"/>
  <c r="E109" i="18"/>
  <c r="E110" i="18"/>
  <c r="C111" i="18"/>
  <c r="E112" i="18"/>
  <c r="C113" i="18"/>
  <c r="E114" i="18"/>
  <c r="C115" i="18"/>
  <c r="E115" i="18"/>
  <c r="C116" i="18"/>
  <c r="D36" i="18"/>
  <c r="D37" i="18"/>
  <c r="D38" i="18"/>
  <c r="D39" i="18"/>
  <c r="D40" i="18"/>
  <c r="D41" i="18"/>
  <c r="D42" i="18"/>
  <c r="D43" i="18"/>
  <c r="D44" i="18"/>
  <c r="D45" i="18"/>
  <c r="D46" i="18"/>
  <c r="D47" i="18"/>
  <c r="D48" i="18"/>
  <c r="D49" i="18"/>
  <c r="D50" i="18"/>
  <c r="D51" i="18"/>
  <c r="D52" i="18"/>
  <c r="D53" i="18"/>
  <c r="D54" i="18"/>
  <c r="D55" i="18"/>
  <c r="D56" i="18"/>
  <c r="D57" i="18"/>
  <c r="D58" i="18"/>
  <c r="D59" i="18"/>
  <c r="D60" i="18"/>
  <c r="D61" i="18"/>
  <c r="D62" i="18"/>
  <c r="D63" i="18"/>
  <c r="E69" i="18"/>
  <c r="E70" i="18"/>
  <c r="E73" i="18"/>
  <c r="E74" i="18"/>
  <c r="E77" i="18"/>
  <c r="E78" i="18"/>
  <c r="E81" i="18"/>
  <c r="E82" i="18"/>
  <c r="E85" i="18"/>
  <c r="E86" i="18"/>
  <c r="E89" i="18"/>
  <c r="E90" i="18"/>
  <c r="E93" i="18"/>
  <c r="E94" i="18"/>
  <c r="E102" i="18"/>
  <c r="D109" i="18"/>
  <c r="C110" i="18"/>
  <c r="F110" i="18" s="1"/>
  <c r="E111" i="18"/>
  <c r="C112" i="18"/>
  <c r="F112" i="18" s="1"/>
  <c r="E113" i="18"/>
  <c r="C114" i="18"/>
  <c r="F114" i="18" s="1"/>
  <c r="D115" i="18"/>
  <c r="D117" i="18"/>
  <c r="F117" i="18" s="1"/>
  <c r="F120" i="20"/>
  <c r="F120" i="60" s="1"/>
  <c r="E37" i="60"/>
  <c r="E41" i="60"/>
  <c r="E45" i="60"/>
  <c r="E49" i="60"/>
  <c r="E51" i="60"/>
  <c r="E53" i="60"/>
  <c r="E55" i="60"/>
  <c r="E57" i="60"/>
  <c r="E59" i="60"/>
  <c r="E61" i="60"/>
  <c r="E63" i="60"/>
  <c r="E67" i="20"/>
  <c r="E68" i="20"/>
  <c r="E68" i="60" s="1"/>
  <c r="E71" i="20"/>
  <c r="E72" i="20"/>
  <c r="E72" i="60" s="1"/>
  <c r="E75" i="20"/>
  <c r="E76" i="20"/>
  <c r="E76" i="60" s="1"/>
  <c r="E79" i="20"/>
  <c r="E80" i="20"/>
  <c r="E80" i="60" s="1"/>
  <c r="E83" i="20"/>
  <c r="E84" i="20"/>
  <c r="E84" i="60" s="1"/>
  <c r="E87" i="20"/>
  <c r="E88" i="20"/>
  <c r="E88" i="60" s="1"/>
  <c r="E91" i="20"/>
  <c r="E92" i="20"/>
  <c r="E92" i="60" s="1"/>
  <c r="E98" i="20"/>
  <c r="E99" i="20"/>
  <c r="E100" i="20"/>
  <c r="E101" i="20"/>
  <c r="E103" i="20"/>
  <c r="E104" i="20"/>
  <c r="E109" i="20"/>
  <c r="E110" i="20"/>
  <c r="E110" i="60" s="1"/>
  <c r="C111" i="20"/>
  <c r="E112" i="20"/>
  <c r="E112" i="60" s="1"/>
  <c r="C113" i="20"/>
  <c r="E114" i="20"/>
  <c r="E114" i="60" s="1"/>
  <c r="C115" i="20"/>
  <c r="E115" i="20"/>
  <c r="E115" i="60" s="1"/>
  <c r="C116" i="20"/>
  <c r="D36" i="20"/>
  <c r="F36" i="20" s="1"/>
  <c r="D37" i="20"/>
  <c r="D38" i="20"/>
  <c r="D7" i="20" s="1"/>
  <c r="D39" i="20"/>
  <c r="D40" i="20"/>
  <c r="D9" i="20" s="1"/>
  <c r="D41" i="20"/>
  <c r="D42" i="20"/>
  <c r="D11" i="20" s="1"/>
  <c r="D43" i="20"/>
  <c r="D44" i="20"/>
  <c r="D75" i="20" s="1"/>
  <c r="D45" i="20"/>
  <c r="D46" i="20"/>
  <c r="D15" i="20" s="1"/>
  <c r="D47" i="20"/>
  <c r="D48" i="20"/>
  <c r="D17" i="20" s="1"/>
  <c r="D49" i="20"/>
  <c r="D50" i="20"/>
  <c r="D19" i="20" s="1"/>
  <c r="D51" i="20"/>
  <c r="D52" i="20"/>
  <c r="D83" i="20" s="1"/>
  <c r="D53" i="20"/>
  <c r="D54" i="20"/>
  <c r="D23" i="20" s="1"/>
  <c r="D55" i="20"/>
  <c r="D56" i="20"/>
  <c r="D25" i="20" s="1"/>
  <c r="D57" i="20"/>
  <c r="D58" i="20"/>
  <c r="D27" i="20" s="1"/>
  <c r="D59" i="20"/>
  <c r="D60" i="20"/>
  <c r="D91" i="20" s="1"/>
  <c r="D61" i="20"/>
  <c r="D62" i="20"/>
  <c r="D31" i="20" s="1"/>
  <c r="D63" i="20"/>
  <c r="E69" i="20"/>
  <c r="E69" i="60" s="1"/>
  <c r="E70" i="20"/>
  <c r="E73" i="20"/>
  <c r="E73" i="60" s="1"/>
  <c r="E74" i="20"/>
  <c r="E77" i="20"/>
  <c r="E77" i="60" s="1"/>
  <c r="E78" i="20"/>
  <c r="E81" i="20"/>
  <c r="E81" i="60" s="1"/>
  <c r="E82" i="20"/>
  <c r="E85" i="20"/>
  <c r="E85" i="60" s="1"/>
  <c r="E86" i="20"/>
  <c r="E89" i="20"/>
  <c r="E89" i="60" s="1"/>
  <c r="E90" i="20"/>
  <c r="E93" i="20"/>
  <c r="E93" i="60" s="1"/>
  <c r="E94" i="20"/>
  <c r="E102" i="20"/>
  <c r="F102" i="20" s="1"/>
  <c r="D109" i="20"/>
  <c r="C110" i="20"/>
  <c r="E111" i="20"/>
  <c r="C112" i="20"/>
  <c r="E113" i="20"/>
  <c r="C114" i="20"/>
  <c r="D115" i="20"/>
  <c r="D117" i="20"/>
  <c r="F67" i="51"/>
  <c r="F67" i="49"/>
  <c r="F67" i="47"/>
  <c r="C118" i="45"/>
  <c r="F109" i="45"/>
  <c r="D6" i="57"/>
  <c r="D8" i="57"/>
  <c r="D10" i="57"/>
  <c r="D12" i="57"/>
  <c r="D14" i="57"/>
  <c r="D16" i="57"/>
  <c r="D18" i="57"/>
  <c r="D20" i="57"/>
  <c r="D22" i="57"/>
  <c r="D24" i="57"/>
  <c r="D26" i="57"/>
  <c r="D28" i="57"/>
  <c r="D30" i="57"/>
  <c r="D32" i="57"/>
  <c r="F36" i="57"/>
  <c r="D68" i="57"/>
  <c r="F68" i="57" s="1"/>
  <c r="D70" i="57"/>
  <c r="F70" i="57" s="1"/>
  <c r="D72" i="57"/>
  <c r="F72" i="57" s="1"/>
  <c r="D74" i="57"/>
  <c r="F74" i="57" s="1"/>
  <c r="D76" i="57"/>
  <c r="F76" i="57" s="1"/>
  <c r="D78" i="57"/>
  <c r="F78" i="57" s="1"/>
  <c r="D80" i="57"/>
  <c r="F80" i="57" s="1"/>
  <c r="D82" i="57"/>
  <c r="F82" i="57" s="1"/>
  <c r="D84" i="57"/>
  <c r="F84" i="57" s="1"/>
  <c r="D86" i="57"/>
  <c r="F86" i="57" s="1"/>
  <c r="D88" i="57"/>
  <c r="F88" i="57" s="1"/>
  <c r="D90" i="57"/>
  <c r="F90" i="57" s="1"/>
  <c r="D92" i="57"/>
  <c r="F92" i="57" s="1"/>
  <c r="D94" i="57"/>
  <c r="F94" i="57" s="1"/>
  <c r="D5" i="56"/>
  <c r="F37" i="56"/>
  <c r="F39" i="56"/>
  <c r="F41" i="56"/>
  <c r="F43" i="56"/>
  <c r="F45" i="56"/>
  <c r="F47" i="56"/>
  <c r="F49" i="56"/>
  <c r="F51" i="56"/>
  <c r="F53" i="56"/>
  <c r="F55" i="56"/>
  <c r="F57" i="56"/>
  <c r="F59" i="56"/>
  <c r="F61" i="56"/>
  <c r="F63" i="56"/>
  <c r="D67" i="56"/>
  <c r="D69" i="56"/>
  <c r="F69" i="56" s="1"/>
  <c r="D71" i="56"/>
  <c r="F71" i="56" s="1"/>
  <c r="D73" i="56"/>
  <c r="F73" i="56" s="1"/>
  <c r="D75" i="56"/>
  <c r="F75" i="56" s="1"/>
  <c r="D77" i="56"/>
  <c r="F77" i="56" s="1"/>
  <c r="D79" i="56"/>
  <c r="F79" i="56" s="1"/>
  <c r="D81" i="56"/>
  <c r="F81" i="56" s="1"/>
  <c r="D83" i="56"/>
  <c r="F83" i="56" s="1"/>
  <c r="D85" i="56"/>
  <c r="F85" i="56" s="1"/>
  <c r="D87" i="56"/>
  <c r="F87" i="56" s="1"/>
  <c r="D89" i="56"/>
  <c r="F89" i="56" s="1"/>
  <c r="D91" i="56"/>
  <c r="F91" i="56" s="1"/>
  <c r="D93" i="56"/>
  <c r="F93" i="56" s="1"/>
  <c r="D6" i="55"/>
  <c r="F36" i="55"/>
  <c r="F38" i="55"/>
  <c r="F40" i="55"/>
  <c r="F42" i="55"/>
  <c r="F44" i="55"/>
  <c r="F46" i="55"/>
  <c r="F48" i="55"/>
  <c r="F50" i="55"/>
  <c r="F52" i="55"/>
  <c r="F54" i="55"/>
  <c r="F56" i="55"/>
  <c r="F58" i="55"/>
  <c r="F60" i="55"/>
  <c r="F62" i="55"/>
  <c r="D64" i="55"/>
  <c r="F64" i="55" s="1"/>
  <c r="D68" i="55"/>
  <c r="F68" i="55" s="1"/>
  <c r="D70" i="55"/>
  <c r="F70" i="55" s="1"/>
  <c r="D72" i="55"/>
  <c r="F72" i="55" s="1"/>
  <c r="D74" i="55"/>
  <c r="F74" i="55" s="1"/>
  <c r="D76" i="55"/>
  <c r="F76" i="55" s="1"/>
  <c r="D78" i="55"/>
  <c r="F78" i="55" s="1"/>
  <c r="D80" i="55"/>
  <c r="F80" i="55" s="1"/>
  <c r="D82" i="55"/>
  <c r="F82" i="55" s="1"/>
  <c r="D84" i="55"/>
  <c r="F84" i="55" s="1"/>
  <c r="D86" i="55"/>
  <c r="F86" i="55" s="1"/>
  <c r="D88" i="55"/>
  <c r="F88" i="55" s="1"/>
  <c r="D90" i="55"/>
  <c r="F90" i="55" s="1"/>
  <c r="D92" i="55"/>
  <c r="F92" i="55" s="1"/>
  <c r="D94" i="55"/>
  <c r="F94" i="55" s="1"/>
  <c r="D5" i="54"/>
  <c r="D7" i="54"/>
  <c r="F37" i="54"/>
  <c r="F39" i="54"/>
  <c r="F41" i="54"/>
  <c r="F43" i="54"/>
  <c r="F45" i="54"/>
  <c r="F47" i="54"/>
  <c r="F49" i="54"/>
  <c r="F51" i="54"/>
  <c r="F53" i="54"/>
  <c r="F55" i="54"/>
  <c r="F57" i="54"/>
  <c r="F59" i="54"/>
  <c r="F61" i="54"/>
  <c r="F63" i="54"/>
  <c r="D67" i="54"/>
  <c r="D69" i="54"/>
  <c r="F69" i="54" s="1"/>
  <c r="D71" i="54"/>
  <c r="F71" i="54" s="1"/>
  <c r="D73" i="54"/>
  <c r="F73" i="54" s="1"/>
  <c r="D75" i="54"/>
  <c r="F75" i="54" s="1"/>
  <c r="D77" i="54"/>
  <c r="F77" i="54" s="1"/>
  <c r="D79" i="54"/>
  <c r="F79" i="54" s="1"/>
  <c r="D81" i="54"/>
  <c r="F81" i="54" s="1"/>
  <c r="D83" i="54"/>
  <c r="F83" i="54" s="1"/>
  <c r="D85" i="54"/>
  <c r="F85" i="54" s="1"/>
  <c r="D87" i="54"/>
  <c r="F87" i="54" s="1"/>
  <c r="D89" i="54"/>
  <c r="F89" i="54" s="1"/>
  <c r="D91" i="54"/>
  <c r="F91" i="54" s="1"/>
  <c r="D93" i="54"/>
  <c r="F93" i="54" s="1"/>
  <c r="D6" i="53"/>
  <c r="D8" i="53"/>
  <c r="F36" i="53"/>
  <c r="F38" i="53"/>
  <c r="F40" i="53"/>
  <c r="F42" i="53"/>
  <c r="F44" i="53"/>
  <c r="F46" i="53"/>
  <c r="F48" i="53"/>
  <c r="F50" i="53"/>
  <c r="F52" i="53"/>
  <c r="F54" i="53"/>
  <c r="F56" i="53"/>
  <c r="F58" i="53"/>
  <c r="F60" i="53"/>
  <c r="F62" i="53"/>
  <c r="D64" i="53"/>
  <c r="D68" i="53"/>
  <c r="F68" i="53" s="1"/>
  <c r="D70" i="53"/>
  <c r="F70" i="53" s="1"/>
  <c r="D72" i="53"/>
  <c r="F72" i="53" s="1"/>
  <c r="D74" i="53"/>
  <c r="F74" i="53" s="1"/>
  <c r="D76" i="53"/>
  <c r="F76" i="53" s="1"/>
  <c r="D78" i="53"/>
  <c r="F78" i="53" s="1"/>
  <c r="D80" i="53"/>
  <c r="F80" i="53" s="1"/>
  <c r="D82" i="53"/>
  <c r="F82" i="53" s="1"/>
  <c r="D84" i="53"/>
  <c r="F84" i="53" s="1"/>
  <c r="D86" i="53"/>
  <c r="F86" i="53" s="1"/>
  <c r="D88" i="53"/>
  <c r="F88" i="53" s="1"/>
  <c r="D90" i="53"/>
  <c r="F90" i="53" s="1"/>
  <c r="D92" i="53"/>
  <c r="F92" i="53" s="1"/>
  <c r="D94" i="53"/>
  <c r="F94" i="53" s="1"/>
  <c r="D5" i="52"/>
  <c r="D7" i="52"/>
  <c r="F37" i="52"/>
  <c r="F39" i="52"/>
  <c r="F41" i="52"/>
  <c r="F43" i="52"/>
  <c r="F45" i="52"/>
  <c r="F47" i="52"/>
  <c r="F49" i="52"/>
  <c r="F51" i="52"/>
  <c r="F53" i="52"/>
  <c r="F55" i="52"/>
  <c r="F57" i="52"/>
  <c r="F59" i="52"/>
  <c r="F61" i="52"/>
  <c r="F63" i="52"/>
  <c r="D67" i="52"/>
  <c r="D69" i="52"/>
  <c r="F69" i="52" s="1"/>
  <c r="D71" i="52"/>
  <c r="F71" i="52" s="1"/>
  <c r="D73" i="52"/>
  <c r="F73" i="52" s="1"/>
  <c r="D75" i="52"/>
  <c r="F75" i="52" s="1"/>
  <c r="D77" i="52"/>
  <c r="F77" i="52" s="1"/>
  <c r="D79" i="52"/>
  <c r="F79" i="52" s="1"/>
  <c r="D81" i="52"/>
  <c r="F81" i="52" s="1"/>
  <c r="D83" i="52"/>
  <c r="F83" i="52" s="1"/>
  <c r="D85" i="52"/>
  <c r="F85" i="52" s="1"/>
  <c r="D87" i="52"/>
  <c r="F87" i="52" s="1"/>
  <c r="D89" i="52"/>
  <c r="F89" i="52" s="1"/>
  <c r="D91" i="52"/>
  <c r="F91" i="52" s="1"/>
  <c r="D93" i="52"/>
  <c r="F93" i="52" s="1"/>
  <c r="D6" i="51"/>
  <c r="D8" i="51"/>
  <c r="F36" i="51"/>
  <c r="F38" i="51"/>
  <c r="F40" i="51"/>
  <c r="F42" i="51"/>
  <c r="F44" i="51"/>
  <c r="F46" i="51"/>
  <c r="F48" i="51"/>
  <c r="F50" i="51"/>
  <c r="F52" i="51"/>
  <c r="F54" i="51"/>
  <c r="F56" i="51"/>
  <c r="F58" i="51"/>
  <c r="F60" i="51"/>
  <c r="F62" i="51"/>
  <c r="D64" i="51"/>
  <c r="D68" i="51"/>
  <c r="F68" i="51" s="1"/>
  <c r="D70" i="51"/>
  <c r="F70" i="51" s="1"/>
  <c r="D72" i="51"/>
  <c r="F72" i="51" s="1"/>
  <c r="D74" i="51"/>
  <c r="F74" i="51" s="1"/>
  <c r="D76" i="51"/>
  <c r="F76" i="51" s="1"/>
  <c r="D78" i="51"/>
  <c r="F78" i="51" s="1"/>
  <c r="D80" i="51"/>
  <c r="F80" i="51" s="1"/>
  <c r="D82" i="51"/>
  <c r="F82" i="51" s="1"/>
  <c r="D84" i="51"/>
  <c r="F84" i="51" s="1"/>
  <c r="D86" i="51"/>
  <c r="F86" i="51" s="1"/>
  <c r="D88" i="51"/>
  <c r="F88" i="51" s="1"/>
  <c r="D90" i="51"/>
  <c r="F90" i="51" s="1"/>
  <c r="D92" i="51"/>
  <c r="F92" i="51" s="1"/>
  <c r="D94" i="51"/>
  <c r="F94" i="51" s="1"/>
  <c r="D5" i="50"/>
  <c r="D7" i="50"/>
  <c r="D9" i="50"/>
  <c r="F37" i="50"/>
  <c r="F39" i="50"/>
  <c r="F41" i="50"/>
  <c r="F43" i="50"/>
  <c r="F45" i="50"/>
  <c r="F47" i="50"/>
  <c r="F49" i="50"/>
  <c r="F51" i="50"/>
  <c r="F53" i="50"/>
  <c r="F55" i="50"/>
  <c r="F57" i="50"/>
  <c r="F59" i="50"/>
  <c r="F61" i="50"/>
  <c r="F63" i="50"/>
  <c r="D67" i="50"/>
  <c r="D69" i="50"/>
  <c r="F69" i="50" s="1"/>
  <c r="D71" i="50"/>
  <c r="F71" i="50" s="1"/>
  <c r="D73" i="50"/>
  <c r="F73" i="50" s="1"/>
  <c r="D75" i="50"/>
  <c r="F75" i="50" s="1"/>
  <c r="D77" i="50"/>
  <c r="F77" i="50" s="1"/>
  <c r="D79" i="50"/>
  <c r="F79" i="50" s="1"/>
  <c r="D81" i="50"/>
  <c r="F81" i="50" s="1"/>
  <c r="D83" i="50"/>
  <c r="F83" i="50" s="1"/>
  <c r="D85" i="50"/>
  <c r="F85" i="50" s="1"/>
  <c r="D87" i="50"/>
  <c r="F87" i="50" s="1"/>
  <c r="D89" i="50"/>
  <c r="F89" i="50" s="1"/>
  <c r="D91" i="50"/>
  <c r="F91" i="50" s="1"/>
  <c r="D93" i="50"/>
  <c r="F93" i="50" s="1"/>
  <c r="D6" i="49"/>
  <c r="D8" i="49"/>
  <c r="D10" i="49"/>
  <c r="F36" i="49"/>
  <c r="F38" i="49"/>
  <c r="F40" i="49"/>
  <c r="F42" i="49"/>
  <c r="F44" i="49"/>
  <c r="F46" i="49"/>
  <c r="F48" i="49"/>
  <c r="F50" i="49"/>
  <c r="F52" i="49"/>
  <c r="F54" i="49"/>
  <c r="F56" i="49"/>
  <c r="F58" i="49"/>
  <c r="F60" i="49"/>
  <c r="F62" i="49"/>
  <c r="D64" i="49"/>
  <c r="D68" i="49"/>
  <c r="F68" i="49" s="1"/>
  <c r="D70" i="49"/>
  <c r="F70" i="49" s="1"/>
  <c r="D72" i="49"/>
  <c r="F72" i="49" s="1"/>
  <c r="D74" i="49"/>
  <c r="F74" i="49" s="1"/>
  <c r="D76" i="49"/>
  <c r="F76" i="49" s="1"/>
  <c r="D78" i="49"/>
  <c r="F78" i="49" s="1"/>
  <c r="D80" i="49"/>
  <c r="F80" i="49" s="1"/>
  <c r="D82" i="49"/>
  <c r="F82" i="49" s="1"/>
  <c r="D84" i="49"/>
  <c r="F84" i="49" s="1"/>
  <c r="D86" i="49"/>
  <c r="F86" i="49" s="1"/>
  <c r="D88" i="49"/>
  <c r="F88" i="49" s="1"/>
  <c r="D90" i="49"/>
  <c r="F90" i="49" s="1"/>
  <c r="D92" i="49"/>
  <c r="F92" i="49" s="1"/>
  <c r="D94" i="49"/>
  <c r="F94" i="49" s="1"/>
  <c r="D5" i="48"/>
  <c r="D7" i="48"/>
  <c r="D9" i="48"/>
  <c r="F37" i="48"/>
  <c r="F39" i="48"/>
  <c r="F41" i="48"/>
  <c r="F43" i="48"/>
  <c r="F45" i="48"/>
  <c r="F47" i="48"/>
  <c r="F49" i="48"/>
  <c r="F51" i="48"/>
  <c r="F53" i="48"/>
  <c r="F55" i="48"/>
  <c r="F57" i="48"/>
  <c r="F59" i="48"/>
  <c r="F61" i="48"/>
  <c r="F63" i="48"/>
  <c r="D67" i="48"/>
  <c r="D69" i="48"/>
  <c r="F69" i="48" s="1"/>
  <c r="D71" i="48"/>
  <c r="F71" i="48" s="1"/>
  <c r="D73" i="48"/>
  <c r="F73" i="48" s="1"/>
  <c r="D75" i="48"/>
  <c r="F75" i="48" s="1"/>
  <c r="D77" i="48"/>
  <c r="F77" i="48" s="1"/>
  <c r="D79" i="48"/>
  <c r="F79" i="48" s="1"/>
  <c r="D81" i="48"/>
  <c r="F81" i="48" s="1"/>
  <c r="D83" i="48"/>
  <c r="F83" i="48" s="1"/>
  <c r="D85" i="48"/>
  <c r="F85" i="48" s="1"/>
  <c r="D87" i="48"/>
  <c r="F87" i="48" s="1"/>
  <c r="D89" i="48"/>
  <c r="F89" i="48" s="1"/>
  <c r="D91" i="48"/>
  <c r="F91" i="48" s="1"/>
  <c r="D93" i="48"/>
  <c r="F93" i="48" s="1"/>
  <c r="D6" i="47"/>
  <c r="D8" i="47"/>
  <c r="D10" i="47"/>
  <c r="F36" i="47"/>
  <c r="F38" i="47"/>
  <c r="F40" i="47"/>
  <c r="F42" i="47"/>
  <c r="F44" i="47"/>
  <c r="F46" i="47"/>
  <c r="F48" i="47"/>
  <c r="F50" i="47"/>
  <c r="F52" i="47"/>
  <c r="F54" i="47"/>
  <c r="F56" i="47"/>
  <c r="F58" i="47"/>
  <c r="F60" i="47"/>
  <c r="F62" i="47"/>
  <c r="D64" i="47"/>
  <c r="D68" i="47"/>
  <c r="F68" i="47" s="1"/>
  <c r="D70" i="47"/>
  <c r="F70" i="47" s="1"/>
  <c r="D72" i="47"/>
  <c r="F72" i="47" s="1"/>
  <c r="D74" i="47"/>
  <c r="F74" i="47" s="1"/>
  <c r="D76" i="47"/>
  <c r="F76" i="47" s="1"/>
  <c r="D78" i="47"/>
  <c r="F78" i="47" s="1"/>
  <c r="D80" i="47"/>
  <c r="F80" i="47" s="1"/>
  <c r="D82" i="47"/>
  <c r="F82" i="47" s="1"/>
  <c r="D84" i="47"/>
  <c r="F84" i="47" s="1"/>
  <c r="D86" i="47"/>
  <c r="F86" i="47" s="1"/>
  <c r="D88" i="47"/>
  <c r="F88" i="47" s="1"/>
  <c r="D90" i="47"/>
  <c r="F90" i="47" s="1"/>
  <c r="D92" i="47"/>
  <c r="F92" i="47" s="1"/>
  <c r="D94" i="47"/>
  <c r="F94" i="47" s="1"/>
  <c r="D5" i="46"/>
  <c r="D7" i="46"/>
  <c r="D9" i="46"/>
  <c r="F37" i="46"/>
  <c r="F39" i="46"/>
  <c r="F41" i="46"/>
  <c r="F43" i="46"/>
  <c r="F45" i="46"/>
  <c r="F47" i="46"/>
  <c r="F49" i="46"/>
  <c r="F51" i="46"/>
  <c r="F53" i="46"/>
  <c r="F55" i="46"/>
  <c r="F57" i="46"/>
  <c r="F59" i="46"/>
  <c r="F61" i="46"/>
  <c r="F63" i="46"/>
  <c r="D67" i="46"/>
  <c r="D69" i="46"/>
  <c r="F69" i="46" s="1"/>
  <c r="D71" i="46"/>
  <c r="F71" i="46" s="1"/>
  <c r="D73" i="46"/>
  <c r="F73" i="46" s="1"/>
  <c r="D75" i="46"/>
  <c r="F75" i="46" s="1"/>
  <c r="D77" i="46"/>
  <c r="F77" i="46" s="1"/>
  <c r="D79" i="46"/>
  <c r="F79" i="46" s="1"/>
  <c r="D81" i="46"/>
  <c r="F81" i="46" s="1"/>
  <c r="D83" i="46"/>
  <c r="F83" i="46" s="1"/>
  <c r="D85" i="46"/>
  <c r="F85" i="46" s="1"/>
  <c r="D87" i="46"/>
  <c r="F87" i="46" s="1"/>
  <c r="D89" i="46"/>
  <c r="F89" i="46" s="1"/>
  <c r="D91" i="46"/>
  <c r="F91" i="46" s="1"/>
  <c r="D93" i="46"/>
  <c r="F93" i="46" s="1"/>
  <c r="D6" i="45"/>
  <c r="D8" i="45"/>
  <c r="D10" i="45"/>
  <c r="D12" i="45"/>
  <c r="F36" i="45"/>
  <c r="F38" i="45"/>
  <c r="F40" i="45"/>
  <c r="F42" i="45"/>
  <c r="F44" i="45"/>
  <c r="F46" i="45"/>
  <c r="F48" i="45"/>
  <c r="F50" i="45"/>
  <c r="F52" i="45"/>
  <c r="F54" i="45"/>
  <c r="F56" i="45"/>
  <c r="F58" i="45"/>
  <c r="F60" i="45"/>
  <c r="F62" i="45"/>
  <c r="D64" i="45"/>
  <c r="F64" i="45" s="1"/>
  <c r="D68" i="45"/>
  <c r="F68" i="45" s="1"/>
  <c r="D70" i="45"/>
  <c r="F70" i="45" s="1"/>
  <c r="D72" i="45"/>
  <c r="F72" i="45" s="1"/>
  <c r="D74" i="45"/>
  <c r="F74" i="45" s="1"/>
  <c r="D76" i="45"/>
  <c r="F76" i="45" s="1"/>
  <c r="D78" i="45"/>
  <c r="F78" i="45" s="1"/>
  <c r="D80" i="45"/>
  <c r="F80" i="45" s="1"/>
  <c r="D82" i="45"/>
  <c r="F82" i="45" s="1"/>
  <c r="D84" i="45"/>
  <c r="F84" i="45" s="1"/>
  <c r="D86" i="45"/>
  <c r="F86" i="45" s="1"/>
  <c r="D88" i="45"/>
  <c r="F88" i="45" s="1"/>
  <c r="D90" i="45"/>
  <c r="F90" i="45" s="1"/>
  <c r="D92" i="45"/>
  <c r="F92" i="45" s="1"/>
  <c r="D94" i="45"/>
  <c r="F94" i="45" s="1"/>
  <c r="D5" i="44"/>
  <c r="D7" i="44"/>
  <c r="D9" i="44"/>
  <c r="D11" i="44"/>
  <c r="F37" i="44"/>
  <c r="F39" i="44"/>
  <c r="F41" i="44"/>
  <c r="F43" i="44"/>
  <c r="F45" i="44"/>
  <c r="F47" i="44"/>
  <c r="F49" i="44"/>
  <c r="F51" i="44"/>
  <c r="F53" i="44"/>
  <c r="F55" i="44"/>
  <c r="F57" i="44"/>
  <c r="F59" i="44"/>
  <c r="F61" i="44"/>
  <c r="F63" i="44"/>
  <c r="D67" i="44"/>
  <c r="D69" i="44"/>
  <c r="F69" i="44" s="1"/>
  <c r="D71" i="44"/>
  <c r="F71" i="44" s="1"/>
  <c r="D73" i="44"/>
  <c r="F73" i="44" s="1"/>
  <c r="D75" i="44"/>
  <c r="F75" i="44" s="1"/>
  <c r="D77" i="44"/>
  <c r="F77" i="44" s="1"/>
  <c r="D79" i="44"/>
  <c r="F79" i="44" s="1"/>
  <c r="F67" i="42"/>
  <c r="F67" i="38"/>
  <c r="F67" i="36"/>
  <c r="F67" i="32"/>
  <c r="F67" i="57"/>
  <c r="F36" i="56"/>
  <c r="F36" i="54"/>
  <c r="F36" i="52"/>
  <c r="F36" i="50"/>
  <c r="F36" i="48"/>
  <c r="F36" i="46"/>
  <c r="F36" i="44"/>
  <c r="F50" i="44"/>
  <c r="F52" i="44"/>
  <c r="F54" i="44"/>
  <c r="F56" i="44"/>
  <c r="F58" i="44"/>
  <c r="F60" i="44"/>
  <c r="F62" i="44"/>
  <c r="C118" i="44"/>
  <c r="F109" i="44"/>
  <c r="F67" i="40"/>
  <c r="F67" i="34"/>
  <c r="F37" i="43"/>
  <c r="F39" i="43"/>
  <c r="F41" i="43"/>
  <c r="F43" i="43"/>
  <c r="F45" i="43"/>
  <c r="F47" i="43"/>
  <c r="F49" i="43"/>
  <c r="F51" i="43"/>
  <c r="F53" i="43"/>
  <c r="F55" i="43"/>
  <c r="F57" i="43"/>
  <c r="F59" i="43"/>
  <c r="F61" i="43"/>
  <c r="F63" i="43"/>
  <c r="D67" i="43"/>
  <c r="D69" i="43"/>
  <c r="F69" i="43" s="1"/>
  <c r="D71" i="43"/>
  <c r="F71" i="43" s="1"/>
  <c r="D73" i="43"/>
  <c r="F73" i="43" s="1"/>
  <c r="D75" i="43"/>
  <c r="F75" i="43" s="1"/>
  <c r="D77" i="43"/>
  <c r="F77" i="43" s="1"/>
  <c r="D79" i="43"/>
  <c r="F79" i="43" s="1"/>
  <c r="D81" i="43"/>
  <c r="F81" i="43" s="1"/>
  <c r="D83" i="43"/>
  <c r="F83" i="43" s="1"/>
  <c r="D85" i="43"/>
  <c r="F85" i="43" s="1"/>
  <c r="D87" i="43"/>
  <c r="F87" i="43" s="1"/>
  <c r="D89" i="43"/>
  <c r="F89" i="43" s="1"/>
  <c r="D91" i="43"/>
  <c r="F91" i="43" s="1"/>
  <c r="D93" i="43"/>
  <c r="F93" i="43" s="1"/>
  <c r="F36" i="42"/>
  <c r="F38" i="42"/>
  <c r="F40" i="42"/>
  <c r="F42" i="42"/>
  <c r="F44" i="42"/>
  <c r="F46" i="42"/>
  <c r="F48" i="42"/>
  <c r="F50" i="42"/>
  <c r="F52" i="42"/>
  <c r="F54" i="42"/>
  <c r="F56" i="42"/>
  <c r="F58" i="42"/>
  <c r="F60" i="42"/>
  <c r="F62" i="42"/>
  <c r="D64" i="42"/>
  <c r="D68" i="42"/>
  <c r="F68" i="42" s="1"/>
  <c r="D70" i="42"/>
  <c r="F70" i="42" s="1"/>
  <c r="D72" i="42"/>
  <c r="F72" i="42" s="1"/>
  <c r="D74" i="42"/>
  <c r="F74" i="42" s="1"/>
  <c r="D76" i="42"/>
  <c r="F76" i="42" s="1"/>
  <c r="D78" i="42"/>
  <c r="F78" i="42" s="1"/>
  <c r="D80" i="42"/>
  <c r="F80" i="42" s="1"/>
  <c r="D82" i="42"/>
  <c r="F82" i="42" s="1"/>
  <c r="D84" i="42"/>
  <c r="F84" i="42" s="1"/>
  <c r="D86" i="42"/>
  <c r="F86" i="42" s="1"/>
  <c r="D88" i="42"/>
  <c r="F88" i="42" s="1"/>
  <c r="D90" i="42"/>
  <c r="F90" i="42" s="1"/>
  <c r="D92" i="42"/>
  <c r="F92" i="42" s="1"/>
  <c r="D94" i="42"/>
  <c r="F94" i="42" s="1"/>
  <c r="F37" i="41"/>
  <c r="F39" i="41"/>
  <c r="F41" i="41"/>
  <c r="F43" i="41"/>
  <c r="F45" i="41"/>
  <c r="F47" i="41"/>
  <c r="F49" i="41"/>
  <c r="F51" i="41"/>
  <c r="F53" i="41"/>
  <c r="F55" i="41"/>
  <c r="F57" i="41"/>
  <c r="F59" i="41"/>
  <c r="F61" i="41"/>
  <c r="F63" i="41"/>
  <c r="D67" i="41"/>
  <c r="D69" i="41"/>
  <c r="F69" i="41" s="1"/>
  <c r="D71" i="41"/>
  <c r="F71" i="41" s="1"/>
  <c r="D73" i="41"/>
  <c r="F73" i="41" s="1"/>
  <c r="D75" i="41"/>
  <c r="F75" i="41" s="1"/>
  <c r="D77" i="41"/>
  <c r="F77" i="41" s="1"/>
  <c r="D79" i="41"/>
  <c r="F79" i="41" s="1"/>
  <c r="D81" i="41"/>
  <c r="F81" i="41" s="1"/>
  <c r="D83" i="41"/>
  <c r="F83" i="41" s="1"/>
  <c r="D85" i="41"/>
  <c r="F85" i="41" s="1"/>
  <c r="D87" i="41"/>
  <c r="F87" i="41" s="1"/>
  <c r="D89" i="41"/>
  <c r="F89" i="41" s="1"/>
  <c r="D91" i="41"/>
  <c r="F91" i="41" s="1"/>
  <c r="D93" i="41"/>
  <c r="F93" i="41" s="1"/>
  <c r="F36" i="40"/>
  <c r="F38" i="40"/>
  <c r="F40" i="40"/>
  <c r="F42" i="40"/>
  <c r="F44" i="40"/>
  <c r="F46" i="40"/>
  <c r="F48" i="40"/>
  <c r="F50" i="40"/>
  <c r="F52" i="40"/>
  <c r="F54" i="40"/>
  <c r="F56" i="40"/>
  <c r="F58" i="40"/>
  <c r="F60" i="40"/>
  <c r="F62" i="40"/>
  <c r="D64" i="40"/>
  <c r="D68" i="40"/>
  <c r="F68" i="40" s="1"/>
  <c r="D70" i="40"/>
  <c r="F70" i="40" s="1"/>
  <c r="D72" i="40"/>
  <c r="F72" i="40" s="1"/>
  <c r="D74" i="40"/>
  <c r="F74" i="40" s="1"/>
  <c r="D76" i="40"/>
  <c r="F76" i="40" s="1"/>
  <c r="D78" i="40"/>
  <c r="F78" i="40" s="1"/>
  <c r="D80" i="40"/>
  <c r="F80" i="40" s="1"/>
  <c r="D82" i="40"/>
  <c r="F82" i="40" s="1"/>
  <c r="D84" i="40"/>
  <c r="F84" i="40" s="1"/>
  <c r="D86" i="40"/>
  <c r="F86" i="40" s="1"/>
  <c r="D88" i="40"/>
  <c r="F88" i="40" s="1"/>
  <c r="D90" i="40"/>
  <c r="F90" i="40" s="1"/>
  <c r="D92" i="40"/>
  <c r="F92" i="40" s="1"/>
  <c r="D94" i="40"/>
  <c r="F94" i="40" s="1"/>
  <c r="F37" i="39"/>
  <c r="F39" i="39"/>
  <c r="F41" i="39"/>
  <c r="F43" i="39"/>
  <c r="F45" i="39"/>
  <c r="F47" i="39"/>
  <c r="F49" i="39"/>
  <c r="F51" i="39"/>
  <c r="F53" i="39"/>
  <c r="F55" i="39"/>
  <c r="F57" i="39"/>
  <c r="F59" i="39"/>
  <c r="F61" i="39"/>
  <c r="F63" i="39"/>
  <c r="D67" i="39"/>
  <c r="D69" i="39"/>
  <c r="F69" i="39" s="1"/>
  <c r="D71" i="39"/>
  <c r="F71" i="39" s="1"/>
  <c r="D73" i="39"/>
  <c r="F73" i="39" s="1"/>
  <c r="D75" i="39"/>
  <c r="F75" i="39" s="1"/>
  <c r="D77" i="39"/>
  <c r="F77" i="39" s="1"/>
  <c r="D79" i="39"/>
  <c r="F79" i="39" s="1"/>
  <c r="D81" i="39"/>
  <c r="F81" i="39" s="1"/>
  <c r="D83" i="39"/>
  <c r="F83" i="39" s="1"/>
  <c r="D85" i="39"/>
  <c r="F85" i="39" s="1"/>
  <c r="D87" i="39"/>
  <c r="F87" i="39" s="1"/>
  <c r="D89" i="39"/>
  <c r="F89" i="39" s="1"/>
  <c r="D91" i="39"/>
  <c r="F91" i="39" s="1"/>
  <c r="D93" i="39"/>
  <c r="F93" i="39" s="1"/>
  <c r="F36" i="38"/>
  <c r="F38" i="38"/>
  <c r="F40" i="38"/>
  <c r="F42" i="38"/>
  <c r="F44" i="38"/>
  <c r="F46" i="38"/>
  <c r="F48" i="38"/>
  <c r="F50" i="38"/>
  <c r="F52" i="38"/>
  <c r="F54" i="38"/>
  <c r="F56" i="38"/>
  <c r="F58" i="38"/>
  <c r="F60" i="38"/>
  <c r="F62" i="38"/>
  <c r="D64" i="38"/>
  <c r="D68" i="38"/>
  <c r="F68" i="38" s="1"/>
  <c r="D70" i="38"/>
  <c r="F70" i="38" s="1"/>
  <c r="D72" i="38"/>
  <c r="F72" i="38" s="1"/>
  <c r="D74" i="38"/>
  <c r="F74" i="38" s="1"/>
  <c r="D76" i="38"/>
  <c r="F76" i="38" s="1"/>
  <c r="D78" i="38"/>
  <c r="F78" i="38" s="1"/>
  <c r="D80" i="38"/>
  <c r="F80" i="38" s="1"/>
  <c r="D82" i="38"/>
  <c r="F82" i="38" s="1"/>
  <c r="D84" i="38"/>
  <c r="F84" i="38" s="1"/>
  <c r="D86" i="38"/>
  <c r="F86" i="38" s="1"/>
  <c r="D88" i="38"/>
  <c r="F88" i="38" s="1"/>
  <c r="D90" i="38"/>
  <c r="F90" i="38" s="1"/>
  <c r="D92" i="38"/>
  <c r="F92" i="38" s="1"/>
  <c r="D94" i="38"/>
  <c r="F94" i="38" s="1"/>
  <c r="F37" i="37"/>
  <c r="F39" i="37"/>
  <c r="F41" i="37"/>
  <c r="F43" i="37"/>
  <c r="F45" i="37"/>
  <c r="F47" i="37"/>
  <c r="F49" i="37"/>
  <c r="F51" i="37"/>
  <c r="F53" i="37"/>
  <c r="F55" i="37"/>
  <c r="F57" i="37"/>
  <c r="F59" i="37"/>
  <c r="F61" i="37"/>
  <c r="F63" i="37"/>
  <c r="D67" i="37"/>
  <c r="D69" i="37"/>
  <c r="F69" i="37" s="1"/>
  <c r="D71" i="37"/>
  <c r="F71" i="37" s="1"/>
  <c r="D73" i="37"/>
  <c r="F73" i="37" s="1"/>
  <c r="D75" i="37"/>
  <c r="F75" i="37" s="1"/>
  <c r="D77" i="37"/>
  <c r="F77" i="37" s="1"/>
  <c r="D79" i="37"/>
  <c r="F79" i="37" s="1"/>
  <c r="D81" i="37"/>
  <c r="F81" i="37" s="1"/>
  <c r="D83" i="37"/>
  <c r="F83" i="37" s="1"/>
  <c r="D85" i="37"/>
  <c r="F85" i="37" s="1"/>
  <c r="D87" i="37"/>
  <c r="F87" i="37" s="1"/>
  <c r="D89" i="37"/>
  <c r="F89" i="37" s="1"/>
  <c r="D91" i="37"/>
  <c r="F91" i="37" s="1"/>
  <c r="D93" i="37"/>
  <c r="F93" i="37" s="1"/>
  <c r="F36" i="36"/>
  <c r="F38" i="36"/>
  <c r="F40" i="36"/>
  <c r="F42" i="36"/>
  <c r="F44" i="36"/>
  <c r="F46" i="36"/>
  <c r="F48" i="36"/>
  <c r="F50" i="36"/>
  <c r="F52" i="36"/>
  <c r="F54" i="36"/>
  <c r="F56" i="36"/>
  <c r="F58" i="36"/>
  <c r="F60" i="36"/>
  <c r="F62" i="36"/>
  <c r="D64" i="36"/>
  <c r="F37" i="35"/>
  <c r="F39" i="35"/>
  <c r="F41" i="35"/>
  <c r="F43" i="35"/>
  <c r="F45" i="35"/>
  <c r="F47" i="35"/>
  <c r="F49" i="35"/>
  <c r="F51" i="35"/>
  <c r="F53" i="35"/>
  <c r="F55" i="35"/>
  <c r="F57" i="35"/>
  <c r="F59" i="35"/>
  <c r="F61" i="35"/>
  <c r="F63" i="35"/>
  <c r="D67" i="35"/>
  <c r="D69" i="35"/>
  <c r="F69" i="35" s="1"/>
  <c r="D71" i="35"/>
  <c r="F71" i="35" s="1"/>
  <c r="D73" i="35"/>
  <c r="F73" i="35" s="1"/>
  <c r="D75" i="35"/>
  <c r="F75" i="35" s="1"/>
  <c r="D77" i="35"/>
  <c r="F77" i="35" s="1"/>
  <c r="D79" i="35"/>
  <c r="F79" i="35" s="1"/>
  <c r="D81" i="35"/>
  <c r="F81" i="35" s="1"/>
  <c r="D83" i="35"/>
  <c r="F83" i="35" s="1"/>
  <c r="D85" i="35"/>
  <c r="F85" i="35" s="1"/>
  <c r="D87" i="35"/>
  <c r="F87" i="35" s="1"/>
  <c r="D89" i="35"/>
  <c r="F89" i="35" s="1"/>
  <c r="D91" i="35"/>
  <c r="F91" i="35" s="1"/>
  <c r="D93" i="35"/>
  <c r="F93" i="35" s="1"/>
  <c r="F36" i="34"/>
  <c r="F38" i="34"/>
  <c r="F40" i="34"/>
  <c r="F42" i="34"/>
  <c r="F44" i="34"/>
  <c r="F46" i="34"/>
  <c r="F48" i="34"/>
  <c r="F50" i="34"/>
  <c r="F52" i="34"/>
  <c r="F54" i="34"/>
  <c r="F56" i="34"/>
  <c r="F58" i="34"/>
  <c r="F60" i="34"/>
  <c r="F62" i="34"/>
  <c r="D64" i="34"/>
  <c r="D68" i="34"/>
  <c r="F68" i="34" s="1"/>
  <c r="D70" i="34"/>
  <c r="F70" i="34" s="1"/>
  <c r="D72" i="34"/>
  <c r="F72" i="34" s="1"/>
  <c r="D74" i="34"/>
  <c r="F74" i="34" s="1"/>
  <c r="D76" i="34"/>
  <c r="F76" i="34" s="1"/>
  <c r="D78" i="34"/>
  <c r="F78" i="34" s="1"/>
  <c r="D80" i="34"/>
  <c r="F80" i="34" s="1"/>
  <c r="D82" i="34"/>
  <c r="F82" i="34" s="1"/>
  <c r="D84" i="34"/>
  <c r="F84" i="34" s="1"/>
  <c r="D86" i="34"/>
  <c r="F86" i="34" s="1"/>
  <c r="D88" i="34"/>
  <c r="F88" i="34" s="1"/>
  <c r="D90" i="34"/>
  <c r="F90" i="34" s="1"/>
  <c r="D92" i="34"/>
  <c r="F92" i="34" s="1"/>
  <c r="D94" i="34"/>
  <c r="F94" i="34" s="1"/>
  <c r="F37" i="33"/>
  <c r="F39" i="33"/>
  <c r="F41" i="33"/>
  <c r="F43" i="33"/>
  <c r="F45" i="33"/>
  <c r="F47" i="33"/>
  <c r="F49" i="33"/>
  <c r="F51" i="33"/>
  <c r="F53" i="33"/>
  <c r="F55" i="33"/>
  <c r="F57" i="33"/>
  <c r="F59" i="33"/>
  <c r="F61" i="33"/>
  <c r="F63" i="33"/>
  <c r="D67" i="33"/>
  <c r="D69" i="33"/>
  <c r="F69" i="33" s="1"/>
  <c r="D71" i="33"/>
  <c r="F71" i="33" s="1"/>
  <c r="D73" i="33"/>
  <c r="F73" i="33" s="1"/>
  <c r="D75" i="33"/>
  <c r="F75" i="33" s="1"/>
  <c r="D77" i="33"/>
  <c r="F77" i="33" s="1"/>
  <c r="D79" i="33"/>
  <c r="F79" i="33" s="1"/>
  <c r="D81" i="33"/>
  <c r="F81" i="33" s="1"/>
  <c r="D83" i="33"/>
  <c r="F83" i="33" s="1"/>
  <c r="D85" i="33"/>
  <c r="F85" i="33" s="1"/>
  <c r="D87" i="33"/>
  <c r="F87" i="33" s="1"/>
  <c r="D89" i="33"/>
  <c r="F89" i="33" s="1"/>
  <c r="D91" i="33"/>
  <c r="F91" i="33" s="1"/>
  <c r="D93" i="33"/>
  <c r="F93" i="33" s="1"/>
  <c r="F36" i="32"/>
  <c r="F38" i="32"/>
  <c r="F40" i="32"/>
  <c r="F42" i="32"/>
  <c r="F44" i="32"/>
  <c r="F46" i="32"/>
  <c r="F48" i="32"/>
  <c r="F50" i="32"/>
  <c r="F52" i="32"/>
  <c r="F54" i="32"/>
  <c r="F56" i="32"/>
  <c r="F58" i="32"/>
  <c r="F60" i="32"/>
  <c r="F62" i="32"/>
  <c r="D64" i="32"/>
  <c r="F37" i="31"/>
  <c r="F39" i="31"/>
  <c r="F41" i="31"/>
  <c r="F43" i="31"/>
  <c r="F45" i="31"/>
  <c r="F47" i="31"/>
  <c r="F49" i="31"/>
  <c r="F51" i="31"/>
  <c r="F53" i="31"/>
  <c r="F55" i="31"/>
  <c r="F57" i="31"/>
  <c r="F59" i="31"/>
  <c r="F61" i="31"/>
  <c r="F63" i="31"/>
  <c r="F36" i="30"/>
  <c r="F38" i="30"/>
  <c r="F41" i="30"/>
  <c r="F45" i="30"/>
  <c r="F49" i="30"/>
  <c r="F53" i="30"/>
  <c r="F57" i="30"/>
  <c r="F61" i="30"/>
  <c r="D6" i="43"/>
  <c r="D8" i="43"/>
  <c r="D10" i="43"/>
  <c r="D12" i="43"/>
  <c r="D14" i="43"/>
  <c r="F36" i="43"/>
  <c r="D5" i="42"/>
  <c r="D7" i="42"/>
  <c r="D9" i="42"/>
  <c r="D11" i="42"/>
  <c r="D13" i="42"/>
  <c r="D15" i="42"/>
  <c r="D6" i="41"/>
  <c r="D8" i="41"/>
  <c r="D10" i="41"/>
  <c r="D12" i="41"/>
  <c r="D14" i="41"/>
  <c r="D16" i="41"/>
  <c r="F36" i="41"/>
  <c r="D5" i="40"/>
  <c r="D7" i="40"/>
  <c r="D9" i="40"/>
  <c r="D11" i="40"/>
  <c r="D13" i="40"/>
  <c r="D15" i="40"/>
  <c r="D17" i="40"/>
  <c r="D6" i="39"/>
  <c r="D8" i="39"/>
  <c r="D10" i="39"/>
  <c r="D12" i="39"/>
  <c r="D14" i="39"/>
  <c r="D16" i="39"/>
  <c r="D18" i="39"/>
  <c r="D20" i="39"/>
  <c r="F36" i="39"/>
  <c r="D5" i="38"/>
  <c r="D7" i="38"/>
  <c r="D9" i="38"/>
  <c r="D11" i="38"/>
  <c r="D13" i="38"/>
  <c r="D15" i="38"/>
  <c r="D17" i="38"/>
  <c r="D19" i="38"/>
  <c r="D6" i="37"/>
  <c r="D8" i="37"/>
  <c r="D10" i="37"/>
  <c r="D12" i="37"/>
  <c r="D14" i="37"/>
  <c r="D16" i="37"/>
  <c r="D18" i="37"/>
  <c r="D20" i="37"/>
  <c r="D22" i="37"/>
  <c r="D24" i="37"/>
  <c r="F36" i="37"/>
  <c r="D5" i="36"/>
  <c r="D7" i="36"/>
  <c r="D9" i="36"/>
  <c r="D11" i="36"/>
  <c r="D13" i="36"/>
  <c r="D15" i="36"/>
  <c r="D17" i="36"/>
  <c r="D19" i="36"/>
  <c r="D21" i="36"/>
  <c r="D23" i="36"/>
  <c r="D25" i="36"/>
  <c r="D27" i="36"/>
  <c r="D29" i="36"/>
  <c r="D31" i="36"/>
  <c r="D6" i="35"/>
  <c r="D8" i="35"/>
  <c r="D10" i="35"/>
  <c r="D12" i="35"/>
  <c r="D14" i="35"/>
  <c r="D16" i="35"/>
  <c r="D18" i="35"/>
  <c r="D20" i="35"/>
  <c r="D22" i="35"/>
  <c r="D24" i="35"/>
  <c r="F36" i="35"/>
  <c r="D5" i="34"/>
  <c r="D7" i="34"/>
  <c r="D9" i="34"/>
  <c r="D11" i="34"/>
  <c r="D13" i="34"/>
  <c r="D15" i="34"/>
  <c r="D17" i="34"/>
  <c r="D19" i="34"/>
  <c r="D21" i="34"/>
  <c r="D23" i="34"/>
  <c r="D25" i="34"/>
  <c r="D27" i="34"/>
  <c r="D6" i="33"/>
  <c r="D8" i="33"/>
  <c r="D10" i="33"/>
  <c r="D12" i="33"/>
  <c r="D14" i="33"/>
  <c r="D16" i="33"/>
  <c r="D18" i="33"/>
  <c r="D20" i="33"/>
  <c r="D22" i="33"/>
  <c r="D24" i="33"/>
  <c r="D26" i="33"/>
  <c r="D28" i="33"/>
  <c r="D30" i="33"/>
  <c r="D32" i="33"/>
  <c r="F36" i="33"/>
  <c r="D5" i="32"/>
  <c r="D7" i="32"/>
  <c r="D9" i="32"/>
  <c r="D11" i="32"/>
  <c r="D13" i="32"/>
  <c r="D15" i="32"/>
  <c r="D17" i="32"/>
  <c r="D19" i="32"/>
  <c r="D21" i="32"/>
  <c r="D23" i="32"/>
  <c r="D25" i="32"/>
  <c r="D27" i="32"/>
  <c r="D29" i="32"/>
  <c r="D31" i="32"/>
  <c r="D6" i="31"/>
  <c r="D8" i="31"/>
  <c r="D10" i="31"/>
  <c r="D12" i="31"/>
  <c r="D14" i="31"/>
  <c r="D16" i="31"/>
  <c r="D18" i="31"/>
  <c r="D20" i="31"/>
  <c r="D22" i="31"/>
  <c r="D24" i="31"/>
  <c r="D26" i="31"/>
  <c r="D28" i="31"/>
  <c r="D30" i="31"/>
  <c r="D32" i="31"/>
  <c r="F36" i="31"/>
  <c r="D5" i="30"/>
  <c r="D7" i="30"/>
  <c r="F37" i="30"/>
  <c r="F39" i="30"/>
  <c r="F43" i="30"/>
  <c r="F47" i="30"/>
  <c r="F51" i="30"/>
  <c r="F55" i="30"/>
  <c r="F59" i="30"/>
  <c r="F63" i="30"/>
  <c r="D67" i="30"/>
  <c r="D5" i="29"/>
  <c r="D7" i="29"/>
  <c r="D9" i="29"/>
  <c r="D11" i="29"/>
  <c r="D13" i="29"/>
  <c r="D15" i="29"/>
  <c r="D17" i="29"/>
  <c r="D19" i="29"/>
  <c r="D21" i="29"/>
  <c r="D23" i="29"/>
  <c r="D25" i="29"/>
  <c r="D27" i="29"/>
  <c r="D29" i="29"/>
  <c r="D31" i="29"/>
  <c r="D67" i="29"/>
  <c r="D69" i="29"/>
  <c r="F69" i="29" s="1"/>
  <c r="D71" i="29"/>
  <c r="F71" i="29" s="1"/>
  <c r="D73" i="29"/>
  <c r="F73" i="29" s="1"/>
  <c r="D75" i="29"/>
  <c r="F75" i="29" s="1"/>
  <c r="D77" i="29"/>
  <c r="F77" i="29" s="1"/>
  <c r="D79" i="29"/>
  <c r="F79" i="29" s="1"/>
  <c r="D81" i="29"/>
  <c r="F81" i="29" s="1"/>
  <c r="D83" i="29"/>
  <c r="F83" i="29" s="1"/>
  <c r="D85" i="29"/>
  <c r="F85" i="29" s="1"/>
  <c r="D87" i="29"/>
  <c r="F87" i="29" s="1"/>
  <c r="D89" i="29"/>
  <c r="F89" i="29" s="1"/>
  <c r="D91" i="29"/>
  <c r="F91" i="29" s="1"/>
  <c r="D93" i="29"/>
  <c r="F93" i="29" s="1"/>
  <c r="D6" i="28"/>
  <c r="D8" i="28"/>
  <c r="D10" i="28"/>
  <c r="D12" i="28"/>
  <c r="D14" i="28"/>
  <c r="D16" i="28"/>
  <c r="D18" i="28"/>
  <c r="D20" i="28"/>
  <c r="D22" i="28"/>
  <c r="D24" i="28"/>
  <c r="D26" i="28"/>
  <c r="D28" i="28"/>
  <c r="D30" i="28"/>
  <c r="D32" i="28"/>
  <c r="F36" i="28"/>
  <c r="D68" i="28"/>
  <c r="F68" i="28" s="1"/>
  <c r="D70" i="28"/>
  <c r="F70" i="28" s="1"/>
  <c r="D72" i="28"/>
  <c r="F72" i="28" s="1"/>
  <c r="D74" i="28"/>
  <c r="F74" i="28" s="1"/>
  <c r="D76" i="28"/>
  <c r="F76" i="28" s="1"/>
  <c r="D78" i="28"/>
  <c r="F78" i="28" s="1"/>
  <c r="D80" i="28"/>
  <c r="F80" i="28" s="1"/>
  <c r="D82" i="28"/>
  <c r="F82" i="28" s="1"/>
  <c r="D84" i="28"/>
  <c r="F84" i="28" s="1"/>
  <c r="D86" i="28"/>
  <c r="F86" i="28" s="1"/>
  <c r="D88" i="28"/>
  <c r="F88" i="28" s="1"/>
  <c r="D90" i="28"/>
  <c r="F90" i="28" s="1"/>
  <c r="D92" i="28"/>
  <c r="F92" i="28" s="1"/>
  <c r="D94" i="28"/>
  <c r="F94" i="28" s="1"/>
  <c r="D5" i="27"/>
  <c r="D7" i="27"/>
  <c r="D9" i="27"/>
  <c r="D11" i="27"/>
  <c r="D13" i="27"/>
  <c r="D15" i="27"/>
  <c r="D17" i="27"/>
  <c r="D19" i="27"/>
  <c r="F37" i="27"/>
  <c r="F39" i="27"/>
  <c r="F41" i="27"/>
  <c r="F43" i="27"/>
  <c r="F45" i="27"/>
  <c r="F47" i="27"/>
  <c r="F49" i="27"/>
  <c r="F51" i="27"/>
  <c r="F53" i="27"/>
  <c r="F55" i="27"/>
  <c r="F57" i="27"/>
  <c r="F59" i="27"/>
  <c r="F61" i="27"/>
  <c r="F63" i="27"/>
  <c r="D67" i="27"/>
  <c r="D69" i="27"/>
  <c r="F69" i="27" s="1"/>
  <c r="D71" i="27"/>
  <c r="F71" i="27" s="1"/>
  <c r="D73" i="27"/>
  <c r="F73" i="27" s="1"/>
  <c r="D75" i="27"/>
  <c r="F75" i="27" s="1"/>
  <c r="D77" i="27"/>
  <c r="F77" i="27" s="1"/>
  <c r="D79" i="27"/>
  <c r="F79" i="27" s="1"/>
  <c r="D81" i="27"/>
  <c r="F81" i="27" s="1"/>
  <c r="D83" i="27"/>
  <c r="F83" i="27" s="1"/>
  <c r="D85" i="27"/>
  <c r="F85" i="27" s="1"/>
  <c r="D87" i="27"/>
  <c r="F87" i="27" s="1"/>
  <c r="D89" i="27"/>
  <c r="F89" i="27" s="1"/>
  <c r="D91" i="27"/>
  <c r="F91" i="27" s="1"/>
  <c r="D93" i="27"/>
  <c r="F93" i="27" s="1"/>
  <c r="F36" i="26"/>
  <c r="F38" i="26"/>
  <c r="F40" i="26"/>
  <c r="F42" i="26"/>
  <c r="F44" i="26"/>
  <c r="F46" i="26"/>
  <c r="F48" i="26"/>
  <c r="F50" i="26"/>
  <c r="F52" i="26"/>
  <c r="F54" i="26"/>
  <c r="F56" i="26"/>
  <c r="F58" i="26"/>
  <c r="F60" i="26"/>
  <c r="F62" i="26"/>
  <c r="D64" i="26"/>
  <c r="D68" i="26"/>
  <c r="F68" i="26" s="1"/>
  <c r="D70" i="26"/>
  <c r="F70" i="26" s="1"/>
  <c r="D72" i="26"/>
  <c r="F72" i="26" s="1"/>
  <c r="D74" i="26"/>
  <c r="F74" i="26" s="1"/>
  <c r="D76" i="26"/>
  <c r="F76" i="26" s="1"/>
  <c r="D78" i="26"/>
  <c r="F78" i="26" s="1"/>
  <c r="D80" i="26"/>
  <c r="F80" i="26" s="1"/>
  <c r="D82" i="26"/>
  <c r="F82" i="26" s="1"/>
  <c r="D84" i="26"/>
  <c r="F84" i="26" s="1"/>
  <c r="D86" i="26"/>
  <c r="F86" i="26" s="1"/>
  <c r="D88" i="26"/>
  <c r="F88" i="26" s="1"/>
  <c r="D90" i="26"/>
  <c r="F90" i="26" s="1"/>
  <c r="D92" i="26"/>
  <c r="F92" i="26" s="1"/>
  <c r="D94" i="26"/>
  <c r="F94" i="26" s="1"/>
  <c r="D5" i="25"/>
  <c r="D7" i="25"/>
  <c r="D9" i="25"/>
  <c r="D11" i="25"/>
  <c r="D13" i="25"/>
  <c r="D15" i="25"/>
  <c r="D17" i="25"/>
  <c r="D19" i="25"/>
  <c r="D21" i="25"/>
  <c r="D23" i="25"/>
  <c r="D25" i="25"/>
  <c r="D27" i="25"/>
  <c r="D29" i="25"/>
  <c r="D31" i="25"/>
  <c r="D67" i="25"/>
  <c r="D69" i="25"/>
  <c r="F69" i="25" s="1"/>
  <c r="D71" i="25"/>
  <c r="F71" i="25" s="1"/>
  <c r="D73" i="25"/>
  <c r="F73" i="25" s="1"/>
  <c r="D75" i="25"/>
  <c r="F75" i="25" s="1"/>
  <c r="D77" i="25"/>
  <c r="F77" i="25" s="1"/>
  <c r="D79" i="25"/>
  <c r="F79" i="25" s="1"/>
  <c r="D81" i="25"/>
  <c r="F81" i="25" s="1"/>
  <c r="D83" i="25"/>
  <c r="F83" i="25" s="1"/>
  <c r="D85" i="25"/>
  <c r="F85" i="25" s="1"/>
  <c r="D87" i="25"/>
  <c r="F87" i="25" s="1"/>
  <c r="D89" i="25"/>
  <c r="F89" i="25" s="1"/>
  <c r="D91" i="25"/>
  <c r="F91" i="25" s="1"/>
  <c r="D93" i="25"/>
  <c r="F93" i="25" s="1"/>
  <c r="D6" i="24"/>
  <c r="F36" i="24"/>
  <c r="F38" i="24"/>
  <c r="F40" i="24"/>
  <c r="F42" i="24"/>
  <c r="F44" i="24"/>
  <c r="F46" i="24"/>
  <c r="F48" i="24"/>
  <c r="F50" i="24"/>
  <c r="F52" i="24"/>
  <c r="F54" i="24"/>
  <c r="F56" i="24"/>
  <c r="F58" i="24"/>
  <c r="F60" i="24"/>
  <c r="F62" i="24"/>
  <c r="D64" i="24"/>
  <c r="D68" i="24"/>
  <c r="F68" i="24" s="1"/>
  <c r="D70" i="24"/>
  <c r="F70" i="24" s="1"/>
  <c r="D72" i="24"/>
  <c r="F72" i="24" s="1"/>
  <c r="D74" i="24"/>
  <c r="F74" i="24" s="1"/>
  <c r="D76" i="24"/>
  <c r="F76" i="24" s="1"/>
  <c r="D78" i="24"/>
  <c r="F78" i="24" s="1"/>
  <c r="D80" i="24"/>
  <c r="F80" i="24" s="1"/>
  <c r="D82" i="24"/>
  <c r="F82" i="24" s="1"/>
  <c r="D84" i="24"/>
  <c r="F84" i="24" s="1"/>
  <c r="D86" i="24"/>
  <c r="F86" i="24" s="1"/>
  <c r="D88" i="24"/>
  <c r="F88" i="24" s="1"/>
  <c r="D90" i="24"/>
  <c r="F90" i="24" s="1"/>
  <c r="D92" i="24"/>
  <c r="F92" i="24" s="1"/>
  <c r="D94" i="24"/>
  <c r="F94" i="24" s="1"/>
  <c r="D5" i="23"/>
  <c r="F37" i="23"/>
  <c r="F39" i="23"/>
  <c r="F41" i="23"/>
  <c r="F43" i="23"/>
  <c r="F45" i="23"/>
  <c r="F47" i="23"/>
  <c r="F49" i="23"/>
  <c r="F51" i="23"/>
  <c r="F53" i="23"/>
  <c r="F55" i="23"/>
  <c r="F57" i="23"/>
  <c r="F59" i="23"/>
  <c r="F61" i="23"/>
  <c r="F63" i="23"/>
  <c r="D67" i="23"/>
  <c r="D69" i="23"/>
  <c r="F69" i="23" s="1"/>
  <c r="D71" i="23"/>
  <c r="F71" i="23" s="1"/>
  <c r="D73" i="23"/>
  <c r="F73" i="23" s="1"/>
  <c r="D75" i="23"/>
  <c r="F75" i="23" s="1"/>
  <c r="D77" i="23"/>
  <c r="F77" i="23" s="1"/>
  <c r="D79" i="23"/>
  <c r="F79" i="23" s="1"/>
  <c r="D81" i="23"/>
  <c r="F81" i="23" s="1"/>
  <c r="D83" i="23"/>
  <c r="F83" i="23" s="1"/>
  <c r="D85" i="23"/>
  <c r="F85" i="23" s="1"/>
  <c r="D87" i="23"/>
  <c r="F87" i="23" s="1"/>
  <c r="D89" i="23"/>
  <c r="F89" i="23" s="1"/>
  <c r="D91" i="23"/>
  <c r="F91" i="23" s="1"/>
  <c r="D93" i="23"/>
  <c r="F93" i="23" s="1"/>
  <c r="D6" i="22"/>
  <c r="F36" i="22"/>
  <c r="F38" i="22"/>
  <c r="F40" i="22"/>
  <c r="F42" i="22"/>
  <c r="F44" i="22"/>
  <c r="F46" i="22"/>
  <c r="F48" i="22"/>
  <c r="F50" i="22"/>
  <c r="F52" i="22"/>
  <c r="F54" i="22"/>
  <c r="F56" i="22"/>
  <c r="F58" i="22"/>
  <c r="F60" i="22"/>
  <c r="F62" i="22"/>
  <c r="D64" i="22"/>
  <c r="D68" i="22"/>
  <c r="F68" i="22" s="1"/>
  <c r="D70" i="22"/>
  <c r="F70" i="22" s="1"/>
  <c r="D72" i="22"/>
  <c r="F72" i="22" s="1"/>
  <c r="D74" i="22"/>
  <c r="F74" i="22" s="1"/>
  <c r="D76" i="22"/>
  <c r="F76" i="22" s="1"/>
  <c r="D78" i="22"/>
  <c r="F78" i="22" s="1"/>
  <c r="D80" i="22"/>
  <c r="F80" i="22" s="1"/>
  <c r="D82" i="22"/>
  <c r="F82" i="22" s="1"/>
  <c r="D84" i="22"/>
  <c r="F84" i="22" s="1"/>
  <c r="D86" i="22"/>
  <c r="F86" i="22" s="1"/>
  <c r="D88" i="22"/>
  <c r="F88" i="22" s="1"/>
  <c r="D90" i="22"/>
  <c r="F90" i="22" s="1"/>
  <c r="D92" i="22"/>
  <c r="F92" i="22" s="1"/>
  <c r="D94" i="22"/>
  <c r="F94" i="22" s="1"/>
  <c r="F36" i="29"/>
  <c r="F36" i="27"/>
  <c r="F36" i="25"/>
  <c r="F36" i="23"/>
  <c r="F36" i="21"/>
  <c r="F38" i="21"/>
  <c r="F40" i="21"/>
  <c r="F42" i="21"/>
  <c r="F44" i="21"/>
  <c r="F46" i="21"/>
  <c r="F48" i="21"/>
  <c r="F50" i="21"/>
  <c r="F52" i="21"/>
  <c r="F54" i="21"/>
  <c r="F56" i="21"/>
  <c r="F58" i="21"/>
  <c r="F60" i="21"/>
  <c r="F62" i="21"/>
  <c r="D64" i="21"/>
  <c r="D68" i="21"/>
  <c r="F68" i="21" s="1"/>
  <c r="D70" i="21"/>
  <c r="F70" i="21" s="1"/>
  <c r="D72" i="21"/>
  <c r="F72" i="21" s="1"/>
  <c r="D74" i="21"/>
  <c r="F74" i="21" s="1"/>
  <c r="D76" i="21"/>
  <c r="F76" i="21" s="1"/>
  <c r="D78" i="21"/>
  <c r="F78" i="21" s="1"/>
  <c r="D80" i="21"/>
  <c r="F80" i="21" s="1"/>
  <c r="D82" i="21"/>
  <c r="F82" i="21" s="1"/>
  <c r="D84" i="21"/>
  <c r="F84" i="21" s="1"/>
  <c r="D86" i="21"/>
  <c r="F86" i="21" s="1"/>
  <c r="D88" i="21"/>
  <c r="F88" i="21" s="1"/>
  <c r="D90" i="21"/>
  <c r="F90" i="21" s="1"/>
  <c r="D92" i="21"/>
  <c r="F92" i="21" s="1"/>
  <c r="D94" i="21"/>
  <c r="F94" i="21" s="1"/>
  <c r="D5" i="20"/>
  <c r="D13" i="20"/>
  <c r="D21" i="20"/>
  <c r="D29" i="20"/>
  <c r="D71" i="20"/>
  <c r="F71" i="20" s="1"/>
  <c r="D79" i="20"/>
  <c r="F79" i="20" s="1"/>
  <c r="D87" i="20"/>
  <c r="F87" i="20" s="1"/>
  <c r="D6" i="19"/>
  <c r="D8" i="19"/>
  <c r="F36" i="19"/>
  <c r="F38" i="19"/>
  <c r="F40" i="19"/>
  <c r="F42" i="19"/>
  <c r="F44" i="19"/>
  <c r="F46" i="19"/>
  <c r="F48" i="19"/>
  <c r="F50" i="19"/>
  <c r="F52" i="19"/>
  <c r="F54" i="19"/>
  <c r="F56" i="19"/>
  <c r="F58" i="19"/>
  <c r="F60" i="19"/>
  <c r="F62" i="19"/>
  <c r="D64" i="19"/>
  <c r="D68" i="19"/>
  <c r="F68" i="19" s="1"/>
  <c r="D70" i="19"/>
  <c r="F70" i="19" s="1"/>
  <c r="D72" i="19"/>
  <c r="F72" i="19" s="1"/>
  <c r="D74" i="19"/>
  <c r="F74" i="19" s="1"/>
  <c r="D76" i="19"/>
  <c r="F76" i="19" s="1"/>
  <c r="D78" i="19"/>
  <c r="F78" i="19" s="1"/>
  <c r="D80" i="19"/>
  <c r="F80" i="19" s="1"/>
  <c r="D82" i="19"/>
  <c r="F82" i="19" s="1"/>
  <c r="D84" i="19"/>
  <c r="F84" i="19" s="1"/>
  <c r="D86" i="19"/>
  <c r="F86" i="19" s="1"/>
  <c r="D88" i="19"/>
  <c r="F88" i="19" s="1"/>
  <c r="D90" i="19"/>
  <c r="F90" i="19" s="1"/>
  <c r="D92" i="19"/>
  <c r="F92" i="19" s="1"/>
  <c r="D94" i="19"/>
  <c r="F94" i="19" s="1"/>
  <c r="D5" i="18"/>
  <c r="D7" i="18"/>
  <c r="D9" i="18"/>
  <c r="D11" i="18"/>
  <c r="D13" i="18"/>
  <c r="D15" i="18"/>
  <c r="D17" i="18"/>
  <c r="D19" i="18"/>
  <c r="D21" i="18"/>
  <c r="D23" i="18"/>
  <c r="D25" i="18"/>
  <c r="D27" i="18"/>
  <c r="D29" i="18"/>
  <c r="D31" i="18"/>
  <c r="D67" i="18"/>
  <c r="D69" i="18"/>
  <c r="F69" i="18" s="1"/>
  <c r="D71" i="18"/>
  <c r="F71" i="18" s="1"/>
  <c r="D73" i="18"/>
  <c r="F73" i="18" s="1"/>
  <c r="D75" i="18"/>
  <c r="F75" i="18" s="1"/>
  <c r="D77" i="18"/>
  <c r="F77" i="18" s="1"/>
  <c r="D79" i="18"/>
  <c r="F79" i="18" s="1"/>
  <c r="D81" i="18"/>
  <c r="F81" i="18" s="1"/>
  <c r="D83" i="18"/>
  <c r="F83" i="18" s="1"/>
  <c r="D85" i="18"/>
  <c r="F85" i="18" s="1"/>
  <c r="D87" i="18"/>
  <c r="F87" i="18" s="1"/>
  <c r="D89" i="18"/>
  <c r="F89" i="18" s="1"/>
  <c r="D91" i="18"/>
  <c r="F91" i="18" s="1"/>
  <c r="D93" i="18"/>
  <c r="F93" i="18" s="1"/>
  <c r="D6" i="17"/>
  <c r="D8" i="17"/>
  <c r="F36" i="17"/>
  <c r="F38" i="17"/>
  <c r="F40" i="17"/>
  <c r="F42" i="17"/>
  <c r="F44" i="17"/>
  <c r="F46" i="17"/>
  <c r="F48" i="17"/>
  <c r="F50" i="17"/>
  <c r="F52" i="17"/>
  <c r="F54" i="17"/>
  <c r="F56" i="17"/>
  <c r="F58" i="17"/>
  <c r="F60" i="17"/>
  <c r="F62" i="17"/>
  <c r="D64" i="17"/>
  <c r="D68" i="17"/>
  <c r="F68" i="17" s="1"/>
  <c r="D70" i="17"/>
  <c r="F70" i="17" s="1"/>
  <c r="D72" i="17"/>
  <c r="F72" i="17" s="1"/>
  <c r="D74" i="17"/>
  <c r="F74" i="17" s="1"/>
  <c r="D76" i="17"/>
  <c r="F76" i="17" s="1"/>
  <c r="D78" i="17"/>
  <c r="F78" i="17" s="1"/>
  <c r="D80" i="17"/>
  <c r="F80" i="17" s="1"/>
  <c r="D82" i="17"/>
  <c r="F82" i="17" s="1"/>
  <c r="D84" i="17"/>
  <c r="F84" i="17" s="1"/>
  <c r="D86" i="17"/>
  <c r="F86" i="17" s="1"/>
  <c r="D88" i="17"/>
  <c r="F88" i="17" s="1"/>
  <c r="D90" i="17"/>
  <c r="F90" i="17" s="1"/>
  <c r="D92" i="17"/>
  <c r="F92" i="17" s="1"/>
  <c r="D94" i="17"/>
  <c r="F94" i="17" s="1"/>
  <c r="D5" i="16"/>
  <c r="D7" i="16"/>
  <c r="D9" i="16"/>
  <c r="D11" i="16"/>
  <c r="D13" i="16"/>
  <c r="D15" i="16"/>
  <c r="D17" i="16"/>
  <c r="D19" i="16"/>
  <c r="D21" i="16"/>
  <c r="D23" i="16"/>
  <c r="D25" i="16"/>
  <c r="D27" i="16"/>
  <c r="D29" i="16"/>
  <c r="D31" i="16"/>
  <c r="D67" i="16"/>
  <c r="D69" i="16"/>
  <c r="F69" i="16" s="1"/>
  <c r="D71" i="16"/>
  <c r="F71" i="16" s="1"/>
  <c r="D73" i="16"/>
  <c r="F73" i="16" s="1"/>
  <c r="D75" i="16"/>
  <c r="F75" i="16" s="1"/>
  <c r="D77" i="16"/>
  <c r="F77" i="16" s="1"/>
  <c r="D79" i="16"/>
  <c r="F79" i="16" s="1"/>
  <c r="D81" i="16"/>
  <c r="F81" i="16" s="1"/>
  <c r="D83" i="16"/>
  <c r="F83" i="16" s="1"/>
  <c r="D85" i="16"/>
  <c r="F85" i="16" s="1"/>
  <c r="D87" i="16"/>
  <c r="F87" i="16" s="1"/>
  <c r="D89" i="16"/>
  <c r="F89" i="16" s="1"/>
  <c r="D91" i="16"/>
  <c r="F91" i="16" s="1"/>
  <c r="D93" i="16"/>
  <c r="F93" i="16" s="1"/>
  <c r="D6" i="15"/>
  <c r="D8" i="15"/>
  <c r="F36" i="15"/>
  <c r="F38" i="15"/>
  <c r="F40" i="15"/>
  <c r="F42" i="15"/>
  <c r="F44" i="15"/>
  <c r="F46" i="15"/>
  <c r="F48" i="15"/>
  <c r="F50" i="15"/>
  <c r="F52" i="15"/>
  <c r="F54" i="15"/>
  <c r="F56" i="15"/>
  <c r="F58" i="15"/>
  <c r="F60" i="15"/>
  <c r="F62" i="15"/>
  <c r="D64" i="15"/>
  <c r="D68" i="15"/>
  <c r="F68" i="15" s="1"/>
  <c r="D70" i="15"/>
  <c r="F70" i="15" s="1"/>
  <c r="D72" i="15"/>
  <c r="F72" i="15" s="1"/>
  <c r="D74" i="15"/>
  <c r="F74" i="15" s="1"/>
  <c r="D76" i="15"/>
  <c r="F76" i="15" s="1"/>
  <c r="D78" i="15"/>
  <c r="F78" i="15" s="1"/>
  <c r="D80" i="15"/>
  <c r="F80" i="15" s="1"/>
  <c r="D82" i="15"/>
  <c r="F82" i="15" s="1"/>
  <c r="D84" i="15"/>
  <c r="F84" i="15" s="1"/>
  <c r="D86" i="15"/>
  <c r="F86" i="15" s="1"/>
  <c r="D88" i="15"/>
  <c r="F88" i="15" s="1"/>
  <c r="D90" i="15"/>
  <c r="F90" i="15" s="1"/>
  <c r="D92" i="15"/>
  <c r="F92" i="15" s="1"/>
  <c r="D94" i="15"/>
  <c r="F94" i="15" s="1"/>
  <c r="D5" i="14"/>
  <c r="F37" i="14"/>
  <c r="F39" i="14"/>
  <c r="F41" i="14"/>
  <c r="F43" i="14"/>
  <c r="F45" i="14"/>
  <c r="F47" i="14"/>
  <c r="F49" i="14"/>
  <c r="F51" i="14"/>
  <c r="F53" i="14"/>
  <c r="F55" i="14"/>
  <c r="F57" i="14"/>
  <c r="F59" i="14"/>
  <c r="F61" i="14"/>
  <c r="F36" i="18"/>
  <c r="F36" i="16"/>
  <c r="F36" i="14"/>
  <c r="F38" i="14"/>
  <c r="F40" i="14"/>
  <c r="F42" i="14"/>
  <c r="F44" i="14"/>
  <c r="F46" i="14"/>
  <c r="F48" i="14"/>
  <c r="F50" i="14"/>
  <c r="F52" i="14"/>
  <c r="F54" i="14"/>
  <c r="F56" i="14"/>
  <c r="F58" i="14"/>
  <c r="F60" i="14"/>
  <c r="D93" i="14"/>
  <c r="F93" i="14" s="1"/>
  <c r="F62" i="14"/>
  <c r="F63" i="14"/>
  <c r="D67" i="14"/>
  <c r="F37" i="13"/>
  <c r="F39" i="13"/>
  <c r="F41" i="13"/>
  <c r="F43" i="13"/>
  <c r="F45" i="13"/>
  <c r="F47" i="13"/>
  <c r="F49" i="13"/>
  <c r="F51" i="13"/>
  <c r="F53" i="13"/>
  <c r="F55" i="13"/>
  <c r="F57" i="13"/>
  <c r="F59" i="13"/>
  <c r="F61" i="13"/>
  <c r="F63" i="13"/>
  <c r="D67" i="13"/>
  <c r="D69" i="13"/>
  <c r="F69" i="13" s="1"/>
  <c r="D71" i="13"/>
  <c r="F71" i="13" s="1"/>
  <c r="D73" i="13"/>
  <c r="F73" i="13" s="1"/>
  <c r="D75" i="13"/>
  <c r="F75" i="13" s="1"/>
  <c r="D77" i="13"/>
  <c r="F77" i="13" s="1"/>
  <c r="D79" i="13"/>
  <c r="F79" i="13" s="1"/>
  <c r="D81" i="13"/>
  <c r="F81" i="13" s="1"/>
  <c r="D83" i="13"/>
  <c r="F83" i="13" s="1"/>
  <c r="D85" i="13"/>
  <c r="F85" i="13" s="1"/>
  <c r="D87" i="13"/>
  <c r="F87" i="13" s="1"/>
  <c r="D89" i="13"/>
  <c r="F89" i="13" s="1"/>
  <c r="D91" i="13"/>
  <c r="F91" i="13" s="1"/>
  <c r="D93" i="13"/>
  <c r="F93" i="13" s="1"/>
  <c r="F36" i="12"/>
  <c r="F38" i="12"/>
  <c r="F40" i="12"/>
  <c r="F42" i="12"/>
  <c r="F44" i="12"/>
  <c r="F46" i="12"/>
  <c r="F48" i="12"/>
  <c r="F50" i="12"/>
  <c r="F52" i="12"/>
  <c r="F54" i="12"/>
  <c r="F56" i="12"/>
  <c r="F58" i="12"/>
  <c r="F60" i="12"/>
  <c r="F62" i="12"/>
  <c r="D64" i="12"/>
  <c r="D68" i="12"/>
  <c r="F68" i="12" s="1"/>
  <c r="D70" i="12"/>
  <c r="F70" i="12" s="1"/>
  <c r="D72" i="12"/>
  <c r="F72" i="12" s="1"/>
  <c r="D74" i="12"/>
  <c r="F74" i="12" s="1"/>
  <c r="D76" i="12"/>
  <c r="F76" i="12" s="1"/>
  <c r="D78" i="12"/>
  <c r="F78" i="12" s="1"/>
  <c r="D80" i="12"/>
  <c r="F80" i="12" s="1"/>
  <c r="D82" i="12"/>
  <c r="F82" i="12" s="1"/>
  <c r="D84" i="12"/>
  <c r="F84" i="12" s="1"/>
  <c r="D86" i="12"/>
  <c r="F86" i="12" s="1"/>
  <c r="D88" i="12"/>
  <c r="F88" i="12" s="1"/>
  <c r="D90" i="12"/>
  <c r="F90" i="12" s="1"/>
  <c r="D92" i="12"/>
  <c r="F92" i="12" s="1"/>
  <c r="D94" i="12"/>
  <c r="F94" i="12" s="1"/>
  <c r="F37" i="11"/>
  <c r="F39" i="11"/>
  <c r="F41" i="11"/>
  <c r="F43" i="11"/>
  <c r="F45" i="11"/>
  <c r="F47" i="11"/>
  <c r="F49" i="11"/>
  <c r="F51" i="11"/>
  <c r="F53" i="11"/>
  <c r="F55" i="11"/>
  <c r="F57" i="11"/>
  <c r="F59" i="11"/>
  <c r="F61" i="11"/>
  <c r="F63" i="11"/>
  <c r="D67" i="11"/>
  <c r="D69" i="11"/>
  <c r="F69" i="11" s="1"/>
  <c r="D71" i="11"/>
  <c r="F71" i="11" s="1"/>
  <c r="D73" i="11"/>
  <c r="F73" i="11" s="1"/>
  <c r="D75" i="11"/>
  <c r="F75" i="11" s="1"/>
  <c r="D77" i="11"/>
  <c r="F77" i="11" s="1"/>
  <c r="D79" i="11"/>
  <c r="F79" i="11" s="1"/>
  <c r="D81" i="11"/>
  <c r="F81" i="11" s="1"/>
  <c r="D83" i="11"/>
  <c r="F83" i="11" s="1"/>
  <c r="D85" i="11"/>
  <c r="F85" i="11" s="1"/>
  <c r="D87" i="11"/>
  <c r="F87" i="11" s="1"/>
  <c r="D89" i="11"/>
  <c r="F89" i="11" s="1"/>
  <c r="D91" i="11"/>
  <c r="F91" i="11" s="1"/>
  <c r="D93" i="11"/>
  <c r="F93" i="11" s="1"/>
  <c r="F67" i="9"/>
  <c r="F36" i="13"/>
  <c r="F36" i="11"/>
  <c r="F67" i="7"/>
  <c r="F37" i="10"/>
  <c r="F39" i="10"/>
  <c r="F41" i="10"/>
  <c r="F43" i="10"/>
  <c r="F45" i="10"/>
  <c r="F47" i="10"/>
  <c r="F49" i="10"/>
  <c r="F51" i="10"/>
  <c r="F53" i="10"/>
  <c r="F55" i="10"/>
  <c r="F57" i="10"/>
  <c r="F59" i="10"/>
  <c r="F61" i="10"/>
  <c r="F63" i="10"/>
  <c r="D67" i="10"/>
  <c r="D69" i="10"/>
  <c r="F69" i="10" s="1"/>
  <c r="D71" i="10"/>
  <c r="F71" i="10" s="1"/>
  <c r="D73" i="10"/>
  <c r="F73" i="10" s="1"/>
  <c r="D75" i="10"/>
  <c r="F75" i="10" s="1"/>
  <c r="D77" i="10"/>
  <c r="F77" i="10" s="1"/>
  <c r="D79" i="10"/>
  <c r="F79" i="10" s="1"/>
  <c r="D81" i="10"/>
  <c r="F81" i="10" s="1"/>
  <c r="D83" i="10"/>
  <c r="F83" i="10" s="1"/>
  <c r="D85" i="10"/>
  <c r="F85" i="10" s="1"/>
  <c r="D87" i="10"/>
  <c r="F87" i="10" s="1"/>
  <c r="D89" i="10"/>
  <c r="F89" i="10" s="1"/>
  <c r="D91" i="10"/>
  <c r="F91" i="10" s="1"/>
  <c r="D93" i="10"/>
  <c r="F93" i="10" s="1"/>
  <c r="F36" i="9"/>
  <c r="F38" i="9"/>
  <c r="F40" i="9"/>
  <c r="F42" i="9"/>
  <c r="F44" i="9"/>
  <c r="F46" i="9"/>
  <c r="F48" i="9"/>
  <c r="F50" i="9"/>
  <c r="F52" i="9"/>
  <c r="F54" i="9"/>
  <c r="F56" i="9"/>
  <c r="F58" i="9"/>
  <c r="F60" i="9"/>
  <c r="F62" i="9"/>
  <c r="D64" i="9"/>
  <c r="D68" i="9"/>
  <c r="F68" i="9" s="1"/>
  <c r="D70" i="9"/>
  <c r="F70" i="9" s="1"/>
  <c r="D72" i="9"/>
  <c r="F72" i="9" s="1"/>
  <c r="D74" i="9"/>
  <c r="F74" i="9" s="1"/>
  <c r="D76" i="9"/>
  <c r="F76" i="9" s="1"/>
  <c r="D78" i="9"/>
  <c r="F78" i="9" s="1"/>
  <c r="D80" i="9"/>
  <c r="F80" i="9" s="1"/>
  <c r="D82" i="9"/>
  <c r="F82" i="9" s="1"/>
  <c r="D84" i="9"/>
  <c r="F84" i="9" s="1"/>
  <c r="D86" i="9"/>
  <c r="F86" i="9" s="1"/>
  <c r="D88" i="9"/>
  <c r="F88" i="9" s="1"/>
  <c r="D90" i="9"/>
  <c r="F90" i="9" s="1"/>
  <c r="D92" i="9"/>
  <c r="F92" i="9" s="1"/>
  <c r="D94" i="9"/>
  <c r="F94" i="9" s="1"/>
  <c r="F37" i="8"/>
  <c r="F39" i="8"/>
  <c r="F41" i="8"/>
  <c r="F43" i="8"/>
  <c r="F45" i="8"/>
  <c r="F47" i="8"/>
  <c r="F49" i="8"/>
  <c r="F51" i="8"/>
  <c r="F53" i="8"/>
  <c r="F55" i="8"/>
  <c r="F57" i="8"/>
  <c r="F59" i="8"/>
  <c r="F61" i="8"/>
  <c r="F63" i="8"/>
  <c r="D67" i="8"/>
  <c r="D69" i="8"/>
  <c r="F69" i="8" s="1"/>
  <c r="D71" i="8"/>
  <c r="F71" i="8" s="1"/>
  <c r="D73" i="8"/>
  <c r="F73" i="8" s="1"/>
  <c r="D75" i="8"/>
  <c r="F75" i="8" s="1"/>
  <c r="D77" i="8"/>
  <c r="F77" i="8" s="1"/>
  <c r="D79" i="8"/>
  <c r="F79" i="8" s="1"/>
  <c r="D81" i="8"/>
  <c r="F81" i="8" s="1"/>
  <c r="D83" i="8"/>
  <c r="F83" i="8" s="1"/>
  <c r="D85" i="8"/>
  <c r="F85" i="8" s="1"/>
  <c r="D87" i="8"/>
  <c r="F87" i="8" s="1"/>
  <c r="D89" i="8"/>
  <c r="F89" i="8" s="1"/>
  <c r="D91" i="8"/>
  <c r="F91" i="8" s="1"/>
  <c r="D93" i="8"/>
  <c r="F93" i="8" s="1"/>
  <c r="F36" i="7"/>
  <c r="F38" i="7"/>
  <c r="F40" i="7"/>
  <c r="F42" i="7"/>
  <c r="F44" i="7"/>
  <c r="F46" i="7"/>
  <c r="F48" i="7"/>
  <c r="F50" i="7"/>
  <c r="F52" i="7"/>
  <c r="F54" i="7"/>
  <c r="F56" i="7"/>
  <c r="F58" i="7"/>
  <c r="F60" i="7"/>
  <c r="F62" i="7"/>
  <c r="D64" i="7"/>
  <c r="D68" i="7"/>
  <c r="F68" i="7" s="1"/>
  <c r="D70" i="7"/>
  <c r="F70" i="7" s="1"/>
  <c r="D72" i="7"/>
  <c r="F72" i="7" s="1"/>
  <c r="D74" i="7"/>
  <c r="F74" i="7" s="1"/>
  <c r="D76" i="7"/>
  <c r="F76" i="7" s="1"/>
  <c r="D78" i="7"/>
  <c r="F78" i="7" s="1"/>
  <c r="D80" i="7"/>
  <c r="F80" i="7" s="1"/>
  <c r="D82" i="7"/>
  <c r="F82" i="7" s="1"/>
  <c r="D84" i="7"/>
  <c r="F84" i="7" s="1"/>
  <c r="D86" i="7"/>
  <c r="F86" i="7" s="1"/>
  <c r="D88" i="7"/>
  <c r="F88" i="7" s="1"/>
  <c r="D90" i="7"/>
  <c r="F90" i="7" s="1"/>
  <c r="D92" i="7"/>
  <c r="F92" i="7" s="1"/>
  <c r="F36" i="10"/>
  <c r="D5" i="9"/>
  <c r="D6" i="8"/>
  <c r="F36" i="8"/>
  <c r="D5" i="7"/>
  <c r="D7" i="7"/>
  <c r="F63" i="7"/>
  <c r="D5" i="6"/>
  <c r="F37" i="6"/>
  <c r="F39" i="6"/>
  <c r="F41" i="6"/>
  <c r="F43" i="6"/>
  <c r="F45" i="6"/>
  <c r="F47" i="6"/>
  <c r="F49" i="6"/>
  <c r="F51" i="6"/>
  <c r="F53" i="6"/>
  <c r="F55" i="6"/>
  <c r="F57" i="6"/>
  <c r="F59" i="6"/>
  <c r="F61" i="6"/>
  <c r="F63" i="6"/>
  <c r="D67" i="6"/>
  <c r="D69" i="6"/>
  <c r="F69" i="6" s="1"/>
  <c r="D71" i="6"/>
  <c r="F71" i="6" s="1"/>
  <c r="D73" i="6"/>
  <c r="F73" i="6" s="1"/>
  <c r="D75" i="6"/>
  <c r="F75" i="6" s="1"/>
  <c r="D77" i="6"/>
  <c r="F77" i="6" s="1"/>
  <c r="D79" i="6"/>
  <c r="F79" i="6" s="1"/>
  <c r="D81" i="6"/>
  <c r="F81" i="6" s="1"/>
  <c r="D83" i="6"/>
  <c r="F83" i="6" s="1"/>
  <c r="D85" i="6"/>
  <c r="F85" i="6" s="1"/>
  <c r="D87" i="6"/>
  <c r="F87" i="6" s="1"/>
  <c r="D89" i="6"/>
  <c r="F89" i="6" s="1"/>
  <c r="D91" i="6"/>
  <c r="F91" i="6" s="1"/>
  <c r="D93" i="6"/>
  <c r="F93" i="6" s="1"/>
  <c r="D6" i="5"/>
  <c r="D8" i="5"/>
  <c r="D10" i="5"/>
  <c r="D12" i="5"/>
  <c r="D14" i="5"/>
  <c r="D16" i="5"/>
  <c r="D18" i="5"/>
  <c r="D20" i="5"/>
  <c r="D22" i="5"/>
  <c r="D24" i="5"/>
  <c r="D26" i="5"/>
  <c r="D28" i="5"/>
  <c r="D30" i="5"/>
  <c r="D32" i="5"/>
  <c r="F36" i="5"/>
  <c r="D68" i="5"/>
  <c r="F68" i="5" s="1"/>
  <c r="D70" i="5"/>
  <c r="F70" i="5" s="1"/>
  <c r="D72" i="5"/>
  <c r="F72" i="5" s="1"/>
  <c r="D74" i="5"/>
  <c r="F74" i="5" s="1"/>
  <c r="D76" i="5"/>
  <c r="F76" i="5" s="1"/>
  <c r="D78" i="5"/>
  <c r="F78" i="5" s="1"/>
  <c r="D80" i="5"/>
  <c r="F80" i="5" s="1"/>
  <c r="D82" i="5"/>
  <c r="F82" i="5" s="1"/>
  <c r="D84" i="5"/>
  <c r="F84" i="5" s="1"/>
  <c r="D86" i="5"/>
  <c r="F86" i="5" s="1"/>
  <c r="D88" i="5"/>
  <c r="F88" i="5" s="1"/>
  <c r="D90" i="5"/>
  <c r="F90" i="5" s="1"/>
  <c r="D92" i="5"/>
  <c r="F92" i="5" s="1"/>
  <c r="D94" i="5"/>
  <c r="F94" i="5" s="1"/>
  <c r="D33" i="4"/>
  <c r="F36" i="6"/>
  <c r="F37" i="4"/>
  <c r="F39" i="4"/>
  <c r="F41" i="4"/>
  <c r="F43" i="4"/>
  <c r="F45" i="4"/>
  <c r="F47" i="4"/>
  <c r="F49" i="4"/>
  <c r="F51" i="4"/>
  <c r="F53" i="4"/>
  <c r="F55" i="4"/>
  <c r="F57" i="4"/>
  <c r="F59" i="4"/>
  <c r="F61" i="4"/>
  <c r="F63" i="4"/>
  <c r="D67" i="4"/>
  <c r="D69" i="4"/>
  <c r="F69" i="4" s="1"/>
  <c r="D71" i="4"/>
  <c r="F71" i="4" s="1"/>
  <c r="D73" i="4"/>
  <c r="F73" i="4" s="1"/>
  <c r="D75" i="4"/>
  <c r="F75" i="4" s="1"/>
  <c r="D77" i="4"/>
  <c r="F77" i="4" s="1"/>
  <c r="D79" i="4"/>
  <c r="F79" i="4" s="1"/>
  <c r="D81" i="4"/>
  <c r="F81" i="4" s="1"/>
  <c r="D83" i="4"/>
  <c r="F83" i="4" s="1"/>
  <c r="D85" i="4"/>
  <c r="F85" i="4" s="1"/>
  <c r="D87" i="4"/>
  <c r="F87" i="4" s="1"/>
  <c r="D89" i="4"/>
  <c r="F89" i="4" s="1"/>
  <c r="D91" i="4"/>
  <c r="F91" i="4" s="1"/>
  <c r="D93" i="4"/>
  <c r="F93" i="4" s="1"/>
  <c r="F36" i="3"/>
  <c r="F38" i="3"/>
  <c r="F40" i="3"/>
  <c r="F42" i="3"/>
  <c r="F44" i="3"/>
  <c r="F46" i="3"/>
  <c r="F48" i="3"/>
  <c r="F50" i="3"/>
  <c r="F52" i="3"/>
  <c r="F54" i="3"/>
  <c r="F56" i="3"/>
  <c r="F58" i="3"/>
  <c r="F60" i="3"/>
  <c r="F62" i="3"/>
  <c r="D64" i="3"/>
  <c r="D68" i="3"/>
  <c r="F68" i="3" s="1"/>
  <c r="D70" i="3"/>
  <c r="F70" i="3" s="1"/>
  <c r="D72" i="3"/>
  <c r="F72" i="3" s="1"/>
  <c r="D74" i="3"/>
  <c r="F74" i="3" s="1"/>
  <c r="D76" i="3"/>
  <c r="F76" i="3" s="1"/>
  <c r="D78" i="3"/>
  <c r="F78" i="3" s="1"/>
  <c r="D80" i="3"/>
  <c r="F80" i="3" s="1"/>
  <c r="D82" i="3"/>
  <c r="F82" i="3" s="1"/>
  <c r="D84" i="3"/>
  <c r="F84" i="3" s="1"/>
  <c r="D86" i="3"/>
  <c r="F86" i="3" s="1"/>
  <c r="D88" i="3"/>
  <c r="F88" i="3" s="1"/>
  <c r="D90" i="3"/>
  <c r="F90" i="3" s="1"/>
  <c r="D92" i="3"/>
  <c r="F92" i="3" s="1"/>
  <c r="D94" i="3"/>
  <c r="F94" i="3" s="1"/>
  <c r="F36" i="4"/>
  <c r="D6" i="59"/>
  <c r="F36" i="59"/>
  <c r="F38" i="59"/>
  <c r="F40" i="59"/>
  <c r="F42" i="59"/>
  <c r="F44" i="59"/>
  <c r="F46" i="59"/>
  <c r="F48" i="59"/>
  <c r="F50" i="59"/>
  <c r="F52" i="59"/>
  <c r="F54" i="59"/>
  <c r="F56" i="59"/>
  <c r="F58" i="59"/>
  <c r="F60" i="59"/>
  <c r="F62" i="59"/>
  <c r="D64" i="59"/>
  <c r="D68" i="59"/>
  <c r="F68" i="59" s="1"/>
  <c r="D70" i="59"/>
  <c r="F70" i="59" s="1"/>
  <c r="D72" i="59"/>
  <c r="F72" i="59" s="1"/>
  <c r="D74" i="59"/>
  <c r="F74" i="59" s="1"/>
  <c r="D76" i="59"/>
  <c r="F76" i="59" s="1"/>
  <c r="D78" i="59"/>
  <c r="F78" i="59" s="1"/>
  <c r="D80" i="59"/>
  <c r="F80" i="59" s="1"/>
  <c r="D82" i="59"/>
  <c r="F82" i="59" s="1"/>
  <c r="D84" i="59"/>
  <c r="F84" i="59" s="1"/>
  <c r="D86" i="59"/>
  <c r="F86" i="59" s="1"/>
  <c r="D88" i="59"/>
  <c r="F88" i="59" s="1"/>
  <c r="D90" i="59"/>
  <c r="F90" i="59" s="1"/>
  <c r="D92" i="59"/>
  <c r="F92" i="59" s="1"/>
  <c r="D94" i="59"/>
  <c r="F94" i="59" s="1"/>
  <c r="F37" i="1"/>
  <c r="F39" i="1"/>
  <c r="F41" i="1"/>
  <c r="F43" i="1"/>
  <c r="F45" i="1"/>
  <c r="F47" i="1"/>
  <c r="F49" i="1"/>
  <c r="F51" i="1"/>
  <c r="F53" i="1"/>
  <c r="F55" i="1"/>
  <c r="F57" i="1"/>
  <c r="F59" i="1"/>
  <c r="F61" i="1"/>
  <c r="F63" i="1"/>
  <c r="D67" i="1"/>
  <c r="D69" i="1"/>
  <c r="F69" i="1" s="1"/>
  <c r="D71" i="1"/>
  <c r="F71" i="1" s="1"/>
  <c r="D73" i="1"/>
  <c r="F73" i="1" s="1"/>
  <c r="D75" i="1"/>
  <c r="F75" i="1" s="1"/>
  <c r="D77" i="1"/>
  <c r="F77" i="1" s="1"/>
  <c r="D79" i="1"/>
  <c r="F79" i="1" s="1"/>
  <c r="D81" i="1"/>
  <c r="F81" i="1" s="1"/>
  <c r="D83" i="1"/>
  <c r="F83" i="1" s="1"/>
  <c r="D85" i="1"/>
  <c r="F85" i="1" s="1"/>
  <c r="D87" i="1"/>
  <c r="F87" i="1" s="1"/>
  <c r="D89" i="1"/>
  <c r="F89" i="1" s="1"/>
  <c r="D91" i="1"/>
  <c r="F91" i="1" s="1"/>
  <c r="D93" i="1"/>
  <c r="F93" i="1" s="1"/>
  <c r="F36" i="1"/>
  <c r="E105" i="45" l="1"/>
  <c r="E105" i="44"/>
  <c r="F74" i="23"/>
  <c r="F74" i="35"/>
  <c r="F87" i="34"/>
  <c r="F87" i="51"/>
  <c r="F74" i="43"/>
  <c r="F74" i="33"/>
  <c r="F91" i="20"/>
  <c r="F83" i="20"/>
  <c r="F75" i="20"/>
  <c r="F38" i="57"/>
  <c r="F42" i="57"/>
  <c r="F48" i="57"/>
  <c r="F54" i="57"/>
  <c r="D67" i="20"/>
  <c r="D93" i="20"/>
  <c r="F93" i="20" s="1"/>
  <c r="D89" i="20"/>
  <c r="D85" i="20"/>
  <c r="F85" i="20" s="1"/>
  <c r="D81" i="20"/>
  <c r="D77" i="20"/>
  <c r="F77" i="20" s="1"/>
  <c r="D73" i="20"/>
  <c r="F73" i="20" s="1"/>
  <c r="D69" i="20"/>
  <c r="F69" i="20" s="1"/>
  <c r="D115" i="60"/>
  <c r="E113" i="60"/>
  <c r="E111" i="60"/>
  <c r="E94" i="60"/>
  <c r="E90" i="60"/>
  <c r="E86" i="60"/>
  <c r="E82" i="60"/>
  <c r="E78" i="60"/>
  <c r="E74" i="60"/>
  <c r="E70" i="60"/>
  <c r="E91" i="60"/>
  <c r="E87" i="60"/>
  <c r="E83" i="60"/>
  <c r="E79" i="60"/>
  <c r="E75" i="60"/>
  <c r="E71" i="60"/>
  <c r="F114" i="8"/>
  <c r="F112" i="8"/>
  <c r="F110" i="8"/>
  <c r="F114" i="38"/>
  <c r="F111" i="25"/>
  <c r="F112" i="37"/>
  <c r="F112" i="41"/>
  <c r="F112" i="54"/>
  <c r="F115" i="47"/>
  <c r="F111" i="47"/>
  <c r="E116" i="18"/>
  <c r="E116" i="3"/>
  <c r="F112" i="7"/>
  <c r="F110" i="7"/>
  <c r="E116" i="9"/>
  <c r="E118" i="9" s="1"/>
  <c r="E116" i="10"/>
  <c r="F116" i="10" s="1"/>
  <c r="E116" i="11"/>
  <c r="E116" i="12"/>
  <c r="E116" i="15"/>
  <c r="F116" i="15" s="1"/>
  <c r="E116" i="21"/>
  <c r="F116" i="21" s="1"/>
  <c r="E116" i="13"/>
  <c r="E118" i="13" s="1"/>
  <c r="E116" i="34"/>
  <c r="F116" i="34" s="1"/>
  <c r="E116" i="35"/>
  <c r="F116" i="35" s="1"/>
  <c r="F103" i="19"/>
  <c r="T45" i="63" s="1"/>
  <c r="E116" i="26"/>
  <c r="E116" i="27"/>
  <c r="E116" i="28"/>
  <c r="E116" i="29"/>
  <c r="F112" i="30"/>
  <c r="E116" i="30"/>
  <c r="E116" i="51"/>
  <c r="F116" i="51" s="1"/>
  <c r="E116" i="25"/>
  <c r="F116" i="25" s="1"/>
  <c r="E116" i="37"/>
  <c r="E116" i="41"/>
  <c r="F103" i="52"/>
  <c r="T12" i="63" s="1"/>
  <c r="E116" i="54"/>
  <c r="E116" i="40"/>
  <c r="F116" i="40" s="1"/>
  <c r="E116" i="49"/>
  <c r="F116" i="49" s="1"/>
  <c r="F102" i="49"/>
  <c r="E116" i="6"/>
  <c r="F116" i="6" s="1"/>
  <c r="E116" i="22"/>
  <c r="F116" i="22" s="1"/>
  <c r="E116" i="31"/>
  <c r="E116" i="24"/>
  <c r="F116" i="24" s="1"/>
  <c r="E116" i="45"/>
  <c r="F116" i="45" s="1"/>
  <c r="E116" i="32"/>
  <c r="F116" i="32" s="1"/>
  <c r="E116" i="48"/>
  <c r="F116" i="48" s="1"/>
  <c r="F102" i="48"/>
  <c r="E116" i="5"/>
  <c r="F116" i="5" s="1"/>
  <c r="E116" i="1"/>
  <c r="F116" i="1" s="1"/>
  <c r="E116" i="59"/>
  <c r="E118" i="59" s="1"/>
  <c r="E116" i="4"/>
  <c r="F116" i="4" s="1"/>
  <c r="E116" i="7"/>
  <c r="F116" i="7" s="1"/>
  <c r="E116" i="8"/>
  <c r="E116" i="14"/>
  <c r="F116" i="14" s="1"/>
  <c r="E116" i="17"/>
  <c r="E116" i="23"/>
  <c r="F116" i="23" s="1"/>
  <c r="E116" i="33"/>
  <c r="F116" i="33" s="1"/>
  <c r="E116" i="16"/>
  <c r="E116" i="19"/>
  <c r="F116" i="31"/>
  <c r="E116" i="36"/>
  <c r="F116" i="36" s="1"/>
  <c r="E116" i="38"/>
  <c r="E116" i="39"/>
  <c r="E116" i="52"/>
  <c r="F116" i="52" s="1"/>
  <c r="E116" i="56"/>
  <c r="F116" i="56" s="1"/>
  <c r="F112" i="40"/>
  <c r="E116" i="42"/>
  <c r="E116" i="43"/>
  <c r="E116" i="47"/>
  <c r="F116" i="47" s="1"/>
  <c r="E116" i="53"/>
  <c r="F103" i="33"/>
  <c r="T31" i="63" s="1"/>
  <c r="E116" i="46"/>
  <c r="F116" i="46" s="1"/>
  <c r="E116" i="50"/>
  <c r="F116" i="50" s="1"/>
  <c r="E116" i="55"/>
  <c r="E118" i="55" s="1"/>
  <c r="E116" i="44"/>
  <c r="F116" i="44" s="1"/>
  <c r="E116" i="57"/>
  <c r="E62" i="60"/>
  <c r="E60" i="60"/>
  <c r="E58" i="60"/>
  <c r="E56" i="60"/>
  <c r="E54" i="60"/>
  <c r="E52" i="60"/>
  <c r="E50" i="60"/>
  <c r="E48" i="60"/>
  <c r="E46" i="60"/>
  <c r="E44" i="60"/>
  <c r="E42" i="60"/>
  <c r="E40" i="60"/>
  <c r="E38" i="60"/>
  <c r="F113" i="5"/>
  <c r="F111" i="5"/>
  <c r="F115" i="10"/>
  <c r="F115" i="17"/>
  <c r="D64" i="16"/>
  <c r="F40" i="16"/>
  <c r="F44" i="16"/>
  <c r="F48" i="16"/>
  <c r="F52" i="16"/>
  <c r="F56" i="16"/>
  <c r="F60" i="16"/>
  <c r="F89" i="20"/>
  <c r="F81" i="20"/>
  <c r="F68" i="41"/>
  <c r="F72" i="41"/>
  <c r="F76" i="41"/>
  <c r="E20" i="63"/>
  <c r="E19" i="63"/>
  <c r="M58" i="63"/>
  <c r="M19" i="63"/>
  <c r="F116" i="57"/>
  <c r="D118" i="50"/>
  <c r="M9" i="63"/>
  <c r="B60" i="63"/>
  <c r="M20" i="63"/>
  <c r="E101" i="60"/>
  <c r="E120" i="60"/>
  <c r="F116" i="19"/>
  <c r="E105" i="53"/>
  <c r="F68" i="43"/>
  <c r="F112" i="16"/>
  <c r="F90" i="33"/>
  <c r="F82" i="33"/>
  <c r="D83" i="21"/>
  <c r="F83" i="21" s="1"/>
  <c r="D21" i="21"/>
  <c r="D67" i="21"/>
  <c r="F67" i="21" s="1"/>
  <c r="D5" i="21"/>
  <c r="D87" i="21"/>
  <c r="F87" i="21" s="1"/>
  <c r="D25" i="21"/>
  <c r="D71" i="21"/>
  <c r="F71" i="21" s="1"/>
  <c r="D9" i="21"/>
  <c r="F115" i="41"/>
  <c r="E64" i="48"/>
  <c r="M16" i="63" s="1"/>
  <c r="D91" i="21"/>
  <c r="F91" i="21" s="1"/>
  <c r="D29" i="21"/>
  <c r="D75" i="21"/>
  <c r="F75" i="21" s="1"/>
  <c r="D13" i="21"/>
  <c r="D79" i="21"/>
  <c r="F79" i="21" s="1"/>
  <c r="D17" i="21"/>
  <c r="D87" i="40"/>
  <c r="F87" i="40" s="1"/>
  <c r="D25" i="40"/>
  <c r="D79" i="51"/>
  <c r="F79" i="51" s="1"/>
  <c r="D17" i="51"/>
  <c r="D87" i="47"/>
  <c r="F87" i="47" s="1"/>
  <c r="D25" i="47"/>
  <c r="F62" i="18"/>
  <c r="F60" i="18"/>
  <c r="F58" i="18"/>
  <c r="F56" i="18"/>
  <c r="F54" i="18"/>
  <c r="F52" i="18"/>
  <c r="F50" i="18"/>
  <c r="F48" i="18"/>
  <c r="F46" i="18"/>
  <c r="F44" i="18"/>
  <c r="F42" i="18"/>
  <c r="F40" i="18"/>
  <c r="F38" i="18"/>
  <c r="E105" i="6"/>
  <c r="F111" i="13"/>
  <c r="F113" i="13"/>
  <c r="F115" i="13"/>
  <c r="E64" i="24"/>
  <c r="M40" i="63" s="1"/>
  <c r="F115" i="30"/>
  <c r="E105" i="31"/>
  <c r="E105" i="38"/>
  <c r="E105" i="46"/>
  <c r="E95" i="46"/>
  <c r="C109" i="46" s="1"/>
  <c r="C118" i="46" s="1"/>
  <c r="F115" i="48"/>
  <c r="E105" i="50"/>
  <c r="E95" i="50"/>
  <c r="C109" i="50" s="1"/>
  <c r="C118" i="50" s="1"/>
  <c r="F115" i="55"/>
  <c r="D64" i="25"/>
  <c r="F40" i="25"/>
  <c r="F44" i="25"/>
  <c r="D64" i="27"/>
  <c r="D64" i="29"/>
  <c r="F40" i="29"/>
  <c r="F68" i="37"/>
  <c r="F72" i="37"/>
  <c r="F76" i="37"/>
  <c r="F80" i="37"/>
  <c r="F84" i="37"/>
  <c r="F68" i="39"/>
  <c r="F72" i="39"/>
  <c r="F76" i="39"/>
  <c r="F80" i="39"/>
  <c r="E105" i="52"/>
  <c r="D64" i="52"/>
  <c r="F115" i="54"/>
  <c r="F115" i="40"/>
  <c r="F115" i="42"/>
  <c r="F39" i="47"/>
  <c r="D81" i="15"/>
  <c r="F81" i="15" s="1"/>
  <c r="D19" i="15"/>
  <c r="D77" i="15"/>
  <c r="F77" i="15" s="1"/>
  <c r="D15" i="15"/>
  <c r="D73" i="15"/>
  <c r="F73" i="15" s="1"/>
  <c r="D11" i="15"/>
  <c r="D83" i="15"/>
  <c r="D21" i="15"/>
  <c r="D87" i="15"/>
  <c r="F87" i="15" s="1"/>
  <c r="D25" i="15"/>
  <c r="D91" i="15"/>
  <c r="F91" i="15" s="1"/>
  <c r="D29" i="15"/>
  <c r="D69" i="47"/>
  <c r="D7" i="47"/>
  <c r="D91" i="34"/>
  <c r="F91" i="34" s="1"/>
  <c r="D29" i="34"/>
  <c r="D64" i="35"/>
  <c r="F72" i="43"/>
  <c r="D118" i="46"/>
  <c r="D83" i="40"/>
  <c r="F83" i="40" s="1"/>
  <c r="D21" i="40"/>
  <c r="D75" i="49"/>
  <c r="F75" i="49" s="1"/>
  <c r="D13" i="49"/>
  <c r="D83" i="49"/>
  <c r="F83" i="49" s="1"/>
  <c r="D21" i="49"/>
  <c r="D91" i="49"/>
  <c r="F91" i="49" s="1"/>
  <c r="D29" i="49"/>
  <c r="E95" i="6"/>
  <c r="C109" i="6" s="1"/>
  <c r="F109" i="6" s="1"/>
  <c r="E118" i="15"/>
  <c r="F83" i="15"/>
  <c r="E105" i="22"/>
  <c r="E95" i="22"/>
  <c r="C109" i="22" s="1"/>
  <c r="F109" i="22" s="1"/>
  <c r="F118" i="22" s="1"/>
  <c r="E64" i="14"/>
  <c r="M50" i="63" s="1"/>
  <c r="F115" i="23"/>
  <c r="E95" i="24"/>
  <c r="C109" i="24" s="1"/>
  <c r="C118" i="24" s="1"/>
  <c r="E105" i="24"/>
  <c r="E105" i="32"/>
  <c r="E105" i="48"/>
  <c r="E95" i="48"/>
  <c r="E105" i="55"/>
  <c r="E95" i="55"/>
  <c r="E95" i="57"/>
  <c r="F69" i="47"/>
  <c r="D79" i="15"/>
  <c r="F79" i="15" s="1"/>
  <c r="D17" i="15"/>
  <c r="D75" i="15"/>
  <c r="F75" i="15" s="1"/>
  <c r="D13" i="15"/>
  <c r="D71" i="15"/>
  <c r="F71" i="15" s="1"/>
  <c r="D9" i="15"/>
  <c r="D67" i="15"/>
  <c r="F67" i="15" s="1"/>
  <c r="D5" i="15"/>
  <c r="D85" i="15"/>
  <c r="F85" i="15" s="1"/>
  <c r="D23" i="15"/>
  <c r="D89" i="15"/>
  <c r="F89" i="15" s="1"/>
  <c r="D27" i="15"/>
  <c r="D93" i="15"/>
  <c r="F93" i="15" s="1"/>
  <c r="D31" i="15"/>
  <c r="E64" i="22"/>
  <c r="F64" i="22" s="1"/>
  <c r="D93" i="34"/>
  <c r="F93" i="34" s="1"/>
  <c r="D31" i="34"/>
  <c r="D91" i="40"/>
  <c r="F91" i="40" s="1"/>
  <c r="D29" i="40"/>
  <c r="D69" i="49"/>
  <c r="F69" i="49" s="1"/>
  <c r="D7" i="49"/>
  <c r="D79" i="49"/>
  <c r="F79" i="49" s="1"/>
  <c r="D17" i="49"/>
  <c r="D87" i="49"/>
  <c r="F87" i="49" s="1"/>
  <c r="D25" i="49"/>
  <c r="D118" i="55"/>
  <c r="F109" i="46"/>
  <c r="F64" i="24"/>
  <c r="D33" i="57"/>
  <c r="B7" i="63" s="1"/>
  <c r="F115" i="1"/>
  <c r="D94" i="1"/>
  <c r="F94" i="1" s="1"/>
  <c r="D32" i="1"/>
  <c r="D92" i="1"/>
  <c r="F92" i="1" s="1"/>
  <c r="D30" i="1"/>
  <c r="D90" i="1"/>
  <c r="F90" i="1" s="1"/>
  <c r="D28" i="1"/>
  <c r="D88" i="1"/>
  <c r="F88" i="1" s="1"/>
  <c r="D26" i="1"/>
  <c r="D86" i="1"/>
  <c r="F86" i="1" s="1"/>
  <c r="D24" i="1"/>
  <c r="D84" i="1"/>
  <c r="F84" i="1" s="1"/>
  <c r="D22" i="1"/>
  <c r="D82" i="1"/>
  <c r="F82" i="1" s="1"/>
  <c r="D20" i="1"/>
  <c r="D80" i="1"/>
  <c r="F80" i="1" s="1"/>
  <c r="D18" i="1"/>
  <c r="D78" i="1"/>
  <c r="F78" i="1" s="1"/>
  <c r="D16" i="1"/>
  <c r="D76" i="1"/>
  <c r="F76" i="1" s="1"/>
  <c r="D14" i="1"/>
  <c r="D74" i="1"/>
  <c r="F74" i="1" s="1"/>
  <c r="D12" i="1"/>
  <c r="D72" i="1"/>
  <c r="F72" i="1" s="1"/>
  <c r="D10" i="1"/>
  <c r="D70" i="1"/>
  <c r="F70" i="1" s="1"/>
  <c r="D8" i="1"/>
  <c r="D68" i="1"/>
  <c r="F68" i="1" s="1"/>
  <c r="D6" i="1"/>
  <c r="D118" i="1"/>
  <c r="E105" i="1"/>
  <c r="E95" i="1"/>
  <c r="C109" i="1" s="1"/>
  <c r="E64" i="1"/>
  <c r="M63" i="63" s="1"/>
  <c r="D93" i="59"/>
  <c r="F93" i="59" s="1"/>
  <c r="D31" i="59"/>
  <c r="D91" i="59"/>
  <c r="F91" i="59" s="1"/>
  <c r="D29" i="59"/>
  <c r="D89" i="59"/>
  <c r="F89" i="59" s="1"/>
  <c r="D27" i="59"/>
  <c r="D87" i="59"/>
  <c r="F87" i="59" s="1"/>
  <c r="D25" i="59"/>
  <c r="D85" i="59"/>
  <c r="F85" i="59" s="1"/>
  <c r="D23" i="59"/>
  <c r="D83" i="59"/>
  <c r="F83" i="59" s="1"/>
  <c r="D21" i="59"/>
  <c r="D81" i="59"/>
  <c r="F81" i="59" s="1"/>
  <c r="D19" i="59"/>
  <c r="D79" i="59"/>
  <c r="F79" i="59" s="1"/>
  <c r="D17" i="59"/>
  <c r="D77" i="59"/>
  <c r="F77" i="59" s="1"/>
  <c r="D15" i="59"/>
  <c r="D75" i="59"/>
  <c r="F75" i="59" s="1"/>
  <c r="D13" i="59"/>
  <c r="D73" i="59"/>
  <c r="F73" i="59" s="1"/>
  <c r="D11" i="59"/>
  <c r="D71" i="59"/>
  <c r="F71" i="59" s="1"/>
  <c r="D9" i="59"/>
  <c r="D69" i="59"/>
  <c r="F69" i="59" s="1"/>
  <c r="D7" i="59"/>
  <c r="D67" i="59"/>
  <c r="F67" i="59" s="1"/>
  <c r="D5" i="59"/>
  <c r="F112" i="59"/>
  <c r="F110" i="59"/>
  <c r="F62" i="6"/>
  <c r="D31" i="6"/>
  <c r="F60" i="6"/>
  <c r="D29" i="6"/>
  <c r="F58" i="6"/>
  <c r="D27" i="6"/>
  <c r="F56" i="6"/>
  <c r="D25" i="6"/>
  <c r="F54" i="6"/>
  <c r="D23" i="6"/>
  <c r="F52" i="6"/>
  <c r="D21" i="6"/>
  <c r="F50" i="6"/>
  <c r="D19" i="6"/>
  <c r="F48" i="6"/>
  <c r="D17" i="6"/>
  <c r="F46" i="6"/>
  <c r="D15" i="6"/>
  <c r="F44" i="6"/>
  <c r="D13" i="6"/>
  <c r="F42" i="6"/>
  <c r="D11" i="6"/>
  <c r="F40" i="6"/>
  <c r="D9" i="6"/>
  <c r="F38" i="6"/>
  <c r="D7" i="6"/>
  <c r="D64" i="6"/>
  <c r="F64" i="6" s="1"/>
  <c r="N58" i="63" s="1"/>
  <c r="E118" i="6"/>
  <c r="F111" i="6"/>
  <c r="F115" i="6"/>
  <c r="E118" i="4"/>
  <c r="E105" i="7"/>
  <c r="E95" i="7"/>
  <c r="C109" i="7" s="1"/>
  <c r="E64" i="7"/>
  <c r="M57" i="63" s="1"/>
  <c r="D118" i="8"/>
  <c r="E105" i="8"/>
  <c r="E95" i="8"/>
  <c r="C109" i="8" s="1"/>
  <c r="E64" i="8"/>
  <c r="M56" i="63" s="1"/>
  <c r="F113" i="7"/>
  <c r="F111" i="7"/>
  <c r="E118" i="7"/>
  <c r="D94" i="7"/>
  <c r="F94" i="7" s="1"/>
  <c r="D32" i="7"/>
  <c r="F61" i="7"/>
  <c r="D30" i="7"/>
  <c r="F59" i="7"/>
  <c r="D28" i="7"/>
  <c r="F57" i="7"/>
  <c r="D26" i="7"/>
  <c r="F55" i="7"/>
  <c r="D24" i="7"/>
  <c r="F53" i="7"/>
  <c r="D22" i="7"/>
  <c r="F51" i="7"/>
  <c r="D20" i="7"/>
  <c r="F49" i="7"/>
  <c r="D18" i="7"/>
  <c r="F47" i="7"/>
  <c r="D16" i="7"/>
  <c r="F45" i="7"/>
  <c r="D14" i="7"/>
  <c r="F43" i="7"/>
  <c r="D12" i="7"/>
  <c r="F41" i="7"/>
  <c r="D10" i="7"/>
  <c r="F39" i="7"/>
  <c r="D8" i="7"/>
  <c r="F37" i="7"/>
  <c r="D6" i="7"/>
  <c r="F116" i="8"/>
  <c r="F115" i="8"/>
  <c r="F113" i="8"/>
  <c r="F111" i="8"/>
  <c r="E118" i="8"/>
  <c r="D94" i="8"/>
  <c r="F94" i="8" s="1"/>
  <c r="D32" i="8"/>
  <c r="D92" i="8"/>
  <c r="F92" i="8" s="1"/>
  <c r="D30" i="8"/>
  <c r="D90" i="8"/>
  <c r="F90" i="8" s="1"/>
  <c r="D28" i="8"/>
  <c r="D88" i="8"/>
  <c r="F88" i="8" s="1"/>
  <c r="D26" i="8"/>
  <c r="D86" i="8"/>
  <c r="F86" i="8" s="1"/>
  <c r="D24" i="8"/>
  <c r="D84" i="8"/>
  <c r="F84" i="8" s="1"/>
  <c r="D22" i="8"/>
  <c r="D82" i="8"/>
  <c r="F82" i="8" s="1"/>
  <c r="D20" i="8"/>
  <c r="D80" i="8"/>
  <c r="F80" i="8" s="1"/>
  <c r="D18" i="8"/>
  <c r="D78" i="8"/>
  <c r="F78" i="8" s="1"/>
  <c r="D16" i="8"/>
  <c r="D76" i="8"/>
  <c r="F76" i="8" s="1"/>
  <c r="D14" i="8"/>
  <c r="D74" i="8"/>
  <c r="F74" i="8" s="1"/>
  <c r="D12" i="8"/>
  <c r="D72" i="8"/>
  <c r="F72" i="8" s="1"/>
  <c r="D10" i="8"/>
  <c r="D70" i="8"/>
  <c r="F70" i="8" s="1"/>
  <c r="D8" i="8"/>
  <c r="F68" i="8"/>
  <c r="D93" i="9"/>
  <c r="F93" i="9" s="1"/>
  <c r="D31" i="9"/>
  <c r="D91" i="9"/>
  <c r="F91" i="9" s="1"/>
  <c r="D29" i="9"/>
  <c r="D89" i="9"/>
  <c r="F89" i="9" s="1"/>
  <c r="D27" i="9"/>
  <c r="D87" i="9"/>
  <c r="F87" i="9" s="1"/>
  <c r="D25" i="9"/>
  <c r="D85" i="9"/>
  <c r="F85" i="9" s="1"/>
  <c r="D23" i="9"/>
  <c r="D83" i="9"/>
  <c r="F83" i="9" s="1"/>
  <c r="D21" i="9"/>
  <c r="D81" i="9"/>
  <c r="F81" i="9" s="1"/>
  <c r="D19" i="9"/>
  <c r="D79" i="9"/>
  <c r="F79" i="9" s="1"/>
  <c r="D17" i="9"/>
  <c r="D77" i="9"/>
  <c r="F77" i="9" s="1"/>
  <c r="D15" i="9"/>
  <c r="D75" i="9"/>
  <c r="F75" i="9" s="1"/>
  <c r="D13" i="9"/>
  <c r="D73" i="9"/>
  <c r="F73" i="9" s="1"/>
  <c r="D11" i="9"/>
  <c r="D71" i="9"/>
  <c r="F71" i="9" s="1"/>
  <c r="D9" i="9"/>
  <c r="D69" i="9"/>
  <c r="F69" i="9" s="1"/>
  <c r="D7" i="9"/>
  <c r="D118" i="10"/>
  <c r="D94" i="10"/>
  <c r="F94" i="10" s="1"/>
  <c r="D32" i="10"/>
  <c r="D92" i="10"/>
  <c r="F92" i="10" s="1"/>
  <c r="D30" i="10"/>
  <c r="D90" i="10"/>
  <c r="F90" i="10" s="1"/>
  <c r="D28" i="10"/>
  <c r="D88" i="10"/>
  <c r="F88" i="10" s="1"/>
  <c r="D26" i="10"/>
  <c r="D86" i="10"/>
  <c r="F86" i="10" s="1"/>
  <c r="D24" i="10"/>
  <c r="D84" i="10"/>
  <c r="F84" i="10" s="1"/>
  <c r="D22" i="10"/>
  <c r="D82" i="10"/>
  <c r="F82" i="10" s="1"/>
  <c r="D20" i="10"/>
  <c r="D80" i="10"/>
  <c r="F80" i="10" s="1"/>
  <c r="D18" i="10"/>
  <c r="D78" i="10"/>
  <c r="F78" i="10" s="1"/>
  <c r="D16" i="10"/>
  <c r="D76" i="10"/>
  <c r="F76" i="10" s="1"/>
  <c r="D14" i="10"/>
  <c r="D74" i="10"/>
  <c r="F74" i="10" s="1"/>
  <c r="D12" i="10"/>
  <c r="D72" i="10"/>
  <c r="F72" i="10" s="1"/>
  <c r="D10" i="10"/>
  <c r="D70" i="10"/>
  <c r="F70" i="10" s="1"/>
  <c r="D8" i="10"/>
  <c r="D68" i="10"/>
  <c r="F68" i="10" s="1"/>
  <c r="D6" i="10"/>
  <c r="F116" i="11"/>
  <c r="F115" i="11"/>
  <c r="F113" i="11"/>
  <c r="F111" i="11"/>
  <c r="E118" i="11"/>
  <c r="D94" i="11"/>
  <c r="F94" i="11" s="1"/>
  <c r="D32" i="11"/>
  <c r="D92" i="11"/>
  <c r="F92" i="11" s="1"/>
  <c r="D30" i="11"/>
  <c r="D90" i="11"/>
  <c r="F90" i="11" s="1"/>
  <c r="D28" i="11"/>
  <c r="D88" i="11"/>
  <c r="F88" i="11" s="1"/>
  <c r="D26" i="11"/>
  <c r="D86" i="11"/>
  <c r="F86" i="11" s="1"/>
  <c r="D24" i="11"/>
  <c r="D84" i="11"/>
  <c r="F84" i="11" s="1"/>
  <c r="D22" i="11"/>
  <c r="D82" i="11"/>
  <c r="F82" i="11" s="1"/>
  <c r="D20" i="11"/>
  <c r="D80" i="11"/>
  <c r="F80" i="11" s="1"/>
  <c r="D18" i="11"/>
  <c r="D78" i="11"/>
  <c r="F78" i="11" s="1"/>
  <c r="D16" i="11"/>
  <c r="D76" i="11"/>
  <c r="F76" i="11" s="1"/>
  <c r="D14" i="11"/>
  <c r="D74" i="11"/>
  <c r="F74" i="11" s="1"/>
  <c r="D12" i="11"/>
  <c r="D72" i="11"/>
  <c r="F72" i="11" s="1"/>
  <c r="D10" i="11"/>
  <c r="D70" i="11"/>
  <c r="F70" i="11" s="1"/>
  <c r="D8" i="11"/>
  <c r="D68" i="11"/>
  <c r="F68" i="11" s="1"/>
  <c r="D6" i="11"/>
  <c r="F116" i="12"/>
  <c r="F115" i="12"/>
  <c r="F113" i="12"/>
  <c r="F111" i="12"/>
  <c r="E118" i="12"/>
  <c r="F63" i="12"/>
  <c r="D32" i="12"/>
  <c r="F61" i="12"/>
  <c r="D30" i="12"/>
  <c r="F59" i="12"/>
  <c r="D28" i="12"/>
  <c r="F57" i="12"/>
  <c r="D26" i="12"/>
  <c r="F55" i="12"/>
  <c r="D24" i="12"/>
  <c r="F53" i="12"/>
  <c r="D22" i="12"/>
  <c r="F51" i="12"/>
  <c r="D20" i="12"/>
  <c r="F49" i="12"/>
  <c r="D18" i="12"/>
  <c r="F47" i="12"/>
  <c r="D16" i="12"/>
  <c r="F45" i="12"/>
  <c r="D14" i="12"/>
  <c r="F43" i="12"/>
  <c r="D12" i="12"/>
  <c r="F41" i="12"/>
  <c r="D10" i="12"/>
  <c r="F39" i="12"/>
  <c r="D8" i="12"/>
  <c r="F37" i="12"/>
  <c r="D6" i="12"/>
  <c r="F44" i="13"/>
  <c r="D13" i="13"/>
  <c r="F42" i="13"/>
  <c r="D11" i="13"/>
  <c r="F40" i="13"/>
  <c r="D9" i="13"/>
  <c r="F38" i="13"/>
  <c r="D7" i="13"/>
  <c r="D64" i="13"/>
  <c r="D5" i="13"/>
  <c r="F115" i="14"/>
  <c r="E118" i="14"/>
  <c r="D94" i="14"/>
  <c r="F94" i="14" s="1"/>
  <c r="D32" i="14"/>
  <c r="D92" i="14"/>
  <c r="F92" i="14" s="1"/>
  <c r="D30" i="14"/>
  <c r="D90" i="14"/>
  <c r="F90" i="14" s="1"/>
  <c r="D28" i="14"/>
  <c r="D88" i="14"/>
  <c r="F88" i="14" s="1"/>
  <c r="D26" i="14"/>
  <c r="D86" i="14"/>
  <c r="F86" i="14" s="1"/>
  <c r="D24" i="14"/>
  <c r="D84" i="14"/>
  <c r="F84" i="14" s="1"/>
  <c r="D22" i="14"/>
  <c r="D82" i="14"/>
  <c r="F82" i="14" s="1"/>
  <c r="D20" i="14"/>
  <c r="D80" i="14"/>
  <c r="F80" i="14" s="1"/>
  <c r="D18" i="14"/>
  <c r="D78" i="14"/>
  <c r="F78" i="14" s="1"/>
  <c r="D16" i="14"/>
  <c r="D76" i="14"/>
  <c r="F76" i="14" s="1"/>
  <c r="D14" i="14"/>
  <c r="D74" i="14"/>
  <c r="F74" i="14" s="1"/>
  <c r="D12" i="14"/>
  <c r="D72" i="14"/>
  <c r="F72" i="14" s="1"/>
  <c r="D10" i="14"/>
  <c r="D70" i="14"/>
  <c r="F70" i="14" s="1"/>
  <c r="D8" i="14"/>
  <c r="D68" i="14"/>
  <c r="F68" i="14" s="1"/>
  <c r="D6" i="14"/>
  <c r="F63" i="22"/>
  <c r="D32" i="22"/>
  <c r="F61" i="22"/>
  <c r="D30" i="22"/>
  <c r="F59" i="22"/>
  <c r="D28" i="22"/>
  <c r="F57" i="22"/>
  <c r="D26" i="22"/>
  <c r="F55" i="22"/>
  <c r="D24" i="22"/>
  <c r="F53" i="22"/>
  <c r="D22" i="22"/>
  <c r="F51" i="22"/>
  <c r="D20" i="22"/>
  <c r="F49" i="22"/>
  <c r="D18" i="22"/>
  <c r="F47" i="22"/>
  <c r="D16" i="22"/>
  <c r="F45" i="22"/>
  <c r="D14" i="22"/>
  <c r="F43" i="22"/>
  <c r="D12" i="22"/>
  <c r="F41" i="22"/>
  <c r="D10" i="22"/>
  <c r="F39" i="22"/>
  <c r="D8" i="22"/>
  <c r="E64" i="13"/>
  <c r="M51" i="63" s="1"/>
  <c r="F46" i="13"/>
  <c r="D15" i="13"/>
  <c r="F48" i="13"/>
  <c r="D17" i="13"/>
  <c r="F50" i="13"/>
  <c r="D19" i="13"/>
  <c r="F52" i="13"/>
  <c r="D21" i="13"/>
  <c r="F54" i="13"/>
  <c r="D23" i="13"/>
  <c r="F56" i="13"/>
  <c r="D25" i="13"/>
  <c r="F58" i="13"/>
  <c r="D27" i="13"/>
  <c r="F60" i="13"/>
  <c r="D29" i="13"/>
  <c r="F62" i="13"/>
  <c r="D31" i="13"/>
  <c r="E95" i="13"/>
  <c r="C109" i="13" s="1"/>
  <c r="E105" i="13"/>
  <c r="F114" i="14"/>
  <c r="F112" i="14"/>
  <c r="F110" i="14"/>
  <c r="E105" i="16"/>
  <c r="E105" i="17"/>
  <c r="D67" i="17"/>
  <c r="F67" i="17" s="1"/>
  <c r="D5" i="17"/>
  <c r="D69" i="17"/>
  <c r="F69" i="17" s="1"/>
  <c r="D7" i="17"/>
  <c r="D71" i="17"/>
  <c r="F71" i="17" s="1"/>
  <c r="D9" i="17"/>
  <c r="D73" i="17"/>
  <c r="F73" i="17" s="1"/>
  <c r="D11" i="17"/>
  <c r="D75" i="17"/>
  <c r="F75" i="17" s="1"/>
  <c r="D13" i="17"/>
  <c r="D77" i="17"/>
  <c r="F77" i="17" s="1"/>
  <c r="D15" i="17"/>
  <c r="D79" i="17"/>
  <c r="F79" i="17" s="1"/>
  <c r="D17" i="17"/>
  <c r="D81" i="17"/>
  <c r="F81" i="17" s="1"/>
  <c r="D19" i="17"/>
  <c r="D83" i="17"/>
  <c r="F83" i="17" s="1"/>
  <c r="D21" i="17"/>
  <c r="D85" i="17"/>
  <c r="F85" i="17" s="1"/>
  <c r="D23" i="17"/>
  <c r="D87" i="17"/>
  <c r="F87" i="17" s="1"/>
  <c r="D25" i="17"/>
  <c r="D89" i="17"/>
  <c r="F89" i="17" s="1"/>
  <c r="D27" i="17"/>
  <c r="D91" i="17"/>
  <c r="F91" i="17" s="1"/>
  <c r="D29" i="17"/>
  <c r="D93" i="17"/>
  <c r="F93" i="17" s="1"/>
  <c r="D31" i="17"/>
  <c r="E118" i="19"/>
  <c r="F60" i="23"/>
  <c r="D29" i="23"/>
  <c r="F56" i="23"/>
  <c r="D25" i="23"/>
  <c r="F52" i="23"/>
  <c r="D21" i="23"/>
  <c r="F48" i="23"/>
  <c r="D17" i="23"/>
  <c r="F44" i="23"/>
  <c r="D13" i="23"/>
  <c r="F40" i="23"/>
  <c r="D9" i="23"/>
  <c r="D64" i="23"/>
  <c r="F110" i="23"/>
  <c r="F114" i="23"/>
  <c r="F39" i="24"/>
  <c r="D8" i="24"/>
  <c r="F41" i="24"/>
  <c r="D10" i="24"/>
  <c r="F43" i="24"/>
  <c r="D12" i="24"/>
  <c r="F45" i="24"/>
  <c r="D14" i="24"/>
  <c r="F47" i="24"/>
  <c r="D16" i="24"/>
  <c r="F49" i="24"/>
  <c r="D18" i="24"/>
  <c r="F51" i="24"/>
  <c r="D20" i="24"/>
  <c r="F53" i="24"/>
  <c r="D22" i="24"/>
  <c r="F55" i="24"/>
  <c r="D24" i="24"/>
  <c r="F57" i="24"/>
  <c r="D26" i="24"/>
  <c r="F59" i="24"/>
  <c r="D28" i="24"/>
  <c r="F61" i="24"/>
  <c r="D30" i="24"/>
  <c r="F63" i="24"/>
  <c r="D32" i="24"/>
  <c r="E118" i="24"/>
  <c r="F111" i="24"/>
  <c r="F115" i="24"/>
  <c r="F115" i="33"/>
  <c r="E118" i="33"/>
  <c r="F116" i="16"/>
  <c r="E118" i="16"/>
  <c r="E95" i="16"/>
  <c r="C109" i="16" s="1"/>
  <c r="E64" i="16"/>
  <c r="M48" i="63" s="1"/>
  <c r="F37" i="16"/>
  <c r="D68" i="16"/>
  <c r="F68" i="16" s="1"/>
  <c r="D6" i="16"/>
  <c r="F39" i="16"/>
  <c r="D8" i="16"/>
  <c r="D70" i="16"/>
  <c r="F70" i="16" s="1"/>
  <c r="F41" i="16"/>
  <c r="D72" i="16"/>
  <c r="F72" i="16" s="1"/>
  <c r="D10" i="16"/>
  <c r="F43" i="16"/>
  <c r="D74" i="16"/>
  <c r="F74" i="16" s="1"/>
  <c r="D12" i="16"/>
  <c r="F45" i="16"/>
  <c r="D76" i="16"/>
  <c r="F76" i="16" s="1"/>
  <c r="D14" i="16"/>
  <c r="F47" i="16"/>
  <c r="D16" i="16"/>
  <c r="D78" i="16"/>
  <c r="F78" i="16" s="1"/>
  <c r="F49" i="16"/>
  <c r="D80" i="16"/>
  <c r="F80" i="16" s="1"/>
  <c r="D18" i="16"/>
  <c r="F51" i="16"/>
  <c r="D82" i="16"/>
  <c r="F82" i="16" s="1"/>
  <c r="D20" i="16"/>
  <c r="F53" i="16"/>
  <c r="D84" i="16"/>
  <c r="F84" i="16" s="1"/>
  <c r="D22" i="16"/>
  <c r="F55" i="16"/>
  <c r="D24" i="16"/>
  <c r="D86" i="16"/>
  <c r="F86" i="16" s="1"/>
  <c r="F57" i="16"/>
  <c r="D88" i="16"/>
  <c r="F88" i="16" s="1"/>
  <c r="D26" i="16"/>
  <c r="F59" i="16"/>
  <c r="D90" i="16"/>
  <c r="F90" i="16" s="1"/>
  <c r="D28" i="16"/>
  <c r="F61" i="16"/>
  <c r="D92" i="16"/>
  <c r="F92" i="16" s="1"/>
  <c r="D30" i="16"/>
  <c r="F63" i="16"/>
  <c r="D32" i="16"/>
  <c r="D94" i="16"/>
  <c r="F94" i="16" s="1"/>
  <c r="E105" i="19"/>
  <c r="D67" i="19"/>
  <c r="F67" i="19" s="1"/>
  <c r="D5" i="19"/>
  <c r="D69" i="19"/>
  <c r="F69" i="19" s="1"/>
  <c r="D7" i="19"/>
  <c r="D71" i="19"/>
  <c r="F71" i="19" s="1"/>
  <c r="D9" i="19"/>
  <c r="D73" i="19"/>
  <c r="F73" i="19" s="1"/>
  <c r="D11" i="19"/>
  <c r="D75" i="19"/>
  <c r="F75" i="19" s="1"/>
  <c r="D13" i="19"/>
  <c r="D77" i="19"/>
  <c r="F77" i="19" s="1"/>
  <c r="D15" i="19"/>
  <c r="D79" i="19"/>
  <c r="F79" i="19" s="1"/>
  <c r="D17" i="19"/>
  <c r="D81" i="19"/>
  <c r="F81" i="19" s="1"/>
  <c r="D19" i="19"/>
  <c r="D83" i="19"/>
  <c r="F83" i="19" s="1"/>
  <c r="D21" i="19"/>
  <c r="D85" i="19"/>
  <c r="F85" i="19" s="1"/>
  <c r="D23" i="19"/>
  <c r="D87" i="19"/>
  <c r="F87" i="19" s="1"/>
  <c r="D25" i="19"/>
  <c r="D89" i="19"/>
  <c r="F89" i="19" s="1"/>
  <c r="D27" i="19"/>
  <c r="D91" i="19"/>
  <c r="F91" i="19" s="1"/>
  <c r="D29" i="19"/>
  <c r="D93" i="19"/>
  <c r="F93" i="19" s="1"/>
  <c r="D31" i="19"/>
  <c r="D33" i="21"/>
  <c r="E95" i="26"/>
  <c r="C109" i="26" s="1"/>
  <c r="E64" i="26"/>
  <c r="F64" i="26" s="1"/>
  <c r="E95" i="27"/>
  <c r="C109" i="27" s="1"/>
  <c r="E64" i="27"/>
  <c r="F64" i="27" s="1"/>
  <c r="N37" i="63" s="1"/>
  <c r="E95" i="30"/>
  <c r="C109" i="30" s="1"/>
  <c r="E64" i="30"/>
  <c r="M34" i="63" s="1"/>
  <c r="D68" i="30"/>
  <c r="F68" i="30" s="1"/>
  <c r="D6" i="30"/>
  <c r="D70" i="30"/>
  <c r="F70" i="30" s="1"/>
  <c r="D8" i="30"/>
  <c r="D72" i="30"/>
  <c r="F72" i="30" s="1"/>
  <c r="D10" i="30"/>
  <c r="D74" i="30"/>
  <c r="F74" i="30" s="1"/>
  <c r="D12" i="30"/>
  <c r="D76" i="30"/>
  <c r="F76" i="30" s="1"/>
  <c r="D14" i="30"/>
  <c r="D78" i="30"/>
  <c r="F78" i="30" s="1"/>
  <c r="D16" i="30"/>
  <c r="D80" i="30"/>
  <c r="F80" i="30" s="1"/>
  <c r="D18" i="30"/>
  <c r="D82" i="30"/>
  <c r="F82" i="30" s="1"/>
  <c r="D20" i="30"/>
  <c r="D84" i="30"/>
  <c r="F84" i="30" s="1"/>
  <c r="D22" i="30"/>
  <c r="D86" i="30"/>
  <c r="F86" i="30" s="1"/>
  <c r="D24" i="30"/>
  <c r="D88" i="30"/>
  <c r="F88" i="30" s="1"/>
  <c r="D26" i="30"/>
  <c r="D90" i="30"/>
  <c r="F90" i="30" s="1"/>
  <c r="D28" i="30"/>
  <c r="D92" i="30"/>
  <c r="F92" i="30" s="1"/>
  <c r="D30" i="30"/>
  <c r="D94" i="30"/>
  <c r="F94" i="30" s="1"/>
  <c r="D32" i="30"/>
  <c r="E118" i="30"/>
  <c r="F113" i="30"/>
  <c r="F116" i="30"/>
  <c r="D64" i="31"/>
  <c r="D5" i="31"/>
  <c r="D67" i="31"/>
  <c r="F38" i="31"/>
  <c r="D69" i="31"/>
  <c r="F69" i="31" s="1"/>
  <c r="D7" i="31"/>
  <c r="F40" i="31"/>
  <c r="D9" i="31"/>
  <c r="D71" i="31"/>
  <c r="F71" i="31" s="1"/>
  <c r="F42" i="31"/>
  <c r="D73" i="31"/>
  <c r="F73" i="31" s="1"/>
  <c r="D11" i="31"/>
  <c r="F44" i="31"/>
  <c r="D13" i="31"/>
  <c r="D75" i="31"/>
  <c r="F75" i="31" s="1"/>
  <c r="F46" i="31"/>
  <c r="D77" i="31"/>
  <c r="F77" i="31" s="1"/>
  <c r="D15" i="31"/>
  <c r="F48" i="31"/>
  <c r="D17" i="31"/>
  <c r="D79" i="31"/>
  <c r="F79" i="31" s="1"/>
  <c r="F50" i="31"/>
  <c r="D81" i="31"/>
  <c r="F81" i="31" s="1"/>
  <c r="D19" i="31"/>
  <c r="F52" i="31"/>
  <c r="D21" i="31"/>
  <c r="D83" i="31"/>
  <c r="F83" i="31" s="1"/>
  <c r="F54" i="31"/>
  <c r="D85" i="31"/>
  <c r="F85" i="31" s="1"/>
  <c r="D23" i="31"/>
  <c r="F56" i="31"/>
  <c r="D25" i="31"/>
  <c r="D87" i="31"/>
  <c r="F87" i="31" s="1"/>
  <c r="F58" i="31"/>
  <c r="D89" i="31"/>
  <c r="F89" i="31" s="1"/>
  <c r="D27" i="31"/>
  <c r="F60" i="31"/>
  <c r="D29" i="31"/>
  <c r="D91" i="31"/>
  <c r="F91" i="31" s="1"/>
  <c r="F62" i="31"/>
  <c r="D93" i="31"/>
  <c r="F93" i="31" s="1"/>
  <c r="D31" i="31"/>
  <c r="E95" i="31"/>
  <c r="C109" i="31" s="1"/>
  <c r="E95" i="32"/>
  <c r="C109" i="32" s="1"/>
  <c r="E64" i="32"/>
  <c r="F64" i="32" s="1"/>
  <c r="F37" i="32"/>
  <c r="D68" i="32"/>
  <c r="D6" i="32"/>
  <c r="F39" i="32"/>
  <c r="D70" i="32"/>
  <c r="F70" i="32" s="1"/>
  <c r="D8" i="32"/>
  <c r="F41" i="32"/>
  <c r="D72" i="32"/>
  <c r="F72" i="32" s="1"/>
  <c r="D10" i="32"/>
  <c r="F43" i="32"/>
  <c r="D12" i="32"/>
  <c r="D74" i="32"/>
  <c r="F74" i="32" s="1"/>
  <c r="F45" i="32"/>
  <c r="D76" i="32"/>
  <c r="F76" i="32" s="1"/>
  <c r="D14" i="32"/>
  <c r="F47" i="32"/>
  <c r="D78" i="32"/>
  <c r="F78" i="32" s="1"/>
  <c r="D16" i="32"/>
  <c r="F49" i="32"/>
  <c r="D80" i="32"/>
  <c r="F80" i="32" s="1"/>
  <c r="D18" i="32"/>
  <c r="F51" i="32"/>
  <c r="D20" i="32"/>
  <c r="D82" i="32"/>
  <c r="F82" i="32" s="1"/>
  <c r="F53" i="32"/>
  <c r="D84" i="32"/>
  <c r="F84" i="32" s="1"/>
  <c r="D22" i="32"/>
  <c r="F55" i="32"/>
  <c r="D86" i="32"/>
  <c r="F86" i="32" s="1"/>
  <c r="D24" i="32"/>
  <c r="F57" i="32"/>
  <c r="D88" i="32"/>
  <c r="F88" i="32" s="1"/>
  <c r="D26" i="32"/>
  <c r="F59" i="32"/>
  <c r="D28" i="32"/>
  <c r="D90" i="32"/>
  <c r="F90" i="32" s="1"/>
  <c r="F61" i="32"/>
  <c r="D92" i="32"/>
  <c r="F92" i="32" s="1"/>
  <c r="D30" i="32"/>
  <c r="F63" i="32"/>
  <c r="D94" i="32"/>
  <c r="F94" i="32" s="1"/>
  <c r="D32" i="32"/>
  <c r="E118" i="32"/>
  <c r="F111" i="32"/>
  <c r="F115" i="32"/>
  <c r="E118" i="36"/>
  <c r="E95" i="36"/>
  <c r="C109" i="36" s="1"/>
  <c r="E64" i="36"/>
  <c r="F64" i="36" s="1"/>
  <c r="N28" i="63" s="1"/>
  <c r="F37" i="36"/>
  <c r="D68" i="36"/>
  <c r="D6" i="36"/>
  <c r="F39" i="36"/>
  <c r="D70" i="36"/>
  <c r="F70" i="36" s="1"/>
  <c r="D8" i="36"/>
  <c r="F41" i="36"/>
  <c r="D72" i="36"/>
  <c r="F72" i="36" s="1"/>
  <c r="D10" i="36"/>
  <c r="F43" i="36"/>
  <c r="D12" i="36"/>
  <c r="D74" i="36"/>
  <c r="F74" i="36" s="1"/>
  <c r="F45" i="36"/>
  <c r="D76" i="36"/>
  <c r="F76" i="36" s="1"/>
  <c r="D14" i="36"/>
  <c r="F47" i="36"/>
  <c r="D78" i="36"/>
  <c r="F78" i="36" s="1"/>
  <c r="D16" i="36"/>
  <c r="F49" i="36"/>
  <c r="D80" i="36"/>
  <c r="F80" i="36" s="1"/>
  <c r="D18" i="36"/>
  <c r="F51" i="36"/>
  <c r="D20" i="36"/>
  <c r="D82" i="36"/>
  <c r="F82" i="36" s="1"/>
  <c r="F53" i="36"/>
  <c r="D84" i="36"/>
  <c r="F84" i="36" s="1"/>
  <c r="D22" i="36"/>
  <c r="F55" i="36"/>
  <c r="D86" i="36"/>
  <c r="F86" i="36" s="1"/>
  <c r="D24" i="36"/>
  <c r="F57" i="36"/>
  <c r="D88" i="36"/>
  <c r="F88" i="36" s="1"/>
  <c r="D26" i="36"/>
  <c r="F59" i="36"/>
  <c r="D28" i="36"/>
  <c r="D90" i="36"/>
  <c r="F90" i="36" s="1"/>
  <c r="F61" i="36"/>
  <c r="D92" i="36"/>
  <c r="F92" i="36" s="1"/>
  <c r="D30" i="36"/>
  <c r="F63" i="36"/>
  <c r="D94" i="36"/>
  <c r="F94" i="36" s="1"/>
  <c r="D32" i="36"/>
  <c r="F62" i="46"/>
  <c r="D31" i="46"/>
  <c r="F60" i="46"/>
  <c r="D29" i="46"/>
  <c r="F58" i="46"/>
  <c r="D27" i="46"/>
  <c r="F56" i="46"/>
  <c r="D25" i="46"/>
  <c r="F54" i="46"/>
  <c r="D23" i="46"/>
  <c r="F52" i="46"/>
  <c r="D21" i="46"/>
  <c r="F50" i="46"/>
  <c r="D19" i="46"/>
  <c r="F48" i="46"/>
  <c r="D17" i="46"/>
  <c r="F46" i="46"/>
  <c r="D15" i="46"/>
  <c r="F44" i="46"/>
  <c r="D13" i="46"/>
  <c r="F42" i="46"/>
  <c r="D11" i="46"/>
  <c r="D64" i="46"/>
  <c r="F64" i="46" s="1"/>
  <c r="N18" i="63" s="1"/>
  <c r="D94" i="48"/>
  <c r="F94" i="48" s="1"/>
  <c r="D32" i="48"/>
  <c r="D92" i="48"/>
  <c r="F92" i="48" s="1"/>
  <c r="D30" i="48"/>
  <c r="D90" i="48"/>
  <c r="F90" i="48" s="1"/>
  <c r="D28" i="48"/>
  <c r="D88" i="48"/>
  <c r="F88" i="48" s="1"/>
  <c r="D26" i="48"/>
  <c r="D86" i="48"/>
  <c r="F86" i="48" s="1"/>
  <c r="D24" i="48"/>
  <c r="D84" i="48"/>
  <c r="F84" i="48" s="1"/>
  <c r="D22" i="48"/>
  <c r="D82" i="48"/>
  <c r="F82" i="48" s="1"/>
  <c r="D20" i="48"/>
  <c r="D80" i="48"/>
  <c r="F80" i="48" s="1"/>
  <c r="D18" i="48"/>
  <c r="D78" i="48"/>
  <c r="F78" i="48" s="1"/>
  <c r="D16" i="48"/>
  <c r="D76" i="48"/>
  <c r="F76" i="48" s="1"/>
  <c r="D14" i="48"/>
  <c r="D74" i="48"/>
  <c r="F74" i="48" s="1"/>
  <c r="D12" i="48"/>
  <c r="D72" i="48"/>
  <c r="F72" i="48" s="1"/>
  <c r="D10" i="48"/>
  <c r="D70" i="48"/>
  <c r="F70" i="48" s="1"/>
  <c r="D8" i="48"/>
  <c r="D68" i="48"/>
  <c r="F68" i="48" s="1"/>
  <c r="D6" i="48"/>
  <c r="F62" i="50"/>
  <c r="D31" i="50"/>
  <c r="F60" i="50"/>
  <c r="D29" i="50"/>
  <c r="F58" i="50"/>
  <c r="D27" i="50"/>
  <c r="F56" i="50"/>
  <c r="D25" i="50"/>
  <c r="F54" i="50"/>
  <c r="D23" i="50"/>
  <c r="F52" i="50"/>
  <c r="D21" i="50"/>
  <c r="F50" i="50"/>
  <c r="D19" i="50"/>
  <c r="F48" i="50"/>
  <c r="D17" i="50"/>
  <c r="F46" i="50"/>
  <c r="D15" i="50"/>
  <c r="F44" i="50"/>
  <c r="D13" i="50"/>
  <c r="F42" i="50"/>
  <c r="D11" i="50"/>
  <c r="D64" i="50"/>
  <c r="F64" i="50" s="1"/>
  <c r="N14" i="63" s="1"/>
  <c r="D118" i="51"/>
  <c r="E105" i="51"/>
  <c r="E95" i="51"/>
  <c r="C109" i="51" s="1"/>
  <c r="E64" i="51"/>
  <c r="M13" i="63" s="1"/>
  <c r="F63" i="55"/>
  <c r="D32" i="55"/>
  <c r="F61" i="55"/>
  <c r="D30" i="55"/>
  <c r="F59" i="55"/>
  <c r="D28" i="55"/>
  <c r="F57" i="55"/>
  <c r="N9" i="63" s="1"/>
  <c r="D26" i="55"/>
  <c r="F55" i="55"/>
  <c r="D24" i="55"/>
  <c r="F53" i="55"/>
  <c r="D22" i="55"/>
  <c r="F51" i="55"/>
  <c r="D20" i="55"/>
  <c r="F49" i="55"/>
  <c r="D18" i="55"/>
  <c r="F47" i="55"/>
  <c r="D16" i="55"/>
  <c r="F45" i="55"/>
  <c r="D14" i="55"/>
  <c r="F43" i="55"/>
  <c r="D12" i="55"/>
  <c r="F41" i="55"/>
  <c r="D10" i="55"/>
  <c r="F39" i="55"/>
  <c r="D8" i="55"/>
  <c r="F69" i="38"/>
  <c r="F71" i="38"/>
  <c r="F75" i="38"/>
  <c r="F79" i="38"/>
  <c r="F81" i="38"/>
  <c r="D83" i="38"/>
  <c r="F83" i="38" s="1"/>
  <c r="D21" i="38"/>
  <c r="D85" i="38"/>
  <c r="F85" i="38" s="1"/>
  <c r="D23" i="38"/>
  <c r="D87" i="38"/>
  <c r="F87" i="38" s="1"/>
  <c r="D25" i="38"/>
  <c r="D89" i="38"/>
  <c r="F89" i="38" s="1"/>
  <c r="D27" i="38"/>
  <c r="D91" i="38"/>
  <c r="F91" i="38" s="1"/>
  <c r="D29" i="38"/>
  <c r="D93" i="38"/>
  <c r="F93" i="38" s="1"/>
  <c r="D31" i="38"/>
  <c r="F111" i="15"/>
  <c r="E118" i="21"/>
  <c r="F94" i="23"/>
  <c r="F90" i="23"/>
  <c r="F86" i="23"/>
  <c r="F82" i="23"/>
  <c r="F78" i="23"/>
  <c r="F70" i="23"/>
  <c r="F115" i="25"/>
  <c r="F38" i="25"/>
  <c r="F42" i="25"/>
  <c r="F46" i="25"/>
  <c r="F48" i="25"/>
  <c r="F50" i="25"/>
  <c r="F52" i="25"/>
  <c r="F54" i="25"/>
  <c r="F56" i="25"/>
  <c r="F58" i="25"/>
  <c r="F60" i="25"/>
  <c r="F62" i="25"/>
  <c r="F110" i="25"/>
  <c r="F112" i="25"/>
  <c r="F114" i="25"/>
  <c r="F37" i="26"/>
  <c r="D6" i="26"/>
  <c r="F39" i="26"/>
  <c r="D8" i="26"/>
  <c r="F41" i="26"/>
  <c r="D10" i="26"/>
  <c r="F43" i="26"/>
  <c r="D12" i="26"/>
  <c r="F45" i="26"/>
  <c r="D14" i="26"/>
  <c r="F47" i="26"/>
  <c r="D16" i="26"/>
  <c r="F49" i="26"/>
  <c r="D18" i="26"/>
  <c r="F51" i="26"/>
  <c r="D20" i="26"/>
  <c r="F53" i="26"/>
  <c r="D22" i="26"/>
  <c r="F55" i="26"/>
  <c r="D24" i="26"/>
  <c r="F57" i="26"/>
  <c r="D26" i="26"/>
  <c r="F59" i="26"/>
  <c r="D28" i="26"/>
  <c r="F61" i="26"/>
  <c r="D30" i="26"/>
  <c r="F63" i="26"/>
  <c r="D32" i="26"/>
  <c r="E118" i="26"/>
  <c r="F111" i="26"/>
  <c r="F113" i="26"/>
  <c r="F115" i="26"/>
  <c r="F116" i="26"/>
  <c r="F38" i="27"/>
  <c r="F40" i="27"/>
  <c r="F42" i="27"/>
  <c r="F44" i="27"/>
  <c r="F46" i="27"/>
  <c r="F48" i="27"/>
  <c r="F50" i="27"/>
  <c r="F52" i="27"/>
  <c r="D21" i="27"/>
  <c r="F54" i="27"/>
  <c r="D23" i="27"/>
  <c r="F56" i="27"/>
  <c r="D25" i="27"/>
  <c r="F58" i="27"/>
  <c r="D27" i="27"/>
  <c r="F60" i="27"/>
  <c r="D29" i="27"/>
  <c r="F62" i="27"/>
  <c r="D31" i="27"/>
  <c r="E64" i="28"/>
  <c r="M36" i="63" s="1"/>
  <c r="F37" i="28"/>
  <c r="F39" i="28"/>
  <c r="F41" i="28"/>
  <c r="F43" i="28"/>
  <c r="F45" i="28"/>
  <c r="F47" i="28"/>
  <c r="F49" i="28"/>
  <c r="F51" i="28"/>
  <c r="F53" i="28"/>
  <c r="F55" i="28"/>
  <c r="F57" i="28"/>
  <c r="F59" i="28"/>
  <c r="F61" i="28"/>
  <c r="F63" i="28"/>
  <c r="E118" i="28"/>
  <c r="F111" i="28"/>
  <c r="F113" i="28"/>
  <c r="F115" i="28"/>
  <c r="F116" i="28"/>
  <c r="F38" i="29"/>
  <c r="F42" i="29"/>
  <c r="F44" i="29"/>
  <c r="F46" i="29"/>
  <c r="F48" i="29"/>
  <c r="F50" i="29"/>
  <c r="F52" i="29"/>
  <c r="F54" i="29"/>
  <c r="F56" i="29"/>
  <c r="F58" i="29"/>
  <c r="F60" i="29"/>
  <c r="F62" i="29"/>
  <c r="D118" i="37"/>
  <c r="E105" i="37"/>
  <c r="D64" i="37"/>
  <c r="D5" i="37"/>
  <c r="F38" i="37"/>
  <c r="D7" i="37"/>
  <c r="F40" i="37"/>
  <c r="D9" i="37"/>
  <c r="F42" i="37"/>
  <c r="D11" i="37"/>
  <c r="F44" i="37"/>
  <c r="D13" i="37"/>
  <c r="F46" i="37"/>
  <c r="D15" i="37"/>
  <c r="F48" i="37"/>
  <c r="D17" i="37"/>
  <c r="F50" i="37"/>
  <c r="D19" i="37"/>
  <c r="F52" i="37"/>
  <c r="D21" i="37"/>
  <c r="F54" i="37"/>
  <c r="D23" i="37"/>
  <c r="F56" i="37"/>
  <c r="D25" i="37"/>
  <c r="F58" i="37"/>
  <c r="D27" i="37"/>
  <c r="F60" i="37"/>
  <c r="D29" i="37"/>
  <c r="F62" i="37"/>
  <c r="D31" i="37"/>
  <c r="E64" i="39"/>
  <c r="M25" i="63" s="1"/>
  <c r="E95" i="39"/>
  <c r="C109" i="39" s="1"/>
  <c r="D64" i="39"/>
  <c r="F64" i="39" s="1"/>
  <c r="N25" i="63" s="1"/>
  <c r="D5" i="39"/>
  <c r="F38" i="39"/>
  <c r="D7" i="39"/>
  <c r="F40" i="39"/>
  <c r="D9" i="39"/>
  <c r="F42" i="39"/>
  <c r="D11" i="39"/>
  <c r="F44" i="39"/>
  <c r="D13" i="39"/>
  <c r="F46" i="39"/>
  <c r="D15" i="39"/>
  <c r="F48" i="39"/>
  <c r="D17" i="39"/>
  <c r="F50" i="39"/>
  <c r="D19" i="39"/>
  <c r="F52" i="39"/>
  <c r="D21" i="39"/>
  <c r="F54" i="39"/>
  <c r="D23" i="39"/>
  <c r="F56" i="39"/>
  <c r="D25" i="39"/>
  <c r="F58" i="39"/>
  <c r="D27" i="39"/>
  <c r="F60" i="39"/>
  <c r="D29" i="39"/>
  <c r="F62" i="39"/>
  <c r="D31" i="39"/>
  <c r="E95" i="41"/>
  <c r="C109" i="41" s="1"/>
  <c r="E64" i="41"/>
  <c r="M23" i="63" s="1"/>
  <c r="D80" i="41"/>
  <c r="F80" i="41" s="1"/>
  <c r="D18" i="41"/>
  <c r="D82" i="41"/>
  <c r="F82" i="41" s="1"/>
  <c r="D20" i="41"/>
  <c r="D84" i="41"/>
  <c r="F84" i="41" s="1"/>
  <c r="D22" i="41"/>
  <c r="D86" i="41"/>
  <c r="F86" i="41" s="1"/>
  <c r="D24" i="41"/>
  <c r="D88" i="41"/>
  <c r="F88" i="41" s="1"/>
  <c r="D26" i="41"/>
  <c r="D90" i="41"/>
  <c r="F90" i="41" s="1"/>
  <c r="D28" i="41"/>
  <c r="D92" i="41"/>
  <c r="F92" i="41" s="1"/>
  <c r="D30" i="41"/>
  <c r="D94" i="41"/>
  <c r="F94" i="41" s="1"/>
  <c r="D32" i="41"/>
  <c r="E118" i="41"/>
  <c r="F113" i="41"/>
  <c r="F116" i="41"/>
  <c r="F40" i="52"/>
  <c r="D9" i="52"/>
  <c r="F42" i="52"/>
  <c r="D11" i="52"/>
  <c r="F44" i="52"/>
  <c r="D13" i="52"/>
  <c r="F46" i="52"/>
  <c r="D15" i="52"/>
  <c r="F48" i="52"/>
  <c r="D17" i="52"/>
  <c r="F50" i="52"/>
  <c r="D19" i="52"/>
  <c r="F52" i="52"/>
  <c r="D21" i="52"/>
  <c r="F54" i="52"/>
  <c r="D23" i="52"/>
  <c r="F56" i="52"/>
  <c r="D25" i="52"/>
  <c r="F58" i="52"/>
  <c r="D27" i="52"/>
  <c r="F60" i="52"/>
  <c r="D29" i="52"/>
  <c r="F62" i="52"/>
  <c r="D31" i="52"/>
  <c r="E95" i="54"/>
  <c r="C109" i="54" s="1"/>
  <c r="E64" i="54"/>
  <c r="M10" i="63" s="1"/>
  <c r="D68" i="54"/>
  <c r="F68" i="54" s="1"/>
  <c r="D6" i="54"/>
  <c r="D70" i="54"/>
  <c r="F70" i="54" s="1"/>
  <c r="D8" i="54"/>
  <c r="D72" i="54"/>
  <c r="F72" i="54" s="1"/>
  <c r="D10" i="54"/>
  <c r="D74" i="54"/>
  <c r="F74" i="54" s="1"/>
  <c r="D12" i="54"/>
  <c r="D76" i="54"/>
  <c r="F76" i="54" s="1"/>
  <c r="D14" i="54"/>
  <c r="D78" i="54"/>
  <c r="F78" i="54" s="1"/>
  <c r="D16" i="54"/>
  <c r="D80" i="54"/>
  <c r="F80" i="54" s="1"/>
  <c r="D18" i="54"/>
  <c r="D82" i="54"/>
  <c r="F82" i="54" s="1"/>
  <c r="D20" i="54"/>
  <c r="D84" i="54"/>
  <c r="F84" i="54" s="1"/>
  <c r="D22" i="54"/>
  <c r="D86" i="54"/>
  <c r="F86" i="54" s="1"/>
  <c r="D24" i="54"/>
  <c r="D88" i="54"/>
  <c r="F88" i="54" s="1"/>
  <c r="D26" i="54"/>
  <c r="D90" i="54"/>
  <c r="F90" i="54" s="1"/>
  <c r="D28" i="54"/>
  <c r="D92" i="54"/>
  <c r="F92" i="54" s="1"/>
  <c r="D30" i="54"/>
  <c r="D94" i="54"/>
  <c r="F94" i="54" s="1"/>
  <c r="D32" i="54"/>
  <c r="E118" i="54"/>
  <c r="F113" i="54"/>
  <c r="F116" i="54"/>
  <c r="F56" i="56"/>
  <c r="D25" i="56"/>
  <c r="F46" i="56"/>
  <c r="D15" i="56"/>
  <c r="D64" i="56"/>
  <c r="F110" i="56"/>
  <c r="F114" i="56"/>
  <c r="E118" i="34"/>
  <c r="F61" i="40"/>
  <c r="D30" i="40"/>
  <c r="F57" i="40"/>
  <c r="D26" i="40"/>
  <c r="F53" i="40"/>
  <c r="D22" i="40"/>
  <c r="F49" i="40"/>
  <c r="D18" i="40"/>
  <c r="F45" i="40"/>
  <c r="D14" i="40"/>
  <c r="F41" i="40"/>
  <c r="D10" i="40"/>
  <c r="F37" i="40"/>
  <c r="D6" i="40"/>
  <c r="E118" i="40"/>
  <c r="F113" i="40"/>
  <c r="E95" i="42"/>
  <c r="C109" i="42" s="1"/>
  <c r="E64" i="42"/>
  <c r="F64" i="42" s="1"/>
  <c r="F37" i="42"/>
  <c r="D6" i="42"/>
  <c r="F39" i="42"/>
  <c r="D8" i="42"/>
  <c r="F41" i="42"/>
  <c r="D10" i="42"/>
  <c r="F43" i="42"/>
  <c r="D12" i="42"/>
  <c r="F45" i="42"/>
  <c r="D14" i="42"/>
  <c r="F47" i="42"/>
  <c r="D16" i="42"/>
  <c r="F49" i="42"/>
  <c r="D18" i="42"/>
  <c r="F51" i="42"/>
  <c r="D20" i="42"/>
  <c r="F53" i="42"/>
  <c r="D22" i="42"/>
  <c r="F55" i="42"/>
  <c r="D24" i="42"/>
  <c r="F57" i="42"/>
  <c r="D26" i="42"/>
  <c r="F59" i="42"/>
  <c r="D28" i="42"/>
  <c r="F61" i="42"/>
  <c r="D30" i="42"/>
  <c r="F63" i="42"/>
  <c r="D32" i="42"/>
  <c r="E118" i="42"/>
  <c r="F113" i="42"/>
  <c r="F116" i="42"/>
  <c r="F62" i="43"/>
  <c r="D31" i="43"/>
  <c r="F58" i="43"/>
  <c r="D27" i="43"/>
  <c r="F54" i="43"/>
  <c r="D23" i="43"/>
  <c r="F50" i="43"/>
  <c r="D19" i="43"/>
  <c r="F46" i="43"/>
  <c r="D15" i="43"/>
  <c r="F42" i="43"/>
  <c r="D11" i="43"/>
  <c r="F38" i="43"/>
  <c r="D7" i="43"/>
  <c r="E64" i="43"/>
  <c r="M21" i="63" s="1"/>
  <c r="E95" i="43"/>
  <c r="C109" i="43" s="1"/>
  <c r="E105" i="43"/>
  <c r="D68" i="44"/>
  <c r="F68" i="44" s="1"/>
  <c r="D6" i="44"/>
  <c r="D70" i="44"/>
  <c r="F70" i="44" s="1"/>
  <c r="D8" i="44"/>
  <c r="D72" i="44"/>
  <c r="F72" i="44" s="1"/>
  <c r="D10" i="44"/>
  <c r="D74" i="44"/>
  <c r="F74" i="44" s="1"/>
  <c r="D12" i="44"/>
  <c r="D76" i="44"/>
  <c r="F76" i="44" s="1"/>
  <c r="D14" i="44"/>
  <c r="D78" i="44"/>
  <c r="F78" i="44" s="1"/>
  <c r="D16" i="44"/>
  <c r="D80" i="44"/>
  <c r="F80" i="44" s="1"/>
  <c r="D18" i="44"/>
  <c r="D82" i="44"/>
  <c r="F82" i="44" s="1"/>
  <c r="D20" i="44"/>
  <c r="D84" i="44"/>
  <c r="F84" i="44" s="1"/>
  <c r="D22" i="44"/>
  <c r="D86" i="44"/>
  <c r="F86" i="44" s="1"/>
  <c r="D24" i="44"/>
  <c r="D88" i="44"/>
  <c r="F88" i="44" s="1"/>
  <c r="D26" i="44"/>
  <c r="D90" i="44"/>
  <c r="F90" i="44" s="1"/>
  <c r="D28" i="44"/>
  <c r="D92" i="44"/>
  <c r="F92" i="44" s="1"/>
  <c r="D30" i="44"/>
  <c r="D94" i="44"/>
  <c r="F94" i="44" s="1"/>
  <c r="D32" i="44"/>
  <c r="E118" i="44"/>
  <c r="F111" i="44"/>
  <c r="F115" i="44"/>
  <c r="D67" i="45"/>
  <c r="F67" i="45" s="1"/>
  <c r="D5" i="45"/>
  <c r="D69" i="45"/>
  <c r="F69" i="45" s="1"/>
  <c r="D7" i="45"/>
  <c r="D71" i="45"/>
  <c r="F71" i="45" s="1"/>
  <c r="D9" i="45"/>
  <c r="D73" i="45"/>
  <c r="F73" i="45" s="1"/>
  <c r="D11" i="45"/>
  <c r="D75" i="45"/>
  <c r="F75" i="45" s="1"/>
  <c r="D13" i="45"/>
  <c r="D77" i="45"/>
  <c r="F77" i="45" s="1"/>
  <c r="D15" i="45"/>
  <c r="D79" i="45"/>
  <c r="F79" i="45" s="1"/>
  <c r="D17" i="45"/>
  <c r="D81" i="45"/>
  <c r="F81" i="45" s="1"/>
  <c r="D19" i="45"/>
  <c r="D83" i="45"/>
  <c r="F83" i="45" s="1"/>
  <c r="D21" i="45"/>
  <c r="D85" i="45"/>
  <c r="F85" i="45" s="1"/>
  <c r="D23" i="45"/>
  <c r="D87" i="45"/>
  <c r="F87" i="45" s="1"/>
  <c r="D25" i="45"/>
  <c r="D89" i="45"/>
  <c r="F89" i="45" s="1"/>
  <c r="D27" i="45"/>
  <c r="D91" i="45"/>
  <c r="F91" i="45" s="1"/>
  <c r="D29" i="45"/>
  <c r="D93" i="45"/>
  <c r="F93" i="45" s="1"/>
  <c r="D31" i="45"/>
  <c r="E118" i="47"/>
  <c r="F63" i="47"/>
  <c r="D32" i="47"/>
  <c r="F59" i="47"/>
  <c r="D28" i="47"/>
  <c r="F55" i="47"/>
  <c r="D24" i="47"/>
  <c r="F51" i="47"/>
  <c r="D20" i="47"/>
  <c r="F47" i="47"/>
  <c r="D16" i="47"/>
  <c r="F43" i="47"/>
  <c r="D12" i="47"/>
  <c r="E64" i="47"/>
  <c r="M17" i="63" s="1"/>
  <c r="E95" i="47"/>
  <c r="C109" i="47" s="1"/>
  <c r="E105" i="47"/>
  <c r="F61" i="49"/>
  <c r="D30" i="49"/>
  <c r="F57" i="49"/>
  <c r="D26" i="49"/>
  <c r="F53" i="49"/>
  <c r="D22" i="49"/>
  <c r="F49" i="49"/>
  <c r="D18" i="49"/>
  <c r="F45" i="49"/>
  <c r="D14" i="49"/>
  <c r="F112" i="49"/>
  <c r="F115" i="52"/>
  <c r="F111" i="52"/>
  <c r="D67" i="53"/>
  <c r="F67" i="53" s="1"/>
  <c r="D5" i="53"/>
  <c r="D69" i="53"/>
  <c r="F69" i="53" s="1"/>
  <c r="D7" i="53"/>
  <c r="D71" i="53"/>
  <c r="F71" i="53" s="1"/>
  <c r="D9" i="53"/>
  <c r="D73" i="53"/>
  <c r="F73" i="53" s="1"/>
  <c r="D11" i="53"/>
  <c r="D75" i="53"/>
  <c r="F75" i="53" s="1"/>
  <c r="D13" i="53"/>
  <c r="D77" i="53"/>
  <c r="F77" i="53" s="1"/>
  <c r="D15" i="53"/>
  <c r="D79" i="53"/>
  <c r="F79" i="53" s="1"/>
  <c r="D17" i="53"/>
  <c r="D81" i="53"/>
  <c r="F81" i="53" s="1"/>
  <c r="D19" i="53"/>
  <c r="D83" i="53"/>
  <c r="F83" i="53" s="1"/>
  <c r="D21" i="53"/>
  <c r="D85" i="53"/>
  <c r="F85" i="53" s="1"/>
  <c r="D23" i="53"/>
  <c r="D87" i="53"/>
  <c r="F87" i="53" s="1"/>
  <c r="D25" i="53"/>
  <c r="D89" i="53"/>
  <c r="F89" i="53" s="1"/>
  <c r="D27" i="53"/>
  <c r="D91" i="53"/>
  <c r="F91" i="53" s="1"/>
  <c r="D29" i="53"/>
  <c r="D93" i="53"/>
  <c r="F93" i="53" s="1"/>
  <c r="D31" i="53"/>
  <c r="F114" i="54"/>
  <c r="F110" i="54"/>
  <c r="F115" i="56"/>
  <c r="F111" i="56"/>
  <c r="D92" i="56"/>
  <c r="F92" i="56" s="1"/>
  <c r="D30" i="56"/>
  <c r="D88" i="56"/>
  <c r="F88" i="56" s="1"/>
  <c r="D26" i="56"/>
  <c r="D84" i="56"/>
  <c r="F84" i="56" s="1"/>
  <c r="D22" i="56"/>
  <c r="D80" i="56"/>
  <c r="F80" i="56" s="1"/>
  <c r="D18" i="56"/>
  <c r="D76" i="56"/>
  <c r="F76" i="56" s="1"/>
  <c r="D14" i="56"/>
  <c r="D72" i="56"/>
  <c r="F72" i="56" s="1"/>
  <c r="D10" i="56"/>
  <c r="D68" i="56"/>
  <c r="F68" i="56" s="1"/>
  <c r="D6" i="56"/>
  <c r="F85" i="57"/>
  <c r="F69" i="57"/>
  <c r="F71" i="49"/>
  <c r="F69" i="51"/>
  <c r="F113" i="52"/>
  <c r="E95" i="52"/>
  <c r="C109" i="52" s="1"/>
  <c r="F58" i="56"/>
  <c r="D27" i="56"/>
  <c r="F52" i="56"/>
  <c r="D21" i="56"/>
  <c r="F44" i="56"/>
  <c r="D13" i="56"/>
  <c r="F38" i="56"/>
  <c r="D7" i="56"/>
  <c r="F64" i="7"/>
  <c r="N57" i="63" s="1"/>
  <c r="D33" i="31"/>
  <c r="F64" i="51"/>
  <c r="N13" i="63" s="1"/>
  <c r="F62" i="1"/>
  <c r="D31" i="1"/>
  <c r="F60" i="1"/>
  <c r="D29" i="1"/>
  <c r="F58" i="1"/>
  <c r="D27" i="1"/>
  <c r="F56" i="1"/>
  <c r="D25" i="1"/>
  <c r="F54" i="1"/>
  <c r="D23" i="1"/>
  <c r="F52" i="1"/>
  <c r="D21" i="1"/>
  <c r="F50" i="1"/>
  <c r="D19" i="1"/>
  <c r="F48" i="1"/>
  <c r="D17" i="1"/>
  <c r="F46" i="1"/>
  <c r="D15" i="1"/>
  <c r="F44" i="1"/>
  <c r="D13" i="1"/>
  <c r="F42" i="1"/>
  <c r="D11" i="1"/>
  <c r="F40" i="1"/>
  <c r="D9" i="1"/>
  <c r="F38" i="1"/>
  <c r="D7" i="1"/>
  <c r="D64" i="1"/>
  <c r="F64" i="1" s="1"/>
  <c r="N63" i="63" s="1"/>
  <c r="D5" i="1"/>
  <c r="F114" i="1"/>
  <c r="F112" i="1"/>
  <c r="F110" i="1"/>
  <c r="F63" i="59"/>
  <c r="D32" i="59"/>
  <c r="F61" i="59"/>
  <c r="D30" i="59"/>
  <c r="F59" i="59"/>
  <c r="D28" i="59"/>
  <c r="F57" i="59"/>
  <c r="D26" i="59"/>
  <c r="F55" i="59"/>
  <c r="D24" i="59"/>
  <c r="F53" i="59"/>
  <c r="D22" i="59"/>
  <c r="F51" i="59"/>
  <c r="D20" i="59"/>
  <c r="F49" i="59"/>
  <c r="D18" i="59"/>
  <c r="F47" i="59"/>
  <c r="D16" i="59"/>
  <c r="F45" i="59"/>
  <c r="D14" i="59"/>
  <c r="F43" i="59"/>
  <c r="D12" i="59"/>
  <c r="F41" i="59"/>
  <c r="D10" i="59"/>
  <c r="F39" i="59"/>
  <c r="D8" i="59"/>
  <c r="F115" i="59"/>
  <c r="D118" i="59"/>
  <c r="E105" i="59"/>
  <c r="E95" i="59"/>
  <c r="C109" i="59" s="1"/>
  <c r="E64" i="59"/>
  <c r="F64" i="59" s="1"/>
  <c r="N62" i="63" s="1"/>
  <c r="D118" i="4"/>
  <c r="E105" i="4"/>
  <c r="E95" i="4"/>
  <c r="C109" i="4" s="1"/>
  <c r="E64" i="4"/>
  <c r="M60" i="63" s="1"/>
  <c r="D94" i="6"/>
  <c r="F94" i="6" s="1"/>
  <c r="D32" i="6"/>
  <c r="D92" i="6"/>
  <c r="F92" i="6" s="1"/>
  <c r="D30" i="6"/>
  <c r="D90" i="6"/>
  <c r="F90" i="6" s="1"/>
  <c r="D28" i="6"/>
  <c r="D88" i="6"/>
  <c r="F88" i="6" s="1"/>
  <c r="D26" i="6"/>
  <c r="D86" i="6"/>
  <c r="F86" i="6" s="1"/>
  <c r="D24" i="6"/>
  <c r="D84" i="6"/>
  <c r="F84" i="6" s="1"/>
  <c r="D22" i="6"/>
  <c r="D82" i="6"/>
  <c r="F82" i="6" s="1"/>
  <c r="D20" i="6"/>
  <c r="D80" i="6"/>
  <c r="F80" i="6" s="1"/>
  <c r="D18" i="6"/>
  <c r="D78" i="6"/>
  <c r="F78" i="6" s="1"/>
  <c r="D16" i="6"/>
  <c r="D76" i="6"/>
  <c r="F76" i="6" s="1"/>
  <c r="D14" i="6"/>
  <c r="D74" i="6"/>
  <c r="F74" i="6" s="1"/>
  <c r="D12" i="6"/>
  <c r="D72" i="6"/>
  <c r="F72" i="6" s="1"/>
  <c r="D10" i="6"/>
  <c r="D70" i="6"/>
  <c r="F70" i="6" s="1"/>
  <c r="D8" i="6"/>
  <c r="D68" i="6"/>
  <c r="F68" i="6" s="1"/>
  <c r="D6" i="6"/>
  <c r="F114" i="7"/>
  <c r="F115" i="7"/>
  <c r="D93" i="7"/>
  <c r="F93" i="7" s="1"/>
  <c r="D31" i="7"/>
  <c r="D91" i="7"/>
  <c r="F91" i="7" s="1"/>
  <c r="D29" i="7"/>
  <c r="D89" i="7"/>
  <c r="F89" i="7" s="1"/>
  <c r="D27" i="7"/>
  <c r="D87" i="7"/>
  <c r="F87" i="7" s="1"/>
  <c r="D25" i="7"/>
  <c r="D85" i="7"/>
  <c r="F85" i="7" s="1"/>
  <c r="D23" i="7"/>
  <c r="D83" i="7"/>
  <c r="F83" i="7" s="1"/>
  <c r="D21" i="7"/>
  <c r="D81" i="7"/>
  <c r="F81" i="7" s="1"/>
  <c r="D19" i="7"/>
  <c r="D79" i="7"/>
  <c r="F79" i="7" s="1"/>
  <c r="D17" i="7"/>
  <c r="D77" i="7"/>
  <c r="F77" i="7" s="1"/>
  <c r="D15" i="7"/>
  <c r="D75" i="7"/>
  <c r="F75" i="7" s="1"/>
  <c r="D13" i="7"/>
  <c r="D73" i="7"/>
  <c r="F73" i="7" s="1"/>
  <c r="D11" i="7"/>
  <c r="D71" i="7"/>
  <c r="F71" i="7" s="1"/>
  <c r="D9" i="7"/>
  <c r="F69" i="7"/>
  <c r="F62" i="8"/>
  <c r="D31" i="8"/>
  <c r="F60" i="8"/>
  <c r="D29" i="8"/>
  <c r="F58" i="8"/>
  <c r="D27" i="8"/>
  <c r="F56" i="8"/>
  <c r="D25" i="8"/>
  <c r="F54" i="8"/>
  <c r="D23" i="8"/>
  <c r="F52" i="8"/>
  <c r="D21" i="8"/>
  <c r="F50" i="8"/>
  <c r="D19" i="8"/>
  <c r="F48" i="8"/>
  <c r="D17" i="8"/>
  <c r="F46" i="8"/>
  <c r="D15" i="8"/>
  <c r="F44" i="8"/>
  <c r="D13" i="8"/>
  <c r="F42" i="8"/>
  <c r="D11" i="8"/>
  <c r="F40" i="8"/>
  <c r="D9" i="8"/>
  <c r="F38" i="8"/>
  <c r="D7" i="8"/>
  <c r="D64" i="8"/>
  <c r="F64" i="8" s="1"/>
  <c r="N56" i="63" s="1"/>
  <c r="D5" i="8"/>
  <c r="E105" i="9"/>
  <c r="E95" i="9"/>
  <c r="C109" i="9" s="1"/>
  <c r="E64" i="9"/>
  <c r="F64" i="9" s="1"/>
  <c r="E118" i="10"/>
  <c r="E105" i="10"/>
  <c r="E95" i="10"/>
  <c r="C109" i="10" s="1"/>
  <c r="E64" i="10"/>
  <c r="M54" i="63" s="1"/>
  <c r="D118" i="11"/>
  <c r="E105" i="11"/>
  <c r="E95" i="11"/>
  <c r="C109" i="11" s="1"/>
  <c r="E64" i="11"/>
  <c r="M53" i="63" s="1"/>
  <c r="D118" i="12"/>
  <c r="E105" i="12"/>
  <c r="E95" i="12"/>
  <c r="C109" i="12" s="1"/>
  <c r="E64" i="12"/>
  <c r="F64" i="12" s="1"/>
  <c r="N52" i="63" s="1"/>
  <c r="F63" i="9"/>
  <c r="D32" i="9"/>
  <c r="F61" i="9"/>
  <c r="D30" i="9"/>
  <c r="F59" i="9"/>
  <c r="D28" i="9"/>
  <c r="F57" i="9"/>
  <c r="D26" i="9"/>
  <c r="F55" i="9"/>
  <c r="D24" i="9"/>
  <c r="F53" i="9"/>
  <c r="D22" i="9"/>
  <c r="F51" i="9"/>
  <c r="D20" i="9"/>
  <c r="F49" i="9"/>
  <c r="D18" i="9"/>
  <c r="F47" i="9"/>
  <c r="D16" i="9"/>
  <c r="F45" i="9"/>
  <c r="D14" i="9"/>
  <c r="F43" i="9"/>
  <c r="D12" i="9"/>
  <c r="F41" i="9"/>
  <c r="D10" i="9"/>
  <c r="F39" i="9"/>
  <c r="D8" i="9"/>
  <c r="F37" i="9"/>
  <c r="D6" i="9"/>
  <c r="F111" i="9"/>
  <c r="F113" i="9"/>
  <c r="F115" i="9"/>
  <c r="F116" i="9"/>
  <c r="F114" i="10"/>
  <c r="F112" i="10"/>
  <c r="F110" i="10"/>
  <c r="F62" i="10"/>
  <c r="D31" i="10"/>
  <c r="F60" i="10"/>
  <c r="D29" i="10"/>
  <c r="F58" i="10"/>
  <c r="D27" i="10"/>
  <c r="F56" i="10"/>
  <c r="D25" i="10"/>
  <c r="F54" i="10"/>
  <c r="D23" i="10"/>
  <c r="F52" i="10"/>
  <c r="D21" i="10"/>
  <c r="F50" i="10"/>
  <c r="D19" i="10"/>
  <c r="F48" i="10"/>
  <c r="D17" i="10"/>
  <c r="F46" i="10"/>
  <c r="D15" i="10"/>
  <c r="F44" i="10"/>
  <c r="D13" i="10"/>
  <c r="F42" i="10"/>
  <c r="D11" i="10"/>
  <c r="F40" i="10"/>
  <c r="D9" i="10"/>
  <c r="F38" i="10"/>
  <c r="D7" i="10"/>
  <c r="D64" i="10"/>
  <c r="D5" i="10"/>
  <c r="F62" i="11"/>
  <c r="D31" i="11"/>
  <c r="F60" i="11"/>
  <c r="D29" i="11"/>
  <c r="F58" i="11"/>
  <c r="D27" i="11"/>
  <c r="F56" i="11"/>
  <c r="D25" i="11"/>
  <c r="F54" i="11"/>
  <c r="D23" i="11"/>
  <c r="F52" i="11"/>
  <c r="D21" i="11"/>
  <c r="F50" i="11"/>
  <c r="D19" i="11"/>
  <c r="F48" i="11"/>
  <c r="D17" i="11"/>
  <c r="F46" i="11"/>
  <c r="D15" i="11"/>
  <c r="F44" i="11"/>
  <c r="D13" i="11"/>
  <c r="F42" i="11"/>
  <c r="D11" i="11"/>
  <c r="F40" i="11"/>
  <c r="D9" i="11"/>
  <c r="F38" i="11"/>
  <c r="D7" i="11"/>
  <c r="D64" i="11"/>
  <c r="D5" i="11"/>
  <c r="D93" i="12"/>
  <c r="F93" i="12" s="1"/>
  <c r="D31" i="12"/>
  <c r="D91" i="12"/>
  <c r="F91" i="12" s="1"/>
  <c r="D29" i="12"/>
  <c r="D89" i="12"/>
  <c r="F89" i="12" s="1"/>
  <c r="D27" i="12"/>
  <c r="D87" i="12"/>
  <c r="F87" i="12" s="1"/>
  <c r="D25" i="12"/>
  <c r="D85" i="12"/>
  <c r="F85" i="12" s="1"/>
  <c r="D23" i="12"/>
  <c r="D83" i="12"/>
  <c r="F83" i="12" s="1"/>
  <c r="D21" i="12"/>
  <c r="D81" i="12"/>
  <c r="F81" i="12" s="1"/>
  <c r="D19" i="12"/>
  <c r="D79" i="12"/>
  <c r="F79" i="12" s="1"/>
  <c r="D17" i="12"/>
  <c r="D77" i="12"/>
  <c r="F77" i="12" s="1"/>
  <c r="D15" i="12"/>
  <c r="D75" i="12"/>
  <c r="F75" i="12" s="1"/>
  <c r="D13" i="12"/>
  <c r="D73" i="12"/>
  <c r="F73" i="12" s="1"/>
  <c r="D11" i="12"/>
  <c r="D71" i="12"/>
  <c r="F71" i="12" s="1"/>
  <c r="D9" i="12"/>
  <c r="D69" i="12"/>
  <c r="F69" i="12" s="1"/>
  <c r="D7" i="12"/>
  <c r="D67" i="12"/>
  <c r="F67" i="12" s="1"/>
  <c r="D5" i="12"/>
  <c r="D74" i="13"/>
  <c r="F74" i="13" s="1"/>
  <c r="D12" i="13"/>
  <c r="D72" i="13"/>
  <c r="F72" i="13" s="1"/>
  <c r="D10" i="13"/>
  <c r="D70" i="13"/>
  <c r="F70" i="13" s="1"/>
  <c r="D8" i="13"/>
  <c r="D68" i="13"/>
  <c r="F68" i="13" s="1"/>
  <c r="D6" i="13"/>
  <c r="D91" i="14"/>
  <c r="F91" i="14" s="1"/>
  <c r="D29" i="14"/>
  <c r="D89" i="14"/>
  <c r="F89" i="14" s="1"/>
  <c r="D27" i="14"/>
  <c r="D87" i="14"/>
  <c r="F87" i="14" s="1"/>
  <c r="D25" i="14"/>
  <c r="D85" i="14"/>
  <c r="F85" i="14" s="1"/>
  <c r="D23" i="14"/>
  <c r="D83" i="14"/>
  <c r="F83" i="14" s="1"/>
  <c r="D21" i="14"/>
  <c r="D81" i="14"/>
  <c r="F81" i="14" s="1"/>
  <c r="D19" i="14"/>
  <c r="D79" i="14"/>
  <c r="F79" i="14" s="1"/>
  <c r="D17" i="14"/>
  <c r="D77" i="14"/>
  <c r="F77" i="14" s="1"/>
  <c r="D15" i="14"/>
  <c r="D75" i="14"/>
  <c r="F75" i="14" s="1"/>
  <c r="D13" i="14"/>
  <c r="D73" i="14"/>
  <c r="F73" i="14" s="1"/>
  <c r="D11" i="14"/>
  <c r="D71" i="14"/>
  <c r="F71" i="14" s="1"/>
  <c r="D9" i="14"/>
  <c r="D69" i="14"/>
  <c r="F69" i="14" s="1"/>
  <c r="D7" i="14"/>
  <c r="D64" i="14"/>
  <c r="F64" i="14" s="1"/>
  <c r="N50" i="63" s="1"/>
  <c r="D118" i="15"/>
  <c r="E105" i="15"/>
  <c r="E95" i="15"/>
  <c r="C109" i="15" s="1"/>
  <c r="E64" i="15"/>
  <c r="F64" i="15" s="1"/>
  <c r="N49" i="63" s="1"/>
  <c r="D118" i="21"/>
  <c r="E105" i="21"/>
  <c r="E95" i="21"/>
  <c r="C109" i="21" s="1"/>
  <c r="E64" i="21"/>
  <c r="F64" i="21" s="1"/>
  <c r="N43" i="63" s="1"/>
  <c r="D118" i="22"/>
  <c r="D93" i="22"/>
  <c r="F93" i="22" s="1"/>
  <c r="D31" i="22"/>
  <c r="D91" i="22"/>
  <c r="F91" i="22" s="1"/>
  <c r="D29" i="22"/>
  <c r="D89" i="22"/>
  <c r="F89" i="22" s="1"/>
  <c r="D27" i="22"/>
  <c r="D87" i="22"/>
  <c r="F87" i="22" s="1"/>
  <c r="D25" i="22"/>
  <c r="D85" i="22"/>
  <c r="F85" i="22" s="1"/>
  <c r="D23" i="22"/>
  <c r="D83" i="22"/>
  <c r="F83" i="22" s="1"/>
  <c r="D21" i="22"/>
  <c r="D81" i="22"/>
  <c r="F81" i="22" s="1"/>
  <c r="D19" i="22"/>
  <c r="D79" i="22"/>
  <c r="F79" i="22" s="1"/>
  <c r="D17" i="22"/>
  <c r="D77" i="22"/>
  <c r="F77" i="22" s="1"/>
  <c r="D15" i="22"/>
  <c r="D75" i="22"/>
  <c r="F75" i="22" s="1"/>
  <c r="D13" i="22"/>
  <c r="D73" i="22"/>
  <c r="F73" i="22" s="1"/>
  <c r="D11" i="22"/>
  <c r="D71" i="22"/>
  <c r="F71" i="22" s="1"/>
  <c r="D9" i="22"/>
  <c r="D69" i="22"/>
  <c r="F69" i="22" s="1"/>
  <c r="D7" i="22"/>
  <c r="D67" i="22"/>
  <c r="F67" i="22" s="1"/>
  <c r="D5" i="22"/>
  <c r="D76" i="13"/>
  <c r="F76" i="13" s="1"/>
  <c r="D14" i="13"/>
  <c r="D78" i="13"/>
  <c r="F78" i="13" s="1"/>
  <c r="D16" i="13"/>
  <c r="D80" i="13"/>
  <c r="F80" i="13" s="1"/>
  <c r="D18" i="13"/>
  <c r="D82" i="13"/>
  <c r="F82" i="13" s="1"/>
  <c r="D20" i="13"/>
  <c r="D84" i="13"/>
  <c r="F84" i="13" s="1"/>
  <c r="D22" i="13"/>
  <c r="D86" i="13"/>
  <c r="F86" i="13" s="1"/>
  <c r="D24" i="13"/>
  <c r="D88" i="13"/>
  <c r="F88" i="13" s="1"/>
  <c r="D26" i="13"/>
  <c r="D90" i="13"/>
  <c r="F90" i="13" s="1"/>
  <c r="D28" i="13"/>
  <c r="D92" i="13"/>
  <c r="F92" i="13" s="1"/>
  <c r="D30" i="13"/>
  <c r="D94" i="13"/>
  <c r="F94" i="13" s="1"/>
  <c r="D32" i="13"/>
  <c r="F110" i="13"/>
  <c r="F112" i="13"/>
  <c r="F114" i="13"/>
  <c r="D118" i="14"/>
  <c r="E105" i="14"/>
  <c r="E95" i="14"/>
  <c r="C109" i="14" s="1"/>
  <c r="F69" i="15"/>
  <c r="E95" i="17"/>
  <c r="C109" i="17" s="1"/>
  <c r="E64" i="17"/>
  <c r="F64" i="17" s="1"/>
  <c r="F41" i="17"/>
  <c r="D10" i="17"/>
  <c r="D12" i="17"/>
  <c r="F45" i="17"/>
  <c r="D14" i="17"/>
  <c r="F47" i="17"/>
  <c r="D16" i="17"/>
  <c r="F49" i="17"/>
  <c r="D18" i="17"/>
  <c r="F51" i="17"/>
  <c r="D20" i="17"/>
  <c r="F53" i="17"/>
  <c r="D22" i="17"/>
  <c r="F55" i="17"/>
  <c r="D24" i="17"/>
  <c r="F57" i="17"/>
  <c r="D26" i="17"/>
  <c r="F59" i="17"/>
  <c r="D28" i="17"/>
  <c r="F61" i="17"/>
  <c r="D30" i="17"/>
  <c r="F63" i="17"/>
  <c r="D32" i="17"/>
  <c r="E118" i="17"/>
  <c r="F113" i="17"/>
  <c r="F116" i="17"/>
  <c r="F62" i="23"/>
  <c r="D31" i="23"/>
  <c r="F58" i="23"/>
  <c r="D27" i="23"/>
  <c r="F54" i="23"/>
  <c r="D23" i="23"/>
  <c r="F50" i="23"/>
  <c r="D19" i="23"/>
  <c r="F46" i="23"/>
  <c r="D15" i="23"/>
  <c r="F42" i="23"/>
  <c r="D11" i="23"/>
  <c r="F38" i="23"/>
  <c r="D7" i="23"/>
  <c r="E64" i="23"/>
  <c r="M41" i="63" s="1"/>
  <c r="E95" i="23"/>
  <c r="C109" i="23" s="1"/>
  <c r="E105" i="23"/>
  <c r="D71" i="24"/>
  <c r="F71" i="24" s="1"/>
  <c r="D9" i="24"/>
  <c r="D69" i="24"/>
  <c r="F69" i="24" s="1"/>
  <c r="D7" i="24"/>
  <c r="D67" i="24"/>
  <c r="F67" i="24" s="1"/>
  <c r="D5" i="24"/>
  <c r="D73" i="24"/>
  <c r="F73" i="24" s="1"/>
  <c r="D11" i="24"/>
  <c r="D75" i="24"/>
  <c r="F75" i="24" s="1"/>
  <c r="D13" i="24"/>
  <c r="D77" i="24"/>
  <c r="F77" i="24" s="1"/>
  <c r="D15" i="24"/>
  <c r="D79" i="24"/>
  <c r="F79" i="24" s="1"/>
  <c r="D17" i="24"/>
  <c r="D81" i="24"/>
  <c r="F81" i="24" s="1"/>
  <c r="D19" i="24"/>
  <c r="D83" i="24"/>
  <c r="F83" i="24" s="1"/>
  <c r="D21" i="24"/>
  <c r="D85" i="24"/>
  <c r="F85" i="24" s="1"/>
  <c r="D23" i="24"/>
  <c r="D87" i="24"/>
  <c r="F87" i="24" s="1"/>
  <c r="D25" i="24"/>
  <c r="D89" i="24"/>
  <c r="F89" i="24" s="1"/>
  <c r="D27" i="24"/>
  <c r="D91" i="24"/>
  <c r="F91" i="24" s="1"/>
  <c r="D29" i="24"/>
  <c r="D93" i="24"/>
  <c r="F93" i="24" s="1"/>
  <c r="D31" i="24"/>
  <c r="E105" i="33"/>
  <c r="E95" i="33"/>
  <c r="C109" i="33" s="1"/>
  <c r="E64" i="33"/>
  <c r="M31" i="63" s="1"/>
  <c r="D118" i="34"/>
  <c r="E105" i="34"/>
  <c r="E95" i="34"/>
  <c r="C109" i="34" s="1"/>
  <c r="E64" i="34"/>
  <c r="F64" i="34" s="1"/>
  <c r="N30" i="63" s="1"/>
  <c r="D118" i="35"/>
  <c r="E105" i="35"/>
  <c r="E95" i="35"/>
  <c r="C109" i="35" s="1"/>
  <c r="E64" i="35"/>
  <c r="F115" i="16"/>
  <c r="F64" i="16"/>
  <c r="N48" i="63" s="1"/>
  <c r="F38" i="16"/>
  <c r="F42" i="16"/>
  <c r="F46" i="16"/>
  <c r="F50" i="16"/>
  <c r="F54" i="16"/>
  <c r="F58" i="16"/>
  <c r="F62" i="16"/>
  <c r="F110" i="16"/>
  <c r="F114" i="16"/>
  <c r="E95" i="19"/>
  <c r="C109" i="19" s="1"/>
  <c r="E64" i="19"/>
  <c r="F64" i="19" s="1"/>
  <c r="F37" i="19"/>
  <c r="F39" i="19"/>
  <c r="F41" i="19"/>
  <c r="D10" i="19"/>
  <c r="F43" i="19"/>
  <c r="D12" i="19"/>
  <c r="F45" i="19"/>
  <c r="D14" i="19"/>
  <c r="F47" i="19"/>
  <c r="D16" i="19"/>
  <c r="F49" i="19"/>
  <c r="D18" i="19"/>
  <c r="F51" i="19"/>
  <c r="D20" i="19"/>
  <c r="F53" i="19"/>
  <c r="D22" i="19"/>
  <c r="F55" i="19"/>
  <c r="D24" i="19"/>
  <c r="F57" i="19"/>
  <c r="D26" i="19"/>
  <c r="F59" i="19"/>
  <c r="D28" i="19"/>
  <c r="F61" i="19"/>
  <c r="D30" i="19"/>
  <c r="F63" i="19"/>
  <c r="D32" i="19"/>
  <c r="F110" i="19"/>
  <c r="F112" i="19"/>
  <c r="F114" i="19"/>
  <c r="E105" i="25"/>
  <c r="E105" i="26"/>
  <c r="E105" i="27"/>
  <c r="E105" i="28"/>
  <c r="E105" i="29"/>
  <c r="E105" i="30"/>
  <c r="D64" i="30"/>
  <c r="F64" i="30" s="1"/>
  <c r="N34" i="63" s="1"/>
  <c r="F40" i="30"/>
  <c r="D9" i="30"/>
  <c r="D71" i="30"/>
  <c r="F71" i="30" s="1"/>
  <c r="F42" i="30"/>
  <c r="D73" i="30"/>
  <c r="F73" i="30" s="1"/>
  <c r="D11" i="30"/>
  <c r="F44" i="30"/>
  <c r="D13" i="30"/>
  <c r="D75" i="30"/>
  <c r="F75" i="30" s="1"/>
  <c r="F46" i="30"/>
  <c r="D77" i="30"/>
  <c r="F77" i="30" s="1"/>
  <c r="D15" i="30"/>
  <c r="F48" i="30"/>
  <c r="D17" i="30"/>
  <c r="D79" i="30"/>
  <c r="F79" i="30" s="1"/>
  <c r="F50" i="30"/>
  <c r="D81" i="30"/>
  <c r="F81" i="30" s="1"/>
  <c r="D19" i="30"/>
  <c r="F52" i="30"/>
  <c r="D21" i="30"/>
  <c r="D83" i="30"/>
  <c r="F83" i="30" s="1"/>
  <c r="F54" i="30"/>
  <c r="D85" i="30"/>
  <c r="F85" i="30" s="1"/>
  <c r="D23" i="30"/>
  <c r="F56" i="30"/>
  <c r="D25" i="30"/>
  <c r="D87" i="30"/>
  <c r="F87" i="30" s="1"/>
  <c r="F58" i="30"/>
  <c r="D89" i="30"/>
  <c r="F89" i="30" s="1"/>
  <c r="D27" i="30"/>
  <c r="F60" i="30"/>
  <c r="D29" i="30"/>
  <c r="D91" i="30"/>
  <c r="F91" i="30" s="1"/>
  <c r="F62" i="30"/>
  <c r="D93" i="30"/>
  <c r="F93" i="30" s="1"/>
  <c r="D31" i="30"/>
  <c r="E64" i="31"/>
  <c r="M33" i="63" s="1"/>
  <c r="F72" i="31"/>
  <c r="F80" i="31"/>
  <c r="F88" i="31"/>
  <c r="E118" i="31"/>
  <c r="F111" i="31"/>
  <c r="F115" i="31"/>
  <c r="F75" i="32"/>
  <c r="F83" i="32"/>
  <c r="F91" i="32"/>
  <c r="F115" i="36"/>
  <c r="F111" i="36"/>
  <c r="F75" i="36"/>
  <c r="F83" i="36"/>
  <c r="F91" i="36"/>
  <c r="F112" i="36"/>
  <c r="E95" i="38"/>
  <c r="C109" i="38" s="1"/>
  <c r="E64" i="38"/>
  <c r="F64" i="38" s="1"/>
  <c r="F115" i="46"/>
  <c r="E118" i="46"/>
  <c r="D94" i="46"/>
  <c r="F94" i="46" s="1"/>
  <c r="D32" i="46"/>
  <c r="D92" i="46"/>
  <c r="F92" i="46" s="1"/>
  <c r="D30" i="46"/>
  <c r="D90" i="46"/>
  <c r="F90" i="46" s="1"/>
  <c r="D28" i="46"/>
  <c r="D88" i="46"/>
  <c r="F88" i="46" s="1"/>
  <c r="D26" i="46"/>
  <c r="D86" i="46"/>
  <c r="F86" i="46" s="1"/>
  <c r="D24" i="46"/>
  <c r="D84" i="46"/>
  <c r="F84" i="46" s="1"/>
  <c r="D22" i="46"/>
  <c r="D82" i="46"/>
  <c r="F82" i="46" s="1"/>
  <c r="D20" i="46"/>
  <c r="D80" i="46"/>
  <c r="F80" i="46" s="1"/>
  <c r="D18" i="46"/>
  <c r="D78" i="46"/>
  <c r="F78" i="46" s="1"/>
  <c r="D16" i="46"/>
  <c r="D76" i="46"/>
  <c r="F76" i="46" s="1"/>
  <c r="D14" i="46"/>
  <c r="D74" i="46"/>
  <c r="F74" i="46" s="1"/>
  <c r="D12" i="46"/>
  <c r="D72" i="46"/>
  <c r="F72" i="46" s="1"/>
  <c r="D10" i="46"/>
  <c r="D70" i="46"/>
  <c r="F70" i="46" s="1"/>
  <c r="D8" i="46"/>
  <c r="D68" i="46"/>
  <c r="F68" i="46" s="1"/>
  <c r="D6" i="46"/>
  <c r="F62" i="48"/>
  <c r="D31" i="48"/>
  <c r="F60" i="48"/>
  <c r="D29" i="48"/>
  <c r="F58" i="48"/>
  <c r="D27" i="48"/>
  <c r="F56" i="48"/>
  <c r="D25" i="48"/>
  <c r="F54" i="48"/>
  <c r="D23" i="48"/>
  <c r="F52" i="48"/>
  <c r="D21" i="48"/>
  <c r="F50" i="48"/>
  <c r="D19" i="48"/>
  <c r="F48" i="48"/>
  <c r="D17" i="48"/>
  <c r="F46" i="48"/>
  <c r="D15" i="48"/>
  <c r="F44" i="48"/>
  <c r="D13" i="48"/>
  <c r="F42" i="48"/>
  <c r="D11" i="48"/>
  <c r="D64" i="48"/>
  <c r="F64" i="48" s="1"/>
  <c r="N16" i="63" s="1"/>
  <c r="F115" i="50"/>
  <c r="E118" i="50"/>
  <c r="D94" i="50"/>
  <c r="F94" i="50" s="1"/>
  <c r="D32" i="50"/>
  <c r="D92" i="50"/>
  <c r="F92" i="50" s="1"/>
  <c r="D30" i="50"/>
  <c r="D90" i="50"/>
  <c r="F90" i="50" s="1"/>
  <c r="D28" i="50"/>
  <c r="D88" i="50"/>
  <c r="F88" i="50" s="1"/>
  <c r="D26" i="50"/>
  <c r="D86" i="50"/>
  <c r="F86" i="50" s="1"/>
  <c r="D24" i="50"/>
  <c r="D84" i="50"/>
  <c r="F84" i="50" s="1"/>
  <c r="D22" i="50"/>
  <c r="D82" i="50"/>
  <c r="F82" i="50" s="1"/>
  <c r="D20" i="50"/>
  <c r="D80" i="50"/>
  <c r="F80" i="50" s="1"/>
  <c r="D18" i="50"/>
  <c r="D78" i="50"/>
  <c r="F78" i="50" s="1"/>
  <c r="D16" i="50"/>
  <c r="D76" i="50"/>
  <c r="F76" i="50" s="1"/>
  <c r="D14" i="50"/>
  <c r="D74" i="50"/>
  <c r="F74" i="50" s="1"/>
  <c r="D12" i="50"/>
  <c r="D72" i="50"/>
  <c r="F72" i="50" s="1"/>
  <c r="D10" i="50"/>
  <c r="D70" i="50"/>
  <c r="F70" i="50" s="1"/>
  <c r="D8" i="50"/>
  <c r="D68" i="50"/>
  <c r="F68" i="50" s="1"/>
  <c r="D6" i="50"/>
  <c r="D93" i="55"/>
  <c r="F93" i="55" s="1"/>
  <c r="D31" i="55"/>
  <c r="D91" i="55"/>
  <c r="F91" i="55" s="1"/>
  <c r="D29" i="55"/>
  <c r="D89" i="55"/>
  <c r="F89" i="55" s="1"/>
  <c r="D27" i="55"/>
  <c r="D87" i="55"/>
  <c r="F87" i="55" s="1"/>
  <c r="D25" i="55"/>
  <c r="D85" i="55"/>
  <c r="F85" i="55" s="1"/>
  <c r="D23" i="55"/>
  <c r="D83" i="55"/>
  <c r="F83" i="55" s="1"/>
  <c r="D21" i="55"/>
  <c r="D81" i="55"/>
  <c r="F81" i="55" s="1"/>
  <c r="D19" i="55"/>
  <c r="D79" i="55"/>
  <c r="F79" i="55" s="1"/>
  <c r="D17" i="55"/>
  <c r="D77" i="55"/>
  <c r="F77" i="55" s="1"/>
  <c r="D15" i="55"/>
  <c r="D75" i="55"/>
  <c r="F75" i="55" s="1"/>
  <c r="D13" i="55"/>
  <c r="D73" i="55"/>
  <c r="F73" i="55" s="1"/>
  <c r="D11" i="55"/>
  <c r="D71" i="55"/>
  <c r="F71" i="55" s="1"/>
  <c r="D9" i="55"/>
  <c r="D69" i="55"/>
  <c r="F69" i="55" s="1"/>
  <c r="D7" i="55"/>
  <c r="D67" i="55"/>
  <c r="F67" i="55" s="1"/>
  <c r="D5" i="55"/>
  <c r="F115" i="57"/>
  <c r="E118" i="57"/>
  <c r="E105" i="57"/>
  <c r="E64" i="57"/>
  <c r="F64" i="57" s="1"/>
  <c r="F37" i="38"/>
  <c r="D6" i="38"/>
  <c r="F39" i="38"/>
  <c r="D8" i="38"/>
  <c r="F41" i="38"/>
  <c r="D10" i="38"/>
  <c r="F43" i="38"/>
  <c r="D12" i="38"/>
  <c r="F45" i="38"/>
  <c r="D14" i="38"/>
  <c r="F47" i="38"/>
  <c r="D16" i="38"/>
  <c r="F49" i="38"/>
  <c r="D18" i="38"/>
  <c r="F51" i="38"/>
  <c r="D20" i="38"/>
  <c r="F53" i="38"/>
  <c r="D22" i="38"/>
  <c r="F55" i="38"/>
  <c r="D24" i="38"/>
  <c r="F57" i="38"/>
  <c r="D26" i="38"/>
  <c r="F59" i="38"/>
  <c r="D28" i="38"/>
  <c r="F61" i="38"/>
  <c r="D30" i="38"/>
  <c r="F63" i="38"/>
  <c r="D32" i="38"/>
  <c r="E118" i="38"/>
  <c r="F113" i="38"/>
  <c r="F115" i="38"/>
  <c r="F116" i="38"/>
  <c r="E118" i="22"/>
  <c r="E118" i="25"/>
  <c r="E95" i="25"/>
  <c r="C109" i="25" s="1"/>
  <c r="E64" i="25"/>
  <c r="F64" i="25" s="1"/>
  <c r="F37" i="25"/>
  <c r="D68" i="25"/>
  <c r="F68" i="25" s="1"/>
  <c r="D6" i="25"/>
  <c r="F39" i="25"/>
  <c r="D8" i="25"/>
  <c r="D70" i="25"/>
  <c r="F70" i="25" s="1"/>
  <c r="F41" i="25"/>
  <c r="D72" i="25"/>
  <c r="F72" i="25" s="1"/>
  <c r="D10" i="25"/>
  <c r="F43" i="25"/>
  <c r="D74" i="25"/>
  <c r="F74" i="25" s="1"/>
  <c r="D12" i="25"/>
  <c r="F45" i="25"/>
  <c r="D76" i="25"/>
  <c r="F76" i="25" s="1"/>
  <c r="D14" i="25"/>
  <c r="F47" i="25"/>
  <c r="D16" i="25"/>
  <c r="D78" i="25"/>
  <c r="F78" i="25" s="1"/>
  <c r="F49" i="25"/>
  <c r="D80" i="25"/>
  <c r="F80" i="25" s="1"/>
  <c r="D18" i="25"/>
  <c r="F51" i="25"/>
  <c r="D82" i="25"/>
  <c r="F82" i="25" s="1"/>
  <c r="D20" i="25"/>
  <c r="F53" i="25"/>
  <c r="D84" i="25"/>
  <c r="F84" i="25" s="1"/>
  <c r="D22" i="25"/>
  <c r="F55" i="25"/>
  <c r="D24" i="25"/>
  <c r="D86" i="25"/>
  <c r="F86" i="25" s="1"/>
  <c r="F57" i="25"/>
  <c r="D88" i="25"/>
  <c r="F88" i="25" s="1"/>
  <c r="D26" i="25"/>
  <c r="F59" i="25"/>
  <c r="D90" i="25"/>
  <c r="F90" i="25" s="1"/>
  <c r="D28" i="25"/>
  <c r="F61" i="25"/>
  <c r="D92" i="25"/>
  <c r="F92" i="25" s="1"/>
  <c r="D30" i="25"/>
  <c r="F63" i="25"/>
  <c r="D32" i="25"/>
  <c r="D94" i="25"/>
  <c r="F94" i="25" s="1"/>
  <c r="D67" i="26"/>
  <c r="F67" i="26" s="1"/>
  <c r="D5" i="26"/>
  <c r="D69" i="26"/>
  <c r="F69" i="26" s="1"/>
  <c r="D7" i="26"/>
  <c r="D71" i="26"/>
  <c r="F71" i="26" s="1"/>
  <c r="D9" i="26"/>
  <c r="D73" i="26"/>
  <c r="F73" i="26" s="1"/>
  <c r="D11" i="26"/>
  <c r="D75" i="26"/>
  <c r="F75" i="26" s="1"/>
  <c r="D13" i="26"/>
  <c r="D77" i="26"/>
  <c r="F77" i="26" s="1"/>
  <c r="D15" i="26"/>
  <c r="D79" i="26"/>
  <c r="F79" i="26" s="1"/>
  <c r="D17" i="26"/>
  <c r="D81" i="26"/>
  <c r="F81" i="26" s="1"/>
  <c r="D19" i="26"/>
  <c r="D83" i="26"/>
  <c r="F83" i="26" s="1"/>
  <c r="D21" i="26"/>
  <c r="D85" i="26"/>
  <c r="F85" i="26" s="1"/>
  <c r="D23" i="26"/>
  <c r="D87" i="26"/>
  <c r="F87" i="26" s="1"/>
  <c r="D25" i="26"/>
  <c r="D89" i="26"/>
  <c r="F89" i="26" s="1"/>
  <c r="D27" i="26"/>
  <c r="D91" i="26"/>
  <c r="F91" i="26" s="1"/>
  <c r="D29" i="26"/>
  <c r="D93" i="26"/>
  <c r="F93" i="26" s="1"/>
  <c r="D31" i="26"/>
  <c r="D68" i="27"/>
  <c r="F68" i="27" s="1"/>
  <c r="D6" i="27"/>
  <c r="D70" i="27"/>
  <c r="F70" i="27" s="1"/>
  <c r="D8" i="27"/>
  <c r="D72" i="27"/>
  <c r="F72" i="27" s="1"/>
  <c r="D10" i="27"/>
  <c r="D74" i="27"/>
  <c r="F74" i="27" s="1"/>
  <c r="D12" i="27"/>
  <c r="D76" i="27"/>
  <c r="F76" i="27" s="1"/>
  <c r="D14" i="27"/>
  <c r="D78" i="27"/>
  <c r="F78" i="27" s="1"/>
  <c r="D16" i="27"/>
  <c r="D80" i="27"/>
  <c r="F80" i="27" s="1"/>
  <c r="D18" i="27"/>
  <c r="D82" i="27"/>
  <c r="F82" i="27" s="1"/>
  <c r="D20" i="27"/>
  <c r="D84" i="27"/>
  <c r="F84" i="27" s="1"/>
  <c r="D22" i="27"/>
  <c r="D86" i="27"/>
  <c r="F86" i="27" s="1"/>
  <c r="D24" i="27"/>
  <c r="D88" i="27"/>
  <c r="F88" i="27" s="1"/>
  <c r="D26" i="27"/>
  <c r="D90" i="27"/>
  <c r="F90" i="27" s="1"/>
  <c r="D28" i="27"/>
  <c r="D92" i="27"/>
  <c r="F92" i="27" s="1"/>
  <c r="D30" i="27"/>
  <c r="D94" i="27"/>
  <c r="F94" i="27" s="1"/>
  <c r="D32" i="27"/>
  <c r="E118" i="27"/>
  <c r="F111" i="27"/>
  <c r="F113" i="27"/>
  <c r="F115" i="27"/>
  <c r="F116" i="27"/>
  <c r="D64" i="28"/>
  <c r="F64" i="28" s="1"/>
  <c r="N36" i="63" s="1"/>
  <c r="D5" i="28"/>
  <c r="D67" i="28"/>
  <c r="F67" i="28" s="1"/>
  <c r="F38" i="28"/>
  <c r="D69" i="28"/>
  <c r="F69" i="28" s="1"/>
  <c r="D7" i="28"/>
  <c r="F40" i="28"/>
  <c r="D9" i="28"/>
  <c r="D71" i="28"/>
  <c r="F71" i="28" s="1"/>
  <c r="F42" i="28"/>
  <c r="D73" i="28"/>
  <c r="F73" i="28" s="1"/>
  <c r="D11" i="28"/>
  <c r="F44" i="28"/>
  <c r="D13" i="28"/>
  <c r="D75" i="28"/>
  <c r="F75" i="28" s="1"/>
  <c r="F46" i="28"/>
  <c r="D77" i="28"/>
  <c r="F77" i="28" s="1"/>
  <c r="D15" i="28"/>
  <c r="F48" i="28"/>
  <c r="D17" i="28"/>
  <c r="D79" i="28"/>
  <c r="F79" i="28" s="1"/>
  <c r="F50" i="28"/>
  <c r="D81" i="28"/>
  <c r="F81" i="28" s="1"/>
  <c r="D19" i="28"/>
  <c r="F52" i="28"/>
  <c r="D21" i="28"/>
  <c r="D83" i="28"/>
  <c r="F83" i="28" s="1"/>
  <c r="F54" i="28"/>
  <c r="D85" i="28"/>
  <c r="F85" i="28" s="1"/>
  <c r="D23" i="28"/>
  <c r="F56" i="28"/>
  <c r="D25" i="28"/>
  <c r="D87" i="28"/>
  <c r="F87" i="28" s="1"/>
  <c r="F58" i="28"/>
  <c r="D89" i="28"/>
  <c r="F89" i="28" s="1"/>
  <c r="D27" i="28"/>
  <c r="F60" i="28"/>
  <c r="D29" i="28"/>
  <c r="D91" i="28"/>
  <c r="F91" i="28" s="1"/>
  <c r="F62" i="28"/>
  <c r="D93" i="28"/>
  <c r="F93" i="28" s="1"/>
  <c r="D31" i="28"/>
  <c r="E95" i="28"/>
  <c r="C109" i="28" s="1"/>
  <c r="E95" i="29"/>
  <c r="C109" i="29" s="1"/>
  <c r="E64" i="29"/>
  <c r="F64" i="29" s="1"/>
  <c r="F37" i="29"/>
  <c r="D68" i="29"/>
  <c r="F68" i="29" s="1"/>
  <c r="D6" i="29"/>
  <c r="F39" i="29"/>
  <c r="D8" i="29"/>
  <c r="D70" i="29"/>
  <c r="F70" i="29" s="1"/>
  <c r="F41" i="29"/>
  <c r="D72" i="29"/>
  <c r="F72" i="29" s="1"/>
  <c r="D10" i="29"/>
  <c r="F43" i="29"/>
  <c r="D74" i="29"/>
  <c r="F74" i="29" s="1"/>
  <c r="D12" i="29"/>
  <c r="F45" i="29"/>
  <c r="D76" i="29"/>
  <c r="F76" i="29" s="1"/>
  <c r="D14" i="29"/>
  <c r="F47" i="29"/>
  <c r="D16" i="29"/>
  <c r="D78" i="29"/>
  <c r="F78" i="29" s="1"/>
  <c r="F49" i="29"/>
  <c r="D80" i="29"/>
  <c r="F80" i="29" s="1"/>
  <c r="D18" i="29"/>
  <c r="F51" i="29"/>
  <c r="D82" i="29"/>
  <c r="F82" i="29" s="1"/>
  <c r="D20" i="29"/>
  <c r="F53" i="29"/>
  <c r="D84" i="29"/>
  <c r="F84" i="29" s="1"/>
  <c r="D22" i="29"/>
  <c r="F55" i="29"/>
  <c r="D24" i="29"/>
  <c r="D86" i="29"/>
  <c r="F86" i="29" s="1"/>
  <c r="F57" i="29"/>
  <c r="D88" i="29"/>
  <c r="F88" i="29" s="1"/>
  <c r="D26" i="29"/>
  <c r="F59" i="29"/>
  <c r="D90" i="29"/>
  <c r="F90" i="29" s="1"/>
  <c r="D28" i="29"/>
  <c r="F61" i="29"/>
  <c r="D92" i="29"/>
  <c r="F92" i="29" s="1"/>
  <c r="D30" i="29"/>
  <c r="F63" i="29"/>
  <c r="D32" i="29"/>
  <c r="D94" i="29"/>
  <c r="F94" i="29" s="1"/>
  <c r="E118" i="29"/>
  <c r="F111" i="29"/>
  <c r="F113" i="29"/>
  <c r="F115" i="29"/>
  <c r="F116" i="29"/>
  <c r="E105" i="36"/>
  <c r="E95" i="37"/>
  <c r="C109" i="37" s="1"/>
  <c r="E64" i="37"/>
  <c r="M27" i="63" s="1"/>
  <c r="D88" i="37"/>
  <c r="F88" i="37" s="1"/>
  <c r="D26" i="37"/>
  <c r="D90" i="37"/>
  <c r="F90" i="37" s="1"/>
  <c r="D28" i="37"/>
  <c r="D92" i="37"/>
  <c r="F92" i="37" s="1"/>
  <c r="D30" i="37"/>
  <c r="D94" i="37"/>
  <c r="F94" i="37" s="1"/>
  <c r="D32" i="37"/>
  <c r="E118" i="37"/>
  <c r="F111" i="37"/>
  <c r="F113" i="37"/>
  <c r="F115" i="37"/>
  <c r="F116" i="37"/>
  <c r="E118" i="35"/>
  <c r="E105" i="39"/>
  <c r="D118" i="39"/>
  <c r="D84" i="39"/>
  <c r="F84" i="39" s="1"/>
  <c r="D22" i="39"/>
  <c r="D86" i="39"/>
  <c r="F86" i="39" s="1"/>
  <c r="D24" i="39"/>
  <c r="D88" i="39"/>
  <c r="F88" i="39" s="1"/>
  <c r="D26" i="39"/>
  <c r="D90" i="39"/>
  <c r="F90" i="39" s="1"/>
  <c r="D28" i="39"/>
  <c r="D92" i="39"/>
  <c r="F92" i="39" s="1"/>
  <c r="D30" i="39"/>
  <c r="D94" i="39"/>
  <c r="F94" i="39" s="1"/>
  <c r="D32" i="39"/>
  <c r="E118" i="39"/>
  <c r="F111" i="39"/>
  <c r="F113" i="39"/>
  <c r="F115" i="39"/>
  <c r="F116" i="39"/>
  <c r="E105" i="41"/>
  <c r="D64" i="41"/>
  <c r="F64" i="41" s="1"/>
  <c r="N23" i="63" s="1"/>
  <c r="D5" i="41"/>
  <c r="F38" i="41"/>
  <c r="D7" i="41"/>
  <c r="F40" i="41"/>
  <c r="D9" i="41"/>
  <c r="F42" i="41"/>
  <c r="D11" i="41"/>
  <c r="F44" i="41"/>
  <c r="D13" i="41"/>
  <c r="F46" i="41"/>
  <c r="D15" i="41"/>
  <c r="F48" i="41"/>
  <c r="D17" i="41"/>
  <c r="F50" i="41"/>
  <c r="D19" i="41"/>
  <c r="F52" i="41"/>
  <c r="D21" i="41"/>
  <c r="F54" i="41"/>
  <c r="D23" i="41"/>
  <c r="F56" i="41"/>
  <c r="D25" i="41"/>
  <c r="F58" i="41"/>
  <c r="D27" i="41"/>
  <c r="F60" i="41"/>
  <c r="D29" i="41"/>
  <c r="F62" i="41"/>
  <c r="D31" i="41"/>
  <c r="E64" i="52"/>
  <c r="F64" i="52" s="1"/>
  <c r="N12" i="63" s="1"/>
  <c r="D68" i="52"/>
  <c r="F68" i="52" s="1"/>
  <c r="D6" i="52"/>
  <c r="D70" i="52"/>
  <c r="F70" i="52" s="1"/>
  <c r="D8" i="52"/>
  <c r="D72" i="52"/>
  <c r="F72" i="52" s="1"/>
  <c r="D10" i="52"/>
  <c r="D74" i="52"/>
  <c r="F74" i="52" s="1"/>
  <c r="D12" i="52"/>
  <c r="D76" i="52"/>
  <c r="F76" i="52" s="1"/>
  <c r="D14" i="52"/>
  <c r="D78" i="52"/>
  <c r="F78" i="52" s="1"/>
  <c r="D16" i="52"/>
  <c r="D80" i="52"/>
  <c r="F80" i="52" s="1"/>
  <c r="D18" i="52"/>
  <c r="D82" i="52"/>
  <c r="F82" i="52" s="1"/>
  <c r="D20" i="52"/>
  <c r="D84" i="52"/>
  <c r="F84" i="52" s="1"/>
  <c r="D22" i="52"/>
  <c r="D86" i="52"/>
  <c r="F86" i="52" s="1"/>
  <c r="D24" i="52"/>
  <c r="D88" i="52"/>
  <c r="F88" i="52" s="1"/>
  <c r="D26" i="52"/>
  <c r="D90" i="52"/>
  <c r="F90" i="52" s="1"/>
  <c r="D28" i="52"/>
  <c r="D92" i="52"/>
  <c r="F92" i="52" s="1"/>
  <c r="D30" i="52"/>
  <c r="D94" i="52"/>
  <c r="F94" i="52" s="1"/>
  <c r="D32" i="52"/>
  <c r="F110" i="52"/>
  <c r="F114" i="52"/>
  <c r="E105" i="54"/>
  <c r="D64" i="54"/>
  <c r="F64" i="54" s="1"/>
  <c r="N10" i="63" s="1"/>
  <c r="F38" i="54"/>
  <c r="F40" i="54"/>
  <c r="D9" i="54"/>
  <c r="F42" i="54"/>
  <c r="D11" i="54"/>
  <c r="F44" i="54"/>
  <c r="D13" i="54"/>
  <c r="F46" i="54"/>
  <c r="D15" i="54"/>
  <c r="F48" i="54"/>
  <c r="D17" i="54"/>
  <c r="F50" i="54"/>
  <c r="D19" i="54"/>
  <c r="F52" i="54"/>
  <c r="D21" i="54"/>
  <c r="F54" i="54"/>
  <c r="D23" i="54"/>
  <c r="F56" i="54"/>
  <c r="D25" i="54"/>
  <c r="F58" i="54"/>
  <c r="D27" i="54"/>
  <c r="F60" i="54"/>
  <c r="D29" i="54"/>
  <c r="F62" i="54"/>
  <c r="D31" i="54"/>
  <c r="F60" i="56"/>
  <c r="D29" i="56"/>
  <c r="F50" i="56"/>
  <c r="D19" i="56"/>
  <c r="F40" i="56"/>
  <c r="D9" i="56"/>
  <c r="E64" i="56"/>
  <c r="M8" i="63" s="1"/>
  <c r="E95" i="56"/>
  <c r="C109" i="56" s="1"/>
  <c r="E105" i="56"/>
  <c r="F63" i="40"/>
  <c r="D32" i="40"/>
  <c r="F59" i="40"/>
  <c r="D28" i="40"/>
  <c r="F55" i="40"/>
  <c r="D24" i="40"/>
  <c r="F51" i="40"/>
  <c r="D20" i="40"/>
  <c r="F47" i="40"/>
  <c r="D16" i="40"/>
  <c r="F43" i="40"/>
  <c r="D12" i="40"/>
  <c r="F39" i="40"/>
  <c r="D8" i="40"/>
  <c r="D33" i="40" s="1"/>
  <c r="B24" i="63" s="1"/>
  <c r="E64" i="40"/>
  <c r="F64" i="40" s="1"/>
  <c r="N24" i="63" s="1"/>
  <c r="E95" i="40"/>
  <c r="C109" i="40" s="1"/>
  <c r="E105" i="40"/>
  <c r="F114" i="41"/>
  <c r="F110" i="41"/>
  <c r="E105" i="42"/>
  <c r="F71" i="42"/>
  <c r="F75" i="42"/>
  <c r="D79" i="42"/>
  <c r="F79" i="42" s="1"/>
  <c r="D17" i="42"/>
  <c r="D81" i="42"/>
  <c r="F81" i="42" s="1"/>
  <c r="D19" i="42"/>
  <c r="D83" i="42"/>
  <c r="F83" i="42" s="1"/>
  <c r="D21" i="42"/>
  <c r="D85" i="42"/>
  <c r="F85" i="42" s="1"/>
  <c r="D23" i="42"/>
  <c r="D87" i="42"/>
  <c r="F87" i="42" s="1"/>
  <c r="D25" i="42"/>
  <c r="D89" i="42"/>
  <c r="F89" i="42" s="1"/>
  <c r="D27" i="42"/>
  <c r="D91" i="42"/>
  <c r="F91" i="42" s="1"/>
  <c r="D29" i="42"/>
  <c r="D93" i="42"/>
  <c r="F93" i="42" s="1"/>
  <c r="D31" i="42"/>
  <c r="F60" i="43"/>
  <c r="D29" i="43"/>
  <c r="F56" i="43"/>
  <c r="D25" i="43"/>
  <c r="F52" i="43"/>
  <c r="D21" i="43"/>
  <c r="F48" i="43"/>
  <c r="D17" i="43"/>
  <c r="F44" i="43"/>
  <c r="D13" i="43"/>
  <c r="F40" i="43"/>
  <c r="D9" i="43"/>
  <c r="D64" i="43"/>
  <c r="F64" i="43" s="1"/>
  <c r="N21" i="63" s="1"/>
  <c r="D5" i="43"/>
  <c r="E118" i="43"/>
  <c r="F111" i="43"/>
  <c r="F115" i="43"/>
  <c r="F116" i="43"/>
  <c r="D64" i="44"/>
  <c r="F64" i="44" s="1"/>
  <c r="N20" i="63" s="1"/>
  <c r="F44" i="44"/>
  <c r="D13" i="44"/>
  <c r="F46" i="44"/>
  <c r="D15" i="44"/>
  <c r="F48" i="44"/>
  <c r="D17" i="44"/>
  <c r="D81" i="44"/>
  <c r="F81" i="44" s="1"/>
  <c r="D19" i="44"/>
  <c r="D83" i="44"/>
  <c r="F83" i="44" s="1"/>
  <c r="D21" i="44"/>
  <c r="D85" i="44"/>
  <c r="F85" i="44" s="1"/>
  <c r="D23" i="44"/>
  <c r="D87" i="44"/>
  <c r="F87" i="44" s="1"/>
  <c r="D25" i="44"/>
  <c r="D89" i="44"/>
  <c r="F89" i="44" s="1"/>
  <c r="D27" i="44"/>
  <c r="D91" i="44"/>
  <c r="F91" i="44" s="1"/>
  <c r="D29" i="44"/>
  <c r="D93" i="44"/>
  <c r="F93" i="44" s="1"/>
  <c r="D31" i="44"/>
  <c r="F37" i="45"/>
  <c r="F39" i="45"/>
  <c r="F41" i="45"/>
  <c r="F43" i="45"/>
  <c r="F45" i="45"/>
  <c r="D14" i="45"/>
  <c r="F47" i="45"/>
  <c r="D16" i="45"/>
  <c r="F49" i="45"/>
  <c r="D18" i="45"/>
  <c r="F51" i="45"/>
  <c r="D20" i="45"/>
  <c r="F53" i="45"/>
  <c r="D22" i="45"/>
  <c r="F55" i="45"/>
  <c r="D24" i="45"/>
  <c r="F57" i="45"/>
  <c r="N19" i="63" s="1"/>
  <c r="D26" i="45"/>
  <c r="F59" i="45"/>
  <c r="D28" i="45"/>
  <c r="F61" i="45"/>
  <c r="D30" i="45"/>
  <c r="F63" i="45"/>
  <c r="D32" i="45"/>
  <c r="E118" i="45"/>
  <c r="F111" i="45"/>
  <c r="F115" i="45"/>
  <c r="F61" i="47"/>
  <c r="D30" i="47"/>
  <c r="F57" i="47"/>
  <c r="D26" i="47"/>
  <c r="F53" i="47"/>
  <c r="D22" i="47"/>
  <c r="F49" i="47"/>
  <c r="D18" i="47"/>
  <c r="F45" i="47"/>
  <c r="D14" i="47"/>
  <c r="F112" i="47"/>
  <c r="E118" i="49"/>
  <c r="F63" i="49"/>
  <c r="D32" i="49"/>
  <c r="F59" i="49"/>
  <c r="D28" i="49"/>
  <c r="F55" i="49"/>
  <c r="D24" i="49"/>
  <c r="F51" i="49"/>
  <c r="D20" i="49"/>
  <c r="F47" i="49"/>
  <c r="D16" i="49"/>
  <c r="F43" i="49"/>
  <c r="D12" i="49"/>
  <c r="D33" i="49" s="1"/>
  <c r="B15" i="63" s="1"/>
  <c r="F39" i="49"/>
  <c r="E64" i="49"/>
  <c r="F64" i="49" s="1"/>
  <c r="N15" i="63" s="1"/>
  <c r="E95" i="49"/>
  <c r="C109" i="49" s="1"/>
  <c r="E105" i="49"/>
  <c r="E118" i="52"/>
  <c r="E95" i="53"/>
  <c r="C109" i="53" s="1"/>
  <c r="E64" i="53"/>
  <c r="F64" i="53" s="1"/>
  <c r="F41" i="53"/>
  <c r="D10" i="53"/>
  <c r="F43" i="53"/>
  <c r="D12" i="53"/>
  <c r="F45" i="53"/>
  <c r="D14" i="53"/>
  <c r="F47" i="53"/>
  <c r="D16" i="53"/>
  <c r="F49" i="53"/>
  <c r="D18" i="53"/>
  <c r="F51" i="53"/>
  <c r="D20" i="53"/>
  <c r="F53" i="53"/>
  <c r="D22" i="53"/>
  <c r="F55" i="53"/>
  <c r="D24" i="53"/>
  <c r="F57" i="53"/>
  <c r="D26" i="53"/>
  <c r="F59" i="53"/>
  <c r="D28" i="53"/>
  <c r="F61" i="53"/>
  <c r="D30" i="53"/>
  <c r="F63" i="53"/>
  <c r="D32" i="53"/>
  <c r="E118" i="53"/>
  <c r="F113" i="53"/>
  <c r="F115" i="53"/>
  <c r="F116" i="53"/>
  <c r="E118" i="56"/>
  <c r="D94" i="56"/>
  <c r="F94" i="56" s="1"/>
  <c r="D32" i="56"/>
  <c r="D90" i="56"/>
  <c r="F90" i="56" s="1"/>
  <c r="D28" i="56"/>
  <c r="D86" i="56"/>
  <c r="F86" i="56" s="1"/>
  <c r="D24" i="56"/>
  <c r="D82" i="56"/>
  <c r="F82" i="56" s="1"/>
  <c r="D20" i="56"/>
  <c r="D78" i="56"/>
  <c r="F78" i="56" s="1"/>
  <c r="D16" i="56"/>
  <c r="D74" i="56"/>
  <c r="F74" i="56" s="1"/>
  <c r="D12" i="56"/>
  <c r="D70" i="56"/>
  <c r="F70" i="56" s="1"/>
  <c r="D8" i="56"/>
  <c r="F93" i="57"/>
  <c r="F77" i="57"/>
  <c r="F62" i="56"/>
  <c r="D31" i="56"/>
  <c r="F54" i="56"/>
  <c r="D23" i="56"/>
  <c r="F48" i="56"/>
  <c r="D17" i="56"/>
  <c r="F42" i="56"/>
  <c r="D11" i="56"/>
  <c r="E118" i="51"/>
  <c r="D93" i="3"/>
  <c r="F93" i="3" s="1"/>
  <c r="D31" i="3"/>
  <c r="D91" i="3"/>
  <c r="F91" i="3" s="1"/>
  <c r="D29" i="3"/>
  <c r="D89" i="3"/>
  <c r="F89" i="3" s="1"/>
  <c r="D27" i="3"/>
  <c r="D87" i="3"/>
  <c r="F87" i="3" s="1"/>
  <c r="D25" i="3"/>
  <c r="D85" i="3"/>
  <c r="F85" i="3" s="1"/>
  <c r="D23" i="3"/>
  <c r="D83" i="3"/>
  <c r="F83" i="3" s="1"/>
  <c r="D21" i="3"/>
  <c r="D81" i="3"/>
  <c r="F81" i="3" s="1"/>
  <c r="D19" i="3"/>
  <c r="D79" i="3"/>
  <c r="F79" i="3" s="1"/>
  <c r="D17" i="3"/>
  <c r="D77" i="3"/>
  <c r="F77" i="3" s="1"/>
  <c r="D15" i="3"/>
  <c r="D75" i="3"/>
  <c r="F75" i="3" s="1"/>
  <c r="D13" i="3"/>
  <c r="D73" i="3"/>
  <c r="F73" i="3" s="1"/>
  <c r="D11" i="3"/>
  <c r="D71" i="3"/>
  <c r="F71" i="3" s="1"/>
  <c r="D9" i="3"/>
  <c r="D69" i="3"/>
  <c r="F69" i="3" s="1"/>
  <c r="D7" i="3"/>
  <c r="D67" i="3"/>
  <c r="F67" i="3" s="1"/>
  <c r="D5" i="3"/>
  <c r="D118" i="3"/>
  <c r="F63" i="3"/>
  <c r="D32" i="3"/>
  <c r="F61" i="3"/>
  <c r="D30" i="3"/>
  <c r="F59" i="3"/>
  <c r="D28" i="3"/>
  <c r="F57" i="3"/>
  <c r="D26" i="3"/>
  <c r="F55" i="3"/>
  <c r="D24" i="3"/>
  <c r="F53" i="3"/>
  <c r="D22" i="3"/>
  <c r="F51" i="3"/>
  <c r="D20" i="3"/>
  <c r="F49" i="3"/>
  <c r="D18" i="3"/>
  <c r="F47" i="3"/>
  <c r="D16" i="3"/>
  <c r="F45" i="3"/>
  <c r="D14" i="3"/>
  <c r="F43" i="3"/>
  <c r="D12" i="3"/>
  <c r="F41" i="3"/>
  <c r="D10" i="3"/>
  <c r="F39" i="3"/>
  <c r="D8" i="3"/>
  <c r="F37" i="3"/>
  <c r="D6" i="3"/>
  <c r="F116" i="3"/>
  <c r="F115" i="3"/>
  <c r="F113" i="3"/>
  <c r="F111" i="3"/>
  <c r="E118" i="3"/>
  <c r="E105" i="3"/>
  <c r="E95" i="3"/>
  <c r="C109" i="3" s="1"/>
  <c r="E64" i="3"/>
  <c r="F64" i="3" s="1"/>
  <c r="F115" i="5"/>
  <c r="E118" i="5"/>
  <c r="E105" i="5"/>
  <c r="E64" i="5"/>
  <c r="M59" i="63" s="1"/>
  <c r="F114" i="5"/>
  <c r="F112" i="5"/>
  <c r="F110" i="5"/>
  <c r="E95" i="5"/>
  <c r="C109" i="5" s="1"/>
  <c r="F62" i="5"/>
  <c r="D31" i="5"/>
  <c r="D93" i="5"/>
  <c r="F93" i="5" s="1"/>
  <c r="F60" i="5"/>
  <c r="D91" i="5"/>
  <c r="F91" i="5" s="1"/>
  <c r="D29" i="5"/>
  <c r="F58" i="5"/>
  <c r="D27" i="5"/>
  <c r="D89" i="5"/>
  <c r="F89" i="5" s="1"/>
  <c r="F56" i="5"/>
  <c r="D87" i="5"/>
  <c r="F87" i="5" s="1"/>
  <c r="D25" i="5"/>
  <c r="F54" i="5"/>
  <c r="D23" i="5"/>
  <c r="D85" i="5"/>
  <c r="F85" i="5" s="1"/>
  <c r="F52" i="5"/>
  <c r="D83" i="5"/>
  <c r="F83" i="5" s="1"/>
  <c r="D21" i="5"/>
  <c r="F50" i="5"/>
  <c r="D19" i="5"/>
  <c r="D81" i="5"/>
  <c r="F81" i="5" s="1"/>
  <c r="F48" i="5"/>
  <c r="D79" i="5"/>
  <c r="F79" i="5" s="1"/>
  <c r="D17" i="5"/>
  <c r="F46" i="5"/>
  <c r="D15" i="5"/>
  <c r="D77" i="5"/>
  <c r="F77" i="5" s="1"/>
  <c r="F44" i="5"/>
  <c r="D75" i="5"/>
  <c r="F75" i="5" s="1"/>
  <c r="D13" i="5"/>
  <c r="F42" i="5"/>
  <c r="D11" i="5"/>
  <c r="D73" i="5"/>
  <c r="F73" i="5" s="1"/>
  <c r="F40" i="5"/>
  <c r="D71" i="5"/>
  <c r="F71" i="5" s="1"/>
  <c r="D9" i="5"/>
  <c r="F38" i="5"/>
  <c r="D7" i="5"/>
  <c r="D69" i="5"/>
  <c r="F69" i="5" s="1"/>
  <c r="D64" i="5"/>
  <c r="D67" i="5"/>
  <c r="F67" i="5" s="1"/>
  <c r="D5" i="5"/>
  <c r="D33" i="5" s="1"/>
  <c r="D118" i="5"/>
  <c r="F63" i="5"/>
  <c r="F61" i="5"/>
  <c r="F59" i="5"/>
  <c r="F57" i="5"/>
  <c r="F55" i="5"/>
  <c r="F53" i="5"/>
  <c r="F51" i="5"/>
  <c r="F49" i="5"/>
  <c r="F47" i="5"/>
  <c r="F45" i="5"/>
  <c r="F43" i="5"/>
  <c r="F41" i="5"/>
  <c r="F39" i="5"/>
  <c r="F37" i="5"/>
  <c r="D64" i="18"/>
  <c r="D118" i="18"/>
  <c r="F63" i="18"/>
  <c r="D94" i="18"/>
  <c r="F94" i="18" s="1"/>
  <c r="D32" i="18"/>
  <c r="F61" i="18"/>
  <c r="D92" i="18"/>
  <c r="F92" i="18" s="1"/>
  <c r="D30" i="18"/>
  <c r="F59" i="18"/>
  <c r="D90" i="18"/>
  <c r="F90" i="18" s="1"/>
  <c r="D28" i="18"/>
  <c r="F57" i="18"/>
  <c r="D88" i="18"/>
  <c r="F88" i="18" s="1"/>
  <c r="D26" i="18"/>
  <c r="F55" i="18"/>
  <c r="D86" i="18"/>
  <c r="F86" i="18" s="1"/>
  <c r="D24" i="18"/>
  <c r="F53" i="18"/>
  <c r="D84" i="18"/>
  <c r="F84" i="18" s="1"/>
  <c r="D22" i="18"/>
  <c r="F51" i="18"/>
  <c r="D82" i="18"/>
  <c r="F82" i="18" s="1"/>
  <c r="D20" i="18"/>
  <c r="F49" i="18"/>
  <c r="D80" i="18"/>
  <c r="F80" i="18" s="1"/>
  <c r="D18" i="18"/>
  <c r="F47" i="18"/>
  <c r="D78" i="18"/>
  <c r="F78" i="18" s="1"/>
  <c r="D16" i="18"/>
  <c r="F45" i="18"/>
  <c r="D76" i="18"/>
  <c r="F76" i="18" s="1"/>
  <c r="D14" i="18"/>
  <c r="F43" i="18"/>
  <c r="D74" i="18"/>
  <c r="F74" i="18" s="1"/>
  <c r="D12" i="18"/>
  <c r="F41" i="18"/>
  <c r="D72" i="18"/>
  <c r="F72" i="18" s="1"/>
  <c r="D10" i="18"/>
  <c r="F39" i="18"/>
  <c r="D70" i="18"/>
  <c r="F70" i="18" s="1"/>
  <c r="D8" i="18"/>
  <c r="F37" i="18"/>
  <c r="D68" i="18"/>
  <c r="F68" i="18" s="1"/>
  <c r="D6" i="18"/>
  <c r="F116" i="18"/>
  <c r="F115" i="18"/>
  <c r="F113" i="18"/>
  <c r="F111" i="18"/>
  <c r="E118" i="18"/>
  <c r="E105" i="18"/>
  <c r="E95" i="18"/>
  <c r="C109" i="18" s="1"/>
  <c r="E64" i="18"/>
  <c r="M46" i="63" s="1"/>
  <c r="F117" i="20"/>
  <c r="F117" i="60" s="1"/>
  <c r="D117" i="60"/>
  <c r="F114" i="20"/>
  <c r="C114" i="60"/>
  <c r="F112" i="20"/>
  <c r="C112" i="60"/>
  <c r="F110" i="20"/>
  <c r="F110" i="60" s="1"/>
  <c r="C110" i="60"/>
  <c r="E116" i="20"/>
  <c r="E116" i="60" s="1"/>
  <c r="E102" i="60"/>
  <c r="F62" i="20"/>
  <c r="D62" i="60"/>
  <c r="F60" i="20"/>
  <c r="D60" i="60"/>
  <c r="F58" i="20"/>
  <c r="D58" i="60"/>
  <c r="F56" i="20"/>
  <c r="D56" i="60"/>
  <c r="F54" i="20"/>
  <c r="D54" i="60"/>
  <c r="F52" i="20"/>
  <c r="D52" i="60"/>
  <c r="F50" i="20"/>
  <c r="D50" i="60"/>
  <c r="F48" i="20"/>
  <c r="D48" i="60"/>
  <c r="F46" i="20"/>
  <c r="D46" i="60"/>
  <c r="F44" i="20"/>
  <c r="D44" i="60"/>
  <c r="F42" i="20"/>
  <c r="D42" i="60"/>
  <c r="F40" i="20"/>
  <c r="D40" i="60"/>
  <c r="F38" i="20"/>
  <c r="D38" i="60"/>
  <c r="D64" i="20"/>
  <c r="D36" i="60"/>
  <c r="E104" i="60"/>
  <c r="E99" i="60"/>
  <c r="D118" i="20"/>
  <c r="D109" i="60"/>
  <c r="D118" i="60" s="1"/>
  <c r="F63" i="20"/>
  <c r="D94" i="20"/>
  <c r="F94" i="20" s="1"/>
  <c r="D32" i="20"/>
  <c r="D63" i="60"/>
  <c r="F61" i="20"/>
  <c r="D92" i="20"/>
  <c r="F92" i="20" s="1"/>
  <c r="D30" i="20"/>
  <c r="D61" i="60"/>
  <c r="F59" i="20"/>
  <c r="D90" i="20"/>
  <c r="F90" i="20" s="1"/>
  <c r="F90" i="60" s="1"/>
  <c r="D28" i="20"/>
  <c r="D59" i="60"/>
  <c r="F57" i="20"/>
  <c r="D88" i="20"/>
  <c r="F88" i="20" s="1"/>
  <c r="D26" i="20"/>
  <c r="D57" i="60"/>
  <c r="F55" i="20"/>
  <c r="D86" i="20"/>
  <c r="F86" i="20" s="1"/>
  <c r="F86" i="60" s="1"/>
  <c r="D24" i="20"/>
  <c r="D55" i="60"/>
  <c r="F53" i="20"/>
  <c r="D84" i="20"/>
  <c r="F84" i="20" s="1"/>
  <c r="D22" i="20"/>
  <c r="D53" i="60"/>
  <c r="F51" i="20"/>
  <c r="D82" i="20"/>
  <c r="F82" i="20" s="1"/>
  <c r="F82" i="60" s="1"/>
  <c r="D20" i="20"/>
  <c r="D51" i="60"/>
  <c r="F49" i="20"/>
  <c r="D80" i="20"/>
  <c r="F80" i="20" s="1"/>
  <c r="F80" i="60" s="1"/>
  <c r="D18" i="20"/>
  <c r="D49" i="60"/>
  <c r="F47" i="20"/>
  <c r="D78" i="20"/>
  <c r="F78" i="20" s="1"/>
  <c r="F78" i="60" s="1"/>
  <c r="D16" i="20"/>
  <c r="D47" i="60"/>
  <c r="F45" i="20"/>
  <c r="D76" i="20"/>
  <c r="F76" i="20" s="1"/>
  <c r="F76" i="60" s="1"/>
  <c r="D14" i="20"/>
  <c r="D45" i="60"/>
  <c r="F43" i="20"/>
  <c r="D74" i="20"/>
  <c r="D12" i="20"/>
  <c r="D43" i="60"/>
  <c r="F41" i="20"/>
  <c r="D72" i="20"/>
  <c r="F72" i="20" s="1"/>
  <c r="F72" i="60" s="1"/>
  <c r="D10" i="20"/>
  <c r="D41" i="60"/>
  <c r="F39" i="20"/>
  <c r="D70" i="20"/>
  <c r="F70" i="20" s="1"/>
  <c r="F70" i="60" s="1"/>
  <c r="D8" i="20"/>
  <c r="D39" i="60"/>
  <c r="F37" i="20"/>
  <c r="D68" i="20"/>
  <c r="F68" i="20" s="1"/>
  <c r="D6" i="20"/>
  <c r="D37" i="60"/>
  <c r="F116" i="20"/>
  <c r="C116" i="60"/>
  <c r="F115" i="20"/>
  <c r="C115" i="60"/>
  <c r="F113" i="20"/>
  <c r="C113" i="60"/>
  <c r="F111" i="20"/>
  <c r="C111" i="60"/>
  <c r="E118" i="20"/>
  <c r="E109" i="60"/>
  <c r="E103" i="60"/>
  <c r="E100" i="60"/>
  <c r="E105" i="20"/>
  <c r="E98" i="60"/>
  <c r="E95" i="20"/>
  <c r="C109" i="20" s="1"/>
  <c r="E44" i="63"/>
  <c r="E67" i="60"/>
  <c r="E64" i="20"/>
  <c r="M44" i="63" s="1"/>
  <c r="E36" i="60"/>
  <c r="D95" i="1"/>
  <c r="F67" i="1"/>
  <c r="D95" i="59"/>
  <c r="D95" i="4"/>
  <c r="F67" i="4"/>
  <c r="D95" i="6"/>
  <c r="F67" i="6"/>
  <c r="D95" i="5"/>
  <c r="D33" i="9"/>
  <c r="B55" i="63" s="1"/>
  <c r="D95" i="7"/>
  <c r="D95" i="9"/>
  <c r="D95" i="11"/>
  <c r="F67" i="11"/>
  <c r="D95" i="13"/>
  <c r="F67" i="13"/>
  <c r="D95" i="14"/>
  <c r="F67" i="14"/>
  <c r="D95" i="16"/>
  <c r="F67" i="16"/>
  <c r="D33" i="16"/>
  <c r="B48" i="63" s="1"/>
  <c r="F67" i="20"/>
  <c r="D33" i="20"/>
  <c r="D33" i="15"/>
  <c r="D33" i="19"/>
  <c r="D33" i="23"/>
  <c r="B41" i="63" s="1"/>
  <c r="D95" i="25"/>
  <c r="F67" i="25"/>
  <c r="D33" i="25"/>
  <c r="B39" i="63" s="1"/>
  <c r="D95" i="29"/>
  <c r="F67" i="29"/>
  <c r="D33" i="29"/>
  <c r="B35" i="63" s="1"/>
  <c r="D95" i="30"/>
  <c r="F67" i="30"/>
  <c r="D33" i="30"/>
  <c r="B34" i="63" s="1"/>
  <c r="D33" i="34"/>
  <c r="B30" i="63" s="1"/>
  <c r="D33" i="38"/>
  <c r="B26" i="63" s="1"/>
  <c r="D95" i="22"/>
  <c r="D33" i="28"/>
  <c r="D33" i="33"/>
  <c r="B31" i="63" s="1"/>
  <c r="S31" i="63" s="1"/>
  <c r="D95" i="34"/>
  <c r="D95" i="46"/>
  <c r="F67" i="46"/>
  <c r="D33" i="48"/>
  <c r="B16" i="63" s="1"/>
  <c r="D95" i="50"/>
  <c r="F67" i="50"/>
  <c r="D95" i="52"/>
  <c r="F67" i="52"/>
  <c r="F69" i="60"/>
  <c r="F92" i="60"/>
  <c r="D95" i="47"/>
  <c r="D95" i="51"/>
  <c r="D95" i="45"/>
  <c r="D33" i="45"/>
  <c r="D95" i="53"/>
  <c r="D95" i="55"/>
  <c r="D95" i="57"/>
  <c r="D33" i="59"/>
  <c r="D33" i="6"/>
  <c r="B58" i="63" s="1"/>
  <c r="D33" i="7"/>
  <c r="B57" i="63" s="1"/>
  <c r="D95" i="8"/>
  <c r="F67" i="8"/>
  <c r="D95" i="10"/>
  <c r="F67" i="10"/>
  <c r="D95" i="12"/>
  <c r="D33" i="14"/>
  <c r="B50" i="63" s="1"/>
  <c r="F67" i="18"/>
  <c r="D95" i="15"/>
  <c r="D95" i="21"/>
  <c r="D95" i="17"/>
  <c r="D95" i="19"/>
  <c r="D95" i="23"/>
  <c r="F67" i="23"/>
  <c r="D95" i="27"/>
  <c r="F67" i="27"/>
  <c r="D33" i="27"/>
  <c r="B37" i="63" s="1"/>
  <c r="D33" i="24"/>
  <c r="D95" i="28"/>
  <c r="D33" i="32"/>
  <c r="B32" i="63" s="1"/>
  <c r="D33" i="36"/>
  <c r="B28" i="63" s="1"/>
  <c r="D95" i="24"/>
  <c r="D95" i="26"/>
  <c r="D95" i="33"/>
  <c r="F67" i="33"/>
  <c r="D95" i="35"/>
  <c r="F67" i="35"/>
  <c r="D95" i="37"/>
  <c r="F67" i="37"/>
  <c r="D95" i="39"/>
  <c r="F67" i="39"/>
  <c r="D95" i="41"/>
  <c r="F67" i="41"/>
  <c r="D95" i="43"/>
  <c r="F67" i="43"/>
  <c r="D33" i="35"/>
  <c r="B29" i="63" s="1"/>
  <c r="D95" i="40"/>
  <c r="D33" i="37"/>
  <c r="D95" i="38"/>
  <c r="D33" i="39"/>
  <c r="D33" i="41"/>
  <c r="D95" i="42"/>
  <c r="F67" i="44"/>
  <c r="D33" i="44"/>
  <c r="B20" i="63" s="1"/>
  <c r="D33" i="46"/>
  <c r="B18" i="63" s="1"/>
  <c r="D95" i="48"/>
  <c r="F67" i="48"/>
  <c r="D33" i="50"/>
  <c r="B14" i="63" s="1"/>
  <c r="D95" i="54"/>
  <c r="F67" i="54"/>
  <c r="D33" i="54"/>
  <c r="B10" i="63" s="1"/>
  <c r="F58" i="60"/>
  <c r="F50" i="60"/>
  <c r="F42" i="60"/>
  <c r="D95" i="56"/>
  <c r="F67" i="56"/>
  <c r="F61" i="60"/>
  <c r="F49" i="60"/>
  <c r="F41" i="60"/>
  <c r="N7" i="63"/>
  <c r="F36" i="60"/>
  <c r="D95" i="49"/>
  <c r="D33" i="51"/>
  <c r="B13" i="63" s="1"/>
  <c r="D33" i="47"/>
  <c r="B17" i="63" s="1"/>
  <c r="D33" i="53"/>
  <c r="F84" i="60" l="1"/>
  <c r="F88" i="60"/>
  <c r="E13" i="63"/>
  <c r="E118" i="48"/>
  <c r="E118" i="23"/>
  <c r="F116" i="59"/>
  <c r="F37" i="60"/>
  <c r="F45" i="60"/>
  <c r="F53" i="60"/>
  <c r="F38" i="60"/>
  <c r="F46" i="60"/>
  <c r="F54" i="60"/>
  <c r="M39" i="63"/>
  <c r="M32" i="63"/>
  <c r="E17" i="63"/>
  <c r="E21" i="63"/>
  <c r="E28" i="63"/>
  <c r="E32" i="63"/>
  <c r="E33" i="63"/>
  <c r="B44" i="63"/>
  <c r="E46" i="63"/>
  <c r="E39" i="63"/>
  <c r="E118" i="1"/>
  <c r="F116" i="55"/>
  <c r="F116" i="13"/>
  <c r="F74" i="20"/>
  <c r="F74" i="60" s="1"/>
  <c r="D33" i="18"/>
  <c r="B46" i="63" s="1"/>
  <c r="F83" i="60"/>
  <c r="F109" i="24"/>
  <c r="F52" i="60"/>
  <c r="F47" i="60"/>
  <c r="F109" i="50"/>
  <c r="D33" i="42"/>
  <c r="B22" i="63" s="1"/>
  <c r="F39" i="60"/>
  <c r="F57" i="60"/>
  <c r="F55" i="60"/>
  <c r="F60" i="60"/>
  <c r="F44" i="60"/>
  <c r="N22" i="63"/>
  <c r="D95" i="18"/>
  <c r="D95" i="3"/>
  <c r="D33" i="56"/>
  <c r="B8" i="63" s="1"/>
  <c r="F59" i="60"/>
  <c r="F51" i="60"/>
  <c r="F43" i="60"/>
  <c r="F40" i="60"/>
  <c r="F56" i="60"/>
  <c r="F48" i="60"/>
  <c r="D33" i="52"/>
  <c r="B12" i="63" s="1"/>
  <c r="D95" i="44"/>
  <c r="F113" i="60"/>
  <c r="F114" i="60"/>
  <c r="N11" i="63"/>
  <c r="N35" i="63"/>
  <c r="N61" i="63"/>
  <c r="N39" i="63"/>
  <c r="N26" i="63"/>
  <c r="N45" i="63"/>
  <c r="N32" i="63"/>
  <c r="N38" i="63"/>
  <c r="N40" i="63"/>
  <c r="F116" i="60"/>
  <c r="N47" i="63"/>
  <c r="N55" i="63"/>
  <c r="N42" i="63"/>
  <c r="C118" i="22"/>
  <c r="M61" i="63"/>
  <c r="E61" i="63"/>
  <c r="E11" i="63"/>
  <c r="E15" i="63"/>
  <c r="M15" i="63"/>
  <c r="F118" i="45"/>
  <c r="E54" i="63"/>
  <c r="M55" i="63"/>
  <c r="E55" i="63"/>
  <c r="F64" i="4"/>
  <c r="N60" i="63" s="1"/>
  <c r="F64" i="47"/>
  <c r="N17" i="63" s="1"/>
  <c r="E23" i="63"/>
  <c r="E25" i="63"/>
  <c r="M28" i="63"/>
  <c r="F64" i="5"/>
  <c r="N59" i="63" s="1"/>
  <c r="E59" i="63"/>
  <c r="M11" i="63"/>
  <c r="E57" i="63"/>
  <c r="E63" i="63"/>
  <c r="M42" i="63"/>
  <c r="M24" i="63"/>
  <c r="E8" i="63"/>
  <c r="M26" i="63"/>
  <c r="E26" i="63"/>
  <c r="F64" i="33"/>
  <c r="N31" i="63" s="1"/>
  <c r="M45" i="63"/>
  <c r="E45" i="63"/>
  <c r="M47" i="63"/>
  <c r="E47" i="63"/>
  <c r="E12" i="63"/>
  <c r="E22" i="63"/>
  <c r="E10" i="63"/>
  <c r="E24" i="63"/>
  <c r="M12" i="63"/>
  <c r="B23" i="63"/>
  <c r="E27" i="63"/>
  <c r="M35" i="63"/>
  <c r="E35" i="63"/>
  <c r="E36" i="63"/>
  <c r="B36" i="63"/>
  <c r="M7" i="63"/>
  <c r="F64" i="35"/>
  <c r="N29" i="63" s="1"/>
  <c r="M29" i="63"/>
  <c r="B59" i="63"/>
  <c r="E29" i="63"/>
  <c r="M30" i="63"/>
  <c r="E30" i="63"/>
  <c r="E31" i="63"/>
  <c r="E41" i="63"/>
  <c r="E50" i="63"/>
  <c r="M43" i="63"/>
  <c r="E43" i="63"/>
  <c r="M49" i="63"/>
  <c r="E49" i="63"/>
  <c r="M52" i="63"/>
  <c r="E52" i="63"/>
  <c r="E53" i="63"/>
  <c r="B11" i="63"/>
  <c r="M22" i="63"/>
  <c r="B25" i="63"/>
  <c r="B27" i="63"/>
  <c r="B33" i="63"/>
  <c r="B45" i="63"/>
  <c r="S45" i="63" s="1"/>
  <c r="C118" i="6"/>
  <c r="C109" i="57"/>
  <c r="E7" i="63"/>
  <c r="E14" i="63"/>
  <c r="B40" i="63"/>
  <c r="E60" i="63"/>
  <c r="M62" i="63"/>
  <c r="E62" i="63"/>
  <c r="B19" i="63"/>
  <c r="F118" i="44"/>
  <c r="E34" i="63"/>
  <c r="M37" i="63"/>
  <c r="E37" i="63"/>
  <c r="M38" i="63"/>
  <c r="E38" i="63"/>
  <c r="E48" i="63"/>
  <c r="E51" i="63"/>
  <c r="E56" i="63"/>
  <c r="B62" i="63"/>
  <c r="B49" i="63"/>
  <c r="C109" i="55"/>
  <c r="E9" i="63"/>
  <c r="C109" i="48"/>
  <c r="E16" i="63"/>
  <c r="B43" i="63"/>
  <c r="E18" i="63"/>
  <c r="E40" i="63"/>
  <c r="E42" i="63"/>
  <c r="E58" i="63"/>
  <c r="F91" i="60"/>
  <c r="E118" i="60"/>
  <c r="F75" i="60"/>
  <c r="F87" i="60"/>
  <c r="F79" i="60"/>
  <c r="F89" i="60"/>
  <c r="F85" i="60"/>
  <c r="F71" i="60"/>
  <c r="F73" i="60"/>
  <c r="F77" i="60"/>
  <c r="F81" i="60"/>
  <c r="D33" i="17"/>
  <c r="B47" i="63" s="1"/>
  <c r="C118" i="53"/>
  <c r="F109" i="53"/>
  <c r="F118" i="53" s="1"/>
  <c r="F109" i="49"/>
  <c r="F118" i="49" s="1"/>
  <c r="C118" i="49"/>
  <c r="C118" i="56"/>
  <c r="F109" i="56"/>
  <c r="F118" i="56" s="1"/>
  <c r="F109" i="25"/>
  <c r="F118" i="25" s="1"/>
  <c r="C118" i="25"/>
  <c r="F109" i="35"/>
  <c r="F118" i="35" s="1"/>
  <c r="C118" i="35"/>
  <c r="C118" i="34"/>
  <c r="F109" i="34"/>
  <c r="F118" i="34" s="1"/>
  <c r="F109" i="33"/>
  <c r="F118" i="33" s="1"/>
  <c r="C118" i="33"/>
  <c r="C118" i="23"/>
  <c r="F109" i="23"/>
  <c r="F118" i="23" s="1"/>
  <c r="C118" i="14"/>
  <c r="F109" i="14"/>
  <c r="F118" i="14" s="1"/>
  <c r="F109" i="21"/>
  <c r="F118" i="21" s="1"/>
  <c r="C118" i="21"/>
  <c r="F109" i="15"/>
  <c r="F118" i="15" s="1"/>
  <c r="C118" i="15"/>
  <c r="D33" i="12"/>
  <c r="B52" i="63" s="1"/>
  <c r="D33" i="11"/>
  <c r="B53" i="63" s="1"/>
  <c r="D33" i="10"/>
  <c r="B54" i="63" s="1"/>
  <c r="F109" i="12"/>
  <c r="F118" i="12" s="1"/>
  <c r="C118" i="12"/>
  <c r="C118" i="11"/>
  <c r="F109" i="11"/>
  <c r="F118" i="11" s="1"/>
  <c r="F109" i="10"/>
  <c r="F118" i="10" s="1"/>
  <c r="C118" i="10"/>
  <c r="C118" i="9"/>
  <c r="F109" i="9"/>
  <c r="F118" i="9" s="1"/>
  <c r="D33" i="1"/>
  <c r="B63" i="63" s="1"/>
  <c r="F109" i="52"/>
  <c r="F118" i="52" s="1"/>
  <c r="C118" i="52"/>
  <c r="F109" i="47"/>
  <c r="F118" i="47" s="1"/>
  <c r="C118" i="47"/>
  <c r="F109" i="42"/>
  <c r="F118" i="42" s="1"/>
  <c r="C118" i="42"/>
  <c r="F64" i="56"/>
  <c r="N8" i="63" s="1"/>
  <c r="F109" i="51"/>
  <c r="F118" i="51" s="1"/>
  <c r="C118" i="51"/>
  <c r="C118" i="36"/>
  <c r="F109" i="36"/>
  <c r="F118" i="36" s="1"/>
  <c r="F109" i="32"/>
  <c r="F118" i="32" s="1"/>
  <c r="C118" i="32"/>
  <c r="F109" i="31"/>
  <c r="F118" i="31" s="1"/>
  <c r="C118" i="31"/>
  <c r="F67" i="31"/>
  <c r="D95" i="31"/>
  <c r="F64" i="31"/>
  <c r="N33" i="63" s="1"/>
  <c r="C118" i="16"/>
  <c r="F109" i="16"/>
  <c r="F118" i="16" s="1"/>
  <c r="F64" i="23"/>
  <c r="N41" i="63" s="1"/>
  <c r="C118" i="13"/>
  <c r="F109" i="13"/>
  <c r="F118" i="13" s="1"/>
  <c r="F64" i="13"/>
  <c r="N51" i="63" s="1"/>
  <c r="F109" i="8"/>
  <c r="F118" i="8" s="1"/>
  <c r="C118" i="8"/>
  <c r="F109" i="7"/>
  <c r="F118" i="7" s="1"/>
  <c r="C118" i="7"/>
  <c r="C118" i="1"/>
  <c r="F109" i="1"/>
  <c r="F118" i="1" s="1"/>
  <c r="D33" i="55"/>
  <c r="B9" i="63" s="1"/>
  <c r="D33" i="22"/>
  <c r="B42" i="63" s="1"/>
  <c r="F118" i="50"/>
  <c r="F118" i="46"/>
  <c r="F118" i="24"/>
  <c r="F118" i="6"/>
  <c r="F111" i="60"/>
  <c r="F115" i="60"/>
  <c r="F112" i="60"/>
  <c r="F109" i="40"/>
  <c r="F118" i="40" s="1"/>
  <c r="C118" i="40"/>
  <c r="F109" i="37"/>
  <c r="F118" i="37" s="1"/>
  <c r="C118" i="37"/>
  <c r="F109" i="29"/>
  <c r="F118" i="29" s="1"/>
  <c r="C118" i="29"/>
  <c r="F109" i="28"/>
  <c r="F118" i="28" s="1"/>
  <c r="C118" i="28"/>
  <c r="D33" i="26"/>
  <c r="B38" i="63" s="1"/>
  <c r="C118" i="38"/>
  <c r="F109" i="38"/>
  <c r="F118" i="38" s="1"/>
  <c r="F109" i="19"/>
  <c r="F118" i="19" s="1"/>
  <c r="C118" i="19"/>
  <c r="F109" i="17"/>
  <c r="F118" i="17" s="1"/>
  <c r="C118" i="17"/>
  <c r="F64" i="11"/>
  <c r="N53" i="63" s="1"/>
  <c r="F64" i="10"/>
  <c r="N54" i="63" s="1"/>
  <c r="F109" i="4"/>
  <c r="F118" i="4" s="1"/>
  <c r="C118" i="4"/>
  <c r="F109" i="59"/>
  <c r="F118" i="59" s="1"/>
  <c r="C118" i="59"/>
  <c r="D33" i="43"/>
  <c r="B21" i="63" s="1"/>
  <c r="D33" i="8"/>
  <c r="B56" i="63" s="1"/>
  <c r="F109" i="43"/>
  <c r="F118" i="43" s="1"/>
  <c r="C118" i="43"/>
  <c r="F109" i="54"/>
  <c r="F118" i="54" s="1"/>
  <c r="C118" i="54"/>
  <c r="C118" i="41"/>
  <c r="F109" i="41"/>
  <c r="F118" i="41" s="1"/>
  <c r="F109" i="39"/>
  <c r="F118" i="39" s="1"/>
  <c r="C118" i="39"/>
  <c r="F64" i="37"/>
  <c r="N27" i="63" s="1"/>
  <c r="F68" i="36"/>
  <c r="D95" i="36"/>
  <c r="F68" i="32"/>
  <c r="D95" i="32"/>
  <c r="F109" i="30"/>
  <c r="F118" i="30" s="1"/>
  <c r="C118" i="30"/>
  <c r="F109" i="27"/>
  <c r="F118" i="27" s="1"/>
  <c r="C118" i="27"/>
  <c r="C118" i="26"/>
  <c r="F109" i="26"/>
  <c r="F118" i="26" s="1"/>
  <c r="D33" i="13"/>
  <c r="B51" i="63" s="1"/>
  <c r="F109" i="3"/>
  <c r="F118" i="3" s="1"/>
  <c r="C118" i="3"/>
  <c r="D33" i="3"/>
  <c r="B61" i="63" s="1"/>
  <c r="C118" i="5"/>
  <c r="F109" i="5"/>
  <c r="F118" i="5" s="1"/>
  <c r="C118" i="18"/>
  <c r="F109" i="18"/>
  <c r="F118" i="18" s="1"/>
  <c r="F64" i="18"/>
  <c r="N46" i="63" s="1"/>
  <c r="E95" i="60"/>
  <c r="E64" i="63" s="1"/>
  <c r="C109" i="60"/>
  <c r="C118" i="60" s="1"/>
  <c r="C118" i="20"/>
  <c r="F109" i="20"/>
  <c r="D68" i="60"/>
  <c r="D6" i="60"/>
  <c r="D70" i="60"/>
  <c r="D8" i="60"/>
  <c r="D72" i="60"/>
  <c r="D10" i="60"/>
  <c r="D74" i="60"/>
  <c r="D12" i="60"/>
  <c r="D76" i="60"/>
  <c r="D14" i="60"/>
  <c r="D78" i="60"/>
  <c r="D16" i="60"/>
  <c r="D80" i="60"/>
  <c r="D18" i="60"/>
  <c r="D82" i="60"/>
  <c r="D20" i="60"/>
  <c r="D84" i="60"/>
  <c r="D22" i="60"/>
  <c r="D86" i="60"/>
  <c r="D24" i="60"/>
  <c r="D88" i="60"/>
  <c r="D26" i="60"/>
  <c r="D90" i="60"/>
  <c r="D28" i="60"/>
  <c r="D92" i="60"/>
  <c r="D30" i="60"/>
  <c r="D94" i="60"/>
  <c r="D32" i="60"/>
  <c r="D64" i="60"/>
  <c r="D5" i="60"/>
  <c r="D67" i="60"/>
  <c r="D69" i="60"/>
  <c r="D7" i="60"/>
  <c r="D71" i="60"/>
  <c r="D9" i="60"/>
  <c r="D73" i="60"/>
  <c r="D11" i="60"/>
  <c r="D75" i="60"/>
  <c r="D13" i="60"/>
  <c r="D77" i="60"/>
  <c r="D15" i="60"/>
  <c r="D79" i="60"/>
  <c r="D17" i="60"/>
  <c r="D81" i="60"/>
  <c r="D19" i="60"/>
  <c r="D83" i="60"/>
  <c r="D21" i="60"/>
  <c r="D85" i="60"/>
  <c r="D23" i="60"/>
  <c r="D87" i="60"/>
  <c r="D25" i="60"/>
  <c r="D89" i="60"/>
  <c r="D27" i="60"/>
  <c r="D91" i="60"/>
  <c r="D29" i="60"/>
  <c r="D93" i="60"/>
  <c r="D31" i="60"/>
  <c r="D95" i="20"/>
  <c r="D105" i="20" s="1"/>
  <c r="F101" i="20" s="1"/>
  <c r="E64" i="60"/>
  <c r="M64" i="63" s="1"/>
  <c r="E105" i="60"/>
  <c r="F64" i="20"/>
  <c r="D105" i="48"/>
  <c r="F101" i="48" s="1"/>
  <c r="F95" i="48"/>
  <c r="F16" i="63" s="1"/>
  <c r="F95" i="44"/>
  <c r="F20" i="63" s="1"/>
  <c r="D105" i="44"/>
  <c r="F101" i="44" s="1"/>
  <c r="F95" i="38"/>
  <c r="F26" i="63" s="1"/>
  <c r="D105" i="38"/>
  <c r="F101" i="38" s="1"/>
  <c r="F67" i="60"/>
  <c r="F95" i="40"/>
  <c r="F24" i="63" s="1"/>
  <c r="D105" i="40"/>
  <c r="F101" i="40" s="1"/>
  <c r="F95" i="26"/>
  <c r="F38" i="63" s="1"/>
  <c r="D105" i="26"/>
  <c r="F101" i="26" s="1"/>
  <c r="D105" i="27"/>
  <c r="F101" i="27" s="1"/>
  <c r="F95" i="27"/>
  <c r="F37" i="63" s="1"/>
  <c r="F95" i="17"/>
  <c r="F47" i="63" s="1"/>
  <c r="D105" i="17"/>
  <c r="F101" i="17" s="1"/>
  <c r="F95" i="15"/>
  <c r="F49" i="63" s="1"/>
  <c r="D105" i="15"/>
  <c r="F101" i="15" s="1"/>
  <c r="F95" i="12"/>
  <c r="F52" i="63" s="1"/>
  <c r="D105" i="12"/>
  <c r="F101" i="12" s="1"/>
  <c r="D105" i="10"/>
  <c r="F95" i="10"/>
  <c r="F54" i="63" s="1"/>
  <c r="D105" i="8"/>
  <c r="F101" i="8" s="1"/>
  <c r="F95" i="8"/>
  <c r="F56" i="63" s="1"/>
  <c r="F95" i="3"/>
  <c r="F61" i="63" s="1"/>
  <c r="D105" i="3"/>
  <c r="F101" i="3" s="1"/>
  <c r="F95" i="57"/>
  <c r="F7" i="63" s="1"/>
  <c r="D105" i="57"/>
  <c r="F101" i="57" s="1"/>
  <c r="F95" i="53"/>
  <c r="F11" i="63" s="1"/>
  <c r="D105" i="53"/>
  <c r="F101" i="53" s="1"/>
  <c r="F95" i="51"/>
  <c r="F13" i="63" s="1"/>
  <c r="D105" i="51"/>
  <c r="F101" i="51" s="1"/>
  <c r="S12" i="63"/>
  <c r="D105" i="52"/>
  <c r="F101" i="52" s="1"/>
  <c r="F95" i="52"/>
  <c r="F12" i="63" s="1"/>
  <c r="D105" i="50"/>
  <c r="F101" i="50" s="1"/>
  <c r="F95" i="50"/>
  <c r="F14" i="63" s="1"/>
  <c r="D105" i="46"/>
  <c r="F101" i="46" s="1"/>
  <c r="F95" i="46"/>
  <c r="F18" i="63" s="1"/>
  <c r="F95" i="22"/>
  <c r="F42" i="63" s="1"/>
  <c r="D105" i="22"/>
  <c r="F101" i="22" s="1"/>
  <c r="D105" i="29"/>
  <c r="F101" i="29" s="1"/>
  <c r="F95" i="29"/>
  <c r="F35" i="63" s="1"/>
  <c r="D105" i="25"/>
  <c r="F101" i="25" s="1"/>
  <c r="F95" i="25"/>
  <c r="F39" i="63" s="1"/>
  <c r="F95" i="14"/>
  <c r="F50" i="63" s="1"/>
  <c r="D105" i="14"/>
  <c r="F101" i="14" s="1"/>
  <c r="D105" i="13"/>
  <c r="F101" i="13" s="1"/>
  <c r="F95" i="13"/>
  <c r="F51" i="63" s="1"/>
  <c r="D105" i="11"/>
  <c r="F101" i="11" s="1"/>
  <c r="F95" i="11"/>
  <c r="F53" i="63" s="1"/>
  <c r="F95" i="9"/>
  <c r="F55" i="63" s="1"/>
  <c r="D105" i="9"/>
  <c r="D105" i="4"/>
  <c r="F101" i="4" s="1"/>
  <c r="F95" i="4"/>
  <c r="F60" i="63" s="1"/>
  <c r="D105" i="1"/>
  <c r="F101" i="1" s="1"/>
  <c r="F95" i="1"/>
  <c r="F63" i="63" s="1"/>
  <c r="F95" i="49"/>
  <c r="F15" i="63" s="1"/>
  <c r="D105" i="49"/>
  <c r="F101" i="49" s="1"/>
  <c r="D105" i="56"/>
  <c r="F101" i="56" s="1"/>
  <c r="F95" i="56"/>
  <c r="F8" i="63" s="1"/>
  <c r="D105" i="54"/>
  <c r="F101" i="54" s="1"/>
  <c r="F95" i="54"/>
  <c r="F10" i="63" s="1"/>
  <c r="F95" i="42"/>
  <c r="F22" i="63" s="1"/>
  <c r="D105" i="42"/>
  <c r="F101" i="42" s="1"/>
  <c r="D105" i="43"/>
  <c r="F101" i="43" s="1"/>
  <c r="F95" i="43"/>
  <c r="F21" i="63" s="1"/>
  <c r="D105" i="41"/>
  <c r="F101" i="41" s="1"/>
  <c r="F95" i="41"/>
  <c r="F23" i="63" s="1"/>
  <c r="D105" i="39"/>
  <c r="F101" i="39" s="1"/>
  <c r="F95" i="39"/>
  <c r="F25" i="63" s="1"/>
  <c r="D105" i="37"/>
  <c r="F101" i="37" s="1"/>
  <c r="F95" i="37"/>
  <c r="F27" i="63" s="1"/>
  <c r="D105" i="35"/>
  <c r="F101" i="35" s="1"/>
  <c r="F95" i="35"/>
  <c r="F29" i="63" s="1"/>
  <c r="D105" i="33"/>
  <c r="F101" i="33" s="1"/>
  <c r="F95" i="33"/>
  <c r="F31" i="63" s="1"/>
  <c r="F95" i="24"/>
  <c r="F40" i="63" s="1"/>
  <c r="D105" i="24"/>
  <c r="F101" i="24" s="1"/>
  <c r="F95" i="28"/>
  <c r="F36" i="63" s="1"/>
  <c r="D105" i="28"/>
  <c r="F101" i="28" s="1"/>
  <c r="D105" i="23"/>
  <c r="F101" i="23" s="1"/>
  <c r="F95" i="23"/>
  <c r="F41" i="63" s="1"/>
  <c r="F95" i="19"/>
  <c r="F45" i="63" s="1"/>
  <c r="D105" i="19"/>
  <c r="F101" i="19" s="1"/>
  <c r="F95" i="21"/>
  <c r="F43" i="63" s="1"/>
  <c r="D105" i="21"/>
  <c r="F101" i="21" s="1"/>
  <c r="D105" i="18"/>
  <c r="F101" i="18" s="1"/>
  <c r="F95" i="18"/>
  <c r="F46" i="63" s="1"/>
  <c r="F95" i="55"/>
  <c r="F9" i="63" s="1"/>
  <c r="D105" i="55"/>
  <c r="F101" i="55" s="1"/>
  <c r="F95" i="45"/>
  <c r="F19" i="63" s="1"/>
  <c r="D105" i="45"/>
  <c r="F101" i="45" s="1"/>
  <c r="F95" i="47"/>
  <c r="F17" i="63" s="1"/>
  <c r="D105" i="47"/>
  <c r="F101" i="47" s="1"/>
  <c r="F95" i="34"/>
  <c r="F30" i="63" s="1"/>
  <c r="D105" i="34"/>
  <c r="F101" i="34" s="1"/>
  <c r="D105" i="30"/>
  <c r="F101" i="30" s="1"/>
  <c r="F95" i="30"/>
  <c r="F34" i="63" s="1"/>
  <c r="F95" i="20"/>
  <c r="F44" i="63" s="1"/>
  <c r="D105" i="16"/>
  <c r="F95" i="16"/>
  <c r="F48" i="63" s="1"/>
  <c r="D105" i="7"/>
  <c r="F101" i="7" s="1"/>
  <c r="F95" i="7"/>
  <c r="F57" i="63" s="1"/>
  <c r="F95" i="5"/>
  <c r="F59" i="63" s="1"/>
  <c r="D105" i="5"/>
  <c r="F101" i="5" s="1"/>
  <c r="D105" i="6"/>
  <c r="F101" i="6" s="1"/>
  <c r="F95" i="6"/>
  <c r="F58" i="63" s="1"/>
  <c r="F95" i="59"/>
  <c r="F62" i="63" s="1"/>
  <c r="D105" i="59"/>
  <c r="F101" i="59" s="1"/>
  <c r="F104" i="10" l="1"/>
  <c r="V54" i="63" s="1"/>
  <c r="F101" i="10"/>
  <c r="F104" i="16"/>
  <c r="F101" i="16"/>
  <c r="F104" i="9"/>
  <c r="F101" i="9"/>
  <c r="U54" i="63"/>
  <c r="F98" i="59"/>
  <c r="F103" i="59"/>
  <c r="F104" i="59"/>
  <c r="F99" i="59"/>
  <c r="F100" i="59"/>
  <c r="F102" i="59"/>
  <c r="F100" i="5"/>
  <c r="F104" i="5"/>
  <c r="F103" i="5"/>
  <c r="F98" i="5"/>
  <c r="F99" i="5"/>
  <c r="F102" i="5"/>
  <c r="F103" i="30"/>
  <c r="F98" i="30"/>
  <c r="F99" i="30"/>
  <c r="F100" i="30"/>
  <c r="F104" i="30"/>
  <c r="F102" i="30"/>
  <c r="F100" i="34"/>
  <c r="F98" i="34"/>
  <c r="F104" i="34"/>
  <c r="F102" i="34"/>
  <c r="F103" i="34"/>
  <c r="F99" i="34"/>
  <c r="F99" i="47"/>
  <c r="F98" i="47"/>
  <c r="F103" i="47"/>
  <c r="F104" i="47"/>
  <c r="F100" i="47"/>
  <c r="F102" i="47"/>
  <c r="F100" i="45"/>
  <c r="F103" i="45"/>
  <c r="F99" i="45"/>
  <c r="F98" i="45"/>
  <c r="F104" i="45"/>
  <c r="F102" i="45"/>
  <c r="F103" i="55"/>
  <c r="F99" i="55"/>
  <c r="F98" i="55"/>
  <c r="F100" i="55"/>
  <c r="F104" i="55"/>
  <c r="F102" i="55"/>
  <c r="F104" i="21"/>
  <c r="F100" i="21"/>
  <c r="F98" i="21"/>
  <c r="F99" i="21"/>
  <c r="F103" i="21"/>
  <c r="F102" i="21"/>
  <c r="F104" i="19"/>
  <c r="F98" i="19"/>
  <c r="F100" i="19"/>
  <c r="F102" i="19"/>
  <c r="F99" i="19"/>
  <c r="F100" i="28"/>
  <c r="F103" i="28"/>
  <c r="F98" i="28"/>
  <c r="F99" i="28"/>
  <c r="F102" i="28"/>
  <c r="F104" i="28"/>
  <c r="F99" i="24"/>
  <c r="F104" i="24"/>
  <c r="F100" i="24"/>
  <c r="F103" i="24"/>
  <c r="F98" i="24"/>
  <c r="F102" i="24"/>
  <c r="F99" i="42"/>
  <c r="F104" i="42"/>
  <c r="F98" i="42"/>
  <c r="F103" i="42"/>
  <c r="F100" i="42"/>
  <c r="F102" i="42"/>
  <c r="F103" i="49"/>
  <c r="F104" i="49"/>
  <c r="F98" i="49"/>
  <c r="F100" i="49"/>
  <c r="F99" i="49"/>
  <c r="F98" i="9"/>
  <c r="F100" i="9"/>
  <c r="F99" i="9"/>
  <c r="F102" i="9"/>
  <c r="F103" i="14"/>
  <c r="F104" i="14"/>
  <c r="F98" i="14"/>
  <c r="F99" i="14"/>
  <c r="F100" i="14"/>
  <c r="F102" i="14"/>
  <c r="F104" i="22"/>
  <c r="F99" i="22"/>
  <c r="F100" i="22"/>
  <c r="F98" i="22"/>
  <c r="F103" i="22"/>
  <c r="T42" i="63" s="1"/>
  <c r="F102" i="22"/>
  <c r="F98" i="8"/>
  <c r="F99" i="8"/>
  <c r="F104" i="8"/>
  <c r="F103" i="8"/>
  <c r="F100" i="8"/>
  <c r="F102" i="8"/>
  <c r="F100" i="10"/>
  <c r="F103" i="10"/>
  <c r="F98" i="10"/>
  <c r="F99" i="10"/>
  <c r="F102" i="10"/>
  <c r="F98" i="27"/>
  <c r="F104" i="27"/>
  <c r="F100" i="27"/>
  <c r="F103" i="27"/>
  <c r="F102" i="27"/>
  <c r="F99" i="27"/>
  <c r="F99" i="38"/>
  <c r="F103" i="38"/>
  <c r="F100" i="38"/>
  <c r="F98" i="38"/>
  <c r="F104" i="38"/>
  <c r="F102" i="38"/>
  <c r="F104" i="44"/>
  <c r="F100" i="44"/>
  <c r="F103" i="44"/>
  <c r="F98" i="44"/>
  <c r="F99" i="44"/>
  <c r="F102" i="44"/>
  <c r="F100" i="6"/>
  <c r="F103" i="6"/>
  <c r="F104" i="6"/>
  <c r="F99" i="6"/>
  <c r="F98" i="6"/>
  <c r="F102" i="6"/>
  <c r="F99" i="7"/>
  <c r="F100" i="7"/>
  <c r="F98" i="7"/>
  <c r="F103" i="7"/>
  <c r="F104" i="7"/>
  <c r="F102" i="7"/>
  <c r="F100" i="16"/>
  <c r="F98" i="16"/>
  <c r="F99" i="16"/>
  <c r="F102" i="16"/>
  <c r="F103" i="18"/>
  <c r="F98" i="18"/>
  <c r="F104" i="18"/>
  <c r="F100" i="18"/>
  <c r="F99" i="18"/>
  <c r="F102" i="18"/>
  <c r="F98" i="23"/>
  <c r="F100" i="23"/>
  <c r="F104" i="23"/>
  <c r="F99" i="23"/>
  <c r="F102" i="23"/>
  <c r="F103" i="23"/>
  <c r="F98" i="33"/>
  <c r="F100" i="33"/>
  <c r="F104" i="33"/>
  <c r="F102" i="33"/>
  <c r="F99" i="33"/>
  <c r="F100" i="35"/>
  <c r="F104" i="35"/>
  <c r="F98" i="35"/>
  <c r="F99" i="35"/>
  <c r="F102" i="35"/>
  <c r="F103" i="35"/>
  <c r="F98" i="37"/>
  <c r="F103" i="37"/>
  <c r="F104" i="37"/>
  <c r="F99" i="37"/>
  <c r="F100" i="37"/>
  <c r="F102" i="37"/>
  <c r="F104" i="39"/>
  <c r="F103" i="39"/>
  <c r="F99" i="39"/>
  <c r="F98" i="39"/>
  <c r="F102" i="39"/>
  <c r="F100" i="39"/>
  <c r="F99" i="41"/>
  <c r="F98" i="41"/>
  <c r="F104" i="41"/>
  <c r="F100" i="41"/>
  <c r="F102" i="41"/>
  <c r="F98" i="43"/>
  <c r="F104" i="43"/>
  <c r="F99" i="43"/>
  <c r="F100" i="43"/>
  <c r="F102" i="43"/>
  <c r="F103" i="43"/>
  <c r="T21" i="63" s="1"/>
  <c r="F98" i="54"/>
  <c r="F103" i="54"/>
  <c r="F99" i="54"/>
  <c r="F104" i="54"/>
  <c r="F100" i="54"/>
  <c r="F102" i="54"/>
  <c r="F98" i="56"/>
  <c r="F103" i="56"/>
  <c r="F104" i="56"/>
  <c r="F99" i="56"/>
  <c r="F102" i="56"/>
  <c r="F100" i="56"/>
  <c r="F103" i="1"/>
  <c r="F104" i="1"/>
  <c r="F98" i="1"/>
  <c r="F99" i="1"/>
  <c r="F100" i="1"/>
  <c r="F102" i="1"/>
  <c r="F104" i="4"/>
  <c r="F98" i="4"/>
  <c r="F100" i="4"/>
  <c r="F103" i="4"/>
  <c r="F99" i="4"/>
  <c r="F102" i="4"/>
  <c r="F100" i="11"/>
  <c r="F98" i="11"/>
  <c r="F103" i="11"/>
  <c r="F104" i="11"/>
  <c r="F99" i="11"/>
  <c r="F102" i="11"/>
  <c r="F104" i="13"/>
  <c r="F103" i="13"/>
  <c r="F100" i="13"/>
  <c r="F99" i="13"/>
  <c r="F98" i="13"/>
  <c r="F102" i="13"/>
  <c r="F98" i="25"/>
  <c r="F103" i="25"/>
  <c r="F100" i="25"/>
  <c r="F99" i="25"/>
  <c r="F104" i="25"/>
  <c r="F102" i="25"/>
  <c r="F98" i="29"/>
  <c r="F104" i="29"/>
  <c r="F100" i="29"/>
  <c r="F103" i="29"/>
  <c r="F102" i="29"/>
  <c r="F99" i="29"/>
  <c r="F98" i="46"/>
  <c r="F99" i="46"/>
  <c r="F100" i="46"/>
  <c r="F103" i="46"/>
  <c r="F104" i="46"/>
  <c r="F102" i="46"/>
  <c r="F99" i="50"/>
  <c r="F100" i="50"/>
  <c r="F104" i="50"/>
  <c r="F98" i="50"/>
  <c r="F103" i="50"/>
  <c r="F102" i="50"/>
  <c r="F104" i="52"/>
  <c r="F98" i="52"/>
  <c r="F102" i="52"/>
  <c r="F99" i="52"/>
  <c r="F100" i="52"/>
  <c r="F104" i="51"/>
  <c r="F100" i="51"/>
  <c r="F103" i="51"/>
  <c r="F99" i="51"/>
  <c r="F98" i="51"/>
  <c r="F102" i="51"/>
  <c r="F98" i="53"/>
  <c r="F103" i="53"/>
  <c r="F99" i="53"/>
  <c r="F104" i="53"/>
  <c r="F100" i="53"/>
  <c r="F102" i="53"/>
  <c r="F102" i="57"/>
  <c r="F103" i="3"/>
  <c r="F98" i="3"/>
  <c r="F104" i="3"/>
  <c r="F100" i="3"/>
  <c r="F99" i="3"/>
  <c r="F102" i="3"/>
  <c r="F100" i="12"/>
  <c r="F103" i="12"/>
  <c r="F104" i="12"/>
  <c r="F98" i="12"/>
  <c r="F99" i="12"/>
  <c r="F102" i="12"/>
  <c r="F104" i="15"/>
  <c r="F98" i="15"/>
  <c r="F100" i="15"/>
  <c r="F103" i="15"/>
  <c r="F99" i="15"/>
  <c r="F102" i="15"/>
  <c r="F99" i="17"/>
  <c r="F98" i="17"/>
  <c r="F103" i="17"/>
  <c r="F100" i="17"/>
  <c r="F104" i="17"/>
  <c r="F102" i="17"/>
  <c r="F100" i="26"/>
  <c r="F103" i="26"/>
  <c r="F98" i="26"/>
  <c r="F99" i="26"/>
  <c r="F102" i="26"/>
  <c r="F104" i="26"/>
  <c r="F100" i="40"/>
  <c r="F99" i="40"/>
  <c r="F104" i="40"/>
  <c r="F98" i="40"/>
  <c r="F102" i="40"/>
  <c r="F103" i="40"/>
  <c r="F103" i="48"/>
  <c r="F99" i="48"/>
  <c r="F100" i="48"/>
  <c r="F104" i="48"/>
  <c r="F98" i="48"/>
  <c r="F104" i="20"/>
  <c r="F100" i="20"/>
  <c r="F99" i="20"/>
  <c r="F103" i="20"/>
  <c r="F98" i="20"/>
  <c r="S42" i="63"/>
  <c r="F104" i="57"/>
  <c r="F103" i="57"/>
  <c r="F98" i="57"/>
  <c r="F99" i="57"/>
  <c r="F100" i="57"/>
  <c r="F64" i="60"/>
  <c r="N44" i="63"/>
  <c r="N64" i="63" s="1"/>
  <c r="F109" i="48"/>
  <c r="F118" i="48" s="1"/>
  <c r="C118" i="48"/>
  <c r="C118" i="55"/>
  <c r="F109" i="55"/>
  <c r="F118" i="55" s="1"/>
  <c r="V61" i="63"/>
  <c r="T61" i="63"/>
  <c r="L61" i="63"/>
  <c r="H61" i="63"/>
  <c r="J61" i="63"/>
  <c r="C118" i="57"/>
  <c r="F109" i="57"/>
  <c r="F118" i="57" s="1"/>
  <c r="D105" i="32"/>
  <c r="F101" i="32" s="1"/>
  <c r="F95" i="32"/>
  <c r="F32" i="63" s="1"/>
  <c r="D105" i="36"/>
  <c r="F101" i="36" s="1"/>
  <c r="F101" i="60" s="1"/>
  <c r="F95" i="36"/>
  <c r="F28" i="63" s="1"/>
  <c r="F68" i="60"/>
  <c r="D105" i="31"/>
  <c r="F101" i="31" s="1"/>
  <c r="F95" i="31"/>
  <c r="F33" i="63" s="1"/>
  <c r="U61" i="63"/>
  <c r="G61" i="63"/>
  <c r="S61" i="63"/>
  <c r="D95" i="60"/>
  <c r="D105" i="60" s="1"/>
  <c r="D33" i="60"/>
  <c r="B64" i="63" s="1"/>
  <c r="F118" i="20"/>
  <c r="F105" i="6"/>
  <c r="E31" i="6"/>
  <c r="F31" i="6" s="1"/>
  <c r="AB55" i="62" s="1"/>
  <c r="E29" i="6"/>
  <c r="F29" i="6" s="1"/>
  <c r="Z55" i="62" s="1"/>
  <c r="E27" i="6"/>
  <c r="F27" i="6" s="1"/>
  <c r="X55" i="62" s="1"/>
  <c r="E25" i="6"/>
  <c r="F25" i="6" s="1"/>
  <c r="V55" i="62" s="1"/>
  <c r="E23" i="6"/>
  <c r="F23" i="6" s="1"/>
  <c r="T55" i="62" s="1"/>
  <c r="E21" i="6"/>
  <c r="F21" i="6" s="1"/>
  <c r="R55" i="62" s="1"/>
  <c r="E19" i="6"/>
  <c r="F19" i="6" s="1"/>
  <c r="P55" i="62" s="1"/>
  <c r="E17" i="6"/>
  <c r="F17" i="6" s="1"/>
  <c r="N55" i="62" s="1"/>
  <c r="E15" i="6"/>
  <c r="F15" i="6" s="1"/>
  <c r="L55" i="62" s="1"/>
  <c r="E32" i="6"/>
  <c r="F32" i="6" s="1"/>
  <c r="AC55" i="62" s="1"/>
  <c r="E30" i="6"/>
  <c r="F30" i="6" s="1"/>
  <c r="AA55" i="62" s="1"/>
  <c r="E28" i="6"/>
  <c r="F28" i="6" s="1"/>
  <c r="Y55" i="62" s="1"/>
  <c r="E26" i="6"/>
  <c r="F26" i="6" s="1"/>
  <c r="W55" i="62" s="1"/>
  <c r="E24" i="6"/>
  <c r="F24" i="6" s="1"/>
  <c r="U55" i="62" s="1"/>
  <c r="E22" i="6"/>
  <c r="F22" i="6" s="1"/>
  <c r="S55" i="62" s="1"/>
  <c r="E20" i="6"/>
  <c r="F20" i="6" s="1"/>
  <c r="Q55" i="62" s="1"/>
  <c r="E18" i="6"/>
  <c r="F18" i="6" s="1"/>
  <c r="O55" i="62" s="1"/>
  <c r="E16" i="6"/>
  <c r="F16" i="6" s="1"/>
  <c r="M55" i="62" s="1"/>
  <c r="E14" i="6"/>
  <c r="F14" i="6" s="1"/>
  <c r="K55" i="62" s="1"/>
  <c r="E12" i="6"/>
  <c r="F12" i="6" s="1"/>
  <c r="I55" i="62" s="1"/>
  <c r="E10" i="6"/>
  <c r="F10" i="6" s="1"/>
  <c r="G55" i="62" s="1"/>
  <c r="E8" i="6"/>
  <c r="F8" i="6" s="1"/>
  <c r="E55" i="62" s="1"/>
  <c r="E6" i="6"/>
  <c r="F6" i="6" s="1"/>
  <c r="C55" i="62" s="1"/>
  <c r="E13" i="6"/>
  <c r="F13" i="6" s="1"/>
  <c r="J55" i="62" s="1"/>
  <c r="E11" i="6"/>
  <c r="F11" i="6" s="1"/>
  <c r="H55" i="62" s="1"/>
  <c r="E9" i="6"/>
  <c r="F9" i="6" s="1"/>
  <c r="F55" i="62" s="1"/>
  <c r="E7" i="6"/>
  <c r="F7" i="6" s="1"/>
  <c r="D55" i="62" s="1"/>
  <c r="E5" i="6"/>
  <c r="F105" i="7"/>
  <c r="E32" i="7"/>
  <c r="F32" i="7" s="1"/>
  <c r="AC54" i="62" s="1"/>
  <c r="E30" i="7"/>
  <c r="F30" i="7" s="1"/>
  <c r="AA54" i="62" s="1"/>
  <c r="E28" i="7"/>
  <c r="F28" i="7" s="1"/>
  <c r="Y54" i="62" s="1"/>
  <c r="E26" i="7"/>
  <c r="F26" i="7" s="1"/>
  <c r="W54" i="62" s="1"/>
  <c r="E24" i="7"/>
  <c r="F24" i="7" s="1"/>
  <c r="U54" i="62" s="1"/>
  <c r="E22" i="7"/>
  <c r="F22" i="7" s="1"/>
  <c r="S54" i="62" s="1"/>
  <c r="E20" i="7"/>
  <c r="F20" i="7" s="1"/>
  <c r="Q54" i="62" s="1"/>
  <c r="E18" i="7"/>
  <c r="F18" i="7" s="1"/>
  <c r="O54" i="62" s="1"/>
  <c r="E16" i="7"/>
  <c r="F16" i="7" s="1"/>
  <c r="M54" i="62" s="1"/>
  <c r="E14" i="7"/>
  <c r="F14" i="7" s="1"/>
  <c r="K54" i="62" s="1"/>
  <c r="E12" i="7"/>
  <c r="F12" i="7" s="1"/>
  <c r="I54" i="62" s="1"/>
  <c r="E10" i="7"/>
  <c r="F10" i="7" s="1"/>
  <c r="G54" i="62" s="1"/>
  <c r="E8" i="7"/>
  <c r="F8" i="7" s="1"/>
  <c r="E54" i="62" s="1"/>
  <c r="E6" i="7"/>
  <c r="F6" i="7" s="1"/>
  <c r="C54" i="62" s="1"/>
  <c r="E31" i="7"/>
  <c r="F31" i="7" s="1"/>
  <c r="AB54" i="62" s="1"/>
  <c r="E29" i="7"/>
  <c r="F29" i="7" s="1"/>
  <c r="Z54" i="62" s="1"/>
  <c r="E27" i="7"/>
  <c r="F27" i="7" s="1"/>
  <c r="X54" i="62" s="1"/>
  <c r="E25" i="7"/>
  <c r="F25" i="7" s="1"/>
  <c r="V54" i="62" s="1"/>
  <c r="E23" i="7"/>
  <c r="F23" i="7" s="1"/>
  <c r="T54" i="62" s="1"/>
  <c r="E21" i="7"/>
  <c r="F21" i="7" s="1"/>
  <c r="R54" i="62" s="1"/>
  <c r="E19" i="7"/>
  <c r="F19" i="7" s="1"/>
  <c r="P54" i="62" s="1"/>
  <c r="E17" i="7"/>
  <c r="F17" i="7" s="1"/>
  <c r="N54" i="62" s="1"/>
  <c r="E15" i="7"/>
  <c r="F15" i="7" s="1"/>
  <c r="L54" i="62" s="1"/>
  <c r="E13" i="7"/>
  <c r="F13" i="7" s="1"/>
  <c r="J54" i="62" s="1"/>
  <c r="E11" i="7"/>
  <c r="F11" i="7" s="1"/>
  <c r="H54" i="62" s="1"/>
  <c r="E9" i="7"/>
  <c r="F9" i="7" s="1"/>
  <c r="F54" i="62" s="1"/>
  <c r="E7" i="7"/>
  <c r="F7" i="7" s="1"/>
  <c r="D54" i="62" s="1"/>
  <c r="E5" i="7"/>
  <c r="F105" i="16"/>
  <c r="E31" i="16"/>
  <c r="F31" i="16" s="1"/>
  <c r="AB45" i="62" s="1"/>
  <c r="E29" i="16"/>
  <c r="F29" i="16" s="1"/>
  <c r="Z45" i="62" s="1"/>
  <c r="E27" i="16"/>
  <c r="F27" i="16" s="1"/>
  <c r="X45" i="62" s="1"/>
  <c r="E25" i="16"/>
  <c r="F25" i="16" s="1"/>
  <c r="V45" i="62" s="1"/>
  <c r="E23" i="16"/>
  <c r="F23" i="16" s="1"/>
  <c r="T45" i="62" s="1"/>
  <c r="E21" i="16"/>
  <c r="F21" i="16" s="1"/>
  <c r="R45" i="62" s="1"/>
  <c r="E19" i="16"/>
  <c r="F19" i="16" s="1"/>
  <c r="P45" i="62" s="1"/>
  <c r="E17" i="16"/>
  <c r="F17" i="16" s="1"/>
  <c r="N45" i="62" s="1"/>
  <c r="E15" i="16"/>
  <c r="F15" i="16" s="1"/>
  <c r="L45" i="62" s="1"/>
  <c r="E13" i="16"/>
  <c r="F13" i="16" s="1"/>
  <c r="J45" i="62" s="1"/>
  <c r="E11" i="16"/>
  <c r="F11" i="16" s="1"/>
  <c r="H45" i="62" s="1"/>
  <c r="E9" i="16"/>
  <c r="F9" i="16" s="1"/>
  <c r="F45" i="62" s="1"/>
  <c r="E7" i="16"/>
  <c r="F7" i="16" s="1"/>
  <c r="D45" i="62" s="1"/>
  <c r="E5" i="16"/>
  <c r="E32" i="16"/>
  <c r="F32" i="16" s="1"/>
  <c r="AC45" i="62" s="1"/>
  <c r="E30" i="16"/>
  <c r="F30" i="16" s="1"/>
  <c r="AA45" i="62" s="1"/>
  <c r="E28" i="16"/>
  <c r="F28" i="16" s="1"/>
  <c r="Y45" i="62" s="1"/>
  <c r="E26" i="16"/>
  <c r="F26" i="16" s="1"/>
  <c r="W45" i="62" s="1"/>
  <c r="E24" i="16"/>
  <c r="F24" i="16" s="1"/>
  <c r="U45" i="62" s="1"/>
  <c r="E22" i="16"/>
  <c r="F22" i="16" s="1"/>
  <c r="S45" i="62" s="1"/>
  <c r="E20" i="16"/>
  <c r="F20" i="16" s="1"/>
  <c r="Q45" i="62" s="1"/>
  <c r="E18" i="16"/>
  <c r="F18" i="16" s="1"/>
  <c r="O45" i="62" s="1"/>
  <c r="E16" i="16"/>
  <c r="F16" i="16" s="1"/>
  <c r="M45" i="62" s="1"/>
  <c r="E14" i="16"/>
  <c r="F14" i="16" s="1"/>
  <c r="K45" i="62" s="1"/>
  <c r="E12" i="16"/>
  <c r="F12" i="16" s="1"/>
  <c r="I45" i="62" s="1"/>
  <c r="E10" i="16"/>
  <c r="F10" i="16" s="1"/>
  <c r="G45" i="62" s="1"/>
  <c r="E8" i="16"/>
  <c r="F8" i="16" s="1"/>
  <c r="E45" i="62" s="1"/>
  <c r="E6" i="16"/>
  <c r="F6" i="16" s="1"/>
  <c r="C45" i="62" s="1"/>
  <c r="F105" i="20"/>
  <c r="E31" i="20"/>
  <c r="F31" i="20" s="1"/>
  <c r="AB41" i="62" s="1"/>
  <c r="E29" i="20"/>
  <c r="F29" i="20" s="1"/>
  <c r="Z41" i="62" s="1"/>
  <c r="E27" i="20"/>
  <c r="F27" i="20" s="1"/>
  <c r="X41" i="62" s="1"/>
  <c r="E25" i="20"/>
  <c r="F25" i="20" s="1"/>
  <c r="V41" i="62" s="1"/>
  <c r="E23" i="20"/>
  <c r="F23" i="20" s="1"/>
  <c r="T41" i="62" s="1"/>
  <c r="E21" i="20"/>
  <c r="F21" i="20" s="1"/>
  <c r="R41" i="62" s="1"/>
  <c r="E19" i="20"/>
  <c r="F19" i="20" s="1"/>
  <c r="P41" i="62" s="1"/>
  <c r="E17" i="20"/>
  <c r="F17" i="20" s="1"/>
  <c r="N41" i="62" s="1"/>
  <c r="E15" i="20"/>
  <c r="F15" i="20" s="1"/>
  <c r="L41" i="62" s="1"/>
  <c r="E13" i="20"/>
  <c r="F13" i="20" s="1"/>
  <c r="J41" i="62" s="1"/>
  <c r="E11" i="20"/>
  <c r="F11" i="20" s="1"/>
  <c r="H41" i="62" s="1"/>
  <c r="E9" i="20"/>
  <c r="F9" i="20" s="1"/>
  <c r="F41" i="62" s="1"/>
  <c r="E7" i="20"/>
  <c r="F7" i="20" s="1"/>
  <c r="D41" i="62" s="1"/>
  <c r="E5" i="20"/>
  <c r="E32" i="20"/>
  <c r="F32" i="20" s="1"/>
  <c r="AC41" i="62" s="1"/>
  <c r="E30" i="20"/>
  <c r="F30" i="20" s="1"/>
  <c r="AA41" i="62" s="1"/>
  <c r="E28" i="20"/>
  <c r="F28" i="20" s="1"/>
  <c r="Y41" i="62" s="1"/>
  <c r="E26" i="20"/>
  <c r="F26" i="20" s="1"/>
  <c r="W41" i="62" s="1"/>
  <c r="E24" i="20"/>
  <c r="F24" i="20" s="1"/>
  <c r="U41" i="62" s="1"/>
  <c r="E22" i="20"/>
  <c r="F22" i="20" s="1"/>
  <c r="S41" i="62" s="1"/>
  <c r="E20" i="20"/>
  <c r="F20" i="20" s="1"/>
  <c r="Q41" i="62" s="1"/>
  <c r="E18" i="20"/>
  <c r="F18" i="20" s="1"/>
  <c r="O41" i="62" s="1"/>
  <c r="E16" i="20"/>
  <c r="F16" i="20" s="1"/>
  <c r="M41" i="62" s="1"/>
  <c r="E14" i="20"/>
  <c r="F14" i="20" s="1"/>
  <c r="K41" i="62" s="1"/>
  <c r="E12" i="20"/>
  <c r="F12" i="20" s="1"/>
  <c r="I41" i="62" s="1"/>
  <c r="E10" i="20"/>
  <c r="F10" i="20" s="1"/>
  <c r="G41" i="62" s="1"/>
  <c r="E8" i="20"/>
  <c r="F8" i="20" s="1"/>
  <c r="E41" i="62" s="1"/>
  <c r="E6" i="20"/>
  <c r="F6" i="20" s="1"/>
  <c r="C41" i="62" s="1"/>
  <c r="E32" i="34"/>
  <c r="F32" i="34" s="1"/>
  <c r="AC27" i="62" s="1"/>
  <c r="E30" i="34"/>
  <c r="F30" i="34" s="1"/>
  <c r="AA27" i="62" s="1"/>
  <c r="E28" i="34"/>
  <c r="F28" i="34" s="1"/>
  <c r="Y27" i="62" s="1"/>
  <c r="E26" i="34"/>
  <c r="F26" i="34" s="1"/>
  <c r="W27" i="62" s="1"/>
  <c r="E24" i="34"/>
  <c r="F24" i="34" s="1"/>
  <c r="U27" i="62" s="1"/>
  <c r="E22" i="34"/>
  <c r="F22" i="34" s="1"/>
  <c r="S27" i="62" s="1"/>
  <c r="E20" i="34"/>
  <c r="F20" i="34" s="1"/>
  <c r="Q27" i="62" s="1"/>
  <c r="E18" i="34"/>
  <c r="F18" i="34" s="1"/>
  <c r="O27" i="62" s="1"/>
  <c r="E16" i="34"/>
  <c r="F16" i="34" s="1"/>
  <c r="M27" i="62" s="1"/>
  <c r="E14" i="34"/>
  <c r="F14" i="34" s="1"/>
  <c r="K27" i="62" s="1"/>
  <c r="E12" i="34"/>
  <c r="F12" i="34" s="1"/>
  <c r="I27" i="62" s="1"/>
  <c r="E10" i="34"/>
  <c r="F10" i="34" s="1"/>
  <c r="G27" i="62" s="1"/>
  <c r="E8" i="34"/>
  <c r="F8" i="34" s="1"/>
  <c r="E27" i="62" s="1"/>
  <c r="E6" i="34"/>
  <c r="F6" i="34" s="1"/>
  <c r="C27" i="62" s="1"/>
  <c r="F105" i="34"/>
  <c r="E31" i="34"/>
  <c r="F31" i="34" s="1"/>
  <c r="AB27" i="62" s="1"/>
  <c r="E29" i="34"/>
  <c r="F29" i="34" s="1"/>
  <c r="Z27" i="62" s="1"/>
  <c r="E27" i="34"/>
  <c r="F27" i="34" s="1"/>
  <c r="X27" i="62" s="1"/>
  <c r="E25" i="34"/>
  <c r="F25" i="34" s="1"/>
  <c r="V27" i="62" s="1"/>
  <c r="E23" i="34"/>
  <c r="F23" i="34" s="1"/>
  <c r="T27" i="62" s="1"/>
  <c r="E21" i="34"/>
  <c r="F21" i="34" s="1"/>
  <c r="R27" i="62" s="1"/>
  <c r="E19" i="34"/>
  <c r="F19" i="34" s="1"/>
  <c r="P27" i="62" s="1"/>
  <c r="E17" i="34"/>
  <c r="F17" i="34" s="1"/>
  <c r="N27" i="62" s="1"/>
  <c r="E15" i="34"/>
  <c r="F15" i="34" s="1"/>
  <c r="L27" i="62" s="1"/>
  <c r="E13" i="34"/>
  <c r="F13" i="34" s="1"/>
  <c r="J27" i="62" s="1"/>
  <c r="E11" i="34"/>
  <c r="F11" i="34" s="1"/>
  <c r="H27" i="62" s="1"/>
  <c r="E9" i="34"/>
  <c r="F9" i="34" s="1"/>
  <c r="F27" i="62" s="1"/>
  <c r="E7" i="34"/>
  <c r="F7" i="34" s="1"/>
  <c r="D27" i="62" s="1"/>
  <c r="E5" i="34"/>
  <c r="E32" i="55"/>
  <c r="F32" i="55" s="1"/>
  <c r="AC6" i="62" s="1"/>
  <c r="E30" i="55"/>
  <c r="F30" i="55" s="1"/>
  <c r="AA6" i="62" s="1"/>
  <c r="E28" i="55"/>
  <c r="F28" i="55" s="1"/>
  <c r="Y6" i="62" s="1"/>
  <c r="E26" i="55"/>
  <c r="F26" i="55" s="1"/>
  <c r="W6" i="62" s="1"/>
  <c r="E24" i="55"/>
  <c r="F24" i="55" s="1"/>
  <c r="U6" i="62" s="1"/>
  <c r="E22" i="55"/>
  <c r="F22" i="55" s="1"/>
  <c r="S6" i="62" s="1"/>
  <c r="E20" i="55"/>
  <c r="F20" i="55" s="1"/>
  <c r="Q6" i="62" s="1"/>
  <c r="E18" i="55"/>
  <c r="F18" i="55" s="1"/>
  <c r="O6" i="62" s="1"/>
  <c r="E16" i="55"/>
  <c r="F16" i="55" s="1"/>
  <c r="M6" i="62" s="1"/>
  <c r="E14" i="55"/>
  <c r="F14" i="55" s="1"/>
  <c r="K6" i="62" s="1"/>
  <c r="E12" i="55"/>
  <c r="F12" i="55" s="1"/>
  <c r="I6" i="62" s="1"/>
  <c r="E10" i="55"/>
  <c r="F10" i="55" s="1"/>
  <c r="G6" i="62" s="1"/>
  <c r="E8" i="55"/>
  <c r="F8" i="55" s="1"/>
  <c r="E6" i="62" s="1"/>
  <c r="E6" i="55"/>
  <c r="F6" i="55" s="1"/>
  <c r="C6" i="62" s="1"/>
  <c r="F105" i="55"/>
  <c r="E31" i="55"/>
  <c r="F31" i="55" s="1"/>
  <c r="AB6" i="62" s="1"/>
  <c r="E29" i="55"/>
  <c r="F29" i="55" s="1"/>
  <c r="Z6" i="62" s="1"/>
  <c r="E27" i="55"/>
  <c r="F27" i="55" s="1"/>
  <c r="X6" i="62" s="1"/>
  <c r="E25" i="55"/>
  <c r="F25" i="55" s="1"/>
  <c r="V6" i="62" s="1"/>
  <c r="E23" i="55"/>
  <c r="F23" i="55" s="1"/>
  <c r="T6" i="62" s="1"/>
  <c r="E21" i="55"/>
  <c r="F21" i="55" s="1"/>
  <c r="R6" i="62" s="1"/>
  <c r="E19" i="55"/>
  <c r="F19" i="55" s="1"/>
  <c r="P6" i="62" s="1"/>
  <c r="E17" i="55"/>
  <c r="F17" i="55" s="1"/>
  <c r="N6" i="62" s="1"/>
  <c r="E15" i="55"/>
  <c r="F15" i="55" s="1"/>
  <c r="L6" i="62" s="1"/>
  <c r="E13" i="55"/>
  <c r="F13" i="55" s="1"/>
  <c r="J6" i="62" s="1"/>
  <c r="E11" i="55"/>
  <c r="F11" i="55" s="1"/>
  <c r="H6" i="62" s="1"/>
  <c r="E9" i="55"/>
  <c r="F9" i="55" s="1"/>
  <c r="F6" i="62" s="1"/>
  <c r="E7" i="55"/>
  <c r="F7" i="55" s="1"/>
  <c r="D6" i="62" s="1"/>
  <c r="E5" i="55"/>
  <c r="F105" i="21"/>
  <c r="E31" i="21"/>
  <c r="F31" i="21" s="1"/>
  <c r="AB40" i="62" s="1"/>
  <c r="E29" i="21"/>
  <c r="F29" i="21" s="1"/>
  <c r="Z40" i="62" s="1"/>
  <c r="E27" i="21"/>
  <c r="F27" i="21" s="1"/>
  <c r="X40" i="62" s="1"/>
  <c r="E25" i="21"/>
  <c r="F25" i="21" s="1"/>
  <c r="V40" i="62" s="1"/>
  <c r="E23" i="21"/>
  <c r="F23" i="21" s="1"/>
  <c r="T40" i="62" s="1"/>
  <c r="E21" i="21"/>
  <c r="F21" i="21" s="1"/>
  <c r="R40" i="62" s="1"/>
  <c r="E19" i="21"/>
  <c r="F19" i="21" s="1"/>
  <c r="P40" i="62" s="1"/>
  <c r="E17" i="21"/>
  <c r="F17" i="21" s="1"/>
  <c r="N40" i="62" s="1"/>
  <c r="E15" i="21"/>
  <c r="F15" i="21" s="1"/>
  <c r="L40" i="62" s="1"/>
  <c r="E13" i="21"/>
  <c r="F13" i="21" s="1"/>
  <c r="J40" i="62" s="1"/>
  <c r="E11" i="21"/>
  <c r="F11" i="21" s="1"/>
  <c r="H40" i="62" s="1"/>
  <c r="E9" i="21"/>
  <c r="F9" i="21" s="1"/>
  <c r="F40" i="62" s="1"/>
  <c r="E7" i="21"/>
  <c r="F7" i="21" s="1"/>
  <c r="D40" i="62" s="1"/>
  <c r="E5" i="21"/>
  <c r="E32" i="21"/>
  <c r="F32" i="21" s="1"/>
  <c r="AC40" i="62" s="1"/>
  <c r="E30" i="21"/>
  <c r="F30" i="21" s="1"/>
  <c r="AA40" i="62" s="1"/>
  <c r="E28" i="21"/>
  <c r="F28" i="21" s="1"/>
  <c r="Y40" i="62" s="1"/>
  <c r="E26" i="21"/>
  <c r="F26" i="21" s="1"/>
  <c r="W40" i="62" s="1"/>
  <c r="E24" i="21"/>
  <c r="F24" i="21" s="1"/>
  <c r="U40" i="62" s="1"/>
  <c r="E22" i="21"/>
  <c r="F22" i="21" s="1"/>
  <c r="S40" i="62" s="1"/>
  <c r="E20" i="21"/>
  <c r="F20" i="21" s="1"/>
  <c r="Q40" i="62" s="1"/>
  <c r="E18" i="21"/>
  <c r="F18" i="21" s="1"/>
  <c r="O40" i="62" s="1"/>
  <c r="E16" i="21"/>
  <c r="F16" i="21" s="1"/>
  <c r="M40" i="62" s="1"/>
  <c r="E14" i="21"/>
  <c r="F14" i="21" s="1"/>
  <c r="K40" i="62" s="1"/>
  <c r="E12" i="21"/>
  <c r="F12" i="21" s="1"/>
  <c r="I40" i="62" s="1"/>
  <c r="E10" i="21"/>
  <c r="F10" i="21" s="1"/>
  <c r="G40" i="62" s="1"/>
  <c r="E8" i="21"/>
  <c r="F8" i="21" s="1"/>
  <c r="E40" i="62" s="1"/>
  <c r="E6" i="21"/>
  <c r="F6" i="21" s="1"/>
  <c r="C40" i="62" s="1"/>
  <c r="E32" i="19"/>
  <c r="F32" i="19" s="1"/>
  <c r="AC42" i="62" s="1"/>
  <c r="E30" i="19"/>
  <c r="F30" i="19" s="1"/>
  <c r="AA42" i="62" s="1"/>
  <c r="E28" i="19"/>
  <c r="F28" i="19" s="1"/>
  <c r="Y42" i="62" s="1"/>
  <c r="E26" i="19"/>
  <c r="F26" i="19" s="1"/>
  <c r="W42" i="62" s="1"/>
  <c r="E24" i="19"/>
  <c r="F24" i="19" s="1"/>
  <c r="U42" i="62" s="1"/>
  <c r="E22" i="19"/>
  <c r="F22" i="19" s="1"/>
  <c r="S42" i="62" s="1"/>
  <c r="E20" i="19"/>
  <c r="F20" i="19" s="1"/>
  <c r="Q42" i="62" s="1"/>
  <c r="E18" i="19"/>
  <c r="F18" i="19" s="1"/>
  <c r="O42" i="62" s="1"/>
  <c r="E16" i="19"/>
  <c r="F16" i="19" s="1"/>
  <c r="M42" i="62" s="1"/>
  <c r="E14" i="19"/>
  <c r="F14" i="19" s="1"/>
  <c r="K42" i="62" s="1"/>
  <c r="E12" i="19"/>
  <c r="F12" i="19" s="1"/>
  <c r="I42" i="62" s="1"/>
  <c r="E10" i="19"/>
  <c r="F10" i="19" s="1"/>
  <c r="G42" i="62" s="1"/>
  <c r="E8" i="19"/>
  <c r="F8" i="19" s="1"/>
  <c r="E42" i="62" s="1"/>
  <c r="E6" i="19"/>
  <c r="F6" i="19" s="1"/>
  <c r="C42" i="62" s="1"/>
  <c r="F105" i="19"/>
  <c r="E31" i="19"/>
  <c r="F31" i="19" s="1"/>
  <c r="AB42" i="62" s="1"/>
  <c r="E29" i="19"/>
  <c r="F29" i="19" s="1"/>
  <c r="Z42" i="62" s="1"/>
  <c r="E27" i="19"/>
  <c r="F27" i="19" s="1"/>
  <c r="X42" i="62" s="1"/>
  <c r="E25" i="19"/>
  <c r="F25" i="19" s="1"/>
  <c r="V42" i="62" s="1"/>
  <c r="E23" i="19"/>
  <c r="F23" i="19" s="1"/>
  <c r="T42" i="62" s="1"/>
  <c r="E21" i="19"/>
  <c r="F21" i="19" s="1"/>
  <c r="R42" i="62" s="1"/>
  <c r="E19" i="19"/>
  <c r="F19" i="19" s="1"/>
  <c r="P42" i="62" s="1"/>
  <c r="E17" i="19"/>
  <c r="F17" i="19" s="1"/>
  <c r="N42" i="62" s="1"/>
  <c r="E15" i="19"/>
  <c r="F15" i="19" s="1"/>
  <c r="L42" i="62" s="1"/>
  <c r="E13" i="19"/>
  <c r="F13" i="19" s="1"/>
  <c r="J42" i="62" s="1"/>
  <c r="E11" i="19"/>
  <c r="F11" i="19" s="1"/>
  <c r="H42" i="62" s="1"/>
  <c r="E9" i="19"/>
  <c r="F9" i="19" s="1"/>
  <c r="F42" i="62" s="1"/>
  <c r="E7" i="19"/>
  <c r="F7" i="19" s="1"/>
  <c r="D42" i="62" s="1"/>
  <c r="E5" i="19"/>
  <c r="E32" i="28"/>
  <c r="F32" i="28" s="1"/>
  <c r="AC33" i="62" s="1"/>
  <c r="E30" i="28"/>
  <c r="F30" i="28" s="1"/>
  <c r="AA33" i="62" s="1"/>
  <c r="E28" i="28"/>
  <c r="F28" i="28" s="1"/>
  <c r="Y33" i="62" s="1"/>
  <c r="E26" i="28"/>
  <c r="F26" i="28" s="1"/>
  <c r="W33" i="62" s="1"/>
  <c r="E24" i="28"/>
  <c r="F24" i="28" s="1"/>
  <c r="U33" i="62" s="1"/>
  <c r="E22" i="28"/>
  <c r="F22" i="28" s="1"/>
  <c r="S33" i="62" s="1"/>
  <c r="E20" i="28"/>
  <c r="F20" i="28" s="1"/>
  <c r="Q33" i="62" s="1"/>
  <c r="E18" i="28"/>
  <c r="F18" i="28" s="1"/>
  <c r="O33" i="62" s="1"/>
  <c r="E16" i="28"/>
  <c r="F16" i="28" s="1"/>
  <c r="M33" i="62" s="1"/>
  <c r="E14" i="28"/>
  <c r="F14" i="28" s="1"/>
  <c r="K33" i="62" s="1"/>
  <c r="E12" i="28"/>
  <c r="F12" i="28" s="1"/>
  <c r="I33" i="62" s="1"/>
  <c r="E10" i="28"/>
  <c r="F10" i="28" s="1"/>
  <c r="G33" i="62" s="1"/>
  <c r="E8" i="28"/>
  <c r="F8" i="28" s="1"/>
  <c r="E33" i="62" s="1"/>
  <c r="E6" i="28"/>
  <c r="F6" i="28" s="1"/>
  <c r="C33" i="62" s="1"/>
  <c r="F105" i="28"/>
  <c r="E31" i="28"/>
  <c r="F31" i="28" s="1"/>
  <c r="AB33" i="62" s="1"/>
  <c r="E29" i="28"/>
  <c r="F29" i="28" s="1"/>
  <c r="Z33" i="62" s="1"/>
  <c r="E27" i="28"/>
  <c r="F27" i="28" s="1"/>
  <c r="X33" i="62" s="1"/>
  <c r="E25" i="28"/>
  <c r="F25" i="28" s="1"/>
  <c r="V33" i="62" s="1"/>
  <c r="E23" i="28"/>
  <c r="F23" i="28" s="1"/>
  <c r="T33" i="62" s="1"/>
  <c r="E21" i="28"/>
  <c r="F21" i="28" s="1"/>
  <c r="R33" i="62" s="1"/>
  <c r="E19" i="28"/>
  <c r="F19" i="28" s="1"/>
  <c r="P33" i="62" s="1"/>
  <c r="E17" i="28"/>
  <c r="F17" i="28" s="1"/>
  <c r="N33" i="62" s="1"/>
  <c r="E15" i="28"/>
  <c r="F15" i="28" s="1"/>
  <c r="L33" i="62" s="1"/>
  <c r="E13" i="28"/>
  <c r="F13" i="28" s="1"/>
  <c r="J33" i="62" s="1"/>
  <c r="E11" i="28"/>
  <c r="F11" i="28" s="1"/>
  <c r="H33" i="62" s="1"/>
  <c r="E9" i="28"/>
  <c r="F9" i="28" s="1"/>
  <c r="F33" i="62" s="1"/>
  <c r="E7" i="28"/>
  <c r="F7" i="28" s="1"/>
  <c r="D33" i="62" s="1"/>
  <c r="E5" i="28"/>
  <c r="E32" i="24"/>
  <c r="F32" i="24" s="1"/>
  <c r="AC37" i="62" s="1"/>
  <c r="E30" i="24"/>
  <c r="F30" i="24" s="1"/>
  <c r="AA37" i="62" s="1"/>
  <c r="E28" i="24"/>
  <c r="F28" i="24" s="1"/>
  <c r="Y37" i="62" s="1"/>
  <c r="E26" i="24"/>
  <c r="F26" i="24" s="1"/>
  <c r="W37" i="62" s="1"/>
  <c r="E24" i="24"/>
  <c r="F24" i="24" s="1"/>
  <c r="U37" i="62" s="1"/>
  <c r="E22" i="24"/>
  <c r="F22" i="24" s="1"/>
  <c r="S37" i="62" s="1"/>
  <c r="E20" i="24"/>
  <c r="F20" i="24" s="1"/>
  <c r="Q37" i="62" s="1"/>
  <c r="E18" i="24"/>
  <c r="F18" i="24" s="1"/>
  <c r="O37" i="62" s="1"/>
  <c r="E16" i="24"/>
  <c r="F16" i="24" s="1"/>
  <c r="M37" i="62" s="1"/>
  <c r="E14" i="24"/>
  <c r="F14" i="24" s="1"/>
  <c r="K37" i="62" s="1"/>
  <c r="E12" i="24"/>
  <c r="F12" i="24" s="1"/>
  <c r="I37" i="62" s="1"/>
  <c r="E10" i="24"/>
  <c r="F10" i="24" s="1"/>
  <c r="G37" i="62" s="1"/>
  <c r="E8" i="24"/>
  <c r="F8" i="24" s="1"/>
  <c r="E37" i="62" s="1"/>
  <c r="E6" i="24"/>
  <c r="F6" i="24" s="1"/>
  <c r="C37" i="62" s="1"/>
  <c r="F105" i="24"/>
  <c r="E31" i="24"/>
  <c r="F31" i="24" s="1"/>
  <c r="AB37" i="62" s="1"/>
  <c r="E29" i="24"/>
  <c r="F29" i="24" s="1"/>
  <c r="Z37" i="62" s="1"/>
  <c r="E27" i="24"/>
  <c r="F27" i="24" s="1"/>
  <c r="X37" i="62" s="1"/>
  <c r="E25" i="24"/>
  <c r="F25" i="24" s="1"/>
  <c r="V37" i="62" s="1"/>
  <c r="E23" i="24"/>
  <c r="F23" i="24" s="1"/>
  <c r="T37" i="62" s="1"/>
  <c r="E21" i="24"/>
  <c r="F21" i="24" s="1"/>
  <c r="R37" i="62" s="1"/>
  <c r="E19" i="24"/>
  <c r="F19" i="24" s="1"/>
  <c r="P37" i="62" s="1"/>
  <c r="E17" i="24"/>
  <c r="F17" i="24" s="1"/>
  <c r="N37" i="62" s="1"/>
  <c r="E15" i="24"/>
  <c r="F15" i="24" s="1"/>
  <c r="L37" i="62" s="1"/>
  <c r="E13" i="24"/>
  <c r="F13" i="24" s="1"/>
  <c r="J37" i="62" s="1"/>
  <c r="E11" i="24"/>
  <c r="F11" i="24" s="1"/>
  <c r="H37" i="62" s="1"/>
  <c r="E9" i="24"/>
  <c r="F9" i="24" s="1"/>
  <c r="F37" i="62" s="1"/>
  <c r="E7" i="24"/>
  <c r="F7" i="24" s="1"/>
  <c r="D37" i="62" s="1"/>
  <c r="E5" i="24"/>
  <c r="E32" i="42"/>
  <c r="F32" i="42" s="1"/>
  <c r="AC19" i="62" s="1"/>
  <c r="E30" i="42"/>
  <c r="F30" i="42" s="1"/>
  <c r="AA19" i="62" s="1"/>
  <c r="E28" i="42"/>
  <c r="F28" i="42" s="1"/>
  <c r="Y19" i="62" s="1"/>
  <c r="E26" i="42"/>
  <c r="F26" i="42" s="1"/>
  <c r="W19" i="62" s="1"/>
  <c r="E24" i="42"/>
  <c r="F24" i="42" s="1"/>
  <c r="U19" i="62" s="1"/>
  <c r="E22" i="42"/>
  <c r="F22" i="42" s="1"/>
  <c r="S19" i="62" s="1"/>
  <c r="E20" i="42"/>
  <c r="F20" i="42" s="1"/>
  <c r="Q19" i="62" s="1"/>
  <c r="E18" i="42"/>
  <c r="F18" i="42" s="1"/>
  <c r="O19" i="62" s="1"/>
  <c r="E16" i="42"/>
  <c r="F16" i="42" s="1"/>
  <c r="M19" i="62" s="1"/>
  <c r="E14" i="42"/>
  <c r="F14" i="42" s="1"/>
  <c r="K19" i="62" s="1"/>
  <c r="E12" i="42"/>
  <c r="F12" i="42" s="1"/>
  <c r="I19" i="62" s="1"/>
  <c r="E10" i="42"/>
  <c r="F10" i="42" s="1"/>
  <c r="G19" i="62" s="1"/>
  <c r="E8" i="42"/>
  <c r="F8" i="42" s="1"/>
  <c r="E19" i="62" s="1"/>
  <c r="E6" i="42"/>
  <c r="F6" i="42" s="1"/>
  <c r="C19" i="62" s="1"/>
  <c r="F105" i="42"/>
  <c r="E31" i="42"/>
  <c r="F31" i="42" s="1"/>
  <c r="AB19" i="62" s="1"/>
  <c r="E29" i="42"/>
  <c r="F29" i="42" s="1"/>
  <c r="Z19" i="62" s="1"/>
  <c r="E27" i="42"/>
  <c r="F27" i="42" s="1"/>
  <c r="X19" i="62" s="1"/>
  <c r="E25" i="42"/>
  <c r="F25" i="42" s="1"/>
  <c r="V19" i="62" s="1"/>
  <c r="E23" i="42"/>
  <c r="F23" i="42" s="1"/>
  <c r="T19" i="62" s="1"/>
  <c r="E21" i="42"/>
  <c r="F21" i="42" s="1"/>
  <c r="R19" i="62" s="1"/>
  <c r="E19" i="42"/>
  <c r="F19" i="42" s="1"/>
  <c r="P19" i="62" s="1"/>
  <c r="E17" i="42"/>
  <c r="F17" i="42" s="1"/>
  <c r="N19" i="62" s="1"/>
  <c r="E15" i="42"/>
  <c r="F15" i="42" s="1"/>
  <c r="L19" i="62" s="1"/>
  <c r="E13" i="42"/>
  <c r="F13" i="42" s="1"/>
  <c r="J19" i="62" s="1"/>
  <c r="E11" i="42"/>
  <c r="F11" i="42" s="1"/>
  <c r="H19" i="62" s="1"/>
  <c r="E9" i="42"/>
  <c r="F9" i="42" s="1"/>
  <c r="F19" i="62" s="1"/>
  <c r="E7" i="42"/>
  <c r="F7" i="42" s="1"/>
  <c r="D19" i="62" s="1"/>
  <c r="E5" i="42"/>
  <c r="F105" i="56"/>
  <c r="E31" i="56"/>
  <c r="F31" i="56" s="1"/>
  <c r="AB5" i="62" s="1"/>
  <c r="E29" i="56"/>
  <c r="F29" i="56" s="1"/>
  <c r="Z5" i="62" s="1"/>
  <c r="E27" i="56"/>
  <c r="F27" i="56" s="1"/>
  <c r="X5" i="62" s="1"/>
  <c r="E25" i="56"/>
  <c r="F25" i="56" s="1"/>
  <c r="V5" i="62" s="1"/>
  <c r="E23" i="56"/>
  <c r="F23" i="56" s="1"/>
  <c r="T5" i="62" s="1"/>
  <c r="E21" i="56"/>
  <c r="F21" i="56" s="1"/>
  <c r="R5" i="62" s="1"/>
  <c r="E19" i="56"/>
  <c r="F19" i="56" s="1"/>
  <c r="P5" i="62" s="1"/>
  <c r="E17" i="56"/>
  <c r="F17" i="56" s="1"/>
  <c r="N5" i="62" s="1"/>
  <c r="E15" i="56"/>
  <c r="F15" i="56" s="1"/>
  <c r="L5" i="62" s="1"/>
  <c r="E13" i="56"/>
  <c r="F13" i="56" s="1"/>
  <c r="J5" i="62" s="1"/>
  <c r="E11" i="56"/>
  <c r="F11" i="56" s="1"/>
  <c r="H5" i="62" s="1"/>
  <c r="E9" i="56"/>
  <c r="F9" i="56" s="1"/>
  <c r="F5" i="62" s="1"/>
  <c r="E7" i="56"/>
  <c r="F7" i="56" s="1"/>
  <c r="D5" i="62" s="1"/>
  <c r="E5" i="56"/>
  <c r="E32" i="56"/>
  <c r="F32" i="56" s="1"/>
  <c r="AC5" i="62" s="1"/>
  <c r="E30" i="56"/>
  <c r="F30" i="56" s="1"/>
  <c r="AA5" i="62" s="1"/>
  <c r="E28" i="56"/>
  <c r="F28" i="56" s="1"/>
  <c r="Y5" i="62" s="1"/>
  <c r="E26" i="56"/>
  <c r="F26" i="56" s="1"/>
  <c r="W5" i="62" s="1"/>
  <c r="E24" i="56"/>
  <c r="F24" i="56" s="1"/>
  <c r="U5" i="62" s="1"/>
  <c r="E22" i="56"/>
  <c r="F22" i="56" s="1"/>
  <c r="S5" i="62" s="1"/>
  <c r="E20" i="56"/>
  <c r="F20" i="56" s="1"/>
  <c r="Q5" i="62" s="1"/>
  <c r="E18" i="56"/>
  <c r="F18" i="56" s="1"/>
  <c r="O5" i="62" s="1"/>
  <c r="E16" i="56"/>
  <c r="F16" i="56" s="1"/>
  <c r="M5" i="62" s="1"/>
  <c r="E14" i="56"/>
  <c r="F14" i="56" s="1"/>
  <c r="K5" i="62" s="1"/>
  <c r="E12" i="56"/>
  <c r="F12" i="56" s="1"/>
  <c r="I5" i="62" s="1"/>
  <c r="E10" i="56"/>
  <c r="F10" i="56" s="1"/>
  <c r="G5" i="62" s="1"/>
  <c r="E8" i="56"/>
  <c r="F8" i="56" s="1"/>
  <c r="E5" i="62" s="1"/>
  <c r="E6" i="56"/>
  <c r="F6" i="56" s="1"/>
  <c r="C5" i="62" s="1"/>
  <c r="F105" i="11"/>
  <c r="E31" i="11"/>
  <c r="F31" i="11" s="1"/>
  <c r="AB50" i="62" s="1"/>
  <c r="E29" i="11"/>
  <c r="F29" i="11" s="1"/>
  <c r="Z50" i="62" s="1"/>
  <c r="E27" i="11"/>
  <c r="F27" i="11" s="1"/>
  <c r="X50" i="62" s="1"/>
  <c r="E25" i="11"/>
  <c r="F25" i="11" s="1"/>
  <c r="V50" i="62" s="1"/>
  <c r="E23" i="11"/>
  <c r="F23" i="11" s="1"/>
  <c r="T50" i="62" s="1"/>
  <c r="E21" i="11"/>
  <c r="F21" i="11" s="1"/>
  <c r="R50" i="62" s="1"/>
  <c r="E19" i="11"/>
  <c r="F19" i="11" s="1"/>
  <c r="P50" i="62" s="1"/>
  <c r="E17" i="11"/>
  <c r="F17" i="11" s="1"/>
  <c r="N50" i="62" s="1"/>
  <c r="E15" i="11"/>
  <c r="F15" i="11" s="1"/>
  <c r="L50" i="62" s="1"/>
  <c r="E13" i="11"/>
  <c r="F13" i="11" s="1"/>
  <c r="J50" i="62" s="1"/>
  <c r="E11" i="11"/>
  <c r="F11" i="11" s="1"/>
  <c r="H50" i="62" s="1"/>
  <c r="E9" i="11"/>
  <c r="F9" i="11" s="1"/>
  <c r="F50" i="62" s="1"/>
  <c r="E7" i="11"/>
  <c r="F7" i="11" s="1"/>
  <c r="D50" i="62" s="1"/>
  <c r="E5" i="11"/>
  <c r="E32" i="11"/>
  <c r="F32" i="11" s="1"/>
  <c r="AC50" i="62" s="1"/>
  <c r="E30" i="11"/>
  <c r="F30" i="11" s="1"/>
  <c r="AA50" i="62" s="1"/>
  <c r="E28" i="11"/>
  <c r="F28" i="11" s="1"/>
  <c r="Y50" i="62" s="1"/>
  <c r="E26" i="11"/>
  <c r="F26" i="11" s="1"/>
  <c r="W50" i="62" s="1"/>
  <c r="E24" i="11"/>
  <c r="F24" i="11" s="1"/>
  <c r="U50" i="62" s="1"/>
  <c r="E22" i="11"/>
  <c r="F22" i="11" s="1"/>
  <c r="S50" i="62" s="1"/>
  <c r="E20" i="11"/>
  <c r="F20" i="11" s="1"/>
  <c r="Q50" i="62" s="1"/>
  <c r="E18" i="11"/>
  <c r="F18" i="11" s="1"/>
  <c r="O50" i="62" s="1"/>
  <c r="E16" i="11"/>
  <c r="F16" i="11" s="1"/>
  <c r="M50" i="62" s="1"/>
  <c r="E14" i="11"/>
  <c r="F14" i="11" s="1"/>
  <c r="K50" i="62" s="1"/>
  <c r="E12" i="11"/>
  <c r="F12" i="11" s="1"/>
  <c r="I50" i="62" s="1"/>
  <c r="E10" i="11"/>
  <c r="F10" i="11" s="1"/>
  <c r="G50" i="62" s="1"/>
  <c r="E8" i="11"/>
  <c r="F8" i="11" s="1"/>
  <c r="E50" i="62" s="1"/>
  <c r="E6" i="11"/>
  <c r="F6" i="11" s="1"/>
  <c r="C50" i="62" s="1"/>
  <c r="F105" i="13"/>
  <c r="E31" i="13"/>
  <c r="F31" i="13" s="1"/>
  <c r="AB48" i="62" s="1"/>
  <c r="E29" i="13"/>
  <c r="F29" i="13" s="1"/>
  <c r="Z48" i="62" s="1"/>
  <c r="E27" i="13"/>
  <c r="F27" i="13" s="1"/>
  <c r="X48" i="62" s="1"/>
  <c r="E25" i="13"/>
  <c r="F25" i="13" s="1"/>
  <c r="V48" i="62" s="1"/>
  <c r="E23" i="13"/>
  <c r="F23" i="13" s="1"/>
  <c r="T48" i="62" s="1"/>
  <c r="E21" i="13"/>
  <c r="F21" i="13" s="1"/>
  <c r="R48" i="62" s="1"/>
  <c r="E19" i="13"/>
  <c r="F19" i="13" s="1"/>
  <c r="P48" i="62" s="1"/>
  <c r="E17" i="13"/>
  <c r="F17" i="13" s="1"/>
  <c r="N48" i="62" s="1"/>
  <c r="E15" i="13"/>
  <c r="F15" i="13" s="1"/>
  <c r="L48" i="62" s="1"/>
  <c r="E13" i="13"/>
  <c r="F13" i="13" s="1"/>
  <c r="J48" i="62" s="1"/>
  <c r="E11" i="13"/>
  <c r="F11" i="13" s="1"/>
  <c r="H48" i="62" s="1"/>
  <c r="E9" i="13"/>
  <c r="F9" i="13" s="1"/>
  <c r="F48" i="62" s="1"/>
  <c r="E7" i="13"/>
  <c r="F7" i="13" s="1"/>
  <c r="D48" i="62" s="1"/>
  <c r="E5" i="13"/>
  <c r="E32" i="13"/>
  <c r="F32" i="13" s="1"/>
  <c r="AC48" i="62" s="1"/>
  <c r="E30" i="13"/>
  <c r="F30" i="13" s="1"/>
  <c r="AA48" i="62" s="1"/>
  <c r="E28" i="13"/>
  <c r="F28" i="13" s="1"/>
  <c r="Y48" i="62" s="1"/>
  <c r="E26" i="13"/>
  <c r="F26" i="13" s="1"/>
  <c r="W48" i="62" s="1"/>
  <c r="E24" i="13"/>
  <c r="F24" i="13" s="1"/>
  <c r="U48" i="62" s="1"/>
  <c r="E22" i="13"/>
  <c r="F22" i="13" s="1"/>
  <c r="S48" i="62" s="1"/>
  <c r="E20" i="13"/>
  <c r="F20" i="13" s="1"/>
  <c r="Q48" i="62" s="1"/>
  <c r="E18" i="13"/>
  <c r="F18" i="13" s="1"/>
  <c r="O48" i="62" s="1"/>
  <c r="E16" i="13"/>
  <c r="F16" i="13" s="1"/>
  <c r="M48" i="62" s="1"/>
  <c r="E14" i="13"/>
  <c r="F14" i="13" s="1"/>
  <c r="K48" i="62" s="1"/>
  <c r="E12" i="13"/>
  <c r="F12" i="13" s="1"/>
  <c r="I48" i="62" s="1"/>
  <c r="E10" i="13"/>
  <c r="F10" i="13" s="1"/>
  <c r="G48" i="62" s="1"/>
  <c r="E8" i="13"/>
  <c r="F8" i="13" s="1"/>
  <c r="E48" i="62" s="1"/>
  <c r="E6" i="13"/>
  <c r="F6" i="13" s="1"/>
  <c r="C48" i="62" s="1"/>
  <c r="E32" i="22"/>
  <c r="F32" i="22" s="1"/>
  <c r="AC39" i="62" s="1"/>
  <c r="E30" i="22"/>
  <c r="F30" i="22" s="1"/>
  <c r="AA39" i="62" s="1"/>
  <c r="E28" i="22"/>
  <c r="F28" i="22" s="1"/>
  <c r="Y39" i="62" s="1"/>
  <c r="E26" i="22"/>
  <c r="F26" i="22" s="1"/>
  <c r="W39" i="62" s="1"/>
  <c r="E24" i="22"/>
  <c r="F24" i="22" s="1"/>
  <c r="U39" i="62" s="1"/>
  <c r="E22" i="22"/>
  <c r="F22" i="22" s="1"/>
  <c r="S39" i="62" s="1"/>
  <c r="E20" i="22"/>
  <c r="F20" i="22" s="1"/>
  <c r="Q39" i="62" s="1"/>
  <c r="E18" i="22"/>
  <c r="F18" i="22" s="1"/>
  <c r="O39" i="62" s="1"/>
  <c r="E16" i="22"/>
  <c r="F16" i="22" s="1"/>
  <c r="M39" i="62" s="1"/>
  <c r="E14" i="22"/>
  <c r="F14" i="22" s="1"/>
  <c r="K39" i="62" s="1"/>
  <c r="E12" i="22"/>
  <c r="F12" i="22" s="1"/>
  <c r="I39" i="62" s="1"/>
  <c r="E10" i="22"/>
  <c r="F10" i="22" s="1"/>
  <c r="G39" i="62" s="1"/>
  <c r="E8" i="22"/>
  <c r="F8" i="22" s="1"/>
  <c r="E39" i="62" s="1"/>
  <c r="E6" i="22"/>
  <c r="F6" i="22" s="1"/>
  <c r="C39" i="62" s="1"/>
  <c r="F105" i="22"/>
  <c r="E31" i="22"/>
  <c r="F31" i="22" s="1"/>
  <c r="AB39" i="62" s="1"/>
  <c r="E29" i="22"/>
  <c r="F29" i="22" s="1"/>
  <c r="Z39" i="62" s="1"/>
  <c r="E27" i="22"/>
  <c r="F27" i="22" s="1"/>
  <c r="X39" i="62" s="1"/>
  <c r="E25" i="22"/>
  <c r="F25" i="22" s="1"/>
  <c r="V39" i="62" s="1"/>
  <c r="E23" i="22"/>
  <c r="F23" i="22" s="1"/>
  <c r="T39" i="62" s="1"/>
  <c r="E21" i="22"/>
  <c r="F21" i="22" s="1"/>
  <c r="R39" i="62" s="1"/>
  <c r="E19" i="22"/>
  <c r="F19" i="22" s="1"/>
  <c r="P39" i="62" s="1"/>
  <c r="E17" i="22"/>
  <c r="F17" i="22" s="1"/>
  <c r="N39" i="62" s="1"/>
  <c r="E15" i="22"/>
  <c r="F15" i="22" s="1"/>
  <c r="L39" i="62" s="1"/>
  <c r="E13" i="22"/>
  <c r="F13" i="22" s="1"/>
  <c r="J39" i="62" s="1"/>
  <c r="E11" i="22"/>
  <c r="F11" i="22" s="1"/>
  <c r="H39" i="62" s="1"/>
  <c r="E9" i="22"/>
  <c r="F9" i="22" s="1"/>
  <c r="F39" i="62" s="1"/>
  <c r="E7" i="22"/>
  <c r="F7" i="22" s="1"/>
  <c r="D39" i="62" s="1"/>
  <c r="E5" i="22"/>
  <c r="F105" i="46"/>
  <c r="E31" i="46"/>
  <c r="F31" i="46" s="1"/>
  <c r="AB15" i="62" s="1"/>
  <c r="E29" i="46"/>
  <c r="F29" i="46" s="1"/>
  <c r="Z15" i="62" s="1"/>
  <c r="E27" i="46"/>
  <c r="F27" i="46" s="1"/>
  <c r="X15" i="62" s="1"/>
  <c r="E25" i="46"/>
  <c r="F25" i="46" s="1"/>
  <c r="V15" i="62" s="1"/>
  <c r="E23" i="46"/>
  <c r="F23" i="46" s="1"/>
  <c r="T15" i="62" s="1"/>
  <c r="E21" i="46"/>
  <c r="F21" i="46" s="1"/>
  <c r="R15" i="62" s="1"/>
  <c r="E19" i="46"/>
  <c r="F19" i="46" s="1"/>
  <c r="P15" i="62" s="1"/>
  <c r="E17" i="46"/>
  <c r="F17" i="46" s="1"/>
  <c r="N15" i="62" s="1"/>
  <c r="E15" i="46"/>
  <c r="F15" i="46" s="1"/>
  <c r="L15" i="62" s="1"/>
  <c r="E13" i="46"/>
  <c r="F13" i="46" s="1"/>
  <c r="J15" i="62" s="1"/>
  <c r="E11" i="46"/>
  <c r="F11" i="46" s="1"/>
  <c r="H15" i="62" s="1"/>
  <c r="E9" i="46"/>
  <c r="F9" i="46" s="1"/>
  <c r="F15" i="62" s="1"/>
  <c r="E7" i="46"/>
  <c r="F7" i="46" s="1"/>
  <c r="D15" i="62" s="1"/>
  <c r="E5" i="46"/>
  <c r="E32" i="46"/>
  <c r="F32" i="46" s="1"/>
  <c r="AC15" i="62" s="1"/>
  <c r="E30" i="46"/>
  <c r="F30" i="46" s="1"/>
  <c r="AA15" i="62" s="1"/>
  <c r="E28" i="46"/>
  <c r="F28" i="46" s="1"/>
  <c r="Y15" i="62" s="1"/>
  <c r="E26" i="46"/>
  <c r="F26" i="46" s="1"/>
  <c r="W15" i="62" s="1"/>
  <c r="E24" i="46"/>
  <c r="F24" i="46" s="1"/>
  <c r="U15" i="62" s="1"/>
  <c r="E22" i="46"/>
  <c r="F22" i="46" s="1"/>
  <c r="S15" i="62" s="1"/>
  <c r="E20" i="46"/>
  <c r="F20" i="46" s="1"/>
  <c r="Q15" i="62" s="1"/>
  <c r="E18" i="46"/>
  <c r="F18" i="46" s="1"/>
  <c r="O15" i="62" s="1"/>
  <c r="E16" i="46"/>
  <c r="F16" i="46" s="1"/>
  <c r="M15" i="62" s="1"/>
  <c r="E14" i="46"/>
  <c r="F14" i="46" s="1"/>
  <c r="K15" i="62" s="1"/>
  <c r="E12" i="46"/>
  <c r="F12" i="46" s="1"/>
  <c r="I15" i="62" s="1"/>
  <c r="E10" i="46"/>
  <c r="F10" i="46" s="1"/>
  <c r="G15" i="62" s="1"/>
  <c r="E8" i="46"/>
  <c r="F8" i="46" s="1"/>
  <c r="E15" i="62" s="1"/>
  <c r="E6" i="46"/>
  <c r="F6" i="46" s="1"/>
  <c r="C15" i="62" s="1"/>
  <c r="F105" i="50"/>
  <c r="E31" i="50"/>
  <c r="F31" i="50" s="1"/>
  <c r="AB11" i="62" s="1"/>
  <c r="E29" i="50"/>
  <c r="F29" i="50" s="1"/>
  <c r="Z11" i="62" s="1"/>
  <c r="E27" i="50"/>
  <c r="F27" i="50" s="1"/>
  <c r="X11" i="62" s="1"/>
  <c r="E25" i="50"/>
  <c r="F25" i="50" s="1"/>
  <c r="V11" i="62" s="1"/>
  <c r="E23" i="50"/>
  <c r="F23" i="50" s="1"/>
  <c r="T11" i="62" s="1"/>
  <c r="E21" i="50"/>
  <c r="F21" i="50" s="1"/>
  <c r="R11" i="62" s="1"/>
  <c r="E19" i="50"/>
  <c r="F19" i="50" s="1"/>
  <c r="P11" i="62" s="1"/>
  <c r="E17" i="50"/>
  <c r="F17" i="50" s="1"/>
  <c r="N11" i="62" s="1"/>
  <c r="E15" i="50"/>
  <c r="F15" i="50" s="1"/>
  <c r="L11" i="62" s="1"/>
  <c r="E13" i="50"/>
  <c r="F13" i="50" s="1"/>
  <c r="J11" i="62" s="1"/>
  <c r="E11" i="50"/>
  <c r="F11" i="50" s="1"/>
  <c r="H11" i="62" s="1"/>
  <c r="E9" i="50"/>
  <c r="F9" i="50" s="1"/>
  <c r="F11" i="62" s="1"/>
  <c r="E7" i="50"/>
  <c r="F7" i="50" s="1"/>
  <c r="D11" i="62" s="1"/>
  <c r="E5" i="50"/>
  <c r="E32" i="50"/>
  <c r="F32" i="50" s="1"/>
  <c r="AC11" i="62" s="1"/>
  <c r="E30" i="50"/>
  <c r="F30" i="50" s="1"/>
  <c r="AA11" i="62" s="1"/>
  <c r="E28" i="50"/>
  <c r="F28" i="50" s="1"/>
  <c r="Y11" i="62" s="1"/>
  <c r="E26" i="50"/>
  <c r="F26" i="50" s="1"/>
  <c r="W11" i="62" s="1"/>
  <c r="E24" i="50"/>
  <c r="F24" i="50" s="1"/>
  <c r="U11" i="62" s="1"/>
  <c r="E22" i="50"/>
  <c r="F22" i="50" s="1"/>
  <c r="S11" i="62" s="1"/>
  <c r="E20" i="50"/>
  <c r="F20" i="50" s="1"/>
  <c r="Q11" i="62" s="1"/>
  <c r="E18" i="50"/>
  <c r="F18" i="50" s="1"/>
  <c r="O11" i="62" s="1"/>
  <c r="E16" i="50"/>
  <c r="F16" i="50" s="1"/>
  <c r="M11" i="62" s="1"/>
  <c r="E14" i="50"/>
  <c r="F14" i="50" s="1"/>
  <c r="K11" i="62" s="1"/>
  <c r="E12" i="50"/>
  <c r="F12" i="50" s="1"/>
  <c r="I11" i="62" s="1"/>
  <c r="E10" i="50"/>
  <c r="F10" i="50" s="1"/>
  <c r="G11" i="62" s="1"/>
  <c r="E8" i="50"/>
  <c r="F8" i="50" s="1"/>
  <c r="E11" i="62" s="1"/>
  <c r="E6" i="50"/>
  <c r="F6" i="50" s="1"/>
  <c r="C11" i="62" s="1"/>
  <c r="F105" i="52"/>
  <c r="E31" i="52"/>
  <c r="F31" i="52" s="1"/>
  <c r="AB9" i="62" s="1"/>
  <c r="E29" i="52"/>
  <c r="F29" i="52" s="1"/>
  <c r="Z9" i="62" s="1"/>
  <c r="E27" i="52"/>
  <c r="F27" i="52" s="1"/>
  <c r="X9" i="62" s="1"/>
  <c r="E25" i="52"/>
  <c r="F25" i="52" s="1"/>
  <c r="V9" i="62" s="1"/>
  <c r="E23" i="52"/>
  <c r="F23" i="52" s="1"/>
  <c r="T9" i="62" s="1"/>
  <c r="E21" i="52"/>
  <c r="F21" i="52" s="1"/>
  <c r="R9" i="62" s="1"/>
  <c r="E19" i="52"/>
  <c r="F19" i="52" s="1"/>
  <c r="P9" i="62" s="1"/>
  <c r="E17" i="52"/>
  <c r="F17" i="52" s="1"/>
  <c r="N9" i="62" s="1"/>
  <c r="E15" i="52"/>
  <c r="F15" i="52" s="1"/>
  <c r="L9" i="62" s="1"/>
  <c r="E13" i="52"/>
  <c r="F13" i="52" s="1"/>
  <c r="J9" i="62" s="1"/>
  <c r="E11" i="52"/>
  <c r="F11" i="52" s="1"/>
  <c r="H9" i="62" s="1"/>
  <c r="E9" i="52"/>
  <c r="F9" i="52" s="1"/>
  <c r="F9" i="62" s="1"/>
  <c r="E7" i="52"/>
  <c r="F7" i="52" s="1"/>
  <c r="D9" i="62" s="1"/>
  <c r="E5" i="52"/>
  <c r="E32" i="52"/>
  <c r="F32" i="52" s="1"/>
  <c r="AC9" i="62" s="1"/>
  <c r="E30" i="52"/>
  <c r="F30" i="52" s="1"/>
  <c r="AA9" i="62" s="1"/>
  <c r="E28" i="52"/>
  <c r="F28" i="52" s="1"/>
  <c r="Y9" i="62" s="1"/>
  <c r="E26" i="52"/>
  <c r="F26" i="52" s="1"/>
  <c r="W9" i="62" s="1"/>
  <c r="E24" i="52"/>
  <c r="F24" i="52" s="1"/>
  <c r="U9" i="62" s="1"/>
  <c r="E22" i="52"/>
  <c r="F22" i="52" s="1"/>
  <c r="S9" i="62" s="1"/>
  <c r="E20" i="52"/>
  <c r="F20" i="52" s="1"/>
  <c r="Q9" i="62" s="1"/>
  <c r="E18" i="52"/>
  <c r="F18" i="52" s="1"/>
  <c r="O9" i="62" s="1"/>
  <c r="E16" i="52"/>
  <c r="F16" i="52" s="1"/>
  <c r="M9" i="62" s="1"/>
  <c r="E14" i="52"/>
  <c r="F14" i="52" s="1"/>
  <c r="K9" i="62" s="1"/>
  <c r="E12" i="52"/>
  <c r="F12" i="52" s="1"/>
  <c r="I9" i="62" s="1"/>
  <c r="E10" i="52"/>
  <c r="F10" i="52" s="1"/>
  <c r="G9" i="62" s="1"/>
  <c r="E8" i="52"/>
  <c r="F8" i="52" s="1"/>
  <c r="E9" i="62" s="1"/>
  <c r="E6" i="52"/>
  <c r="F6" i="52" s="1"/>
  <c r="C9" i="62" s="1"/>
  <c r="E32" i="51"/>
  <c r="F32" i="51" s="1"/>
  <c r="AC10" i="62" s="1"/>
  <c r="E30" i="51"/>
  <c r="F30" i="51" s="1"/>
  <c r="AA10" i="62" s="1"/>
  <c r="E28" i="51"/>
  <c r="F28" i="51" s="1"/>
  <c r="Y10" i="62" s="1"/>
  <c r="E26" i="51"/>
  <c r="F26" i="51" s="1"/>
  <c r="W10" i="62" s="1"/>
  <c r="E24" i="51"/>
  <c r="F24" i="51" s="1"/>
  <c r="U10" i="62" s="1"/>
  <c r="E22" i="51"/>
  <c r="F22" i="51" s="1"/>
  <c r="S10" i="62" s="1"/>
  <c r="E20" i="51"/>
  <c r="F20" i="51" s="1"/>
  <c r="Q10" i="62" s="1"/>
  <c r="E18" i="51"/>
  <c r="F18" i="51" s="1"/>
  <c r="O10" i="62" s="1"/>
  <c r="E16" i="51"/>
  <c r="F16" i="51" s="1"/>
  <c r="M10" i="62" s="1"/>
  <c r="E14" i="51"/>
  <c r="F14" i="51" s="1"/>
  <c r="K10" i="62" s="1"/>
  <c r="E12" i="51"/>
  <c r="F12" i="51" s="1"/>
  <c r="I10" i="62" s="1"/>
  <c r="E10" i="51"/>
  <c r="F10" i="51" s="1"/>
  <c r="G10" i="62" s="1"/>
  <c r="E8" i="51"/>
  <c r="F8" i="51" s="1"/>
  <c r="E10" i="62" s="1"/>
  <c r="E6" i="51"/>
  <c r="F6" i="51" s="1"/>
  <c r="C10" i="62" s="1"/>
  <c r="F105" i="51"/>
  <c r="E31" i="51"/>
  <c r="F31" i="51" s="1"/>
  <c r="AB10" i="62" s="1"/>
  <c r="E29" i="51"/>
  <c r="F29" i="51" s="1"/>
  <c r="Z10" i="62" s="1"/>
  <c r="E27" i="51"/>
  <c r="F27" i="51" s="1"/>
  <c r="X10" i="62" s="1"/>
  <c r="E25" i="51"/>
  <c r="F25" i="51" s="1"/>
  <c r="V10" i="62" s="1"/>
  <c r="E23" i="51"/>
  <c r="F23" i="51" s="1"/>
  <c r="T10" i="62" s="1"/>
  <c r="E21" i="51"/>
  <c r="F21" i="51" s="1"/>
  <c r="R10" i="62" s="1"/>
  <c r="E19" i="51"/>
  <c r="F19" i="51" s="1"/>
  <c r="P10" i="62" s="1"/>
  <c r="E17" i="51"/>
  <c r="F17" i="51" s="1"/>
  <c r="N10" i="62" s="1"/>
  <c r="E15" i="51"/>
  <c r="F15" i="51" s="1"/>
  <c r="L10" i="62" s="1"/>
  <c r="E13" i="51"/>
  <c r="F13" i="51" s="1"/>
  <c r="J10" i="62" s="1"/>
  <c r="E11" i="51"/>
  <c r="F11" i="51" s="1"/>
  <c r="H10" i="62" s="1"/>
  <c r="E9" i="51"/>
  <c r="F9" i="51" s="1"/>
  <c r="F10" i="62" s="1"/>
  <c r="E7" i="51"/>
  <c r="F7" i="51" s="1"/>
  <c r="D10" i="62" s="1"/>
  <c r="E5" i="51"/>
  <c r="F95" i="60"/>
  <c r="F105" i="8"/>
  <c r="E31" i="8"/>
  <c r="F31" i="8" s="1"/>
  <c r="AB53" i="62" s="1"/>
  <c r="E29" i="8"/>
  <c r="F29" i="8" s="1"/>
  <c r="Z53" i="62" s="1"/>
  <c r="E27" i="8"/>
  <c r="F27" i="8" s="1"/>
  <c r="X53" i="62" s="1"/>
  <c r="E25" i="8"/>
  <c r="F25" i="8" s="1"/>
  <c r="V53" i="62" s="1"/>
  <c r="E23" i="8"/>
  <c r="F23" i="8" s="1"/>
  <c r="T53" i="62" s="1"/>
  <c r="E21" i="8"/>
  <c r="F21" i="8" s="1"/>
  <c r="R53" i="62" s="1"/>
  <c r="E19" i="8"/>
  <c r="F19" i="8" s="1"/>
  <c r="P53" i="62" s="1"/>
  <c r="E17" i="8"/>
  <c r="F17" i="8" s="1"/>
  <c r="N53" i="62" s="1"/>
  <c r="E15" i="8"/>
  <c r="F15" i="8" s="1"/>
  <c r="L53" i="62" s="1"/>
  <c r="E13" i="8"/>
  <c r="F13" i="8" s="1"/>
  <c r="J53" i="62" s="1"/>
  <c r="E11" i="8"/>
  <c r="F11" i="8" s="1"/>
  <c r="H53" i="62" s="1"/>
  <c r="E9" i="8"/>
  <c r="F9" i="8" s="1"/>
  <c r="F53" i="62" s="1"/>
  <c r="E7" i="8"/>
  <c r="F7" i="8" s="1"/>
  <c r="D53" i="62" s="1"/>
  <c r="E5" i="8"/>
  <c r="E32" i="8"/>
  <c r="F32" i="8" s="1"/>
  <c r="AC53" i="62" s="1"/>
  <c r="E30" i="8"/>
  <c r="F30" i="8" s="1"/>
  <c r="AA53" i="62" s="1"/>
  <c r="E28" i="8"/>
  <c r="F28" i="8" s="1"/>
  <c r="Y53" i="62" s="1"/>
  <c r="E26" i="8"/>
  <c r="F26" i="8" s="1"/>
  <c r="W53" i="62" s="1"/>
  <c r="E24" i="8"/>
  <c r="F24" i="8" s="1"/>
  <c r="U53" i="62" s="1"/>
  <c r="E22" i="8"/>
  <c r="F22" i="8" s="1"/>
  <c r="S53" i="62" s="1"/>
  <c r="E20" i="8"/>
  <c r="F20" i="8" s="1"/>
  <c r="Q53" i="62" s="1"/>
  <c r="E18" i="8"/>
  <c r="F18" i="8" s="1"/>
  <c r="O53" i="62" s="1"/>
  <c r="E16" i="8"/>
  <c r="F16" i="8" s="1"/>
  <c r="M53" i="62" s="1"/>
  <c r="E14" i="8"/>
  <c r="F14" i="8" s="1"/>
  <c r="K53" i="62" s="1"/>
  <c r="E12" i="8"/>
  <c r="F12" i="8" s="1"/>
  <c r="I53" i="62" s="1"/>
  <c r="E10" i="8"/>
  <c r="F10" i="8" s="1"/>
  <c r="G53" i="62" s="1"/>
  <c r="E8" i="8"/>
  <c r="F8" i="8" s="1"/>
  <c r="E53" i="62" s="1"/>
  <c r="E6" i="8"/>
  <c r="F6" i="8" s="1"/>
  <c r="C53" i="62" s="1"/>
  <c r="F105" i="10"/>
  <c r="E31" i="10"/>
  <c r="F31" i="10" s="1"/>
  <c r="AB51" i="62" s="1"/>
  <c r="E29" i="10"/>
  <c r="F29" i="10" s="1"/>
  <c r="Z51" i="62" s="1"/>
  <c r="E27" i="10"/>
  <c r="F27" i="10" s="1"/>
  <c r="X51" i="62" s="1"/>
  <c r="E25" i="10"/>
  <c r="F25" i="10" s="1"/>
  <c r="V51" i="62" s="1"/>
  <c r="E23" i="10"/>
  <c r="F23" i="10" s="1"/>
  <c r="T51" i="62" s="1"/>
  <c r="E21" i="10"/>
  <c r="F21" i="10" s="1"/>
  <c r="R51" i="62" s="1"/>
  <c r="E19" i="10"/>
  <c r="F19" i="10" s="1"/>
  <c r="P51" i="62" s="1"/>
  <c r="E17" i="10"/>
  <c r="F17" i="10" s="1"/>
  <c r="N51" i="62" s="1"/>
  <c r="E15" i="10"/>
  <c r="F15" i="10" s="1"/>
  <c r="L51" i="62" s="1"/>
  <c r="E32" i="10"/>
  <c r="F32" i="10" s="1"/>
  <c r="AC51" i="62" s="1"/>
  <c r="E30" i="10"/>
  <c r="F30" i="10" s="1"/>
  <c r="AA51" i="62" s="1"/>
  <c r="E28" i="10"/>
  <c r="F28" i="10" s="1"/>
  <c r="Y51" i="62" s="1"/>
  <c r="E26" i="10"/>
  <c r="F26" i="10" s="1"/>
  <c r="W51" i="62" s="1"/>
  <c r="E24" i="10"/>
  <c r="F24" i="10" s="1"/>
  <c r="U51" i="62" s="1"/>
  <c r="E22" i="10"/>
  <c r="F22" i="10" s="1"/>
  <c r="S51" i="62" s="1"/>
  <c r="E20" i="10"/>
  <c r="F20" i="10" s="1"/>
  <c r="Q51" i="62" s="1"/>
  <c r="E18" i="10"/>
  <c r="F18" i="10" s="1"/>
  <c r="O51" i="62" s="1"/>
  <c r="E16" i="10"/>
  <c r="F16" i="10" s="1"/>
  <c r="M51" i="62" s="1"/>
  <c r="E14" i="10"/>
  <c r="F14" i="10" s="1"/>
  <c r="K51" i="62" s="1"/>
  <c r="E12" i="10"/>
  <c r="F12" i="10" s="1"/>
  <c r="I51" i="62" s="1"/>
  <c r="E10" i="10"/>
  <c r="F10" i="10" s="1"/>
  <c r="G51" i="62" s="1"/>
  <c r="E8" i="10"/>
  <c r="F8" i="10" s="1"/>
  <c r="E51" i="62" s="1"/>
  <c r="E6" i="10"/>
  <c r="F6" i="10" s="1"/>
  <c r="C51" i="62" s="1"/>
  <c r="E13" i="10"/>
  <c r="F13" i="10" s="1"/>
  <c r="J51" i="62" s="1"/>
  <c r="E11" i="10"/>
  <c r="F11" i="10" s="1"/>
  <c r="H51" i="62" s="1"/>
  <c r="E9" i="10"/>
  <c r="F9" i="10" s="1"/>
  <c r="F51" i="62" s="1"/>
  <c r="E7" i="10"/>
  <c r="F7" i="10" s="1"/>
  <c r="D51" i="62" s="1"/>
  <c r="E5" i="10"/>
  <c r="F105" i="27"/>
  <c r="E31" i="27"/>
  <c r="F31" i="27" s="1"/>
  <c r="AB34" i="62" s="1"/>
  <c r="E29" i="27"/>
  <c r="F29" i="27" s="1"/>
  <c r="Z34" i="62" s="1"/>
  <c r="E27" i="27"/>
  <c r="F27" i="27" s="1"/>
  <c r="X34" i="62" s="1"/>
  <c r="E25" i="27"/>
  <c r="F25" i="27" s="1"/>
  <c r="V34" i="62" s="1"/>
  <c r="E23" i="27"/>
  <c r="F23" i="27" s="1"/>
  <c r="T34" i="62" s="1"/>
  <c r="E21" i="27"/>
  <c r="F21" i="27" s="1"/>
  <c r="R34" i="62" s="1"/>
  <c r="E19" i="27"/>
  <c r="F19" i="27" s="1"/>
  <c r="P34" i="62" s="1"/>
  <c r="E17" i="27"/>
  <c r="F17" i="27" s="1"/>
  <c r="N34" i="62" s="1"/>
  <c r="E15" i="27"/>
  <c r="F15" i="27" s="1"/>
  <c r="L34" i="62" s="1"/>
  <c r="E13" i="27"/>
  <c r="F13" i="27" s="1"/>
  <c r="J34" i="62" s="1"/>
  <c r="E11" i="27"/>
  <c r="F11" i="27" s="1"/>
  <c r="H34" i="62" s="1"/>
  <c r="E9" i="27"/>
  <c r="F9" i="27" s="1"/>
  <c r="F34" i="62" s="1"/>
  <c r="E7" i="27"/>
  <c r="F7" i="27" s="1"/>
  <c r="D34" i="62" s="1"/>
  <c r="E5" i="27"/>
  <c r="E32" i="27"/>
  <c r="F32" i="27" s="1"/>
  <c r="AC34" i="62" s="1"/>
  <c r="E30" i="27"/>
  <c r="F30" i="27" s="1"/>
  <c r="AA34" i="62" s="1"/>
  <c r="E28" i="27"/>
  <c r="F28" i="27" s="1"/>
  <c r="Y34" i="62" s="1"/>
  <c r="E26" i="27"/>
  <c r="F26" i="27" s="1"/>
  <c r="W34" i="62" s="1"/>
  <c r="E24" i="27"/>
  <c r="F24" i="27" s="1"/>
  <c r="U34" i="62" s="1"/>
  <c r="E22" i="27"/>
  <c r="F22" i="27" s="1"/>
  <c r="S34" i="62" s="1"/>
  <c r="E20" i="27"/>
  <c r="F20" i="27" s="1"/>
  <c r="Q34" i="62" s="1"/>
  <c r="E18" i="27"/>
  <c r="F18" i="27" s="1"/>
  <c r="O34" i="62" s="1"/>
  <c r="E16" i="27"/>
  <c r="F16" i="27" s="1"/>
  <c r="M34" i="62" s="1"/>
  <c r="E14" i="27"/>
  <c r="F14" i="27" s="1"/>
  <c r="K34" i="62" s="1"/>
  <c r="E12" i="27"/>
  <c r="F12" i="27" s="1"/>
  <c r="I34" i="62" s="1"/>
  <c r="E10" i="27"/>
  <c r="F10" i="27" s="1"/>
  <c r="G34" i="62" s="1"/>
  <c r="E8" i="27"/>
  <c r="F8" i="27" s="1"/>
  <c r="E34" i="62" s="1"/>
  <c r="E6" i="27"/>
  <c r="F6" i="27" s="1"/>
  <c r="C34" i="62" s="1"/>
  <c r="E32" i="26"/>
  <c r="F32" i="26" s="1"/>
  <c r="AC35" i="62" s="1"/>
  <c r="E30" i="26"/>
  <c r="F30" i="26" s="1"/>
  <c r="AA35" i="62" s="1"/>
  <c r="E28" i="26"/>
  <c r="F28" i="26" s="1"/>
  <c r="Y35" i="62" s="1"/>
  <c r="E26" i="26"/>
  <c r="F26" i="26" s="1"/>
  <c r="W35" i="62" s="1"/>
  <c r="E24" i="26"/>
  <c r="F24" i="26" s="1"/>
  <c r="U35" i="62" s="1"/>
  <c r="E22" i="26"/>
  <c r="F22" i="26" s="1"/>
  <c r="S35" i="62" s="1"/>
  <c r="E20" i="26"/>
  <c r="F20" i="26" s="1"/>
  <c r="Q35" i="62" s="1"/>
  <c r="E18" i="26"/>
  <c r="F18" i="26" s="1"/>
  <c r="O35" i="62" s="1"/>
  <c r="E16" i="26"/>
  <c r="F16" i="26" s="1"/>
  <c r="M35" i="62" s="1"/>
  <c r="E14" i="26"/>
  <c r="F14" i="26" s="1"/>
  <c r="K35" i="62" s="1"/>
  <c r="E12" i="26"/>
  <c r="F12" i="26" s="1"/>
  <c r="I35" i="62" s="1"/>
  <c r="E10" i="26"/>
  <c r="F10" i="26" s="1"/>
  <c r="G35" i="62" s="1"/>
  <c r="E8" i="26"/>
  <c r="F8" i="26" s="1"/>
  <c r="E35" i="62" s="1"/>
  <c r="E6" i="26"/>
  <c r="F6" i="26" s="1"/>
  <c r="C35" i="62" s="1"/>
  <c r="F105" i="26"/>
  <c r="E31" i="26"/>
  <c r="F31" i="26" s="1"/>
  <c r="AB35" i="62" s="1"/>
  <c r="E29" i="26"/>
  <c r="F29" i="26" s="1"/>
  <c r="Z35" i="62" s="1"/>
  <c r="E27" i="26"/>
  <c r="F27" i="26" s="1"/>
  <c r="X35" i="62" s="1"/>
  <c r="E25" i="26"/>
  <c r="F25" i="26" s="1"/>
  <c r="V35" i="62" s="1"/>
  <c r="E23" i="26"/>
  <c r="F23" i="26" s="1"/>
  <c r="T35" i="62" s="1"/>
  <c r="E21" i="26"/>
  <c r="F21" i="26" s="1"/>
  <c r="R35" i="62" s="1"/>
  <c r="E19" i="26"/>
  <c r="F19" i="26" s="1"/>
  <c r="P35" i="62" s="1"/>
  <c r="E17" i="26"/>
  <c r="F17" i="26" s="1"/>
  <c r="N35" i="62" s="1"/>
  <c r="E15" i="26"/>
  <c r="F15" i="26" s="1"/>
  <c r="L35" i="62" s="1"/>
  <c r="E13" i="26"/>
  <c r="F13" i="26" s="1"/>
  <c r="J35" i="62" s="1"/>
  <c r="E11" i="26"/>
  <c r="F11" i="26" s="1"/>
  <c r="H35" i="62" s="1"/>
  <c r="E9" i="26"/>
  <c r="F9" i="26" s="1"/>
  <c r="F35" i="62" s="1"/>
  <c r="E7" i="26"/>
  <c r="F7" i="26" s="1"/>
  <c r="D35" i="62" s="1"/>
  <c r="E5" i="26"/>
  <c r="E32" i="40"/>
  <c r="F32" i="40" s="1"/>
  <c r="AC21" i="62" s="1"/>
  <c r="E30" i="40"/>
  <c r="F30" i="40" s="1"/>
  <c r="AA21" i="62" s="1"/>
  <c r="E28" i="40"/>
  <c r="F28" i="40" s="1"/>
  <c r="Y21" i="62" s="1"/>
  <c r="E26" i="40"/>
  <c r="F26" i="40" s="1"/>
  <c r="W21" i="62" s="1"/>
  <c r="E24" i="40"/>
  <c r="F24" i="40" s="1"/>
  <c r="U21" i="62" s="1"/>
  <c r="E22" i="40"/>
  <c r="F22" i="40" s="1"/>
  <c r="S21" i="62" s="1"/>
  <c r="E20" i="40"/>
  <c r="F20" i="40" s="1"/>
  <c r="Q21" i="62" s="1"/>
  <c r="E18" i="40"/>
  <c r="F18" i="40" s="1"/>
  <c r="O21" i="62" s="1"/>
  <c r="E16" i="40"/>
  <c r="F16" i="40" s="1"/>
  <c r="M21" i="62" s="1"/>
  <c r="E14" i="40"/>
  <c r="F14" i="40" s="1"/>
  <c r="K21" i="62" s="1"/>
  <c r="E12" i="40"/>
  <c r="F12" i="40" s="1"/>
  <c r="I21" i="62" s="1"/>
  <c r="E10" i="40"/>
  <c r="F10" i="40" s="1"/>
  <c r="G21" i="62" s="1"/>
  <c r="E8" i="40"/>
  <c r="F8" i="40" s="1"/>
  <c r="E21" i="62" s="1"/>
  <c r="E6" i="40"/>
  <c r="F6" i="40" s="1"/>
  <c r="C21" i="62" s="1"/>
  <c r="F105" i="40"/>
  <c r="E31" i="40"/>
  <c r="F31" i="40" s="1"/>
  <c r="AB21" i="62" s="1"/>
  <c r="E29" i="40"/>
  <c r="F29" i="40" s="1"/>
  <c r="Z21" i="62" s="1"/>
  <c r="E27" i="40"/>
  <c r="F27" i="40" s="1"/>
  <c r="X21" i="62" s="1"/>
  <c r="E25" i="40"/>
  <c r="F25" i="40" s="1"/>
  <c r="V21" i="62" s="1"/>
  <c r="E23" i="40"/>
  <c r="F23" i="40" s="1"/>
  <c r="T21" i="62" s="1"/>
  <c r="E21" i="40"/>
  <c r="F21" i="40" s="1"/>
  <c r="R21" i="62" s="1"/>
  <c r="E19" i="40"/>
  <c r="F19" i="40" s="1"/>
  <c r="P21" i="62" s="1"/>
  <c r="E17" i="40"/>
  <c r="F17" i="40" s="1"/>
  <c r="N21" i="62" s="1"/>
  <c r="E15" i="40"/>
  <c r="F15" i="40" s="1"/>
  <c r="L21" i="62" s="1"/>
  <c r="E13" i="40"/>
  <c r="F13" i="40" s="1"/>
  <c r="J21" i="62" s="1"/>
  <c r="E11" i="40"/>
  <c r="F11" i="40" s="1"/>
  <c r="H21" i="62" s="1"/>
  <c r="E9" i="40"/>
  <c r="F9" i="40" s="1"/>
  <c r="F21" i="62" s="1"/>
  <c r="E7" i="40"/>
  <c r="F7" i="40" s="1"/>
  <c r="D21" i="62" s="1"/>
  <c r="E5" i="40"/>
  <c r="E32" i="38"/>
  <c r="F32" i="38" s="1"/>
  <c r="AC23" i="62" s="1"/>
  <c r="E30" i="38"/>
  <c r="F30" i="38" s="1"/>
  <c r="AA23" i="62" s="1"/>
  <c r="E28" i="38"/>
  <c r="F28" i="38" s="1"/>
  <c r="Y23" i="62" s="1"/>
  <c r="E26" i="38"/>
  <c r="F26" i="38" s="1"/>
  <c r="W23" i="62" s="1"/>
  <c r="E24" i="38"/>
  <c r="F24" i="38" s="1"/>
  <c r="U23" i="62" s="1"/>
  <c r="E22" i="38"/>
  <c r="F22" i="38" s="1"/>
  <c r="S23" i="62" s="1"/>
  <c r="E20" i="38"/>
  <c r="F20" i="38" s="1"/>
  <c r="Q23" i="62" s="1"/>
  <c r="E18" i="38"/>
  <c r="F18" i="38" s="1"/>
  <c r="O23" i="62" s="1"/>
  <c r="E16" i="38"/>
  <c r="F16" i="38" s="1"/>
  <c r="M23" i="62" s="1"/>
  <c r="E14" i="38"/>
  <c r="F14" i="38" s="1"/>
  <c r="K23" i="62" s="1"/>
  <c r="E12" i="38"/>
  <c r="F12" i="38" s="1"/>
  <c r="I23" i="62" s="1"/>
  <c r="E10" i="38"/>
  <c r="F10" i="38" s="1"/>
  <c r="G23" i="62" s="1"/>
  <c r="E8" i="38"/>
  <c r="F8" i="38" s="1"/>
  <c r="E23" i="62" s="1"/>
  <c r="E6" i="38"/>
  <c r="F6" i="38" s="1"/>
  <c r="C23" i="62" s="1"/>
  <c r="F105" i="38"/>
  <c r="E31" i="38"/>
  <c r="F31" i="38" s="1"/>
  <c r="AB23" i="62" s="1"/>
  <c r="E29" i="38"/>
  <c r="F29" i="38" s="1"/>
  <c r="Z23" i="62" s="1"/>
  <c r="E27" i="38"/>
  <c r="F27" i="38" s="1"/>
  <c r="X23" i="62" s="1"/>
  <c r="E25" i="38"/>
  <c r="F25" i="38" s="1"/>
  <c r="V23" i="62" s="1"/>
  <c r="E23" i="38"/>
  <c r="F23" i="38" s="1"/>
  <c r="T23" i="62" s="1"/>
  <c r="E21" i="38"/>
  <c r="F21" i="38" s="1"/>
  <c r="R23" i="62" s="1"/>
  <c r="E19" i="38"/>
  <c r="F19" i="38" s="1"/>
  <c r="P23" i="62" s="1"/>
  <c r="E17" i="38"/>
  <c r="F17" i="38" s="1"/>
  <c r="N23" i="62" s="1"/>
  <c r="E15" i="38"/>
  <c r="F15" i="38" s="1"/>
  <c r="L23" i="62" s="1"/>
  <c r="E13" i="38"/>
  <c r="F13" i="38" s="1"/>
  <c r="J23" i="62" s="1"/>
  <c r="E11" i="38"/>
  <c r="F11" i="38" s="1"/>
  <c r="H23" i="62" s="1"/>
  <c r="E9" i="38"/>
  <c r="F9" i="38" s="1"/>
  <c r="F23" i="62" s="1"/>
  <c r="E7" i="38"/>
  <c r="F7" i="38" s="1"/>
  <c r="D23" i="62" s="1"/>
  <c r="E5" i="38"/>
  <c r="F105" i="48"/>
  <c r="E31" i="48"/>
  <c r="F31" i="48" s="1"/>
  <c r="AB13" i="62" s="1"/>
  <c r="E29" i="48"/>
  <c r="F29" i="48" s="1"/>
  <c r="Z13" i="62" s="1"/>
  <c r="E27" i="48"/>
  <c r="F27" i="48" s="1"/>
  <c r="X13" i="62" s="1"/>
  <c r="E25" i="48"/>
  <c r="F25" i="48" s="1"/>
  <c r="V13" i="62" s="1"/>
  <c r="E23" i="48"/>
  <c r="F23" i="48" s="1"/>
  <c r="T13" i="62" s="1"/>
  <c r="E21" i="48"/>
  <c r="F21" i="48" s="1"/>
  <c r="R13" i="62" s="1"/>
  <c r="E19" i="48"/>
  <c r="F19" i="48" s="1"/>
  <c r="P13" i="62" s="1"/>
  <c r="E17" i="48"/>
  <c r="F17" i="48" s="1"/>
  <c r="N13" i="62" s="1"/>
  <c r="E15" i="48"/>
  <c r="F15" i="48" s="1"/>
  <c r="L13" i="62" s="1"/>
  <c r="E13" i="48"/>
  <c r="F13" i="48" s="1"/>
  <c r="J13" i="62" s="1"/>
  <c r="E11" i="48"/>
  <c r="F11" i="48" s="1"/>
  <c r="H13" i="62" s="1"/>
  <c r="E9" i="48"/>
  <c r="F9" i="48" s="1"/>
  <c r="F13" i="62" s="1"/>
  <c r="E7" i="48"/>
  <c r="F7" i="48" s="1"/>
  <c r="D13" i="62" s="1"/>
  <c r="E5" i="48"/>
  <c r="E32" i="48"/>
  <c r="F32" i="48" s="1"/>
  <c r="AC13" i="62" s="1"/>
  <c r="E30" i="48"/>
  <c r="F30" i="48" s="1"/>
  <c r="AA13" i="62" s="1"/>
  <c r="E28" i="48"/>
  <c r="F28" i="48" s="1"/>
  <c r="Y13" i="62" s="1"/>
  <c r="E26" i="48"/>
  <c r="F26" i="48" s="1"/>
  <c r="W13" i="62" s="1"/>
  <c r="E24" i="48"/>
  <c r="F24" i="48" s="1"/>
  <c r="U13" i="62" s="1"/>
  <c r="E22" i="48"/>
  <c r="F22" i="48" s="1"/>
  <c r="S13" i="62" s="1"/>
  <c r="E20" i="48"/>
  <c r="F20" i="48" s="1"/>
  <c r="Q13" i="62" s="1"/>
  <c r="E18" i="48"/>
  <c r="F18" i="48" s="1"/>
  <c r="O13" i="62" s="1"/>
  <c r="E16" i="48"/>
  <c r="F16" i="48" s="1"/>
  <c r="M13" i="62" s="1"/>
  <c r="E14" i="48"/>
  <c r="F14" i="48" s="1"/>
  <c r="K13" i="62" s="1"/>
  <c r="E12" i="48"/>
  <c r="F12" i="48" s="1"/>
  <c r="I13" i="62" s="1"/>
  <c r="E10" i="48"/>
  <c r="F10" i="48" s="1"/>
  <c r="G13" i="62" s="1"/>
  <c r="E8" i="48"/>
  <c r="F8" i="48" s="1"/>
  <c r="E13" i="62" s="1"/>
  <c r="E6" i="48"/>
  <c r="F6" i="48" s="1"/>
  <c r="C13" i="62" s="1"/>
  <c r="E32" i="59"/>
  <c r="F32" i="59" s="1"/>
  <c r="AC59" i="62" s="1"/>
  <c r="E30" i="59"/>
  <c r="F30" i="59" s="1"/>
  <c r="AA59" i="62" s="1"/>
  <c r="E28" i="59"/>
  <c r="F28" i="59" s="1"/>
  <c r="Y59" i="62" s="1"/>
  <c r="E26" i="59"/>
  <c r="F26" i="59" s="1"/>
  <c r="W59" i="62" s="1"/>
  <c r="F105" i="59"/>
  <c r="E31" i="59"/>
  <c r="F31" i="59" s="1"/>
  <c r="AB59" i="62" s="1"/>
  <c r="E29" i="59"/>
  <c r="F29" i="59" s="1"/>
  <c r="Z59" i="62" s="1"/>
  <c r="E27" i="59"/>
  <c r="F27" i="59" s="1"/>
  <c r="X59" i="62" s="1"/>
  <c r="E25" i="59"/>
  <c r="F25" i="59" s="1"/>
  <c r="V59" i="62" s="1"/>
  <c r="E23" i="59"/>
  <c r="F23" i="59" s="1"/>
  <c r="T59" i="62" s="1"/>
  <c r="E21" i="59"/>
  <c r="F21" i="59" s="1"/>
  <c r="R59" i="62" s="1"/>
  <c r="E19" i="59"/>
  <c r="F19" i="59" s="1"/>
  <c r="P59" i="62" s="1"/>
  <c r="E17" i="59"/>
  <c r="F17" i="59" s="1"/>
  <c r="N59" i="62" s="1"/>
  <c r="E15" i="59"/>
  <c r="F15" i="59" s="1"/>
  <c r="L59" i="62" s="1"/>
  <c r="E13" i="59"/>
  <c r="F13" i="59" s="1"/>
  <c r="J59" i="62" s="1"/>
  <c r="E11" i="59"/>
  <c r="F11" i="59" s="1"/>
  <c r="H59" i="62" s="1"/>
  <c r="E9" i="59"/>
  <c r="F9" i="59" s="1"/>
  <c r="F59" i="62" s="1"/>
  <c r="E7" i="59"/>
  <c r="F7" i="59" s="1"/>
  <c r="D59" i="62" s="1"/>
  <c r="E5" i="59"/>
  <c r="E24" i="59"/>
  <c r="F24" i="59" s="1"/>
  <c r="U59" i="62" s="1"/>
  <c r="E22" i="59"/>
  <c r="F22" i="59" s="1"/>
  <c r="S59" i="62" s="1"/>
  <c r="E20" i="59"/>
  <c r="F20" i="59" s="1"/>
  <c r="Q59" i="62" s="1"/>
  <c r="E18" i="59"/>
  <c r="F18" i="59" s="1"/>
  <c r="O59" i="62" s="1"/>
  <c r="E16" i="59"/>
  <c r="F16" i="59" s="1"/>
  <c r="M59" i="62" s="1"/>
  <c r="E14" i="59"/>
  <c r="F14" i="59" s="1"/>
  <c r="K59" i="62" s="1"/>
  <c r="E12" i="59"/>
  <c r="F12" i="59" s="1"/>
  <c r="I59" i="62" s="1"/>
  <c r="E10" i="59"/>
  <c r="F10" i="59" s="1"/>
  <c r="G59" i="62" s="1"/>
  <c r="E8" i="59"/>
  <c r="F8" i="59" s="1"/>
  <c r="E59" i="62" s="1"/>
  <c r="E6" i="59"/>
  <c r="F6" i="59" s="1"/>
  <c r="C59" i="62" s="1"/>
  <c r="E32" i="5"/>
  <c r="F32" i="5" s="1"/>
  <c r="AC56" i="62" s="1"/>
  <c r="E30" i="5"/>
  <c r="F30" i="5" s="1"/>
  <c r="AA56" i="62" s="1"/>
  <c r="E28" i="5"/>
  <c r="F28" i="5" s="1"/>
  <c r="Y56" i="62" s="1"/>
  <c r="E26" i="5"/>
  <c r="F26" i="5" s="1"/>
  <c r="W56" i="62" s="1"/>
  <c r="E24" i="5"/>
  <c r="F24" i="5" s="1"/>
  <c r="U56" i="62" s="1"/>
  <c r="E22" i="5"/>
  <c r="F22" i="5" s="1"/>
  <c r="S56" i="62" s="1"/>
  <c r="E20" i="5"/>
  <c r="F20" i="5" s="1"/>
  <c r="Q56" i="62" s="1"/>
  <c r="E18" i="5"/>
  <c r="F18" i="5" s="1"/>
  <c r="O56" i="62" s="1"/>
  <c r="E16" i="5"/>
  <c r="F16" i="5" s="1"/>
  <c r="M56" i="62" s="1"/>
  <c r="E14" i="5"/>
  <c r="F14" i="5" s="1"/>
  <c r="K56" i="62" s="1"/>
  <c r="E12" i="5"/>
  <c r="F12" i="5" s="1"/>
  <c r="I56" i="62" s="1"/>
  <c r="E10" i="5"/>
  <c r="F10" i="5" s="1"/>
  <c r="G56" i="62" s="1"/>
  <c r="E8" i="5"/>
  <c r="F8" i="5" s="1"/>
  <c r="E56" i="62" s="1"/>
  <c r="E6" i="5"/>
  <c r="F6" i="5" s="1"/>
  <c r="C56" i="62" s="1"/>
  <c r="F105" i="5"/>
  <c r="E31" i="5"/>
  <c r="F31" i="5" s="1"/>
  <c r="AB56" i="62" s="1"/>
  <c r="E29" i="5"/>
  <c r="F29" i="5" s="1"/>
  <c r="Z56" i="62" s="1"/>
  <c r="E27" i="5"/>
  <c r="F27" i="5" s="1"/>
  <c r="X56" i="62" s="1"/>
  <c r="E25" i="5"/>
  <c r="F25" i="5" s="1"/>
  <c r="V56" i="62" s="1"/>
  <c r="E23" i="5"/>
  <c r="F23" i="5" s="1"/>
  <c r="T56" i="62" s="1"/>
  <c r="E21" i="5"/>
  <c r="F21" i="5" s="1"/>
  <c r="R56" i="62" s="1"/>
  <c r="E19" i="5"/>
  <c r="F19" i="5" s="1"/>
  <c r="P56" i="62" s="1"/>
  <c r="E17" i="5"/>
  <c r="F17" i="5" s="1"/>
  <c r="N56" i="62" s="1"/>
  <c r="E15" i="5"/>
  <c r="F15" i="5" s="1"/>
  <c r="L56" i="62" s="1"/>
  <c r="E13" i="5"/>
  <c r="F13" i="5" s="1"/>
  <c r="J56" i="62" s="1"/>
  <c r="E11" i="5"/>
  <c r="F11" i="5" s="1"/>
  <c r="H56" i="62" s="1"/>
  <c r="E9" i="5"/>
  <c r="F9" i="5" s="1"/>
  <c r="F56" i="62" s="1"/>
  <c r="E7" i="5"/>
  <c r="F7" i="5" s="1"/>
  <c r="D56" i="62" s="1"/>
  <c r="E5" i="5"/>
  <c r="F105" i="30"/>
  <c r="E32" i="30"/>
  <c r="F32" i="30" s="1"/>
  <c r="AC31" i="62" s="1"/>
  <c r="E30" i="30"/>
  <c r="F30" i="30" s="1"/>
  <c r="AA31" i="62" s="1"/>
  <c r="E28" i="30"/>
  <c r="F28" i="30" s="1"/>
  <c r="Y31" i="62" s="1"/>
  <c r="E26" i="30"/>
  <c r="F26" i="30" s="1"/>
  <c r="W31" i="62" s="1"/>
  <c r="E24" i="30"/>
  <c r="F24" i="30" s="1"/>
  <c r="U31" i="62" s="1"/>
  <c r="E22" i="30"/>
  <c r="F22" i="30" s="1"/>
  <c r="S31" i="62" s="1"/>
  <c r="E31" i="30"/>
  <c r="F31" i="30" s="1"/>
  <c r="AB31" i="62" s="1"/>
  <c r="E29" i="30"/>
  <c r="F29" i="30" s="1"/>
  <c r="Z31" i="62" s="1"/>
  <c r="E27" i="30"/>
  <c r="F27" i="30" s="1"/>
  <c r="X31" i="62" s="1"/>
  <c r="E25" i="30"/>
  <c r="F25" i="30" s="1"/>
  <c r="V31" i="62" s="1"/>
  <c r="E23" i="30"/>
  <c r="F23" i="30" s="1"/>
  <c r="T31" i="62" s="1"/>
  <c r="E21" i="30"/>
  <c r="F21" i="30" s="1"/>
  <c r="R31" i="62" s="1"/>
  <c r="E19" i="30"/>
  <c r="F19" i="30" s="1"/>
  <c r="P31" i="62" s="1"/>
  <c r="E17" i="30"/>
  <c r="F17" i="30" s="1"/>
  <c r="N31" i="62" s="1"/>
  <c r="E15" i="30"/>
  <c r="F15" i="30" s="1"/>
  <c r="L31" i="62" s="1"/>
  <c r="E13" i="30"/>
  <c r="F13" i="30" s="1"/>
  <c r="J31" i="62" s="1"/>
  <c r="E11" i="30"/>
  <c r="F11" i="30" s="1"/>
  <c r="H31" i="62" s="1"/>
  <c r="E9" i="30"/>
  <c r="F9" i="30" s="1"/>
  <c r="F31" i="62" s="1"/>
  <c r="E7" i="30"/>
  <c r="F7" i="30" s="1"/>
  <c r="D31" i="62" s="1"/>
  <c r="E5" i="30"/>
  <c r="E8" i="30"/>
  <c r="F8" i="30" s="1"/>
  <c r="E31" i="62" s="1"/>
  <c r="E16" i="30"/>
  <c r="F16" i="30" s="1"/>
  <c r="M31" i="62" s="1"/>
  <c r="E10" i="30"/>
  <c r="F10" i="30" s="1"/>
  <c r="G31" i="62" s="1"/>
  <c r="E18" i="30"/>
  <c r="F18" i="30" s="1"/>
  <c r="O31" i="62" s="1"/>
  <c r="E6" i="30"/>
  <c r="F6" i="30" s="1"/>
  <c r="C31" i="62" s="1"/>
  <c r="E12" i="30"/>
  <c r="F12" i="30" s="1"/>
  <c r="I31" i="62" s="1"/>
  <c r="E20" i="30"/>
  <c r="F20" i="30" s="1"/>
  <c r="Q31" i="62" s="1"/>
  <c r="E14" i="30"/>
  <c r="F14" i="30" s="1"/>
  <c r="K31" i="62" s="1"/>
  <c r="E32" i="47"/>
  <c r="F32" i="47" s="1"/>
  <c r="AC14" i="62" s="1"/>
  <c r="E30" i="47"/>
  <c r="F30" i="47" s="1"/>
  <c r="AA14" i="62" s="1"/>
  <c r="E28" i="47"/>
  <c r="F28" i="47" s="1"/>
  <c r="Y14" i="62" s="1"/>
  <c r="E26" i="47"/>
  <c r="F26" i="47" s="1"/>
  <c r="W14" i="62" s="1"/>
  <c r="E24" i="47"/>
  <c r="F24" i="47" s="1"/>
  <c r="U14" i="62" s="1"/>
  <c r="E22" i="47"/>
  <c r="F22" i="47" s="1"/>
  <c r="S14" i="62" s="1"/>
  <c r="E20" i="47"/>
  <c r="F20" i="47" s="1"/>
  <c r="Q14" i="62" s="1"/>
  <c r="E18" i="47"/>
  <c r="F18" i="47" s="1"/>
  <c r="O14" i="62" s="1"/>
  <c r="E16" i="47"/>
  <c r="F16" i="47" s="1"/>
  <c r="M14" i="62" s="1"/>
  <c r="E14" i="47"/>
  <c r="F14" i="47" s="1"/>
  <c r="K14" i="62" s="1"/>
  <c r="E12" i="47"/>
  <c r="F12" i="47" s="1"/>
  <c r="I14" i="62" s="1"/>
  <c r="E10" i="47"/>
  <c r="F10" i="47" s="1"/>
  <c r="G14" i="62" s="1"/>
  <c r="E8" i="47"/>
  <c r="F8" i="47" s="1"/>
  <c r="E14" i="62" s="1"/>
  <c r="E6" i="47"/>
  <c r="F6" i="47" s="1"/>
  <c r="C14" i="62" s="1"/>
  <c r="F105" i="47"/>
  <c r="E31" i="47"/>
  <c r="F31" i="47" s="1"/>
  <c r="AB14" i="62" s="1"/>
  <c r="E29" i="47"/>
  <c r="F29" i="47" s="1"/>
  <c r="Z14" i="62" s="1"/>
  <c r="E27" i="47"/>
  <c r="F27" i="47" s="1"/>
  <c r="X14" i="62" s="1"/>
  <c r="E25" i="47"/>
  <c r="F25" i="47" s="1"/>
  <c r="V14" i="62" s="1"/>
  <c r="E23" i="47"/>
  <c r="F23" i="47" s="1"/>
  <c r="T14" i="62" s="1"/>
  <c r="E21" i="47"/>
  <c r="F21" i="47" s="1"/>
  <c r="R14" i="62" s="1"/>
  <c r="E19" i="47"/>
  <c r="F19" i="47" s="1"/>
  <c r="P14" i="62" s="1"/>
  <c r="E17" i="47"/>
  <c r="F17" i="47" s="1"/>
  <c r="N14" i="62" s="1"/>
  <c r="E15" i="47"/>
  <c r="F15" i="47" s="1"/>
  <c r="L14" i="62" s="1"/>
  <c r="E13" i="47"/>
  <c r="F13" i="47" s="1"/>
  <c r="J14" i="62" s="1"/>
  <c r="E11" i="47"/>
  <c r="F11" i="47" s="1"/>
  <c r="H14" i="62" s="1"/>
  <c r="E9" i="47"/>
  <c r="F9" i="47" s="1"/>
  <c r="F14" i="62" s="1"/>
  <c r="E7" i="47"/>
  <c r="F7" i="47" s="1"/>
  <c r="D14" i="62" s="1"/>
  <c r="E5" i="47"/>
  <c r="E32" i="45"/>
  <c r="F32" i="45" s="1"/>
  <c r="AC16" i="62" s="1"/>
  <c r="E30" i="45"/>
  <c r="F30" i="45" s="1"/>
  <c r="AA16" i="62" s="1"/>
  <c r="E28" i="45"/>
  <c r="F28" i="45" s="1"/>
  <c r="Y16" i="62" s="1"/>
  <c r="E26" i="45"/>
  <c r="F26" i="45" s="1"/>
  <c r="W16" i="62" s="1"/>
  <c r="E24" i="45"/>
  <c r="F24" i="45" s="1"/>
  <c r="U16" i="62" s="1"/>
  <c r="E22" i="45"/>
  <c r="F22" i="45" s="1"/>
  <c r="S16" i="62" s="1"/>
  <c r="E20" i="45"/>
  <c r="F20" i="45" s="1"/>
  <c r="Q16" i="62" s="1"/>
  <c r="E18" i="45"/>
  <c r="F18" i="45" s="1"/>
  <c r="O16" i="62" s="1"/>
  <c r="E16" i="45"/>
  <c r="F16" i="45" s="1"/>
  <c r="M16" i="62" s="1"/>
  <c r="E14" i="45"/>
  <c r="F14" i="45" s="1"/>
  <c r="K16" i="62" s="1"/>
  <c r="E12" i="45"/>
  <c r="F12" i="45" s="1"/>
  <c r="I16" i="62" s="1"/>
  <c r="E10" i="45"/>
  <c r="F10" i="45" s="1"/>
  <c r="G16" i="62" s="1"/>
  <c r="E8" i="45"/>
  <c r="F8" i="45" s="1"/>
  <c r="E16" i="62" s="1"/>
  <c r="E6" i="45"/>
  <c r="F6" i="45" s="1"/>
  <c r="C16" i="62" s="1"/>
  <c r="F105" i="45"/>
  <c r="E31" i="45"/>
  <c r="F31" i="45" s="1"/>
  <c r="AB16" i="62" s="1"/>
  <c r="E29" i="45"/>
  <c r="F29" i="45" s="1"/>
  <c r="Z16" i="62" s="1"/>
  <c r="E27" i="45"/>
  <c r="F27" i="45" s="1"/>
  <c r="X16" i="62" s="1"/>
  <c r="E25" i="45"/>
  <c r="F25" i="45" s="1"/>
  <c r="V16" i="62" s="1"/>
  <c r="E23" i="45"/>
  <c r="F23" i="45" s="1"/>
  <c r="T16" i="62" s="1"/>
  <c r="E21" i="45"/>
  <c r="F21" i="45" s="1"/>
  <c r="R16" i="62" s="1"/>
  <c r="E19" i="45"/>
  <c r="F19" i="45" s="1"/>
  <c r="P16" i="62" s="1"/>
  <c r="E17" i="45"/>
  <c r="F17" i="45" s="1"/>
  <c r="N16" i="62" s="1"/>
  <c r="E15" i="45"/>
  <c r="F15" i="45" s="1"/>
  <c r="L16" i="62" s="1"/>
  <c r="E13" i="45"/>
  <c r="F13" i="45" s="1"/>
  <c r="J16" i="62" s="1"/>
  <c r="E11" i="45"/>
  <c r="F11" i="45" s="1"/>
  <c r="H16" i="62" s="1"/>
  <c r="E9" i="45"/>
  <c r="F9" i="45" s="1"/>
  <c r="F16" i="62" s="1"/>
  <c r="E7" i="45"/>
  <c r="F7" i="45" s="1"/>
  <c r="D16" i="62" s="1"/>
  <c r="E5" i="45"/>
  <c r="F105" i="18"/>
  <c r="E31" i="18"/>
  <c r="F31" i="18" s="1"/>
  <c r="AB43" i="62" s="1"/>
  <c r="E29" i="18"/>
  <c r="F29" i="18" s="1"/>
  <c r="Z43" i="62" s="1"/>
  <c r="E27" i="18"/>
  <c r="F27" i="18" s="1"/>
  <c r="X43" i="62" s="1"/>
  <c r="E25" i="18"/>
  <c r="F25" i="18" s="1"/>
  <c r="V43" i="62" s="1"/>
  <c r="E23" i="18"/>
  <c r="F23" i="18" s="1"/>
  <c r="T43" i="62" s="1"/>
  <c r="E21" i="18"/>
  <c r="F21" i="18" s="1"/>
  <c r="R43" i="62" s="1"/>
  <c r="E19" i="18"/>
  <c r="F19" i="18" s="1"/>
  <c r="P43" i="62" s="1"/>
  <c r="E17" i="18"/>
  <c r="F17" i="18" s="1"/>
  <c r="N43" i="62" s="1"/>
  <c r="E15" i="18"/>
  <c r="F15" i="18" s="1"/>
  <c r="L43" i="62" s="1"/>
  <c r="E13" i="18"/>
  <c r="F13" i="18" s="1"/>
  <c r="J43" i="62" s="1"/>
  <c r="E11" i="18"/>
  <c r="F11" i="18" s="1"/>
  <c r="H43" i="62" s="1"/>
  <c r="E9" i="18"/>
  <c r="F9" i="18" s="1"/>
  <c r="F43" i="62" s="1"/>
  <c r="E7" i="18"/>
  <c r="F7" i="18" s="1"/>
  <c r="D43" i="62" s="1"/>
  <c r="E5" i="18"/>
  <c r="E32" i="18"/>
  <c r="F32" i="18" s="1"/>
  <c r="AC43" i="62" s="1"/>
  <c r="E30" i="18"/>
  <c r="F30" i="18" s="1"/>
  <c r="AA43" i="62" s="1"/>
  <c r="E28" i="18"/>
  <c r="F28" i="18" s="1"/>
  <c r="Y43" i="62" s="1"/>
  <c r="E26" i="18"/>
  <c r="F26" i="18" s="1"/>
  <c r="W43" i="62" s="1"/>
  <c r="E24" i="18"/>
  <c r="F24" i="18" s="1"/>
  <c r="U43" i="62" s="1"/>
  <c r="E22" i="18"/>
  <c r="F22" i="18" s="1"/>
  <c r="S43" i="62" s="1"/>
  <c r="E20" i="18"/>
  <c r="F20" i="18" s="1"/>
  <c r="Q43" i="62" s="1"/>
  <c r="E18" i="18"/>
  <c r="F18" i="18" s="1"/>
  <c r="O43" i="62" s="1"/>
  <c r="E16" i="18"/>
  <c r="F16" i="18" s="1"/>
  <c r="M43" i="62" s="1"/>
  <c r="E14" i="18"/>
  <c r="F14" i="18" s="1"/>
  <c r="K43" i="62" s="1"/>
  <c r="E12" i="18"/>
  <c r="F12" i="18" s="1"/>
  <c r="I43" i="62" s="1"/>
  <c r="E10" i="18"/>
  <c r="F10" i="18" s="1"/>
  <c r="G43" i="62" s="1"/>
  <c r="E8" i="18"/>
  <c r="F8" i="18" s="1"/>
  <c r="E43" i="62" s="1"/>
  <c r="E6" i="18"/>
  <c r="F6" i="18" s="1"/>
  <c r="C43" i="62" s="1"/>
  <c r="F105" i="23"/>
  <c r="E31" i="23"/>
  <c r="F31" i="23" s="1"/>
  <c r="AB38" i="62" s="1"/>
  <c r="E29" i="23"/>
  <c r="F29" i="23" s="1"/>
  <c r="Z38" i="62" s="1"/>
  <c r="E27" i="23"/>
  <c r="F27" i="23" s="1"/>
  <c r="X38" i="62" s="1"/>
  <c r="E25" i="23"/>
  <c r="F25" i="23" s="1"/>
  <c r="V38" i="62" s="1"/>
  <c r="E23" i="23"/>
  <c r="F23" i="23" s="1"/>
  <c r="T38" i="62" s="1"/>
  <c r="E21" i="23"/>
  <c r="F21" i="23" s="1"/>
  <c r="R38" i="62" s="1"/>
  <c r="E19" i="23"/>
  <c r="F19" i="23" s="1"/>
  <c r="P38" i="62" s="1"/>
  <c r="E17" i="23"/>
  <c r="F17" i="23" s="1"/>
  <c r="N38" i="62" s="1"/>
  <c r="E15" i="23"/>
  <c r="F15" i="23" s="1"/>
  <c r="L38" i="62" s="1"/>
  <c r="E13" i="23"/>
  <c r="F13" i="23" s="1"/>
  <c r="J38" i="62" s="1"/>
  <c r="E11" i="23"/>
  <c r="F11" i="23" s="1"/>
  <c r="H38" i="62" s="1"/>
  <c r="E9" i="23"/>
  <c r="F9" i="23" s="1"/>
  <c r="F38" i="62" s="1"/>
  <c r="E7" i="23"/>
  <c r="F7" i="23" s="1"/>
  <c r="D38" i="62" s="1"/>
  <c r="E5" i="23"/>
  <c r="E32" i="23"/>
  <c r="F32" i="23" s="1"/>
  <c r="AC38" i="62" s="1"/>
  <c r="E30" i="23"/>
  <c r="F30" i="23" s="1"/>
  <c r="AA38" i="62" s="1"/>
  <c r="E28" i="23"/>
  <c r="F28" i="23" s="1"/>
  <c r="Y38" i="62" s="1"/>
  <c r="E26" i="23"/>
  <c r="F26" i="23" s="1"/>
  <c r="W38" i="62" s="1"/>
  <c r="E24" i="23"/>
  <c r="F24" i="23" s="1"/>
  <c r="U38" i="62" s="1"/>
  <c r="E22" i="23"/>
  <c r="F22" i="23" s="1"/>
  <c r="S38" i="62" s="1"/>
  <c r="E20" i="23"/>
  <c r="F20" i="23" s="1"/>
  <c r="Q38" i="62" s="1"/>
  <c r="E18" i="23"/>
  <c r="F18" i="23" s="1"/>
  <c r="O38" i="62" s="1"/>
  <c r="E16" i="23"/>
  <c r="F16" i="23" s="1"/>
  <c r="M38" i="62" s="1"/>
  <c r="E14" i="23"/>
  <c r="F14" i="23" s="1"/>
  <c r="K38" i="62" s="1"/>
  <c r="E12" i="23"/>
  <c r="F12" i="23" s="1"/>
  <c r="I38" i="62" s="1"/>
  <c r="E10" i="23"/>
  <c r="F10" i="23" s="1"/>
  <c r="G38" i="62" s="1"/>
  <c r="E8" i="23"/>
  <c r="F8" i="23" s="1"/>
  <c r="E38" i="62" s="1"/>
  <c r="E6" i="23"/>
  <c r="F6" i="23" s="1"/>
  <c r="C38" i="62" s="1"/>
  <c r="F105" i="33"/>
  <c r="E31" i="33"/>
  <c r="F31" i="33" s="1"/>
  <c r="AB28" i="62" s="1"/>
  <c r="E29" i="33"/>
  <c r="F29" i="33" s="1"/>
  <c r="Z28" i="62" s="1"/>
  <c r="E27" i="33"/>
  <c r="F27" i="33" s="1"/>
  <c r="X28" i="62" s="1"/>
  <c r="E25" i="33"/>
  <c r="F25" i="33" s="1"/>
  <c r="V28" i="62" s="1"/>
  <c r="E23" i="33"/>
  <c r="F23" i="33" s="1"/>
  <c r="T28" i="62" s="1"/>
  <c r="E21" i="33"/>
  <c r="F21" i="33" s="1"/>
  <c r="R28" i="62" s="1"/>
  <c r="E19" i="33"/>
  <c r="F19" i="33" s="1"/>
  <c r="P28" i="62" s="1"/>
  <c r="E17" i="33"/>
  <c r="F17" i="33" s="1"/>
  <c r="N28" i="62" s="1"/>
  <c r="E15" i="33"/>
  <c r="F15" i="33" s="1"/>
  <c r="L28" i="62" s="1"/>
  <c r="E13" i="33"/>
  <c r="F13" i="33" s="1"/>
  <c r="J28" i="62" s="1"/>
  <c r="E11" i="33"/>
  <c r="F11" i="33" s="1"/>
  <c r="H28" i="62" s="1"/>
  <c r="E9" i="33"/>
  <c r="F9" i="33" s="1"/>
  <c r="F28" i="62" s="1"/>
  <c r="E7" i="33"/>
  <c r="F7" i="33" s="1"/>
  <c r="D28" i="62" s="1"/>
  <c r="E5" i="33"/>
  <c r="E32" i="33"/>
  <c r="F32" i="33" s="1"/>
  <c r="AC28" i="62" s="1"/>
  <c r="E30" i="33"/>
  <c r="F30" i="33" s="1"/>
  <c r="AA28" i="62" s="1"/>
  <c r="E28" i="33"/>
  <c r="F28" i="33" s="1"/>
  <c r="Y28" i="62" s="1"/>
  <c r="E26" i="33"/>
  <c r="F26" i="33" s="1"/>
  <c r="W28" i="62" s="1"/>
  <c r="E24" i="33"/>
  <c r="F24" i="33" s="1"/>
  <c r="U28" i="62" s="1"/>
  <c r="E22" i="33"/>
  <c r="F22" i="33" s="1"/>
  <c r="S28" i="62" s="1"/>
  <c r="E20" i="33"/>
  <c r="F20" i="33" s="1"/>
  <c r="Q28" i="62" s="1"/>
  <c r="E18" i="33"/>
  <c r="F18" i="33" s="1"/>
  <c r="O28" i="62" s="1"/>
  <c r="E16" i="33"/>
  <c r="F16" i="33" s="1"/>
  <c r="M28" i="62" s="1"/>
  <c r="E14" i="33"/>
  <c r="F14" i="33" s="1"/>
  <c r="K28" i="62" s="1"/>
  <c r="E12" i="33"/>
  <c r="F12" i="33" s="1"/>
  <c r="I28" i="62" s="1"/>
  <c r="E10" i="33"/>
  <c r="F10" i="33" s="1"/>
  <c r="G28" i="62" s="1"/>
  <c r="E8" i="33"/>
  <c r="F8" i="33" s="1"/>
  <c r="E28" i="62" s="1"/>
  <c r="E6" i="33"/>
  <c r="F6" i="33" s="1"/>
  <c r="C28" i="62" s="1"/>
  <c r="F105" i="35"/>
  <c r="E31" i="35"/>
  <c r="F31" i="35" s="1"/>
  <c r="AB26" i="62" s="1"/>
  <c r="E29" i="35"/>
  <c r="F29" i="35" s="1"/>
  <c r="Z26" i="62" s="1"/>
  <c r="E27" i="35"/>
  <c r="F27" i="35" s="1"/>
  <c r="X26" i="62" s="1"/>
  <c r="E25" i="35"/>
  <c r="F25" i="35" s="1"/>
  <c r="V26" i="62" s="1"/>
  <c r="E23" i="35"/>
  <c r="F23" i="35" s="1"/>
  <c r="T26" i="62" s="1"/>
  <c r="E21" i="35"/>
  <c r="F21" i="35" s="1"/>
  <c r="R26" i="62" s="1"/>
  <c r="E19" i="35"/>
  <c r="F19" i="35" s="1"/>
  <c r="P26" i="62" s="1"/>
  <c r="E17" i="35"/>
  <c r="F17" i="35" s="1"/>
  <c r="N26" i="62" s="1"/>
  <c r="E15" i="35"/>
  <c r="F15" i="35" s="1"/>
  <c r="L26" i="62" s="1"/>
  <c r="E13" i="35"/>
  <c r="F13" i="35" s="1"/>
  <c r="J26" i="62" s="1"/>
  <c r="E11" i="35"/>
  <c r="F11" i="35" s="1"/>
  <c r="H26" i="62" s="1"/>
  <c r="E9" i="35"/>
  <c r="F9" i="35" s="1"/>
  <c r="F26" i="62" s="1"/>
  <c r="E7" i="35"/>
  <c r="F7" i="35" s="1"/>
  <c r="D26" i="62" s="1"/>
  <c r="E5" i="35"/>
  <c r="E32" i="35"/>
  <c r="F32" i="35" s="1"/>
  <c r="AC26" i="62" s="1"/>
  <c r="E30" i="35"/>
  <c r="F30" i="35" s="1"/>
  <c r="AA26" i="62" s="1"/>
  <c r="E28" i="35"/>
  <c r="F28" i="35" s="1"/>
  <c r="Y26" i="62" s="1"/>
  <c r="E26" i="35"/>
  <c r="F26" i="35" s="1"/>
  <c r="W26" i="62" s="1"/>
  <c r="E24" i="35"/>
  <c r="F24" i="35" s="1"/>
  <c r="U26" i="62" s="1"/>
  <c r="E22" i="35"/>
  <c r="F22" i="35" s="1"/>
  <c r="S26" i="62" s="1"/>
  <c r="E20" i="35"/>
  <c r="F20" i="35" s="1"/>
  <c r="Q26" i="62" s="1"/>
  <c r="E18" i="35"/>
  <c r="F18" i="35" s="1"/>
  <c r="O26" i="62" s="1"/>
  <c r="E16" i="35"/>
  <c r="F16" i="35" s="1"/>
  <c r="M26" i="62" s="1"/>
  <c r="E14" i="35"/>
  <c r="F14" i="35" s="1"/>
  <c r="K26" i="62" s="1"/>
  <c r="E12" i="35"/>
  <c r="F12" i="35" s="1"/>
  <c r="I26" i="62" s="1"/>
  <c r="E10" i="35"/>
  <c r="F10" i="35" s="1"/>
  <c r="G26" i="62" s="1"/>
  <c r="E8" i="35"/>
  <c r="F8" i="35" s="1"/>
  <c r="E26" i="62" s="1"/>
  <c r="E6" i="35"/>
  <c r="F6" i="35" s="1"/>
  <c r="C26" i="62" s="1"/>
  <c r="F105" i="37"/>
  <c r="E31" i="37"/>
  <c r="F31" i="37" s="1"/>
  <c r="AB24" i="62" s="1"/>
  <c r="E29" i="37"/>
  <c r="F29" i="37" s="1"/>
  <c r="Z24" i="62" s="1"/>
  <c r="E27" i="37"/>
  <c r="F27" i="37" s="1"/>
  <c r="X24" i="62" s="1"/>
  <c r="E25" i="37"/>
  <c r="F25" i="37" s="1"/>
  <c r="V24" i="62" s="1"/>
  <c r="E23" i="37"/>
  <c r="F23" i="37" s="1"/>
  <c r="T24" i="62" s="1"/>
  <c r="E21" i="37"/>
  <c r="F21" i="37" s="1"/>
  <c r="R24" i="62" s="1"/>
  <c r="E19" i="37"/>
  <c r="F19" i="37" s="1"/>
  <c r="P24" i="62" s="1"/>
  <c r="E17" i="37"/>
  <c r="F17" i="37" s="1"/>
  <c r="N24" i="62" s="1"/>
  <c r="E15" i="37"/>
  <c r="F15" i="37" s="1"/>
  <c r="L24" i="62" s="1"/>
  <c r="E13" i="37"/>
  <c r="F13" i="37" s="1"/>
  <c r="J24" i="62" s="1"/>
  <c r="E11" i="37"/>
  <c r="F11" i="37" s="1"/>
  <c r="H24" i="62" s="1"/>
  <c r="E9" i="37"/>
  <c r="F9" i="37" s="1"/>
  <c r="F24" i="62" s="1"/>
  <c r="E7" i="37"/>
  <c r="F7" i="37" s="1"/>
  <c r="D24" i="62" s="1"/>
  <c r="E5" i="37"/>
  <c r="E32" i="37"/>
  <c r="F32" i="37" s="1"/>
  <c r="AC24" i="62" s="1"/>
  <c r="E30" i="37"/>
  <c r="F30" i="37" s="1"/>
  <c r="AA24" i="62" s="1"/>
  <c r="E28" i="37"/>
  <c r="F28" i="37" s="1"/>
  <c r="Y24" i="62" s="1"/>
  <c r="E26" i="37"/>
  <c r="F26" i="37" s="1"/>
  <c r="W24" i="62" s="1"/>
  <c r="E24" i="37"/>
  <c r="F24" i="37" s="1"/>
  <c r="U24" i="62" s="1"/>
  <c r="E22" i="37"/>
  <c r="F22" i="37" s="1"/>
  <c r="S24" i="62" s="1"/>
  <c r="E20" i="37"/>
  <c r="F20" i="37" s="1"/>
  <c r="Q24" i="62" s="1"/>
  <c r="E18" i="37"/>
  <c r="F18" i="37" s="1"/>
  <c r="O24" i="62" s="1"/>
  <c r="E16" i="37"/>
  <c r="F16" i="37" s="1"/>
  <c r="M24" i="62" s="1"/>
  <c r="E14" i="37"/>
  <c r="F14" i="37" s="1"/>
  <c r="K24" i="62" s="1"/>
  <c r="E12" i="37"/>
  <c r="F12" i="37" s="1"/>
  <c r="I24" i="62" s="1"/>
  <c r="E10" i="37"/>
  <c r="F10" i="37" s="1"/>
  <c r="G24" i="62" s="1"/>
  <c r="E8" i="37"/>
  <c r="F8" i="37" s="1"/>
  <c r="E24" i="62" s="1"/>
  <c r="E6" i="37"/>
  <c r="F6" i="37" s="1"/>
  <c r="C24" i="62" s="1"/>
  <c r="F105" i="39"/>
  <c r="E31" i="39"/>
  <c r="F31" i="39" s="1"/>
  <c r="AB22" i="62" s="1"/>
  <c r="E29" i="39"/>
  <c r="F29" i="39" s="1"/>
  <c r="Z22" i="62" s="1"/>
  <c r="E27" i="39"/>
  <c r="F27" i="39" s="1"/>
  <c r="X22" i="62" s="1"/>
  <c r="E25" i="39"/>
  <c r="F25" i="39" s="1"/>
  <c r="V22" i="62" s="1"/>
  <c r="E23" i="39"/>
  <c r="F23" i="39" s="1"/>
  <c r="T22" i="62" s="1"/>
  <c r="E21" i="39"/>
  <c r="F21" i="39" s="1"/>
  <c r="R22" i="62" s="1"/>
  <c r="E19" i="39"/>
  <c r="F19" i="39" s="1"/>
  <c r="P22" i="62" s="1"/>
  <c r="E17" i="39"/>
  <c r="F17" i="39" s="1"/>
  <c r="N22" i="62" s="1"/>
  <c r="E15" i="39"/>
  <c r="F15" i="39" s="1"/>
  <c r="L22" i="62" s="1"/>
  <c r="E13" i="39"/>
  <c r="F13" i="39" s="1"/>
  <c r="J22" i="62" s="1"/>
  <c r="E11" i="39"/>
  <c r="F11" i="39" s="1"/>
  <c r="H22" i="62" s="1"/>
  <c r="E9" i="39"/>
  <c r="F9" i="39" s="1"/>
  <c r="F22" i="62" s="1"/>
  <c r="E7" i="39"/>
  <c r="F7" i="39" s="1"/>
  <c r="D22" i="62" s="1"/>
  <c r="E5" i="39"/>
  <c r="E32" i="39"/>
  <c r="F32" i="39" s="1"/>
  <c r="AC22" i="62" s="1"/>
  <c r="E30" i="39"/>
  <c r="F30" i="39" s="1"/>
  <c r="AA22" i="62" s="1"/>
  <c r="E28" i="39"/>
  <c r="F28" i="39" s="1"/>
  <c r="Y22" i="62" s="1"/>
  <c r="E26" i="39"/>
  <c r="F26" i="39" s="1"/>
  <c r="W22" i="62" s="1"/>
  <c r="E24" i="39"/>
  <c r="F24" i="39" s="1"/>
  <c r="U22" i="62" s="1"/>
  <c r="E22" i="39"/>
  <c r="F22" i="39" s="1"/>
  <c r="S22" i="62" s="1"/>
  <c r="E20" i="39"/>
  <c r="F20" i="39" s="1"/>
  <c r="Q22" i="62" s="1"/>
  <c r="E18" i="39"/>
  <c r="F18" i="39" s="1"/>
  <c r="O22" i="62" s="1"/>
  <c r="E16" i="39"/>
  <c r="F16" i="39" s="1"/>
  <c r="M22" i="62" s="1"/>
  <c r="E14" i="39"/>
  <c r="F14" i="39" s="1"/>
  <c r="K22" i="62" s="1"/>
  <c r="E12" i="39"/>
  <c r="F12" i="39" s="1"/>
  <c r="I22" i="62" s="1"/>
  <c r="E10" i="39"/>
  <c r="F10" i="39" s="1"/>
  <c r="G22" i="62" s="1"/>
  <c r="E8" i="39"/>
  <c r="F8" i="39" s="1"/>
  <c r="E22" i="62" s="1"/>
  <c r="E6" i="39"/>
  <c r="F6" i="39" s="1"/>
  <c r="C22" i="62" s="1"/>
  <c r="F105" i="41"/>
  <c r="E31" i="41"/>
  <c r="F31" i="41" s="1"/>
  <c r="AB20" i="62" s="1"/>
  <c r="E29" i="41"/>
  <c r="F29" i="41" s="1"/>
  <c r="Z20" i="62" s="1"/>
  <c r="E27" i="41"/>
  <c r="F27" i="41" s="1"/>
  <c r="X20" i="62" s="1"/>
  <c r="E25" i="41"/>
  <c r="F25" i="41" s="1"/>
  <c r="V20" i="62" s="1"/>
  <c r="E23" i="41"/>
  <c r="F23" i="41" s="1"/>
  <c r="T20" i="62" s="1"/>
  <c r="E21" i="41"/>
  <c r="F21" i="41" s="1"/>
  <c r="R20" i="62" s="1"/>
  <c r="E19" i="41"/>
  <c r="F19" i="41" s="1"/>
  <c r="P20" i="62" s="1"/>
  <c r="E17" i="41"/>
  <c r="F17" i="41" s="1"/>
  <c r="N20" i="62" s="1"/>
  <c r="E15" i="41"/>
  <c r="F15" i="41" s="1"/>
  <c r="L20" i="62" s="1"/>
  <c r="E13" i="41"/>
  <c r="F13" i="41" s="1"/>
  <c r="J20" i="62" s="1"/>
  <c r="E11" i="41"/>
  <c r="F11" i="41" s="1"/>
  <c r="H20" i="62" s="1"/>
  <c r="E9" i="41"/>
  <c r="F9" i="41" s="1"/>
  <c r="F20" i="62" s="1"/>
  <c r="E7" i="41"/>
  <c r="F7" i="41" s="1"/>
  <c r="D20" i="62" s="1"/>
  <c r="E5" i="41"/>
  <c r="E32" i="41"/>
  <c r="F32" i="41" s="1"/>
  <c r="AC20" i="62" s="1"/>
  <c r="E30" i="41"/>
  <c r="F30" i="41" s="1"/>
  <c r="AA20" i="62" s="1"/>
  <c r="E28" i="41"/>
  <c r="F28" i="41" s="1"/>
  <c r="Y20" i="62" s="1"/>
  <c r="E26" i="41"/>
  <c r="F26" i="41" s="1"/>
  <c r="W20" i="62" s="1"/>
  <c r="E24" i="41"/>
  <c r="F24" i="41" s="1"/>
  <c r="U20" i="62" s="1"/>
  <c r="E22" i="41"/>
  <c r="F22" i="41" s="1"/>
  <c r="S20" i="62" s="1"/>
  <c r="E20" i="41"/>
  <c r="F20" i="41" s="1"/>
  <c r="Q20" i="62" s="1"/>
  <c r="E18" i="41"/>
  <c r="F18" i="41" s="1"/>
  <c r="O20" i="62" s="1"/>
  <c r="E16" i="41"/>
  <c r="F16" i="41" s="1"/>
  <c r="M20" i="62" s="1"/>
  <c r="E14" i="41"/>
  <c r="F14" i="41" s="1"/>
  <c r="K20" i="62" s="1"/>
  <c r="E12" i="41"/>
  <c r="F12" i="41" s="1"/>
  <c r="I20" i="62" s="1"/>
  <c r="E10" i="41"/>
  <c r="F10" i="41" s="1"/>
  <c r="G20" i="62" s="1"/>
  <c r="E8" i="41"/>
  <c r="F8" i="41" s="1"/>
  <c r="E20" i="62" s="1"/>
  <c r="E6" i="41"/>
  <c r="F6" i="41" s="1"/>
  <c r="C20" i="62" s="1"/>
  <c r="F105" i="43"/>
  <c r="E31" i="43"/>
  <c r="F31" i="43" s="1"/>
  <c r="AB18" i="62" s="1"/>
  <c r="E29" i="43"/>
  <c r="F29" i="43" s="1"/>
  <c r="Z18" i="62" s="1"/>
  <c r="E27" i="43"/>
  <c r="F27" i="43" s="1"/>
  <c r="X18" i="62" s="1"/>
  <c r="E25" i="43"/>
  <c r="F25" i="43" s="1"/>
  <c r="V18" i="62" s="1"/>
  <c r="E23" i="43"/>
  <c r="F23" i="43" s="1"/>
  <c r="T18" i="62" s="1"/>
  <c r="E21" i="43"/>
  <c r="F21" i="43" s="1"/>
  <c r="R18" i="62" s="1"/>
  <c r="E19" i="43"/>
  <c r="F19" i="43" s="1"/>
  <c r="P18" i="62" s="1"/>
  <c r="E17" i="43"/>
  <c r="F17" i="43" s="1"/>
  <c r="N18" i="62" s="1"/>
  <c r="E15" i="43"/>
  <c r="F15" i="43" s="1"/>
  <c r="L18" i="62" s="1"/>
  <c r="E13" i="43"/>
  <c r="F13" i="43" s="1"/>
  <c r="J18" i="62" s="1"/>
  <c r="E11" i="43"/>
  <c r="F11" i="43" s="1"/>
  <c r="H18" i="62" s="1"/>
  <c r="E9" i="43"/>
  <c r="F9" i="43" s="1"/>
  <c r="F18" i="62" s="1"/>
  <c r="E7" i="43"/>
  <c r="F7" i="43" s="1"/>
  <c r="D18" i="62" s="1"/>
  <c r="E5" i="43"/>
  <c r="E32" i="43"/>
  <c r="F32" i="43" s="1"/>
  <c r="AC18" i="62" s="1"/>
  <c r="E30" i="43"/>
  <c r="F30" i="43" s="1"/>
  <c r="AA18" i="62" s="1"/>
  <c r="E28" i="43"/>
  <c r="F28" i="43" s="1"/>
  <c r="Y18" i="62" s="1"/>
  <c r="E26" i="43"/>
  <c r="F26" i="43" s="1"/>
  <c r="W18" i="62" s="1"/>
  <c r="E24" i="43"/>
  <c r="F24" i="43" s="1"/>
  <c r="U18" i="62" s="1"/>
  <c r="E22" i="43"/>
  <c r="F22" i="43" s="1"/>
  <c r="S18" i="62" s="1"/>
  <c r="E20" i="43"/>
  <c r="F20" i="43" s="1"/>
  <c r="Q18" i="62" s="1"/>
  <c r="E18" i="43"/>
  <c r="F18" i="43" s="1"/>
  <c r="O18" i="62" s="1"/>
  <c r="E16" i="43"/>
  <c r="F16" i="43" s="1"/>
  <c r="M18" i="62" s="1"/>
  <c r="E14" i="43"/>
  <c r="F14" i="43" s="1"/>
  <c r="K18" i="62" s="1"/>
  <c r="E12" i="43"/>
  <c r="F12" i="43" s="1"/>
  <c r="I18" i="62" s="1"/>
  <c r="E10" i="43"/>
  <c r="F10" i="43" s="1"/>
  <c r="G18" i="62" s="1"/>
  <c r="E8" i="43"/>
  <c r="F8" i="43" s="1"/>
  <c r="E18" i="62" s="1"/>
  <c r="E6" i="43"/>
  <c r="F6" i="43" s="1"/>
  <c r="C18" i="62" s="1"/>
  <c r="F105" i="54"/>
  <c r="E31" i="54"/>
  <c r="F31" i="54" s="1"/>
  <c r="AB7" i="62" s="1"/>
  <c r="E29" i="54"/>
  <c r="F29" i="54" s="1"/>
  <c r="Z7" i="62" s="1"/>
  <c r="E27" i="54"/>
  <c r="F27" i="54" s="1"/>
  <c r="X7" i="62" s="1"/>
  <c r="E25" i="54"/>
  <c r="F25" i="54" s="1"/>
  <c r="V7" i="62" s="1"/>
  <c r="E23" i="54"/>
  <c r="F23" i="54" s="1"/>
  <c r="T7" i="62" s="1"/>
  <c r="E21" i="54"/>
  <c r="F21" i="54" s="1"/>
  <c r="R7" i="62" s="1"/>
  <c r="E19" i="54"/>
  <c r="F19" i="54" s="1"/>
  <c r="P7" i="62" s="1"/>
  <c r="E17" i="54"/>
  <c r="F17" i="54" s="1"/>
  <c r="N7" i="62" s="1"/>
  <c r="E15" i="54"/>
  <c r="F15" i="54" s="1"/>
  <c r="L7" i="62" s="1"/>
  <c r="E13" i="54"/>
  <c r="F13" i="54" s="1"/>
  <c r="J7" i="62" s="1"/>
  <c r="E11" i="54"/>
  <c r="F11" i="54" s="1"/>
  <c r="H7" i="62" s="1"/>
  <c r="E9" i="54"/>
  <c r="F9" i="54" s="1"/>
  <c r="F7" i="62" s="1"/>
  <c r="E7" i="54"/>
  <c r="F7" i="54" s="1"/>
  <c r="D7" i="62" s="1"/>
  <c r="E5" i="54"/>
  <c r="E32" i="54"/>
  <c r="F32" i="54" s="1"/>
  <c r="AC7" i="62" s="1"/>
  <c r="E30" i="54"/>
  <c r="F30" i="54" s="1"/>
  <c r="AA7" i="62" s="1"/>
  <c r="E28" i="54"/>
  <c r="F28" i="54" s="1"/>
  <c r="Y7" i="62" s="1"/>
  <c r="E26" i="54"/>
  <c r="F26" i="54" s="1"/>
  <c r="W7" i="62" s="1"/>
  <c r="E24" i="54"/>
  <c r="F24" i="54" s="1"/>
  <c r="U7" i="62" s="1"/>
  <c r="E22" i="54"/>
  <c r="F22" i="54" s="1"/>
  <c r="S7" i="62" s="1"/>
  <c r="E20" i="54"/>
  <c r="F20" i="54" s="1"/>
  <c r="Q7" i="62" s="1"/>
  <c r="E18" i="54"/>
  <c r="F18" i="54" s="1"/>
  <c r="O7" i="62" s="1"/>
  <c r="E16" i="54"/>
  <c r="F16" i="54" s="1"/>
  <c r="M7" i="62" s="1"/>
  <c r="E14" i="54"/>
  <c r="F14" i="54" s="1"/>
  <c r="K7" i="62" s="1"/>
  <c r="E12" i="54"/>
  <c r="F12" i="54" s="1"/>
  <c r="I7" i="62" s="1"/>
  <c r="E10" i="54"/>
  <c r="F10" i="54" s="1"/>
  <c r="G7" i="62" s="1"/>
  <c r="E8" i="54"/>
  <c r="F8" i="54" s="1"/>
  <c r="E7" i="62" s="1"/>
  <c r="E6" i="54"/>
  <c r="F6" i="54" s="1"/>
  <c r="C7" i="62" s="1"/>
  <c r="E32" i="49"/>
  <c r="F32" i="49" s="1"/>
  <c r="AC12" i="62" s="1"/>
  <c r="E30" i="49"/>
  <c r="F30" i="49" s="1"/>
  <c r="AA12" i="62" s="1"/>
  <c r="E28" i="49"/>
  <c r="F28" i="49" s="1"/>
  <c r="Y12" i="62" s="1"/>
  <c r="E26" i="49"/>
  <c r="F26" i="49" s="1"/>
  <c r="W12" i="62" s="1"/>
  <c r="E24" i="49"/>
  <c r="F24" i="49" s="1"/>
  <c r="U12" i="62" s="1"/>
  <c r="E22" i="49"/>
  <c r="F22" i="49" s="1"/>
  <c r="S12" i="62" s="1"/>
  <c r="E20" i="49"/>
  <c r="F20" i="49" s="1"/>
  <c r="Q12" i="62" s="1"/>
  <c r="E18" i="49"/>
  <c r="F18" i="49" s="1"/>
  <c r="O12" i="62" s="1"/>
  <c r="E16" i="49"/>
  <c r="F16" i="49" s="1"/>
  <c r="M12" i="62" s="1"/>
  <c r="E14" i="49"/>
  <c r="F14" i="49" s="1"/>
  <c r="K12" i="62" s="1"/>
  <c r="E12" i="49"/>
  <c r="F12" i="49" s="1"/>
  <c r="I12" i="62" s="1"/>
  <c r="E10" i="49"/>
  <c r="F10" i="49" s="1"/>
  <c r="G12" i="62" s="1"/>
  <c r="E8" i="49"/>
  <c r="F8" i="49" s="1"/>
  <c r="E12" i="62" s="1"/>
  <c r="E6" i="49"/>
  <c r="F6" i="49" s="1"/>
  <c r="C12" i="62" s="1"/>
  <c r="F105" i="49"/>
  <c r="E31" i="49"/>
  <c r="F31" i="49" s="1"/>
  <c r="AB12" i="62" s="1"/>
  <c r="E29" i="49"/>
  <c r="F29" i="49" s="1"/>
  <c r="Z12" i="62" s="1"/>
  <c r="E27" i="49"/>
  <c r="F27" i="49" s="1"/>
  <c r="X12" i="62" s="1"/>
  <c r="E25" i="49"/>
  <c r="F25" i="49" s="1"/>
  <c r="V12" i="62" s="1"/>
  <c r="E23" i="49"/>
  <c r="F23" i="49" s="1"/>
  <c r="T12" i="62" s="1"/>
  <c r="E21" i="49"/>
  <c r="F21" i="49" s="1"/>
  <c r="R12" i="62" s="1"/>
  <c r="E19" i="49"/>
  <c r="F19" i="49" s="1"/>
  <c r="P12" i="62" s="1"/>
  <c r="E17" i="49"/>
  <c r="F17" i="49" s="1"/>
  <c r="N12" i="62" s="1"/>
  <c r="E15" i="49"/>
  <c r="F15" i="49" s="1"/>
  <c r="L12" i="62" s="1"/>
  <c r="E13" i="49"/>
  <c r="F13" i="49" s="1"/>
  <c r="J12" i="62" s="1"/>
  <c r="E11" i="49"/>
  <c r="F11" i="49" s="1"/>
  <c r="H12" i="62" s="1"/>
  <c r="E9" i="49"/>
  <c r="F9" i="49" s="1"/>
  <c r="F12" i="62" s="1"/>
  <c r="E7" i="49"/>
  <c r="F7" i="49" s="1"/>
  <c r="D12" i="62" s="1"/>
  <c r="E5" i="49"/>
  <c r="F105" i="1"/>
  <c r="E31" i="1"/>
  <c r="F31" i="1" s="1"/>
  <c r="AB60" i="62" s="1"/>
  <c r="E29" i="1"/>
  <c r="F29" i="1" s="1"/>
  <c r="Z60" i="62" s="1"/>
  <c r="E27" i="1"/>
  <c r="F27" i="1" s="1"/>
  <c r="X60" i="62" s="1"/>
  <c r="E25" i="1"/>
  <c r="F25" i="1" s="1"/>
  <c r="V60" i="62" s="1"/>
  <c r="E32" i="1"/>
  <c r="F32" i="1" s="1"/>
  <c r="AC60" i="62" s="1"/>
  <c r="E30" i="1"/>
  <c r="F30" i="1" s="1"/>
  <c r="AA60" i="62" s="1"/>
  <c r="E28" i="1"/>
  <c r="F28" i="1" s="1"/>
  <c r="Y60" i="62" s="1"/>
  <c r="E26" i="1"/>
  <c r="F26" i="1" s="1"/>
  <c r="W60" i="62" s="1"/>
  <c r="E24" i="1"/>
  <c r="F24" i="1" s="1"/>
  <c r="U60" i="62" s="1"/>
  <c r="E22" i="1"/>
  <c r="F22" i="1" s="1"/>
  <c r="S60" i="62" s="1"/>
  <c r="E20" i="1"/>
  <c r="F20" i="1" s="1"/>
  <c r="Q60" i="62" s="1"/>
  <c r="E18" i="1"/>
  <c r="F18" i="1" s="1"/>
  <c r="O60" i="62" s="1"/>
  <c r="E16" i="1"/>
  <c r="F16" i="1" s="1"/>
  <c r="M60" i="62" s="1"/>
  <c r="E14" i="1"/>
  <c r="F14" i="1" s="1"/>
  <c r="K60" i="62" s="1"/>
  <c r="E12" i="1"/>
  <c r="F12" i="1" s="1"/>
  <c r="I60" i="62" s="1"/>
  <c r="E10" i="1"/>
  <c r="F10" i="1" s="1"/>
  <c r="G60" i="62" s="1"/>
  <c r="E8" i="1"/>
  <c r="F8" i="1" s="1"/>
  <c r="E60" i="62" s="1"/>
  <c r="E6" i="1"/>
  <c r="F6" i="1" s="1"/>
  <c r="C60" i="62" s="1"/>
  <c r="E23" i="1"/>
  <c r="F23" i="1" s="1"/>
  <c r="T60" i="62" s="1"/>
  <c r="E21" i="1"/>
  <c r="F21" i="1" s="1"/>
  <c r="R60" i="62" s="1"/>
  <c r="E19" i="1"/>
  <c r="F19" i="1" s="1"/>
  <c r="P60" i="62" s="1"/>
  <c r="E17" i="1"/>
  <c r="F17" i="1" s="1"/>
  <c r="N60" i="62" s="1"/>
  <c r="E15" i="1"/>
  <c r="F15" i="1" s="1"/>
  <c r="L60" i="62" s="1"/>
  <c r="E13" i="1"/>
  <c r="F13" i="1" s="1"/>
  <c r="J60" i="62" s="1"/>
  <c r="E11" i="1"/>
  <c r="F11" i="1" s="1"/>
  <c r="H60" i="62" s="1"/>
  <c r="E9" i="1"/>
  <c r="F9" i="1" s="1"/>
  <c r="F60" i="62" s="1"/>
  <c r="E7" i="1"/>
  <c r="F7" i="1" s="1"/>
  <c r="D60" i="62" s="1"/>
  <c r="E5" i="1"/>
  <c r="F105" i="4"/>
  <c r="E31" i="4"/>
  <c r="F31" i="4" s="1"/>
  <c r="AB57" i="62" s="1"/>
  <c r="E29" i="4"/>
  <c r="F29" i="4" s="1"/>
  <c r="Z57" i="62" s="1"/>
  <c r="E27" i="4"/>
  <c r="F27" i="4" s="1"/>
  <c r="X57" i="62" s="1"/>
  <c r="E25" i="4"/>
  <c r="F25" i="4" s="1"/>
  <c r="V57" i="62" s="1"/>
  <c r="E23" i="4"/>
  <c r="F23" i="4" s="1"/>
  <c r="T57" i="62" s="1"/>
  <c r="E21" i="4"/>
  <c r="F21" i="4" s="1"/>
  <c r="R57" i="62" s="1"/>
  <c r="E19" i="4"/>
  <c r="F19" i="4" s="1"/>
  <c r="P57" i="62" s="1"/>
  <c r="E32" i="4"/>
  <c r="F32" i="4" s="1"/>
  <c r="AC57" i="62" s="1"/>
  <c r="E30" i="4"/>
  <c r="F30" i="4" s="1"/>
  <c r="AA57" i="62" s="1"/>
  <c r="E28" i="4"/>
  <c r="F28" i="4" s="1"/>
  <c r="Y57" i="62" s="1"/>
  <c r="E26" i="4"/>
  <c r="F26" i="4" s="1"/>
  <c r="W57" i="62" s="1"/>
  <c r="E24" i="4"/>
  <c r="F24" i="4" s="1"/>
  <c r="U57" i="62" s="1"/>
  <c r="E22" i="4"/>
  <c r="F22" i="4" s="1"/>
  <c r="S57" i="62" s="1"/>
  <c r="E20" i="4"/>
  <c r="F20" i="4" s="1"/>
  <c r="Q57" i="62" s="1"/>
  <c r="E17" i="4"/>
  <c r="F17" i="4" s="1"/>
  <c r="N57" i="62" s="1"/>
  <c r="E15" i="4"/>
  <c r="F15" i="4" s="1"/>
  <c r="L57" i="62" s="1"/>
  <c r="E13" i="4"/>
  <c r="F13" i="4" s="1"/>
  <c r="J57" i="62" s="1"/>
  <c r="E11" i="4"/>
  <c r="F11" i="4" s="1"/>
  <c r="H57" i="62" s="1"/>
  <c r="E9" i="4"/>
  <c r="F9" i="4" s="1"/>
  <c r="F57" i="62" s="1"/>
  <c r="E7" i="4"/>
  <c r="F7" i="4" s="1"/>
  <c r="D57" i="62" s="1"/>
  <c r="E5" i="4"/>
  <c r="E18" i="4"/>
  <c r="F18" i="4" s="1"/>
  <c r="O57" i="62" s="1"/>
  <c r="E16" i="4"/>
  <c r="F16" i="4" s="1"/>
  <c r="M57" i="62" s="1"/>
  <c r="E14" i="4"/>
  <c r="F14" i="4" s="1"/>
  <c r="K57" i="62" s="1"/>
  <c r="E12" i="4"/>
  <c r="F12" i="4" s="1"/>
  <c r="I57" i="62" s="1"/>
  <c r="E10" i="4"/>
  <c r="F10" i="4" s="1"/>
  <c r="G57" i="62" s="1"/>
  <c r="E8" i="4"/>
  <c r="F8" i="4" s="1"/>
  <c r="E57" i="62" s="1"/>
  <c r="E6" i="4"/>
  <c r="F6" i="4" s="1"/>
  <c r="C57" i="62" s="1"/>
  <c r="E32" i="9"/>
  <c r="F32" i="9" s="1"/>
  <c r="AC52" i="62" s="1"/>
  <c r="E30" i="9"/>
  <c r="F30" i="9" s="1"/>
  <c r="AA52" i="62" s="1"/>
  <c r="E28" i="9"/>
  <c r="F28" i="9" s="1"/>
  <c r="Y52" i="62" s="1"/>
  <c r="E26" i="9"/>
  <c r="F26" i="9" s="1"/>
  <c r="W52" i="62" s="1"/>
  <c r="E24" i="9"/>
  <c r="F24" i="9" s="1"/>
  <c r="U52" i="62" s="1"/>
  <c r="E22" i="9"/>
  <c r="F22" i="9" s="1"/>
  <c r="S52" i="62" s="1"/>
  <c r="E20" i="9"/>
  <c r="F20" i="9" s="1"/>
  <c r="Q52" i="62" s="1"/>
  <c r="E18" i="9"/>
  <c r="F18" i="9" s="1"/>
  <c r="O52" i="62" s="1"/>
  <c r="E16" i="9"/>
  <c r="F16" i="9" s="1"/>
  <c r="M52" i="62" s="1"/>
  <c r="E14" i="9"/>
  <c r="F14" i="9" s="1"/>
  <c r="K52" i="62" s="1"/>
  <c r="E12" i="9"/>
  <c r="F12" i="9" s="1"/>
  <c r="I52" i="62" s="1"/>
  <c r="E10" i="9"/>
  <c r="F10" i="9" s="1"/>
  <c r="G52" i="62" s="1"/>
  <c r="E8" i="9"/>
  <c r="F8" i="9" s="1"/>
  <c r="E52" i="62" s="1"/>
  <c r="E6" i="9"/>
  <c r="F6" i="9" s="1"/>
  <c r="C52" i="62" s="1"/>
  <c r="F105" i="9"/>
  <c r="E31" i="9"/>
  <c r="F31" i="9" s="1"/>
  <c r="AB52" i="62" s="1"/>
  <c r="E29" i="9"/>
  <c r="F29" i="9" s="1"/>
  <c r="Z52" i="62" s="1"/>
  <c r="E27" i="9"/>
  <c r="F27" i="9" s="1"/>
  <c r="X52" i="62" s="1"/>
  <c r="E25" i="9"/>
  <c r="F25" i="9" s="1"/>
  <c r="V52" i="62" s="1"/>
  <c r="E23" i="9"/>
  <c r="F23" i="9" s="1"/>
  <c r="T52" i="62" s="1"/>
  <c r="E21" i="9"/>
  <c r="F21" i="9" s="1"/>
  <c r="R52" i="62" s="1"/>
  <c r="E19" i="9"/>
  <c r="F19" i="9" s="1"/>
  <c r="P52" i="62" s="1"/>
  <c r="E17" i="9"/>
  <c r="F17" i="9" s="1"/>
  <c r="N52" i="62" s="1"/>
  <c r="E15" i="9"/>
  <c r="F15" i="9" s="1"/>
  <c r="L52" i="62" s="1"/>
  <c r="E13" i="9"/>
  <c r="F13" i="9" s="1"/>
  <c r="J52" i="62" s="1"/>
  <c r="E11" i="9"/>
  <c r="F11" i="9" s="1"/>
  <c r="H52" i="62" s="1"/>
  <c r="E9" i="9"/>
  <c r="F9" i="9" s="1"/>
  <c r="F52" i="62" s="1"/>
  <c r="E7" i="9"/>
  <c r="F7" i="9" s="1"/>
  <c r="D52" i="62" s="1"/>
  <c r="E5" i="9"/>
  <c r="F105" i="14"/>
  <c r="E31" i="14"/>
  <c r="F31" i="14" s="1"/>
  <c r="AB47" i="62" s="1"/>
  <c r="E29" i="14"/>
  <c r="F29" i="14" s="1"/>
  <c r="Z47" i="62" s="1"/>
  <c r="E27" i="14"/>
  <c r="F27" i="14" s="1"/>
  <c r="X47" i="62" s="1"/>
  <c r="E25" i="14"/>
  <c r="F25" i="14" s="1"/>
  <c r="V47" i="62" s="1"/>
  <c r="E23" i="14"/>
  <c r="F23" i="14" s="1"/>
  <c r="T47" i="62" s="1"/>
  <c r="E21" i="14"/>
  <c r="F21" i="14" s="1"/>
  <c r="R47" i="62" s="1"/>
  <c r="E19" i="14"/>
  <c r="F19" i="14" s="1"/>
  <c r="P47" i="62" s="1"/>
  <c r="E17" i="14"/>
  <c r="F17" i="14" s="1"/>
  <c r="N47" i="62" s="1"/>
  <c r="E15" i="14"/>
  <c r="F15" i="14" s="1"/>
  <c r="L47" i="62" s="1"/>
  <c r="E13" i="14"/>
  <c r="F13" i="14" s="1"/>
  <c r="J47" i="62" s="1"/>
  <c r="E11" i="14"/>
  <c r="F11" i="14" s="1"/>
  <c r="H47" i="62" s="1"/>
  <c r="E9" i="14"/>
  <c r="F9" i="14" s="1"/>
  <c r="F47" i="62" s="1"/>
  <c r="E7" i="14"/>
  <c r="F7" i="14" s="1"/>
  <c r="D47" i="62" s="1"/>
  <c r="E5" i="14"/>
  <c r="E32" i="14"/>
  <c r="F32" i="14" s="1"/>
  <c r="AC47" i="62" s="1"/>
  <c r="E30" i="14"/>
  <c r="F30" i="14" s="1"/>
  <c r="AA47" i="62" s="1"/>
  <c r="E28" i="14"/>
  <c r="F28" i="14" s="1"/>
  <c r="Y47" i="62" s="1"/>
  <c r="E26" i="14"/>
  <c r="F26" i="14" s="1"/>
  <c r="W47" i="62" s="1"/>
  <c r="E24" i="14"/>
  <c r="F24" i="14" s="1"/>
  <c r="U47" i="62" s="1"/>
  <c r="E22" i="14"/>
  <c r="F22" i="14" s="1"/>
  <c r="S47" i="62" s="1"/>
  <c r="E20" i="14"/>
  <c r="F20" i="14" s="1"/>
  <c r="Q47" i="62" s="1"/>
  <c r="E18" i="14"/>
  <c r="F18" i="14" s="1"/>
  <c r="O47" i="62" s="1"/>
  <c r="E16" i="14"/>
  <c r="F16" i="14" s="1"/>
  <c r="M47" i="62" s="1"/>
  <c r="E14" i="14"/>
  <c r="F14" i="14" s="1"/>
  <c r="K47" i="62" s="1"/>
  <c r="E12" i="14"/>
  <c r="F12" i="14" s="1"/>
  <c r="I47" i="62" s="1"/>
  <c r="E10" i="14"/>
  <c r="F10" i="14" s="1"/>
  <c r="G47" i="62" s="1"/>
  <c r="E8" i="14"/>
  <c r="F8" i="14" s="1"/>
  <c r="E47" i="62" s="1"/>
  <c r="E6" i="14"/>
  <c r="F6" i="14" s="1"/>
  <c r="C47" i="62" s="1"/>
  <c r="F105" i="25"/>
  <c r="E31" i="25"/>
  <c r="F31" i="25" s="1"/>
  <c r="AB36" i="62" s="1"/>
  <c r="E29" i="25"/>
  <c r="F29" i="25" s="1"/>
  <c r="Z36" i="62" s="1"/>
  <c r="E27" i="25"/>
  <c r="F27" i="25" s="1"/>
  <c r="X36" i="62" s="1"/>
  <c r="E25" i="25"/>
  <c r="F25" i="25" s="1"/>
  <c r="V36" i="62" s="1"/>
  <c r="E23" i="25"/>
  <c r="F23" i="25" s="1"/>
  <c r="T36" i="62" s="1"/>
  <c r="E21" i="25"/>
  <c r="F21" i="25" s="1"/>
  <c r="R36" i="62" s="1"/>
  <c r="E19" i="25"/>
  <c r="F19" i="25" s="1"/>
  <c r="P36" i="62" s="1"/>
  <c r="E17" i="25"/>
  <c r="F17" i="25" s="1"/>
  <c r="N36" i="62" s="1"/>
  <c r="E15" i="25"/>
  <c r="F15" i="25" s="1"/>
  <c r="L36" i="62" s="1"/>
  <c r="E13" i="25"/>
  <c r="F13" i="25" s="1"/>
  <c r="J36" i="62" s="1"/>
  <c r="E11" i="25"/>
  <c r="F11" i="25" s="1"/>
  <c r="H36" i="62" s="1"/>
  <c r="E9" i="25"/>
  <c r="F9" i="25" s="1"/>
  <c r="F36" i="62" s="1"/>
  <c r="E7" i="25"/>
  <c r="F7" i="25" s="1"/>
  <c r="D36" i="62" s="1"/>
  <c r="E5" i="25"/>
  <c r="E32" i="25"/>
  <c r="F32" i="25" s="1"/>
  <c r="AC36" i="62" s="1"/>
  <c r="E30" i="25"/>
  <c r="F30" i="25" s="1"/>
  <c r="AA36" i="62" s="1"/>
  <c r="E28" i="25"/>
  <c r="F28" i="25" s="1"/>
  <c r="Y36" i="62" s="1"/>
  <c r="E26" i="25"/>
  <c r="F26" i="25" s="1"/>
  <c r="W36" i="62" s="1"/>
  <c r="E24" i="25"/>
  <c r="F24" i="25" s="1"/>
  <c r="U36" i="62" s="1"/>
  <c r="E22" i="25"/>
  <c r="F22" i="25" s="1"/>
  <c r="S36" i="62" s="1"/>
  <c r="E20" i="25"/>
  <c r="F20" i="25" s="1"/>
  <c r="Q36" i="62" s="1"/>
  <c r="E18" i="25"/>
  <c r="F18" i="25" s="1"/>
  <c r="O36" i="62" s="1"/>
  <c r="E16" i="25"/>
  <c r="F16" i="25" s="1"/>
  <c r="M36" i="62" s="1"/>
  <c r="E14" i="25"/>
  <c r="F14" i="25" s="1"/>
  <c r="K36" i="62" s="1"/>
  <c r="E12" i="25"/>
  <c r="F12" i="25" s="1"/>
  <c r="I36" i="62" s="1"/>
  <c r="E10" i="25"/>
  <c r="F10" i="25" s="1"/>
  <c r="G36" i="62" s="1"/>
  <c r="E8" i="25"/>
  <c r="F8" i="25" s="1"/>
  <c r="E36" i="62" s="1"/>
  <c r="E6" i="25"/>
  <c r="F6" i="25" s="1"/>
  <c r="C36" i="62" s="1"/>
  <c r="F105" i="29"/>
  <c r="E31" i="29"/>
  <c r="F31" i="29" s="1"/>
  <c r="AB32" i="62" s="1"/>
  <c r="E29" i="29"/>
  <c r="F29" i="29" s="1"/>
  <c r="Z32" i="62" s="1"/>
  <c r="E27" i="29"/>
  <c r="F27" i="29" s="1"/>
  <c r="X32" i="62" s="1"/>
  <c r="E25" i="29"/>
  <c r="F25" i="29" s="1"/>
  <c r="V32" i="62" s="1"/>
  <c r="E23" i="29"/>
  <c r="F23" i="29" s="1"/>
  <c r="T32" i="62" s="1"/>
  <c r="E21" i="29"/>
  <c r="F21" i="29" s="1"/>
  <c r="R32" i="62" s="1"/>
  <c r="E19" i="29"/>
  <c r="F19" i="29" s="1"/>
  <c r="P32" i="62" s="1"/>
  <c r="E17" i="29"/>
  <c r="F17" i="29" s="1"/>
  <c r="N32" i="62" s="1"/>
  <c r="E32" i="29"/>
  <c r="F32" i="29" s="1"/>
  <c r="AC32" i="62" s="1"/>
  <c r="E30" i="29"/>
  <c r="F30" i="29" s="1"/>
  <c r="AA32" i="62" s="1"/>
  <c r="E28" i="29"/>
  <c r="F28" i="29" s="1"/>
  <c r="Y32" i="62" s="1"/>
  <c r="E26" i="29"/>
  <c r="F26" i="29" s="1"/>
  <c r="W32" i="62" s="1"/>
  <c r="E24" i="29"/>
  <c r="F24" i="29" s="1"/>
  <c r="U32" i="62" s="1"/>
  <c r="E22" i="29"/>
  <c r="F22" i="29" s="1"/>
  <c r="S32" i="62" s="1"/>
  <c r="E20" i="29"/>
  <c r="F20" i="29" s="1"/>
  <c r="Q32" i="62" s="1"/>
  <c r="E18" i="29"/>
  <c r="F18" i="29" s="1"/>
  <c r="O32" i="62" s="1"/>
  <c r="E16" i="29"/>
  <c r="F16" i="29" s="1"/>
  <c r="M32" i="62" s="1"/>
  <c r="E14" i="29"/>
  <c r="F14" i="29" s="1"/>
  <c r="K32" i="62" s="1"/>
  <c r="E12" i="29"/>
  <c r="F12" i="29" s="1"/>
  <c r="I32" i="62" s="1"/>
  <c r="E10" i="29"/>
  <c r="F10" i="29" s="1"/>
  <c r="G32" i="62" s="1"/>
  <c r="E8" i="29"/>
  <c r="F8" i="29" s="1"/>
  <c r="E32" i="62" s="1"/>
  <c r="E6" i="29"/>
  <c r="F6" i="29" s="1"/>
  <c r="C32" i="62" s="1"/>
  <c r="E13" i="29"/>
  <c r="F13" i="29" s="1"/>
  <c r="J32" i="62" s="1"/>
  <c r="E9" i="29"/>
  <c r="F9" i="29" s="1"/>
  <c r="F32" i="62" s="1"/>
  <c r="E5" i="29"/>
  <c r="E15" i="29"/>
  <c r="F15" i="29" s="1"/>
  <c r="L32" i="62" s="1"/>
  <c r="E11" i="29"/>
  <c r="F11" i="29" s="1"/>
  <c r="H32" i="62" s="1"/>
  <c r="E7" i="29"/>
  <c r="F7" i="29" s="1"/>
  <c r="D32" i="62" s="1"/>
  <c r="E32" i="53"/>
  <c r="F32" i="53" s="1"/>
  <c r="AC8" i="62" s="1"/>
  <c r="E30" i="53"/>
  <c r="F30" i="53" s="1"/>
  <c r="AA8" i="62" s="1"/>
  <c r="E28" i="53"/>
  <c r="F28" i="53" s="1"/>
  <c r="Y8" i="62" s="1"/>
  <c r="E26" i="53"/>
  <c r="F26" i="53" s="1"/>
  <c r="W8" i="62" s="1"/>
  <c r="E24" i="53"/>
  <c r="F24" i="53" s="1"/>
  <c r="U8" i="62" s="1"/>
  <c r="E22" i="53"/>
  <c r="F22" i="53" s="1"/>
  <c r="S8" i="62" s="1"/>
  <c r="E20" i="53"/>
  <c r="F20" i="53" s="1"/>
  <c r="Q8" i="62" s="1"/>
  <c r="E18" i="53"/>
  <c r="F18" i="53" s="1"/>
  <c r="O8" i="62" s="1"/>
  <c r="E16" i="53"/>
  <c r="F16" i="53" s="1"/>
  <c r="M8" i="62" s="1"/>
  <c r="E14" i="53"/>
  <c r="F14" i="53" s="1"/>
  <c r="K8" i="62" s="1"/>
  <c r="E12" i="53"/>
  <c r="F12" i="53" s="1"/>
  <c r="I8" i="62" s="1"/>
  <c r="E10" i="53"/>
  <c r="F10" i="53" s="1"/>
  <c r="G8" i="62" s="1"/>
  <c r="E8" i="53"/>
  <c r="F8" i="53" s="1"/>
  <c r="E8" i="62" s="1"/>
  <c r="E6" i="53"/>
  <c r="F6" i="53" s="1"/>
  <c r="C8" i="62" s="1"/>
  <c r="F105" i="53"/>
  <c r="E31" i="53"/>
  <c r="F31" i="53" s="1"/>
  <c r="AB8" i="62" s="1"/>
  <c r="E29" i="53"/>
  <c r="F29" i="53" s="1"/>
  <c r="Z8" i="62" s="1"/>
  <c r="E27" i="53"/>
  <c r="F27" i="53" s="1"/>
  <c r="X8" i="62" s="1"/>
  <c r="E25" i="53"/>
  <c r="F25" i="53" s="1"/>
  <c r="V8" i="62" s="1"/>
  <c r="E23" i="53"/>
  <c r="F23" i="53" s="1"/>
  <c r="T8" i="62" s="1"/>
  <c r="E21" i="53"/>
  <c r="F21" i="53" s="1"/>
  <c r="R8" i="62" s="1"/>
  <c r="E19" i="53"/>
  <c r="F19" i="53" s="1"/>
  <c r="P8" i="62" s="1"/>
  <c r="E17" i="53"/>
  <c r="F17" i="53" s="1"/>
  <c r="N8" i="62" s="1"/>
  <c r="E15" i="53"/>
  <c r="F15" i="53" s="1"/>
  <c r="L8" i="62" s="1"/>
  <c r="E13" i="53"/>
  <c r="F13" i="53" s="1"/>
  <c r="J8" i="62" s="1"/>
  <c r="E11" i="53"/>
  <c r="F11" i="53" s="1"/>
  <c r="H8" i="62" s="1"/>
  <c r="E9" i="53"/>
  <c r="F9" i="53" s="1"/>
  <c r="F8" i="62" s="1"/>
  <c r="E7" i="53"/>
  <c r="F7" i="53" s="1"/>
  <c r="D8" i="62" s="1"/>
  <c r="E5" i="53"/>
  <c r="E32" i="57"/>
  <c r="F32" i="57" s="1"/>
  <c r="AC4" i="62" s="1"/>
  <c r="E30" i="57"/>
  <c r="F30" i="57" s="1"/>
  <c r="AA4" i="62" s="1"/>
  <c r="E28" i="57"/>
  <c r="F28" i="57" s="1"/>
  <c r="Y4" i="62" s="1"/>
  <c r="E26" i="57"/>
  <c r="F26" i="57" s="1"/>
  <c r="W4" i="62" s="1"/>
  <c r="E24" i="57"/>
  <c r="F24" i="57" s="1"/>
  <c r="U4" i="62" s="1"/>
  <c r="E22" i="57"/>
  <c r="F22" i="57" s="1"/>
  <c r="S4" i="62" s="1"/>
  <c r="E20" i="57"/>
  <c r="F20" i="57" s="1"/>
  <c r="Q4" i="62" s="1"/>
  <c r="E18" i="57"/>
  <c r="F18" i="57" s="1"/>
  <c r="O4" i="62" s="1"/>
  <c r="E16" i="57"/>
  <c r="F16" i="57" s="1"/>
  <c r="M4" i="62" s="1"/>
  <c r="E14" i="57"/>
  <c r="F14" i="57" s="1"/>
  <c r="K4" i="62" s="1"/>
  <c r="E12" i="57"/>
  <c r="F12" i="57" s="1"/>
  <c r="I4" i="62" s="1"/>
  <c r="E10" i="57"/>
  <c r="F10" i="57" s="1"/>
  <c r="G4" i="62" s="1"/>
  <c r="E8" i="57"/>
  <c r="F8" i="57" s="1"/>
  <c r="E4" i="62" s="1"/>
  <c r="E6" i="57"/>
  <c r="F6" i="57" s="1"/>
  <c r="C4" i="62" s="1"/>
  <c r="F105" i="57"/>
  <c r="E31" i="57"/>
  <c r="F31" i="57" s="1"/>
  <c r="AB4" i="62" s="1"/>
  <c r="E29" i="57"/>
  <c r="F29" i="57" s="1"/>
  <c r="Z4" i="62" s="1"/>
  <c r="E27" i="57"/>
  <c r="F27" i="57" s="1"/>
  <c r="X4" i="62" s="1"/>
  <c r="E25" i="57"/>
  <c r="F25" i="57" s="1"/>
  <c r="V4" i="62" s="1"/>
  <c r="E23" i="57"/>
  <c r="F23" i="57" s="1"/>
  <c r="T4" i="62" s="1"/>
  <c r="E21" i="57"/>
  <c r="F21" i="57" s="1"/>
  <c r="R4" i="62" s="1"/>
  <c r="E19" i="57"/>
  <c r="F19" i="57" s="1"/>
  <c r="P4" i="62" s="1"/>
  <c r="E17" i="57"/>
  <c r="F17" i="57" s="1"/>
  <c r="N4" i="62" s="1"/>
  <c r="E15" i="57"/>
  <c r="F15" i="57" s="1"/>
  <c r="L4" i="62" s="1"/>
  <c r="E13" i="57"/>
  <c r="F13" i="57" s="1"/>
  <c r="J4" i="62" s="1"/>
  <c r="E11" i="57"/>
  <c r="F11" i="57" s="1"/>
  <c r="H4" i="62" s="1"/>
  <c r="E9" i="57"/>
  <c r="F9" i="57" s="1"/>
  <c r="F4" i="62" s="1"/>
  <c r="E7" i="57"/>
  <c r="F7" i="57" s="1"/>
  <c r="D4" i="62" s="1"/>
  <c r="E5" i="57"/>
  <c r="E32" i="3"/>
  <c r="F32" i="3" s="1"/>
  <c r="AC58" i="62" s="1"/>
  <c r="E30" i="3"/>
  <c r="F30" i="3" s="1"/>
  <c r="AA58" i="62" s="1"/>
  <c r="E28" i="3"/>
  <c r="F28" i="3" s="1"/>
  <c r="Y58" i="62" s="1"/>
  <c r="E26" i="3"/>
  <c r="F26" i="3" s="1"/>
  <c r="W58" i="62" s="1"/>
  <c r="E24" i="3"/>
  <c r="F24" i="3" s="1"/>
  <c r="U58" i="62" s="1"/>
  <c r="E22" i="3"/>
  <c r="F22" i="3" s="1"/>
  <c r="S58" i="62" s="1"/>
  <c r="E20" i="3"/>
  <c r="F20" i="3" s="1"/>
  <c r="Q58" i="62" s="1"/>
  <c r="E18" i="3"/>
  <c r="F18" i="3" s="1"/>
  <c r="O58" i="62" s="1"/>
  <c r="E16" i="3"/>
  <c r="F16" i="3" s="1"/>
  <c r="M58" i="62" s="1"/>
  <c r="E14" i="3"/>
  <c r="F14" i="3" s="1"/>
  <c r="K58" i="62" s="1"/>
  <c r="E12" i="3"/>
  <c r="F12" i="3" s="1"/>
  <c r="I58" i="62" s="1"/>
  <c r="E10" i="3"/>
  <c r="F10" i="3" s="1"/>
  <c r="G58" i="62" s="1"/>
  <c r="E8" i="3"/>
  <c r="F8" i="3" s="1"/>
  <c r="E58" i="62" s="1"/>
  <c r="E6" i="3"/>
  <c r="F6" i="3" s="1"/>
  <c r="C58" i="62" s="1"/>
  <c r="F105" i="3"/>
  <c r="E31" i="3"/>
  <c r="F31" i="3" s="1"/>
  <c r="AB58" i="62" s="1"/>
  <c r="E29" i="3"/>
  <c r="F29" i="3" s="1"/>
  <c r="Z58" i="62" s="1"/>
  <c r="E27" i="3"/>
  <c r="F27" i="3" s="1"/>
  <c r="X58" i="62" s="1"/>
  <c r="E25" i="3"/>
  <c r="F25" i="3" s="1"/>
  <c r="V58" i="62" s="1"/>
  <c r="E23" i="3"/>
  <c r="F23" i="3" s="1"/>
  <c r="T58" i="62" s="1"/>
  <c r="E21" i="3"/>
  <c r="F21" i="3" s="1"/>
  <c r="R58" i="62" s="1"/>
  <c r="E19" i="3"/>
  <c r="F19" i="3" s="1"/>
  <c r="P58" i="62" s="1"/>
  <c r="E17" i="3"/>
  <c r="F17" i="3" s="1"/>
  <c r="N58" i="62" s="1"/>
  <c r="E15" i="3"/>
  <c r="F15" i="3" s="1"/>
  <c r="L58" i="62" s="1"/>
  <c r="E13" i="3"/>
  <c r="F13" i="3" s="1"/>
  <c r="J58" i="62" s="1"/>
  <c r="E11" i="3"/>
  <c r="F11" i="3" s="1"/>
  <c r="H58" i="62" s="1"/>
  <c r="E9" i="3"/>
  <c r="F9" i="3" s="1"/>
  <c r="F58" i="62" s="1"/>
  <c r="E7" i="3"/>
  <c r="F7" i="3" s="1"/>
  <c r="D58" i="62" s="1"/>
  <c r="E5" i="3"/>
  <c r="E32" i="12"/>
  <c r="F32" i="12" s="1"/>
  <c r="AC49" i="62" s="1"/>
  <c r="E30" i="12"/>
  <c r="F30" i="12" s="1"/>
  <c r="AA49" i="62" s="1"/>
  <c r="E28" i="12"/>
  <c r="F28" i="12" s="1"/>
  <c r="Y49" i="62" s="1"/>
  <c r="E26" i="12"/>
  <c r="F26" i="12" s="1"/>
  <c r="W49" i="62" s="1"/>
  <c r="E24" i="12"/>
  <c r="F24" i="12" s="1"/>
  <c r="U49" i="62" s="1"/>
  <c r="E22" i="12"/>
  <c r="F22" i="12" s="1"/>
  <c r="S49" i="62" s="1"/>
  <c r="E20" i="12"/>
  <c r="F20" i="12" s="1"/>
  <c r="Q49" i="62" s="1"/>
  <c r="E18" i="12"/>
  <c r="F18" i="12" s="1"/>
  <c r="O49" i="62" s="1"/>
  <c r="E16" i="12"/>
  <c r="F16" i="12" s="1"/>
  <c r="M49" i="62" s="1"/>
  <c r="E14" i="12"/>
  <c r="F14" i="12" s="1"/>
  <c r="K49" i="62" s="1"/>
  <c r="E12" i="12"/>
  <c r="F12" i="12" s="1"/>
  <c r="I49" i="62" s="1"/>
  <c r="E10" i="12"/>
  <c r="F10" i="12" s="1"/>
  <c r="G49" i="62" s="1"/>
  <c r="E8" i="12"/>
  <c r="F8" i="12" s="1"/>
  <c r="E49" i="62" s="1"/>
  <c r="E6" i="12"/>
  <c r="F6" i="12" s="1"/>
  <c r="C49" i="62" s="1"/>
  <c r="F105" i="12"/>
  <c r="E31" i="12"/>
  <c r="F31" i="12" s="1"/>
  <c r="AB49" i="62" s="1"/>
  <c r="E29" i="12"/>
  <c r="F29" i="12" s="1"/>
  <c r="Z49" i="62" s="1"/>
  <c r="E27" i="12"/>
  <c r="F27" i="12" s="1"/>
  <c r="X49" i="62" s="1"/>
  <c r="E25" i="12"/>
  <c r="F25" i="12" s="1"/>
  <c r="V49" i="62" s="1"/>
  <c r="E23" i="12"/>
  <c r="F23" i="12" s="1"/>
  <c r="T49" i="62" s="1"/>
  <c r="E21" i="12"/>
  <c r="F21" i="12" s="1"/>
  <c r="R49" i="62" s="1"/>
  <c r="E19" i="12"/>
  <c r="F19" i="12" s="1"/>
  <c r="P49" i="62" s="1"/>
  <c r="E17" i="12"/>
  <c r="F17" i="12" s="1"/>
  <c r="N49" i="62" s="1"/>
  <c r="E15" i="12"/>
  <c r="F15" i="12" s="1"/>
  <c r="L49" i="62" s="1"/>
  <c r="E13" i="12"/>
  <c r="F13" i="12" s="1"/>
  <c r="J49" i="62" s="1"/>
  <c r="E11" i="12"/>
  <c r="F11" i="12" s="1"/>
  <c r="H49" i="62" s="1"/>
  <c r="E9" i="12"/>
  <c r="F9" i="12" s="1"/>
  <c r="F49" i="62" s="1"/>
  <c r="E7" i="12"/>
  <c r="F7" i="12" s="1"/>
  <c r="D49" i="62" s="1"/>
  <c r="E5" i="12"/>
  <c r="E32" i="15"/>
  <c r="F32" i="15" s="1"/>
  <c r="AC46" i="62" s="1"/>
  <c r="E30" i="15"/>
  <c r="F30" i="15" s="1"/>
  <c r="AA46" i="62" s="1"/>
  <c r="E28" i="15"/>
  <c r="F28" i="15" s="1"/>
  <c r="Y46" i="62" s="1"/>
  <c r="E26" i="15"/>
  <c r="F26" i="15" s="1"/>
  <c r="W46" i="62" s="1"/>
  <c r="E24" i="15"/>
  <c r="F24" i="15" s="1"/>
  <c r="U46" i="62" s="1"/>
  <c r="E22" i="15"/>
  <c r="F22" i="15" s="1"/>
  <c r="S46" i="62" s="1"/>
  <c r="E20" i="15"/>
  <c r="F20" i="15" s="1"/>
  <c r="Q46" i="62" s="1"/>
  <c r="E18" i="15"/>
  <c r="F18" i="15" s="1"/>
  <c r="O46" i="62" s="1"/>
  <c r="E16" i="15"/>
  <c r="F16" i="15" s="1"/>
  <c r="M46" i="62" s="1"/>
  <c r="E14" i="15"/>
  <c r="F14" i="15" s="1"/>
  <c r="K46" i="62" s="1"/>
  <c r="E12" i="15"/>
  <c r="F12" i="15" s="1"/>
  <c r="I46" i="62" s="1"/>
  <c r="E10" i="15"/>
  <c r="F10" i="15" s="1"/>
  <c r="G46" i="62" s="1"/>
  <c r="E8" i="15"/>
  <c r="F8" i="15" s="1"/>
  <c r="E46" i="62" s="1"/>
  <c r="E6" i="15"/>
  <c r="F6" i="15" s="1"/>
  <c r="C46" i="62" s="1"/>
  <c r="F105" i="15"/>
  <c r="E31" i="15"/>
  <c r="F31" i="15" s="1"/>
  <c r="AB46" i="62" s="1"/>
  <c r="E29" i="15"/>
  <c r="F29" i="15" s="1"/>
  <c r="Z46" i="62" s="1"/>
  <c r="E27" i="15"/>
  <c r="F27" i="15" s="1"/>
  <c r="X46" i="62" s="1"/>
  <c r="E25" i="15"/>
  <c r="F25" i="15" s="1"/>
  <c r="V46" i="62" s="1"/>
  <c r="E23" i="15"/>
  <c r="F23" i="15" s="1"/>
  <c r="T46" i="62" s="1"/>
  <c r="E21" i="15"/>
  <c r="F21" i="15" s="1"/>
  <c r="R46" i="62" s="1"/>
  <c r="E19" i="15"/>
  <c r="F19" i="15" s="1"/>
  <c r="P46" i="62" s="1"/>
  <c r="E17" i="15"/>
  <c r="F17" i="15" s="1"/>
  <c r="N46" i="62" s="1"/>
  <c r="E15" i="15"/>
  <c r="F15" i="15" s="1"/>
  <c r="L46" i="62" s="1"/>
  <c r="E13" i="15"/>
  <c r="F13" i="15" s="1"/>
  <c r="J46" i="62" s="1"/>
  <c r="E11" i="15"/>
  <c r="F11" i="15" s="1"/>
  <c r="H46" i="62" s="1"/>
  <c r="E9" i="15"/>
  <c r="F9" i="15" s="1"/>
  <c r="F46" i="62" s="1"/>
  <c r="E7" i="15"/>
  <c r="F7" i="15" s="1"/>
  <c r="D46" i="62" s="1"/>
  <c r="E5" i="15"/>
  <c r="E32" i="17"/>
  <c r="F32" i="17" s="1"/>
  <c r="AC44" i="62" s="1"/>
  <c r="E30" i="17"/>
  <c r="F30" i="17" s="1"/>
  <c r="AA44" i="62" s="1"/>
  <c r="E28" i="17"/>
  <c r="F28" i="17" s="1"/>
  <c r="Y44" i="62" s="1"/>
  <c r="E26" i="17"/>
  <c r="F26" i="17" s="1"/>
  <c r="W44" i="62" s="1"/>
  <c r="E24" i="17"/>
  <c r="F24" i="17" s="1"/>
  <c r="U44" i="62" s="1"/>
  <c r="E22" i="17"/>
  <c r="F22" i="17" s="1"/>
  <c r="S44" i="62" s="1"/>
  <c r="E20" i="17"/>
  <c r="F20" i="17" s="1"/>
  <c r="Q44" i="62" s="1"/>
  <c r="E18" i="17"/>
  <c r="F18" i="17" s="1"/>
  <c r="O44" i="62" s="1"/>
  <c r="E16" i="17"/>
  <c r="F16" i="17" s="1"/>
  <c r="M44" i="62" s="1"/>
  <c r="E14" i="17"/>
  <c r="F14" i="17" s="1"/>
  <c r="K44" i="62" s="1"/>
  <c r="E12" i="17"/>
  <c r="F12" i="17" s="1"/>
  <c r="I44" i="62" s="1"/>
  <c r="E10" i="17"/>
  <c r="F10" i="17" s="1"/>
  <c r="G44" i="62" s="1"/>
  <c r="E8" i="17"/>
  <c r="F8" i="17" s="1"/>
  <c r="E44" i="62" s="1"/>
  <c r="E6" i="17"/>
  <c r="F6" i="17" s="1"/>
  <c r="C44" i="62" s="1"/>
  <c r="F105" i="17"/>
  <c r="E31" i="17"/>
  <c r="F31" i="17" s="1"/>
  <c r="AB44" i="62" s="1"/>
  <c r="E29" i="17"/>
  <c r="F29" i="17" s="1"/>
  <c r="Z44" i="62" s="1"/>
  <c r="E27" i="17"/>
  <c r="F27" i="17" s="1"/>
  <c r="X44" i="62" s="1"/>
  <c r="E25" i="17"/>
  <c r="F25" i="17" s="1"/>
  <c r="V44" i="62" s="1"/>
  <c r="E23" i="17"/>
  <c r="F23" i="17" s="1"/>
  <c r="T44" i="62" s="1"/>
  <c r="E21" i="17"/>
  <c r="F21" i="17" s="1"/>
  <c r="R44" i="62" s="1"/>
  <c r="E19" i="17"/>
  <c r="F19" i="17" s="1"/>
  <c r="P44" i="62" s="1"/>
  <c r="E17" i="17"/>
  <c r="F17" i="17" s="1"/>
  <c r="N44" i="62" s="1"/>
  <c r="E15" i="17"/>
  <c r="F15" i="17" s="1"/>
  <c r="L44" i="62" s="1"/>
  <c r="E13" i="17"/>
  <c r="F13" i="17" s="1"/>
  <c r="J44" i="62" s="1"/>
  <c r="E11" i="17"/>
  <c r="F11" i="17" s="1"/>
  <c r="H44" i="62" s="1"/>
  <c r="E9" i="17"/>
  <c r="F9" i="17" s="1"/>
  <c r="F44" i="62" s="1"/>
  <c r="E7" i="17"/>
  <c r="F7" i="17" s="1"/>
  <c r="D44" i="62" s="1"/>
  <c r="E5" i="17"/>
  <c r="F105" i="44"/>
  <c r="E31" i="44"/>
  <c r="F31" i="44" s="1"/>
  <c r="AB17" i="62" s="1"/>
  <c r="E29" i="44"/>
  <c r="F29" i="44" s="1"/>
  <c r="Z17" i="62" s="1"/>
  <c r="E27" i="44"/>
  <c r="F27" i="44" s="1"/>
  <c r="X17" i="62" s="1"/>
  <c r="E25" i="44"/>
  <c r="F25" i="44" s="1"/>
  <c r="V17" i="62" s="1"/>
  <c r="E23" i="44"/>
  <c r="F23" i="44" s="1"/>
  <c r="T17" i="62" s="1"/>
  <c r="E21" i="44"/>
  <c r="F21" i="44" s="1"/>
  <c r="R17" i="62" s="1"/>
  <c r="E19" i="44"/>
  <c r="F19" i="44" s="1"/>
  <c r="P17" i="62" s="1"/>
  <c r="E17" i="44"/>
  <c r="F17" i="44" s="1"/>
  <c r="N17" i="62" s="1"/>
  <c r="E15" i="44"/>
  <c r="F15" i="44" s="1"/>
  <c r="L17" i="62" s="1"/>
  <c r="E13" i="44"/>
  <c r="F13" i="44" s="1"/>
  <c r="J17" i="62" s="1"/>
  <c r="E11" i="44"/>
  <c r="F11" i="44" s="1"/>
  <c r="H17" i="62" s="1"/>
  <c r="E9" i="44"/>
  <c r="F9" i="44" s="1"/>
  <c r="F17" i="62" s="1"/>
  <c r="E7" i="44"/>
  <c r="F7" i="44" s="1"/>
  <c r="D17" i="62" s="1"/>
  <c r="E5" i="44"/>
  <c r="E32" i="44"/>
  <c r="F32" i="44" s="1"/>
  <c r="AC17" i="62" s="1"/>
  <c r="E30" i="44"/>
  <c r="F30" i="44" s="1"/>
  <c r="AA17" i="62" s="1"/>
  <c r="E28" i="44"/>
  <c r="F28" i="44" s="1"/>
  <c r="Y17" i="62" s="1"/>
  <c r="E26" i="44"/>
  <c r="F26" i="44" s="1"/>
  <c r="W17" i="62" s="1"/>
  <c r="E24" i="44"/>
  <c r="F24" i="44" s="1"/>
  <c r="U17" i="62" s="1"/>
  <c r="E22" i="44"/>
  <c r="F22" i="44" s="1"/>
  <c r="S17" i="62" s="1"/>
  <c r="E20" i="44"/>
  <c r="F20" i="44" s="1"/>
  <c r="Q17" i="62" s="1"/>
  <c r="E18" i="44"/>
  <c r="F18" i="44" s="1"/>
  <c r="O17" i="62" s="1"/>
  <c r="E16" i="44"/>
  <c r="F16" i="44" s="1"/>
  <c r="M17" i="62" s="1"/>
  <c r="E14" i="44"/>
  <c r="F14" i="44" s="1"/>
  <c r="K17" i="62" s="1"/>
  <c r="E12" i="44"/>
  <c r="F12" i="44" s="1"/>
  <c r="I17" i="62" s="1"/>
  <c r="E10" i="44"/>
  <c r="F10" i="44" s="1"/>
  <c r="G17" i="62" s="1"/>
  <c r="E8" i="44"/>
  <c r="F8" i="44" s="1"/>
  <c r="E17" i="62" s="1"/>
  <c r="E6" i="44"/>
  <c r="F6" i="44" s="1"/>
  <c r="C17" i="62" s="1"/>
  <c r="F109" i="60" l="1"/>
  <c r="F118" i="60" s="1"/>
  <c r="F104" i="36"/>
  <c r="F104" i="60" s="1"/>
  <c r="F100" i="36"/>
  <c r="F100" i="60" s="1"/>
  <c r="F99" i="36"/>
  <c r="F99" i="60" s="1"/>
  <c r="F98" i="36"/>
  <c r="F98" i="60" s="1"/>
  <c r="F103" i="36"/>
  <c r="F102" i="36"/>
  <c r="F100" i="32"/>
  <c r="F103" i="32"/>
  <c r="F99" i="32"/>
  <c r="F104" i="32"/>
  <c r="F98" i="32"/>
  <c r="F102" i="32"/>
  <c r="T24" i="63"/>
  <c r="S24" i="63"/>
  <c r="F104" i="31"/>
  <c r="F99" i="31"/>
  <c r="F100" i="31"/>
  <c r="F103" i="31"/>
  <c r="F98" i="31"/>
  <c r="F102" i="31"/>
  <c r="S21" i="63"/>
  <c r="E29" i="60"/>
  <c r="I61" i="63"/>
  <c r="K61" i="63"/>
  <c r="F64" i="63"/>
  <c r="V48" i="63"/>
  <c r="U48" i="63"/>
  <c r="H48" i="63"/>
  <c r="G48" i="63"/>
  <c r="J48" i="63"/>
  <c r="I48" i="63"/>
  <c r="L48" i="63"/>
  <c r="K48" i="63"/>
  <c r="T48" i="63"/>
  <c r="S48" i="63"/>
  <c r="H7" i="63"/>
  <c r="G7" i="63"/>
  <c r="T7" i="63"/>
  <c r="S7" i="63"/>
  <c r="J7" i="63"/>
  <c r="I7" i="63"/>
  <c r="V7" i="63"/>
  <c r="U7" i="63"/>
  <c r="L7" i="63"/>
  <c r="K7" i="63"/>
  <c r="E30" i="36"/>
  <c r="F30" i="36" s="1"/>
  <c r="AA25" i="62" s="1"/>
  <c r="E26" i="36"/>
  <c r="F26" i="36" s="1"/>
  <c r="W25" i="62" s="1"/>
  <c r="E22" i="36"/>
  <c r="F22" i="36" s="1"/>
  <c r="S25" i="62" s="1"/>
  <c r="E18" i="36"/>
  <c r="F18" i="36" s="1"/>
  <c r="O25" i="62" s="1"/>
  <c r="E14" i="36"/>
  <c r="F14" i="36" s="1"/>
  <c r="K25" i="62" s="1"/>
  <c r="E10" i="36"/>
  <c r="F10" i="36" s="1"/>
  <c r="G25" i="62" s="1"/>
  <c r="E6" i="36"/>
  <c r="F6" i="36" s="1"/>
  <c r="C25" i="62" s="1"/>
  <c r="E31" i="36"/>
  <c r="F31" i="36" s="1"/>
  <c r="AB25" i="62" s="1"/>
  <c r="E27" i="36"/>
  <c r="F27" i="36" s="1"/>
  <c r="X25" i="62" s="1"/>
  <c r="E23" i="36"/>
  <c r="F23" i="36" s="1"/>
  <c r="T25" i="62" s="1"/>
  <c r="E19" i="36"/>
  <c r="F19" i="36" s="1"/>
  <c r="P25" i="62" s="1"/>
  <c r="E15" i="36"/>
  <c r="F15" i="36" s="1"/>
  <c r="L25" i="62" s="1"/>
  <c r="E11" i="36"/>
  <c r="F11" i="36" s="1"/>
  <c r="H25" i="62" s="1"/>
  <c r="E7" i="36"/>
  <c r="F7" i="36" s="1"/>
  <c r="D25" i="62" s="1"/>
  <c r="E32" i="36"/>
  <c r="F32" i="36" s="1"/>
  <c r="AC25" i="62" s="1"/>
  <c r="E28" i="36"/>
  <c r="F28" i="36" s="1"/>
  <c r="Y25" i="62" s="1"/>
  <c r="E24" i="36"/>
  <c r="F24" i="36" s="1"/>
  <c r="U25" i="62" s="1"/>
  <c r="E20" i="36"/>
  <c r="F20" i="36" s="1"/>
  <c r="Q25" i="62" s="1"/>
  <c r="E16" i="36"/>
  <c r="F16" i="36" s="1"/>
  <c r="M25" i="62" s="1"/>
  <c r="E12" i="36"/>
  <c r="F12" i="36" s="1"/>
  <c r="I25" i="62" s="1"/>
  <c r="E8" i="36"/>
  <c r="F8" i="36" s="1"/>
  <c r="E25" i="62" s="1"/>
  <c r="F105" i="36"/>
  <c r="E29" i="36"/>
  <c r="F29" i="36" s="1"/>
  <c r="Z25" i="62" s="1"/>
  <c r="E25" i="36"/>
  <c r="F25" i="36" s="1"/>
  <c r="V25" i="62" s="1"/>
  <c r="E21" i="36"/>
  <c r="F21" i="36" s="1"/>
  <c r="R25" i="62" s="1"/>
  <c r="E17" i="36"/>
  <c r="F17" i="36" s="1"/>
  <c r="N25" i="62" s="1"/>
  <c r="E13" i="36"/>
  <c r="F13" i="36" s="1"/>
  <c r="J25" i="62" s="1"/>
  <c r="E9" i="36"/>
  <c r="F9" i="36" s="1"/>
  <c r="F25" i="62" s="1"/>
  <c r="E5" i="36"/>
  <c r="E32" i="32"/>
  <c r="F32" i="32" s="1"/>
  <c r="AC29" i="62" s="1"/>
  <c r="E24" i="32"/>
  <c r="F24" i="32" s="1"/>
  <c r="U29" i="62" s="1"/>
  <c r="E16" i="32"/>
  <c r="F16" i="32" s="1"/>
  <c r="M29" i="62" s="1"/>
  <c r="E8" i="32"/>
  <c r="F8" i="32" s="1"/>
  <c r="E29" i="62" s="1"/>
  <c r="E25" i="32"/>
  <c r="F25" i="32" s="1"/>
  <c r="V29" i="62" s="1"/>
  <c r="E17" i="32"/>
  <c r="F17" i="32" s="1"/>
  <c r="N29" i="62" s="1"/>
  <c r="E9" i="32"/>
  <c r="F9" i="32" s="1"/>
  <c r="F29" i="62" s="1"/>
  <c r="E30" i="32"/>
  <c r="F30" i="32" s="1"/>
  <c r="AA29" i="62" s="1"/>
  <c r="E26" i="32"/>
  <c r="F26" i="32" s="1"/>
  <c r="W29" i="62" s="1"/>
  <c r="E22" i="32"/>
  <c r="F22" i="32" s="1"/>
  <c r="S29" i="62" s="1"/>
  <c r="E18" i="32"/>
  <c r="F18" i="32" s="1"/>
  <c r="O29" i="62" s="1"/>
  <c r="E14" i="32"/>
  <c r="F14" i="32" s="1"/>
  <c r="K29" i="62" s="1"/>
  <c r="E10" i="32"/>
  <c r="F10" i="32" s="1"/>
  <c r="G29" i="62" s="1"/>
  <c r="E6" i="32"/>
  <c r="F6" i="32" s="1"/>
  <c r="C29" i="62" s="1"/>
  <c r="E31" i="32"/>
  <c r="F31" i="32" s="1"/>
  <c r="AB29" i="62" s="1"/>
  <c r="E27" i="32"/>
  <c r="F27" i="32" s="1"/>
  <c r="X29" i="62" s="1"/>
  <c r="E23" i="32"/>
  <c r="F23" i="32" s="1"/>
  <c r="T29" i="62" s="1"/>
  <c r="E19" i="32"/>
  <c r="F19" i="32" s="1"/>
  <c r="P29" i="62" s="1"/>
  <c r="E15" i="32"/>
  <c r="F15" i="32" s="1"/>
  <c r="L29" i="62" s="1"/>
  <c r="E11" i="32"/>
  <c r="F11" i="32" s="1"/>
  <c r="H29" i="62" s="1"/>
  <c r="E7" i="32"/>
  <c r="F7" i="32" s="1"/>
  <c r="D29" i="62" s="1"/>
  <c r="E28" i="32"/>
  <c r="F28" i="32" s="1"/>
  <c r="Y29" i="62" s="1"/>
  <c r="E20" i="32"/>
  <c r="F20" i="32" s="1"/>
  <c r="Q29" i="62" s="1"/>
  <c r="E12" i="32"/>
  <c r="F12" i="32" s="1"/>
  <c r="I29" i="62" s="1"/>
  <c r="F105" i="32"/>
  <c r="E29" i="32"/>
  <c r="F29" i="32" s="1"/>
  <c r="Z29" i="62" s="1"/>
  <c r="E21" i="32"/>
  <c r="F21" i="32" s="1"/>
  <c r="R29" i="62" s="1"/>
  <c r="E13" i="32"/>
  <c r="F13" i="32" s="1"/>
  <c r="J29" i="62" s="1"/>
  <c r="E5" i="32"/>
  <c r="L39" i="63"/>
  <c r="K39" i="63"/>
  <c r="J39" i="63"/>
  <c r="I39" i="63"/>
  <c r="F105" i="31"/>
  <c r="E25" i="31"/>
  <c r="F25" i="31" s="1"/>
  <c r="V30" i="62" s="1"/>
  <c r="E17" i="31"/>
  <c r="F17" i="31" s="1"/>
  <c r="N30" i="62" s="1"/>
  <c r="E9" i="31"/>
  <c r="F9" i="31" s="1"/>
  <c r="F30" i="62" s="1"/>
  <c r="E28" i="31"/>
  <c r="F28" i="31" s="1"/>
  <c r="Y30" i="62" s="1"/>
  <c r="E20" i="31"/>
  <c r="F20" i="31" s="1"/>
  <c r="Q30" i="62" s="1"/>
  <c r="E12" i="31"/>
  <c r="F12" i="31" s="1"/>
  <c r="I30" i="62" s="1"/>
  <c r="E31" i="31"/>
  <c r="F31" i="31" s="1"/>
  <c r="AB30" i="62" s="1"/>
  <c r="E27" i="31"/>
  <c r="F27" i="31" s="1"/>
  <c r="X30" i="62" s="1"/>
  <c r="X62" i="62" s="1"/>
  <c r="E23" i="31"/>
  <c r="F23" i="31" s="1"/>
  <c r="T30" i="62" s="1"/>
  <c r="E19" i="31"/>
  <c r="F19" i="31" s="1"/>
  <c r="P30" i="62" s="1"/>
  <c r="P62" i="62" s="1"/>
  <c r="E15" i="31"/>
  <c r="F15" i="31" s="1"/>
  <c r="L30" i="62" s="1"/>
  <c r="E11" i="31"/>
  <c r="F11" i="31" s="1"/>
  <c r="H30" i="62" s="1"/>
  <c r="E7" i="31"/>
  <c r="F7" i="31" s="1"/>
  <c r="D30" i="62" s="1"/>
  <c r="E30" i="31"/>
  <c r="F30" i="31" s="1"/>
  <c r="AA30" i="62" s="1"/>
  <c r="AA63" i="62" s="1"/>
  <c r="E26" i="31"/>
  <c r="F26" i="31" s="1"/>
  <c r="W30" i="62" s="1"/>
  <c r="E22" i="31"/>
  <c r="F22" i="31" s="1"/>
  <c r="S30" i="62" s="1"/>
  <c r="S65" i="62" s="1"/>
  <c r="E18" i="31"/>
  <c r="F18" i="31" s="1"/>
  <c r="O30" i="62" s="1"/>
  <c r="E14" i="31"/>
  <c r="F14" i="31" s="1"/>
  <c r="K30" i="62" s="1"/>
  <c r="K63" i="62" s="1"/>
  <c r="E10" i="31"/>
  <c r="F10" i="31" s="1"/>
  <c r="G30" i="62" s="1"/>
  <c r="E6" i="31"/>
  <c r="F6" i="31" s="1"/>
  <c r="C30" i="62" s="1"/>
  <c r="C63" i="62" s="1"/>
  <c r="E29" i="31"/>
  <c r="F29" i="31" s="1"/>
  <c r="Z30" i="62" s="1"/>
  <c r="Z64" i="62" s="1"/>
  <c r="E21" i="31"/>
  <c r="F21" i="31" s="1"/>
  <c r="R30" i="62" s="1"/>
  <c r="E13" i="31"/>
  <c r="F13" i="31" s="1"/>
  <c r="J30" i="62" s="1"/>
  <c r="J64" i="62" s="1"/>
  <c r="E5" i="31"/>
  <c r="E32" i="31"/>
  <c r="F32" i="31" s="1"/>
  <c r="AC30" i="62" s="1"/>
  <c r="E24" i="31"/>
  <c r="F24" i="31" s="1"/>
  <c r="U30" i="62" s="1"/>
  <c r="E16" i="31"/>
  <c r="F16" i="31" s="1"/>
  <c r="M30" i="62" s="1"/>
  <c r="E8" i="31"/>
  <c r="F8" i="31" s="1"/>
  <c r="E30" i="62" s="1"/>
  <c r="T39" i="63"/>
  <c r="S39" i="63"/>
  <c r="H39" i="63"/>
  <c r="G39" i="63"/>
  <c r="V39" i="63"/>
  <c r="U39" i="63"/>
  <c r="J59" i="63"/>
  <c r="I59" i="63"/>
  <c r="L59" i="63"/>
  <c r="K59" i="63"/>
  <c r="V59" i="63"/>
  <c r="U59" i="63"/>
  <c r="H59" i="63"/>
  <c r="G59" i="63"/>
  <c r="T59" i="63"/>
  <c r="S59" i="63"/>
  <c r="E6" i="60"/>
  <c r="E26" i="60"/>
  <c r="E20" i="60"/>
  <c r="E30" i="60"/>
  <c r="E9" i="60"/>
  <c r="T46" i="63"/>
  <c r="S46" i="63"/>
  <c r="H46" i="63"/>
  <c r="G46" i="63"/>
  <c r="E14" i="60"/>
  <c r="E12" i="60"/>
  <c r="E24" i="60"/>
  <c r="E5" i="60"/>
  <c r="E13" i="60"/>
  <c r="J46" i="63"/>
  <c r="I46" i="63"/>
  <c r="V46" i="63"/>
  <c r="U46" i="63"/>
  <c r="L46" i="63"/>
  <c r="K46" i="63"/>
  <c r="E10" i="60"/>
  <c r="E18" i="60"/>
  <c r="E8" i="60"/>
  <c r="E16" i="60"/>
  <c r="E22" i="60"/>
  <c r="E28" i="60"/>
  <c r="E32" i="60"/>
  <c r="E7" i="60"/>
  <c r="E11" i="60"/>
  <c r="E15" i="60"/>
  <c r="E19" i="60"/>
  <c r="E23" i="60"/>
  <c r="E27" i="60"/>
  <c r="E31" i="60"/>
  <c r="H44" i="63"/>
  <c r="G44" i="63"/>
  <c r="L44" i="63"/>
  <c r="K44" i="63"/>
  <c r="E17" i="60"/>
  <c r="E21" i="60"/>
  <c r="E25" i="60"/>
  <c r="J44" i="63"/>
  <c r="I44" i="63"/>
  <c r="T44" i="63"/>
  <c r="S44" i="63"/>
  <c r="V44" i="63"/>
  <c r="U44" i="63"/>
  <c r="E33" i="44"/>
  <c r="C20" i="63" s="1"/>
  <c r="F5" i="44"/>
  <c r="L20" i="63"/>
  <c r="K20" i="63"/>
  <c r="P20" i="63"/>
  <c r="O20" i="63"/>
  <c r="T20" i="63"/>
  <c r="S20" i="63"/>
  <c r="E33" i="17"/>
  <c r="C47" i="63" s="1"/>
  <c r="F5" i="17"/>
  <c r="L47" i="63"/>
  <c r="K47" i="63"/>
  <c r="P47" i="63"/>
  <c r="O47" i="63"/>
  <c r="T47" i="63"/>
  <c r="S47" i="63"/>
  <c r="E33" i="15"/>
  <c r="C49" i="63" s="1"/>
  <c r="F5" i="15"/>
  <c r="L49" i="63"/>
  <c r="K49" i="63"/>
  <c r="P49" i="63"/>
  <c r="O49" i="63"/>
  <c r="T49" i="63"/>
  <c r="S49" i="63"/>
  <c r="E33" i="12"/>
  <c r="C52" i="63" s="1"/>
  <c r="F5" i="12"/>
  <c r="L52" i="63"/>
  <c r="K52" i="63"/>
  <c r="P52" i="63"/>
  <c r="O52" i="63"/>
  <c r="T52" i="63"/>
  <c r="S52" i="63"/>
  <c r="E33" i="3"/>
  <c r="C61" i="63" s="1"/>
  <c r="F5" i="3"/>
  <c r="R61" i="63"/>
  <c r="Q61" i="63"/>
  <c r="D62" i="62"/>
  <c r="D63" i="62"/>
  <c r="H64" i="62"/>
  <c r="L64" i="62"/>
  <c r="L65" i="62"/>
  <c r="T64" i="62"/>
  <c r="T65" i="62"/>
  <c r="X64" i="62"/>
  <c r="G63" i="62"/>
  <c r="G62" i="62"/>
  <c r="K65" i="62"/>
  <c r="O65" i="62"/>
  <c r="O64" i="62"/>
  <c r="S64" i="62"/>
  <c r="W63" i="62"/>
  <c r="W62" i="62"/>
  <c r="AA65" i="62"/>
  <c r="AA64" i="62"/>
  <c r="P7" i="63"/>
  <c r="O64" i="63"/>
  <c r="O7" i="63"/>
  <c r="E33" i="53"/>
  <c r="C11" i="63"/>
  <c r="F5" i="53"/>
  <c r="L11" i="63"/>
  <c r="K11" i="63"/>
  <c r="P11" i="63"/>
  <c r="O11" i="63"/>
  <c r="T11" i="63"/>
  <c r="S11" i="63"/>
  <c r="J35" i="63"/>
  <c r="I35" i="63"/>
  <c r="H35" i="63"/>
  <c r="G35" i="63"/>
  <c r="R35" i="63"/>
  <c r="Q35" i="63"/>
  <c r="V35" i="63"/>
  <c r="U35" i="63"/>
  <c r="P39" i="63"/>
  <c r="O39" i="63"/>
  <c r="E33" i="25"/>
  <c r="C39" i="63" s="1"/>
  <c r="F5" i="25"/>
  <c r="J50" i="63"/>
  <c r="I50" i="63"/>
  <c r="H50" i="63"/>
  <c r="G50" i="63"/>
  <c r="R50" i="63"/>
  <c r="Q50" i="63"/>
  <c r="V50" i="63"/>
  <c r="U50" i="63"/>
  <c r="J55" i="63"/>
  <c r="I55" i="63"/>
  <c r="H55" i="63"/>
  <c r="G55" i="63"/>
  <c r="R55" i="63"/>
  <c r="Q55" i="63"/>
  <c r="V55" i="63"/>
  <c r="U55" i="63"/>
  <c r="E33" i="4"/>
  <c r="C60" i="63" s="1"/>
  <c r="F5" i="4"/>
  <c r="J60" i="63"/>
  <c r="I60" i="63"/>
  <c r="H60" i="63"/>
  <c r="G60" i="63"/>
  <c r="R60" i="63"/>
  <c r="Q60" i="63"/>
  <c r="V60" i="63"/>
  <c r="U60" i="63"/>
  <c r="L63" i="63"/>
  <c r="K63" i="63"/>
  <c r="P63" i="63"/>
  <c r="O63" i="63"/>
  <c r="T63" i="63"/>
  <c r="S63" i="63"/>
  <c r="J15" i="63"/>
  <c r="I15" i="63"/>
  <c r="H15" i="63"/>
  <c r="G15" i="63"/>
  <c r="R15" i="63"/>
  <c r="Q15" i="63"/>
  <c r="V15" i="63"/>
  <c r="U15" i="63"/>
  <c r="L10" i="63"/>
  <c r="K10" i="63"/>
  <c r="P10" i="63"/>
  <c r="O10" i="63"/>
  <c r="T10" i="63"/>
  <c r="S10" i="63"/>
  <c r="E33" i="54"/>
  <c r="C10" i="63" s="1"/>
  <c r="F5" i="54"/>
  <c r="J21" i="63"/>
  <c r="I21" i="63"/>
  <c r="H21" i="63"/>
  <c r="G21" i="63"/>
  <c r="R21" i="63"/>
  <c r="Q21" i="63"/>
  <c r="E33" i="43"/>
  <c r="C21" i="63" s="1"/>
  <c r="F5" i="43"/>
  <c r="L23" i="63"/>
  <c r="K23" i="63"/>
  <c r="P23" i="63"/>
  <c r="O23" i="63"/>
  <c r="T23" i="63"/>
  <c r="S23" i="63"/>
  <c r="E33" i="41"/>
  <c r="C23" i="63" s="1"/>
  <c r="F5" i="41"/>
  <c r="L25" i="63"/>
  <c r="K25" i="63"/>
  <c r="P25" i="63"/>
  <c r="O25" i="63"/>
  <c r="T25" i="63"/>
  <c r="S25" i="63"/>
  <c r="E33" i="39"/>
  <c r="C25" i="63" s="1"/>
  <c r="F5" i="39"/>
  <c r="L27" i="63"/>
  <c r="K27" i="63"/>
  <c r="P27" i="63"/>
  <c r="O27" i="63"/>
  <c r="T27" i="63"/>
  <c r="S27" i="63"/>
  <c r="E33" i="37"/>
  <c r="C27" i="63" s="1"/>
  <c r="F5" i="37"/>
  <c r="L29" i="63"/>
  <c r="K29" i="63"/>
  <c r="P29" i="63"/>
  <c r="O29" i="63"/>
  <c r="T29" i="63"/>
  <c r="S29" i="63"/>
  <c r="E33" i="35"/>
  <c r="C29" i="63" s="1"/>
  <c r="F5" i="35"/>
  <c r="L31" i="63"/>
  <c r="K31" i="63"/>
  <c r="P31" i="63"/>
  <c r="O31" i="63"/>
  <c r="V31" i="63"/>
  <c r="U31" i="63"/>
  <c r="J41" i="63"/>
  <c r="I41" i="63"/>
  <c r="H41" i="63"/>
  <c r="G41" i="63"/>
  <c r="R41" i="63"/>
  <c r="Q41" i="63"/>
  <c r="V41" i="63"/>
  <c r="U41" i="63"/>
  <c r="P46" i="63"/>
  <c r="O46" i="63"/>
  <c r="E33" i="18"/>
  <c r="C46" i="63" s="1"/>
  <c r="F5" i="18"/>
  <c r="J19" i="63"/>
  <c r="I19" i="63"/>
  <c r="H19" i="63"/>
  <c r="G19" i="63"/>
  <c r="R19" i="63"/>
  <c r="Q19" i="63"/>
  <c r="V19" i="63"/>
  <c r="U19" i="63"/>
  <c r="J17" i="63"/>
  <c r="I17" i="63"/>
  <c r="H17" i="63"/>
  <c r="G17" i="63"/>
  <c r="R17" i="63"/>
  <c r="Q17" i="63"/>
  <c r="V17" i="63"/>
  <c r="U17" i="63"/>
  <c r="L34" i="63"/>
  <c r="K34" i="63"/>
  <c r="P34" i="63"/>
  <c r="O34" i="63"/>
  <c r="T34" i="63"/>
  <c r="S34" i="63"/>
  <c r="P59" i="63"/>
  <c r="O59" i="63"/>
  <c r="E33" i="59"/>
  <c r="C62" i="63" s="1"/>
  <c r="F5" i="59"/>
  <c r="L62" i="63"/>
  <c r="K62" i="63"/>
  <c r="P62" i="63"/>
  <c r="O62" i="63"/>
  <c r="T62" i="63"/>
  <c r="S62" i="63"/>
  <c r="J16" i="63"/>
  <c r="I16" i="63"/>
  <c r="H16" i="63"/>
  <c r="G16" i="63"/>
  <c r="R16" i="63"/>
  <c r="Q16" i="63"/>
  <c r="V16" i="63"/>
  <c r="U16" i="63"/>
  <c r="E33" i="38"/>
  <c r="C26" i="63" s="1"/>
  <c r="F5" i="38"/>
  <c r="L26" i="63"/>
  <c r="K26" i="63"/>
  <c r="P26" i="63"/>
  <c r="O26" i="63"/>
  <c r="T26" i="63"/>
  <c r="S26" i="63"/>
  <c r="E33" i="40"/>
  <c r="C24" i="63" s="1"/>
  <c r="F5" i="40"/>
  <c r="L24" i="63"/>
  <c r="K24" i="63"/>
  <c r="P24" i="63"/>
  <c r="O24" i="63"/>
  <c r="V24" i="63"/>
  <c r="U24" i="63"/>
  <c r="J38" i="63"/>
  <c r="I38" i="63"/>
  <c r="H38" i="63"/>
  <c r="G38" i="63"/>
  <c r="R38" i="63"/>
  <c r="Q38" i="63"/>
  <c r="V38" i="63"/>
  <c r="U38" i="63"/>
  <c r="L37" i="63"/>
  <c r="K37" i="63"/>
  <c r="P37" i="63"/>
  <c r="O37" i="63"/>
  <c r="T37" i="63"/>
  <c r="S37" i="63"/>
  <c r="E33" i="27"/>
  <c r="C37" i="63" s="1"/>
  <c r="F5" i="27"/>
  <c r="J54" i="63"/>
  <c r="I54" i="63"/>
  <c r="H54" i="63"/>
  <c r="G54" i="63"/>
  <c r="R54" i="63"/>
  <c r="Q54" i="63"/>
  <c r="J56" i="63"/>
  <c r="I56" i="63"/>
  <c r="H56" i="63"/>
  <c r="G56" i="63"/>
  <c r="R56" i="63"/>
  <c r="Q56" i="63"/>
  <c r="V56" i="63"/>
  <c r="U56" i="63"/>
  <c r="J13" i="63"/>
  <c r="I13" i="63"/>
  <c r="H13" i="63"/>
  <c r="G13" i="63"/>
  <c r="R13" i="63"/>
  <c r="Q13" i="63"/>
  <c r="V13" i="63"/>
  <c r="U13" i="63"/>
  <c r="L12" i="63"/>
  <c r="K12" i="63"/>
  <c r="P12" i="63"/>
  <c r="O12" i="63"/>
  <c r="V12" i="63"/>
  <c r="U12" i="63"/>
  <c r="J14" i="63"/>
  <c r="I14" i="63"/>
  <c r="H14" i="63"/>
  <c r="G14" i="63"/>
  <c r="R14" i="63"/>
  <c r="Q14" i="63"/>
  <c r="V14" i="63"/>
  <c r="U14" i="63"/>
  <c r="J18" i="63"/>
  <c r="I18" i="63"/>
  <c r="H18" i="63"/>
  <c r="G18" i="63"/>
  <c r="R18" i="63"/>
  <c r="Q18" i="63"/>
  <c r="V18" i="63"/>
  <c r="U18" i="63"/>
  <c r="E33" i="22"/>
  <c r="C42" i="63" s="1"/>
  <c r="F5" i="22"/>
  <c r="L42" i="63"/>
  <c r="K42" i="63"/>
  <c r="P42" i="63"/>
  <c r="O42" i="63"/>
  <c r="V42" i="63"/>
  <c r="U42" i="63"/>
  <c r="L51" i="63"/>
  <c r="K51" i="63"/>
  <c r="P51" i="63"/>
  <c r="O51" i="63"/>
  <c r="T51" i="63"/>
  <c r="S51" i="63"/>
  <c r="E33" i="13"/>
  <c r="C51" i="63" s="1"/>
  <c r="F5" i="13"/>
  <c r="L53" i="63"/>
  <c r="K53" i="63"/>
  <c r="P53" i="63"/>
  <c r="O53" i="63"/>
  <c r="T53" i="63"/>
  <c r="S53" i="63"/>
  <c r="E33" i="11"/>
  <c r="C53" i="63" s="1"/>
  <c r="F5" i="11"/>
  <c r="L8" i="63"/>
  <c r="K8" i="63"/>
  <c r="P8" i="63"/>
  <c r="O8" i="63"/>
  <c r="T8" i="63"/>
  <c r="S8" i="63"/>
  <c r="E33" i="56"/>
  <c r="C8" i="63" s="1"/>
  <c r="F5" i="56"/>
  <c r="J22" i="63"/>
  <c r="I22" i="63"/>
  <c r="H22" i="63"/>
  <c r="G22" i="63"/>
  <c r="R22" i="63"/>
  <c r="Q22" i="63"/>
  <c r="V22" i="63"/>
  <c r="U22" i="63"/>
  <c r="J40" i="63"/>
  <c r="I40" i="63"/>
  <c r="H40" i="63"/>
  <c r="G40" i="63"/>
  <c r="R40" i="63"/>
  <c r="Q40" i="63"/>
  <c r="V40" i="63"/>
  <c r="U40" i="63"/>
  <c r="J36" i="63"/>
  <c r="I36" i="63"/>
  <c r="H36" i="63"/>
  <c r="G36" i="63"/>
  <c r="R36" i="63"/>
  <c r="Q36" i="63"/>
  <c r="V36" i="63"/>
  <c r="U36" i="63"/>
  <c r="J45" i="63"/>
  <c r="I45" i="63"/>
  <c r="H45" i="63"/>
  <c r="G45" i="63"/>
  <c r="R45" i="63"/>
  <c r="Q45" i="63"/>
  <c r="E33" i="21"/>
  <c r="C43" i="63" s="1"/>
  <c r="F5" i="21"/>
  <c r="L43" i="63"/>
  <c r="K43" i="63"/>
  <c r="P43" i="63"/>
  <c r="O43" i="63"/>
  <c r="T43" i="63"/>
  <c r="S43" i="63"/>
  <c r="E33" i="55"/>
  <c r="C9" i="63" s="1"/>
  <c r="F5" i="55"/>
  <c r="L9" i="63"/>
  <c r="K9" i="63"/>
  <c r="P9" i="63"/>
  <c r="O9" i="63"/>
  <c r="T9" i="63"/>
  <c r="S9" i="63"/>
  <c r="J30" i="63"/>
  <c r="I30" i="63"/>
  <c r="H30" i="63"/>
  <c r="G30" i="63"/>
  <c r="R30" i="63"/>
  <c r="Q30" i="63"/>
  <c r="V30" i="63"/>
  <c r="U30" i="63"/>
  <c r="R44" i="63"/>
  <c r="Q44" i="63"/>
  <c r="P48" i="63"/>
  <c r="O48" i="63"/>
  <c r="E33" i="16"/>
  <c r="C48" i="63" s="1"/>
  <c r="F5" i="16"/>
  <c r="L57" i="63"/>
  <c r="K57" i="63"/>
  <c r="P57" i="63"/>
  <c r="O57" i="63"/>
  <c r="T57" i="63"/>
  <c r="S57" i="63"/>
  <c r="J58" i="63"/>
  <c r="I58" i="63"/>
  <c r="H58" i="63"/>
  <c r="G58" i="63"/>
  <c r="R58" i="63"/>
  <c r="Q58" i="63"/>
  <c r="V58" i="63"/>
  <c r="U58" i="63"/>
  <c r="J20" i="63"/>
  <c r="I20" i="63"/>
  <c r="H20" i="63"/>
  <c r="G20" i="63"/>
  <c r="R20" i="63"/>
  <c r="Q20" i="63"/>
  <c r="V20" i="63"/>
  <c r="U20" i="63"/>
  <c r="J47" i="63"/>
  <c r="I47" i="63"/>
  <c r="H47" i="63"/>
  <c r="G47" i="63"/>
  <c r="R47" i="63"/>
  <c r="Q47" i="63"/>
  <c r="V47" i="63"/>
  <c r="U47" i="63"/>
  <c r="J49" i="63"/>
  <c r="I49" i="63"/>
  <c r="H49" i="63"/>
  <c r="G49" i="63"/>
  <c r="R49" i="63"/>
  <c r="Q49" i="63"/>
  <c r="V49" i="63"/>
  <c r="U49" i="63"/>
  <c r="J52" i="63"/>
  <c r="I52" i="63"/>
  <c r="H52" i="63"/>
  <c r="G52" i="63"/>
  <c r="R52" i="63"/>
  <c r="Q52" i="63"/>
  <c r="V52" i="63"/>
  <c r="U52" i="63"/>
  <c r="P61" i="63"/>
  <c r="O61" i="63"/>
  <c r="E33" i="57"/>
  <c r="C7" i="63" s="1"/>
  <c r="F5" i="57"/>
  <c r="F62" i="62"/>
  <c r="F63" i="62"/>
  <c r="J62" i="62"/>
  <c r="J63" i="62"/>
  <c r="N62" i="62"/>
  <c r="N63" i="62"/>
  <c r="R62" i="62"/>
  <c r="R63" i="62"/>
  <c r="V62" i="62"/>
  <c r="V63" i="62"/>
  <c r="Z62" i="62"/>
  <c r="Z63" i="62"/>
  <c r="E65" i="62"/>
  <c r="E63" i="62"/>
  <c r="E64" i="62"/>
  <c r="E62" i="62"/>
  <c r="I63" i="62"/>
  <c r="I62" i="62"/>
  <c r="M63" i="62"/>
  <c r="M62" i="62"/>
  <c r="Q63" i="62"/>
  <c r="Q62" i="62"/>
  <c r="U65" i="62"/>
  <c r="U63" i="62"/>
  <c r="U64" i="62"/>
  <c r="U62" i="62"/>
  <c r="Y65" i="62"/>
  <c r="Y63" i="62"/>
  <c r="Y64" i="62"/>
  <c r="Y62" i="62"/>
  <c r="R7" i="63"/>
  <c r="Q7" i="63"/>
  <c r="J11" i="63"/>
  <c r="I11" i="63"/>
  <c r="H11" i="63"/>
  <c r="G11" i="63"/>
  <c r="R11" i="63"/>
  <c r="Q11" i="63"/>
  <c r="V11" i="63"/>
  <c r="U11" i="63"/>
  <c r="E33" i="29"/>
  <c r="C35" i="63" s="1"/>
  <c r="F5" i="29"/>
  <c r="L35" i="63"/>
  <c r="K35" i="63"/>
  <c r="P35" i="63"/>
  <c r="O35" i="63"/>
  <c r="T35" i="63"/>
  <c r="S35" i="63"/>
  <c r="R39" i="63"/>
  <c r="Q39" i="63"/>
  <c r="E33" i="14"/>
  <c r="C50" i="63"/>
  <c r="F5" i="14"/>
  <c r="L50" i="63"/>
  <c r="K50" i="63"/>
  <c r="P50" i="63"/>
  <c r="O50" i="63"/>
  <c r="T50" i="63"/>
  <c r="S50" i="63"/>
  <c r="E33" i="9"/>
  <c r="C55" i="63" s="1"/>
  <c r="F5" i="9"/>
  <c r="L55" i="63"/>
  <c r="K55" i="63"/>
  <c r="P55" i="63"/>
  <c r="O55" i="63"/>
  <c r="T55" i="63"/>
  <c r="S55" i="63"/>
  <c r="L60" i="63"/>
  <c r="K60" i="63"/>
  <c r="P60" i="63"/>
  <c r="O60" i="63"/>
  <c r="T60" i="63"/>
  <c r="S60" i="63"/>
  <c r="E33" i="1"/>
  <c r="C63" i="63" s="1"/>
  <c r="F5" i="1"/>
  <c r="J63" i="63"/>
  <c r="I63" i="63"/>
  <c r="H63" i="63"/>
  <c r="G63" i="63"/>
  <c r="R63" i="63"/>
  <c r="Q63" i="63"/>
  <c r="V63" i="63"/>
  <c r="U63" i="63"/>
  <c r="E33" i="49"/>
  <c r="C15" i="63" s="1"/>
  <c r="F5" i="49"/>
  <c r="L15" i="63"/>
  <c r="K15" i="63"/>
  <c r="P15" i="63"/>
  <c r="O15" i="63"/>
  <c r="T15" i="63"/>
  <c r="S15" i="63"/>
  <c r="J10" i="63"/>
  <c r="I10" i="63"/>
  <c r="H10" i="63"/>
  <c r="G10" i="63"/>
  <c r="R10" i="63"/>
  <c r="Q10" i="63"/>
  <c r="V10" i="63"/>
  <c r="U10" i="63"/>
  <c r="L21" i="63"/>
  <c r="K21" i="63"/>
  <c r="P21" i="63"/>
  <c r="O21" i="63"/>
  <c r="V21" i="63"/>
  <c r="U21" i="63"/>
  <c r="J23" i="63"/>
  <c r="I23" i="63"/>
  <c r="H23" i="63"/>
  <c r="G23" i="63"/>
  <c r="R23" i="63"/>
  <c r="Q23" i="63"/>
  <c r="V23" i="63"/>
  <c r="U23" i="63"/>
  <c r="J25" i="63"/>
  <c r="I25" i="63"/>
  <c r="H25" i="63"/>
  <c r="G25" i="63"/>
  <c r="R25" i="63"/>
  <c r="Q25" i="63"/>
  <c r="V25" i="63"/>
  <c r="U25" i="63"/>
  <c r="J27" i="63"/>
  <c r="I27" i="63"/>
  <c r="H27" i="63"/>
  <c r="G27" i="63"/>
  <c r="R27" i="63"/>
  <c r="Q27" i="63"/>
  <c r="V27" i="63"/>
  <c r="U27" i="63"/>
  <c r="J29" i="63"/>
  <c r="I29" i="63"/>
  <c r="H29" i="63"/>
  <c r="G29" i="63"/>
  <c r="R29" i="63"/>
  <c r="Q29" i="63"/>
  <c r="V29" i="63"/>
  <c r="U29" i="63"/>
  <c r="J31" i="63"/>
  <c r="I31" i="63"/>
  <c r="H31" i="63"/>
  <c r="G31" i="63"/>
  <c r="R31" i="63"/>
  <c r="Q31" i="63"/>
  <c r="E33" i="33"/>
  <c r="C31" i="63" s="1"/>
  <c r="F5" i="33"/>
  <c r="L41" i="63"/>
  <c r="K41" i="63"/>
  <c r="P41" i="63"/>
  <c r="O41" i="63"/>
  <c r="T41" i="63"/>
  <c r="S41" i="63"/>
  <c r="E33" i="23"/>
  <c r="C41" i="63" s="1"/>
  <c r="F5" i="23"/>
  <c r="R46" i="63"/>
  <c r="Q46" i="63"/>
  <c r="E33" i="45"/>
  <c r="C19" i="63" s="1"/>
  <c r="F5" i="45"/>
  <c r="L19" i="63"/>
  <c r="K19" i="63"/>
  <c r="P19" i="63"/>
  <c r="O19" i="63"/>
  <c r="T19" i="63"/>
  <c r="S19" i="63"/>
  <c r="E33" i="47"/>
  <c r="C17" i="63" s="1"/>
  <c r="F5" i="47"/>
  <c r="L17" i="63"/>
  <c r="K17" i="63"/>
  <c r="P17" i="63"/>
  <c r="O17" i="63"/>
  <c r="T17" i="63"/>
  <c r="S17" i="63"/>
  <c r="E33" i="30"/>
  <c r="C34" i="63" s="1"/>
  <c r="F5" i="30"/>
  <c r="J34" i="63"/>
  <c r="I34" i="63"/>
  <c r="H34" i="63"/>
  <c r="G34" i="63"/>
  <c r="R34" i="63"/>
  <c r="Q34" i="63"/>
  <c r="V34" i="63"/>
  <c r="U34" i="63"/>
  <c r="E33" i="5"/>
  <c r="C59" i="63" s="1"/>
  <c r="F5" i="5"/>
  <c r="R59" i="63"/>
  <c r="Q59" i="63"/>
  <c r="J62" i="63"/>
  <c r="I62" i="63"/>
  <c r="H62" i="63"/>
  <c r="G62" i="63"/>
  <c r="R62" i="63"/>
  <c r="Q62" i="63"/>
  <c r="V62" i="63"/>
  <c r="U62" i="63"/>
  <c r="L16" i="63"/>
  <c r="K16" i="63"/>
  <c r="P16" i="63"/>
  <c r="O16" i="63"/>
  <c r="T16" i="63"/>
  <c r="S16" i="63"/>
  <c r="E33" i="48"/>
  <c r="C16" i="63" s="1"/>
  <c r="F5" i="48"/>
  <c r="J26" i="63"/>
  <c r="I26" i="63"/>
  <c r="H26" i="63"/>
  <c r="G26" i="63"/>
  <c r="R26" i="63"/>
  <c r="Q26" i="63"/>
  <c r="V26" i="63"/>
  <c r="U26" i="63"/>
  <c r="J24" i="63"/>
  <c r="I24" i="63"/>
  <c r="H24" i="63"/>
  <c r="G24" i="63"/>
  <c r="R24" i="63"/>
  <c r="Q24" i="63"/>
  <c r="E33" i="26"/>
  <c r="C38" i="63" s="1"/>
  <c r="F5" i="26"/>
  <c r="L38" i="63"/>
  <c r="K38" i="63"/>
  <c r="P38" i="63"/>
  <c r="O38" i="63"/>
  <c r="T38" i="63"/>
  <c r="S38" i="63"/>
  <c r="J37" i="63"/>
  <c r="I37" i="63"/>
  <c r="H37" i="63"/>
  <c r="G37" i="63"/>
  <c r="R37" i="63"/>
  <c r="Q37" i="63"/>
  <c r="V37" i="63"/>
  <c r="U37" i="63"/>
  <c r="E33" i="10"/>
  <c r="C54" i="63" s="1"/>
  <c r="F5" i="10"/>
  <c r="L54" i="63"/>
  <c r="K54" i="63"/>
  <c r="P54" i="63"/>
  <c r="O54" i="63"/>
  <c r="T54" i="63"/>
  <c r="S54" i="63"/>
  <c r="L56" i="63"/>
  <c r="K56" i="63"/>
  <c r="P56" i="63"/>
  <c r="O56" i="63"/>
  <c r="T56" i="63"/>
  <c r="S56" i="63"/>
  <c r="E33" i="8"/>
  <c r="C56" i="63" s="1"/>
  <c r="F5" i="8"/>
  <c r="E33" i="51"/>
  <c r="C13" i="63" s="1"/>
  <c r="F5" i="51"/>
  <c r="L13" i="63"/>
  <c r="K13" i="63"/>
  <c r="P13" i="63"/>
  <c r="O13" i="63"/>
  <c r="T13" i="63"/>
  <c r="S13" i="63"/>
  <c r="J12" i="63"/>
  <c r="I12" i="63"/>
  <c r="H12" i="63"/>
  <c r="G12" i="63"/>
  <c r="R12" i="63"/>
  <c r="Q12" i="63"/>
  <c r="E33" i="52"/>
  <c r="C12" i="63" s="1"/>
  <c r="F5" i="52"/>
  <c r="L14" i="63"/>
  <c r="K14" i="63"/>
  <c r="P14" i="63"/>
  <c r="O14" i="63"/>
  <c r="T14" i="63"/>
  <c r="S14" i="63"/>
  <c r="E33" i="50"/>
  <c r="C14" i="63" s="1"/>
  <c r="F5" i="50"/>
  <c r="L18" i="63"/>
  <c r="K18" i="63"/>
  <c r="P18" i="63"/>
  <c r="O18" i="63"/>
  <c r="T18" i="63"/>
  <c r="S18" i="63"/>
  <c r="E33" i="46"/>
  <c r="C18" i="63" s="1"/>
  <c r="F5" i="46"/>
  <c r="J42" i="63"/>
  <c r="I42" i="63"/>
  <c r="H42" i="63"/>
  <c r="G42" i="63"/>
  <c r="R42" i="63"/>
  <c r="Q42" i="63"/>
  <c r="J51" i="63"/>
  <c r="I51" i="63"/>
  <c r="H51" i="63"/>
  <c r="G51" i="63"/>
  <c r="R51" i="63"/>
  <c r="Q51" i="63"/>
  <c r="V51" i="63"/>
  <c r="U51" i="63"/>
  <c r="J53" i="63"/>
  <c r="I53" i="63"/>
  <c r="H53" i="63"/>
  <c r="G53" i="63"/>
  <c r="R53" i="63"/>
  <c r="Q53" i="63"/>
  <c r="V53" i="63"/>
  <c r="U53" i="63"/>
  <c r="J8" i="63"/>
  <c r="I8" i="63"/>
  <c r="H8" i="63"/>
  <c r="G8" i="63"/>
  <c r="R8" i="63"/>
  <c r="Q8" i="63"/>
  <c r="V8" i="63"/>
  <c r="U8" i="63"/>
  <c r="E33" i="42"/>
  <c r="C22" i="63" s="1"/>
  <c r="F5" i="42"/>
  <c r="L22" i="63"/>
  <c r="K22" i="63"/>
  <c r="P22" i="63"/>
  <c r="O22" i="63"/>
  <c r="T22" i="63"/>
  <c r="S22" i="63"/>
  <c r="E33" i="24"/>
  <c r="C40" i="63" s="1"/>
  <c r="F5" i="24"/>
  <c r="L40" i="63"/>
  <c r="K40" i="63"/>
  <c r="P40" i="63"/>
  <c r="O40" i="63"/>
  <c r="T40" i="63"/>
  <c r="S40" i="63"/>
  <c r="E33" i="28"/>
  <c r="C36" i="63" s="1"/>
  <c r="F5" i="28"/>
  <c r="L36" i="63"/>
  <c r="K36" i="63"/>
  <c r="P36" i="63"/>
  <c r="O36" i="63"/>
  <c r="T36" i="63"/>
  <c r="S36" i="63"/>
  <c r="E33" i="19"/>
  <c r="C45" i="63" s="1"/>
  <c r="F5" i="19"/>
  <c r="L45" i="63"/>
  <c r="K45" i="63"/>
  <c r="P45" i="63"/>
  <c r="O45" i="63"/>
  <c r="V45" i="63"/>
  <c r="U45" i="63"/>
  <c r="J43" i="63"/>
  <c r="I43" i="63"/>
  <c r="H43" i="63"/>
  <c r="G43" i="63"/>
  <c r="R43" i="63"/>
  <c r="Q43" i="63"/>
  <c r="V43" i="63"/>
  <c r="U43" i="63"/>
  <c r="J9" i="63"/>
  <c r="I9" i="63"/>
  <c r="H9" i="63"/>
  <c r="G9" i="63"/>
  <c r="R9" i="63"/>
  <c r="Q9" i="63"/>
  <c r="V9" i="63"/>
  <c r="U9" i="63"/>
  <c r="E33" i="34"/>
  <c r="C30" i="63" s="1"/>
  <c r="F5" i="34"/>
  <c r="L30" i="63"/>
  <c r="K30" i="63"/>
  <c r="P30" i="63"/>
  <c r="O30" i="63"/>
  <c r="T30" i="63"/>
  <c r="S30" i="63"/>
  <c r="P44" i="63"/>
  <c r="O44" i="63"/>
  <c r="E33" i="20"/>
  <c r="C44" i="63" s="1"/>
  <c r="F5" i="20"/>
  <c r="R48" i="63"/>
  <c r="Q48" i="63"/>
  <c r="E33" i="7"/>
  <c r="C57" i="63" s="1"/>
  <c r="F5" i="7"/>
  <c r="J57" i="63"/>
  <c r="I57" i="63"/>
  <c r="H57" i="63"/>
  <c r="G57" i="63"/>
  <c r="R57" i="63"/>
  <c r="Q57" i="63"/>
  <c r="V57" i="63"/>
  <c r="U57" i="63"/>
  <c r="E33" i="6"/>
  <c r="C58" i="63" s="1"/>
  <c r="F5" i="6"/>
  <c r="L58" i="63"/>
  <c r="K58" i="63"/>
  <c r="P58" i="63"/>
  <c r="O58" i="63"/>
  <c r="T58" i="63"/>
  <c r="S58" i="63"/>
  <c r="N64" i="62" l="1"/>
  <c r="R64" i="62"/>
  <c r="M65" i="62"/>
  <c r="F64" i="62"/>
  <c r="V64" i="62"/>
  <c r="I65" i="62"/>
  <c r="Q65" i="62"/>
  <c r="D64" i="62"/>
  <c r="L62" i="62"/>
  <c r="T62" i="62"/>
  <c r="G65" i="62"/>
  <c r="O63" i="62"/>
  <c r="W65" i="62"/>
  <c r="Q64" i="62"/>
  <c r="M64" i="62"/>
  <c r="I64" i="62"/>
  <c r="Z65" i="62"/>
  <c r="V65" i="62"/>
  <c r="R65" i="62"/>
  <c r="N65" i="62"/>
  <c r="J65" i="62"/>
  <c r="F65" i="62"/>
  <c r="W64" i="62"/>
  <c r="O62" i="62"/>
  <c r="G64" i="62"/>
  <c r="T63" i="62"/>
  <c r="L63" i="62"/>
  <c r="D65" i="62"/>
  <c r="F103" i="60"/>
  <c r="S64" i="63" s="1"/>
  <c r="K64" i="63"/>
  <c r="U64" i="63"/>
  <c r="F102" i="60"/>
  <c r="Q64" i="63" s="1"/>
  <c r="G64" i="63"/>
  <c r="P64" i="62"/>
  <c r="C65" i="62"/>
  <c r="X65" i="62"/>
  <c r="C64" i="62"/>
  <c r="K64" i="62"/>
  <c r="S63" i="62"/>
  <c r="H65" i="62"/>
  <c r="P65" i="62"/>
  <c r="AA62" i="62"/>
  <c r="S62" i="62"/>
  <c r="H62" i="62"/>
  <c r="K62" i="62"/>
  <c r="C62" i="62"/>
  <c r="X63" i="62"/>
  <c r="P63" i="62"/>
  <c r="H63" i="62"/>
  <c r="L28" i="63"/>
  <c r="K28" i="63"/>
  <c r="T28" i="63"/>
  <c r="S28" i="63"/>
  <c r="H28" i="63"/>
  <c r="G28" i="63"/>
  <c r="J28" i="63"/>
  <c r="I28" i="63"/>
  <c r="V28" i="63"/>
  <c r="U28" i="63"/>
  <c r="E33" i="31"/>
  <c r="F5" i="31"/>
  <c r="C33" i="63"/>
  <c r="G33" i="63"/>
  <c r="H33" i="63"/>
  <c r="U33" i="63"/>
  <c r="V33" i="63"/>
  <c r="T33" i="63"/>
  <c r="S33" i="63"/>
  <c r="T32" i="63"/>
  <c r="S32" i="63"/>
  <c r="G32" i="63"/>
  <c r="H32" i="63"/>
  <c r="V32" i="63"/>
  <c r="U32" i="63"/>
  <c r="P32" i="63"/>
  <c r="O32" i="63"/>
  <c r="R28" i="63"/>
  <c r="Q28" i="63"/>
  <c r="P33" i="63"/>
  <c r="O33" i="63"/>
  <c r="I33" i="63"/>
  <c r="J33" i="63"/>
  <c r="Q33" i="63"/>
  <c r="R33" i="63"/>
  <c r="L33" i="63"/>
  <c r="K33" i="63"/>
  <c r="E33" i="32"/>
  <c r="C32" i="63" s="1"/>
  <c r="F5" i="32"/>
  <c r="L32" i="63"/>
  <c r="K32" i="63"/>
  <c r="I32" i="63"/>
  <c r="J32" i="63"/>
  <c r="J64" i="63" s="1"/>
  <c r="Q32" i="63"/>
  <c r="R32" i="63"/>
  <c r="E33" i="36"/>
  <c r="C28" i="63" s="1"/>
  <c r="F5" i="36"/>
  <c r="P28" i="63"/>
  <c r="P64" i="63" s="1"/>
  <c r="O28" i="63"/>
  <c r="E33" i="60"/>
  <c r="C64" i="63" s="1"/>
  <c r="B55" i="62"/>
  <c r="D55" i="65"/>
  <c r="E55" i="65" s="1"/>
  <c r="F33" i="6"/>
  <c r="AD55" i="62" s="1"/>
  <c r="B41" i="62"/>
  <c r="D41" i="65"/>
  <c r="E41" i="65" s="1"/>
  <c r="F33" i="20"/>
  <c r="AD41" i="62" s="1"/>
  <c r="B42" i="62"/>
  <c r="D42" i="65"/>
  <c r="E42" i="65" s="1"/>
  <c r="F33" i="19"/>
  <c r="AD42" i="62" s="1"/>
  <c r="B37" i="62"/>
  <c r="D37" i="65"/>
  <c r="E37" i="65" s="1"/>
  <c r="F33" i="24"/>
  <c r="AD37" i="62" s="1"/>
  <c r="D11" i="65"/>
  <c r="E11" i="65" s="1"/>
  <c r="F33" i="50"/>
  <c r="AD11" i="62" s="1"/>
  <c r="D10" i="65"/>
  <c r="E10" i="65" s="1"/>
  <c r="F33" i="51"/>
  <c r="AD10" i="62" s="1"/>
  <c r="D51" i="65"/>
  <c r="E51" i="65" s="1"/>
  <c r="F33" i="10"/>
  <c r="AD51" i="62" s="1"/>
  <c r="D13" i="65"/>
  <c r="E13" i="65" s="1"/>
  <c r="F33" i="48"/>
  <c r="AD13" i="62" s="1"/>
  <c r="B31" i="62"/>
  <c r="D16" i="65"/>
  <c r="E16" i="65" s="1"/>
  <c r="F33" i="45"/>
  <c r="AD16" i="62" s="1"/>
  <c r="D28" i="65"/>
  <c r="E28" i="65" s="1"/>
  <c r="F33" i="33"/>
  <c r="AD28" i="62" s="1"/>
  <c r="D60" i="65"/>
  <c r="E60" i="65" s="1"/>
  <c r="F33" i="1"/>
  <c r="AD60" i="62" s="1"/>
  <c r="B47" i="62"/>
  <c r="D47" i="65"/>
  <c r="E47" i="65" s="1"/>
  <c r="F33" i="14"/>
  <c r="AD47" i="62" s="1"/>
  <c r="R64" i="63"/>
  <c r="B45" i="62"/>
  <c r="D45" i="65"/>
  <c r="E45" i="65" s="1"/>
  <c r="F33" i="16"/>
  <c r="AD45" i="62" s="1"/>
  <c r="B40" i="62"/>
  <c r="D40" i="65"/>
  <c r="E40" i="65" s="1"/>
  <c r="F33" i="21"/>
  <c r="AD40" i="62" s="1"/>
  <c r="B50" i="62"/>
  <c r="D50" i="65"/>
  <c r="E50" i="65" s="1"/>
  <c r="F33" i="11"/>
  <c r="AD50" i="62" s="1"/>
  <c r="B39" i="62"/>
  <c r="D39" i="65"/>
  <c r="E39" i="65" s="1"/>
  <c r="F33" i="22"/>
  <c r="AD39" i="62" s="1"/>
  <c r="B34" i="62"/>
  <c r="D34" i="65"/>
  <c r="E34" i="65" s="1"/>
  <c r="F33" i="27"/>
  <c r="AD34" i="62" s="1"/>
  <c r="B23" i="62"/>
  <c r="D23" i="65"/>
  <c r="E23" i="65" s="1"/>
  <c r="F33" i="38"/>
  <c r="AD23" i="62" s="1"/>
  <c r="B43" i="62"/>
  <c r="D43" i="65"/>
  <c r="E43" i="65" s="1"/>
  <c r="F33" i="18"/>
  <c r="AD43" i="62" s="1"/>
  <c r="B24" i="62"/>
  <c r="D24" i="65"/>
  <c r="E24" i="65" s="1"/>
  <c r="F33" i="37"/>
  <c r="AD24" i="62" s="1"/>
  <c r="B20" i="62"/>
  <c r="D20" i="65"/>
  <c r="E20" i="65" s="1"/>
  <c r="F33" i="41"/>
  <c r="AD20" i="62" s="1"/>
  <c r="B7" i="62"/>
  <c r="D7" i="65"/>
  <c r="E7" i="65" s="1"/>
  <c r="F33" i="54"/>
  <c r="AD7" i="62" s="1"/>
  <c r="B36" i="62"/>
  <c r="D36" i="65"/>
  <c r="E36" i="65" s="1"/>
  <c r="F33" i="25"/>
  <c r="AD36" i="62" s="1"/>
  <c r="B49" i="62"/>
  <c r="D49" i="65"/>
  <c r="E49" i="65" s="1"/>
  <c r="F33" i="12"/>
  <c r="AD49" i="62" s="1"/>
  <c r="B44" i="62"/>
  <c r="D44" i="65"/>
  <c r="E44" i="65" s="1"/>
  <c r="F33" i="17"/>
  <c r="AD44" i="62" s="1"/>
  <c r="B11" i="62"/>
  <c r="B10" i="62"/>
  <c r="B51" i="62"/>
  <c r="B13" i="62"/>
  <c r="D31" i="65"/>
  <c r="E31" i="65" s="1"/>
  <c r="F33" i="30"/>
  <c r="AD31" i="62" s="1"/>
  <c r="B16" i="62"/>
  <c r="B28" i="62"/>
  <c r="B60" i="62"/>
  <c r="B54" i="62"/>
  <c r="D54" i="65"/>
  <c r="E54" i="65" s="1"/>
  <c r="F33" i="7"/>
  <c r="AD54" i="62" s="1"/>
  <c r="B27" i="62"/>
  <c r="D27" i="65"/>
  <c r="E27" i="65" s="1"/>
  <c r="F33" i="34"/>
  <c r="AD27" i="62" s="1"/>
  <c r="B33" i="62"/>
  <c r="D33" i="65"/>
  <c r="E33" i="65" s="1"/>
  <c r="F33" i="28"/>
  <c r="AD33" i="62" s="1"/>
  <c r="B19" i="62"/>
  <c r="D19" i="65"/>
  <c r="E19" i="65" s="1"/>
  <c r="F33" i="42"/>
  <c r="AD19" i="62" s="1"/>
  <c r="H64" i="63"/>
  <c r="I64" i="63"/>
  <c r="B15" i="62"/>
  <c r="D15" i="65"/>
  <c r="E15" i="65" s="1"/>
  <c r="F33" i="46"/>
  <c r="AD15" i="62" s="1"/>
  <c r="B9" i="62"/>
  <c r="D9" i="65"/>
  <c r="E9" i="65" s="1"/>
  <c r="F33" i="52"/>
  <c r="AD9" i="62" s="1"/>
  <c r="B53" i="62"/>
  <c r="D53" i="65"/>
  <c r="E53" i="65" s="1"/>
  <c r="F33" i="8"/>
  <c r="AD53" i="62" s="1"/>
  <c r="B35" i="62"/>
  <c r="D35" i="65"/>
  <c r="E35" i="65" s="1"/>
  <c r="F33" i="26"/>
  <c r="AD35" i="62" s="1"/>
  <c r="B56" i="62"/>
  <c r="D56" i="65"/>
  <c r="E56" i="65" s="1"/>
  <c r="F33" i="5"/>
  <c r="AD56" i="62" s="1"/>
  <c r="B14" i="62"/>
  <c r="D14" i="65"/>
  <c r="E14" i="65" s="1"/>
  <c r="F33" i="47"/>
  <c r="AD14" i="62" s="1"/>
  <c r="B38" i="62"/>
  <c r="D38" i="65"/>
  <c r="E38" i="65" s="1"/>
  <c r="F33" i="23"/>
  <c r="AD38" i="62" s="1"/>
  <c r="B12" i="62"/>
  <c r="D12" i="65"/>
  <c r="E12" i="65" s="1"/>
  <c r="F33" i="49"/>
  <c r="AD12" i="62" s="1"/>
  <c r="B52" i="62"/>
  <c r="D52" i="65"/>
  <c r="E52" i="65" s="1"/>
  <c r="F33" i="9"/>
  <c r="AD52" i="62" s="1"/>
  <c r="B32" i="62"/>
  <c r="D32" i="65"/>
  <c r="E32" i="65" s="1"/>
  <c r="F33" i="29"/>
  <c r="AD32" i="62" s="1"/>
  <c r="B4" i="62"/>
  <c r="D4" i="65"/>
  <c r="F33" i="57"/>
  <c r="AD4" i="62" s="1"/>
  <c r="B6" i="62"/>
  <c r="D6" i="65"/>
  <c r="E6" i="65" s="1"/>
  <c r="F33" i="55"/>
  <c r="AD6" i="62" s="1"/>
  <c r="B5" i="62"/>
  <c r="D5" i="65"/>
  <c r="E5" i="65" s="1"/>
  <c r="F33" i="56"/>
  <c r="AD5" i="62" s="1"/>
  <c r="L64" i="63"/>
  <c r="B48" i="62"/>
  <c r="D48" i="65"/>
  <c r="E48" i="65" s="1"/>
  <c r="F33" i="13"/>
  <c r="AD48" i="62" s="1"/>
  <c r="B21" i="62"/>
  <c r="D21" i="65"/>
  <c r="E21" i="65" s="1"/>
  <c r="F33" i="40"/>
  <c r="AD21" i="62" s="1"/>
  <c r="B59" i="62"/>
  <c r="D59" i="65"/>
  <c r="E59" i="65" s="1"/>
  <c r="F33" i="59"/>
  <c r="AD59" i="62" s="1"/>
  <c r="B26" i="62"/>
  <c r="D26" i="65"/>
  <c r="E26" i="65" s="1"/>
  <c r="F33" i="35"/>
  <c r="AD26" i="62" s="1"/>
  <c r="B22" i="62"/>
  <c r="D22" i="65"/>
  <c r="E22" i="65" s="1"/>
  <c r="F33" i="39"/>
  <c r="AD22" i="62" s="1"/>
  <c r="B18" i="62"/>
  <c r="D18" i="65"/>
  <c r="E18" i="65" s="1"/>
  <c r="F33" i="43"/>
  <c r="AD18" i="62" s="1"/>
  <c r="B57" i="62"/>
  <c r="D57" i="65"/>
  <c r="E57" i="65" s="1"/>
  <c r="F33" i="4"/>
  <c r="AD57" i="62" s="1"/>
  <c r="B8" i="62"/>
  <c r="D8" i="65"/>
  <c r="E8" i="65" s="1"/>
  <c r="F33" i="53"/>
  <c r="AD8" i="62" s="1"/>
  <c r="B58" i="62"/>
  <c r="D58" i="65"/>
  <c r="E58" i="65" s="1"/>
  <c r="F33" i="3"/>
  <c r="AD58" i="62" s="1"/>
  <c r="B46" i="62"/>
  <c r="D46" i="65"/>
  <c r="E46" i="65" s="1"/>
  <c r="F33" i="15"/>
  <c r="AD46" i="62" s="1"/>
  <c r="B17" i="62"/>
  <c r="D17" i="65"/>
  <c r="E17" i="65" s="1"/>
  <c r="F33" i="44"/>
  <c r="AD17" i="62" s="1"/>
  <c r="D13" i="63" l="1"/>
  <c r="D16" i="63"/>
  <c r="D54" i="63"/>
  <c r="D14" i="63"/>
  <c r="V64" i="63"/>
  <c r="T64" i="63"/>
  <c r="F105" i="60"/>
  <c r="D63" i="63"/>
  <c r="D31" i="63"/>
  <c r="D19" i="63"/>
  <c r="D60" i="63"/>
  <c r="D20" i="63"/>
  <c r="D62" i="63"/>
  <c r="D24" i="63"/>
  <c r="D22" i="63"/>
  <c r="D36" i="63"/>
  <c r="D30" i="63"/>
  <c r="D52" i="63"/>
  <c r="D48" i="63"/>
  <c r="D35" i="63"/>
  <c r="D55" i="63"/>
  <c r="D15" i="63"/>
  <c r="D41" i="63"/>
  <c r="D17" i="63"/>
  <c r="D59" i="63"/>
  <c r="D39" i="63"/>
  <c r="D23" i="63"/>
  <c r="D27" i="63"/>
  <c r="D37" i="63"/>
  <c r="D53" i="63"/>
  <c r="D45" i="63"/>
  <c r="D9" i="63"/>
  <c r="D7" i="63"/>
  <c r="D49" i="63"/>
  <c r="D61" i="63"/>
  <c r="D11" i="63"/>
  <c r="D21" i="63"/>
  <c r="D25" i="63"/>
  <c r="D29" i="63"/>
  <c r="D51" i="63"/>
  <c r="D8" i="63"/>
  <c r="D38" i="63"/>
  <c r="D56" i="63"/>
  <c r="D12" i="63"/>
  <c r="D18" i="63"/>
  <c r="D57" i="63"/>
  <c r="D47" i="63"/>
  <c r="D10" i="63"/>
  <c r="D46" i="63"/>
  <c r="D26" i="63"/>
  <c r="D42" i="63"/>
  <c r="D43" i="63"/>
  <c r="D50" i="63"/>
  <c r="D34" i="63"/>
  <c r="D40" i="63"/>
  <c r="D44" i="63"/>
  <c r="D58" i="63"/>
  <c r="D25" i="65"/>
  <c r="E25" i="65" s="1"/>
  <c r="F33" i="36"/>
  <c r="AD25" i="62" s="1"/>
  <c r="B29" i="62"/>
  <c r="B30" i="62"/>
  <c r="B25" i="62"/>
  <c r="F33" i="32"/>
  <c r="AD29" i="62" s="1"/>
  <c r="D29" i="65"/>
  <c r="E29" i="65" s="1"/>
  <c r="F33" i="31"/>
  <c r="AD30" i="62" s="1"/>
  <c r="AD65" i="62" s="1"/>
  <c r="D30" i="65"/>
  <c r="E30" i="65" s="1"/>
  <c r="E4" i="65"/>
  <c r="B61" i="65"/>
  <c r="C61" i="65" s="1"/>
  <c r="F18" i="60"/>
  <c r="C17" i="66" s="1"/>
  <c r="I17" i="66" s="1"/>
  <c r="F11" i="60"/>
  <c r="C10" i="66" s="1"/>
  <c r="I10" i="66" s="1"/>
  <c r="F27" i="60"/>
  <c r="C26" i="66" s="1"/>
  <c r="I26" i="66" s="1"/>
  <c r="F12" i="60"/>
  <c r="C11" i="66" s="1"/>
  <c r="I11" i="66" s="1"/>
  <c r="F28" i="60"/>
  <c r="C27" i="66" s="1"/>
  <c r="I27" i="66" s="1"/>
  <c r="F21" i="60"/>
  <c r="C20" i="66" s="1"/>
  <c r="I20" i="66" s="1"/>
  <c r="F14" i="60"/>
  <c r="C13" i="66" s="1"/>
  <c r="I13" i="66" s="1"/>
  <c r="F30" i="60"/>
  <c r="C29" i="66" s="1"/>
  <c r="I29" i="66" s="1"/>
  <c r="F15" i="60"/>
  <c r="C14" i="66" s="1"/>
  <c r="I14" i="66" s="1"/>
  <c r="F16" i="60"/>
  <c r="C15" i="66" s="1"/>
  <c r="I15" i="66" s="1"/>
  <c r="F9" i="60"/>
  <c r="C8" i="66" s="1"/>
  <c r="I8" i="66" s="1"/>
  <c r="F25" i="60"/>
  <c r="C24" i="66" s="1"/>
  <c r="I24" i="66" s="1"/>
  <c r="F10" i="60"/>
  <c r="C9" i="66" s="1"/>
  <c r="I9" i="66" s="1"/>
  <c r="F26" i="60"/>
  <c r="C25" i="66" s="1"/>
  <c r="I25" i="66" s="1"/>
  <c r="F19" i="60"/>
  <c r="C18" i="66" s="1"/>
  <c r="I18" i="66" s="1"/>
  <c r="F20" i="60"/>
  <c r="C19" i="66" s="1"/>
  <c r="I19" i="66" s="1"/>
  <c r="F13" i="60"/>
  <c r="C12" i="66" s="1"/>
  <c r="I12" i="66" s="1"/>
  <c r="F29" i="60"/>
  <c r="C28" i="66" s="1"/>
  <c r="I28" i="66" s="1"/>
  <c r="F6" i="60"/>
  <c r="C5" i="66" s="1"/>
  <c r="I5" i="66" s="1"/>
  <c r="F22" i="60"/>
  <c r="C21" i="66" s="1"/>
  <c r="I21" i="66" s="1"/>
  <c r="F7" i="60"/>
  <c r="C6" i="66" s="1"/>
  <c r="I6" i="66" s="1"/>
  <c r="F23" i="60"/>
  <c r="C22" i="66" s="1"/>
  <c r="I22" i="66" s="1"/>
  <c r="F8" i="60"/>
  <c r="C7" i="66" s="1"/>
  <c r="I7" i="66" s="1"/>
  <c r="F24" i="60"/>
  <c r="C23" i="66" s="1"/>
  <c r="I23" i="66" s="1"/>
  <c r="F17" i="60"/>
  <c r="C16" i="66" s="1"/>
  <c r="I16" i="66" s="1"/>
  <c r="F5" i="60"/>
  <c r="C4" i="66" s="1"/>
  <c r="F33" i="60"/>
  <c r="AD61" i="62" s="1"/>
  <c r="C34" i="66" l="1"/>
  <c r="I34" i="66" s="1"/>
  <c r="I4" i="66"/>
  <c r="C32" i="66"/>
  <c r="I32" i="66" s="1"/>
  <c r="C33" i="66"/>
  <c r="I33" i="66" s="1"/>
  <c r="B62" i="62"/>
  <c r="AD64" i="62"/>
  <c r="B63" i="62"/>
  <c r="B64" i="62"/>
  <c r="B65" i="62"/>
  <c r="D61" i="65"/>
  <c r="E61" i="65" s="1"/>
  <c r="D28" i="63"/>
  <c r="D32" i="63"/>
  <c r="D33" i="63"/>
  <c r="AD63" i="62"/>
  <c r="AD62" i="62"/>
  <c r="B61" i="62"/>
  <c r="U61" i="62"/>
  <c r="T61" i="62"/>
  <c r="S61" i="62"/>
  <c r="Z61" i="62"/>
  <c r="Q61" i="62"/>
  <c r="W61" i="62"/>
  <c r="V61" i="62"/>
  <c r="M61" i="62"/>
  <c r="AA61" i="62"/>
  <c r="R61" i="62"/>
  <c r="I61" i="62"/>
  <c r="H61" i="62"/>
  <c r="N61" i="62"/>
  <c r="E61" i="62"/>
  <c r="D61" i="62"/>
  <c r="C61" i="62"/>
  <c r="J61" i="62"/>
  <c r="P61" i="62"/>
  <c r="G61" i="62"/>
  <c r="F61" i="62"/>
  <c r="L61" i="62"/>
  <c r="K61" i="62"/>
  <c r="Y61" i="62"/>
  <c r="X61" i="62"/>
  <c r="O61" i="62"/>
  <c r="D64" i="63" l="1"/>
</calcChain>
</file>

<file path=xl/connections.xml><?xml version="1.0" encoding="utf-8"?>
<connections xmlns="http://schemas.openxmlformats.org/spreadsheetml/2006/main">
  <connection id="1" keepAlive="1" name="Broadway AP_FRP_RFOE CCSurvey" type="5" refreshedVersion="4" deleted="1" background="1" saveData="1">
    <dbPr connection="" command="" commandType="3"/>
  </connection>
</connections>
</file>

<file path=xl/sharedStrings.xml><?xml version="1.0" encoding="utf-8"?>
<sst xmlns="http://schemas.openxmlformats.org/spreadsheetml/2006/main" count="9552" uniqueCount="1094">
  <si>
    <t>Agriculture</t>
  </si>
  <si>
    <t>Architecture and Precision Production Trades</t>
  </si>
  <si>
    <t>Biology, Physical Sciences, and Science Technology</t>
  </si>
  <si>
    <t>Business Management, Marketing, and Administrative Services</t>
  </si>
  <si>
    <t>Career Pilot</t>
  </si>
  <si>
    <t>Communications</t>
  </si>
  <si>
    <t>Computer and Information Sciences</t>
  </si>
  <si>
    <t>Construction Trades</t>
  </si>
  <si>
    <t>Consumer and Homemaking Education</t>
  </si>
  <si>
    <t>Engineering</t>
  </si>
  <si>
    <t>Engineering Related</t>
  </si>
  <si>
    <t>English Language, Lit, Philosophy, Humanities, &amp; Interdisciplinary</t>
  </si>
  <si>
    <t>Foreign Languages</t>
  </si>
  <si>
    <t>Health Occupations - Dental Hygiene</t>
  </si>
  <si>
    <t>Health Occupations - Other</t>
  </si>
  <si>
    <t>Health Occupations - Respiratory Therapy</t>
  </si>
  <si>
    <t>Health Occupations - Vocational Nursing</t>
  </si>
  <si>
    <t>Mathematics</t>
  </si>
  <si>
    <t>Mechanics and Repairers - Automotive</t>
  </si>
  <si>
    <t>Mechanics and Repairers - Electronics</t>
  </si>
  <si>
    <t>Physical Education and Fitness</t>
  </si>
  <si>
    <t>Protective Services and Public Administration</t>
  </si>
  <si>
    <t>Psychology, Social Sciences, and History</t>
  </si>
  <si>
    <t>Visual and Performing Arts</t>
  </si>
  <si>
    <t>Developmental Education - Math</t>
  </si>
  <si>
    <t>Developmental Education - Reading/Writing</t>
  </si>
  <si>
    <t>Fund</t>
  </si>
  <si>
    <t>Contact Hours</t>
  </si>
  <si>
    <t>Research</t>
  </si>
  <si>
    <t>Local Benefits</t>
  </si>
  <si>
    <t>Institutional Support</t>
  </si>
  <si>
    <t>Student Services</t>
  </si>
  <si>
    <t>Academic Support</t>
  </si>
  <si>
    <t>Scholarships and Fellowships</t>
  </si>
  <si>
    <t>Equipment Depreciation</t>
  </si>
  <si>
    <t>Total</t>
  </si>
  <si>
    <t>FICE</t>
  </si>
  <si>
    <t>Password</t>
  </si>
  <si>
    <t>Approved</t>
  </si>
  <si>
    <t>ApprovalDate</t>
  </si>
  <si>
    <t>LastMod</t>
  </si>
  <si>
    <t>CBNote</t>
  </si>
  <si>
    <t>dist_name</t>
  </si>
  <si>
    <t>person</t>
  </si>
  <si>
    <t>title</t>
  </si>
  <si>
    <t>phone</t>
  </si>
  <si>
    <t>email</t>
  </si>
  <si>
    <t>GrandTotal</t>
  </si>
  <si>
    <t>SecATotal</t>
  </si>
  <si>
    <t>SecBTotal</t>
  </si>
  <si>
    <t>AFRExb2</t>
  </si>
  <si>
    <t>Difference</t>
  </si>
  <si>
    <t>Sec2Local</t>
  </si>
  <si>
    <t>Sec2State</t>
  </si>
  <si>
    <t>Sec2_Total</t>
  </si>
  <si>
    <t>Sec3SW1</t>
  </si>
  <si>
    <t>Sec3SW2</t>
  </si>
  <si>
    <t>Sec3SW3</t>
  </si>
  <si>
    <t>Sec3SW4</t>
  </si>
  <si>
    <t>Sec3SW5</t>
  </si>
  <si>
    <t>Sec3SW6</t>
  </si>
  <si>
    <t>Sec3SWTotal</t>
  </si>
  <si>
    <t>Sec3Oth1</t>
  </si>
  <si>
    <t>Sec3Oth2</t>
  </si>
  <si>
    <t>Sec3Oth3</t>
  </si>
  <si>
    <t>Sec3Oth4</t>
  </si>
  <si>
    <t>Sec3Oth5</t>
  </si>
  <si>
    <t>Sec3Oth6</t>
  </si>
  <si>
    <t>Sec3OthTotal</t>
  </si>
  <si>
    <t>Sec3_1</t>
  </si>
  <si>
    <t>Sec3_2</t>
  </si>
  <si>
    <t>Sec3_3</t>
  </si>
  <si>
    <t>Sec3_4</t>
  </si>
  <si>
    <t>Sec3_5</t>
  </si>
  <si>
    <t>Sec3_6</t>
  </si>
  <si>
    <t>Sec3_Total</t>
  </si>
  <si>
    <t>Sec4SW1</t>
  </si>
  <si>
    <t>Sec4SW2</t>
  </si>
  <si>
    <t>Sec4SW3</t>
  </si>
  <si>
    <t>Sec4SW4</t>
  </si>
  <si>
    <t>Sec4SWTotal</t>
  </si>
  <si>
    <t>Sec4Oth1</t>
  </si>
  <si>
    <t>Sec4Oth2</t>
  </si>
  <si>
    <t>Sec4Oth3</t>
  </si>
  <si>
    <t>Sec4Oth4</t>
  </si>
  <si>
    <t>Sec4OthTotal</t>
  </si>
  <si>
    <t>Sec4_1</t>
  </si>
  <si>
    <t>Sec4_2</t>
  </si>
  <si>
    <t>Sec4_3</t>
  </si>
  <si>
    <t>Sec4_4</t>
  </si>
  <si>
    <t>Sec4_Total</t>
  </si>
  <si>
    <t>Sec5SW1</t>
  </si>
  <si>
    <t>Sec5SW2</t>
  </si>
  <si>
    <t>Sec5SW3</t>
  </si>
  <si>
    <t>Sec5SW4</t>
  </si>
  <si>
    <t>Sec5SW5</t>
  </si>
  <si>
    <t>Sec5SWTotal</t>
  </si>
  <si>
    <t>Sec5SB1</t>
  </si>
  <si>
    <t>Sec5SB2</t>
  </si>
  <si>
    <t>Sec5SB3</t>
  </si>
  <si>
    <t>Sec5SB4</t>
  </si>
  <si>
    <t>Sec5SB5</t>
  </si>
  <si>
    <t>Sec5SBTotal</t>
  </si>
  <si>
    <t>Sec5Oth1</t>
  </si>
  <si>
    <t>Sec5Oth2</t>
  </si>
  <si>
    <t>Sec5Oth3</t>
  </si>
  <si>
    <t>Sec5Oth4</t>
  </si>
  <si>
    <t>Sec5Oth5</t>
  </si>
  <si>
    <t>Sec5OthTotal</t>
  </si>
  <si>
    <t>Sec5_1</t>
  </si>
  <si>
    <t>Sec5_2</t>
  </si>
  <si>
    <t>Sec5_3</t>
  </si>
  <si>
    <t>Sec5_4</t>
  </si>
  <si>
    <t>Sec5_5</t>
  </si>
  <si>
    <t>Sec5_Total</t>
  </si>
  <si>
    <t>Sec6SW1</t>
  </si>
  <si>
    <t>Sec6SW2</t>
  </si>
  <si>
    <t>Sec6SW3</t>
  </si>
  <si>
    <t>Sec6SWTotal</t>
  </si>
  <si>
    <t>Sec6SB1</t>
  </si>
  <si>
    <t>Sec6SB2</t>
  </si>
  <si>
    <t>Sec6SB3</t>
  </si>
  <si>
    <t>Sec6SBTotal</t>
  </si>
  <si>
    <t>Sec6Oth1</t>
  </si>
  <si>
    <t>Sec6Oth2</t>
  </si>
  <si>
    <t>Sec6Oth3</t>
  </si>
  <si>
    <t>Sec6OthTotal</t>
  </si>
  <si>
    <t>Sec6_1</t>
  </si>
  <si>
    <t>Sec6_2</t>
  </si>
  <si>
    <t>Sec6_3</t>
  </si>
  <si>
    <t>Sec6_Total</t>
  </si>
  <si>
    <t>FICE_Link</t>
  </si>
  <si>
    <t>LocalBenefits</t>
  </si>
  <si>
    <t>StateBenefits</t>
  </si>
  <si>
    <t>HRS1</t>
  </si>
  <si>
    <t>HRS2</t>
  </si>
  <si>
    <t>HRS3</t>
  </si>
  <si>
    <t>HRS4</t>
  </si>
  <si>
    <t>HRS5</t>
  </si>
  <si>
    <t>HRS6</t>
  </si>
  <si>
    <t>HRS7</t>
  </si>
  <si>
    <t>HRS8</t>
  </si>
  <si>
    <t>HRS9</t>
  </si>
  <si>
    <t>HRS10</t>
  </si>
  <si>
    <t>HRS11</t>
  </si>
  <si>
    <t>HRS12</t>
  </si>
  <si>
    <t>HRS13</t>
  </si>
  <si>
    <t>HRS14</t>
  </si>
  <si>
    <t>HRS15</t>
  </si>
  <si>
    <t>HRS16</t>
  </si>
  <si>
    <t>HRS17</t>
  </si>
  <si>
    <t>HRS18</t>
  </si>
  <si>
    <t>HRS19</t>
  </si>
  <si>
    <t>HRS20</t>
  </si>
  <si>
    <t>HRS21</t>
  </si>
  <si>
    <t>HRS22</t>
  </si>
  <si>
    <t>HRS23</t>
  </si>
  <si>
    <t>HRS24</t>
  </si>
  <si>
    <t>HRS25</t>
  </si>
  <si>
    <t>HRS26</t>
  </si>
  <si>
    <t>HRS27</t>
  </si>
  <si>
    <t>HRS28</t>
  </si>
  <si>
    <t>HRS29</t>
  </si>
  <si>
    <t>HRSTotal</t>
  </si>
  <si>
    <t>FacSal1</t>
  </si>
  <si>
    <t>FacSal2</t>
  </si>
  <si>
    <t>FacSal3</t>
  </si>
  <si>
    <t>FacSal4</t>
  </si>
  <si>
    <t>FacSal5</t>
  </si>
  <si>
    <t>FacSal6</t>
  </si>
  <si>
    <t>FacSal7</t>
  </si>
  <si>
    <t>FacSal8</t>
  </si>
  <si>
    <t>FacSal9</t>
  </si>
  <si>
    <t>FacSal10</t>
  </si>
  <si>
    <t>FacSal11</t>
  </si>
  <si>
    <t>FacSal12</t>
  </si>
  <si>
    <t>FacSal13</t>
  </si>
  <si>
    <t>FacSal14</t>
  </si>
  <si>
    <t>FacSal15</t>
  </si>
  <si>
    <t>FacSal16</t>
  </si>
  <si>
    <t>FacSal17</t>
  </si>
  <si>
    <t>FacSal18</t>
  </si>
  <si>
    <t>FacSal19</t>
  </si>
  <si>
    <t>FacSal20</t>
  </si>
  <si>
    <t>FacSal21</t>
  </si>
  <si>
    <t>FacSal22</t>
  </si>
  <si>
    <t>FacSal23</t>
  </si>
  <si>
    <t>FacSal24</t>
  </si>
  <si>
    <t>FacSal25</t>
  </si>
  <si>
    <t>FacSal26</t>
  </si>
  <si>
    <t>FacSal27</t>
  </si>
  <si>
    <t>FacSal28</t>
  </si>
  <si>
    <t>FacSal29</t>
  </si>
  <si>
    <t>FacSalTotal</t>
  </si>
  <si>
    <t>OthSal1</t>
  </si>
  <si>
    <t>OthSal2</t>
  </si>
  <si>
    <t>OthSal3</t>
  </si>
  <si>
    <t>OthSal4</t>
  </si>
  <si>
    <t>OthSal5</t>
  </si>
  <si>
    <t>OthSal6</t>
  </si>
  <si>
    <t>OthSal7</t>
  </si>
  <si>
    <t>OthSal8</t>
  </si>
  <si>
    <t>OthSal9</t>
  </si>
  <si>
    <t>OthSal10</t>
  </si>
  <si>
    <t>OthSal11</t>
  </si>
  <si>
    <t>OthSal12</t>
  </si>
  <si>
    <t>OthSal13</t>
  </si>
  <si>
    <t>OthSal14</t>
  </si>
  <si>
    <t>OthSal15</t>
  </si>
  <si>
    <t>OthSal16</t>
  </si>
  <si>
    <t>OthSal17</t>
  </si>
  <si>
    <t>OthSal18</t>
  </si>
  <si>
    <t>OthSal19</t>
  </si>
  <si>
    <t>OthSal20</t>
  </si>
  <si>
    <t>OthSal21</t>
  </si>
  <si>
    <t>OthSal22</t>
  </si>
  <si>
    <t>OthSal23</t>
  </si>
  <si>
    <t>OthSal24</t>
  </si>
  <si>
    <t>OthSal25</t>
  </si>
  <si>
    <t>OthSal26</t>
  </si>
  <si>
    <t>OthSal27</t>
  </si>
  <si>
    <t>OthSal28</t>
  </si>
  <si>
    <t>OthSal29</t>
  </si>
  <si>
    <t>OthSalTotal</t>
  </si>
  <si>
    <t>Benefits1</t>
  </si>
  <si>
    <t>Benefits2</t>
  </si>
  <si>
    <t>Benefits3</t>
  </si>
  <si>
    <t>Benefits4</t>
  </si>
  <si>
    <t>Benefits5</t>
  </si>
  <si>
    <t>Benefits6</t>
  </si>
  <si>
    <t>Benefits7</t>
  </si>
  <si>
    <t>Benefits8</t>
  </si>
  <si>
    <t>Benefits9</t>
  </si>
  <si>
    <t>Benefits10</t>
  </si>
  <si>
    <t>Benefits11</t>
  </si>
  <si>
    <t>Benefits12</t>
  </si>
  <si>
    <t>Benefits13</t>
  </si>
  <si>
    <t>Benefits14</t>
  </si>
  <si>
    <t>Benefits15</t>
  </si>
  <si>
    <t>Benefits16</t>
  </si>
  <si>
    <t>Benefits17</t>
  </si>
  <si>
    <t>Benefits18</t>
  </si>
  <si>
    <t>Benefits19</t>
  </si>
  <si>
    <t>Benefits20</t>
  </si>
  <si>
    <t>Benefits21</t>
  </si>
  <si>
    <t>Benefits22</t>
  </si>
  <si>
    <t>Benefits23</t>
  </si>
  <si>
    <t>Benefits24</t>
  </si>
  <si>
    <t>Benefits25</t>
  </si>
  <si>
    <t>Benefits26</t>
  </si>
  <si>
    <t>Benefits27</t>
  </si>
  <si>
    <t>Benefits28</t>
  </si>
  <si>
    <t>Benefits29</t>
  </si>
  <si>
    <t>BenefitsTotal</t>
  </si>
  <si>
    <t>OtherOps1</t>
  </si>
  <si>
    <t>OtherOps2</t>
  </si>
  <si>
    <t>OtherOps3</t>
  </si>
  <si>
    <t>OtherOps4</t>
  </si>
  <si>
    <t>OtherOps5</t>
  </si>
  <si>
    <t>OtherOps6</t>
  </si>
  <si>
    <t>OtherOps7</t>
  </si>
  <si>
    <t>OtherOps8</t>
  </si>
  <si>
    <t>OtherOps9</t>
  </si>
  <si>
    <t>OtherOps10</t>
  </si>
  <si>
    <t>OtherOps11</t>
  </si>
  <si>
    <t>OtherOps12</t>
  </si>
  <si>
    <t>OtherOps13</t>
  </si>
  <si>
    <t>OtherOps14</t>
  </si>
  <si>
    <t>OtherOps15</t>
  </si>
  <si>
    <t>OtherOps16</t>
  </si>
  <si>
    <t>OtherOps17</t>
  </si>
  <si>
    <t>OtherOps18</t>
  </si>
  <si>
    <t>OtherOps19</t>
  </si>
  <si>
    <t>OtherOps20</t>
  </si>
  <si>
    <t>OtherOps21</t>
  </si>
  <si>
    <t>OtherOps22</t>
  </si>
  <si>
    <t>OtherOps23</t>
  </si>
  <si>
    <t>OtherOps24</t>
  </si>
  <si>
    <t>OtherOps25</t>
  </si>
  <si>
    <t>OtherOps26</t>
  </si>
  <si>
    <t>OtherOps27</t>
  </si>
  <si>
    <t>OtherOps28</t>
  </si>
  <si>
    <t>OtherOps29</t>
  </si>
  <si>
    <t>OtherOpsTotal</t>
  </si>
  <si>
    <t>DOE1</t>
  </si>
  <si>
    <t>DOE2</t>
  </si>
  <si>
    <t>DOE3</t>
  </si>
  <si>
    <t>DOE4</t>
  </si>
  <si>
    <t>DOE5</t>
  </si>
  <si>
    <t>DOE6</t>
  </si>
  <si>
    <t>DOE7</t>
  </si>
  <si>
    <t>DOE8</t>
  </si>
  <si>
    <t>DOE9</t>
  </si>
  <si>
    <t>DOE10</t>
  </si>
  <si>
    <t>DOE11</t>
  </si>
  <si>
    <t>DOE12</t>
  </si>
  <si>
    <t>DOE13</t>
  </si>
  <si>
    <t>DOE14</t>
  </si>
  <si>
    <t>DOE15</t>
  </si>
  <si>
    <t>DOE16</t>
  </si>
  <si>
    <t>DOE17</t>
  </si>
  <si>
    <t>DOE18</t>
  </si>
  <si>
    <t>DOE19</t>
  </si>
  <si>
    <t>DOE20</t>
  </si>
  <si>
    <t>DOE21</t>
  </si>
  <si>
    <t>DOE22</t>
  </si>
  <si>
    <t>DOE23</t>
  </si>
  <si>
    <t>DOE24</t>
  </si>
  <si>
    <t>DOE25</t>
  </si>
  <si>
    <t>DOE26</t>
  </si>
  <si>
    <t>DOE27</t>
  </si>
  <si>
    <t>DOE28</t>
  </si>
  <si>
    <t>DOE29</t>
  </si>
  <si>
    <t>DOETotal</t>
  </si>
  <si>
    <t>Total1</t>
  </si>
  <si>
    <t>Total2</t>
  </si>
  <si>
    <t>Total3</t>
  </si>
  <si>
    <t>Total4</t>
  </si>
  <si>
    <t>Total5</t>
  </si>
  <si>
    <t>Total6</t>
  </si>
  <si>
    <t>Total7</t>
  </si>
  <si>
    <t>Total8</t>
  </si>
  <si>
    <t>Total9</t>
  </si>
  <si>
    <t>Total10</t>
  </si>
  <si>
    <t>Total11</t>
  </si>
  <si>
    <t>Total12</t>
  </si>
  <si>
    <t>Total13</t>
  </si>
  <si>
    <t>Total14</t>
  </si>
  <si>
    <t>Total15</t>
  </si>
  <si>
    <t>Total16</t>
  </si>
  <si>
    <t>Total17</t>
  </si>
  <si>
    <t>Total18</t>
  </si>
  <si>
    <t>Total19</t>
  </si>
  <si>
    <t>Total20</t>
  </si>
  <si>
    <t>Total21</t>
  </si>
  <si>
    <t>Total22</t>
  </si>
  <si>
    <t>Total23</t>
  </si>
  <si>
    <t>Total24</t>
  </si>
  <si>
    <t>Total25</t>
  </si>
  <si>
    <t>Total26</t>
  </si>
  <si>
    <t>Total27</t>
  </si>
  <si>
    <t>Total28</t>
  </si>
  <si>
    <t>Total29</t>
  </si>
  <si>
    <t>Sec1_Total</t>
  </si>
  <si>
    <t>Comments</t>
  </si>
  <si>
    <t>PartA</t>
  </si>
  <si>
    <t>PartB</t>
  </si>
  <si>
    <t>GrandTotalExpenses</t>
  </si>
  <si>
    <t>AFRDifference</t>
  </si>
  <si>
    <t>Depreciation</t>
  </si>
  <si>
    <t>003539</t>
  </si>
  <si>
    <t>Alvin Community College</t>
  </si>
  <si>
    <t>003540</t>
  </si>
  <si>
    <t>Amarillo College</t>
  </si>
  <si>
    <t>003546</t>
  </si>
  <si>
    <t>Coastal Bend College</t>
  </si>
  <si>
    <t>003549</t>
  </si>
  <si>
    <t>Blinn College</t>
  </si>
  <si>
    <t>003553</t>
  </si>
  <si>
    <t>Cisco Junior College</t>
  </si>
  <si>
    <t>003554</t>
  </si>
  <si>
    <t>Clarendon College</t>
  </si>
  <si>
    <t>003558</t>
  </si>
  <si>
    <t>North Central Texas College</t>
  </si>
  <si>
    <t>003563</t>
  </si>
  <si>
    <t>Del Mar College</t>
  </si>
  <si>
    <t>003568</t>
  </si>
  <si>
    <t>Frank Phillips College</t>
  </si>
  <si>
    <t>003570</t>
  </si>
  <si>
    <t>Grayson County College</t>
  </si>
  <si>
    <t>003572</t>
  </si>
  <si>
    <t>Trinity Valley Community College</t>
  </si>
  <si>
    <t>003573</t>
  </si>
  <si>
    <t>Hill College</t>
  </si>
  <si>
    <t>003574</t>
  </si>
  <si>
    <t>Howard College</t>
  </si>
  <si>
    <t>003580</t>
  </si>
  <si>
    <t>Kilgore College</t>
  </si>
  <si>
    <t>003582</t>
  </si>
  <si>
    <t>Laredo Community College</t>
  </si>
  <si>
    <t>003583</t>
  </si>
  <si>
    <t>Lee College</t>
  </si>
  <si>
    <t>003590</t>
  </si>
  <si>
    <t>McLennan Community College</t>
  </si>
  <si>
    <t>003593</t>
  </si>
  <si>
    <t>Navarro College</t>
  </si>
  <si>
    <t>003596</t>
  </si>
  <si>
    <t>Odessa College</t>
  </si>
  <si>
    <t>003600</t>
  </si>
  <si>
    <t>Panola College</t>
  </si>
  <si>
    <t>003601</t>
  </si>
  <si>
    <t>Paris Junior College</t>
  </si>
  <si>
    <t>003603</t>
  </si>
  <si>
    <t>Ranger College</t>
  </si>
  <si>
    <t>003607</t>
  </si>
  <si>
    <t>Alamo Community College District</t>
  </si>
  <si>
    <t>003609</t>
  </si>
  <si>
    <t>San Jacinto College District</t>
  </si>
  <si>
    <t>003611</t>
  </si>
  <si>
    <t>South Plains College</t>
  </si>
  <si>
    <t>003614</t>
  </si>
  <si>
    <t>Southwest Texas Junior College</t>
  </si>
  <si>
    <t>Tarrant County College District</t>
  </si>
  <si>
    <t>003627</t>
  </si>
  <si>
    <t>Temple College</t>
  </si>
  <si>
    <t>003628</t>
  </si>
  <si>
    <t>Texarkana College</t>
  </si>
  <si>
    <t>003634</t>
  </si>
  <si>
    <t>Texas State Technical College-Waco</t>
  </si>
  <si>
    <t>003643</t>
  </si>
  <si>
    <t>Texas Southmost College</t>
  </si>
  <si>
    <t>003648</t>
  </si>
  <si>
    <t>Tyler Junior College</t>
  </si>
  <si>
    <t>003662</t>
  </si>
  <si>
    <t>Victoria College, The</t>
  </si>
  <si>
    <t>003664</t>
  </si>
  <si>
    <t>Weatherford College</t>
  </si>
  <si>
    <t>003668</t>
  </si>
  <si>
    <t>Wharton County Junior College</t>
  </si>
  <si>
    <t>004003</t>
  </si>
  <si>
    <t>Central Texas College</t>
  </si>
  <si>
    <t>006661</t>
  </si>
  <si>
    <t>Angelina College</t>
  </si>
  <si>
    <t>006662</t>
  </si>
  <si>
    <t>Galveston College</t>
  </si>
  <si>
    <t>007096</t>
  </si>
  <si>
    <t>College of the Mainland Community College District</t>
  </si>
  <si>
    <t>007857</t>
  </si>
  <si>
    <t>Brazosport College</t>
  </si>
  <si>
    <t>009225</t>
  </si>
  <si>
    <t>Texas State Technical College-Harlingen</t>
  </si>
  <si>
    <t>009549</t>
  </si>
  <si>
    <t>Western Texas College</t>
  </si>
  <si>
    <t>009797</t>
  </si>
  <si>
    <t>Midland College</t>
  </si>
  <si>
    <t>009932</t>
  </si>
  <si>
    <t>Texas State Technical College-West Texas</t>
  </si>
  <si>
    <t>010060</t>
  </si>
  <si>
    <t>Vernon College</t>
  </si>
  <si>
    <t>010387</t>
  </si>
  <si>
    <t>El Paso Community College</t>
  </si>
  <si>
    <t>010633</t>
  </si>
  <si>
    <t>Houston Community College System</t>
  </si>
  <si>
    <t>011145</t>
  </si>
  <si>
    <t>012015</t>
  </si>
  <si>
    <t>Austin Community College</t>
  </si>
  <si>
    <t>023154</t>
  </si>
  <si>
    <t>Northeast Texas Community College</t>
  </si>
  <si>
    <t>023485</t>
  </si>
  <si>
    <t>Lamar State College-Port Arthur</t>
  </si>
  <si>
    <t>023582</t>
  </si>
  <si>
    <t>Lamar State College-Orange</t>
  </si>
  <si>
    <t>023614</t>
  </si>
  <si>
    <t>Collin County Community College District</t>
  </si>
  <si>
    <t>029150</t>
  </si>
  <si>
    <t>Dallas County Community College District</t>
  </si>
  <si>
    <t>South Texas College</t>
  </si>
  <si>
    <t>Texas State Technical Collage-Marshall</t>
  </si>
  <si>
    <t>Lamar Institute of Technology</t>
  </si>
  <si>
    <t>Faculty Salaries</t>
  </si>
  <si>
    <t>Departmental Operating Expense</t>
  </si>
  <si>
    <t>Mechanics and Repairers - Diesel, Aviation Mechanics, and Transportation Workers</t>
  </si>
  <si>
    <t>Expense</t>
  </si>
  <si>
    <t>Expense per Contact Hour</t>
  </si>
  <si>
    <t>Health Occupations - Dental Assistants, Medical Lab, and Assoc. Degree Nursing</t>
  </si>
  <si>
    <t>Total Expense by
 Discipline</t>
  </si>
  <si>
    <t>Departmental Operating Expense by
 Discipline</t>
  </si>
  <si>
    <t>Faculty Salaries by
 Discipline</t>
  </si>
  <si>
    <t>Allocated Administrative Expense</t>
  </si>
  <si>
    <t>Not Used</t>
  </si>
  <si>
    <t>Other Allocated Administrative Expenses - Institutional Support - Salaries and Wages</t>
  </si>
  <si>
    <t>Other Allocated Administrative Expenses - Student Services - Salaries and Wages</t>
  </si>
  <si>
    <t>Other Allocated Administrative Expenses - Academic Support - Salaries and Wages</t>
  </si>
  <si>
    <t>Other Allocated Administrative Expenses - Scholarships and Fellowships - Salaries and Wages</t>
  </si>
  <si>
    <t>Other Allocated Administrative Expenses - Total - Salaries and Wages</t>
  </si>
  <si>
    <t>Other Allocated Administrative Expenses - Institutional Support - Other Operating Expenses</t>
  </si>
  <si>
    <t>Other Allocated Administrative Expenses - Student Services - Other Operating Expenses</t>
  </si>
  <si>
    <t>Other Allocated Administrative Expenses - Academic Support - Other Operating Expenses</t>
  </si>
  <si>
    <t>Other Allocated Administrative Expenses - Research - Salaries and Support</t>
  </si>
  <si>
    <t>Other Allocated Administrative Expenses - Scholarships and Fellowships - Other Operating Expenses</t>
  </si>
  <si>
    <t>Other Allocated Administrative Expenses - Equipment Depreciation - Other Operating Expenses</t>
  </si>
  <si>
    <t>Other Allocated Administrative Expenses - Total - Other Operating Expenses</t>
  </si>
  <si>
    <t>Reconciling Items Non-Fundable, Unrestricted Operating Expenses - Public Services - Museums - Salaries and Wages</t>
  </si>
  <si>
    <t>Reconciling Items Non-Fundable, Unrestricted Operating Expenses - Public Services - Non-state Funded Educational Programs - Salaries and Wages</t>
  </si>
  <si>
    <t>Reconciling Items Non-Fundable, Unrestricted Operating Expenses - Public Services - Other Public Services - Salaries and Wages</t>
  </si>
  <si>
    <t>Reconciling Items Non-Fundable, Unrestricted Operating Expenses - Public Services - Total - Salaries and Wages</t>
  </si>
  <si>
    <t>Reconciling Items Non-Fundable, Unrestricted Operating Expenses - Public Services - Non-state Funded Educational Programs - Other Operating Expenses</t>
  </si>
  <si>
    <t>Reconciling Items Non-Fundable, Unrestricted Operating Expenses - Public Services - Museums - Other Operating Expenses</t>
  </si>
  <si>
    <t>Reconciling Items Non-Fundable, Unrestricted Operating Expenses - Public Services - Other Public Services - Other Operating Expenses</t>
  </si>
  <si>
    <t>Reconciling Items Non-Fundable, Unrestricted Operating Expenses - Public Services - Depreciation of Public Service Equipment - Other Operating Expenses</t>
  </si>
  <si>
    <t>Reconciling Items Non-Fundable, Unrestricted Operating Expenses - Public Services - Total - Other Operating Expenses</t>
  </si>
  <si>
    <t xml:space="preserve">Reconciling Items Non-Fundable, Unrestricted Operating Expenses - Public Services - Non-state Funded Educational Programs </t>
  </si>
  <si>
    <t xml:space="preserve">Reconciling Items Non-Fundable, Unrestricted Operating Expenses - Public Services - Museums </t>
  </si>
  <si>
    <t xml:space="preserve">Reconciling Items Non-Fundable, Unrestricted Operating Expenses - Public Services - Other Public Services </t>
  </si>
  <si>
    <t xml:space="preserve">Reconciling Items Non-Fundable, Unrestricted Operating Expenses - Public Services - Depreciation of Public Service Equipment </t>
  </si>
  <si>
    <t xml:space="preserve">Reconciling Items Non-Fundable, Unrestricted Operating Expenses - Public Services - Total </t>
  </si>
  <si>
    <t>Reconciling Items Non-Fundable, Unrestricted Operating Expenses - Operations And Maintenance Of Plant - Physical Plant Services - Salaries And Wages</t>
  </si>
  <si>
    <t>Reconciling Items Non-Fundable, Unrestricted Operating Expenses - Operations And Maintenance Of Plant - Major Repairs and Renovations - Salaries And Wages</t>
  </si>
  <si>
    <t>Reconciling Items Non-Fundable, Unrestricted Operating Expenses - Operations And Maintenance Of Plant - Total - Salaries And Wages</t>
  </si>
  <si>
    <t>Reconciling Items Non-Fundable, Unrestricted Operating Expenses - Operations And Maintenance Of Plant - Staff Benefits</t>
  </si>
  <si>
    <t>Reconciling Items Non-Fundable, Unrestricted Operating Expenses - Operations And Maintenance Of Plant - Physical Plant Services - Other Operating Expense</t>
  </si>
  <si>
    <t>Reconciling Items Non-Fundable, Unrestricted Operating Expenses - Operations And Maintenance Of Plant - Major Repairs and Renovations - Other Operating Expenses</t>
  </si>
  <si>
    <t>Reconciling Items Non-Fundable, Unrestricted Operating Expenses - Operations And Maintenance Of Plant - Depreciation of Physical Plant Equipment - Other Operating Expenses</t>
  </si>
  <si>
    <t>Reconciling Items Non-Fundable, Unrestricted Operating Expenses - Operations And Maintenance Of Plant - Total - Other Operating Expenses</t>
  </si>
  <si>
    <t>Reconciling Items Non-Fundable, Unrestricted Operating Expenses - Operations And Maintenance Of Plant - Physical Plant Services - Total</t>
  </si>
  <si>
    <t>Reconciling Items Non-Fundable, Unrestricted Operating Expenses - Operations And Maintenance Of Plant - Major Repairs and Renovations - Total</t>
  </si>
  <si>
    <t>Reconciling Items Non-Fundable, Unrestricted Operating Expenses - Operations And Maintenance Of Plant - Staff Benefits - Total</t>
  </si>
  <si>
    <t>Reconciling Items Non-Fundable, Unrestricted Operating Expenses - Operations And Maintenance Of Plant - Depreciation of Physical Plant Equipment - Total</t>
  </si>
  <si>
    <t>Reconciling Items Non-Fundable, Unrestricted Operating Expenses - Operations And Maintenance Of Plant - Total</t>
  </si>
  <si>
    <t>Instructional Staff Benefits - Local Paid Benefits</t>
  </si>
  <si>
    <t>Fundable, Unrestricted Operating Expenses - Instructional Programs - 
Agriculture - Contact Hours</t>
  </si>
  <si>
    <t>Fundable, Unrestricted Operating Expenses - Instructional Programs - 
Architecture and Precision Production Trades - Contact Hours</t>
  </si>
  <si>
    <t>Fundable, Unrestricted Operating Expenses - Instructional Programs - 
Biology, Physical Sciences, and Science Technology - Contact Hours</t>
  </si>
  <si>
    <t>Fundable, Unrestricted Operating Expenses - Instructional Programs - 
Business Management, Marketing, and Administrative Services - Contact Hours</t>
  </si>
  <si>
    <t>Fundable, Unrestricted Operating Expenses - Instructional Programs - 
Career Pilot - Contact Hours</t>
  </si>
  <si>
    <t>Fundable, Unrestricted Operating Expenses - Instructional Programs - 
Communications - Contact Hours</t>
  </si>
  <si>
    <t>Fundable, Unrestricted Operating Expenses - Instructional Programs - 
Computer and Information Sciences - Contact Hours</t>
  </si>
  <si>
    <t>Fundable, Unrestricted Operating Expenses - Instructional Programs - 
Construction Trades - Contact Hours</t>
  </si>
  <si>
    <t>Fundable, Unrestricted Operating Expenses - Instructional Programs - 
Consumer and Homemaking Education - Contact Hours</t>
  </si>
  <si>
    <t>Fundable, Unrestricted Operating Expenses - Instructional Programs - 
Engineering - Contact Hours</t>
  </si>
  <si>
    <t>Fundable, Unrestricted Operating Expenses - Instructional Programs - 
Engineering Related - Contact Hours</t>
  </si>
  <si>
    <t>Fundable, Unrestricted Operating Expenses - Instructional Programs - 
English Language, Lit, Philosophy, Humanities, &amp; Interdisciplinary - Contact Hours</t>
  </si>
  <si>
    <t>Fundable, Unrestricted Operating Expenses - Instructional Programs - 
Foreign Languages - Contact Hours</t>
  </si>
  <si>
    <t>Fundable, Unrestricted Operating Expenses - Instructional Programs - 
Health Occupations - Dental Assistants, Medical Lab, and Assoc. Degree Nursing - Contact Hours</t>
  </si>
  <si>
    <t>Fundable, Unrestricted Operating Expenses - Instructional Programs - 
Health Occupations - Dental Hygiene - Contact Hours</t>
  </si>
  <si>
    <t>Fundable, Unrestricted Operating Expenses - Instructional Programs - 
Health Occupations - Other - Contact Hours</t>
  </si>
  <si>
    <t>Fundable, Unrestricted Operating Expenses - Instructional Programs - 
Health Occupations - Respiratory Therapy - Contact Hours</t>
  </si>
  <si>
    <t>Fundable, Unrestricted Operating Expenses - Instructional Programs - 
Health Occupations - Vocational Nursing - Contact Hours</t>
  </si>
  <si>
    <t>Fundable, Unrestricted Operating Expenses - Instructional Programs - 
Mathematics - Contact Hours</t>
  </si>
  <si>
    <t>Fundable, Unrestricted Operating Expenses - Instructional Programs - 
Mechanics and Repairers - Automotive - Contact Hours</t>
  </si>
  <si>
    <t>Fundable, Unrestricted Operating Expenses - Instructional Programs - 
Mechanics and Repairers - Diesel, Aviation Mechanics, and Transportation Workers - Contact Hours</t>
  </si>
  <si>
    <t>Fundable, Unrestricted Operating Expenses - Instructional Programs - 
Mechanics and Repairers - Electronics - Contact Hours</t>
  </si>
  <si>
    <t>Fundable, Unrestricted Operating Expenses - Instructional Programs - 
Physical Education and Fitness - Contact Hours</t>
  </si>
  <si>
    <t>Fundable, Unrestricted Operating Expenses - Instructional Programs - 
Protective Services and Public Administration - Contact Hours</t>
  </si>
  <si>
    <t>Fundable, Unrestricted Operating Expenses - Instructional Programs - 
Psychology, Social Sciences, and History - Contact Hours</t>
  </si>
  <si>
    <t>Fundable, Unrestricted Operating Expenses - Instructional Programs - 
Visual and Performing Arts - Contact Hours</t>
  </si>
  <si>
    <t>Fundable, Unrestricted Operating Expenses - Instructional Programs - 
Developmental Education - Math - Contact Hours</t>
  </si>
  <si>
    <t>Fundable, Unrestricted Operating Expenses - Instructional Programs - 
Developmental Education - Reading/Writing - Contact Hours</t>
  </si>
  <si>
    <t>Fundable, Unrestricted Operating Expenses - Instructional Programs - 
Total - Contact Hours</t>
  </si>
  <si>
    <t>Fundable, Unrestricted Operating Expenses - Instructional Programs - 
Agriculture - Faculty Salaries</t>
  </si>
  <si>
    <t>Fundable, Unrestricted Operating Expenses - Instructional Programs - 
Architecture and Precision Production Trades - Faculty Salaries</t>
  </si>
  <si>
    <t>Fundable, Unrestricted Operating Expenses - Instructional Programs - 
Biology, Physical Sciences, and Science Technology - Faculty Salaries</t>
  </si>
  <si>
    <t>Fundable, Unrestricted Operating Expenses - Instructional Programs - 
Business Management, Marketing, and Administrative Services - Faculty Salaries</t>
  </si>
  <si>
    <t>Fundable, Unrestricted Operating Expenses - Instructional Programs - 
Career Pilot - Faculty Salaries</t>
  </si>
  <si>
    <t>Fundable, Unrestricted Operating Expenses - Instructional Programs - 
Communications - Faculty Salaries</t>
  </si>
  <si>
    <t>Fundable, Unrestricted Operating Expenses - Instructional Programs - 
Computer and Information Sciences - Faculty Salaries</t>
  </si>
  <si>
    <t>Fundable, Unrestricted Operating Expenses - Instructional Programs - 
Construction Trades - Faculty Salaries</t>
  </si>
  <si>
    <t>Fundable, Unrestricted Operating Expenses - Instructional Programs - 
Consumer and Homemaking Education - Faculty Salaries</t>
  </si>
  <si>
    <t>Fundable, Unrestricted Operating Expenses - Instructional Programs - 
Engineering - Faculty Salaries</t>
  </si>
  <si>
    <t>Fundable, Unrestricted Operating Expenses - Instructional Programs - 
Engineering Related - Faculty Salaries</t>
  </si>
  <si>
    <t>Fundable, Unrestricted Operating Expenses - Instructional Programs - 
English Language, Lit, Philosophy, Humanities, &amp; Interdisciplinary - Faculty Salaries</t>
  </si>
  <si>
    <t>Fundable, Unrestricted Operating Expenses - Instructional Programs - 
Foreign Languages - Faculty Salaries</t>
  </si>
  <si>
    <t>Fundable, Unrestricted Operating Expenses - Instructional Programs - 
Health Occupations - Dental Assistants, Medical Lab, and Assoc. Degree Nursing - Faculty Salaries</t>
  </si>
  <si>
    <t>Fundable, Unrestricted Operating Expenses - Instructional Programs - 
Health Occupations - Dental Hygiene - Faculty Salaries</t>
  </si>
  <si>
    <t>Fundable, Unrestricted Operating Expenses - Instructional Programs - 
Health Occupations - Other - Faculty Salaries</t>
  </si>
  <si>
    <t>Fundable, Unrestricted Operating Expenses - Instructional Programs - 
Health Occupations - Respiratory Therapy - Faculty Salaries</t>
  </si>
  <si>
    <t>Fundable, Unrestricted Operating Expenses - Instructional Programs - 
Health Occupations - Vocational Nursing - Faculty Salaries</t>
  </si>
  <si>
    <t>Fundable, Unrestricted Operating Expenses - Instructional Programs - 
Mathematics - Faculty Salaries</t>
  </si>
  <si>
    <t>Fundable, Unrestricted Operating Expenses - Instructional Programs - 
Mechanics and Repairers - Automotive - Faculty Salaries</t>
  </si>
  <si>
    <t>Fundable, Unrestricted Operating Expenses - Instructional Programs - 
Mechanics and Repairers - Diesel, Aviation Mechanics, and Transportation Workers - Faculty Salaries</t>
  </si>
  <si>
    <t>Fundable, Unrestricted Operating Expenses - Instructional Programs - 
Mechanics and Repairers - Electronics - Faculty Salaries</t>
  </si>
  <si>
    <t>Fundable, Unrestricted Operating Expenses - Instructional Programs - 
Physical Education and Fitness - Faculty Salaries</t>
  </si>
  <si>
    <t>Fundable, Unrestricted Operating Expenses - Instructional Programs - 
Protective Services and Public Administration - Faculty Salaries</t>
  </si>
  <si>
    <t>Fundable, Unrestricted Operating Expenses - Instructional Programs - 
Psychology, Social Sciences, and History - Faculty Salaries</t>
  </si>
  <si>
    <t>Fundable, Unrestricted Operating Expenses - Instructional Programs - 
Visual and Performing Arts - Faculty Salaries</t>
  </si>
  <si>
    <t>Fundable, Unrestricted Operating Expenses - Instructional Programs - 
Developmental Education - Math - Faculty Salaries</t>
  </si>
  <si>
    <t>Fundable, Unrestricted Operating Expenses - Instructional Programs - 
Developmental Education - Reading/Writing - Faculty Salaries</t>
  </si>
  <si>
    <t>Fundable, Unrestricted Operating Expenses - Instructional Programs - 
Total - Faculty Salaries</t>
  </si>
  <si>
    <t>Fundable, Unrestricted Operating Expenses - Instructional Programs - 
Agriculture - Other Salaries and Wages</t>
  </si>
  <si>
    <t>Fundable, Unrestricted Operating Expenses - Instructional Programs - 
Architecture and Precision Production Trades - Other Salaries and Wages</t>
  </si>
  <si>
    <t>Fundable, Unrestricted Operating Expenses - Instructional Programs - 
Biology, Physical Sciences, and Science Technology - Other Salaries and Wages</t>
  </si>
  <si>
    <t>Fundable, Unrestricted Operating Expenses - Instructional Programs - 
Business Management, Marketing, and Administrative Services - Other Salaries and Wages</t>
  </si>
  <si>
    <t>Fundable, Unrestricted Operating Expenses - Instructional Programs - 
Career Pilot - Other Salaries and Wages</t>
  </si>
  <si>
    <t>Fundable, Unrestricted Operating Expenses - Instructional Programs - 
Communications - Other Salaries and Wages</t>
  </si>
  <si>
    <t>Fundable, Unrestricted Operating Expenses - Instructional Programs - 
Computer and Information Sciences - Other Salaries and Wages</t>
  </si>
  <si>
    <t>Fundable, Unrestricted Operating Expenses - Instructional Programs - 
Construction Trades - Other Salaries and Wages</t>
  </si>
  <si>
    <t>Fundable, Unrestricted Operating Expenses - Instructional Programs - 
Consumer and Homemaking Education - Other Salaries and Wages</t>
  </si>
  <si>
    <t>Fundable, Unrestricted Operating Expenses - Instructional Programs - 
Engineering - Other Salaries and Wages</t>
  </si>
  <si>
    <t>Fundable, Unrestricted Operating Expenses - Instructional Programs - 
Engineering Related - Other Salaries and Wages</t>
  </si>
  <si>
    <t>Fundable, Unrestricted Operating Expenses - Instructional Programs - 
English Language, Lit, Philosophy, Humanities, &amp; Interdisciplinary - Other Salaries and Wages</t>
  </si>
  <si>
    <t>Fundable, Unrestricted Operating Expenses - Instructional Programs - 
Foreign Languages - Other Salaries and Wages</t>
  </si>
  <si>
    <t>Fundable, Unrestricted Operating Expenses - Instructional Programs - 
Health Occupations - Dental Assistants, Medical Lab, and Assoc. Degree Nursing - Other Salaries and Wages</t>
  </si>
  <si>
    <t>Fundable, Unrestricted Operating Expenses - Instructional Programs - 
Health Occupations - Dental Hygiene - Other Salaries and Wages</t>
  </si>
  <si>
    <t>Fundable, Unrestricted Operating Expenses - Instructional Programs - 
Health Occupations - Other - Other Salaries and Wages</t>
  </si>
  <si>
    <t>Fundable, Unrestricted Operating Expenses - Instructional Programs - 
Health Occupations - Respiratory Therapy - Other Salaries and Wages</t>
  </si>
  <si>
    <t>Fundable, Unrestricted Operating Expenses - Instructional Programs - 
Health Occupations - Vocational Nursing - Other Salaries and Wages</t>
  </si>
  <si>
    <t>Fundable, Unrestricted Operating Expenses - Instructional Programs - 
Mathematics - Other Salaries and Wages</t>
  </si>
  <si>
    <t>Fundable, Unrestricted Operating Expenses - Instructional Programs - 
Mechanics and Repairers - Automotive - Other Salaries and Wages</t>
  </si>
  <si>
    <t>Fundable, Unrestricted Operating Expenses - Instructional Programs - 
Mechanics and Repairers - Diesel, Aviation Mechanics, and Transportation Workers - Other Salaries and Wages</t>
  </si>
  <si>
    <t>Fundable, Unrestricted Operating Expenses - Instructional Programs - 
Mechanics and Repairers - Electronics - Other Salaries and Wages</t>
  </si>
  <si>
    <t>Fundable, Unrestricted Operating Expenses - Instructional Programs - 
Physical Education and Fitness - Other Salaries and Wages</t>
  </si>
  <si>
    <t>Fundable, Unrestricted Operating Expenses - Instructional Programs - 
Protective Services and Public Administration - Other Salaries and Wages</t>
  </si>
  <si>
    <t>Fundable, Unrestricted Operating Expenses - Instructional Programs - 
Psychology, Social Sciences, and History - Other Salaries and Wages</t>
  </si>
  <si>
    <t>Fundable, Unrestricted Operating Expenses - Instructional Programs - 
Visual and Performing Arts - Other Salaries and Wages</t>
  </si>
  <si>
    <t>Fundable, Unrestricted Operating Expenses - Instructional Programs - 
Developmental Education - Math - Other Salaries and Wages</t>
  </si>
  <si>
    <t>Fundable, Unrestricted Operating Expenses - Instructional Programs - 
Developmental Education - Reading/Writing - Other Salaries and Wages</t>
  </si>
  <si>
    <t>Fundable, Unrestricted Operating Expenses - Instructional Programs - 
Total - Other Salaries and Wages</t>
  </si>
  <si>
    <t>Fundable, Unrestricted Operating Expenses - Instructional Programs - 
Agriculture - Staff Benefits</t>
  </si>
  <si>
    <t>Fundable, Unrestricted Operating Expenses - Instructional Programs - 
Architecture and Precision Production Trades - Staff Benefits</t>
  </si>
  <si>
    <t>Fundable, Unrestricted Operating Expenses - Instructional Programs - 
Biology, Physical Sciences, and Science Technology - Staff Benefits</t>
  </si>
  <si>
    <t>Fundable, Unrestricted Operating Expenses - Instructional Programs - 
Business Management, Marketing, and Administrative Services - Staff Benefits</t>
  </si>
  <si>
    <t>Fundable, Unrestricted Operating Expenses - Instructional Programs - 
Career Pilot - Staff Benefits</t>
  </si>
  <si>
    <t>Fundable, Unrestricted Operating Expenses - Instructional Programs - 
Communications - Staff Benefits</t>
  </si>
  <si>
    <t>Fundable, Unrestricted Operating Expenses - Instructional Programs - 
Computer and Information Sciences - Staff Benefits</t>
  </si>
  <si>
    <t>Fundable, Unrestricted Operating Expenses - Instructional Programs - 
Construction Trades - Staff Benefits</t>
  </si>
  <si>
    <t>Fundable, Unrestricted Operating Expenses - Instructional Programs - 
Consumer and Homemaking Education - Staff Benefits</t>
  </si>
  <si>
    <t>Fundable, Unrestricted Operating Expenses - Instructional Programs - 
Engineering - Staff Benefits</t>
  </si>
  <si>
    <t>Fundable, Unrestricted Operating Expenses - Instructional Programs - 
Engineering Related - Staff Benefits</t>
  </si>
  <si>
    <t>Fundable, Unrestricted Operating Expenses - Instructional Programs - 
English Language, Lit, Philosophy, Humanities, &amp; Interdisciplinary - Staff Benefits</t>
  </si>
  <si>
    <t>Fundable, Unrestricted Operating Expenses - Instructional Programs - 
Foreign Languages - Staff Benefits</t>
  </si>
  <si>
    <t>Fundable, Unrestricted Operating Expenses - Instructional Programs - 
Health Occupations - Dental Assistants, Medical Lab, and Assoc. Degree Nursing - Staff Benefits</t>
  </si>
  <si>
    <t>Fundable, Unrestricted Operating Expenses - Instructional Programs - 
Health Occupations - Dental Hygiene - Staff Benefits</t>
  </si>
  <si>
    <t>Fundable, Unrestricted Operating Expenses - Instructional Programs - 
Health Occupations - Other - Staff Benefits</t>
  </si>
  <si>
    <t>Fundable, Unrestricted Operating Expenses - Instructional Programs - 
Health Occupations - Respiratory Therapy - Staff Benefits</t>
  </si>
  <si>
    <t>Fundable, Unrestricted Operating Expenses - Instructional Programs - 
Health Occupations - Vocational Nursing - Staff Benefits</t>
  </si>
  <si>
    <t>Fundable, Unrestricted Operating Expenses - Instructional Programs - 
Mathematics - Staff Benefits</t>
  </si>
  <si>
    <t>Fundable, Unrestricted Operating Expenses - Instructional Programs - 
Mechanics and Repairers - Automotive - Staff Benefits</t>
  </si>
  <si>
    <t>Fundable, Unrestricted Operating Expenses - Instructional Programs - 
Mechanics and Repairers - Diesel, Aviation Mechanics, and Transportation Workers - Staff Benefits</t>
  </si>
  <si>
    <t>Fundable, Unrestricted Operating Expenses - Instructional Programs - 
Mechanics and Repairers - Electronics - Staff Benefits</t>
  </si>
  <si>
    <t>Fundable, Unrestricted Operating Expenses - Instructional Programs - 
Physical Education and Fitness - Staff Benefits</t>
  </si>
  <si>
    <t>Fundable, Unrestricted Operating Expenses - Instructional Programs - 
Protective Services and Public Administration - Staff Benefits</t>
  </si>
  <si>
    <t>Fundable, Unrestricted Operating Expenses - Instructional Programs - 
Psychology, Social Sciences, and History - Staff Benefits</t>
  </si>
  <si>
    <t>Fundable, Unrestricted Operating Expenses - Instructional Programs - 
Visual and Performing Arts - Staff Benefits</t>
  </si>
  <si>
    <t>Fundable, Unrestricted Operating Expenses - Instructional Programs - 
Developmental Education - Math - Staff Benefits</t>
  </si>
  <si>
    <t>Fundable, Unrestricted Operating Expenses - Instructional Programs - 
Developmental Education - Reading/Writing - Staff Benefits</t>
  </si>
  <si>
    <t>Fundable, Unrestricted Operating Expenses - Instructional Programs - 
Total - Staff Benefits</t>
  </si>
  <si>
    <t>Fundable, Unrestricted Operating Expenses - Instructional Programs - 
Agriculture - Other Operating Expense</t>
  </si>
  <si>
    <t>Fundable, Unrestricted Operating Expenses - Instructional Programs - 
Architecture and Precision Production Trades - Other Operating Expense</t>
  </si>
  <si>
    <t>Fundable, Unrestricted Operating Expenses - Instructional Programs - 
Biology, Physical Sciences, and Science Technology - Other Operating Expense</t>
  </si>
  <si>
    <t>Fundable, Unrestricted Operating Expenses - Instructional Programs - 
Business Management, Marketing, and Administrative Services - Other Operating Expense</t>
  </si>
  <si>
    <t>Fundable, Unrestricted Operating Expenses - Instructional Programs - 
Career Pilot - Other Operating Expense</t>
  </si>
  <si>
    <t>Fundable, Unrestricted Operating Expenses - Instructional Programs - 
Communications - Other Operating Expense</t>
  </si>
  <si>
    <t>Fundable, Unrestricted Operating Expenses - Instructional Programs - 
Computer and Information Sciences - Other Operating Expense</t>
  </si>
  <si>
    <t>Fundable, Unrestricted Operating Expenses - Instructional Programs - 
Construction Trades - Other Operating Expense</t>
  </si>
  <si>
    <t>Fundable, Unrestricted Operating Expenses - Instructional Programs - 
Consumer and Homemaking Education - Other Operating Expense</t>
  </si>
  <si>
    <t>Fundable, Unrestricted Operating Expenses - Instructional Programs - 
Engineering - Other Operating Expense</t>
  </si>
  <si>
    <t>Fundable, Unrestricted Operating Expenses - Instructional Programs - 
Engineering Related - Other Operating Expense</t>
  </si>
  <si>
    <t>Fundable, Unrestricted Operating Expenses - Instructional Programs - 
English Language, Lit, Philosophy, Humanities, &amp; Interdisciplinary - Other Operating Expense</t>
  </si>
  <si>
    <t>Fundable, Unrestricted Operating Expenses - Instructional Programs - 
Foreign Languages - Other Operating Expense</t>
  </si>
  <si>
    <t>Fundable, Unrestricted Operating Expenses - Instructional Programs - 
Health Occupations - Dental Assistants, Medical Lab, and Assoc. Degree Nursing - Other Operating Expense</t>
  </si>
  <si>
    <t>Fundable, Unrestricted Operating Expenses - Instructional Programs - 
Health Occupations - Dental Hygiene - Other Operating Expense</t>
  </si>
  <si>
    <t>Fundable, Unrestricted Operating Expenses - Instructional Programs - 
Health Occupations - Other - Other Operating Expense</t>
  </si>
  <si>
    <t>Fundable, Unrestricted Operating Expenses - Instructional Programs - 
Health Occupations - Respiratory Therapy - Other Operating Expense</t>
  </si>
  <si>
    <t>Fundable, Unrestricted Operating Expenses - Instructional Programs - 
Health Occupations - Vocational Nursing - Other Operating Expense</t>
  </si>
  <si>
    <t>Fundable, Unrestricted Operating Expenses - Instructional Programs - 
Mathematics - Other Operating Expense</t>
  </si>
  <si>
    <t>Fundable, Unrestricted Operating Expenses - Instructional Programs - 
Mechanics and Repairers - Automotive - Other Operating Expense</t>
  </si>
  <si>
    <t>Fundable, Unrestricted Operating Expenses - Instructional Programs - 
Mechanics and Repairers - Diesel, Aviation Mechanics, and Transportation Workers - Other Operating Expense</t>
  </si>
  <si>
    <t>Fundable, Unrestricted Operating Expenses - Instructional Programs - 
Mechanics and Repairers - Electronics - Other Operating Expense</t>
  </si>
  <si>
    <t>Fundable, Unrestricted Operating Expenses - Instructional Programs - 
Physical Education and Fitness - Other Operating Expense</t>
  </si>
  <si>
    <t>Fundable, Unrestricted Operating Expenses - Instructional Programs - 
Protective Services and Public Administration - Other Operating Expense</t>
  </si>
  <si>
    <t>Fundable, Unrestricted Operating Expenses - Instructional Programs - 
Psychology, Social Sciences, and History - Other Operating Expense</t>
  </si>
  <si>
    <t>Fundable, Unrestricted Operating Expenses - Instructional Programs - 
Visual and Performing Arts - Other Operating Expense</t>
  </si>
  <si>
    <t>Fundable, Unrestricted Operating Expenses - Instructional Programs - 
Developmental Education - Math - Other Operating Expense</t>
  </si>
  <si>
    <t>Fundable, Unrestricted Operating Expenses - Instructional Programs - 
Developmental Education - Reading/Writing - Other Operating Expense</t>
  </si>
  <si>
    <t>Fundable, Unrestricted Operating Expenses - Instructional Programs - 
Total - Other Operating Expense</t>
  </si>
  <si>
    <t>Fundable, Unrestricted Operating Expenses - Instructional Programs - 
Agriculture - Departmental Operating Expense</t>
  </si>
  <si>
    <t>Fundable, Unrestricted Operating Expenses - Instructional Programs - 
Architecture and Precision Production Trades - Departmental Operating Expense</t>
  </si>
  <si>
    <t>Fundable, Unrestricted Operating Expenses - Instructional Programs - 
Biology, Physical Sciences, and Science Technology - Departmental Operating Expense</t>
  </si>
  <si>
    <t>Fundable, Unrestricted Operating Expenses - Instructional Programs - 
Business Management, Marketing, and Administrative Services - Departmental Operating Expense</t>
  </si>
  <si>
    <t>Fundable, Unrestricted Operating Expenses - Instructional Programs - 
Career Pilot - Departmental Operating Expense</t>
  </si>
  <si>
    <t>Fundable, Unrestricted Operating Expenses - Instructional Programs - 
Communications - Departmental Operating Expense</t>
  </si>
  <si>
    <t>Fundable, Unrestricted Operating Expenses - Instructional Programs - 
Computer and Information Sciences - Departmental Operating Expense</t>
  </si>
  <si>
    <t>Fundable, Unrestricted Operating Expenses - Instructional Programs - 
Construction Trades - Departmental Operating Expense</t>
  </si>
  <si>
    <t>Fundable, Unrestricted Operating Expenses - Instructional Programs - 
Consumer and Homemaking Education - Departmental Operating Expense</t>
  </si>
  <si>
    <t>Fundable, Unrestricted Operating Expenses - Instructional Programs - 
Engineering - Departmental Operating Expense</t>
  </si>
  <si>
    <t>Fundable, Unrestricted Operating Expenses - Instructional Programs - 
Engineering Related - Departmental Operating Expense</t>
  </si>
  <si>
    <t>Fundable, Unrestricted Operating Expenses - Instructional Programs - 
English Language, Lit, Philosophy, Humanities, &amp; Interdisciplinary - Departmental Operating Expense</t>
  </si>
  <si>
    <t>Fundable, Unrestricted Operating Expenses - Instructional Programs - 
Foreign Languages - Departmental Operating Expense</t>
  </si>
  <si>
    <t>Fundable, Unrestricted Operating Expenses - Instructional Programs - 
Health Occupations - Dental Assistants, Medical Lab, and Assoc. Degree Nursing - Departmental Operating Expense</t>
  </si>
  <si>
    <t>Fundable, Unrestricted Operating Expenses - Instructional Programs - 
Health Occupations - Dental Hygiene - Departmental Operating Expense</t>
  </si>
  <si>
    <t>Fundable, Unrestricted Operating Expenses - Instructional Programs - 
Health Occupations - Other - Departmental Operating Expense</t>
  </si>
  <si>
    <t>Fundable, Unrestricted Operating Expenses - Instructional Programs - 
Health Occupations - Respiratory Therapy - Departmental Operating Expense</t>
  </si>
  <si>
    <t>Fundable, Unrestricted Operating Expenses - Instructional Programs - 
Health Occupations - Vocational Nursing - Departmental Operating Expense</t>
  </si>
  <si>
    <t>Fundable, Unrestricted Operating Expenses - Instructional Programs - 
Mathematics - Departmental Operating Expense</t>
  </si>
  <si>
    <t>Fundable, Unrestricted Operating Expenses - Instructional Programs - 
Mechanics and Repairers - Automotive - Departmental Operating Expense</t>
  </si>
  <si>
    <t>Fundable, Unrestricted Operating Expenses - Instructional Programs - 
Mechanics and Repairers - Diesel, Aviation Mechanics, and Transportation Workers - Departmental Operating Expense</t>
  </si>
  <si>
    <t>Fundable, Unrestricted Operating Expenses - Instructional Programs - 
Mechanics and Repairers - Electronics - Departmental Operating Expense</t>
  </si>
  <si>
    <t>Fundable, Unrestricted Operating Expenses - Instructional Programs - 
Physical Education and Fitness - Departmental Operating Expense</t>
  </si>
  <si>
    <t>Fundable, Unrestricted Operating Expenses - Instructional Programs - 
Protective Services and Public Administration - Departmental Operating Expense</t>
  </si>
  <si>
    <t>Fundable, Unrestricted Operating Expenses - Instructional Programs - 
Psychology, Social Sciences, and History - Departmental Operating Expense</t>
  </si>
  <si>
    <t>Fundable, Unrestricted Operating Expenses - Instructional Programs - 
Visual and Performing Arts - Departmental Operating Expense</t>
  </si>
  <si>
    <t>Fundable, Unrestricted Operating Expenses - Instructional Programs - 
Developmental Education - Math - Departmental Operating Expense</t>
  </si>
  <si>
    <t>Fundable, Unrestricted Operating Expenses - Instructional Programs - 
Developmental Education - Reading/Writing - Departmental Operating Expense</t>
  </si>
  <si>
    <t>Fundable, Unrestricted Operating Expenses - Instructional Programs - 
Total - Departmental Operating Expense</t>
  </si>
  <si>
    <t>Fundable, Unrestricted Operating Expenses - Instructional Programs - 
Agriculture - Total</t>
  </si>
  <si>
    <t>Fundable, Unrestricted Operating Expenses - Instructional Programs - 
Architecture and Precision Production Trades - Total</t>
  </si>
  <si>
    <t>Fundable, Unrestricted Operating Expenses - Instructional Programs - 
Biology, Physical Sciences, and Science Technology - Total</t>
  </si>
  <si>
    <t>Fundable, Unrestricted Operating Expenses - Instructional Programs - 
Business Management, Marketing, and Administrative Services - Total</t>
  </si>
  <si>
    <t>Fundable, Unrestricted Operating Expenses - Instructional Programs - 
Career Pilot - Total</t>
  </si>
  <si>
    <t>Fundable, Unrestricted Operating Expenses - Instructional Programs - 
Communications - Total</t>
  </si>
  <si>
    <t>Fundable, Unrestricted Operating Expenses - Instructional Programs - 
Computer and Information Sciences - Total</t>
  </si>
  <si>
    <t>Fundable, Unrestricted Operating Expenses - Instructional Programs - 
Construction Trades - Total</t>
  </si>
  <si>
    <t>Fundable, Unrestricted Operating Expenses - Instructional Programs - 
Consumer and Homemaking Education - Total</t>
  </si>
  <si>
    <t>Fundable, Unrestricted Operating Expenses - Instructional Programs - 
Engineering - Total</t>
  </si>
  <si>
    <t>Fundable, Unrestricted Operating Expenses - Instructional Programs - 
Engineering Related - Total</t>
  </si>
  <si>
    <t>Fundable, Unrestricted Operating Expenses - Instructional Programs - 
English Language, Lit, Philosophy, Humanities, &amp; Interdisciplinary - Total</t>
  </si>
  <si>
    <t>Fundable, Unrestricted Operating Expenses - Instructional Programs - 
Foreign Languages - Total</t>
  </si>
  <si>
    <t>Fundable, Unrestricted Operating Expenses - Instructional Programs - 
Health Occupations - Dental Assistants, Medical Lab, and Assoc. Degree Nursing - Total</t>
  </si>
  <si>
    <t>Fundable, Unrestricted Operating Expenses - Instructional Programs - 
Health Occupations - Dental Hygiene - Total</t>
  </si>
  <si>
    <t>Fundable, Unrestricted Operating Expenses - Instructional Programs - 
Health Occupations - Other - Total</t>
  </si>
  <si>
    <t>Fundable, Unrestricted Operating Expenses - Instructional Programs - 
Health Occupations - Respiratory Therapy - Total</t>
  </si>
  <si>
    <t>Fundable, Unrestricted Operating Expenses - Instructional Programs - 
Health Occupations - Vocational Nursing - Total</t>
  </si>
  <si>
    <t>Fundable, Unrestricted Operating Expenses - Instructional Programs - 
Mathematics - Total</t>
  </si>
  <si>
    <t>Fundable, Unrestricted Operating Expenses - Instructional Programs - 
Mechanics and Repairers - Automotive - Total</t>
  </si>
  <si>
    <t>Fundable, Unrestricted Operating Expenses - Instructional Programs - 
Mechanics and Repairers - Diesel, Aviation Mechanics, and Transportation Workers - Total</t>
  </si>
  <si>
    <t>Fundable, Unrestricted Operating Expenses - Instructional Programs - 
Mechanics and Repairers - Electronics - Total</t>
  </si>
  <si>
    <t>Fundable, Unrestricted Operating Expenses - Instructional Programs - 
Physical Education and Fitness - Total</t>
  </si>
  <si>
    <t>Fundable, Unrestricted Operating Expenses - Instructional Programs - 
Protective Services and Public Administration - Total</t>
  </si>
  <si>
    <t>Fundable, Unrestricted Operating Expenses - Instructional Programs - 
Psychology, Social Sciences, and History - Total</t>
  </si>
  <si>
    <t>Fundable, Unrestricted Operating Expenses - Instructional Programs - 
Visual and Performing Arts - Total</t>
  </si>
  <si>
    <t>Fundable, Unrestricted Operating Expenses - Instructional Programs - 
Developmental Education - Math - Total</t>
  </si>
  <si>
    <t>Fundable, Unrestricted Operating Expenses - Instructional Programs - 
Developmental Education - Reading/Writing - Total</t>
  </si>
  <si>
    <t>Fundable, Unrestricted Operating Expenses - Instructional Programs - 
Total - Total</t>
  </si>
  <si>
    <t>Depreciation Expense - Equipment and Furniture - AFR Schedule B</t>
  </si>
  <si>
    <t>Reconciliation Difference</t>
  </si>
  <si>
    <t>Total Unrestricted Educational Activities - AFR Schedule B</t>
  </si>
  <si>
    <t>Website Field Name</t>
  </si>
  <si>
    <t>Section and Part</t>
  </si>
  <si>
    <t>Model Address</t>
  </si>
  <si>
    <t>D104</t>
  </si>
  <si>
    <t>D98</t>
  </si>
  <si>
    <t>D99</t>
  </si>
  <si>
    <t>D100</t>
  </si>
  <si>
    <t>D101</t>
  </si>
  <si>
    <t>D102</t>
  </si>
  <si>
    <t>D103</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</si>
  <si>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</si>
  <si>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</si>
  <si>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</si>
  <si>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</si>
  <si>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</si>
  <si>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</si>
  <si>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</si>
  <si>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</si>
  <si>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</si>
  <si>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</si>
  <si>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</si>
  <si>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</si>
  <si>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</si>
  <si>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</si>
  <si>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</si>
  <si>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</si>
  <si>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</si>
  <si>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</si>
  <si>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</si>
  <si>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</si>
  <si>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</si>
  <si>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</si>
  <si>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</si>
  <si>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</si>
  <si>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</si>
  <si>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</si>
  <si>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</si>
  <si>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</si>
  <si>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</si>
  <si>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</si>
  <si>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</si>
  <si>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</si>
  <si>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</si>
  <si>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</si>
  <si>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</si>
  <si>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</si>
  <si>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</si>
  <si>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</si>
  <si>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</si>
  <si>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</si>
  <si>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</si>
  <si>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</si>
  <si>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</si>
  <si>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</si>
  <si>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</si>
  <si>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</si>
  <si>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</si>
  <si>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</si>
  <si>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</si>
  <si>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</si>
  <si>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</si>
  <si>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</si>
  <si>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</si>
  <si>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</si>
  <si>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</si>
  <si>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</si>
  <si>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H36</t>
  </si>
  <si>
    <t>H37</t>
  </si>
  <si>
    <t>H38</t>
  </si>
  <si>
    <t>H39</t>
  </si>
  <si>
    <t>H40</t>
  </si>
  <si>
    <t>H41</t>
  </si>
  <si>
    <t>H42</t>
  </si>
  <si>
    <t>H43</t>
  </si>
  <si>
    <t>H44</t>
  </si>
  <si>
    <t>H45</t>
  </si>
  <si>
    <t>H46</t>
  </si>
  <si>
    <t>H47</t>
  </si>
  <si>
    <t>H48</t>
  </si>
  <si>
    <t>H49</t>
  </si>
  <si>
    <t>H50</t>
  </si>
  <si>
    <t>H51</t>
  </si>
  <si>
    <t>H52</t>
  </si>
  <si>
    <t>H53</t>
  </si>
  <si>
    <t>H54</t>
  </si>
  <si>
    <t>H55</t>
  </si>
  <si>
    <t>H56</t>
  </si>
  <si>
    <t>H57</t>
  </si>
  <si>
    <t>H58</t>
  </si>
  <si>
    <t>H59</t>
  </si>
  <si>
    <t>H60</t>
  </si>
  <si>
    <t>H61</t>
  </si>
  <si>
    <t>H62</t>
  </si>
  <si>
    <t>H63</t>
  </si>
  <si>
    <t>I36</t>
  </si>
  <si>
    <t>I37</t>
  </si>
  <si>
    <t>I38</t>
  </si>
  <si>
    <t>I39</t>
  </si>
  <si>
    <t>I40</t>
  </si>
  <si>
    <t>I41</t>
  </si>
  <si>
    <t>I42</t>
  </si>
  <si>
    <t>I43</t>
  </si>
  <si>
    <t>I44</t>
  </si>
  <si>
    <t>I45</t>
  </si>
  <si>
    <t>I46</t>
  </si>
  <si>
    <t>I47</t>
  </si>
  <si>
    <t>I48</t>
  </si>
  <si>
    <t>I49</t>
  </si>
  <si>
    <t>I50</t>
  </si>
  <si>
    <t>I51</t>
  </si>
  <si>
    <t>I52</t>
  </si>
  <si>
    <t>I53</t>
  </si>
  <si>
    <t>I54</t>
  </si>
  <si>
    <t>I55</t>
  </si>
  <si>
    <t>I56</t>
  </si>
  <si>
    <t>I57</t>
  </si>
  <si>
    <t>I58</t>
  </si>
  <si>
    <t>I59</t>
  </si>
  <si>
    <t>I60</t>
  </si>
  <si>
    <t>I61</t>
  </si>
  <si>
    <t>I62</t>
  </si>
  <si>
    <t>I63</t>
  </si>
  <si>
    <t>I64</t>
  </si>
  <si>
    <t>G36</t>
  </si>
  <si>
    <t>G37</t>
  </si>
  <si>
    <t>G38</t>
  </si>
  <si>
    <t>G39</t>
  </si>
  <si>
    <t>G40</t>
  </si>
  <si>
    <t>G41</t>
  </si>
  <si>
    <t>G42</t>
  </si>
  <si>
    <t>G43</t>
  </si>
  <si>
    <t>G44</t>
  </si>
  <si>
    <t>G45</t>
  </si>
  <si>
    <t>G46</t>
  </si>
  <si>
    <t>G47</t>
  </si>
  <si>
    <t>G48</t>
  </si>
  <si>
    <t>G49</t>
  </si>
  <si>
    <t>G50</t>
  </si>
  <si>
    <t>G51</t>
  </si>
  <si>
    <t>G52</t>
  </si>
  <si>
    <t>G53</t>
  </si>
  <si>
    <t>G54</t>
  </si>
  <si>
    <t>G55</t>
  </si>
  <si>
    <t>G56</t>
  </si>
  <si>
    <t>G57</t>
  </si>
  <si>
    <t>G58</t>
  </si>
  <si>
    <t>G59</t>
  </si>
  <si>
    <t>G60</t>
  </si>
  <si>
    <t>G61</t>
  </si>
  <si>
    <t>G62</t>
  </si>
  <si>
    <t>G63</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</si>
  <si>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</si>
  <si>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</si>
  <si>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</si>
  <si>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</si>
  <si>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</si>
  <si>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</si>
  <si>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</si>
  <si>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</si>
  <si>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</si>
  <si>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</si>
  <si>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</si>
  <si>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</si>
  <si>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</si>
  <si>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</si>
  <si>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</si>
  <si>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</si>
  <si>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</si>
  <si>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</si>
  <si>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</si>
  <si>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</si>
  <si>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</si>
  <si>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</si>
  <si>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</si>
  <si>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</si>
  <si>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</si>
  <si>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</si>
  <si>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</si>
  <si>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</si>
  <si>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Total Expenses</t>
  </si>
  <si>
    <t>Total Fundable Expenses</t>
  </si>
  <si>
    <t>Section 1 Comments</t>
  </si>
  <si>
    <t>Other Allocated Administrative Expenses - Institutional Support - Total</t>
  </si>
  <si>
    <t>Other Allocated Administrative Expenses - Student Services - Total</t>
  </si>
  <si>
    <t>Other Allocated Administrative Expenses - Equipment Depreciation - Total</t>
  </si>
  <si>
    <t>Other Fundable Staff Benefits Excluding Instructional (Section 1) and Physical Plant (Section 5) Local</t>
  </si>
  <si>
    <t>Other Allocated Administrative Expenses - Total</t>
  </si>
  <si>
    <t>Website Password</t>
  </si>
  <si>
    <t>Certification  Flag</t>
  </si>
  <si>
    <t>Certification Date</t>
  </si>
  <si>
    <t>Last Modification Date</t>
  </si>
  <si>
    <t>Staff Notes</t>
  </si>
  <si>
    <t>Institution Name</t>
  </si>
  <si>
    <t>Institution Contact</t>
  </si>
  <si>
    <t>Institution Contact Title</t>
  </si>
  <si>
    <t>Institution Contact Phone</t>
  </si>
  <si>
    <t>Institution Contact Email</t>
  </si>
  <si>
    <t>FICE Code</t>
  </si>
  <si>
    <t>Password Page</t>
  </si>
  <si>
    <t>Coded</t>
  </si>
  <si>
    <t>Unknown</t>
  </si>
  <si>
    <t>Contact Information</t>
  </si>
  <si>
    <t>Part A Section 1</t>
  </si>
  <si>
    <t>Part A Section 2</t>
  </si>
  <si>
    <t>Part A Section 3</t>
  </si>
  <si>
    <t>Part B Section 4</t>
  </si>
  <si>
    <t>Part B Section 5</t>
  </si>
  <si>
    <t>Part A</t>
  </si>
  <si>
    <t>Part B</t>
  </si>
  <si>
    <t>All</t>
  </si>
  <si>
    <t>Unrestricted - Educational Activities</t>
  </si>
  <si>
    <t>Instruction</t>
  </si>
  <si>
    <t>Public Service</t>
  </si>
  <si>
    <t>Operation and Maintenance of Plant</t>
  </si>
  <si>
    <t>Salaries and Wages</t>
  </si>
  <si>
    <t>Other Expenses</t>
  </si>
  <si>
    <t>Annual Financial Report - Schedule B</t>
  </si>
  <si>
    <t>Other</t>
  </si>
  <si>
    <t>Depreciation Expense - Equipment</t>
  </si>
  <si>
    <t xml:space="preserve">Each year, the Texas Higher Education Coordinating Board revises the Texas Public Community and Technical Colleges Expense per Contact Hour Rates used in its Instruction and Operations Formula Funding Recommendation to the Legislative Budget Board (LBB).  The Report of Fundable Operating Expenses (RFOE),  completed by the institutions, collects departmental operating expense, faculty salaries, institutional support, student services, academic support, research, scholarships and fellowships, equipment depreciation, and local benefits for input into this summary using Annual Financial Report (AFR) Schedule B, which ties to the AFR Statement of Revenues, Expenses and Changes in Net Assets (SRECNA). The RFOE subcategorizes the expenditures collected in Schedule B funded with unrestricted funds, totals them for all institutions, and divides them by the statewide contact hours to determine rates by discipline. </t>
  </si>
  <si>
    <t>Rate History</t>
  </si>
  <si>
    <t>Expense per Contact Hour by
 Discipline</t>
  </si>
  <si>
    <t>College Of The Mainland</t>
  </si>
  <si>
    <t>TSTC-Harlingen</t>
  </si>
  <si>
    <t>TSTC-West Texas</t>
  </si>
  <si>
    <t>TSTC-Marshall</t>
  </si>
  <si>
    <t>TSTC-Waco</t>
  </si>
  <si>
    <t>Lamar-IOT</t>
  </si>
  <si>
    <t>Lamar-Orange</t>
  </si>
  <si>
    <t>Lamar-Port Arthur</t>
  </si>
  <si>
    <t>Institution</t>
  </si>
  <si>
    <t>Discipline</t>
  </si>
  <si>
    <t>All Disciplines</t>
  </si>
  <si>
    <t>Average</t>
  </si>
  <si>
    <t>Median</t>
  </si>
  <si>
    <t>Average (Excluding zero values)</t>
  </si>
  <si>
    <t>High</t>
  </si>
  <si>
    <t>Low (Excluding zero values)</t>
  </si>
  <si>
    <t>Median (Excluding zero values)</t>
  </si>
  <si>
    <t>Discipline Summary of Expense per Contact Hour by Institution</t>
  </si>
  <si>
    <t>AG</t>
  </si>
  <si>
    <t>ARCH</t>
  </si>
  <si>
    <t>AG - Agriculture</t>
  </si>
  <si>
    <t>ARCH - Architecture and Precision Production Trades</t>
  </si>
  <si>
    <t>BA - Business Management, Marketing, and Administrative Services</t>
  </si>
  <si>
    <t>SCI - Biology, Physical Sciences, and Science Technology</t>
  </si>
  <si>
    <t>CP - Career Pilot</t>
  </si>
  <si>
    <t>COMM - Communications</t>
  </si>
  <si>
    <t>CS - Computer and Information Sciences</t>
  </si>
  <si>
    <t>CNSTR - Construction Trades</t>
  </si>
  <si>
    <t>HE - Consumer and Homemaking Education</t>
  </si>
  <si>
    <t>ENG - Engineering</t>
  </si>
  <si>
    <t>LA - English Language, Lit, Philosophy, Humanities, &amp; Interdisciplinary</t>
  </si>
  <si>
    <t>FL - Foreign Languages</t>
  </si>
  <si>
    <t>HODA - Health Occupations - Dental Assistants, Medical Lab, and Assoc. Degree Nursing</t>
  </si>
  <si>
    <t>HODH - Health Occupations - Dental Hygiene</t>
  </si>
  <si>
    <t>HOO - Health Occupations - Other</t>
  </si>
  <si>
    <t>HORT - Health Occupations - Respiratory Therapy</t>
  </si>
  <si>
    <t>NUR - Health Occupations - Vocational Nursing</t>
  </si>
  <si>
    <t>MATH - Mathematics</t>
  </si>
  <si>
    <t>AUTO - Mechanics and Repairers - Automotive</t>
  </si>
  <si>
    <t>MECH - Mechanics and Repairers - Diesel, Aviation Mechanics, and Transportation Workers</t>
  </si>
  <si>
    <t>ELECT - Mechanics and Repairers - Electronics</t>
  </si>
  <si>
    <t>PE - Physical Education and Fitness</t>
  </si>
  <si>
    <t>PA - Protective Services and Public Administration</t>
  </si>
  <si>
    <t>SS - Psychology, Social Sciences, and History</t>
  </si>
  <si>
    <t>FA - Visual and Performing Arts</t>
  </si>
  <si>
    <t>DEM - Developmental Education - Math</t>
  </si>
  <si>
    <t>DER - Developmental Education - Reading/Writing</t>
  </si>
  <si>
    <t>Total - All Disciplines</t>
  </si>
  <si>
    <t>SCI</t>
  </si>
  <si>
    <t>BA</t>
  </si>
  <si>
    <t>CP</t>
  </si>
  <si>
    <t>COMM</t>
  </si>
  <si>
    <t>CS</t>
  </si>
  <si>
    <t>CNSTR</t>
  </si>
  <si>
    <t>HE</t>
  </si>
  <si>
    <t>ENG</t>
  </si>
  <si>
    <t>ENGR - Engineering Related</t>
  </si>
  <si>
    <t>ENGR</t>
  </si>
  <si>
    <t>LA</t>
  </si>
  <si>
    <t>FL</t>
  </si>
  <si>
    <t>HODA</t>
  </si>
  <si>
    <t>HODH</t>
  </si>
  <si>
    <t>HOO</t>
  </si>
  <si>
    <t>HORT</t>
  </si>
  <si>
    <t>NUR</t>
  </si>
  <si>
    <t>MATH</t>
  </si>
  <si>
    <t>AUTO</t>
  </si>
  <si>
    <t>MECH</t>
  </si>
  <si>
    <t>ELECT</t>
  </si>
  <si>
    <t>PE</t>
  </si>
  <si>
    <t>PA</t>
  </si>
  <si>
    <t>SS</t>
  </si>
  <si>
    <t>FA</t>
  </si>
  <si>
    <t>DEM</t>
  </si>
  <si>
    <t>DER</t>
  </si>
  <si>
    <t>Instructional Support</t>
  </si>
  <si>
    <t>Total Non-fundable Expenses</t>
  </si>
  <si>
    <t>This calculation is completed to indicate the relative change in financing assuming the legislature were to fund the institutions at the same total as the previous biennium. The percent funded used against the current rates is adjusted so that the total funded for all institutions is equal to the previous biennium's percent funded.</t>
  </si>
  <si>
    <t>Percent Change</t>
  </si>
  <si>
    <t>Total FTSE</t>
  </si>
  <si>
    <t>Total Expenditure</t>
  </si>
  <si>
    <t>Average Expenditure per FTSE</t>
  </si>
  <si>
    <t>Total for Instutions Reporting Expense</t>
  </si>
  <si>
    <t>Standard Deviation</t>
  </si>
  <si>
    <t>Summary of Expense divided  Contact Hours</t>
  </si>
  <si>
    <t>Average Total Expenditure per Full-Time Student Equivalent (FTSE)</t>
  </si>
  <si>
    <t>Discipline Analysis by Institution</t>
  </si>
  <si>
    <t>Percent of Rates to Maintain Funding Total</t>
  </si>
  <si>
    <t>Percent of Rates Funded</t>
  </si>
  <si>
    <t>Annual State Funded Semester Credit Hours</t>
  </si>
  <si>
    <t>Alvin</t>
  </si>
  <si>
    <t>Austin</t>
  </si>
  <si>
    <t>Mclennan</t>
  </si>
  <si>
    <t>Northeast Texas</t>
  </si>
  <si>
    <t>Cisco</t>
  </si>
  <si>
    <t>Laredo</t>
  </si>
  <si>
    <t>Paris</t>
  </si>
  <si>
    <t>Southwest Texas</t>
  </si>
  <si>
    <t>Temple</t>
  </si>
  <si>
    <t>Tyler</t>
  </si>
  <si>
    <t>Amarillo</t>
  </si>
  <si>
    <t>Angelina</t>
  </si>
  <si>
    <t>Blinn</t>
  </si>
  <si>
    <t>Brazosport</t>
  </si>
  <si>
    <t>Clarendon</t>
  </si>
  <si>
    <t>Coastal Bend</t>
  </si>
  <si>
    <t>Del Mar</t>
  </si>
  <si>
    <t>Frank Phillips</t>
  </si>
  <si>
    <t>Galveston</t>
  </si>
  <si>
    <t>Hill</t>
  </si>
  <si>
    <t xml:space="preserve">Howard </t>
  </si>
  <si>
    <t>Kilgore</t>
  </si>
  <si>
    <t>Lee</t>
  </si>
  <si>
    <t>Lonestar</t>
  </si>
  <si>
    <t>Midland</t>
  </si>
  <si>
    <t>Navarro</t>
  </si>
  <si>
    <t>North Central Texas</t>
  </si>
  <si>
    <t>Odessa</t>
  </si>
  <si>
    <t>Panola</t>
  </si>
  <si>
    <t>Ranger</t>
  </si>
  <si>
    <t>South Plains</t>
  </si>
  <si>
    <t>South Texas</t>
  </si>
  <si>
    <t>Texarkana</t>
  </si>
  <si>
    <t>Texas Southmost</t>
  </si>
  <si>
    <t>Vernon</t>
  </si>
  <si>
    <t>Victoria</t>
  </si>
  <si>
    <t>Weatherford</t>
  </si>
  <si>
    <t>Western Texas</t>
  </si>
  <si>
    <t>Collin</t>
  </si>
  <si>
    <t>Dallas</t>
  </si>
  <si>
    <t>El Paso</t>
  </si>
  <si>
    <t>Houston</t>
  </si>
  <si>
    <t>San Jacinto</t>
  </si>
  <si>
    <t>Tarrant</t>
  </si>
  <si>
    <t>Trinity Valley</t>
  </si>
  <si>
    <t>Wharton</t>
  </si>
  <si>
    <t>Alamo</t>
  </si>
  <si>
    <t>Central Texas</t>
  </si>
  <si>
    <t>Grayson</t>
  </si>
  <si>
    <t>per Hour</t>
  </si>
  <si>
    <t>1</t>
  </si>
  <si>
    <t>008900</t>
  </si>
  <si>
    <t>103634</t>
  </si>
  <si>
    <t>109225</t>
  </si>
  <si>
    <t>358135</t>
  </si>
  <si>
    <t>North Harris Montgomery Community College District</t>
  </si>
  <si>
    <t>Community and Technical Colleges, Report of Fundable Operating Expenses, Fiscal Year (FY) 2003</t>
  </si>
  <si>
    <t>Contact Hours for fall 2002 and spring and summer 2003</t>
  </si>
  <si>
    <t>Other Allocated Administrative Expenses - Library - Total</t>
  </si>
  <si>
    <t>Other Allocated Administrative Expenses - Instructional Administration - Total</t>
  </si>
  <si>
    <t>Other Allocated Administrative Expenses - Organized Activities - Total</t>
  </si>
  <si>
    <t>Library</t>
  </si>
  <si>
    <t>Instructional Administration</t>
  </si>
  <si>
    <t>Organized Activities</t>
  </si>
  <si>
    <t>Year over Year Change</t>
  </si>
  <si>
    <t>Lone Star College System District</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</si>
</sst>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1" formatCode="_(* #,##0_);_(* \(#,##0\);_(* &quot;-&quot;_);_(@_)"/>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0.0%"/>
    <numFmt numFmtId="167" formatCode="&quot;$&quot;#,##0.00"/>
    <numFmt numFmtId="168" formatCode="&quot;$&quot;#,##0"/>
    <numFmt numFmtId="169" formatCode="&quot;$&quot;#,##0\ ;\(&quot;$&quot;#,##0\)"/>
    <numFmt numFmtId="170" formatCode="dd\-mmm\-yy"/>
  </numFmts>
  <fonts count="23" x14ac:knownFonts="1">
    <font>
      <sz val="11"/>
      <color theme="1"/>
      <name val="Calibri"/>
      <family val="2"/>
      <scheme val="minor"/>
    </font>
    <font>
      <sz val="11"/>
      <color theme="1"/>
      <name val="Calibri"/>
      <family val="2"/>
      <scheme val="minor"/>
    </font>
    <font>
      <sz val="11"/>
      <color theme="1"/>
      <name val="Tahoma"/>
      <family val="2"/>
    </font>
    <font>
      <b/>
      <sz val="11"/>
      <color theme="1"/>
      <name val="Tahoma"/>
      <family val="2"/>
    </font>
    <font>
      <sz val="10"/>
      <name val="MS Sans Serif"/>
      <family val="2"/>
    </font>
    <font>
      <sz val="11"/>
      <name val="Tahoma"/>
      <family val="2"/>
    </font>
    <font>
      <b/>
      <sz val="11"/>
      <name val="Tahoma"/>
      <family val="2"/>
    </font>
    <font>
      <b/>
      <sz val="11"/>
      <color theme="0"/>
      <name val="Tahoma"/>
      <family val="2"/>
    </font>
    <font>
      <sz val="11"/>
      <color theme="0"/>
      <name val="Tahoma"/>
      <family val="2"/>
    </font>
    <font>
      <sz val="12"/>
      <name val="Arial"/>
      <family val="2"/>
    </font>
    <font>
      <sz val="10"/>
      <name val="Arial"/>
      <family val="2"/>
    </font>
    <font>
      <sz val="11"/>
      <color indexed="8"/>
      <name val="Calibri"/>
      <family val="2"/>
    </font>
    <font>
      <sz val="11"/>
      <color indexed="8"/>
      <name val="Tahoma"/>
      <family val="2"/>
    </font>
    <font>
      <sz val="10"/>
      <name val="System"/>
      <family val="2"/>
    </font>
    <font>
      <i/>
      <sz val="10"/>
      <name val="System"/>
      <family val="2"/>
    </font>
    <font>
      <sz val="10"/>
      <color indexed="24"/>
      <name val="Arial"/>
      <family val="2"/>
    </font>
    <font>
      <b/>
      <sz val="18"/>
      <color indexed="24"/>
      <name val="Arial"/>
      <family val="2"/>
    </font>
    <font>
      <b/>
      <sz val="12"/>
      <color indexed="24"/>
      <name val="Arial"/>
      <family val="2"/>
    </font>
    <font>
      <sz val="10"/>
      <name val="Verdana"/>
      <family val="2"/>
    </font>
    <font>
      <sz val="10"/>
      <color indexed="8"/>
      <name val="Arial"/>
      <family val="2"/>
    </font>
    <font>
      <sz val="10"/>
      <name val="Arial"/>
      <family val="2"/>
    </font>
    <font>
      <sz val="11"/>
      <color indexed="8"/>
      <name val="Calibri"/>
      <family val="2"/>
    </font>
    <font>
      <sz val="10"/>
      <color indexed="8"/>
      <name val="Arial"/>
      <family val="2"/>
    </font>
  </fonts>
  <fills count="4">
    <fill>
      <patternFill patternType="none"/>
    </fill>
    <fill>
      <patternFill patternType="gray125"/>
    </fill>
    <fill>
      <patternFill patternType="solid">
        <fgColor rgb="FFFF0000"/>
        <bgColor indexed="64"/>
      </patternFill>
    </fill>
    <fill>
      <patternFill patternType="solid">
        <fgColor rgb="FFFFE1E1"/>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double">
        <color indexed="64"/>
      </top>
      <bottom/>
      <diagonal/>
    </border>
    <border>
      <left style="thin">
        <color indexed="64"/>
      </left>
      <right style="thin">
        <color indexed="64"/>
      </right>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22"/>
      </left>
      <right style="thin">
        <color indexed="22"/>
      </right>
      <top style="thin">
        <color indexed="22"/>
      </top>
      <bottom style="thin">
        <color indexed="22"/>
      </bottom>
      <diagonal/>
    </border>
    <border>
      <left/>
      <right style="medium">
        <color indexed="64"/>
      </right>
      <top style="thin">
        <color indexed="64"/>
      </top>
      <bottom style="medium">
        <color indexed="64"/>
      </bottom>
      <diagonal/>
    </border>
  </borders>
  <cellStyleXfs count="291">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37" fontId="9" fillId="0" borderId="0"/>
    <xf numFmtId="9" fontId="10" fillId="0" borderId="0" applyFon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0" fontId="4" fillId="0" borderId="0"/>
    <xf numFmtId="43" fontId="4" fillId="0" borderId="0" applyFont="0" applyFill="0" applyBorder="0" applyAlignment="0" applyProtection="0"/>
    <xf numFmtId="0" fontId="1" fillId="0" borderId="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0" fontId="9" fillId="0" borderId="0"/>
    <xf numFmtId="0" fontId="1" fillId="0" borderId="0"/>
    <xf numFmtId="0" fontId="1" fillId="0" borderId="0"/>
    <xf numFmtId="0" fontId="1" fillId="0" borderId="0"/>
    <xf numFmtId="9" fontId="1" fillId="0" borderId="0" applyFont="0" applyFill="0" applyBorder="0" applyAlignment="0" applyProtection="0"/>
    <xf numFmtId="0" fontId="10" fillId="0" borderId="0"/>
    <xf numFmtId="44" fontId="10" fillId="0" borderId="0" applyFont="0" applyFill="0" applyBorder="0" applyAlignment="0" applyProtection="0"/>
    <xf numFmtId="0" fontId="10" fillId="0" borderId="0"/>
    <xf numFmtId="0" fontId="4" fillId="0" borderId="0"/>
    <xf numFmtId="0" fontId="4" fillId="0" borderId="0"/>
    <xf numFmtId="0" fontId="9" fillId="0" borderId="0"/>
    <xf numFmtId="43" fontId="10" fillId="0" borderId="0" applyFont="0" applyFill="0" applyBorder="0" applyAlignment="0" applyProtection="0"/>
    <xf numFmtId="9" fontId="10" fillId="0" borderId="0" applyFont="0" applyFill="0" applyBorder="0" applyAlignment="0" applyProtection="0"/>
    <xf numFmtId="44" fontId="10" fillId="0" borderId="0" applyFont="0" applyFill="0" applyBorder="0" applyAlignment="0" applyProtection="0"/>
    <xf numFmtId="3" fontId="10" fillId="0" borderId="0"/>
    <xf numFmtId="43" fontId="4" fillId="0" borderId="0" applyFont="0" applyFill="0" applyBorder="0" applyAlignment="0" applyProtection="0"/>
    <xf numFmtId="43" fontId="10" fillId="0" borderId="0" applyFont="0" applyFill="0" applyBorder="0" applyAlignment="0" applyProtection="0"/>
    <xf numFmtId="3" fontId="10" fillId="0" borderId="0"/>
    <xf numFmtId="44" fontId="10" fillId="0" borderId="0" applyFont="0" applyFill="0" applyBorder="0" applyAlignment="0" applyProtection="0"/>
    <xf numFmtId="44" fontId="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4" fillId="0" borderId="0"/>
    <xf numFmtId="0" fontId="9" fillId="0" borderId="0"/>
    <xf numFmtId="0" fontId="9" fillId="0" borderId="0"/>
    <xf numFmtId="0" fontId="9" fillId="0" borderId="0"/>
    <xf numFmtId="0" fontId="2" fillId="0" borderId="0"/>
    <xf numFmtId="9" fontId="4"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4" fontId="4" fillId="0" borderId="0" applyFont="0" applyFill="0" applyBorder="0" applyAlignment="0" applyProtection="0"/>
    <xf numFmtId="0" fontId="10" fillId="0" borderId="0"/>
    <xf numFmtId="0" fontId="10" fillId="0" borderId="0"/>
    <xf numFmtId="0" fontId="10" fillId="0" borderId="0"/>
    <xf numFmtId="0" fontId="13" fillId="0" borderId="0"/>
    <xf numFmtId="44" fontId="13" fillId="0" borderId="0" applyFont="0" applyFill="0" applyBorder="0" applyAlignment="0" applyProtection="0"/>
    <xf numFmtId="9" fontId="13" fillId="0" borderId="0" applyFont="0" applyFill="0" applyBorder="0" applyAlignment="0" applyProtection="0"/>
    <xf numFmtId="43" fontId="14" fillId="0" borderId="0" applyFont="0" applyFill="0" applyBorder="0" applyAlignment="0" applyProtection="0"/>
    <xf numFmtId="0" fontId="1" fillId="0" borderId="0"/>
    <xf numFmtId="43" fontId="10" fillId="0" borderId="0" applyFont="0" applyFill="0" applyBorder="0" applyAlignment="0" applyProtection="0"/>
    <xf numFmtId="3" fontId="15" fillId="0" borderId="0" applyFont="0" applyFill="0" applyBorder="0" applyAlignment="0" applyProtection="0"/>
    <xf numFmtId="169" fontId="15" fillId="0" borderId="0" applyFont="0" applyFill="0" applyBorder="0" applyAlignment="0" applyProtection="0"/>
    <xf numFmtId="0" fontId="15" fillId="0" borderId="0" applyFont="0" applyFill="0" applyBorder="0" applyAlignment="0" applyProtection="0"/>
    <xf numFmtId="2" fontId="15" fillId="0" borderId="0" applyFon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5" fillId="0" borderId="37" applyNumberFormat="0" applyFont="0" applyFill="0" applyAlignment="0" applyProtection="0"/>
    <xf numFmtId="43"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44"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8" fillId="0" borderId="0"/>
    <xf numFmtId="43" fontId="10" fillId="0" borderId="0" applyFon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0" fontId="18"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4" fontId="10" fillId="0" borderId="0" applyFon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0" fontId="15" fillId="0" borderId="37" applyNumberFormat="0" applyFont="0" applyFill="0" applyAlignment="0" applyProtection="0"/>
    <xf numFmtId="43" fontId="20"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20" fillId="0" borderId="0"/>
    <xf numFmtId="43" fontId="19" fillId="0" borderId="0" applyFont="0" applyFill="0" applyBorder="0" applyAlignment="0" applyProtection="0"/>
    <xf numFmtId="0" fontId="19" fillId="0" borderId="0"/>
    <xf numFmtId="0" fontId="4" fillId="0" borderId="0"/>
    <xf numFmtId="0" fontId="22" fillId="0" borderId="0"/>
  </cellStyleXfs>
  <cellXfs count="210">
    <xf numFmtId="0" fontId="0" fillId="0" borderId="0" xfId="0"/>
    <xf numFmtId="0" fontId="2" fillId="0" borderId="0" xfId="0" applyFont="1"/>
    <xf numFmtId="43" fontId="2" fillId="0" borderId="0" xfId="2" applyNumberFormat="1" applyFont="1"/>
    <xf numFmtId="0" fontId="2" fillId="0" borderId="0" xfId="0" quotePrefix="1" applyFont="1"/>
    <xf numFmtId="165" fontId="2" fillId="0" borderId="0" xfId="2" applyNumberFormat="1" applyFont="1"/>
    <xf numFmtId="0" fontId="3" fillId="0" borderId="0" xfId="0" quotePrefix="1" applyFont="1"/>
    <xf numFmtId="0" fontId="2" fillId="0" borderId="0" xfId="0" applyFont="1"/>
    <xf numFmtId="0" fontId="2" fillId="0" borderId="0" xfId="0" applyFont="1"/>
    <xf numFmtId="44" fontId="2" fillId="0" borderId="0" xfId="2" applyNumberFormat="1" applyFont="1"/>
    <xf numFmtId="0" fontId="0" fillId="0" borderId="0" xfId="0"/>
    <xf numFmtId="0" fontId="2" fillId="0" borderId="0" xfId="0" applyFont="1"/>
    <xf numFmtId="0" fontId="3" fillId="0" borderId="0" xfId="0" applyFont="1"/>
    <xf numFmtId="164" fontId="2" fillId="0" borderId="0" xfId="0" applyNumberFormat="1" applyFont="1"/>
    <xf numFmtId="0" fontId="2" fillId="0" borderId="0" xfId="0" applyFont="1" applyAlignment="1">
      <alignment horizontal="right"/>
    </xf>
    <xf numFmtId="164" fontId="2" fillId="0" borderId="1" xfId="1" applyNumberFormat="1" applyFont="1" applyBorder="1"/>
    <xf numFmtId="165" fontId="2" fillId="0" borderId="1" xfId="2" applyNumberFormat="1" applyFont="1" applyBorder="1"/>
    <xf numFmtId="44" fontId="2" fillId="0" borderId="1" xfId="2" applyNumberFormat="1" applyFont="1" applyBorder="1"/>
    <xf numFmtId="164" fontId="2" fillId="0" borderId="1" xfId="2" applyNumberFormat="1" applyFont="1" applyBorder="1"/>
    <xf numFmtId="43" fontId="2" fillId="0" borderId="1" xfId="2" applyNumberFormat="1" applyFont="1" applyBorder="1"/>
    <xf numFmtId="0" fontId="5" fillId="0" borderId="5" xfId="4" applyFont="1" applyBorder="1" applyAlignment="1">
      <alignment horizontal="center"/>
    </xf>
    <xf numFmtId="44" fontId="2" fillId="0" borderId="6" xfId="2" applyNumberFormat="1" applyFont="1" applyBorder="1"/>
    <xf numFmtId="43" fontId="2" fillId="0" borderId="6" xfId="2" applyNumberFormat="1" applyFont="1" applyBorder="1"/>
    <xf numFmtId="0" fontId="5" fillId="0" borderId="7" xfId="4" applyFont="1" applyBorder="1" applyAlignment="1">
      <alignment horizontal="center"/>
    </xf>
    <xf numFmtId="164" fontId="2" fillId="0" borderId="8" xfId="1" applyNumberFormat="1" applyFont="1" applyBorder="1"/>
    <xf numFmtId="164" fontId="2" fillId="0" borderId="8" xfId="2" applyNumberFormat="1" applyFont="1" applyBorder="1"/>
    <xf numFmtId="43" fontId="2" fillId="0" borderId="9" xfId="2" applyNumberFormat="1" applyFont="1" applyBorder="1"/>
    <xf numFmtId="0" fontId="7" fillId="2" borderId="2" xfId="0" applyFont="1" applyFill="1" applyBorder="1" applyAlignment="1">
      <alignment horizontal="center"/>
    </xf>
    <xf numFmtId="0" fontId="7" fillId="2" borderId="3" xfId="0" applyFont="1" applyFill="1" applyBorder="1" applyAlignment="1">
      <alignment horizontal="center" wrapText="1"/>
    </xf>
    <xf numFmtId="164" fontId="7" fillId="2" borderId="3" xfId="1" applyNumberFormat="1" applyFont="1" applyFill="1" applyBorder="1" applyAlignment="1">
      <alignment horizontal="center" wrapText="1"/>
    </xf>
    <xf numFmtId="43" fontId="7" fillId="2" borderId="4" xfId="1" applyFont="1" applyFill="1" applyBorder="1" applyAlignment="1">
      <alignment horizontal="center" wrapText="1"/>
    </xf>
    <xf numFmtId="0" fontId="3" fillId="0" borderId="0" xfId="0" applyFont="1" applyAlignment="1">
      <alignment horizontal="right"/>
    </xf>
    <xf numFmtId="165" fontId="3" fillId="0" borderId="0" xfId="2" applyNumberFormat="1" applyFont="1"/>
    <xf numFmtId="44" fontId="3" fillId="0" borderId="0" xfId="2" applyNumberFormat="1" applyFont="1"/>
    <xf numFmtId="0" fontId="7" fillId="2" borderId="3" xfId="0" applyFont="1" applyFill="1" applyBorder="1" applyAlignment="1">
      <alignment horizontal="center"/>
    </xf>
    <xf numFmtId="164" fontId="3" fillId="0" borderId="0" xfId="0" applyNumberFormat="1" applyFont="1"/>
    <xf numFmtId="0" fontId="2" fillId="0" borderId="10" xfId="0" applyFont="1" applyBorder="1"/>
    <xf numFmtId="0" fontId="2" fillId="0" borderId="11" xfId="0" applyFont="1" applyBorder="1"/>
    <xf numFmtId="0" fontId="2" fillId="0" borderId="12" xfId="0" applyFont="1" applyBorder="1"/>
    <xf numFmtId="0" fontId="6" fillId="0" borderId="0" xfId="4" applyFont="1" applyAlignment="1"/>
    <xf numFmtId="0" fontId="6" fillId="0" borderId="0" xfId="4" applyFont="1" applyAlignment="1">
      <alignment horizontal="right"/>
    </xf>
    <xf numFmtId="0" fontId="0" fillId="0" borderId="0" xfId="0" applyAlignment="1">
      <alignment horizontal="center" wrapText="1"/>
    </xf>
    <xf numFmtId="0" fontId="0" fillId="0" borderId="0" xfId="0" applyAlignment="1"/>
    <xf numFmtId="0" fontId="2" fillId="0" borderId="5" xfId="0" applyFont="1" applyBorder="1"/>
    <xf numFmtId="0" fontId="2" fillId="0" borderId="7" xfId="0" applyFont="1" applyBorder="1"/>
    <xf numFmtId="0" fontId="7" fillId="2" borderId="4" xfId="0" applyFont="1" applyFill="1" applyBorder="1" applyAlignment="1">
      <alignment horizontal="center"/>
    </xf>
    <xf numFmtId="0" fontId="7" fillId="2" borderId="2" xfId="0" applyFont="1" applyFill="1" applyBorder="1" applyAlignment="1">
      <alignment horizontal="center" wrapText="1"/>
    </xf>
    <xf numFmtId="0" fontId="7" fillId="2" borderId="4" xfId="0" applyFont="1" applyFill="1" applyBorder="1" applyAlignment="1">
      <alignment horizontal="center" wrapText="1"/>
    </xf>
    <xf numFmtId="165" fontId="2" fillId="0" borderId="6" xfId="2" applyNumberFormat="1" applyFont="1" applyBorder="1"/>
    <xf numFmtId="41" fontId="2" fillId="0" borderId="6" xfId="2" applyNumberFormat="1" applyFont="1" applyBorder="1"/>
    <xf numFmtId="41" fontId="2" fillId="0" borderId="9" xfId="2" applyNumberFormat="1" applyFont="1" applyBorder="1"/>
    <xf numFmtId="41" fontId="2" fillId="0" borderId="1" xfId="2" applyNumberFormat="1" applyFont="1" applyBorder="1"/>
    <xf numFmtId="41" fontId="3" fillId="0" borderId="1" xfId="2" applyNumberFormat="1" applyFont="1" applyBorder="1"/>
    <xf numFmtId="41" fontId="2" fillId="0" borderId="8" xfId="2" applyNumberFormat="1" applyFont="1" applyBorder="1"/>
    <xf numFmtId="41" fontId="2" fillId="0" borderId="28" xfId="2" applyNumberFormat="1" applyFont="1" applyBorder="1"/>
    <xf numFmtId="41" fontId="2" fillId="0" borderId="29" xfId="2" applyNumberFormat="1" applyFont="1" applyBorder="1"/>
    <xf numFmtId="0" fontId="2" fillId="0" borderId="23" xfId="0" applyFont="1" applyBorder="1" applyAlignment="1">
      <alignment wrapText="1"/>
    </xf>
    <xf numFmtId="0" fontId="8" fillId="0" borderId="0" xfId="0" applyFont="1"/>
    <xf numFmtId="0" fontId="2" fillId="0" borderId="0" xfId="0" applyFont="1"/>
    <xf numFmtId="0" fontId="3" fillId="0" borderId="0" xfId="0" applyFont="1"/>
    <xf numFmtId="164" fontId="3" fillId="0" borderId="0" xfId="1" applyNumberFormat="1" applyFont="1"/>
    <xf numFmtId="0" fontId="2" fillId="0" borderId="0" xfId="0" applyFont="1"/>
    <xf numFmtId="164" fontId="2" fillId="0" borderId="0" xfId="1" applyNumberFormat="1" applyFont="1"/>
    <xf numFmtId="44" fontId="2" fillId="0" borderId="0" xfId="2" applyFont="1"/>
    <xf numFmtId="0" fontId="3" fillId="0" borderId="0" xfId="0" applyFont="1"/>
    <xf numFmtId="43" fontId="2" fillId="0" borderId="0" xfId="0" applyNumberFormat="1" applyFont="1"/>
    <xf numFmtId="43" fontId="2" fillId="0" borderId="8" xfId="2" applyNumberFormat="1" applyFont="1" applyBorder="1"/>
    <xf numFmtId="0" fontId="0" fillId="0" borderId="0" xfId="0"/>
    <xf numFmtId="0" fontId="2" fillId="0" borderId="0" xfId="0" applyFont="1"/>
    <xf numFmtId="164" fontId="2" fillId="0" borderId="0" xfId="0" applyNumberFormat="1" applyFont="1"/>
    <xf numFmtId="0" fontId="3" fillId="0" borderId="0" xfId="0" applyFont="1"/>
    <xf numFmtId="43" fontId="2" fillId="3" borderId="10" xfId="2" applyNumberFormat="1" applyFont="1" applyFill="1" applyBorder="1"/>
    <xf numFmtId="43" fontId="2" fillId="0" borderId="27" xfId="0" applyNumberFormat="1" applyFont="1" applyBorder="1"/>
    <xf numFmtId="0" fontId="12" fillId="0" borderId="26" xfId="27" applyFont="1" applyFill="1" applyBorder="1" applyAlignment="1" applyProtection="1">
      <alignment horizontal="left" wrapText="1"/>
    </xf>
    <xf numFmtId="43" fontId="2" fillId="3" borderId="1" xfId="2" applyNumberFormat="1" applyFont="1" applyFill="1" applyBorder="1"/>
    <xf numFmtId="44" fontId="2" fillId="3" borderId="1" xfId="2" applyNumberFormat="1" applyFont="1" applyFill="1" applyBorder="1"/>
    <xf numFmtId="0" fontId="8" fillId="0" borderId="0" xfId="4" applyFont="1" applyFill="1" applyBorder="1" applyAlignment="1"/>
    <xf numFmtId="41" fontId="2" fillId="0" borderId="1" xfId="2" applyNumberFormat="1" applyFont="1" applyFill="1" applyBorder="1"/>
    <xf numFmtId="165" fontId="2" fillId="0" borderId="19" xfId="2" applyNumberFormat="1" applyFont="1" applyFill="1" applyBorder="1"/>
    <xf numFmtId="165" fontId="2" fillId="0" borderId="8" xfId="2" applyNumberFormat="1" applyFont="1" applyFill="1" applyBorder="1"/>
    <xf numFmtId="164" fontId="2" fillId="0" borderId="8" xfId="1" applyNumberFormat="1" applyFont="1" applyFill="1" applyBorder="1"/>
    <xf numFmtId="165" fontId="2" fillId="0" borderId="17" xfId="2" applyNumberFormat="1" applyFont="1" applyFill="1" applyBorder="1"/>
    <xf numFmtId="0" fontId="12" fillId="0" borderId="7" xfId="27" applyFont="1" applyFill="1" applyBorder="1" applyAlignment="1" applyProtection="1">
      <alignment horizontal="left" wrapText="1"/>
    </xf>
    <xf numFmtId="165" fontId="2" fillId="0" borderId="1" xfId="2" applyNumberFormat="1" applyFont="1" applyFill="1" applyBorder="1"/>
    <xf numFmtId="0" fontId="2" fillId="0" borderId="0" xfId="0" applyFont="1" applyAlignment="1">
      <alignment wrapText="1"/>
    </xf>
    <xf numFmtId="164" fontId="2" fillId="0" borderId="1" xfId="1" applyNumberFormat="1" applyFont="1" applyFill="1" applyBorder="1"/>
    <xf numFmtId="0" fontId="5" fillId="0" borderId="0" xfId="0" applyFont="1" applyFill="1" applyBorder="1" applyAlignment="1"/>
    <xf numFmtId="0" fontId="6" fillId="0" borderId="0" xfId="0" applyFont="1" applyFill="1" applyBorder="1" applyAlignment="1"/>
    <xf numFmtId="0" fontId="5" fillId="0" borderId="0" xfId="4" applyFont="1" applyFill="1" applyBorder="1" applyAlignment="1"/>
    <xf numFmtId="0" fontId="7" fillId="0" borderId="0" xfId="0" applyFont="1" applyFill="1" applyBorder="1" applyAlignment="1"/>
    <xf numFmtId="0" fontId="12" fillId="0" borderId="2" xfId="27" applyFont="1" applyFill="1" applyBorder="1" applyAlignment="1" applyProtection="1">
      <alignment horizontal="left" wrapText="1"/>
    </xf>
    <xf numFmtId="3" fontId="5" fillId="0" borderId="7" xfId="60" applyNumberFormat="1" applyFont="1" applyFill="1" applyBorder="1" applyAlignment="1" applyProtection="1">
      <alignment horizontal="left"/>
    </xf>
    <xf numFmtId="0" fontId="12" fillId="0" borderId="5" xfId="27" applyFont="1" applyFill="1" applyBorder="1" applyAlignment="1" applyProtection="1">
      <alignment horizontal="left" wrapText="1"/>
    </xf>
    <xf numFmtId="37" fontId="5" fillId="0" borderId="5" xfId="7" applyFont="1" applyFill="1" applyBorder="1"/>
    <xf numFmtId="37" fontId="5" fillId="0" borderId="5" xfId="7" applyFont="1" applyBorder="1"/>
    <xf numFmtId="43" fontId="2" fillId="0" borderId="6" xfId="0" applyNumberFormat="1" applyFont="1" applyBorder="1"/>
    <xf numFmtId="44" fontId="2" fillId="0" borderId="6" xfId="0" applyNumberFormat="1" applyFont="1" applyBorder="1"/>
    <xf numFmtId="3" fontId="5" fillId="0" borderId="5" xfId="60" applyNumberFormat="1" applyFont="1" applyFill="1" applyBorder="1" applyAlignment="1" applyProtection="1">
      <alignment horizontal="left"/>
    </xf>
    <xf numFmtId="165" fontId="5" fillId="0" borderId="8" xfId="2" applyNumberFormat="1" applyFont="1" applyFill="1" applyBorder="1" applyAlignment="1">
      <alignment horizontal="right" indent="1"/>
    </xf>
    <xf numFmtId="164" fontId="5" fillId="0" borderId="17" xfId="140" applyNumberFormat="1" applyFont="1" applyFill="1" applyBorder="1" applyAlignment="1">
      <alignment horizontal="right" indent="1"/>
    </xf>
    <xf numFmtId="10" fontId="5" fillId="0" borderId="9" xfId="3" applyNumberFormat="1" applyFont="1" applyFill="1" applyBorder="1" applyAlignment="1">
      <alignment horizontal="right" indent="1"/>
    </xf>
    <xf numFmtId="10" fontId="5" fillId="0" borderId="6" xfId="3" applyNumberFormat="1" applyFont="1" applyFill="1" applyBorder="1" applyAlignment="1">
      <alignment horizontal="right" indent="1"/>
    </xf>
    <xf numFmtId="165" fontId="5" fillId="0" borderId="19" xfId="2" applyNumberFormat="1" applyFont="1" applyFill="1" applyBorder="1" applyAlignment="1">
      <alignment horizontal="right" indent="1"/>
    </xf>
    <xf numFmtId="3" fontId="5" fillId="3" borderId="18" xfId="60" quotePrefix="1" applyNumberFormat="1" applyFont="1" applyFill="1" applyBorder="1" applyAlignment="1" applyProtection="1">
      <alignment horizontal="right"/>
    </xf>
    <xf numFmtId="3" fontId="5" fillId="3" borderId="18" xfId="60" applyNumberFormat="1" applyFont="1" applyFill="1" applyBorder="1" applyAlignment="1" applyProtection="1">
      <alignment horizontal="right"/>
    </xf>
    <xf numFmtId="3" fontId="5" fillId="3" borderId="13" xfId="60" applyNumberFormat="1" applyFont="1" applyFill="1" applyBorder="1" applyAlignment="1" applyProtection="1">
      <alignment horizontal="right"/>
    </xf>
    <xf numFmtId="10" fontId="6" fillId="3" borderId="30" xfId="3" applyNumberFormat="1" applyFont="1" applyFill="1" applyBorder="1" applyAlignment="1" applyProtection="1">
      <alignment horizontal="center" wrapText="1"/>
    </xf>
    <xf numFmtId="3" fontId="7" fillId="2" borderId="30" xfId="38" applyNumberFormat="1" applyFont="1" applyFill="1" applyBorder="1" applyAlignment="1" applyProtection="1">
      <alignment horizontal="center" wrapText="1"/>
    </xf>
    <xf numFmtId="165" fontId="5" fillId="0" borderId="1" xfId="140" applyNumberFormat="1" applyFont="1" applyFill="1" applyBorder="1" applyAlignment="1">
      <alignment horizontal="right" indent="1"/>
    </xf>
    <xf numFmtId="165" fontId="5" fillId="0" borderId="17" xfId="140" applyNumberFormat="1" applyFont="1" applyFill="1" applyBorder="1" applyAlignment="1">
      <alignment horizontal="right" indent="1"/>
    </xf>
    <xf numFmtId="10" fontId="6" fillId="3" borderId="31" xfId="108" quotePrefix="1" applyNumberFormat="1" applyFont="1" applyFill="1" applyBorder="1" applyAlignment="1" applyProtection="1">
      <alignment horizontal="center" wrapText="1"/>
    </xf>
    <xf numFmtId="167" fontId="7" fillId="2" borderId="31" xfId="38" applyNumberFormat="1" applyFont="1" applyFill="1" applyBorder="1" applyAlignment="1" applyProtection="1">
      <alignment horizontal="center" wrapText="1"/>
    </xf>
    <xf numFmtId="3" fontId="7" fillId="2" borderId="31" xfId="38" quotePrefix="1" applyNumberFormat="1" applyFont="1" applyFill="1" applyBorder="1" applyAlignment="1" applyProtection="1">
      <alignment horizontal="center" wrapText="1"/>
    </xf>
    <xf numFmtId="3" fontId="7" fillId="2" borderId="32" xfId="38" applyNumberFormat="1" applyFont="1" applyFill="1" applyBorder="1" applyAlignment="1" applyProtection="1">
      <alignment horizontal="center"/>
    </xf>
    <xf numFmtId="41" fontId="5" fillId="0" borderId="1" xfId="140" applyNumberFormat="1" applyFont="1" applyFill="1" applyBorder="1" applyAlignment="1">
      <alignment horizontal="right" indent="1"/>
    </xf>
    <xf numFmtId="0" fontId="5" fillId="0" borderId="0" xfId="38" applyFont="1" applyFill="1" applyBorder="1" applyAlignment="1">
      <alignment vertical="top" wrapText="1"/>
    </xf>
    <xf numFmtId="0" fontId="6" fillId="0" borderId="0" xfId="60" applyFont="1"/>
    <xf numFmtId="3" fontId="6" fillId="0" borderId="0" xfId="38" applyNumberFormat="1" applyFont="1" applyFill="1" applyBorder="1" applyAlignment="1" applyProtection="1">
      <alignment horizontal="left"/>
    </xf>
    <xf numFmtId="10" fontId="6" fillId="3" borderId="31" xfId="3" applyNumberFormat="1" applyFont="1" applyFill="1" applyBorder="1" applyAlignment="1" applyProtection="1">
      <alignment horizontal="center" wrapText="1"/>
    </xf>
    <xf numFmtId="0" fontId="5" fillId="0" borderId="0" xfId="38" applyFont="1" applyFill="1" applyBorder="1" applyAlignment="1">
      <alignment horizontal="right"/>
    </xf>
    <xf numFmtId="168" fontId="0" fillId="0" borderId="0" xfId="0" applyNumberFormat="1"/>
    <xf numFmtId="0" fontId="7" fillId="2" borderId="34" xfId="60" applyFont="1" applyFill="1" applyBorder="1" applyAlignment="1">
      <alignment horizontal="center" wrapText="1"/>
    </xf>
    <xf numFmtId="37" fontId="5" fillId="0" borderId="33" xfId="7" applyFont="1" applyBorder="1"/>
    <xf numFmtId="0" fontId="7" fillId="2" borderId="30" xfId="60" applyFont="1" applyFill="1" applyBorder="1" applyAlignment="1">
      <alignment horizontal="center" wrapText="1"/>
    </xf>
    <xf numFmtId="0" fontId="7" fillId="2" borderId="31" xfId="60" applyFont="1" applyFill="1" applyBorder="1" applyAlignment="1">
      <alignment horizontal="center" wrapText="1"/>
    </xf>
    <xf numFmtId="0" fontId="10" fillId="0" borderId="0" xfId="60"/>
    <xf numFmtId="0" fontId="5" fillId="0" borderId="0" xfId="60" applyFont="1"/>
    <xf numFmtId="0" fontId="6" fillId="0" borderId="0" xfId="60" applyFont="1" applyFill="1" applyAlignment="1">
      <alignment horizontal="left"/>
    </xf>
    <xf numFmtId="0" fontId="6" fillId="0" borderId="0" xfId="60" quotePrefix="1" applyFont="1" applyFill="1" applyAlignment="1">
      <alignment horizontal="left"/>
    </xf>
    <xf numFmtId="164" fontId="5" fillId="0" borderId="3" xfId="33" applyNumberFormat="1" applyFont="1" applyFill="1" applyBorder="1" applyAlignment="1">
      <alignment horizontal="right"/>
    </xf>
    <xf numFmtId="168" fontId="5" fillId="0" borderId="3" xfId="60" applyNumberFormat="1" applyFont="1" applyFill="1" applyBorder="1"/>
    <xf numFmtId="168" fontId="5" fillId="0" borderId="4" xfId="60" applyNumberFormat="1" applyFont="1" applyFill="1" applyBorder="1"/>
    <xf numFmtId="3" fontId="5" fillId="0" borderId="1" xfId="60" applyNumberFormat="1" applyFont="1" applyFill="1" applyBorder="1" applyAlignment="1">
      <alignment horizontal="right"/>
    </xf>
    <xf numFmtId="3" fontId="5" fillId="0" borderId="6" xfId="60" applyNumberFormat="1" applyFont="1" applyFill="1" applyBorder="1" applyAlignment="1">
      <alignment horizontal="right"/>
    </xf>
    <xf numFmtId="3" fontId="5" fillId="0" borderId="1" xfId="60" applyNumberFormat="1" applyFont="1" applyFill="1" applyBorder="1"/>
    <xf numFmtId="3" fontId="5" fillId="0" borderId="6" xfId="60" applyNumberFormat="1" applyFont="1" applyFill="1" applyBorder="1"/>
    <xf numFmtId="3" fontId="6" fillId="0" borderId="8" xfId="60" applyNumberFormat="1" applyFont="1" applyFill="1" applyBorder="1" applyAlignment="1">
      <alignment horizontal="right"/>
    </xf>
    <xf numFmtId="168" fontId="6" fillId="0" borderId="8" xfId="60" applyNumberFormat="1" applyFont="1" applyFill="1" applyBorder="1"/>
    <xf numFmtId="168" fontId="6" fillId="0" borderId="9" xfId="60" applyNumberFormat="1" applyFont="1" applyFill="1" applyBorder="1"/>
    <xf numFmtId="166" fontId="2" fillId="0" borderId="0" xfId="3" applyNumberFormat="1" applyFont="1"/>
    <xf numFmtId="44" fontId="2" fillId="0" borderId="0" xfId="0" applyNumberFormat="1" applyFont="1"/>
    <xf numFmtId="3" fontId="6" fillId="3" borderId="32" xfId="38" applyNumberFormat="1" applyFont="1" applyFill="1" applyBorder="1" applyAlignment="1" applyProtection="1">
      <alignment horizontal="right"/>
    </xf>
    <xf numFmtId="44" fontId="2" fillId="0" borderId="3" xfId="2" applyFont="1" applyBorder="1"/>
    <xf numFmtId="44" fontId="2" fillId="0" borderId="4" xfId="2" applyFont="1" applyBorder="1"/>
    <xf numFmtId="0" fontId="7" fillId="2" borderId="33" xfId="0" applyFont="1" applyFill="1" applyBorder="1" applyAlignment="1">
      <alignment horizontal="center" wrapText="1"/>
    </xf>
    <xf numFmtId="43" fontId="2" fillId="0" borderId="1" xfId="1" applyFont="1" applyFill="1" applyBorder="1"/>
    <xf numFmtId="44" fontId="2" fillId="0" borderId="1" xfId="2" applyFont="1" applyFill="1" applyBorder="1"/>
    <xf numFmtId="43" fontId="2" fillId="0" borderId="8" xfId="1" applyFont="1" applyFill="1" applyBorder="1"/>
    <xf numFmtId="0" fontId="7" fillId="2" borderId="6" xfId="0" applyFont="1" applyFill="1" applyBorder="1" applyAlignment="1">
      <alignment horizontal="center" wrapText="1"/>
    </xf>
    <xf numFmtId="44" fontId="2" fillId="0" borderId="6" xfId="2" applyFont="1" applyFill="1" applyBorder="1"/>
    <xf numFmtId="43" fontId="2" fillId="0" borderId="6" xfId="1" applyFont="1" applyFill="1" applyBorder="1"/>
    <xf numFmtId="43" fontId="2" fillId="0" borderId="9" xfId="1" applyFont="1" applyFill="1" applyBorder="1"/>
    <xf numFmtId="0" fontId="4" fillId="0" borderId="0" xfId="4"/>
    <xf numFmtId="0" fontId="0" fillId="0" borderId="0" xfId="0" applyNumberFormat="1"/>
    <xf numFmtId="43" fontId="2" fillId="0" borderId="1" xfId="1" applyNumberFormat="1" applyFont="1" applyFill="1" applyBorder="1"/>
    <xf numFmtId="0" fontId="0" fillId="0" borderId="0" xfId="0" applyAlignment="1">
      <alignment horizontal="center"/>
    </xf>
    <xf numFmtId="0" fontId="0" fillId="0" borderId="0" xfId="0"/>
    <xf numFmtId="0" fontId="0" fillId="0" borderId="0" xfId="0" applyNumberFormat="1"/>
    <xf numFmtId="0" fontId="21" fillId="0" borderId="41" xfId="290" applyFont="1" applyFill="1" applyBorder="1" applyAlignment="1"/>
    <xf numFmtId="170" fontId="21" fillId="0" borderId="41" xfId="290" applyNumberFormat="1" applyFont="1" applyFill="1" applyBorder="1" applyAlignment="1">
      <alignment horizontal="right"/>
    </xf>
    <xf numFmtId="0" fontId="7" fillId="2" borderId="38" xfId="0" applyFont="1" applyFill="1" applyBorder="1" applyAlignment="1">
      <alignment horizontal="center" wrapText="1"/>
    </xf>
    <xf numFmtId="0" fontId="5" fillId="0" borderId="17" xfId="4" applyFont="1" applyBorder="1" applyAlignment="1">
      <alignment horizontal="left" wrapText="1"/>
    </xf>
    <xf numFmtId="0" fontId="7" fillId="2" borderId="16" xfId="0" applyFont="1" applyFill="1" applyBorder="1" applyAlignment="1">
      <alignment horizontal="center" wrapText="1"/>
    </xf>
    <xf numFmtId="0" fontId="5" fillId="0" borderId="19" xfId="4" applyFont="1" applyBorder="1" applyAlignment="1">
      <alignment horizontal="left" wrapText="1"/>
    </xf>
    <xf numFmtId="0" fontId="7" fillId="2" borderId="2" xfId="0" applyFont="1" applyFill="1" applyBorder="1" applyAlignment="1">
      <alignment horizontal="center"/>
    </xf>
    <xf numFmtId="0" fontId="7" fillId="2" borderId="3" xfId="1" applyNumberFormat="1" applyFont="1" applyFill="1" applyBorder="1" applyAlignment="1">
      <alignment horizontal="center" wrapText="1"/>
    </xf>
    <xf numFmtId="0" fontId="7" fillId="2" borderId="39" xfId="1" applyNumberFormat="1" applyFont="1" applyFill="1" applyBorder="1" applyAlignment="1">
      <alignment horizontal="center" wrapText="1"/>
    </xf>
    <xf numFmtId="0" fontId="7" fillId="2" borderId="2" xfId="1" applyNumberFormat="1" applyFont="1" applyFill="1" applyBorder="1" applyAlignment="1">
      <alignment horizontal="center" wrapText="1"/>
    </xf>
    <xf numFmtId="0" fontId="7" fillId="2" borderId="13" xfId="1" applyNumberFormat="1" applyFont="1" applyFill="1" applyBorder="1" applyAlignment="1">
      <alignment horizontal="center" wrapText="1"/>
    </xf>
    <xf numFmtId="44" fontId="2" fillId="0" borderId="36" xfId="2" applyNumberFormat="1" applyFont="1" applyBorder="1"/>
    <xf numFmtId="166" fontId="2" fillId="0" borderId="5" xfId="3" applyNumberFormat="1" applyFont="1" applyBorder="1"/>
    <xf numFmtId="166" fontId="2" fillId="0" borderId="18" xfId="3" applyNumberFormat="1" applyFont="1" applyBorder="1"/>
    <xf numFmtId="166" fontId="2" fillId="0" borderId="36" xfId="3" applyNumberFormat="1" applyFont="1" applyBorder="1"/>
    <xf numFmtId="43" fontId="2" fillId="0" borderId="36" xfId="2" applyNumberFormat="1" applyFont="1" applyBorder="1"/>
    <xf numFmtId="43" fontId="2" fillId="0" borderId="42" xfId="2" applyNumberFormat="1" applyFont="1" applyBorder="1"/>
    <xf numFmtId="166" fontId="2" fillId="0" borderId="7" xfId="3" applyNumberFormat="1" applyFont="1" applyBorder="1"/>
    <xf numFmtId="166" fontId="2" fillId="0" borderId="20" xfId="3" applyNumberFormat="1" applyFont="1" applyBorder="1"/>
    <xf numFmtId="166" fontId="2" fillId="0" borderId="42" xfId="3" applyNumberFormat="1" applyFont="1" applyBorder="1"/>
    <xf numFmtId="164" fontId="0" fillId="0" borderId="0" xfId="1" applyNumberFormat="1" applyFont="1"/>
    <xf numFmtId="164" fontId="0" fillId="0" borderId="0" xfId="0" applyNumberFormat="1"/>
    <xf numFmtId="0" fontId="2" fillId="0" borderId="0" xfId="0" quotePrefix="1" applyFont="1" applyAlignment="1">
      <alignment horizontal="left" vertical="top" wrapText="1"/>
    </xf>
    <xf numFmtId="0" fontId="5" fillId="0" borderId="17" xfId="4" applyFont="1" applyBorder="1" applyAlignment="1">
      <alignment horizontal="left" wrapText="1"/>
    </xf>
    <xf numFmtId="0" fontId="5" fillId="0" borderId="18" xfId="4" applyFont="1" applyBorder="1" applyAlignment="1">
      <alignment horizontal="left" wrapText="1"/>
    </xf>
    <xf numFmtId="0" fontId="7" fillId="2" borderId="16" xfId="0" applyFont="1" applyFill="1" applyBorder="1" applyAlignment="1">
      <alignment horizontal="center" wrapText="1"/>
    </xf>
    <xf numFmtId="0" fontId="7" fillId="2" borderId="13" xfId="0" applyFont="1" applyFill="1" applyBorder="1" applyAlignment="1">
      <alignment horizontal="center" wrapText="1"/>
    </xf>
    <xf numFmtId="0" fontId="5" fillId="0" borderId="19" xfId="4" applyFont="1" applyBorder="1" applyAlignment="1">
      <alignment horizontal="left" wrapText="1"/>
    </xf>
    <xf numFmtId="0" fontId="5" fillId="0" borderId="20" xfId="4" applyFont="1" applyBorder="1" applyAlignment="1">
      <alignment horizontal="left" wrapText="1"/>
    </xf>
    <xf numFmtId="164" fontId="2" fillId="0" borderId="24" xfId="1" applyNumberFormat="1" applyFont="1" applyBorder="1" applyAlignment="1">
      <alignment horizontal="left" wrapText="1"/>
    </xf>
    <xf numFmtId="164" fontId="2" fillId="0" borderId="15" xfId="1" applyNumberFormat="1" applyFont="1" applyBorder="1" applyAlignment="1">
      <alignment horizontal="left" wrapText="1"/>
    </xf>
    <xf numFmtId="0" fontId="7" fillId="2" borderId="21" xfId="0" applyFont="1" applyFill="1" applyBorder="1" applyAlignment="1">
      <alignment horizontal="center"/>
    </xf>
    <xf numFmtId="0" fontId="7" fillId="2" borderId="13" xfId="0" applyFont="1" applyFill="1" applyBorder="1" applyAlignment="1">
      <alignment horizontal="center"/>
    </xf>
    <xf numFmtId="164" fontId="2" fillId="0" borderId="22" xfId="1" applyNumberFormat="1" applyFont="1" applyBorder="1" applyAlignment="1">
      <alignment horizontal="left" wrapText="1"/>
    </xf>
    <xf numFmtId="164" fontId="2" fillId="0" borderId="14" xfId="1" applyNumberFormat="1" applyFont="1" applyBorder="1" applyAlignment="1">
      <alignment horizontal="left" wrapText="1"/>
    </xf>
    <xf numFmtId="164" fontId="2" fillId="0" borderId="25" xfId="1" applyNumberFormat="1" applyFont="1" applyBorder="1" applyAlignment="1">
      <alignment horizontal="left" wrapText="1"/>
    </xf>
    <xf numFmtId="164" fontId="2" fillId="0" borderId="18" xfId="1" applyNumberFormat="1" applyFont="1" applyBorder="1" applyAlignment="1">
      <alignment horizontal="left" wrapText="1"/>
    </xf>
    <xf numFmtId="0" fontId="7" fillId="2" borderId="2" xfId="0" applyFont="1" applyFill="1" applyBorder="1" applyAlignment="1">
      <alignment horizontal="center"/>
    </xf>
    <xf numFmtId="0" fontId="7" fillId="2" borderId="3" xfId="0" applyFont="1" applyFill="1" applyBorder="1" applyAlignment="1">
      <alignment horizontal="center"/>
    </xf>
    <xf numFmtId="0" fontId="7" fillId="2" borderId="4" xfId="0" applyFont="1" applyFill="1" applyBorder="1" applyAlignment="1">
      <alignment horizontal="center"/>
    </xf>
    <xf numFmtId="0" fontId="5" fillId="0" borderId="5" xfId="4" applyFont="1" applyBorder="1" applyAlignment="1">
      <alignment horizontal="left"/>
    </xf>
    <xf numFmtId="0" fontId="5" fillId="0" borderId="1" xfId="4" applyFont="1" applyBorder="1" applyAlignment="1">
      <alignment horizontal="left"/>
    </xf>
    <xf numFmtId="0" fontId="5" fillId="0" borderId="6" xfId="4" applyFont="1" applyBorder="1" applyAlignment="1">
      <alignment horizontal="left"/>
    </xf>
    <xf numFmtId="0" fontId="5" fillId="0" borderId="7" xfId="4" applyFont="1" applyBorder="1" applyAlignment="1">
      <alignment horizontal="left"/>
    </xf>
    <xf numFmtId="0" fontId="5" fillId="0" borderId="8" xfId="4" applyFont="1" applyBorder="1" applyAlignment="1">
      <alignment horizontal="left"/>
    </xf>
    <xf numFmtId="0" fontId="5" fillId="0" borderId="9" xfId="4" applyFont="1" applyBorder="1" applyAlignment="1">
      <alignment horizontal="left"/>
    </xf>
    <xf numFmtId="0" fontId="2" fillId="0" borderId="25" xfId="0" applyFont="1" applyBorder="1" applyAlignment="1">
      <alignment horizontal="left"/>
    </xf>
    <xf numFmtId="0" fontId="2" fillId="0" borderId="35" xfId="0" applyFont="1" applyBorder="1" applyAlignment="1">
      <alignment horizontal="left"/>
    </xf>
    <xf numFmtId="0" fontId="2" fillId="0" borderId="36" xfId="0" applyFont="1" applyBorder="1" applyAlignment="1">
      <alignment horizontal="left"/>
    </xf>
    <xf numFmtId="0" fontId="7" fillId="2" borderId="39" xfId="0" applyFont="1" applyFill="1" applyBorder="1" applyAlignment="1">
      <alignment horizontal="center" wrapText="1"/>
    </xf>
    <xf numFmtId="0" fontId="7" fillId="2" borderId="40" xfId="0" applyFont="1" applyFill="1" applyBorder="1" applyAlignment="1">
      <alignment horizontal="center" wrapText="1"/>
    </xf>
    <xf numFmtId="0" fontId="7" fillId="2" borderId="38" xfId="0" applyFont="1" applyFill="1" applyBorder="1" applyAlignment="1">
      <alignment horizontal="center" wrapText="1"/>
    </xf>
    <xf numFmtId="0" fontId="5" fillId="0" borderId="0" xfId="38" applyFont="1" applyFill="1" applyBorder="1" applyAlignment="1">
      <alignment horizontal="left" vertical="top" wrapText="1"/>
    </xf>
  </cellXfs>
  <cellStyles count="291">
    <cellStyle name="Comma" xfId="1" builtinId="3"/>
    <cellStyle name="Comma 10" xfId="108"/>
    <cellStyle name="Comma 11" xfId="109"/>
    <cellStyle name="Comma 12" xfId="110"/>
    <cellStyle name="Comma 13" xfId="111"/>
    <cellStyle name="Comma 14" xfId="112"/>
    <cellStyle name="Comma 15" xfId="113"/>
    <cellStyle name="Comma 16" xfId="114"/>
    <cellStyle name="Comma 17" xfId="115"/>
    <cellStyle name="Comma 18" xfId="116"/>
    <cellStyle name="Comma 19" xfId="117"/>
    <cellStyle name="Comma 2" xfId="5"/>
    <cellStyle name="Comma 2 10" xfId="118"/>
    <cellStyle name="Comma 2 11" xfId="119"/>
    <cellStyle name="Comma 2 12" xfId="120"/>
    <cellStyle name="Comma 2 13" xfId="121"/>
    <cellStyle name="Comma 2 14" xfId="122"/>
    <cellStyle name="Comma 2 15" xfId="123"/>
    <cellStyle name="Comma 2 16" xfId="124"/>
    <cellStyle name="Comma 2 17" xfId="125"/>
    <cellStyle name="Comma 2 18" xfId="126"/>
    <cellStyle name="Comma 2 19" xfId="127"/>
    <cellStyle name="Comma 2 2" xfId="9"/>
    <cellStyle name="Comma 2 2 2" xfId="32"/>
    <cellStyle name="Comma 2 2 3" xfId="77"/>
    <cellStyle name="Comma 2 20" xfId="128"/>
    <cellStyle name="Comma 2 21" xfId="129"/>
    <cellStyle name="Comma 2 22" xfId="130"/>
    <cellStyle name="Comma 2 23" xfId="131"/>
    <cellStyle name="Comma 2 24" xfId="132"/>
    <cellStyle name="Comma 2 25" xfId="67"/>
    <cellStyle name="Comma 2 26" xfId="287"/>
    <cellStyle name="Comma 2 27" xfId="283"/>
    <cellStyle name="Comma 2 28" xfId="282"/>
    <cellStyle name="Comma 2 29" xfId="285"/>
    <cellStyle name="Comma 2 3" xfId="75"/>
    <cellStyle name="Comma 2 4" xfId="89"/>
    <cellStyle name="Comma 2 5" xfId="95"/>
    <cellStyle name="Comma 2 6" xfId="94"/>
    <cellStyle name="Comma 2 7" xfId="99"/>
    <cellStyle name="Comma 2 8" xfId="133"/>
    <cellStyle name="Comma 2 9" xfId="134"/>
    <cellStyle name="Comma 20" xfId="135"/>
    <cellStyle name="Comma 3" xfId="12"/>
    <cellStyle name="Comma 3 2" xfId="33"/>
    <cellStyle name="Comma 3 3" xfId="28"/>
    <cellStyle name="Comma 3 4" xfId="90"/>
    <cellStyle name="Comma 3 5" xfId="96"/>
    <cellStyle name="Comma 3 6" xfId="97"/>
    <cellStyle name="Comma 3 7" xfId="93"/>
    <cellStyle name="Comma 4" xfId="15"/>
    <cellStyle name="Comma 4 2" xfId="136"/>
    <cellStyle name="Comma 5" xfId="16"/>
    <cellStyle name="Comma 5 2" xfId="65"/>
    <cellStyle name="Comma 5 3" xfId="137"/>
    <cellStyle name="Comma 6" xfId="14"/>
    <cellStyle name="Comma 6 2" xfId="138"/>
    <cellStyle name="Comma 9" xfId="139"/>
    <cellStyle name="Comma0" xfId="31"/>
    <cellStyle name="Comma0 2" xfId="34"/>
    <cellStyle name="Comma0 3" xfId="68"/>
    <cellStyle name="Currency" xfId="2" builtinId="4"/>
    <cellStyle name="Currency 10" xfId="140"/>
    <cellStyle name="Currency 11" xfId="141"/>
    <cellStyle name="Currency 12" xfId="142"/>
    <cellStyle name="Currency 13" xfId="143"/>
    <cellStyle name="Currency 14" xfId="144"/>
    <cellStyle name="Currency 15" xfId="145"/>
    <cellStyle name="Currency 16" xfId="146"/>
    <cellStyle name="Currency 17" xfId="147"/>
    <cellStyle name="Currency 18" xfId="148"/>
    <cellStyle name="Currency 19" xfId="149"/>
    <cellStyle name="Currency 2" xfId="30"/>
    <cellStyle name="Currency 2 10" xfId="150"/>
    <cellStyle name="Currency 2 11" xfId="151"/>
    <cellStyle name="Currency 2 12" xfId="152"/>
    <cellStyle name="Currency 2 13" xfId="153"/>
    <cellStyle name="Currency 2 14" xfId="154"/>
    <cellStyle name="Currency 2 15" xfId="155"/>
    <cellStyle name="Currency 2 16" xfId="156"/>
    <cellStyle name="Currency 2 17" xfId="157"/>
    <cellStyle name="Currency 2 18" xfId="158"/>
    <cellStyle name="Currency 2 19" xfId="159"/>
    <cellStyle name="Currency 2 2" xfId="35"/>
    <cellStyle name="Currency 2 20" xfId="160"/>
    <cellStyle name="Currency 2 21" xfId="161"/>
    <cellStyle name="Currency 2 22" xfId="162"/>
    <cellStyle name="Currency 2 23" xfId="163"/>
    <cellStyle name="Currency 2 24" xfId="164"/>
    <cellStyle name="Currency 2 3" xfId="85"/>
    <cellStyle name="Currency 2 4" xfId="86"/>
    <cellStyle name="Currency 2 5" xfId="98"/>
    <cellStyle name="Currency 2 6" xfId="102"/>
    <cellStyle name="Currency 2 7" xfId="105"/>
    <cellStyle name="Currency 2 8" xfId="165"/>
    <cellStyle name="Currency 2 9" xfId="166"/>
    <cellStyle name="Currency 3" xfId="58"/>
    <cellStyle name="Currency 3 2" xfId="36"/>
    <cellStyle name="Currency 4" xfId="63"/>
    <cellStyle name="Currency 4 2" xfId="167"/>
    <cellStyle name="Currency 5" xfId="23"/>
    <cellStyle name="Currency 7" xfId="168"/>
    <cellStyle name="Currency 8" xfId="169"/>
    <cellStyle name="Currency 9" xfId="170"/>
    <cellStyle name="Currency0" xfId="69"/>
    <cellStyle name="Date" xfId="70"/>
    <cellStyle name="Fixed" xfId="71"/>
    <cellStyle name="Heading 1 10" xfId="171"/>
    <cellStyle name="Heading 1 11" xfId="172"/>
    <cellStyle name="Heading 1 12" xfId="173"/>
    <cellStyle name="Heading 1 13" xfId="174"/>
    <cellStyle name="Heading 1 14" xfId="175"/>
    <cellStyle name="Heading 1 15" xfId="176"/>
    <cellStyle name="Heading 1 16" xfId="177"/>
    <cellStyle name="Heading 1 17" xfId="178"/>
    <cellStyle name="Heading 1 18" xfId="179"/>
    <cellStyle name="Heading 1 19" xfId="180"/>
    <cellStyle name="Heading 1 2" xfId="181"/>
    <cellStyle name="Heading 1 20" xfId="72"/>
    <cellStyle name="Heading 1 3" xfId="182"/>
    <cellStyle name="Heading 1 4" xfId="183"/>
    <cellStyle name="Heading 1 5" xfId="184"/>
    <cellStyle name="Heading 1 6" xfId="185"/>
    <cellStyle name="Heading 1 7" xfId="186"/>
    <cellStyle name="Heading 1 8" xfId="187"/>
    <cellStyle name="Heading 1 9" xfId="188"/>
    <cellStyle name="Heading 2 10" xfId="189"/>
    <cellStyle name="Heading 2 11" xfId="190"/>
    <cellStyle name="Heading 2 12" xfId="191"/>
    <cellStyle name="Heading 2 13" xfId="192"/>
    <cellStyle name="Heading 2 14" xfId="193"/>
    <cellStyle name="Heading 2 15" xfId="194"/>
    <cellStyle name="Heading 2 16" xfId="195"/>
    <cellStyle name="Heading 2 17" xfId="196"/>
    <cellStyle name="Heading 2 18" xfId="197"/>
    <cellStyle name="Heading 2 19" xfId="198"/>
    <cellStyle name="Heading 2 2" xfId="199"/>
    <cellStyle name="Heading 2 20" xfId="73"/>
    <cellStyle name="Heading 2 3" xfId="200"/>
    <cellStyle name="Heading 2 4" xfId="201"/>
    <cellStyle name="Heading 2 5" xfId="202"/>
    <cellStyle name="Heading 2 6" xfId="203"/>
    <cellStyle name="Heading 2 7" xfId="204"/>
    <cellStyle name="Heading 2 8" xfId="205"/>
    <cellStyle name="Heading 2 9" xfId="206"/>
    <cellStyle name="Normal" xfId="0" builtinId="0"/>
    <cellStyle name="Normal 10" xfId="60"/>
    <cellStyle name="Normal 10 2" xfId="61"/>
    <cellStyle name="Normal 11" xfId="62"/>
    <cellStyle name="Normal 11 2" xfId="207"/>
    <cellStyle name="Normal 12" xfId="66"/>
    <cellStyle name="Normal 12 2" xfId="208"/>
    <cellStyle name="Normal 13" xfId="209"/>
    <cellStyle name="Normal 14" xfId="210"/>
    <cellStyle name="Normal 15" xfId="211"/>
    <cellStyle name="Normal 16" xfId="212"/>
    <cellStyle name="Normal 17" xfId="213"/>
    <cellStyle name="Normal 18" xfId="214"/>
    <cellStyle name="Normal 19" xfId="215"/>
    <cellStyle name="Normal 2" xfId="4"/>
    <cellStyle name="Normal 2 10" xfId="38"/>
    <cellStyle name="Normal 2 11" xfId="39"/>
    <cellStyle name="Normal 2 12" xfId="40"/>
    <cellStyle name="Normal 2 13" xfId="41"/>
    <cellStyle name="Normal 2 14" xfId="24"/>
    <cellStyle name="Normal 2 15" xfId="216"/>
    <cellStyle name="Normal 2 16" xfId="217"/>
    <cellStyle name="Normal 2 17" xfId="218"/>
    <cellStyle name="Normal 2 18" xfId="219"/>
    <cellStyle name="Normal 2 19" xfId="220"/>
    <cellStyle name="Normal 2 2" xfId="11"/>
    <cellStyle name="Normal 2 2 2" xfId="37"/>
    <cellStyle name="Normal 2 2 2 2" xfId="79"/>
    <cellStyle name="Normal 2 2 3" xfId="88"/>
    <cellStyle name="Normal 2 2 4" xfId="92"/>
    <cellStyle name="Normal 2 20" xfId="221"/>
    <cellStyle name="Normal 2 21" xfId="222"/>
    <cellStyle name="Normal 2 22" xfId="223"/>
    <cellStyle name="Normal 2 23" xfId="224"/>
    <cellStyle name="Normal 2 24" xfId="225"/>
    <cellStyle name="Normal 2 25" xfId="226"/>
    <cellStyle name="Normal 2 26" xfId="227"/>
    <cellStyle name="Normal 2 27" xfId="288"/>
    <cellStyle name="Normal 2 28" xfId="284"/>
    <cellStyle name="Normal 2 29" xfId="286"/>
    <cellStyle name="Normal 2 3" xfId="7"/>
    <cellStyle name="Normal 2 3 2" xfId="42"/>
    <cellStyle name="Normal 2 3 3" xfId="81"/>
    <cellStyle name="Normal 2 30" xfId="289"/>
    <cellStyle name="Normal 2 4" xfId="43"/>
    <cellStyle name="Normal 2 4 2" xfId="83"/>
    <cellStyle name="Normal 2 5" xfId="44"/>
    <cellStyle name="Normal 2 6" xfId="45"/>
    <cellStyle name="Normal 2 7" xfId="46"/>
    <cellStyle name="Normal 2 8" xfId="47"/>
    <cellStyle name="Normal 2 9" xfId="48"/>
    <cellStyle name="Normal 20" xfId="228"/>
    <cellStyle name="Normal 3" xfId="17"/>
    <cellStyle name="Normal 3 2" xfId="49"/>
    <cellStyle name="Normal 3 2 2" xfId="80"/>
    <cellStyle name="Normal 3 3" xfId="59"/>
    <cellStyle name="Normal 3 3 2" xfId="82"/>
    <cellStyle name="Normal 3 4" xfId="25"/>
    <cellStyle name="Normal 3 4 2" xfId="84"/>
    <cellStyle name="Normal 4" xfId="18"/>
    <cellStyle name="Normal 4 2" xfId="50"/>
    <cellStyle name="Normal 4 3" xfId="26"/>
    <cellStyle name="Normal 4 4" xfId="78"/>
    <cellStyle name="Normal 5" xfId="19"/>
    <cellStyle name="Normal 5 2" xfId="27"/>
    <cellStyle name="Normal 5 3" xfId="229"/>
    <cellStyle name="Normal 6" xfId="20"/>
    <cellStyle name="Normal 6 2" xfId="51"/>
    <cellStyle name="Normal 6 3" xfId="230"/>
    <cellStyle name="Normal 7" xfId="13"/>
    <cellStyle name="Normal 7 2" xfId="52"/>
    <cellStyle name="Normal 8" xfId="22"/>
    <cellStyle name="Normal 8 2" xfId="53"/>
    <cellStyle name="Normal 9" xfId="54"/>
    <cellStyle name="Normal 9 2" xfId="231"/>
    <cellStyle name="Normal_Sheet1 2" xfId="290"/>
    <cellStyle name="Percent" xfId="3" builtinId="5"/>
    <cellStyle name="Percent 10" xfId="232"/>
    <cellStyle name="Percent 11" xfId="233"/>
    <cellStyle name="Percent 12" xfId="234"/>
    <cellStyle name="Percent 13" xfId="235"/>
    <cellStyle name="Percent 14" xfId="236"/>
    <cellStyle name="Percent 15" xfId="237"/>
    <cellStyle name="Percent 16" xfId="238"/>
    <cellStyle name="Percent 17" xfId="239"/>
    <cellStyle name="Percent 18" xfId="240"/>
    <cellStyle name="Percent 19" xfId="241"/>
    <cellStyle name="Percent 2" xfId="6"/>
    <cellStyle name="Percent 2 10" xfId="242"/>
    <cellStyle name="Percent 2 11" xfId="243"/>
    <cellStyle name="Percent 2 12" xfId="244"/>
    <cellStyle name="Percent 2 13" xfId="245"/>
    <cellStyle name="Percent 2 14" xfId="246"/>
    <cellStyle name="Percent 2 15" xfId="247"/>
    <cellStyle name="Percent 2 16" xfId="248"/>
    <cellStyle name="Percent 2 17" xfId="249"/>
    <cellStyle name="Percent 2 18" xfId="250"/>
    <cellStyle name="Percent 2 19" xfId="251"/>
    <cellStyle name="Percent 2 2" xfId="8"/>
    <cellStyle name="Percent 2 2 2" xfId="55"/>
    <cellStyle name="Percent 2 20" xfId="252"/>
    <cellStyle name="Percent 2 21" xfId="253"/>
    <cellStyle name="Percent 2 22" xfId="254"/>
    <cellStyle name="Percent 2 23" xfId="255"/>
    <cellStyle name="Percent 2 24" xfId="256"/>
    <cellStyle name="Percent 2 3" xfId="87"/>
    <cellStyle name="Percent 2 4" xfId="76"/>
    <cellStyle name="Percent 2 5" xfId="100"/>
    <cellStyle name="Percent 2 6" xfId="103"/>
    <cellStyle name="Percent 2 7" xfId="106"/>
    <cellStyle name="Percent 2 8" xfId="257"/>
    <cellStyle name="Percent 2 9" xfId="258"/>
    <cellStyle name="Percent 20" xfId="259"/>
    <cellStyle name="Percent 3" xfId="10"/>
    <cellStyle name="Percent 3 2" xfId="56"/>
    <cellStyle name="Percent 3 3" xfId="29"/>
    <cellStyle name="Percent 3 4" xfId="91"/>
    <cellStyle name="Percent 3 5" xfId="101"/>
    <cellStyle name="Percent 3 6" xfId="104"/>
    <cellStyle name="Percent 3 7" xfId="107"/>
    <cellStyle name="Percent 4" xfId="21"/>
    <cellStyle name="Percent 4 2" xfId="57"/>
    <cellStyle name="Percent 5" xfId="64"/>
    <cellStyle name="Percent 5 2" xfId="260"/>
    <cellStyle name="Percent 6" xfId="261"/>
    <cellStyle name="Percent 8" xfId="262"/>
    <cellStyle name="Percent 9" xfId="263"/>
    <cellStyle name="Total 10" xfId="264"/>
    <cellStyle name="Total 11" xfId="265"/>
    <cellStyle name="Total 12" xfId="266"/>
    <cellStyle name="Total 13" xfId="267"/>
    <cellStyle name="Total 14" xfId="268"/>
    <cellStyle name="Total 15" xfId="269"/>
    <cellStyle name="Total 16" xfId="270"/>
    <cellStyle name="Total 17" xfId="271"/>
    <cellStyle name="Total 18" xfId="272"/>
    <cellStyle name="Total 19" xfId="273"/>
    <cellStyle name="Total 2" xfId="274"/>
    <cellStyle name="Total 20" xfId="74"/>
    <cellStyle name="Total 3" xfId="275"/>
    <cellStyle name="Total 4" xfId="276"/>
    <cellStyle name="Total 5" xfId="277"/>
    <cellStyle name="Total 6" xfId="278"/>
    <cellStyle name="Total 7" xfId="279"/>
    <cellStyle name="Total 8" xfId="280"/>
    <cellStyle name="Total 9" xfId="281"/>
  </cellStyles>
  <dxfs count="2">
    <dxf>
      <numFmt numFmtId="27" formatCode="m/d/yyyy\ h:mm"/>
    </dxf>
    <dxf>
      <font>
        <b/>
        <i val="0"/>
        <strike val="0"/>
        <u val="none"/>
        <color theme="0"/>
      </font>
      <fill>
        <patternFill>
          <bgColor rgb="FFFF0000"/>
        </patternFill>
      </fill>
    </dxf>
  </dxfs>
  <tableStyles count="0" defaultTableStyle="TableStyleMedium2" defaultPivotStyle="PivotStyleLight16"/>
  <colors>
    <mruColors>
      <color rgb="FFFFE1E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onnections" Target="connection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ctrlProps/ctrlProp1.xml><?xml version="1.0" encoding="utf-8"?>
<formControlPr xmlns="http://schemas.microsoft.com/office/spreadsheetml/2009/9/main" objectType="Drop" dropLines="30" dropStyle="combo" dx="16" fmlaLink="A3" fmlaRange="$X$3:$X$31" noThreeD="1" sel="29"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1</xdr:row>
          <xdr:rowOff>171450</xdr:rowOff>
        </xdr:from>
        <xdr:to>
          <xdr:col>3</xdr:col>
          <xdr:colOff>314325</xdr:colOff>
          <xdr:row>3</xdr:row>
          <xdr:rowOff>85725</xdr:rowOff>
        </xdr:to>
        <xdr:sp macro="" textlink="">
          <xdr:nvSpPr>
            <xdr:cNvPr id="63489" name="Drop Down 1" hidden="1">
              <a:extLst>
                <a:ext uri="{63B3BB69-23CF-44E3-9099-C40C66FF867C}">
                  <a14:compatExt spid="_x0000_s63489"/>
                </a:ext>
              </a:extLst>
            </xdr:cNvPr>
            <xdr:cNvSpPr/>
          </xdr:nvSpPr>
          <xdr:spPr>
            <a:xfrm>
              <a:off x="0" y="0"/>
              <a:ext cx="0" cy="0"/>
            </a:xfrm>
            <a:prstGeom prst="rect">
              <a:avLst/>
            </a:prstGeom>
          </xdr:spPr>
        </xdr:sp>
        <xdr:clientData/>
      </xdr:twoCellAnchor>
    </mc:Choice>
    <mc:Fallback/>
  </mc:AlternateContent>
</xdr:wsDr>
</file>

<file path=xl/queryTables/queryTable1.xml><?xml version="1.0" encoding="utf-8"?>
<queryTable xmlns="http://schemas.openxmlformats.org/spreadsheetml/2006/main" name="Broadway AP_FRP_RFOE CCSurvey" adjustColumnWidth="0" connectionId="1" autoFormatId="16" applyNumberFormats="0" applyBorderFormats="0" applyFontFormats="0" applyPatternFormats="0" applyAlignmentFormats="0" applyWidthHeightFormats="0">
  <queryTableRefresh nextId="315">
    <queryTableFields count="314">
      <queryTableField id="1" name="FICE" tableColumnId="1"/>
      <queryTableField id="2" name="Password" tableColumnId="2"/>
      <queryTableField id="3" name="Approved" tableColumnId="3"/>
      <queryTableField id="4" name="ApprovalDate" tableColumnId="4"/>
      <queryTableField id="5" name="LastMod" tableColumnId="5"/>
      <queryTableField id="6" name="CBNote" tableColumnId="6"/>
      <queryTableField id="7" name="dist_name" tableColumnId="7"/>
      <queryTableField id="8" name="person" tableColumnId="8"/>
      <queryTableField id="9" name="title" tableColumnId="9"/>
      <queryTableField id="10" name="phone" tableColumnId="10"/>
      <queryTableField id="11" name="email" tableColumnId="11"/>
      <queryTableField id="12" name="GrandTotal" tableColumnId="12"/>
      <queryTableField id="13" name="SecATotal" tableColumnId="13"/>
      <queryTableField id="14" name="SecBTotal" tableColumnId="14"/>
      <queryTableField id="15" name="AFRExb2" tableColumnId="15"/>
      <queryTableField id="16" name="Difference" tableColumnId="16"/>
      <queryTableField id="17" name="Sec2Local" tableColumnId="17"/>
      <queryTableField id="18" name="Sec2State" tableColumnId="18"/>
      <queryTableField id="19" name="Sec2_Total" tableColumnId="19"/>
      <queryTableField id="20" name="Sec3SW1" tableColumnId="20"/>
      <queryTableField id="21" name="Sec3SW2" tableColumnId="21"/>
      <queryTableField id="22" name="Sec3SW3" tableColumnId="22"/>
      <queryTableField id="23" name="Sec3SW4" tableColumnId="23"/>
      <queryTableField id="24" name="Sec3SW5" tableColumnId="24"/>
      <queryTableField id="25" name="Sec3SW6" tableColumnId="25"/>
      <queryTableField id="26" name="Sec3SWTotal" tableColumnId="26"/>
      <queryTableField id="27" name="Sec3Oth1" tableColumnId="27"/>
      <queryTableField id="28" name="Sec3Oth2" tableColumnId="28"/>
      <queryTableField id="29" name="Sec3Oth3" tableColumnId="29"/>
      <queryTableField id="30" name="Sec3Oth4" tableColumnId="30"/>
      <queryTableField id="31" name="Sec3Oth5" tableColumnId="31"/>
      <queryTableField id="32" name="Sec3Oth6" tableColumnId="32"/>
      <queryTableField id="33" name="Sec3OthTotal" tableColumnId="33"/>
      <queryTableField id="34" name="Sec3_1" tableColumnId="34"/>
      <queryTableField id="35" name="Sec3_2" tableColumnId="35"/>
      <queryTableField id="36" name="Sec3_3" tableColumnId="36"/>
      <queryTableField id="37" name="Sec3_4" tableColumnId="37"/>
      <queryTableField id="38" name="Sec3_5" tableColumnId="38"/>
      <queryTableField id="39" name="Sec3_6" tableColumnId="39"/>
      <queryTableField id="40" name="Sec3_Total" tableColumnId="40"/>
      <queryTableField id="41" name="Sec4SW1" tableColumnId="41"/>
      <queryTableField id="42" name="Sec4SW2" tableColumnId="42"/>
      <queryTableField id="43" name="Sec4SW3" tableColumnId="43"/>
      <queryTableField id="44" name="Sec4SW4" tableColumnId="44"/>
      <queryTableField id="45" name="Sec4SWTotal" tableColumnId="45"/>
      <queryTableField id="46" name="Sec4Oth1" tableColumnId="46"/>
      <queryTableField id="47" name="Sec4Oth2" tableColumnId="47"/>
      <queryTableField id="48" name="Sec4Oth3" tableColumnId="48"/>
      <queryTableField id="49" name="Sec4Oth4" tableColumnId="49"/>
      <queryTableField id="50" name="Sec4OthTotal" tableColumnId="50"/>
      <queryTableField id="51" name="Sec4_1" tableColumnId="51"/>
      <queryTableField id="52" name="Sec4_2" tableColumnId="52"/>
      <queryTableField id="53" name="Sec4_3" tableColumnId="53"/>
      <queryTableField id="54" name="Sec4_4" tableColumnId="54"/>
      <queryTableField id="55" name="Sec4_Total" tableColumnId="55"/>
      <queryTableField id="56" name="Sec5SW1" tableColumnId="56"/>
      <queryTableField id="57" name="Sec5SW2" tableColumnId="57"/>
      <queryTableField id="58" name="Sec5SW3" tableColumnId="58"/>
      <queryTableField id="59" name="Sec5SW4" tableColumnId="59"/>
      <queryTableField id="60" name="Sec5SW5" tableColumnId="60"/>
      <queryTableField id="61" name="Sec5SWTotal" tableColumnId="61"/>
      <queryTableField id="62" name="Sec5SB1" tableColumnId="62"/>
      <queryTableField id="63" name="Sec5SB2" tableColumnId="63"/>
      <queryTableField id="64" name="Sec5SB3" tableColumnId="64"/>
      <queryTableField id="65" name="Sec5SB4" tableColumnId="65"/>
      <queryTableField id="66" name="Sec5SB5" tableColumnId="66"/>
      <queryTableField id="67" name="Sec5SBTotal" tableColumnId="67"/>
      <queryTableField id="68" name="Sec5Oth1" tableColumnId="68"/>
      <queryTableField id="69" name="Sec5Oth2" tableColumnId="69"/>
      <queryTableField id="70" name="Sec5Oth3" tableColumnId="70"/>
      <queryTableField id="71" name="Sec5Oth4" tableColumnId="71"/>
      <queryTableField id="72" name="Sec5Oth5" tableColumnId="72"/>
      <queryTableField id="73" name="Sec5OthTotal" tableColumnId="73"/>
      <queryTableField id="74" name="Sec5_1" tableColumnId="74"/>
      <queryTableField id="75" name="Sec5_2" tableColumnId="75"/>
      <queryTableField id="76" name="Sec5_3" tableColumnId="76"/>
      <queryTableField id="77" name="Sec5_4" tableColumnId="77"/>
      <queryTableField id="78" name="Sec5_5" tableColumnId="78"/>
      <queryTableField id="79" name="Sec5_Total" tableColumnId="79"/>
      <queryTableField id="80" name="Sec6SW1" tableColumnId="80"/>
      <queryTableField id="81" name="Sec6SW2" tableColumnId="81"/>
      <queryTableField id="82" name="Sec6SW3" tableColumnId="82"/>
      <queryTableField id="83" name="Sec6SWTotal" tableColumnId="83"/>
      <queryTableField id="84" name="Sec6SB1" tableColumnId="84"/>
      <queryTableField id="85" name="Sec6SB2" tableColumnId="85"/>
      <queryTableField id="86" name="Sec6SB3" tableColumnId="86"/>
      <queryTableField id="87" name="Sec6SBTotal" tableColumnId="87"/>
      <queryTableField id="88" name="Sec6Oth1" tableColumnId="88"/>
      <queryTableField id="89" name="Sec6Oth2" tableColumnId="89"/>
      <queryTableField id="90" name="Sec6Oth3" tableColumnId="90"/>
      <queryTableField id="91" name="Sec6OthTotal" tableColumnId="91"/>
      <queryTableField id="92" name="Sec6_1" tableColumnId="92"/>
      <queryTableField id="93" name="Sec6_2" tableColumnId="93"/>
      <queryTableField id="94" name="Sec6_3" tableColumnId="94"/>
      <queryTableField id="95" name="Sec6_Total" tableColumnId="95"/>
      <queryTableField id="96" name="FICE_Link" tableColumnId="96"/>
      <queryTableField id="97" name="LocalBenefits" tableColumnId="97"/>
      <queryTableField id="98" name="StateBenefits" tableColumnId="98"/>
      <queryTableField id="99" name="HRS1" tableColumnId="99"/>
      <queryTableField id="100" name="HRS2" tableColumnId="100"/>
      <queryTableField id="101" name="HRS3" tableColumnId="101"/>
      <queryTableField id="102" name="HRS4" tableColumnId="102"/>
      <queryTableField id="103" name="HRS5" tableColumnId="103"/>
      <queryTableField id="104" name="HRS6" tableColumnId="104"/>
      <queryTableField id="105" name="HRS7" tableColumnId="105"/>
      <queryTableField id="106" name="HRS8" tableColumnId="106"/>
      <queryTableField id="107" name="HRS9" tableColumnId="107"/>
      <queryTableField id="108" name="HRS10" tableColumnId="108"/>
      <queryTableField id="109" name="HRS11" tableColumnId="109"/>
      <queryTableField id="110" name="HRS12" tableColumnId="110"/>
      <queryTableField id="111" name="HRS13" tableColumnId="111"/>
      <queryTableField id="112" name="HRS14" tableColumnId="112"/>
      <queryTableField id="113" name="HRS15" tableColumnId="113"/>
      <queryTableField id="114" name="HRS16" tableColumnId="114"/>
      <queryTableField id="115" name="HRS17" tableColumnId="115"/>
      <queryTableField id="116" name="HRS18" tableColumnId="116"/>
      <queryTableField id="117" name="HRS19" tableColumnId="117"/>
      <queryTableField id="118" name="HRS20" tableColumnId="118"/>
      <queryTableField id="119" name="HRS21" tableColumnId="119"/>
      <queryTableField id="120" name="HRS22" tableColumnId="120"/>
      <queryTableField id="121" name="HRS23" tableColumnId="121"/>
      <queryTableField id="122" name="HRS24" tableColumnId="122"/>
      <queryTableField id="123" name="HRS25" tableColumnId="123"/>
      <queryTableField id="124" name="HRS26" tableColumnId="124"/>
      <queryTableField id="125" name="HRS27" tableColumnId="125"/>
      <queryTableField id="126" name="HRS28" tableColumnId="126"/>
      <queryTableField id="127" name="HRS29" tableColumnId="127"/>
      <queryTableField id="128" name="HRSTotal" tableColumnId="128"/>
      <queryTableField id="129" name="FacSal1" tableColumnId="129"/>
      <queryTableField id="130" name="FacSal2" tableColumnId="130"/>
      <queryTableField id="131" name="FacSal3" tableColumnId="131"/>
      <queryTableField id="132" name="FacSal4" tableColumnId="132"/>
      <queryTableField id="133" name="FacSal5" tableColumnId="133"/>
      <queryTableField id="134" name="FacSal6" tableColumnId="134"/>
      <queryTableField id="135" name="FacSal7" tableColumnId="135"/>
      <queryTableField id="136" name="FacSal8" tableColumnId="136"/>
      <queryTableField id="137" name="FacSal9" tableColumnId="137"/>
      <queryTableField id="138" name="FacSal10" tableColumnId="138"/>
      <queryTableField id="139" name="FacSal11" tableColumnId="139"/>
      <queryTableField id="140" name="FacSal12" tableColumnId="140"/>
      <queryTableField id="141" name="FacSal13" tableColumnId="141"/>
      <queryTableField id="142" name="FacSal14" tableColumnId="142"/>
      <queryTableField id="143" name="FacSal15" tableColumnId="143"/>
      <queryTableField id="144" name="FacSal16" tableColumnId="144"/>
      <queryTableField id="145" name="FacSal17" tableColumnId="145"/>
      <queryTableField id="146" name="FacSal18" tableColumnId="146"/>
      <queryTableField id="147" name="FacSal19" tableColumnId="147"/>
      <queryTableField id="148" name="FacSal20" tableColumnId="148"/>
      <queryTableField id="149" name="FacSal21" tableColumnId="149"/>
      <queryTableField id="150" name="FacSal22" tableColumnId="150"/>
      <queryTableField id="151" name="FacSal23" tableColumnId="151"/>
      <queryTableField id="152" name="FacSal24" tableColumnId="152"/>
      <queryTableField id="153" name="FacSal25" tableColumnId="153"/>
      <queryTableField id="154" name="FacSal26" tableColumnId="154"/>
      <queryTableField id="155" name="FacSal27" tableColumnId="155"/>
      <queryTableField id="156" name="FacSal28" tableColumnId="156"/>
      <queryTableField id="157" name="FacSal29" tableColumnId="157"/>
      <queryTableField id="158" name="FacSalTotal" tableColumnId="158"/>
      <queryTableField id="159" name="OthSal1" tableColumnId="159"/>
      <queryTableField id="160" name="OthSal2" tableColumnId="160"/>
      <queryTableField id="161" name="OthSal3" tableColumnId="161"/>
      <queryTableField id="162" name="OthSal4" tableColumnId="162"/>
      <queryTableField id="163" name="OthSal5" tableColumnId="163"/>
      <queryTableField id="164" name="OthSal6" tableColumnId="164"/>
      <queryTableField id="165" name="OthSal7" tableColumnId="165"/>
      <queryTableField id="166" name="OthSal8" tableColumnId="166"/>
      <queryTableField id="167" name="OthSal9" tableColumnId="167"/>
      <queryTableField id="168" name="OthSal10" tableColumnId="168"/>
      <queryTableField id="169" name="OthSal11" tableColumnId="169"/>
      <queryTableField id="170" name="OthSal12" tableColumnId="170"/>
      <queryTableField id="171" name="OthSal13" tableColumnId="171"/>
      <queryTableField id="172" name="OthSal14" tableColumnId="172"/>
      <queryTableField id="173" name="OthSal15" tableColumnId="173"/>
      <queryTableField id="174" name="OthSal16" tableColumnId="174"/>
      <queryTableField id="175" name="OthSal17" tableColumnId="175"/>
      <queryTableField id="176" name="OthSal18" tableColumnId="176"/>
      <queryTableField id="177" name="OthSal19" tableColumnId="177"/>
      <queryTableField id="178" name="OthSal20" tableColumnId="178"/>
      <queryTableField id="179" name="OthSal21" tableColumnId="179"/>
      <queryTableField id="180" name="OthSal22" tableColumnId="180"/>
      <queryTableField id="181" name="OthSal23" tableColumnId="181"/>
      <queryTableField id="182" name="OthSal24" tableColumnId="182"/>
      <queryTableField id="183" name="OthSal25" tableColumnId="183"/>
      <queryTableField id="184" name="OthSal26" tableColumnId="184"/>
      <queryTableField id="185" name="OthSal27" tableColumnId="185"/>
      <queryTableField id="186" name="OthSal28" tableColumnId="186"/>
      <queryTableField id="187" name="OthSal29" tableColumnId="187"/>
      <queryTableField id="188" name="OthSalTotal" tableColumnId="188"/>
      <queryTableField id="189" name="Benefits1" tableColumnId="189"/>
      <queryTableField id="190" name="Benefits2" tableColumnId="190"/>
      <queryTableField id="191" name="Benefits3" tableColumnId="191"/>
      <queryTableField id="192" name="Benefits4" tableColumnId="192"/>
      <queryTableField id="193" name="Benefits5" tableColumnId="193"/>
      <queryTableField id="194" name="Benefits6" tableColumnId="194"/>
      <queryTableField id="195" name="Benefits7" tableColumnId="195"/>
      <queryTableField id="196" name="Benefits8" tableColumnId="196"/>
      <queryTableField id="197" name="Benefits9" tableColumnId="197"/>
      <queryTableField id="198" name="Benefits10" tableColumnId="198"/>
      <queryTableField id="199" name="Benefits11" tableColumnId="199"/>
      <queryTableField id="200" name="Benefits12" tableColumnId="200"/>
      <queryTableField id="201" name="Benefits13" tableColumnId="201"/>
      <queryTableField id="202" name="Benefits14" tableColumnId="202"/>
      <queryTableField id="203" name="Benefits15" tableColumnId="203"/>
      <queryTableField id="204" name="Benefits16" tableColumnId="204"/>
      <queryTableField id="205" name="Benefits17" tableColumnId="205"/>
      <queryTableField id="206" name="Benefits18" tableColumnId="206"/>
      <queryTableField id="207" name="Benefits19" tableColumnId="207"/>
      <queryTableField id="208" name="Benefits20" tableColumnId="208"/>
      <queryTableField id="209" name="Benefits21" tableColumnId="209"/>
      <queryTableField id="210" name="Benefits22" tableColumnId="210"/>
      <queryTableField id="211" name="Benefits23" tableColumnId="211"/>
      <queryTableField id="212" name="Benefits24" tableColumnId="212"/>
      <queryTableField id="213" name="Benefits25" tableColumnId="213"/>
      <queryTableField id="214" name="Benefits26" tableColumnId="214"/>
      <queryTableField id="215" name="Benefits27" tableColumnId="215"/>
      <queryTableField id="216" name="Benefits28" tableColumnId="216"/>
      <queryTableField id="217" name="Benefits29" tableColumnId="217"/>
      <queryTableField id="218" name="BenefitsTotal" tableColumnId="218"/>
      <queryTableField id="219" name="OtherOps1" tableColumnId="219"/>
      <queryTableField id="220" name="OtherOps2" tableColumnId="220"/>
      <queryTableField id="221" name="OtherOps3" tableColumnId="221"/>
      <queryTableField id="222" name="OtherOps4" tableColumnId="222"/>
      <queryTableField id="223" name="OtherOps5" tableColumnId="223"/>
      <queryTableField id="224" name="OtherOps6" tableColumnId="224"/>
      <queryTableField id="225" name="OtherOps7" tableColumnId="225"/>
      <queryTableField id="226" name="OtherOps8" tableColumnId="226"/>
      <queryTableField id="227" name="OtherOps9" tableColumnId="227"/>
      <queryTableField id="228" name="OtherOps10" tableColumnId="228"/>
      <queryTableField id="229" name="OtherOps11" tableColumnId="229"/>
      <queryTableField id="230" name="OtherOps12" tableColumnId="230"/>
      <queryTableField id="231" name="OtherOps13" tableColumnId="231"/>
      <queryTableField id="232" name="OtherOps14" tableColumnId="232"/>
      <queryTableField id="233" name="OtherOps15" tableColumnId="233"/>
      <queryTableField id="234" name="OtherOps16" tableColumnId="234"/>
      <queryTableField id="235" name="OtherOps17" tableColumnId="235"/>
      <queryTableField id="236" name="OtherOps18" tableColumnId="236"/>
      <queryTableField id="237" name="OtherOps19" tableColumnId="237"/>
      <queryTableField id="238" name="OtherOps20" tableColumnId="238"/>
      <queryTableField id="239" name="OtherOps21" tableColumnId="239"/>
      <queryTableField id="240" name="OtherOps22" tableColumnId="240"/>
      <queryTableField id="241" name="OtherOps23" tableColumnId="241"/>
      <queryTableField id="242" name="OtherOps24" tableColumnId="242"/>
      <queryTableField id="243" name="OtherOps25" tableColumnId="243"/>
      <queryTableField id="244" name="OtherOps26" tableColumnId="244"/>
      <queryTableField id="245" name="OtherOps27" tableColumnId="245"/>
      <queryTableField id="246" name="OtherOps28" tableColumnId="246"/>
      <queryTableField id="247" name="OtherOps29" tableColumnId="247"/>
      <queryTableField id="248" name="OtherOpsTotal" tableColumnId="248"/>
      <queryTableField id="249" name="DOE1" tableColumnId="249"/>
      <queryTableField id="250" name="DOE2" tableColumnId="250"/>
      <queryTableField id="251" name="DOE3" tableColumnId="251"/>
      <queryTableField id="252" name="DOE4" tableColumnId="252"/>
      <queryTableField id="253" name="DOE5" tableColumnId="253"/>
      <queryTableField id="254" name="DOE6" tableColumnId="254"/>
      <queryTableField id="255" name="DOE7" tableColumnId="255"/>
      <queryTableField id="256" name="DOE8" tableColumnId="256"/>
      <queryTableField id="257" name="DOE9" tableColumnId="257"/>
      <queryTableField id="258" name="DOE10" tableColumnId="258"/>
      <queryTableField id="259" name="DOE11" tableColumnId="259"/>
      <queryTableField id="260" name="DOE12" tableColumnId="260"/>
      <queryTableField id="261" name="DOE13" tableColumnId="261"/>
      <queryTableField id="262" name="DOE14" tableColumnId="262"/>
      <queryTableField id="263" name="DOE15" tableColumnId="263"/>
      <queryTableField id="264" name="DOE16" tableColumnId="264"/>
      <queryTableField id="265" name="DOE17" tableColumnId="265"/>
      <queryTableField id="266" name="DOE18" tableColumnId="266"/>
      <queryTableField id="267" name="DOE19" tableColumnId="267"/>
      <queryTableField id="268" name="DOE20" tableColumnId="268"/>
      <queryTableField id="269" name="DOE21" tableColumnId="269"/>
      <queryTableField id="270" name="DOE22" tableColumnId="270"/>
      <queryTableField id="271" name="DOE23" tableColumnId="271"/>
      <queryTableField id="272" name="DOE24" tableColumnId="272"/>
      <queryTableField id="273" name="DOE25" tableColumnId="273"/>
      <queryTableField id="274" name="DOE26" tableColumnId="274"/>
      <queryTableField id="275" name="DOE27" tableColumnId="275"/>
      <queryTableField id="276" name="DOE28" tableColumnId="276"/>
      <queryTableField id="277" name="DOE29" tableColumnId="277"/>
      <queryTableField id="278" name="DOETotal" tableColumnId="278"/>
      <queryTableField id="279" name="Total1" tableColumnId="279"/>
      <queryTableField id="280" name="Total2" tableColumnId="280"/>
      <queryTableField id="281" name="Total3" tableColumnId="281"/>
      <queryTableField id="282" name="Total4" tableColumnId="282"/>
      <queryTableField id="283" name="Total5" tableColumnId="283"/>
      <queryTableField id="284" name="Total6" tableColumnId="284"/>
      <queryTableField id="285" name="Total7" tableColumnId="285"/>
      <queryTableField id="286" name="Total8" tableColumnId="286"/>
      <queryTableField id="287" name="Total9" tableColumnId="287"/>
      <queryTableField id="288" name="Total10" tableColumnId="288"/>
      <queryTableField id="289" name="Total11" tableColumnId="289"/>
      <queryTableField id="290" name="Total12" tableColumnId="290"/>
      <queryTableField id="291" name="Total13" tableColumnId="291"/>
      <queryTableField id="292" name="Total14" tableColumnId="292"/>
      <queryTableField id="293" name="Total15" tableColumnId="293"/>
      <queryTableField id="294" name="Total16" tableColumnId="294"/>
      <queryTableField id="295" name="Total17" tableColumnId="295"/>
      <queryTableField id="296" name="Total18" tableColumnId="296"/>
      <queryTableField id="297" name="Total19" tableColumnId="297"/>
      <queryTableField id="298" name="Total20" tableColumnId="298"/>
      <queryTableField id="299" name="Total21" tableColumnId="299"/>
      <queryTableField id="300" name="Total22" tableColumnId="300"/>
      <queryTableField id="301" name="Total23" tableColumnId="301"/>
      <queryTableField id="302" name="Total24" tableColumnId="302"/>
      <queryTableField id="303" name="Total25" tableColumnId="303"/>
      <queryTableField id="304" name="Total26" tableColumnId="304"/>
      <queryTableField id="305" name="Total27" tableColumnId="305"/>
      <queryTableField id="306" name="Total28" tableColumnId="306"/>
      <queryTableField id="307" name="Total29" tableColumnId="307"/>
      <queryTableField id="308" name="Sec1_Total" tableColumnId="308"/>
      <queryTableField id="309" name="Comments" tableColumnId="309"/>
      <queryTableField id="310" name="PartA" tableColumnId="310"/>
      <queryTableField id="311" name="PartB" tableColumnId="311"/>
      <queryTableField id="312" name="GrandTotalExpenses" tableColumnId="312"/>
      <queryTableField id="313" name="AFRDifference" tableColumnId="313"/>
      <queryTableField id="314" name="Depreciation" tableColumnId="3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_Broadway_AP_FRP_RFOE_CCSurvey" displayName="Table_Broadway_AP_FRP_RFOE_CCSurvey" ref="A4:LB61" tableType="queryTable" totalsRowShown="0">
  <autoFilter ref="A4:LB61"/>
  <tableColumns count="314">
    <tableColumn id="1" uniqueName="1" name="FICE" queryTableFieldId="1"/>
    <tableColumn id="2" uniqueName="2" name="Password" queryTableFieldId="2"/>
    <tableColumn id="3" uniqueName="3" name="Approved" queryTableFieldId="3"/>
    <tableColumn id="4" uniqueName="4" name="ApprovalDate" queryTableFieldId="4"/>
    <tableColumn id="5" uniqueName="5" name="LastMod" queryTableFieldId="5" dataDxfId="0"/>
    <tableColumn id="6" uniqueName="6" name="CBNote" queryTableFieldId="6"/>
    <tableColumn id="7" uniqueName="7" name="dist_name" queryTableFieldId="7"/>
    <tableColumn id="8" uniqueName="8" name="person" queryTableFieldId="8"/>
    <tableColumn id="9" uniqueName="9" name="title" queryTableFieldId="9"/>
    <tableColumn id="10" uniqueName="10" name="phone" queryTableFieldId="10"/>
    <tableColumn id="11" uniqueName="11" name="email" queryTableFieldId="11"/>
    <tableColumn id="12" uniqueName="12" name="GrandTotal" queryTableFieldId="12"/>
    <tableColumn id="13" uniqueName="13" name="SecATotal" queryTableFieldId="13"/>
    <tableColumn id="14" uniqueName="14" name="SecBTotal" queryTableFieldId="14"/>
    <tableColumn id="15" uniqueName="15" name="AFRExb2" queryTableFieldId="15"/>
    <tableColumn id="16" uniqueName="16" name="Difference" queryTableFieldId="16"/>
    <tableColumn id="17" uniqueName="17" name="Sec2Local" queryTableFieldId="17"/>
    <tableColumn id="18" uniqueName="18" name="Sec2State" queryTableFieldId="18"/>
    <tableColumn id="19" uniqueName="19" name="Sec2_Total" queryTableFieldId="19"/>
    <tableColumn id="20" uniqueName="20" name="Sec3SW1" queryTableFieldId="20"/>
    <tableColumn id="21" uniqueName="21" name="Sec3SW2" queryTableFieldId="21"/>
    <tableColumn id="22" uniqueName="22" name="Sec3SW3" queryTableFieldId="22"/>
    <tableColumn id="23" uniqueName="23" name="Sec3SW4" queryTableFieldId="23"/>
    <tableColumn id="24" uniqueName="24" name="Sec3SW5" queryTableFieldId="24"/>
    <tableColumn id="25" uniqueName="25" name="Sec3SW6" queryTableFieldId="25"/>
    <tableColumn id="26" uniqueName="26" name="Sec3SWTotal" queryTableFieldId="26"/>
    <tableColumn id="27" uniqueName="27" name="Sec3Oth1" queryTableFieldId="27"/>
    <tableColumn id="28" uniqueName="28" name="Sec3Oth2" queryTableFieldId="28"/>
    <tableColumn id="29" uniqueName="29" name="Sec3Oth3" queryTableFieldId="29"/>
    <tableColumn id="30" uniqueName="30" name="Sec3Oth4" queryTableFieldId="30"/>
    <tableColumn id="31" uniqueName="31" name="Sec3Oth5" queryTableFieldId="31"/>
    <tableColumn id="32" uniqueName="32" name="Sec3Oth6" queryTableFieldId="32"/>
    <tableColumn id="33" uniqueName="33" name="Sec3OthTotal" queryTableFieldId="33"/>
    <tableColumn id="34" uniqueName="34" name="Sec3_1" queryTableFieldId="34"/>
    <tableColumn id="35" uniqueName="35" name="Sec3_2" queryTableFieldId="35"/>
    <tableColumn id="36" uniqueName="36" name="Sec3_3" queryTableFieldId="36"/>
    <tableColumn id="37" uniqueName="37" name="Sec3_4" queryTableFieldId="37"/>
    <tableColumn id="38" uniqueName="38" name="Sec3_5" queryTableFieldId="38"/>
    <tableColumn id="39" uniqueName="39" name="Sec3_6" queryTableFieldId="39"/>
    <tableColumn id="40" uniqueName="40" name="Sec3_Total" queryTableFieldId="40"/>
    <tableColumn id="41" uniqueName="41" name="Sec4SW1" queryTableFieldId="41"/>
    <tableColumn id="42" uniqueName="42" name="Sec4SW2" queryTableFieldId="42"/>
    <tableColumn id="43" uniqueName="43" name="Sec4SW3" queryTableFieldId="43"/>
    <tableColumn id="44" uniqueName="44" name="Sec4SW4" queryTableFieldId="44"/>
    <tableColumn id="45" uniqueName="45" name="Sec4SWTotal" queryTableFieldId="45"/>
    <tableColumn id="46" uniqueName="46" name="Sec4Oth1" queryTableFieldId="46"/>
    <tableColumn id="47" uniqueName="47" name="Sec4Oth2" queryTableFieldId="47"/>
    <tableColumn id="48" uniqueName="48" name="Sec4Oth3" queryTableFieldId="48"/>
    <tableColumn id="49" uniqueName="49" name="Sec4Oth4" queryTableFieldId="49"/>
    <tableColumn id="50" uniqueName="50" name="Sec4OthTotal" queryTableFieldId="50"/>
    <tableColumn id="51" uniqueName="51" name="Sec4_1" queryTableFieldId="51"/>
    <tableColumn id="52" uniqueName="52" name="Sec4_2" queryTableFieldId="52"/>
    <tableColumn id="53" uniqueName="53" name="Sec4_3" queryTableFieldId="53"/>
    <tableColumn id="54" uniqueName="54" name="Sec4_4" queryTableFieldId="54"/>
    <tableColumn id="55" uniqueName="55" name="Sec4_Total" queryTableFieldId="55"/>
    <tableColumn id="56" uniqueName="56" name="Sec5SW1" queryTableFieldId="56"/>
    <tableColumn id="57" uniqueName="57" name="Sec5SW2" queryTableFieldId="57"/>
    <tableColumn id="58" uniqueName="58" name="Sec5SW3" queryTableFieldId="58"/>
    <tableColumn id="59" uniqueName="59" name="Sec5SW4" queryTableFieldId="59"/>
    <tableColumn id="60" uniqueName="60" name="Sec5SW5" queryTableFieldId="60"/>
    <tableColumn id="61" uniqueName="61" name="Sec5SWTotal" queryTableFieldId="61"/>
    <tableColumn id="62" uniqueName="62" name="Sec5SB1" queryTableFieldId="62"/>
    <tableColumn id="63" uniqueName="63" name="Sec5SB2" queryTableFieldId="63"/>
    <tableColumn id="64" uniqueName="64" name="Sec5SB3" queryTableFieldId="64"/>
    <tableColumn id="65" uniqueName="65" name="Sec5SB4" queryTableFieldId="65"/>
    <tableColumn id="66" uniqueName="66" name="Sec5SB5" queryTableFieldId="66"/>
    <tableColumn id="67" uniqueName="67" name="Sec5SBTotal" queryTableFieldId="67"/>
    <tableColumn id="68" uniqueName="68" name="Sec5Oth1" queryTableFieldId="68"/>
    <tableColumn id="69" uniqueName="69" name="Sec5Oth2" queryTableFieldId="69"/>
    <tableColumn id="70" uniqueName="70" name="Sec5Oth3" queryTableFieldId="70"/>
    <tableColumn id="71" uniqueName="71" name="Sec5Oth4" queryTableFieldId="71"/>
    <tableColumn id="72" uniqueName="72" name="Sec5Oth5" queryTableFieldId="72"/>
    <tableColumn id="73" uniqueName="73" name="Sec5OthTotal" queryTableFieldId="73"/>
    <tableColumn id="74" uniqueName="74" name="Sec5_1" queryTableFieldId="74"/>
    <tableColumn id="75" uniqueName="75" name="Sec5_2" queryTableFieldId="75"/>
    <tableColumn id="76" uniqueName="76" name="Sec5_3" queryTableFieldId="76"/>
    <tableColumn id="77" uniqueName="77" name="Sec5_4" queryTableFieldId="77"/>
    <tableColumn id="78" uniqueName="78" name="Sec5_5" queryTableFieldId="78"/>
    <tableColumn id="79" uniqueName="79" name="Sec5_Total" queryTableFieldId="79"/>
    <tableColumn id="80" uniqueName="80" name="Sec6SW1" queryTableFieldId="80"/>
    <tableColumn id="81" uniqueName="81" name="Sec6SW2" queryTableFieldId="81"/>
    <tableColumn id="82" uniqueName="82" name="Sec6SW3" queryTableFieldId="82"/>
    <tableColumn id="83" uniqueName="83" name="Sec6SWTotal" queryTableFieldId="83"/>
    <tableColumn id="84" uniqueName="84" name="Sec6SB1" queryTableFieldId="84"/>
    <tableColumn id="85" uniqueName="85" name="Sec6SB2" queryTableFieldId="85"/>
    <tableColumn id="86" uniqueName="86" name="Sec6SB3" queryTableFieldId="86"/>
    <tableColumn id="87" uniqueName="87" name="Sec6SBTotal" queryTableFieldId="87"/>
    <tableColumn id="88" uniqueName="88" name="Sec6Oth1" queryTableFieldId="88"/>
    <tableColumn id="89" uniqueName="89" name="Sec6Oth2" queryTableFieldId="89"/>
    <tableColumn id="90" uniqueName="90" name="Sec6Oth3" queryTableFieldId="90"/>
    <tableColumn id="91" uniqueName="91" name="Sec6OthTotal" queryTableFieldId="91"/>
    <tableColumn id="92" uniqueName="92" name="Sec6_1" queryTableFieldId="92"/>
    <tableColumn id="93" uniqueName="93" name="Sec6_2" queryTableFieldId="93"/>
    <tableColumn id="94" uniqueName="94" name="Sec6_3" queryTableFieldId="94"/>
    <tableColumn id="95" uniqueName="95" name="Sec6_Total" queryTableFieldId="95"/>
    <tableColumn id="96" uniqueName="96" name="FICE_Link" queryTableFieldId="96"/>
    <tableColumn id="97" uniqueName="97" name="LocalBenefits" queryTableFieldId="97"/>
    <tableColumn id="98" uniqueName="98" name="StateBenefits" queryTableFieldId="98"/>
    <tableColumn id="99" uniqueName="99" name="HRS1" queryTableFieldId="99"/>
    <tableColumn id="100" uniqueName="100" name="HRS2" queryTableFieldId="100"/>
    <tableColumn id="101" uniqueName="101" name="HRS3" queryTableFieldId="101"/>
    <tableColumn id="102" uniqueName="102" name="HRS4" queryTableFieldId="102"/>
    <tableColumn id="103" uniqueName="103" name="HRS5" queryTableFieldId="103"/>
    <tableColumn id="104" uniqueName="104" name="HRS6" queryTableFieldId="104"/>
    <tableColumn id="105" uniqueName="105" name="HRS7" queryTableFieldId="105"/>
    <tableColumn id="106" uniqueName="106" name="HRS8" queryTableFieldId="106"/>
    <tableColumn id="107" uniqueName="107" name="HRS9" queryTableFieldId="107"/>
    <tableColumn id="108" uniqueName="108" name="HRS10" queryTableFieldId="108"/>
    <tableColumn id="109" uniqueName="109" name="HRS11" queryTableFieldId="109"/>
    <tableColumn id="110" uniqueName="110" name="HRS12" queryTableFieldId="110"/>
    <tableColumn id="111" uniqueName="111" name="HRS13" queryTableFieldId="111"/>
    <tableColumn id="112" uniqueName="112" name="HRS14" queryTableFieldId="112"/>
    <tableColumn id="113" uniqueName="113" name="HRS15" queryTableFieldId="113"/>
    <tableColumn id="114" uniqueName="114" name="HRS16" queryTableFieldId="114"/>
    <tableColumn id="115" uniqueName="115" name="HRS17" queryTableFieldId="115"/>
    <tableColumn id="116" uniqueName="116" name="HRS18" queryTableFieldId="116"/>
    <tableColumn id="117" uniqueName="117" name="HRS19" queryTableFieldId="117"/>
    <tableColumn id="118" uniqueName="118" name="HRS20" queryTableFieldId="118"/>
    <tableColumn id="119" uniqueName="119" name="HRS21" queryTableFieldId="119"/>
    <tableColumn id="120" uniqueName="120" name="HRS22" queryTableFieldId="120"/>
    <tableColumn id="121" uniqueName="121" name="HRS23" queryTableFieldId="121"/>
    <tableColumn id="122" uniqueName="122" name="HRS24" queryTableFieldId="122"/>
    <tableColumn id="123" uniqueName="123" name="HRS25" queryTableFieldId="123"/>
    <tableColumn id="124" uniqueName="124" name="HRS26" queryTableFieldId="124"/>
    <tableColumn id="125" uniqueName="125" name="HRS27" queryTableFieldId="125"/>
    <tableColumn id="126" uniqueName="126" name="HRS28" queryTableFieldId="126"/>
    <tableColumn id="127" uniqueName="127" name="HRS29" queryTableFieldId="127"/>
    <tableColumn id="128" uniqueName="128" name="HRSTotal" queryTableFieldId="128"/>
    <tableColumn id="129" uniqueName="129" name="FacSal1" queryTableFieldId="129"/>
    <tableColumn id="130" uniqueName="130" name="FacSal2" queryTableFieldId="130"/>
    <tableColumn id="131" uniqueName="131" name="FacSal3" queryTableFieldId="131"/>
    <tableColumn id="132" uniqueName="132" name="FacSal4" queryTableFieldId="132"/>
    <tableColumn id="133" uniqueName="133" name="FacSal5" queryTableFieldId="133"/>
    <tableColumn id="134" uniqueName="134" name="FacSal6" queryTableFieldId="134"/>
    <tableColumn id="135" uniqueName="135" name="FacSal7" queryTableFieldId="135"/>
    <tableColumn id="136" uniqueName="136" name="FacSal8" queryTableFieldId="136"/>
    <tableColumn id="137" uniqueName="137" name="FacSal9" queryTableFieldId="137"/>
    <tableColumn id="138" uniqueName="138" name="FacSal10" queryTableFieldId="138"/>
    <tableColumn id="139" uniqueName="139" name="FacSal11" queryTableFieldId="139"/>
    <tableColumn id="140" uniqueName="140" name="FacSal12" queryTableFieldId="140"/>
    <tableColumn id="141" uniqueName="141" name="FacSal13" queryTableFieldId="141"/>
    <tableColumn id="142" uniqueName="142" name="FacSal14" queryTableFieldId="142"/>
    <tableColumn id="143" uniqueName="143" name="FacSal15" queryTableFieldId="143"/>
    <tableColumn id="144" uniqueName="144" name="FacSal16" queryTableFieldId="144"/>
    <tableColumn id="145" uniqueName="145" name="FacSal17" queryTableFieldId="145"/>
    <tableColumn id="146" uniqueName="146" name="FacSal18" queryTableFieldId="146"/>
    <tableColumn id="147" uniqueName="147" name="FacSal19" queryTableFieldId="147"/>
    <tableColumn id="148" uniqueName="148" name="FacSal20" queryTableFieldId="148"/>
    <tableColumn id="149" uniqueName="149" name="FacSal21" queryTableFieldId="149"/>
    <tableColumn id="150" uniqueName="150" name="FacSal22" queryTableFieldId="150"/>
    <tableColumn id="151" uniqueName="151" name="FacSal23" queryTableFieldId="151"/>
    <tableColumn id="152" uniqueName="152" name="FacSal24" queryTableFieldId="152"/>
    <tableColumn id="153" uniqueName="153" name="FacSal25" queryTableFieldId="153"/>
    <tableColumn id="154" uniqueName="154" name="FacSal26" queryTableFieldId="154"/>
    <tableColumn id="155" uniqueName="155" name="FacSal27" queryTableFieldId="155"/>
    <tableColumn id="156" uniqueName="156" name="FacSal28" queryTableFieldId="156"/>
    <tableColumn id="157" uniqueName="157" name="FacSal29" queryTableFieldId="157"/>
    <tableColumn id="158" uniqueName="158" name="FacSalTotal" queryTableFieldId="158"/>
    <tableColumn id="159" uniqueName="159" name="OthSal1" queryTableFieldId="159"/>
    <tableColumn id="160" uniqueName="160" name="OthSal2" queryTableFieldId="160"/>
    <tableColumn id="161" uniqueName="161" name="OthSal3" queryTableFieldId="161"/>
    <tableColumn id="162" uniqueName="162" name="OthSal4" queryTableFieldId="162"/>
    <tableColumn id="163" uniqueName="163" name="OthSal5" queryTableFieldId="163"/>
    <tableColumn id="164" uniqueName="164" name="OthSal6" queryTableFieldId="164"/>
    <tableColumn id="165" uniqueName="165" name="OthSal7" queryTableFieldId="165"/>
    <tableColumn id="166" uniqueName="166" name="OthSal8" queryTableFieldId="166"/>
    <tableColumn id="167" uniqueName="167" name="OthSal9" queryTableFieldId="167"/>
    <tableColumn id="168" uniqueName="168" name="OthSal10" queryTableFieldId="168"/>
    <tableColumn id="169" uniqueName="169" name="OthSal11" queryTableFieldId="169"/>
    <tableColumn id="170" uniqueName="170" name="OthSal12" queryTableFieldId="170"/>
    <tableColumn id="171" uniqueName="171" name="OthSal13" queryTableFieldId="171"/>
    <tableColumn id="172" uniqueName="172" name="OthSal14" queryTableFieldId="172"/>
    <tableColumn id="173" uniqueName="173" name="OthSal15" queryTableFieldId="173"/>
    <tableColumn id="174" uniqueName="174" name="OthSal16" queryTableFieldId="174"/>
    <tableColumn id="175" uniqueName="175" name="OthSal17" queryTableFieldId="175"/>
    <tableColumn id="176" uniqueName="176" name="OthSal18" queryTableFieldId="176"/>
    <tableColumn id="177" uniqueName="177" name="OthSal19" queryTableFieldId="177"/>
    <tableColumn id="178" uniqueName="178" name="OthSal20" queryTableFieldId="178"/>
    <tableColumn id="179" uniqueName="179" name="OthSal21" queryTableFieldId="179"/>
    <tableColumn id="180" uniqueName="180" name="OthSal22" queryTableFieldId="180"/>
    <tableColumn id="181" uniqueName="181" name="OthSal23" queryTableFieldId="181"/>
    <tableColumn id="182" uniqueName="182" name="OthSal24" queryTableFieldId="182"/>
    <tableColumn id="183" uniqueName="183" name="OthSal25" queryTableFieldId="183"/>
    <tableColumn id="184" uniqueName="184" name="OthSal26" queryTableFieldId="184"/>
    <tableColumn id="185" uniqueName="185" name="OthSal27" queryTableFieldId="185"/>
    <tableColumn id="186" uniqueName="186" name="OthSal28" queryTableFieldId="186"/>
    <tableColumn id="187" uniqueName="187" name="OthSal29" queryTableFieldId="187"/>
    <tableColumn id="188" uniqueName="188" name="OthSalTotal" queryTableFieldId="188"/>
    <tableColumn id="189" uniqueName="189" name="Benefits1" queryTableFieldId="189"/>
    <tableColumn id="190" uniqueName="190" name="Benefits2" queryTableFieldId="190"/>
    <tableColumn id="191" uniqueName="191" name="Benefits3" queryTableFieldId="191"/>
    <tableColumn id="192" uniqueName="192" name="Benefits4" queryTableFieldId="192"/>
    <tableColumn id="193" uniqueName="193" name="Benefits5" queryTableFieldId="193"/>
    <tableColumn id="194" uniqueName="194" name="Benefits6" queryTableFieldId="194"/>
    <tableColumn id="195" uniqueName="195" name="Benefits7" queryTableFieldId="195"/>
    <tableColumn id="196" uniqueName="196" name="Benefits8" queryTableFieldId="196"/>
    <tableColumn id="197" uniqueName="197" name="Benefits9" queryTableFieldId="197"/>
    <tableColumn id="198" uniqueName="198" name="Benefits10" queryTableFieldId="198"/>
    <tableColumn id="199" uniqueName="199" name="Benefits11" queryTableFieldId="199"/>
    <tableColumn id="200" uniqueName="200" name="Benefits12" queryTableFieldId="200"/>
    <tableColumn id="201" uniqueName="201" name="Benefits13" queryTableFieldId="201"/>
    <tableColumn id="202" uniqueName="202" name="Benefits14" queryTableFieldId="202"/>
    <tableColumn id="203" uniqueName="203" name="Benefits15" queryTableFieldId="203"/>
    <tableColumn id="204" uniqueName="204" name="Benefits16" queryTableFieldId="204"/>
    <tableColumn id="205" uniqueName="205" name="Benefits17" queryTableFieldId="205"/>
    <tableColumn id="206" uniqueName="206" name="Benefits18" queryTableFieldId="206"/>
    <tableColumn id="207" uniqueName="207" name="Benefits19" queryTableFieldId="207"/>
    <tableColumn id="208" uniqueName="208" name="Benefits20" queryTableFieldId="208"/>
    <tableColumn id="209" uniqueName="209" name="Benefits21" queryTableFieldId="209"/>
    <tableColumn id="210" uniqueName="210" name="Benefits22" queryTableFieldId="210"/>
    <tableColumn id="211" uniqueName="211" name="Benefits23" queryTableFieldId="211"/>
    <tableColumn id="212" uniqueName="212" name="Benefits24" queryTableFieldId="212"/>
    <tableColumn id="213" uniqueName="213" name="Benefits25" queryTableFieldId="213"/>
    <tableColumn id="214" uniqueName="214" name="Benefits26" queryTableFieldId="214"/>
    <tableColumn id="215" uniqueName="215" name="Benefits27" queryTableFieldId="215"/>
    <tableColumn id="216" uniqueName="216" name="Benefits28" queryTableFieldId="216"/>
    <tableColumn id="217" uniqueName="217" name="Benefits29" queryTableFieldId="217"/>
    <tableColumn id="218" uniqueName="218" name="BenefitsTotal" queryTableFieldId="218"/>
    <tableColumn id="219" uniqueName="219" name="OtherOps1" queryTableFieldId="219"/>
    <tableColumn id="220" uniqueName="220" name="OtherOps2" queryTableFieldId="220"/>
    <tableColumn id="221" uniqueName="221" name="OtherOps3" queryTableFieldId="221"/>
    <tableColumn id="222" uniqueName="222" name="OtherOps4" queryTableFieldId="222"/>
    <tableColumn id="223" uniqueName="223" name="OtherOps5" queryTableFieldId="223"/>
    <tableColumn id="224" uniqueName="224" name="OtherOps6" queryTableFieldId="224"/>
    <tableColumn id="225" uniqueName="225" name="OtherOps7" queryTableFieldId="225"/>
    <tableColumn id="226" uniqueName="226" name="OtherOps8" queryTableFieldId="226"/>
    <tableColumn id="227" uniqueName="227" name="OtherOps9" queryTableFieldId="227"/>
    <tableColumn id="228" uniqueName="228" name="OtherOps10" queryTableFieldId="228"/>
    <tableColumn id="229" uniqueName="229" name="OtherOps11" queryTableFieldId="229"/>
    <tableColumn id="230" uniqueName="230" name="OtherOps12" queryTableFieldId="230"/>
    <tableColumn id="231" uniqueName="231" name="OtherOps13" queryTableFieldId="231"/>
    <tableColumn id="232" uniqueName="232" name="OtherOps14" queryTableFieldId="232"/>
    <tableColumn id="233" uniqueName="233" name="OtherOps15" queryTableFieldId="233"/>
    <tableColumn id="234" uniqueName="234" name="OtherOps16" queryTableFieldId="234"/>
    <tableColumn id="235" uniqueName="235" name="OtherOps17" queryTableFieldId="235"/>
    <tableColumn id="236" uniqueName="236" name="OtherOps18" queryTableFieldId="236"/>
    <tableColumn id="237" uniqueName="237" name="OtherOps19" queryTableFieldId="237"/>
    <tableColumn id="238" uniqueName="238" name="OtherOps20" queryTableFieldId="238"/>
    <tableColumn id="239" uniqueName="239" name="OtherOps21" queryTableFieldId="239"/>
    <tableColumn id="240" uniqueName="240" name="OtherOps22" queryTableFieldId="240"/>
    <tableColumn id="241" uniqueName="241" name="OtherOps23" queryTableFieldId="241"/>
    <tableColumn id="242" uniqueName="242" name="OtherOps24" queryTableFieldId="242"/>
    <tableColumn id="243" uniqueName="243" name="OtherOps25" queryTableFieldId="243"/>
    <tableColumn id="244" uniqueName="244" name="OtherOps26" queryTableFieldId="244"/>
    <tableColumn id="245" uniqueName="245" name="OtherOps27" queryTableFieldId="245"/>
    <tableColumn id="246" uniqueName="246" name="OtherOps28" queryTableFieldId="246"/>
    <tableColumn id="247" uniqueName="247" name="OtherOps29" queryTableFieldId="247"/>
    <tableColumn id="248" uniqueName="248" name="OtherOpsTotal" queryTableFieldId="248"/>
    <tableColumn id="249" uniqueName="249" name="DOE1" queryTableFieldId="249"/>
    <tableColumn id="250" uniqueName="250" name="DOE2" queryTableFieldId="250"/>
    <tableColumn id="251" uniqueName="251" name="DOE3" queryTableFieldId="251"/>
    <tableColumn id="252" uniqueName="252" name="DOE4" queryTableFieldId="252"/>
    <tableColumn id="253" uniqueName="253" name="DOE5" queryTableFieldId="253"/>
    <tableColumn id="254" uniqueName="254" name="DOE6" queryTableFieldId="254"/>
    <tableColumn id="255" uniqueName="255" name="DOE7" queryTableFieldId="255"/>
    <tableColumn id="256" uniqueName="256" name="DOE8" queryTableFieldId="256"/>
    <tableColumn id="257" uniqueName="257" name="DOE9" queryTableFieldId="257"/>
    <tableColumn id="258" uniqueName="258" name="DOE10" queryTableFieldId="258"/>
    <tableColumn id="259" uniqueName="259" name="DOE11" queryTableFieldId="259"/>
    <tableColumn id="260" uniqueName="260" name="DOE12" queryTableFieldId="260"/>
    <tableColumn id="261" uniqueName="261" name="DOE13" queryTableFieldId="261"/>
    <tableColumn id="262" uniqueName="262" name="DOE14" queryTableFieldId="262"/>
    <tableColumn id="263" uniqueName="263" name="DOE15" queryTableFieldId="263"/>
    <tableColumn id="264" uniqueName="264" name="DOE16" queryTableFieldId="264"/>
    <tableColumn id="265" uniqueName="265" name="DOE17" queryTableFieldId="265"/>
    <tableColumn id="266" uniqueName="266" name="DOE18" queryTableFieldId="266"/>
    <tableColumn id="267" uniqueName="267" name="DOE19" queryTableFieldId="267"/>
    <tableColumn id="268" uniqueName="268" name="DOE20" queryTableFieldId="268"/>
    <tableColumn id="269" uniqueName="269" name="DOE21" queryTableFieldId="269"/>
    <tableColumn id="270" uniqueName="270" name="DOE22" queryTableFieldId="270"/>
    <tableColumn id="271" uniqueName="271" name="DOE23" queryTableFieldId="271"/>
    <tableColumn id="272" uniqueName="272" name="DOE24" queryTableFieldId="272"/>
    <tableColumn id="273" uniqueName="273" name="DOE25" queryTableFieldId="273"/>
    <tableColumn id="274" uniqueName="274" name="DOE26" queryTableFieldId="274"/>
    <tableColumn id="275" uniqueName="275" name="DOE27" queryTableFieldId="275"/>
    <tableColumn id="276" uniqueName="276" name="DOE28" queryTableFieldId="276"/>
    <tableColumn id="277" uniqueName="277" name="DOE29" queryTableFieldId="277"/>
    <tableColumn id="278" uniqueName="278" name="DOETotal" queryTableFieldId="278"/>
    <tableColumn id="279" uniqueName="279" name="Total1" queryTableFieldId="279"/>
    <tableColumn id="280" uniqueName="280" name="Total2" queryTableFieldId="280"/>
    <tableColumn id="281" uniqueName="281" name="Total3" queryTableFieldId="281"/>
    <tableColumn id="282" uniqueName="282" name="Total4" queryTableFieldId="282"/>
    <tableColumn id="283" uniqueName="283" name="Total5" queryTableFieldId="283"/>
    <tableColumn id="284" uniqueName="284" name="Total6" queryTableFieldId="284"/>
    <tableColumn id="285" uniqueName="285" name="Total7" queryTableFieldId="285"/>
    <tableColumn id="286" uniqueName="286" name="Total8" queryTableFieldId="286"/>
    <tableColumn id="287" uniqueName="287" name="Total9" queryTableFieldId="287"/>
    <tableColumn id="288" uniqueName="288" name="Total10" queryTableFieldId="288"/>
    <tableColumn id="289" uniqueName="289" name="Total11" queryTableFieldId="289"/>
    <tableColumn id="290" uniqueName="290" name="Total12" queryTableFieldId="290"/>
    <tableColumn id="291" uniqueName="291" name="Total13" queryTableFieldId="291"/>
    <tableColumn id="292" uniqueName="292" name="Total14" queryTableFieldId="292"/>
    <tableColumn id="293" uniqueName="293" name="Total15" queryTableFieldId="293"/>
    <tableColumn id="294" uniqueName="294" name="Total16" queryTableFieldId="294"/>
    <tableColumn id="295" uniqueName="295" name="Total17" queryTableFieldId="295"/>
    <tableColumn id="296" uniqueName="296" name="Total18" queryTableFieldId="296"/>
    <tableColumn id="297" uniqueName="297" name="Total19" queryTableFieldId="297"/>
    <tableColumn id="298" uniqueName="298" name="Total20" queryTableFieldId="298"/>
    <tableColumn id="299" uniqueName="299" name="Total21" queryTableFieldId="299"/>
    <tableColumn id="300" uniqueName="300" name="Total22" queryTableFieldId="300"/>
    <tableColumn id="301" uniqueName="301" name="Total23" queryTableFieldId="301"/>
    <tableColumn id="302" uniqueName="302" name="Total24" queryTableFieldId="302"/>
    <tableColumn id="303" uniqueName="303" name="Total25" queryTableFieldId="303"/>
    <tableColumn id="304" uniqueName="304" name="Total26" queryTableFieldId="304"/>
    <tableColumn id="305" uniqueName="305" name="Total27" queryTableFieldId="305"/>
    <tableColumn id="306" uniqueName="306" name="Total28" queryTableFieldId="306"/>
    <tableColumn id="307" uniqueName="307" name="Total29" queryTableFieldId="307"/>
    <tableColumn id="308" uniqueName="308" name="Sec1_Total" queryTableFieldId="308"/>
    <tableColumn id="309" uniqueName="309" name="Comments" queryTableFieldId="309"/>
    <tableColumn id="310" uniqueName="310" name="PartA" queryTableFieldId="310"/>
    <tableColumn id="311" uniqueName="311" name="PartB" queryTableFieldId="311"/>
    <tableColumn id="312" uniqueName="312" name="GrandTotalExpenses" queryTableFieldId="312"/>
    <tableColumn id="313" uniqueName="313" name="AFRDifference" queryTableFieldId="313"/>
    <tableColumn id="314" uniqueName="314" name="Depreciation" queryTableFieldId="3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openxmlformats.org/officeDocument/2006/relationships/ctrlProp" Target="../ctrlProps/ctrlProp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2"/>
  <sheetViews>
    <sheetView showGridLines="0" tabSelected="1" zoomScale="70" zoomScaleNormal="70" workbookViewId="0"/>
  </sheetViews>
  <sheetFormatPr defaultRowHeight="14.25" x14ac:dyDescent="0.2"/>
  <cols>
    <col min="1" max="1" width="9.42578125" style="10" customWidth="1"/>
    <col min="2" max="2" width="42.42578125" style="10" customWidth="1"/>
    <col min="3" max="3" width="17.85546875" style="10" customWidth="1"/>
    <col min="4" max="4" width="15.85546875" style="10" customWidth="1"/>
    <col min="5" max="5" width="18.28515625" style="10" bestFit="1" customWidth="1"/>
    <col min="6" max="6" width="17.7109375" style="10" bestFit="1" customWidth="1"/>
    <col min="7" max="7" width="2.85546875" style="10" customWidth="1"/>
    <col min="8" max="8" width="15" style="10" bestFit="1" customWidth="1"/>
    <col min="9" max="9" width="16.140625" style="10" bestFit="1" customWidth="1"/>
    <col min="10" max="10" width="17.7109375" style="10" bestFit="1" customWidth="1"/>
    <col min="11" max="11" width="16.85546875" style="10" bestFit="1" customWidth="1"/>
    <col min="12" max="12" width="17.7109375" style="10" bestFit="1" customWidth="1"/>
    <col min="13" max="13" width="9.140625" style="10"/>
    <col min="14" max="14" width="20.5703125" style="10" bestFit="1" customWidth="1"/>
    <col min="15" max="15" width="18.140625" style="10" bestFit="1" customWidth="1"/>
    <col min="16" max="16" width="19.5703125" style="10" bestFit="1" customWidth="1"/>
    <col min="17" max="17" width="11" style="10" bestFit="1" customWidth="1"/>
    <col min="18" max="18" width="18.28515625" style="10" bestFit="1" customWidth="1"/>
    <col min="19" max="19" width="13.42578125" style="10" bestFit="1" customWidth="1"/>
    <col min="20" max="20" width="15.28515625" style="10" bestFit="1" customWidth="1"/>
    <col min="21" max="21" width="16.42578125" style="10" bestFit="1" customWidth="1"/>
    <col min="22" max="22" width="14.85546875" style="10" bestFit="1" customWidth="1"/>
    <col min="23" max="23" width="16.42578125" style="10" bestFit="1" customWidth="1"/>
    <col min="24" max="24" width="9.140625" style="10"/>
    <col min="25" max="25" width="13.140625" style="10" bestFit="1" customWidth="1"/>
    <col min="26" max="26" width="11.140625" style="10" bestFit="1" customWidth="1"/>
    <col min="27" max="27" width="13.140625" style="10" bestFit="1" customWidth="1"/>
    <col min="28" max="28" width="10" style="10" bestFit="1" customWidth="1"/>
    <col min="29" max="31" width="11.140625" style="10" bestFit="1" customWidth="1"/>
    <col min="32" max="32" width="13.140625" style="10" bestFit="1" customWidth="1"/>
    <col min="33" max="33" width="9.140625" style="10"/>
    <col min="34" max="34" width="17.85546875" style="10" bestFit="1" customWidth="1"/>
    <col min="35" max="35" width="9.140625" style="10"/>
    <col min="36" max="36" width="14.5703125" style="10" bestFit="1" customWidth="1"/>
    <col min="37" max="16384" width="9.140625" style="10"/>
  </cols>
  <sheetData>
    <row r="1" spans="1:8" x14ac:dyDescent="0.2">
      <c r="A1" s="38" t="s">
        <v>1084</v>
      </c>
      <c r="B1" s="38"/>
      <c r="C1" s="38"/>
      <c r="D1" s="38"/>
      <c r="E1" s="38"/>
      <c r="F1" s="38"/>
    </row>
    <row r="2" spans="1:8" x14ac:dyDescent="0.2">
      <c r="A2" s="5" t="s">
        <v>1022</v>
      </c>
      <c r="B2" s="11"/>
      <c r="C2" s="11"/>
    </row>
    <row r="3" spans="1:8" ht="15" thickBot="1" x14ac:dyDescent="0.25">
      <c r="A3" s="5" t="s">
        <v>1085</v>
      </c>
    </row>
    <row r="4" spans="1:8" ht="29.25" customHeight="1" x14ac:dyDescent="0.2">
      <c r="A4" s="26" t="s">
        <v>26</v>
      </c>
      <c r="B4" s="182" t="s">
        <v>465</v>
      </c>
      <c r="C4" s="183"/>
      <c r="D4" s="28" t="s">
        <v>27</v>
      </c>
      <c r="E4" s="28" t="s">
        <v>462</v>
      </c>
      <c r="F4" s="29" t="s">
        <v>463</v>
      </c>
    </row>
    <row r="5" spans="1:8" x14ac:dyDescent="0.2">
      <c r="A5" s="19">
        <v>1</v>
      </c>
      <c r="B5" s="180" t="s">
        <v>0</v>
      </c>
      <c r="C5" s="181"/>
      <c r="D5" s="14">
        <f>D36</f>
        <v>1453684</v>
      </c>
      <c r="E5" s="16">
        <f>E36+E67+IFERROR($E$105/$D$105*D5,0)</f>
        <v>11467160.465157419</v>
      </c>
      <c r="F5" s="20">
        <f>F36+F67+$F$105</f>
        <v>7.1800000000000006</v>
      </c>
    </row>
    <row r="6" spans="1:8" x14ac:dyDescent="0.2">
      <c r="A6" s="19">
        <v>2</v>
      </c>
      <c r="B6" s="180" t="s">
        <v>1</v>
      </c>
      <c r="C6" s="181"/>
      <c r="D6" s="14">
        <f t="shared" ref="D6:D32" si="0">D37</f>
        <v>5177312</v>
      </c>
      <c r="E6" s="17">
        <f t="shared" ref="E6:E32" si="1">E37+E68+IFERROR($E$105/$D$105*D6,0)</f>
        <v>39964845.344303913</v>
      </c>
      <c r="F6" s="21">
        <f t="shared" ref="F6:F30" si="2">F37+F68+$F$105</f>
        <v>7.3100000000000005</v>
      </c>
      <c r="H6" s="67"/>
    </row>
    <row r="7" spans="1:8" x14ac:dyDescent="0.2">
      <c r="A7" s="19">
        <v>3</v>
      </c>
      <c r="B7" s="180" t="s">
        <v>2</v>
      </c>
      <c r="C7" s="181"/>
      <c r="D7" s="14">
        <f t="shared" si="0"/>
        <v>24397771</v>
      </c>
      <c r="E7" s="17">
        <f t="shared" si="1"/>
        <v>153027728.19146404</v>
      </c>
      <c r="F7" s="21">
        <f t="shared" si="2"/>
        <v>5.86</v>
      </c>
      <c r="H7" s="67"/>
    </row>
    <row r="8" spans="1:8" x14ac:dyDescent="0.2">
      <c r="A8" s="19">
        <v>4</v>
      </c>
      <c r="B8" s="180" t="s">
        <v>3</v>
      </c>
      <c r="C8" s="181"/>
      <c r="D8" s="14">
        <f t="shared" si="0"/>
        <v>17218154</v>
      </c>
      <c r="E8" s="17">
        <f t="shared" si="1"/>
        <v>121367535.30091828</v>
      </c>
      <c r="F8" s="21">
        <f t="shared" si="2"/>
        <v>6.69</v>
      </c>
      <c r="H8" s="67"/>
    </row>
    <row r="9" spans="1:8" x14ac:dyDescent="0.2">
      <c r="A9" s="19">
        <v>5</v>
      </c>
      <c r="B9" s="180" t="s">
        <v>4</v>
      </c>
      <c r="C9" s="181"/>
      <c r="D9" s="14">
        <f t="shared" si="0"/>
        <v>246311</v>
      </c>
      <c r="E9" s="17">
        <f t="shared" si="1"/>
        <v>4756451.6784537695</v>
      </c>
      <c r="F9" s="21">
        <f t="shared" si="2"/>
        <v>13.77</v>
      </c>
      <c r="H9" s="67"/>
    </row>
    <row r="10" spans="1:8" x14ac:dyDescent="0.2">
      <c r="A10" s="19">
        <v>6</v>
      </c>
      <c r="B10" s="180" t="s">
        <v>5</v>
      </c>
      <c r="C10" s="181"/>
      <c r="D10" s="14">
        <f t="shared" si="0"/>
        <v>2136055</v>
      </c>
      <c r="E10" s="17">
        <f t="shared" si="1"/>
        <v>19691531.904456425</v>
      </c>
      <c r="F10" s="21">
        <f t="shared" si="2"/>
        <v>7.2100000000000009</v>
      </c>
      <c r="H10" s="67"/>
    </row>
    <row r="11" spans="1:8" x14ac:dyDescent="0.2">
      <c r="A11" s="19">
        <v>7</v>
      </c>
      <c r="B11" s="180" t="s">
        <v>6</v>
      </c>
      <c r="C11" s="181"/>
      <c r="D11" s="14">
        <f t="shared" si="0"/>
        <v>13099478</v>
      </c>
      <c r="E11" s="17">
        <f t="shared" si="1"/>
        <v>104020977.56637026</v>
      </c>
      <c r="F11" s="21">
        <f t="shared" si="2"/>
        <v>6.94</v>
      </c>
      <c r="H11" s="67"/>
    </row>
    <row r="12" spans="1:8" x14ac:dyDescent="0.2">
      <c r="A12" s="19">
        <v>8</v>
      </c>
      <c r="B12" s="180" t="s">
        <v>7</v>
      </c>
      <c r="C12" s="181"/>
      <c r="D12" s="14">
        <f t="shared" si="0"/>
        <v>2308884</v>
      </c>
      <c r="E12" s="17">
        <f t="shared" si="1"/>
        <v>17328739.401943285</v>
      </c>
      <c r="F12" s="21">
        <f t="shared" si="2"/>
        <v>7.36</v>
      </c>
      <c r="H12" s="67"/>
    </row>
    <row r="13" spans="1:8" x14ac:dyDescent="0.2">
      <c r="A13" s="19">
        <v>9</v>
      </c>
      <c r="B13" s="180" t="s">
        <v>8</v>
      </c>
      <c r="C13" s="181"/>
      <c r="D13" s="14">
        <f t="shared" si="0"/>
        <v>8616348</v>
      </c>
      <c r="E13" s="17">
        <f t="shared" si="1"/>
        <v>52268889.799622342</v>
      </c>
      <c r="F13" s="21">
        <f t="shared" si="2"/>
        <v>5.49</v>
      </c>
      <c r="H13" s="67"/>
    </row>
    <row r="14" spans="1:8" x14ac:dyDescent="0.2">
      <c r="A14" s="19">
        <v>10</v>
      </c>
      <c r="B14" s="180" t="s">
        <v>9</v>
      </c>
      <c r="C14" s="181"/>
      <c r="D14" s="14">
        <f t="shared" si="0"/>
        <v>133459</v>
      </c>
      <c r="E14" s="17">
        <f t="shared" si="1"/>
        <v>1669985.7032968954</v>
      </c>
      <c r="F14" s="21">
        <f t="shared" si="2"/>
        <v>8.9200000000000017</v>
      </c>
      <c r="H14" s="67"/>
    </row>
    <row r="15" spans="1:8" x14ac:dyDescent="0.2">
      <c r="A15" s="19">
        <v>11</v>
      </c>
      <c r="B15" s="180" t="s">
        <v>10</v>
      </c>
      <c r="C15" s="181"/>
      <c r="D15" s="14">
        <f t="shared" si="0"/>
        <v>5809798</v>
      </c>
      <c r="E15" s="17">
        <f t="shared" si="1"/>
        <v>47059576.355531633</v>
      </c>
      <c r="F15" s="21">
        <f t="shared" si="2"/>
        <v>7.23</v>
      </c>
      <c r="H15" s="67"/>
    </row>
    <row r="16" spans="1:8" x14ac:dyDescent="0.2">
      <c r="A16" s="19">
        <v>12</v>
      </c>
      <c r="B16" s="180" t="s">
        <v>11</v>
      </c>
      <c r="C16" s="181"/>
      <c r="D16" s="14">
        <f t="shared" si="0"/>
        <v>40067445</v>
      </c>
      <c r="E16" s="17">
        <f t="shared" si="1"/>
        <v>261920292.19019079</v>
      </c>
      <c r="F16" s="21">
        <f t="shared" si="2"/>
        <v>5.83</v>
      </c>
      <c r="H16" s="67"/>
    </row>
    <row r="17" spans="1:8" x14ac:dyDescent="0.2">
      <c r="A17" s="19">
        <v>13</v>
      </c>
      <c r="B17" s="180" t="s">
        <v>12</v>
      </c>
      <c r="C17" s="181"/>
      <c r="D17" s="14">
        <f t="shared" si="0"/>
        <v>4447261</v>
      </c>
      <c r="E17" s="17">
        <f t="shared" si="1"/>
        <v>28711988.460072789</v>
      </c>
      <c r="F17" s="21">
        <f t="shared" si="2"/>
        <v>6.1400000000000006</v>
      </c>
      <c r="H17" s="67"/>
    </row>
    <row r="18" spans="1:8" x14ac:dyDescent="0.2">
      <c r="A18" s="19">
        <v>14</v>
      </c>
      <c r="B18" s="180" t="s">
        <v>464</v>
      </c>
      <c r="C18" s="181"/>
      <c r="D18" s="14">
        <f t="shared" si="0"/>
        <v>6292434</v>
      </c>
      <c r="E18" s="17">
        <f t="shared" si="1"/>
        <v>61261994.798322305</v>
      </c>
      <c r="F18" s="21">
        <f t="shared" si="2"/>
        <v>8.9</v>
      </c>
      <c r="H18" s="67"/>
    </row>
    <row r="19" spans="1:8" x14ac:dyDescent="0.2">
      <c r="A19" s="19">
        <v>15</v>
      </c>
      <c r="B19" s="180" t="s">
        <v>13</v>
      </c>
      <c r="C19" s="181"/>
      <c r="D19" s="14">
        <f t="shared" si="0"/>
        <v>404086</v>
      </c>
      <c r="E19" s="17">
        <f t="shared" si="1"/>
        <v>5227680.2339102589</v>
      </c>
      <c r="F19" s="21">
        <f t="shared" si="2"/>
        <v>12.530000000000001</v>
      </c>
      <c r="H19" s="67"/>
    </row>
    <row r="20" spans="1:8" x14ac:dyDescent="0.2">
      <c r="A20" s="19">
        <v>16</v>
      </c>
      <c r="B20" s="180" t="s">
        <v>14</v>
      </c>
      <c r="C20" s="181"/>
      <c r="D20" s="14">
        <f t="shared" si="0"/>
        <v>11348592</v>
      </c>
      <c r="E20" s="17">
        <f t="shared" si="1"/>
        <v>82870197.964285076</v>
      </c>
      <c r="F20" s="21">
        <f t="shared" si="2"/>
        <v>6.78</v>
      </c>
      <c r="H20" s="67"/>
    </row>
    <row r="21" spans="1:8" x14ac:dyDescent="0.2">
      <c r="A21" s="19">
        <v>17</v>
      </c>
      <c r="B21" s="180" t="s">
        <v>15</v>
      </c>
      <c r="C21" s="181"/>
      <c r="D21" s="14">
        <f t="shared" si="0"/>
        <v>567961</v>
      </c>
      <c r="E21" s="17">
        <f t="shared" si="1"/>
        <v>6230835.5522460677</v>
      </c>
      <c r="F21" s="21">
        <f t="shared" si="2"/>
        <v>10.030000000000001</v>
      </c>
      <c r="H21" s="67"/>
    </row>
    <row r="22" spans="1:8" x14ac:dyDescent="0.2">
      <c r="A22" s="19">
        <v>18</v>
      </c>
      <c r="B22" s="180" t="s">
        <v>16</v>
      </c>
      <c r="C22" s="181"/>
      <c r="D22" s="14">
        <f t="shared" si="0"/>
        <v>5258079</v>
      </c>
      <c r="E22" s="17">
        <f t="shared" si="1"/>
        <v>36999393.707660303</v>
      </c>
      <c r="F22" s="21">
        <f t="shared" si="2"/>
        <v>6.5400000000000009</v>
      </c>
      <c r="H22" s="67"/>
    </row>
    <row r="23" spans="1:8" x14ac:dyDescent="0.2">
      <c r="A23" s="19">
        <v>19</v>
      </c>
      <c r="B23" s="180" t="s">
        <v>17</v>
      </c>
      <c r="C23" s="181"/>
      <c r="D23" s="14">
        <f t="shared" si="0"/>
        <v>27939955</v>
      </c>
      <c r="E23" s="17">
        <f t="shared" si="1"/>
        <v>166429664.73423755</v>
      </c>
      <c r="F23" s="21">
        <f t="shared" si="2"/>
        <v>5.5600000000000005</v>
      </c>
      <c r="H23" s="67"/>
    </row>
    <row r="24" spans="1:8" x14ac:dyDescent="0.2">
      <c r="A24" s="19">
        <v>20</v>
      </c>
      <c r="B24" s="180" t="s">
        <v>18</v>
      </c>
      <c r="C24" s="181"/>
      <c r="D24" s="14">
        <f t="shared" si="0"/>
        <v>3526905</v>
      </c>
      <c r="E24" s="17">
        <f t="shared" si="1"/>
        <v>26473732.888177916</v>
      </c>
      <c r="F24" s="21">
        <f t="shared" si="2"/>
        <v>7.0500000000000007</v>
      </c>
      <c r="H24" s="67"/>
    </row>
    <row r="25" spans="1:8" x14ac:dyDescent="0.2">
      <c r="A25" s="19">
        <v>21</v>
      </c>
      <c r="B25" s="180" t="s">
        <v>461</v>
      </c>
      <c r="C25" s="181"/>
      <c r="D25" s="14">
        <f t="shared" si="0"/>
        <v>3109274</v>
      </c>
      <c r="E25" s="17">
        <f t="shared" si="1"/>
        <v>26924007.757841367</v>
      </c>
      <c r="F25" s="21">
        <f t="shared" si="2"/>
        <v>8.3000000000000007</v>
      </c>
      <c r="H25" s="67"/>
    </row>
    <row r="26" spans="1:8" x14ac:dyDescent="0.2">
      <c r="A26" s="19">
        <v>22</v>
      </c>
      <c r="B26" s="180" t="s">
        <v>19</v>
      </c>
      <c r="C26" s="181"/>
      <c r="D26" s="14">
        <f t="shared" si="0"/>
        <v>643247</v>
      </c>
      <c r="E26" s="17">
        <f t="shared" si="1"/>
        <v>6191855.157513679</v>
      </c>
      <c r="F26" s="21">
        <f t="shared" si="2"/>
        <v>7.1400000000000006</v>
      </c>
      <c r="H26" s="67"/>
    </row>
    <row r="27" spans="1:8" x14ac:dyDescent="0.2">
      <c r="A27" s="19">
        <v>23</v>
      </c>
      <c r="B27" s="180" t="s">
        <v>20</v>
      </c>
      <c r="C27" s="181"/>
      <c r="D27" s="14">
        <f t="shared" si="0"/>
        <v>5615148</v>
      </c>
      <c r="E27" s="17">
        <f t="shared" si="1"/>
        <v>43382414.462997288</v>
      </c>
      <c r="F27" s="21">
        <f t="shared" si="2"/>
        <v>6.8800000000000008</v>
      </c>
      <c r="H27" s="67"/>
    </row>
    <row r="28" spans="1:8" x14ac:dyDescent="0.2">
      <c r="A28" s="19">
        <v>24</v>
      </c>
      <c r="B28" s="180" t="s">
        <v>21</v>
      </c>
      <c r="C28" s="181"/>
      <c r="D28" s="14">
        <f t="shared" si="0"/>
        <v>6846694</v>
      </c>
      <c r="E28" s="17">
        <f t="shared" si="1"/>
        <v>48929901.226763532</v>
      </c>
      <c r="F28" s="21">
        <f t="shared" si="2"/>
        <v>6.2200000000000006</v>
      </c>
      <c r="H28" s="67"/>
    </row>
    <row r="29" spans="1:8" x14ac:dyDescent="0.2">
      <c r="A29" s="19">
        <v>25</v>
      </c>
      <c r="B29" s="180" t="s">
        <v>22</v>
      </c>
      <c r="C29" s="181"/>
      <c r="D29" s="14">
        <f t="shared" si="0"/>
        <v>36559405</v>
      </c>
      <c r="E29" s="17">
        <f t="shared" si="1"/>
        <v>209361397.82442576</v>
      </c>
      <c r="F29" s="21">
        <f t="shared" si="2"/>
        <v>5.36</v>
      </c>
      <c r="H29" s="67"/>
    </row>
    <row r="30" spans="1:8" x14ac:dyDescent="0.2">
      <c r="A30" s="19">
        <v>26</v>
      </c>
      <c r="B30" s="180" t="s">
        <v>23</v>
      </c>
      <c r="C30" s="181"/>
      <c r="D30" s="14">
        <f t="shared" si="0"/>
        <v>11252211</v>
      </c>
      <c r="E30" s="17">
        <f t="shared" si="1"/>
        <v>90047895.329847097</v>
      </c>
      <c r="F30" s="21">
        <f t="shared" si="2"/>
        <v>7.1800000000000006</v>
      </c>
      <c r="H30" s="67"/>
    </row>
    <row r="31" spans="1:8" x14ac:dyDescent="0.2">
      <c r="A31" s="19">
        <v>28</v>
      </c>
      <c r="B31" s="180" t="s">
        <v>24</v>
      </c>
      <c r="C31" s="181"/>
      <c r="D31" s="14">
        <f t="shared" si="0"/>
        <v>0</v>
      </c>
      <c r="E31" s="17">
        <f t="shared" si="1"/>
        <v>0</v>
      </c>
      <c r="F31" s="21"/>
    </row>
    <row r="32" spans="1:8" ht="15.75" customHeight="1" thickBot="1" x14ac:dyDescent="0.25">
      <c r="A32" s="22">
        <v>29</v>
      </c>
      <c r="B32" s="184" t="s">
        <v>25</v>
      </c>
      <c r="C32" s="185"/>
      <c r="D32" s="23">
        <f t="shared" si="0"/>
        <v>0</v>
      </c>
      <c r="E32" s="24">
        <f t="shared" si="1"/>
        <v>0</v>
      </c>
      <c r="F32" s="25"/>
    </row>
    <row r="33" spans="1:12" x14ac:dyDescent="0.2">
      <c r="B33" s="13" t="s">
        <v>35</v>
      </c>
      <c r="C33" s="13"/>
      <c r="D33" s="61">
        <f>SUM(D5:D32)</f>
        <v>244475951</v>
      </c>
      <c r="E33" s="4">
        <f>SUM(E5:E32)</f>
        <v>1673586674.0000098</v>
      </c>
      <c r="F33" s="8">
        <f>F64+F95+$F$105</f>
        <v>6.370000000000001</v>
      </c>
    </row>
    <row r="34" spans="1:12" ht="15" thickBot="1" x14ac:dyDescent="0.25">
      <c r="H34" s="68"/>
      <c r="I34" s="68"/>
      <c r="J34" s="68"/>
      <c r="K34" s="68"/>
      <c r="L34" s="68"/>
    </row>
    <row r="35" spans="1:12" ht="29.25" customHeight="1" x14ac:dyDescent="0.2">
      <c r="A35" s="26" t="s">
        <v>26</v>
      </c>
      <c r="B35" s="182" t="s">
        <v>466</v>
      </c>
      <c r="C35" s="183"/>
      <c r="D35" s="28" t="s">
        <v>27</v>
      </c>
      <c r="E35" s="28" t="s">
        <v>462</v>
      </c>
      <c r="F35" s="29" t="s">
        <v>463</v>
      </c>
    </row>
    <row r="36" spans="1:12" x14ac:dyDescent="0.2">
      <c r="A36" s="19">
        <v>1</v>
      </c>
      <c r="B36" s="180" t="s">
        <v>0</v>
      </c>
      <c r="C36" s="181"/>
      <c r="D36" s="14">
        <f>SUM('1:57'!D36)</f>
        <v>1453684</v>
      </c>
      <c r="E36" s="15">
        <f>SUM('1:57'!E36)</f>
        <v>2143915</v>
      </c>
      <c r="F36" s="20">
        <f>ROUND(MEDIAN('1:57'!F36),2)</f>
        <v>0.83</v>
      </c>
    </row>
    <row r="37" spans="1:12" x14ac:dyDescent="0.2">
      <c r="A37" s="19">
        <v>2</v>
      </c>
      <c r="B37" s="180" t="s">
        <v>1</v>
      </c>
      <c r="C37" s="181"/>
      <c r="D37" s="14">
        <f>SUM('1:57'!D37)</f>
        <v>5177312</v>
      </c>
      <c r="E37" s="17">
        <f>SUM('1:57'!E37)</f>
        <v>6365960</v>
      </c>
      <c r="F37" s="21">
        <f>ROUND(MEDIAN('1:57'!F37),2)</f>
        <v>1.1000000000000001</v>
      </c>
    </row>
    <row r="38" spans="1:12" x14ac:dyDescent="0.2">
      <c r="A38" s="19">
        <v>3</v>
      </c>
      <c r="B38" s="180" t="s">
        <v>2</v>
      </c>
      <c r="C38" s="181"/>
      <c r="D38" s="14">
        <f>SUM('1:57'!D38)</f>
        <v>24397771</v>
      </c>
      <c r="E38" s="17">
        <f>SUM('1:57'!E38)</f>
        <v>15911781</v>
      </c>
      <c r="F38" s="21">
        <f>ROUND(MEDIAN('1:57'!F38),2)</f>
        <v>0.42</v>
      </c>
    </row>
    <row r="39" spans="1:12" x14ac:dyDescent="0.2">
      <c r="A39" s="19">
        <v>4</v>
      </c>
      <c r="B39" s="180" t="s">
        <v>3</v>
      </c>
      <c r="C39" s="181"/>
      <c r="D39" s="14">
        <f>SUM('1:57'!D39)</f>
        <v>17218154</v>
      </c>
      <c r="E39" s="17">
        <f>SUM('1:57'!E39)</f>
        <v>16118594</v>
      </c>
      <c r="F39" s="21">
        <f>ROUND(MEDIAN('1:57'!F39),2)</f>
        <v>0.66</v>
      </c>
    </row>
    <row r="40" spans="1:12" x14ac:dyDescent="0.2">
      <c r="A40" s="19">
        <v>5</v>
      </c>
      <c r="B40" s="180" t="s">
        <v>4</v>
      </c>
      <c r="C40" s="181"/>
      <c r="D40" s="14">
        <f>SUM('1:57'!D40)</f>
        <v>246311</v>
      </c>
      <c r="E40" s="17">
        <f>SUM('1:57'!E40)</f>
        <v>2344165</v>
      </c>
      <c r="F40" s="21">
        <f>ROUND(MEDIAN('1:57'!F40),2)</f>
        <v>3.76</v>
      </c>
    </row>
    <row r="41" spans="1:12" x14ac:dyDescent="0.2">
      <c r="A41" s="19">
        <v>6</v>
      </c>
      <c r="B41" s="180" t="s">
        <v>5</v>
      </c>
      <c r="C41" s="181"/>
      <c r="D41" s="14">
        <f>SUM('1:57'!D41)</f>
        <v>2136055</v>
      </c>
      <c r="E41" s="17">
        <f>SUM('1:57'!E41)</f>
        <v>6239768</v>
      </c>
      <c r="F41" s="21">
        <f>ROUND(MEDIAN('1:57'!F41),2)</f>
        <v>1.05</v>
      </c>
    </row>
    <row r="42" spans="1:12" x14ac:dyDescent="0.2">
      <c r="A42" s="19">
        <v>7</v>
      </c>
      <c r="B42" s="180" t="s">
        <v>6</v>
      </c>
      <c r="C42" s="181"/>
      <c r="D42" s="14">
        <f>SUM('1:57'!D42)</f>
        <v>13099478</v>
      </c>
      <c r="E42" s="17">
        <f>SUM('1:57'!E42)</f>
        <v>19134340</v>
      </c>
      <c r="F42" s="21">
        <f>ROUND(MEDIAN('1:57'!F42),2)</f>
        <v>0.8</v>
      </c>
    </row>
    <row r="43" spans="1:12" x14ac:dyDescent="0.2">
      <c r="A43" s="19">
        <v>8</v>
      </c>
      <c r="B43" s="180" t="s">
        <v>7</v>
      </c>
      <c r="C43" s="181"/>
      <c r="D43" s="14">
        <f>SUM('1:57'!D43)</f>
        <v>2308884</v>
      </c>
      <c r="E43" s="17">
        <f>SUM('1:57'!E43)</f>
        <v>3781358</v>
      </c>
      <c r="F43" s="21">
        <f>ROUND(MEDIAN('1:57'!F43),2)</f>
        <v>1.04</v>
      </c>
    </row>
    <row r="44" spans="1:12" x14ac:dyDescent="0.2">
      <c r="A44" s="19">
        <v>9</v>
      </c>
      <c r="B44" s="180" t="s">
        <v>8</v>
      </c>
      <c r="C44" s="181"/>
      <c r="D44" s="14">
        <f>SUM('1:57'!D44)</f>
        <v>8616348</v>
      </c>
      <c r="E44" s="17">
        <f>SUM('1:57'!E44)</f>
        <v>6592363</v>
      </c>
      <c r="F44" s="21">
        <f>ROUND(MEDIAN('1:57'!F44),2)</f>
        <v>0.59</v>
      </c>
    </row>
    <row r="45" spans="1:12" x14ac:dyDescent="0.2">
      <c r="A45" s="19">
        <v>10</v>
      </c>
      <c r="B45" s="180" t="s">
        <v>9</v>
      </c>
      <c r="C45" s="181"/>
      <c r="D45" s="14">
        <f>SUM('1:57'!D45)</f>
        <v>133459</v>
      </c>
      <c r="E45" s="17">
        <f>SUM('1:57'!E45)</f>
        <v>297288</v>
      </c>
      <c r="F45" s="21">
        <f>ROUND(MEDIAN('1:57'!F45),2)</f>
        <v>0.98</v>
      </c>
    </row>
    <row r="46" spans="1:12" x14ac:dyDescent="0.2">
      <c r="A46" s="19">
        <v>11</v>
      </c>
      <c r="B46" s="180" t="s">
        <v>10</v>
      </c>
      <c r="C46" s="181"/>
      <c r="D46" s="14">
        <f>SUM('1:57'!D46)</f>
        <v>5809798</v>
      </c>
      <c r="E46" s="17">
        <f>SUM('1:57'!E46)</f>
        <v>7856737</v>
      </c>
      <c r="F46" s="21">
        <f>ROUND(MEDIAN('1:57'!F46),2)</f>
        <v>0.91</v>
      </c>
    </row>
    <row r="47" spans="1:12" x14ac:dyDescent="0.2">
      <c r="A47" s="19">
        <v>12</v>
      </c>
      <c r="B47" s="180" t="s">
        <v>11</v>
      </c>
      <c r="C47" s="181"/>
      <c r="D47" s="14">
        <f>SUM('1:57'!D47)</f>
        <v>40067445</v>
      </c>
      <c r="E47" s="17">
        <f>SUM('1:57'!E47)</f>
        <v>20882179</v>
      </c>
      <c r="F47" s="21">
        <f>ROUND(MEDIAN('1:57'!F47),2)</f>
        <v>0.33</v>
      </c>
    </row>
    <row r="48" spans="1:12" x14ac:dyDescent="0.2">
      <c r="A48" s="19">
        <v>13</v>
      </c>
      <c r="B48" s="180" t="s">
        <v>12</v>
      </c>
      <c r="C48" s="181"/>
      <c r="D48" s="14">
        <f>SUM('1:57'!D48)</f>
        <v>4447261</v>
      </c>
      <c r="E48" s="17">
        <f>SUM('1:57'!E48)</f>
        <v>2103276</v>
      </c>
      <c r="F48" s="21">
        <f>ROUND(MEDIAN('1:57'!F48),2)</f>
        <v>0.36</v>
      </c>
    </row>
    <row r="49" spans="1:6" x14ac:dyDescent="0.2">
      <c r="A49" s="19">
        <v>14</v>
      </c>
      <c r="B49" s="180" t="s">
        <v>464</v>
      </c>
      <c r="C49" s="181"/>
      <c r="D49" s="14">
        <f>SUM('1:57'!D49)</f>
        <v>6292434</v>
      </c>
      <c r="E49" s="17">
        <f>SUM('1:57'!E49)</f>
        <v>6636409</v>
      </c>
      <c r="F49" s="21">
        <f>ROUND(MEDIAN('1:57'!F49),2)</f>
        <v>0.91</v>
      </c>
    </row>
    <row r="50" spans="1:6" x14ac:dyDescent="0.2">
      <c r="A50" s="19">
        <v>15</v>
      </c>
      <c r="B50" s="180" t="s">
        <v>13</v>
      </c>
      <c r="C50" s="181"/>
      <c r="D50" s="14">
        <f>SUM('1:57'!D50)</f>
        <v>404086</v>
      </c>
      <c r="E50" s="17">
        <f>SUM('1:57'!E50)</f>
        <v>1035343</v>
      </c>
      <c r="F50" s="21">
        <f>ROUND(MEDIAN('1:57'!F50),2)</f>
        <v>2.13</v>
      </c>
    </row>
    <row r="51" spans="1:6" x14ac:dyDescent="0.2">
      <c r="A51" s="19">
        <v>16</v>
      </c>
      <c r="B51" s="180" t="s">
        <v>14</v>
      </c>
      <c r="C51" s="181"/>
      <c r="D51" s="14">
        <f>SUM('1:57'!D51)</f>
        <v>11348592</v>
      </c>
      <c r="E51" s="17">
        <f>SUM('1:57'!E51)</f>
        <v>10699962</v>
      </c>
      <c r="F51" s="21">
        <f>ROUND(MEDIAN('1:57'!F51),2)</f>
        <v>0.82</v>
      </c>
    </row>
    <row r="52" spans="1:6" x14ac:dyDescent="0.2">
      <c r="A52" s="19">
        <v>17</v>
      </c>
      <c r="B52" s="180" t="s">
        <v>15</v>
      </c>
      <c r="C52" s="181"/>
      <c r="D52" s="14">
        <f>SUM('1:57'!D52)</f>
        <v>567961</v>
      </c>
      <c r="E52" s="17">
        <f>SUM('1:57'!E52)</f>
        <v>576499</v>
      </c>
      <c r="F52" s="21">
        <f>ROUND(MEDIAN('1:57'!F52),2)</f>
        <v>0.85</v>
      </c>
    </row>
    <row r="53" spans="1:6" x14ac:dyDescent="0.2">
      <c r="A53" s="19">
        <v>18</v>
      </c>
      <c r="B53" s="180" t="s">
        <v>16</v>
      </c>
      <c r="C53" s="181"/>
      <c r="D53" s="14">
        <f>SUM('1:57'!D53)</f>
        <v>5258079</v>
      </c>
      <c r="E53" s="17">
        <f>SUM('1:57'!E53)</f>
        <v>3035622</v>
      </c>
      <c r="F53" s="21">
        <f>ROUND(MEDIAN('1:57'!F53),2)</f>
        <v>0.44</v>
      </c>
    </row>
    <row r="54" spans="1:6" x14ac:dyDescent="0.2">
      <c r="A54" s="19">
        <v>19</v>
      </c>
      <c r="B54" s="180" t="s">
        <v>17</v>
      </c>
      <c r="C54" s="181"/>
      <c r="D54" s="14">
        <f>SUM('1:57'!D54)</f>
        <v>27939955</v>
      </c>
      <c r="E54" s="17">
        <f>SUM('1:57'!E54)</f>
        <v>9894003</v>
      </c>
      <c r="F54" s="21">
        <f>ROUND(MEDIAN('1:57'!F54),2)</f>
        <v>0.22</v>
      </c>
    </row>
    <row r="55" spans="1:6" x14ac:dyDescent="0.2">
      <c r="A55" s="19">
        <v>20</v>
      </c>
      <c r="B55" s="180" t="s">
        <v>18</v>
      </c>
      <c r="C55" s="181"/>
      <c r="D55" s="14">
        <f>SUM('1:57'!D55)</f>
        <v>3526905</v>
      </c>
      <c r="E55" s="17">
        <f>SUM('1:57'!E55)</f>
        <v>4469654</v>
      </c>
      <c r="F55" s="21">
        <f>ROUND(MEDIAN('1:57'!F55),2)</f>
        <v>0.8</v>
      </c>
    </row>
    <row r="56" spans="1:6" ht="14.25" customHeight="1" x14ac:dyDescent="0.2">
      <c r="A56" s="19">
        <v>21</v>
      </c>
      <c r="B56" s="180" t="s">
        <v>461</v>
      </c>
      <c r="C56" s="181"/>
      <c r="D56" s="14">
        <f>SUM('1:57'!D56)</f>
        <v>3109274</v>
      </c>
      <c r="E56" s="17">
        <f>SUM('1:57'!E56)</f>
        <v>10325300</v>
      </c>
      <c r="F56" s="21">
        <f>ROUND(MEDIAN('1:57'!F56),2)</f>
        <v>1.75</v>
      </c>
    </row>
    <row r="57" spans="1:6" x14ac:dyDescent="0.2">
      <c r="A57" s="19">
        <v>22</v>
      </c>
      <c r="B57" s="180" t="s">
        <v>19</v>
      </c>
      <c r="C57" s="181"/>
      <c r="D57" s="14">
        <f>SUM('1:57'!D57)</f>
        <v>643247</v>
      </c>
      <c r="E57" s="17">
        <f>SUM('1:57'!E57)</f>
        <v>1053176</v>
      </c>
      <c r="F57" s="21">
        <f>ROUND(MEDIAN('1:57'!F57),2)</f>
        <v>1.22</v>
      </c>
    </row>
    <row r="58" spans="1:6" x14ac:dyDescent="0.2">
      <c r="A58" s="19">
        <v>23</v>
      </c>
      <c r="B58" s="180" t="s">
        <v>20</v>
      </c>
      <c r="C58" s="181"/>
      <c r="D58" s="14">
        <f>SUM('1:57'!D58)</f>
        <v>5615148</v>
      </c>
      <c r="E58" s="17">
        <f>SUM('1:57'!E58)</f>
        <v>5000371</v>
      </c>
      <c r="F58" s="21">
        <f>ROUND(MEDIAN('1:57'!F58),2)</f>
        <v>0.6</v>
      </c>
    </row>
    <row r="59" spans="1:6" x14ac:dyDescent="0.2">
      <c r="A59" s="19">
        <v>24</v>
      </c>
      <c r="B59" s="180" t="s">
        <v>21</v>
      </c>
      <c r="C59" s="181"/>
      <c r="D59" s="14">
        <f>SUM('1:57'!D59)</f>
        <v>6846694</v>
      </c>
      <c r="E59" s="17">
        <f>SUM('1:57'!E59)</f>
        <v>9045727</v>
      </c>
      <c r="F59" s="21">
        <f>ROUND(MEDIAN('1:57'!F59),2)</f>
        <v>0.76</v>
      </c>
    </row>
    <row r="60" spans="1:6" x14ac:dyDescent="0.2">
      <c r="A60" s="19">
        <v>25</v>
      </c>
      <c r="B60" s="180" t="s">
        <v>22</v>
      </c>
      <c r="C60" s="181"/>
      <c r="D60" s="14">
        <f>SUM('1:57'!D60)</f>
        <v>36559405</v>
      </c>
      <c r="E60" s="17">
        <f>SUM('1:57'!E60)</f>
        <v>9545846</v>
      </c>
      <c r="F60" s="21">
        <f>ROUND(MEDIAN('1:57'!F60),2)</f>
        <v>0.13</v>
      </c>
    </row>
    <row r="61" spans="1:6" x14ac:dyDescent="0.2">
      <c r="A61" s="19">
        <v>26</v>
      </c>
      <c r="B61" s="180" t="s">
        <v>23</v>
      </c>
      <c r="C61" s="181"/>
      <c r="D61" s="14">
        <f>SUM('1:57'!D61)</f>
        <v>11252211</v>
      </c>
      <c r="E61" s="17">
        <f>SUM('1:57'!E61)</f>
        <v>11229779</v>
      </c>
      <c r="F61" s="21">
        <f>ROUND(MEDIAN('1:57'!F61),2)</f>
        <v>0.84</v>
      </c>
    </row>
    <row r="62" spans="1:6" x14ac:dyDescent="0.2">
      <c r="A62" s="19">
        <v>28</v>
      </c>
      <c r="B62" s="180" t="s">
        <v>24</v>
      </c>
      <c r="C62" s="181"/>
      <c r="D62" s="14">
        <f>SUM('1:57'!D62)</f>
        <v>0</v>
      </c>
      <c r="E62" s="17">
        <f>SUM('1:57'!E62)</f>
        <v>0</v>
      </c>
      <c r="F62" s="21"/>
    </row>
    <row r="63" spans="1:6" ht="15.75" customHeight="1" thickBot="1" x14ac:dyDescent="0.25">
      <c r="A63" s="22">
        <v>29</v>
      </c>
      <c r="B63" s="184" t="s">
        <v>25</v>
      </c>
      <c r="C63" s="185"/>
      <c r="D63" s="23">
        <f>SUM('1:57'!D63)</f>
        <v>0</v>
      </c>
      <c r="E63" s="24">
        <f>SUM('1:57'!E63)</f>
        <v>0</v>
      </c>
      <c r="F63" s="25"/>
    </row>
    <row r="64" spans="1:6" x14ac:dyDescent="0.2">
      <c r="C64" s="13" t="s">
        <v>35</v>
      </c>
      <c r="D64" s="61">
        <f>SUM(D36:D63)</f>
        <v>244475951</v>
      </c>
      <c r="E64" s="4">
        <f>SUM(E36:E63)</f>
        <v>192319415</v>
      </c>
      <c r="F64" s="8">
        <f>ROUND(MEDIAN('1:57'!F64),2)</f>
        <v>0.66</v>
      </c>
    </row>
    <row r="65" spans="1:6" ht="15" thickBot="1" x14ac:dyDescent="0.25"/>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1453684</v>
      </c>
      <c r="E67" s="15">
        <f>SUM('1:57'!E67)</f>
        <v>4699157</v>
      </c>
      <c r="F67" s="20">
        <f>ROUND(MEDIAN('1:57'!F67),2)</f>
        <v>3.41</v>
      </c>
    </row>
    <row r="68" spans="1:6" x14ac:dyDescent="0.2">
      <c r="A68" s="19">
        <v>2</v>
      </c>
      <c r="B68" s="180" t="s">
        <v>1</v>
      </c>
      <c r="C68" s="181"/>
      <c r="D68" s="14">
        <f t="shared" ref="D68:D94" si="3">D37</f>
        <v>5177312</v>
      </c>
      <c r="E68" s="17">
        <f>SUM('1:57'!E68)</f>
        <v>17130142</v>
      </c>
      <c r="F68" s="21">
        <f>ROUND(MEDIAN('1:57'!F68),2)</f>
        <v>3.27</v>
      </c>
    </row>
    <row r="69" spans="1:6" x14ac:dyDescent="0.2">
      <c r="A69" s="19">
        <v>3</v>
      </c>
      <c r="B69" s="180" t="s">
        <v>2</v>
      </c>
      <c r="C69" s="181"/>
      <c r="D69" s="14">
        <f t="shared" si="3"/>
        <v>24397771</v>
      </c>
      <c r="E69" s="17">
        <f>SUM('1:57'!E69)</f>
        <v>59507986</v>
      </c>
      <c r="F69" s="21">
        <f>ROUND(MEDIAN('1:57'!F69),2)</f>
        <v>2.5</v>
      </c>
    </row>
    <row r="70" spans="1:6" x14ac:dyDescent="0.2">
      <c r="A70" s="19">
        <v>4</v>
      </c>
      <c r="B70" s="180" t="s">
        <v>3</v>
      </c>
      <c r="C70" s="181"/>
      <c r="D70" s="14">
        <f t="shared" si="3"/>
        <v>17218154</v>
      </c>
      <c r="E70" s="17">
        <f>SUM('1:57'!E70)</f>
        <v>50478945</v>
      </c>
      <c r="F70" s="21">
        <f>ROUND(MEDIAN('1:57'!F70),2)</f>
        <v>3.09</v>
      </c>
    </row>
    <row r="71" spans="1:6" x14ac:dyDescent="0.2">
      <c r="A71" s="19">
        <v>5</v>
      </c>
      <c r="B71" s="180" t="s">
        <v>4</v>
      </c>
      <c r="C71" s="181"/>
      <c r="D71" s="14">
        <f t="shared" si="3"/>
        <v>246311</v>
      </c>
      <c r="E71" s="17">
        <f>SUM('1:57'!E71)</f>
        <v>1628785</v>
      </c>
      <c r="F71" s="21">
        <f>ROUND(MEDIAN('1:57'!F71),2)</f>
        <v>7.07</v>
      </c>
    </row>
    <row r="72" spans="1:6" x14ac:dyDescent="0.2">
      <c r="A72" s="19">
        <v>6</v>
      </c>
      <c r="B72" s="180" t="s">
        <v>5</v>
      </c>
      <c r="C72" s="181"/>
      <c r="D72" s="14">
        <f t="shared" si="3"/>
        <v>2136055</v>
      </c>
      <c r="E72" s="17">
        <f>SUM('1:57'!E72)</f>
        <v>6657091</v>
      </c>
      <c r="F72" s="21">
        <f>ROUND(MEDIAN('1:57'!F72),2)</f>
        <v>3.22</v>
      </c>
    </row>
    <row r="73" spans="1:6" x14ac:dyDescent="0.2">
      <c r="A73" s="19">
        <v>7</v>
      </c>
      <c r="B73" s="180" t="s">
        <v>6</v>
      </c>
      <c r="C73" s="181"/>
      <c r="D73" s="14">
        <f t="shared" si="3"/>
        <v>13099478</v>
      </c>
      <c r="E73" s="17">
        <f>SUM('1:57'!E73)</f>
        <v>43217922</v>
      </c>
      <c r="F73" s="21">
        <f>ROUND(MEDIAN('1:57'!F73),2)</f>
        <v>3.2</v>
      </c>
    </row>
    <row r="74" spans="1:6" x14ac:dyDescent="0.2">
      <c r="A74" s="19">
        <v>8</v>
      </c>
      <c r="B74" s="180" t="s">
        <v>7</v>
      </c>
      <c r="C74" s="181"/>
      <c r="D74" s="14">
        <f t="shared" si="3"/>
        <v>2308884</v>
      </c>
      <c r="E74" s="17">
        <f>SUM('1:57'!E74)</f>
        <v>6202949</v>
      </c>
      <c r="F74" s="21">
        <f>ROUND(MEDIAN('1:57'!F74),2)</f>
        <v>3.38</v>
      </c>
    </row>
    <row r="75" spans="1:6" x14ac:dyDescent="0.2">
      <c r="A75" s="19">
        <v>9</v>
      </c>
      <c r="B75" s="180" t="s">
        <v>8</v>
      </c>
      <c r="C75" s="181"/>
      <c r="D75" s="14">
        <f t="shared" si="3"/>
        <v>8616348</v>
      </c>
      <c r="E75" s="17">
        <f>SUM('1:57'!E75)</f>
        <v>18268400</v>
      </c>
      <c r="F75" s="21">
        <f>ROUND(MEDIAN('1:57'!F75),2)</f>
        <v>1.96</v>
      </c>
    </row>
    <row r="76" spans="1:6" x14ac:dyDescent="0.2">
      <c r="A76" s="19">
        <v>10</v>
      </c>
      <c r="B76" s="180" t="s">
        <v>9</v>
      </c>
      <c r="C76" s="181"/>
      <c r="D76" s="14">
        <f t="shared" si="3"/>
        <v>133459</v>
      </c>
      <c r="E76" s="17">
        <f>SUM('1:57'!E76)</f>
        <v>948172</v>
      </c>
      <c r="F76" s="21">
        <f>ROUND(MEDIAN('1:57'!F76),2)</f>
        <v>5</v>
      </c>
    </row>
    <row r="77" spans="1:6" x14ac:dyDescent="0.2">
      <c r="A77" s="19">
        <v>11</v>
      </c>
      <c r="B77" s="180" t="s">
        <v>10</v>
      </c>
      <c r="C77" s="181"/>
      <c r="D77" s="14">
        <f t="shared" si="3"/>
        <v>5809798</v>
      </c>
      <c r="E77" s="17">
        <f>SUM('1:57'!E77)</f>
        <v>20722193</v>
      </c>
      <c r="F77" s="21">
        <f>ROUND(MEDIAN('1:57'!F77),2)</f>
        <v>3.38</v>
      </c>
    </row>
    <row r="78" spans="1:6" x14ac:dyDescent="0.2">
      <c r="A78" s="19">
        <v>12</v>
      </c>
      <c r="B78" s="180" t="s">
        <v>11</v>
      </c>
      <c r="C78" s="181"/>
      <c r="D78" s="14">
        <f t="shared" si="3"/>
        <v>40067445</v>
      </c>
      <c r="E78" s="17">
        <f>SUM('1:57'!E78)</f>
        <v>113585785</v>
      </c>
      <c r="F78" s="21">
        <f>ROUND(MEDIAN('1:57'!F78),2)</f>
        <v>2.56</v>
      </c>
    </row>
    <row r="79" spans="1:6" x14ac:dyDescent="0.2">
      <c r="A79" s="19">
        <v>13</v>
      </c>
      <c r="B79" s="180" t="s">
        <v>12</v>
      </c>
      <c r="C79" s="181"/>
      <c r="D79" s="14">
        <f t="shared" si="3"/>
        <v>4447261</v>
      </c>
      <c r="E79" s="17">
        <f>SUM('1:57'!E79)</f>
        <v>12462221</v>
      </c>
      <c r="F79" s="21">
        <f>ROUND(MEDIAN('1:57'!F79),2)</f>
        <v>2.84</v>
      </c>
    </row>
    <row r="80" spans="1:6" x14ac:dyDescent="0.2">
      <c r="A80" s="19">
        <v>14</v>
      </c>
      <c r="B80" s="180" t="s">
        <v>464</v>
      </c>
      <c r="C80" s="181"/>
      <c r="D80" s="14">
        <f t="shared" si="3"/>
        <v>6292434</v>
      </c>
      <c r="E80" s="17">
        <f>SUM('1:57'!E80)</f>
        <v>34609701</v>
      </c>
      <c r="F80" s="21">
        <f>ROUND(MEDIAN('1:57'!F80),2)</f>
        <v>5.05</v>
      </c>
    </row>
    <row r="81" spans="1:6" x14ac:dyDescent="0.2">
      <c r="A81" s="19">
        <v>15</v>
      </c>
      <c r="B81" s="180" t="s">
        <v>13</v>
      </c>
      <c r="C81" s="181"/>
      <c r="D81" s="14">
        <f t="shared" si="3"/>
        <v>404086</v>
      </c>
      <c r="E81" s="17">
        <f>SUM('1:57'!E81)</f>
        <v>2906962</v>
      </c>
      <c r="F81" s="21">
        <f>ROUND(MEDIAN('1:57'!F81),2)</f>
        <v>7.46</v>
      </c>
    </row>
    <row r="82" spans="1:6" x14ac:dyDescent="0.2">
      <c r="A82" s="19">
        <v>16</v>
      </c>
      <c r="B82" s="180" t="s">
        <v>14</v>
      </c>
      <c r="C82" s="181"/>
      <c r="D82" s="14">
        <f t="shared" si="3"/>
        <v>11348592</v>
      </c>
      <c r="E82" s="17">
        <f>SUM('1:57'!E82)</f>
        <v>36070992</v>
      </c>
      <c r="F82" s="21">
        <f>ROUND(MEDIAN('1:57'!F82),2)</f>
        <v>3.02</v>
      </c>
    </row>
    <row r="83" spans="1:6" x14ac:dyDescent="0.2">
      <c r="A83" s="19">
        <v>17</v>
      </c>
      <c r="B83" s="180" t="s">
        <v>15</v>
      </c>
      <c r="C83" s="181"/>
      <c r="D83" s="14">
        <f t="shared" si="3"/>
        <v>567961</v>
      </c>
      <c r="E83" s="17">
        <f>SUM('1:57'!E83)</f>
        <v>3847684</v>
      </c>
      <c r="F83" s="21">
        <f>ROUND(MEDIAN('1:57'!F83),2)</f>
        <v>6.24</v>
      </c>
    </row>
    <row r="84" spans="1:6" x14ac:dyDescent="0.2">
      <c r="A84" s="19">
        <v>18</v>
      </c>
      <c r="B84" s="180" t="s">
        <v>16</v>
      </c>
      <c r="C84" s="181"/>
      <c r="D84" s="14">
        <f t="shared" si="3"/>
        <v>5258079</v>
      </c>
      <c r="E84" s="17">
        <f>SUM('1:57'!E84)</f>
        <v>17238113</v>
      </c>
      <c r="F84" s="21">
        <f>ROUND(MEDIAN('1:57'!F84),2)</f>
        <v>3.16</v>
      </c>
    </row>
    <row r="85" spans="1:6" x14ac:dyDescent="0.2">
      <c r="A85" s="19">
        <v>19</v>
      </c>
      <c r="B85" s="180" t="s">
        <v>17</v>
      </c>
      <c r="C85" s="181"/>
      <c r="D85" s="14">
        <f t="shared" si="3"/>
        <v>27939955</v>
      </c>
      <c r="E85" s="17">
        <f>SUM('1:57'!E85)</f>
        <v>67660209</v>
      </c>
      <c r="F85" s="21">
        <f>ROUND(MEDIAN('1:57'!F85),2)</f>
        <v>2.4</v>
      </c>
    </row>
    <row r="86" spans="1:6" x14ac:dyDescent="0.2">
      <c r="A86" s="19">
        <v>20</v>
      </c>
      <c r="B86" s="180" t="s">
        <v>18</v>
      </c>
      <c r="C86" s="181"/>
      <c r="D86" s="14">
        <f t="shared" si="3"/>
        <v>3526905</v>
      </c>
      <c r="E86" s="17">
        <f>SUM('1:57'!E86)</f>
        <v>10785189</v>
      </c>
      <c r="F86" s="21">
        <f>ROUND(MEDIAN('1:57'!F86),2)</f>
        <v>3.31</v>
      </c>
    </row>
    <row r="87" spans="1:6" x14ac:dyDescent="0.2">
      <c r="A87" s="19">
        <v>21</v>
      </c>
      <c r="B87" s="180" t="s">
        <v>461</v>
      </c>
      <c r="C87" s="181"/>
      <c r="D87" s="14">
        <f t="shared" si="3"/>
        <v>3109274</v>
      </c>
      <c r="E87" s="17">
        <f>SUM('1:57'!E87)</f>
        <v>6708279</v>
      </c>
      <c r="F87" s="21">
        <f>ROUND(MEDIAN('1:57'!F87),2)</f>
        <v>3.61</v>
      </c>
    </row>
    <row r="88" spans="1:6" x14ac:dyDescent="0.2">
      <c r="A88" s="19">
        <v>22</v>
      </c>
      <c r="B88" s="180" t="s">
        <v>19</v>
      </c>
      <c r="C88" s="181"/>
      <c r="D88" s="14">
        <f t="shared" si="3"/>
        <v>643247</v>
      </c>
      <c r="E88" s="17">
        <f>SUM('1:57'!E88)</f>
        <v>3092546</v>
      </c>
      <c r="F88" s="21">
        <f>ROUND(MEDIAN('1:57'!F88),2)</f>
        <v>2.98</v>
      </c>
    </row>
    <row r="89" spans="1:6" x14ac:dyDescent="0.2">
      <c r="A89" s="19">
        <v>23</v>
      </c>
      <c r="B89" s="180" t="s">
        <v>20</v>
      </c>
      <c r="C89" s="181"/>
      <c r="D89" s="14">
        <f t="shared" si="3"/>
        <v>5615148</v>
      </c>
      <c r="E89" s="17">
        <f>SUM('1:57'!E89)</f>
        <v>20520568</v>
      </c>
      <c r="F89" s="21">
        <f>ROUND(MEDIAN('1:57'!F89),2)</f>
        <v>3.34</v>
      </c>
    </row>
    <row r="90" spans="1:6" x14ac:dyDescent="0.2">
      <c r="A90" s="19">
        <v>24</v>
      </c>
      <c r="B90" s="180" t="s">
        <v>21</v>
      </c>
      <c r="C90" s="181"/>
      <c r="D90" s="14">
        <f t="shared" si="3"/>
        <v>6846694</v>
      </c>
      <c r="E90" s="17">
        <f>SUM('1:57'!E90)</f>
        <v>18105219</v>
      </c>
      <c r="F90" s="21">
        <f>ROUND(MEDIAN('1:57'!F90),2)</f>
        <v>2.52</v>
      </c>
    </row>
    <row r="91" spans="1:6" x14ac:dyDescent="0.2">
      <c r="A91" s="19">
        <v>25</v>
      </c>
      <c r="B91" s="180" t="s">
        <v>22</v>
      </c>
      <c r="C91" s="181"/>
      <c r="D91" s="14">
        <f t="shared" si="3"/>
        <v>36559405</v>
      </c>
      <c r="E91" s="17">
        <f>SUM('1:57'!E91)</f>
        <v>83522105</v>
      </c>
      <c r="F91" s="21">
        <f>ROUND(MEDIAN('1:57'!F91),2)</f>
        <v>2.29</v>
      </c>
    </row>
    <row r="92" spans="1:6" x14ac:dyDescent="0.2">
      <c r="A92" s="19">
        <v>26</v>
      </c>
      <c r="B92" s="180" t="s">
        <v>23</v>
      </c>
      <c r="C92" s="181"/>
      <c r="D92" s="14">
        <f t="shared" si="3"/>
        <v>11252211</v>
      </c>
      <c r="E92" s="17">
        <f>SUM('1:57'!E92)</f>
        <v>43025455</v>
      </c>
      <c r="F92" s="21">
        <f>ROUND(MEDIAN('1:57'!F92),2)</f>
        <v>3.4</v>
      </c>
    </row>
    <row r="93" spans="1:6" x14ac:dyDescent="0.2">
      <c r="A93" s="19">
        <v>28</v>
      </c>
      <c r="B93" s="180" t="s">
        <v>24</v>
      </c>
      <c r="C93" s="181"/>
      <c r="D93" s="14">
        <f t="shared" si="3"/>
        <v>0</v>
      </c>
      <c r="E93" s="17">
        <f>SUM('1:57'!E93)</f>
        <v>0</v>
      </c>
      <c r="F93" s="21"/>
    </row>
    <row r="94" spans="1:6" ht="15.75" customHeight="1" thickBot="1" x14ac:dyDescent="0.25">
      <c r="A94" s="22">
        <v>29</v>
      </c>
      <c r="B94" s="184" t="s">
        <v>25</v>
      </c>
      <c r="C94" s="185"/>
      <c r="D94" s="23">
        <f t="shared" si="3"/>
        <v>0</v>
      </c>
      <c r="E94" s="24">
        <f>SUM('1:57'!E94)</f>
        <v>0</v>
      </c>
      <c r="F94" s="25"/>
    </row>
    <row r="95" spans="1:6" x14ac:dyDescent="0.2">
      <c r="C95" s="13" t="s">
        <v>35</v>
      </c>
      <c r="D95" s="61">
        <f>SUM(D67:D94)</f>
        <v>244475951</v>
      </c>
      <c r="E95" s="4">
        <f>SUM(E67:E94)</f>
        <v>703602770</v>
      </c>
      <c r="F95" s="8">
        <f>ROUND(MEDIAN('1:57'!F95),2)</f>
        <v>2.77</v>
      </c>
    </row>
    <row r="96" spans="1:6" ht="15" thickBot="1" x14ac:dyDescent="0.25"/>
    <row r="97" spans="2:6" ht="29.25" customHeight="1" x14ac:dyDescent="0.2">
      <c r="B97" s="188" t="s">
        <v>468</v>
      </c>
      <c r="C97" s="189"/>
      <c r="D97" s="28" t="s">
        <v>27</v>
      </c>
      <c r="E97" s="33" t="s">
        <v>462</v>
      </c>
      <c r="F97" s="29" t="s">
        <v>463</v>
      </c>
    </row>
    <row r="98" spans="2:6" x14ac:dyDescent="0.2">
      <c r="B98" s="190" t="s">
        <v>30</v>
      </c>
      <c r="C98" s="191"/>
      <c r="D98" s="35"/>
      <c r="E98" s="15">
        <f>SUM('1:57'!E98)</f>
        <v>343301642</v>
      </c>
      <c r="F98" s="20">
        <f>ROUND(MEDIAN('1:57'!F98),2)</f>
        <v>1.42</v>
      </c>
    </row>
    <row r="99" spans="2:6" x14ac:dyDescent="0.2">
      <c r="B99" s="190" t="s">
        <v>31</v>
      </c>
      <c r="C99" s="191"/>
      <c r="D99" s="36"/>
      <c r="E99" s="17">
        <f>SUM('1:57'!E99)</f>
        <v>164343744</v>
      </c>
      <c r="F99" s="21">
        <f>ROUND(MEDIAN('1:57'!F99),2)</f>
        <v>0.56000000000000005</v>
      </c>
    </row>
    <row r="100" spans="2:6" x14ac:dyDescent="0.2">
      <c r="B100" s="190" t="s">
        <v>1089</v>
      </c>
      <c r="C100" s="191"/>
      <c r="D100" s="36"/>
      <c r="E100" s="17">
        <f>SUM('1:57'!E100)</f>
        <v>61680740</v>
      </c>
      <c r="F100" s="21">
        <f>ROUND(MEDIAN('1:57'!F100),2)</f>
        <v>0.2</v>
      </c>
    </row>
    <row r="101" spans="2:6" x14ac:dyDescent="0.2">
      <c r="B101" s="190" t="s">
        <v>1090</v>
      </c>
      <c r="C101" s="191"/>
      <c r="D101" s="36"/>
      <c r="E101" s="17">
        <f>SUM('1:57'!E101)</f>
        <v>98629611</v>
      </c>
      <c r="F101" s="21">
        <f>ROUND(MEDIAN('1:57'!F101),2)</f>
        <v>0.31</v>
      </c>
    </row>
    <row r="102" spans="2:6" x14ac:dyDescent="0.2">
      <c r="B102" s="190" t="s">
        <v>1091</v>
      </c>
      <c r="C102" s="191"/>
      <c r="D102" s="36"/>
      <c r="E102" s="17">
        <f>SUM('1:57'!E102)</f>
        <v>3121343</v>
      </c>
      <c r="F102" s="21">
        <f>ROUND(MEDIAN('1:57'!F102),2)</f>
        <v>0.06</v>
      </c>
    </row>
    <row r="103" spans="2:6" x14ac:dyDescent="0.2">
      <c r="B103" s="192" t="s">
        <v>34</v>
      </c>
      <c r="C103" s="193"/>
      <c r="D103" s="36"/>
      <c r="E103" s="17">
        <f>SUM('1:57'!E103)</f>
        <v>1.0000000000000001E-5</v>
      </c>
      <c r="F103" s="21">
        <f>ROUND(MEDIAN('1:57'!F103),2)</f>
        <v>0</v>
      </c>
    </row>
    <row r="104" spans="2:6" ht="15.75" customHeight="1" thickBot="1" x14ac:dyDescent="0.25">
      <c r="B104" s="186" t="s">
        <v>29</v>
      </c>
      <c r="C104" s="187"/>
      <c r="D104" s="37"/>
      <c r="E104" s="24">
        <f>SUM('1:57'!E104)</f>
        <v>106587409</v>
      </c>
      <c r="F104" s="25">
        <f>ROUND(MEDIAN('1:57'!F104),2)</f>
        <v>0.39</v>
      </c>
    </row>
    <row r="105" spans="2:6" x14ac:dyDescent="0.2">
      <c r="C105" s="13" t="s">
        <v>35</v>
      </c>
      <c r="D105" s="12">
        <f>D95</f>
        <v>244475951</v>
      </c>
      <c r="E105" s="4">
        <f>SUM(E98:E104)</f>
        <v>777664489.00001001</v>
      </c>
      <c r="F105" s="8">
        <f>SUM(F98:F104)</f>
        <v>2.9400000000000004</v>
      </c>
    </row>
    <row r="107" spans="2:6" ht="15" thickBot="1" x14ac:dyDescent="0.25">
      <c r="B107" s="11" t="s">
        <v>932</v>
      </c>
    </row>
    <row r="108" spans="2:6" ht="28.5" x14ac:dyDescent="0.2">
      <c r="B108" s="45" t="s">
        <v>926</v>
      </c>
      <c r="C108" s="27" t="s">
        <v>930</v>
      </c>
      <c r="D108" s="27" t="s">
        <v>29</v>
      </c>
      <c r="E108" s="27" t="s">
        <v>931</v>
      </c>
      <c r="F108" s="46" t="s">
        <v>35</v>
      </c>
    </row>
    <row r="109" spans="2:6" x14ac:dyDescent="0.2">
      <c r="B109" s="42" t="s">
        <v>927</v>
      </c>
      <c r="C109" s="15">
        <f>SUM('1:57'!C109)</f>
        <v>703602770</v>
      </c>
      <c r="D109" s="15">
        <f>SUM('1:57'!D109)</f>
        <v>0</v>
      </c>
      <c r="E109" s="15">
        <f>SUM('1:57'!E109)</f>
        <v>0</v>
      </c>
      <c r="F109" s="47">
        <f>SUM('1:57'!F109)</f>
        <v>703602770</v>
      </c>
    </row>
    <row r="110" spans="2:6" x14ac:dyDescent="0.2">
      <c r="B110" s="42" t="s">
        <v>28</v>
      </c>
      <c r="C110" s="50">
        <f>SUM('1:57'!C110)</f>
        <v>0</v>
      </c>
      <c r="D110" s="51">
        <f>SUM('1:57'!D110)</f>
        <v>0</v>
      </c>
      <c r="E110" s="50">
        <f>SUM('1:57'!E110)</f>
        <v>0</v>
      </c>
      <c r="F110" s="48">
        <f>SUM('1:57'!F110)</f>
        <v>0</v>
      </c>
    </row>
    <row r="111" spans="2:6" x14ac:dyDescent="0.2">
      <c r="B111" s="42" t="s">
        <v>928</v>
      </c>
      <c r="C111" s="50">
        <f>SUM('1:57'!C111)</f>
        <v>0</v>
      </c>
      <c r="D111" s="51">
        <f>SUM('1:57'!D111)</f>
        <v>0</v>
      </c>
      <c r="E111" s="50">
        <f>SUM('1:57'!E111)</f>
        <v>0</v>
      </c>
      <c r="F111" s="48">
        <f>SUM('1:57'!F111)</f>
        <v>0</v>
      </c>
    </row>
    <row r="112" spans="2:6" x14ac:dyDescent="0.2">
      <c r="B112" s="42" t="s">
        <v>32</v>
      </c>
      <c r="C112" s="50">
        <f>SUM('1:57'!C112)</f>
        <v>0</v>
      </c>
      <c r="D112" s="51">
        <f>SUM('1:57'!D112)</f>
        <v>0</v>
      </c>
      <c r="E112" s="50">
        <f>SUM('1:57'!E112)</f>
        <v>0</v>
      </c>
      <c r="F112" s="48">
        <f>SUM('1:57'!F112)</f>
        <v>0</v>
      </c>
    </row>
    <row r="113" spans="1:6" x14ac:dyDescent="0.2">
      <c r="B113" s="42" t="s">
        <v>31</v>
      </c>
      <c r="C113" s="50">
        <f>SUM('1:57'!C113)</f>
        <v>0</v>
      </c>
      <c r="D113" s="51">
        <f>SUM('1:57'!D113)</f>
        <v>0</v>
      </c>
      <c r="E113" s="50">
        <f>SUM('1:57'!E113)</f>
        <v>0</v>
      </c>
      <c r="F113" s="48">
        <f>SUM('1:57'!F113)</f>
        <v>0</v>
      </c>
    </row>
    <row r="114" spans="1:6" x14ac:dyDescent="0.2">
      <c r="B114" s="42" t="s">
        <v>1013</v>
      </c>
      <c r="C114" s="50">
        <f>SUM('1:57'!C114)</f>
        <v>0</v>
      </c>
      <c r="D114" s="51">
        <f>SUM('1:57'!D114)</f>
        <v>0</v>
      </c>
      <c r="E114" s="50">
        <f>SUM('1:57'!E114)</f>
        <v>0</v>
      </c>
      <c r="F114" s="48">
        <f>SUM('1:57'!F114)</f>
        <v>0</v>
      </c>
    </row>
    <row r="115" spans="1:6" x14ac:dyDescent="0.2">
      <c r="B115" s="42" t="s">
        <v>929</v>
      </c>
      <c r="C115" s="50">
        <f>SUM('1:57'!C115)</f>
        <v>0</v>
      </c>
      <c r="D115" s="50">
        <f>SUM('1:57'!D115)</f>
        <v>0</v>
      </c>
      <c r="E115" s="50">
        <f>SUM('1:57'!E115)</f>
        <v>0</v>
      </c>
      <c r="F115" s="48">
        <f>SUM('1:57'!F115)</f>
        <v>0</v>
      </c>
    </row>
    <row r="116" spans="1:6" x14ac:dyDescent="0.2">
      <c r="B116" s="42" t="s">
        <v>33</v>
      </c>
      <c r="C116" s="50">
        <f>SUM('1:57'!C116)</f>
        <v>0</v>
      </c>
      <c r="D116" s="50">
        <f>SUM('1:57'!D116)</f>
        <v>0</v>
      </c>
      <c r="E116" s="50">
        <f>SUM('1:57'!E116)</f>
        <v>3121343</v>
      </c>
      <c r="F116" s="48">
        <f>SUM('1:57'!F116)</f>
        <v>3121343</v>
      </c>
    </row>
    <row r="117" spans="1:6" ht="15" thickBot="1" x14ac:dyDescent="0.25">
      <c r="B117" s="43" t="s">
        <v>933</v>
      </c>
      <c r="C117" s="52">
        <f>SUM('1:57'!C117)</f>
        <v>0</v>
      </c>
      <c r="D117" s="52">
        <f>SUM('1:57'!D117)</f>
        <v>106587409</v>
      </c>
      <c r="E117" s="52">
        <f>SUM('1:57'!E117)</f>
        <v>0</v>
      </c>
      <c r="F117" s="49">
        <f>SUM('1:57'!F117)</f>
        <v>106587409</v>
      </c>
    </row>
    <row r="118" spans="1:6" x14ac:dyDescent="0.2">
      <c r="B118" s="13" t="s">
        <v>35</v>
      </c>
      <c r="C118" s="4">
        <f>SUM(C109:C116)</f>
        <v>703602770</v>
      </c>
      <c r="D118" s="4">
        <f>SUM(D109:D116)</f>
        <v>0</v>
      </c>
      <c r="E118" s="4">
        <f>SUM(E109:E116)</f>
        <v>3121343</v>
      </c>
      <c r="F118" s="4">
        <f>SUM(F109:F116)</f>
        <v>706724113</v>
      </c>
    </row>
    <row r="119" spans="1:6" ht="15" thickBot="1" x14ac:dyDescent="0.25"/>
    <row r="120" spans="1:6" ht="15" thickBot="1" x14ac:dyDescent="0.25">
      <c r="B120" s="55" t="s">
        <v>934</v>
      </c>
      <c r="C120" s="53">
        <f>SUM('1:57'!C120)</f>
        <v>0</v>
      </c>
      <c r="D120" s="53">
        <f>SUM('1:57'!D120)</f>
        <v>0</v>
      </c>
      <c r="E120" s="53">
        <f>SUM('1:57'!E120)</f>
        <v>1.0000000000000001E-5</v>
      </c>
      <c r="F120" s="54">
        <f>SUM('1:57'!F120)</f>
        <v>1.0000000000000001E-5</v>
      </c>
    </row>
    <row r="122" spans="1:6" s="57" customFormat="1" ht="113.25" customHeight="1" x14ac:dyDescent="0.2">
      <c r="A122" s="179" t="s">
        <v>935</v>
      </c>
      <c r="B122" s="179"/>
      <c r="C122" s="179"/>
      <c r="D122" s="179"/>
      <c r="E122" s="179"/>
      <c r="F122" s="179"/>
    </row>
  </sheetData>
  <mergeCells count="96">
    <mergeCell ref="B104:C104"/>
    <mergeCell ref="B91:C91"/>
    <mergeCell ref="B92:C92"/>
    <mergeCell ref="B93:C93"/>
    <mergeCell ref="B94:C94"/>
    <mergeCell ref="B97:C97"/>
    <mergeCell ref="B98:C98"/>
    <mergeCell ref="B99:C99"/>
    <mergeCell ref="B100:C100"/>
    <mergeCell ref="B101:C101"/>
    <mergeCell ref="B102:C102"/>
    <mergeCell ref="B103:C103"/>
    <mergeCell ref="B90:C90"/>
    <mergeCell ref="B79:C79"/>
    <mergeCell ref="B80:C80"/>
    <mergeCell ref="B81:C81"/>
    <mergeCell ref="B82:C82"/>
    <mergeCell ref="B83:C83"/>
    <mergeCell ref="B84:C84"/>
    <mergeCell ref="B85:C85"/>
    <mergeCell ref="B86:C86"/>
    <mergeCell ref="B87:C87"/>
    <mergeCell ref="B88:C88"/>
    <mergeCell ref="B89:C89"/>
    <mergeCell ref="B78:C78"/>
    <mergeCell ref="B67:C67"/>
    <mergeCell ref="B68:C68"/>
    <mergeCell ref="B69:C69"/>
    <mergeCell ref="B70:C70"/>
    <mergeCell ref="B71:C71"/>
    <mergeCell ref="B72:C72"/>
    <mergeCell ref="B73:C73"/>
    <mergeCell ref="B74:C74"/>
    <mergeCell ref="B75:C75"/>
    <mergeCell ref="B76:C76"/>
    <mergeCell ref="B77:C77"/>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23:C23"/>
    <mergeCell ref="B24:C24"/>
    <mergeCell ref="B25:C25"/>
    <mergeCell ref="B40:C40"/>
    <mergeCell ref="B27:C27"/>
    <mergeCell ref="B28:C28"/>
    <mergeCell ref="B29:C29"/>
    <mergeCell ref="B30:C30"/>
    <mergeCell ref="B31:C31"/>
    <mergeCell ref="B32:C32"/>
    <mergeCell ref="B35:C35"/>
    <mergeCell ref="B36:C36"/>
    <mergeCell ref="B37:C37"/>
    <mergeCell ref="B38:C38"/>
    <mergeCell ref="B39:C39"/>
    <mergeCell ref="B18:C18"/>
    <mergeCell ref="B19:C19"/>
    <mergeCell ref="B20:C20"/>
    <mergeCell ref="B21:C21"/>
    <mergeCell ref="B22:C22"/>
    <mergeCell ref="A122:F122"/>
    <mergeCell ref="B14:C14"/>
    <mergeCell ref="B4:C4"/>
    <mergeCell ref="B5:C5"/>
    <mergeCell ref="B6:C6"/>
    <mergeCell ref="B7:C7"/>
    <mergeCell ref="B8:C8"/>
    <mergeCell ref="B9:C9"/>
    <mergeCell ref="B10:C10"/>
    <mergeCell ref="B11:C11"/>
    <mergeCell ref="B12:C12"/>
    <mergeCell ref="B13:C13"/>
    <mergeCell ref="B26:C26"/>
    <mergeCell ref="B15:C15"/>
    <mergeCell ref="B16:C16"/>
    <mergeCell ref="B17:C17"/>
  </mergeCells>
  <pageMargins left="0.25" right="0.25" top="0.75" bottom="0.75" header="0.3" footer="0.3"/>
  <pageSetup orientation="landscape" r:id="rId1"/>
  <rowBreaks count="2" manualBreakCount="2">
    <brk id="64" max="16383" man="1"/>
    <brk id="95"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showGridLines="0" zoomScale="70" zoomScaleNormal="70" workbookViewId="0">
      <selection activeCell="C4" sqref="C4"/>
    </sheetView>
  </sheetViews>
  <sheetFormatPr defaultRowHeight="14.25" x14ac:dyDescent="0.2"/>
  <cols>
    <col min="1" max="1" width="6.5703125" style="67" customWidth="1"/>
    <col min="2" max="2" width="43.5703125" style="67" customWidth="1"/>
    <col min="3" max="7" width="8.140625" style="67" customWidth="1"/>
    <col min="8" max="8" width="2.85546875" style="67" customWidth="1"/>
    <col min="9" max="12" width="9.42578125" style="67" customWidth="1"/>
    <col min="13" max="26" width="9.140625" style="67"/>
    <col min="27" max="27" width="17.85546875" style="67" bestFit="1" customWidth="1"/>
    <col min="28" max="30" width="9.140625" style="67"/>
    <col min="31" max="31" width="17.85546875" style="67" bestFit="1" customWidth="1"/>
    <col min="32" max="16384" width="9.140625" style="67"/>
  </cols>
  <sheetData>
    <row r="1" spans="1:12" x14ac:dyDescent="0.2">
      <c r="A1" s="38" t="str">
        <f>Summary!A1</f>
        <v>Community and Technical Colleges, Report of Fundable Operating Expenses, Fiscal Year (FY) 2003</v>
      </c>
      <c r="B1" s="38"/>
      <c r="C1" s="38"/>
      <c r="D1" s="38"/>
      <c r="E1" s="38"/>
      <c r="F1" s="38"/>
      <c r="G1" s="38"/>
    </row>
    <row r="2" spans="1:12" ht="15" thickBot="1" x14ac:dyDescent="0.25">
      <c r="A2" s="5" t="s">
        <v>936</v>
      </c>
      <c r="I2" s="69" t="s">
        <v>1092</v>
      </c>
      <c r="J2" s="69"/>
      <c r="K2" s="69"/>
      <c r="L2" s="69"/>
    </row>
    <row r="3" spans="1:12" ht="29.25" customHeight="1" x14ac:dyDescent="0.2">
      <c r="A3" s="163" t="s">
        <v>26</v>
      </c>
      <c r="B3" s="161" t="s">
        <v>937</v>
      </c>
      <c r="C3" s="164">
        <v>2003</v>
      </c>
      <c r="D3" s="164">
        <v>2002</v>
      </c>
      <c r="E3" s="164">
        <v>2001</v>
      </c>
      <c r="F3" s="164">
        <v>2000</v>
      </c>
      <c r="G3" s="165">
        <v>1999</v>
      </c>
      <c r="I3" s="166">
        <v>2003</v>
      </c>
      <c r="J3" s="167">
        <v>2002</v>
      </c>
      <c r="K3" s="167">
        <v>2001</v>
      </c>
      <c r="L3" s="165">
        <v>2000</v>
      </c>
    </row>
    <row r="4" spans="1:12" x14ac:dyDescent="0.2">
      <c r="A4" s="19">
        <v>1</v>
      </c>
      <c r="B4" s="160" t="s">
        <v>0</v>
      </c>
      <c r="C4" s="16">
        <f>Summary!F5</f>
        <v>7.1800000000000006</v>
      </c>
      <c r="D4" s="16">
        <v>7.58</v>
      </c>
      <c r="E4" s="16">
        <v>7</v>
      </c>
      <c r="F4" s="16">
        <v>6.669999999999999</v>
      </c>
      <c r="G4" s="168">
        <v>6.8100000000000005</v>
      </c>
      <c r="I4" s="169">
        <f>IFERROR(C4/D4-1,"")</f>
        <v>-5.2770448548812632E-2</v>
      </c>
      <c r="J4" s="170">
        <f>IFERROR(D4/E4-1,"")</f>
        <v>8.2857142857142962E-2</v>
      </c>
      <c r="K4" s="170">
        <f>IFERROR(E4/F4-1,"")</f>
        <v>4.947526236881572E-2</v>
      </c>
      <c r="L4" s="171">
        <f>IFERROR(F4/G4-1,"")</f>
        <v>-2.0558002936857722E-2</v>
      </c>
    </row>
    <row r="5" spans="1:12" ht="28.5" x14ac:dyDescent="0.2">
      <c r="A5" s="19">
        <v>2</v>
      </c>
      <c r="B5" s="160" t="s">
        <v>1</v>
      </c>
      <c r="C5" s="18">
        <f>Summary!F6</f>
        <v>7.3100000000000005</v>
      </c>
      <c r="D5" s="18">
        <v>7.27</v>
      </c>
      <c r="E5" s="18">
        <v>7.5600000000000005</v>
      </c>
      <c r="F5" s="18">
        <v>6.8299999999999992</v>
      </c>
      <c r="G5" s="172">
        <v>6.6400000000000006</v>
      </c>
      <c r="I5" s="169">
        <f t="shared" ref="I5:L31" si="0">IFERROR(C5/D5-1,"")</f>
        <v>5.5020632737277086E-3</v>
      </c>
      <c r="J5" s="170">
        <f t="shared" si="0"/>
        <v>-3.8359788359788483E-2</v>
      </c>
      <c r="K5" s="170">
        <f t="shared" si="0"/>
        <v>0.10688140556368975</v>
      </c>
      <c r="L5" s="171">
        <f t="shared" si="0"/>
        <v>2.8614457831324991E-2</v>
      </c>
    </row>
    <row r="6" spans="1:12" ht="28.5" x14ac:dyDescent="0.2">
      <c r="A6" s="19">
        <v>3</v>
      </c>
      <c r="B6" s="160" t="s">
        <v>2</v>
      </c>
      <c r="C6" s="18">
        <f>Summary!F7</f>
        <v>5.86</v>
      </c>
      <c r="D6" s="18">
        <v>6.0399999999999991</v>
      </c>
      <c r="E6" s="18">
        <v>5.9</v>
      </c>
      <c r="F6" s="18">
        <v>5.6899999999999995</v>
      </c>
      <c r="G6" s="172">
        <v>5.51</v>
      </c>
      <c r="I6" s="169">
        <f t="shared" si="0"/>
        <v>-2.9801324503311077E-2</v>
      </c>
      <c r="J6" s="170">
        <f t="shared" si="0"/>
        <v>2.3728813559321882E-2</v>
      </c>
      <c r="K6" s="170">
        <f t="shared" si="0"/>
        <v>3.6906854130052791E-2</v>
      </c>
      <c r="L6" s="171">
        <f t="shared" si="0"/>
        <v>3.2667876588021727E-2</v>
      </c>
    </row>
    <row r="7" spans="1:12" ht="28.5" x14ac:dyDescent="0.2">
      <c r="A7" s="19">
        <v>4</v>
      </c>
      <c r="B7" s="160" t="s">
        <v>3</v>
      </c>
      <c r="C7" s="18">
        <f>Summary!F8</f>
        <v>6.69</v>
      </c>
      <c r="D7" s="18">
        <v>6.4599999999999991</v>
      </c>
      <c r="E7" s="18">
        <v>6.07</v>
      </c>
      <c r="F7" s="18">
        <v>6.129999999999999</v>
      </c>
      <c r="G7" s="172">
        <v>6.22</v>
      </c>
      <c r="I7" s="169">
        <f t="shared" si="0"/>
        <v>3.5603715170278827E-2</v>
      </c>
      <c r="J7" s="170">
        <f t="shared" si="0"/>
        <v>6.4250411861614287E-2</v>
      </c>
      <c r="K7" s="170">
        <f t="shared" si="0"/>
        <v>-9.7879282218594765E-3</v>
      </c>
      <c r="L7" s="171">
        <f t="shared" si="0"/>
        <v>-1.4469453376205865E-2</v>
      </c>
    </row>
    <row r="8" spans="1:12" x14ac:dyDescent="0.2">
      <c r="A8" s="19">
        <v>5</v>
      </c>
      <c r="B8" s="160" t="s">
        <v>4</v>
      </c>
      <c r="C8" s="18">
        <f>Summary!F9</f>
        <v>13.77</v>
      </c>
      <c r="D8" s="18">
        <v>11.03</v>
      </c>
      <c r="E8" s="18">
        <v>16.04</v>
      </c>
      <c r="F8" s="18">
        <v>19.419999999999998</v>
      </c>
      <c r="G8" s="172">
        <v>18.690000000000001</v>
      </c>
      <c r="I8" s="169">
        <f t="shared" si="0"/>
        <v>0.24841341795104266</v>
      </c>
      <c r="J8" s="170">
        <f t="shared" si="0"/>
        <v>-0.31234413965087282</v>
      </c>
      <c r="K8" s="170">
        <f t="shared" si="0"/>
        <v>-0.17404737384140057</v>
      </c>
      <c r="L8" s="171">
        <f t="shared" si="0"/>
        <v>3.9058319957196108E-2</v>
      </c>
    </row>
    <row r="9" spans="1:12" x14ac:dyDescent="0.2">
      <c r="A9" s="19">
        <v>6</v>
      </c>
      <c r="B9" s="160" t="s">
        <v>5</v>
      </c>
      <c r="C9" s="18">
        <f>Summary!F10</f>
        <v>7.2100000000000009</v>
      </c>
      <c r="D9" s="18">
        <v>7.26</v>
      </c>
      <c r="E9" s="18">
        <v>6.99</v>
      </c>
      <c r="F9" s="18">
        <v>9.2100000000000009</v>
      </c>
      <c r="G9" s="172">
        <v>8.2100000000000009</v>
      </c>
      <c r="I9" s="169">
        <f t="shared" si="0"/>
        <v>-6.8870523415976992E-3</v>
      </c>
      <c r="J9" s="170">
        <f t="shared" si="0"/>
        <v>3.8626609442059978E-2</v>
      </c>
      <c r="K9" s="170">
        <f t="shared" si="0"/>
        <v>-0.24104234527687296</v>
      </c>
      <c r="L9" s="171">
        <f t="shared" si="0"/>
        <v>0.12180267965895242</v>
      </c>
    </row>
    <row r="10" spans="1:12" x14ac:dyDescent="0.2">
      <c r="A10" s="19">
        <v>7</v>
      </c>
      <c r="B10" s="160" t="s">
        <v>6</v>
      </c>
      <c r="C10" s="18">
        <f>Summary!F11</f>
        <v>6.94</v>
      </c>
      <c r="D10" s="18">
        <v>6.92</v>
      </c>
      <c r="E10" s="18">
        <v>6.6899999999999995</v>
      </c>
      <c r="F10" s="18">
        <v>6.3199999999999994</v>
      </c>
      <c r="G10" s="172">
        <v>5.4399999999999995</v>
      </c>
      <c r="I10" s="169">
        <f t="shared" si="0"/>
        <v>2.8901734104047616E-3</v>
      </c>
      <c r="J10" s="170">
        <f t="shared" si="0"/>
        <v>3.4379671150971625E-2</v>
      </c>
      <c r="K10" s="170">
        <f t="shared" si="0"/>
        <v>5.8544303797468444E-2</v>
      </c>
      <c r="L10" s="171">
        <f t="shared" si="0"/>
        <v>0.16176470588235303</v>
      </c>
    </row>
    <row r="11" spans="1:12" x14ac:dyDescent="0.2">
      <c r="A11" s="19">
        <v>8</v>
      </c>
      <c r="B11" s="160" t="s">
        <v>7</v>
      </c>
      <c r="C11" s="18">
        <f>Summary!F12</f>
        <v>7.36</v>
      </c>
      <c r="D11" s="18">
        <v>6.75</v>
      </c>
      <c r="E11" s="18">
        <v>6.1199999999999992</v>
      </c>
      <c r="F11" s="18">
        <v>6.42</v>
      </c>
      <c r="G11" s="172">
        <v>5.99</v>
      </c>
      <c r="I11" s="169">
        <f t="shared" si="0"/>
        <v>9.0370370370370434E-2</v>
      </c>
      <c r="J11" s="170">
        <f t="shared" si="0"/>
        <v>0.10294117647058831</v>
      </c>
      <c r="K11" s="170">
        <f t="shared" si="0"/>
        <v>-4.6728971962616939E-2</v>
      </c>
      <c r="L11" s="171">
        <f t="shared" si="0"/>
        <v>7.178631051752915E-2</v>
      </c>
    </row>
    <row r="12" spans="1:12" x14ac:dyDescent="0.2">
      <c r="A12" s="19">
        <v>9</v>
      </c>
      <c r="B12" s="160" t="s">
        <v>8</v>
      </c>
      <c r="C12" s="18">
        <f>Summary!F13</f>
        <v>5.49</v>
      </c>
      <c r="D12" s="18">
        <v>5.51</v>
      </c>
      <c r="E12" s="18">
        <v>5.52</v>
      </c>
      <c r="F12" s="18">
        <v>5.1399999999999988</v>
      </c>
      <c r="G12" s="172">
        <v>5.35</v>
      </c>
      <c r="I12" s="169">
        <f t="shared" si="0"/>
        <v>-3.6297640653356611E-3</v>
      </c>
      <c r="J12" s="170">
        <f t="shared" si="0"/>
        <v>-1.8115942028985588E-3</v>
      </c>
      <c r="K12" s="170">
        <f t="shared" si="0"/>
        <v>7.3929961089494345E-2</v>
      </c>
      <c r="L12" s="171">
        <f t="shared" si="0"/>
        <v>-3.9252336448598268E-2</v>
      </c>
    </row>
    <row r="13" spans="1:12" x14ac:dyDescent="0.2">
      <c r="A13" s="19">
        <v>10</v>
      </c>
      <c r="B13" s="160" t="s">
        <v>9</v>
      </c>
      <c r="C13" s="18">
        <f>Summary!F14</f>
        <v>8.9200000000000017</v>
      </c>
      <c r="D13" s="18">
        <v>8.5399999999999991</v>
      </c>
      <c r="E13" s="18">
        <v>11.49</v>
      </c>
      <c r="F13" s="18">
        <v>9.8299999999999983</v>
      </c>
      <c r="G13" s="172">
        <v>7.6400000000000006</v>
      </c>
      <c r="I13" s="169">
        <f t="shared" si="0"/>
        <v>4.4496487119438211E-2</v>
      </c>
      <c r="J13" s="170">
        <f t="shared" si="0"/>
        <v>-0.25674499564839004</v>
      </c>
      <c r="K13" s="170">
        <f t="shared" si="0"/>
        <v>0.1688708036622586</v>
      </c>
      <c r="L13" s="171">
        <f t="shared" si="0"/>
        <v>0.28664921465968551</v>
      </c>
    </row>
    <row r="14" spans="1:12" x14ac:dyDescent="0.2">
      <c r="A14" s="19">
        <v>11</v>
      </c>
      <c r="B14" s="160" t="s">
        <v>10</v>
      </c>
      <c r="C14" s="18">
        <f>Summary!F15</f>
        <v>7.23</v>
      </c>
      <c r="D14" s="18">
        <v>6.8899999999999988</v>
      </c>
      <c r="E14" s="18">
        <v>6.58</v>
      </c>
      <c r="F14" s="18">
        <v>6.71</v>
      </c>
      <c r="G14" s="172">
        <v>6.42</v>
      </c>
      <c r="I14" s="169">
        <f t="shared" si="0"/>
        <v>4.9346879535558941E-2</v>
      </c>
      <c r="J14" s="170">
        <f t="shared" si="0"/>
        <v>4.711246200607877E-2</v>
      </c>
      <c r="K14" s="170">
        <f t="shared" si="0"/>
        <v>-1.9374068554396384E-2</v>
      </c>
      <c r="L14" s="171">
        <f t="shared" si="0"/>
        <v>4.5171339563862878E-2</v>
      </c>
    </row>
    <row r="15" spans="1:12" ht="28.5" x14ac:dyDescent="0.2">
      <c r="A15" s="19">
        <v>12</v>
      </c>
      <c r="B15" s="160" t="s">
        <v>11</v>
      </c>
      <c r="C15" s="18">
        <f>Summary!F16</f>
        <v>5.83</v>
      </c>
      <c r="D15" s="18">
        <v>5.9399999999999995</v>
      </c>
      <c r="E15" s="18">
        <v>5.75</v>
      </c>
      <c r="F15" s="18">
        <v>5.68</v>
      </c>
      <c r="G15" s="172">
        <v>5.26</v>
      </c>
      <c r="I15" s="169">
        <f t="shared" si="0"/>
        <v>-1.8518518518518379E-2</v>
      </c>
      <c r="J15" s="170">
        <f t="shared" si="0"/>
        <v>3.3043478260869508E-2</v>
      </c>
      <c r="K15" s="170">
        <f t="shared" si="0"/>
        <v>1.2323943661971981E-2</v>
      </c>
      <c r="L15" s="171">
        <f t="shared" si="0"/>
        <v>7.9847908745247054E-2</v>
      </c>
    </row>
    <row r="16" spans="1:12" x14ac:dyDescent="0.2">
      <c r="A16" s="19">
        <v>13</v>
      </c>
      <c r="B16" s="160" t="s">
        <v>12</v>
      </c>
      <c r="C16" s="18">
        <f>Summary!F17</f>
        <v>6.1400000000000006</v>
      </c>
      <c r="D16" s="18">
        <v>6.06</v>
      </c>
      <c r="E16" s="18">
        <v>5.93</v>
      </c>
      <c r="F16" s="18">
        <v>5.81</v>
      </c>
      <c r="G16" s="172">
        <v>5.6999999999999993</v>
      </c>
      <c r="I16" s="169">
        <f t="shared" si="0"/>
        <v>1.3201320132013361E-2</v>
      </c>
      <c r="J16" s="170">
        <f t="shared" si="0"/>
        <v>2.1922428330522825E-2</v>
      </c>
      <c r="K16" s="170">
        <f t="shared" si="0"/>
        <v>2.0654044750430423E-2</v>
      </c>
      <c r="L16" s="171">
        <f t="shared" si="0"/>
        <v>1.9298245614035148E-2</v>
      </c>
    </row>
    <row r="17" spans="1:12" ht="28.5" x14ac:dyDescent="0.2">
      <c r="A17" s="19">
        <v>14</v>
      </c>
      <c r="B17" s="160" t="s">
        <v>464</v>
      </c>
      <c r="C17" s="18">
        <f>Summary!F18</f>
        <v>8.9</v>
      </c>
      <c r="D17" s="18">
        <v>9.8099999999999987</v>
      </c>
      <c r="E17" s="18">
        <v>9.73</v>
      </c>
      <c r="F17" s="18">
        <v>8.92</v>
      </c>
      <c r="G17" s="172">
        <v>9.0399999999999991</v>
      </c>
      <c r="I17" s="169">
        <f t="shared" si="0"/>
        <v>-9.2762487257899928E-2</v>
      </c>
      <c r="J17" s="170">
        <f t="shared" si="0"/>
        <v>8.2219938335044152E-3</v>
      </c>
      <c r="K17" s="170">
        <f t="shared" si="0"/>
        <v>9.0807174887892472E-2</v>
      </c>
      <c r="L17" s="171">
        <f t="shared" si="0"/>
        <v>-1.327433628318575E-2</v>
      </c>
    </row>
    <row r="18" spans="1:12" x14ac:dyDescent="0.2">
      <c r="A18" s="19">
        <v>15</v>
      </c>
      <c r="B18" s="160" t="s">
        <v>13</v>
      </c>
      <c r="C18" s="18">
        <f>Summary!F19</f>
        <v>12.530000000000001</v>
      </c>
      <c r="D18" s="18">
        <v>12.22</v>
      </c>
      <c r="E18" s="18">
        <v>11.790000000000001</v>
      </c>
      <c r="F18" s="18">
        <v>12.639999999999997</v>
      </c>
      <c r="G18" s="172">
        <v>11.21</v>
      </c>
      <c r="I18" s="169">
        <f t="shared" si="0"/>
        <v>2.5368248772504209E-2</v>
      </c>
      <c r="J18" s="170">
        <f t="shared" si="0"/>
        <v>3.6471586089906749E-2</v>
      </c>
      <c r="K18" s="170">
        <f t="shared" si="0"/>
        <v>-6.7246835443037667E-2</v>
      </c>
      <c r="L18" s="171">
        <f t="shared" si="0"/>
        <v>0.12756467439785868</v>
      </c>
    </row>
    <row r="19" spans="1:12" x14ac:dyDescent="0.2">
      <c r="A19" s="19">
        <v>16</v>
      </c>
      <c r="B19" s="160" t="s">
        <v>14</v>
      </c>
      <c r="C19" s="18">
        <f>Summary!F20</f>
        <v>6.78</v>
      </c>
      <c r="D19" s="18">
        <v>6.5499999999999989</v>
      </c>
      <c r="E19" s="18">
        <v>6.6899999999999995</v>
      </c>
      <c r="F19" s="18">
        <v>6.26</v>
      </c>
      <c r="G19" s="172">
        <v>6.51</v>
      </c>
      <c r="I19" s="169">
        <f t="shared" si="0"/>
        <v>3.5114503816794151E-2</v>
      </c>
      <c r="J19" s="170">
        <f t="shared" si="0"/>
        <v>-2.0926756352765419E-2</v>
      </c>
      <c r="K19" s="170">
        <f t="shared" si="0"/>
        <v>6.8690095846645427E-2</v>
      </c>
      <c r="L19" s="171">
        <f t="shared" si="0"/>
        <v>-3.8402457757296449E-2</v>
      </c>
    </row>
    <row r="20" spans="1:12" x14ac:dyDescent="0.2">
      <c r="A20" s="19">
        <v>17</v>
      </c>
      <c r="B20" s="160" t="s">
        <v>15</v>
      </c>
      <c r="C20" s="18">
        <f>Summary!F21</f>
        <v>10.030000000000001</v>
      </c>
      <c r="D20" s="18">
        <v>11.94</v>
      </c>
      <c r="E20" s="18">
        <v>10.23</v>
      </c>
      <c r="F20" s="18">
        <v>8.7399999999999984</v>
      </c>
      <c r="G20" s="172">
        <v>8.64</v>
      </c>
      <c r="I20" s="169">
        <f t="shared" si="0"/>
        <v>-0.15996649916247896</v>
      </c>
      <c r="J20" s="170">
        <f t="shared" si="0"/>
        <v>0.1671554252199412</v>
      </c>
      <c r="K20" s="170">
        <f t="shared" si="0"/>
        <v>0.17048054919908484</v>
      </c>
      <c r="L20" s="171">
        <f t="shared" si="0"/>
        <v>1.1574074074073737E-2</v>
      </c>
    </row>
    <row r="21" spans="1:12" x14ac:dyDescent="0.2">
      <c r="A21" s="19">
        <v>18</v>
      </c>
      <c r="B21" s="160" t="s">
        <v>16</v>
      </c>
      <c r="C21" s="18">
        <f>Summary!F22</f>
        <v>6.5400000000000009</v>
      </c>
      <c r="D21" s="18">
        <v>6.66</v>
      </c>
      <c r="E21" s="18">
        <v>6.59</v>
      </c>
      <c r="F21" s="18">
        <v>6.9999999999999991</v>
      </c>
      <c r="G21" s="172">
        <v>5.76</v>
      </c>
      <c r="I21" s="169">
        <f t="shared" si="0"/>
        <v>-1.8018018018017945E-2</v>
      </c>
      <c r="J21" s="170">
        <f t="shared" si="0"/>
        <v>1.0622154779969639E-2</v>
      </c>
      <c r="K21" s="170">
        <f t="shared" si="0"/>
        <v>-5.8571428571428497E-2</v>
      </c>
      <c r="L21" s="171">
        <f t="shared" si="0"/>
        <v>0.21527777777777768</v>
      </c>
    </row>
    <row r="22" spans="1:12" x14ac:dyDescent="0.2">
      <c r="A22" s="19">
        <v>19</v>
      </c>
      <c r="B22" s="160" t="s">
        <v>17</v>
      </c>
      <c r="C22" s="18">
        <f>Summary!F23</f>
        <v>5.5600000000000005</v>
      </c>
      <c r="D22" s="18">
        <v>5.5499999999999989</v>
      </c>
      <c r="E22" s="18">
        <v>5.3900000000000006</v>
      </c>
      <c r="F22" s="18">
        <v>5.26</v>
      </c>
      <c r="G22" s="172">
        <v>4.96</v>
      </c>
      <c r="I22" s="169">
        <f t="shared" si="0"/>
        <v>1.8018018018020054E-3</v>
      </c>
      <c r="J22" s="170">
        <f t="shared" si="0"/>
        <v>2.9684601113172171E-2</v>
      </c>
      <c r="K22" s="170">
        <f t="shared" si="0"/>
        <v>2.4714828897338448E-2</v>
      </c>
      <c r="L22" s="171">
        <f t="shared" si="0"/>
        <v>6.0483870967741993E-2</v>
      </c>
    </row>
    <row r="23" spans="1:12" x14ac:dyDescent="0.2">
      <c r="A23" s="19">
        <v>20</v>
      </c>
      <c r="B23" s="160" t="s">
        <v>18</v>
      </c>
      <c r="C23" s="18">
        <f>Summary!F24</f>
        <v>7.0500000000000007</v>
      </c>
      <c r="D23" s="18">
        <v>7.6199999999999992</v>
      </c>
      <c r="E23" s="18">
        <v>7.74</v>
      </c>
      <c r="F23" s="18">
        <v>7.669999999999999</v>
      </c>
      <c r="G23" s="172">
        <v>6.49</v>
      </c>
      <c r="I23" s="169">
        <f t="shared" si="0"/>
        <v>-7.480314960629908E-2</v>
      </c>
      <c r="J23" s="170">
        <f t="shared" si="0"/>
        <v>-1.5503875968992387E-2</v>
      </c>
      <c r="K23" s="170">
        <f t="shared" si="0"/>
        <v>9.1264667535855271E-3</v>
      </c>
      <c r="L23" s="171">
        <f t="shared" si="0"/>
        <v>0.18181818181818166</v>
      </c>
    </row>
    <row r="24" spans="1:12" ht="28.5" x14ac:dyDescent="0.2">
      <c r="A24" s="19">
        <v>21</v>
      </c>
      <c r="B24" s="160" t="s">
        <v>461</v>
      </c>
      <c r="C24" s="18">
        <f>Summary!F25</f>
        <v>8.3000000000000007</v>
      </c>
      <c r="D24" s="18">
        <v>8.76</v>
      </c>
      <c r="E24" s="18">
        <v>7.41</v>
      </c>
      <c r="F24" s="18">
        <v>7.8199999999999994</v>
      </c>
      <c r="G24" s="172">
        <v>7.32</v>
      </c>
      <c r="I24" s="169">
        <f t="shared" si="0"/>
        <v>-5.2511415525114069E-2</v>
      </c>
      <c r="J24" s="170">
        <f t="shared" si="0"/>
        <v>0.18218623481781382</v>
      </c>
      <c r="K24" s="170">
        <f t="shared" si="0"/>
        <v>-5.2429667519181544E-2</v>
      </c>
      <c r="L24" s="171">
        <f t="shared" si="0"/>
        <v>6.8306010928961713E-2</v>
      </c>
    </row>
    <row r="25" spans="1:12" x14ac:dyDescent="0.2">
      <c r="A25" s="19">
        <v>22</v>
      </c>
      <c r="B25" s="160" t="s">
        <v>19</v>
      </c>
      <c r="C25" s="18">
        <f>Summary!F26</f>
        <v>7.1400000000000006</v>
      </c>
      <c r="D25" s="18">
        <v>8.36</v>
      </c>
      <c r="E25" s="18">
        <v>7.41</v>
      </c>
      <c r="F25" s="18">
        <v>7.3299999999999992</v>
      </c>
      <c r="G25" s="172">
        <v>6.4700000000000006</v>
      </c>
      <c r="I25" s="169">
        <f t="shared" si="0"/>
        <v>-0.14593301435406691</v>
      </c>
      <c r="J25" s="170">
        <f t="shared" si="0"/>
        <v>0.12820512820512819</v>
      </c>
      <c r="K25" s="170">
        <f t="shared" si="0"/>
        <v>1.0914051841746319E-2</v>
      </c>
      <c r="L25" s="171">
        <f t="shared" si="0"/>
        <v>0.13292117465224096</v>
      </c>
    </row>
    <row r="26" spans="1:12" x14ac:dyDescent="0.2">
      <c r="A26" s="19">
        <v>23</v>
      </c>
      <c r="B26" s="160" t="s">
        <v>20</v>
      </c>
      <c r="C26" s="18">
        <f>Summary!F27</f>
        <v>6.8800000000000008</v>
      </c>
      <c r="D26" s="18">
        <v>7.32</v>
      </c>
      <c r="E26" s="18">
        <v>6.98</v>
      </c>
      <c r="F26" s="18">
        <v>6.879999999999999</v>
      </c>
      <c r="G26" s="172">
        <v>6.21</v>
      </c>
      <c r="I26" s="169">
        <f t="shared" si="0"/>
        <v>-6.0109289617486295E-2</v>
      </c>
      <c r="J26" s="170">
        <f t="shared" si="0"/>
        <v>4.871060171919761E-2</v>
      </c>
      <c r="K26" s="170">
        <f t="shared" si="0"/>
        <v>1.453488372093048E-2</v>
      </c>
      <c r="L26" s="171">
        <f t="shared" si="0"/>
        <v>0.10789049919484683</v>
      </c>
    </row>
    <row r="27" spans="1:12" x14ac:dyDescent="0.2">
      <c r="A27" s="19">
        <v>24</v>
      </c>
      <c r="B27" s="160" t="s">
        <v>21</v>
      </c>
      <c r="C27" s="18">
        <f>Summary!F28</f>
        <v>6.2200000000000006</v>
      </c>
      <c r="D27" s="18">
        <v>6.34</v>
      </c>
      <c r="E27" s="18">
        <v>5.9</v>
      </c>
      <c r="F27" s="18">
        <v>5.5799999999999992</v>
      </c>
      <c r="G27" s="172">
        <v>4.9399999999999995</v>
      </c>
      <c r="I27" s="169">
        <f t="shared" si="0"/>
        <v>-1.8927444794952564E-2</v>
      </c>
      <c r="J27" s="170">
        <f t="shared" si="0"/>
        <v>7.4576271186440612E-2</v>
      </c>
      <c r="K27" s="170">
        <f t="shared" si="0"/>
        <v>5.7347670250896376E-2</v>
      </c>
      <c r="L27" s="171">
        <f t="shared" si="0"/>
        <v>0.12955465587044523</v>
      </c>
    </row>
    <row r="28" spans="1:12" x14ac:dyDescent="0.2">
      <c r="A28" s="19">
        <v>25</v>
      </c>
      <c r="B28" s="160" t="s">
        <v>22</v>
      </c>
      <c r="C28" s="18">
        <f>Summary!F29</f>
        <v>5.36</v>
      </c>
      <c r="D28" s="18">
        <v>5.3199999999999994</v>
      </c>
      <c r="E28" s="18">
        <v>5.27</v>
      </c>
      <c r="F28" s="18">
        <v>5.17</v>
      </c>
      <c r="G28" s="172">
        <v>4.97</v>
      </c>
      <c r="I28" s="169">
        <f t="shared" si="0"/>
        <v>7.5187969924814801E-3</v>
      </c>
      <c r="J28" s="170">
        <f t="shared" si="0"/>
        <v>9.4876660341556285E-3</v>
      </c>
      <c r="K28" s="170">
        <f t="shared" si="0"/>
        <v>1.934235976789167E-2</v>
      </c>
      <c r="L28" s="171">
        <f t="shared" si="0"/>
        <v>4.0241448692152959E-2</v>
      </c>
    </row>
    <row r="29" spans="1:12" x14ac:dyDescent="0.2">
      <c r="A29" s="19">
        <v>26</v>
      </c>
      <c r="B29" s="160" t="s">
        <v>23</v>
      </c>
      <c r="C29" s="18">
        <f>Summary!F30</f>
        <v>7.1800000000000006</v>
      </c>
      <c r="D29" s="18">
        <v>7.5</v>
      </c>
      <c r="E29" s="18">
        <v>7.5299999999999994</v>
      </c>
      <c r="F29" s="18">
        <v>7.35</v>
      </c>
      <c r="G29" s="172">
        <v>7.33</v>
      </c>
      <c r="I29" s="169">
        <f t="shared" si="0"/>
        <v>-4.2666666666666631E-2</v>
      </c>
      <c r="J29" s="170">
        <f t="shared" si="0"/>
        <v>-3.9840637450198058E-3</v>
      </c>
      <c r="K29" s="170">
        <f t="shared" si="0"/>
        <v>2.4489795918367419E-2</v>
      </c>
      <c r="L29" s="171">
        <f t="shared" si="0"/>
        <v>2.7285129604364133E-3</v>
      </c>
    </row>
    <row r="30" spans="1:12" x14ac:dyDescent="0.2">
      <c r="A30" s="19">
        <v>28</v>
      </c>
      <c r="B30" s="160" t="s">
        <v>24</v>
      </c>
      <c r="C30" s="18">
        <f>Summary!F31</f>
        <v>0</v>
      </c>
      <c r="D30" s="18">
        <v>0</v>
      </c>
      <c r="E30" s="18">
        <v>0</v>
      </c>
      <c r="F30" s="18">
        <v>0</v>
      </c>
      <c r="G30" s="172">
        <v>0</v>
      </c>
      <c r="I30" s="169" t="str">
        <f t="shared" si="0"/>
        <v/>
      </c>
      <c r="J30" s="170" t="str">
        <f t="shared" si="0"/>
        <v/>
      </c>
      <c r="K30" s="170" t="str">
        <f t="shared" si="0"/>
        <v/>
      </c>
      <c r="L30" s="171" t="str">
        <f t="shared" si="0"/>
        <v/>
      </c>
    </row>
    <row r="31" spans="1:12" ht="15" thickBot="1" x14ac:dyDescent="0.25">
      <c r="A31" s="22">
        <v>29</v>
      </c>
      <c r="B31" s="162" t="s">
        <v>25</v>
      </c>
      <c r="C31" s="65">
        <f>Summary!F32</f>
        <v>0</v>
      </c>
      <c r="D31" s="65">
        <v>0</v>
      </c>
      <c r="E31" s="65">
        <v>0</v>
      </c>
      <c r="F31" s="65">
        <v>0</v>
      </c>
      <c r="G31" s="173">
        <v>0</v>
      </c>
      <c r="I31" s="174" t="str">
        <f t="shared" si="0"/>
        <v/>
      </c>
      <c r="J31" s="175" t="str">
        <f t="shared" si="0"/>
        <v/>
      </c>
      <c r="K31" s="175" t="str">
        <f t="shared" si="0"/>
        <v/>
      </c>
      <c r="L31" s="176" t="str">
        <f t="shared" si="0"/>
        <v/>
      </c>
    </row>
    <row r="32" spans="1:12" x14ac:dyDescent="0.2">
      <c r="B32" s="13" t="s">
        <v>949</v>
      </c>
      <c r="C32" s="62">
        <f t="shared" ref="C32" si="1">AVERAGE(C4:C31)</f>
        <v>6.9428571428571448</v>
      </c>
      <c r="D32" s="62">
        <f t="shared" ref="D32:G32" si="2">AVERAGE(D4:D31)</f>
        <v>7.007142857142858</v>
      </c>
      <c r="E32" s="62">
        <f t="shared" si="2"/>
        <v>7.0107142857142861</v>
      </c>
      <c r="F32" s="62">
        <f t="shared" si="2"/>
        <v>7.017142857142856</v>
      </c>
      <c r="G32" s="62">
        <f t="shared" si="2"/>
        <v>6.5617857142857163</v>
      </c>
      <c r="I32" s="138">
        <f t="shared" ref="I32:L34" si="3">IFERROR(C32/D32-1,"")</f>
        <v>-9.1743119266053386E-3</v>
      </c>
      <c r="J32" s="138">
        <f t="shared" si="3"/>
        <v>-5.0942435048384471E-4</v>
      </c>
      <c r="K32" s="138">
        <f t="shared" si="3"/>
        <v>-9.1612377850136539E-4</v>
      </c>
      <c r="L32" s="138">
        <f t="shared" si="3"/>
        <v>6.9395308332879324E-2</v>
      </c>
    </row>
    <row r="33" spans="2:12" x14ac:dyDescent="0.2">
      <c r="B33" s="13" t="s">
        <v>950</v>
      </c>
      <c r="C33" s="139">
        <f t="shared" ref="C33" si="4">MEDIAN(C4:C31)</f>
        <v>6.995000000000001</v>
      </c>
      <c r="D33" s="139">
        <f t="shared" ref="D33:G33" si="5">MEDIAN(D4:D31)</f>
        <v>6.9049999999999994</v>
      </c>
      <c r="E33" s="139">
        <f t="shared" si="5"/>
        <v>6.6899999999999995</v>
      </c>
      <c r="F33" s="139">
        <f t="shared" si="5"/>
        <v>6.6899999999999995</v>
      </c>
      <c r="G33" s="139">
        <f t="shared" si="5"/>
        <v>6.32</v>
      </c>
      <c r="I33" s="138">
        <f t="shared" si="3"/>
        <v>1.3034033309196502E-2</v>
      </c>
      <c r="J33" s="138">
        <f t="shared" si="3"/>
        <v>3.2137518684603794E-2</v>
      </c>
      <c r="K33" s="138">
        <f t="shared" si="3"/>
        <v>0</v>
      </c>
      <c r="L33" s="138">
        <f t="shared" si="3"/>
        <v>5.8544303797468222E-2</v>
      </c>
    </row>
    <row r="34" spans="2:12" x14ac:dyDescent="0.2">
      <c r="B34" s="13" t="s">
        <v>1021</v>
      </c>
      <c r="C34" s="62">
        <f t="shared" ref="C34" si="6">STDEV(C4:C31)</f>
        <v>2.7509807774855881</v>
      </c>
      <c r="D34" s="62">
        <f t="shared" ref="D34:G34" si="7">STDEV(D4:D31)</f>
        <v>2.6772025990973756</v>
      </c>
      <c r="E34" s="62">
        <f t="shared" si="7"/>
        <v>3.0868057666898725</v>
      </c>
      <c r="F34" s="62">
        <f t="shared" si="7"/>
        <v>3.4645515525558972</v>
      </c>
      <c r="G34" s="62">
        <f t="shared" si="7"/>
        <v>3.252536393250347</v>
      </c>
      <c r="I34" s="138">
        <f t="shared" si="3"/>
        <v>2.7557936187977417E-2</v>
      </c>
      <c r="J34" s="138">
        <f t="shared" si="3"/>
        <v>-0.13269483036884877</v>
      </c>
      <c r="K34" s="138">
        <f t="shared" si="3"/>
        <v>-0.10903165391992831</v>
      </c>
      <c r="L34" s="138">
        <f t="shared" si="3"/>
        <v>6.5184561730200263E-2</v>
      </c>
    </row>
  </sheetData>
  <pageMargins left="0.25" right="0.25" top="0.25" bottom="0.2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7"/>
  <sheetViews>
    <sheetView showGridLines="0" zoomScale="70" zoomScaleNormal="70" workbookViewId="0">
      <pane xSplit="1" ySplit="3" topLeftCell="B4" activePane="bottomRight" state="frozen"/>
      <selection pane="topRight"/>
      <selection pane="bottomLeft"/>
      <selection pane="bottomRight"/>
    </sheetView>
  </sheetViews>
  <sheetFormatPr defaultRowHeight="15" x14ac:dyDescent="0.25"/>
  <cols>
    <col min="1" max="1" width="37.5703125" customWidth="1"/>
    <col min="2" max="2" width="22.7109375" style="66" customWidth="1"/>
    <col min="3" max="3" width="12.5703125" bestFit="1" customWidth="1"/>
    <col min="4" max="4" width="19.28515625" customWidth="1"/>
    <col min="5" max="5" width="25.5703125" customWidth="1"/>
  </cols>
  <sheetData>
    <row r="1" spans="1:5" x14ac:dyDescent="0.25">
      <c r="A1" s="126" t="str">
        <f>Summary!A1</f>
        <v>Community and Technical Colleges, Report of Fundable Operating Expenses, Fiscal Year (FY) 2003</v>
      </c>
      <c r="B1" s="126"/>
      <c r="C1" s="125"/>
      <c r="D1" s="124"/>
      <c r="E1" s="124"/>
    </row>
    <row r="2" spans="1:5" ht="15.75" thickBot="1" x14ac:dyDescent="0.3">
      <c r="A2" s="127" t="s">
        <v>1023</v>
      </c>
      <c r="B2" s="127"/>
      <c r="C2" s="124"/>
      <c r="D2" s="124"/>
      <c r="E2" s="124"/>
    </row>
    <row r="3" spans="1:5" ht="44.25" thickBot="1" x14ac:dyDescent="0.3">
      <c r="A3" s="120" t="s">
        <v>946</v>
      </c>
      <c r="B3" s="123" t="s">
        <v>1027</v>
      </c>
      <c r="C3" s="123" t="s">
        <v>1017</v>
      </c>
      <c r="D3" s="123" t="s">
        <v>1018</v>
      </c>
      <c r="E3" s="122" t="s">
        <v>1019</v>
      </c>
    </row>
    <row r="4" spans="1:5" x14ac:dyDescent="0.25">
      <c r="A4" s="121" t="s">
        <v>1074</v>
      </c>
      <c r="B4" s="104">
        <v>937642</v>
      </c>
      <c r="C4" s="128">
        <f>B4/30</f>
        <v>31254.733333333334</v>
      </c>
      <c r="D4" s="129">
        <f>'1'!$E$33</f>
        <v>142445584.00001001</v>
      </c>
      <c r="E4" s="130">
        <f>IFERROR(D4/C4,"")</f>
        <v>4557.5683683114667</v>
      </c>
    </row>
    <row r="5" spans="1:5" x14ac:dyDescent="0.25">
      <c r="A5" s="93" t="s">
        <v>1028</v>
      </c>
      <c r="B5" s="103">
        <v>99534</v>
      </c>
      <c r="C5" s="131">
        <f t="shared" ref="C5:C60" si="0">B5/30</f>
        <v>3317.8</v>
      </c>
      <c r="D5" s="131">
        <f>'2'!$E$33</f>
        <v>16388766</v>
      </c>
      <c r="E5" s="132">
        <f t="shared" ref="E5:E61" si="1">IFERROR(D5/C5,"")</f>
        <v>4939.6485623003191</v>
      </c>
    </row>
    <row r="6" spans="1:5" x14ac:dyDescent="0.25">
      <c r="A6" s="93" t="s">
        <v>1038</v>
      </c>
      <c r="B6" s="103">
        <v>176266</v>
      </c>
      <c r="C6" s="131">
        <f t="shared" si="0"/>
        <v>5875.5333333333338</v>
      </c>
      <c r="D6" s="131">
        <f>'3'!$E$33</f>
        <v>30374840</v>
      </c>
      <c r="E6" s="132">
        <f t="shared" si="1"/>
        <v>5169.7162243427547</v>
      </c>
    </row>
    <row r="7" spans="1:5" x14ac:dyDescent="0.25">
      <c r="A7" s="93" t="s">
        <v>1039</v>
      </c>
      <c r="B7" s="103">
        <v>104820</v>
      </c>
      <c r="C7" s="131">
        <f t="shared" si="0"/>
        <v>3494</v>
      </c>
      <c r="D7" s="131">
        <f>'4'!$E$33</f>
        <v>11784710</v>
      </c>
      <c r="E7" s="132">
        <f t="shared" si="1"/>
        <v>3372.8420148826558</v>
      </c>
    </row>
    <row r="8" spans="1:5" x14ac:dyDescent="0.25">
      <c r="A8" s="93" t="s">
        <v>1029</v>
      </c>
      <c r="B8" s="103">
        <v>576968</v>
      </c>
      <c r="C8" s="131">
        <f t="shared" si="0"/>
        <v>19232.266666666666</v>
      </c>
      <c r="D8" s="131">
        <f>'5'!$E$33</f>
        <v>90033990.999999985</v>
      </c>
      <c r="E8" s="132">
        <f t="shared" si="1"/>
        <v>4681.40300675254</v>
      </c>
    </row>
    <row r="9" spans="1:5" x14ac:dyDescent="0.25">
      <c r="A9" s="93" t="s">
        <v>1040</v>
      </c>
      <c r="B9" s="103">
        <v>313619</v>
      </c>
      <c r="C9" s="131">
        <f t="shared" si="0"/>
        <v>10453.966666666667</v>
      </c>
      <c r="D9" s="133">
        <f>'6'!$E$33</f>
        <v>31537669</v>
      </c>
      <c r="E9" s="134">
        <f t="shared" si="1"/>
        <v>3016.8136177973911</v>
      </c>
    </row>
    <row r="10" spans="1:5" x14ac:dyDescent="0.25">
      <c r="A10" s="93" t="s">
        <v>1041</v>
      </c>
      <c r="B10" s="103">
        <v>69794</v>
      </c>
      <c r="C10" s="131">
        <f t="shared" si="0"/>
        <v>2326.4666666666667</v>
      </c>
      <c r="D10" s="133">
        <f>'7'!$E$33</f>
        <v>11264114</v>
      </c>
      <c r="E10" s="134">
        <f t="shared" si="1"/>
        <v>4841.725936326905</v>
      </c>
    </row>
    <row r="11" spans="1:5" x14ac:dyDescent="0.25">
      <c r="A11" s="93" t="s">
        <v>1075</v>
      </c>
      <c r="B11" s="103">
        <v>233899</v>
      </c>
      <c r="C11" s="131">
        <f t="shared" si="0"/>
        <v>7796.6333333333332</v>
      </c>
      <c r="D11" s="131">
        <f>'8'!$E$33</f>
        <v>28479939.999999996</v>
      </c>
      <c r="E11" s="132">
        <f t="shared" si="1"/>
        <v>3652.8510168919061</v>
      </c>
    </row>
    <row r="12" spans="1:5" x14ac:dyDescent="0.25">
      <c r="A12" s="93" t="s">
        <v>1032</v>
      </c>
      <c r="B12" s="103">
        <v>65749</v>
      </c>
      <c r="C12" s="131">
        <f t="shared" si="0"/>
        <v>2191.6333333333332</v>
      </c>
      <c r="D12" s="133">
        <f>'9'!$E$33</f>
        <v>5709200</v>
      </c>
      <c r="E12" s="134">
        <f t="shared" si="1"/>
        <v>2604.9977946432646</v>
      </c>
    </row>
    <row r="13" spans="1:5" x14ac:dyDescent="0.25">
      <c r="A13" s="93" t="s">
        <v>1042</v>
      </c>
      <c r="B13" s="103">
        <v>20192</v>
      </c>
      <c r="C13" s="131">
        <f t="shared" si="0"/>
        <v>673.06666666666672</v>
      </c>
      <c r="D13" s="131">
        <f>'10'!$E$33</f>
        <v>2960451</v>
      </c>
      <c r="E13" s="132">
        <f t="shared" si="1"/>
        <v>4398.4513668779709</v>
      </c>
    </row>
    <row r="14" spans="1:5" x14ac:dyDescent="0.25">
      <c r="A14" s="93" t="s">
        <v>1043</v>
      </c>
      <c r="B14" s="103">
        <v>77831</v>
      </c>
      <c r="C14" s="131">
        <f t="shared" si="0"/>
        <v>2594.3666666666668</v>
      </c>
      <c r="D14" s="131">
        <f>'11'!$E$33</f>
        <v>10871274</v>
      </c>
      <c r="E14" s="132">
        <f t="shared" si="1"/>
        <v>4190.3382970795692</v>
      </c>
    </row>
    <row r="15" spans="1:5" x14ac:dyDescent="0.25">
      <c r="A15" s="93" t="s">
        <v>938</v>
      </c>
      <c r="B15" s="102">
        <v>77885</v>
      </c>
      <c r="C15" s="131">
        <f t="shared" si="0"/>
        <v>2596.1666666666665</v>
      </c>
      <c r="D15" s="133">
        <f>'12'!$E$33</f>
        <v>16899288.000000004</v>
      </c>
      <c r="E15" s="134">
        <f t="shared" si="1"/>
        <v>6509.3232329716911</v>
      </c>
    </row>
    <row r="16" spans="1:5" x14ac:dyDescent="0.25">
      <c r="A16" s="93" t="s">
        <v>1066</v>
      </c>
      <c r="B16" s="102">
        <v>319356</v>
      </c>
      <c r="C16" s="131">
        <f t="shared" si="0"/>
        <v>10645.2</v>
      </c>
      <c r="D16" s="133">
        <f>'13'!$E$33</f>
        <v>44821329.000000007</v>
      </c>
      <c r="E16" s="134">
        <f t="shared" si="1"/>
        <v>4210.4731710066517</v>
      </c>
    </row>
    <row r="17" spans="1:5" x14ac:dyDescent="0.25">
      <c r="A17" s="93" t="s">
        <v>1067</v>
      </c>
      <c r="B17" s="103">
        <v>1127974</v>
      </c>
      <c r="C17" s="131">
        <f t="shared" si="0"/>
        <v>37599.133333333331</v>
      </c>
      <c r="D17" s="133">
        <f>'14'!$E$33</f>
        <v>182292145.99999997</v>
      </c>
      <c r="E17" s="134">
        <f t="shared" si="1"/>
        <v>4848.3071241003772</v>
      </c>
    </row>
    <row r="18" spans="1:5" x14ac:dyDescent="0.25">
      <c r="A18" s="93" t="s">
        <v>1044</v>
      </c>
      <c r="B18" s="103">
        <v>222402</v>
      </c>
      <c r="C18" s="131">
        <f t="shared" si="0"/>
        <v>7413.4</v>
      </c>
      <c r="D18" s="131">
        <f>'15'!$E$33</f>
        <v>45788300.000000007</v>
      </c>
      <c r="E18" s="132">
        <f t="shared" si="1"/>
        <v>6176.4237731675084</v>
      </c>
    </row>
    <row r="19" spans="1:5" x14ac:dyDescent="0.25">
      <c r="A19" s="92" t="s">
        <v>1068</v>
      </c>
      <c r="B19" s="103">
        <v>422079</v>
      </c>
      <c r="C19" s="131">
        <f t="shared" si="0"/>
        <v>14069.3</v>
      </c>
      <c r="D19" s="131">
        <f>'16'!$E$33</f>
        <v>62585427</v>
      </c>
      <c r="E19" s="132">
        <f t="shared" si="1"/>
        <v>4448.3682201673146</v>
      </c>
    </row>
    <row r="20" spans="1:5" x14ac:dyDescent="0.25">
      <c r="A20" s="93" t="s">
        <v>1045</v>
      </c>
      <c r="B20" s="103">
        <v>26266</v>
      </c>
      <c r="C20" s="131">
        <f t="shared" si="0"/>
        <v>875.5333333333333</v>
      </c>
      <c r="D20" s="131">
        <f>'17'!$E$33</f>
        <v>4835882.9999999991</v>
      </c>
      <c r="E20" s="132">
        <f t="shared" si="1"/>
        <v>5523.3568110865754</v>
      </c>
    </row>
    <row r="21" spans="1:5" x14ac:dyDescent="0.25">
      <c r="A21" s="93" t="s">
        <v>1046</v>
      </c>
      <c r="B21" s="103">
        <v>42732</v>
      </c>
      <c r="C21" s="131">
        <f t="shared" si="0"/>
        <v>1424.4</v>
      </c>
      <c r="D21" s="131">
        <f>'18'!$E$33</f>
        <v>9697114</v>
      </c>
      <c r="E21" s="132">
        <f t="shared" si="1"/>
        <v>6807.8587475428249</v>
      </c>
    </row>
    <row r="22" spans="1:5" x14ac:dyDescent="0.25">
      <c r="A22" s="93" t="s">
        <v>1076</v>
      </c>
      <c r="B22" s="103">
        <v>79353</v>
      </c>
      <c r="C22" s="131">
        <f t="shared" si="0"/>
        <v>2645.1</v>
      </c>
      <c r="D22" s="131">
        <f>'19'!$E$33</f>
        <v>9836812</v>
      </c>
      <c r="E22" s="132">
        <f t="shared" si="1"/>
        <v>3718.8809496805416</v>
      </c>
    </row>
    <row r="23" spans="1:5" x14ac:dyDescent="0.25">
      <c r="A23" s="93" t="s">
        <v>1047</v>
      </c>
      <c r="B23" s="103">
        <v>64451</v>
      </c>
      <c r="C23" s="131">
        <f t="shared" si="0"/>
        <v>2148.3666666666668</v>
      </c>
      <c r="D23" s="131">
        <f>'20'!$E$33</f>
        <v>7715563.0000000009</v>
      </c>
      <c r="E23" s="132">
        <f t="shared" si="1"/>
        <v>3591.3622752168317</v>
      </c>
    </row>
    <row r="24" spans="1:5" x14ac:dyDescent="0.25">
      <c r="A24" s="93" t="s">
        <v>1069</v>
      </c>
      <c r="B24" s="103">
        <v>777341</v>
      </c>
      <c r="C24" s="131">
        <f t="shared" si="0"/>
        <v>25911.366666666665</v>
      </c>
      <c r="D24" s="131">
        <f>'21'!$E$33</f>
        <v>150084471.99999997</v>
      </c>
      <c r="E24" s="132">
        <f t="shared" si="1"/>
        <v>5792.2252396309977</v>
      </c>
    </row>
    <row r="25" spans="1:5" x14ac:dyDescent="0.25">
      <c r="A25" s="93" t="s">
        <v>1048</v>
      </c>
      <c r="B25" s="103">
        <v>56174</v>
      </c>
      <c r="C25" s="131">
        <f t="shared" si="0"/>
        <v>1872.4666666666667</v>
      </c>
      <c r="D25" s="133">
        <f>'22'!$E$33</f>
        <v>13649317</v>
      </c>
      <c r="E25" s="134">
        <f t="shared" si="1"/>
        <v>7289.484637020686</v>
      </c>
    </row>
    <row r="26" spans="1:5" x14ac:dyDescent="0.25">
      <c r="A26" s="93" t="s">
        <v>1049</v>
      </c>
      <c r="B26" s="103">
        <v>108677</v>
      </c>
      <c r="C26" s="131">
        <f t="shared" si="0"/>
        <v>3622.5666666666666</v>
      </c>
      <c r="D26" s="133">
        <f>'23'!$E$33</f>
        <v>16036109.000000002</v>
      </c>
      <c r="E26" s="134">
        <f t="shared" si="1"/>
        <v>4426.7257101318592</v>
      </c>
    </row>
    <row r="27" spans="1:5" x14ac:dyDescent="0.25">
      <c r="A27" s="93" t="s">
        <v>1033</v>
      </c>
      <c r="B27" s="103">
        <v>158108</v>
      </c>
      <c r="C27" s="131">
        <f t="shared" si="0"/>
        <v>5270.2666666666664</v>
      </c>
      <c r="D27" s="131">
        <f>'24'!$E$33</f>
        <v>24781082.999999996</v>
      </c>
      <c r="E27" s="132">
        <f t="shared" si="1"/>
        <v>4702.0548612340926</v>
      </c>
    </row>
    <row r="28" spans="1:5" x14ac:dyDescent="0.25">
      <c r="A28" s="93" t="s">
        <v>1050</v>
      </c>
      <c r="B28" s="103">
        <v>129653</v>
      </c>
      <c r="C28" s="131">
        <f t="shared" si="0"/>
        <v>4321.7666666666664</v>
      </c>
      <c r="D28" s="133">
        <f>'25'!$E$33</f>
        <v>22440330</v>
      </c>
      <c r="E28" s="134">
        <f t="shared" si="1"/>
        <v>5192.3973992117426</v>
      </c>
    </row>
    <row r="29" spans="1:5" x14ac:dyDescent="0.25">
      <c r="A29" s="92" t="s">
        <v>1051</v>
      </c>
      <c r="B29" s="102">
        <v>625611</v>
      </c>
      <c r="C29" s="131">
        <f t="shared" si="0"/>
        <v>20853.7</v>
      </c>
      <c r="D29" s="133">
        <f>'26'!$E$33</f>
        <v>95199422</v>
      </c>
      <c r="E29" s="134">
        <f t="shared" si="1"/>
        <v>4565.1094050456277</v>
      </c>
    </row>
    <row r="30" spans="1:5" x14ac:dyDescent="0.25">
      <c r="A30" s="93" t="s">
        <v>1030</v>
      </c>
      <c r="B30" s="103">
        <v>153965</v>
      </c>
      <c r="C30" s="131">
        <f t="shared" si="0"/>
        <v>5132.166666666667</v>
      </c>
      <c r="D30" s="133">
        <f>'27'!$E$33</f>
        <v>21526572.999999993</v>
      </c>
      <c r="E30" s="134">
        <f t="shared" si="1"/>
        <v>4194.4415289189083</v>
      </c>
    </row>
    <row r="31" spans="1:5" x14ac:dyDescent="0.25">
      <c r="A31" s="93" t="s">
        <v>1052</v>
      </c>
      <c r="B31" s="103">
        <v>104040</v>
      </c>
      <c r="C31" s="131">
        <f t="shared" si="0"/>
        <v>3468</v>
      </c>
      <c r="D31" s="133">
        <f>'28'!$E$33</f>
        <v>18714675</v>
      </c>
      <c r="E31" s="134">
        <f t="shared" si="1"/>
        <v>5396.3884083044986</v>
      </c>
    </row>
    <row r="32" spans="1:5" x14ac:dyDescent="0.25">
      <c r="A32" s="93" t="s">
        <v>1053</v>
      </c>
      <c r="B32" s="103">
        <v>121632</v>
      </c>
      <c r="C32" s="131">
        <f t="shared" si="0"/>
        <v>4054.4</v>
      </c>
      <c r="D32" s="133">
        <f>'29'!$E$33</f>
        <v>13432087.999999996</v>
      </c>
      <c r="E32" s="134">
        <f t="shared" si="1"/>
        <v>3312.9656669297542</v>
      </c>
    </row>
    <row r="33" spans="1:5" x14ac:dyDescent="0.25">
      <c r="A33" s="93" t="s">
        <v>1054</v>
      </c>
      <c r="B33" s="103">
        <v>122817</v>
      </c>
      <c r="C33" s="131">
        <f t="shared" si="0"/>
        <v>4093.9</v>
      </c>
      <c r="D33" s="131">
        <f>'30'!$E$33</f>
        <v>10944802.000000002</v>
      </c>
      <c r="E33" s="132">
        <f t="shared" si="1"/>
        <v>2673.4414616869003</v>
      </c>
    </row>
    <row r="34" spans="1:5" x14ac:dyDescent="0.25">
      <c r="A34" s="93" t="s">
        <v>1031</v>
      </c>
      <c r="B34" s="103">
        <v>54488</v>
      </c>
      <c r="C34" s="131">
        <f t="shared" si="0"/>
        <v>1816.2666666666667</v>
      </c>
      <c r="D34" s="131">
        <f>'31'!$E$33</f>
        <v>7044285</v>
      </c>
      <c r="E34" s="132">
        <f t="shared" si="1"/>
        <v>3878.4420422845396</v>
      </c>
    </row>
    <row r="35" spans="1:5" x14ac:dyDescent="0.25">
      <c r="A35" s="93" t="s">
        <v>1055</v>
      </c>
      <c r="B35" s="102">
        <v>101046</v>
      </c>
      <c r="C35" s="131">
        <f t="shared" si="0"/>
        <v>3368.2</v>
      </c>
      <c r="D35" s="131">
        <f>'32'!$E$33</f>
        <v>15638498.000000002</v>
      </c>
      <c r="E35" s="132">
        <f t="shared" si="1"/>
        <v>4642.9837895611909</v>
      </c>
    </row>
    <row r="36" spans="1:5" x14ac:dyDescent="0.25">
      <c r="A36" s="93" t="s">
        <v>1056</v>
      </c>
      <c r="B36" s="103">
        <v>40517</v>
      </c>
      <c r="C36" s="131">
        <f t="shared" si="0"/>
        <v>1350.5666666666666</v>
      </c>
      <c r="D36" s="131">
        <f>'33'!$E$33</f>
        <v>7648703</v>
      </c>
      <c r="E36" s="132">
        <f t="shared" si="1"/>
        <v>5663.3287262136882</v>
      </c>
    </row>
    <row r="37" spans="1:5" x14ac:dyDescent="0.25">
      <c r="A37" s="93" t="s">
        <v>1034</v>
      </c>
      <c r="B37" s="102">
        <v>80121</v>
      </c>
      <c r="C37" s="131">
        <f t="shared" si="0"/>
        <v>2670.7</v>
      </c>
      <c r="D37" s="131">
        <f>'34'!$E$33</f>
        <v>13377921.000000002</v>
      </c>
      <c r="E37" s="132">
        <f t="shared" si="1"/>
        <v>5009.1440446324941</v>
      </c>
    </row>
    <row r="38" spans="1:5" x14ac:dyDescent="0.25">
      <c r="A38" s="93" t="s">
        <v>1057</v>
      </c>
      <c r="B38" s="102">
        <v>20490</v>
      </c>
      <c r="C38" s="131">
        <f t="shared" si="0"/>
        <v>683</v>
      </c>
      <c r="D38" s="131">
        <f>'35'!$E$33</f>
        <v>2698348</v>
      </c>
      <c r="E38" s="132">
        <f t="shared" si="1"/>
        <v>3950.7291361639823</v>
      </c>
    </row>
    <row r="39" spans="1:5" x14ac:dyDescent="0.25">
      <c r="A39" s="93" t="s">
        <v>1070</v>
      </c>
      <c r="B39" s="103">
        <v>456117</v>
      </c>
      <c r="C39" s="131">
        <f t="shared" si="0"/>
        <v>15203.9</v>
      </c>
      <c r="D39" s="131">
        <f>'36'!$E$33</f>
        <v>68488942</v>
      </c>
      <c r="E39" s="132">
        <f t="shared" si="1"/>
        <v>4504.6956373035864</v>
      </c>
    </row>
    <row r="40" spans="1:5" x14ac:dyDescent="0.25">
      <c r="A40" s="93" t="s">
        <v>1058</v>
      </c>
      <c r="B40" s="102">
        <v>192571</v>
      </c>
      <c r="C40" s="131">
        <f t="shared" si="0"/>
        <v>6419.0333333333338</v>
      </c>
      <c r="D40" s="133">
        <f>'37'!$E$33</f>
        <v>23387310.000000004</v>
      </c>
      <c r="E40" s="134">
        <f t="shared" si="1"/>
        <v>3643.431773216113</v>
      </c>
    </row>
    <row r="41" spans="1:5" x14ac:dyDescent="0.25">
      <c r="A41" s="93" t="s">
        <v>1059</v>
      </c>
      <c r="B41" s="102">
        <v>303465</v>
      </c>
      <c r="C41" s="131">
        <f t="shared" si="0"/>
        <v>10115.5</v>
      </c>
      <c r="D41" s="133">
        <f>'38'!$E$33</f>
        <v>42436094.999999993</v>
      </c>
      <c r="E41" s="134">
        <f t="shared" si="1"/>
        <v>4195.1554545005183</v>
      </c>
    </row>
    <row r="42" spans="1:5" x14ac:dyDescent="0.25">
      <c r="A42" s="93" t="s">
        <v>1035</v>
      </c>
      <c r="B42" s="102">
        <v>88349</v>
      </c>
      <c r="C42" s="131">
        <f t="shared" si="0"/>
        <v>2944.9666666666667</v>
      </c>
      <c r="D42" s="133">
        <f>'39'!$E$33</f>
        <v>12560512</v>
      </c>
      <c r="E42" s="134">
        <f t="shared" si="1"/>
        <v>4265.0778163872819</v>
      </c>
    </row>
    <row r="43" spans="1:5" x14ac:dyDescent="0.25">
      <c r="A43" s="93" t="s">
        <v>1071</v>
      </c>
      <c r="B43" s="102">
        <v>637769</v>
      </c>
      <c r="C43" s="131">
        <f t="shared" si="0"/>
        <v>21258.966666666667</v>
      </c>
      <c r="D43" s="133">
        <f>'40'!$E$33</f>
        <v>88881669.999999985</v>
      </c>
      <c r="E43" s="134">
        <f t="shared" si="1"/>
        <v>4180.9026465695251</v>
      </c>
    </row>
    <row r="44" spans="1:5" x14ac:dyDescent="0.25">
      <c r="A44" s="93" t="s">
        <v>1036</v>
      </c>
      <c r="B44" s="102">
        <v>72844</v>
      </c>
      <c r="C44" s="131">
        <f t="shared" si="0"/>
        <v>2428.1333333333332</v>
      </c>
      <c r="D44" s="133">
        <f>'41'!$E$33</f>
        <v>11505858</v>
      </c>
      <c r="E44" s="134">
        <f t="shared" si="1"/>
        <v>4738.5610345395644</v>
      </c>
    </row>
    <row r="45" spans="1:5" x14ac:dyDescent="0.25">
      <c r="A45" s="93" t="s">
        <v>1060</v>
      </c>
      <c r="B45" s="102">
        <v>78825</v>
      </c>
      <c r="C45" s="131">
        <f t="shared" si="0"/>
        <v>2627.5</v>
      </c>
      <c r="D45" s="133">
        <f>'42'!$E$33</f>
        <v>13071569</v>
      </c>
      <c r="E45" s="134">
        <f t="shared" si="1"/>
        <v>4974.9073263558512</v>
      </c>
    </row>
    <row r="46" spans="1:5" x14ac:dyDescent="0.25">
      <c r="A46" s="93" t="s">
        <v>1061</v>
      </c>
      <c r="B46" s="102">
        <v>165724</v>
      </c>
      <c r="C46" s="131">
        <f t="shared" si="0"/>
        <v>5524.1333333333332</v>
      </c>
      <c r="D46" s="133">
        <f>'43'!$E$33</f>
        <v>26810376.999999993</v>
      </c>
      <c r="E46" s="134">
        <f t="shared" si="1"/>
        <v>4853.3182278969844</v>
      </c>
    </row>
    <row r="47" spans="1:5" x14ac:dyDescent="0.25">
      <c r="A47" s="93" t="s">
        <v>1072</v>
      </c>
      <c r="B47" s="102">
        <v>129129</v>
      </c>
      <c r="C47" s="131">
        <f t="shared" si="0"/>
        <v>4304.3</v>
      </c>
      <c r="D47" s="133">
        <f>'44'!$E$33</f>
        <v>14988809.999999998</v>
      </c>
      <c r="E47" s="134">
        <f t="shared" si="1"/>
        <v>3482.287479961898</v>
      </c>
    </row>
    <row r="48" spans="1:5" x14ac:dyDescent="0.25">
      <c r="A48" s="93" t="s">
        <v>1037</v>
      </c>
      <c r="B48" s="102">
        <v>208883</v>
      </c>
      <c r="C48" s="131">
        <f t="shared" si="0"/>
        <v>6962.7666666666664</v>
      </c>
      <c r="D48" s="133">
        <f>'45'!$E$33</f>
        <v>26888894.999999996</v>
      </c>
      <c r="E48" s="134">
        <f t="shared" si="1"/>
        <v>3861.8118755475548</v>
      </c>
    </row>
    <row r="49" spans="1:5" x14ac:dyDescent="0.25">
      <c r="A49" s="93" t="s">
        <v>1062</v>
      </c>
      <c r="B49" s="102">
        <v>59075</v>
      </c>
      <c r="C49" s="131">
        <f t="shared" si="0"/>
        <v>1969.1666666666667</v>
      </c>
      <c r="D49" s="133">
        <f>'46'!$E$33</f>
        <v>7831299</v>
      </c>
      <c r="E49" s="134">
        <f t="shared" si="1"/>
        <v>3976.960981802793</v>
      </c>
    </row>
    <row r="50" spans="1:5" x14ac:dyDescent="0.25">
      <c r="A50" s="93" t="s">
        <v>1063</v>
      </c>
      <c r="B50" s="102">
        <v>78595</v>
      </c>
      <c r="C50" s="131">
        <f t="shared" si="0"/>
        <v>2619.8333333333335</v>
      </c>
      <c r="D50" s="133">
        <f>'47'!$E$33</f>
        <v>12605215.000000002</v>
      </c>
      <c r="E50" s="134">
        <f t="shared" si="1"/>
        <v>4811.4568356765703</v>
      </c>
    </row>
    <row r="51" spans="1:5" x14ac:dyDescent="0.25">
      <c r="A51" s="93" t="s">
        <v>1064</v>
      </c>
      <c r="B51" s="102">
        <v>79421</v>
      </c>
      <c r="C51" s="131">
        <f t="shared" si="0"/>
        <v>2647.3666666666668</v>
      </c>
      <c r="D51" s="133">
        <f>'48'!$E$33</f>
        <v>11934437</v>
      </c>
      <c r="E51" s="134">
        <f t="shared" si="1"/>
        <v>4508.0408204379191</v>
      </c>
    </row>
    <row r="52" spans="1:5" x14ac:dyDescent="0.25">
      <c r="A52" s="93" t="s">
        <v>1065</v>
      </c>
      <c r="B52" s="102">
        <v>30712</v>
      </c>
      <c r="C52" s="131">
        <f t="shared" si="0"/>
        <v>1023.7333333333333</v>
      </c>
      <c r="D52" s="133">
        <f>'49'!$E$33</f>
        <v>5189446</v>
      </c>
      <c r="E52" s="134">
        <f t="shared" si="1"/>
        <v>5069.1384475123732</v>
      </c>
    </row>
    <row r="53" spans="1:5" x14ac:dyDescent="0.25">
      <c r="A53" s="93" t="s">
        <v>1073</v>
      </c>
      <c r="B53" s="102">
        <v>124368</v>
      </c>
      <c r="C53" s="131">
        <f t="shared" si="0"/>
        <v>4145.6000000000004</v>
      </c>
      <c r="D53" s="133">
        <f>'50'!$E$33</f>
        <v>18066033</v>
      </c>
      <c r="E53" s="134">
        <f t="shared" si="1"/>
        <v>4357.8813681976071</v>
      </c>
    </row>
    <row r="54" spans="1:5" x14ac:dyDescent="0.25">
      <c r="A54" s="91" t="s">
        <v>939</v>
      </c>
      <c r="B54" s="102">
        <v>105916</v>
      </c>
      <c r="C54" s="131">
        <f t="shared" si="0"/>
        <v>3530.5333333333333</v>
      </c>
      <c r="D54" s="133">
        <f>'51'!$E$33</f>
        <v>18130551</v>
      </c>
      <c r="E54" s="134">
        <f t="shared" si="1"/>
        <v>5135.3575474904646</v>
      </c>
    </row>
    <row r="55" spans="1:5" x14ac:dyDescent="0.25">
      <c r="A55" s="91" t="s">
        <v>940</v>
      </c>
      <c r="B55" s="102">
        <v>51489</v>
      </c>
      <c r="C55" s="131">
        <f t="shared" si="0"/>
        <v>1716.3</v>
      </c>
      <c r="D55" s="133">
        <f>'52'!$E$33</f>
        <v>11967327.000000002</v>
      </c>
      <c r="E55" s="134">
        <f t="shared" si="1"/>
        <v>6972.747771368643</v>
      </c>
    </row>
    <row r="56" spans="1:5" x14ac:dyDescent="0.25">
      <c r="A56" s="91" t="s">
        <v>941</v>
      </c>
      <c r="B56" s="102">
        <v>18238</v>
      </c>
      <c r="C56" s="131">
        <f t="shared" si="0"/>
        <v>607.93333333333328</v>
      </c>
      <c r="D56" s="133">
        <f>'53'!$E$33</f>
        <v>4718585.0000000009</v>
      </c>
      <c r="E56" s="134">
        <f t="shared" si="1"/>
        <v>7761.6816536900997</v>
      </c>
    </row>
    <row r="57" spans="1:5" x14ac:dyDescent="0.25">
      <c r="A57" s="91" t="s">
        <v>942</v>
      </c>
      <c r="B57" s="102">
        <v>129620</v>
      </c>
      <c r="C57" s="131">
        <f t="shared" si="0"/>
        <v>4320.666666666667</v>
      </c>
      <c r="D57" s="133">
        <f>'54'!$E$33</f>
        <v>27711036</v>
      </c>
      <c r="E57" s="134">
        <f t="shared" si="1"/>
        <v>6413.601913284986</v>
      </c>
    </row>
    <row r="58" spans="1:5" x14ac:dyDescent="0.25">
      <c r="A58" s="91" t="s">
        <v>943</v>
      </c>
      <c r="B58" s="102">
        <v>53096</v>
      </c>
      <c r="C58" s="131">
        <f t="shared" si="0"/>
        <v>1769.8666666666666</v>
      </c>
      <c r="D58" s="133">
        <f>'55'!$E$33</f>
        <v>10192869.000000002</v>
      </c>
      <c r="E58" s="134">
        <f t="shared" si="1"/>
        <v>5759.1168826276944</v>
      </c>
    </row>
    <row r="59" spans="1:5" x14ac:dyDescent="0.25">
      <c r="A59" s="91" t="s">
        <v>944</v>
      </c>
      <c r="B59" s="102">
        <v>36360</v>
      </c>
      <c r="C59" s="131">
        <f t="shared" si="0"/>
        <v>1212</v>
      </c>
      <c r="D59" s="133">
        <f>'56'!$E$33</f>
        <v>5876647</v>
      </c>
      <c r="E59" s="134">
        <f t="shared" si="1"/>
        <v>4848.7186468646869</v>
      </c>
    </row>
    <row r="60" spans="1:5" x14ac:dyDescent="0.25">
      <c r="A60" s="72" t="s">
        <v>945</v>
      </c>
      <c r="B60" s="102">
        <v>52637</v>
      </c>
      <c r="C60" s="131">
        <f t="shared" si="0"/>
        <v>1754.5666666666666</v>
      </c>
      <c r="D60" s="133">
        <f>'57'!$E$33</f>
        <v>10804164.000000002</v>
      </c>
      <c r="E60" s="134">
        <f t="shared" si="1"/>
        <v>6157.7392328590167</v>
      </c>
    </row>
    <row r="61" spans="1:5" ht="30" thickBot="1" x14ac:dyDescent="0.3">
      <c r="A61" s="81" t="s">
        <v>1020</v>
      </c>
      <c r="B61" s="135">
        <f>SUMIF(D4:D60,"&gt;0",B4:B60)</f>
        <v>10866695</v>
      </c>
      <c r="C61" s="135">
        <f>B61/30</f>
        <v>362223.16666666669</v>
      </c>
      <c r="D61" s="136">
        <f>SUM(D4:D60)</f>
        <v>1673586674.00001</v>
      </c>
      <c r="E61" s="137">
        <f t="shared" si="1"/>
        <v>4620.3192617442837</v>
      </c>
    </row>
    <row r="63" spans="1:5" x14ac:dyDescent="0.25">
      <c r="D63" s="119"/>
    </row>
    <row r="87" ht="15" customHeight="1" x14ac:dyDescent="0.25"/>
  </sheetData>
  <pageMargins left="0.25" right="0.25" top="0.25" bottom="0.2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96"/>
  <sheetViews>
    <sheetView showGridLines="0" zoomScale="70" zoomScaleNormal="70" workbookViewId="0">
      <pane xSplit="1" ySplit="3" topLeftCell="B4" activePane="bottomRight" state="frozen"/>
      <selection pane="topRight"/>
      <selection pane="bottomLeft"/>
      <selection pane="bottomRight"/>
    </sheetView>
  </sheetViews>
  <sheetFormatPr defaultRowHeight="14.25" x14ac:dyDescent="0.2"/>
  <cols>
    <col min="1" max="1" width="31.5703125" style="60" customWidth="1"/>
    <col min="2" max="5" width="9.28515625" style="60" bestFit="1" customWidth="1"/>
    <col min="6" max="6" width="11.42578125" style="60" bestFit="1" customWidth="1"/>
    <col min="7" max="9" width="12.5703125" style="60" bestFit="1" customWidth="1"/>
    <col min="10" max="10" width="9.28515625" style="60" bestFit="1" customWidth="1"/>
    <col min="11" max="11" width="9.140625" style="60" bestFit="1" customWidth="1"/>
    <col min="12" max="12" width="12.5703125" style="60" bestFit="1" customWidth="1"/>
    <col min="13" max="13" width="9.28515625" style="60" bestFit="1" customWidth="1"/>
    <col min="14" max="14" width="10.28515625" style="60" bestFit="1" customWidth="1"/>
    <col min="15" max="16" width="9.140625" style="60" bestFit="1" customWidth="1"/>
    <col min="17" max="17" width="9.28515625" style="60" bestFit="1" customWidth="1"/>
    <col min="18" max="18" width="9.140625" style="60" bestFit="1" customWidth="1"/>
    <col min="19" max="19" width="11.140625" style="60" bestFit="1" customWidth="1"/>
    <col min="20" max="20" width="9.28515625" style="60" bestFit="1" customWidth="1"/>
    <col min="21" max="21" width="8.28515625" style="60" bestFit="1" customWidth="1"/>
    <col min="22" max="22" width="12.5703125" style="60" bestFit="1" customWidth="1"/>
    <col min="23" max="23" width="11.140625" style="60" bestFit="1" customWidth="1"/>
    <col min="24" max="24" width="9.28515625" style="60" bestFit="1" customWidth="1"/>
    <col min="25" max="25" width="11.140625" style="60" bestFit="1" customWidth="1"/>
    <col min="26" max="27" width="9.28515625" style="60" bestFit="1" customWidth="1"/>
    <col min="28" max="29" width="8.7109375" style="60" bestFit="1" customWidth="1"/>
    <col min="30" max="30" width="9.28515625" style="60" bestFit="1" customWidth="1"/>
    <col min="31" max="31" width="8.140625" style="60" bestFit="1" customWidth="1"/>
    <col min="32" max="37" width="9.140625" style="60"/>
    <col min="38" max="38" width="17.85546875" style="60" bestFit="1" customWidth="1"/>
    <col min="39" max="41" width="9.140625" style="60"/>
    <col min="42" max="42" width="17.85546875" style="60" bestFit="1" customWidth="1"/>
    <col min="43" max="16384" width="9.140625" style="60"/>
  </cols>
  <sheetData>
    <row r="1" spans="1:30" x14ac:dyDescent="0.2">
      <c r="A1" s="38" t="str">
        <f>Summary!A1</f>
        <v>Community and Technical Colleges, Report of Fundable Operating Expenses, Fiscal Year (FY) 2003</v>
      </c>
      <c r="B1" s="38"/>
      <c r="C1" s="38"/>
      <c r="E1" s="38"/>
      <c r="F1" s="38"/>
      <c r="G1" s="38"/>
      <c r="H1" s="38"/>
      <c r="J1" s="38"/>
      <c r="K1" s="39"/>
      <c r="L1" s="38"/>
    </row>
    <row r="2" spans="1:30" ht="15" thickBot="1" x14ac:dyDescent="0.25">
      <c r="A2" s="63" t="s">
        <v>955</v>
      </c>
    </row>
    <row r="3" spans="1:30" s="67" customFormat="1" x14ac:dyDescent="0.2">
      <c r="A3" s="26" t="s">
        <v>946</v>
      </c>
      <c r="B3" s="33" t="s">
        <v>956</v>
      </c>
      <c r="C3" s="33" t="s">
        <v>957</v>
      </c>
      <c r="D3" s="33" t="s">
        <v>986</v>
      </c>
      <c r="E3" s="33" t="s">
        <v>987</v>
      </c>
      <c r="F3" s="33" t="s">
        <v>988</v>
      </c>
      <c r="G3" s="33" t="s">
        <v>989</v>
      </c>
      <c r="H3" s="33" t="s">
        <v>990</v>
      </c>
      <c r="I3" s="33" t="s">
        <v>991</v>
      </c>
      <c r="J3" s="33" t="s">
        <v>992</v>
      </c>
      <c r="K3" s="33" t="s">
        <v>993</v>
      </c>
      <c r="L3" s="33" t="s">
        <v>995</v>
      </c>
      <c r="M3" s="33" t="s">
        <v>996</v>
      </c>
      <c r="N3" s="33" t="s">
        <v>997</v>
      </c>
      <c r="O3" s="33" t="s">
        <v>998</v>
      </c>
      <c r="P3" s="33" t="s">
        <v>999</v>
      </c>
      <c r="Q3" s="33" t="s">
        <v>1000</v>
      </c>
      <c r="R3" s="33" t="s">
        <v>1001</v>
      </c>
      <c r="S3" s="33" t="s">
        <v>1002</v>
      </c>
      <c r="T3" s="33" t="s">
        <v>1003</v>
      </c>
      <c r="U3" s="33" t="s">
        <v>1004</v>
      </c>
      <c r="V3" s="33" t="s">
        <v>1005</v>
      </c>
      <c r="W3" s="33" t="s">
        <v>1006</v>
      </c>
      <c r="X3" s="33" t="s">
        <v>1007</v>
      </c>
      <c r="Y3" s="33" t="s">
        <v>1008</v>
      </c>
      <c r="Z3" s="33" t="s">
        <v>1009</v>
      </c>
      <c r="AA3" s="33" t="s">
        <v>1010</v>
      </c>
      <c r="AB3" s="33" t="s">
        <v>1011</v>
      </c>
      <c r="AC3" s="33" t="s">
        <v>1012</v>
      </c>
      <c r="AD3" s="44" t="s">
        <v>35</v>
      </c>
    </row>
    <row r="4" spans="1:30" x14ac:dyDescent="0.2">
      <c r="A4" s="93" t="s">
        <v>1074</v>
      </c>
      <c r="B4" s="74">
        <f>'1'!$F$5</f>
        <v>5.78</v>
      </c>
      <c r="C4" s="74">
        <f>'1'!$F$6</f>
        <v>7.22</v>
      </c>
      <c r="D4" s="74">
        <f>'1'!$F$7</f>
        <v>7.47</v>
      </c>
      <c r="E4" s="74">
        <f>'1'!$F$8</f>
        <v>8.5299999999999994</v>
      </c>
      <c r="F4" s="74">
        <f>'1'!$F$9</f>
        <v>14.18</v>
      </c>
      <c r="G4" s="74">
        <f>'1'!$F$10</f>
        <v>8.26</v>
      </c>
      <c r="H4" s="74">
        <f>'1'!$F$11</f>
        <v>8.58</v>
      </c>
      <c r="I4" s="74">
        <f>'1'!$F$12</f>
        <v>8.1300000000000008</v>
      </c>
      <c r="J4" s="74">
        <f>'1'!$F$13</f>
        <v>7.65</v>
      </c>
      <c r="K4" s="74">
        <f>'1'!$F$14</f>
        <v>19.93</v>
      </c>
      <c r="L4" s="74">
        <f>'1'!$F$15</f>
        <v>14.68</v>
      </c>
      <c r="M4" s="74">
        <f>'1'!$F$16</f>
        <v>6.65</v>
      </c>
      <c r="N4" s="74">
        <f>'1'!$F$17</f>
        <v>7.91</v>
      </c>
      <c r="O4" s="74">
        <f>'1'!$F$18</f>
        <v>12.13</v>
      </c>
      <c r="P4" s="74" t="str">
        <f>'1'!$F$19</f>
        <v/>
      </c>
      <c r="Q4" s="74">
        <f>'1'!$F$20</f>
        <v>7.39</v>
      </c>
      <c r="R4" s="74">
        <f>'1'!$F$21</f>
        <v>15.14</v>
      </c>
      <c r="S4" s="74">
        <f>'1'!$F$22</f>
        <v>8.41</v>
      </c>
      <c r="T4" s="74">
        <f>'1'!$F$23</f>
        <v>6.76</v>
      </c>
      <c r="U4" s="74">
        <f>'1'!$F$24</f>
        <v>4.82</v>
      </c>
      <c r="V4" s="74">
        <f>'1'!$F$25</f>
        <v>11.88</v>
      </c>
      <c r="W4" s="74">
        <f>'1'!$F$26</f>
        <v>3.87</v>
      </c>
      <c r="X4" s="74">
        <f>'1'!$F$27</f>
        <v>8.27</v>
      </c>
      <c r="Y4" s="74">
        <f>'1'!$F$28</f>
        <v>6.52</v>
      </c>
      <c r="Z4" s="74">
        <f>'1'!$F$29</f>
        <v>6.81</v>
      </c>
      <c r="AA4" s="74">
        <f>'1'!$F$30</f>
        <v>9.4600000000000009</v>
      </c>
      <c r="AB4" s="74" t="str">
        <f>'1'!$F$31</f>
        <v/>
      </c>
      <c r="AC4" s="74" t="str">
        <f>'1'!$F$32</f>
        <v/>
      </c>
      <c r="AD4" s="95">
        <f>'1'!$F$33</f>
        <v>7.55</v>
      </c>
    </row>
    <row r="5" spans="1:30" x14ac:dyDescent="0.2">
      <c r="A5" s="93" t="s">
        <v>1028</v>
      </c>
      <c r="B5" s="73">
        <f>'2'!$F$5</f>
        <v>5.26</v>
      </c>
      <c r="C5" s="73">
        <f>'2'!$F$6</f>
        <v>7.07</v>
      </c>
      <c r="D5" s="73">
        <f>'2'!$F$7</f>
        <v>6.59</v>
      </c>
      <c r="E5" s="73">
        <f>'2'!$F$8</f>
        <v>7.42</v>
      </c>
      <c r="F5" s="73" t="str">
        <f>'2'!$F$9</f>
        <v/>
      </c>
      <c r="G5" s="73">
        <f>'2'!$F$10</f>
        <v>6.5</v>
      </c>
      <c r="H5" s="73">
        <f>'2'!$F$11</f>
        <v>6.37</v>
      </c>
      <c r="I5" s="73" t="str">
        <f>'2'!$F$12</f>
        <v/>
      </c>
      <c r="J5" s="73">
        <f>'2'!$F$13</f>
        <v>6.81</v>
      </c>
      <c r="K5" s="73" t="str">
        <f>'2'!$F$14</f>
        <v/>
      </c>
      <c r="L5" s="73">
        <f>'2'!$F$15</f>
        <v>5.45</v>
      </c>
      <c r="M5" s="73">
        <f>'2'!$F$16</f>
        <v>6.96</v>
      </c>
      <c r="N5" s="73">
        <f>'2'!$F$17</f>
        <v>7.63</v>
      </c>
      <c r="O5" s="73">
        <f>'2'!$F$18</f>
        <v>10.25</v>
      </c>
      <c r="P5" s="73" t="str">
        <f>'2'!$F$19</f>
        <v/>
      </c>
      <c r="Q5" s="73">
        <f>'2'!$F$20</f>
        <v>7.11</v>
      </c>
      <c r="R5" s="73">
        <f>'2'!$F$21</f>
        <v>11.59</v>
      </c>
      <c r="S5" s="73">
        <f>'2'!$F$22</f>
        <v>6.63</v>
      </c>
      <c r="T5" s="73">
        <f>'2'!$F$23</f>
        <v>5.84</v>
      </c>
      <c r="U5" s="73">
        <f>'2'!$F$24</f>
        <v>5.14</v>
      </c>
      <c r="V5" s="73" t="str">
        <f>'2'!$F$25</f>
        <v/>
      </c>
      <c r="W5" s="73" t="str">
        <f>'2'!$F$26</f>
        <v/>
      </c>
      <c r="X5" s="73">
        <f>'2'!$F$27</f>
        <v>7.76</v>
      </c>
      <c r="Y5" s="73">
        <f>'2'!$F$28</f>
        <v>6.05</v>
      </c>
      <c r="Z5" s="73">
        <f>'2'!$F$29</f>
        <v>6.2</v>
      </c>
      <c r="AA5" s="73">
        <f>'2'!$F$30</f>
        <v>8.5399999999999991</v>
      </c>
      <c r="AB5" s="73" t="str">
        <f>'2'!$F$31</f>
        <v/>
      </c>
      <c r="AC5" s="73" t="str">
        <f>'2'!$F$32</f>
        <v/>
      </c>
      <c r="AD5" s="94">
        <f>'2'!$F$33</f>
        <v>6.84</v>
      </c>
    </row>
    <row r="6" spans="1:30" x14ac:dyDescent="0.2">
      <c r="A6" s="93" t="s">
        <v>1038</v>
      </c>
      <c r="B6" s="73">
        <f>'3'!$F$5</f>
        <v>6.42</v>
      </c>
      <c r="C6" s="73">
        <f>'3'!$F$6</f>
        <v>6.96</v>
      </c>
      <c r="D6" s="73">
        <f>'3'!$F$7</f>
        <v>6.14</v>
      </c>
      <c r="E6" s="73">
        <f>'3'!$F$8</f>
        <v>6.8</v>
      </c>
      <c r="F6" s="73" t="str">
        <f>'3'!$F$9</f>
        <v/>
      </c>
      <c r="G6" s="73">
        <f>'3'!$F$10</f>
        <v>6.89</v>
      </c>
      <c r="H6" s="73">
        <f>'3'!$F$11</f>
        <v>6.67</v>
      </c>
      <c r="I6" s="73">
        <f>'3'!$F$12</f>
        <v>7.23</v>
      </c>
      <c r="J6" s="73">
        <f>'3'!$F$13</f>
        <v>5.74</v>
      </c>
      <c r="K6" s="73">
        <f>'3'!$F$14</f>
        <v>6.12</v>
      </c>
      <c r="L6" s="73">
        <f>'3'!$F$15</f>
        <v>6.71</v>
      </c>
      <c r="M6" s="73">
        <f>'3'!$F$16</f>
        <v>6.99</v>
      </c>
      <c r="N6" s="73">
        <f>'3'!$F$17</f>
        <v>7.09</v>
      </c>
      <c r="O6" s="73">
        <f>'3'!$F$18</f>
        <v>7.46</v>
      </c>
      <c r="P6" s="73">
        <f>'3'!$F$19</f>
        <v>7.68</v>
      </c>
      <c r="Q6" s="73">
        <f>'3'!$F$20</f>
        <v>7.6</v>
      </c>
      <c r="R6" s="73">
        <f>'3'!$F$21</f>
        <v>7.65</v>
      </c>
      <c r="S6" s="73">
        <f>'3'!$F$22</f>
        <v>7.3</v>
      </c>
      <c r="T6" s="73">
        <f>'3'!$F$23</f>
        <v>6.18</v>
      </c>
      <c r="U6" s="73">
        <f>'3'!$F$24</f>
        <v>6.97</v>
      </c>
      <c r="V6" s="73">
        <f>'3'!$F$25</f>
        <v>6.97</v>
      </c>
      <c r="W6" s="73">
        <f>'3'!$F$26</f>
        <v>6.83</v>
      </c>
      <c r="X6" s="73">
        <f>'3'!$F$27</f>
        <v>5.26</v>
      </c>
      <c r="Y6" s="73">
        <f>'3'!$F$28</f>
        <v>7.66</v>
      </c>
      <c r="Z6" s="73">
        <f>'3'!$F$29</f>
        <v>5.42</v>
      </c>
      <c r="AA6" s="73">
        <f>'3'!$F$30</f>
        <v>6.91</v>
      </c>
      <c r="AB6" s="73" t="str">
        <f>'3'!$F$31</f>
        <v/>
      </c>
      <c r="AC6" s="73" t="str">
        <f>'3'!$F$32</f>
        <v/>
      </c>
      <c r="AD6" s="94">
        <f>'3'!$F$33</f>
        <v>6.66</v>
      </c>
    </row>
    <row r="7" spans="1:30" x14ac:dyDescent="0.2">
      <c r="A7" s="93" t="s">
        <v>1039</v>
      </c>
      <c r="B7" s="73">
        <f>'4'!$F$5</f>
        <v>3.38</v>
      </c>
      <c r="C7" s="73">
        <f>'4'!$F$6</f>
        <v>7.02</v>
      </c>
      <c r="D7" s="73">
        <f>'4'!$F$7</f>
        <v>4.3499999999999996</v>
      </c>
      <c r="E7" s="73">
        <f>'4'!$F$8</f>
        <v>5.31</v>
      </c>
      <c r="F7" s="73" t="str">
        <f>'4'!$F$9</f>
        <v/>
      </c>
      <c r="G7" s="73">
        <f>'4'!$F$10</f>
        <v>5.78</v>
      </c>
      <c r="H7" s="73">
        <f>'4'!$F$11</f>
        <v>7.82</v>
      </c>
      <c r="I7" s="73">
        <f>'4'!$F$12</f>
        <v>7.69</v>
      </c>
      <c r="J7" s="73">
        <f>'4'!$F$13</f>
        <v>5.14</v>
      </c>
      <c r="K7" s="73">
        <f>'4'!$F$14</f>
        <v>8.19</v>
      </c>
      <c r="L7" s="73">
        <f>'4'!$F$15</f>
        <v>7.69</v>
      </c>
      <c r="M7" s="73">
        <f>'4'!$F$16</f>
        <v>4.13</v>
      </c>
      <c r="N7" s="73">
        <f>'4'!$F$17</f>
        <v>4.62</v>
      </c>
      <c r="O7" s="73">
        <f>'4'!$F$18</f>
        <v>6.6</v>
      </c>
      <c r="P7" s="73" t="str">
        <f>'4'!$F$19</f>
        <v/>
      </c>
      <c r="Q7" s="73">
        <f>'4'!$F$20</f>
        <v>5.07</v>
      </c>
      <c r="R7" s="73">
        <f>'4'!$F$21</f>
        <v>8.48</v>
      </c>
      <c r="S7" s="73">
        <f>'4'!$F$22</f>
        <v>3.52</v>
      </c>
      <c r="T7" s="73">
        <f>'4'!$F$23</f>
        <v>4.1900000000000004</v>
      </c>
      <c r="U7" s="73">
        <f>'4'!$F$24</f>
        <v>8.76</v>
      </c>
      <c r="V7" s="73">
        <f>'4'!$F$25</f>
        <v>6.76</v>
      </c>
      <c r="W7" s="73">
        <f>'4'!$F$26</f>
        <v>5.95</v>
      </c>
      <c r="X7" s="73">
        <f>'4'!$F$27</f>
        <v>5.88</v>
      </c>
      <c r="Y7" s="73">
        <f>'4'!$F$28</f>
        <v>3.95</v>
      </c>
      <c r="Z7" s="73">
        <f>'4'!$F$29</f>
        <v>3.74</v>
      </c>
      <c r="AA7" s="73">
        <f>'4'!$F$30</f>
        <v>5.47</v>
      </c>
      <c r="AB7" s="73" t="str">
        <f>'4'!$F$31</f>
        <v/>
      </c>
      <c r="AC7" s="73" t="str">
        <f>'4'!$F$32</f>
        <v/>
      </c>
      <c r="AD7" s="94">
        <f>'4'!$F$33</f>
        <v>4.82</v>
      </c>
    </row>
    <row r="8" spans="1:30" x14ac:dyDescent="0.2">
      <c r="A8" s="93" t="s">
        <v>1029</v>
      </c>
      <c r="B8" s="73">
        <f>'5'!$F$5</f>
        <v>8.27</v>
      </c>
      <c r="C8" s="73">
        <f>'5'!$F$6</f>
        <v>11.07</v>
      </c>
      <c r="D8" s="73">
        <f>'5'!$F$7</f>
        <v>7.78</v>
      </c>
      <c r="E8" s="73">
        <f>'5'!$F$8</f>
        <v>9.09</v>
      </c>
      <c r="F8" s="73" t="str">
        <f>'5'!$F$9</f>
        <v/>
      </c>
      <c r="G8" s="73">
        <f>'5'!$F$10</f>
        <v>9.26</v>
      </c>
      <c r="H8" s="73">
        <f>'5'!$F$11</f>
        <v>8.6199999999999992</v>
      </c>
      <c r="I8" s="73">
        <f>'5'!$F$12</f>
        <v>10.8</v>
      </c>
      <c r="J8" s="73">
        <f>'5'!$F$13</f>
        <v>9.02</v>
      </c>
      <c r="K8" s="73">
        <f>'5'!$F$14</f>
        <v>17.7</v>
      </c>
      <c r="L8" s="73">
        <f>'5'!$F$15</f>
        <v>12.5</v>
      </c>
      <c r="M8" s="73">
        <f>'5'!$F$16</f>
        <v>7.42</v>
      </c>
      <c r="N8" s="73">
        <f>'5'!$F$17</f>
        <v>6.71</v>
      </c>
      <c r="O8" s="73">
        <f>'5'!$F$18</f>
        <v>12.9</v>
      </c>
      <c r="P8" s="73" t="str">
        <f>'5'!$F$19</f>
        <v/>
      </c>
      <c r="Q8" s="73">
        <f>'5'!$F$20</f>
        <v>10.039999999999999</v>
      </c>
      <c r="R8" s="73" t="str">
        <f>'5'!$F$21</f>
        <v/>
      </c>
      <c r="S8" s="73">
        <f>'5'!$F$22</f>
        <v>12.16</v>
      </c>
      <c r="T8" s="73">
        <f>'5'!$F$23</f>
        <v>6.77</v>
      </c>
      <c r="U8" s="73">
        <f>'5'!$F$24</f>
        <v>10.51</v>
      </c>
      <c r="V8" s="73">
        <f>'5'!$F$25</f>
        <v>8.59</v>
      </c>
      <c r="W8" s="73">
        <f>'5'!$F$26</f>
        <v>9.11</v>
      </c>
      <c r="X8" s="73">
        <f>'5'!$F$27</f>
        <v>7.68</v>
      </c>
      <c r="Y8" s="73">
        <f>'5'!$F$28</f>
        <v>8.5500000000000007</v>
      </c>
      <c r="Z8" s="73">
        <f>'5'!$F$29</f>
        <v>6.1</v>
      </c>
      <c r="AA8" s="73">
        <f>'5'!$F$30</f>
        <v>9.01</v>
      </c>
      <c r="AB8" s="73" t="str">
        <f>'5'!$F$31</f>
        <v/>
      </c>
      <c r="AC8" s="73" t="str">
        <f>'5'!$F$32</f>
        <v/>
      </c>
      <c r="AD8" s="94">
        <f>'5'!$F$33</f>
        <v>7.85</v>
      </c>
    </row>
    <row r="9" spans="1:30" x14ac:dyDescent="0.2">
      <c r="A9" s="93" t="s">
        <v>1040</v>
      </c>
      <c r="B9" s="73">
        <f>'6'!$F$5</f>
        <v>6.72</v>
      </c>
      <c r="C9" s="73">
        <f>'6'!$F$6</f>
        <v>22.29</v>
      </c>
      <c r="D9" s="73">
        <f>'6'!$F$7</f>
        <v>4.21</v>
      </c>
      <c r="E9" s="73">
        <f>'6'!$F$8</f>
        <v>6.61</v>
      </c>
      <c r="F9" s="73" t="str">
        <f>'6'!$F$9</f>
        <v/>
      </c>
      <c r="G9" s="73">
        <f>'6'!$F$10</f>
        <v>4.82</v>
      </c>
      <c r="H9" s="73">
        <f>'6'!$F$11</f>
        <v>8.16</v>
      </c>
      <c r="I9" s="73">
        <f>'6'!$F$12</f>
        <v>20.079999999999998</v>
      </c>
      <c r="J9" s="73">
        <f>'6'!$F$13</f>
        <v>3.37</v>
      </c>
      <c r="K9" s="73" t="str">
        <f>'6'!$F$14</f>
        <v/>
      </c>
      <c r="L9" s="73">
        <f>'6'!$F$15</f>
        <v>23.56</v>
      </c>
      <c r="M9" s="73">
        <f>'6'!$F$16</f>
        <v>5.78</v>
      </c>
      <c r="N9" s="73">
        <f>'6'!$F$17</f>
        <v>4.71</v>
      </c>
      <c r="O9" s="73">
        <f>'6'!$F$18</f>
        <v>9.1300000000000008</v>
      </c>
      <c r="P9" s="73">
        <f>'6'!$F$19</f>
        <v>18.38</v>
      </c>
      <c r="Q9" s="73">
        <f>'6'!$F$20</f>
        <v>4.21</v>
      </c>
      <c r="R9" s="73" t="str">
        <f>'6'!$F$21</f>
        <v/>
      </c>
      <c r="S9" s="73">
        <f>'6'!$F$22</f>
        <v>6.76</v>
      </c>
      <c r="T9" s="73">
        <f>'6'!$F$23</f>
        <v>5.26</v>
      </c>
      <c r="U9" s="73">
        <f>'6'!$F$24</f>
        <v>21.21</v>
      </c>
      <c r="V9" s="73" t="str">
        <f>'6'!$F$25</f>
        <v/>
      </c>
      <c r="W9" s="73" t="str">
        <f>'6'!$F$26</f>
        <v/>
      </c>
      <c r="X9" s="73">
        <f>'6'!$F$27</f>
        <v>5.94</v>
      </c>
      <c r="Y9" s="73">
        <f>'6'!$F$28</f>
        <v>3.72</v>
      </c>
      <c r="Z9" s="73">
        <f>'6'!$F$29</f>
        <v>4.38</v>
      </c>
      <c r="AA9" s="73">
        <f>'6'!$F$30</f>
        <v>6.42</v>
      </c>
      <c r="AB9" s="73" t="str">
        <f>'6'!$F$31</f>
        <v/>
      </c>
      <c r="AC9" s="73" t="str">
        <f>'6'!$F$32</f>
        <v/>
      </c>
      <c r="AD9" s="94">
        <f>'6'!$F$33</f>
        <v>5.19</v>
      </c>
    </row>
    <row r="10" spans="1:30" x14ac:dyDescent="0.2">
      <c r="A10" s="93" t="s">
        <v>1041</v>
      </c>
      <c r="B10" s="73" t="str">
        <f>'7'!$F$5</f>
        <v/>
      </c>
      <c r="C10" s="73">
        <f>'7'!$F$6</f>
        <v>6.78</v>
      </c>
      <c r="D10" s="73">
        <f>'7'!$F$7</f>
        <v>6.91</v>
      </c>
      <c r="E10" s="73">
        <f>'7'!$F$8</f>
        <v>8.5</v>
      </c>
      <c r="F10" s="73" t="str">
        <f>'7'!$F$9</f>
        <v/>
      </c>
      <c r="G10" s="73">
        <f>'7'!$F$10</f>
        <v>6.13</v>
      </c>
      <c r="H10" s="73">
        <f>'7'!$F$11</f>
        <v>8.02</v>
      </c>
      <c r="I10" s="73">
        <f>'7'!$F$12</f>
        <v>7.2</v>
      </c>
      <c r="J10" s="73">
        <f>'7'!$F$13</f>
        <v>5.39</v>
      </c>
      <c r="K10" s="73" t="str">
        <f>'7'!$F$14</f>
        <v/>
      </c>
      <c r="L10" s="73">
        <f>'7'!$F$15</f>
        <v>5.75</v>
      </c>
      <c r="M10" s="73">
        <f>'7'!$F$16</f>
        <v>6.49</v>
      </c>
      <c r="N10" s="73">
        <f>'7'!$F$17</f>
        <v>12.28</v>
      </c>
      <c r="O10" s="73" t="str">
        <f>'7'!$F$18</f>
        <v/>
      </c>
      <c r="P10" s="73" t="str">
        <f>'7'!$F$19</f>
        <v/>
      </c>
      <c r="Q10" s="73">
        <f>'7'!$F$20</f>
        <v>9.3699999999999992</v>
      </c>
      <c r="R10" s="73" t="str">
        <f>'7'!$F$21</f>
        <v/>
      </c>
      <c r="S10" s="73">
        <f>'7'!$F$22</f>
        <v>7.98</v>
      </c>
      <c r="T10" s="73">
        <f>'7'!$F$23</f>
        <v>6.04</v>
      </c>
      <c r="U10" s="73">
        <f>'7'!$F$24</f>
        <v>10.09</v>
      </c>
      <c r="V10" s="73">
        <f>'7'!$F$25</f>
        <v>9.61</v>
      </c>
      <c r="W10" s="73" t="str">
        <f>'7'!$F$26</f>
        <v/>
      </c>
      <c r="X10" s="73">
        <f>'7'!$F$27</f>
        <v>7.85</v>
      </c>
      <c r="Y10" s="73">
        <f>'7'!$F$28</f>
        <v>6</v>
      </c>
      <c r="Z10" s="73">
        <f>'7'!$F$29</f>
        <v>6.6</v>
      </c>
      <c r="AA10" s="73">
        <f>'7'!$F$30</f>
        <v>9.1</v>
      </c>
      <c r="AB10" s="73" t="str">
        <f>'7'!$F$31</f>
        <v/>
      </c>
      <c r="AC10" s="73" t="str">
        <f>'7'!$F$32</f>
        <v/>
      </c>
      <c r="AD10" s="94">
        <f>'7'!$F$33</f>
        <v>7.01</v>
      </c>
    </row>
    <row r="11" spans="1:30" x14ac:dyDescent="0.2">
      <c r="A11" s="93" t="s">
        <v>1075</v>
      </c>
      <c r="B11" s="73">
        <f>'8'!$F$5</f>
        <v>5.18</v>
      </c>
      <c r="C11" s="73">
        <f>'8'!$F$6</f>
        <v>6.53</v>
      </c>
      <c r="D11" s="73">
        <f>'8'!$F$7</f>
        <v>6.01</v>
      </c>
      <c r="E11" s="73">
        <f>'8'!$F$8</f>
        <v>6.01</v>
      </c>
      <c r="F11" s="73">
        <f>'8'!$F$9</f>
        <v>30.96</v>
      </c>
      <c r="G11" s="73">
        <f>'8'!$F$10</f>
        <v>4.41</v>
      </c>
      <c r="H11" s="73">
        <f>'8'!$F$11</f>
        <v>4.13</v>
      </c>
      <c r="I11" s="73">
        <f>'8'!$F$12</f>
        <v>4.6399999999999997</v>
      </c>
      <c r="J11" s="73">
        <f>'8'!$F$13</f>
        <v>4.3899999999999997</v>
      </c>
      <c r="K11" s="73" t="str">
        <f>'8'!$F$14</f>
        <v/>
      </c>
      <c r="L11" s="73">
        <f>'8'!$F$15</f>
        <v>4.7</v>
      </c>
      <c r="M11" s="73">
        <f>'8'!$F$16</f>
        <v>4.93</v>
      </c>
      <c r="N11" s="73">
        <f>'8'!$F$17</f>
        <v>4.83</v>
      </c>
      <c r="O11" s="73">
        <f>'8'!$F$18</f>
        <v>8.64</v>
      </c>
      <c r="P11" s="73" t="str">
        <f>'8'!$F$19</f>
        <v/>
      </c>
      <c r="Q11" s="73">
        <f>'8'!$F$20</f>
        <v>8.24</v>
      </c>
      <c r="R11" s="73" t="str">
        <f>'8'!$F$21</f>
        <v/>
      </c>
      <c r="S11" s="73">
        <f>'8'!$F$22</f>
        <v>7.24</v>
      </c>
      <c r="T11" s="73">
        <f>'8'!$F$23</f>
        <v>4.45</v>
      </c>
      <c r="U11" s="73">
        <f>'8'!$F$24</f>
        <v>6.91</v>
      </c>
      <c r="V11" s="73">
        <f>'8'!$F$25</f>
        <v>6.16</v>
      </c>
      <c r="W11" s="73">
        <f>'8'!$F$26</f>
        <v>4.88</v>
      </c>
      <c r="X11" s="73">
        <f>'8'!$F$27</f>
        <v>6.26</v>
      </c>
      <c r="Y11" s="73">
        <f>'8'!$F$28</f>
        <v>4.28</v>
      </c>
      <c r="Z11" s="73">
        <f>'8'!$F$29</f>
        <v>4.08</v>
      </c>
      <c r="AA11" s="73">
        <f>'8'!$F$30</f>
        <v>5.37</v>
      </c>
      <c r="AB11" s="73" t="str">
        <f>'8'!$F$31</f>
        <v/>
      </c>
      <c r="AC11" s="73" t="str">
        <f>'8'!$F$32</f>
        <v/>
      </c>
      <c r="AD11" s="94">
        <f>'8'!$F$33</f>
        <v>5.26</v>
      </c>
    </row>
    <row r="12" spans="1:30" x14ac:dyDescent="0.2">
      <c r="A12" s="93" t="s">
        <v>1032</v>
      </c>
      <c r="B12" s="73">
        <f>'9'!$F$5</f>
        <v>8.86</v>
      </c>
      <c r="C12" s="73">
        <f>'9'!$F$6</f>
        <v>5.36</v>
      </c>
      <c r="D12" s="73">
        <f>'9'!$F$7</f>
        <v>3.28</v>
      </c>
      <c r="E12" s="73">
        <f>'9'!$F$8</f>
        <v>3.54</v>
      </c>
      <c r="F12" s="73" t="str">
        <f>'9'!$F$9</f>
        <v/>
      </c>
      <c r="G12" s="73" t="str">
        <f>'9'!$F$10</f>
        <v/>
      </c>
      <c r="H12" s="73">
        <f>'9'!$F$11</f>
        <v>4.6399999999999997</v>
      </c>
      <c r="I12" s="73">
        <f>'9'!$F$12</f>
        <v>5.39</v>
      </c>
      <c r="J12" s="73">
        <f>'9'!$F$13</f>
        <v>3.4</v>
      </c>
      <c r="K12" s="73" t="str">
        <f>'9'!$F$14</f>
        <v/>
      </c>
      <c r="L12" s="73">
        <f>'9'!$F$15</f>
        <v>5.36</v>
      </c>
      <c r="M12" s="73">
        <f>'9'!$F$16</f>
        <v>3.67</v>
      </c>
      <c r="N12" s="73">
        <f>'9'!$F$17</f>
        <v>5.74</v>
      </c>
      <c r="O12" s="73">
        <f>'9'!$F$18</f>
        <v>6.5</v>
      </c>
      <c r="P12" s="73" t="str">
        <f>'9'!$F$19</f>
        <v/>
      </c>
      <c r="Q12" s="73">
        <f>'9'!$F$20</f>
        <v>3.61</v>
      </c>
      <c r="R12" s="73" t="str">
        <f>'9'!$F$21</f>
        <v/>
      </c>
      <c r="S12" s="73">
        <f>'9'!$F$22</f>
        <v>4.16</v>
      </c>
      <c r="T12" s="73">
        <f>'9'!$F$23</f>
        <v>3.82</v>
      </c>
      <c r="U12" s="73">
        <f>'9'!$F$24</f>
        <v>4.7699999999999996</v>
      </c>
      <c r="V12" s="73">
        <f>'9'!$F$25</f>
        <v>2.71</v>
      </c>
      <c r="W12" s="73">
        <f>'9'!$F$26</f>
        <v>44.81</v>
      </c>
      <c r="X12" s="73">
        <f>'9'!$F$27</f>
        <v>9.42</v>
      </c>
      <c r="Y12" s="73">
        <f>'9'!$F$28</f>
        <v>7.02</v>
      </c>
      <c r="Z12" s="73">
        <f>'9'!$F$29</f>
        <v>3.17</v>
      </c>
      <c r="AA12" s="73">
        <f>'9'!$F$30</f>
        <v>7</v>
      </c>
      <c r="AB12" s="73" t="str">
        <f>'9'!$F$31</f>
        <v/>
      </c>
      <c r="AC12" s="73" t="str">
        <f>'9'!$F$32</f>
        <v/>
      </c>
      <c r="AD12" s="94">
        <f>'9'!$F$33</f>
        <v>4.2</v>
      </c>
    </row>
    <row r="13" spans="1:30" x14ac:dyDescent="0.2">
      <c r="A13" s="93" t="s">
        <v>1042</v>
      </c>
      <c r="B13" s="73">
        <f>'10'!$F$5</f>
        <v>10.33</v>
      </c>
      <c r="C13" s="73">
        <f>'10'!$F$6</f>
        <v>6.47</v>
      </c>
      <c r="D13" s="73">
        <f>'10'!$F$7</f>
        <v>5.25</v>
      </c>
      <c r="E13" s="73">
        <f>'10'!$F$8</f>
        <v>8.7899999999999991</v>
      </c>
      <c r="F13" s="73" t="str">
        <f>'10'!$F$9</f>
        <v/>
      </c>
      <c r="G13" s="73">
        <f>'10'!$F$10</f>
        <v>6.33</v>
      </c>
      <c r="H13" s="73">
        <f>'10'!$F$11</f>
        <v>7.75</v>
      </c>
      <c r="I13" s="73" t="str">
        <f>'10'!$F$12</f>
        <v/>
      </c>
      <c r="J13" s="73">
        <f>'10'!$F$13</f>
        <v>3.82</v>
      </c>
      <c r="K13" s="73" t="str">
        <f>'10'!$F$14</f>
        <v/>
      </c>
      <c r="L13" s="73">
        <f>'10'!$F$15</f>
        <v>6.48</v>
      </c>
      <c r="M13" s="73">
        <f>'10'!$F$16</f>
        <v>6.1</v>
      </c>
      <c r="N13" s="73">
        <f>'10'!$F$17</f>
        <v>4.32</v>
      </c>
      <c r="O13" s="73" t="str">
        <f>'10'!$F$18</f>
        <v/>
      </c>
      <c r="P13" s="73" t="str">
        <f>'10'!$F$19</f>
        <v/>
      </c>
      <c r="Q13" s="73">
        <f>'10'!$F$20</f>
        <v>3.97</v>
      </c>
      <c r="R13" s="73" t="str">
        <f>'10'!$F$21</f>
        <v/>
      </c>
      <c r="S13" s="73">
        <f>'10'!$F$22</f>
        <v>6.48</v>
      </c>
      <c r="T13" s="73">
        <f>'10'!$F$23</f>
        <v>4.63</v>
      </c>
      <c r="U13" s="73" t="str">
        <f>'10'!$F$24</f>
        <v/>
      </c>
      <c r="V13" s="73" t="str">
        <f>'10'!$F$25</f>
        <v/>
      </c>
      <c r="W13" s="73" t="str">
        <f>'10'!$F$26</f>
        <v/>
      </c>
      <c r="X13" s="73">
        <f>'10'!$F$27</f>
        <v>11.65</v>
      </c>
      <c r="Y13" s="73">
        <f>'10'!$F$28</f>
        <v>6.02</v>
      </c>
      <c r="Z13" s="73">
        <f>'10'!$F$29</f>
        <v>5.7</v>
      </c>
      <c r="AA13" s="73">
        <f>'10'!$F$30</f>
        <v>6.97</v>
      </c>
      <c r="AB13" s="73" t="str">
        <f>'10'!$F$31</f>
        <v/>
      </c>
      <c r="AC13" s="73" t="str">
        <f>'10'!$F$32</f>
        <v/>
      </c>
      <c r="AD13" s="94">
        <f>'10'!$F$33</f>
        <v>6.54</v>
      </c>
    </row>
    <row r="14" spans="1:30" x14ac:dyDescent="0.2">
      <c r="A14" s="93" t="s">
        <v>1043</v>
      </c>
      <c r="B14" s="73">
        <f>'11'!$F$5</f>
        <v>3.06</v>
      </c>
      <c r="C14" s="73">
        <f>'11'!$F$6</f>
        <v>4.95</v>
      </c>
      <c r="D14" s="73">
        <f>'11'!$F$7</f>
        <v>5.14</v>
      </c>
      <c r="E14" s="73">
        <f>'11'!$F$8</f>
        <v>6.66</v>
      </c>
      <c r="F14" s="73" t="str">
        <f>'11'!$F$9</f>
        <v/>
      </c>
      <c r="G14" s="73">
        <f>'11'!$F$10</f>
        <v>4.63</v>
      </c>
      <c r="H14" s="73">
        <f>'11'!$F$11</f>
        <v>4.63</v>
      </c>
      <c r="I14" s="73">
        <f>'11'!$F$12</f>
        <v>4.91</v>
      </c>
      <c r="J14" s="73">
        <f>'11'!$F$13</f>
        <v>5.01</v>
      </c>
      <c r="K14" s="73" t="str">
        <f>'11'!$F$14</f>
        <v/>
      </c>
      <c r="L14" s="73">
        <f>'11'!$F$15</f>
        <v>3.82</v>
      </c>
      <c r="M14" s="73">
        <f>'11'!$F$16</f>
        <v>4.8600000000000003</v>
      </c>
      <c r="N14" s="73">
        <f>'11'!$F$17</f>
        <v>5.41</v>
      </c>
      <c r="O14" s="73">
        <f>'11'!$F$18</f>
        <v>4.41</v>
      </c>
      <c r="P14" s="73">
        <f>'11'!$F$19</f>
        <v>10.18</v>
      </c>
      <c r="Q14" s="73">
        <f>'11'!$F$20</f>
        <v>3.91</v>
      </c>
      <c r="R14" s="73" t="str">
        <f>'11'!$F$21</f>
        <v/>
      </c>
      <c r="S14" s="73">
        <f>'11'!$F$22</f>
        <v>4.49</v>
      </c>
      <c r="T14" s="73">
        <f>'11'!$F$23</f>
        <v>4.25</v>
      </c>
      <c r="U14" s="73">
        <f>'11'!$F$24</f>
        <v>5.64</v>
      </c>
      <c r="V14" s="73">
        <f>'11'!$F$25</f>
        <v>21.61</v>
      </c>
      <c r="W14" s="73">
        <f>'11'!$F$26</f>
        <v>5.05</v>
      </c>
      <c r="X14" s="73">
        <f>'11'!$F$27</f>
        <v>4.9000000000000004</v>
      </c>
      <c r="Y14" s="73">
        <f>'11'!$F$28</f>
        <v>7.44</v>
      </c>
      <c r="Z14" s="73">
        <f>'11'!$F$29</f>
        <v>4.6100000000000003</v>
      </c>
      <c r="AA14" s="73">
        <f>'11'!$F$30</f>
        <v>6.94</v>
      </c>
      <c r="AB14" s="73" t="str">
        <f>'11'!$F$31</f>
        <v/>
      </c>
      <c r="AC14" s="73" t="str">
        <f>'11'!$F$32</f>
        <v/>
      </c>
      <c r="AD14" s="94">
        <f>'11'!$F$33</f>
        <v>5.0199999999999996</v>
      </c>
    </row>
    <row r="15" spans="1:30" x14ac:dyDescent="0.2">
      <c r="A15" s="93" t="s">
        <v>938</v>
      </c>
      <c r="B15" s="73">
        <f>'12'!$F$5</f>
        <v>12.62</v>
      </c>
      <c r="C15" s="73">
        <f>'12'!$F$6</f>
        <v>22.57</v>
      </c>
      <c r="D15" s="73">
        <f>'12'!$F$7</f>
        <v>7.95</v>
      </c>
      <c r="E15" s="73">
        <f>'12'!$F$8</f>
        <v>10.84</v>
      </c>
      <c r="F15" s="73" t="str">
        <f>'12'!$F$9</f>
        <v/>
      </c>
      <c r="G15" s="73">
        <f>'12'!$F$10</f>
        <v>58.86</v>
      </c>
      <c r="H15" s="73">
        <f>'12'!$F$11</f>
        <v>15.65</v>
      </c>
      <c r="I15" s="73">
        <f>'12'!$F$12</f>
        <v>9.81</v>
      </c>
      <c r="J15" s="73">
        <f>'12'!$F$13</f>
        <v>11.42</v>
      </c>
      <c r="K15" s="73" t="str">
        <f>'12'!$F$14</f>
        <v/>
      </c>
      <c r="L15" s="73">
        <f>'12'!$F$15</f>
        <v>10.1</v>
      </c>
      <c r="M15" s="73">
        <f>'12'!$F$16</f>
        <v>8.3800000000000008</v>
      </c>
      <c r="N15" s="73">
        <f>'12'!$F$17</f>
        <v>8.2100000000000009</v>
      </c>
      <c r="O15" s="73">
        <f>'12'!$F$18</f>
        <v>33.22</v>
      </c>
      <c r="P15" s="73" t="str">
        <f>'12'!$F$19</f>
        <v/>
      </c>
      <c r="Q15" s="73">
        <f>'12'!$F$20</f>
        <v>9.1199999999999992</v>
      </c>
      <c r="R15" s="73" t="str">
        <f>'12'!$F$21</f>
        <v/>
      </c>
      <c r="S15" s="73" t="str">
        <f>'12'!$F$22</f>
        <v/>
      </c>
      <c r="T15" s="73">
        <f>'12'!$F$23</f>
        <v>7.89</v>
      </c>
      <c r="U15" s="73" t="str">
        <f>'12'!$F$24</f>
        <v/>
      </c>
      <c r="V15" s="73">
        <f>'12'!$F$25</f>
        <v>22.93</v>
      </c>
      <c r="W15" s="73" t="str">
        <f>'12'!$F$26</f>
        <v/>
      </c>
      <c r="X15" s="73">
        <f>'12'!$F$27</f>
        <v>10.67</v>
      </c>
      <c r="Y15" s="73">
        <f>'12'!$F$28</f>
        <v>8.07</v>
      </c>
      <c r="Z15" s="73">
        <f>'12'!$F$29</f>
        <v>8.56</v>
      </c>
      <c r="AA15" s="73">
        <f>'12'!$F$30</f>
        <v>12.22</v>
      </c>
      <c r="AB15" s="73" t="str">
        <f>'12'!$F$31</f>
        <v/>
      </c>
      <c r="AC15" s="73" t="str">
        <f>'12'!$F$32</f>
        <v/>
      </c>
      <c r="AD15" s="94">
        <f>'12'!$F$33</f>
        <v>10.119999999999999</v>
      </c>
    </row>
    <row r="16" spans="1:30" x14ac:dyDescent="0.2">
      <c r="A16" s="93" t="s">
        <v>1066</v>
      </c>
      <c r="B16" s="73">
        <f>'13'!$F$5</f>
        <v>5.74</v>
      </c>
      <c r="C16" s="73">
        <f>'13'!$F$6</f>
        <v>9.98</v>
      </c>
      <c r="D16" s="73">
        <f>'13'!$F$7</f>
        <v>5.96</v>
      </c>
      <c r="E16" s="73">
        <f>'13'!$F$8</f>
        <v>7.4</v>
      </c>
      <c r="F16" s="73">
        <f>'13'!$F$9</f>
        <v>7.87</v>
      </c>
      <c r="G16" s="73">
        <f>'13'!$F$10</f>
        <v>7.36</v>
      </c>
      <c r="H16" s="73">
        <f>'13'!$F$11</f>
        <v>5.89</v>
      </c>
      <c r="I16" s="73">
        <f>'13'!$F$12</f>
        <v>7.87</v>
      </c>
      <c r="J16" s="73">
        <f>'13'!$F$13</f>
        <v>6.1</v>
      </c>
      <c r="K16" s="73" t="str">
        <f>'13'!$F$14</f>
        <v/>
      </c>
      <c r="L16" s="73">
        <f>'13'!$F$15</f>
        <v>12</v>
      </c>
      <c r="M16" s="73">
        <f>'13'!$F$16</f>
        <v>6.01</v>
      </c>
      <c r="N16" s="73">
        <f>'13'!$F$17</f>
        <v>6.79</v>
      </c>
      <c r="O16" s="73">
        <f>'13'!$F$18</f>
        <v>9.23</v>
      </c>
      <c r="P16" s="73">
        <f>'13'!$F$19</f>
        <v>19.95</v>
      </c>
      <c r="Q16" s="73">
        <f>'13'!$F$20</f>
        <v>6.62</v>
      </c>
      <c r="R16" s="73">
        <f>'13'!$F$21</f>
        <v>9.33</v>
      </c>
      <c r="S16" s="73" t="str">
        <f>'13'!$F$22</f>
        <v/>
      </c>
      <c r="T16" s="73">
        <f>'13'!$F$23</f>
        <v>5.1100000000000003</v>
      </c>
      <c r="U16" s="73" t="str">
        <f>'13'!$F$24</f>
        <v/>
      </c>
      <c r="V16" s="73" t="str">
        <f>'13'!$F$25</f>
        <v/>
      </c>
      <c r="W16" s="73">
        <f>'13'!$F$26</f>
        <v>6.28</v>
      </c>
      <c r="X16" s="73">
        <f>'13'!$F$27</f>
        <v>7.42</v>
      </c>
      <c r="Y16" s="73">
        <f>'13'!$F$28</f>
        <v>8.24</v>
      </c>
      <c r="Z16" s="73">
        <f>'13'!$F$29</f>
        <v>5.18</v>
      </c>
      <c r="AA16" s="73">
        <f>'13'!$F$30</f>
        <v>8.2799999999999994</v>
      </c>
      <c r="AB16" s="73" t="str">
        <f>'13'!$F$31</f>
        <v/>
      </c>
      <c r="AC16" s="73" t="str">
        <f>'13'!$F$32</f>
        <v/>
      </c>
      <c r="AD16" s="94">
        <f>'13'!$F$33</f>
        <v>6.37</v>
      </c>
    </row>
    <row r="17" spans="1:30" x14ac:dyDescent="0.2">
      <c r="A17" s="93" t="s">
        <v>1067</v>
      </c>
      <c r="B17" s="73">
        <f>'14'!$F$5</f>
        <v>15.4</v>
      </c>
      <c r="C17" s="73">
        <f>'14'!$F$6</f>
        <v>5.44</v>
      </c>
      <c r="D17" s="73">
        <f>'14'!$F$7</f>
        <v>6.4</v>
      </c>
      <c r="E17" s="73">
        <f>'14'!$F$8</f>
        <v>7.39</v>
      </c>
      <c r="F17" s="73">
        <f>'14'!$F$9</f>
        <v>9.74</v>
      </c>
      <c r="G17" s="73">
        <f>'14'!$F$10</f>
        <v>11.86</v>
      </c>
      <c r="H17" s="73">
        <f>'14'!$F$11</f>
        <v>8.52</v>
      </c>
      <c r="I17" s="73">
        <f>'14'!$F$12</f>
        <v>13.7</v>
      </c>
      <c r="J17" s="73">
        <f>'14'!$F$13</f>
        <v>5.45</v>
      </c>
      <c r="K17" s="73">
        <f>'14'!$F$14</f>
        <v>5.71</v>
      </c>
      <c r="L17" s="73">
        <f>'14'!$F$15</f>
        <v>5.57</v>
      </c>
      <c r="M17" s="73">
        <f>'14'!$F$16</f>
        <v>6.93</v>
      </c>
      <c r="N17" s="73">
        <f>'14'!$F$17</f>
        <v>6.81</v>
      </c>
      <c r="O17" s="73">
        <f>'14'!$F$18</f>
        <v>10.96</v>
      </c>
      <c r="P17" s="73" t="str">
        <f>'14'!$F$19</f>
        <v/>
      </c>
      <c r="Q17" s="73">
        <f>'14'!$F$20</f>
        <v>6.97</v>
      </c>
      <c r="R17" s="73">
        <f>'14'!$F$21</f>
        <v>31.43</v>
      </c>
      <c r="S17" s="73">
        <f>'14'!$F$22</f>
        <v>11.37</v>
      </c>
      <c r="T17" s="73">
        <f>'14'!$F$23</f>
        <v>6.01</v>
      </c>
      <c r="U17" s="73">
        <f>'14'!$F$24</f>
        <v>8.94</v>
      </c>
      <c r="V17" s="73">
        <f>'14'!$F$25</f>
        <v>5.29</v>
      </c>
      <c r="W17" s="73">
        <f>'14'!$F$26</f>
        <v>32.090000000000003</v>
      </c>
      <c r="X17" s="73">
        <f>'14'!$F$27</f>
        <v>8.1</v>
      </c>
      <c r="Y17" s="73">
        <f>'14'!$F$28</f>
        <v>5.78</v>
      </c>
      <c r="Z17" s="73">
        <f>'14'!$F$29</f>
        <v>5.88</v>
      </c>
      <c r="AA17" s="73">
        <f>'14'!$F$30</f>
        <v>8.5399999999999991</v>
      </c>
      <c r="AB17" s="73" t="str">
        <f>'14'!$F$31</f>
        <v/>
      </c>
      <c r="AC17" s="73" t="str">
        <f>'14'!$F$32</f>
        <v/>
      </c>
      <c r="AD17" s="94">
        <f>'14'!$F$33</f>
        <v>7.02</v>
      </c>
    </row>
    <row r="18" spans="1:30" x14ac:dyDescent="0.2">
      <c r="A18" s="93" t="s">
        <v>1044</v>
      </c>
      <c r="B18" s="73" t="str">
        <f>'15'!$F$5</f>
        <v/>
      </c>
      <c r="C18" s="73">
        <f>'15'!$F$6</f>
        <v>6.93</v>
      </c>
      <c r="D18" s="73">
        <f>'15'!$F$7</f>
        <v>7.47</v>
      </c>
      <c r="E18" s="73">
        <f>'15'!$F$8</f>
        <v>8.74</v>
      </c>
      <c r="F18" s="73" t="str">
        <f>'15'!$F$9</f>
        <v/>
      </c>
      <c r="G18" s="73">
        <f>'15'!$F$10</f>
        <v>8.17</v>
      </c>
      <c r="H18" s="73">
        <f>'15'!$F$11</f>
        <v>7.88</v>
      </c>
      <c r="I18" s="73">
        <f>'15'!$F$12</f>
        <v>6.26</v>
      </c>
      <c r="J18" s="73">
        <f>'15'!$F$13</f>
        <v>7.58</v>
      </c>
      <c r="K18" s="73">
        <f>'15'!$F$14</f>
        <v>7.54</v>
      </c>
      <c r="L18" s="73">
        <f>'15'!$F$15</f>
        <v>8.1</v>
      </c>
      <c r="M18" s="73">
        <f>'15'!$F$16</f>
        <v>9.02</v>
      </c>
      <c r="N18" s="73">
        <f>'15'!$F$17</f>
        <v>7.59</v>
      </c>
      <c r="O18" s="73">
        <f>'15'!$F$18</f>
        <v>9.65</v>
      </c>
      <c r="P18" s="73">
        <f>'15'!$F$19</f>
        <v>14.19</v>
      </c>
      <c r="Q18" s="73">
        <f>'15'!$F$20</f>
        <v>7.98</v>
      </c>
      <c r="R18" s="73">
        <f>'15'!$F$21</f>
        <v>13.29</v>
      </c>
      <c r="S18" s="73">
        <f>'15'!$F$22</f>
        <v>9.44</v>
      </c>
      <c r="T18" s="73">
        <f>'15'!$F$23</f>
        <v>7.74</v>
      </c>
      <c r="U18" s="73">
        <f>'15'!$F$24</f>
        <v>8.32</v>
      </c>
      <c r="V18" s="73">
        <f>'15'!$F$25</f>
        <v>7.99</v>
      </c>
      <c r="W18" s="73">
        <f>'15'!$F$26</f>
        <v>8.56</v>
      </c>
      <c r="X18" s="73">
        <f>'15'!$F$27</f>
        <v>8.09</v>
      </c>
      <c r="Y18" s="73">
        <f>'15'!$F$28</f>
        <v>7.02</v>
      </c>
      <c r="Z18" s="73">
        <f>'15'!$F$29</f>
        <v>7.58</v>
      </c>
      <c r="AA18" s="73">
        <f>'15'!$F$30</f>
        <v>11.76</v>
      </c>
      <c r="AB18" s="73" t="str">
        <f>'15'!$F$31</f>
        <v/>
      </c>
      <c r="AC18" s="73" t="str">
        <f>'15'!$F$32</f>
        <v/>
      </c>
      <c r="AD18" s="94">
        <f>'15'!$F$33</f>
        <v>8.31</v>
      </c>
    </row>
    <row r="19" spans="1:30" x14ac:dyDescent="0.2">
      <c r="A19" s="92" t="s">
        <v>1068</v>
      </c>
      <c r="B19" s="73" t="str">
        <f>'16'!$F$5</f>
        <v/>
      </c>
      <c r="C19" s="73">
        <f>'16'!$F$6</f>
        <v>19.8</v>
      </c>
      <c r="D19" s="73">
        <f>'16'!$F$7</f>
        <v>6.16</v>
      </c>
      <c r="E19" s="73">
        <f>'16'!$F$8</f>
        <v>6.58</v>
      </c>
      <c r="F19" s="73" t="str">
        <f>'16'!$F$9</f>
        <v/>
      </c>
      <c r="G19" s="73">
        <f>'16'!$F$10</f>
        <v>19.34</v>
      </c>
      <c r="H19" s="73">
        <f>'16'!$F$11</f>
        <v>8.26</v>
      </c>
      <c r="I19" s="73" t="str">
        <f>'16'!$F$12</f>
        <v/>
      </c>
      <c r="J19" s="73">
        <f>'16'!$F$13</f>
        <v>4.6100000000000003</v>
      </c>
      <c r="K19" s="73" t="str">
        <f>'16'!$F$14</f>
        <v/>
      </c>
      <c r="L19" s="73" t="str">
        <f>'16'!$F$15</f>
        <v/>
      </c>
      <c r="M19" s="73">
        <f>'16'!$F$16</f>
        <v>7.09</v>
      </c>
      <c r="N19" s="73">
        <f>'16'!$F$17</f>
        <v>8.7799999999999994</v>
      </c>
      <c r="O19" s="73">
        <f>'16'!$F$18</f>
        <v>14.18</v>
      </c>
      <c r="P19" s="73">
        <f>'16'!$F$19</f>
        <v>14.19</v>
      </c>
      <c r="Q19" s="73">
        <f>'16'!$F$20</f>
        <v>9.84</v>
      </c>
      <c r="R19" s="73" t="str">
        <f>'16'!$F$21</f>
        <v/>
      </c>
      <c r="S19" s="73" t="str">
        <f>'16'!$F$22</f>
        <v/>
      </c>
      <c r="T19" s="73">
        <f>'16'!$F$23</f>
        <v>5.8</v>
      </c>
      <c r="U19" s="73">
        <f>'16'!$F$24</f>
        <v>10.71</v>
      </c>
      <c r="V19" s="73" t="str">
        <f>'16'!$F$25</f>
        <v/>
      </c>
      <c r="W19" s="73">
        <f>'16'!$F$26</f>
        <v>6.09</v>
      </c>
      <c r="X19" s="73">
        <f>'16'!$F$27</f>
        <v>15.65</v>
      </c>
      <c r="Y19" s="73">
        <f>'16'!$F$28</f>
        <v>7.04</v>
      </c>
      <c r="Z19" s="73">
        <f>'16'!$F$29</f>
        <v>6.15</v>
      </c>
      <c r="AA19" s="73">
        <f>'16'!$F$30</f>
        <v>6.59</v>
      </c>
      <c r="AB19" s="73" t="str">
        <f>'16'!$F$31</f>
        <v/>
      </c>
      <c r="AC19" s="73" t="str">
        <f>'16'!$F$32</f>
        <v/>
      </c>
      <c r="AD19" s="94">
        <f>'16'!$F$33</f>
        <v>7.02</v>
      </c>
    </row>
    <row r="20" spans="1:30" x14ac:dyDescent="0.2">
      <c r="A20" s="93" t="s">
        <v>1045</v>
      </c>
      <c r="B20" s="73">
        <f>'17'!$F$5</f>
        <v>8.14</v>
      </c>
      <c r="C20" s="73">
        <f>'17'!$F$6</f>
        <v>4.12</v>
      </c>
      <c r="D20" s="73">
        <f>'17'!$F$7</f>
        <v>7.29</v>
      </c>
      <c r="E20" s="73">
        <f>'17'!$F$8</f>
        <v>5.47</v>
      </c>
      <c r="F20" s="73" t="str">
        <f>'17'!$F$9</f>
        <v/>
      </c>
      <c r="G20" s="73" t="str">
        <f>'17'!$F$10</f>
        <v/>
      </c>
      <c r="H20" s="73">
        <f>'17'!$F$11</f>
        <v>11.63</v>
      </c>
      <c r="I20" s="73">
        <f>'17'!$F$12</f>
        <v>16.84</v>
      </c>
      <c r="J20" s="73">
        <f>'17'!$F$13</f>
        <v>4.8099999999999996</v>
      </c>
      <c r="K20" s="73" t="str">
        <f>'17'!$F$14</f>
        <v/>
      </c>
      <c r="L20" s="73">
        <f>'17'!$F$15</f>
        <v>4</v>
      </c>
      <c r="M20" s="73">
        <f>'17'!$F$16</f>
        <v>4.8899999999999997</v>
      </c>
      <c r="N20" s="73">
        <f>'17'!$F$17</f>
        <v>5.21</v>
      </c>
      <c r="O20" s="73" t="str">
        <f>'17'!$F$18</f>
        <v/>
      </c>
      <c r="P20" s="73" t="str">
        <f>'17'!$F$19</f>
        <v/>
      </c>
      <c r="Q20" s="73">
        <f>'17'!$F$20</f>
        <v>7.76</v>
      </c>
      <c r="R20" s="73" t="str">
        <f>'17'!$F$21</f>
        <v/>
      </c>
      <c r="S20" s="73">
        <f>'17'!$F$22</f>
        <v>9.26</v>
      </c>
      <c r="T20" s="73">
        <f>'17'!$F$23</f>
        <v>5.0599999999999996</v>
      </c>
      <c r="U20" s="73">
        <f>'17'!$F$24</f>
        <v>5.87</v>
      </c>
      <c r="V20" s="73">
        <f>'17'!$F$25</f>
        <v>8.89</v>
      </c>
      <c r="W20" s="73">
        <f>'17'!$F$26</f>
        <v>21</v>
      </c>
      <c r="X20" s="73">
        <f>'17'!$F$27</f>
        <v>8.33</v>
      </c>
      <c r="Y20" s="73">
        <f>'17'!$F$28</f>
        <v>6.71</v>
      </c>
      <c r="Z20" s="73">
        <f>'17'!$F$29</f>
        <v>6.22</v>
      </c>
      <c r="AA20" s="73">
        <f>'17'!$F$30</f>
        <v>6.45</v>
      </c>
      <c r="AB20" s="73" t="str">
        <f>'17'!$F$31</f>
        <v/>
      </c>
      <c r="AC20" s="73" t="str">
        <f>'17'!$F$32</f>
        <v/>
      </c>
      <c r="AD20" s="94">
        <f>'17'!$F$33</f>
        <v>6.65</v>
      </c>
    </row>
    <row r="21" spans="1:30" x14ac:dyDescent="0.2">
      <c r="A21" s="93" t="s">
        <v>1046</v>
      </c>
      <c r="B21" s="73" t="str">
        <f>'18'!$F$5</f>
        <v/>
      </c>
      <c r="C21" s="73">
        <f>'18'!$F$6</f>
        <v>7.48</v>
      </c>
      <c r="D21" s="73">
        <f>'18'!$F$7</f>
        <v>8.08</v>
      </c>
      <c r="E21" s="73">
        <f>'18'!$F$8</f>
        <v>10.57</v>
      </c>
      <c r="F21" s="73" t="str">
        <f>'18'!$F$9</f>
        <v/>
      </c>
      <c r="G21" s="73">
        <f>'18'!$F$10</f>
        <v>1087.17</v>
      </c>
      <c r="H21" s="73">
        <f>'18'!$F$11</f>
        <v>12.64</v>
      </c>
      <c r="I21" s="73" t="str">
        <f>'18'!$F$12</f>
        <v/>
      </c>
      <c r="J21" s="73">
        <f>'18'!$F$13</f>
        <v>9.58</v>
      </c>
      <c r="K21" s="73" t="str">
        <f>'18'!$F$14</f>
        <v/>
      </c>
      <c r="L21" s="73">
        <f>'18'!$F$15</f>
        <v>27.33</v>
      </c>
      <c r="M21" s="73">
        <f>'18'!$F$16</f>
        <v>6.71</v>
      </c>
      <c r="N21" s="73">
        <f>'18'!$F$17</f>
        <v>5.69</v>
      </c>
      <c r="O21" s="73">
        <f>'18'!$F$18</f>
        <v>10.87</v>
      </c>
      <c r="P21" s="73" t="str">
        <f>'18'!$F$19</f>
        <v/>
      </c>
      <c r="Q21" s="73">
        <f>'18'!$F$20</f>
        <v>8.4499999999999993</v>
      </c>
      <c r="R21" s="73" t="str">
        <f>'18'!$F$21</f>
        <v/>
      </c>
      <c r="S21" s="73">
        <f>'18'!$F$22</f>
        <v>8.65</v>
      </c>
      <c r="T21" s="73">
        <f>'18'!$F$23</f>
        <v>6.06</v>
      </c>
      <c r="U21" s="73" t="str">
        <f>'18'!$F$24</f>
        <v/>
      </c>
      <c r="V21" s="73">
        <f>'18'!$F$25</f>
        <v>15.39</v>
      </c>
      <c r="W21" s="73" t="str">
        <f>'18'!$F$26</f>
        <v/>
      </c>
      <c r="X21" s="73">
        <f>'18'!$F$27</f>
        <v>9.42</v>
      </c>
      <c r="Y21" s="73">
        <f>'18'!$F$28</f>
        <v>6.72</v>
      </c>
      <c r="Z21" s="73">
        <f>'18'!$F$29</f>
        <v>7.53</v>
      </c>
      <c r="AA21" s="73">
        <f>'18'!$F$30</f>
        <v>8.82</v>
      </c>
      <c r="AB21" s="73" t="str">
        <f>'18'!$F$31</f>
        <v/>
      </c>
      <c r="AC21" s="73" t="str">
        <f>'18'!$F$32</f>
        <v/>
      </c>
      <c r="AD21" s="94">
        <f>'18'!$F$33</f>
        <v>8.36</v>
      </c>
    </row>
    <row r="22" spans="1:30" x14ac:dyDescent="0.2">
      <c r="A22" s="93" t="s">
        <v>1076</v>
      </c>
      <c r="B22" s="73">
        <f>'19'!$F$5</f>
        <v>6.4</v>
      </c>
      <c r="C22" s="73">
        <f>'19'!$F$6</f>
        <v>7.84</v>
      </c>
      <c r="D22" s="73">
        <f>'19'!$F$7</f>
        <v>4.71</v>
      </c>
      <c r="E22" s="73">
        <f>'19'!$F$8</f>
        <v>6.29</v>
      </c>
      <c r="F22" s="73" t="str">
        <f>'19'!$F$9</f>
        <v/>
      </c>
      <c r="G22" s="73">
        <f>'19'!$F$10</f>
        <v>2.41</v>
      </c>
      <c r="H22" s="73">
        <f>'19'!$F$11</f>
        <v>7.46</v>
      </c>
      <c r="I22" s="73" t="str">
        <f>'19'!$F$12</f>
        <v/>
      </c>
      <c r="J22" s="73">
        <f>'19'!$F$13</f>
        <v>4.24</v>
      </c>
      <c r="K22" s="73">
        <f>'19'!$F$14</f>
        <v>2.41</v>
      </c>
      <c r="L22" s="73">
        <f>'19'!$F$15</f>
        <v>6.38</v>
      </c>
      <c r="M22" s="73">
        <f>'19'!$F$16</f>
        <v>5.22</v>
      </c>
      <c r="N22" s="73">
        <f>'19'!$F$17</f>
        <v>6.69</v>
      </c>
      <c r="O22" s="73">
        <f>'19'!$F$18</f>
        <v>7.75</v>
      </c>
      <c r="P22" s="73" t="str">
        <f>'19'!$F$19</f>
        <v/>
      </c>
      <c r="Q22" s="73">
        <f>'19'!$F$20</f>
        <v>6.13</v>
      </c>
      <c r="R22" s="73" t="str">
        <f>'19'!$F$21</f>
        <v/>
      </c>
      <c r="S22" s="73">
        <f>'19'!$F$22</f>
        <v>5.74</v>
      </c>
      <c r="T22" s="73">
        <f>'19'!$F$23</f>
        <v>4.6900000000000004</v>
      </c>
      <c r="U22" s="73">
        <f>'19'!$F$24</f>
        <v>9.4700000000000006</v>
      </c>
      <c r="V22" s="73" t="str">
        <f>'19'!$F$25</f>
        <v/>
      </c>
      <c r="W22" s="73">
        <f>'19'!$F$26</f>
        <v>7.52</v>
      </c>
      <c r="X22" s="73">
        <f>'19'!$F$27</f>
        <v>10.85</v>
      </c>
      <c r="Y22" s="73">
        <f>'19'!$F$28</f>
        <v>14.74</v>
      </c>
      <c r="Z22" s="73">
        <f>'19'!$F$29</f>
        <v>4.68</v>
      </c>
      <c r="AA22" s="73">
        <f>'19'!$F$30</f>
        <v>5.91</v>
      </c>
      <c r="AB22" s="73" t="str">
        <f>'19'!$F$31</f>
        <v/>
      </c>
      <c r="AC22" s="73" t="str">
        <f>'19'!$F$32</f>
        <v/>
      </c>
      <c r="AD22" s="94">
        <f>'19'!$F$33</f>
        <v>5.77</v>
      </c>
    </row>
    <row r="23" spans="1:30" x14ac:dyDescent="0.2">
      <c r="A23" s="93" t="s">
        <v>1047</v>
      </c>
      <c r="B23" s="73">
        <f>'20'!$F$5</f>
        <v>7.86</v>
      </c>
      <c r="C23" s="73">
        <f>'20'!$F$6</f>
        <v>6.08</v>
      </c>
      <c r="D23" s="73">
        <f>'20'!$F$7</f>
        <v>4.3</v>
      </c>
      <c r="E23" s="73">
        <f>'20'!$F$8</f>
        <v>2.89</v>
      </c>
      <c r="F23" s="73" t="str">
        <f>'20'!$F$9</f>
        <v/>
      </c>
      <c r="G23" s="73">
        <f>'20'!$F$10</f>
        <v>11.62</v>
      </c>
      <c r="H23" s="73">
        <f>'20'!$F$11</f>
        <v>5.39</v>
      </c>
      <c r="I23" s="73">
        <f>'20'!$F$12</f>
        <v>13.74</v>
      </c>
      <c r="J23" s="73">
        <f>'20'!$F$13</f>
        <v>3.47</v>
      </c>
      <c r="K23" s="73" t="str">
        <f>'20'!$F$14</f>
        <v/>
      </c>
      <c r="L23" s="73">
        <f>'20'!$F$15</f>
        <v>6.05</v>
      </c>
      <c r="M23" s="73">
        <f>'20'!$F$16</f>
        <v>4.03</v>
      </c>
      <c r="N23" s="73">
        <f>'20'!$F$17</f>
        <v>4.3099999999999996</v>
      </c>
      <c r="O23" s="73" t="str">
        <f>'20'!$F$18</f>
        <v/>
      </c>
      <c r="P23" s="73" t="str">
        <f>'20'!$F$19</f>
        <v/>
      </c>
      <c r="Q23" s="73">
        <f>'20'!$F$20</f>
        <v>3.62</v>
      </c>
      <c r="R23" s="73" t="str">
        <f>'20'!$F$21</f>
        <v/>
      </c>
      <c r="S23" s="73">
        <f>'20'!$F$22</f>
        <v>6.05</v>
      </c>
      <c r="T23" s="73">
        <f>'20'!$F$23</f>
        <v>3.84</v>
      </c>
      <c r="U23" s="73">
        <f>'20'!$F$24</f>
        <v>6.06</v>
      </c>
      <c r="V23" s="73" t="str">
        <f>'20'!$F$25</f>
        <v/>
      </c>
      <c r="W23" s="73">
        <f>'20'!$F$26</f>
        <v>39.92</v>
      </c>
      <c r="X23" s="73">
        <f>'20'!$F$27</f>
        <v>6.09</v>
      </c>
      <c r="Y23" s="73">
        <f>'20'!$F$28</f>
        <v>5.03</v>
      </c>
      <c r="Z23" s="73">
        <f>'20'!$F$29</f>
        <v>4.2300000000000004</v>
      </c>
      <c r="AA23" s="73">
        <f>'20'!$F$30</f>
        <v>4.93</v>
      </c>
      <c r="AB23" s="73" t="str">
        <f>'20'!$F$31</f>
        <v/>
      </c>
      <c r="AC23" s="73" t="str">
        <f>'20'!$F$32</f>
        <v/>
      </c>
      <c r="AD23" s="94">
        <f>'20'!$F$33</f>
        <v>4.5</v>
      </c>
    </row>
    <row r="24" spans="1:30" x14ac:dyDescent="0.2">
      <c r="A24" s="93" t="s">
        <v>1069</v>
      </c>
      <c r="B24" s="73">
        <f>'21'!$F$5</f>
        <v>8.1300000000000008</v>
      </c>
      <c r="C24" s="73">
        <f>'21'!$F$6</f>
        <v>5.57</v>
      </c>
      <c r="D24" s="73">
        <f>'21'!$F$7</f>
        <v>7.13</v>
      </c>
      <c r="E24" s="73">
        <f>'21'!$F$8</f>
        <v>7.63</v>
      </c>
      <c r="F24" s="73" t="str">
        <f>'21'!$F$9</f>
        <v/>
      </c>
      <c r="G24" s="73">
        <f>'21'!$F$10</f>
        <v>13.93</v>
      </c>
      <c r="H24" s="73">
        <f>'21'!$F$11</f>
        <v>23.62</v>
      </c>
      <c r="I24" s="73">
        <f>'21'!$F$12</f>
        <v>7.42</v>
      </c>
      <c r="J24" s="73">
        <f>'21'!$F$13</f>
        <v>7.3</v>
      </c>
      <c r="K24" s="73">
        <f>'21'!$F$14</f>
        <v>11.93</v>
      </c>
      <c r="L24" s="73">
        <f>'21'!$F$15</f>
        <v>12.23</v>
      </c>
      <c r="M24" s="73">
        <f>'21'!$F$16</f>
        <v>7.12</v>
      </c>
      <c r="N24" s="73">
        <f>'21'!$F$17</f>
        <v>7.45</v>
      </c>
      <c r="O24" s="73">
        <f>'21'!$F$18</f>
        <v>12.58</v>
      </c>
      <c r="P24" s="73" t="str">
        <f>'21'!$F$19</f>
        <v/>
      </c>
      <c r="Q24" s="73">
        <f>'21'!$F$20</f>
        <v>8.51</v>
      </c>
      <c r="R24" s="73">
        <f>'21'!$F$21</f>
        <v>16.04</v>
      </c>
      <c r="S24" s="73">
        <f>'21'!$F$22</f>
        <v>11.69</v>
      </c>
      <c r="T24" s="73">
        <f>'21'!$F$23</f>
        <v>6.9</v>
      </c>
      <c r="U24" s="73">
        <f>'21'!$F$24</f>
        <v>9.74</v>
      </c>
      <c r="V24" s="73">
        <f>'21'!$F$25</f>
        <v>10.93</v>
      </c>
      <c r="W24" s="73">
        <f>'21'!$F$26</f>
        <v>23.41</v>
      </c>
      <c r="X24" s="73">
        <f>'21'!$F$27</f>
        <v>11.46</v>
      </c>
      <c r="Y24" s="73">
        <f>'21'!$F$28</f>
        <v>12.31</v>
      </c>
      <c r="Z24" s="73">
        <f>'21'!$F$29</f>
        <v>6.76</v>
      </c>
      <c r="AA24" s="73">
        <f>'21'!$F$30</f>
        <v>9.09</v>
      </c>
      <c r="AB24" s="73" t="str">
        <f>'21'!$F$31</f>
        <v/>
      </c>
      <c r="AC24" s="73" t="str">
        <f>'21'!$F$32</f>
        <v/>
      </c>
      <c r="AD24" s="94">
        <f>'21'!$F$33</f>
        <v>8.26</v>
      </c>
    </row>
    <row r="25" spans="1:30" x14ac:dyDescent="0.2">
      <c r="A25" s="93" t="s">
        <v>1048</v>
      </c>
      <c r="B25" s="73">
        <f>'22'!$F$5</f>
        <v>6.7</v>
      </c>
      <c r="C25" s="73">
        <f>'22'!$F$6</f>
        <v>5.82</v>
      </c>
      <c r="D25" s="73">
        <f>'22'!$F$7</f>
        <v>6.74</v>
      </c>
      <c r="E25" s="73">
        <f>'22'!$F$8</f>
        <v>5.5</v>
      </c>
      <c r="F25" s="73" t="str">
        <f>'22'!$F$9</f>
        <v/>
      </c>
      <c r="G25" s="73">
        <f>'22'!$F$10</f>
        <v>3.6</v>
      </c>
      <c r="H25" s="73">
        <f>'22'!$F$11</f>
        <v>6.3</v>
      </c>
      <c r="I25" s="73">
        <f>'22'!$F$12</f>
        <v>6</v>
      </c>
      <c r="J25" s="73">
        <f>'22'!$F$13</f>
        <v>5.53</v>
      </c>
      <c r="K25" s="73">
        <f>'22'!$F$14</f>
        <v>8.31</v>
      </c>
      <c r="L25" s="73">
        <f>'22'!$F$15</f>
        <v>6.39</v>
      </c>
      <c r="M25" s="73">
        <f>'22'!$F$16</f>
        <v>5.35</v>
      </c>
      <c r="N25" s="73">
        <f>'22'!$F$17</f>
        <v>7.08</v>
      </c>
      <c r="O25" s="73">
        <f>'22'!$F$18</f>
        <v>12.62</v>
      </c>
      <c r="P25" s="73">
        <f>'22'!$F$19</f>
        <v>14.31</v>
      </c>
      <c r="Q25" s="73">
        <f>'22'!$F$20</f>
        <v>6.06</v>
      </c>
      <c r="R25" s="73">
        <f>'22'!$F$21</f>
        <v>8.8800000000000008</v>
      </c>
      <c r="S25" s="73">
        <f>'22'!$F$22</f>
        <v>7.72</v>
      </c>
      <c r="T25" s="73">
        <f>'22'!$F$23</f>
        <v>5.72</v>
      </c>
      <c r="U25" s="73">
        <f>'22'!$F$24</f>
        <v>5.52</v>
      </c>
      <c r="V25" s="73">
        <f>'22'!$F$25</f>
        <v>5.16</v>
      </c>
      <c r="W25" s="73">
        <f>'22'!$F$26</f>
        <v>3.94</v>
      </c>
      <c r="X25" s="73">
        <f>'22'!$F$27</f>
        <v>13.67</v>
      </c>
      <c r="Y25" s="73">
        <f>'22'!$F$28</f>
        <v>4.6500000000000004</v>
      </c>
      <c r="Z25" s="73">
        <f>'22'!$F$29</f>
        <v>5.18</v>
      </c>
      <c r="AA25" s="73">
        <f>'22'!$F$30</f>
        <v>6.87</v>
      </c>
      <c r="AB25" s="73" t="str">
        <f>'22'!$F$31</f>
        <v/>
      </c>
      <c r="AC25" s="73" t="str">
        <f>'22'!$F$32</f>
        <v/>
      </c>
      <c r="AD25" s="94">
        <f>'22'!$F$33</f>
        <v>6.07</v>
      </c>
    </row>
    <row r="26" spans="1:30" x14ac:dyDescent="0.2">
      <c r="A26" s="93" t="s">
        <v>1049</v>
      </c>
      <c r="B26" s="73">
        <f>'23'!$F$5</f>
        <v>9.1199999999999992</v>
      </c>
      <c r="C26" s="73">
        <f>'23'!$F$6</f>
        <v>6.07</v>
      </c>
      <c r="D26" s="73">
        <f>'23'!$F$7</f>
        <v>5.29</v>
      </c>
      <c r="E26" s="73">
        <f>'23'!$F$8</f>
        <v>5.2</v>
      </c>
      <c r="F26" s="73" t="str">
        <f>'23'!$F$9</f>
        <v/>
      </c>
      <c r="G26" s="73">
        <f>'23'!$F$10</f>
        <v>12.16</v>
      </c>
      <c r="H26" s="73">
        <f>'23'!$F$11</f>
        <v>4.6399999999999997</v>
      </c>
      <c r="I26" s="73">
        <f>'23'!$F$12</f>
        <v>7.82</v>
      </c>
      <c r="J26" s="73">
        <f>'23'!$F$13</f>
        <v>3.44</v>
      </c>
      <c r="K26" s="73">
        <f>'23'!$F$14</f>
        <v>29.84</v>
      </c>
      <c r="L26" s="73">
        <f>'23'!$F$15</f>
        <v>5.92</v>
      </c>
      <c r="M26" s="73">
        <f>'23'!$F$16</f>
        <v>4.46</v>
      </c>
      <c r="N26" s="73">
        <f>'23'!$F$17</f>
        <v>9.36</v>
      </c>
      <c r="O26" s="73">
        <f>'23'!$F$18</f>
        <v>7.95</v>
      </c>
      <c r="P26" s="73" t="str">
        <f>'23'!$F$19</f>
        <v/>
      </c>
      <c r="Q26" s="73">
        <f>'23'!$F$20</f>
        <v>5.53</v>
      </c>
      <c r="R26" s="73" t="str">
        <f>'23'!$F$21</f>
        <v/>
      </c>
      <c r="S26" s="73">
        <f>'23'!$F$22</f>
        <v>5.03</v>
      </c>
      <c r="T26" s="73">
        <f>'23'!$F$23</f>
        <v>4.17</v>
      </c>
      <c r="U26" s="73">
        <f>'23'!$F$24</f>
        <v>5.66</v>
      </c>
      <c r="V26" s="73">
        <f>'23'!$F$25</f>
        <v>10.210000000000001</v>
      </c>
      <c r="W26" s="73" t="str">
        <f>'23'!$F$26</f>
        <v/>
      </c>
      <c r="X26" s="73">
        <f>'23'!$F$27</f>
        <v>6.79</v>
      </c>
      <c r="Y26" s="73">
        <f>'23'!$F$28</f>
        <v>7.06</v>
      </c>
      <c r="Z26" s="73">
        <f>'23'!$F$29</f>
        <v>4.0999999999999996</v>
      </c>
      <c r="AA26" s="73">
        <f>'23'!$F$30</f>
        <v>6.01</v>
      </c>
      <c r="AB26" s="73" t="str">
        <f>'23'!$F$31</f>
        <v/>
      </c>
      <c r="AC26" s="73" t="str">
        <f>'23'!$F$32</f>
        <v/>
      </c>
      <c r="AD26" s="94">
        <f>'23'!$F$33</f>
        <v>5.27</v>
      </c>
    </row>
    <row r="27" spans="1:30" x14ac:dyDescent="0.2">
      <c r="A27" s="93" t="s">
        <v>1033</v>
      </c>
      <c r="B27" s="73" t="str">
        <f>'24'!$F$5</f>
        <v/>
      </c>
      <c r="C27" s="73" t="str">
        <f>'24'!$F$6</f>
        <v/>
      </c>
      <c r="D27" s="73">
        <f>'24'!$F$7</f>
        <v>7.1</v>
      </c>
      <c r="E27" s="73">
        <f>'24'!$F$8</f>
        <v>8.02</v>
      </c>
      <c r="F27" s="73" t="str">
        <f>'24'!$F$9</f>
        <v/>
      </c>
      <c r="G27" s="73">
        <f>'24'!$F$10</f>
        <v>6.76</v>
      </c>
      <c r="H27" s="73">
        <f>'24'!$F$11</f>
        <v>7.65</v>
      </c>
      <c r="I27" s="73">
        <f>'24'!$F$12</f>
        <v>11.49</v>
      </c>
      <c r="J27" s="73" t="str">
        <f>'24'!$F$13</f>
        <v/>
      </c>
      <c r="K27" s="73" t="str">
        <f>'24'!$F$14</f>
        <v/>
      </c>
      <c r="L27" s="73" t="str">
        <f>'24'!$F$15</f>
        <v/>
      </c>
      <c r="M27" s="73">
        <f>'24'!$F$16</f>
        <v>7.9</v>
      </c>
      <c r="N27" s="73">
        <f>'24'!$F$17</f>
        <v>7.43</v>
      </c>
      <c r="O27" s="73">
        <f>'24'!$F$18</f>
        <v>12.76</v>
      </c>
      <c r="P27" s="73" t="str">
        <f>'24'!$F$19</f>
        <v/>
      </c>
      <c r="Q27" s="73">
        <f>'24'!$F$20</f>
        <v>8.94</v>
      </c>
      <c r="R27" s="73" t="str">
        <f>'24'!$F$21</f>
        <v/>
      </c>
      <c r="S27" s="73">
        <f>'24'!$F$22</f>
        <v>10.84</v>
      </c>
      <c r="T27" s="73">
        <f>'24'!$F$23</f>
        <v>6.61</v>
      </c>
      <c r="U27" s="73">
        <f>'24'!$F$24</f>
        <v>9.17</v>
      </c>
      <c r="V27" s="73" t="str">
        <f>'24'!$F$25</f>
        <v/>
      </c>
      <c r="W27" s="73">
        <f>'24'!$F$26</f>
        <v>7.65</v>
      </c>
      <c r="X27" s="73">
        <f>'24'!$F$27</f>
        <v>6.46</v>
      </c>
      <c r="Y27" s="73">
        <f>'24'!$F$28</f>
        <v>7.74</v>
      </c>
      <c r="Z27" s="73">
        <f>'24'!$F$29</f>
        <v>6.21</v>
      </c>
      <c r="AA27" s="73">
        <f>'24'!$F$30</f>
        <v>8.08</v>
      </c>
      <c r="AB27" s="73" t="str">
        <f>'24'!$F$31</f>
        <v/>
      </c>
      <c r="AC27" s="73" t="str">
        <f>'24'!$F$32</f>
        <v/>
      </c>
      <c r="AD27" s="94">
        <f>'24'!$F$33</f>
        <v>7.65</v>
      </c>
    </row>
    <row r="28" spans="1:30" x14ac:dyDescent="0.2">
      <c r="A28" s="93" t="s">
        <v>1050</v>
      </c>
      <c r="B28" s="73">
        <f>'25'!$F$5</f>
        <v>5.83</v>
      </c>
      <c r="C28" s="73">
        <f>'25'!$F$6</f>
        <v>22.83</v>
      </c>
      <c r="D28" s="73">
        <f>'25'!$F$7</f>
        <v>7.79</v>
      </c>
      <c r="E28" s="73">
        <f>'25'!$F$8</f>
        <v>7.07</v>
      </c>
      <c r="F28" s="73">
        <f>'25'!$F$9</f>
        <v>12.89</v>
      </c>
      <c r="G28" s="73">
        <f>'25'!$F$10</f>
        <v>5.12</v>
      </c>
      <c r="H28" s="73">
        <f>'25'!$F$11</f>
        <v>8.1199999999999992</v>
      </c>
      <c r="I28" s="73">
        <f>'25'!$F$12</f>
        <v>5.79</v>
      </c>
      <c r="J28" s="73">
        <f>'25'!$F$13</f>
        <v>8.17</v>
      </c>
      <c r="K28" s="73" t="str">
        <f>'25'!$F$14</f>
        <v/>
      </c>
      <c r="L28" s="73" t="str">
        <f>'25'!$F$15</f>
        <v/>
      </c>
      <c r="M28" s="73">
        <f>'25'!$F$16</f>
        <v>8.9600000000000009</v>
      </c>
      <c r="N28" s="73">
        <f>'25'!$F$17</f>
        <v>8.48</v>
      </c>
      <c r="O28" s="73">
        <f>'25'!$F$18</f>
        <v>9.6</v>
      </c>
      <c r="P28" s="73" t="str">
        <f>'25'!$F$19</f>
        <v/>
      </c>
      <c r="Q28" s="73">
        <f>'25'!$F$20</f>
        <v>8.32</v>
      </c>
      <c r="R28" s="73" t="str">
        <f>'25'!$F$21</f>
        <v/>
      </c>
      <c r="S28" s="73">
        <f>'25'!$F$22</f>
        <v>9.81</v>
      </c>
      <c r="T28" s="73">
        <f>'25'!$F$23</f>
        <v>7.97</v>
      </c>
      <c r="U28" s="73">
        <f>'25'!$F$24</f>
        <v>6.03</v>
      </c>
      <c r="V28" s="73">
        <f>'25'!$F$25</f>
        <v>6.03</v>
      </c>
      <c r="W28" s="73">
        <f>'25'!$F$26</f>
        <v>6.22</v>
      </c>
      <c r="X28" s="73">
        <f>'25'!$F$27</f>
        <v>7.94</v>
      </c>
      <c r="Y28" s="73">
        <f>'25'!$F$28</f>
        <v>7.77</v>
      </c>
      <c r="Z28" s="73">
        <f>'25'!$F$29</f>
        <v>7.06</v>
      </c>
      <c r="AA28" s="73">
        <f>'25'!$F$30</f>
        <v>9.02</v>
      </c>
      <c r="AB28" s="73" t="str">
        <f>'25'!$F$31</f>
        <v/>
      </c>
      <c r="AC28" s="73" t="str">
        <f>'25'!$F$32</f>
        <v/>
      </c>
      <c r="AD28" s="94">
        <f>'25'!$F$33</f>
        <v>7.72</v>
      </c>
    </row>
    <row r="29" spans="1:30" x14ac:dyDescent="0.2">
      <c r="A29" s="92" t="s">
        <v>1051</v>
      </c>
      <c r="B29" s="73">
        <f>'26'!$F$5</f>
        <v>7.23</v>
      </c>
      <c r="C29" s="73">
        <f>'26'!$F$6</f>
        <v>9.25</v>
      </c>
      <c r="D29" s="73">
        <f>'26'!$F$7</f>
        <v>7.12</v>
      </c>
      <c r="E29" s="73">
        <f>'26'!$F$8</f>
        <v>8.74</v>
      </c>
      <c r="F29" s="73">
        <f>'26'!$F$9</f>
        <v>11.77</v>
      </c>
      <c r="G29" s="73">
        <f>'26'!$F$10</f>
        <v>7.56</v>
      </c>
      <c r="H29" s="73">
        <f>'26'!$F$11</f>
        <v>8.2899999999999991</v>
      </c>
      <c r="I29" s="73">
        <f>'26'!$F$12</f>
        <v>8.83</v>
      </c>
      <c r="J29" s="73">
        <f>'26'!$F$13</f>
        <v>6.29</v>
      </c>
      <c r="K29" s="73">
        <f>'26'!$F$14</f>
        <v>8.83</v>
      </c>
      <c r="L29" s="73">
        <f>'26'!$F$15</f>
        <v>8.83</v>
      </c>
      <c r="M29" s="73">
        <f>'26'!$F$16</f>
        <v>7.02</v>
      </c>
      <c r="N29" s="73">
        <f>'26'!$F$17</f>
        <v>5.98</v>
      </c>
      <c r="O29" s="73">
        <f>'26'!$F$18</f>
        <v>12.76</v>
      </c>
      <c r="P29" s="73" t="str">
        <f>'26'!$F$19</f>
        <v/>
      </c>
      <c r="Q29" s="73">
        <f>'26'!$F$20</f>
        <v>7.08</v>
      </c>
      <c r="R29" s="73">
        <f>'26'!$F$21</f>
        <v>13.13</v>
      </c>
      <c r="S29" s="73">
        <f>'26'!$F$22</f>
        <v>7.85</v>
      </c>
      <c r="T29" s="73">
        <f>'26'!$F$23</f>
        <v>6.14</v>
      </c>
      <c r="U29" s="73">
        <f>'26'!$F$24</f>
        <v>7.22</v>
      </c>
      <c r="V29" s="73">
        <f>'26'!$F$25</f>
        <v>12.09</v>
      </c>
      <c r="W29" s="73">
        <f>'26'!$F$26</f>
        <v>11.77</v>
      </c>
      <c r="X29" s="73">
        <f>'26'!$F$27</f>
        <v>7.94</v>
      </c>
      <c r="Y29" s="73">
        <f>'26'!$F$28</f>
        <v>7.8</v>
      </c>
      <c r="Z29" s="73">
        <f>'26'!$F$29</f>
        <v>6.17</v>
      </c>
      <c r="AA29" s="73">
        <f>'26'!$F$30</f>
        <v>8.3000000000000007</v>
      </c>
      <c r="AB29" s="73" t="str">
        <f>'26'!$F$31</f>
        <v/>
      </c>
      <c r="AC29" s="73" t="str">
        <f>'26'!$F$32</f>
        <v/>
      </c>
      <c r="AD29" s="94">
        <f>'26'!$F$33</f>
        <v>7.17</v>
      </c>
    </row>
    <row r="30" spans="1:30" x14ac:dyDescent="0.2">
      <c r="A30" s="93" t="s">
        <v>1030</v>
      </c>
      <c r="B30" s="73" t="str">
        <f>'27'!$F$5</f>
        <v/>
      </c>
      <c r="C30" s="73">
        <f>'27'!$F$6</f>
        <v>59.51</v>
      </c>
      <c r="D30" s="73">
        <f>'27'!$F$7</f>
        <v>4.55</v>
      </c>
      <c r="E30" s="73">
        <f>'27'!$F$8</f>
        <v>5.24</v>
      </c>
      <c r="F30" s="73" t="str">
        <f>'27'!$F$9</f>
        <v/>
      </c>
      <c r="G30" s="73">
        <f>'27'!$F$10</f>
        <v>4.24</v>
      </c>
      <c r="H30" s="73">
        <f>'27'!$F$11</f>
        <v>11.37</v>
      </c>
      <c r="I30" s="73">
        <f>'27'!$F$12</f>
        <v>26.68</v>
      </c>
      <c r="J30" s="73">
        <f>'27'!$F$13</f>
        <v>7.69</v>
      </c>
      <c r="K30" s="73" t="str">
        <f>'27'!$F$14</f>
        <v/>
      </c>
      <c r="L30" s="73" t="str">
        <f>'27'!$F$15</f>
        <v/>
      </c>
      <c r="M30" s="73">
        <f>'27'!$F$16</f>
        <v>5.78</v>
      </c>
      <c r="N30" s="73">
        <f>'27'!$F$17</f>
        <v>4.8</v>
      </c>
      <c r="O30" s="73">
        <f>'27'!$F$18</f>
        <v>8.8699999999999992</v>
      </c>
      <c r="P30" s="73" t="str">
        <f>'27'!$F$19</f>
        <v/>
      </c>
      <c r="Q30" s="73">
        <f>'27'!$F$20</f>
        <v>6.2</v>
      </c>
      <c r="R30" s="73">
        <f>'27'!$F$21</f>
        <v>7.26</v>
      </c>
      <c r="S30" s="73">
        <f>'27'!$F$22</f>
        <v>4.7300000000000004</v>
      </c>
      <c r="T30" s="73">
        <f>'27'!$F$23</f>
        <v>4.72</v>
      </c>
      <c r="U30" s="73" t="str">
        <f>'27'!$F$24</f>
        <v/>
      </c>
      <c r="V30" s="73">
        <f>'27'!$F$25</f>
        <v>2.36</v>
      </c>
      <c r="W30" s="73" t="str">
        <f>'27'!$F$26</f>
        <v/>
      </c>
      <c r="X30" s="73">
        <f>'27'!$F$27</f>
        <v>8.36</v>
      </c>
      <c r="Y30" s="73">
        <f>'27'!$F$28</f>
        <v>7.28</v>
      </c>
      <c r="Z30" s="73">
        <f>'27'!$F$29</f>
        <v>3.94</v>
      </c>
      <c r="AA30" s="73">
        <f>'27'!$F$30</f>
        <v>6.31</v>
      </c>
      <c r="AB30" s="73" t="str">
        <f>'27'!$F$31</f>
        <v/>
      </c>
      <c r="AC30" s="73" t="str">
        <f>'27'!$F$32</f>
        <v/>
      </c>
      <c r="AD30" s="94">
        <f>'27'!$F$33</f>
        <v>6.04</v>
      </c>
    </row>
    <row r="31" spans="1:30" x14ac:dyDescent="0.2">
      <c r="A31" s="93" t="s">
        <v>1052</v>
      </c>
      <c r="B31" s="73">
        <f>'28'!$F$5</f>
        <v>10.54</v>
      </c>
      <c r="C31" s="73">
        <f>'28'!$F$6</f>
        <v>8.94</v>
      </c>
      <c r="D31" s="73">
        <f>'28'!$F$7</f>
        <v>6.33</v>
      </c>
      <c r="E31" s="73">
        <f>'28'!$F$8</f>
        <v>7.65</v>
      </c>
      <c r="F31" s="73">
        <f>'28'!$F$9</f>
        <v>13.8</v>
      </c>
      <c r="G31" s="73">
        <f>'28'!$F$10</f>
        <v>15.39</v>
      </c>
      <c r="H31" s="73">
        <f>'28'!$F$11</f>
        <v>7.72</v>
      </c>
      <c r="I31" s="73" t="str">
        <f>'28'!$F$12</f>
        <v/>
      </c>
      <c r="J31" s="73">
        <f>'28'!$F$13</f>
        <v>5.52</v>
      </c>
      <c r="K31" s="73">
        <f>'28'!$F$14</f>
        <v>4.66</v>
      </c>
      <c r="L31" s="73">
        <f>'28'!$F$15</f>
        <v>11.06</v>
      </c>
      <c r="M31" s="73">
        <f>'28'!$F$16</f>
        <v>7.55</v>
      </c>
      <c r="N31" s="73">
        <f>'28'!$F$17</f>
        <v>6.48</v>
      </c>
      <c r="O31" s="73">
        <f>'28'!$F$18</f>
        <v>9.85</v>
      </c>
      <c r="P31" s="73" t="str">
        <f>'28'!$F$19</f>
        <v/>
      </c>
      <c r="Q31" s="73">
        <f>'28'!$F$20</f>
        <v>8.51</v>
      </c>
      <c r="R31" s="73">
        <f>'28'!$F$21</f>
        <v>10.98</v>
      </c>
      <c r="S31" s="73">
        <f>'28'!$F$22</f>
        <v>10.95</v>
      </c>
      <c r="T31" s="73">
        <f>'28'!$F$23</f>
        <v>6.7</v>
      </c>
      <c r="U31" s="73">
        <f>'28'!$F$24</f>
        <v>8.1999999999999993</v>
      </c>
      <c r="V31" s="73">
        <f>'28'!$F$25</f>
        <v>13.75</v>
      </c>
      <c r="W31" s="73" t="str">
        <f>'28'!$F$26</f>
        <v/>
      </c>
      <c r="X31" s="73">
        <f>'28'!$F$27</f>
        <v>11.28</v>
      </c>
      <c r="Y31" s="73">
        <f>'28'!$F$28</f>
        <v>6.78</v>
      </c>
      <c r="Z31" s="73">
        <f>'28'!$F$29</f>
        <v>6.65</v>
      </c>
      <c r="AA31" s="73">
        <f>'28'!$F$30</f>
        <v>8.68</v>
      </c>
      <c r="AB31" s="73" t="str">
        <f>'28'!$F$31</f>
        <v/>
      </c>
      <c r="AC31" s="73" t="str">
        <f>'28'!$F$32</f>
        <v/>
      </c>
      <c r="AD31" s="94">
        <f>'28'!$F$33</f>
        <v>7.84</v>
      </c>
    </row>
    <row r="32" spans="1:30" x14ac:dyDescent="0.2">
      <c r="A32" s="93" t="s">
        <v>1053</v>
      </c>
      <c r="B32" s="73">
        <f>'29'!$F$5</f>
        <v>11.12</v>
      </c>
      <c r="C32" s="73">
        <f>'29'!$F$6</f>
        <v>4.74</v>
      </c>
      <c r="D32" s="73">
        <f>'29'!$F$7</f>
        <v>4.25</v>
      </c>
      <c r="E32" s="73">
        <f>'29'!$F$8</f>
        <v>4.5999999999999996</v>
      </c>
      <c r="F32" s="73" t="str">
        <f>'29'!$F$9</f>
        <v/>
      </c>
      <c r="G32" s="73">
        <f>'29'!$F$10</f>
        <v>6.95</v>
      </c>
      <c r="H32" s="73">
        <f>'29'!$F$11</f>
        <v>4.54</v>
      </c>
      <c r="I32" s="73">
        <f>'29'!$F$12</f>
        <v>4.08</v>
      </c>
      <c r="J32" s="73">
        <f>'29'!$F$13</f>
        <v>4.4000000000000004</v>
      </c>
      <c r="K32" s="73">
        <f>'29'!$F$14</f>
        <v>14.44</v>
      </c>
      <c r="L32" s="73">
        <f>'29'!$F$15</f>
        <v>3.91</v>
      </c>
      <c r="M32" s="73">
        <f>'29'!$F$16</f>
        <v>4.3499999999999996</v>
      </c>
      <c r="N32" s="73">
        <f>'29'!$F$17</f>
        <v>3.92</v>
      </c>
      <c r="O32" s="73">
        <f>'29'!$F$18</f>
        <v>8.56</v>
      </c>
      <c r="P32" s="73" t="str">
        <f>'29'!$F$19</f>
        <v/>
      </c>
      <c r="Q32" s="73">
        <f>'29'!$F$20</f>
        <v>5.42</v>
      </c>
      <c r="R32" s="73" t="str">
        <f>'29'!$F$21</f>
        <v/>
      </c>
      <c r="S32" s="73">
        <f>'29'!$F$22</f>
        <v>5.63</v>
      </c>
      <c r="T32" s="73">
        <f>'29'!$F$23</f>
        <v>4.4800000000000004</v>
      </c>
      <c r="U32" s="73" t="str">
        <f>'29'!$F$24</f>
        <v/>
      </c>
      <c r="V32" s="73">
        <f>'29'!$F$25</f>
        <v>7.06</v>
      </c>
      <c r="W32" s="73" t="str">
        <f>'29'!$F$26</f>
        <v/>
      </c>
      <c r="X32" s="73">
        <f>'29'!$F$27</f>
        <v>5.27</v>
      </c>
      <c r="Y32" s="73">
        <f>'29'!$F$28</f>
        <v>5.84</v>
      </c>
      <c r="Z32" s="73">
        <f>'29'!$F$29</f>
        <v>4.33</v>
      </c>
      <c r="AA32" s="73">
        <f>'29'!$F$30</f>
        <v>6.03</v>
      </c>
      <c r="AB32" s="73" t="str">
        <f>'29'!$F$31</f>
        <v/>
      </c>
      <c r="AC32" s="73" t="str">
        <f>'29'!$F$32</f>
        <v/>
      </c>
      <c r="AD32" s="94">
        <f>'29'!$F$33</f>
        <v>4.87</v>
      </c>
    </row>
    <row r="33" spans="1:30" x14ac:dyDescent="0.2">
      <c r="A33" s="93" t="s">
        <v>1054</v>
      </c>
      <c r="B33" s="73">
        <f>'30'!$F$5</f>
        <v>8.43</v>
      </c>
      <c r="C33" s="73">
        <f>'30'!$F$6</f>
        <v>9.4499999999999993</v>
      </c>
      <c r="D33" s="73">
        <f>'30'!$F$7</f>
        <v>4.03</v>
      </c>
      <c r="E33" s="73">
        <f>'30'!$F$8</f>
        <v>4.2300000000000004</v>
      </c>
      <c r="F33" s="73" t="str">
        <f>'30'!$F$9</f>
        <v/>
      </c>
      <c r="G33" s="73">
        <f>'30'!$F$10</f>
        <v>22.77</v>
      </c>
      <c r="H33" s="73">
        <f>'30'!$F$11</f>
        <v>7.53</v>
      </c>
      <c r="I33" s="73" t="str">
        <f>'30'!$F$12</f>
        <v/>
      </c>
      <c r="J33" s="73">
        <f>'30'!$F$13</f>
        <v>3.3</v>
      </c>
      <c r="K33" s="73" t="str">
        <f>'30'!$F$14</f>
        <v/>
      </c>
      <c r="L33" s="73">
        <f>'30'!$F$15</f>
        <v>3.48</v>
      </c>
      <c r="M33" s="73">
        <f>'30'!$F$16</f>
        <v>4.54</v>
      </c>
      <c r="N33" s="73">
        <f>'30'!$F$17</f>
        <v>5.6</v>
      </c>
      <c r="O33" s="73">
        <f>'30'!$F$18</f>
        <v>6.1</v>
      </c>
      <c r="P33" s="73" t="str">
        <f>'30'!$F$19</f>
        <v/>
      </c>
      <c r="Q33" s="73">
        <f>'30'!$F$20</f>
        <v>6.53</v>
      </c>
      <c r="R33" s="73" t="str">
        <f>'30'!$F$21</f>
        <v/>
      </c>
      <c r="S33" s="73">
        <f>'30'!$F$22</f>
        <v>4.7699999999999996</v>
      </c>
      <c r="T33" s="73">
        <f>'30'!$F$23</f>
        <v>3.98</v>
      </c>
      <c r="U33" s="73" t="str">
        <f>'30'!$F$24</f>
        <v/>
      </c>
      <c r="V33" s="73" t="str">
        <f>'30'!$F$25</f>
        <v/>
      </c>
      <c r="W33" s="73" t="str">
        <f>'30'!$F$26</f>
        <v/>
      </c>
      <c r="X33" s="73">
        <f>'30'!$F$27</f>
        <v>5.91</v>
      </c>
      <c r="Y33" s="73">
        <f>'30'!$F$28</f>
        <v>5.81</v>
      </c>
      <c r="Z33" s="73">
        <f>'30'!$F$29</f>
        <v>3.7</v>
      </c>
      <c r="AA33" s="73">
        <f>'30'!$F$30</f>
        <v>4.79</v>
      </c>
      <c r="AB33" s="73" t="str">
        <f>'30'!$F$31</f>
        <v/>
      </c>
      <c r="AC33" s="73" t="str">
        <f>'30'!$F$32</f>
        <v/>
      </c>
      <c r="AD33" s="94">
        <f>'30'!$F$33</f>
        <v>4.66</v>
      </c>
    </row>
    <row r="34" spans="1:30" x14ac:dyDescent="0.2">
      <c r="A34" s="93" t="s">
        <v>1031</v>
      </c>
      <c r="B34" s="73">
        <f>'31'!$F$5</f>
        <v>5.9</v>
      </c>
      <c r="C34" s="73">
        <f>'31'!$F$6</f>
        <v>33.159999999999997</v>
      </c>
      <c r="D34" s="73">
        <f>'31'!$F$7</f>
        <v>3.15</v>
      </c>
      <c r="E34" s="73">
        <f>'31'!$F$8</f>
        <v>6.23</v>
      </c>
      <c r="F34" s="73" t="str">
        <f>'31'!$F$9</f>
        <v/>
      </c>
      <c r="G34" s="73">
        <f>'31'!$F$10</f>
        <v>12.56</v>
      </c>
      <c r="H34" s="73">
        <f>'31'!$F$11</f>
        <v>7.55</v>
      </c>
      <c r="I34" s="73">
        <f>'31'!$F$12</f>
        <v>112.33</v>
      </c>
      <c r="J34" s="73">
        <f>'31'!$F$13</f>
        <v>3.95</v>
      </c>
      <c r="K34" s="73" t="str">
        <f>'31'!$F$14</f>
        <v/>
      </c>
      <c r="L34" s="73" t="str">
        <f>'31'!$F$15</f>
        <v/>
      </c>
      <c r="M34" s="73">
        <f>'31'!$F$16</f>
        <v>5.33</v>
      </c>
      <c r="N34" s="73">
        <f>'31'!$F$17</f>
        <v>6.88</v>
      </c>
      <c r="O34" s="73">
        <f>'31'!$F$18</f>
        <v>9.08</v>
      </c>
      <c r="P34" s="73" t="str">
        <f>'31'!$F$19</f>
        <v/>
      </c>
      <c r="Q34" s="73">
        <f>'31'!$F$20</f>
        <v>4.12</v>
      </c>
      <c r="R34" s="73" t="str">
        <f>'31'!$F$21</f>
        <v/>
      </c>
      <c r="S34" s="73">
        <f>'31'!$F$22</f>
        <v>7</v>
      </c>
      <c r="T34" s="73">
        <f>'31'!$F$23</f>
        <v>5.71</v>
      </c>
      <c r="U34" s="73">
        <f>'31'!$F$24</f>
        <v>9.11</v>
      </c>
      <c r="V34" s="73">
        <f>'31'!$F$25</f>
        <v>9.11</v>
      </c>
      <c r="W34" s="73">
        <f>'31'!$F$26</f>
        <v>8.43</v>
      </c>
      <c r="X34" s="73">
        <f>'31'!$F$27</f>
        <v>5.79</v>
      </c>
      <c r="Y34" s="73">
        <f>'31'!$F$28</f>
        <v>7.31</v>
      </c>
      <c r="Z34" s="73">
        <f>'31'!$F$29</f>
        <v>4.87</v>
      </c>
      <c r="AA34" s="73">
        <f>'31'!$F$30</f>
        <v>9.2799999999999994</v>
      </c>
      <c r="AB34" s="73" t="str">
        <f>'31'!$F$31</f>
        <v/>
      </c>
      <c r="AC34" s="73" t="str">
        <f>'31'!$F$32</f>
        <v/>
      </c>
      <c r="AD34" s="94">
        <f>'31'!$F$33</f>
        <v>6.37</v>
      </c>
    </row>
    <row r="35" spans="1:30" x14ac:dyDescent="0.2">
      <c r="A35" s="93" t="s">
        <v>1055</v>
      </c>
      <c r="B35" s="73">
        <f>'32'!$F$5</f>
        <v>7.03</v>
      </c>
      <c r="C35" s="73">
        <f>'32'!$F$6</f>
        <v>7.48</v>
      </c>
      <c r="D35" s="73">
        <f>'32'!$F$7</f>
        <v>5.09</v>
      </c>
      <c r="E35" s="73">
        <f>'32'!$F$8</f>
        <v>6.19</v>
      </c>
      <c r="F35" s="73" t="str">
        <f>'32'!$F$9</f>
        <v/>
      </c>
      <c r="G35" s="73">
        <f>'32'!$F$10</f>
        <v>6.81</v>
      </c>
      <c r="H35" s="73">
        <f>'32'!$F$11</f>
        <v>5.87</v>
      </c>
      <c r="I35" s="73">
        <f>'32'!$F$12</f>
        <v>6.29</v>
      </c>
      <c r="J35" s="73">
        <f>'32'!$F$13</f>
        <v>5.71</v>
      </c>
      <c r="K35" s="73">
        <f>'32'!$F$14</f>
        <v>7.01</v>
      </c>
      <c r="L35" s="73">
        <f>'32'!$F$15</f>
        <v>6.79</v>
      </c>
      <c r="M35" s="73">
        <f>'32'!$F$16</f>
        <v>5.24</v>
      </c>
      <c r="N35" s="73">
        <f>'32'!$F$17</f>
        <v>5.73</v>
      </c>
      <c r="O35" s="73">
        <f>'32'!$F$18</f>
        <v>9.2200000000000006</v>
      </c>
      <c r="P35" s="73" t="str">
        <f>'32'!$F$19</f>
        <v/>
      </c>
      <c r="Q35" s="73">
        <f>'32'!$F$20</f>
        <v>6.9</v>
      </c>
      <c r="R35" s="73">
        <f>'32'!$F$21</f>
        <v>10.81</v>
      </c>
      <c r="S35" s="73">
        <f>'32'!$F$22</f>
        <v>5.77</v>
      </c>
      <c r="T35" s="73">
        <f>'32'!$F$23</f>
        <v>5.5</v>
      </c>
      <c r="U35" s="73">
        <f>'32'!$F$24</f>
        <v>7.64</v>
      </c>
      <c r="V35" s="73">
        <f>'32'!$F$25</f>
        <v>7.51</v>
      </c>
      <c r="W35" s="73">
        <f>'32'!$F$26</f>
        <v>7.73</v>
      </c>
      <c r="X35" s="73">
        <f>'32'!$F$27</f>
        <v>5.35</v>
      </c>
      <c r="Y35" s="73">
        <f>'32'!$F$28</f>
        <v>5.62</v>
      </c>
      <c r="Z35" s="73">
        <f>'32'!$F$29</f>
        <v>5.46</v>
      </c>
      <c r="AA35" s="73">
        <f>'32'!$F$30</f>
        <v>9.0399999999999991</v>
      </c>
      <c r="AB35" s="73" t="str">
        <f>'32'!$F$31</f>
        <v/>
      </c>
      <c r="AC35" s="73" t="str">
        <f>'32'!$F$32</f>
        <v/>
      </c>
      <c r="AD35" s="94">
        <f>'32'!$F$33</f>
        <v>6.07</v>
      </c>
    </row>
    <row r="36" spans="1:30" x14ac:dyDescent="0.2">
      <c r="A36" s="93" t="s">
        <v>1056</v>
      </c>
      <c r="B36" s="73">
        <f>'33'!$F$5</f>
        <v>11.35</v>
      </c>
      <c r="C36" s="73">
        <f>'33'!$F$6</f>
        <v>10.94</v>
      </c>
      <c r="D36" s="73">
        <f>'33'!$F$7</f>
        <v>6.53</v>
      </c>
      <c r="E36" s="73">
        <f>'33'!$F$8</f>
        <v>10.1</v>
      </c>
      <c r="F36" s="73" t="str">
        <f>'33'!$F$9</f>
        <v/>
      </c>
      <c r="G36" s="73">
        <f>'33'!$F$10</f>
        <v>13.02</v>
      </c>
      <c r="H36" s="73">
        <f>'33'!$F$11</f>
        <v>9.11</v>
      </c>
      <c r="I36" s="73">
        <f>'33'!$F$12</f>
        <v>6.81</v>
      </c>
      <c r="J36" s="73">
        <f>'33'!$F$13</f>
        <v>7.02</v>
      </c>
      <c r="K36" s="73" t="str">
        <f>'33'!$F$14</f>
        <v/>
      </c>
      <c r="L36" s="73">
        <f>'33'!$F$15</f>
        <v>28.98</v>
      </c>
      <c r="M36" s="73">
        <f>'33'!$F$16</f>
        <v>6.69</v>
      </c>
      <c r="N36" s="73">
        <f>'33'!$F$17</f>
        <v>8.1199999999999992</v>
      </c>
      <c r="O36" s="73">
        <f>'33'!$F$18</f>
        <v>11.28</v>
      </c>
      <c r="P36" s="73" t="str">
        <f>'33'!$F$19</f>
        <v/>
      </c>
      <c r="Q36" s="73">
        <f>'33'!$F$20</f>
        <v>8.5500000000000007</v>
      </c>
      <c r="R36" s="73" t="str">
        <f>'33'!$F$21</f>
        <v/>
      </c>
      <c r="S36" s="73">
        <f>'33'!$F$22</f>
        <v>7.27</v>
      </c>
      <c r="T36" s="73">
        <f>'33'!$F$23</f>
        <v>7.44</v>
      </c>
      <c r="U36" s="73" t="str">
        <f>'33'!$F$24</f>
        <v/>
      </c>
      <c r="V36" s="73" t="str">
        <f>'33'!$F$25</f>
        <v/>
      </c>
      <c r="W36" s="73">
        <f>'33'!$F$26</f>
        <v>36.130000000000003</v>
      </c>
      <c r="X36" s="73">
        <f>'33'!$F$27</f>
        <v>7.45</v>
      </c>
      <c r="Y36" s="73">
        <f>'33'!$F$28</f>
        <v>7.57</v>
      </c>
      <c r="Z36" s="73">
        <f>'33'!$F$29</f>
        <v>6.5</v>
      </c>
      <c r="AA36" s="73">
        <f>'33'!$F$30</f>
        <v>9.15</v>
      </c>
      <c r="AB36" s="73" t="str">
        <f>'33'!$F$31</f>
        <v/>
      </c>
      <c r="AC36" s="73" t="str">
        <f>'33'!$F$32</f>
        <v/>
      </c>
      <c r="AD36" s="94">
        <f>'33'!$F$33</f>
        <v>8.01</v>
      </c>
    </row>
    <row r="37" spans="1:30" x14ac:dyDescent="0.2">
      <c r="A37" s="93" t="s">
        <v>1034</v>
      </c>
      <c r="B37" s="73">
        <f>'34'!$F$5</f>
        <v>11.15</v>
      </c>
      <c r="C37" s="73">
        <f>'34'!$F$6</f>
        <v>7.73</v>
      </c>
      <c r="D37" s="73">
        <f>'34'!$F$7</f>
        <v>5.17</v>
      </c>
      <c r="E37" s="73">
        <f>'34'!$F$8</f>
        <v>5.6</v>
      </c>
      <c r="F37" s="73" t="str">
        <f>'34'!$F$9</f>
        <v/>
      </c>
      <c r="G37" s="73">
        <f>'34'!$F$10</f>
        <v>28.84</v>
      </c>
      <c r="H37" s="73">
        <f>'34'!$F$11</f>
        <v>5.3</v>
      </c>
      <c r="I37" s="73" t="str">
        <f>'34'!$F$12</f>
        <v/>
      </c>
      <c r="J37" s="73">
        <f>'34'!$F$13</f>
        <v>7.64</v>
      </c>
      <c r="K37" s="73" t="str">
        <f>'34'!$F$14</f>
        <v/>
      </c>
      <c r="L37" s="73">
        <f>'34'!$F$15</f>
        <v>5.87</v>
      </c>
      <c r="M37" s="73">
        <f>'34'!$F$16</f>
        <v>5.93</v>
      </c>
      <c r="N37" s="73">
        <f>'34'!$F$17</f>
        <v>5.54</v>
      </c>
      <c r="O37" s="73">
        <f>'34'!$F$18</f>
        <v>12.88</v>
      </c>
      <c r="P37" s="73" t="str">
        <f>'34'!$F$19</f>
        <v/>
      </c>
      <c r="Q37" s="73">
        <f>'34'!$F$20</f>
        <v>4.8499999999999996</v>
      </c>
      <c r="R37" s="73" t="str">
        <f>'34'!$F$21</f>
        <v/>
      </c>
      <c r="S37" s="73">
        <f>'34'!$F$22</f>
        <v>8.94</v>
      </c>
      <c r="T37" s="73">
        <f>'34'!$F$23</f>
        <v>4.96</v>
      </c>
      <c r="U37" s="73" t="str">
        <f>'34'!$F$24</f>
        <v/>
      </c>
      <c r="V37" s="73">
        <f>'34'!$F$25</f>
        <v>18.93</v>
      </c>
      <c r="W37" s="73">
        <f>'34'!$F$26</f>
        <v>7.47</v>
      </c>
      <c r="X37" s="73">
        <f>'34'!$F$27</f>
        <v>6.01</v>
      </c>
      <c r="Y37" s="73">
        <f>'34'!$F$28</f>
        <v>3.78</v>
      </c>
      <c r="Z37" s="73">
        <f>'34'!$F$29</f>
        <v>5.35</v>
      </c>
      <c r="AA37" s="73">
        <f>'34'!$F$30</f>
        <v>7.14</v>
      </c>
      <c r="AB37" s="73" t="str">
        <f>'34'!$F$31</f>
        <v/>
      </c>
      <c r="AC37" s="73" t="str">
        <f>'34'!$F$32</f>
        <v/>
      </c>
      <c r="AD37" s="94">
        <f>'34'!$F$33</f>
        <v>6.16</v>
      </c>
    </row>
    <row r="38" spans="1:30" x14ac:dyDescent="0.2">
      <c r="A38" s="93" t="s">
        <v>1057</v>
      </c>
      <c r="B38" s="73" t="str">
        <f>'35'!$F$5</f>
        <v/>
      </c>
      <c r="C38" s="73">
        <f>'35'!$F$6</f>
        <v>6.74</v>
      </c>
      <c r="D38" s="73">
        <f>'35'!$F$7</f>
        <v>4.68</v>
      </c>
      <c r="E38" s="73">
        <f>'35'!$F$8</f>
        <v>6.84</v>
      </c>
      <c r="F38" s="73" t="str">
        <f>'35'!$F$9</f>
        <v/>
      </c>
      <c r="G38" s="73">
        <f>'35'!$F$10</f>
        <v>3.5</v>
      </c>
      <c r="H38" s="73">
        <f>'35'!$F$11</f>
        <v>5.82</v>
      </c>
      <c r="I38" s="73" t="str">
        <f>'35'!$F$12</f>
        <v/>
      </c>
      <c r="J38" s="73">
        <f>'35'!$F$13</f>
        <v>5.34</v>
      </c>
      <c r="K38" s="73" t="str">
        <f>'35'!$F$14</f>
        <v/>
      </c>
      <c r="L38" s="73" t="str">
        <f>'35'!$F$15</f>
        <v/>
      </c>
      <c r="M38" s="73">
        <f>'35'!$F$16</f>
        <v>5.14</v>
      </c>
      <c r="N38" s="73">
        <f>'35'!$F$17</f>
        <v>19.71</v>
      </c>
      <c r="O38" s="73" t="str">
        <f>'35'!$F$18</f>
        <v/>
      </c>
      <c r="P38" s="73" t="str">
        <f>'35'!$F$19</f>
        <v/>
      </c>
      <c r="Q38" s="73">
        <f>'35'!$F$20</f>
        <v>5</v>
      </c>
      <c r="R38" s="73" t="str">
        <f>'35'!$F$21</f>
        <v/>
      </c>
      <c r="S38" s="73">
        <f>'35'!$F$22</f>
        <v>4.92</v>
      </c>
      <c r="T38" s="73">
        <f>'35'!$F$23</f>
        <v>5.52</v>
      </c>
      <c r="U38" s="73">
        <f>'35'!$F$24</f>
        <v>9.89</v>
      </c>
      <c r="V38" s="73" t="str">
        <f>'35'!$F$25</f>
        <v/>
      </c>
      <c r="W38" s="73" t="str">
        <f>'35'!$F$26</f>
        <v/>
      </c>
      <c r="X38" s="73">
        <f>'35'!$F$27</f>
        <v>12.93</v>
      </c>
      <c r="Y38" s="73" t="str">
        <f>'35'!$F$28</f>
        <v/>
      </c>
      <c r="Z38" s="73">
        <f>'35'!$F$29</f>
        <v>4.2300000000000004</v>
      </c>
      <c r="AA38" s="73">
        <f>'35'!$F$30</f>
        <v>6.31</v>
      </c>
      <c r="AB38" s="73" t="str">
        <f>'35'!$F$31</f>
        <v/>
      </c>
      <c r="AC38" s="73" t="str">
        <f>'35'!$F$32</f>
        <v/>
      </c>
      <c r="AD38" s="94">
        <f>'35'!$F$33</f>
        <v>5.88</v>
      </c>
    </row>
    <row r="39" spans="1:30" x14ac:dyDescent="0.2">
      <c r="A39" s="93" t="s">
        <v>1070</v>
      </c>
      <c r="B39" s="73">
        <f>'36'!$F$5</f>
        <v>12.47</v>
      </c>
      <c r="C39" s="73">
        <f>'36'!$F$6</f>
        <v>5.0199999999999996</v>
      </c>
      <c r="D39" s="73">
        <f>'36'!$F$7</f>
        <v>5.91</v>
      </c>
      <c r="E39" s="73">
        <f>'36'!$F$8</f>
        <v>6.85</v>
      </c>
      <c r="F39" s="73">
        <f>'36'!$F$9</f>
        <v>19.02</v>
      </c>
      <c r="G39" s="73">
        <f>'36'!$F$10</f>
        <v>9.43</v>
      </c>
      <c r="H39" s="73">
        <f>'36'!$F$11</f>
        <v>7.93</v>
      </c>
      <c r="I39" s="73">
        <f>'36'!$F$12</f>
        <v>4.93</v>
      </c>
      <c r="J39" s="73">
        <f>'36'!$F$13</f>
        <v>6.94</v>
      </c>
      <c r="K39" s="73">
        <f>'36'!$F$14</f>
        <v>11.74</v>
      </c>
      <c r="L39" s="73">
        <f>'36'!$F$15</f>
        <v>10.89</v>
      </c>
      <c r="M39" s="73">
        <f>'36'!$F$16</f>
        <v>6.45</v>
      </c>
      <c r="N39" s="73">
        <f>'36'!$F$17</f>
        <v>6.13</v>
      </c>
      <c r="O39" s="73">
        <f>'36'!$F$18</f>
        <v>8.76</v>
      </c>
      <c r="P39" s="73" t="str">
        <f>'36'!$F$19</f>
        <v/>
      </c>
      <c r="Q39" s="73">
        <f>'36'!$F$20</f>
        <v>8</v>
      </c>
      <c r="R39" s="73">
        <f>'36'!$F$21</f>
        <v>9.7200000000000006</v>
      </c>
      <c r="S39" s="73">
        <f>'36'!$F$22</f>
        <v>6.76</v>
      </c>
      <c r="T39" s="73">
        <f>'36'!$F$23</f>
        <v>6.26</v>
      </c>
      <c r="U39" s="73">
        <f>'36'!$F$24</f>
        <v>8.5500000000000007</v>
      </c>
      <c r="V39" s="73">
        <f>'36'!$F$25</f>
        <v>11.13</v>
      </c>
      <c r="W39" s="73">
        <f>'36'!$F$26</f>
        <v>3.94</v>
      </c>
      <c r="X39" s="73">
        <f>'36'!$F$27</f>
        <v>7.53</v>
      </c>
      <c r="Y39" s="73">
        <f>'36'!$F$28</f>
        <v>7.27</v>
      </c>
      <c r="Z39" s="73">
        <f>'36'!$F$29</f>
        <v>5.88</v>
      </c>
      <c r="AA39" s="73">
        <f>'36'!$F$30</f>
        <v>7.51</v>
      </c>
      <c r="AB39" s="73" t="str">
        <f>'36'!$F$31</f>
        <v/>
      </c>
      <c r="AC39" s="73" t="str">
        <f>'36'!$F$32</f>
        <v/>
      </c>
      <c r="AD39" s="94">
        <f>'36'!$F$33</f>
        <v>6.89</v>
      </c>
    </row>
    <row r="40" spans="1:30" x14ac:dyDescent="0.2">
      <c r="A40" s="93" t="s">
        <v>1058</v>
      </c>
      <c r="B40" s="73">
        <f>'37'!$F$5</f>
        <v>9.92</v>
      </c>
      <c r="C40" s="73">
        <f>'37'!$F$6</f>
        <v>8.27</v>
      </c>
      <c r="D40" s="73">
        <f>'37'!$F$7</f>
        <v>4.9800000000000004</v>
      </c>
      <c r="E40" s="73">
        <f>'37'!$F$8</f>
        <v>7.02</v>
      </c>
      <c r="F40" s="73" t="str">
        <f>'37'!$F$9</f>
        <v/>
      </c>
      <c r="G40" s="73">
        <f>'37'!$F$10</f>
        <v>6.74</v>
      </c>
      <c r="H40" s="73">
        <f>'37'!$F$11</f>
        <v>4.78</v>
      </c>
      <c r="I40" s="73">
        <f>'37'!$F$12</f>
        <v>5.88</v>
      </c>
      <c r="J40" s="73">
        <f>'37'!$F$13</f>
        <v>4.93</v>
      </c>
      <c r="K40" s="73">
        <f>'37'!$F$14</f>
        <v>11.66</v>
      </c>
      <c r="L40" s="73">
        <f>'37'!$F$15</f>
        <v>8.31</v>
      </c>
      <c r="M40" s="73">
        <f>'37'!$F$16</f>
        <v>5.04</v>
      </c>
      <c r="N40" s="73">
        <f>'37'!$F$17</f>
        <v>4.92</v>
      </c>
      <c r="O40" s="73">
        <f>'37'!$F$18</f>
        <v>6.77</v>
      </c>
      <c r="P40" s="73" t="str">
        <f>'37'!$F$19</f>
        <v/>
      </c>
      <c r="Q40" s="73">
        <f>'37'!$F$20</f>
        <v>6.1</v>
      </c>
      <c r="R40" s="73">
        <f>'37'!$F$21</f>
        <v>6.42</v>
      </c>
      <c r="S40" s="73">
        <f>'37'!$F$22</f>
        <v>5.38</v>
      </c>
      <c r="T40" s="73">
        <f>'37'!$F$23</f>
        <v>5.59</v>
      </c>
      <c r="U40" s="73">
        <f>'37'!$F$24</f>
        <v>4.97</v>
      </c>
      <c r="V40" s="73">
        <f>'37'!$F$25</f>
        <v>20.39</v>
      </c>
      <c r="W40" s="73">
        <f>'37'!$F$26</f>
        <v>26.44</v>
      </c>
      <c r="X40" s="73">
        <f>'37'!$F$27</f>
        <v>7.77</v>
      </c>
      <c r="Y40" s="73">
        <f>'37'!$F$28</f>
        <v>6.97</v>
      </c>
      <c r="Z40" s="73">
        <f>'37'!$F$29</f>
        <v>4.92</v>
      </c>
      <c r="AA40" s="73">
        <f>'37'!$F$30</f>
        <v>7.96</v>
      </c>
      <c r="AB40" s="73" t="str">
        <f>'37'!$F$31</f>
        <v/>
      </c>
      <c r="AC40" s="73" t="str">
        <f>'37'!$F$32</f>
        <v/>
      </c>
      <c r="AD40" s="94">
        <f>'37'!$F$33</f>
        <v>5.78</v>
      </c>
    </row>
    <row r="41" spans="1:30" x14ac:dyDescent="0.2">
      <c r="A41" s="93" t="s">
        <v>1059</v>
      </c>
      <c r="B41" s="73">
        <f>'38'!$F$5</f>
        <v>6.41</v>
      </c>
      <c r="C41" s="73">
        <f>'38'!$F$6</f>
        <v>9.83</v>
      </c>
      <c r="D41" s="73">
        <f>'38'!$F$7</f>
        <v>6.43</v>
      </c>
      <c r="E41" s="73">
        <f>'38'!$F$8</f>
        <v>9.67</v>
      </c>
      <c r="F41" s="73" t="str">
        <f>'38'!$F$9</f>
        <v/>
      </c>
      <c r="G41" s="73" t="str">
        <f>'38'!$F$10</f>
        <v/>
      </c>
      <c r="H41" s="73">
        <f>'38'!$F$11</f>
        <v>7.66</v>
      </c>
      <c r="I41" s="73" t="str">
        <f>'38'!$F$12</f>
        <v/>
      </c>
      <c r="J41" s="73">
        <f>'38'!$F$13</f>
        <v>8.3699999999999992</v>
      </c>
      <c r="K41" s="73">
        <f>'38'!$F$14</f>
        <v>8.4</v>
      </c>
      <c r="L41" s="73">
        <f>'38'!$F$15</f>
        <v>5.57</v>
      </c>
      <c r="M41" s="73">
        <f>'38'!$F$16</f>
        <v>6.11</v>
      </c>
      <c r="N41" s="73">
        <f>'38'!$F$17</f>
        <v>6.55</v>
      </c>
      <c r="O41" s="73">
        <f>'38'!$F$18</f>
        <v>8.67</v>
      </c>
      <c r="P41" s="73" t="str">
        <f>'38'!$F$19</f>
        <v/>
      </c>
      <c r="Q41" s="73">
        <f>'38'!$F$20</f>
        <v>7.9</v>
      </c>
      <c r="R41" s="73" t="str">
        <f>'38'!$F$21</f>
        <v/>
      </c>
      <c r="S41" s="73">
        <f>'38'!$F$22</f>
        <v>8.0500000000000007</v>
      </c>
      <c r="T41" s="73">
        <f>'38'!$F$23</f>
        <v>5.68</v>
      </c>
      <c r="U41" s="73">
        <f>'38'!$F$24</f>
        <v>8.49</v>
      </c>
      <c r="V41" s="73">
        <f>'38'!$F$25</f>
        <v>10.74</v>
      </c>
      <c r="W41" s="73">
        <f>'38'!$F$26</f>
        <v>39.19</v>
      </c>
      <c r="X41" s="73">
        <f>'38'!$F$27</f>
        <v>10.35</v>
      </c>
      <c r="Y41" s="73">
        <f>'38'!$F$28</f>
        <v>7.32</v>
      </c>
      <c r="Z41" s="73">
        <f>'38'!$F$29</f>
        <v>5.78</v>
      </c>
      <c r="AA41" s="73">
        <f>'38'!$F$30</f>
        <v>6.28</v>
      </c>
      <c r="AB41" s="73" t="str">
        <f>'38'!$F$31</f>
        <v/>
      </c>
      <c r="AC41" s="73" t="str">
        <f>'38'!$F$32</f>
        <v/>
      </c>
      <c r="AD41" s="94">
        <f>'38'!$F$33</f>
        <v>6.88</v>
      </c>
    </row>
    <row r="42" spans="1:30" x14ac:dyDescent="0.2">
      <c r="A42" s="93" t="s">
        <v>1035</v>
      </c>
      <c r="B42" s="73">
        <f>'39'!$F$5</f>
        <v>12.47</v>
      </c>
      <c r="C42" s="73">
        <f>'39'!$F$6</f>
        <v>29.36</v>
      </c>
      <c r="D42" s="73">
        <f>'39'!$F$7</f>
        <v>5.33</v>
      </c>
      <c r="E42" s="73">
        <f>'39'!$F$8</f>
        <v>7.28</v>
      </c>
      <c r="F42" s="73">
        <f>'39'!$F$9</f>
        <v>12.45</v>
      </c>
      <c r="G42" s="73">
        <f>'39'!$F$10</f>
        <v>7.5</v>
      </c>
      <c r="H42" s="73">
        <f>'39'!$F$11</f>
        <v>4.26</v>
      </c>
      <c r="I42" s="73">
        <f>'39'!$F$12</f>
        <v>9.92</v>
      </c>
      <c r="J42" s="73">
        <f>'39'!$F$13</f>
        <v>6.06</v>
      </c>
      <c r="K42" s="73" t="str">
        <f>'39'!$F$14</f>
        <v/>
      </c>
      <c r="L42" s="73">
        <f>'39'!$F$15</f>
        <v>10.64</v>
      </c>
      <c r="M42" s="73">
        <f>'39'!$F$16</f>
        <v>5.76</v>
      </c>
      <c r="N42" s="73">
        <f>'39'!$F$17</f>
        <v>6.78</v>
      </c>
      <c r="O42" s="73" t="str">
        <f>'39'!$F$18</f>
        <v/>
      </c>
      <c r="P42" s="73" t="str">
        <f>'39'!$F$19</f>
        <v/>
      </c>
      <c r="Q42" s="73">
        <f>'39'!$F$20</f>
        <v>9.73</v>
      </c>
      <c r="R42" s="73" t="str">
        <f>'39'!$F$21</f>
        <v/>
      </c>
      <c r="S42" s="73">
        <f>'39'!$F$22</f>
        <v>7.49</v>
      </c>
      <c r="T42" s="73">
        <f>'39'!$F$23</f>
        <v>5.0199999999999996</v>
      </c>
      <c r="U42" s="73">
        <f>'39'!$F$24</f>
        <v>6.76</v>
      </c>
      <c r="V42" s="73">
        <f>'39'!$F$25</f>
        <v>20.399999999999999</v>
      </c>
      <c r="W42" s="73">
        <f>'39'!$F$26</f>
        <v>14.02</v>
      </c>
      <c r="X42" s="73">
        <f>'39'!$F$27</f>
        <v>6.65</v>
      </c>
      <c r="Y42" s="73">
        <f>'39'!$F$28</f>
        <v>7.91</v>
      </c>
      <c r="Z42" s="73">
        <f>'39'!$F$29</f>
        <v>5.2</v>
      </c>
      <c r="AA42" s="73">
        <f>'39'!$F$30</f>
        <v>5.7</v>
      </c>
      <c r="AB42" s="73" t="str">
        <f>'39'!$F$31</f>
        <v/>
      </c>
      <c r="AC42" s="73" t="str">
        <f>'39'!$F$32</f>
        <v/>
      </c>
      <c r="AD42" s="94">
        <f>'39'!$F$33</f>
        <v>6.22</v>
      </c>
    </row>
    <row r="43" spans="1:30" x14ac:dyDescent="0.2">
      <c r="A43" s="93" t="s">
        <v>1071</v>
      </c>
      <c r="B43" s="73">
        <f>'40'!$F$5</f>
        <v>11.44</v>
      </c>
      <c r="C43" s="73">
        <f>'40'!$F$6</f>
        <v>6.35</v>
      </c>
      <c r="D43" s="73">
        <f>'40'!$F$7</f>
        <v>6.55</v>
      </c>
      <c r="E43" s="73">
        <f>'40'!$F$8</f>
        <v>7.16</v>
      </c>
      <c r="F43" s="73">
        <f>'40'!$F$9</f>
        <v>19.25</v>
      </c>
      <c r="G43" s="73">
        <f>'40'!$F$10</f>
        <v>12.88</v>
      </c>
      <c r="H43" s="73">
        <f>'40'!$F$11</f>
        <v>7.39</v>
      </c>
      <c r="I43" s="73">
        <f>'40'!$F$12</f>
        <v>4.79</v>
      </c>
      <c r="J43" s="73">
        <f>'40'!$F$13</f>
        <v>6.73</v>
      </c>
      <c r="K43" s="73">
        <f>'40'!$F$14</f>
        <v>30.17</v>
      </c>
      <c r="L43" s="73">
        <f>'40'!$F$15</f>
        <v>9.6</v>
      </c>
      <c r="M43" s="73">
        <f>'40'!$F$16</f>
        <v>6.59</v>
      </c>
      <c r="N43" s="73">
        <f>'40'!$F$17</f>
        <v>6.81</v>
      </c>
      <c r="O43" s="73">
        <f>'40'!$F$18</f>
        <v>12.4</v>
      </c>
      <c r="P43" s="73">
        <f>'40'!$F$19</f>
        <v>15.87</v>
      </c>
      <c r="Q43" s="73">
        <f>'40'!$F$20</f>
        <v>7.18</v>
      </c>
      <c r="R43" s="73">
        <f>'40'!$F$21</f>
        <v>16.12</v>
      </c>
      <c r="S43" s="73" t="str">
        <f>'40'!$F$22</f>
        <v/>
      </c>
      <c r="T43" s="73">
        <f>'40'!$F$23</f>
        <v>6.5</v>
      </c>
      <c r="U43" s="73">
        <f>'40'!$F$24</f>
        <v>7.95</v>
      </c>
      <c r="V43" s="73">
        <f>'40'!$F$25</f>
        <v>5.94</v>
      </c>
      <c r="W43" s="73">
        <f>'40'!$F$26</f>
        <v>3.92</v>
      </c>
      <c r="X43" s="73">
        <f>'40'!$F$27</f>
        <v>7.63</v>
      </c>
      <c r="Y43" s="73">
        <f>'40'!$F$28</f>
        <v>10.09</v>
      </c>
      <c r="Z43" s="73">
        <f>'40'!$F$29</f>
        <v>5.98</v>
      </c>
      <c r="AA43" s="73">
        <f>'40'!$F$30</f>
        <v>8.11</v>
      </c>
      <c r="AB43" s="73" t="str">
        <f>'40'!$F$31</f>
        <v/>
      </c>
      <c r="AC43" s="73" t="str">
        <f>'40'!$F$32</f>
        <v/>
      </c>
      <c r="AD43" s="94">
        <f>'40'!$F$33</f>
        <v>6.96</v>
      </c>
    </row>
    <row r="44" spans="1:30" x14ac:dyDescent="0.2">
      <c r="A44" s="93" t="s">
        <v>1036</v>
      </c>
      <c r="B44" s="73">
        <f>'41'!$F$5</f>
        <v>5.18</v>
      </c>
      <c r="C44" s="73">
        <f>'41'!$F$6</f>
        <v>10.48</v>
      </c>
      <c r="D44" s="73">
        <f>'41'!$F$7</f>
        <v>5.56</v>
      </c>
      <c r="E44" s="73">
        <f>'41'!$F$8</f>
        <v>5.31</v>
      </c>
      <c r="F44" s="73" t="str">
        <f>'41'!$F$9</f>
        <v/>
      </c>
      <c r="G44" s="73">
        <f>'41'!$F$10</f>
        <v>4.1900000000000004</v>
      </c>
      <c r="H44" s="73">
        <f>'41'!$F$11</f>
        <v>6.36</v>
      </c>
      <c r="I44" s="73">
        <f>'41'!$F$12</f>
        <v>8.2200000000000006</v>
      </c>
      <c r="J44" s="73">
        <f>'41'!$F$13</f>
        <v>5.53</v>
      </c>
      <c r="K44" s="73">
        <f>'41'!$F$14</f>
        <v>16.309999999999999</v>
      </c>
      <c r="L44" s="73">
        <f>'41'!$F$15</f>
        <v>6.06</v>
      </c>
      <c r="M44" s="73">
        <f>'41'!$F$16</f>
        <v>5.5</v>
      </c>
      <c r="N44" s="73">
        <f>'41'!$F$17</f>
        <v>6.59</v>
      </c>
      <c r="O44" s="73">
        <f>'41'!$F$18</f>
        <v>9.3699999999999992</v>
      </c>
      <c r="P44" s="73">
        <f>'41'!$F$19</f>
        <v>18.61</v>
      </c>
      <c r="Q44" s="73">
        <f>'41'!$F$20</f>
        <v>7.74</v>
      </c>
      <c r="R44" s="73">
        <f>'41'!$F$21</f>
        <v>13.66</v>
      </c>
      <c r="S44" s="73">
        <f>'41'!$F$22</f>
        <v>7.28</v>
      </c>
      <c r="T44" s="73">
        <f>'41'!$F$23</f>
        <v>6.59</v>
      </c>
      <c r="U44" s="73">
        <f>'41'!$F$24</f>
        <v>8.1199999999999992</v>
      </c>
      <c r="V44" s="73" t="str">
        <f>'41'!$F$25</f>
        <v/>
      </c>
      <c r="W44" s="73" t="str">
        <f>'41'!$F$26</f>
        <v/>
      </c>
      <c r="X44" s="73">
        <f>'41'!$F$27</f>
        <v>5.83</v>
      </c>
      <c r="Y44" s="73">
        <f>'41'!$F$28</f>
        <v>5.15</v>
      </c>
      <c r="Z44" s="73">
        <f>'41'!$F$29</f>
        <v>5.4</v>
      </c>
      <c r="AA44" s="73">
        <f>'41'!$F$30</f>
        <v>9.56</v>
      </c>
      <c r="AB44" s="73" t="str">
        <f>'41'!$F$31</f>
        <v/>
      </c>
      <c r="AC44" s="73" t="str">
        <f>'41'!$F$32</f>
        <v/>
      </c>
      <c r="AD44" s="94">
        <f>'41'!$F$33</f>
        <v>6.63</v>
      </c>
    </row>
    <row r="45" spans="1:30" x14ac:dyDescent="0.2">
      <c r="A45" s="93" t="s">
        <v>1060</v>
      </c>
      <c r="B45" s="73">
        <f>'42'!$F$5</f>
        <v>9.44</v>
      </c>
      <c r="C45" s="73">
        <f>'42'!$F$6</f>
        <v>4.8</v>
      </c>
      <c r="D45" s="73">
        <f>'42'!$F$7</f>
        <v>5.31</v>
      </c>
      <c r="E45" s="73">
        <f>'42'!$F$8</f>
        <v>6.22</v>
      </c>
      <c r="F45" s="73" t="str">
        <f>'42'!$F$9</f>
        <v/>
      </c>
      <c r="G45" s="73">
        <f>'42'!$F$10</f>
        <v>6.32</v>
      </c>
      <c r="H45" s="73">
        <f>'42'!$F$11</f>
        <v>6.19</v>
      </c>
      <c r="I45" s="73">
        <f>'42'!$F$12</f>
        <v>5.54</v>
      </c>
      <c r="J45" s="73">
        <f>'42'!$F$13</f>
        <v>4.91</v>
      </c>
      <c r="K45" s="73">
        <f>'42'!$F$14</f>
        <v>5.4</v>
      </c>
      <c r="L45" s="73">
        <f>'42'!$F$15</f>
        <v>4.92</v>
      </c>
      <c r="M45" s="73">
        <f>'42'!$F$16</f>
        <v>5.46</v>
      </c>
      <c r="N45" s="73">
        <f>'42'!$F$17</f>
        <v>5.43</v>
      </c>
      <c r="O45" s="73">
        <f>'42'!$F$18</f>
        <v>7.42</v>
      </c>
      <c r="P45" s="73">
        <f>'42'!$F$19</f>
        <v>5.2</v>
      </c>
      <c r="Q45" s="73">
        <f>'42'!$F$20</f>
        <v>7.42</v>
      </c>
      <c r="R45" s="73" t="str">
        <f>'42'!$F$21</f>
        <v/>
      </c>
      <c r="S45" s="73">
        <f>'42'!$F$22</f>
        <v>4.8899999999999997</v>
      </c>
      <c r="T45" s="73">
        <f>'42'!$F$23</f>
        <v>4.78</v>
      </c>
      <c r="U45" s="73">
        <f>'42'!$F$24</f>
        <v>5.16</v>
      </c>
      <c r="V45" s="73">
        <f>'42'!$F$25</f>
        <v>6.62</v>
      </c>
      <c r="W45" s="73">
        <f>'42'!$F$26</f>
        <v>4.6100000000000003</v>
      </c>
      <c r="X45" s="73">
        <f>'42'!$F$27</f>
        <v>4</v>
      </c>
      <c r="Y45" s="73">
        <f>'42'!$F$28</f>
        <v>6.48</v>
      </c>
      <c r="Z45" s="73">
        <f>'42'!$F$29</f>
        <v>5.05</v>
      </c>
      <c r="AA45" s="73">
        <f>'42'!$F$30</f>
        <v>4.6399999999999997</v>
      </c>
      <c r="AB45" s="73" t="str">
        <f>'42'!$F$31</f>
        <v/>
      </c>
      <c r="AC45" s="73" t="str">
        <f>'42'!$F$32</f>
        <v/>
      </c>
      <c r="AD45" s="94">
        <f>'42'!$F$33</f>
        <v>5.46</v>
      </c>
    </row>
    <row r="46" spans="1:30" x14ac:dyDescent="0.2">
      <c r="A46" s="93" t="s">
        <v>1061</v>
      </c>
      <c r="B46" s="73" t="str">
        <f>'43'!$F$5</f>
        <v/>
      </c>
      <c r="C46" s="73">
        <f>'43'!$F$6</f>
        <v>9.6</v>
      </c>
      <c r="D46" s="73">
        <f>'43'!$F$7</f>
        <v>6.16</v>
      </c>
      <c r="E46" s="73">
        <f>'43'!$F$8</f>
        <v>7.12</v>
      </c>
      <c r="F46" s="73" t="str">
        <f>'43'!$F$9</f>
        <v/>
      </c>
      <c r="G46" s="73" t="str">
        <f>'43'!$F$10</f>
        <v/>
      </c>
      <c r="H46" s="73">
        <f>'43'!$F$11</f>
        <v>6.19</v>
      </c>
      <c r="I46" s="73">
        <f>'43'!$F$12</f>
        <v>5.91</v>
      </c>
      <c r="J46" s="73">
        <f>'43'!$F$13</f>
        <v>4.67</v>
      </c>
      <c r="K46" s="73">
        <f>'43'!$F$14</f>
        <v>49.27</v>
      </c>
      <c r="L46" s="73">
        <f>'43'!$F$15</f>
        <v>8.98</v>
      </c>
      <c r="M46" s="73">
        <f>'43'!$F$16</f>
        <v>12.77</v>
      </c>
      <c r="N46" s="73">
        <f>'43'!$F$17</f>
        <v>4.66</v>
      </c>
      <c r="O46" s="73">
        <f>'43'!$F$18</f>
        <v>7.47</v>
      </c>
      <c r="P46" s="73" t="str">
        <f>'43'!$F$19</f>
        <v/>
      </c>
      <c r="Q46" s="73">
        <f>'43'!$F$20</f>
        <v>14.44</v>
      </c>
      <c r="R46" s="73">
        <f>'43'!$F$21</f>
        <v>13.73</v>
      </c>
      <c r="S46" s="73">
        <f>'43'!$F$22</f>
        <v>5</v>
      </c>
      <c r="T46" s="73">
        <f>'43'!$F$23</f>
        <v>4.8499999999999996</v>
      </c>
      <c r="U46" s="73">
        <f>'43'!$F$24</f>
        <v>6.76</v>
      </c>
      <c r="V46" s="73">
        <f>'43'!$F$25</f>
        <v>6.88</v>
      </c>
      <c r="W46" s="73" t="str">
        <f>'43'!$F$26</f>
        <v/>
      </c>
      <c r="X46" s="73">
        <f>'43'!$F$27</f>
        <v>7.34</v>
      </c>
      <c r="Y46" s="73">
        <f>'43'!$F$28</f>
        <v>10.44</v>
      </c>
      <c r="Z46" s="73">
        <f>'43'!$F$29</f>
        <v>4.8099999999999996</v>
      </c>
      <c r="AA46" s="73">
        <f>'43'!$F$30</f>
        <v>8.26</v>
      </c>
      <c r="AB46" s="73" t="str">
        <f>'43'!$F$31</f>
        <v/>
      </c>
      <c r="AC46" s="73" t="str">
        <f>'43'!$F$32</f>
        <v/>
      </c>
      <c r="AD46" s="94">
        <f>'43'!$F$33</f>
        <v>7.77</v>
      </c>
    </row>
    <row r="47" spans="1:30" x14ac:dyDescent="0.2">
      <c r="A47" s="93" t="s">
        <v>1072</v>
      </c>
      <c r="B47" s="73">
        <f>'44'!$F$5</f>
        <v>5.0599999999999996</v>
      </c>
      <c r="C47" s="73">
        <f>'44'!$F$6</f>
        <v>4.91</v>
      </c>
      <c r="D47" s="73">
        <f>'44'!$F$7</f>
        <v>4.8499999999999996</v>
      </c>
      <c r="E47" s="73">
        <f>'44'!$F$8</f>
        <v>6.43</v>
      </c>
      <c r="F47" s="73" t="str">
        <f>'44'!$F$9</f>
        <v/>
      </c>
      <c r="G47" s="73">
        <f>'44'!$F$10</f>
        <v>6.37</v>
      </c>
      <c r="H47" s="73">
        <f>'44'!$F$11</f>
        <v>3.74</v>
      </c>
      <c r="I47" s="73">
        <f>'44'!$F$12</f>
        <v>3.54</v>
      </c>
      <c r="J47" s="73">
        <f>'44'!$F$13</f>
        <v>4.05</v>
      </c>
      <c r="K47" s="73" t="str">
        <f>'44'!$F$14</f>
        <v/>
      </c>
      <c r="L47" s="73">
        <f>'44'!$F$15</f>
        <v>3.7</v>
      </c>
      <c r="M47" s="73">
        <f>'44'!$F$16</f>
        <v>4.78</v>
      </c>
      <c r="N47" s="73">
        <f>'44'!$F$17</f>
        <v>4.92</v>
      </c>
      <c r="O47" s="73">
        <f>'44'!$F$18</f>
        <v>6.22</v>
      </c>
      <c r="P47" s="73" t="str">
        <f>'44'!$F$19</f>
        <v/>
      </c>
      <c r="Q47" s="73">
        <f>'44'!$F$20</f>
        <v>4.2</v>
      </c>
      <c r="R47" s="73" t="str">
        <f>'44'!$F$21</f>
        <v/>
      </c>
      <c r="S47" s="73">
        <f>'44'!$F$22</f>
        <v>5.2</v>
      </c>
      <c r="T47" s="73">
        <f>'44'!$F$23</f>
        <v>4.7300000000000004</v>
      </c>
      <c r="U47" s="73">
        <f>'44'!$F$24</f>
        <v>4.33</v>
      </c>
      <c r="V47" s="73" t="str">
        <f>'44'!$F$25</f>
        <v/>
      </c>
      <c r="W47" s="73" t="str">
        <f>'44'!$F$26</f>
        <v/>
      </c>
      <c r="X47" s="73">
        <f>'44'!$F$27</f>
        <v>5.58</v>
      </c>
      <c r="Y47" s="73">
        <f>'44'!$F$28</f>
        <v>3.89</v>
      </c>
      <c r="Z47" s="73">
        <f>'44'!$F$29</f>
        <v>4.5599999999999996</v>
      </c>
      <c r="AA47" s="73">
        <f>'44'!$F$30</f>
        <v>5.8</v>
      </c>
      <c r="AB47" s="73" t="str">
        <f>'44'!$F$31</f>
        <v/>
      </c>
      <c r="AC47" s="73" t="str">
        <f>'44'!$F$32</f>
        <v/>
      </c>
      <c r="AD47" s="94">
        <f>'44'!$F$33</f>
        <v>4.7300000000000004</v>
      </c>
    </row>
    <row r="48" spans="1:30" x14ac:dyDescent="0.2">
      <c r="A48" s="93" t="s">
        <v>1037</v>
      </c>
      <c r="B48" s="73">
        <f>'45'!$F$5</f>
        <v>3.75</v>
      </c>
      <c r="C48" s="73">
        <f>'45'!$F$6</f>
        <v>9.81</v>
      </c>
      <c r="D48" s="73">
        <f>'45'!$F$7</f>
        <v>5.01</v>
      </c>
      <c r="E48" s="73">
        <f>'45'!$F$8</f>
        <v>4.05</v>
      </c>
      <c r="F48" s="73" t="str">
        <f>'45'!$F$9</f>
        <v/>
      </c>
      <c r="G48" s="73">
        <f>'45'!$F$10</f>
        <v>7.32</v>
      </c>
      <c r="H48" s="73">
        <f>'45'!$F$11</f>
        <v>11.31</v>
      </c>
      <c r="I48" s="73" t="str">
        <f>'45'!$F$12</f>
        <v/>
      </c>
      <c r="J48" s="73">
        <f>'45'!$F$13</f>
        <v>4.21</v>
      </c>
      <c r="K48" s="73">
        <f>'45'!$F$14</f>
        <v>2.54</v>
      </c>
      <c r="L48" s="73">
        <f>'45'!$F$15</f>
        <v>4.1500000000000004</v>
      </c>
      <c r="M48" s="73">
        <f>'45'!$F$16</f>
        <v>4.82</v>
      </c>
      <c r="N48" s="73">
        <f>'45'!$F$17</f>
        <v>6.03</v>
      </c>
      <c r="O48" s="73">
        <f>'45'!$F$18</f>
        <v>7.84</v>
      </c>
      <c r="P48" s="73">
        <f>'45'!$F$19</f>
        <v>12.22</v>
      </c>
      <c r="Q48" s="73">
        <f>'45'!$F$20</f>
        <v>5.39</v>
      </c>
      <c r="R48" s="73">
        <f>'45'!$F$21</f>
        <v>7.32</v>
      </c>
      <c r="S48" s="73">
        <f>'45'!$F$22</f>
        <v>5.66</v>
      </c>
      <c r="T48" s="73">
        <f>'45'!$F$23</f>
        <v>4.97</v>
      </c>
      <c r="U48" s="73">
        <f>'45'!$F$24</f>
        <v>7.5</v>
      </c>
      <c r="V48" s="73">
        <f>'45'!$F$25</f>
        <v>35.909999999999997</v>
      </c>
      <c r="W48" s="73">
        <f>'45'!$F$26</f>
        <v>2.61</v>
      </c>
      <c r="X48" s="73">
        <f>'45'!$F$27</f>
        <v>8.6300000000000008</v>
      </c>
      <c r="Y48" s="73">
        <f>'45'!$F$28</f>
        <v>4.1900000000000004</v>
      </c>
      <c r="Z48" s="73">
        <f>'45'!$F$29</f>
        <v>4.8099999999999996</v>
      </c>
      <c r="AA48" s="73">
        <f>'45'!$F$30</f>
        <v>7.53</v>
      </c>
      <c r="AB48" s="73" t="str">
        <f>'45'!$F$31</f>
        <v/>
      </c>
      <c r="AC48" s="73" t="str">
        <f>'45'!$F$32</f>
        <v/>
      </c>
      <c r="AD48" s="94">
        <f>'45'!$F$33</f>
        <v>5.67</v>
      </c>
    </row>
    <row r="49" spans="1:30" x14ac:dyDescent="0.2">
      <c r="A49" s="93" t="s">
        <v>1062</v>
      </c>
      <c r="B49" s="73">
        <f>'46'!$F$5</f>
        <v>5.99</v>
      </c>
      <c r="C49" s="73">
        <f>'46'!$F$6</f>
        <v>9.2899999999999991</v>
      </c>
      <c r="D49" s="73">
        <f>'46'!$F$7</f>
        <v>4.72</v>
      </c>
      <c r="E49" s="73">
        <f>'46'!$F$8</f>
        <v>5.0199999999999996</v>
      </c>
      <c r="F49" s="73" t="str">
        <f>'46'!$F$9</f>
        <v/>
      </c>
      <c r="G49" s="73" t="str">
        <f>'46'!$F$10</f>
        <v/>
      </c>
      <c r="H49" s="73">
        <f>'46'!$F$11</f>
        <v>4.83</v>
      </c>
      <c r="I49" s="73" t="str">
        <f>'46'!$F$12</f>
        <v/>
      </c>
      <c r="J49" s="73">
        <f>'46'!$F$13</f>
        <v>4.13</v>
      </c>
      <c r="K49" s="73" t="str">
        <f>'46'!$F$14</f>
        <v/>
      </c>
      <c r="L49" s="73">
        <f>'46'!$F$15</f>
        <v>4.25</v>
      </c>
      <c r="M49" s="73">
        <f>'46'!$F$16</f>
        <v>5.12</v>
      </c>
      <c r="N49" s="73">
        <f>'46'!$F$17</f>
        <v>4.7699999999999996</v>
      </c>
      <c r="O49" s="73">
        <f>'46'!$F$18</f>
        <v>6.45</v>
      </c>
      <c r="P49" s="73" t="str">
        <f>'46'!$F$19</f>
        <v/>
      </c>
      <c r="Q49" s="73">
        <f>'46'!$F$20</f>
        <v>3.94</v>
      </c>
      <c r="R49" s="73" t="str">
        <f>'46'!$F$21</f>
        <v/>
      </c>
      <c r="S49" s="73">
        <f>'46'!$F$22</f>
        <v>5.25</v>
      </c>
      <c r="T49" s="73">
        <f>'46'!$F$23</f>
        <v>4.8899999999999997</v>
      </c>
      <c r="U49" s="73">
        <f>'46'!$F$24</f>
        <v>7.11</v>
      </c>
      <c r="V49" s="73">
        <f>'46'!$F$25</f>
        <v>6.93</v>
      </c>
      <c r="W49" s="73">
        <f>'46'!$F$26</f>
        <v>4.32</v>
      </c>
      <c r="X49" s="73">
        <f>'46'!$F$27</f>
        <v>5.2</v>
      </c>
      <c r="Y49" s="73">
        <f>'46'!$F$28</f>
        <v>4.97</v>
      </c>
      <c r="Z49" s="73">
        <f>'46'!$F$29</f>
        <v>4.46</v>
      </c>
      <c r="AA49" s="73">
        <f>'46'!$F$30</f>
        <v>5.17</v>
      </c>
      <c r="AB49" s="73" t="str">
        <f>'46'!$F$31</f>
        <v/>
      </c>
      <c r="AC49" s="73" t="str">
        <f>'46'!$F$32</f>
        <v/>
      </c>
      <c r="AD49" s="94">
        <f>'46'!$F$33</f>
        <v>5.04</v>
      </c>
    </row>
    <row r="50" spans="1:30" x14ac:dyDescent="0.2">
      <c r="A50" s="93" t="s">
        <v>1063</v>
      </c>
      <c r="B50" s="73">
        <f>'47'!$F$5</f>
        <v>6.73</v>
      </c>
      <c r="C50" s="73">
        <f>'47'!$F$6</f>
        <v>6.93</v>
      </c>
      <c r="D50" s="73">
        <f>'47'!$F$7</f>
        <v>6.73</v>
      </c>
      <c r="E50" s="73">
        <f>'47'!$F$8</f>
        <v>6.76</v>
      </c>
      <c r="F50" s="73" t="str">
        <f>'47'!$F$9</f>
        <v/>
      </c>
      <c r="G50" s="73">
        <f>'47'!$F$10</f>
        <v>8.0500000000000007</v>
      </c>
      <c r="H50" s="73">
        <f>'47'!$F$11</f>
        <v>8.0500000000000007</v>
      </c>
      <c r="I50" s="73">
        <f>'47'!$F$12</f>
        <v>21.23</v>
      </c>
      <c r="J50" s="73">
        <f>'47'!$F$13</f>
        <v>3.84</v>
      </c>
      <c r="K50" s="73" t="str">
        <f>'47'!$F$14</f>
        <v/>
      </c>
      <c r="L50" s="73">
        <f>'47'!$F$15</f>
        <v>5.32</v>
      </c>
      <c r="M50" s="73">
        <f>'47'!$F$16</f>
        <v>6.54</v>
      </c>
      <c r="N50" s="73">
        <f>'47'!$F$17</f>
        <v>6.88</v>
      </c>
      <c r="O50" s="73">
        <f>'47'!$F$18</f>
        <v>12.25</v>
      </c>
      <c r="P50" s="73" t="str">
        <f>'47'!$F$19</f>
        <v/>
      </c>
      <c r="Q50" s="73">
        <f>'47'!$F$20</f>
        <v>5.26</v>
      </c>
      <c r="R50" s="73">
        <f>'47'!$F$21</f>
        <v>9.08</v>
      </c>
      <c r="S50" s="73">
        <f>'47'!$F$22</f>
        <v>6.6</v>
      </c>
      <c r="T50" s="73">
        <f>'47'!$F$23</f>
        <v>6.65</v>
      </c>
      <c r="U50" s="73" t="str">
        <f>'47'!$F$24</f>
        <v/>
      </c>
      <c r="V50" s="73">
        <f>'47'!$F$25</f>
        <v>16.47</v>
      </c>
      <c r="W50" s="73" t="str">
        <f>'47'!$F$26</f>
        <v/>
      </c>
      <c r="X50" s="73">
        <f>'47'!$F$27</f>
        <v>7.71</v>
      </c>
      <c r="Y50" s="73">
        <f>'47'!$F$28</f>
        <v>6.94</v>
      </c>
      <c r="Z50" s="73">
        <f>'47'!$F$29</f>
        <v>5.78</v>
      </c>
      <c r="AA50" s="73">
        <f>'47'!$F$30</f>
        <v>9.09</v>
      </c>
      <c r="AB50" s="73" t="str">
        <f>'47'!$F$31</f>
        <v/>
      </c>
      <c r="AC50" s="73" t="str">
        <f>'47'!$F$32</f>
        <v/>
      </c>
      <c r="AD50" s="94">
        <f>'47'!$F$33</f>
        <v>6.88</v>
      </c>
    </row>
    <row r="51" spans="1:30" x14ac:dyDescent="0.2">
      <c r="A51" s="93" t="s">
        <v>1064</v>
      </c>
      <c r="B51" s="73">
        <f>'48'!$F$5</f>
        <v>6.3</v>
      </c>
      <c r="C51" s="73">
        <f>'48'!$F$6</f>
        <v>3.66</v>
      </c>
      <c r="D51" s="73">
        <f>'48'!$F$7</f>
        <v>4.34</v>
      </c>
      <c r="E51" s="73">
        <f>'48'!$F$8</f>
        <v>5.98</v>
      </c>
      <c r="F51" s="73" t="str">
        <f>'48'!$F$9</f>
        <v/>
      </c>
      <c r="G51" s="73">
        <f>'48'!$F$10</f>
        <v>6.79</v>
      </c>
      <c r="H51" s="73">
        <f>'48'!$F$11</f>
        <v>4.7300000000000004</v>
      </c>
      <c r="I51" s="73">
        <f>'48'!$F$12</f>
        <v>3.66</v>
      </c>
      <c r="J51" s="73">
        <f>'48'!$F$13</f>
        <v>4.84</v>
      </c>
      <c r="K51" s="73" t="str">
        <f>'48'!$F$14</f>
        <v/>
      </c>
      <c r="L51" s="73">
        <f>'48'!$F$15</f>
        <v>5.86</v>
      </c>
      <c r="M51" s="73">
        <f>'48'!$F$16</f>
        <v>5.13</v>
      </c>
      <c r="N51" s="73">
        <f>'48'!$F$17</f>
        <v>4.9400000000000004</v>
      </c>
      <c r="O51" s="73">
        <f>'48'!$F$18</f>
        <v>9.4499999999999993</v>
      </c>
      <c r="P51" s="73" t="str">
        <f>'48'!$F$19</f>
        <v/>
      </c>
      <c r="Q51" s="73">
        <f>'48'!$F$20</f>
        <v>4.92</v>
      </c>
      <c r="R51" s="73">
        <f>'48'!$F$21</f>
        <v>7.15</v>
      </c>
      <c r="S51" s="73">
        <f>'48'!$F$22</f>
        <v>5.82</v>
      </c>
      <c r="T51" s="73">
        <f>'48'!$F$23</f>
        <v>5.53</v>
      </c>
      <c r="U51" s="73" t="str">
        <f>'48'!$F$24</f>
        <v/>
      </c>
      <c r="V51" s="73">
        <f>'48'!$F$25</f>
        <v>8.34</v>
      </c>
      <c r="W51" s="73" t="str">
        <f>'48'!$F$26</f>
        <v/>
      </c>
      <c r="X51" s="73">
        <f>'48'!$F$27</f>
        <v>6.25</v>
      </c>
      <c r="Y51" s="73">
        <f>'48'!$F$28</f>
        <v>5.93</v>
      </c>
      <c r="Z51" s="73">
        <f>'48'!$F$29</f>
        <v>4.67</v>
      </c>
      <c r="AA51" s="73">
        <f>'48'!$F$30</f>
        <v>7.2</v>
      </c>
      <c r="AB51" s="73" t="str">
        <f>'48'!$F$31</f>
        <v/>
      </c>
      <c r="AC51" s="73" t="str">
        <f>'48'!$F$32</f>
        <v/>
      </c>
      <c r="AD51" s="94">
        <f>'48'!$F$33</f>
        <v>5.42</v>
      </c>
    </row>
    <row r="52" spans="1:30" x14ac:dyDescent="0.2">
      <c r="A52" s="93" t="s">
        <v>1065</v>
      </c>
      <c r="B52" s="73">
        <f>'49'!$F$5</f>
        <v>8.2200000000000006</v>
      </c>
      <c r="C52" s="73">
        <f>'49'!$F$6</f>
        <v>8.02</v>
      </c>
      <c r="D52" s="73">
        <f>'49'!$F$7</f>
        <v>8.15</v>
      </c>
      <c r="E52" s="73">
        <f>'49'!$F$8</f>
        <v>7.61</v>
      </c>
      <c r="F52" s="73" t="str">
        <f>'49'!$F$9</f>
        <v/>
      </c>
      <c r="G52" s="73">
        <f>'49'!$F$10</f>
        <v>12.11</v>
      </c>
      <c r="H52" s="73">
        <f>'49'!$F$11</f>
        <v>9.5299999999999994</v>
      </c>
      <c r="I52" s="73" t="str">
        <f>'49'!$F$12</f>
        <v/>
      </c>
      <c r="J52" s="73">
        <f>'49'!$F$13</f>
        <v>6.06</v>
      </c>
      <c r="K52" s="73" t="str">
        <f>'49'!$F$14</f>
        <v/>
      </c>
      <c r="L52" s="73">
        <f>'49'!$F$15</f>
        <v>6.21</v>
      </c>
      <c r="M52" s="73">
        <f>'49'!$F$16</f>
        <v>6.59</v>
      </c>
      <c r="N52" s="73">
        <f>'49'!$F$17</f>
        <v>8.1</v>
      </c>
      <c r="O52" s="73" t="str">
        <f>'49'!$F$18</f>
        <v/>
      </c>
      <c r="P52" s="73" t="str">
        <f>'49'!$F$19</f>
        <v/>
      </c>
      <c r="Q52" s="73">
        <f>'49'!$F$20</f>
        <v>14.63</v>
      </c>
      <c r="R52" s="73" t="str">
        <f>'49'!$F$21</f>
        <v/>
      </c>
      <c r="S52" s="73">
        <f>'49'!$F$22</f>
        <v>7.27</v>
      </c>
      <c r="T52" s="73">
        <f>'49'!$F$23</f>
        <v>6.89</v>
      </c>
      <c r="U52" s="73">
        <f>'49'!$F$24</f>
        <v>5.92</v>
      </c>
      <c r="V52" s="73" t="str">
        <f>'49'!$F$25</f>
        <v/>
      </c>
      <c r="W52" s="73" t="str">
        <f>'49'!$F$26</f>
        <v/>
      </c>
      <c r="X52" s="73">
        <f>'49'!$F$27</f>
        <v>9.18</v>
      </c>
      <c r="Y52" s="73">
        <f>'49'!$F$28</f>
        <v>19.03</v>
      </c>
      <c r="Z52" s="73">
        <f>'49'!$F$29</f>
        <v>6.45</v>
      </c>
      <c r="AA52" s="73">
        <f>'49'!$F$30</f>
        <v>8.61</v>
      </c>
      <c r="AB52" s="73" t="str">
        <f>'49'!$F$31</f>
        <v/>
      </c>
      <c r="AC52" s="73" t="str">
        <f>'49'!$F$32</f>
        <v/>
      </c>
      <c r="AD52" s="94">
        <f>'49'!$F$33</f>
        <v>7.59</v>
      </c>
    </row>
    <row r="53" spans="1:30" x14ac:dyDescent="0.2">
      <c r="A53" s="93" t="s">
        <v>1073</v>
      </c>
      <c r="B53" s="73">
        <f>'50'!$F$5</f>
        <v>10.1</v>
      </c>
      <c r="C53" s="73">
        <f>'50'!$F$6</f>
        <v>9.6199999999999992</v>
      </c>
      <c r="D53" s="73">
        <f>'50'!$F$7</f>
        <v>6.64</v>
      </c>
      <c r="E53" s="73">
        <f>'50'!$F$8</f>
        <v>6.22</v>
      </c>
      <c r="F53" s="73" t="str">
        <f>'50'!$F$9</f>
        <v/>
      </c>
      <c r="G53" s="73" t="str">
        <f>'50'!$F$10</f>
        <v/>
      </c>
      <c r="H53" s="73">
        <f>'50'!$F$11</f>
        <v>9.0399999999999991</v>
      </c>
      <c r="I53" s="73" t="str">
        <f>'50'!$F$12</f>
        <v/>
      </c>
      <c r="J53" s="73">
        <f>'50'!$F$13</f>
        <v>6.68</v>
      </c>
      <c r="K53" s="73" t="str">
        <f>'50'!$F$14</f>
        <v/>
      </c>
      <c r="L53" s="73">
        <f>'50'!$F$15</f>
        <v>8.69</v>
      </c>
      <c r="M53" s="73">
        <f>'50'!$F$16</f>
        <v>6.88</v>
      </c>
      <c r="N53" s="73">
        <f>'50'!$F$17</f>
        <v>6.32</v>
      </c>
      <c r="O53" s="73">
        <f>'50'!$F$18</f>
        <v>9.57</v>
      </c>
      <c r="P53" s="73">
        <f>'50'!$F$19</f>
        <v>12.76</v>
      </c>
      <c r="Q53" s="73">
        <f>'50'!$F$20</f>
        <v>8.18</v>
      </c>
      <c r="R53" s="73" t="str">
        <f>'50'!$F$21</f>
        <v/>
      </c>
      <c r="S53" s="73">
        <f>'50'!$F$22</f>
        <v>8.8000000000000007</v>
      </c>
      <c r="T53" s="73">
        <f>'50'!$F$23</f>
        <v>6.81</v>
      </c>
      <c r="U53" s="73">
        <f>'50'!$F$24</f>
        <v>7.1</v>
      </c>
      <c r="V53" s="73" t="str">
        <f>'50'!$F$25</f>
        <v/>
      </c>
      <c r="W53" s="73" t="str">
        <f>'50'!$F$26</f>
        <v/>
      </c>
      <c r="X53" s="73">
        <f>'50'!$F$27</f>
        <v>7.2</v>
      </c>
      <c r="Y53" s="73">
        <f>'50'!$F$28</f>
        <v>8.31</v>
      </c>
      <c r="Z53" s="73">
        <f>'50'!$F$29</f>
        <v>6.06</v>
      </c>
      <c r="AA53" s="73">
        <f>'50'!$F$30</f>
        <v>8.24</v>
      </c>
      <c r="AB53" s="73" t="str">
        <f>'50'!$F$31</f>
        <v/>
      </c>
      <c r="AC53" s="73" t="str">
        <f>'50'!$F$32</f>
        <v/>
      </c>
      <c r="AD53" s="94">
        <f>'50'!$F$33</f>
        <v>7.18</v>
      </c>
    </row>
    <row r="54" spans="1:30" x14ac:dyDescent="0.2">
      <c r="A54" s="91" t="s">
        <v>939</v>
      </c>
      <c r="B54" s="73">
        <f>'51'!$F$5</f>
        <v>6.78</v>
      </c>
      <c r="C54" s="73">
        <f>'51'!$F$6</f>
        <v>6.44</v>
      </c>
      <c r="D54" s="73">
        <f>'51'!$F$7</f>
        <v>5.82</v>
      </c>
      <c r="E54" s="73">
        <f>'51'!$F$8</f>
        <v>5.08</v>
      </c>
      <c r="F54" s="73" t="str">
        <f>'51'!$F$9</f>
        <v/>
      </c>
      <c r="G54" s="73">
        <f>'51'!$F$10</f>
        <v>5.79</v>
      </c>
      <c r="H54" s="73">
        <f>'51'!$F$11</f>
        <v>6.88</v>
      </c>
      <c r="I54" s="73">
        <f>'51'!$F$12</f>
        <v>12.76</v>
      </c>
      <c r="J54" s="73">
        <f>'51'!$F$13</f>
        <v>5.21</v>
      </c>
      <c r="K54" s="73" t="str">
        <f>'51'!$F$14</f>
        <v/>
      </c>
      <c r="L54" s="73">
        <f>'51'!$F$15</f>
        <v>6.39</v>
      </c>
      <c r="M54" s="73">
        <f>'51'!$F$16</f>
        <v>5.67</v>
      </c>
      <c r="N54" s="73">
        <f>'51'!$F$17</f>
        <v>4.21</v>
      </c>
      <c r="O54" s="73">
        <f>'51'!$F$18</f>
        <v>4.1399999999999997</v>
      </c>
      <c r="P54" s="73">
        <f>'51'!$F$19</f>
        <v>8.6199999999999992</v>
      </c>
      <c r="Q54" s="73">
        <f>'51'!$F$20</f>
        <v>7.57</v>
      </c>
      <c r="R54" s="73" t="str">
        <f>'51'!$F$21</f>
        <v/>
      </c>
      <c r="S54" s="73" t="str">
        <f>'51'!$F$22</f>
        <v/>
      </c>
      <c r="T54" s="73">
        <f>'51'!$F$23</f>
        <v>5.39</v>
      </c>
      <c r="U54" s="73">
        <f>'51'!$F$24</f>
        <v>6.16</v>
      </c>
      <c r="V54" s="73">
        <f>'51'!$F$25</f>
        <v>6.29</v>
      </c>
      <c r="W54" s="73">
        <f>'51'!$F$26</f>
        <v>6.34</v>
      </c>
      <c r="X54" s="73" t="str">
        <f>'51'!$F$27</f>
        <v/>
      </c>
      <c r="Y54" s="73">
        <f>'51'!$F$28</f>
        <v>4.2699999999999996</v>
      </c>
      <c r="Z54" s="73">
        <f>'51'!$F$29</f>
        <v>5.05</v>
      </c>
      <c r="AA54" s="73">
        <f>'51'!$F$30</f>
        <v>5.79</v>
      </c>
      <c r="AB54" s="73" t="str">
        <f>'51'!$F$31</f>
        <v/>
      </c>
      <c r="AC54" s="73" t="str">
        <f>'51'!$F$32</f>
        <v/>
      </c>
      <c r="AD54" s="94">
        <f>'51'!$F$33</f>
        <v>5.94</v>
      </c>
    </row>
    <row r="55" spans="1:30" x14ac:dyDescent="0.2">
      <c r="A55" s="91" t="s">
        <v>940</v>
      </c>
      <c r="B55" s="73" t="str">
        <f>'52'!$F$5</f>
        <v/>
      </c>
      <c r="C55" s="73">
        <f>'52'!$F$6</f>
        <v>7.14</v>
      </c>
      <c r="D55" s="73">
        <f>'52'!$F$7</f>
        <v>8.1</v>
      </c>
      <c r="E55" s="73">
        <f>'52'!$F$8</f>
        <v>5.96</v>
      </c>
      <c r="F55" s="73">
        <f>'52'!$F$9</f>
        <v>87.95</v>
      </c>
      <c r="G55" s="73">
        <f>'52'!$F$10</f>
        <v>5.48</v>
      </c>
      <c r="H55" s="73">
        <f>'52'!$F$11</f>
        <v>5.97</v>
      </c>
      <c r="I55" s="73">
        <f>'52'!$F$12</f>
        <v>5.92</v>
      </c>
      <c r="J55" s="73">
        <f>'52'!$F$13</f>
        <v>6.72</v>
      </c>
      <c r="K55" s="73" t="str">
        <f>'52'!$F$14</f>
        <v/>
      </c>
      <c r="L55" s="73">
        <f>'52'!$F$15</f>
        <v>8.99</v>
      </c>
      <c r="M55" s="73">
        <f>'52'!$F$16</f>
        <v>5.83</v>
      </c>
      <c r="N55" s="73">
        <f>'52'!$F$17</f>
        <v>6.64</v>
      </c>
      <c r="O55" s="73">
        <f>'52'!$F$18</f>
        <v>7.28</v>
      </c>
      <c r="P55" s="73" t="str">
        <f>'52'!$F$19</f>
        <v/>
      </c>
      <c r="Q55" s="73">
        <f>'52'!$F$20</f>
        <v>4.67</v>
      </c>
      <c r="R55" s="73">
        <f>'52'!$F$21</f>
        <v>8.4499999999999993</v>
      </c>
      <c r="S55" s="73">
        <f>'52'!$F$22</f>
        <v>5.16</v>
      </c>
      <c r="T55" s="73">
        <f>'52'!$F$23</f>
        <v>6.78</v>
      </c>
      <c r="U55" s="73">
        <f>'52'!$F$24</f>
        <v>5.95</v>
      </c>
      <c r="V55" s="73">
        <f>'52'!$F$25</f>
        <v>6.8</v>
      </c>
      <c r="W55" s="73">
        <f>'52'!$F$26</f>
        <v>8.9499999999999993</v>
      </c>
      <c r="X55" s="73" t="str">
        <f>'52'!$F$27</f>
        <v/>
      </c>
      <c r="Y55" s="73">
        <f>'52'!$F$28</f>
        <v>5.03</v>
      </c>
      <c r="Z55" s="73">
        <f>'52'!$F$29</f>
        <v>5.23</v>
      </c>
      <c r="AA55" s="73">
        <f>'52'!$F$30</f>
        <v>6.91</v>
      </c>
      <c r="AB55" s="73" t="str">
        <f>'52'!$F$31</f>
        <v/>
      </c>
      <c r="AC55" s="73" t="str">
        <f>'52'!$F$32</f>
        <v/>
      </c>
      <c r="AD55" s="94">
        <f>'52'!$F$33</f>
        <v>6.2</v>
      </c>
    </row>
    <row r="56" spans="1:30" x14ac:dyDescent="0.2">
      <c r="A56" s="91" t="s">
        <v>941</v>
      </c>
      <c r="B56" s="73">
        <f>'53'!$F$5</f>
        <v>10.31</v>
      </c>
      <c r="C56" s="73">
        <f>'53'!$F$6</f>
        <v>10.31</v>
      </c>
      <c r="D56" s="73">
        <f>'53'!$F$7</f>
        <v>10.31</v>
      </c>
      <c r="E56" s="73">
        <f>'53'!$F$8</f>
        <v>7.07</v>
      </c>
      <c r="F56" s="73" t="str">
        <f>'53'!$F$9</f>
        <v/>
      </c>
      <c r="G56" s="73">
        <f>'53'!$F$10</f>
        <v>10.31</v>
      </c>
      <c r="H56" s="73">
        <f>'53'!$F$11</f>
        <v>7.07</v>
      </c>
      <c r="I56" s="73">
        <f>'53'!$F$12</f>
        <v>10.31</v>
      </c>
      <c r="J56" s="73" t="str">
        <f>'53'!$F$13</f>
        <v/>
      </c>
      <c r="K56" s="73" t="str">
        <f>'53'!$F$14</f>
        <v/>
      </c>
      <c r="L56" s="73">
        <f>'53'!$F$15</f>
        <v>10.31</v>
      </c>
      <c r="M56" s="73">
        <f>'53'!$F$16</f>
        <v>8.34</v>
      </c>
      <c r="N56" s="73" t="str">
        <f>'53'!$F$17</f>
        <v/>
      </c>
      <c r="O56" s="73" t="str">
        <f>'53'!$F$18</f>
        <v/>
      </c>
      <c r="P56" s="73" t="str">
        <f>'53'!$F$19</f>
        <v/>
      </c>
      <c r="Q56" s="73" t="str">
        <f>'53'!$F$20</f>
        <v/>
      </c>
      <c r="R56" s="73" t="str">
        <f>'53'!$F$21</f>
        <v/>
      </c>
      <c r="S56" s="73" t="str">
        <f>'53'!$F$22</f>
        <v/>
      </c>
      <c r="T56" s="73">
        <f>'53'!$F$23</f>
        <v>8.34</v>
      </c>
      <c r="U56" s="73">
        <f>'53'!$F$24</f>
        <v>9.69</v>
      </c>
      <c r="V56" s="73">
        <f>'53'!$F$25</f>
        <v>9.69</v>
      </c>
      <c r="W56" s="73">
        <f>'53'!$F$26</f>
        <v>10.31</v>
      </c>
      <c r="X56" s="73" t="str">
        <f>'53'!$F$27</f>
        <v/>
      </c>
      <c r="Y56" s="73">
        <f>'53'!$F$28</f>
        <v>7.07</v>
      </c>
      <c r="Z56" s="73">
        <f>'53'!$F$29</f>
        <v>7.35</v>
      </c>
      <c r="AA56" s="73">
        <f>'53'!$F$30</f>
        <v>7.07</v>
      </c>
      <c r="AB56" s="73" t="str">
        <f>'53'!$F$31</f>
        <v/>
      </c>
      <c r="AC56" s="73" t="str">
        <f>'53'!$F$32</f>
        <v/>
      </c>
      <c r="AD56" s="94">
        <f>'53'!$F$33</f>
        <v>9.08</v>
      </c>
    </row>
    <row r="57" spans="1:30" x14ac:dyDescent="0.2">
      <c r="A57" s="91" t="s">
        <v>942</v>
      </c>
      <c r="B57" s="73">
        <f>'54'!$F$5</f>
        <v>6.95</v>
      </c>
      <c r="C57" s="73">
        <f>'54'!$F$6</f>
        <v>6.4</v>
      </c>
      <c r="D57" s="73">
        <f>'54'!$F$7</f>
        <v>7.76</v>
      </c>
      <c r="E57" s="73">
        <f>'54'!$F$8</f>
        <v>3.29</v>
      </c>
      <c r="F57" s="73">
        <f>'54'!$F$9</f>
        <v>18.920000000000002</v>
      </c>
      <c r="G57" s="73">
        <f>'54'!$F$10</f>
        <v>6.2</v>
      </c>
      <c r="H57" s="73">
        <f>'54'!$F$11</f>
        <v>9.1199999999999992</v>
      </c>
      <c r="I57" s="73">
        <f>'54'!$F$12</f>
        <v>8.4600000000000009</v>
      </c>
      <c r="J57" s="73">
        <f>'54'!$F$13</f>
        <v>6.21</v>
      </c>
      <c r="K57" s="73">
        <f>'54'!$F$14</f>
        <v>9.56</v>
      </c>
      <c r="L57" s="73">
        <f>'54'!$F$15</f>
        <v>8.73</v>
      </c>
      <c r="M57" s="73">
        <f>'54'!$F$16</f>
        <v>6.36</v>
      </c>
      <c r="N57" s="73">
        <f>'54'!$F$17</f>
        <v>4.92</v>
      </c>
      <c r="O57" s="73">
        <f>'54'!$F$18</f>
        <v>5.15</v>
      </c>
      <c r="P57" s="73" t="str">
        <f>'54'!$F$19</f>
        <v/>
      </c>
      <c r="Q57" s="73">
        <f>'54'!$F$20</f>
        <v>3.44</v>
      </c>
      <c r="R57" s="73" t="str">
        <f>'54'!$F$21</f>
        <v/>
      </c>
      <c r="S57" s="73" t="str">
        <f>'54'!$F$22</f>
        <v/>
      </c>
      <c r="T57" s="73">
        <f>'54'!$F$23</f>
        <v>6.41</v>
      </c>
      <c r="U57" s="73">
        <f>'54'!$F$24</f>
        <v>5.88</v>
      </c>
      <c r="V57" s="73">
        <f>'54'!$F$25</f>
        <v>6.27</v>
      </c>
      <c r="W57" s="73">
        <f>'54'!$F$26</f>
        <v>3.1</v>
      </c>
      <c r="X57" s="73">
        <f>'54'!$F$27</f>
        <v>10.57</v>
      </c>
      <c r="Y57" s="73">
        <f>'54'!$F$28</f>
        <v>3.3</v>
      </c>
      <c r="Z57" s="73">
        <f>'54'!$F$29</f>
        <v>6.55</v>
      </c>
      <c r="AA57" s="73">
        <f>'54'!$F$30</f>
        <v>6.23</v>
      </c>
      <c r="AB57" s="73" t="str">
        <f>'54'!$F$31</f>
        <v/>
      </c>
      <c r="AC57" s="73" t="str">
        <f>'54'!$F$32</f>
        <v/>
      </c>
      <c r="AD57" s="94">
        <f>'54'!$F$33</f>
        <v>6.91</v>
      </c>
    </row>
    <row r="58" spans="1:30" x14ac:dyDescent="0.2">
      <c r="A58" s="91" t="s">
        <v>943</v>
      </c>
      <c r="B58" s="73" t="str">
        <f>'55'!$F$5</f>
        <v/>
      </c>
      <c r="C58" s="73">
        <f>'55'!$F$6</f>
        <v>8.4600000000000009</v>
      </c>
      <c r="D58" s="73">
        <f>'55'!$F$7</f>
        <v>8.4600000000000009</v>
      </c>
      <c r="E58" s="73">
        <f>'55'!$F$8</f>
        <v>8.4600000000000009</v>
      </c>
      <c r="F58" s="73" t="str">
        <f>'55'!$F$9</f>
        <v/>
      </c>
      <c r="G58" s="73" t="str">
        <f>'55'!$F$10</f>
        <v/>
      </c>
      <c r="H58" s="73">
        <f>'55'!$F$11</f>
        <v>8.4600000000000009</v>
      </c>
      <c r="I58" s="73">
        <f>'55'!$F$12</f>
        <v>8.4600000000000009</v>
      </c>
      <c r="J58" s="73">
        <f>'55'!$F$13</f>
        <v>8.4600000000000009</v>
      </c>
      <c r="K58" s="73" t="str">
        <f>'55'!$F$14</f>
        <v/>
      </c>
      <c r="L58" s="73">
        <f>'55'!$F$15</f>
        <v>8.4600000000000009</v>
      </c>
      <c r="M58" s="73">
        <f>'55'!$F$16</f>
        <v>8.4600000000000009</v>
      </c>
      <c r="N58" s="73" t="str">
        <f>'55'!$F$17</f>
        <v/>
      </c>
      <c r="O58" s="73" t="str">
        <f>'55'!$F$18</f>
        <v/>
      </c>
      <c r="P58" s="73">
        <f>'55'!$F$19</f>
        <v>8.4600000000000009</v>
      </c>
      <c r="Q58" s="73">
        <f>'55'!$F$20</f>
        <v>8.4600000000000009</v>
      </c>
      <c r="R58" s="73">
        <f>'55'!$F$21</f>
        <v>8.4600000000000009</v>
      </c>
      <c r="S58" s="73" t="str">
        <f>'55'!$F$22</f>
        <v/>
      </c>
      <c r="T58" s="73">
        <f>'55'!$F$23</f>
        <v>8.4600000000000009</v>
      </c>
      <c r="U58" s="73">
        <f>'55'!$F$24</f>
        <v>8.4600000000000009</v>
      </c>
      <c r="V58" s="73">
        <f>'55'!$F$25</f>
        <v>8.4600000000000009</v>
      </c>
      <c r="W58" s="73">
        <f>'55'!$F$26</f>
        <v>8.4600000000000009</v>
      </c>
      <c r="X58" s="73" t="str">
        <f>'55'!$F$27</f>
        <v/>
      </c>
      <c r="Y58" s="73">
        <f>'55'!$F$28</f>
        <v>8.4600000000000009</v>
      </c>
      <c r="Z58" s="73">
        <f>'55'!$F$29</f>
        <v>8.4600000000000009</v>
      </c>
      <c r="AA58" s="73">
        <f>'55'!$F$30</f>
        <v>8.4600000000000009</v>
      </c>
      <c r="AB58" s="73" t="str">
        <f>'55'!$F$31</f>
        <v/>
      </c>
      <c r="AC58" s="73" t="str">
        <f>'55'!$F$32</f>
        <v/>
      </c>
      <c r="AD58" s="94">
        <f>'55'!$F$33</f>
        <v>8.4600000000000009</v>
      </c>
    </row>
    <row r="59" spans="1:30" x14ac:dyDescent="0.2">
      <c r="A59" s="91" t="s">
        <v>944</v>
      </c>
      <c r="B59" s="73">
        <f>'56'!$F$5</f>
        <v>7.57</v>
      </c>
      <c r="C59" s="73" t="str">
        <f>'56'!$F$6</f>
        <v/>
      </c>
      <c r="D59" s="73">
        <f>'56'!$F$7</f>
        <v>7.57</v>
      </c>
      <c r="E59" s="73">
        <f>'56'!$F$8</f>
        <v>7.57</v>
      </c>
      <c r="F59" s="73" t="str">
        <f>'56'!$F$9</f>
        <v/>
      </c>
      <c r="G59" s="73">
        <f>'56'!$F$10</f>
        <v>7.57</v>
      </c>
      <c r="H59" s="73">
        <f>'56'!$F$11</f>
        <v>7.57</v>
      </c>
      <c r="I59" s="73" t="str">
        <f>'56'!$F$12</f>
        <v/>
      </c>
      <c r="J59" s="73">
        <f>'56'!$F$13</f>
        <v>7.57</v>
      </c>
      <c r="K59" s="73" t="str">
        <f>'56'!$F$14</f>
        <v/>
      </c>
      <c r="L59" s="73">
        <f>'56'!$F$15</f>
        <v>7.57</v>
      </c>
      <c r="M59" s="73">
        <f>'56'!$F$16</f>
        <v>7.57</v>
      </c>
      <c r="N59" s="73">
        <f>'56'!$F$17</f>
        <v>7.57</v>
      </c>
      <c r="O59" s="73">
        <f>'56'!$F$18</f>
        <v>7.57</v>
      </c>
      <c r="P59" s="73" t="str">
        <f>'56'!$F$19</f>
        <v/>
      </c>
      <c r="Q59" s="73">
        <f>'56'!$F$20</f>
        <v>7.95</v>
      </c>
      <c r="R59" s="73" t="str">
        <f>'56'!$F$21</f>
        <v/>
      </c>
      <c r="S59" s="73">
        <f>'56'!$F$22</f>
        <v>7.57</v>
      </c>
      <c r="T59" s="73">
        <f>'56'!$F$23</f>
        <v>7.57</v>
      </c>
      <c r="U59" s="73" t="str">
        <f>'56'!$F$24</f>
        <v/>
      </c>
      <c r="V59" s="73" t="str">
        <f>'56'!$F$25</f>
        <v/>
      </c>
      <c r="W59" s="73" t="str">
        <f>'56'!$F$26</f>
        <v/>
      </c>
      <c r="X59" s="73">
        <f>'56'!$F$27</f>
        <v>7.57</v>
      </c>
      <c r="Y59" s="73">
        <f>'56'!$F$28</f>
        <v>7.57</v>
      </c>
      <c r="Z59" s="73">
        <f>'56'!$F$29</f>
        <v>7.57</v>
      </c>
      <c r="AA59" s="73">
        <f>'56'!$F$30</f>
        <v>7.57</v>
      </c>
      <c r="AB59" s="73" t="str">
        <f>'56'!$F$31</f>
        <v/>
      </c>
      <c r="AC59" s="73" t="str">
        <f>'56'!$F$32</f>
        <v/>
      </c>
      <c r="AD59" s="94">
        <f>'56'!$F$33</f>
        <v>7.6</v>
      </c>
    </row>
    <row r="60" spans="1:30" ht="15" thickBot="1" x14ac:dyDescent="0.25">
      <c r="A60" s="72" t="s">
        <v>945</v>
      </c>
      <c r="B60" s="70" t="str">
        <f>'57'!$F$5</f>
        <v/>
      </c>
      <c r="C60" s="70">
        <f>'57'!$F$6</f>
        <v>7.95</v>
      </c>
      <c r="D60" s="70">
        <f>'57'!$F$7</f>
        <v>7.95</v>
      </c>
      <c r="E60" s="70">
        <f>'57'!$F$8</f>
        <v>7.95</v>
      </c>
      <c r="F60" s="70" t="str">
        <f>'57'!$F$9</f>
        <v/>
      </c>
      <c r="G60" s="70">
        <f>'57'!$F$10</f>
        <v>7.95</v>
      </c>
      <c r="H60" s="70">
        <f>'57'!$F$11</f>
        <v>7.95</v>
      </c>
      <c r="I60" s="70">
        <f>'57'!$F$12</f>
        <v>7.95</v>
      </c>
      <c r="J60" s="70">
        <f>'57'!$F$13</f>
        <v>7.95</v>
      </c>
      <c r="K60" s="70" t="str">
        <f>'57'!$F$14</f>
        <v/>
      </c>
      <c r="L60" s="70">
        <f>'57'!$F$15</f>
        <v>7.95</v>
      </c>
      <c r="M60" s="70">
        <f>'57'!$F$16</f>
        <v>7.95</v>
      </c>
      <c r="N60" s="70">
        <f>'57'!$F$17</f>
        <v>7.95</v>
      </c>
      <c r="O60" s="70">
        <f>'57'!$F$18</f>
        <v>7.95</v>
      </c>
      <c r="P60" s="70" t="str">
        <f>'57'!$F$19</f>
        <v/>
      </c>
      <c r="Q60" s="70">
        <f>'57'!$F$20</f>
        <v>7.95</v>
      </c>
      <c r="R60" s="70" t="str">
        <f>'57'!$F$21</f>
        <v/>
      </c>
      <c r="S60" s="70">
        <f>'57'!$F$22</f>
        <v>7.95</v>
      </c>
      <c r="T60" s="70">
        <f>'57'!$F$23</f>
        <v>7.95</v>
      </c>
      <c r="U60" s="70">
        <f>'57'!$F$24</f>
        <v>7.95</v>
      </c>
      <c r="V60" s="70">
        <f>'57'!$F$25</f>
        <v>7.95</v>
      </c>
      <c r="W60" s="70">
        <f>'57'!$F$26</f>
        <v>7.95</v>
      </c>
      <c r="X60" s="70">
        <f>'57'!$F$27</f>
        <v>7.95</v>
      </c>
      <c r="Y60" s="70">
        <f>'57'!$F$28</f>
        <v>7.95</v>
      </c>
      <c r="Z60" s="70">
        <f>'57'!$F$29</f>
        <v>7.95</v>
      </c>
      <c r="AA60" s="70">
        <f>'57'!$F$30</f>
        <v>7.95</v>
      </c>
      <c r="AB60" s="70" t="str">
        <f>'57'!$F$31</f>
        <v/>
      </c>
      <c r="AC60" s="70" t="str">
        <f>'57'!$F$32</f>
        <v/>
      </c>
      <c r="AD60" s="71">
        <f>'57'!$F$33</f>
        <v>7.95</v>
      </c>
    </row>
    <row r="61" spans="1:30" s="67" customFormat="1" x14ac:dyDescent="0.2">
      <c r="A61" s="89" t="s">
        <v>35</v>
      </c>
      <c r="B61" s="141">
        <f>Summary!$F$5</f>
        <v>7.1800000000000006</v>
      </c>
      <c r="C61" s="141">
        <f>Summary!$F$6</f>
        <v>7.3100000000000005</v>
      </c>
      <c r="D61" s="141">
        <f>Summary!$F$7</f>
        <v>5.86</v>
      </c>
      <c r="E61" s="141">
        <f>Summary!$F$8</f>
        <v>6.69</v>
      </c>
      <c r="F61" s="141">
        <f>Summary!$F$9</f>
        <v>13.77</v>
      </c>
      <c r="G61" s="141">
        <f>Summary!$F$10</f>
        <v>7.2100000000000009</v>
      </c>
      <c r="H61" s="141">
        <f>Summary!$F$11</f>
        <v>6.94</v>
      </c>
      <c r="I61" s="141">
        <f>Summary!$F$12</f>
        <v>7.36</v>
      </c>
      <c r="J61" s="141">
        <f>Summary!$F$13</f>
        <v>5.49</v>
      </c>
      <c r="K61" s="141">
        <f>Summary!$F$14</f>
        <v>8.9200000000000017</v>
      </c>
      <c r="L61" s="141">
        <f>Summary!$F$15</f>
        <v>7.23</v>
      </c>
      <c r="M61" s="141">
        <f>Summary!$F$16</f>
        <v>5.83</v>
      </c>
      <c r="N61" s="141">
        <f>Summary!$F$17</f>
        <v>6.1400000000000006</v>
      </c>
      <c r="O61" s="141">
        <f>Summary!$F$18</f>
        <v>8.9</v>
      </c>
      <c r="P61" s="141">
        <f>Summary!$F$19</f>
        <v>12.530000000000001</v>
      </c>
      <c r="Q61" s="141">
        <f>Summary!$F$20</f>
        <v>6.78</v>
      </c>
      <c r="R61" s="141">
        <f>Summary!$F$21</f>
        <v>10.030000000000001</v>
      </c>
      <c r="S61" s="141">
        <f>Summary!$F$22</f>
        <v>6.5400000000000009</v>
      </c>
      <c r="T61" s="141">
        <f>Summary!$F$23</f>
        <v>5.5600000000000005</v>
      </c>
      <c r="U61" s="141">
        <f>Summary!$F$24</f>
        <v>7.0500000000000007</v>
      </c>
      <c r="V61" s="141">
        <f>Summary!$F$25</f>
        <v>8.3000000000000007</v>
      </c>
      <c r="W61" s="141">
        <f>Summary!$F$26</f>
        <v>7.1400000000000006</v>
      </c>
      <c r="X61" s="141">
        <f>Summary!$F$27</f>
        <v>6.8800000000000008</v>
      </c>
      <c r="Y61" s="141">
        <f>Summary!$F$28</f>
        <v>6.2200000000000006</v>
      </c>
      <c r="Z61" s="141">
        <f>Summary!$F$29</f>
        <v>5.36</v>
      </c>
      <c r="AA61" s="141">
        <f>Summary!$F$30</f>
        <v>7.1800000000000006</v>
      </c>
      <c r="AB61" s="141"/>
      <c r="AC61" s="141"/>
      <c r="AD61" s="142">
        <f>Summary!$F$33</f>
        <v>6.370000000000001</v>
      </c>
    </row>
    <row r="62" spans="1:30" s="67" customFormat="1" x14ac:dyDescent="0.2">
      <c r="A62" s="96" t="s">
        <v>951</v>
      </c>
      <c r="B62" s="18">
        <f>AVERAGE(B$4:B$60)</f>
        <v>7.9791304347826104</v>
      </c>
      <c r="C62" s="18">
        <f t="shared" ref="C62:AD62" si="0">AVERAGE(C$4:C$60)</f>
        <v>10.233454545454547</v>
      </c>
      <c r="D62" s="18">
        <f t="shared" si="0"/>
        <v>6.1235087719298242</v>
      </c>
      <c r="E62" s="18">
        <f t="shared" si="0"/>
        <v>6.7780701754385957</v>
      </c>
      <c r="F62" s="18">
        <f t="shared" si="0"/>
        <v>21.566666666666666</v>
      </c>
      <c r="G62" s="18">
        <f t="shared" si="0"/>
        <v>31.28019999999999</v>
      </c>
      <c r="H62" s="18">
        <f t="shared" si="0"/>
        <v>7.6692982456140353</v>
      </c>
      <c r="I62" s="18">
        <f t="shared" si="0"/>
        <v>11.316904761904766</v>
      </c>
      <c r="J62" s="18">
        <f t="shared" si="0"/>
        <v>5.8612727272727252</v>
      </c>
      <c r="K62" s="18">
        <f t="shared" si="0"/>
        <v>12.942173913043481</v>
      </c>
      <c r="L62" s="18">
        <f t="shared" si="0"/>
        <v>8.4556862745098034</v>
      </c>
      <c r="M62" s="18">
        <f t="shared" si="0"/>
        <v>6.269122807017542</v>
      </c>
      <c r="N62" s="18">
        <f t="shared" si="0"/>
        <v>6.6365454545454527</v>
      </c>
      <c r="O62" s="18">
        <f t="shared" si="0"/>
        <v>9.6399999999999988</v>
      </c>
      <c r="P62" s="18">
        <f t="shared" si="0"/>
        <v>12.901428571428571</v>
      </c>
      <c r="Q62" s="18">
        <f t="shared" si="0"/>
        <v>7.0107142857142852</v>
      </c>
      <c r="R62" s="18">
        <f t="shared" si="0"/>
        <v>11.483478260869562</v>
      </c>
      <c r="S62" s="18">
        <f t="shared" si="0"/>
        <v>7.116122448979592</v>
      </c>
      <c r="T62" s="18">
        <f t="shared" si="0"/>
        <v>5.8517543859649095</v>
      </c>
      <c r="U62" s="18">
        <f t="shared" si="0"/>
        <v>7.6706666666666656</v>
      </c>
      <c r="V62" s="18">
        <f t="shared" si="0"/>
        <v>10.564146341463411</v>
      </c>
      <c r="W62" s="18">
        <f t="shared" si="0"/>
        <v>12.401891891891893</v>
      </c>
      <c r="X62" s="18">
        <f t="shared" si="0"/>
        <v>7.9441509433962239</v>
      </c>
      <c r="Y62" s="18">
        <f t="shared" si="0"/>
        <v>7.0074999999999994</v>
      </c>
      <c r="Z62" s="18">
        <f t="shared" si="0"/>
        <v>5.6368421052631579</v>
      </c>
      <c r="AA62" s="18">
        <f t="shared" si="0"/>
        <v>7.5163157894736834</v>
      </c>
      <c r="AB62" s="18"/>
      <c r="AC62" s="18"/>
      <c r="AD62" s="21">
        <f t="shared" si="0"/>
        <v>6.6024561403508759</v>
      </c>
    </row>
    <row r="63" spans="1:30" s="67" customFormat="1" x14ac:dyDescent="0.2">
      <c r="A63" s="96" t="s">
        <v>952</v>
      </c>
      <c r="B63" s="18">
        <f>MAX(B$4:B$60)</f>
        <v>15.4</v>
      </c>
      <c r="C63" s="18">
        <f t="shared" ref="C63:AD63" si="1">MAX(C$4:C$60)</f>
        <v>59.51</v>
      </c>
      <c r="D63" s="18">
        <f t="shared" si="1"/>
        <v>10.31</v>
      </c>
      <c r="E63" s="18">
        <f t="shared" si="1"/>
        <v>10.84</v>
      </c>
      <c r="F63" s="18">
        <f t="shared" si="1"/>
        <v>87.95</v>
      </c>
      <c r="G63" s="18">
        <f t="shared" si="1"/>
        <v>1087.17</v>
      </c>
      <c r="H63" s="18">
        <f t="shared" si="1"/>
        <v>23.62</v>
      </c>
      <c r="I63" s="18">
        <f t="shared" si="1"/>
        <v>112.33</v>
      </c>
      <c r="J63" s="18">
        <f t="shared" si="1"/>
        <v>11.42</v>
      </c>
      <c r="K63" s="18">
        <f t="shared" si="1"/>
        <v>49.27</v>
      </c>
      <c r="L63" s="18">
        <f t="shared" si="1"/>
        <v>28.98</v>
      </c>
      <c r="M63" s="18">
        <f t="shared" si="1"/>
        <v>12.77</v>
      </c>
      <c r="N63" s="18">
        <f t="shared" si="1"/>
        <v>19.71</v>
      </c>
      <c r="O63" s="18">
        <f t="shared" si="1"/>
        <v>33.22</v>
      </c>
      <c r="P63" s="18">
        <f t="shared" si="1"/>
        <v>19.95</v>
      </c>
      <c r="Q63" s="18">
        <f t="shared" si="1"/>
        <v>14.63</v>
      </c>
      <c r="R63" s="18">
        <f t="shared" si="1"/>
        <v>31.43</v>
      </c>
      <c r="S63" s="18">
        <f t="shared" si="1"/>
        <v>12.16</v>
      </c>
      <c r="T63" s="18">
        <f t="shared" si="1"/>
        <v>8.4600000000000009</v>
      </c>
      <c r="U63" s="18">
        <f t="shared" si="1"/>
        <v>21.21</v>
      </c>
      <c r="V63" s="18">
        <f t="shared" si="1"/>
        <v>35.909999999999997</v>
      </c>
      <c r="W63" s="18">
        <f t="shared" si="1"/>
        <v>44.81</v>
      </c>
      <c r="X63" s="18">
        <f t="shared" si="1"/>
        <v>15.65</v>
      </c>
      <c r="Y63" s="18">
        <f t="shared" si="1"/>
        <v>19.03</v>
      </c>
      <c r="Z63" s="18">
        <f t="shared" si="1"/>
        <v>8.56</v>
      </c>
      <c r="AA63" s="18">
        <f t="shared" si="1"/>
        <v>12.22</v>
      </c>
      <c r="AB63" s="18"/>
      <c r="AC63" s="18"/>
      <c r="AD63" s="21">
        <f t="shared" si="1"/>
        <v>10.119999999999999</v>
      </c>
    </row>
    <row r="64" spans="1:30" s="67" customFormat="1" x14ac:dyDescent="0.2">
      <c r="A64" s="96" t="s">
        <v>953</v>
      </c>
      <c r="B64" s="18">
        <f>MIN(B$4:B$60)</f>
        <v>3.06</v>
      </c>
      <c r="C64" s="18">
        <f t="shared" ref="C64:AD64" si="2">MIN(C$4:C$60)</f>
        <v>3.66</v>
      </c>
      <c r="D64" s="18">
        <f t="shared" si="2"/>
        <v>3.15</v>
      </c>
      <c r="E64" s="18">
        <f t="shared" si="2"/>
        <v>2.89</v>
      </c>
      <c r="F64" s="18">
        <f t="shared" si="2"/>
        <v>7.87</v>
      </c>
      <c r="G64" s="18">
        <f t="shared" si="2"/>
        <v>2.41</v>
      </c>
      <c r="H64" s="18">
        <f t="shared" si="2"/>
        <v>3.74</v>
      </c>
      <c r="I64" s="18">
        <f t="shared" si="2"/>
        <v>3.54</v>
      </c>
      <c r="J64" s="18">
        <f t="shared" si="2"/>
        <v>3.3</v>
      </c>
      <c r="K64" s="18">
        <f t="shared" si="2"/>
        <v>2.41</v>
      </c>
      <c r="L64" s="18">
        <f t="shared" si="2"/>
        <v>3.48</v>
      </c>
      <c r="M64" s="18">
        <f t="shared" si="2"/>
        <v>3.67</v>
      </c>
      <c r="N64" s="18">
        <f t="shared" si="2"/>
        <v>3.92</v>
      </c>
      <c r="O64" s="18">
        <f t="shared" si="2"/>
        <v>4.1399999999999997</v>
      </c>
      <c r="P64" s="18">
        <f t="shared" si="2"/>
        <v>5.2</v>
      </c>
      <c r="Q64" s="18">
        <f t="shared" si="2"/>
        <v>3.44</v>
      </c>
      <c r="R64" s="18">
        <f t="shared" si="2"/>
        <v>6.42</v>
      </c>
      <c r="S64" s="18">
        <f t="shared" si="2"/>
        <v>3.52</v>
      </c>
      <c r="T64" s="18">
        <f t="shared" si="2"/>
        <v>3.82</v>
      </c>
      <c r="U64" s="18">
        <f t="shared" si="2"/>
        <v>4.33</v>
      </c>
      <c r="V64" s="18">
        <f t="shared" si="2"/>
        <v>2.36</v>
      </c>
      <c r="W64" s="18">
        <f t="shared" si="2"/>
        <v>2.61</v>
      </c>
      <c r="X64" s="18">
        <f t="shared" si="2"/>
        <v>4</v>
      </c>
      <c r="Y64" s="18">
        <f t="shared" si="2"/>
        <v>3.3</v>
      </c>
      <c r="Z64" s="18">
        <f t="shared" si="2"/>
        <v>3.17</v>
      </c>
      <c r="AA64" s="18">
        <f t="shared" si="2"/>
        <v>4.6399999999999997</v>
      </c>
      <c r="AB64" s="18"/>
      <c r="AC64" s="18"/>
      <c r="AD64" s="21">
        <f t="shared" si="2"/>
        <v>4.2</v>
      </c>
    </row>
    <row r="65" spans="1:30" s="67" customFormat="1" ht="15" thickBot="1" x14ac:dyDescent="0.25">
      <c r="A65" s="90" t="s">
        <v>954</v>
      </c>
      <c r="B65" s="65">
        <f>MEDIAN(B$4:B$60)</f>
        <v>7.4</v>
      </c>
      <c r="C65" s="65">
        <f t="shared" ref="C65:AD65" si="3">MEDIAN(C$4:C$60)</f>
        <v>7.48</v>
      </c>
      <c r="D65" s="65">
        <f t="shared" si="3"/>
        <v>6.16</v>
      </c>
      <c r="E65" s="65">
        <f t="shared" si="3"/>
        <v>6.8</v>
      </c>
      <c r="F65" s="65">
        <f t="shared" si="3"/>
        <v>13.99</v>
      </c>
      <c r="G65" s="65">
        <f t="shared" si="3"/>
        <v>7.34</v>
      </c>
      <c r="H65" s="65">
        <f t="shared" si="3"/>
        <v>7.57</v>
      </c>
      <c r="I65" s="65">
        <f t="shared" si="3"/>
        <v>7.7550000000000008</v>
      </c>
      <c r="J65" s="65">
        <f t="shared" si="3"/>
        <v>5.53</v>
      </c>
      <c r="K65" s="65">
        <f t="shared" si="3"/>
        <v>8.83</v>
      </c>
      <c r="L65" s="65">
        <f t="shared" si="3"/>
        <v>6.71</v>
      </c>
      <c r="M65" s="65">
        <f t="shared" si="3"/>
        <v>6.1</v>
      </c>
      <c r="N65" s="65">
        <f t="shared" si="3"/>
        <v>6.55</v>
      </c>
      <c r="O65" s="65">
        <f t="shared" si="3"/>
        <v>9.1050000000000004</v>
      </c>
      <c r="P65" s="65">
        <f t="shared" si="3"/>
        <v>13.475</v>
      </c>
      <c r="Q65" s="65">
        <f t="shared" si="3"/>
        <v>7.1449999999999996</v>
      </c>
      <c r="R65" s="65">
        <f t="shared" si="3"/>
        <v>9.7200000000000006</v>
      </c>
      <c r="S65" s="65">
        <f t="shared" si="3"/>
        <v>7</v>
      </c>
      <c r="T65" s="65">
        <f t="shared" si="3"/>
        <v>5.72</v>
      </c>
      <c r="U65" s="65">
        <f t="shared" si="3"/>
        <v>7.22</v>
      </c>
      <c r="V65" s="65">
        <f t="shared" si="3"/>
        <v>8.4600000000000009</v>
      </c>
      <c r="W65" s="65">
        <f t="shared" si="3"/>
        <v>7.65</v>
      </c>
      <c r="X65" s="65">
        <f t="shared" si="3"/>
        <v>7.68</v>
      </c>
      <c r="Y65" s="65">
        <f t="shared" si="3"/>
        <v>6.9949999999999992</v>
      </c>
      <c r="Z65" s="65">
        <f t="shared" si="3"/>
        <v>5.46</v>
      </c>
      <c r="AA65" s="65">
        <f t="shared" si="3"/>
        <v>7.51</v>
      </c>
      <c r="AB65" s="65"/>
      <c r="AC65" s="65"/>
      <c r="AD65" s="25">
        <f t="shared" si="3"/>
        <v>6.65</v>
      </c>
    </row>
    <row r="66" spans="1:30" ht="15" thickBot="1" x14ac:dyDescent="0.25">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row>
    <row r="67" spans="1:30" ht="15" customHeight="1" x14ac:dyDescent="0.2">
      <c r="B67" s="194" t="s">
        <v>947</v>
      </c>
      <c r="C67" s="195"/>
      <c r="D67" s="195"/>
      <c r="E67" s="195"/>
      <c r="F67" s="195"/>
      <c r="G67" s="195"/>
      <c r="H67" s="195"/>
      <c r="I67" s="195"/>
      <c r="J67" s="195"/>
      <c r="K67" s="196"/>
      <c r="L67" s="194" t="s">
        <v>947</v>
      </c>
      <c r="M67" s="195"/>
      <c r="N67" s="195"/>
      <c r="O67" s="195"/>
      <c r="P67" s="195"/>
      <c r="Q67" s="195"/>
      <c r="R67" s="195"/>
      <c r="S67" s="195"/>
      <c r="T67" s="195"/>
      <c r="U67" s="196"/>
      <c r="V67" s="194" t="s">
        <v>947</v>
      </c>
      <c r="W67" s="195"/>
      <c r="X67" s="195"/>
      <c r="Y67" s="195"/>
      <c r="Z67" s="195"/>
      <c r="AA67" s="195"/>
      <c r="AB67" s="195"/>
      <c r="AC67" s="195"/>
      <c r="AD67" s="196"/>
    </row>
    <row r="68" spans="1:30" x14ac:dyDescent="0.2">
      <c r="B68" s="197" t="s">
        <v>958</v>
      </c>
      <c r="C68" s="198"/>
      <c r="D68" s="198"/>
      <c r="E68" s="198"/>
      <c r="F68" s="198"/>
      <c r="G68" s="198"/>
      <c r="H68" s="198"/>
      <c r="I68" s="198"/>
      <c r="J68" s="198"/>
      <c r="K68" s="199"/>
      <c r="L68" s="197" t="s">
        <v>994</v>
      </c>
      <c r="M68" s="198"/>
      <c r="N68" s="198"/>
      <c r="O68" s="198"/>
      <c r="P68" s="198"/>
      <c r="Q68" s="198"/>
      <c r="R68" s="198"/>
      <c r="S68" s="198"/>
      <c r="T68" s="198"/>
      <c r="U68" s="199"/>
      <c r="V68" s="197" t="s">
        <v>977</v>
      </c>
      <c r="W68" s="198"/>
      <c r="X68" s="198"/>
      <c r="Y68" s="198"/>
      <c r="Z68" s="198"/>
      <c r="AA68" s="198"/>
      <c r="AB68" s="198"/>
      <c r="AC68" s="198"/>
      <c r="AD68" s="199"/>
    </row>
    <row r="69" spans="1:30" x14ac:dyDescent="0.2">
      <c r="B69" s="197" t="s">
        <v>959</v>
      </c>
      <c r="C69" s="198"/>
      <c r="D69" s="198"/>
      <c r="E69" s="198"/>
      <c r="F69" s="198"/>
      <c r="G69" s="198"/>
      <c r="H69" s="198"/>
      <c r="I69" s="198"/>
      <c r="J69" s="198"/>
      <c r="K69" s="199"/>
      <c r="L69" s="197" t="s">
        <v>968</v>
      </c>
      <c r="M69" s="198"/>
      <c r="N69" s="198"/>
      <c r="O69" s="198"/>
      <c r="P69" s="198"/>
      <c r="Q69" s="198"/>
      <c r="R69" s="198"/>
      <c r="S69" s="198"/>
      <c r="T69" s="198"/>
      <c r="U69" s="199"/>
      <c r="V69" s="197" t="s">
        <v>978</v>
      </c>
      <c r="W69" s="198"/>
      <c r="X69" s="198"/>
      <c r="Y69" s="198"/>
      <c r="Z69" s="198"/>
      <c r="AA69" s="198"/>
      <c r="AB69" s="198"/>
      <c r="AC69" s="198"/>
      <c r="AD69" s="199"/>
    </row>
    <row r="70" spans="1:30" x14ac:dyDescent="0.2">
      <c r="B70" s="197" t="s">
        <v>961</v>
      </c>
      <c r="C70" s="198"/>
      <c r="D70" s="198"/>
      <c r="E70" s="198"/>
      <c r="F70" s="198"/>
      <c r="G70" s="198"/>
      <c r="H70" s="198"/>
      <c r="I70" s="198"/>
      <c r="J70" s="198"/>
      <c r="K70" s="199"/>
      <c r="L70" s="197" t="s">
        <v>969</v>
      </c>
      <c r="M70" s="198"/>
      <c r="N70" s="198"/>
      <c r="O70" s="198"/>
      <c r="P70" s="198"/>
      <c r="Q70" s="198"/>
      <c r="R70" s="198"/>
      <c r="S70" s="198"/>
      <c r="T70" s="198"/>
      <c r="U70" s="199"/>
      <c r="V70" s="197" t="s">
        <v>979</v>
      </c>
      <c r="W70" s="198"/>
      <c r="X70" s="198"/>
      <c r="Y70" s="198"/>
      <c r="Z70" s="198"/>
      <c r="AA70" s="198"/>
      <c r="AB70" s="198"/>
      <c r="AC70" s="198"/>
      <c r="AD70" s="199"/>
    </row>
    <row r="71" spans="1:30" x14ac:dyDescent="0.2">
      <c r="B71" s="197" t="s">
        <v>960</v>
      </c>
      <c r="C71" s="198"/>
      <c r="D71" s="198"/>
      <c r="E71" s="198"/>
      <c r="F71" s="198"/>
      <c r="G71" s="198"/>
      <c r="H71" s="198"/>
      <c r="I71" s="198"/>
      <c r="J71" s="198"/>
      <c r="K71" s="199"/>
      <c r="L71" s="197" t="s">
        <v>970</v>
      </c>
      <c r="M71" s="198"/>
      <c r="N71" s="198"/>
      <c r="O71" s="198"/>
      <c r="P71" s="198"/>
      <c r="Q71" s="198"/>
      <c r="R71" s="198"/>
      <c r="S71" s="198"/>
      <c r="T71" s="198"/>
      <c r="U71" s="199"/>
      <c r="V71" s="197" t="s">
        <v>980</v>
      </c>
      <c r="W71" s="198"/>
      <c r="X71" s="198"/>
      <c r="Y71" s="198"/>
      <c r="Z71" s="198"/>
      <c r="AA71" s="198"/>
      <c r="AB71" s="198"/>
      <c r="AC71" s="198"/>
      <c r="AD71" s="199"/>
    </row>
    <row r="72" spans="1:30" x14ac:dyDescent="0.2">
      <c r="B72" s="197" t="s">
        <v>962</v>
      </c>
      <c r="C72" s="198"/>
      <c r="D72" s="198"/>
      <c r="E72" s="198"/>
      <c r="F72" s="198"/>
      <c r="G72" s="198"/>
      <c r="H72" s="198"/>
      <c r="I72" s="198"/>
      <c r="J72" s="198"/>
      <c r="K72" s="199"/>
      <c r="L72" s="197" t="s">
        <v>971</v>
      </c>
      <c r="M72" s="198"/>
      <c r="N72" s="198"/>
      <c r="O72" s="198"/>
      <c r="P72" s="198"/>
      <c r="Q72" s="198"/>
      <c r="R72" s="198"/>
      <c r="S72" s="198"/>
      <c r="T72" s="198"/>
      <c r="U72" s="199"/>
      <c r="V72" s="197" t="s">
        <v>981</v>
      </c>
      <c r="W72" s="198"/>
      <c r="X72" s="198"/>
      <c r="Y72" s="198"/>
      <c r="Z72" s="198"/>
      <c r="AA72" s="198"/>
      <c r="AB72" s="198"/>
      <c r="AC72" s="198"/>
      <c r="AD72" s="199"/>
    </row>
    <row r="73" spans="1:30" x14ac:dyDescent="0.2">
      <c r="B73" s="197" t="s">
        <v>963</v>
      </c>
      <c r="C73" s="198"/>
      <c r="D73" s="198"/>
      <c r="E73" s="198"/>
      <c r="F73" s="198"/>
      <c r="G73" s="198"/>
      <c r="H73" s="198"/>
      <c r="I73" s="198"/>
      <c r="J73" s="198"/>
      <c r="K73" s="199"/>
      <c r="L73" s="197" t="s">
        <v>972</v>
      </c>
      <c r="M73" s="198"/>
      <c r="N73" s="198"/>
      <c r="O73" s="198"/>
      <c r="P73" s="198"/>
      <c r="Q73" s="198"/>
      <c r="R73" s="198"/>
      <c r="S73" s="198"/>
      <c r="T73" s="198"/>
      <c r="U73" s="199"/>
      <c r="V73" s="197" t="s">
        <v>982</v>
      </c>
      <c r="W73" s="198"/>
      <c r="X73" s="198"/>
      <c r="Y73" s="198"/>
      <c r="Z73" s="198"/>
      <c r="AA73" s="198"/>
      <c r="AB73" s="198"/>
      <c r="AC73" s="198"/>
      <c r="AD73" s="199"/>
    </row>
    <row r="74" spans="1:30" x14ac:dyDescent="0.2">
      <c r="B74" s="197" t="s">
        <v>964</v>
      </c>
      <c r="C74" s="198"/>
      <c r="D74" s="198"/>
      <c r="E74" s="198"/>
      <c r="F74" s="198"/>
      <c r="G74" s="198"/>
      <c r="H74" s="198"/>
      <c r="I74" s="198"/>
      <c r="J74" s="198"/>
      <c r="K74" s="199"/>
      <c r="L74" s="197" t="s">
        <v>973</v>
      </c>
      <c r="M74" s="198"/>
      <c r="N74" s="198"/>
      <c r="O74" s="198"/>
      <c r="P74" s="198"/>
      <c r="Q74" s="198"/>
      <c r="R74" s="198"/>
      <c r="S74" s="198"/>
      <c r="T74" s="198"/>
      <c r="U74" s="199"/>
      <c r="V74" s="203"/>
      <c r="W74" s="204"/>
      <c r="X74" s="204"/>
      <c r="Y74" s="204"/>
      <c r="Z74" s="204"/>
      <c r="AA74" s="204"/>
      <c r="AB74" s="204"/>
      <c r="AC74" s="204"/>
      <c r="AD74" s="205"/>
    </row>
    <row r="75" spans="1:30" x14ac:dyDescent="0.2">
      <c r="B75" s="197" t="s">
        <v>965</v>
      </c>
      <c r="C75" s="198"/>
      <c r="D75" s="198"/>
      <c r="E75" s="198"/>
      <c r="F75" s="198"/>
      <c r="G75" s="198"/>
      <c r="H75" s="198"/>
      <c r="I75" s="198"/>
      <c r="J75" s="198"/>
      <c r="K75" s="199"/>
      <c r="L75" s="197" t="s">
        <v>974</v>
      </c>
      <c r="M75" s="198"/>
      <c r="N75" s="198"/>
      <c r="O75" s="198"/>
      <c r="P75" s="198"/>
      <c r="Q75" s="198"/>
      <c r="R75" s="198"/>
      <c r="S75" s="198"/>
      <c r="T75" s="198"/>
      <c r="U75" s="199"/>
      <c r="V75" s="197" t="s">
        <v>983</v>
      </c>
      <c r="W75" s="198"/>
      <c r="X75" s="198"/>
      <c r="Y75" s="198"/>
      <c r="Z75" s="198"/>
      <c r="AA75" s="198"/>
      <c r="AB75" s="198"/>
      <c r="AC75" s="198"/>
      <c r="AD75" s="199"/>
    </row>
    <row r="76" spans="1:30" x14ac:dyDescent="0.2">
      <c r="B76" s="197" t="s">
        <v>966</v>
      </c>
      <c r="C76" s="198"/>
      <c r="D76" s="198"/>
      <c r="E76" s="198"/>
      <c r="F76" s="198"/>
      <c r="G76" s="198"/>
      <c r="H76" s="198"/>
      <c r="I76" s="198"/>
      <c r="J76" s="198"/>
      <c r="K76" s="199"/>
      <c r="L76" s="197" t="s">
        <v>975</v>
      </c>
      <c r="M76" s="198"/>
      <c r="N76" s="198"/>
      <c r="O76" s="198"/>
      <c r="P76" s="198"/>
      <c r="Q76" s="198"/>
      <c r="R76" s="198"/>
      <c r="S76" s="198"/>
      <c r="T76" s="198"/>
      <c r="U76" s="199"/>
      <c r="V76" s="197" t="s">
        <v>984</v>
      </c>
      <c r="W76" s="198"/>
      <c r="X76" s="198"/>
      <c r="Y76" s="198"/>
      <c r="Z76" s="198"/>
      <c r="AA76" s="198"/>
      <c r="AB76" s="198"/>
      <c r="AC76" s="198"/>
      <c r="AD76" s="199"/>
    </row>
    <row r="77" spans="1:30" ht="15" thickBot="1" x14ac:dyDescent="0.25">
      <c r="B77" s="200" t="s">
        <v>967</v>
      </c>
      <c r="C77" s="201"/>
      <c r="D77" s="201"/>
      <c r="E77" s="201"/>
      <c r="F77" s="201"/>
      <c r="G77" s="201"/>
      <c r="H77" s="201"/>
      <c r="I77" s="201"/>
      <c r="J77" s="201"/>
      <c r="K77" s="202"/>
      <c r="L77" s="200" t="s">
        <v>976</v>
      </c>
      <c r="M77" s="201"/>
      <c r="N77" s="201"/>
      <c r="O77" s="201"/>
      <c r="P77" s="201"/>
      <c r="Q77" s="201"/>
      <c r="R77" s="201"/>
      <c r="S77" s="201"/>
      <c r="T77" s="201"/>
      <c r="U77" s="202"/>
      <c r="V77" s="200" t="s">
        <v>985</v>
      </c>
      <c r="W77" s="201"/>
      <c r="X77" s="201"/>
      <c r="Y77" s="201"/>
      <c r="Z77" s="201"/>
      <c r="AA77" s="201"/>
      <c r="AB77" s="201"/>
      <c r="AC77" s="201"/>
      <c r="AD77" s="202"/>
    </row>
    <row r="95" s="67" customFormat="1" x14ac:dyDescent="0.2"/>
    <row r="96" s="67" customFormat="1" x14ac:dyDescent="0.2"/>
  </sheetData>
  <mergeCells count="33">
    <mergeCell ref="V77:AD77"/>
    <mergeCell ref="V74:AD74"/>
    <mergeCell ref="V67:AD67"/>
    <mergeCell ref="L67:U67"/>
    <mergeCell ref="L68:U68"/>
    <mergeCell ref="L69:U69"/>
    <mergeCell ref="L70:U70"/>
    <mergeCell ref="L71:U71"/>
    <mergeCell ref="L72:U72"/>
    <mergeCell ref="L73:U73"/>
    <mergeCell ref="L74:U74"/>
    <mergeCell ref="L75:U75"/>
    <mergeCell ref="L76:U76"/>
    <mergeCell ref="L77:U77"/>
    <mergeCell ref="V71:AD71"/>
    <mergeCell ref="V72:AD72"/>
    <mergeCell ref="V73:AD73"/>
    <mergeCell ref="V75:AD75"/>
    <mergeCell ref="V76:AD76"/>
    <mergeCell ref="V68:AD68"/>
    <mergeCell ref="V69:AD69"/>
    <mergeCell ref="V70:AD70"/>
    <mergeCell ref="B77:K77"/>
    <mergeCell ref="B68:K68"/>
    <mergeCell ref="B69:K69"/>
    <mergeCell ref="B70:K70"/>
    <mergeCell ref="B71:K71"/>
    <mergeCell ref="B72:K72"/>
    <mergeCell ref="B67:K67"/>
    <mergeCell ref="B73:K73"/>
    <mergeCell ref="B74:K74"/>
    <mergeCell ref="B75:K75"/>
    <mergeCell ref="B76:K76"/>
  </mergeCells>
  <conditionalFormatting sqref="B4:AC60">
    <cfRule type="top10" dxfId="1" priority="1" rank="10"/>
  </conditionalFormatting>
  <pageMargins left="0.25" right="0.25" top="0.25" bottom="0.25" header="0.3" footer="0.3"/>
  <pageSetup orientation="landscap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90"/>
  <sheetViews>
    <sheetView showGridLines="0" zoomScale="70" zoomScaleNormal="70" workbookViewId="0">
      <pane xSplit="1" ySplit="6" topLeftCell="B7" activePane="bottomRight" state="frozen"/>
      <selection pane="topRight"/>
      <selection pane="bottomLeft"/>
      <selection pane="bottomRight"/>
    </sheetView>
  </sheetViews>
  <sheetFormatPr defaultRowHeight="14.25" x14ac:dyDescent="0.2"/>
  <cols>
    <col min="1" max="1" width="27.140625" style="67" customWidth="1"/>
    <col min="2" max="2" width="14.5703125" style="67" bestFit="1" customWidth="1"/>
    <col min="3" max="3" width="17.7109375" style="67" bestFit="1" customWidth="1"/>
    <col min="4" max="4" width="13.140625" style="67" bestFit="1" customWidth="1"/>
    <col min="5" max="5" width="15.7109375" style="67" bestFit="1" customWidth="1"/>
    <col min="6" max="6" width="11.42578125" style="67" bestFit="1" customWidth="1"/>
    <col min="7" max="7" width="15.7109375" style="67" bestFit="1" customWidth="1"/>
    <col min="8" max="8" width="11.42578125" style="67" bestFit="1" customWidth="1"/>
    <col min="9" max="9" width="15.7109375" style="67" bestFit="1" customWidth="1"/>
    <col min="10" max="10" width="11.42578125" style="67" bestFit="1" customWidth="1"/>
    <col min="11" max="11" width="15.7109375" style="67" bestFit="1" customWidth="1"/>
    <col min="12" max="12" width="11.42578125" style="67" bestFit="1" customWidth="1"/>
    <col min="13" max="13" width="15.7109375" style="67" bestFit="1" customWidth="1"/>
    <col min="14" max="14" width="11.42578125" style="67" bestFit="1" customWidth="1"/>
    <col min="15" max="15" width="14.85546875" style="67" bestFit="1" customWidth="1"/>
    <col min="16" max="16" width="11.42578125" style="67" bestFit="1" customWidth="1"/>
    <col min="17" max="17" width="15.7109375" style="67" bestFit="1" customWidth="1"/>
    <col min="18" max="18" width="11.42578125" style="67" bestFit="1" customWidth="1"/>
    <col min="19" max="19" width="14.85546875" style="67" bestFit="1" customWidth="1"/>
    <col min="20" max="20" width="11.42578125" style="67" bestFit="1" customWidth="1"/>
    <col min="21" max="21" width="14.5703125" style="67" bestFit="1" customWidth="1"/>
    <col min="22" max="22" width="11.42578125" style="67" bestFit="1" customWidth="1"/>
    <col min="23" max="23" width="13.140625" style="67" customWidth="1"/>
    <col min="24" max="24" width="13.140625" style="67" hidden="1" customWidth="1"/>
    <col min="25" max="25" width="13.140625" style="67" customWidth="1"/>
    <col min="26" max="26" width="9.140625" style="67"/>
    <col min="27" max="27" width="17.85546875" style="67" bestFit="1" customWidth="1"/>
    <col min="28" max="30" width="9.140625" style="67"/>
    <col min="31" max="31" width="17.85546875" style="67" bestFit="1" customWidth="1"/>
    <col min="32" max="16384" width="9.140625" style="67"/>
  </cols>
  <sheetData>
    <row r="1" spans="1:24" x14ac:dyDescent="0.2">
      <c r="A1" s="38" t="str">
        <f>Summary!A1</f>
        <v>Community and Technical Colleges, Report of Fundable Operating Expenses, Fiscal Year (FY) 2003</v>
      </c>
      <c r="B1" s="38"/>
      <c r="D1" s="38"/>
      <c r="E1" s="38"/>
      <c r="F1" s="38"/>
      <c r="G1" s="38"/>
      <c r="I1" s="38"/>
      <c r="J1" s="39"/>
      <c r="K1" s="38"/>
    </row>
    <row r="2" spans="1:24" x14ac:dyDescent="0.2">
      <c r="A2" s="69" t="s">
        <v>1024</v>
      </c>
      <c r="B2" s="69"/>
      <c r="X2" s="88" t="s">
        <v>947</v>
      </c>
    </row>
    <row r="3" spans="1:24" x14ac:dyDescent="0.2">
      <c r="A3" s="3">
        <v>29</v>
      </c>
      <c r="X3" s="75" t="s">
        <v>0</v>
      </c>
    </row>
    <row r="4" spans="1:24" ht="15" thickBot="1" x14ac:dyDescent="0.25">
      <c r="X4" s="75" t="s">
        <v>1</v>
      </c>
    </row>
    <row r="5" spans="1:24" s="83" customFormat="1" ht="56.25" customHeight="1" x14ac:dyDescent="0.2">
      <c r="A5" s="45" t="s">
        <v>946</v>
      </c>
      <c r="B5" s="207" t="s">
        <v>27</v>
      </c>
      <c r="C5" s="182" t="s">
        <v>35</v>
      </c>
      <c r="D5" s="183"/>
      <c r="E5" s="182" t="s">
        <v>459</v>
      </c>
      <c r="F5" s="183"/>
      <c r="G5" s="182" t="s">
        <v>1089</v>
      </c>
      <c r="H5" s="183"/>
      <c r="I5" s="182" t="s">
        <v>30</v>
      </c>
      <c r="J5" s="183"/>
      <c r="K5" s="182" t="s">
        <v>31</v>
      </c>
      <c r="L5" s="183"/>
      <c r="M5" s="182" t="s">
        <v>460</v>
      </c>
      <c r="N5" s="183"/>
      <c r="O5" s="182" t="s">
        <v>1090</v>
      </c>
      <c r="P5" s="183"/>
      <c r="Q5" s="182" t="s">
        <v>1091</v>
      </c>
      <c r="R5" s="183"/>
      <c r="S5" s="182" t="s">
        <v>34</v>
      </c>
      <c r="T5" s="183"/>
      <c r="U5" s="182" t="s">
        <v>29</v>
      </c>
      <c r="V5" s="206"/>
      <c r="X5" s="75" t="s">
        <v>2</v>
      </c>
    </row>
    <row r="6" spans="1:24" s="83" customFormat="1" x14ac:dyDescent="0.2">
      <c r="A6" s="143"/>
      <c r="B6" s="208"/>
      <c r="C6" s="159" t="s">
        <v>462</v>
      </c>
      <c r="D6" s="159" t="s">
        <v>1077</v>
      </c>
      <c r="E6" s="159" t="s">
        <v>462</v>
      </c>
      <c r="F6" s="159" t="s">
        <v>1077</v>
      </c>
      <c r="G6" s="159" t="s">
        <v>462</v>
      </c>
      <c r="H6" s="159" t="s">
        <v>1077</v>
      </c>
      <c r="I6" s="159" t="s">
        <v>462</v>
      </c>
      <c r="J6" s="159" t="s">
        <v>1077</v>
      </c>
      <c r="K6" s="159" t="s">
        <v>462</v>
      </c>
      <c r="L6" s="159" t="s">
        <v>1077</v>
      </c>
      <c r="M6" s="159" t="s">
        <v>462</v>
      </c>
      <c r="N6" s="159" t="s">
        <v>1077</v>
      </c>
      <c r="O6" s="159" t="s">
        <v>462</v>
      </c>
      <c r="P6" s="159" t="s">
        <v>1077</v>
      </c>
      <c r="Q6" s="159" t="s">
        <v>462</v>
      </c>
      <c r="R6" s="159" t="s">
        <v>1077</v>
      </c>
      <c r="S6" s="159" t="s">
        <v>462</v>
      </c>
      <c r="T6" s="159" t="s">
        <v>1077</v>
      </c>
      <c r="U6" s="159" t="s">
        <v>462</v>
      </c>
      <c r="V6" s="147" t="s">
        <v>1077</v>
      </c>
      <c r="X6" s="75" t="s">
        <v>3</v>
      </c>
    </row>
    <row r="7" spans="1:24" x14ac:dyDescent="0.2">
      <c r="A7" s="93" t="s">
        <v>1074</v>
      </c>
      <c r="B7" s="84">
        <f ca="1">OFFSET('1'!$D$4,$A$3,0)</f>
        <v>18861353</v>
      </c>
      <c r="C7" s="82">
        <f ca="1">OFFSET('1'!$E$4,$A$3,0)</f>
        <v>142445584.00001001</v>
      </c>
      <c r="D7" s="145">
        <f ca="1">OFFSET('1'!$F$4,$A$3,0)</f>
        <v>7.55</v>
      </c>
      <c r="E7" s="82">
        <f ca="1">OFFSET('1'!$E$66,$A$3,0)</f>
        <v>64902131</v>
      </c>
      <c r="F7" s="145">
        <f ca="1">OFFSET('1'!$F$66,$A$3,0)</f>
        <v>3.44</v>
      </c>
      <c r="G7" s="82">
        <f ca="1">IFERROR('1'!$F$100*'Discipline Analysis'!$B7,"")</f>
        <v>5847019.4299999997</v>
      </c>
      <c r="H7" s="145">
        <f>'1'!$F$100</f>
        <v>0.31</v>
      </c>
      <c r="I7" s="82">
        <f ca="1">IFERROR('1'!$F$98*'Discipline Analysis'!$B7,"")</f>
        <v>25651440.080000002</v>
      </c>
      <c r="J7" s="145">
        <f>'1'!$F$98</f>
        <v>1.36</v>
      </c>
      <c r="K7" s="82">
        <f ca="1">IFERROR('1'!$F$99*'Discipline Analysis'!$B7,"")</f>
        <v>15089082.4</v>
      </c>
      <c r="L7" s="145">
        <f>'1'!$F$99</f>
        <v>0.8</v>
      </c>
      <c r="M7" s="82">
        <f ca="1">OFFSET('1'!$E$35,$A$3,0)</f>
        <v>10718146</v>
      </c>
      <c r="N7" s="145">
        <f ca="1">OFFSET('1'!$F$35,$A$3,0)</f>
        <v>0.56999999999999995</v>
      </c>
      <c r="O7" s="82">
        <f ca="1">IFERROR('1'!$F$101*'Discipline Analysis'!$B7,"")</f>
        <v>8298995.3200000003</v>
      </c>
      <c r="P7" s="145">
        <f>'1'!$F$101</f>
        <v>0.44</v>
      </c>
      <c r="Q7" s="82">
        <f ca="1">IFERROR('1'!$F$102*'Discipline Analysis'!$B7,"")</f>
        <v>377227.06</v>
      </c>
      <c r="R7" s="145">
        <f>'1'!$F$102</f>
        <v>0.02</v>
      </c>
      <c r="S7" s="82">
        <f ca="1">IFERROR('1'!$F$103*'Discipline Analysis'!$B7,"")</f>
        <v>0</v>
      </c>
      <c r="T7" s="145">
        <f>'1'!$F$103</f>
        <v>0</v>
      </c>
      <c r="U7" s="80">
        <f ca="1">IFERROR('1'!$F$104*'Discipline Analysis'!$B7,"")</f>
        <v>11694038.859999999</v>
      </c>
      <c r="V7" s="148">
        <f>'1'!$F$104</f>
        <v>0.62</v>
      </c>
      <c r="X7" s="75" t="s">
        <v>4</v>
      </c>
    </row>
    <row r="8" spans="1:24" x14ac:dyDescent="0.2">
      <c r="A8" s="93" t="s">
        <v>1028</v>
      </c>
      <c r="B8" s="84">
        <f ca="1">OFFSET('2'!$D$4,$A$3,0)</f>
        <v>2395700</v>
      </c>
      <c r="C8" s="76">
        <f ca="1">OFFSET('2'!$E$4,$A$3,0)</f>
        <v>16388766</v>
      </c>
      <c r="D8" s="144">
        <f ca="1">OFFSET('2'!$F$4,$A$3,0)</f>
        <v>6.84</v>
      </c>
      <c r="E8" s="76">
        <f ca="1">OFFSET('2'!$E$66,$A$3,0)</f>
        <v>7270811</v>
      </c>
      <c r="F8" s="144">
        <f ca="1">OFFSET('2'!$F$66,$A$3,0)</f>
        <v>3.03</v>
      </c>
      <c r="G8" s="76">
        <f ca="1">IFERROR('2'!$F$100*'Discipline Analysis'!$B8,"")</f>
        <v>479140</v>
      </c>
      <c r="H8" s="144">
        <f>'2'!$F$100</f>
        <v>0.2</v>
      </c>
      <c r="I8" s="76">
        <f ca="1">IFERROR('2'!$F$98*'Discipline Analysis'!$B8,"")</f>
        <v>4120604</v>
      </c>
      <c r="J8" s="144">
        <f>'2'!$F$98</f>
        <v>1.72</v>
      </c>
      <c r="K8" s="76">
        <f ca="1">IFERROR('2'!$F$99*'Discipline Analysis'!$B8,"")</f>
        <v>1317635</v>
      </c>
      <c r="L8" s="144">
        <f>'2'!$F$99</f>
        <v>0.55000000000000004</v>
      </c>
      <c r="M8" s="76">
        <f ca="1">OFFSET('2'!$E$35,$A$3,0)</f>
        <v>1592853</v>
      </c>
      <c r="N8" s="144">
        <f ca="1">OFFSET('2'!$F$35,$A$3,0)</f>
        <v>0.66</v>
      </c>
      <c r="O8" s="76">
        <f ca="1">IFERROR('2'!$F$101*'Discipline Analysis'!$B8,"")</f>
        <v>862452</v>
      </c>
      <c r="P8" s="144">
        <f>'2'!$F$101</f>
        <v>0.36</v>
      </c>
      <c r="Q8" s="76" t="str">
        <f ca="1">IFERROR('2'!$F$102*'Discipline Analysis'!$B8,"")</f>
        <v/>
      </c>
      <c r="R8" s="144" t="str">
        <f>'2'!$F$102</f>
        <v/>
      </c>
      <c r="S8" s="76" t="str">
        <f ca="1">IFERROR('2'!$F$103*'Discipline Analysis'!$B8,"")</f>
        <v/>
      </c>
      <c r="T8" s="144" t="str">
        <f>'2'!$F$103</f>
        <v/>
      </c>
      <c r="U8" s="76">
        <f ca="1">IFERROR('2'!$F$104*'Discipline Analysis'!$B8,"")</f>
        <v>742667</v>
      </c>
      <c r="V8" s="149">
        <f>'2'!$F$104</f>
        <v>0.31</v>
      </c>
      <c r="X8" s="75" t="s">
        <v>5</v>
      </c>
    </row>
    <row r="9" spans="1:24" x14ac:dyDescent="0.2">
      <c r="A9" s="93" t="s">
        <v>1038</v>
      </c>
      <c r="B9" s="84">
        <f ca="1">OFFSET('3'!$D$4,$A$3,0)</f>
        <v>4557502</v>
      </c>
      <c r="C9" s="76">
        <f ca="1">OFFSET('3'!$E$4,$A$3,0)</f>
        <v>30374840</v>
      </c>
      <c r="D9" s="144">
        <f ca="1">OFFSET('3'!$F$4,$A$3,0)</f>
        <v>6.66</v>
      </c>
      <c r="E9" s="76">
        <f ca="1">OFFSET('3'!$E$66,$A$3,0)</f>
        <v>12143913</v>
      </c>
      <c r="F9" s="144">
        <f ca="1">OFFSET('3'!$F$66,$A$3,0)</f>
        <v>2.66</v>
      </c>
      <c r="G9" s="76">
        <f ca="1">IFERROR('3'!$F$100*'Discipline Analysis'!$B9,"")</f>
        <v>1093800.48</v>
      </c>
      <c r="H9" s="144">
        <f>'3'!$F$100</f>
        <v>0.24</v>
      </c>
      <c r="I9" s="76">
        <f ca="1">IFERROR('3'!$F$98*'Discipline Analysis'!$B9,"")</f>
        <v>6790677.9799999995</v>
      </c>
      <c r="J9" s="144">
        <f>'3'!$F$98</f>
        <v>1.49</v>
      </c>
      <c r="K9" s="76">
        <f ca="1">IFERROR('3'!$F$99*'Discipline Analysis'!$B9,"")</f>
        <v>2688926.1799999997</v>
      </c>
      <c r="L9" s="144">
        <f>'3'!$F$99</f>
        <v>0.59</v>
      </c>
      <c r="M9" s="76">
        <f ca="1">OFFSET('3'!$E$35,$A$3,0)</f>
        <v>3477282</v>
      </c>
      <c r="N9" s="144">
        <f ca="1">OFFSET('3'!$F$35,$A$3,0)</f>
        <v>0.76</v>
      </c>
      <c r="O9" s="76">
        <f ca="1">IFERROR('3'!$F$101*'Discipline Analysis'!$B9,"")</f>
        <v>1184950.52</v>
      </c>
      <c r="P9" s="144">
        <f>'3'!$F$101</f>
        <v>0.26</v>
      </c>
      <c r="Q9" s="76">
        <f ca="1">IFERROR('3'!$F$102*'Discipline Analysis'!$B9,"")</f>
        <v>319025.14</v>
      </c>
      <c r="R9" s="144">
        <f>'3'!$F$102</f>
        <v>7.0000000000000007E-2</v>
      </c>
      <c r="S9" s="76" t="str">
        <f ca="1">IFERROR('3'!$F$103*'Discipline Analysis'!$B9,"")</f>
        <v/>
      </c>
      <c r="T9" s="144" t="str">
        <f>'3'!$F$103</f>
        <v/>
      </c>
      <c r="U9" s="76">
        <f ca="1">IFERROR('3'!$F$104*'Discipline Analysis'!$B9,"")</f>
        <v>2643351.1599999997</v>
      </c>
      <c r="V9" s="149">
        <f>'3'!$F$104</f>
        <v>0.57999999999999996</v>
      </c>
      <c r="X9" s="75" t="s">
        <v>6</v>
      </c>
    </row>
    <row r="10" spans="1:24" x14ac:dyDescent="0.2">
      <c r="A10" s="93" t="s">
        <v>1039</v>
      </c>
      <c r="B10" s="84">
        <f ca="1">OFFSET('4'!$D$4,$A$3,0)</f>
        <v>2446951</v>
      </c>
      <c r="C10" s="76">
        <f ca="1">OFFSET('4'!$E$4,$A$3,0)</f>
        <v>11784710</v>
      </c>
      <c r="D10" s="144">
        <f ca="1">OFFSET('4'!$F$4,$A$3,0)</f>
        <v>4.82</v>
      </c>
      <c r="E10" s="76">
        <f ca="1">OFFSET('4'!$E$66,$A$3,0)</f>
        <v>6677243</v>
      </c>
      <c r="F10" s="144">
        <f ca="1">OFFSET('4'!$F$66,$A$3,0)</f>
        <v>2.73</v>
      </c>
      <c r="G10" s="76">
        <f ca="1">IFERROR('4'!$F$100*'Discipline Analysis'!$B10,"")</f>
        <v>342573.14</v>
      </c>
      <c r="H10" s="144">
        <f>'4'!$F$100</f>
        <v>0.14000000000000001</v>
      </c>
      <c r="I10" s="76">
        <f ca="1">IFERROR('4'!$F$98*'Discipline Analysis'!$B10,"")</f>
        <v>1541579.1300000001</v>
      </c>
      <c r="J10" s="144">
        <f>'4'!$F$98</f>
        <v>0.63</v>
      </c>
      <c r="K10" s="76">
        <f ca="1">IFERROR('4'!$F$99*'Discipline Analysis'!$B10,"")</f>
        <v>685146.28</v>
      </c>
      <c r="L10" s="144">
        <f>'4'!$F$99</f>
        <v>0.28000000000000003</v>
      </c>
      <c r="M10" s="76">
        <f ca="1">OFFSET('4'!$E$35,$A$3,0)</f>
        <v>839955</v>
      </c>
      <c r="N10" s="144">
        <f ca="1">OFFSET('4'!$F$35,$A$3,0)</f>
        <v>0.34</v>
      </c>
      <c r="O10" s="76">
        <f ca="1">IFERROR('4'!$F$101*'Discipline Analysis'!$B10,"")</f>
        <v>1296884.03</v>
      </c>
      <c r="P10" s="144">
        <f>'4'!$F$101</f>
        <v>0.53</v>
      </c>
      <c r="Q10" s="76" t="str">
        <f ca="1">IFERROR('4'!$F$102*'Discipline Analysis'!$B10,"")</f>
        <v/>
      </c>
      <c r="R10" s="144" t="str">
        <f>'4'!$F$102</f>
        <v/>
      </c>
      <c r="S10" s="76" t="str">
        <f ca="1">IFERROR('4'!$F$103*'Discipline Analysis'!$B10,"")</f>
        <v/>
      </c>
      <c r="T10" s="144" t="str">
        <f>'4'!$F$103</f>
        <v/>
      </c>
      <c r="U10" s="76">
        <f ca="1">IFERROR('4'!$F$104*'Discipline Analysis'!$B10,"")</f>
        <v>367042.64999999997</v>
      </c>
      <c r="V10" s="149">
        <f>'4'!$F$104</f>
        <v>0.15</v>
      </c>
      <c r="X10" s="75" t="s">
        <v>7</v>
      </c>
    </row>
    <row r="11" spans="1:24" x14ac:dyDescent="0.2">
      <c r="A11" s="93" t="s">
        <v>1029</v>
      </c>
      <c r="B11" s="84">
        <f ca="1">OFFSET('5'!$D$4,$A$3,0)</f>
        <v>11470713</v>
      </c>
      <c r="C11" s="76">
        <f ca="1">OFFSET('5'!$E$4,$A$3,0)</f>
        <v>90033990.999999985</v>
      </c>
      <c r="D11" s="144">
        <f ca="1">OFFSET('5'!$F$4,$A$3,0)</f>
        <v>7.85</v>
      </c>
      <c r="E11" s="76">
        <f ca="1">OFFSET('5'!$E$66,$A$3,0)</f>
        <v>40874224</v>
      </c>
      <c r="F11" s="144">
        <f ca="1">OFFSET('5'!$F$66,$A$3,0)</f>
        <v>3.56</v>
      </c>
      <c r="G11" s="76">
        <f ca="1">IFERROR('5'!$F$100*'Discipline Analysis'!$B11,"")</f>
        <v>2523556.86</v>
      </c>
      <c r="H11" s="144">
        <f>'5'!$F$100</f>
        <v>0.22</v>
      </c>
      <c r="I11" s="76">
        <f ca="1">IFERROR('5'!$F$98*'Discipline Analysis'!$B11,"")</f>
        <v>17894312.280000001</v>
      </c>
      <c r="J11" s="144">
        <f>'5'!$F$98</f>
        <v>1.56</v>
      </c>
      <c r="K11" s="76">
        <f ca="1">IFERROR('5'!$F$99*'Discipline Analysis'!$B11,"")</f>
        <v>7685377.7100000009</v>
      </c>
      <c r="L11" s="144">
        <f>'5'!$F$99</f>
        <v>0.67</v>
      </c>
      <c r="M11" s="76">
        <f ca="1">OFFSET('5'!$E$35,$A$3,0)</f>
        <v>6573136</v>
      </c>
      <c r="N11" s="144">
        <f ca="1">OFFSET('5'!$F$35,$A$3,0)</f>
        <v>0.56999999999999995</v>
      </c>
      <c r="O11" s="76">
        <f ca="1">IFERROR('5'!$F$101*'Discipline Analysis'!$B11,"")</f>
        <v>11011884.48</v>
      </c>
      <c r="P11" s="144">
        <f>'5'!$F$101</f>
        <v>0.96</v>
      </c>
      <c r="Q11" s="76" t="str">
        <f ca="1">IFERROR('5'!$F$102*'Discipline Analysis'!$B11,"")</f>
        <v/>
      </c>
      <c r="R11" s="144" t="str">
        <f>'5'!$F$102</f>
        <v/>
      </c>
      <c r="S11" s="76" t="str">
        <f ca="1">IFERROR('5'!$F$103*'Discipline Analysis'!$B11,"")</f>
        <v/>
      </c>
      <c r="T11" s="144" t="str">
        <f>'5'!$F$103</f>
        <v/>
      </c>
      <c r="U11" s="76">
        <f ca="1">IFERROR('5'!$F$104*'Discipline Analysis'!$B11,"")</f>
        <v>3441213.9</v>
      </c>
      <c r="V11" s="149">
        <f>'5'!$F$104</f>
        <v>0.3</v>
      </c>
      <c r="X11" s="75" t="s">
        <v>8</v>
      </c>
    </row>
    <row r="12" spans="1:24" x14ac:dyDescent="0.2">
      <c r="A12" s="93" t="s">
        <v>1040</v>
      </c>
      <c r="B12" s="84">
        <f ca="1">OFFSET('6'!$D$4,$A$3,0)</f>
        <v>6073151</v>
      </c>
      <c r="C12" s="76">
        <f ca="1">OFFSET('6'!$E$4,$A$3,0)</f>
        <v>31537669</v>
      </c>
      <c r="D12" s="144">
        <f ca="1">OFFSET('6'!$F$4,$A$3,0)</f>
        <v>5.19</v>
      </c>
      <c r="E12" s="76">
        <f ca="1">OFFSET('6'!$E$66,$A$3,0)</f>
        <v>15468195</v>
      </c>
      <c r="F12" s="144">
        <f ca="1">OFFSET('6'!$F$66,$A$3,0)</f>
        <v>2.5499999999999998</v>
      </c>
      <c r="G12" s="76">
        <f ca="1">IFERROR('6'!$F$100*'Discipline Analysis'!$B12,"")</f>
        <v>1032435.67</v>
      </c>
      <c r="H12" s="144">
        <f>'6'!$F$100</f>
        <v>0.17</v>
      </c>
      <c r="I12" s="76">
        <f ca="1">IFERROR('6'!$F$98*'Discipline Analysis'!$B12,"")</f>
        <v>4190474.1899999995</v>
      </c>
      <c r="J12" s="144">
        <f>'6'!$F$98</f>
        <v>0.69</v>
      </c>
      <c r="K12" s="76">
        <f ca="1">IFERROR('6'!$F$99*'Discipline Analysis'!$B12,"")</f>
        <v>2732917.95</v>
      </c>
      <c r="L12" s="144">
        <f>'6'!$F$99</f>
        <v>0.45</v>
      </c>
      <c r="M12" s="76">
        <f ca="1">OFFSET('6'!$E$35,$A$3,0)</f>
        <v>3094687</v>
      </c>
      <c r="N12" s="144">
        <f ca="1">OFFSET('6'!$F$35,$A$3,0)</f>
        <v>0.51</v>
      </c>
      <c r="O12" s="76">
        <f ca="1">IFERROR('6'!$F$101*'Discipline Analysis'!$B12,"")</f>
        <v>2550723.42</v>
      </c>
      <c r="P12" s="144">
        <f>'6'!$F$101</f>
        <v>0.42</v>
      </c>
      <c r="Q12" s="76" t="str">
        <f ca="1">IFERROR('6'!$F$102*'Discipline Analysis'!$B12,"")</f>
        <v/>
      </c>
      <c r="R12" s="144" t="str">
        <f>'6'!$F$102</f>
        <v/>
      </c>
      <c r="S12" s="76" t="str">
        <f ca="1">IFERROR('6'!$F$103*'Discipline Analysis'!$B12,"")</f>
        <v/>
      </c>
      <c r="T12" s="144" t="str">
        <f>'6'!$F$103</f>
        <v/>
      </c>
      <c r="U12" s="76">
        <f ca="1">IFERROR('6'!$F$104*'Discipline Analysis'!$B12,"")</f>
        <v>2550723.42</v>
      </c>
      <c r="V12" s="149">
        <f>'6'!$F$104</f>
        <v>0.42</v>
      </c>
      <c r="X12" s="75" t="s">
        <v>9</v>
      </c>
    </row>
    <row r="13" spans="1:24" x14ac:dyDescent="0.2">
      <c r="A13" s="93" t="s">
        <v>1041</v>
      </c>
      <c r="B13" s="84">
        <f ca="1">OFFSET('7'!$D$4,$A$3,0)</f>
        <v>1607150</v>
      </c>
      <c r="C13" s="76">
        <f ca="1">OFFSET('7'!$E$4,$A$3,0)</f>
        <v>11264114</v>
      </c>
      <c r="D13" s="144">
        <f ca="1">OFFSET('7'!$F$4,$A$3,0)</f>
        <v>7.01</v>
      </c>
      <c r="E13" s="76">
        <f ca="1">OFFSET('7'!$E$66,$A$3,0)</f>
        <v>4755920</v>
      </c>
      <c r="F13" s="144">
        <f ca="1">OFFSET('7'!$F$66,$A$3,0)</f>
        <v>2.96</v>
      </c>
      <c r="G13" s="76">
        <f ca="1">IFERROR('7'!$F$100*'Discipline Analysis'!$B13,"")</f>
        <v>610717</v>
      </c>
      <c r="H13" s="144">
        <f>'7'!$F$100</f>
        <v>0.38</v>
      </c>
      <c r="I13" s="76">
        <f ca="1">IFERROR('7'!$F$98*'Discipline Analysis'!$B13,"")</f>
        <v>2844655.5</v>
      </c>
      <c r="J13" s="144">
        <f>'7'!$F$98</f>
        <v>1.77</v>
      </c>
      <c r="K13" s="76">
        <f ca="1">IFERROR('7'!$F$99*'Discipline Analysis'!$B13,"")</f>
        <v>1125005</v>
      </c>
      <c r="L13" s="144">
        <f>'7'!$F$99</f>
        <v>0.7</v>
      </c>
      <c r="M13" s="76">
        <f ca="1">OFFSET('7'!$E$35,$A$3,0)</f>
        <v>1160087</v>
      </c>
      <c r="N13" s="144">
        <f ca="1">OFFSET('7'!$F$35,$A$3,0)</f>
        <v>0.72</v>
      </c>
      <c r="O13" s="76">
        <f ca="1">IFERROR('7'!$F$101*'Discipline Analysis'!$B13,"")</f>
        <v>321430</v>
      </c>
      <c r="P13" s="144">
        <f>'7'!$F$101</f>
        <v>0.2</v>
      </c>
      <c r="Q13" s="76" t="str">
        <f ca="1">IFERROR('7'!$F$102*'Discipline Analysis'!$B13,"")</f>
        <v/>
      </c>
      <c r="R13" s="144" t="str">
        <f>'7'!$F$102</f>
        <v/>
      </c>
      <c r="S13" s="76" t="str">
        <f ca="1">IFERROR('7'!$F$103*'Discipline Analysis'!$B13,"")</f>
        <v/>
      </c>
      <c r="T13" s="144" t="str">
        <f>'7'!$F$103</f>
        <v/>
      </c>
      <c r="U13" s="76">
        <f ca="1">IFERROR('7'!$F$104*'Discipline Analysis'!$B13,"")</f>
        <v>433930.5</v>
      </c>
      <c r="V13" s="149">
        <f>'7'!$F$104</f>
        <v>0.27</v>
      </c>
      <c r="X13" s="75" t="s">
        <v>10</v>
      </c>
    </row>
    <row r="14" spans="1:24" x14ac:dyDescent="0.2">
      <c r="A14" s="93" t="s">
        <v>1075</v>
      </c>
      <c r="B14" s="84">
        <f ca="1">OFFSET('8'!$D$4,$A$3,0)</f>
        <v>5416865</v>
      </c>
      <c r="C14" s="76">
        <f ca="1">OFFSET('8'!$E$4,$A$3,0)</f>
        <v>28479939.999999996</v>
      </c>
      <c r="D14" s="144">
        <f ca="1">OFFSET('8'!$F$4,$A$3,0)</f>
        <v>5.26</v>
      </c>
      <c r="E14" s="76">
        <f ca="1">OFFSET('8'!$E$66,$A$3,0)</f>
        <v>9680820</v>
      </c>
      <c r="F14" s="144">
        <f ca="1">OFFSET('8'!$F$66,$A$3,0)</f>
        <v>1.79</v>
      </c>
      <c r="G14" s="76">
        <f ca="1">IFERROR('8'!$F$100*'Discipline Analysis'!$B14,"")</f>
        <v>920867.05</v>
      </c>
      <c r="H14" s="144">
        <f>'8'!$F$100</f>
        <v>0.17</v>
      </c>
      <c r="I14" s="76">
        <f ca="1">IFERROR('8'!$F$98*'Discipline Analysis'!$B14,"")</f>
        <v>7746116.9499999993</v>
      </c>
      <c r="J14" s="144">
        <f>'8'!$F$98</f>
        <v>1.43</v>
      </c>
      <c r="K14" s="76">
        <f ca="1">IFERROR('8'!$F$99*'Discipline Analysis'!$B14,"")</f>
        <v>2925107.1</v>
      </c>
      <c r="L14" s="144">
        <f>'8'!$F$99</f>
        <v>0.54</v>
      </c>
      <c r="M14" s="76">
        <f ca="1">OFFSET('8'!$E$35,$A$3,0)</f>
        <v>3397070</v>
      </c>
      <c r="N14" s="144">
        <f ca="1">OFFSET('8'!$F$35,$A$3,0)</f>
        <v>0.63</v>
      </c>
      <c r="O14" s="76">
        <f ca="1">IFERROR('8'!$F$101*'Discipline Analysis'!$B14,"")</f>
        <v>325011.89999999997</v>
      </c>
      <c r="P14" s="144">
        <f>'8'!$F$101</f>
        <v>0.06</v>
      </c>
      <c r="Q14" s="76">
        <f ca="1">IFERROR('8'!$F$102*'Discipline Analysis'!$B14,"")</f>
        <v>162505.94999999998</v>
      </c>
      <c r="R14" s="144">
        <f>'8'!$F$102</f>
        <v>0.03</v>
      </c>
      <c r="S14" s="76" t="str">
        <f ca="1">IFERROR('8'!$F$103*'Discipline Analysis'!$B14,"")</f>
        <v/>
      </c>
      <c r="T14" s="144" t="str">
        <f>'8'!$F$103</f>
        <v/>
      </c>
      <c r="U14" s="76">
        <f ca="1">IFERROR('8'!$F$104*'Discipline Analysis'!$B14,"")</f>
        <v>3304287.65</v>
      </c>
      <c r="V14" s="149">
        <f>'8'!$F$104</f>
        <v>0.61</v>
      </c>
      <c r="X14" s="75" t="s">
        <v>11</v>
      </c>
    </row>
    <row r="15" spans="1:24" x14ac:dyDescent="0.2">
      <c r="A15" s="93" t="s">
        <v>1032</v>
      </c>
      <c r="B15" s="84">
        <f ca="1">OFFSET('9'!$D$4,$A$3,0)</f>
        <v>1358099</v>
      </c>
      <c r="C15" s="76">
        <f ca="1">OFFSET('9'!$E$4,$A$3,0)</f>
        <v>5709200</v>
      </c>
      <c r="D15" s="144">
        <f ca="1">OFFSET('9'!$F$4,$A$3,0)</f>
        <v>4.2</v>
      </c>
      <c r="E15" s="76">
        <f ca="1">OFFSET('9'!$E$66,$A$3,0)</f>
        <v>3167320</v>
      </c>
      <c r="F15" s="144">
        <f ca="1">OFFSET('9'!$F$66,$A$3,0)</f>
        <v>2.33</v>
      </c>
      <c r="G15" s="76">
        <f ca="1">IFERROR('9'!$F$100*'Discipline Analysis'!$B15,"")</f>
        <v>176552.87</v>
      </c>
      <c r="H15" s="144">
        <f>'9'!$F$100</f>
        <v>0.13</v>
      </c>
      <c r="I15" s="76">
        <f ca="1">IFERROR('9'!$F$98*'Discipline Analysis'!$B15,"")</f>
        <v>1072898.21</v>
      </c>
      <c r="J15" s="144">
        <f>'9'!$F$98</f>
        <v>0.79</v>
      </c>
      <c r="K15" s="76">
        <f ca="1">IFERROR('9'!$F$99*'Discipline Analysis'!$B15,"")</f>
        <v>624725.54</v>
      </c>
      <c r="L15" s="144">
        <f>'9'!$F$99</f>
        <v>0.46</v>
      </c>
      <c r="M15" s="76">
        <f ca="1">OFFSET('9'!$E$35,$A$3,0)</f>
        <v>270635</v>
      </c>
      <c r="N15" s="144">
        <f ca="1">OFFSET('9'!$F$35,$A$3,0)</f>
        <v>0.2</v>
      </c>
      <c r="O15" s="76">
        <f ca="1">IFERROR('9'!$F$101*'Discipline Analysis'!$B15,"")</f>
        <v>217295.84</v>
      </c>
      <c r="P15" s="144">
        <f>'9'!$F$101</f>
        <v>0.16</v>
      </c>
      <c r="Q15" s="76" t="str">
        <f ca="1">IFERROR('9'!$F$102*'Discipline Analysis'!$B15,"")</f>
        <v/>
      </c>
      <c r="R15" s="144" t="str">
        <f>'9'!$F$102</f>
        <v/>
      </c>
      <c r="S15" s="76" t="str">
        <f ca="1">IFERROR('9'!$F$103*'Discipline Analysis'!$B15,"")</f>
        <v/>
      </c>
      <c r="T15" s="144" t="str">
        <f>'9'!$F$103</f>
        <v/>
      </c>
      <c r="U15" s="76">
        <f ca="1">IFERROR('9'!$F$104*'Discipline Analysis'!$B15,"")</f>
        <v>190133.86000000002</v>
      </c>
      <c r="V15" s="149">
        <f>'9'!$F$104</f>
        <v>0.14000000000000001</v>
      </c>
      <c r="X15" s="75" t="s">
        <v>12</v>
      </c>
    </row>
    <row r="16" spans="1:24" x14ac:dyDescent="0.2">
      <c r="A16" s="93" t="s">
        <v>1042</v>
      </c>
      <c r="B16" s="84">
        <f ca="1">OFFSET('10'!$D$4,$A$3,0)</f>
        <v>452668</v>
      </c>
      <c r="C16" s="76">
        <f ca="1">OFFSET('10'!$E$4,$A$3,0)</f>
        <v>2960451</v>
      </c>
      <c r="D16" s="144">
        <f ca="1">OFFSET('10'!$F$4,$A$3,0)</f>
        <v>6.54</v>
      </c>
      <c r="E16" s="76">
        <f ca="1">OFFSET('10'!$E$66,$A$3,0)</f>
        <v>1374066</v>
      </c>
      <c r="F16" s="144">
        <f ca="1">OFFSET('10'!$F$66,$A$3,0)</f>
        <v>3.04</v>
      </c>
      <c r="G16" s="76">
        <f ca="1">IFERROR('10'!$F$100*'Discipline Analysis'!$B16,"")</f>
        <v>95060.28</v>
      </c>
      <c r="H16" s="144">
        <f>'10'!$F$100</f>
        <v>0.21</v>
      </c>
      <c r="I16" s="76">
        <f ca="1">IFERROR('10'!$F$98*'Discipline Analysis'!$B16,"")</f>
        <v>751428.88</v>
      </c>
      <c r="J16" s="144">
        <f>'10'!$F$98</f>
        <v>1.66</v>
      </c>
      <c r="K16" s="76">
        <f ca="1">IFERROR('10'!$F$99*'Discipline Analysis'!$B16,"")</f>
        <v>298760.88</v>
      </c>
      <c r="L16" s="144">
        <f>'10'!$F$99</f>
        <v>0.66</v>
      </c>
      <c r="M16" s="76">
        <f ca="1">OFFSET('10'!$E$35,$A$3,0)</f>
        <v>182011</v>
      </c>
      <c r="N16" s="144">
        <f ca="1">OFFSET('10'!$F$35,$A$3,0)</f>
        <v>0.4</v>
      </c>
      <c r="O16" s="76">
        <f ca="1">IFERROR('10'!$F$101*'Discipline Analysis'!$B16,"")</f>
        <v>153907.12000000002</v>
      </c>
      <c r="P16" s="144">
        <f>'10'!$F$101</f>
        <v>0.34</v>
      </c>
      <c r="Q16" s="76" t="str">
        <f ca="1">IFERROR('10'!$F$102*'Discipline Analysis'!$B16,"")</f>
        <v/>
      </c>
      <c r="R16" s="144" t="str">
        <f>'10'!$F$102</f>
        <v/>
      </c>
      <c r="S16" s="76" t="str">
        <f ca="1">IFERROR('10'!$F$103*'Discipline Analysis'!$B16,"")</f>
        <v/>
      </c>
      <c r="T16" s="144" t="str">
        <f>'10'!$F$103</f>
        <v/>
      </c>
      <c r="U16" s="76">
        <f ca="1">IFERROR('10'!$F$104*'Discipline Analysis'!$B16,"")</f>
        <v>104113.64</v>
      </c>
      <c r="V16" s="149">
        <f>'10'!$F$104</f>
        <v>0.23</v>
      </c>
      <c r="X16" s="75" t="s">
        <v>464</v>
      </c>
    </row>
    <row r="17" spans="1:24" x14ac:dyDescent="0.2">
      <c r="A17" s="93" t="s">
        <v>1043</v>
      </c>
      <c r="B17" s="84">
        <f ca="1">OFFSET('11'!$D$4,$A$3,0)</f>
        <v>2165992</v>
      </c>
      <c r="C17" s="76">
        <f ca="1">OFFSET('11'!$E$4,$A$3,0)</f>
        <v>10871274</v>
      </c>
      <c r="D17" s="144">
        <f ca="1">OFFSET('11'!$F$4,$A$3,0)</f>
        <v>5.0199999999999996</v>
      </c>
      <c r="E17" s="76">
        <f ca="1">OFFSET('11'!$E$66,$A$3,0)</f>
        <v>5227816</v>
      </c>
      <c r="F17" s="144">
        <f ca="1">OFFSET('11'!$F$66,$A$3,0)</f>
        <v>2.41</v>
      </c>
      <c r="G17" s="76">
        <f ca="1">IFERROR('11'!$F$100*'Discipline Analysis'!$B17,"")</f>
        <v>584817.84000000008</v>
      </c>
      <c r="H17" s="153">
        <f>'11'!$F$100</f>
        <v>0.27</v>
      </c>
      <c r="I17" s="76">
        <f ca="1">IFERROR('11'!$F$98*'Discipline Analysis'!$B17,"")</f>
        <v>2014372.56</v>
      </c>
      <c r="J17" s="144">
        <f>'11'!$F$98</f>
        <v>0.93</v>
      </c>
      <c r="K17" s="76">
        <f ca="1">IFERROR('11'!$F$99*'Discipline Analysis'!$B17,"")</f>
        <v>823076.96</v>
      </c>
      <c r="L17" s="144">
        <f>'11'!$F$99</f>
        <v>0.38</v>
      </c>
      <c r="M17" s="76">
        <f ca="1">OFFSET('11'!$E$35,$A$3,0)</f>
        <v>971794</v>
      </c>
      <c r="N17" s="144">
        <f ca="1">OFFSET('11'!$F$35,$A$3,0)</f>
        <v>0.45</v>
      </c>
      <c r="O17" s="76">
        <f ca="1">IFERROR('11'!$F$101*'Discipline Analysis'!$B17,"")</f>
        <v>801417.04</v>
      </c>
      <c r="P17" s="144">
        <f>'11'!$F$101</f>
        <v>0.37</v>
      </c>
      <c r="Q17" s="76" t="str">
        <f ca="1">IFERROR('11'!$F$102*'Discipline Analysis'!$B17,"")</f>
        <v/>
      </c>
      <c r="R17" s="144" t="str">
        <f>'11'!$F$102</f>
        <v/>
      </c>
      <c r="S17" s="76" t="str">
        <f ca="1">IFERROR('11'!$F$103*'Discipline Analysis'!$B17,"")</f>
        <v/>
      </c>
      <c r="T17" s="144" t="str">
        <f>'11'!$F$103</f>
        <v/>
      </c>
      <c r="U17" s="76">
        <f ca="1">IFERROR('11'!$F$104*'Discipline Analysis'!$B17,"")</f>
        <v>454858.32</v>
      </c>
      <c r="V17" s="149">
        <f>'11'!$F$104</f>
        <v>0.21</v>
      </c>
      <c r="X17" s="75" t="s">
        <v>13</v>
      </c>
    </row>
    <row r="18" spans="1:24" x14ac:dyDescent="0.2">
      <c r="A18" s="93" t="s">
        <v>938</v>
      </c>
      <c r="B18" s="84">
        <f ca="1">OFFSET('12'!$D$4,$A$3,0)</f>
        <v>1670139</v>
      </c>
      <c r="C18" s="76">
        <f ca="1">OFFSET('12'!$E$4,$A$3,0)</f>
        <v>16899288.000000004</v>
      </c>
      <c r="D18" s="144">
        <f ca="1">OFFSET('12'!$F$4,$A$3,0)</f>
        <v>10.119999999999999</v>
      </c>
      <c r="E18" s="76">
        <f ca="1">OFFSET('12'!$E$66,$A$3,0)</f>
        <v>6143655</v>
      </c>
      <c r="F18" s="144">
        <f ca="1">OFFSET('12'!$F$66,$A$3,0)</f>
        <v>3.68</v>
      </c>
      <c r="G18" s="76">
        <f ca="1">IFERROR('12'!$F$100*'Discipline Analysis'!$B18,"")</f>
        <v>668055.60000000009</v>
      </c>
      <c r="H18" s="144">
        <f>'12'!$F$100</f>
        <v>0.4</v>
      </c>
      <c r="I18" s="76">
        <f ca="1">IFERROR('12'!$F$98*'Discipline Analysis'!$B18,"")</f>
        <v>4492673.91</v>
      </c>
      <c r="J18" s="144">
        <f>'12'!$F$98</f>
        <v>2.69</v>
      </c>
      <c r="K18" s="76">
        <f ca="1">IFERROR('12'!$F$99*'Discipline Analysis'!$B18,"")</f>
        <v>1720243.1700000002</v>
      </c>
      <c r="L18" s="144">
        <f>'12'!$F$99</f>
        <v>1.03</v>
      </c>
      <c r="M18" s="76">
        <f ca="1">OFFSET('12'!$E$35,$A$3,0)</f>
        <v>1650735</v>
      </c>
      <c r="N18" s="144">
        <f ca="1">OFFSET('12'!$F$35,$A$3,0)</f>
        <v>0.99</v>
      </c>
      <c r="O18" s="76">
        <f ca="1">IFERROR('12'!$F$101*'Discipline Analysis'!$B18,"")</f>
        <v>450937.53</v>
      </c>
      <c r="P18" s="144">
        <f>'12'!$F$101</f>
        <v>0.27</v>
      </c>
      <c r="Q18" s="76" t="str">
        <f ca="1">IFERROR('12'!$F$102*'Discipline Analysis'!$B18,"")</f>
        <v/>
      </c>
      <c r="R18" s="144" t="str">
        <f>'12'!$F$102</f>
        <v/>
      </c>
      <c r="S18" s="76" t="str">
        <f ca="1">IFERROR('12'!$F$103*'Discipline Analysis'!$B18,"")</f>
        <v/>
      </c>
      <c r="T18" s="144" t="str">
        <f>'12'!$F$103</f>
        <v/>
      </c>
      <c r="U18" s="76">
        <f ca="1">IFERROR('12'!$F$104*'Discipline Analysis'!$B18,"")</f>
        <v>1770347.34</v>
      </c>
      <c r="V18" s="149">
        <f>'12'!$F$104</f>
        <v>1.06</v>
      </c>
      <c r="X18" s="75" t="s">
        <v>14</v>
      </c>
    </row>
    <row r="19" spans="1:24" x14ac:dyDescent="0.2">
      <c r="A19" s="93" t="s">
        <v>1066</v>
      </c>
      <c r="B19" s="84">
        <f ca="1">OFFSET('13'!$D$4,$A$3,0)</f>
        <v>7038051</v>
      </c>
      <c r="C19" s="76">
        <f ca="1">OFFSET('13'!$E$4,$A$3,0)</f>
        <v>44821329.000000007</v>
      </c>
      <c r="D19" s="144">
        <f ca="1">OFFSET('13'!$F$4,$A$3,0)</f>
        <v>6.37</v>
      </c>
      <c r="E19" s="76">
        <f ca="1">OFFSET('13'!$E$66,$A$3,0)</f>
        <v>16757763</v>
      </c>
      <c r="F19" s="144">
        <f ca="1">OFFSET('13'!$F$66,$A$3,0)</f>
        <v>2.38</v>
      </c>
      <c r="G19" s="76">
        <f ca="1">IFERROR('13'!$F$100*'Discipline Analysis'!$B19,"")</f>
        <v>2955981.42</v>
      </c>
      <c r="H19" s="144">
        <f>'13'!$F$100</f>
        <v>0.42</v>
      </c>
      <c r="I19" s="76">
        <f ca="1">IFERROR('13'!$F$98*'Discipline Analysis'!$B19,"")</f>
        <v>8445661.1999999993</v>
      </c>
      <c r="J19" s="144">
        <f>'13'!$F$98</f>
        <v>1.2</v>
      </c>
      <c r="K19" s="76">
        <f ca="1">IFERROR('13'!$F$99*'Discipline Analysis'!$B19,"")</f>
        <v>4504352.6399999997</v>
      </c>
      <c r="L19" s="144">
        <f>'13'!$F$99</f>
        <v>0.64</v>
      </c>
      <c r="M19" s="76">
        <f ca="1">OFFSET('13'!$E$35,$A$3,0)</f>
        <v>7914615</v>
      </c>
      <c r="N19" s="144">
        <f ca="1">OFFSET('13'!$F$35,$A$3,0)</f>
        <v>1.1200000000000001</v>
      </c>
      <c r="O19" s="76">
        <f ca="1">IFERROR('13'!$F$101*'Discipline Analysis'!$B19,"")</f>
        <v>2815220.4000000004</v>
      </c>
      <c r="P19" s="144">
        <f>'13'!$F$101</f>
        <v>0.4</v>
      </c>
      <c r="Q19" s="76" t="str">
        <f ca="1">IFERROR('13'!$F$102*'Discipline Analysis'!$B19,"")</f>
        <v/>
      </c>
      <c r="R19" s="144" t="str">
        <f>'13'!$F$102</f>
        <v/>
      </c>
      <c r="S19" s="76" t="str">
        <f ca="1">IFERROR('13'!$F$103*'Discipline Analysis'!$B19,"")</f>
        <v/>
      </c>
      <c r="T19" s="144" t="str">
        <f>'13'!$F$103</f>
        <v/>
      </c>
      <c r="U19" s="76">
        <f ca="1">IFERROR('13'!$F$104*'Discipline Analysis'!$B19,"")</f>
        <v>1407610.2000000002</v>
      </c>
      <c r="V19" s="149">
        <f>'13'!$F$104</f>
        <v>0.2</v>
      </c>
      <c r="X19" s="75" t="s">
        <v>15</v>
      </c>
    </row>
    <row r="20" spans="1:24" x14ac:dyDescent="0.2">
      <c r="A20" s="93" t="s">
        <v>1067</v>
      </c>
      <c r="B20" s="84">
        <f ca="1">OFFSET('14'!$D$4,$A$3,0)</f>
        <v>25958904</v>
      </c>
      <c r="C20" s="76">
        <f ca="1">OFFSET('14'!$E$4,$A$3,0)</f>
        <v>182292145.99999997</v>
      </c>
      <c r="D20" s="144">
        <f ca="1">OFFSET('14'!$F$4,$A$3,0)</f>
        <v>7.02</v>
      </c>
      <c r="E20" s="76">
        <f ca="1">OFFSET('14'!$E$66,$A$3,0)</f>
        <v>68400835</v>
      </c>
      <c r="F20" s="144">
        <f ca="1">OFFSET('14'!$F$66,$A$3,0)</f>
        <v>2.63</v>
      </c>
      <c r="G20" s="76">
        <f ca="1">IFERROR('14'!$F$100*'Discipline Analysis'!$B20,"")</f>
        <v>7528082.1599999992</v>
      </c>
      <c r="H20" s="144">
        <f>'14'!$F$100</f>
        <v>0.28999999999999998</v>
      </c>
      <c r="I20" s="76">
        <f ca="1">IFERROR('14'!$F$98*'Discipline Analysis'!$B20,"")</f>
        <v>40236301.200000003</v>
      </c>
      <c r="J20" s="144">
        <f>'14'!$F$98</f>
        <v>1.55</v>
      </c>
      <c r="K20" s="76">
        <f ca="1">IFERROR('14'!$F$99*'Discipline Analysis'!$B20,"")</f>
        <v>18949999.919999998</v>
      </c>
      <c r="L20" s="144">
        <f>'14'!$F$99</f>
        <v>0.73</v>
      </c>
      <c r="M20" s="76">
        <f ca="1">OFFSET('14'!$E$35,$A$3,0)</f>
        <v>32071549</v>
      </c>
      <c r="N20" s="144">
        <f ca="1">OFFSET('14'!$F$35,$A$3,0)</f>
        <v>1.24</v>
      </c>
      <c r="O20" s="76">
        <f ca="1">IFERROR('14'!$F$101*'Discipline Analysis'!$B20,"")</f>
        <v>5970547.9199999999</v>
      </c>
      <c r="P20" s="144">
        <f>'14'!$F$101</f>
        <v>0.23</v>
      </c>
      <c r="Q20" s="76">
        <f ca="1">IFERROR('14'!$F$102*'Discipline Analysis'!$B20,"")</f>
        <v>778767.12</v>
      </c>
      <c r="R20" s="144">
        <f>'14'!$F$102</f>
        <v>0.03</v>
      </c>
      <c r="S20" s="76" t="str">
        <f ca="1">IFERROR('14'!$F$103*'Discipline Analysis'!$B20,"")</f>
        <v/>
      </c>
      <c r="T20" s="144" t="str">
        <f>'14'!$F$103</f>
        <v/>
      </c>
      <c r="U20" s="76">
        <f ca="1">IFERROR('14'!$F$104*'Discipline Analysis'!$B20,"")</f>
        <v>8826027.3600000013</v>
      </c>
      <c r="V20" s="149">
        <f>'14'!$F$104</f>
        <v>0.34</v>
      </c>
      <c r="X20" s="75" t="s">
        <v>16</v>
      </c>
    </row>
    <row r="21" spans="1:24" x14ac:dyDescent="0.2">
      <c r="A21" s="93" t="s">
        <v>1044</v>
      </c>
      <c r="B21" s="84">
        <f ca="1">OFFSET('15'!$D$4,$A$3,0)</f>
        <v>5507011</v>
      </c>
      <c r="C21" s="76">
        <f ca="1">OFFSET('15'!$E$4,$A$3,0)</f>
        <v>45788300.000000007</v>
      </c>
      <c r="D21" s="144">
        <f ca="1">OFFSET('15'!$F$4,$A$3,0)</f>
        <v>8.31</v>
      </c>
      <c r="E21" s="76">
        <f ca="1">OFFSET('15'!$E$66,$A$3,0)</f>
        <v>20193185</v>
      </c>
      <c r="F21" s="144">
        <f ca="1">OFFSET('15'!$F$66,$A$3,0)</f>
        <v>3.67</v>
      </c>
      <c r="G21" s="76">
        <f ca="1">IFERROR('15'!$F$100*'Discipline Analysis'!$B21,"")</f>
        <v>2312944.62</v>
      </c>
      <c r="H21" s="144">
        <f>'15'!$F$100</f>
        <v>0.42</v>
      </c>
      <c r="I21" s="76">
        <f ca="1">IFERROR('15'!$F$98*'Discipline Analysis'!$B21,"")</f>
        <v>9031498.0399999991</v>
      </c>
      <c r="J21" s="144">
        <f>'15'!$F$98</f>
        <v>1.64</v>
      </c>
      <c r="K21" s="76">
        <f ca="1">IFERROR('15'!$F$99*'Discipline Analysis'!$B21,"")</f>
        <v>4846169.68</v>
      </c>
      <c r="L21" s="144">
        <f>'15'!$F$99</f>
        <v>0.88</v>
      </c>
      <c r="M21" s="76">
        <f ca="1">OFFSET('15'!$E$35,$A$3,0)</f>
        <v>2291446</v>
      </c>
      <c r="N21" s="144">
        <f ca="1">OFFSET('15'!$F$35,$A$3,0)</f>
        <v>0.42</v>
      </c>
      <c r="O21" s="76">
        <f ca="1">IFERROR('15'!$F$101*'Discipline Analysis'!$B21,"")</f>
        <v>3138996.2699999996</v>
      </c>
      <c r="P21" s="144">
        <f>'15'!$F$101</f>
        <v>0.56999999999999995</v>
      </c>
      <c r="Q21" s="76" t="str">
        <f ca="1">IFERROR('15'!$F$102*'Discipline Analysis'!$B21,"")</f>
        <v/>
      </c>
      <c r="R21" s="144" t="str">
        <f>'15'!$F$102</f>
        <v/>
      </c>
      <c r="S21" s="76" t="str">
        <f ca="1">IFERROR('15'!$F$103*'Discipline Analysis'!$B21,"")</f>
        <v/>
      </c>
      <c r="T21" s="144" t="str">
        <f>'15'!$F$103</f>
        <v/>
      </c>
      <c r="U21" s="76">
        <f ca="1">IFERROR('15'!$F$104*'Discipline Analysis'!$B21,"")</f>
        <v>4020118.03</v>
      </c>
      <c r="V21" s="149">
        <f>'15'!$F$104</f>
        <v>0.73</v>
      </c>
      <c r="X21" s="75" t="s">
        <v>17</v>
      </c>
    </row>
    <row r="22" spans="1:24" x14ac:dyDescent="0.2">
      <c r="A22" s="92" t="s">
        <v>1068</v>
      </c>
      <c r="B22" s="84">
        <f ca="1">OFFSET('16'!$D$4,$A$3,0)</f>
        <v>8917546</v>
      </c>
      <c r="C22" s="76">
        <f ca="1">OFFSET('16'!$E$4,$A$3,0)</f>
        <v>62585427</v>
      </c>
      <c r="D22" s="144">
        <f ca="1">OFFSET('16'!$F$4,$A$3,0)</f>
        <v>7.02</v>
      </c>
      <c r="E22" s="76">
        <f ca="1">OFFSET('16'!$E$66,$A$3,0)</f>
        <v>24672263</v>
      </c>
      <c r="F22" s="144">
        <f ca="1">OFFSET('16'!$F$66,$A$3,0)</f>
        <v>2.77</v>
      </c>
      <c r="G22" s="76">
        <f ca="1">IFERROR('16'!$F$100*'Discipline Analysis'!$B22,"")</f>
        <v>2496912.8800000004</v>
      </c>
      <c r="H22" s="144">
        <f>'16'!$F$100</f>
        <v>0.28000000000000003</v>
      </c>
      <c r="I22" s="76">
        <f ca="1">IFERROR('16'!$F$98*'Discipline Analysis'!$B22,"")</f>
        <v>14089722.68</v>
      </c>
      <c r="J22" s="144">
        <f>'16'!$F$98</f>
        <v>1.58</v>
      </c>
      <c r="K22" s="76">
        <f ca="1">IFERROR('16'!$F$99*'Discipline Analysis'!$B22,"")</f>
        <v>6242282.1999999993</v>
      </c>
      <c r="L22" s="144">
        <f>'16'!$F$99</f>
        <v>0.7</v>
      </c>
      <c r="M22" s="76">
        <f ca="1">OFFSET('16'!$E$35,$A$3,0)</f>
        <v>4065331</v>
      </c>
      <c r="N22" s="144">
        <f ca="1">OFFSET('16'!$F$35,$A$3,0)</f>
        <v>0.46</v>
      </c>
      <c r="O22" s="76">
        <f ca="1">IFERROR('16'!$F$101*'Discipline Analysis'!$B22,"")</f>
        <v>6955685.8799999999</v>
      </c>
      <c r="P22" s="144">
        <f>'16'!$F$101</f>
        <v>0.78</v>
      </c>
      <c r="Q22" s="76">
        <f ca="1">IFERROR('16'!$F$102*'Discipline Analysis'!$B22,"")</f>
        <v>178350.92</v>
      </c>
      <c r="R22" s="144">
        <f>'16'!$F$102</f>
        <v>0.02</v>
      </c>
      <c r="S22" s="76" t="str">
        <f ca="1">IFERROR('16'!$F$103*'Discipline Analysis'!$B22,"")</f>
        <v/>
      </c>
      <c r="T22" s="144" t="str">
        <f>'16'!$F$103</f>
        <v/>
      </c>
      <c r="U22" s="76">
        <f ca="1">IFERROR('16'!$F$104*'Discipline Analysis'!$B22,"")</f>
        <v>3923720.24</v>
      </c>
      <c r="V22" s="149">
        <f>'16'!$F$104</f>
        <v>0.44</v>
      </c>
      <c r="X22" s="75" t="s">
        <v>18</v>
      </c>
    </row>
    <row r="23" spans="1:24" x14ac:dyDescent="0.2">
      <c r="A23" s="93" t="s">
        <v>1045</v>
      </c>
      <c r="B23" s="84">
        <f ca="1">OFFSET('17'!$D$4,$A$3,0)</f>
        <v>727294</v>
      </c>
      <c r="C23" s="76">
        <f ca="1">OFFSET('17'!$E$4,$A$3,0)</f>
        <v>4835882.9999999991</v>
      </c>
      <c r="D23" s="144">
        <f ca="1">OFFSET('17'!$F$4,$A$3,0)</f>
        <v>6.65</v>
      </c>
      <c r="E23" s="76">
        <f ca="1">OFFSET('17'!$E$66,$A$3,0)</f>
        <v>1656102</v>
      </c>
      <c r="F23" s="144">
        <f ca="1">OFFSET('17'!$F$66,$A$3,0)</f>
        <v>2.2799999999999998</v>
      </c>
      <c r="G23" s="76">
        <f ca="1">IFERROR('17'!$F$100*'Discipline Analysis'!$B23,"")</f>
        <v>123639.98000000001</v>
      </c>
      <c r="H23" s="144">
        <f>'17'!$F$100</f>
        <v>0.17</v>
      </c>
      <c r="I23" s="76">
        <f ca="1">IFERROR('17'!$F$98*'Discipline Analysis'!$B23,"")</f>
        <v>1316402.1400000001</v>
      </c>
      <c r="J23" s="144">
        <f>'17'!$F$98</f>
        <v>1.81</v>
      </c>
      <c r="K23" s="76">
        <f ca="1">IFERROR('17'!$F$99*'Discipline Analysis'!$B23,"")</f>
        <v>414557.57999999996</v>
      </c>
      <c r="L23" s="144">
        <f>'17'!$F$99</f>
        <v>0.56999999999999995</v>
      </c>
      <c r="M23" s="76">
        <f ca="1">OFFSET('17'!$E$35,$A$3,0)</f>
        <v>1023559</v>
      </c>
      <c r="N23" s="144">
        <f ca="1">OFFSET('17'!$F$35,$A$3,0)</f>
        <v>1.41</v>
      </c>
      <c r="O23" s="76">
        <f ca="1">IFERROR('17'!$F$101*'Discipline Analysis'!$B23,"")</f>
        <v>65456.46</v>
      </c>
      <c r="P23" s="144">
        <f>'17'!$F$101</f>
        <v>0.09</v>
      </c>
      <c r="Q23" s="76" t="str">
        <f ca="1">IFERROR('17'!$F$102*'Discipline Analysis'!$B23,"")</f>
        <v/>
      </c>
      <c r="R23" s="144" t="str">
        <f>'17'!$F$102</f>
        <v/>
      </c>
      <c r="S23" s="76" t="str">
        <f ca="1">IFERROR('17'!$F$103*'Discipline Analysis'!$B23,"")</f>
        <v/>
      </c>
      <c r="T23" s="144" t="str">
        <f>'17'!$F$103</f>
        <v/>
      </c>
      <c r="U23" s="76">
        <f ca="1">IFERROR('17'!$F$104*'Discipline Analysis'!$B23,"")</f>
        <v>232734.08000000002</v>
      </c>
      <c r="V23" s="149">
        <f>'17'!$F$104</f>
        <v>0.32</v>
      </c>
      <c r="X23" s="75" t="s">
        <v>461</v>
      </c>
    </row>
    <row r="24" spans="1:24" x14ac:dyDescent="0.2">
      <c r="A24" s="93" t="s">
        <v>1046</v>
      </c>
      <c r="B24" s="84">
        <f ca="1">OFFSET('18'!$D$4,$A$3,0)</f>
        <v>1159564</v>
      </c>
      <c r="C24" s="76">
        <f ca="1">OFFSET('18'!$E$4,$A$3,0)</f>
        <v>9697114</v>
      </c>
      <c r="D24" s="144">
        <f ca="1">OFFSET('18'!$F$4,$A$3,0)</f>
        <v>8.36</v>
      </c>
      <c r="E24" s="76">
        <f ca="1">OFFSET('18'!$E$66,$A$3,0)</f>
        <v>3795121</v>
      </c>
      <c r="F24" s="144">
        <f ca="1">OFFSET('18'!$F$66,$A$3,0)</f>
        <v>3.27</v>
      </c>
      <c r="G24" s="76">
        <f ca="1">IFERROR('18'!$F$100*'Discipline Analysis'!$B24,"")</f>
        <v>289891</v>
      </c>
      <c r="H24" s="144">
        <f>'18'!$F$100</f>
        <v>0.25</v>
      </c>
      <c r="I24" s="76">
        <f ca="1">IFERROR('18'!$F$98*'Discipline Analysis'!$B24,"")</f>
        <v>2562636.44</v>
      </c>
      <c r="J24" s="144">
        <f>'18'!$F$98</f>
        <v>2.21</v>
      </c>
      <c r="K24" s="76">
        <f ca="1">IFERROR('18'!$F$99*'Discipline Analysis'!$B24,"")</f>
        <v>579782</v>
      </c>
      <c r="L24" s="144">
        <f>'18'!$F$99</f>
        <v>0.5</v>
      </c>
      <c r="M24" s="76">
        <f ca="1">OFFSET('18'!$E$35,$A$3,0)</f>
        <v>839766</v>
      </c>
      <c r="N24" s="144">
        <f ca="1">OFFSET('18'!$F$35,$A$3,0)</f>
        <v>0.72</v>
      </c>
      <c r="O24" s="76">
        <f ca="1">IFERROR('18'!$F$101*'Discipline Analysis'!$B24,"")</f>
        <v>869673</v>
      </c>
      <c r="P24" s="144">
        <f>'18'!$F$101</f>
        <v>0.75</v>
      </c>
      <c r="Q24" s="76" t="str">
        <f ca="1">IFERROR('18'!$F$102*'Discipline Analysis'!$B24,"")</f>
        <v/>
      </c>
      <c r="R24" s="144" t="str">
        <f>'18'!$F$102</f>
        <v/>
      </c>
      <c r="S24" s="76" t="str">
        <f ca="1">IFERROR('18'!$F$103*'Discipline Analysis'!$B24,"")</f>
        <v/>
      </c>
      <c r="T24" s="144" t="str">
        <f>'18'!$F$103</f>
        <v/>
      </c>
      <c r="U24" s="76">
        <f ca="1">IFERROR('18'!$F$104*'Discipline Analysis'!$B24,"")</f>
        <v>765312.24</v>
      </c>
      <c r="V24" s="149">
        <f>'18'!$F$104</f>
        <v>0.66</v>
      </c>
      <c r="X24" s="75" t="s">
        <v>19</v>
      </c>
    </row>
    <row r="25" spans="1:24" x14ac:dyDescent="0.2">
      <c r="A25" s="93" t="s">
        <v>1076</v>
      </c>
      <c r="B25" s="84">
        <f ca="1">OFFSET('19'!$D$4,$A$3,0)</f>
        <v>1705587</v>
      </c>
      <c r="C25" s="76">
        <f ca="1">OFFSET('19'!$E$4,$A$3,0)</f>
        <v>9836812</v>
      </c>
      <c r="D25" s="144">
        <f ca="1">OFFSET('19'!$F$4,$A$3,0)</f>
        <v>5.77</v>
      </c>
      <c r="E25" s="76">
        <f ca="1">OFFSET('19'!$E$66,$A$3,0)</f>
        <v>5176444</v>
      </c>
      <c r="F25" s="144">
        <f ca="1">OFFSET('19'!$F$66,$A$3,0)</f>
        <v>3.03</v>
      </c>
      <c r="G25" s="76">
        <f ca="1">IFERROR('19'!$F$100*'Discipline Analysis'!$B25,"")</f>
        <v>324061.53000000003</v>
      </c>
      <c r="H25" s="144">
        <f>'19'!$F$100</f>
        <v>0.19</v>
      </c>
      <c r="I25" s="76">
        <f ca="1">IFERROR('19'!$F$98*'Discipline Analysis'!$B25,"")</f>
        <v>1637363.52</v>
      </c>
      <c r="J25" s="144">
        <f>'19'!$F$98</f>
        <v>0.96</v>
      </c>
      <c r="K25" s="76">
        <f ca="1">IFERROR('19'!$F$99*'Discipline Analysis'!$B25,"")</f>
        <v>903961.1100000001</v>
      </c>
      <c r="L25" s="144">
        <f>'19'!$F$99</f>
        <v>0.53</v>
      </c>
      <c r="M25" s="76">
        <f ca="1">OFFSET('19'!$E$35,$A$3,0)</f>
        <v>557260</v>
      </c>
      <c r="N25" s="144">
        <f ca="1">OFFSET('19'!$F$35,$A$3,0)</f>
        <v>0.33</v>
      </c>
      <c r="O25" s="76">
        <f ca="1">IFERROR('19'!$F$101*'Discipline Analysis'!$B25,"")</f>
        <v>392285.01</v>
      </c>
      <c r="P25" s="144">
        <f>'19'!$F$101</f>
        <v>0.23</v>
      </c>
      <c r="Q25" s="76" t="str">
        <f ca="1">IFERROR('19'!$F$102*'Discipline Analysis'!$B25,"")</f>
        <v/>
      </c>
      <c r="R25" s="144" t="str">
        <f>'19'!$F$102</f>
        <v/>
      </c>
      <c r="S25" s="76" t="str">
        <f ca="1">IFERROR('19'!$F$103*'Discipline Analysis'!$B25,"")</f>
        <v/>
      </c>
      <c r="T25" s="144" t="str">
        <f>'19'!$F$103</f>
        <v/>
      </c>
      <c r="U25" s="76">
        <f ca="1">IFERROR('19'!$F$104*'Discipline Analysis'!$B25,"")</f>
        <v>852793.5</v>
      </c>
      <c r="V25" s="149">
        <f>'19'!$F$104</f>
        <v>0.5</v>
      </c>
      <c r="X25" s="75" t="s">
        <v>20</v>
      </c>
    </row>
    <row r="26" spans="1:24" x14ac:dyDescent="0.2">
      <c r="A26" s="93" t="s">
        <v>1047</v>
      </c>
      <c r="B26" s="84">
        <f ca="1">OFFSET('20'!$D$4,$A$3,0)</f>
        <v>1716447</v>
      </c>
      <c r="C26" s="76">
        <f ca="1">OFFSET('20'!$E$4,$A$3,0)</f>
        <v>7715563.0000000009</v>
      </c>
      <c r="D26" s="144">
        <f ca="1">OFFSET('20'!$F$4,$A$3,0)</f>
        <v>4.5</v>
      </c>
      <c r="E26" s="76">
        <f ca="1">OFFSET('20'!$E$66,$A$3,0)</f>
        <v>3728620</v>
      </c>
      <c r="F26" s="144">
        <f ca="1">OFFSET('20'!$F$66,$A$3,0)</f>
        <v>2.17</v>
      </c>
      <c r="G26" s="76">
        <f ca="1">IFERROR('20'!$F$100*'Discipline Analysis'!$B26,"")</f>
        <v>532098.56999999995</v>
      </c>
      <c r="H26" s="144">
        <f>'20'!$F$100</f>
        <v>0.31</v>
      </c>
      <c r="I26" s="76">
        <f ca="1">IFERROR('20'!$F$98*'Discipline Analysis'!$B26,"")</f>
        <v>1458979.95</v>
      </c>
      <c r="J26" s="144">
        <f>'20'!$F$98</f>
        <v>0.85</v>
      </c>
      <c r="K26" s="76">
        <f ca="1">IFERROR('20'!$F$99*'Discipline Analysis'!$B26,"")</f>
        <v>1012703.73</v>
      </c>
      <c r="L26" s="144">
        <f>'20'!$F$99</f>
        <v>0.59</v>
      </c>
      <c r="M26" s="76">
        <f ca="1">OFFSET('20'!$E$35,$A$3,0)</f>
        <v>415044</v>
      </c>
      <c r="N26" s="144">
        <f ca="1">OFFSET('20'!$F$35,$A$3,0)</f>
        <v>0.24</v>
      </c>
      <c r="O26" s="76">
        <f ca="1">IFERROR('20'!$F$101*'Discipline Analysis'!$B26,"")</f>
        <v>360453.87</v>
      </c>
      <c r="P26" s="144">
        <f>'20'!$F$101</f>
        <v>0.21</v>
      </c>
      <c r="Q26" s="76" t="str">
        <f ca="1">IFERROR('20'!$F$102*'Discipline Analysis'!$B26,"")</f>
        <v/>
      </c>
      <c r="R26" s="144" t="str">
        <f>'20'!$F$102</f>
        <v/>
      </c>
      <c r="S26" s="76" t="str">
        <f ca="1">IFERROR('20'!$F$103*'Discipline Analysis'!$B26,"")</f>
        <v/>
      </c>
      <c r="T26" s="144" t="str">
        <f>'20'!$F$103</f>
        <v/>
      </c>
      <c r="U26" s="76">
        <f ca="1">IFERROR('20'!$F$104*'Discipline Analysis'!$B26,"")</f>
        <v>188809.17</v>
      </c>
      <c r="V26" s="149">
        <f>'20'!$F$104</f>
        <v>0.11</v>
      </c>
      <c r="X26" s="75" t="s">
        <v>21</v>
      </c>
    </row>
    <row r="27" spans="1:24" x14ac:dyDescent="0.2">
      <c r="A27" s="93" t="s">
        <v>1069</v>
      </c>
      <c r="B27" s="84">
        <f ca="1">OFFSET('21'!$D$4,$A$3,0)</f>
        <v>18161611</v>
      </c>
      <c r="C27" s="76">
        <f ca="1">OFFSET('21'!$E$4,$A$3,0)</f>
        <v>150084471.99999997</v>
      </c>
      <c r="D27" s="144">
        <f ca="1">OFFSET('21'!$F$4,$A$3,0)</f>
        <v>8.26</v>
      </c>
      <c r="E27" s="76">
        <f ca="1">OFFSET('21'!$E$66,$A$3,0)</f>
        <v>55100315</v>
      </c>
      <c r="F27" s="144">
        <f ca="1">OFFSET('21'!$F$66,$A$3,0)</f>
        <v>3.03</v>
      </c>
      <c r="G27" s="76">
        <f ca="1">IFERROR('21'!$F$100*'Discipline Analysis'!$B27,"")</f>
        <v>3813938.31</v>
      </c>
      <c r="H27" s="144">
        <f>'21'!$F$100</f>
        <v>0.21</v>
      </c>
      <c r="I27" s="76">
        <f ca="1">IFERROR('21'!$F$98*'Discipline Analysis'!$B27,"")</f>
        <v>39229079.760000005</v>
      </c>
      <c r="J27" s="144">
        <f>'21'!$F$98</f>
        <v>2.16</v>
      </c>
      <c r="K27" s="76">
        <f ca="1">IFERROR('21'!$F$99*'Discipline Analysis'!$B27,"")</f>
        <v>20704236.539999999</v>
      </c>
      <c r="L27" s="144">
        <f>'21'!$F$99</f>
        <v>1.1399999999999999</v>
      </c>
      <c r="M27" s="76">
        <f ca="1">OFFSET('21'!$E$35,$A$3,0)</f>
        <v>23223062</v>
      </c>
      <c r="N27" s="144">
        <f ca="1">OFFSET('21'!$F$35,$A$3,0)</f>
        <v>1.28</v>
      </c>
      <c r="O27" s="76">
        <f ca="1">IFERROR('21'!$F$101*'Discipline Analysis'!$B27,"")</f>
        <v>2905857.7600000002</v>
      </c>
      <c r="P27" s="144">
        <f>'21'!$F$101</f>
        <v>0.16</v>
      </c>
      <c r="Q27" s="76" t="str">
        <f ca="1">IFERROR('21'!$F$102*'Discipline Analysis'!$B27,"")</f>
        <v/>
      </c>
      <c r="R27" s="144" t="str">
        <f>'21'!$F$102</f>
        <v/>
      </c>
      <c r="S27" s="76" t="str">
        <f ca="1">IFERROR('21'!$F$103*'Discipline Analysis'!$B27,"")</f>
        <v/>
      </c>
      <c r="T27" s="144" t="str">
        <f>'21'!$F$103</f>
        <v/>
      </c>
      <c r="U27" s="76">
        <f ca="1">IFERROR('21'!$F$104*'Discipline Analysis'!$B27,"")</f>
        <v>5266867.1899999995</v>
      </c>
      <c r="V27" s="149">
        <f>'21'!$F$104</f>
        <v>0.28999999999999998</v>
      </c>
      <c r="X27" s="75" t="s">
        <v>22</v>
      </c>
    </row>
    <row r="28" spans="1:24" x14ac:dyDescent="0.2">
      <c r="A28" s="93" t="s">
        <v>1048</v>
      </c>
      <c r="B28" s="84">
        <f ca="1">OFFSET('22'!$D$4,$A$3,0)</f>
        <v>2248517</v>
      </c>
      <c r="C28" s="76">
        <f ca="1">OFFSET('22'!$E$4,$A$3,0)</f>
        <v>13649317</v>
      </c>
      <c r="D28" s="144">
        <f ca="1">OFFSET('22'!$F$4,$A$3,0)</f>
        <v>6.07</v>
      </c>
      <c r="E28" s="76">
        <f ca="1">OFFSET('22'!$E$66,$A$3,0)</f>
        <v>5274558</v>
      </c>
      <c r="F28" s="144">
        <f ca="1">OFFSET('22'!$F$66,$A$3,0)</f>
        <v>2.35</v>
      </c>
      <c r="G28" s="76">
        <f ca="1">IFERROR('22'!$F$100*'Discipline Analysis'!$B28,"")</f>
        <v>179881.36000000002</v>
      </c>
      <c r="H28" s="144">
        <f>'22'!$F$100</f>
        <v>0.08</v>
      </c>
      <c r="I28" s="76">
        <f ca="1">IFERROR('22'!$F$98*'Discipline Analysis'!$B28,"")</f>
        <v>4182241.62</v>
      </c>
      <c r="J28" s="144">
        <f>'22'!$F$98</f>
        <v>1.86</v>
      </c>
      <c r="K28" s="76">
        <f ca="1">IFERROR('22'!$F$99*'Discipline Analysis'!$B28,"")</f>
        <v>899406.8</v>
      </c>
      <c r="L28" s="144">
        <f>'22'!$F$99</f>
        <v>0.4</v>
      </c>
      <c r="M28" s="76">
        <f ca="1">OFFSET('22'!$E$35,$A$3,0)</f>
        <v>1621363</v>
      </c>
      <c r="N28" s="144">
        <f ca="1">OFFSET('22'!$F$35,$A$3,0)</f>
        <v>0.72</v>
      </c>
      <c r="O28" s="76">
        <f ca="1">IFERROR('22'!$F$101*'Discipline Analysis'!$B28,"")</f>
        <v>584614.42000000004</v>
      </c>
      <c r="P28" s="144">
        <f>'22'!$F$101</f>
        <v>0.26</v>
      </c>
      <c r="Q28" s="76" t="str">
        <f ca="1">IFERROR('22'!$F$102*'Discipline Analysis'!$B28,"")</f>
        <v/>
      </c>
      <c r="R28" s="144" t="str">
        <f>'22'!$F$102</f>
        <v/>
      </c>
      <c r="S28" s="76" t="str">
        <f ca="1">IFERROR('22'!$F$103*'Discipline Analysis'!$B28,"")</f>
        <v/>
      </c>
      <c r="T28" s="144" t="str">
        <f>'22'!$F$103</f>
        <v/>
      </c>
      <c r="U28" s="76">
        <f ca="1">IFERROR('22'!$F$104*'Discipline Analysis'!$B28,"")</f>
        <v>899406.8</v>
      </c>
      <c r="V28" s="149">
        <f>'22'!$F$104</f>
        <v>0.4</v>
      </c>
      <c r="X28" s="75" t="s">
        <v>23</v>
      </c>
    </row>
    <row r="29" spans="1:24" x14ac:dyDescent="0.2">
      <c r="A29" s="93" t="s">
        <v>1049</v>
      </c>
      <c r="B29" s="84">
        <f ca="1">OFFSET('23'!$D$4,$A$3,0)</f>
        <v>3045509</v>
      </c>
      <c r="C29" s="76">
        <f ca="1">OFFSET('23'!$E$4,$A$3,0)</f>
        <v>16036109.000000002</v>
      </c>
      <c r="D29" s="144">
        <f ca="1">OFFSET('23'!$F$4,$A$3,0)</f>
        <v>5.27</v>
      </c>
      <c r="E29" s="76">
        <f ca="1">OFFSET('23'!$E$66,$A$3,0)</f>
        <v>7636409</v>
      </c>
      <c r="F29" s="144">
        <f ca="1">OFFSET('23'!$F$66,$A$3,0)</f>
        <v>2.5099999999999998</v>
      </c>
      <c r="G29" s="76">
        <f ca="1">IFERROR('23'!$F$100*'Discipline Analysis'!$B29,"")</f>
        <v>365461.07999999996</v>
      </c>
      <c r="H29" s="144">
        <f>'23'!$F$100</f>
        <v>0.12</v>
      </c>
      <c r="I29" s="76">
        <f ca="1">IFERROR('23'!$F$98*'Discipline Analysis'!$B29,"")</f>
        <v>2893233.55</v>
      </c>
      <c r="J29" s="144">
        <f>'23'!$F$98</f>
        <v>0.95</v>
      </c>
      <c r="K29" s="76">
        <f ca="1">IFERROR('23'!$F$99*'Discipline Analysis'!$B29,"")</f>
        <v>1096383.24</v>
      </c>
      <c r="L29" s="144">
        <f>'23'!$F$99</f>
        <v>0.36</v>
      </c>
      <c r="M29" s="76">
        <f ca="1">OFFSET('23'!$E$35,$A$3,0)</f>
        <v>1653173</v>
      </c>
      <c r="N29" s="144">
        <f ca="1">OFFSET('23'!$F$35,$A$3,0)</f>
        <v>0.54</v>
      </c>
      <c r="O29" s="76">
        <f ca="1">IFERROR('23'!$F$101*'Discipline Analysis'!$B29,"")</f>
        <v>1675029.9500000002</v>
      </c>
      <c r="P29" s="144">
        <f>'23'!$F$101</f>
        <v>0.55000000000000004</v>
      </c>
      <c r="Q29" s="76" t="str">
        <f ca="1">IFERROR('23'!$F$102*'Discipline Analysis'!$B29,"")</f>
        <v/>
      </c>
      <c r="R29" s="144" t="str">
        <f>'23'!$F$102</f>
        <v/>
      </c>
      <c r="S29" s="76" t="str">
        <f ca="1">IFERROR('23'!$F$103*'Discipline Analysis'!$B29,"")</f>
        <v/>
      </c>
      <c r="T29" s="144" t="str">
        <f>'23'!$F$103</f>
        <v/>
      </c>
      <c r="U29" s="76">
        <f ca="1">IFERROR('23'!$F$104*'Discipline Analysis'!$B29,"")</f>
        <v>730922.15999999992</v>
      </c>
      <c r="V29" s="149">
        <f>'23'!$F$104</f>
        <v>0.24</v>
      </c>
      <c r="X29" s="75" t="s">
        <v>24</v>
      </c>
    </row>
    <row r="30" spans="1:24" x14ac:dyDescent="0.2">
      <c r="A30" s="93" t="s">
        <v>1033</v>
      </c>
      <c r="B30" s="84">
        <f ca="1">OFFSET('24'!$D$4,$A$3,0)</f>
        <v>3237360</v>
      </c>
      <c r="C30" s="76">
        <f ca="1">OFFSET('24'!$E$4,$A$3,0)</f>
        <v>24781082.999999996</v>
      </c>
      <c r="D30" s="144">
        <f ca="1">OFFSET('24'!$F$4,$A$3,0)</f>
        <v>7.65</v>
      </c>
      <c r="E30" s="76">
        <f ca="1">OFFSET('24'!$E$66,$A$3,0)</f>
        <v>11592282</v>
      </c>
      <c r="F30" s="144">
        <f ca="1">OFFSET('24'!$F$66,$A$3,0)</f>
        <v>3.58</v>
      </c>
      <c r="G30" s="76">
        <f ca="1">IFERROR('24'!$F$100*'Discipline Analysis'!$B30,"")</f>
        <v>1003581.6</v>
      </c>
      <c r="H30" s="144">
        <f>'24'!$F$100</f>
        <v>0.31</v>
      </c>
      <c r="I30" s="76">
        <f ca="1">IFERROR('24'!$F$98*'Discipline Analysis'!$B30,"")</f>
        <v>4694172</v>
      </c>
      <c r="J30" s="144">
        <f>'24'!$F$98</f>
        <v>1.45</v>
      </c>
      <c r="K30" s="76">
        <f ca="1">IFERROR('24'!$F$99*'Discipline Analysis'!$B30,"")</f>
        <v>2687008.8</v>
      </c>
      <c r="L30" s="144">
        <f>'24'!$F$99</f>
        <v>0.83</v>
      </c>
      <c r="M30" s="76">
        <f ca="1">OFFSET('24'!$E$35,$A$3,0)</f>
        <v>1397202</v>
      </c>
      <c r="N30" s="144">
        <f ca="1">OFFSET('24'!$F$35,$A$3,0)</f>
        <v>0.43</v>
      </c>
      <c r="O30" s="76">
        <f ca="1">IFERROR('24'!$F$101*'Discipline Analysis'!$B30,"")</f>
        <v>809340</v>
      </c>
      <c r="P30" s="144">
        <f>'24'!$F$101</f>
        <v>0.25</v>
      </c>
      <c r="Q30" s="76" t="str">
        <f ca="1">IFERROR('24'!$F$102*'Discipline Analysis'!$B30,"")</f>
        <v/>
      </c>
      <c r="R30" s="144" t="str">
        <f>'24'!$F$102</f>
        <v/>
      </c>
      <c r="S30" s="76" t="str">
        <f ca="1">IFERROR('24'!$F$103*'Discipline Analysis'!$B30,"")</f>
        <v/>
      </c>
      <c r="T30" s="144" t="str">
        <f>'24'!$F$103</f>
        <v/>
      </c>
      <c r="U30" s="76">
        <f ca="1">IFERROR('24'!$F$104*'Discipline Analysis'!$B30,"")</f>
        <v>2589888</v>
      </c>
      <c r="V30" s="149">
        <f>'24'!$F$104</f>
        <v>0.8</v>
      </c>
      <c r="X30" s="75" t="s">
        <v>25</v>
      </c>
    </row>
    <row r="31" spans="1:24" x14ac:dyDescent="0.2">
      <c r="A31" s="93" t="s">
        <v>1050</v>
      </c>
      <c r="B31" s="84">
        <f ca="1">OFFSET('25'!$D$4,$A$3,0)</f>
        <v>2907731</v>
      </c>
      <c r="C31" s="76">
        <f ca="1">OFFSET('25'!$E$4,$A$3,0)</f>
        <v>22440330</v>
      </c>
      <c r="D31" s="144">
        <f ca="1">OFFSET('25'!$F$4,$A$3,0)</f>
        <v>7.72</v>
      </c>
      <c r="E31" s="76">
        <f ca="1">OFFSET('25'!$E$66,$A$3,0)</f>
        <v>10648895</v>
      </c>
      <c r="F31" s="144">
        <f ca="1">OFFSET('25'!$F$66,$A$3,0)</f>
        <v>3.66</v>
      </c>
      <c r="G31" s="76">
        <f ca="1">IFERROR('25'!$F$100*'Discipline Analysis'!$B31,"")</f>
        <v>668778.13</v>
      </c>
      <c r="H31" s="144">
        <f>'25'!$F$100</f>
        <v>0.23</v>
      </c>
      <c r="I31" s="76">
        <f ca="1">IFERROR('25'!$F$98*'Discipline Analysis'!$B31,"")</f>
        <v>5117606.5599999996</v>
      </c>
      <c r="J31" s="144">
        <f>'25'!$F$98</f>
        <v>1.76</v>
      </c>
      <c r="K31" s="76">
        <f ca="1">IFERROR('25'!$F$99*'Discipline Analysis'!$B31,"")</f>
        <v>1453865.5</v>
      </c>
      <c r="L31" s="144">
        <f>'25'!$F$99</f>
        <v>0.5</v>
      </c>
      <c r="M31" s="76">
        <f ca="1">OFFSET('25'!$E$35,$A$3,0)</f>
        <v>1372191</v>
      </c>
      <c r="N31" s="144">
        <f ca="1">OFFSET('25'!$F$35,$A$3,0)</f>
        <v>0.47</v>
      </c>
      <c r="O31" s="76">
        <f ca="1">IFERROR('25'!$F$101*'Discipline Analysis'!$B31,"")</f>
        <v>1221247.02</v>
      </c>
      <c r="P31" s="144">
        <f>'25'!$F$101</f>
        <v>0.42</v>
      </c>
      <c r="Q31" s="76" t="str">
        <f ca="1">IFERROR('25'!$F$102*'Discipline Analysis'!$B31,"")</f>
        <v/>
      </c>
      <c r="R31" s="144" t="str">
        <f>'25'!$F$102</f>
        <v/>
      </c>
      <c r="S31" s="76" t="str">
        <f ca="1">IFERROR('25'!$F$103*'Discipline Analysis'!$B31,"")</f>
        <v/>
      </c>
      <c r="T31" s="144" t="str">
        <f>'25'!$F$103</f>
        <v/>
      </c>
      <c r="U31" s="76">
        <f ca="1">IFERROR('25'!$F$104*'Discipline Analysis'!$B31,"")</f>
        <v>1948179.77</v>
      </c>
      <c r="V31" s="149">
        <f>'25'!$F$104</f>
        <v>0.67</v>
      </c>
      <c r="X31" s="75" t="s">
        <v>948</v>
      </c>
    </row>
    <row r="32" spans="1:24" x14ac:dyDescent="0.2">
      <c r="A32" s="92" t="s">
        <v>1051</v>
      </c>
      <c r="B32" s="84">
        <f ca="1">OFFSET('26'!$D$4,$A$3,0)</f>
        <v>13273833</v>
      </c>
      <c r="C32" s="76">
        <f ca="1">OFFSET('26'!$E$4,$A$3,0)</f>
        <v>95199422</v>
      </c>
      <c r="D32" s="144">
        <f ca="1">OFFSET('26'!$F$4,$A$3,0)</f>
        <v>7.17</v>
      </c>
      <c r="E32" s="76">
        <f ca="1">OFFSET('26'!$E$66,$A$3,0)</f>
        <v>39479297</v>
      </c>
      <c r="F32" s="144">
        <f ca="1">OFFSET('26'!$F$66,$A$3,0)</f>
        <v>2.97</v>
      </c>
      <c r="G32" s="76">
        <f ca="1">IFERROR('26'!$F$100*'Discipline Analysis'!$B32,"")</f>
        <v>4645841.55</v>
      </c>
      <c r="H32" s="144">
        <f>'26'!$F$100</f>
        <v>0.35</v>
      </c>
      <c r="I32" s="76">
        <f ca="1">IFERROR('26'!$F$98*'Discipline Analysis'!$B32,"")</f>
        <v>15795861.27</v>
      </c>
      <c r="J32" s="144">
        <f>'26'!$F$98</f>
        <v>1.19</v>
      </c>
      <c r="K32" s="76">
        <f ca="1">IFERROR('26'!$F$99*'Discipline Analysis'!$B32,"")</f>
        <v>9822636.4199999999</v>
      </c>
      <c r="L32" s="144">
        <f>'26'!$F$99</f>
        <v>0.74</v>
      </c>
      <c r="M32" s="76">
        <f ca="1">OFFSET('26'!$E$35,$A$3,0)</f>
        <v>10408643</v>
      </c>
      <c r="N32" s="144">
        <f ca="1">OFFSET('26'!$F$35,$A$3,0)</f>
        <v>0.78</v>
      </c>
      <c r="O32" s="76">
        <f ca="1">IFERROR('26'!$F$101*'Discipline Analysis'!$B32,"")</f>
        <v>10619066.4</v>
      </c>
      <c r="P32" s="144">
        <f>'26'!$F$101</f>
        <v>0.8</v>
      </c>
      <c r="Q32" s="76" t="str">
        <f ca="1">IFERROR('26'!$F$102*'Discipline Analysis'!$B32,"")</f>
        <v/>
      </c>
      <c r="R32" s="144" t="str">
        <f>'26'!$F$102</f>
        <v/>
      </c>
      <c r="S32" s="76" t="str">
        <f ca="1">IFERROR('26'!$F$103*'Discipline Analysis'!$B32,"")</f>
        <v/>
      </c>
      <c r="T32" s="144" t="str">
        <f>'26'!$F$103</f>
        <v/>
      </c>
      <c r="U32" s="76">
        <f ca="1">IFERROR('26'!$F$104*'Discipline Analysis'!$B32,"")</f>
        <v>4380364.8900000006</v>
      </c>
      <c r="V32" s="149">
        <f>'26'!$F$104</f>
        <v>0.33</v>
      </c>
    </row>
    <row r="33" spans="1:22" x14ac:dyDescent="0.2">
      <c r="A33" s="93" t="s">
        <v>1030</v>
      </c>
      <c r="B33" s="84">
        <f ca="1">OFFSET('27'!$D$4,$A$3,0)</f>
        <v>3565950</v>
      </c>
      <c r="C33" s="76">
        <f ca="1">OFFSET('27'!$E$4,$A$3,0)</f>
        <v>21526572.999999993</v>
      </c>
      <c r="D33" s="144">
        <f ca="1">OFFSET('27'!$F$4,$A$3,0)</f>
        <v>6.04</v>
      </c>
      <c r="E33" s="76">
        <f ca="1">OFFSET('27'!$E$66,$A$3,0)</f>
        <v>10277429</v>
      </c>
      <c r="F33" s="144">
        <f ca="1">OFFSET('27'!$F$66,$A$3,0)</f>
        <v>2.88</v>
      </c>
      <c r="G33" s="76">
        <f ca="1">IFERROR('27'!$F$100*'Discipline Analysis'!$B33,"")</f>
        <v>1069785</v>
      </c>
      <c r="H33" s="144">
        <f>'27'!$F$100</f>
        <v>0.3</v>
      </c>
      <c r="I33" s="76">
        <f ca="1">IFERROR('27'!$F$98*'Discipline Analysis'!$B33,"")</f>
        <v>4564416</v>
      </c>
      <c r="J33" s="144">
        <f>'27'!$F$98</f>
        <v>1.28</v>
      </c>
      <c r="K33" s="76">
        <f ca="1">IFERROR('27'!$F$99*'Discipline Analysis'!$B33,"")</f>
        <v>1533358.5</v>
      </c>
      <c r="L33" s="144">
        <f>'27'!$F$99</f>
        <v>0.43</v>
      </c>
      <c r="M33" s="76">
        <f ca="1">OFFSET('27'!$E$35,$A$3,0)</f>
        <v>2816752</v>
      </c>
      <c r="N33" s="144">
        <f ca="1">OFFSET('27'!$F$35,$A$3,0)</f>
        <v>0.79</v>
      </c>
      <c r="O33" s="76">
        <f ca="1">IFERROR('27'!$F$101*'Discipline Analysis'!$B33,"")</f>
        <v>499233.00000000006</v>
      </c>
      <c r="P33" s="144">
        <f>'27'!$F$101</f>
        <v>0.14000000000000001</v>
      </c>
      <c r="Q33" s="76" t="str">
        <f ca="1">IFERROR('27'!$F$102*'Discipline Analysis'!$B33,"")</f>
        <v/>
      </c>
      <c r="R33" s="144" t="str">
        <f>'27'!$F$102</f>
        <v/>
      </c>
      <c r="S33" s="76" t="str">
        <f ca="1">IFERROR('27'!$F$103*'Discipline Analysis'!$B33,"")</f>
        <v/>
      </c>
      <c r="T33" s="144" t="str">
        <f>'27'!$F$103</f>
        <v/>
      </c>
      <c r="U33" s="76">
        <f ca="1">IFERROR('27'!$F$104*'Discipline Analysis'!$B33,"")</f>
        <v>784509</v>
      </c>
      <c r="V33" s="149">
        <f>'27'!$F$104</f>
        <v>0.22</v>
      </c>
    </row>
    <row r="34" spans="1:22" x14ac:dyDescent="0.2">
      <c r="A34" s="93" t="s">
        <v>1052</v>
      </c>
      <c r="B34" s="84">
        <f ca="1">OFFSET('28'!$D$4,$A$3,0)</f>
        <v>2388257</v>
      </c>
      <c r="C34" s="76">
        <f ca="1">OFFSET('28'!$E$4,$A$3,0)</f>
        <v>18714675</v>
      </c>
      <c r="D34" s="144">
        <f ca="1">OFFSET('28'!$F$4,$A$3,0)</f>
        <v>7.84</v>
      </c>
      <c r="E34" s="76">
        <f ca="1">OFFSET('28'!$E$66,$A$3,0)</f>
        <v>7790777</v>
      </c>
      <c r="F34" s="144">
        <f ca="1">OFFSET('28'!$F$66,$A$3,0)</f>
        <v>3.26</v>
      </c>
      <c r="G34" s="76">
        <f ca="1">IFERROR('28'!$F$100*'Discipline Analysis'!$B34,"")</f>
        <v>453768.83</v>
      </c>
      <c r="H34" s="144">
        <f>'28'!$F$100</f>
        <v>0.19</v>
      </c>
      <c r="I34" s="76">
        <f ca="1">IFERROR('28'!$F$98*'Discipline Analysis'!$B34,"")</f>
        <v>2674847.8400000003</v>
      </c>
      <c r="J34" s="144">
        <f>'28'!$F$98</f>
        <v>1.1200000000000001</v>
      </c>
      <c r="K34" s="76">
        <f ca="1">IFERROR('28'!$F$99*'Discipline Analysis'!$B34,"")</f>
        <v>1432954.2</v>
      </c>
      <c r="L34" s="144">
        <f>'28'!$F$99</f>
        <v>0.6</v>
      </c>
      <c r="M34" s="76">
        <f ca="1">OFFSET('28'!$E$35,$A$3,0)</f>
        <v>1768990</v>
      </c>
      <c r="N34" s="144">
        <f ca="1">OFFSET('28'!$F$35,$A$3,0)</f>
        <v>0.74</v>
      </c>
      <c r="O34" s="76">
        <f ca="1">IFERROR('28'!$F$101*'Discipline Analysis'!$B34,"")</f>
        <v>2603200.1300000004</v>
      </c>
      <c r="P34" s="144">
        <f>'28'!$F$101</f>
        <v>1.0900000000000001</v>
      </c>
      <c r="Q34" s="76">
        <f ca="1">IFERROR('28'!$F$102*'Discipline Analysis'!$B34,"")</f>
        <v>286590.83999999997</v>
      </c>
      <c r="R34" s="144">
        <f>'28'!$F$102</f>
        <v>0.12</v>
      </c>
      <c r="S34" s="76" t="str">
        <f ca="1">IFERROR('28'!$F$103*'Discipline Analysis'!$B34,"")</f>
        <v/>
      </c>
      <c r="T34" s="144" t="str">
        <f>'28'!$F$103</f>
        <v/>
      </c>
      <c r="U34" s="76">
        <f ca="1">IFERROR('28'!$F$104*'Discipline Analysis'!$B34,"")</f>
        <v>1719545.04</v>
      </c>
      <c r="V34" s="149">
        <f>'28'!$F$104</f>
        <v>0.72</v>
      </c>
    </row>
    <row r="35" spans="1:22" x14ac:dyDescent="0.2">
      <c r="A35" s="93" t="s">
        <v>1053</v>
      </c>
      <c r="B35" s="84">
        <f ca="1">OFFSET('29'!$D$4,$A$3,0)</f>
        <v>2757812</v>
      </c>
      <c r="C35" s="76">
        <f ca="1">OFFSET('29'!$E$4,$A$3,0)</f>
        <v>13432087.999999996</v>
      </c>
      <c r="D35" s="144">
        <f ca="1">OFFSET('29'!$F$4,$A$3,0)</f>
        <v>4.87</v>
      </c>
      <c r="E35" s="76">
        <f ca="1">OFFSET('29'!$E$66,$A$3,0)</f>
        <v>6627612</v>
      </c>
      <c r="F35" s="144">
        <f ca="1">OFFSET('29'!$F$66,$A$3,0)</f>
        <v>2.4</v>
      </c>
      <c r="G35" s="76">
        <f ca="1">IFERROR('29'!$F$100*'Discipline Analysis'!$B35,"")</f>
        <v>413671.8</v>
      </c>
      <c r="H35" s="144">
        <f>'29'!$F$100</f>
        <v>0.15</v>
      </c>
      <c r="I35" s="76">
        <f ca="1">IFERROR('29'!$F$98*'Discipline Analysis'!$B35,"")</f>
        <v>2151093.36</v>
      </c>
      <c r="J35" s="144">
        <f>'29'!$F$98</f>
        <v>0.78</v>
      </c>
      <c r="K35" s="76">
        <f ca="1">IFERROR('29'!$F$99*'Discipline Analysis'!$B35,"")</f>
        <v>1406484.12</v>
      </c>
      <c r="L35" s="144">
        <f>'29'!$F$99</f>
        <v>0.51</v>
      </c>
      <c r="M35" s="76">
        <f ca="1">OFFSET('29'!$E$35,$A$3,0)</f>
        <v>539461</v>
      </c>
      <c r="N35" s="144">
        <f ca="1">OFFSET('29'!$F$35,$A$3,0)</f>
        <v>0.2</v>
      </c>
      <c r="O35" s="76">
        <f ca="1">IFERROR('29'!$F$101*'Discipline Analysis'!$B35,"")</f>
        <v>1075546.68</v>
      </c>
      <c r="P35" s="144">
        <f>'29'!$F$101</f>
        <v>0.39</v>
      </c>
      <c r="Q35" s="76">
        <f ca="1">IFERROR('29'!$F$102*'Discipline Analysis'!$B35,"")</f>
        <v>193046.84000000003</v>
      </c>
      <c r="R35" s="144">
        <f>'29'!$F$102</f>
        <v>7.0000000000000007E-2</v>
      </c>
      <c r="S35" s="76" t="str">
        <f ca="1">IFERROR('29'!$F$103*'Discipline Analysis'!$B35,"")</f>
        <v/>
      </c>
      <c r="T35" s="144" t="str">
        <f>'29'!$F$103</f>
        <v/>
      </c>
      <c r="U35" s="76">
        <f ca="1">IFERROR('29'!$F$104*'Discipline Analysis'!$B35,"")</f>
        <v>1020390.44</v>
      </c>
      <c r="V35" s="149">
        <f>'29'!$F$104</f>
        <v>0.37</v>
      </c>
    </row>
    <row r="36" spans="1:22" x14ac:dyDescent="0.2">
      <c r="A36" s="93" t="s">
        <v>1054</v>
      </c>
      <c r="B36" s="84">
        <f ca="1">OFFSET('30'!$D$4,$A$3,0)</f>
        <v>2350358</v>
      </c>
      <c r="C36" s="76">
        <f ca="1">OFFSET('30'!$E$4,$A$3,0)</f>
        <v>10944802.000000002</v>
      </c>
      <c r="D36" s="144">
        <f ca="1">OFFSET('30'!$F$4,$A$3,0)</f>
        <v>4.66</v>
      </c>
      <c r="E36" s="76">
        <f ca="1">OFFSET('30'!$E$66,$A$3,0)</f>
        <v>5342498</v>
      </c>
      <c r="F36" s="144">
        <f ca="1">OFFSET('30'!$F$66,$A$3,0)</f>
        <v>2.27</v>
      </c>
      <c r="G36" s="76">
        <f ca="1">IFERROR('30'!$F$100*'Discipline Analysis'!$B36,"")</f>
        <v>399560.86000000004</v>
      </c>
      <c r="H36" s="144">
        <f>'30'!$F$100</f>
        <v>0.17</v>
      </c>
      <c r="I36" s="76">
        <f ca="1">IFERROR('30'!$F$98*'Discipline Analysis'!$B36,"")</f>
        <v>1715761.3399999999</v>
      </c>
      <c r="J36" s="144">
        <f>'30'!$F$98</f>
        <v>0.73</v>
      </c>
      <c r="K36" s="76">
        <f ca="1">IFERROR('30'!$F$99*'Discipline Analysis'!$B36,"")</f>
        <v>869632.46</v>
      </c>
      <c r="L36" s="144">
        <f>'30'!$F$99</f>
        <v>0.37</v>
      </c>
      <c r="M36" s="76">
        <f ca="1">OFFSET('30'!$E$35,$A$3,0)</f>
        <v>1044429</v>
      </c>
      <c r="N36" s="144">
        <f ca="1">OFFSET('30'!$F$35,$A$3,0)</f>
        <v>0.44</v>
      </c>
      <c r="O36" s="76">
        <f ca="1">IFERROR('30'!$F$101*'Discipline Analysis'!$B36,"")</f>
        <v>1034157.52</v>
      </c>
      <c r="P36" s="144">
        <f>'30'!$F$101</f>
        <v>0.44</v>
      </c>
      <c r="Q36" s="76" t="str">
        <f ca="1">IFERROR('30'!$F$102*'Discipline Analysis'!$B36,"")</f>
        <v/>
      </c>
      <c r="R36" s="144" t="str">
        <f>'30'!$F$102</f>
        <v/>
      </c>
      <c r="S36" s="76" t="str">
        <f ca="1">IFERROR('30'!$F$103*'Discipline Analysis'!$B36,"")</f>
        <v/>
      </c>
      <c r="T36" s="144" t="str">
        <f>'30'!$F$103</f>
        <v/>
      </c>
      <c r="U36" s="76">
        <f ca="1">IFERROR('30'!$F$104*'Discipline Analysis'!$B36,"")</f>
        <v>540582.34</v>
      </c>
      <c r="V36" s="149">
        <f>'30'!$F$104</f>
        <v>0.23</v>
      </c>
    </row>
    <row r="37" spans="1:22" x14ac:dyDescent="0.2">
      <c r="A37" s="93" t="s">
        <v>1031</v>
      </c>
      <c r="B37" s="84">
        <f ca="1">OFFSET('31'!$D$4,$A$3,0)</f>
        <v>1105856</v>
      </c>
      <c r="C37" s="76">
        <f ca="1">OFFSET('31'!$E$4,$A$3,0)</f>
        <v>7044285</v>
      </c>
      <c r="D37" s="144">
        <f ca="1">OFFSET('31'!$F$4,$A$3,0)</f>
        <v>6.37</v>
      </c>
      <c r="E37" s="76">
        <f ca="1">OFFSET('31'!$E$66,$A$3,0)</f>
        <v>3643005</v>
      </c>
      <c r="F37" s="144">
        <f ca="1">OFFSET('31'!$F$66,$A$3,0)</f>
        <v>3.29</v>
      </c>
      <c r="G37" s="76">
        <f ca="1">IFERROR('31'!$F$100*'Discipline Analysis'!$B37,"")</f>
        <v>254346.88</v>
      </c>
      <c r="H37" s="144">
        <f>'31'!$F$100</f>
        <v>0.23</v>
      </c>
      <c r="I37" s="76">
        <f ca="1">IFERROR('31'!$F$98*'Discipline Analysis'!$B37,"")</f>
        <v>1703018.24</v>
      </c>
      <c r="J37" s="144">
        <f>'31'!$F$98</f>
        <v>1.54</v>
      </c>
      <c r="K37" s="76">
        <f ca="1">IFERROR('31'!$F$99*'Discipline Analysis'!$B37,"")</f>
        <v>486576.64000000001</v>
      </c>
      <c r="L37" s="144">
        <f>'31'!$F$99</f>
        <v>0.44</v>
      </c>
      <c r="M37" s="76">
        <f ca="1">OFFSET('31'!$E$35,$A$3,0)</f>
        <v>387304</v>
      </c>
      <c r="N37" s="144">
        <f ca="1">OFFSET('31'!$F$35,$A$3,0)</f>
        <v>0.35</v>
      </c>
      <c r="O37" s="76">
        <f ca="1">IFERROR('31'!$F$101*'Discipline Analysis'!$B37,"")</f>
        <v>210112.64000000001</v>
      </c>
      <c r="P37" s="144">
        <f>'31'!$F$101</f>
        <v>0.19</v>
      </c>
      <c r="Q37" s="76">
        <f ca="1">IFERROR('31'!$F$102*'Discipline Analysis'!$B37,"")</f>
        <v>66351.360000000001</v>
      </c>
      <c r="R37" s="144">
        <f>'31'!$F$102</f>
        <v>0.06</v>
      </c>
      <c r="S37" s="76" t="str">
        <f ca="1">IFERROR('31'!$F$103*'Discipline Analysis'!$B37,"")</f>
        <v/>
      </c>
      <c r="T37" s="144" t="str">
        <f>'31'!$F$103</f>
        <v/>
      </c>
      <c r="U37" s="76">
        <f ca="1">IFERROR('31'!$F$104*'Discipline Analysis'!$B37,"")</f>
        <v>287522.56</v>
      </c>
      <c r="V37" s="149">
        <f>'31'!$F$104</f>
        <v>0.26</v>
      </c>
    </row>
    <row r="38" spans="1:22" x14ac:dyDescent="0.2">
      <c r="A38" s="93" t="s">
        <v>1055</v>
      </c>
      <c r="B38" s="84">
        <f ca="1">OFFSET('32'!$D$4,$A$3,0)</f>
        <v>2575268</v>
      </c>
      <c r="C38" s="76">
        <f ca="1">OFFSET('32'!$E$4,$A$3,0)</f>
        <v>15638498.000000002</v>
      </c>
      <c r="D38" s="144">
        <f ca="1">OFFSET('32'!$F$4,$A$3,0)</f>
        <v>6.07</v>
      </c>
      <c r="E38" s="76">
        <f ca="1">OFFSET('32'!$E$66,$A$3,0)</f>
        <v>7230448</v>
      </c>
      <c r="F38" s="144">
        <f ca="1">OFFSET('32'!$F$66,$A$3,0)</f>
        <v>2.81</v>
      </c>
      <c r="G38" s="76">
        <f ca="1">IFERROR('32'!$F$100*'Discipline Analysis'!$B38,"")</f>
        <v>489300.92</v>
      </c>
      <c r="H38" s="144">
        <f>'32'!$F$100</f>
        <v>0.19</v>
      </c>
      <c r="I38" s="76">
        <f ca="1">IFERROR('32'!$F$98*'Discipline Analysis'!$B38,"")</f>
        <v>2472257.2799999998</v>
      </c>
      <c r="J38" s="144">
        <f>'32'!$F$98</f>
        <v>0.96</v>
      </c>
      <c r="K38" s="76">
        <f ca="1">IFERROR('32'!$F$99*'Discipline Analysis'!$B38,"")</f>
        <v>1313386.68</v>
      </c>
      <c r="L38" s="144">
        <f>'32'!$F$99</f>
        <v>0.51</v>
      </c>
      <c r="M38" s="76">
        <f ca="1">OFFSET('32'!$E$35,$A$3,0)</f>
        <v>1348623</v>
      </c>
      <c r="N38" s="144">
        <f ca="1">OFFSET('32'!$F$35,$A$3,0)</f>
        <v>0.52</v>
      </c>
      <c r="O38" s="76">
        <f ca="1">IFERROR('32'!$F$101*'Discipline Analysis'!$B38,"")</f>
        <v>1210375.96</v>
      </c>
      <c r="P38" s="144">
        <f>'32'!$F$101</f>
        <v>0.47</v>
      </c>
      <c r="Q38" s="76">
        <f ca="1">IFERROR('32'!$F$102*'Discipline Analysis'!$B38,"")</f>
        <v>334784.84000000003</v>
      </c>
      <c r="R38" s="144">
        <f>'32'!$F$102</f>
        <v>0.13</v>
      </c>
      <c r="S38" s="76" t="str">
        <f ca="1">IFERROR('32'!$F$103*'Discipline Analysis'!$B38,"")</f>
        <v/>
      </c>
      <c r="T38" s="144" t="str">
        <f>'32'!$F$103</f>
        <v/>
      </c>
      <c r="U38" s="76">
        <f ca="1">IFERROR('32'!$F$104*'Discipline Analysis'!$B38,"")</f>
        <v>1236128.6399999999</v>
      </c>
      <c r="V38" s="149">
        <f>'32'!$F$104</f>
        <v>0.48</v>
      </c>
    </row>
    <row r="39" spans="1:22" x14ac:dyDescent="0.2">
      <c r="A39" s="93" t="s">
        <v>1056</v>
      </c>
      <c r="B39" s="84">
        <f ca="1">OFFSET('33'!$D$4,$A$3,0)</f>
        <v>954745</v>
      </c>
      <c r="C39" s="76">
        <f ca="1">OFFSET('33'!$E$4,$A$3,0)</f>
        <v>7648703</v>
      </c>
      <c r="D39" s="144">
        <f ca="1">OFFSET('33'!$F$4,$A$3,0)</f>
        <v>8.01</v>
      </c>
      <c r="E39" s="76">
        <f ca="1">OFFSET('33'!$E$66,$A$3,0)</f>
        <v>3211587</v>
      </c>
      <c r="F39" s="144">
        <f ca="1">OFFSET('33'!$F$66,$A$3,0)</f>
        <v>3.36</v>
      </c>
      <c r="G39" s="76">
        <f ca="1">IFERROR('33'!$F$100*'Discipline Analysis'!$B39,"")</f>
        <v>324613.30000000005</v>
      </c>
      <c r="H39" s="144">
        <f>'33'!$F$100</f>
        <v>0.34</v>
      </c>
      <c r="I39" s="76">
        <f ca="1">IFERROR('33'!$F$98*'Discipline Analysis'!$B39,"")</f>
        <v>1384380.25</v>
      </c>
      <c r="J39" s="144">
        <f>'33'!$F$98</f>
        <v>1.45</v>
      </c>
      <c r="K39" s="76">
        <f ca="1">IFERROR('33'!$F$99*'Discipline Analysis'!$B39,"")</f>
        <v>553752.1</v>
      </c>
      <c r="L39" s="144">
        <f>'33'!$F$99</f>
        <v>0.57999999999999996</v>
      </c>
      <c r="M39" s="76">
        <f ca="1">OFFSET('33'!$E$35,$A$3,0)</f>
        <v>847391</v>
      </c>
      <c r="N39" s="144">
        <f ca="1">OFFSET('33'!$F$35,$A$3,0)</f>
        <v>0.89</v>
      </c>
      <c r="O39" s="76">
        <f ca="1">IFERROR('33'!$F$101*'Discipline Analysis'!$B39,"")</f>
        <v>696963.85</v>
      </c>
      <c r="P39" s="144">
        <f>'33'!$F$101</f>
        <v>0.73</v>
      </c>
      <c r="Q39" s="76" t="str">
        <f ca="1">IFERROR('33'!$F$102*'Discipline Analysis'!$B39,"")</f>
        <v/>
      </c>
      <c r="R39" s="144" t="str">
        <f>'33'!$F$102</f>
        <v/>
      </c>
      <c r="S39" s="76" t="str">
        <f ca="1">IFERROR('33'!$F$103*'Discipline Analysis'!$B39,"")</f>
        <v/>
      </c>
      <c r="T39" s="144" t="str">
        <f>'33'!$F$103</f>
        <v/>
      </c>
      <c r="U39" s="76">
        <f ca="1">IFERROR('33'!$F$104*'Discipline Analysis'!$B39,"")</f>
        <v>630131.70000000007</v>
      </c>
      <c r="V39" s="149">
        <f>'33'!$F$104</f>
        <v>0.66</v>
      </c>
    </row>
    <row r="40" spans="1:22" x14ac:dyDescent="0.2">
      <c r="A40" s="93" t="s">
        <v>1034</v>
      </c>
      <c r="B40" s="84">
        <f ca="1">OFFSET('34'!$D$4,$A$3,0)</f>
        <v>2170679</v>
      </c>
      <c r="C40" s="76">
        <f ca="1">OFFSET('34'!$E$4,$A$3,0)</f>
        <v>13377921.000000002</v>
      </c>
      <c r="D40" s="144">
        <f ca="1">OFFSET('34'!$F$4,$A$3,0)</f>
        <v>6.16</v>
      </c>
      <c r="E40" s="76">
        <f ca="1">OFFSET('34'!$E$66,$A$3,0)</f>
        <v>3841278</v>
      </c>
      <c r="F40" s="144">
        <f ca="1">OFFSET('34'!$F$66,$A$3,0)</f>
        <v>1.77</v>
      </c>
      <c r="G40" s="76">
        <f ca="1">IFERROR('34'!$F$100*'Discipline Analysis'!$B40,"")</f>
        <v>412429.01</v>
      </c>
      <c r="H40" s="144">
        <f>'34'!$F$100</f>
        <v>0.19</v>
      </c>
      <c r="I40" s="76">
        <f ca="1">IFERROR('34'!$F$98*'Discipline Analysis'!$B40,"")</f>
        <v>4862320.9600000009</v>
      </c>
      <c r="J40" s="144">
        <f>'34'!$F$98</f>
        <v>2.2400000000000002</v>
      </c>
      <c r="K40" s="76">
        <f ca="1">IFERROR('34'!$F$99*'Discipline Analysis'!$B40,"")</f>
        <v>672910.49</v>
      </c>
      <c r="L40" s="144">
        <f>'34'!$F$99</f>
        <v>0.31</v>
      </c>
      <c r="M40" s="76">
        <f ca="1">OFFSET('34'!$E$35,$A$3,0)</f>
        <v>2138681</v>
      </c>
      <c r="N40" s="144">
        <f ca="1">OFFSET('34'!$F$35,$A$3,0)</f>
        <v>0.99</v>
      </c>
      <c r="O40" s="76">
        <f ca="1">IFERROR('34'!$F$101*'Discipline Analysis'!$B40,"")</f>
        <v>520962.95999999996</v>
      </c>
      <c r="P40" s="144">
        <f>'34'!$F$101</f>
        <v>0.24</v>
      </c>
      <c r="Q40" s="76">
        <f ca="1">IFERROR('34'!$F$102*'Discipline Analysis'!$B40,"")</f>
        <v>21706.79</v>
      </c>
      <c r="R40" s="144">
        <f>'34'!$F$102</f>
        <v>0.01</v>
      </c>
      <c r="S40" s="76" t="str">
        <f ca="1">IFERROR('34'!$F$103*'Discipline Analysis'!$B40,"")</f>
        <v/>
      </c>
      <c r="T40" s="144" t="str">
        <f>'34'!$F$103</f>
        <v/>
      </c>
      <c r="U40" s="76">
        <f ca="1">IFERROR('34'!$F$104*'Discipline Analysis'!$B40,"")</f>
        <v>889978.3899999999</v>
      </c>
      <c r="V40" s="149">
        <f>'34'!$F$104</f>
        <v>0.41</v>
      </c>
    </row>
    <row r="41" spans="1:22" x14ac:dyDescent="0.2">
      <c r="A41" s="93" t="s">
        <v>1057</v>
      </c>
      <c r="B41" s="84">
        <f ca="1">OFFSET('35'!$D$4,$A$3,0)</f>
        <v>458984</v>
      </c>
      <c r="C41" s="76">
        <f ca="1">OFFSET('35'!$E$4,$A$3,0)</f>
        <v>2698348</v>
      </c>
      <c r="D41" s="144">
        <f ca="1">OFFSET('35'!$F$4,$A$3,0)</f>
        <v>5.88</v>
      </c>
      <c r="E41" s="76">
        <f ca="1">OFFSET('35'!$E$66,$A$3,0)</f>
        <v>1268593</v>
      </c>
      <c r="F41" s="144">
        <f ca="1">OFFSET('35'!$F$66,$A$3,0)</f>
        <v>2.76</v>
      </c>
      <c r="G41" s="76">
        <f ca="1">IFERROR('35'!$F$100*'Discipline Analysis'!$B41,"")</f>
        <v>91796.800000000003</v>
      </c>
      <c r="H41" s="144">
        <f>'35'!$F$100</f>
        <v>0.2</v>
      </c>
      <c r="I41" s="76">
        <f ca="1">IFERROR('35'!$F$98*'Discipline Analysis'!$B41,"")</f>
        <v>803222</v>
      </c>
      <c r="J41" s="144">
        <f>'35'!$F$98</f>
        <v>1.75</v>
      </c>
      <c r="K41" s="76">
        <f ca="1">IFERROR('35'!$F$99*'Discipline Analysis'!$B41,"")</f>
        <v>266210.71999999997</v>
      </c>
      <c r="L41" s="144">
        <f>'35'!$F$99</f>
        <v>0.57999999999999996</v>
      </c>
      <c r="M41" s="76">
        <f ca="1">OFFSET('35'!$E$35,$A$3,0)</f>
        <v>137948</v>
      </c>
      <c r="N41" s="144">
        <f ca="1">OFFSET('35'!$F$35,$A$3,0)</f>
        <v>0.3</v>
      </c>
      <c r="O41" s="76">
        <f ca="1">IFERROR('35'!$F$101*'Discipline Analysis'!$B41,"")</f>
        <v>133105.35999999999</v>
      </c>
      <c r="P41" s="144">
        <f>'35'!$F$101</f>
        <v>0.28999999999999998</v>
      </c>
      <c r="Q41" s="76" t="str">
        <f ca="1">IFERROR('35'!$F$102*'Discipline Analysis'!$B41,"")</f>
        <v/>
      </c>
      <c r="R41" s="144" t="str">
        <f>'35'!$F$102</f>
        <v/>
      </c>
      <c r="S41" s="76" t="str">
        <f ca="1">IFERROR('35'!$F$103*'Discipline Analysis'!$B41,"")</f>
        <v/>
      </c>
      <c r="T41" s="144" t="str">
        <f>'35'!$F$103</f>
        <v/>
      </c>
      <c r="U41" s="76" t="str">
        <f ca="1">IFERROR('35'!$F$104*'Discipline Analysis'!$B41,"")</f>
        <v/>
      </c>
      <c r="V41" s="149" t="str">
        <f>'35'!$F$104</f>
        <v/>
      </c>
    </row>
    <row r="42" spans="1:22" x14ac:dyDescent="0.2">
      <c r="A42" s="93" t="s">
        <v>1070</v>
      </c>
      <c r="B42" s="84">
        <f ca="1">OFFSET('36'!$D$4,$A$3,0)</f>
        <v>9944283</v>
      </c>
      <c r="C42" s="76">
        <f ca="1">OFFSET('36'!$E$4,$A$3,0)</f>
        <v>68488942</v>
      </c>
      <c r="D42" s="144">
        <f ca="1">OFFSET('36'!$F$4,$A$3,0)</f>
        <v>6.89</v>
      </c>
      <c r="E42" s="76">
        <f ca="1">OFFSET('36'!$E$66,$A$3,0)</f>
        <v>31110180</v>
      </c>
      <c r="F42" s="144">
        <f ca="1">OFFSET('36'!$F$66,$A$3,0)</f>
        <v>3.13</v>
      </c>
      <c r="G42" s="76">
        <f ca="1">IFERROR('36'!$F$100*'Discipline Analysis'!$B42,"")</f>
        <v>1988856.6</v>
      </c>
      <c r="H42" s="144">
        <f>'36'!$F$100</f>
        <v>0.2</v>
      </c>
      <c r="I42" s="76">
        <f ca="1">IFERROR('36'!$F$98*'Discipline Analysis'!$B42,"")</f>
        <v>12529796.58</v>
      </c>
      <c r="J42" s="144">
        <f>'36'!$F$98</f>
        <v>1.26</v>
      </c>
      <c r="K42" s="76">
        <f ca="1">IFERROR('36'!$F$99*'Discipline Analysis'!$B42,"")</f>
        <v>6960998.0999999996</v>
      </c>
      <c r="L42" s="144">
        <f>'36'!$F$99</f>
        <v>0.7</v>
      </c>
      <c r="M42" s="76">
        <f ca="1">OFFSET('36'!$E$35,$A$3,0)</f>
        <v>7016386</v>
      </c>
      <c r="N42" s="144">
        <f ca="1">OFFSET('36'!$F$35,$A$3,0)</f>
        <v>0.71</v>
      </c>
      <c r="O42" s="76">
        <f ca="1">IFERROR('36'!$F$101*'Discipline Analysis'!$B42,"")</f>
        <v>4176598.86</v>
      </c>
      <c r="P42" s="144">
        <f>'36'!$F$101</f>
        <v>0.42</v>
      </c>
      <c r="Q42" s="76" t="str">
        <f ca="1">IFERROR('36'!$F$102*'Discipline Analysis'!$B42,"")</f>
        <v/>
      </c>
      <c r="R42" s="144" t="str">
        <f>'36'!$F$102</f>
        <v/>
      </c>
      <c r="S42" s="76" t="str">
        <f ca="1">IFERROR('36'!$F$103*'Discipline Analysis'!$B42,"")</f>
        <v/>
      </c>
      <c r="T42" s="144" t="str">
        <f>'36'!$F$103</f>
        <v/>
      </c>
      <c r="U42" s="76">
        <f ca="1">IFERROR('36'!$F$104*'Discipline Analysis'!$B42,"")</f>
        <v>4773255.84</v>
      </c>
      <c r="V42" s="149">
        <f>'36'!$F$104</f>
        <v>0.48</v>
      </c>
    </row>
    <row r="43" spans="1:22" x14ac:dyDescent="0.2">
      <c r="A43" s="93" t="s">
        <v>1058</v>
      </c>
      <c r="B43" s="84">
        <f ca="1">OFFSET('37'!$D$4,$A$3,0)</f>
        <v>4049744</v>
      </c>
      <c r="C43" s="76">
        <f ca="1">OFFSET('37'!$E$4,$A$3,0)</f>
        <v>23387310.000000004</v>
      </c>
      <c r="D43" s="144">
        <f ca="1">OFFSET('37'!$F$4,$A$3,0)</f>
        <v>5.78</v>
      </c>
      <c r="E43" s="76">
        <f ca="1">OFFSET('37'!$E$66,$A$3,0)</f>
        <v>11883334</v>
      </c>
      <c r="F43" s="144">
        <f ca="1">OFFSET('37'!$F$66,$A$3,0)</f>
        <v>2.93</v>
      </c>
      <c r="G43" s="76">
        <f ca="1">IFERROR('37'!$F$100*'Discipline Analysis'!$B43,"")</f>
        <v>485969.27999999997</v>
      </c>
      <c r="H43" s="144">
        <f>'37'!$F$100</f>
        <v>0.12</v>
      </c>
      <c r="I43" s="76">
        <f ca="1">IFERROR('37'!$F$98*'Discipline Analysis'!$B43,"")</f>
        <v>2672831.04</v>
      </c>
      <c r="J43" s="144">
        <f>'37'!$F$98</f>
        <v>0.66</v>
      </c>
      <c r="K43" s="76">
        <f ca="1">IFERROR('37'!$F$99*'Discipline Analysis'!$B43,"")</f>
        <v>2551338.7200000002</v>
      </c>
      <c r="L43" s="144">
        <f>'37'!$F$99</f>
        <v>0.63</v>
      </c>
      <c r="M43" s="76">
        <f ca="1">OFFSET('37'!$E$35,$A$3,0)</f>
        <v>1736601</v>
      </c>
      <c r="N43" s="144">
        <f ca="1">OFFSET('37'!$F$35,$A$3,0)</f>
        <v>0.43</v>
      </c>
      <c r="O43" s="76">
        <f ca="1">IFERROR('37'!$F$101*'Discipline Analysis'!$B43,"")</f>
        <v>890943.68</v>
      </c>
      <c r="P43" s="144">
        <f>'37'!$F$101</f>
        <v>0.22</v>
      </c>
      <c r="Q43" s="76">
        <f ca="1">IFERROR('37'!$F$102*'Discipline Analysis'!$B43,"")</f>
        <v>283482.08</v>
      </c>
      <c r="R43" s="144">
        <f>'37'!$F$102</f>
        <v>7.0000000000000007E-2</v>
      </c>
      <c r="S43" s="76" t="str">
        <f ca="1">IFERROR('37'!$F$103*'Discipline Analysis'!$B43,"")</f>
        <v/>
      </c>
      <c r="T43" s="144" t="str">
        <f>'37'!$F$103</f>
        <v/>
      </c>
      <c r="U43" s="76">
        <f ca="1">IFERROR('37'!$F$104*'Discipline Analysis'!$B43,"")</f>
        <v>2834820.8</v>
      </c>
      <c r="V43" s="149">
        <f>'37'!$F$104</f>
        <v>0.7</v>
      </c>
    </row>
    <row r="44" spans="1:22" x14ac:dyDescent="0.2">
      <c r="A44" s="93" t="s">
        <v>1059</v>
      </c>
      <c r="B44" s="84">
        <f ca="1">OFFSET('38'!$D$4,$A$3,0)</f>
        <v>6168422</v>
      </c>
      <c r="C44" s="76">
        <f ca="1">OFFSET('38'!$E$4,$A$3,0)</f>
        <v>42436094.999999993</v>
      </c>
      <c r="D44" s="144">
        <f ca="1">OFFSET('38'!$F$4,$A$3,0)</f>
        <v>6.88</v>
      </c>
      <c r="E44" s="76">
        <f ca="1">OFFSET('38'!$E$66,$A$3,0)</f>
        <v>18495275</v>
      </c>
      <c r="F44" s="144">
        <f ca="1">OFFSET('38'!$F$66,$A$3,0)</f>
        <v>3</v>
      </c>
      <c r="G44" s="76">
        <f ca="1">IFERROR('38'!$F$100*'Discipline Analysis'!$B44,"")</f>
        <v>1110315.96</v>
      </c>
      <c r="H44" s="144">
        <f>'38'!$F$100</f>
        <v>0.18</v>
      </c>
      <c r="I44" s="76">
        <f ca="1">IFERROR('38'!$F$98*'Discipline Analysis'!$B44,"")</f>
        <v>9190948.7799999993</v>
      </c>
      <c r="J44" s="144">
        <f>'38'!$F$98</f>
        <v>1.49</v>
      </c>
      <c r="K44" s="76">
        <f ca="1">IFERROR('38'!$F$99*'Discipline Analysis'!$B44,"")</f>
        <v>3639368.98</v>
      </c>
      <c r="L44" s="144">
        <f>'38'!$F$99</f>
        <v>0.59</v>
      </c>
      <c r="M44" s="76">
        <f ca="1">OFFSET('38'!$E$35,$A$3,0)</f>
        <v>4208958</v>
      </c>
      <c r="N44" s="144">
        <f ca="1">OFFSET('38'!$F$35,$A$3,0)</f>
        <v>0.68</v>
      </c>
      <c r="O44" s="76">
        <f ca="1">IFERROR('38'!$F$101*'Discipline Analysis'!$B44,"")</f>
        <v>1912210.82</v>
      </c>
      <c r="P44" s="144">
        <f>'38'!$F$101</f>
        <v>0.31</v>
      </c>
      <c r="Q44" s="76" t="str">
        <f ca="1">IFERROR('38'!$F$102*'Discipline Analysis'!$B44,"")</f>
        <v/>
      </c>
      <c r="R44" s="144" t="str">
        <f>'38'!$F$102</f>
        <v/>
      </c>
      <c r="S44" s="76" t="str">
        <f ca="1">IFERROR('38'!$F$103*'Discipline Analysis'!$B44,"")</f>
        <v/>
      </c>
      <c r="T44" s="144" t="str">
        <f>'38'!$F$103</f>
        <v/>
      </c>
      <c r="U44" s="76">
        <f ca="1">IFERROR('38'!$F$104*'Discipline Analysis'!$B44,"")</f>
        <v>3947790.08</v>
      </c>
      <c r="V44" s="149">
        <f>'38'!$F$104</f>
        <v>0.64</v>
      </c>
    </row>
    <row r="45" spans="1:22" x14ac:dyDescent="0.2">
      <c r="A45" s="93" t="s">
        <v>1035</v>
      </c>
      <c r="B45" s="84">
        <f ca="1">OFFSET('39'!$D$4,$A$3,0)</f>
        <v>2018805</v>
      </c>
      <c r="C45" s="76">
        <f ca="1">OFFSET('39'!$E$4,$A$3,0)</f>
        <v>12560512</v>
      </c>
      <c r="D45" s="144">
        <f ca="1">OFFSET('39'!$F$4,$A$3,0)</f>
        <v>6.22</v>
      </c>
      <c r="E45" s="76">
        <f ca="1">OFFSET('39'!$E$66,$A$3,0)</f>
        <v>5417535</v>
      </c>
      <c r="F45" s="144">
        <f ca="1">OFFSET('39'!$F$66,$A$3,0)</f>
        <v>2.68</v>
      </c>
      <c r="G45" s="76">
        <f ca="1">IFERROR('39'!$F$100*'Discipline Analysis'!$B45,"")</f>
        <v>504701.25</v>
      </c>
      <c r="H45" s="144">
        <f>'39'!$F$100</f>
        <v>0.25</v>
      </c>
      <c r="I45" s="76">
        <f ca="1">IFERROR('39'!$F$98*'Discipline Analysis'!$B45,"")</f>
        <v>2866703.0999999996</v>
      </c>
      <c r="J45" s="144">
        <f>'39'!$F$98</f>
        <v>1.42</v>
      </c>
      <c r="K45" s="76">
        <f ca="1">IFERROR('39'!$F$99*'Discipline Analysis'!$B45,"")</f>
        <v>847898.1</v>
      </c>
      <c r="L45" s="144">
        <f>'39'!$F$99</f>
        <v>0.42</v>
      </c>
      <c r="M45" s="76">
        <f ca="1">OFFSET('39'!$E$35,$A$3,0)</f>
        <v>1473900</v>
      </c>
      <c r="N45" s="144">
        <f ca="1">OFFSET('39'!$F$35,$A$3,0)</f>
        <v>0.73</v>
      </c>
      <c r="O45" s="76">
        <f ca="1">IFERROR('39'!$F$101*'Discipline Analysis'!$B45,"")</f>
        <v>1069966.6500000001</v>
      </c>
      <c r="P45" s="144">
        <f>'39'!$F$101</f>
        <v>0.53</v>
      </c>
      <c r="Q45" s="76" t="str">
        <f ca="1">IFERROR('39'!$F$102*'Discipline Analysis'!$B45,"")</f>
        <v/>
      </c>
      <c r="R45" s="144" t="str">
        <f>'39'!$F$102</f>
        <v/>
      </c>
      <c r="S45" s="76" t="str">
        <f ca="1">IFERROR('39'!$F$103*'Discipline Analysis'!$B45,"")</f>
        <v/>
      </c>
      <c r="T45" s="144" t="str">
        <f>'39'!$F$103</f>
        <v/>
      </c>
      <c r="U45" s="76">
        <f ca="1">IFERROR('39'!$F$104*'Discipline Analysis'!$B45,"")</f>
        <v>383572.95</v>
      </c>
      <c r="V45" s="149">
        <f>'39'!$F$104</f>
        <v>0.19</v>
      </c>
    </row>
    <row r="46" spans="1:22" x14ac:dyDescent="0.2">
      <c r="A46" s="93" t="s">
        <v>1071</v>
      </c>
      <c r="B46" s="84">
        <f ca="1">OFFSET('40'!$D$4,$A$3,0)</f>
        <v>12762002</v>
      </c>
      <c r="C46" s="76">
        <f ca="1">OFFSET('40'!$E$4,$A$3,0)</f>
        <v>88881669.999999985</v>
      </c>
      <c r="D46" s="144">
        <f ca="1">OFFSET('40'!$F$4,$A$3,0)</f>
        <v>6.96</v>
      </c>
      <c r="E46" s="76">
        <f ca="1">OFFSET('40'!$E$66,$A$3,0)</f>
        <v>34433710</v>
      </c>
      <c r="F46" s="144">
        <f ca="1">OFFSET('40'!$F$66,$A$3,0)</f>
        <v>2.7</v>
      </c>
      <c r="G46" s="76">
        <f ca="1">IFERROR('40'!$F$100*'Discipline Analysis'!$B46,"")</f>
        <v>5104800.8000000007</v>
      </c>
      <c r="H46" s="144">
        <f>'40'!$F$100</f>
        <v>0.4</v>
      </c>
      <c r="I46" s="76">
        <f ca="1">IFERROR('40'!$F$98*'Discipline Analysis'!$B46,"")</f>
        <v>15059162.359999999</v>
      </c>
      <c r="J46" s="144">
        <f>'40'!$F$98</f>
        <v>1.18</v>
      </c>
      <c r="K46" s="76">
        <f ca="1">IFERROR('40'!$F$99*'Discipline Analysis'!$B46,"")</f>
        <v>9316261.459999999</v>
      </c>
      <c r="L46" s="144">
        <f>'40'!$F$99</f>
        <v>0.73</v>
      </c>
      <c r="M46" s="76">
        <f ca="1">OFFSET('40'!$E$35,$A$3,0)</f>
        <v>11489984</v>
      </c>
      <c r="N46" s="144">
        <f ca="1">OFFSET('40'!$F$35,$A$3,0)</f>
        <v>0.9</v>
      </c>
      <c r="O46" s="76">
        <f ca="1">IFERROR('40'!$F$101*'Discipline Analysis'!$B46,"")</f>
        <v>3700980.5799999996</v>
      </c>
      <c r="P46" s="144">
        <f>'40'!$F$101</f>
        <v>0.28999999999999998</v>
      </c>
      <c r="Q46" s="76" t="str">
        <f ca="1">IFERROR('40'!$F$102*'Discipline Analysis'!$B46,"")</f>
        <v/>
      </c>
      <c r="R46" s="144" t="str">
        <f>'40'!$F$102</f>
        <v/>
      </c>
      <c r="S46" s="76" t="str">
        <f ca="1">IFERROR('40'!$F$103*'Discipline Analysis'!$B46,"")</f>
        <v/>
      </c>
      <c r="T46" s="144" t="str">
        <f>'40'!$F$103</f>
        <v/>
      </c>
      <c r="U46" s="76">
        <f ca="1">IFERROR('40'!$F$104*'Discipline Analysis'!$B46,"")</f>
        <v>9826741.540000001</v>
      </c>
      <c r="V46" s="149">
        <f>'40'!$F$104</f>
        <v>0.77</v>
      </c>
    </row>
    <row r="47" spans="1:22" x14ac:dyDescent="0.2">
      <c r="A47" s="93" t="s">
        <v>1036</v>
      </c>
      <c r="B47" s="84">
        <f ca="1">OFFSET('41'!$D$4,$A$3,0)</f>
        <v>1734470</v>
      </c>
      <c r="C47" s="76">
        <f ca="1">OFFSET('41'!$E$4,$A$3,0)</f>
        <v>11505858</v>
      </c>
      <c r="D47" s="144">
        <f ca="1">OFFSET('41'!$F$4,$A$3,0)</f>
        <v>6.63</v>
      </c>
      <c r="E47" s="76">
        <f ca="1">OFFSET('41'!$E$66,$A$3,0)</f>
        <v>5305267</v>
      </c>
      <c r="F47" s="144">
        <f ca="1">OFFSET('41'!$F$66,$A$3,0)</f>
        <v>3.06</v>
      </c>
      <c r="G47" s="76">
        <f ca="1">IFERROR('41'!$F$100*'Discipline Analysis'!$B47,"")</f>
        <v>329549.3</v>
      </c>
      <c r="H47" s="144">
        <f>'41'!$F$100</f>
        <v>0.19</v>
      </c>
      <c r="I47" s="76">
        <f ca="1">IFERROR('41'!$F$98*'Discipline Analysis'!$B47,"")</f>
        <v>2740462.6</v>
      </c>
      <c r="J47" s="144">
        <f>'41'!$F$98</f>
        <v>1.58</v>
      </c>
      <c r="K47" s="76">
        <f ca="1">IFERROR('41'!$F$99*'Discipline Analysis'!$B47,"")</f>
        <v>693788</v>
      </c>
      <c r="L47" s="144">
        <f>'41'!$F$99</f>
        <v>0.4</v>
      </c>
      <c r="M47" s="76">
        <f ca="1">OFFSET('41'!$E$35,$A$3,0)</f>
        <v>1334828</v>
      </c>
      <c r="N47" s="144">
        <f ca="1">OFFSET('41'!$F$35,$A$3,0)</f>
        <v>0.77</v>
      </c>
      <c r="O47" s="76">
        <f ca="1">IFERROR('41'!$F$101*'Discipline Analysis'!$B47,"")</f>
        <v>346894</v>
      </c>
      <c r="P47" s="144">
        <f>'41'!$F$101</f>
        <v>0.2</v>
      </c>
      <c r="Q47" s="76" t="str">
        <f ca="1">IFERROR('41'!$F$102*'Discipline Analysis'!$B47,"")</f>
        <v/>
      </c>
      <c r="R47" s="144" t="str">
        <f>'41'!$F$102</f>
        <v/>
      </c>
      <c r="S47" s="76" t="str">
        <f ca="1">IFERROR('41'!$F$103*'Discipline Analysis'!$B47,"")</f>
        <v/>
      </c>
      <c r="T47" s="144" t="str">
        <f>'41'!$F$103</f>
        <v/>
      </c>
      <c r="U47" s="76">
        <f ca="1">IFERROR('41'!$F$104*'Discipline Analysis'!$B47,"")</f>
        <v>763166.8</v>
      </c>
      <c r="V47" s="149">
        <f>'41'!$F$104</f>
        <v>0.44</v>
      </c>
    </row>
    <row r="48" spans="1:22" x14ac:dyDescent="0.2">
      <c r="A48" s="93" t="s">
        <v>1060</v>
      </c>
      <c r="B48" s="84">
        <f ca="1">OFFSET('42'!$D$4,$A$3,0)</f>
        <v>2392177</v>
      </c>
      <c r="C48" s="76">
        <f ca="1">OFFSET('42'!$E$4,$A$3,0)</f>
        <v>13071569</v>
      </c>
      <c r="D48" s="144">
        <f ca="1">OFFSET('42'!$F$4,$A$3,0)</f>
        <v>5.46</v>
      </c>
      <c r="E48" s="76">
        <f ca="1">OFFSET('42'!$E$66,$A$3,0)</f>
        <v>6249014</v>
      </c>
      <c r="F48" s="144">
        <f ca="1">OFFSET('42'!$F$66,$A$3,0)</f>
        <v>2.61</v>
      </c>
      <c r="G48" s="76">
        <f ca="1">IFERROR('42'!$F$100*'Discipline Analysis'!$B48,"")</f>
        <v>406670.09</v>
      </c>
      <c r="H48" s="144">
        <f>'42'!$F$100</f>
        <v>0.17</v>
      </c>
      <c r="I48" s="76">
        <f ca="1">IFERROR('42'!$F$98*'Discipline Analysis'!$B48,"")</f>
        <v>3181595.41</v>
      </c>
      <c r="J48" s="144">
        <f>'42'!$F$98</f>
        <v>1.33</v>
      </c>
      <c r="K48" s="76">
        <f ca="1">IFERROR('42'!$F$99*'Discipline Analysis'!$B48,"")</f>
        <v>621966.02</v>
      </c>
      <c r="L48" s="144">
        <f>'42'!$F$99</f>
        <v>0.26</v>
      </c>
      <c r="M48" s="76">
        <f ca="1">OFFSET('42'!$E$35,$A$3,0)</f>
        <v>808050</v>
      </c>
      <c r="N48" s="144">
        <f ca="1">OFFSET('42'!$F$35,$A$3,0)</f>
        <v>0.34</v>
      </c>
      <c r="O48" s="76">
        <f ca="1">IFERROR('42'!$F$101*'Discipline Analysis'!$B48,"")</f>
        <v>765496.64</v>
      </c>
      <c r="P48" s="144">
        <f>'42'!$F$101</f>
        <v>0.32</v>
      </c>
      <c r="Q48" s="76" t="str">
        <f ca="1">IFERROR('42'!$F$102*'Discipline Analysis'!$B48,"")</f>
        <v/>
      </c>
      <c r="R48" s="144" t="str">
        <f>'42'!$F$102</f>
        <v/>
      </c>
      <c r="S48" s="76" t="str">
        <f ca="1">IFERROR('42'!$F$103*'Discipline Analysis'!$B48,"")</f>
        <v/>
      </c>
      <c r="T48" s="144" t="str">
        <f>'42'!$F$103</f>
        <v/>
      </c>
      <c r="U48" s="76">
        <f ca="1">IFERROR('42'!$F$104*'Discipline Analysis'!$B48,"")</f>
        <v>1052557.8800000001</v>
      </c>
      <c r="V48" s="149">
        <f>'42'!$F$104</f>
        <v>0.44</v>
      </c>
    </row>
    <row r="49" spans="1:25" x14ac:dyDescent="0.2">
      <c r="A49" s="93" t="s">
        <v>1061</v>
      </c>
      <c r="B49" s="84">
        <f ca="1">OFFSET('43'!$D$4,$A$3,0)</f>
        <v>3448559</v>
      </c>
      <c r="C49" s="76">
        <f ca="1">OFFSET('43'!$E$4,$A$3,0)</f>
        <v>26810376.999999993</v>
      </c>
      <c r="D49" s="144">
        <f ca="1">OFFSET('43'!$F$4,$A$3,0)</f>
        <v>7.77</v>
      </c>
      <c r="E49" s="76">
        <f ca="1">OFFSET('43'!$E$66,$A$3,0)</f>
        <v>8093074</v>
      </c>
      <c r="F49" s="144">
        <f ca="1">OFFSET('43'!$F$66,$A$3,0)</f>
        <v>2.35</v>
      </c>
      <c r="G49" s="76">
        <f ca="1">IFERROR('43'!$F$100*'Discipline Analysis'!$B49,"")</f>
        <v>620740.62</v>
      </c>
      <c r="H49" s="144">
        <f>'43'!$F$100</f>
        <v>0.18</v>
      </c>
      <c r="I49" s="76">
        <f ca="1">IFERROR('43'!$F$98*'Discipline Analysis'!$B49,"")</f>
        <v>5724607.9399999995</v>
      </c>
      <c r="J49" s="144">
        <f>'43'!$F$98</f>
        <v>1.66</v>
      </c>
      <c r="K49" s="76">
        <f ca="1">IFERROR('43'!$F$99*'Discipline Analysis'!$B49,"")</f>
        <v>3517530.18</v>
      </c>
      <c r="L49" s="144">
        <f>'43'!$F$99</f>
        <v>1.02</v>
      </c>
      <c r="M49" s="76">
        <f ca="1">OFFSET('43'!$E$35,$A$3,0)</f>
        <v>2653174</v>
      </c>
      <c r="N49" s="144">
        <f ca="1">OFFSET('43'!$F$35,$A$3,0)</f>
        <v>0.77</v>
      </c>
      <c r="O49" s="76">
        <f ca="1">IFERROR('43'!$F$101*'Discipline Analysis'!$B49,"")</f>
        <v>2931275.15</v>
      </c>
      <c r="P49" s="144">
        <f>'43'!$F$101</f>
        <v>0.85</v>
      </c>
      <c r="Q49" s="76" t="str">
        <f ca="1">IFERROR('43'!$F$102*'Discipline Analysis'!$B49,"")</f>
        <v/>
      </c>
      <c r="R49" s="144" t="str">
        <f>'43'!$F$102</f>
        <v/>
      </c>
      <c r="S49" s="76" t="str">
        <f ca="1">IFERROR('43'!$F$103*'Discipline Analysis'!$B49,"")</f>
        <v/>
      </c>
      <c r="T49" s="144" t="str">
        <f>'43'!$F$103</f>
        <v/>
      </c>
      <c r="U49" s="76">
        <f ca="1">IFERROR('43'!$F$104*'Discipline Analysis'!$B49,"")</f>
        <v>3241645.46</v>
      </c>
      <c r="V49" s="149">
        <f>'43'!$F$104</f>
        <v>0.94</v>
      </c>
    </row>
    <row r="50" spans="1:25" x14ac:dyDescent="0.2">
      <c r="A50" s="93" t="s">
        <v>1072</v>
      </c>
      <c r="B50" s="84">
        <f ca="1">OFFSET('44'!$D$4,$A$3,0)</f>
        <v>3167969</v>
      </c>
      <c r="C50" s="76">
        <f ca="1">OFFSET('44'!$E$4,$A$3,0)</f>
        <v>14988809.999999998</v>
      </c>
      <c r="D50" s="144">
        <f ca="1">OFFSET('44'!$F$4,$A$3,0)</f>
        <v>4.7300000000000004</v>
      </c>
      <c r="E50" s="76">
        <f ca="1">OFFSET('44'!$E$66,$A$3,0)</f>
        <v>7212605</v>
      </c>
      <c r="F50" s="144">
        <f ca="1">OFFSET('44'!$F$66,$A$3,0)</f>
        <v>2.2799999999999998</v>
      </c>
      <c r="G50" s="76">
        <f ca="1">IFERROR('44'!$F$100*'Discipline Analysis'!$B50,"")</f>
        <v>601914.11</v>
      </c>
      <c r="H50" s="144">
        <f>'44'!$F$100</f>
        <v>0.19</v>
      </c>
      <c r="I50" s="76">
        <f ca="1">IFERROR('44'!$F$98*'Discipline Analysis'!$B50,"")</f>
        <v>2280937.6799999997</v>
      </c>
      <c r="J50" s="144">
        <f>'44'!$F$98</f>
        <v>0.72</v>
      </c>
      <c r="K50" s="76">
        <f ca="1">IFERROR('44'!$F$99*'Discipline Analysis'!$B50,"")</f>
        <v>1330546.98</v>
      </c>
      <c r="L50" s="144">
        <f>'44'!$F$99</f>
        <v>0.42</v>
      </c>
      <c r="M50" s="76">
        <f ca="1">OFFSET('44'!$E$35,$A$3,0)</f>
        <v>805084</v>
      </c>
      <c r="N50" s="144">
        <f ca="1">OFFSET('44'!$F$35,$A$3,0)</f>
        <v>0.25</v>
      </c>
      <c r="O50" s="76">
        <f ca="1">IFERROR('44'!$F$101*'Discipline Analysis'!$B50,"")</f>
        <v>918711.00999999989</v>
      </c>
      <c r="P50" s="144">
        <f>'44'!$F$101</f>
        <v>0.28999999999999998</v>
      </c>
      <c r="Q50" s="76">
        <f ca="1">IFERROR('44'!$F$102*'Discipline Analysis'!$B50,"")</f>
        <v>253437.52000000002</v>
      </c>
      <c r="R50" s="144">
        <f>'44'!$F$102</f>
        <v>0.08</v>
      </c>
      <c r="S50" s="76" t="str">
        <f ca="1">IFERROR('44'!$F$103*'Discipline Analysis'!$B50,"")</f>
        <v/>
      </c>
      <c r="T50" s="144" t="str">
        <f>'44'!$F$103</f>
        <v/>
      </c>
      <c r="U50" s="76">
        <f ca="1">IFERROR('44'!$F$104*'Discipline Analysis'!$B50,"")</f>
        <v>1583984.5</v>
      </c>
      <c r="V50" s="149">
        <f>'44'!$F$104</f>
        <v>0.5</v>
      </c>
    </row>
    <row r="51" spans="1:25" x14ac:dyDescent="0.2">
      <c r="A51" s="93" t="s">
        <v>1037</v>
      </c>
      <c r="B51" s="84">
        <f ca="1">OFFSET('45'!$D$4,$A$3,0)</f>
        <v>4738921</v>
      </c>
      <c r="C51" s="76">
        <f ca="1">OFFSET('45'!$E$4,$A$3,0)</f>
        <v>26888894.999999996</v>
      </c>
      <c r="D51" s="144">
        <f ca="1">OFFSET('45'!$F$4,$A$3,0)</f>
        <v>5.67</v>
      </c>
      <c r="E51" s="76">
        <f ca="1">OFFSET('45'!$E$66,$A$3,0)</f>
        <v>12425371</v>
      </c>
      <c r="F51" s="144">
        <f ca="1">OFFSET('45'!$F$66,$A$3,0)</f>
        <v>2.62</v>
      </c>
      <c r="G51" s="76">
        <f ca="1">IFERROR('45'!$F$100*'Discipline Analysis'!$B51,"")</f>
        <v>853005.77999999991</v>
      </c>
      <c r="H51" s="144">
        <f>'45'!$F$100</f>
        <v>0.18</v>
      </c>
      <c r="I51" s="76">
        <f ca="1">IFERROR('45'!$F$98*'Discipline Analysis'!$B51,"")</f>
        <v>4454585.7399999993</v>
      </c>
      <c r="J51" s="144">
        <f>'45'!$F$98</f>
        <v>0.94</v>
      </c>
      <c r="K51" s="76">
        <f ca="1">IFERROR('45'!$F$99*'Discipline Analysis'!$B51,"")</f>
        <v>3222466.2800000003</v>
      </c>
      <c r="L51" s="144">
        <f>'45'!$F$99</f>
        <v>0.68</v>
      </c>
      <c r="M51" s="76">
        <f ca="1">OFFSET('45'!$E$35,$A$3,0)</f>
        <v>3355426</v>
      </c>
      <c r="N51" s="144">
        <f ca="1">OFFSET('45'!$F$35,$A$3,0)</f>
        <v>0.71</v>
      </c>
      <c r="O51" s="76">
        <f ca="1">IFERROR('45'!$F$101*'Discipline Analysis'!$B51,"")</f>
        <v>1184730.25</v>
      </c>
      <c r="P51" s="144">
        <f>'45'!$F$101</f>
        <v>0.25</v>
      </c>
      <c r="Q51" s="76" t="str">
        <f ca="1">IFERROR('45'!$F$102*'Discipline Analysis'!$B51,"")</f>
        <v/>
      </c>
      <c r="R51" s="144" t="str">
        <f>'45'!$F$102</f>
        <v/>
      </c>
      <c r="S51" s="76" t="str">
        <f ca="1">IFERROR('45'!$F$103*'Discipline Analysis'!$B51,"")</f>
        <v/>
      </c>
      <c r="T51" s="144" t="str">
        <f>'45'!$F$103</f>
        <v/>
      </c>
      <c r="U51" s="76">
        <f ca="1">IFERROR('45'!$F$104*'Discipline Analysis'!$B51,"")</f>
        <v>1421676.3</v>
      </c>
      <c r="V51" s="149">
        <f>'45'!$F$104</f>
        <v>0.3</v>
      </c>
    </row>
    <row r="52" spans="1:25" x14ac:dyDescent="0.2">
      <c r="A52" s="93" t="s">
        <v>1062</v>
      </c>
      <c r="B52" s="84">
        <f ca="1">OFFSET('46'!$D$4,$A$3,0)</f>
        <v>1553039</v>
      </c>
      <c r="C52" s="76">
        <f ca="1">OFFSET('46'!$E$4,$A$3,0)</f>
        <v>7831299</v>
      </c>
      <c r="D52" s="144">
        <f ca="1">OFFSET('46'!$F$4,$A$3,0)</f>
        <v>5.04</v>
      </c>
      <c r="E52" s="76">
        <f ca="1">OFFSET('46'!$E$66,$A$3,0)</f>
        <v>3578746</v>
      </c>
      <c r="F52" s="144">
        <f ca="1">OFFSET('46'!$F$66,$A$3,0)</f>
        <v>2.2999999999999998</v>
      </c>
      <c r="G52" s="76">
        <f ca="1">IFERROR('46'!$F$100*'Discipline Analysis'!$B52,"")</f>
        <v>326138.19</v>
      </c>
      <c r="H52" s="144">
        <f>'46'!$F$100</f>
        <v>0.21</v>
      </c>
      <c r="I52" s="76">
        <f ca="1">IFERROR('46'!$F$98*'Discipline Analysis'!$B52,"")</f>
        <v>1382204.71</v>
      </c>
      <c r="J52" s="144">
        <f>'46'!$F$98</f>
        <v>0.89</v>
      </c>
      <c r="K52" s="76">
        <f ca="1">IFERROR('46'!$F$99*'Discipline Analysis'!$B52,"")</f>
        <v>807580.28</v>
      </c>
      <c r="L52" s="144">
        <f>'46'!$F$99</f>
        <v>0.52</v>
      </c>
      <c r="M52" s="76">
        <f ca="1">OFFSET('46'!$E$35,$A$3,0)</f>
        <v>526612</v>
      </c>
      <c r="N52" s="144">
        <f ca="1">OFFSET('46'!$F$35,$A$3,0)</f>
        <v>0.34</v>
      </c>
      <c r="O52" s="76">
        <f ca="1">IFERROR('46'!$F$101*'Discipline Analysis'!$B52,"")</f>
        <v>1180309.6399999999</v>
      </c>
      <c r="P52" s="144">
        <f>'46'!$F$101</f>
        <v>0.76</v>
      </c>
      <c r="Q52" s="76">
        <f ca="1">IFERROR('46'!$F$102*'Discipline Analysis'!$B52,"")</f>
        <v>15530.39</v>
      </c>
      <c r="R52" s="144">
        <f>'46'!$F$102</f>
        <v>0.01</v>
      </c>
      <c r="S52" s="76" t="str">
        <f ca="1">IFERROR('46'!$F$103*'Discipline Analysis'!$B52,"")</f>
        <v/>
      </c>
      <c r="T52" s="144" t="str">
        <f>'46'!$F$103</f>
        <v/>
      </c>
      <c r="U52" s="76" t="str">
        <f ca="1">IFERROR('46'!$F$104*'Discipline Analysis'!$B52,"")</f>
        <v/>
      </c>
      <c r="V52" s="149" t="str">
        <f>'46'!$F$104</f>
        <v/>
      </c>
    </row>
    <row r="53" spans="1:25" x14ac:dyDescent="0.2">
      <c r="A53" s="93" t="s">
        <v>1063</v>
      </c>
      <c r="B53" s="84">
        <f ca="1">OFFSET('47'!$D$4,$A$3,0)</f>
        <v>1832313</v>
      </c>
      <c r="C53" s="76">
        <f ca="1">OFFSET('47'!$E$4,$A$3,0)</f>
        <v>12605215.000000002</v>
      </c>
      <c r="D53" s="144">
        <f ca="1">OFFSET('47'!$F$4,$A$3,0)</f>
        <v>6.88</v>
      </c>
      <c r="E53" s="76">
        <f ca="1">OFFSET('47'!$E$66,$A$3,0)</f>
        <v>6177890</v>
      </c>
      <c r="F53" s="144">
        <f ca="1">OFFSET('47'!$F$66,$A$3,0)</f>
        <v>3.37</v>
      </c>
      <c r="G53" s="76">
        <f ca="1">IFERROR('47'!$F$100*'Discipline Analysis'!$B53,"")</f>
        <v>604663.29</v>
      </c>
      <c r="H53" s="144">
        <f>'47'!$F$100</f>
        <v>0.33</v>
      </c>
      <c r="I53" s="76">
        <f ca="1">IFERROR('47'!$F$98*'Discipline Analysis'!$B53,"")</f>
        <v>2107159.9499999997</v>
      </c>
      <c r="J53" s="144">
        <f>'47'!$F$98</f>
        <v>1.1499999999999999</v>
      </c>
      <c r="K53" s="76">
        <f ca="1">IFERROR('47'!$F$99*'Discipline Analysis'!$B53,"")</f>
        <v>1026095.2800000001</v>
      </c>
      <c r="L53" s="144">
        <f>'47'!$F$99</f>
        <v>0.56000000000000005</v>
      </c>
      <c r="M53" s="76">
        <f ca="1">OFFSET('47'!$E$35,$A$3,0)</f>
        <v>1127825</v>
      </c>
      <c r="N53" s="144">
        <f ca="1">OFFSET('47'!$F$35,$A$3,0)</f>
        <v>0.62</v>
      </c>
      <c r="O53" s="76">
        <f ca="1">IFERROR('47'!$F$101*'Discipline Analysis'!$B53,"")</f>
        <v>476401.38</v>
      </c>
      <c r="P53" s="144">
        <f>'47'!$F$101</f>
        <v>0.26</v>
      </c>
      <c r="Q53" s="76" t="str">
        <f ca="1">IFERROR('47'!$F$102*'Discipline Analysis'!$B53,"")</f>
        <v/>
      </c>
      <c r="R53" s="144" t="str">
        <f>'47'!$F$102</f>
        <v/>
      </c>
      <c r="S53" s="76" t="str">
        <f ca="1">IFERROR('47'!$F$103*'Discipline Analysis'!$B53,"")</f>
        <v/>
      </c>
      <c r="T53" s="144" t="str">
        <f>'47'!$F$103</f>
        <v/>
      </c>
      <c r="U53" s="76">
        <f ca="1">IFERROR('47'!$F$104*'Discipline Analysis'!$B53,"")</f>
        <v>1081064.67</v>
      </c>
      <c r="V53" s="149">
        <f>'47'!$F$104</f>
        <v>0.59</v>
      </c>
    </row>
    <row r="54" spans="1:25" x14ac:dyDescent="0.2">
      <c r="A54" s="93" t="s">
        <v>1064</v>
      </c>
      <c r="B54" s="84">
        <f ca="1">OFFSET('48'!$D$4,$A$3,0)</f>
        <v>2203299</v>
      </c>
      <c r="C54" s="76">
        <f ca="1">OFFSET('48'!$E$4,$A$3,0)</f>
        <v>11934437</v>
      </c>
      <c r="D54" s="144">
        <f ca="1">OFFSET('48'!$F$4,$A$3,0)</f>
        <v>5.42</v>
      </c>
      <c r="E54" s="76">
        <f ca="1">OFFSET('48'!$E$66,$A$3,0)</f>
        <v>5330285</v>
      </c>
      <c r="F54" s="144">
        <f ca="1">OFFSET('48'!$F$66,$A$3,0)</f>
        <v>2.42</v>
      </c>
      <c r="G54" s="76">
        <f ca="1">IFERROR('48'!$F$100*'Discipline Analysis'!$B54,"")</f>
        <v>418626.81</v>
      </c>
      <c r="H54" s="144">
        <f>'48'!$F$100</f>
        <v>0.19</v>
      </c>
      <c r="I54" s="76">
        <f ca="1">IFERROR('48'!$F$98*'Discipline Analysis'!$B54,"")</f>
        <v>3128684.58</v>
      </c>
      <c r="J54" s="144">
        <f>'48'!$F$98</f>
        <v>1.42</v>
      </c>
      <c r="K54" s="76">
        <f ca="1">IFERROR('48'!$F$99*'Discipline Analysis'!$B54,"")</f>
        <v>947418.57</v>
      </c>
      <c r="L54" s="144">
        <f>'48'!$F$99</f>
        <v>0.43</v>
      </c>
      <c r="M54" s="76">
        <f ca="1">OFFSET('48'!$E$35,$A$3,0)</f>
        <v>1548692</v>
      </c>
      <c r="N54" s="144">
        <f ca="1">OFFSET('48'!$F$35,$A$3,0)</f>
        <v>0.7</v>
      </c>
      <c r="O54" s="76">
        <f ca="1">IFERROR('48'!$F$101*'Discipline Analysis'!$B54,"")</f>
        <v>440659.80000000005</v>
      </c>
      <c r="P54" s="144">
        <f>'48'!$F$101</f>
        <v>0.2</v>
      </c>
      <c r="Q54" s="76" t="str">
        <f ca="1">IFERROR('48'!$F$102*'Discipline Analysis'!$B54,"")</f>
        <v/>
      </c>
      <c r="R54" s="144" t="str">
        <f>'48'!$F$102</f>
        <v/>
      </c>
      <c r="S54" s="76" t="str">
        <f ca="1">IFERROR('48'!$F$103*'Discipline Analysis'!$B54,"")</f>
        <v/>
      </c>
      <c r="T54" s="144" t="str">
        <f>'48'!$F$103</f>
        <v/>
      </c>
      <c r="U54" s="76">
        <f ca="1">IFERROR('48'!$F$104*'Discipline Analysis'!$B54,"")</f>
        <v>132197.94</v>
      </c>
      <c r="V54" s="149">
        <f>'48'!$F$104</f>
        <v>0.06</v>
      </c>
    </row>
    <row r="55" spans="1:25" x14ac:dyDescent="0.2">
      <c r="A55" s="93" t="s">
        <v>1065</v>
      </c>
      <c r="B55" s="84">
        <f ca="1">OFFSET('49'!$D$4,$A$3,0)</f>
        <v>683936</v>
      </c>
      <c r="C55" s="76">
        <f ca="1">OFFSET('49'!$E$4,$A$3,0)</f>
        <v>5189446</v>
      </c>
      <c r="D55" s="144">
        <f ca="1">OFFSET('49'!$F$4,$A$3,0)</f>
        <v>7.59</v>
      </c>
      <c r="E55" s="76">
        <f ca="1">OFFSET('49'!$E$66,$A$3,0)</f>
        <v>1863538</v>
      </c>
      <c r="F55" s="144">
        <f ca="1">OFFSET('49'!$F$66,$A$3,0)</f>
        <v>2.72</v>
      </c>
      <c r="G55" s="76">
        <f ca="1">IFERROR('49'!$F$100*'Discipline Analysis'!$B55,"")</f>
        <v>88911.680000000008</v>
      </c>
      <c r="H55" s="144">
        <f>'49'!$F$100</f>
        <v>0.13</v>
      </c>
      <c r="I55" s="76">
        <f ca="1">IFERROR('49'!$F$98*'Discipline Analysis'!$B55,"")</f>
        <v>1785072.96</v>
      </c>
      <c r="J55" s="144">
        <f>'49'!$F$98</f>
        <v>2.61</v>
      </c>
      <c r="K55" s="76">
        <f ca="1">IFERROR('49'!$F$99*'Discipline Analysis'!$B55,"")</f>
        <v>348807.36</v>
      </c>
      <c r="L55" s="144">
        <f>'49'!$F$99</f>
        <v>0.51</v>
      </c>
      <c r="M55" s="76">
        <f ca="1">OFFSET('49'!$E$35,$A$3,0)</f>
        <v>326247</v>
      </c>
      <c r="N55" s="144">
        <f ca="1">OFFSET('49'!$F$35,$A$3,0)</f>
        <v>0.48</v>
      </c>
      <c r="O55" s="76">
        <f ca="1">IFERROR('49'!$F$101*'Discipline Analysis'!$B55,"")</f>
        <v>718132.8</v>
      </c>
      <c r="P55" s="144">
        <f>'49'!$F$101</f>
        <v>1.05</v>
      </c>
      <c r="Q55" s="76" t="str">
        <f ca="1">IFERROR('49'!$F$102*'Discipline Analysis'!$B55,"")</f>
        <v/>
      </c>
      <c r="R55" s="144" t="str">
        <f>'49'!$F$102</f>
        <v/>
      </c>
      <c r="S55" s="76" t="str">
        <f ca="1">IFERROR('49'!$F$103*'Discipline Analysis'!$B55,"")</f>
        <v/>
      </c>
      <c r="T55" s="144" t="str">
        <f>'49'!$F$103</f>
        <v/>
      </c>
      <c r="U55" s="76">
        <f ca="1">IFERROR('49'!$F$104*'Discipline Analysis'!$B55,"")</f>
        <v>54714.880000000005</v>
      </c>
      <c r="V55" s="149">
        <f>'49'!$F$104</f>
        <v>0.08</v>
      </c>
    </row>
    <row r="56" spans="1:25" x14ac:dyDescent="0.2">
      <c r="A56" s="93" t="s">
        <v>1073</v>
      </c>
      <c r="B56" s="84">
        <f ca="1">OFFSET('50'!$D$4,$A$3,0)</f>
        <v>2517164</v>
      </c>
      <c r="C56" s="76">
        <f ca="1">OFFSET('50'!$E$4,$A$3,0)</f>
        <v>18066033</v>
      </c>
      <c r="D56" s="144">
        <f ca="1">OFFSET('50'!$F$4,$A$3,0)</f>
        <v>7.18</v>
      </c>
      <c r="E56" s="76">
        <f ca="1">OFFSET('50'!$E$66,$A$3,0)</f>
        <v>6713709</v>
      </c>
      <c r="F56" s="144">
        <f ca="1">OFFSET('50'!$F$66,$A$3,0)</f>
        <v>2.67</v>
      </c>
      <c r="G56" s="76">
        <f ca="1">IFERROR('50'!$F$100*'Discipline Analysis'!$B56,"")</f>
        <v>453089.51999999996</v>
      </c>
      <c r="H56" s="144">
        <f>'50'!$F$100</f>
        <v>0.18</v>
      </c>
      <c r="I56" s="76">
        <f ca="1">IFERROR('50'!$F$98*'Discipline Analysis'!$B56,"")</f>
        <v>6292910</v>
      </c>
      <c r="J56" s="144">
        <f>'50'!$F$98</f>
        <v>2.5</v>
      </c>
      <c r="K56" s="76">
        <f ca="1">IFERROR('50'!$F$99*'Discipline Analysis'!$B56,"")</f>
        <v>1107552.1599999999</v>
      </c>
      <c r="L56" s="144">
        <f>'50'!$F$99</f>
        <v>0.44</v>
      </c>
      <c r="M56" s="76">
        <f ca="1">OFFSET('50'!$E$35,$A$3,0)</f>
        <v>815595</v>
      </c>
      <c r="N56" s="144">
        <f ca="1">OFFSET('50'!$F$35,$A$3,0)</f>
        <v>0.32</v>
      </c>
      <c r="O56" s="76">
        <f ca="1">IFERROR('50'!$F$101*'Discipline Analysis'!$B56,"")</f>
        <v>1233410.3599999999</v>
      </c>
      <c r="P56" s="144">
        <f>'50'!$F$101</f>
        <v>0.49</v>
      </c>
      <c r="Q56" s="76" t="str">
        <f ca="1">IFERROR('50'!$F$102*'Discipline Analysis'!$B56,"")</f>
        <v/>
      </c>
      <c r="R56" s="144" t="str">
        <f>'50'!$F$102</f>
        <v/>
      </c>
      <c r="S56" s="76" t="str">
        <f ca="1">IFERROR('50'!$F$103*'Discipline Analysis'!$B56,"")</f>
        <v/>
      </c>
      <c r="T56" s="144" t="str">
        <f>'50'!$F$103</f>
        <v/>
      </c>
      <c r="U56" s="76">
        <f ca="1">IFERROR('50'!$F$104*'Discipline Analysis'!$B56,"")</f>
        <v>1434783.48</v>
      </c>
      <c r="V56" s="149">
        <f>'50'!$F$104</f>
        <v>0.56999999999999995</v>
      </c>
    </row>
    <row r="57" spans="1:25" x14ac:dyDescent="0.2">
      <c r="A57" s="91" t="s">
        <v>939</v>
      </c>
      <c r="B57" s="84">
        <f ca="1">OFFSET('51'!$D$4,$A$3,0)</f>
        <v>3054722</v>
      </c>
      <c r="C57" s="76">
        <f ca="1">OFFSET('51'!$E$4,$A$3,0)</f>
        <v>18130551</v>
      </c>
      <c r="D57" s="144">
        <f ca="1">OFFSET('51'!$F$4,$A$3,0)</f>
        <v>5.94</v>
      </c>
      <c r="E57" s="76">
        <f ca="1">OFFSET('51'!$E$66,$A$3,0)</f>
        <v>7678778</v>
      </c>
      <c r="F57" s="144">
        <f ca="1">OFFSET('51'!$F$66,$A$3,0)</f>
        <v>2.5099999999999998</v>
      </c>
      <c r="G57" s="76">
        <f ca="1">IFERROR('51'!$F$100*'Discipline Analysis'!$B57,"")</f>
        <v>458208.3</v>
      </c>
      <c r="H57" s="144">
        <f>'51'!$F$100</f>
        <v>0.15</v>
      </c>
      <c r="I57" s="76">
        <f ca="1">IFERROR('51'!$F$98*'Discipline Analysis'!$B57,"")</f>
        <v>3421288.64</v>
      </c>
      <c r="J57" s="144">
        <f>'51'!$F$98</f>
        <v>1.1200000000000001</v>
      </c>
      <c r="K57" s="76">
        <f ca="1">IFERROR('51'!$F$99*'Discipline Analysis'!$B57,"")</f>
        <v>1374624.9000000001</v>
      </c>
      <c r="L57" s="144">
        <f>'51'!$F$99</f>
        <v>0.45</v>
      </c>
      <c r="M57" s="76">
        <f ca="1">OFFSET('51'!$E$35,$A$3,0)</f>
        <v>4031260</v>
      </c>
      <c r="N57" s="144">
        <f ca="1">OFFSET('51'!$F$35,$A$3,0)</f>
        <v>1.32</v>
      </c>
      <c r="O57" s="76">
        <f ca="1">IFERROR('51'!$F$101*'Discipline Analysis'!$B57,"")</f>
        <v>458208.3</v>
      </c>
      <c r="P57" s="144">
        <f>'51'!$F$101</f>
        <v>0.15</v>
      </c>
      <c r="Q57" s="76" t="str">
        <f ca="1">IFERROR('51'!$F$102*'Discipline Analysis'!$B57,"")</f>
        <v/>
      </c>
      <c r="R57" s="144" t="str">
        <f>'51'!$F$102</f>
        <v/>
      </c>
      <c r="S57" s="76" t="str">
        <f ca="1">IFERROR('51'!$F$103*'Discipline Analysis'!$B57,"")</f>
        <v/>
      </c>
      <c r="T57" s="144" t="str">
        <f>'51'!$F$103</f>
        <v/>
      </c>
      <c r="U57" s="76">
        <f ca="1">IFERROR('51'!$F$104*'Discipline Analysis'!$B57,"")</f>
        <v>733133.28</v>
      </c>
      <c r="V57" s="149">
        <f>'51'!$F$104</f>
        <v>0.24</v>
      </c>
    </row>
    <row r="58" spans="1:25" x14ac:dyDescent="0.2">
      <c r="A58" s="91" t="s">
        <v>940</v>
      </c>
      <c r="B58" s="84">
        <f ca="1">OFFSET('52'!$D$4,$A$3,0)</f>
        <v>1930928</v>
      </c>
      <c r="C58" s="76">
        <f ca="1">OFFSET('52'!$E$4,$A$3,0)</f>
        <v>11967327.000000002</v>
      </c>
      <c r="D58" s="144">
        <f ca="1">OFFSET('52'!$F$4,$A$3,0)</f>
        <v>6.2</v>
      </c>
      <c r="E58" s="76">
        <f ca="1">OFFSET('52'!$E$66,$A$3,0)</f>
        <v>5063887</v>
      </c>
      <c r="F58" s="144">
        <f ca="1">OFFSET('52'!$F$66,$A$3,0)</f>
        <v>2.62</v>
      </c>
      <c r="G58" s="76">
        <f ca="1">IFERROR('52'!$F$100*'Discipline Analysis'!$B58,"")</f>
        <v>173783.52</v>
      </c>
      <c r="H58" s="144">
        <f>'52'!$F$100</f>
        <v>0.09</v>
      </c>
      <c r="I58" s="76">
        <f ca="1">IFERROR('52'!$F$98*'Discipline Analysis'!$B58,"")</f>
        <v>2143330.08</v>
      </c>
      <c r="J58" s="144">
        <f>'52'!$F$98</f>
        <v>1.1100000000000001</v>
      </c>
      <c r="K58" s="76">
        <f ca="1">IFERROR('52'!$F$99*'Discipline Analysis'!$B58,"")</f>
        <v>1428886.72</v>
      </c>
      <c r="L58" s="144">
        <f>'52'!$F$99</f>
        <v>0.74</v>
      </c>
      <c r="M58" s="76">
        <f ca="1">OFFSET('52'!$E$35,$A$3,0)</f>
        <v>2486914</v>
      </c>
      <c r="N58" s="144">
        <f ca="1">OFFSET('52'!$F$35,$A$3,0)</f>
        <v>1.29</v>
      </c>
      <c r="O58" s="76">
        <f ca="1">IFERROR('52'!$F$101*'Discipline Analysis'!$B58,"")</f>
        <v>270329.92000000004</v>
      </c>
      <c r="P58" s="144">
        <f>'52'!$F$101</f>
        <v>0.14000000000000001</v>
      </c>
      <c r="Q58" s="76" t="str">
        <f ca="1">IFERROR('52'!$F$102*'Discipline Analysis'!$B58,"")</f>
        <v/>
      </c>
      <c r="R58" s="144" t="str">
        <f>'52'!$F$102</f>
        <v/>
      </c>
      <c r="S58" s="76" t="str">
        <f ca="1">IFERROR('52'!$F$103*'Discipline Analysis'!$B58,"")</f>
        <v/>
      </c>
      <c r="T58" s="144" t="str">
        <f>'52'!$F$103</f>
        <v/>
      </c>
      <c r="U58" s="76">
        <f ca="1">IFERROR('52'!$F$104*'Discipline Analysis'!$B58,"")</f>
        <v>405494.88</v>
      </c>
      <c r="V58" s="149">
        <f>'52'!$F$104</f>
        <v>0.21</v>
      </c>
    </row>
    <row r="59" spans="1:25" x14ac:dyDescent="0.2">
      <c r="A59" s="91" t="s">
        <v>941</v>
      </c>
      <c r="B59" s="84">
        <f ca="1">OFFSET('53'!$D$4,$A$3,0)</f>
        <v>519896</v>
      </c>
      <c r="C59" s="76">
        <f ca="1">OFFSET('53'!$E$4,$A$3,0)</f>
        <v>4718585.0000000009</v>
      </c>
      <c r="D59" s="144">
        <f ca="1">OFFSET('53'!$F$4,$A$3,0)</f>
        <v>9.08</v>
      </c>
      <c r="E59" s="76">
        <f ca="1">OFFSET('53'!$E$66,$A$3,0)</f>
        <v>1649770</v>
      </c>
      <c r="F59" s="144">
        <f ca="1">OFFSET('53'!$F$66,$A$3,0)</f>
        <v>3.17</v>
      </c>
      <c r="G59" s="76">
        <f ca="1">IFERROR('53'!$F$100*'Discipline Analysis'!$B59,"")</f>
        <v>135172.96</v>
      </c>
      <c r="H59" s="144">
        <f>'53'!$F$100</f>
        <v>0.26</v>
      </c>
      <c r="I59" s="76">
        <f ca="1">IFERROR('53'!$F$98*'Discipline Analysis'!$B59,"")</f>
        <v>1102179.52</v>
      </c>
      <c r="J59" s="144">
        <f>'53'!$F$98</f>
        <v>2.12</v>
      </c>
      <c r="K59" s="76">
        <f ca="1">IFERROR('53'!$F$99*'Discipline Analysis'!$B59,"")</f>
        <v>530293.92000000004</v>
      </c>
      <c r="L59" s="144">
        <f>'53'!$F$99</f>
        <v>1.02</v>
      </c>
      <c r="M59" s="76">
        <f ca="1">OFFSET('53'!$E$35,$A$3,0)</f>
        <v>705282</v>
      </c>
      <c r="N59" s="144">
        <f ca="1">OFFSET('53'!$F$35,$A$3,0)</f>
        <v>1.36</v>
      </c>
      <c r="O59" s="76">
        <f ca="1">IFERROR('53'!$F$101*'Discipline Analysis'!$B59,"")</f>
        <v>467906.4</v>
      </c>
      <c r="P59" s="144">
        <f>'53'!$F$101</f>
        <v>0.9</v>
      </c>
      <c r="Q59" s="76" t="str">
        <f ca="1">IFERROR('53'!$F$102*'Discipline Analysis'!$B59,"")</f>
        <v/>
      </c>
      <c r="R59" s="144" t="str">
        <f>'53'!$F$102</f>
        <v/>
      </c>
      <c r="S59" s="76" t="str">
        <f ca="1">IFERROR('53'!$F$103*'Discipline Analysis'!$B59,"")</f>
        <v/>
      </c>
      <c r="T59" s="144" t="str">
        <f>'53'!$F$103</f>
        <v/>
      </c>
      <c r="U59" s="76">
        <f ca="1">IFERROR('53'!$F$104*'Discipline Analysis'!$B59,"")</f>
        <v>129974</v>
      </c>
      <c r="V59" s="149">
        <f>'53'!$F$104</f>
        <v>0.25</v>
      </c>
      <c r="Y59" s="151"/>
    </row>
    <row r="60" spans="1:25" x14ac:dyDescent="0.2">
      <c r="A60" s="91" t="s">
        <v>942</v>
      </c>
      <c r="B60" s="84">
        <f ca="1">OFFSET('54'!$D$4,$A$3,0)</f>
        <v>4009159</v>
      </c>
      <c r="C60" s="76">
        <f ca="1">OFFSET('54'!$E$4,$A$3,0)</f>
        <v>27711036</v>
      </c>
      <c r="D60" s="144">
        <f ca="1">OFFSET('54'!$F$4,$A$3,0)</f>
        <v>6.91</v>
      </c>
      <c r="E60" s="76">
        <f ca="1">OFFSET('54'!$E$66,$A$3,0)</f>
        <v>12273038</v>
      </c>
      <c r="F60" s="144">
        <f ca="1">OFFSET('54'!$F$66,$A$3,0)</f>
        <v>3.06</v>
      </c>
      <c r="G60" s="76">
        <f ca="1">IFERROR('54'!$F$100*'Discipline Analysis'!$B60,"")</f>
        <v>441007.49</v>
      </c>
      <c r="H60" s="144">
        <f>'54'!$F$100</f>
        <v>0.11</v>
      </c>
      <c r="I60" s="76">
        <f ca="1">IFERROR('54'!$F$98*'Discipline Analysis'!$B60,"")</f>
        <v>4049250.59</v>
      </c>
      <c r="J60" s="144">
        <f>'54'!$F$98</f>
        <v>1.01</v>
      </c>
      <c r="K60" s="76">
        <f ca="1">IFERROR('54'!$F$99*'Discipline Analysis'!$B60,"")</f>
        <v>1804121.55</v>
      </c>
      <c r="L60" s="144">
        <f>'54'!$F$99</f>
        <v>0.45</v>
      </c>
      <c r="M60" s="76">
        <f ca="1">OFFSET('54'!$E$35,$A$3,0)</f>
        <v>7426882</v>
      </c>
      <c r="N60" s="144">
        <f ca="1">OFFSET('54'!$F$35,$A$3,0)</f>
        <v>1.85</v>
      </c>
      <c r="O60" s="76">
        <f ca="1">IFERROR('54'!$F$101*'Discipline Analysis'!$B60,"")</f>
        <v>761740.21</v>
      </c>
      <c r="P60" s="144">
        <f>'54'!$F$101</f>
        <v>0.19</v>
      </c>
      <c r="Q60" s="76" t="str">
        <f ca="1">IFERROR('54'!$F$102*'Discipline Analysis'!$B60,"")</f>
        <v/>
      </c>
      <c r="R60" s="144" t="str">
        <f>'54'!$F$102</f>
        <v/>
      </c>
      <c r="S60" s="76" t="str">
        <f ca="1">IFERROR('54'!$F$103*'Discipline Analysis'!$B60,"")</f>
        <v/>
      </c>
      <c r="T60" s="144" t="str">
        <f>'54'!$F$103</f>
        <v/>
      </c>
      <c r="U60" s="76">
        <f ca="1">IFERROR('54'!$F$104*'Discipline Analysis'!$B60,"")</f>
        <v>962198.15999999992</v>
      </c>
      <c r="V60" s="149">
        <f>'54'!$F$104</f>
        <v>0.24</v>
      </c>
      <c r="Y60" s="151"/>
    </row>
    <row r="61" spans="1:25" x14ac:dyDescent="0.2">
      <c r="A61" s="91" t="s">
        <v>943</v>
      </c>
      <c r="B61" s="84">
        <f ca="1">OFFSET('55'!$D$4,$A$3,0)</f>
        <v>1204320</v>
      </c>
      <c r="C61" s="76">
        <f ca="1">OFFSET('55'!$E$4,$A$3,0)</f>
        <v>10192869.000000002</v>
      </c>
      <c r="D61" s="144">
        <f ca="1">OFFSET('55'!$F$4,$A$3,0)</f>
        <v>8.4600000000000009</v>
      </c>
      <c r="E61" s="76">
        <f ca="1">OFFSET('55'!$E$66,$A$3,0)</f>
        <v>4696028</v>
      </c>
      <c r="F61" s="144">
        <f ca="1">OFFSET('55'!$F$66,$A$3,0)</f>
        <v>3.9</v>
      </c>
      <c r="G61" s="76">
        <f ca="1">IFERROR('55'!$F$100*'Discipline Analysis'!$B61,"")</f>
        <v>240864</v>
      </c>
      <c r="H61" s="144">
        <f>'55'!$F$100</f>
        <v>0.2</v>
      </c>
      <c r="I61" s="76">
        <f ca="1">IFERROR('55'!$F$98*'Discipline Analysis'!$B61,"")</f>
        <v>1613788.8</v>
      </c>
      <c r="J61" s="144">
        <f>'55'!$F$98</f>
        <v>1.34</v>
      </c>
      <c r="K61" s="76">
        <f ca="1">IFERROR('55'!$F$99*'Discipline Analysis'!$B61,"")</f>
        <v>722592</v>
      </c>
      <c r="L61" s="144">
        <f>'55'!$F$99</f>
        <v>0.6</v>
      </c>
      <c r="M61" s="76">
        <f ca="1">OFFSET('55'!$E$35,$A$3,0)</f>
        <v>2064129</v>
      </c>
      <c r="N61" s="144">
        <f ca="1">OFFSET('55'!$F$35,$A$3,0)</f>
        <v>1.71</v>
      </c>
      <c r="O61" s="76">
        <f ca="1">IFERROR('55'!$F$101*'Discipline Analysis'!$B61,"")</f>
        <v>361296</v>
      </c>
      <c r="P61" s="144">
        <f>'55'!$F$101</f>
        <v>0.3</v>
      </c>
      <c r="Q61" s="76" t="str">
        <f ca="1">IFERROR('55'!$F$102*'Discipline Analysis'!$B61,"")</f>
        <v/>
      </c>
      <c r="R61" s="144" t="str">
        <f>'55'!$F$102</f>
        <v/>
      </c>
      <c r="S61" s="76" t="str">
        <f ca="1">IFERROR('55'!$F$103*'Discipline Analysis'!$B61,"")</f>
        <v/>
      </c>
      <c r="T61" s="144" t="str">
        <f>'55'!$F$103</f>
        <v/>
      </c>
      <c r="U61" s="76">
        <f ca="1">IFERROR('55'!$F$104*'Discipline Analysis'!$B61,"")</f>
        <v>505814.39999999997</v>
      </c>
      <c r="V61" s="149">
        <f>'55'!$F$104</f>
        <v>0.42</v>
      </c>
      <c r="Y61" s="151"/>
    </row>
    <row r="62" spans="1:25" x14ac:dyDescent="0.2">
      <c r="A62" s="91" t="s">
        <v>944</v>
      </c>
      <c r="B62" s="84">
        <f ca="1">OFFSET('56'!$D$4,$A$3,0)</f>
        <v>773472</v>
      </c>
      <c r="C62" s="76">
        <f ca="1">OFFSET('56'!$E$4,$A$3,0)</f>
        <v>5876647</v>
      </c>
      <c r="D62" s="144">
        <f ca="1">OFFSET('56'!$F$4,$A$3,0)</f>
        <v>7.6</v>
      </c>
      <c r="E62" s="76">
        <f ca="1">OFFSET('56'!$E$66,$A$3,0)</f>
        <v>2559060</v>
      </c>
      <c r="F62" s="144">
        <f ca="1">OFFSET('56'!$F$66,$A$3,0)</f>
        <v>3.31</v>
      </c>
      <c r="G62" s="76">
        <f ca="1">IFERROR('56'!$F$100*'Discipline Analysis'!$B62,"")</f>
        <v>603308.16</v>
      </c>
      <c r="H62" s="144">
        <f>'56'!$F$100</f>
        <v>0.78</v>
      </c>
      <c r="I62" s="76">
        <f ca="1">IFERROR('56'!$F$98*'Discipline Analysis'!$B62,"")</f>
        <v>1276228.8</v>
      </c>
      <c r="J62" s="144">
        <f>'56'!$F$98</f>
        <v>1.65</v>
      </c>
      <c r="K62" s="76">
        <f ca="1">IFERROR('56'!$F$99*'Discipline Analysis'!$B62,"")</f>
        <v>464083.20000000001</v>
      </c>
      <c r="L62" s="144">
        <f>'56'!$F$99</f>
        <v>0.6</v>
      </c>
      <c r="M62" s="76">
        <f ca="1">OFFSET('56'!$E$35,$A$3,0)</f>
        <v>351094</v>
      </c>
      <c r="N62" s="144">
        <f ca="1">OFFSET('56'!$F$35,$A$3,0)</f>
        <v>0.45</v>
      </c>
      <c r="O62" s="76">
        <f ca="1">IFERROR('56'!$F$101*'Discipline Analysis'!$B62,"")</f>
        <v>371266.56</v>
      </c>
      <c r="P62" s="144">
        <f>'56'!$F$101</f>
        <v>0.48</v>
      </c>
      <c r="Q62" s="76" t="str">
        <f ca="1">IFERROR('56'!$F$102*'Discipline Analysis'!$B62,"")</f>
        <v/>
      </c>
      <c r="R62" s="144" t="str">
        <f>'56'!$F$102</f>
        <v/>
      </c>
      <c r="S62" s="76" t="str">
        <f ca="1">IFERROR('56'!$F$103*'Discipline Analysis'!$B62,"")</f>
        <v/>
      </c>
      <c r="T62" s="144" t="str">
        <f>'56'!$F$103</f>
        <v/>
      </c>
      <c r="U62" s="76">
        <f ca="1">IFERROR('56'!$F$104*'Discipline Analysis'!$B62,"")</f>
        <v>255245.76</v>
      </c>
      <c r="V62" s="149">
        <f>'56'!$F$104</f>
        <v>0.33</v>
      </c>
    </row>
    <row r="63" spans="1:25" x14ac:dyDescent="0.2">
      <c r="A63" s="72" t="s">
        <v>945</v>
      </c>
      <c r="B63" s="84">
        <f ca="1">OFFSET('57'!$D$4,$A$3,0)</f>
        <v>1359194</v>
      </c>
      <c r="C63" s="76">
        <f ca="1">OFFSET('57'!$E$4,$A$3,0)</f>
        <v>10804164.000000002</v>
      </c>
      <c r="D63" s="144">
        <f ca="1">OFFSET('57'!$F$4,$A$3,0)</f>
        <v>7.95</v>
      </c>
      <c r="E63" s="76">
        <f ca="1">OFFSET('57'!$E$66,$A$3,0)</f>
        <v>4361246</v>
      </c>
      <c r="F63" s="144">
        <f ca="1">OFFSET('57'!$F$66,$A$3,0)</f>
        <v>3.21</v>
      </c>
      <c r="G63" s="76">
        <f ca="1">IFERROR('57'!$F$100*'Discipline Analysis'!$B63,"")</f>
        <v>516493.72000000003</v>
      </c>
      <c r="H63" s="144">
        <f>'57'!$F$100</f>
        <v>0.38</v>
      </c>
      <c r="I63" s="76">
        <f ca="1">IFERROR('57'!$F$98*'Discipline Analysis'!$B63,"")</f>
        <v>2310629.7999999998</v>
      </c>
      <c r="J63" s="144">
        <f>'57'!$F$98</f>
        <v>1.7</v>
      </c>
      <c r="K63" s="76">
        <f ca="1">IFERROR('57'!$F$99*'Discipline Analysis'!$B63,"")</f>
        <v>638821.17999999993</v>
      </c>
      <c r="L63" s="144">
        <f>'57'!$F$99</f>
        <v>0.47</v>
      </c>
      <c r="M63" s="76">
        <f ca="1">OFFSET('57'!$E$35,$A$3,0)</f>
        <v>2214318</v>
      </c>
      <c r="N63" s="144">
        <f ca="1">OFFSET('57'!$F$35,$A$3,0)</f>
        <v>1.63</v>
      </c>
      <c r="O63" s="76">
        <f ca="1">IFERROR('57'!$F$101*'Discipline Analysis'!$B63,"")</f>
        <v>231062.98</v>
      </c>
      <c r="P63" s="144">
        <f>'57'!$F$101</f>
        <v>0.17</v>
      </c>
      <c r="Q63" s="76" t="str">
        <f ca="1">IFERROR('57'!$F$102*'Discipline Analysis'!$B63,"")</f>
        <v/>
      </c>
      <c r="R63" s="144" t="str">
        <f>'57'!$F$102</f>
        <v/>
      </c>
      <c r="S63" s="76" t="str">
        <f ca="1">IFERROR('57'!$F$103*'Discipline Analysis'!$B63,"")</f>
        <v/>
      </c>
      <c r="T63" s="144" t="str">
        <f>'57'!$F$103</f>
        <v/>
      </c>
      <c r="U63" s="76">
        <f ca="1">IFERROR('57'!$F$104*'Discipline Analysis'!$B63,"")</f>
        <v>530085.66</v>
      </c>
      <c r="V63" s="149">
        <f>'57'!$F$104</f>
        <v>0.39</v>
      </c>
      <c r="Y63" s="151"/>
    </row>
    <row r="64" spans="1:25" ht="15" thickBot="1" x14ac:dyDescent="0.25">
      <c r="A64" s="81" t="s">
        <v>35</v>
      </c>
      <c r="B64" s="79">
        <f ca="1">OFFSET(Summary!$D$4,$A$3,0)</f>
        <v>244475951</v>
      </c>
      <c r="C64" s="78">
        <f ca="1">OFFSET(Summary!$E$4,$A$3,0)</f>
        <v>1673586674.0000098</v>
      </c>
      <c r="D64" s="146">
        <f ca="1">MEDIAN(D7:D63)</f>
        <v>6.65</v>
      </c>
      <c r="E64" s="78">
        <f ca="1">OFFSET(Summary!$E$66,$A$3,0)</f>
        <v>703602770</v>
      </c>
      <c r="F64" s="146">
        <f ca="1">MEDIAN(F7:F63)</f>
        <v>2.77</v>
      </c>
      <c r="G64" s="78">
        <f ca="1">Summary!$F$100*B64</f>
        <v>48895190.200000003</v>
      </c>
      <c r="H64" s="146">
        <f>MEDIAN(H7:H63)</f>
        <v>0.2</v>
      </c>
      <c r="I64" s="78">
        <f ca="1">Summary!$F$98*'Discipline Analysis'!B64</f>
        <v>347155850.41999996</v>
      </c>
      <c r="J64" s="146">
        <f>MEDIAN(J7:J63)</f>
        <v>1.42</v>
      </c>
      <c r="K64" s="78">
        <f ca="1">Summary!$F$99*'Discipline Analysis'!B64</f>
        <v>136906532.56</v>
      </c>
      <c r="L64" s="146">
        <f>MEDIAN(L7:L63)</f>
        <v>0.56000000000000005</v>
      </c>
      <c r="M64" s="78">
        <f ca="1">OFFSET(Summary!$E$35,$A$3,0)</f>
        <v>192319415</v>
      </c>
      <c r="N64" s="146">
        <f ca="1">MEDIAN(N7:N63)</f>
        <v>0.66</v>
      </c>
      <c r="O64" s="78">
        <f ca="1">IFERROR(Summary!$F$101*'Discipline Analysis'!B64,"")</f>
        <v>75787544.810000002</v>
      </c>
      <c r="P64" s="146">
        <f>MEDIAN(P7:P63)</f>
        <v>0.31</v>
      </c>
      <c r="Q64" s="78">
        <f ca="1">Summary!$F$102*'Discipline Analysis'!B64</f>
        <v>14668557.059999999</v>
      </c>
      <c r="R64" s="146">
        <f>MEDIAN(R7:R63)</f>
        <v>0.06</v>
      </c>
      <c r="S64" s="78">
        <f ca="1">Summary!$F$103*'Discipline Analysis'!B64</f>
        <v>0</v>
      </c>
      <c r="T64" s="146">
        <f>MEDIAN(T7:T63)</f>
        <v>0</v>
      </c>
      <c r="U64" s="77">
        <f ca="1">Summary!$F$104*'Discipline Analysis'!B64</f>
        <v>95345620.890000001</v>
      </c>
      <c r="V64" s="150">
        <f>MEDIAN(V7:V63)</f>
        <v>0.39</v>
      </c>
    </row>
    <row r="65" spans="2:22" x14ac:dyDescent="0.2">
      <c r="C65" s="2"/>
      <c r="D65" s="2"/>
      <c r="E65" s="2"/>
      <c r="F65" s="2"/>
      <c r="G65" s="2"/>
      <c r="H65" s="2"/>
      <c r="I65" s="2"/>
      <c r="J65" s="2"/>
      <c r="K65" s="2"/>
      <c r="L65" s="2"/>
      <c r="M65" s="2"/>
      <c r="N65" s="2"/>
      <c r="O65" s="2"/>
      <c r="P65" s="2"/>
      <c r="Q65" s="2"/>
      <c r="R65" s="2"/>
      <c r="S65" s="2"/>
      <c r="T65" s="2"/>
      <c r="U65" s="2"/>
      <c r="V65" s="2"/>
    </row>
    <row r="66" spans="2:22" ht="15" customHeight="1" x14ac:dyDescent="0.2">
      <c r="C66" s="64"/>
      <c r="G66" s="64"/>
      <c r="I66" s="64"/>
      <c r="K66" s="64"/>
      <c r="M66" s="64"/>
      <c r="O66" s="64"/>
      <c r="Q66" s="64"/>
      <c r="S66" s="64"/>
      <c r="U66" s="64"/>
    </row>
    <row r="80" spans="2:22" x14ac:dyDescent="0.2">
      <c r="B80" s="86"/>
      <c r="C80" s="86"/>
      <c r="D80" s="86"/>
      <c r="E80" s="86"/>
      <c r="F80" s="86"/>
      <c r="G80" s="86"/>
      <c r="H80" s="86"/>
      <c r="I80" s="86"/>
      <c r="J80" s="86"/>
      <c r="K80" s="86"/>
      <c r="L80" s="86"/>
      <c r="M80" s="86"/>
      <c r="N80" s="86"/>
      <c r="O80" s="86"/>
      <c r="P80" s="86"/>
      <c r="Q80" s="86"/>
      <c r="R80" s="86"/>
      <c r="S80" s="86"/>
      <c r="T80" s="86"/>
      <c r="U80" s="86"/>
      <c r="V80" s="86"/>
    </row>
    <row r="81" spans="2:21" x14ac:dyDescent="0.2">
      <c r="B81" s="87"/>
      <c r="C81" s="87"/>
      <c r="D81" s="87"/>
      <c r="E81" s="87"/>
      <c r="F81" s="87"/>
      <c r="G81" s="87"/>
      <c r="H81" s="87"/>
      <c r="I81" s="87"/>
      <c r="K81" s="87"/>
      <c r="L81" s="87"/>
      <c r="M81" s="87"/>
      <c r="N81" s="87"/>
      <c r="O81" s="87"/>
      <c r="P81" s="87"/>
      <c r="Q81" s="87"/>
      <c r="R81" s="87"/>
      <c r="S81" s="87"/>
      <c r="U81" s="87"/>
    </row>
    <row r="82" spans="2:21" x14ac:dyDescent="0.2">
      <c r="B82" s="87"/>
      <c r="C82" s="87"/>
      <c r="D82" s="87"/>
      <c r="E82" s="87"/>
      <c r="F82" s="87"/>
      <c r="G82" s="87"/>
      <c r="H82" s="87"/>
      <c r="I82" s="87"/>
      <c r="K82" s="87"/>
      <c r="L82" s="87"/>
      <c r="M82" s="87"/>
      <c r="N82" s="87"/>
      <c r="O82" s="87"/>
      <c r="P82" s="87"/>
      <c r="Q82" s="87"/>
      <c r="R82" s="87"/>
      <c r="S82" s="87"/>
      <c r="U82" s="87"/>
    </row>
    <row r="83" spans="2:21" x14ac:dyDescent="0.2">
      <c r="B83" s="87"/>
      <c r="C83" s="87"/>
      <c r="D83" s="87"/>
      <c r="E83" s="87"/>
      <c r="F83" s="87"/>
      <c r="G83" s="87"/>
      <c r="H83" s="87"/>
      <c r="I83" s="87"/>
      <c r="K83" s="87"/>
      <c r="L83" s="87"/>
      <c r="M83" s="87"/>
      <c r="N83" s="87"/>
      <c r="O83" s="87"/>
      <c r="P83" s="87"/>
      <c r="Q83" s="87"/>
      <c r="R83" s="87"/>
      <c r="S83" s="87"/>
      <c r="U83" s="87"/>
    </row>
    <row r="84" spans="2:21" x14ac:dyDescent="0.2">
      <c r="B84" s="87"/>
      <c r="C84" s="87"/>
      <c r="D84" s="87"/>
      <c r="E84" s="87"/>
      <c r="F84" s="87"/>
      <c r="G84" s="87"/>
      <c r="H84" s="87"/>
      <c r="I84" s="87"/>
      <c r="K84" s="87"/>
      <c r="L84" s="87"/>
      <c r="M84" s="87"/>
      <c r="N84" s="87"/>
      <c r="O84" s="87"/>
      <c r="P84" s="87"/>
      <c r="Q84" s="87"/>
      <c r="R84" s="87"/>
      <c r="S84" s="87"/>
      <c r="U84" s="87"/>
    </row>
    <row r="85" spans="2:21" x14ac:dyDescent="0.2">
      <c r="B85" s="87"/>
      <c r="C85" s="87"/>
      <c r="D85" s="87"/>
      <c r="E85" s="87"/>
      <c r="F85" s="87"/>
      <c r="G85" s="87"/>
      <c r="H85" s="87"/>
      <c r="I85" s="87"/>
      <c r="K85" s="87"/>
      <c r="L85" s="87"/>
      <c r="M85" s="87"/>
      <c r="N85" s="87"/>
      <c r="O85" s="87"/>
      <c r="P85" s="87"/>
      <c r="Q85" s="87"/>
      <c r="R85" s="87"/>
      <c r="S85" s="87"/>
      <c r="U85" s="87"/>
    </row>
    <row r="86" spans="2:21" x14ac:dyDescent="0.2">
      <c r="B86" s="87"/>
      <c r="C86" s="87"/>
      <c r="D86" s="87"/>
      <c r="E86" s="87"/>
      <c r="F86" s="87"/>
      <c r="G86" s="87"/>
      <c r="H86" s="87"/>
      <c r="I86" s="87"/>
      <c r="K86" s="87"/>
      <c r="L86" s="87"/>
      <c r="M86" s="87"/>
      <c r="N86" s="87"/>
      <c r="O86" s="87"/>
      <c r="P86" s="87"/>
      <c r="Q86" s="87"/>
      <c r="R86" s="87"/>
      <c r="S86" s="87"/>
      <c r="U86" s="87"/>
    </row>
    <row r="87" spans="2:21" x14ac:dyDescent="0.2">
      <c r="B87" s="87"/>
      <c r="C87" s="87"/>
      <c r="D87" s="87"/>
      <c r="E87" s="87"/>
      <c r="F87" s="87"/>
      <c r="G87" s="87"/>
      <c r="H87" s="87"/>
      <c r="I87" s="87"/>
      <c r="K87" s="87"/>
      <c r="L87" s="87"/>
      <c r="M87" s="87"/>
      <c r="N87" s="87"/>
      <c r="O87" s="87"/>
      <c r="P87" s="87"/>
      <c r="Q87" s="87"/>
      <c r="R87" s="87"/>
      <c r="S87" s="87"/>
      <c r="U87" s="85"/>
    </row>
    <row r="88" spans="2:21" x14ac:dyDescent="0.2">
      <c r="B88" s="87"/>
      <c r="C88" s="87"/>
      <c r="D88" s="87"/>
      <c r="E88" s="87"/>
      <c r="F88" s="87"/>
      <c r="G88" s="87"/>
      <c r="H88" s="87"/>
      <c r="I88" s="87"/>
      <c r="K88" s="87"/>
      <c r="L88" s="87"/>
      <c r="M88" s="87"/>
      <c r="N88" s="87"/>
      <c r="O88" s="87"/>
      <c r="P88" s="87"/>
      <c r="Q88" s="87"/>
      <c r="R88" s="87"/>
      <c r="S88" s="87"/>
      <c r="U88" s="87"/>
    </row>
    <row r="89" spans="2:21" x14ac:dyDescent="0.2">
      <c r="B89" s="87"/>
      <c r="C89" s="87"/>
      <c r="D89" s="87"/>
      <c r="E89" s="87"/>
      <c r="F89" s="87"/>
      <c r="G89" s="87"/>
      <c r="H89" s="87"/>
      <c r="I89" s="87"/>
      <c r="K89" s="87"/>
      <c r="L89" s="87"/>
      <c r="M89" s="87"/>
      <c r="N89" s="87"/>
      <c r="O89" s="87"/>
      <c r="P89" s="87"/>
      <c r="Q89" s="87"/>
      <c r="R89" s="87"/>
      <c r="S89" s="87"/>
      <c r="U89" s="87"/>
    </row>
    <row r="90" spans="2:21" x14ac:dyDescent="0.2">
      <c r="B90" s="87"/>
      <c r="C90" s="87"/>
      <c r="D90" s="87"/>
      <c r="E90" s="87"/>
      <c r="F90" s="87"/>
      <c r="G90" s="87"/>
      <c r="H90" s="87"/>
      <c r="I90" s="87"/>
      <c r="K90" s="87"/>
      <c r="L90" s="87"/>
      <c r="M90" s="87"/>
      <c r="N90" s="87"/>
      <c r="O90" s="87"/>
      <c r="P90" s="87"/>
      <c r="Q90" s="87"/>
      <c r="R90" s="87"/>
      <c r="S90" s="87"/>
      <c r="U90" s="87"/>
    </row>
  </sheetData>
  <mergeCells count="11">
    <mergeCell ref="O5:P5"/>
    <mergeCell ref="Q5:R5"/>
    <mergeCell ref="S5:T5"/>
    <mergeCell ref="U5:V5"/>
    <mergeCell ref="B5:B6"/>
    <mergeCell ref="C5:D5"/>
    <mergeCell ref="E5:F5"/>
    <mergeCell ref="G5:H5"/>
    <mergeCell ref="I5:J5"/>
    <mergeCell ref="K5:L5"/>
    <mergeCell ref="M5:N5"/>
  </mergeCells>
  <pageMargins left="0.25" right="0.25" top="0.25" bottom="0.25" header="0.3" footer="0.3"/>
  <pageSetup scale="58" orientation="landscape" r:id="rId1"/>
  <colBreaks count="1" manualBreakCount="1">
    <brk id="12" max="62" man="1"/>
  </colBreaks>
  <drawing r:id="rId2"/>
  <legacyDrawing r:id="rId3"/>
  <mc:AlternateContent xmlns:mc="http://schemas.openxmlformats.org/markup-compatibility/2006">
    <mc:Choice Requires="x14">
      <controls>
        <mc:AlternateContent xmlns:mc="http://schemas.openxmlformats.org/markup-compatibility/2006">
          <mc:Choice Requires="x14">
            <control shapeId="63489" r:id="rId4" name="Drop Down 1">
              <controlPr defaultSize="0" autoLine="0" autoPict="0">
                <anchor moveWithCells="1" sizeWithCells="1">
                  <from>
                    <xdr:col>0</xdr:col>
                    <xdr:colOff>0</xdr:colOff>
                    <xdr:row>1</xdr:row>
                    <xdr:rowOff>171450</xdr:rowOff>
                  </from>
                  <to>
                    <xdr:col>3</xdr:col>
                    <xdr:colOff>314325</xdr:colOff>
                    <xdr:row>3</xdr:row>
                    <xdr:rowOff>85725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6"/>
  <sheetViews>
    <sheetView showGridLines="0" zoomScale="70" zoomScaleNormal="70" workbookViewId="0">
      <pane xSplit="1" ySplit="5" topLeftCell="B6" activePane="bottomRight" state="frozen"/>
      <selection pane="topRight" activeCell="B1" sqref="B1"/>
      <selection pane="bottomLeft" activeCell="A6" sqref="A6"/>
      <selection pane="bottomRight" activeCell="B6" sqref="B6"/>
    </sheetView>
  </sheetViews>
  <sheetFormatPr defaultRowHeight="15" x14ac:dyDescent="0.25"/>
  <cols>
    <col min="1" max="1" width="49" style="155" customWidth="1"/>
    <col min="2" max="2" width="23.5703125" style="155" customWidth="1"/>
    <col min="3" max="3" width="29.7109375" style="155" customWidth="1"/>
    <col min="4" max="5" width="18" style="155" customWidth="1"/>
    <col min="6" max="16384" width="9.140625" style="155"/>
  </cols>
  <sheetData>
    <row r="1" spans="1:6" x14ac:dyDescent="0.25">
      <c r="A1" s="115" t="str">
        <f>Summary!A1</f>
        <v>Community and Technical Colleges, Report of Fundable Operating Expenses, Fiscal Year (FY) 2003</v>
      </c>
      <c r="B1" s="124"/>
      <c r="C1" s="124"/>
      <c r="D1" s="124"/>
      <c r="E1" s="124"/>
      <c r="F1" s="124"/>
    </row>
    <row r="2" spans="1:6" x14ac:dyDescent="0.25">
      <c r="A2" s="116" t="s">
        <v>1025</v>
      </c>
      <c r="B2" s="118"/>
      <c r="C2" s="118"/>
      <c r="D2" s="118"/>
      <c r="E2" s="118"/>
      <c r="F2" s="118"/>
    </row>
    <row r="3" spans="1:6" ht="47.25" customHeight="1" thickBot="1" x14ac:dyDescent="0.3">
      <c r="A3" s="209" t="s">
        <v>1015</v>
      </c>
      <c r="B3" s="209"/>
      <c r="C3" s="209"/>
      <c r="D3" s="209"/>
      <c r="E3" s="209"/>
      <c r="F3" s="114"/>
    </row>
    <row r="4" spans="1:6" ht="60" customHeight="1" thickBot="1" x14ac:dyDescent="0.3">
      <c r="A4" s="112" t="s">
        <v>946</v>
      </c>
      <c r="B4" s="111" t="str">
        <f>"FY 2004 - 2005 Rates @ "&amp;TEXT(B5,"0.00%")&amp;" (Using FY 2003 CH)"</f>
        <v>FY 2004 - 2005 Rates @ 55.39% (Using FY 2003 CH)</v>
      </c>
      <c r="C4" s="110" t="str">
        <f>"Annual Budget Neutral Percent Funded "&amp;TEXT(C5,"0.00%")&amp;" (Using FY 2003 CH)"</f>
        <v>Annual Budget Neutral Percent Funded 55.93% (Using FY 2003 CH)</v>
      </c>
      <c r="D4" s="110" t="s">
        <v>51</v>
      </c>
      <c r="E4" s="106" t="s">
        <v>1016</v>
      </c>
    </row>
    <row r="5" spans="1:6" x14ac:dyDescent="0.25">
      <c r="A5" s="140" t="s">
        <v>1026</v>
      </c>
      <c r="B5" s="109">
        <v>0.5539190429337808</v>
      </c>
      <c r="C5" s="117">
        <v>0.55930858825322871</v>
      </c>
      <c r="D5" s="117">
        <f>C5-B5</f>
        <v>5.3895453194479082E-3</v>
      </c>
      <c r="E5" s="105"/>
    </row>
    <row r="6" spans="1:6" x14ac:dyDescent="0.25">
      <c r="A6" s="93" t="s">
        <v>395</v>
      </c>
      <c r="B6" s="107">
        <f>$B$5*('Rate History'!$D$4*SUMIF(Data!$G:$G,Neutral!$A6,Data!$CU:$CU)+'Rate History'!$D$5*SUMIF(Data!$G:$G,Neutral!$A6,Data!$CV:$CV)+'Rate History'!$D$6*SUMIF(Data!$G:$G,Neutral!$A6,Data!$CW:$CW)+'Rate History'!$D$7*SUMIF(Data!$G:$G,Neutral!$A6,Data!$CX:$CX)+'Rate History'!$D$8*SUMIF(Data!$G:$G,Neutral!$A6,Data!$CY:$CY)+'Rate History'!$D$9*SUMIF(Data!$G:$G,Neutral!$A6,Data!$CZ:$CZ)+'Rate History'!$D$10*SUMIF(Data!$G:$G,Neutral!$A6,Data!$DA:$DA)+'Rate History'!$D$11*SUMIF(Data!$G:$G,Neutral!$A6,Data!$DB:$DB)+'Rate History'!$D$12*SUMIF(Data!$G:$G,Neutral!$A6,Data!$DC:$DC)+'Rate History'!$D$13*SUMIF(Data!$G:$G,Neutral!$A6,Data!$DD:$DD)+'Rate History'!$D$14*SUMIF(Data!$G:$G,Neutral!$A6,Data!$DE:$DE)+'Rate History'!$D$15*SUMIF(Data!$G:$G,Neutral!$A6,Data!$DF:$DF)+'Rate History'!$D$16*SUMIF(Data!$G:$G,Neutral!$A6,Data!$DG:$DG)+'Rate History'!$D$17*SUMIF(Data!$G:$G,Neutral!$A6,Data!$DH:$DH)+'Rate History'!$D$18*SUMIF(Data!$G:$G,Neutral!$A6,Data!$DI:$DI)+'Rate History'!$D$19*SUMIF(Data!$G:$G,Neutral!$A6,Data!$DJ:$DJ)+'Rate History'!$D$20*SUMIF(Data!$G:$G,Neutral!$A6,Data!$DK:$DK)+'Rate History'!$D$21*SUMIF(Data!$G:$G,Neutral!$A6,Data!$DL:$DL)+'Rate History'!$D$22*SUMIF(Data!$G:$G,Neutral!$A6,Data!$DM:$DM)+'Rate History'!$D$23*SUMIF(Data!$G:$G,Neutral!$A6,Data!$DN:$DN)+'Rate History'!$D$24*SUMIF(Data!$G:$G,Neutral!$A6,Data!$DO:$DO)+'Rate History'!$D$25*SUMIF(Data!$G:$G,Neutral!$A6,Data!$DP:$DP)+'Rate History'!$D$26*SUMIF(Data!$G:$G,Neutral!$A6,Data!$DQ:$DQ)+'Rate History'!$D$27*SUMIF(Data!$G:$G,Neutral!$A6,Data!$DR:$DR)+'Rate History'!$D$28*SUMIF(Data!$G:$G,Neutral!$A6,Data!$DS:$DS)+'Rate History'!$D$29*SUMIF(Data!$G:$G,Neutral!$A6,Data!$DT:$DT)+'Rate History'!$D$30*SUMIF(Data!$G:$G,Neutral!$A6,Data!$DV:$DV)+'Rate History'!$D$31*SUMIF(Data!$G:$G,Neutral!$A6,Data!$DW:$DW))</f>
        <v>64851052.859009549</v>
      </c>
      <c r="C6" s="107">
        <f>$C$5*('Rate History'!$C$4*SUMIF(Data!$G:$G,Neutral!$A6,Data!$CU:$CU)+'Rate History'!$C$5*SUMIF(Data!$G:$G,Neutral!$A6,Data!$CV:$CV)+'Rate History'!$C$6*SUMIF(Data!$G:$G,Neutral!$A6,Data!$CW:$CW)+'Rate History'!$C$7*SUMIF(Data!$G:$G,Neutral!$A6,Data!$CX:$CX)+'Rate History'!$C$8*SUMIF(Data!$G:$G,Neutral!$A6,Data!$CY:$CY)+'Rate History'!$C$9*SUMIF(Data!$G:$G,Neutral!$A6,Data!$CZ:$CZ)+'Rate History'!$C$10*SUMIF(Data!$G:$G,Neutral!$A6,Data!$DA:$DA)+'Rate History'!$C$11*SUMIF(Data!$G:$G,Neutral!$A6,Data!$DB:$DB)+'Rate History'!$C$12*SUMIF(Data!$G:$G,Neutral!$A6,Data!$DC:$DC)+'Rate History'!$C$13*SUMIF(Data!$G:$G,Neutral!$A6,Data!$DD:$DD)+'Rate History'!$C$14*SUMIF(Data!$G:$G,Neutral!$A6,Data!$DE:$DE)+'Rate History'!$C$15*SUMIF(Data!$G:$G,Neutral!$A6,Data!$DF:$DF)+'Rate History'!$C$16*SUMIF(Data!$G:$G,Neutral!$A6,Data!$DG:$DG)+'Rate History'!$C$17*SUMIF(Data!$G:$G,Neutral!$A6,Data!$DH:$DH)+'Rate History'!$C$18*SUMIF(Data!$G:$G,Neutral!$A6,Data!$DI:$DI)+'Rate History'!$C$19*SUMIF(Data!$G:$G,Neutral!$A6,Data!$DJ:$DJ)+'Rate History'!$C$20*SUMIF(Data!$G:$G,Neutral!$A6,Data!$DK:$DK)+'Rate History'!$C$21*SUMIF(Data!$G:$G,Neutral!$A6,Data!$DL:$DL)+'Rate History'!$C$22*SUMIF(Data!$G:$G,Neutral!$A6,Data!$DM:$DM)+'Rate History'!$C$23*SUMIF(Data!$G:$G,Neutral!$A6,Data!$DN:$DN)+'Rate History'!$C$24*SUMIF(Data!$G:$G,Neutral!$A6,Data!$DO:$DO)+'Rate History'!$C$25*SUMIF(Data!$G:$G,Neutral!$A6,Data!$DP:$DP)+'Rate History'!$C$26*SUMIF(Data!$G:$G,Neutral!$A6,Data!$DQ:$DQ)+'Rate History'!$C$27*SUMIF(Data!$G:$G,Neutral!$A6,Data!$DR:$DR)+'Rate History'!$C$28*SUMIF(Data!$G:$G,Neutral!$A6,Data!$DS:$DS)+'Rate History'!$C$29*SUMIF(Data!$G:$G,Neutral!$A6,Data!$DT:$DT)+'Rate History'!$C$30*SUMIF(Data!$G:$G,Neutral!$A6,Data!$DV:$DV)+'Rate History'!$C$31*SUMIF(Data!$G:$G,Neutral!$A6,Data!$DW:$DW))</f>
        <v>64767176.757262349</v>
      </c>
      <c r="D6" s="108">
        <f>C6-B6</f>
        <v>-83876.101747199893</v>
      </c>
      <c r="E6" s="100">
        <f t="shared" ref="E6:E63" si="0">IFERROR(D6/B6,"")</f>
        <v>-1.2933653047939261E-3</v>
      </c>
    </row>
    <row r="7" spans="1:6" x14ac:dyDescent="0.25">
      <c r="A7" s="93" t="s">
        <v>351</v>
      </c>
      <c r="B7" s="113">
        <f>$B$5*('Rate History'!$D$4*SUMIF(Data!$G:$G,Neutral!$A7,Data!$CU:$CU)+'Rate History'!$D$5*SUMIF(Data!$G:$G,Neutral!$A7,Data!$CV:$CV)+'Rate History'!$D$6*SUMIF(Data!$G:$G,Neutral!$A7,Data!$CW:$CW)+'Rate History'!$D$7*SUMIF(Data!$G:$G,Neutral!$A7,Data!$CX:$CX)+'Rate History'!$D$8*SUMIF(Data!$G:$G,Neutral!$A7,Data!$CY:$CY)+'Rate History'!$D$9*SUMIF(Data!$G:$G,Neutral!$A7,Data!$CZ:$CZ)+'Rate History'!$D$10*SUMIF(Data!$G:$G,Neutral!$A7,Data!$DA:$DA)+'Rate History'!$D$11*SUMIF(Data!$G:$G,Neutral!$A7,Data!$DB:$DB)+'Rate History'!$D$12*SUMIF(Data!$G:$G,Neutral!$A7,Data!$DC:$DC)+'Rate History'!$D$13*SUMIF(Data!$G:$G,Neutral!$A7,Data!$DD:$DD)+'Rate History'!$D$14*SUMIF(Data!$G:$G,Neutral!$A7,Data!$DE:$DE)+'Rate History'!$D$15*SUMIF(Data!$G:$G,Neutral!$A7,Data!$DF:$DF)+'Rate History'!$D$16*SUMIF(Data!$G:$G,Neutral!$A7,Data!$DG:$DG)+'Rate History'!$D$17*SUMIF(Data!$G:$G,Neutral!$A7,Data!$DH:$DH)+'Rate History'!$D$18*SUMIF(Data!$G:$G,Neutral!$A7,Data!$DI:$DI)+'Rate History'!$D$19*SUMIF(Data!$G:$G,Neutral!$A7,Data!$DJ:$DJ)+'Rate History'!$D$20*SUMIF(Data!$G:$G,Neutral!$A7,Data!$DK:$DK)+'Rate History'!$D$21*SUMIF(Data!$G:$G,Neutral!$A7,Data!$DL:$DL)+'Rate History'!$D$22*SUMIF(Data!$G:$G,Neutral!$A7,Data!$DM:$DM)+'Rate History'!$D$23*SUMIF(Data!$G:$G,Neutral!$A7,Data!$DN:$DN)+'Rate History'!$D$24*SUMIF(Data!$G:$G,Neutral!$A7,Data!$DO:$DO)+'Rate History'!$D$25*SUMIF(Data!$G:$G,Neutral!$A7,Data!$DP:$DP)+'Rate History'!$D$26*SUMIF(Data!$G:$G,Neutral!$A7,Data!$DQ:$DQ)+'Rate History'!$D$27*SUMIF(Data!$G:$G,Neutral!$A7,Data!$DR:$DR)+'Rate History'!$D$28*SUMIF(Data!$G:$G,Neutral!$A7,Data!$DS:$DS)+'Rate History'!$D$29*SUMIF(Data!$G:$G,Neutral!$A7,Data!$DT:$DT)+'Rate History'!$D$30*SUMIF(Data!$G:$G,Neutral!$A7,Data!$DV:$DV)+'Rate History'!$D$31*SUMIF(Data!$G:$G,Neutral!$A7,Data!$DW:$DW))</f>
        <v>8613359.7136777416</v>
      </c>
      <c r="C7" s="113">
        <f>$C$5*('Rate History'!$C$4*SUMIF(Data!$G:$G,Neutral!$A7,Data!$CU:$CU)+'Rate History'!$C$5*SUMIF(Data!$G:$G,Neutral!$A7,Data!$CV:$CV)+'Rate History'!$C$6*SUMIF(Data!$G:$G,Neutral!$A7,Data!$CW:$CW)+'Rate History'!$C$7*SUMIF(Data!$G:$G,Neutral!$A7,Data!$CX:$CX)+'Rate History'!$C$8*SUMIF(Data!$G:$G,Neutral!$A7,Data!$CY:$CY)+'Rate History'!$C$9*SUMIF(Data!$G:$G,Neutral!$A7,Data!$CZ:$CZ)+'Rate History'!$C$10*SUMIF(Data!$G:$G,Neutral!$A7,Data!$DA:$DA)+'Rate History'!$C$11*SUMIF(Data!$G:$G,Neutral!$A7,Data!$DB:$DB)+'Rate History'!$C$12*SUMIF(Data!$G:$G,Neutral!$A7,Data!$DC:$DC)+'Rate History'!$C$13*SUMIF(Data!$G:$G,Neutral!$A7,Data!$DD:$DD)+'Rate History'!$C$14*SUMIF(Data!$G:$G,Neutral!$A7,Data!$DE:$DE)+'Rate History'!$C$15*SUMIF(Data!$G:$G,Neutral!$A7,Data!$DF:$DF)+'Rate History'!$C$16*SUMIF(Data!$G:$G,Neutral!$A7,Data!$DG:$DG)+'Rate History'!$C$17*SUMIF(Data!$G:$G,Neutral!$A7,Data!$DH:$DH)+'Rate History'!$C$18*SUMIF(Data!$G:$G,Neutral!$A7,Data!$DI:$DI)+'Rate History'!$C$19*SUMIF(Data!$G:$G,Neutral!$A7,Data!$DJ:$DJ)+'Rate History'!$C$20*SUMIF(Data!$G:$G,Neutral!$A7,Data!$DK:$DK)+'Rate History'!$C$21*SUMIF(Data!$G:$G,Neutral!$A7,Data!$DL:$DL)+'Rate History'!$C$22*SUMIF(Data!$G:$G,Neutral!$A7,Data!$DM:$DM)+'Rate History'!$C$23*SUMIF(Data!$G:$G,Neutral!$A7,Data!$DN:$DN)+'Rate History'!$C$24*SUMIF(Data!$G:$G,Neutral!$A7,Data!$DO:$DO)+'Rate History'!$C$25*SUMIF(Data!$G:$G,Neutral!$A7,Data!$DP:$DP)+'Rate History'!$C$26*SUMIF(Data!$G:$G,Neutral!$A7,Data!$DQ:$DQ)+'Rate History'!$C$27*SUMIF(Data!$G:$G,Neutral!$A7,Data!$DR:$DR)+'Rate History'!$C$28*SUMIF(Data!$G:$G,Neutral!$A7,Data!$DS:$DS)+'Rate History'!$C$29*SUMIF(Data!$G:$G,Neutral!$A7,Data!$DT:$DT)+'Rate History'!$C$30*SUMIF(Data!$G:$G,Neutral!$A7,Data!$DV:$DV)+'Rate History'!$C$31*SUMIF(Data!$G:$G,Neutral!$A7,Data!$DW:$DW))</f>
        <v>8599589.8057085332</v>
      </c>
      <c r="D7" s="98">
        <f t="shared" ref="D7:D63" si="1">C7-B7</f>
        <v>-13769.907969208434</v>
      </c>
      <c r="E7" s="100">
        <f t="shared" si="0"/>
        <v>-1.5986686295409512E-3</v>
      </c>
    </row>
    <row r="8" spans="1:6" x14ac:dyDescent="0.25">
      <c r="A8" s="93" t="s">
        <v>353</v>
      </c>
      <c r="B8" s="113">
        <f>$B$5*('Rate History'!$D$4*SUMIF(Data!$G:$G,Neutral!$A8,Data!$CU:$CU)+'Rate History'!$D$5*SUMIF(Data!$G:$G,Neutral!$A8,Data!$CV:$CV)+'Rate History'!$D$6*SUMIF(Data!$G:$G,Neutral!$A8,Data!$CW:$CW)+'Rate History'!$D$7*SUMIF(Data!$G:$G,Neutral!$A8,Data!$CX:$CX)+'Rate History'!$D$8*SUMIF(Data!$G:$G,Neutral!$A8,Data!$CY:$CY)+'Rate History'!$D$9*SUMIF(Data!$G:$G,Neutral!$A8,Data!$CZ:$CZ)+'Rate History'!$D$10*SUMIF(Data!$G:$G,Neutral!$A8,Data!$DA:$DA)+'Rate History'!$D$11*SUMIF(Data!$G:$G,Neutral!$A8,Data!$DB:$DB)+'Rate History'!$D$12*SUMIF(Data!$G:$G,Neutral!$A8,Data!$DC:$DC)+'Rate History'!$D$13*SUMIF(Data!$G:$G,Neutral!$A8,Data!$DD:$DD)+'Rate History'!$D$14*SUMIF(Data!$G:$G,Neutral!$A8,Data!$DE:$DE)+'Rate History'!$D$15*SUMIF(Data!$G:$G,Neutral!$A8,Data!$DF:$DF)+'Rate History'!$D$16*SUMIF(Data!$G:$G,Neutral!$A8,Data!$DG:$DG)+'Rate History'!$D$17*SUMIF(Data!$G:$G,Neutral!$A8,Data!$DH:$DH)+'Rate History'!$D$18*SUMIF(Data!$G:$G,Neutral!$A8,Data!$DI:$DI)+'Rate History'!$D$19*SUMIF(Data!$G:$G,Neutral!$A8,Data!$DJ:$DJ)+'Rate History'!$D$20*SUMIF(Data!$G:$G,Neutral!$A8,Data!$DK:$DK)+'Rate History'!$D$21*SUMIF(Data!$G:$G,Neutral!$A8,Data!$DL:$DL)+'Rate History'!$D$22*SUMIF(Data!$G:$G,Neutral!$A8,Data!$DM:$DM)+'Rate History'!$D$23*SUMIF(Data!$G:$G,Neutral!$A8,Data!$DN:$DN)+'Rate History'!$D$24*SUMIF(Data!$G:$G,Neutral!$A8,Data!$DO:$DO)+'Rate History'!$D$25*SUMIF(Data!$G:$G,Neutral!$A8,Data!$DP:$DP)+'Rate History'!$D$26*SUMIF(Data!$G:$G,Neutral!$A8,Data!$DQ:$DQ)+'Rate History'!$D$27*SUMIF(Data!$G:$G,Neutral!$A8,Data!$DR:$DR)+'Rate History'!$D$28*SUMIF(Data!$G:$G,Neutral!$A8,Data!$DS:$DS)+'Rate History'!$D$29*SUMIF(Data!$G:$G,Neutral!$A8,Data!$DT:$DT)+'Rate History'!$D$30*SUMIF(Data!$G:$G,Neutral!$A8,Data!$DV:$DV)+'Rate History'!$D$31*SUMIF(Data!$G:$G,Neutral!$A8,Data!$DW:$DW))</f>
        <v>16617843.334272977</v>
      </c>
      <c r="C8" s="113">
        <f>$C$5*('Rate History'!$C$4*SUMIF(Data!$G:$G,Neutral!$A8,Data!$CU:$CU)+'Rate History'!$C$5*SUMIF(Data!$G:$G,Neutral!$A8,Data!$CV:$CV)+'Rate History'!$C$6*SUMIF(Data!$G:$G,Neutral!$A8,Data!$CW:$CW)+'Rate History'!$C$7*SUMIF(Data!$G:$G,Neutral!$A8,Data!$CX:$CX)+'Rate History'!$C$8*SUMIF(Data!$G:$G,Neutral!$A8,Data!$CY:$CY)+'Rate History'!$C$9*SUMIF(Data!$G:$G,Neutral!$A8,Data!$CZ:$CZ)+'Rate History'!$C$10*SUMIF(Data!$G:$G,Neutral!$A8,Data!$DA:$DA)+'Rate History'!$C$11*SUMIF(Data!$G:$G,Neutral!$A8,Data!$DB:$DB)+'Rate History'!$C$12*SUMIF(Data!$G:$G,Neutral!$A8,Data!$DC:$DC)+'Rate History'!$C$13*SUMIF(Data!$G:$G,Neutral!$A8,Data!$DD:$DD)+'Rate History'!$C$14*SUMIF(Data!$G:$G,Neutral!$A8,Data!$DE:$DE)+'Rate History'!$C$15*SUMIF(Data!$G:$G,Neutral!$A8,Data!$DF:$DF)+'Rate History'!$C$16*SUMIF(Data!$G:$G,Neutral!$A8,Data!$DG:$DG)+'Rate History'!$C$17*SUMIF(Data!$G:$G,Neutral!$A8,Data!$DH:$DH)+'Rate History'!$C$18*SUMIF(Data!$G:$G,Neutral!$A8,Data!$DI:$DI)+'Rate History'!$C$19*SUMIF(Data!$G:$G,Neutral!$A8,Data!$DJ:$DJ)+'Rate History'!$C$20*SUMIF(Data!$G:$G,Neutral!$A8,Data!$DK:$DK)+'Rate History'!$C$21*SUMIF(Data!$G:$G,Neutral!$A8,Data!$DL:$DL)+'Rate History'!$C$22*SUMIF(Data!$G:$G,Neutral!$A8,Data!$DM:$DM)+'Rate History'!$C$23*SUMIF(Data!$G:$G,Neutral!$A8,Data!$DN:$DN)+'Rate History'!$C$24*SUMIF(Data!$G:$G,Neutral!$A8,Data!$DO:$DO)+'Rate History'!$C$25*SUMIF(Data!$G:$G,Neutral!$A8,Data!$DP:$DP)+'Rate History'!$C$26*SUMIF(Data!$G:$G,Neutral!$A8,Data!$DQ:$DQ)+'Rate History'!$C$27*SUMIF(Data!$G:$G,Neutral!$A8,Data!$DR:$DR)+'Rate History'!$C$28*SUMIF(Data!$G:$G,Neutral!$A8,Data!$DS:$DS)+'Rate History'!$C$29*SUMIF(Data!$G:$G,Neutral!$A8,Data!$DT:$DT)+'Rate History'!$C$30*SUMIF(Data!$G:$G,Neutral!$A8,Data!$DV:$DV)+'Rate History'!$C$31*SUMIF(Data!$G:$G,Neutral!$A8,Data!$DW:$DW))</f>
        <v>16544928.244887615</v>
      </c>
      <c r="D8" s="98">
        <f t="shared" si="1"/>
        <v>-72915.089385362342</v>
      </c>
      <c r="E8" s="100">
        <f t="shared" si="0"/>
        <v>-4.3877588636896574E-3</v>
      </c>
    </row>
    <row r="9" spans="1:6" x14ac:dyDescent="0.25">
      <c r="A9" s="93" t="s">
        <v>422</v>
      </c>
      <c r="B9" s="113">
        <f>$B$5*('Rate History'!$D$4*SUMIF(Data!$G:$G,Neutral!$A9,Data!$CU:$CU)+'Rate History'!$D$5*SUMIF(Data!$G:$G,Neutral!$A9,Data!$CV:$CV)+'Rate History'!$D$6*SUMIF(Data!$G:$G,Neutral!$A9,Data!$CW:$CW)+'Rate History'!$D$7*SUMIF(Data!$G:$G,Neutral!$A9,Data!$CX:$CX)+'Rate History'!$D$8*SUMIF(Data!$G:$G,Neutral!$A9,Data!$CY:$CY)+'Rate History'!$D$9*SUMIF(Data!$G:$G,Neutral!$A9,Data!$CZ:$CZ)+'Rate History'!$D$10*SUMIF(Data!$G:$G,Neutral!$A9,Data!$DA:$DA)+'Rate History'!$D$11*SUMIF(Data!$G:$G,Neutral!$A9,Data!$DB:$DB)+'Rate History'!$D$12*SUMIF(Data!$G:$G,Neutral!$A9,Data!$DC:$DC)+'Rate History'!$D$13*SUMIF(Data!$G:$G,Neutral!$A9,Data!$DD:$DD)+'Rate History'!$D$14*SUMIF(Data!$G:$G,Neutral!$A9,Data!$DE:$DE)+'Rate History'!$D$15*SUMIF(Data!$G:$G,Neutral!$A9,Data!$DF:$DF)+'Rate History'!$D$16*SUMIF(Data!$G:$G,Neutral!$A9,Data!$DG:$DG)+'Rate History'!$D$17*SUMIF(Data!$G:$G,Neutral!$A9,Data!$DH:$DH)+'Rate History'!$D$18*SUMIF(Data!$G:$G,Neutral!$A9,Data!$DI:$DI)+'Rate History'!$D$19*SUMIF(Data!$G:$G,Neutral!$A9,Data!$DJ:$DJ)+'Rate History'!$D$20*SUMIF(Data!$G:$G,Neutral!$A9,Data!$DK:$DK)+'Rate History'!$D$21*SUMIF(Data!$G:$G,Neutral!$A9,Data!$DL:$DL)+'Rate History'!$D$22*SUMIF(Data!$G:$G,Neutral!$A9,Data!$DM:$DM)+'Rate History'!$D$23*SUMIF(Data!$G:$G,Neutral!$A9,Data!$DN:$DN)+'Rate History'!$D$24*SUMIF(Data!$G:$G,Neutral!$A9,Data!$DO:$DO)+'Rate History'!$D$25*SUMIF(Data!$G:$G,Neutral!$A9,Data!$DP:$DP)+'Rate History'!$D$26*SUMIF(Data!$G:$G,Neutral!$A9,Data!$DQ:$DQ)+'Rate History'!$D$27*SUMIF(Data!$G:$G,Neutral!$A9,Data!$DR:$DR)+'Rate History'!$D$28*SUMIF(Data!$G:$G,Neutral!$A9,Data!$DS:$DS)+'Rate History'!$D$29*SUMIF(Data!$G:$G,Neutral!$A9,Data!$DT:$DT)+'Rate History'!$D$30*SUMIF(Data!$G:$G,Neutral!$A9,Data!$DV:$DV)+'Rate History'!$D$31*SUMIF(Data!$G:$G,Neutral!$A9,Data!$DW:$DW))</f>
        <v>8778095.9792977665</v>
      </c>
      <c r="C9" s="113">
        <f>$C$5*('Rate History'!$C$4*SUMIF(Data!$G:$G,Neutral!$A9,Data!$CU:$CU)+'Rate History'!$C$5*SUMIF(Data!$G:$G,Neutral!$A9,Data!$CV:$CV)+'Rate History'!$C$6*SUMIF(Data!$G:$G,Neutral!$A9,Data!$CW:$CW)+'Rate History'!$C$7*SUMIF(Data!$G:$G,Neutral!$A9,Data!$CX:$CX)+'Rate History'!$C$8*SUMIF(Data!$G:$G,Neutral!$A9,Data!$CY:$CY)+'Rate History'!$C$9*SUMIF(Data!$G:$G,Neutral!$A9,Data!$CZ:$CZ)+'Rate History'!$C$10*SUMIF(Data!$G:$G,Neutral!$A9,Data!$DA:$DA)+'Rate History'!$C$11*SUMIF(Data!$G:$G,Neutral!$A9,Data!$DB:$DB)+'Rate History'!$C$12*SUMIF(Data!$G:$G,Neutral!$A9,Data!$DC:$DC)+'Rate History'!$C$13*SUMIF(Data!$G:$G,Neutral!$A9,Data!$DD:$DD)+'Rate History'!$C$14*SUMIF(Data!$G:$G,Neutral!$A9,Data!$DE:$DE)+'Rate History'!$C$15*SUMIF(Data!$G:$G,Neutral!$A9,Data!$DF:$DF)+'Rate History'!$C$16*SUMIF(Data!$G:$G,Neutral!$A9,Data!$DG:$DG)+'Rate History'!$C$17*SUMIF(Data!$G:$G,Neutral!$A9,Data!$DH:$DH)+'Rate History'!$C$18*SUMIF(Data!$G:$G,Neutral!$A9,Data!$DI:$DI)+'Rate History'!$C$19*SUMIF(Data!$G:$G,Neutral!$A9,Data!$DJ:$DJ)+'Rate History'!$C$20*SUMIF(Data!$G:$G,Neutral!$A9,Data!$DK:$DK)+'Rate History'!$C$21*SUMIF(Data!$G:$G,Neutral!$A9,Data!$DL:$DL)+'Rate History'!$C$22*SUMIF(Data!$G:$G,Neutral!$A9,Data!$DM:$DM)+'Rate History'!$C$23*SUMIF(Data!$G:$G,Neutral!$A9,Data!$DN:$DN)+'Rate History'!$C$24*SUMIF(Data!$G:$G,Neutral!$A9,Data!$DO:$DO)+'Rate History'!$C$25*SUMIF(Data!$G:$G,Neutral!$A9,Data!$DP:$DP)+'Rate History'!$C$26*SUMIF(Data!$G:$G,Neutral!$A9,Data!$DQ:$DQ)+'Rate History'!$C$27*SUMIF(Data!$G:$G,Neutral!$A9,Data!$DR:$DR)+'Rate History'!$C$28*SUMIF(Data!$G:$G,Neutral!$A9,Data!$DS:$DS)+'Rate History'!$C$29*SUMIF(Data!$G:$G,Neutral!$A9,Data!$DT:$DT)+'Rate History'!$C$30*SUMIF(Data!$G:$G,Neutral!$A9,Data!$DV:$DV)+'Rate History'!$C$31*SUMIF(Data!$G:$G,Neutral!$A9,Data!$DW:$DW))</f>
        <v>8720193.0132158473</v>
      </c>
      <c r="D9" s="98">
        <f t="shared" si="1"/>
        <v>-57902.966081919149</v>
      </c>
      <c r="E9" s="100">
        <f t="shared" si="0"/>
        <v>-6.5963013184724018E-3</v>
      </c>
    </row>
    <row r="10" spans="1:6" x14ac:dyDescent="0.25">
      <c r="A10" s="93" t="s">
        <v>445</v>
      </c>
      <c r="B10" s="113">
        <f>$B$5*('Rate History'!$D$4*SUMIF(Data!$G:$G,Neutral!$A10,Data!$CU:$CU)+'Rate History'!$D$5*SUMIF(Data!$G:$G,Neutral!$A10,Data!$CV:$CV)+'Rate History'!$D$6*SUMIF(Data!$G:$G,Neutral!$A10,Data!$CW:$CW)+'Rate History'!$D$7*SUMIF(Data!$G:$G,Neutral!$A10,Data!$CX:$CX)+'Rate History'!$D$8*SUMIF(Data!$G:$G,Neutral!$A10,Data!$CY:$CY)+'Rate History'!$D$9*SUMIF(Data!$G:$G,Neutral!$A10,Data!$CZ:$CZ)+'Rate History'!$D$10*SUMIF(Data!$G:$G,Neutral!$A10,Data!$DA:$DA)+'Rate History'!$D$11*SUMIF(Data!$G:$G,Neutral!$A10,Data!$DB:$DB)+'Rate History'!$D$12*SUMIF(Data!$G:$G,Neutral!$A10,Data!$DC:$DC)+'Rate History'!$D$13*SUMIF(Data!$G:$G,Neutral!$A10,Data!$DD:$DD)+'Rate History'!$D$14*SUMIF(Data!$G:$G,Neutral!$A10,Data!$DE:$DE)+'Rate History'!$D$15*SUMIF(Data!$G:$G,Neutral!$A10,Data!$DF:$DF)+'Rate History'!$D$16*SUMIF(Data!$G:$G,Neutral!$A10,Data!$DG:$DG)+'Rate History'!$D$17*SUMIF(Data!$G:$G,Neutral!$A10,Data!$DH:$DH)+'Rate History'!$D$18*SUMIF(Data!$G:$G,Neutral!$A10,Data!$DI:$DI)+'Rate History'!$D$19*SUMIF(Data!$G:$G,Neutral!$A10,Data!$DJ:$DJ)+'Rate History'!$D$20*SUMIF(Data!$G:$G,Neutral!$A10,Data!$DK:$DK)+'Rate History'!$D$21*SUMIF(Data!$G:$G,Neutral!$A10,Data!$DL:$DL)+'Rate History'!$D$22*SUMIF(Data!$G:$G,Neutral!$A10,Data!$DM:$DM)+'Rate History'!$D$23*SUMIF(Data!$G:$G,Neutral!$A10,Data!$DN:$DN)+'Rate History'!$D$24*SUMIF(Data!$G:$G,Neutral!$A10,Data!$DO:$DO)+'Rate History'!$D$25*SUMIF(Data!$G:$G,Neutral!$A10,Data!$DP:$DP)+'Rate History'!$D$26*SUMIF(Data!$G:$G,Neutral!$A10,Data!$DQ:$DQ)+'Rate History'!$D$27*SUMIF(Data!$G:$G,Neutral!$A10,Data!$DR:$DR)+'Rate History'!$D$28*SUMIF(Data!$G:$G,Neutral!$A10,Data!$DS:$DS)+'Rate History'!$D$29*SUMIF(Data!$G:$G,Neutral!$A10,Data!$DT:$DT)+'Rate History'!$D$30*SUMIF(Data!$G:$G,Neutral!$A10,Data!$DV:$DV)+'Rate History'!$D$31*SUMIF(Data!$G:$G,Neutral!$A10,Data!$DW:$DW))</f>
        <v>39234161.509576097</v>
      </c>
      <c r="C10" s="113">
        <f>$C$5*('Rate History'!$C$4*SUMIF(Data!$G:$G,Neutral!$A10,Data!$CU:$CU)+'Rate History'!$C$5*SUMIF(Data!$G:$G,Neutral!$A10,Data!$CV:$CV)+'Rate History'!$C$6*SUMIF(Data!$G:$G,Neutral!$A10,Data!$CW:$CW)+'Rate History'!$C$7*SUMIF(Data!$G:$G,Neutral!$A10,Data!$CX:$CX)+'Rate History'!$C$8*SUMIF(Data!$G:$G,Neutral!$A10,Data!$CY:$CY)+'Rate History'!$C$9*SUMIF(Data!$G:$G,Neutral!$A10,Data!$CZ:$CZ)+'Rate History'!$C$10*SUMIF(Data!$G:$G,Neutral!$A10,Data!$DA:$DA)+'Rate History'!$C$11*SUMIF(Data!$G:$G,Neutral!$A10,Data!$DB:$DB)+'Rate History'!$C$12*SUMIF(Data!$G:$G,Neutral!$A10,Data!$DC:$DC)+'Rate History'!$C$13*SUMIF(Data!$G:$G,Neutral!$A10,Data!$DD:$DD)+'Rate History'!$C$14*SUMIF(Data!$G:$G,Neutral!$A10,Data!$DE:$DE)+'Rate History'!$C$15*SUMIF(Data!$G:$G,Neutral!$A10,Data!$DF:$DF)+'Rate History'!$C$16*SUMIF(Data!$G:$G,Neutral!$A10,Data!$DG:$DG)+'Rate History'!$C$17*SUMIF(Data!$G:$G,Neutral!$A10,Data!$DH:$DH)+'Rate History'!$C$18*SUMIF(Data!$G:$G,Neutral!$A10,Data!$DI:$DI)+'Rate History'!$C$19*SUMIF(Data!$G:$G,Neutral!$A10,Data!$DJ:$DJ)+'Rate History'!$C$20*SUMIF(Data!$G:$G,Neutral!$A10,Data!$DK:$DK)+'Rate History'!$C$21*SUMIF(Data!$G:$G,Neutral!$A10,Data!$DL:$DL)+'Rate History'!$C$22*SUMIF(Data!$G:$G,Neutral!$A10,Data!$DM:$DM)+'Rate History'!$C$23*SUMIF(Data!$G:$G,Neutral!$A10,Data!$DN:$DN)+'Rate History'!$C$24*SUMIF(Data!$G:$G,Neutral!$A10,Data!$DO:$DO)+'Rate History'!$C$25*SUMIF(Data!$G:$G,Neutral!$A10,Data!$DP:$DP)+'Rate History'!$C$26*SUMIF(Data!$G:$G,Neutral!$A10,Data!$DQ:$DQ)+'Rate History'!$C$27*SUMIF(Data!$G:$G,Neutral!$A10,Data!$DR:$DR)+'Rate History'!$C$28*SUMIF(Data!$G:$G,Neutral!$A10,Data!$DS:$DS)+'Rate History'!$C$29*SUMIF(Data!$G:$G,Neutral!$A10,Data!$DT:$DT)+'Rate History'!$C$30*SUMIF(Data!$G:$G,Neutral!$A10,Data!$DV:$DV)+'Rate History'!$C$31*SUMIF(Data!$G:$G,Neutral!$A10,Data!$DW:$DW))</f>
        <v>39293591.696850173</v>
      </c>
      <c r="D10" s="98">
        <f t="shared" si="1"/>
        <v>59430.187274076045</v>
      </c>
      <c r="E10" s="100">
        <f t="shared" si="0"/>
        <v>1.5147561458544385E-3</v>
      </c>
    </row>
    <row r="11" spans="1:6" x14ac:dyDescent="0.25">
      <c r="A11" s="93" t="s">
        <v>357</v>
      </c>
      <c r="B11" s="113">
        <f>$B$5*('Rate History'!$D$4*SUMIF(Data!$G:$G,Neutral!$A11,Data!$CU:$CU)+'Rate History'!$D$5*SUMIF(Data!$G:$G,Neutral!$A11,Data!$CV:$CV)+'Rate History'!$D$6*SUMIF(Data!$G:$G,Neutral!$A11,Data!$CW:$CW)+'Rate History'!$D$7*SUMIF(Data!$G:$G,Neutral!$A11,Data!$CX:$CX)+'Rate History'!$D$8*SUMIF(Data!$G:$G,Neutral!$A11,Data!$CY:$CY)+'Rate History'!$D$9*SUMIF(Data!$G:$G,Neutral!$A11,Data!$CZ:$CZ)+'Rate History'!$D$10*SUMIF(Data!$G:$G,Neutral!$A11,Data!$DA:$DA)+'Rate History'!$D$11*SUMIF(Data!$G:$G,Neutral!$A11,Data!$DB:$DB)+'Rate History'!$D$12*SUMIF(Data!$G:$G,Neutral!$A11,Data!$DC:$DC)+'Rate History'!$D$13*SUMIF(Data!$G:$G,Neutral!$A11,Data!$DD:$DD)+'Rate History'!$D$14*SUMIF(Data!$G:$G,Neutral!$A11,Data!$DE:$DE)+'Rate History'!$D$15*SUMIF(Data!$G:$G,Neutral!$A11,Data!$DF:$DF)+'Rate History'!$D$16*SUMIF(Data!$G:$G,Neutral!$A11,Data!$DG:$DG)+'Rate History'!$D$17*SUMIF(Data!$G:$G,Neutral!$A11,Data!$DH:$DH)+'Rate History'!$D$18*SUMIF(Data!$G:$G,Neutral!$A11,Data!$DI:$DI)+'Rate History'!$D$19*SUMIF(Data!$G:$G,Neutral!$A11,Data!$DJ:$DJ)+'Rate History'!$D$20*SUMIF(Data!$G:$G,Neutral!$A11,Data!$DK:$DK)+'Rate History'!$D$21*SUMIF(Data!$G:$G,Neutral!$A11,Data!$DL:$DL)+'Rate History'!$D$22*SUMIF(Data!$G:$G,Neutral!$A11,Data!$DM:$DM)+'Rate History'!$D$23*SUMIF(Data!$G:$G,Neutral!$A11,Data!$DN:$DN)+'Rate History'!$D$24*SUMIF(Data!$G:$G,Neutral!$A11,Data!$DO:$DO)+'Rate History'!$D$25*SUMIF(Data!$G:$G,Neutral!$A11,Data!$DP:$DP)+'Rate History'!$D$26*SUMIF(Data!$G:$G,Neutral!$A11,Data!$DQ:$DQ)+'Rate History'!$D$27*SUMIF(Data!$G:$G,Neutral!$A11,Data!$DR:$DR)+'Rate History'!$D$28*SUMIF(Data!$G:$G,Neutral!$A11,Data!$DS:$DS)+'Rate History'!$D$29*SUMIF(Data!$G:$G,Neutral!$A11,Data!$DT:$DT)+'Rate History'!$D$30*SUMIF(Data!$G:$G,Neutral!$A11,Data!$DV:$DV)+'Rate History'!$D$31*SUMIF(Data!$G:$G,Neutral!$A11,Data!$DW:$DW))</f>
        <v>20309317.027529698</v>
      </c>
      <c r="C11" s="113">
        <f>$C$5*('Rate History'!$C$4*SUMIF(Data!$G:$G,Neutral!$A11,Data!$CU:$CU)+'Rate History'!$C$5*SUMIF(Data!$G:$G,Neutral!$A11,Data!$CV:$CV)+'Rate History'!$C$6*SUMIF(Data!$G:$G,Neutral!$A11,Data!$CW:$CW)+'Rate History'!$C$7*SUMIF(Data!$G:$G,Neutral!$A11,Data!$CX:$CX)+'Rate History'!$C$8*SUMIF(Data!$G:$G,Neutral!$A11,Data!$CY:$CY)+'Rate History'!$C$9*SUMIF(Data!$G:$G,Neutral!$A11,Data!$CZ:$CZ)+'Rate History'!$C$10*SUMIF(Data!$G:$G,Neutral!$A11,Data!$DA:$DA)+'Rate History'!$C$11*SUMIF(Data!$G:$G,Neutral!$A11,Data!$DB:$DB)+'Rate History'!$C$12*SUMIF(Data!$G:$G,Neutral!$A11,Data!$DC:$DC)+'Rate History'!$C$13*SUMIF(Data!$G:$G,Neutral!$A11,Data!$DD:$DD)+'Rate History'!$C$14*SUMIF(Data!$G:$G,Neutral!$A11,Data!$DE:$DE)+'Rate History'!$C$15*SUMIF(Data!$G:$G,Neutral!$A11,Data!$DF:$DF)+'Rate History'!$C$16*SUMIF(Data!$G:$G,Neutral!$A11,Data!$DG:$DG)+'Rate History'!$C$17*SUMIF(Data!$G:$G,Neutral!$A11,Data!$DH:$DH)+'Rate History'!$C$18*SUMIF(Data!$G:$G,Neutral!$A11,Data!$DI:$DI)+'Rate History'!$C$19*SUMIF(Data!$G:$G,Neutral!$A11,Data!$DJ:$DJ)+'Rate History'!$C$20*SUMIF(Data!$G:$G,Neutral!$A11,Data!$DK:$DK)+'Rate History'!$C$21*SUMIF(Data!$G:$G,Neutral!$A11,Data!$DL:$DL)+'Rate History'!$C$22*SUMIF(Data!$G:$G,Neutral!$A11,Data!$DM:$DM)+'Rate History'!$C$23*SUMIF(Data!$G:$G,Neutral!$A11,Data!$DN:$DN)+'Rate History'!$C$24*SUMIF(Data!$G:$G,Neutral!$A11,Data!$DO:$DO)+'Rate History'!$C$25*SUMIF(Data!$G:$G,Neutral!$A11,Data!$DP:$DP)+'Rate History'!$C$26*SUMIF(Data!$G:$G,Neutral!$A11,Data!$DQ:$DQ)+'Rate History'!$C$27*SUMIF(Data!$G:$G,Neutral!$A11,Data!$DR:$DR)+'Rate History'!$C$28*SUMIF(Data!$G:$G,Neutral!$A11,Data!$DS:$DS)+'Rate History'!$C$29*SUMIF(Data!$G:$G,Neutral!$A11,Data!$DT:$DT)+'Rate History'!$C$30*SUMIF(Data!$G:$G,Neutral!$A11,Data!$DV:$DV)+'Rate History'!$C$31*SUMIF(Data!$G:$G,Neutral!$A11,Data!$DW:$DW))</f>
        <v>20312977.792892046</v>
      </c>
      <c r="D11" s="98">
        <f t="shared" si="1"/>
        <v>3660.7653623484075</v>
      </c>
      <c r="E11" s="100">
        <f t="shared" si="0"/>
        <v>1.8025054005440776E-4</v>
      </c>
    </row>
    <row r="12" spans="1:6" x14ac:dyDescent="0.25">
      <c r="A12" s="93" t="s">
        <v>428</v>
      </c>
      <c r="B12" s="113">
        <f>$B$5*('Rate History'!$D$4*SUMIF(Data!$G:$G,Neutral!$A12,Data!$CU:$CU)+'Rate History'!$D$5*SUMIF(Data!$G:$G,Neutral!$A12,Data!$CV:$CV)+'Rate History'!$D$6*SUMIF(Data!$G:$G,Neutral!$A12,Data!$CW:$CW)+'Rate History'!$D$7*SUMIF(Data!$G:$G,Neutral!$A12,Data!$CX:$CX)+'Rate History'!$D$8*SUMIF(Data!$G:$G,Neutral!$A12,Data!$CY:$CY)+'Rate History'!$D$9*SUMIF(Data!$G:$G,Neutral!$A12,Data!$CZ:$CZ)+'Rate History'!$D$10*SUMIF(Data!$G:$G,Neutral!$A12,Data!$DA:$DA)+'Rate History'!$D$11*SUMIF(Data!$G:$G,Neutral!$A12,Data!$DB:$DB)+'Rate History'!$D$12*SUMIF(Data!$G:$G,Neutral!$A12,Data!$DC:$DC)+'Rate History'!$D$13*SUMIF(Data!$G:$G,Neutral!$A12,Data!$DD:$DD)+'Rate History'!$D$14*SUMIF(Data!$G:$G,Neutral!$A12,Data!$DE:$DE)+'Rate History'!$D$15*SUMIF(Data!$G:$G,Neutral!$A12,Data!$DF:$DF)+'Rate History'!$D$16*SUMIF(Data!$G:$G,Neutral!$A12,Data!$DG:$DG)+'Rate History'!$D$17*SUMIF(Data!$G:$G,Neutral!$A12,Data!$DH:$DH)+'Rate History'!$D$18*SUMIF(Data!$G:$G,Neutral!$A12,Data!$DI:$DI)+'Rate History'!$D$19*SUMIF(Data!$G:$G,Neutral!$A12,Data!$DJ:$DJ)+'Rate History'!$D$20*SUMIF(Data!$G:$G,Neutral!$A12,Data!$DK:$DK)+'Rate History'!$D$21*SUMIF(Data!$G:$G,Neutral!$A12,Data!$DL:$DL)+'Rate History'!$D$22*SUMIF(Data!$G:$G,Neutral!$A12,Data!$DM:$DM)+'Rate History'!$D$23*SUMIF(Data!$G:$G,Neutral!$A12,Data!$DN:$DN)+'Rate History'!$D$24*SUMIF(Data!$G:$G,Neutral!$A12,Data!$DO:$DO)+'Rate History'!$D$25*SUMIF(Data!$G:$G,Neutral!$A12,Data!$DP:$DP)+'Rate History'!$D$26*SUMIF(Data!$G:$G,Neutral!$A12,Data!$DQ:$DQ)+'Rate History'!$D$27*SUMIF(Data!$G:$G,Neutral!$A12,Data!$DR:$DR)+'Rate History'!$D$28*SUMIF(Data!$G:$G,Neutral!$A12,Data!$DS:$DS)+'Rate History'!$D$29*SUMIF(Data!$G:$G,Neutral!$A12,Data!$DT:$DT)+'Rate History'!$D$30*SUMIF(Data!$G:$G,Neutral!$A12,Data!$DV:$DV)+'Rate History'!$D$31*SUMIF(Data!$G:$G,Neutral!$A12,Data!$DW:$DW))</f>
        <v>5537904.0243700696</v>
      </c>
      <c r="C12" s="113">
        <f>$C$5*('Rate History'!$C$4*SUMIF(Data!$G:$G,Neutral!$A12,Data!$CU:$CU)+'Rate History'!$C$5*SUMIF(Data!$G:$G,Neutral!$A12,Data!$CV:$CV)+'Rate History'!$C$6*SUMIF(Data!$G:$G,Neutral!$A12,Data!$CW:$CW)+'Rate History'!$C$7*SUMIF(Data!$G:$G,Neutral!$A12,Data!$CX:$CX)+'Rate History'!$C$8*SUMIF(Data!$G:$G,Neutral!$A12,Data!$CY:$CY)+'Rate History'!$C$9*SUMIF(Data!$G:$G,Neutral!$A12,Data!$CZ:$CZ)+'Rate History'!$C$10*SUMIF(Data!$G:$G,Neutral!$A12,Data!$DA:$DA)+'Rate History'!$C$11*SUMIF(Data!$G:$G,Neutral!$A12,Data!$DB:$DB)+'Rate History'!$C$12*SUMIF(Data!$G:$G,Neutral!$A12,Data!$DC:$DC)+'Rate History'!$C$13*SUMIF(Data!$G:$G,Neutral!$A12,Data!$DD:$DD)+'Rate History'!$C$14*SUMIF(Data!$G:$G,Neutral!$A12,Data!$DE:$DE)+'Rate History'!$C$15*SUMIF(Data!$G:$G,Neutral!$A12,Data!$DF:$DF)+'Rate History'!$C$16*SUMIF(Data!$G:$G,Neutral!$A12,Data!$DG:$DG)+'Rate History'!$C$17*SUMIF(Data!$G:$G,Neutral!$A12,Data!$DH:$DH)+'Rate History'!$C$18*SUMIF(Data!$G:$G,Neutral!$A12,Data!$DI:$DI)+'Rate History'!$C$19*SUMIF(Data!$G:$G,Neutral!$A12,Data!$DJ:$DJ)+'Rate History'!$C$20*SUMIF(Data!$G:$G,Neutral!$A12,Data!$DK:$DK)+'Rate History'!$C$21*SUMIF(Data!$G:$G,Neutral!$A12,Data!$DL:$DL)+'Rate History'!$C$22*SUMIF(Data!$G:$G,Neutral!$A12,Data!$DM:$DM)+'Rate History'!$C$23*SUMIF(Data!$G:$G,Neutral!$A12,Data!$DN:$DN)+'Rate History'!$C$24*SUMIF(Data!$G:$G,Neutral!$A12,Data!$DO:$DO)+'Rate History'!$C$25*SUMIF(Data!$G:$G,Neutral!$A12,Data!$DP:$DP)+'Rate History'!$C$26*SUMIF(Data!$G:$G,Neutral!$A12,Data!$DQ:$DQ)+'Rate History'!$C$27*SUMIF(Data!$G:$G,Neutral!$A12,Data!$DR:$DR)+'Rate History'!$C$28*SUMIF(Data!$G:$G,Neutral!$A12,Data!$DS:$DS)+'Rate History'!$C$29*SUMIF(Data!$G:$G,Neutral!$A12,Data!$DT:$DT)+'Rate History'!$C$30*SUMIF(Data!$G:$G,Neutral!$A12,Data!$DV:$DV)+'Rate History'!$C$31*SUMIF(Data!$G:$G,Neutral!$A12,Data!$DW:$DW))</f>
        <v>5610713.0464065904</v>
      </c>
      <c r="D12" s="98">
        <f t="shared" si="1"/>
        <v>72809.022036520764</v>
      </c>
      <c r="E12" s="100">
        <f t="shared" si="0"/>
        <v>1.3147396870028406E-2</v>
      </c>
    </row>
    <row r="13" spans="1:6" x14ac:dyDescent="0.25">
      <c r="A13" s="93" t="s">
        <v>420</v>
      </c>
      <c r="B13" s="113">
        <f>$B$5*('Rate History'!$D$4*SUMIF(Data!$G:$G,Neutral!$A13,Data!$CU:$CU)+'Rate History'!$D$5*SUMIF(Data!$G:$G,Neutral!$A13,Data!$CV:$CV)+'Rate History'!$D$6*SUMIF(Data!$G:$G,Neutral!$A13,Data!$CW:$CW)+'Rate History'!$D$7*SUMIF(Data!$G:$G,Neutral!$A13,Data!$CX:$CX)+'Rate History'!$D$8*SUMIF(Data!$G:$G,Neutral!$A13,Data!$CY:$CY)+'Rate History'!$D$9*SUMIF(Data!$G:$G,Neutral!$A13,Data!$CZ:$CZ)+'Rate History'!$D$10*SUMIF(Data!$G:$G,Neutral!$A13,Data!$DA:$DA)+'Rate History'!$D$11*SUMIF(Data!$G:$G,Neutral!$A13,Data!$DB:$DB)+'Rate History'!$D$12*SUMIF(Data!$G:$G,Neutral!$A13,Data!$DC:$DC)+'Rate History'!$D$13*SUMIF(Data!$G:$G,Neutral!$A13,Data!$DD:$DD)+'Rate History'!$D$14*SUMIF(Data!$G:$G,Neutral!$A13,Data!$DE:$DE)+'Rate History'!$D$15*SUMIF(Data!$G:$G,Neutral!$A13,Data!$DF:$DF)+'Rate History'!$D$16*SUMIF(Data!$G:$G,Neutral!$A13,Data!$DG:$DG)+'Rate History'!$D$17*SUMIF(Data!$G:$G,Neutral!$A13,Data!$DH:$DH)+'Rate History'!$D$18*SUMIF(Data!$G:$G,Neutral!$A13,Data!$DI:$DI)+'Rate History'!$D$19*SUMIF(Data!$G:$G,Neutral!$A13,Data!$DJ:$DJ)+'Rate History'!$D$20*SUMIF(Data!$G:$G,Neutral!$A13,Data!$DK:$DK)+'Rate History'!$D$21*SUMIF(Data!$G:$G,Neutral!$A13,Data!$DL:$DL)+'Rate History'!$D$22*SUMIF(Data!$G:$G,Neutral!$A13,Data!$DM:$DM)+'Rate History'!$D$23*SUMIF(Data!$G:$G,Neutral!$A13,Data!$DN:$DN)+'Rate History'!$D$24*SUMIF(Data!$G:$G,Neutral!$A13,Data!$DO:$DO)+'Rate History'!$D$25*SUMIF(Data!$G:$G,Neutral!$A13,Data!$DP:$DP)+'Rate History'!$D$26*SUMIF(Data!$G:$G,Neutral!$A13,Data!$DQ:$DQ)+'Rate History'!$D$27*SUMIF(Data!$G:$G,Neutral!$A13,Data!$DR:$DR)+'Rate History'!$D$28*SUMIF(Data!$G:$G,Neutral!$A13,Data!$DS:$DS)+'Rate History'!$D$29*SUMIF(Data!$G:$G,Neutral!$A13,Data!$DT:$DT)+'Rate History'!$D$30*SUMIF(Data!$G:$G,Neutral!$A13,Data!$DV:$DV)+'Rate History'!$D$31*SUMIF(Data!$G:$G,Neutral!$A13,Data!$DW:$DW))</f>
        <v>19054232.968939032</v>
      </c>
      <c r="C13" s="113">
        <f>$C$5*('Rate History'!$C$4*SUMIF(Data!$G:$G,Neutral!$A13,Data!$CU:$CU)+'Rate History'!$C$5*SUMIF(Data!$G:$G,Neutral!$A13,Data!$CV:$CV)+'Rate History'!$C$6*SUMIF(Data!$G:$G,Neutral!$A13,Data!$CW:$CW)+'Rate History'!$C$7*SUMIF(Data!$G:$G,Neutral!$A13,Data!$CX:$CX)+'Rate History'!$C$8*SUMIF(Data!$G:$G,Neutral!$A13,Data!$CY:$CY)+'Rate History'!$C$9*SUMIF(Data!$G:$G,Neutral!$A13,Data!$CZ:$CZ)+'Rate History'!$C$10*SUMIF(Data!$G:$G,Neutral!$A13,Data!$DA:$DA)+'Rate History'!$C$11*SUMIF(Data!$G:$G,Neutral!$A13,Data!$DB:$DB)+'Rate History'!$C$12*SUMIF(Data!$G:$G,Neutral!$A13,Data!$DC:$DC)+'Rate History'!$C$13*SUMIF(Data!$G:$G,Neutral!$A13,Data!$DD:$DD)+'Rate History'!$C$14*SUMIF(Data!$G:$G,Neutral!$A13,Data!$DE:$DE)+'Rate History'!$C$15*SUMIF(Data!$G:$G,Neutral!$A13,Data!$DF:$DF)+'Rate History'!$C$16*SUMIF(Data!$G:$G,Neutral!$A13,Data!$DG:$DG)+'Rate History'!$C$17*SUMIF(Data!$G:$G,Neutral!$A13,Data!$DH:$DH)+'Rate History'!$C$18*SUMIF(Data!$G:$G,Neutral!$A13,Data!$DI:$DI)+'Rate History'!$C$19*SUMIF(Data!$G:$G,Neutral!$A13,Data!$DJ:$DJ)+'Rate History'!$C$20*SUMIF(Data!$G:$G,Neutral!$A13,Data!$DK:$DK)+'Rate History'!$C$21*SUMIF(Data!$G:$G,Neutral!$A13,Data!$DL:$DL)+'Rate History'!$C$22*SUMIF(Data!$G:$G,Neutral!$A13,Data!$DM:$DM)+'Rate History'!$C$23*SUMIF(Data!$G:$G,Neutral!$A13,Data!$DN:$DN)+'Rate History'!$C$24*SUMIF(Data!$G:$G,Neutral!$A13,Data!$DO:$DO)+'Rate History'!$C$25*SUMIF(Data!$G:$G,Neutral!$A13,Data!$DP:$DP)+'Rate History'!$C$26*SUMIF(Data!$G:$G,Neutral!$A13,Data!$DQ:$DQ)+'Rate History'!$C$27*SUMIF(Data!$G:$G,Neutral!$A13,Data!$DR:$DR)+'Rate History'!$C$28*SUMIF(Data!$G:$G,Neutral!$A13,Data!$DS:$DS)+'Rate History'!$C$29*SUMIF(Data!$G:$G,Neutral!$A13,Data!$DT:$DT)+'Rate History'!$C$30*SUMIF(Data!$G:$G,Neutral!$A13,Data!$DV:$DV)+'Rate History'!$C$31*SUMIF(Data!$G:$G,Neutral!$A13,Data!$DW:$DW))</f>
        <v>19165591.287145942</v>
      </c>
      <c r="D13" s="98">
        <f t="shared" si="1"/>
        <v>111358.31820691004</v>
      </c>
      <c r="E13" s="100">
        <f t="shared" si="0"/>
        <v>5.8442823906078569E-3</v>
      </c>
    </row>
    <row r="14" spans="1:6" x14ac:dyDescent="0.25">
      <c r="A14" s="93" t="s">
        <v>359</v>
      </c>
      <c r="B14" s="113">
        <f>$B$5*('Rate History'!$D$4*SUMIF(Data!$G:$G,Neutral!$A14,Data!$CU:$CU)+'Rate History'!$D$5*SUMIF(Data!$G:$G,Neutral!$A14,Data!$CV:$CV)+'Rate History'!$D$6*SUMIF(Data!$G:$G,Neutral!$A14,Data!$CW:$CW)+'Rate History'!$D$7*SUMIF(Data!$G:$G,Neutral!$A14,Data!$CX:$CX)+'Rate History'!$D$8*SUMIF(Data!$G:$G,Neutral!$A14,Data!$CY:$CY)+'Rate History'!$D$9*SUMIF(Data!$G:$G,Neutral!$A14,Data!$CZ:$CZ)+'Rate History'!$D$10*SUMIF(Data!$G:$G,Neutral!$A14,Data!$DA:$DA)+'Rate History'!$D$11*SUMIF(Data!$G:$G,Neutral!$A14,Data!$DB:$DB)+'Rate History'!$D$12*SUMIF(Data!$G:$G,Neutral!$A14,Data!$DC:$DC)+'Rate History'!$D$13*SUMIF(Data!$G:$G,Neutral!$A14,Data!$DD:$DD)+'Rate History'!$D$14*SUMIF(Data!$G:$G,Neutral!$A14,Data!$DE:$DE)+'Rate History'!$D$15*SUMIF(Data!$G:$G,Neutral!$A14,Data!$DF:$DF)+'Rate History'!$D$16*SUMIF(Data!$G:$G,Neutral!$A14,Data!$DG:$DG)+'Rate History'!$D$17*SUMIF(Data!$G:$G,Neutral!$A14,Data!$DH:$DH)+'Rate History'!$D$18*SUMIF(Data!$G:$G,Neutral!$A14,Data!$DI:$DI)+'Rate History'!$D$19*SUMIF(Data!$G:$G,Neutral!$A14,Data!$DJ:$DJ)+'Rate History'!$D$20*SUMIF(Data!$G:$G,Neutral!$A14,Data!$DK:$DK)+'Rate History'!$D$21*SUMIF(Data!$G:$G,Neutral!$A14,Data!$DL:$DL)+'Rate History'!$D$22*SUMIF(Data!$G:$G,Neutral!$A14,Data!$DM:$DM)+'Rate History'!$D$23*SUMIF(Data!$G:$G,Neutral!$A14,Data!$DN:$DN)+'Rate History'!$D$24*SUMIF(Data!$G:$G,Neutral!$A14,Data!$DO:$DO)+'Rate History'!$D$25*SUMIF(Data!$G:$G,Neutral!$A14,Data!$DP:$DP)+'Rate History'!$D$26*SUMIF(Data!$G:$G,Neutral!$A14,Data!$DQ:$DQ)+'Rate History'!$D$27*SUMIF(Data!$G:$G,Neutral!$A14,Data!$DR:$DR)+'Rate History'!$D$28*SUMIF(Data!$G:$G,Neutral!$A14,Data!$DS:$DS)+'Rate History'!$D$29*SUMIF(Data!$G:$G,Neutral!$A14,Data!$DT:$DT)+'Rate History'!$D$30*SUMIF(Data!$G:$G,Neutral!$A14,Data!$DV:$DV)+'Rate History'!$D$31*SUMIF(Data!$G:$G,Neutral!$A14,Data!$DW:$DW))</f>
        <v>4676226.2650117194</v>
      </c>
      <c r="C14" s="113">
        <f>$C$5*('Rate History'!$C$4*SUMIF(Data!$G:$G,Neutral!$A14,Data!$CU:$CU)+'Rate History'!$C$5*SUMIF(Data!$G:$G,Neutral!$A14,Data!$CV:$CV)+'Rate History'!$C$6*SUMIF(Data!$G:$G,Neutral!$A14,Data!$CW:$CW)+'Rate History'!$C$7*SUMIF(Data!$G:$G,Neutral!$A14,Data!$CX:$CX)+'Rate History'!$C$8*SUMIF(Data!$G:$G,Neutral!$A14,Data!$CY:$CY)+'Rate History'!$C$9*SUMIF(Data!$G:$G,Neutral!$A14,Data!$CZ:$CZ)+'Rate History'!$C$10*SUMIF(Data!$G:$G,Neutral!$A14,Data!$DA:$DA)+'Rate History'!$C$11*SUMIF(Data!$G:$G,Neutral!$A14,Data!$DB:$DB)+'Rate History'!$C$12*SUMIF(Data!$G:$G,Neutral!$A14,Data!$DC:$DC)+'Rate History'!$C$13*SUMIF(Data!$G:$G,Neutral!$A14,Data!$DD:$DD)+'Rate History'!$C$14*SUMIF(Data!$G:$G,Neutral!$A14,Data!$DE:$DE)+'Rate History'!$C$15*SUMIF(Data!$G:$G,Neutral!$A14,Data!$DF:$DF)+'Rate History'!$C$16*SUMIF(Data!$G:$G,Neutral!$A14,Data!$DG:$DG)+'Rate History'!$C$17*SUMIF(Data!$G:$G,Neutral!$A14,Data!$DH:$DH)+'Rate History'!$C$18*SUMIF(Data!$G:$G,Neutral!$A14,Data!$DI:$DI)+'Rate History'!$C$19*SUMIF(Data!$G:$G,Neutral!$A14,Data!$DJ:$DJ)+'Rate History'!$C$20*SUMIF(Data!$G:$G,Neutral!$A14,Data!$DK:$DK)+'Rate History'!$C$21*SUMIF(Data!$G:$G,Neutral!$A14,Data!$DL:$DL)+'Rate History'!$C$22*SUMIF(Data!$G:$G,Neutral!$A14,Data!$DM:$DM)+'Rate History'!$C$23*SUMIF(Data!$G:$G,Neutral!$A14,Data!$DN:$DN)+'Rate History'!$C$24*SUMIF(Data!$G:$G,Neutral!$A14,Data!$DO:$DO)+'Rate History'!$C$25*SUMIF(Data!$G:$G,Neutral!$A14,Data!$DP:$DP)+'Rate History'!$C$26*SUMIF(Data!$G:$G,Neutral!$A14,Data!$DQ:$DQ)+'Rate History'!$C$27*SUMIF(Data!$G:$G,Neutral!$A14,Data!$DR:$DR)+'Rate History'!$C$28*SUMIF(Data!$G:$G,Neutral!$A14,Data!$DS:$DS)+'Rate History'!$C$29*SUMIF(Data!$G:$G,Neutral!$A14,Data!$DT:$DT)+'Rate History'!$C$30*SUMIF(Data!$G:$G,Neutral!$A14,Data!$DV:$DV)+'Rate History'!$C$31*SUMIF(Data!$G:$G,Neutral!$A14,Data!$DW:$DW))</f>
        <v>4663527.3024581913</v>
      </c>
      <c r="D14" s="98">
        <f t="shared" si="1"/>
        <v>-12698.962553528138</v>
      </c>
      <c r="E14" s="100">
        <f t="shared" si="0"/>
        <v>-2.715643305916103E-3</v>
      </c>
    </row>
    <row r="15" spans="1:6" x14ac:dyDescent="0.25">
      <c r="A15" s="93" t="s">
        <v>361</v>
      </c>
      <c r="B15" s="113">
        <f>$B$5*('Rate History'!$D$4*SUMIF(Data!$G:$G,Neutral!$A15,Data!$CU:$CU)+'Rate History'!$D$5*SUMIF(Data!$G:$G,Neutral!$A15,Data!$CV:$CV)+'Rate History'!$D$6*SUMIF(Data!$G:$G,Neutral!$A15,Data!$CW:$CW)+'Rate History'!$D$7*SUMIF(Data!$G:$G,Neutral!$A15,Data!$CX:$CX)+'Rate History'!$D$8*SUMIF(Data!$G:$G,Neutral!$A15,Data!$CY:$CY)+'Rate History'!$D$9*SUMIF(Data!$G:$G,Neutral!$A15,Data!$CZ:$CZ)+'Rate History'!$D$10*SUMIF(Data!$G:$G,Neutral!$A15,Data!$DA:$DA)+'Rate History'!$D$11*SUMIF(Data!$G:$G,Neutral!$A15,Data!$DB:$DB)+'Rate History'!$D$12*SUMIF(Data!$G:$G,Neutral!$A15,Data!$DC:$DC)+'Rate History'!$D$13*SUMIF(Data!$G:$G,Neutral!$A15,Data!$DD:$DD)+'Rate History'!$D$14*SUMIF(Data!$G:$G,Neutral!$A15,Data!$DE:$DE)+'Rate History'!$D$15*SUMIF(Data!$G:$G,Neutral!$A15,Data!$DF:$DF)+'Rate History'!$D$16*SUMIF(Data!$G:$G,Neutral!$A15,Data!$DG:$DG)+'Rate History'!$D$17*SUMIF(Data!$G:$G,Neutral!$A15,Data!$DH:$DH)+'Rate History'!$D$18*SUMIF(Data!$G:$G,Neutral!$A15,Data!$DI:$DI)+'Rate History'!$D$19*SUMIF(Data!$G:$G,Neutral!$A15,Data!$DJ:$DJ)+'Rate History'!$D$20*SUMIF(Data!$G:$G,Neutral!$A15,Data!$DK:$DK)+'Rate History'!$D$21*SUMIF(Data!$G:$G,Neutral!$A15,Data!$DL:$DL)+'Rate History'!$D$22*SUMIF(Data!$G:$G,Neutral!$A15,Data!$DM:$DM)+'Rate History'!$D$23*SUMIF(Data!$G:$G,Neutral!$A15,Data!$DN:$DN)+'Rate History'!$D$24*SUMIF(Data!$G:$G,Neutral!$A15,Data!$DO:$DO)+'Rate History'!$D$25*SUMIF(Data!$G:$G,Neutral!$A15,Data!$DP:$DP)+'Rate History'!$D$26*SUMIF(Data!$G:$G,Neutral!$A15,Data!$DQ:$DQ)+'Rate History'!$D$27*SUMIF(Data!$G:$G,Neutral!$A15,Data!$DR:$DR)+'Rate History'!$D$28*SUMIF(Data!$G:$G,Neutral!$A15,Data!$DS:$DS)+'Rate History'!$D$29*SUMIF(Data!$G:$G,Neutral!$A15,Data!$DT:$DT)+'Rate History'!$D$30*SUMIF(Data!$G:$G,Neutral!$A15,Data!$DV:$DV)+'Rate History'!$D$31*SUMIF(Data!$G:$G,Neutral!$A15,Data!$DW:$DW))</f>
        <v>1572938.846921555</v>
      </c>
      <c r="C15" s="113">
        <f>$C$5*('Rate History'!$C$4*SUMIF(Data!$G:$G,Neutral!$A15,Data!$CU:$CU)+'Rate History'!$C$5*SUMIF(Data!$G:$G,Neutral!$A15,Data!$CV:$CV)+'Rate History'!$C$6*SUMIF(Data!$G:$G,Neutral!$A15,Data!$CW:$CW)+'Rate History'!$C$7*SUMIF(Data!$G:$G,Neutral!$A15,Data!$CX:$CX)+'Rate History'!$C$8*SUMIF(Data!$G:$G,Neutral!$A15,Data!$CY:$CY)+'Rate History'!$C$9*SUMIF(Data!$G:$G,Neutral!$A15,Data!$CZ:$CZ)+'Rate History'!$C$10*SUMIF(Data!$G:$G,Neutral!$A15,Data!$DA:$DA)+'Rate History'!$C$11*SUMIF(Data!$G:$G,Neutral!$A15,Data!$DB:$DB)+'Rate History'!$C$12*SUMIF(Data!$G:$G,Neutral!$A15,Data!$DC:$DC)+'Rate History'!$C$13*SUMIF(Data!$G:$G,Neutral!$A15,Data!$DD:$DD)+'Rate History'!$C$14*SUMIF(Data!$G:$G,Neutral!$A15,Data!$DE:$DE)+'Rate History'!$C$15*SUMIF(Data!$G:$G,Neutral!$A15,Data!$DF:$DF)+'Rate History'!$C$16*SUMIF(Data!$G:$G,Neutral!$A15,Data!$DG:$DG)+'Rate History'!$C$17*SUMIF(Data!$G:$G,Neutral!$A15,Data!$DH:$DH)+'Rate History'!$C$18*SUMIF(Data!$G:$G,Neutral!$A15,Data!$DI:$DI)+'Rate History'!$C$19*SUMIF(Data!$G:$G,Neutral!$A15,Data!$DJ:$DJ)+'Rate History'!$C$20*SUMIF(Data!$G:$G,Neutral!$A15,Data!$DK:$DK)+'Rate History'!$C$21*SUMIF(Data!$G:$G,Neutral!$A15,Data!$DL:$DL)+'Rate History'!$C$22*SUMIF(Data!$G:$G,Neutral!$A15,Data!$DM:$DM)+'Rate History'!$C$23*SUMIF(Data!$G:$G,Neutral!$A15,Data!$DN:$DN)+'Rate History'!$C$24*SUMIF(Data!$G:$G,Neutral!$A15,Data!$DO:$DO)+'Rate History'!$C$25*SUMIF(Data!$G:$G,Neutral!$A15,Data!$DP:$DP)+'Rate History'!$C$26*SUMIF(Data!$G:$G,Neutral!$A15,Data!$DQ:$DQ)+'Rate History'!$C$27*SUMIF(Data!$G:$G,Neutral!$A15,Data!$DR:$DR)+'Rate History'!$C$28*SUMIF(Data!$G:$G,Neutral!$A15,Data!$DS:$DS)+'Rate History'!$C$29*SUMIF(Data!$G:$G,Neutral!$A15,Data!$DT:$DT)+'Rate History'!$C$30*SUMIF(Data!$G:$G,Neutral!$A15,Data!$DV:$DV)+'Rate History'!$C$31*SUMIF(Data!$G:$G,Neutral!$A15,Data!$DW:$DW))</f>
        <v>1564707.8468304155</v>
      </c>
      <c r="D15" s="98">
        <f t="shared" si="1"/>
        <v>-8231.00009113946</v>
      </c>
      <c r="E15" s="100">
        <f t="shared" si="0"/>
        <v>-5.232879909634499E-3</v>
      </c>
    </row>
    <row r="16" spans="1:6" x14ac:dyDescent="0.25">
      <c r="A16" s="93" t="s">
        <v>355</v>
      </c>
      <c r="B16" s="113">
        <f>$B$5*('Rate History'!$D$4*SUMIF(Data!$G:$G,Neutral!$A16,Data!$CU:$CU)+'Rate History'!$D$5*SUMIF(Data!$G:$G,Neutral!$A16,Data!$CV:$CV)+'Rate History'!$D$6*SUMIF(Data!$G:$G,Neutral!$A16,Data!$CW:$CW)+'Rate History'!$D$7*SUMIF(Data!$G:$G,Neutral!$A16,Data!$CX:$CX)+'Rate History'!$D$8*SUMIF(Data!$G:$G,Neutral!$A16,Data!$CY:$CY)+'Rate History'!$D$9*SUMIF(Data!$G:$G,Neutral!$A16,Data!$CZ:$CZ)+'Rate History'!$D$10*SUMIF(Data!$G:$G,Neutral!$A16,Data!$DA:$DA)+'Rate History'!$D$11*SUMIF(Data!$G:$G,Neutral!$A16,Data!$DB:$DB)+'Rate History'!$D$12*SUMIF(Data!$G:$G,Neutral!$A16,Data!$DC:$DC)+'Rate History'!$D$13*SUMIF(Data!$G:$G,Neutral!$A16,Data!$DD:$DD)+'Rate History'!$D$14*SUMIF(Data!$G:$G,Neutral!$A16,Data!$DE:$DE)+'Rate History'!$D$15*SUMIF(Data!$G:$G,Neutral!$A16,Data!$DF:$DF)+'Rate History'!$D$16*SUMIF(Data!$G:$G,Neutral!$A16,Data!$DG:$DG)+'Rate History'!$D$17*SUMIF(Data!$G:$G,Neutral!$A16,Data!$DH:$DH)+'Rate History'!$D$18*SUMIF(Data!$G:$G,Neutral!$A16,Data!$DI:$DI)+'Rate History'!$D$19*SUMIF(Data!$G:$G,Neutral!$A16,Data!$DJ:$DJ)+'Rate History'!$D$20*SUMIF(Data!$G:$G,Neutral!$A16,Data!$DK:$DK)+'Rate History'!$D$21*SUMIF(Data!$G:$G,Neutral!$A16,Data!$DL:$DL)+'Rate History'!$D$22*SUMIF(Data!$G:$G,Neutral!$A16,Data!$DM:$DM)+'Rate History'!$D$23*SUMIF(Data!$G:$G,Neutral!$A16,Data!$DN:$DN)+'Rate History'!$D$24*SUMIF(Data!$G:$G,Neutral!$A16,Data!$DO:$DO)+'Rate History'!$D$25*SUMIF(Data!$G:$G,Neutral!$A16,Data!$DP:$DP)+'Rate History'!$D$26*SUMIF(Data!$G:$G,Neutral!$A16,Data!$DQ:$DQ)+'Rate History'!$D$27*SUMIF(Data!$G:$G,Neutral!$A16,Data!$DR:$DR)+'Rate History'!$D$28*SUMIF(Data!$G:$G,Neutral!$A16,Data!$DS:$DS)+'Rate History'!$D$29*SUMIF(Data!$G:$G,Neutral!$A16,Data!$DT:$DT)+'Rate History'!$D$30*SUMIF(Data!$G:$G,Neutral!$A16,Data!$DV:$DV)+'Rate History'!$D$31*SUMIF(Data!$G:$G,Neutral!$A16,Data!$DW:$DW))</f>
        <v>7763983.8426384805</v>
      </c>
      <c r="C16" s="113">
        <f>$C$5*('Rate History'!$C$4*SUMIF(Data!$G:$G,Neutral!$A16,Data!$CU:$CU)+'Rate History'!$C$5*SUMIF(Data!$G:$G,Neutral!$A16,Data!$CV:$CV)+'Rate History'!$C$6*SUMIF(Data!$G:$G,Neutral!$A16,Data!$CW:$CW)+'Rate History'!$C$7*SUMIF(Data!$G:$G,Neutral!$A16,Data!$CX:$CX)+'Rate History'!$C$8*SUMIF(Data!$G:$G,Neutral!$A16,Data!$CY:$CY)+'Rate History'!$C$9*SUMIF(Data!$G:$G,Neutral!$A16,Data!$CZ:$CZ)+'Rate History'!$C$10*SUMIF(Data!$G:$G,Neutral!$A16,Data!$DA:$DA)+'Rate History'!$C$11*SUMIF(Data!$G:$G,Neutral!$A16,Data!$DB:$DB)+'Rate History'!$C$12*SUMIF(Data!$G:$G,Neutral!$A16,Data!$DC:$DC)+'Rate History'!$C$13*SUMIF(Data!$G:$G,Neutral!$A16,Data!$DD:$DD)+'Rate History'!$C$14*SUMIF(Data!$G:$G,Neutral!$A16,Data!$DE:$DE)+'Rate History'!$C$15*SUMIF(Data!$G:$G,Neutral!$A16,Data!$DF:$DF)+'Rate History'!$C$16*SUMIF(Data!$G:$G,Neutral!$A16,Data!$DG:$DG)+'Rate History'!$C$17*SUMIF(Data!$G:$G,Neutral!$A16,Data!$DH:$DH)+'Rate History'!$C$18*SUMIF(Data!$G:$G,Neutral!$A16,Data!$DI:$DI)+'Rate History'!$C$19*SUMIF(Data!$G:$G,Neutral!$A16,Data!$DJ:$DJ)+'Rate History'!$C$20*SUMIF(Data!$G:$G,Neutral!$A16,Data!$DK:$DK)+'Rate History'!$C$21*SUMIF(Data!$G:$G,Neutral!$A16,Data!$DL:$DL)+'Rate History'!$C$22*SUMIF(Data!$G:$G,Neutral!$A16,Data!$DM:$DM)+'Rate History'!$C$23*SUMIF(Data!$G:$G,Neutral!$A16,Data!$DN:$DN)+'Rate History'!$C$24*SUMIF(Data!$G:$G,Neutral!$A16,Data!$DO:$DO)+'Rate History'!$C$25*SUMIF(Data!$G:$G,Neutral!$A16,Data!$DP:$DP)+'Rate History'!$C$26*SUMIF(Data!$G:$G,Neutral!$A16,Data!$DQ:$DQ)+'Rate History'!$C$27*SUMIF(Data!$G:$G,Neutral!$A16,Data!$DR:$DR)+'Rate History'!$C$28*SUMIF(Data!$G:$G,Neutral!$A16,Data!$DS:$DS)+'Rate History'!$C$29*SUMIF(Data!$G:$G,Neutral!$A16,Data!$DT:$DT)+'Rate History'!$C$30*SUMIF(Data!$G:$G,Neutral!$A16,Data!$DV:$DV)+'Rate History'!$C$31*SUMIF(Data!$G:$G,Neutral!$A16,Data!$DW:$DW))</f>
        <v>7807538.7633758523</v>
      </c>
      <c r="D16" s="98">
        <f t="shared" si="1"/>
        <v>43554.92073737178</v>
      </c>
      <c r="E16" s="100">
        <f t="shared" si="0"/>
        <v>5.6098675139141267E-3</v>
      </c>
    </row>
    <row r="17" spans="1:5" x14ac:dyDescent="0.25">
      <c r="A17" s="93" t="s">
        <v>426</v>
      </c>
      <c r="B17" s="113">
        <f>$B$5*('Rate History'!$D$4*SUMIF(Data!$G:$G,Neutral!$A17,Data!$CU:$CU)+'Rate History'!$D$5*SUMIF(Data!$G:$G,Neutral!$A17,Data!$CV:$CV)+'Rate History'!$D$6*SUMIF(Data!$G:$G,Neutral!$A17,Data!$CW:$CW)+'Rate History'!$D$7*SUMIF(Data!$G:$G,Neutral!$A17,Data!$CX:$CX)+'Rate History'!$D$8*SUMIF(Data!$G:$G,Neutral!$A17,Data!$CY:$CY)+'Rate History'!$D$9*SUMIF(Data!$G:$G,Neutral!$A17,Data!$CZ:$CZ)+'Rate History'!$D$10*SUMIF(Data!$G:$G,Neutral!$A17,Data!$DA:$DA)+'Rate History'!$D$11*SUMIF(Data!$G:$G,Neutral!$A17,Data!$DB:$DB)+'Rate History'!$D$12*SUMIF(Data!$G:$G,Neutral!$A17,Data!$DC:$DC)+'Rate History'!$D$13*SUMIF(Data!$G:$G,Neutral!$A17,Data!$DD:$DD)+'Rate History'!$D$14*SUMIF(Data!$G:$G,Neutral!$A17,Data!$DE:$DE)+'Rate History'!$D$15*SUMIF(Data!$G:$G,Neutral!$A17,Data!$DF:$DF)+'Rate History'!$D$16*SUMIF(Data!$G:$G,Neutral!$A17,Data!$DG:$DG)+'Rate History'!$D$17*SUMIF(Data!$G:$G,Neutral!$A17,Data!$DH:$DH)+'Rate History'!$D$18*SUMIF(Data!$G:$G,Neutral!$A17,Data!$DI:$DI)+'Rate History'!$D$19*SUMIF(Data!$G:$G,Neutral!$A17,Data!$DJ:$DJ)+'Rate History'!$D$20*SUMIF(Data!$G:$G,Neutral!$A17,Data!$DK:$DK)+'Rate History'!$D$21*SUMIF(Data!$G:$G,Neutral!$A17,Data!$DL:$DL)+'Rate History'!$D$22*SUMIF(Data!$G:$G,Neutral!$A17,Data!$DM:$DM)+'Rate History'!$D$23*SUMIF(Data!$G:$G,Neutral!$A17,Data!$DN:$DN)+'Rate History'!$D$24*SUMIF(Data!$G:$G,Neutral!$A17,Data!$DO:$DO)+'Rate History'!$D$25*SUMIF(Data!$G:$G,Neutral!$A17,Data!$DP:$DP)+'Rate History'!$D$26*SUMIF(Data!$G:$G,Neutral!$A17,Data!$DQ:$DQ)+'Rate History'!$D$27*SUMIF(Data!$G:$G,Neutral!$A17,Data!$DR:$DR)+'Rate History'!$D$28*SUMIF(Data!$G:$G,Neutral!$A17,Data!$DS:$DS)+'Rate History'!$D$29*SUMIF(Data!$G:$G,Neutral!$A17,Data!$DT:$DT)+'Rate History'!$D$30*SUMIF(Data!$G:$G,Neutral!$A17,Data!$DV:$DV)+'Rate History'!$D$31*SUMIF(Data!$G:$G,Neutral!$A17,Data!$DW:$DW))</f>
        <v>5636642.4922424713</v>
      </c>
      <c r="C17" s="113">
        <f>$C$5*('Rate History'!$C$4*SUMIF(Data!$G:$G,Neutral!$A17,Data!$CU:$CU)+'Rate History'!$C$5*SUMIF(Data!$G:$G,Neutral!$A17,Data!$CV:$CV)+'Rate History'!$C$6*SUMIF(Data!$G:$G,Neutral!$A17,Data!$CW:$CW)+'Rate History'!$C$7*SUMIF(Data!$G:$G,Neutral!$A17,Data!$CX:$CX)+'Rate History'!$C$8*SUMIF(Data!$G:$G,Neutral!$A17,Data!$CY:$CY)+'Rate History'!$C$9*SUMIF(Data!$G:$G,Neutral!$A17,Data!$CZ:$CZ)+'Rate History'!$C$10*SUMIF(Data!$G:$G,Neutral!$A17,Data!$DA:$DA)+'Rate History'!$C$11*SUMIF(Data!$G:$G,Neutral!$A17,Data!$DB:$DB)+'Rate History'!$C$12*SUMIF(Data!$G:$G,Neutral!$A17,Data!$DC:$DC)+'Rate History'!$C$13*SUMIF(Data!$G:$G,Neutral!$A17,Data!$DD:$DD)+'Rate History'!$C$14*SUMIF(Data!$G:$G,Neutral!$A17,Data!$DE:$DE)+'Rate History'!$C$15*SUMIF(Data!$G:$G,Neutral!$A17,Data!$DF:$DF)+'Rate History'!$C$16*SUMIF(Data!$G:$G,Neutral!$A17,Data!$DG:$DG)+'Rate History'!$C$17*SUMIF(Data!$G:$G,Neutral!$A17,Data!$DH:$DH)+'Rate History'!$C$18*SUMIF(Data!$G:$G,Neutral!$A17,Data!$DI:$DI)+'Rate History'!$C$19*SUMIF(Data!$G:$G,Neutral!$A17,Data!$DJ:$DJ)+'Rate History'!$C$20*SUMIF(Data!$G:$G,Neutral!$A17,Data!$DK:$DK)+'Rate History'!$C$21*SUMIF(Data!$G:$G,Neutral!$A17,Data!$DL:$DL)+'Rate History'!$C$22*SUMIF(Data!$G:$G,Neutral!$A17,Data!$DM:$DM)+'Rate History'!$C$23*SUMIF(Data!$G:$G,Neutral!$A17,Data!$DN:$DN)+'Rate History'!$C$24*SUMIF(Data!$G:$G,Neutral!$A17,Data!$DO:$DO)+'Rate History'!$C$25*SUMIF(Data!$G:$G,Neutral!$A17,Data!$DP:$DP)+'Rate History'!$C$26*SUMIF(Data!$G:$G,Neutral!$A17,Data!$DQ:$DQ)+'Rate History'!$C$27*SUMIF(Data!$G:$G,Neutral!$A17,Data!$DR:$DR)+'Rate History'!$C$28*SUMIF(Data!$G:$G,Neutral!$A17,Data!$DS:$DS)+'Rate History'!$C$29*SUMIF(Data!$G:$G,Neutral!$A17,Data!$DT:$DT)+'Rate History'!$C$30*SUMIF(Data!$G:$G,Neutral!$A17,Data!$DV:$DV)+'Rate History'!$C$31*SUMIF(Data!$G:$G,Neutral!$A17,Data!$DW:$DW))</f>
        <v>5640503.2927985443</v>
      </c>
      <c r="D17" s="98">
        <f t="shared" si="1"/>
        <v>3860.8005560729653</v>
      </c>
      <c r="E17" s="100">
        <f t="shared" si="0"/>
        <v>6.8494685646401383E-4</v>
      </c>
    </row>
    <row r="18" spans="1:5" x14ac:dyDescent="0.25">
      <c r="A18" s="93" t="s">
        <v>453</v>
      </c>
      <c r="B18" s="113">
        <f>$B$5*('Rate History'!$D$4*SUMIF(Data!$G:$G,Neutral!$A18,Data!$CU:$CU)+'Rate History'!$D$5*SUMIF(Data!$G:$G,Neutral!$A18,Data!$CV:$CV)+'Rate History'!$D$6*SUMIF(Data!$G:$G,Neutral!$A18,Data!$CW:$CW)+'Rate History'!$D$7*SUMIF(Data!$G:$G,Neutral!$A18,Data!$CX:$CX)+'Rate History'!$D$8*SUMIF(Data!$G:$G,Neutral!$A18,Data!$CY:$CY)+'Rate History'!$D$9*SUMIF(Data!$G:$G,Neutral!$A18,Data!$CZ:$CZ)+'Rate History'!$D$10*SUMIF(Data!$G:$G,Neutral!$A18,Data!$DA:$DA)+'Rate History'!$D$11*SUMIF(Data!$G:$G,Neutral!$A18,Data!$DB:$DB)+'Rate History'!$D$12*SUMIF(Data!$G:$G,Neutral!$A18,Data!$DC:$DC)+'Rate History'!$D$13*SUMIF(Data!$G:$G,Neutral!$A18,Data!$DD:$DD)+'Rate History'!$D$14*SUMIF(Data!$G:$G,Neutral!$A18,Data!$DE:$DE)+'Rate History'!$D$15*SUMIF(Data!$G:$G,Neutral!$A18,Data!$DF:$DF)+'Rate History'!$D$16*SUMIF(Data!$G:$G,Neutral!$A18,Data!$DG:$DG)+'Rate History'!$D$17*SUMIF(Data!$G:$G,Neutral!$A18,Data!$DH:$DH)+'Rate History'!$D$18*SUMIF(Data!$G:$G,Neutral!$A18,Data!$DI:$DI)+'Rate History'!$D$19*SUMIF(Data!$G:$G,Neutral!$A18,Data!$DJ:$DJ)+'Rate History'!$D$20*SUMIF(Data!$G:$G,Neutral!$A18,Data!$DK:$DK)+'Rate History'!$D$21*SUMIF(Data!$G:$G,Neutral!$A18,Data!$DL:$DL)+'Rate History'!$D$22*SUMIF(Data!$G:$G,Neutral!$A18,Data!$DM:$DM)+'Rate History'!$D$23*SUMIF(Data!$G:$G,Neutral!$A18,Data!$DN:$DN)+'Rate History'!$D$24*SUMIF(Data!$G:$G,Neutral!$A18,Data!$DO:$DO)+'Rate History'!$D$25*SUMIF(Data!$G:$G,Neutral!$A18,Data!$DP:$DP)+'Rate History'!$D$26*SUMIF(Data!$G:$G,Neutral!$A18,Data!$DQ:$DQ)+'Rate History'!$D$27*SUMIF(Data!$G:$G,Neutral!$A18,Data!$DR:$DR)+'Rate History'!$D$28*SUMIF(Data!$G:$G,Neutral!$A18,Data!$DS:$DS)+'Rate History'!$D$29*SUMIF(Data!$G:$G,Neutral!$A18,Data!$DT:$DT)+'Rate History'!$D$30*SUMIF(Data!$G:$G,Neutral!$A18,Data!$DV:$DV)+'Rate History'!$D$31*SUMIF(Data!$G:$G,Neutral!$A18,Data!$DW:$DW))</f>
        <v>24198699.547208998</v>
      </c>
      <c r="C18" s="113">
        <f>$C$5*('Rate History'!$C$4*SUMIF(Data!$G:$G,Neutral!$A18,Data!$CU:$CU)+'Rate History'!$C$5*SUMIF(Data!$G:$G,Neutral!$A18,Data!$CV:$CV)+'Rate History'!$C$6*SUMIF(Data!$G:$G,Neutral!$A18,Data!$CW:$CW)+'Rate History'!$C$7*SUMIF(Data!$G:$G,Neutral!$A18,Data!$CX:$CX)+'Rate History'!$C$8*SUMIF(Data!$G:$G,Neutral!$A18,Data!$CY:$CY)+'Rate History'!$C$9*SUMIF(Data!$G:$G,Neutral!$A18,Data!$CZ:$CZ)+'Rate History'!$C$10*SUMIF(Data!$G:$G,Neutral!$A18,Data!$DA:$DA)+'Rate History'!$C$11*SUMIF(Data!$G:$G,Neutral!$A18,Data!$DB:$DB)+'Rate History'!$C$12*SUMIF(Data!$G:$G,Neutral!$A18,Data!$DC:$DC)+'Rate History'!$C$13*SUMIF(Data!$G:$G,Neutral!$A18,Data!$DD:$DD)+'Rate History'!$C$14*SUMIF(Data!$G:$G,Neutral!$A18,Data!$DE:$DE)+'Rate History'!$C$15*SUMIF(Data!$G:$G,Neutral!$A18,Data!$DF:$DF)+'Rate History'!$C$16*SUMIF(Data!$G:$G,Neutral!$A18,Data!$DG:$DG)+'Rate History'!$C$17*SUMIF(Data!$G:$G,Neutral!$A18,Data!$DH:$DH)+'Rate History'!$C$18*SUMIF(Data!$G:$G,Neutral!$A18,Data!$DI:$DI)+'Rate History'!$C$19*SUMIF(Data!$G:$G,Neutral!$A18,Data!$DJ:$DJ)+'Rate History'!$C$20*SUMIF(Data!$G:$G,Neutral!$A18,Data!$DK:$DK)+'Rate History'!$C$21*SUMIF(Data!$G:$G,Neutral!$A18,Data!$DL:$DL)+'Rate History'!$C$22*SUMIF(Data!$G:$G,Neutral!$A18,Data!$DM:$DM)+'Rate History'!$C$23*SUMIF(Data!$G:$G,Neutral!$A18,Data!$DN:$DN)+'Rate History'!$C$24*SUMIF(Data!$G:$G,Neutral!$A18,Data!$DO:$DO)+'Rate History'!$C$25*SUMIF(Data!$G:$G,Neutral!$A18,Data!$DP:$DP)+'Rate History'!$C$26*SUMIF(Data!$G:$G,Neutral!$A18,Data!$DQ:$DQ)+'Rate History'!$C$27*SUMIF(Data!$G:$G,Neutral!$A18,Data!$DR:$DR)+'Rate History'!$C$28*SUMIF(Data!$G:$G,Neutral!$A18,Data!$DS:$DS)+'Rate History'!$C$29*SUMIF(Data!$G:$G,Neutral!$A18,Data!$DT:$DT)+'Rate History'!$C$30*SUMIF(Data!$G:$G,Neutral!$A18,Data!$DV:$DV)+'Rate History'!$C$31*SUMIF(Data!$G:$G,Neutral!$A18,Data!$DW:$DW))</f>
        <v>24166010.013357025</v>
      </c>
      <c r="D18" s="98">
        <f t="shared" si="1"/>
        <v>-32689.533851973712</v>
      </c>
      <c r="E18" s="100">
        <f t="shared" si="0"/>
        <v>-1.3508797771632328E-3</v>
      </c>
    </row>
    <row r="19" spans="1:5" x14ac:dyDescent="0.25">
      <c r="A19" s="93" t="s">
        <v>455</v>
      </c>
      <c r="B19" s="113">
        <f>$B$5*('Rate History'!$D$4*SUMIF(Data!$G:$G,Neutral!$A19,Data!$CU:$CU)+'Rate History'!$D$5*SUMIF(Data!$G:$G,Neutral!$A19,Data!$CV:$CV)+'Rate History'!$D$6*SUMIF(Data!$G:$G,Neutral!$A19,Data!$CW:$CW)+'Rate History'!$D$7*SUMIF(Data!$G:$G,Neutral!$A19,Data!$CX:$CX)+'Rate History'!$D$8*SUMIF(Data!$G:$G,Neutral!$A19,Data!$CY:$CY)+'Rate History'!$D$9*SUMIF(Data!$G:$G,Neutral!$A19,Data!$CZ:$CZ)+'Rate History'!$D$10*SUMIF(Data!$G:$G,Neutral!$A19,Data!$DA:$DA)+'Rate History'!$D$11*SUMIF(Data!$G:$G,Neutral!$A19,Data!$DB:$DB)+'Rate History'!$D$12*SUMIF(Data!$G:$G,Neutral!$A19,Data!$DC:$DC)+'Rate History'!$D$13*SUMIF(Data!$G:$G,Neutral!$A19,Data!$DD:$DD)+'Rate History'!$D$14*SUMIF(Data!$G:$G,Neutral!$A19,Data!$DE:$DE)+'Rate History'!$D$15*SUMIF(Data!$G:$G,Neutral!$A19,Data!$DF:$DF)+'Rate History'!$D$16*SUMIF(Data!$G:$G,Neutral!$A19,Data!$DG:$DG)+'Rate History'!$D$17*SUMIF(Data!$G:$G,Neutral!$A19,Data!$DH:$DH)+'Rate History'!$D$18*SUMIF(Data!$G:$G,Neutral!$A19,Data!$DI:$DI)+'Rate History'!$D$19*SUMIF(Data!$G:$G,Neutral!$A19,Data!$DJ:$DJ)+'Rate History'!$D$20*SUMIF(Data!$G:$G,Neutral!$A19,Data!$DK:$DK)+'Rate History'!$D$21*SUMIF(Data!$G:$G,Neutral!$A19,Data!$DL:$DL)+'Rate History'!$D$22*SUMIF(Data!$G:$G,Neutral!$A19,Data!$DM:$DM)+'Rate History'!$D$23*SUMIF(Data!$G:$G,Neutral!$A19,Data!$DN:$DN)+'Rate History'!$D$24*SUMIF(Data!$G:$G,Neutral!$A19,Data!$DO:$DO)+'Rate History'!$D$25*SUMIF(Data!$G:$G,Neutral!$A19,Data!$DP:$DP)+'Rate History'!$D$26*SUMIF(Data!$G:$G,Neutral!$A19,Data!$DQ:$DQ)+'Rate History'!$D$27*SUMIF(Data!$G:$G,Neutral!$A19,Data!$DR:$DR)+'Rate History'!$D$28*SUMIF(Data!$G:$G,Neutral!$A19,Data!$DS:$DS)+'Rate History'!$D$29*SUMIF(Data!$G:$G,Neutral!$A19,Data!$DT:$DT)+'Rate History'!$D$30*SUMIF(Data!$G:$G,Neutral!$A19,Data!$DV:$DV)+'Rate History'!$D$31*SUMIF(Data!$G:$G,Neutral!$A19,Data!$DW:$DW))</f>
        <v>89904614.3745469</v>
      </c>
      <c r="C19" s="113">
        <f>$C$5*('Rate History'!$C$4*SUMIF(Data!$G:$G,Neutral!$A19,Data!$CU:$CU)+'Rate History'!$C$5*SUMIF(Data!$G:$G,Neutral!$A19,Data!$CV:$CV)+'Rate History'!$C$6*SUMIF(Data!$G:$G,Neutral!$A19,Data!$CW:$CW)+'Rate History'!$C$7*SUMIF(Data!$G:$G,Neutral!$A19,Data!$CX:$CX)+'Rate History'!$C$8*SUMIF(Data!$G:$G,Neutral!$A19,Data!$CY:$CY)+'Rate History'!$C$9*SUMIF(Data!$G:$G,Neutral!$A19,Data!$CZ:$CZ)+'Rate History'!$C$10*SUMIF(Data!$G:$G,Neutral!$A19,Data!$DA:$DA)+'Rate History'!$C$11*SUMIF(Data!$G:$G,Neutral!$A19,Data!$DB:$DB)+'Rate History'!$C$12*SUMIF(Data!$G:$G,Neutral!$A19,Data!$DC:$DC)+'Rate History'!$C$13*SUMIF(Data!$G:$G,Neutral!$A19,Data!$DD:$DD)+'Rate History'!$C$14*SUMIF(Data!$G:$G,Neutral!$A19,Data!$DE:$DE)+'Rate History'!$C$15*SUMIF(Data!$G:$G,Neutral!$A19,Data!$DF:$DF)+'Rate History'!$C$16*SUMIF(Data!$G:$G,Neutral!$A19,Data!$DG:$DG)+'Rate History'!$C$17*SUMIF(Data!$G:$G,Neutral!$A19,Data!$DH:$DH)+'Rate History'!$C$18*SUMIF(Data!$G:$G,Neutral!$A19,Data!$DI:$DI)+'Rate History'!$C$19*SUMIF(Data!$G:$G,Neutral!$A19,Data!$DJ:$DJ)+'Rate History'!$C$20*SUMIF(Data!$G:$G,Neutral!$A19,Data!$DK:$DK)+'Rate History'!$C$21*SUMIF(Data!$G:$G,Neutral!$A19,Data!$DL:$DL)+'Rate History'!$C$22*SUMIF(Data!$G:$G,Neutral!$A19,Data!$DM:$DM)+'Rate History'!$C$23*SUMIF(Data!$G:$G,Neutral!$A19,Data!$DN:$DN)+'Rate History'!$C$24*SUMIF(Data!$G:$G,Neutral!$A19,Data!$DO:$DO)+'Rate History'!$C$25*SUMIF(Data!$G:$G,Neutral!$A19,Data!$DP:$DP)+'Rate History'!$C$26*SUMIF(Data!$G:$G,Neutral!$A19,Data!$DQ:$DQ)+'Rate History'!$C$27*SUMIF(Data!$G:$G,Neutral!$A19,Data!$DR:$DR)+'Rate History'!$C$28*SUMIF(Data!$G:$G,Neutral!$A19,Data!$DS:$DS)+'Rate History'!$C$29*SUMIF(Data!$G:$G,Neutral!$A19,Data!$DT:$DT)+'Rate History'!$C$30*SUMIF(Data!$G:$G,Neutral!$A19,Data!$DV:$DV)+'Rate History'!$C$31*SUMIF(Data!$G:$G,Neutral!$A19,Data!$DW:$DW))</f>
        <v>90093182.01037316</v>
      </c>
      <c r="D19" s="98">
        <f t="shared" si="1"/>
        <v>188567.63582625985</v>
      </c>
      <c r="E19" s="100">
        <f t="shared" si="0"/>
        <v>2.0974188826468694E-3</v>
      </c>
    </row>
    <row r="20" spans="1:5" x14ac:dyDescent="0.25">
      <c r="A20" s="93" t="s">
        <v>365</v>
      </c>
      <c r="B20" s="113">
        <f>$B$5*('Rate History'!$D$4*SUMIF(Data!$G:$G,Neutral!$A20,Data!$CU:$CU)+'Rate History'!$D$5*SUMIF(Data!$G:$G,Neutral!$A20,Data!$CV:$CV)+'Rate History'!$D$6*SUMIF(Data!$G:$G,Neutral!$A20,Data!$CW:$CW)+'Rate History'!$D$7*SUMIF(Data!$G:$G,Neutral!$A20,Data!$CX:$CX)+'Rate History'!$D$8*SUMIF(Data!$G:$G,Neutral!$A20,Data!$CY:$CY)+'Rate History'!$D$9*SUMIF(Data!$G:$G,Neutral!$A20,Data!$CZ:$CZ)+'Rate History'!$D$10*SUMIF(Data!$G:$G,Neutral!$A20,Data!$DA:$DA)+'Rate History'!$D$11*SUMIF(Data!$G:$G,Neutral!$A20,Data!$DB:$DB)+'Rate History'!$D$12*SUMIF(Data!$G:$G,Neutral!$A20,Data!$DC:$DC)+'Rate History'!$D$13*SUMIF(Data!$G:$G,Neutral!$A20,Data!$DD:$DD)+'Rate History'!$D$14*SUMIF(Data!$G:$G,Neutral!$A20,Data!$DE:$DE)+'Rate History'!$D$15*SUMIF(Data!$G:$G,Neutral!$A20,Data!$DF:$DF)+'Rate History'!$D$16*SUMIF(Data!$G:$G,Neutral!$A20,Data!$DG:$DG)+'Rate History'!$D$17*SUMIF(Data!$G:$G,Neutral!$A20,Data!$DH:$DH)+'Rate History'!$D$18*SUMIF(Data!$G:$G,Neutral!$A20,Data!$DI:$DI)+'Rate History'!$D$19*SUMIF(Data!$G:$G,Neutral!$A20,Data!$DJ:$DJ)+'Rate History'!$D$20*SUMIF(Data!$G:$G,Neutral!$A20,Data!$DK:$DK)+'Rate History'!$D$21*SUMIF(Data!$G:$G,Neutral!$A20,Data!$DL:$DL)+'Rate History'!$D$22*SUMIF(Data!$G:$G,Neutral!$A20,Data!$DM:$DM)+'Rate History'!$D$23*SUMIF(Data!$G:$G,Neutral!$A20,Data!$DN:$DN)+'Rate History'!$D$24*SUMIF(Data!$G:$G,Neutral!$A20,Data!$DO:$DO)+'Rate History'!$D$25*SUMIF(Data!$G:$G,Neutral!$A20,Data!$DP:$DP)+'Rate History'!$D$26*SUMIF(Data!$G:$G,Neutral!$A20,Data!$DQ:$DQ)+'Rate History'!$D$27*SUMIF(Data!$G:$G,Neutral!$A20,Data!$DR:$DR)+'Rate History'!$D$28*SUMIF(Data!$G:$G,Neutral!$A20,Data!$DS:$DS)+'Rate History'!$D$29*SUMIF(Data!$G:$G,Neutral!$A20,Data!$DT:$DT)+'Rate History'!$D$30*SUMIF(Data!$G:$G,Neutral!$A20,Data!$DV:$DV)+'Rate History'!$D$31*SUMIF(Data!$G:$G,Neutral!$A20,Data!$DW:$DW))</f>
        <v>19989593.249877665</v>
      </c>
      <c r="C20" s="113">
        <f>$C$5*('Rate History'!$C$4*SUMIF(Data!$G:$G,Neutral!$A20,Data!$CU:$CU)+'Rate History'!$C$5*SUMIF(Data!$G:$G,Neutral!$A20,Data!$CV:$CV)+'Rate History'!$C$6*SUMIF(Data!$G:$G,Neutral!$A20,Data!$CW:$CW)+'Rate History'!$C$7*SUMIF(Data!$G:$G,Neutral!$A20,Data!$CX:$CX)+'Rate History'!$C$8*SUMIF(Data!$G:$G,Neutral!$A20,Data!$CY:$CY)+'Rate History'!$C$9*SUMIF(Data!$G:$G,Neutral!$A20,Data!$CZ:$CZ)+'Rate History'!$C$10*SUMIF(Data!$G:$G,Neutral!$A20,Data!$DA:$DA)+'Rate History'!$C$11*SUMIF(Data!$G:$G,Neutral!$A20,Data!$DB:$DB)+'Rate History'!$C$12*SUMIF(Data!$G:$G,Neutral!$A20,Data!$DC:$DC)+'Rate History'!$C$13*SUMIF(Data!$G:$G,Neutral!$A20,Data!$DD:$DD)+'Rate History'!$C$14*SUMIF(Data!$G:$G,Neutral!$A20,Data!$DE:$DE)+'Rate History'!$C$15*SUMIF(Data!$G:$G,Neutral!$A20,Data!$DF:$DF)+'Rate History'!$C$16*SUMIF(Data!$G:$G,Neutral!$A20,Data!$DG:$DG)+'Rate History'!$C$17*SUMIF(Data!$G:$G,Neutral!$A20,Data!$DH:$DH)+'Rate History'!$C$18*SUMIF(Data!$G:$G,Neutral!$A20,Data!$DI:$DI)+'Rate History'!$C$19*SUMIF(Data!$G:$G,Neutral!$A20,Data!$DJ:$DJ)+'Rate History'!$C$20*SUMIF(Data!$G:$G,Neutral!$A20,Data!$DK:$DK)+'Rate History'!$C$21*SUMIF(Data!$G:$G,Neutral!$A20,Data!$DL:$DL)+'Rate History'!$C$22*SUMIF(Data!$G:$G,Neutral!$A20,Data!$DM:$DM)+'Rate History'!$C$23*SUMIF(Data!$G:$G,Neutral!$A20,Data!$DN:$DN)+'Rate History'!$C$24*SUMIF(Data!$G:$G,Neutral!$A20,Data!$DO:$DO)+'Rate History'!$C$25*SUMIF(Data!$G:$G,Neutral!$A20,Data!$DP:$DP)+'Rate History'!$C$26*SUMIF(Data!$G:$G,Neutral!$A20,Data!$DQ:$DQ)+'Rate History'!$C$27*SUMIF(Data!$G:$G,Neutral!$A20,Data!$DR:$DR)+'Rate History'!$C$28*SUMIF(Data!$G:$G,Neutral!$A20,Data!$DS:$DS)+'Rate History'!$C$29*SUMIF(Data!$G:$G,Neutral!$A20,Data!$DT:$DT)+'Rate History'!$C$30*SUMIF(Data!$G:$G,Neutral!$A20,Data!$DV:$DV)+'Rate History'!$C$31*SUMIF(Data!$G:$G,Neutral!$A20,Data!$DW:$DW))</f>
        <v>19910664.485424966</v>
      </c>
      <c r="D20" s="98">
        <f t="shared" si="1"/>
        <v>-78928.764452699572</v>
      </c>
      <c r="E20" s="100">
        <f t="shared" si="0"/>
        <v>-3.9484927715166297E-3</v>
      </c>
    </row>
    <row r="21" spans="1:5" x14ac:dyDescent="0.25">
      <c r="A21" s="92" t="s">
        <v>440</v>
      </c>
      <c r="B21" s="113">
        <f>$B$5*('Rate History'!$D$4*SUMIF(Data!$G:$G,Neutral!$A21,Data!$CU:$CU)+'Rate History'!$D$5*SUMIF(Data!$G:$G,Neutral!$A21,Data!$CV:$CV)+'Rate History'!$D$6*SUMIF(Data!$G:$G,Neutral!$A21,Data!$CW:$CW)+'Rate History'!$D$7*SUMIF(Data!$G:$G,Neutral!$A21,Data!$CX:$CX)+'Rate History'!$D$8*SUMIF(Data!$G:$G,Neutral!$A21,Data!$CY:$CY)+'Rate History'!$D$9*SUMIF(Data!$G:$G,Neutral!$A21,Data!$CZ:$CZ)+'Rate History'!$D$10*SUMIF(Data!$G:$G,Neutral!$A21,Data!$DA:$DA)+'Rate History'!$D$11*SUMIF(Data!$G:$G,Neutral!$A21,Data!$DB:$DB)+'Rate History'!$D$12*SUMIF(Data!$G:$G,Neutral!$A21,Data!$DC:$DC)+'Rate History'!$D$13*SUMIF(Data!$G:$G,Neutral!$A21,Data!$DD:$DD)+'Rate History'!$D$14*SUMIF(Data!$G:$G,Neutral!$A21,Data!$DE:$DE)+'Rate History'!$D$15*SUMIF(Data!$G:$G,Neutral!$A21,Data!$DF:$DF)+'Rate History'!$D$16*SUMIF(Data!$G:$G,Neutral!$A21,Data!$DG:$DG)+'Rate History'!$D$17*SUMIF(Data!$G:$G,Neutral!$A21,Data!$DH:$DH)+'Rate History'!$D$18*SUMIF(Data!$G:$G,Neutral!$A21,Data!$DI:$DI)+'Rate History'!$D$19*SUMIF(Data!$G:$G,Neutral!$A21,Data!$DJ:$DJ)+'Rate History'!$D$20*SUMIF(Data!$G:$G,Neutral!$A21,Data!$DK:$DK)+'Rate History'!$D$21*SUMIF(Data!$G:$G,Neutral!$A21,Data!$DL:$DL)+'Rate History'!$D$22*SUMIF(Data!$G:$G,Neutral!$A21,Data!$DM:$DM)+'Rate History'!$D$23*SUMIF(Data!$G:$G,Neutral!$A21,Data!$DN:$DN)+'Rate History'!$D$24*SUMIF(Data!$G:$G,Neutral!$A21,Data!$DO:$DO)+'Rate History'!$D$25*SUMIF(Data!$G:$G,Neutral!$A21,Data!$DP:$DP)+'Rate History'!$D$26*SUMIF(Data!$G:$G,Neutral!$A21,Data!$DQ:$DQ)+'Rate History'!$D$27*SUMIF(Data!$G:$G,Neutral!$A21,Data!$DR:$DR)+'Rate History'!$D$28*SUMIF(Data!$G:$G,Neutral!$A21,Data!$DS:$DS)+'Rate History'!$D$29*SUMIF(Data!$G:$G,Neutral!$A21,Data!$DT:$DT)+'Rate History'!$D$30*SUMIF(Data!$G:$G,Neutral!$A21,Data!$DV:$DV)+'Rate History'!$D$31*SUMIF(Data!$G:$G,Neutral!$A21,Data!$DW:$DW))</f>
        <v>30044898.088354681</v>
      </c>
      <c r="C21" s="113">
        <f>$C$5*('Rate History'!$C$4*SUMIF(Data!$G:$G,Neutral!$A21,Data!$CU:$CU)+'Rate History'!$C$5*SUMIF(Data!$G:$G,Neutral!$A21,Data!$CV:$CV)+'Rate History'!$C$6*SUMIF(Data!$G:$G,Neutral!$A21,Data!$CW:$CW)+'Rate History'!$C$7*SUMIF(Data!$G:$G,Neutral!$A21,Data!$CX:$CX)+'Rate History'!$C$8*SUMIF(Data!$G:$G,Neutral!$A21,Data!$CY:$CY)+'Rate History'!$C$9*SUMIF(Data!$G:$G,Neutral!$A21,Data!$CZ:$CZ)+'Rate History'!$C$10*SUMIF(Data!$G:$G,Neutral!$A21,Data!$DA:$DA)+'Rate History'!$C$11*SUMIF(Data!$G:$G,Neutral!$A21,Data!$DB:$DB)+'Rate History'!$C$12*SUMIF(Data!$G:$G,Neutral!$A21,Data!$DC:$DC)+'Rate History'!$C$13*SUMIF(Data!$G:$G,Neutral!$A21,Data!$DD:$DD)+'Rate History'!$C$14*SUMIF(Data!$G:$G,Neutral!$A21,Data!$DE:$DE)+'Rate History'!$C$15*SUMIF(Data!$G:$G,Neutral!$A21,Data!$DF:$DF)+'Rate History'!$C$16*SUMIF(Data!$G:$G,Neutral!$A21,Data!$DG:$DG)+'Rate History'!$C$17*SUMIF(Data!$G:$G,Neutral!$A21,Data!$DH:$DH)+'Rate History'!$C$18*SUMIF(Data!$G:$G,Neutral!$A21,Data!$DI:$DI)+'Rate History'!$C$19*SUMIF(Data!$G:$G,Neutral!$A21,Data!$DJ:$DJ)+'Rate History'!$C$20*SUMIF(Data!$G:$G,Neutral!$A21,Data!$DK:$DK)+'Rate History'!$C$21*SUMIF(Data!$G:$G,Neutral!$A21,Data!$DL:$DL)+'Rate History'!$C$22*SUMIF(Data!$G:$G,Neutral!$A21,Data!$DM:$DM)+'Rate History'!$C$23*SUMIF(Data!$G:$G,Neutral!$A21,Data!$DN:$DN)+'Rate History'!$C$24*SUMIF(Data!$G:$G,Neutral!$A21,Data!$DO:$DO)+'Rate History'!$C$25*SUMIF(Data!$G:$G,Neutral!$A21,Data!$DP:$DP)+'Rate History'!$C$26*SUMIF(Data!$G:$G,Neutral!$A21,Data!$DQ:$DQ)+'Rate History'!$C$27*SUMIF(Data!$G:$G,Neutral!$A21,Data!$DR:$DR)+'Rate History'!$C$28*SUMIF(Data!$G:$G,Neutral!$A21,Data!$DS:$DS)+'Rate History'!$C$29*SUMIF(Data!$G:$G,Neutral!$A21,Data!$DT:$DT)+'Rate History'!$C$30*SUMIF(Data!$G:$G,Neutral!$A21,Data!$DV:$DV)+'Rate History'!$C$31*SUMIF(Data!$G:$G,Neutral!$A21,Data!$DW:$DW))</f>
        <v>29983071.433943674</v>
      </c>
      <c r="D21" s="98">
        <f t="shared" si="1"/>
        <v>-61826.654411006719</v>
      </c>
      <c r="E21" s="100">
        <f t="shared" si="0"/>
        <v>-2.0578087577195199E-3</v>
      </c>
    </row>
    <row r="22" spans="1:5" x14ac:dyDescent="0.25">
      <c r="A22" s="93" t="s">
        <v>367</v>
      </c>
      <c r="B22" s="113">
        <f>$B$5*('Rate History'!$D$4*SUMIF(Data!$G:$G,Neutral!$A22,Data!$CU:$CU)+'Rate History'!$D$5*SUMIF(Data!$G:$G,Neutral!$A22,Data!$CV:$CV)+'Rate History'!$D$6*SUMIF(Data!$G:$G,Neutral!$A22,Data!$CW:$CW)+'Rate History'!$D$7*SUMIF(Data!$G:$G,Neutral!$A22,Data!$CX:$CX)+'Rate History'!$D$8*SUMIF(Data!$G:$G,Neutral!$A22,Data!$CY:$CY)+'Rate History'!$D$9*SUMIF(Data!$G:$G,Neutral!$A22,Data!$CZ:$CZ)+'Rate History'!$D$10*SUMIF(Data!$G:$G,Neutral!$A22,Data!$DA:$DA)+'Rate History'!$D$11*SUMIF(Data!$G:$G,Neutral!$A22,Data!$DB:$DB)+'Rate History'!$D$12*SUMIF(Data!$G:$G,Neutral!$A22,Data!$DC:$DC)+'Rate History'!$D$13*SUMIF(Data!$G:$G,Neutral!$A22,Data!$DD:$DD)+'Rate History'!$D$14*SUMIF(Data!$G:$G,Neutral!$A22,Data!$DE:$DE)+'Rate History'!$D$15*SUMIF(Data!$G:$G,Neutral!$A22,Data!$DF:$DF)+'Rate History'!$D$16*SUMIF(Data!$G:$G,Neutral!$A22,Data!$DG:$DG)+'Rate History'!$D$17*SUMIF(Data!$G:$G,Neutral!$A22,Data!$DH:$DH)+'Rate History'!$D$18*SUMIF(Data!$G:$G,Neutral!$A22,Data!$DI:$DI)+'Rate History'!$D$19*SUMIF(Data!$G:$G,Neutral!$A22,Data!$DJ:$DJ)+'Rate History'!$D$20*SUMIF(Data!$G:$G,Neutral!$A22,Data!$DK:$DK)+'Rate History'!$D$21*SUMIF(Data!$G:$G,Neutral!$A22,Data!$DL:$DL)+'Rate History'!$D$22*SUMIF(Data!$G:$G,Neutral!$A22,Data!$DM:$DM)+'Rate History'!$D$23*SUMIF(Data!$G:$G,Neutral!$A22,Data!$DN:$DN)+'Rate History'!$D$24*SUMIF(Data!$G:$G,Neutral!$A22,Data!$DO:$DO)+'Rate History'!$D$25*SUMIF(Data!$G:$G,Neutral!$A22,Data!$DP:$DP)+'Rate History'!$D$26*SUMIF(Data!$G:$G,Neutral!$A22,Data!$DQ:$DQ)+'Rate History'!$D$27*SUMIF(Data!$G:$G,Neutral!$A22,Data!$DR:$DR)+'Rate History'!$D$28*SUMIF(Data!$G:$G,Neutral!$A22,Data!$DS:$DS)+'Rate History'!$D$29*SUMIF(Data!$G:$G,Neutral!$A22,Data!$DT:$DT)+'Rate History'!$D$30*SUMIF(Data!$G:$G,Neutral!$A22,Data!$DV:$DV)+'Rate History'!$D$31*SUMIF(Data!$G:$G,Neutral!$A22,Data!$DW:$DW))</f>
        <v>2556180.7097315723</v>
      </c>
      <c r="C22" s="113">
        <f>$C$5*('Rate History'!$C$4*SUMIF(Data!$G:$G,Neutral!$A22,Data!$CU:$CU)+'Rate History'!$C$5*SUMIF(Data!$G:$G,Neutral!$A22,Data!$CV:$CV)+'Rate History'!$C$6*SUMIF(Data!$G:$G,Neutral!$A22,Data!$CW:$CW)+'Rate History'!$C$7*SUMIF(Data!$G:$G,Neutral!$A22,Data!$CX:$CX)+'Rate History'!$C$8*SUMIF(Data!$G:$G,Neutral!$A22,Data!$CY:$CY)+'Rate History'!$C$9*SUMIF(Data!$G:$G,Neutral!$A22,Data!$CZ:$CZ)+'Rate History'!$C$10*SUMIF(Data!$G:$G,Neutral!$A22,Data!$DA:$DA)+'Rate History'!$C$11*SUMIF(Data!$G:$G,Neutral!$A22,Data!$DB:$DB)+'Rate History'!$C$12*SUMIF(Data!$G:$G,Neutral!$A22,Data!$DC:$DC)+'Rate History'!$C$13*SUMIF(Data!$G:$G,Neutral!$A22,Data!$DD:$DD)+'Rate History'!$C$14*SUMIF(Data!$G:$G,Neutral!$A22,Data!$DE:$DE)+'Rate History'!$C$15*SUMIF(Data!$G:$G,Neutral!$A22,Data!$DF:$DF)+'Rate History'!$C$16*SUMIF(Data!$G:$G,Neutral!$A22,Data!$DG:$DG)+'Rate History'!$C$17*SUMIF(Data!$G:$G,Neutral!$A22,Data!$DH:$DH)+'Rate History'!$C$18*SUMIF(Data!$G:$G,Neutral!$A22,Data!$DI:$DI)+'Rate History'!$C$19*SUMIF(Data!$G:$G,Neutral!$A22,Data!$DJ:$DJ)+'Rate History'!$C$20*SUMIF(Data!$G:$G,Neutral!$A22,Data!$DK:$DK)+'Rate History'!$C$21*SUMIF(Data!$G:$G,Neutral!$A22,Data!$DL:$DL)+'Rate History'!$C$22*SUMIF(Data!$G:$G,Neutral!$A22,Data!$DM:$DM)+'Rate History'!$C$23*SUMIF(Data!$G:$G,Neutral!$A22,Data!$DN:$DN)+'Rate History'!$C$24*SUMIF(Data!$G:$G,Neutral!$A22,Data!$DO:$DO)+'Rate History'!$C$25*SUMIF(Data!$G:$G,Neutral!$A22,Data!$DP:$DP)+'Rate History'!$C$26*SUMIF(Data!$G:$G,Neutral!$A22,Data!$DQ:$DQ)+'Rate History'!$C$27*SUMIF(Data!$G:$G,Neutral!$A22,Data!$DR:$DR)+'Rate History'!$C$28*SUMIF(Data!$G:$G,Neutral!$A22,Data!$DS:$DS)+'Rate History'!$C$29*SUMIF(Data!$G:$G,Neutral!$A22,Data!$DT:$DT)+'Rate History'!$C$30*SUMIF(Data!$G:$G,Neutral!$A22,Data!$DV:$DV)+'Rate History'!$C$31*SUMIF(Data!$G:$G,Neutral!$A22,Data!$DW:$DW))</f>
        <v>2570964.39683242</v>
      </c>
      <c r="D22" s="98">
        <f t="shared" si="1"/>
        <v>14783.687100847717</v>
      </c>
      <c r="E22" s="100">
        <f t="shared" si="0"/>
        <v>5.7835062460823324E-3</v>
      </c>
    </row>
    <row r="23" spans="1:5" x14ac:dyDescent="0.25">
      <c r="A23" s="93" t="s">
        <v>424</v>
      </c>
      <c r="B23" s="113">
        <f>$B$5*('Rate History'!$D$4*SUMIF(Data!$G:$G,Neutral!$A23,Data!$CU:$CU)+'Rate History'!$D$5*SUMIF(Data!$G:$G,Neutral!$A23,Data!$CV:$CV)+'Rate History'!$D$6*SUMIF(Data!$G:$G,Neutral!$A23,Data!$CW:$CW)+'Rate History'!$D$7*SUMIF(Data!$G:$G,Neutral!$A23,Data!$CX:$CX)+'Rate History'!$D$8*SUMIF(Data!$G:$G,Neutral!$A23,Data!$CY:$CY)+'Rate History'!$D$9*SUMIF(Data!$G:$G,Neutral!$A23,Data!$CZ:$CZ)+'Rate History'!$D$10*SUMIF(Data!$G:$G,Neutral!$A23,Data!$DA:$DA)+'Rate History'!$D$11*SUMIF(Data!$G:$G,Neutral!$A23,Data!$DB:$DB)+'Rate History'!$D$12*SUMIF(Data!$G:$G,Neutral!$A23,Data!$DC:$DC)+'Rate History'!$D$13*SUMIF(Data!$G:$G,Neutral!$A23,Data!$DD:$DD)+'Rate History'!$D$14*SUMIF(Data!$G:$G,Neutral!$A23,Data!$DE:$DE)+'Rate History'!$D$15*SUMIF(Data!$G:$G,Neutral!$A23,Data!$DF:$DF)+'Rate History'!$D$16*SUMIF(Data!$G:$G,Neutral!$A23,Data!$DG:$DG)+'Rate History'!$D$17*SUMIF(Data!$G:$G,Neutral!$A23,Data!$DH:$DH)+'Rate History'!$D$18*SUMIF(Data!$G:$G,Neutral!$A23,Data!$DI:$DI)+'Rate History'!$D$19*SUMIF(Data!$G:$G,Neutral!$A23,Data!$DJ:$DJ)+'Rate History'!$D$20*SUMIF(Data!$G:$G,Neutral!$A23,Data!$DK:$DK)+'Rate History'!$D$21*SUMIF(Data!$G:$G,Neutral!$A23,Data!$DL:$DL)+'Rate History'!$D$22*SUMIF(Data!$G:$G,Neutral!$A23,Data!$DM:$DM)+'Rate History'!$D$23*SUMIF(Data!$G:$G,Neutral!$A23,Data!$DN:$DN)+'Rate History'!$D$24*SUMIF(Data!$G:$G,Neutral!$A23,Data!$DO:$DO)+'Rate History'!$D$25*SUMIF(Data!$G:$G,Neutral!$A23,Data!$DP:$DP)+'Rate History'!$D$26*SUMIF(Data!$G:$G,Neutral!$A23,Data!$DQ:$DQ)+'Rate History'!$D$27*SUMIF(Data!$G:$G,Neutral!$A23,Data!$DR:$DR)+'Rate History'!$D$28*SUMIF(Data!$G:$G,Neutral!$A23,Data!$DS:$DS)+'Rate History'!$D$29*SUMIF(Data!$G:$G,Neutral!$A23,Data!$DT:$DT)+'Rate History'!$D$30*SUMIF(Data!$G:$G,Neutral!$A23,Data!$DV:$DV)+'Rate History'!$D$31*SUMIF(Data!$G:$G,Neutral!$A23,Data!$DW:$DW))</f>
        <v>4167017.8057609964</v>
      </c>
      <c r="C23" s="113">
        <f>$C$5*('Rate History'!$C$4*SUMIF(Data!$G:$G,Neutral!$A23,Data!$CU:$CU)+'Rate History'!$C$5*SUMIF(Data!$G:$G,Neutral!$A23,Data!$CV:$CV)+'Rate History'!$C$6*SUMIF(Data!$G:$G,Neutral!$A23,Data!$CW:$CW)+'Rate History'!$C$7*SUMIF(Data!$G:$G,Neutral!$A23,Data!$CX:$CX)+'Rate History'!$C$8*SUMIF(Data!$G:$G,Neutral!$A23,Data!$CY:$CY)+'Rate History'!$C$9*SUMIF(Data!$G:$G,Neutral!$A23,Data!$CZ:$CZ)+'Rate History'!$C$10*SUMIF(Data!$G:$G,Neutral!$A23,Data!$DA:$DA)+'Rate History'!$C$11*SUMIF(Data!$G:$G,Neutral!$A23,Data!$DB:$DB)+'Rate History'!$C$12*SUMIF(Data!$G:$G,Neutral!$A23,Data!$DC:$DC)+'Rate History'!$C$13*SUMIF(Data!$G:$G,Neutral!$A23,Data!$DD:$DD)+'Rate History'!$C$14*SUMIF(Data!$G:$G,Neutral!$A23,Data!$DE:$DE)+'Rate History'!$C$15*SUMIF(Data!$G:$G,Neutral!$A23,Data!$DF:$DF)+'Rate History'!$C$16*SUMIF(Data!$G:$G,Neutral!$A23,Data!$DG:$DG)+'Rate History'!$C$17*SUMIF(Data!$G:$G,Neutral!$A23,Data!$DH:$DH)+'Rate History'!$C$18*SUMIF(Data!$G:$G,Neutral!$A23,Data!$DI:$DI)+'Rate History'!$C$19*SUMIF(Data!$G:$G,Neutral!$A23,Data!$DJ:$DJ)+'Rate History'!$C$20*SUMIF(Data!$G:$G,Neutral!$A23,Data!$DK:$DK)+'Rate History'!$C$21*SUMIF(Data!$G:$G,Neutral!$A23,Data!$DL:$DL)+'Rate History'!$C$22*SUMIF(Data!$G:$G,Neutral!$A23,Data!$DM:$DM)+'Rate History'!$C$23*SUMIF(Data!$G:$G,Neutral!$A23,Data!$DN:$DN)+'Rate History'!$C$24*SUMIF(Data!$G:$G,Neutral!$A23,Data!$DO:$DO)+'Rate History'!$C$25*SUMIF(Data!$G:$G,Neutral!$A23,Data!$DP:$DP)+'Rate History'!$C$26*SUMIF(Data!$G:$G,Neutral!$A23,Data!$DQ:$DQ)+'Rate History'!$C$27*SUMIF(Data!$G:$G,Neutral!$A23,Data!$DR:$DR)+'Rate History'!$C$28*SUMIF(Data!$G:$G,Neutral!$A23,Data!$DS:$DS)+'Rate History'!$C$29*SUMIF(Data!$G:$G,Neutral!$A23,Data!$DT:$DT)+'Rate History'!$C$30*SUMIF(Data!$G:$G,Neutral!$A23,Data!$DV:$DV)+'Rate History'!$C$31*SUMIF(Data!$G:$G,Neutral!$A23,Data!$DW:$DW))</f>
        <v>4134486.1123466417</v>
      </c>
      <c r="D23" s="98">
        <f t="shared" si="1"/>
        <v>-32531.693414354697</v>
      </c>
      <c r="E23" s="100">
        <f t="shared" si="0"/>
        <v>-7.8069485014868175E-3</v>
      </c>
    </row>
    <row r="24" spans="1:5" x14ac:dyDescent="0.25">
      <c r="A24" s="93" t="s">
        <v>369</v>
      </c>
      <c r="B24" s="113">
        <f>$B$5*('Rate History'!$D$4*SUMIF(Data!$G:$G,Neutral!$A24,Data!$CU:$CU)+'Rate History'!$D$5*SUMIF(Data!$G:$G,Neutral!$A24,Data!$CV:$CV)+'Rate History'!$D$6*SUMIF(Data!$G:$G,Neutral!$A24,Data!$CW:$CW)+'Rate History'!$D$7*SUMIF(Data!$G:$G,Neutral!$A24,Data!$CX:$CX)+'Rate History'!$D$8*SUMIF(Data!$G:$G,Neutral!$A24,Data!$CY:$CY)+'Rate History'!$D$9*SUMIF(Data!$G:$G,Neutral!$A24,Data!$CZ:$CZ)+'Rate History'!$D$10*SUMIF(Data!$G:$G,Neutral!$A24,Data!$DA:$DA)+'Rate History'!$D$11*SUMIF(Data!$G:$G,Neutral!$A24,Data!$DB:$DB)+'Rate History'!$D$12*SUMIF(Data!$G:$G,Neutral!$A24,Data!$DC:$DC)+'Rate History'!$D$13*SUMIF(Data!$G:$G,Neutral!$A24,Data!$DD:$DD)+'Rate History'!$D$14*SUMIF(Data!$G:$G,Neutral!$A24,Data!$DE:$DE)+'Rate History'!$D$15*SUMIF(Data!$G:$G,Neutral!$A24,Data!$DF:$DF)+'Rate History'!$D$16*SUMIF(Data!$G:$G,Neutral!$A24,Data!$DG:$DG)+'Rate History'!$D$17*SUMIF(Data!$G:$G,Neutral!$A24,Data!$DH:$DH)+'Rate History'!$D$18*SUMIF(Data!$G:$G,Neutral!$A24,Data!$DI:$DI)+'Rate History'!$D$19*SUMIF(Data!$G:$G,Neutral!$A24,Data!$DJ:$DJ)+'Rate History'!$D$20*SUMIF(Data!$G:$G,Neutral!$A24,Data!$DK:$DK)+'Rate History'!$D$21*SUMIF(Data!$G:$G,Neutral!$A24,Data!$DL:$DL)+'Rate History'!$D$22*SUMIF(Data!$G:$G,Neutral!$A24,Data!$DM:$DM)+'Rate History'!$D$23*SUMIF(Data!$G:$G,Neutral!$A24,Data!$DN:$DN)+'Rate History'!$D$24*SUMIF(Data!$G:$G,Neutral!$A24,Data!$DO:$DO)+'Rate History'!$D$25*SUMIF(Data!$G:$G,Neutral!$A24,Data!$DP:$DP)+'Rate History'!$D$26*SUMIF(Data!$G:$G,Neutral!$A24,Data!$DQ:$DQ)+'Rate History'!$D$27*SUMIF(Data!$G:$G,Neutral!$A24,Data!$DR:$DR)+'Rate History'!$D$28*SUMIF(Data!$G:$G,Neutral!$A24,Data!$DS:$DS)+'Rate History'!$D$29*SUMIF(Data!$G:$G,Neutral!$A24,Data!$DT:$DT)+'Rate History'!$D$30*SUMIF(Data!$G:$G,Neutral!$A24,Data!$DV:$DV)+'Rate History'!$D$31*SUMIF(Data!$G:$G,Neutral!$A24,Data!$DW:$DW))</f>
        <v>6129307.9210907873</v>
      </c>
      <c r="C24" s="113">
        <f>$C$5*('Rate History'!$C$4*SUMIF(Data!$G:$G,Neutral!$A24,Data!$CU:$CU)+'Rate History'!$C$5*SUMIF(Data!$G:$G,Neutral!$A24,Data!$CV:$CV)+'Rate History'!$C$6*SUMIF(Data!$G:$G,Neutral!$A24,Data!$CW:$CW)+'Rate History'!$C$7*SUMIF(Data!$G:$G,Neutral!$A24,Data!$CX:$CX)+'Rate History'!$C$8*SUMIF(Data!$G:$G,Neutral!$A24,Data!$CY:$CY)+'Rate History'!$C$9*SUMIF(Data!$G:$G,Neutral!$A24,Data!$CZ:$CZ)+'Rate History'!$C$10*SUMIF(Data!$G:$G,Neutral!$A24,Data!$DA:$DA)+'Rate History'!$C$11*SUMIF(Data!$G:$G,Neutral!$A24,Data!$DB:$DB)+'Rate History'!$C$12*SUMIF(Data!$G:$G,Neutral!$A24,Data!$DC:$DC)+'Rate History'!$C$13*SUMIF(Data!$G:$G,Neutral!$A24,Data!$DD:$DD)+'Rate History'!$C$14*SUMIF(Data!$G:$G,Neutral!$A24,Data!$DE:$DE)+'Rate History'!$C$15*SUMIF(Data!$G:$G,Neutral!$A24,Data!$DF:$DF)+'Rate History'!$C$16*SUMIF(Data!$G:$G,Neutral!$A24,Data!$DG:$DG)+'Rate History'!$C$17*SUMIF(Data!$G:$G,Neutral!$A24,Data!$DH:$DH)+'Rate History'!$C$18*SUMIF(Data!$G:$G,Neutral!$A24,Data!$DI:$DI)+'Rate History'!$C$19*SUMIF(Data!$G:$G,Neutral!$A24,Data!$DJ:$DJ)+'Rate History'!$C$20*SUMIF(Data!$G:$G,Neutral!$A24,Data!$DK:$DK)+'Rate History'!$C$21*SUMIF(Data!$G:$G,Neutral!$A24,Data!$DL:$DL)+'Rate History'!$C$22*SUMIF(Data!$G:$G,Neutral!$A24,Data!$DM:$DM)+'Rate History'!$C$23*SUMIF(Data!$G:$G,Neutral!$A24,Data!$DN:$DN)+'Rate History'!$C$24*SUMIF(Data!$G:$G,Neutral!$A24,Data!$DO:$DO)+'Rate History'!$C$25*SUMIF(Data!$G:$G,Neutral!$A24,Data!$DP:$DP)+'Rate History'!$C$26*SUMIF(Data!$G:$G,Neutral!$A24,Data!$DQ:$DQ)+'Rate History'!$C$27*SUMIF(Data!$G:$G,Neutral!$A24,Data!$DR:$DR)+'Rate History'!$C$28*SUMIF(Data!$G:$G,Neutral!$A24,Data!$DS:$DS)+'Rate History'!$C$29*SUMIF(Data!$G:$G,Neutral!$A24,Data!$DT:$DT)+'Rate History'!$C$30*SUMIF(Data!$G:$G,Neutral!$A24,Data!$DV:$DV)+'Rate History'!$C$31*SUMIF(Data!$G:$G,Neutral!$A24,Data!$DW:$DW))</f>
        <v>6066459.871887018</v>
      </c>
      <c r="D24" s="98">
        <f t="shared" si="1"/>
        <v>-62848.049203769304</v>
      </c>
      <c r="E24" s="100">
        <f t="shared" si="0"/>
        <v>-1.025369422011102E-2</v>
      </c>
    </row>
    <row r="25" spans="1:5" x14ac:dyDescent="0.25">
      <c r="A25" s="93" t="s">
        <v>373</v>
      </c>
      <c r="B25" s="113">
        <f>$B$5*('Rate History'!$D$4*SUMIF(Data!$G:$G,Neutral!$A25,Data!$CU:$CU)+'Rate History'!$D$5*SUMIF(Data!$G:$G,Neutral!$A25,Data!$CV:$CV)+'Rate History'!$D$6*SUMIF(Data!$G:$G,Neutral!$A25,Data!$CW:$CW)+'Rate History'!$D$7*SUMIF(Data!$G:$G,Neutral!$A25,Data!$CX:$CX)+'Rate History'!$D$8*SUMIF(Data!$G:$G,Neutral!$A25,Data!$CY:$CY)+'Rate History'!$D$9*SUMIF(Data!$G:$G,Neutral!$A25,Data!$CZ:$CZ)+'Rate History'!$D$10*SUMIF(Data!$G:$G,Neutral!$A25,Data!$DA:$DA)+'Rate History'!$D$11*SUMIF(Data!$G:$G,Neutral!$A25,Data!$DB:$DB)+'Rate History'!$D$12*SUMIF(Data!$G:$G,Neutral!$A25,Data!$DC:$DC)+'Rate History'!$D$13*SUMIF(Data!$G:$G,Neutral!$A25,Data!$DD:$DD)+'Rate History'!$D$14*SUMIF(Data!$G:$G,Neutral!$A25,Data!$DE:$DE)+'Rate History'!$D$15*SUMIF(Data!$G:$G,Neutral!$A25,Data!$DF:$DF)+'Rate History'!$D$16*SUMIF(Data!$G:$G,Neutral!$A25,Data!$DG:$DG)+'Rate History'!$D$17*SUMIF(Data!$G:$G,Neutral!$A25,Data!$DH:$DH)+'Rate History'!$D$18*SUMIF(Data!$G:$G,Neutral!$A25,Data!$DI:$DI)+'Rate History'!$D$19*SUMIF(Data!$G:$G,Neutral!$A25,Data!$DJ:$DJ)+'Rate History'!$D$20*SUMIF(Data!$G:$G,Neutral!$A25,Data!$DK:$DK)+'Rate History'!$D$21*SUMIF(Data!$G:$G,Neutral!$A25,Data!$DL:$DL)+'Rate History'!$D$22*SUMIF(Data!$G:$G,Neutral!$A25,Data!$DM:$DM)+'Rate History'!$D$23*SUMIF(Data!$G:$G,Neutral!$A25,Data!$DN:$DN)+'Rate History'!$D$24*SUMIF(Data!$G:$G,Neutral!$A25,Data!$DO:$DO)+'Rate History'!$D$25*SUMIF(Data!$G:$G,Neutral!$A25,Data!$DP:$DP)+'Rate History'!$D$26*SUMIF(Data!$G:$G,Neutral!$A25,Data!$DQ:$DQ)+'Rate History'!$D$27*SUMIF(Data!$G:$G,Neutral!$A25,Data!$DR:$DR)+'Rate History'!$D$28*SUMIF(Data!$G:$G,Neutral!$A25,Data!$DS:$DS)+'Rate History'!$D$29*SUMIF(Data!$G:$G,Neutral!$A25,Data!$DT:$DT)+'Rate History'!$D$30*SUMIF(Data!$G:$G,Neutral!$A25,Data!$DV:$DV)+'Rate History'!$D$31*SUMIF(Data!$G:$G,Neutral!$A25,Data!$DW:$DW))</f>
        <v>5916777.7756014531</v>
      </c>
      <c r="C25" s="113">
        <f>$C$5*('Rate History'!$C$4*SUMIF(Data!$G:$G,Neutral!$A25,Data!$CU:$CU)+'Rate History'!$C$5*SUMIF(Data!$G:$G,Neutral!$A25,Data!$CV:$CV)+'Rate History'!$C$6*SUMIF(Data!$G:$G,Neutral!$A25,Data!$CW:$CW)+'Rate History'!$C$7*SUMIF(Data!$G:$G,Neutral!$A25,Data!$CX:$CX)+'Rate History'!$C$8*SUMIF(Data!$G:$G,Neutral!$A25,Data!$CY:$CY)+'Rate History'!$C$9*SUMIF(Data!$G:$G,Neutral!$A25,Data!$CZ:$CZ)+'Rate History'!$C$10*SUMIF(Data!$G:$G,Neutral!$A25,Data!$DA:$DA)+'Rate History'!$C$11*SUMIF(Data!$G:$G,Neutral!$A25,Data!$DB:$DB)+'Rate History'!$C$12*SUMIF(Data!$G:$G,Neutral!$A25,Data!$DC:$DC)+'Rate History'!$C$13*SUMIF(Data!$G:$G,Neutral!$A25,Data!$DD:$DD)+'Rate History'!$C$14*SUMIF(Data!$G:$G,Neutral!$A25,Data!$DE:$DE)+'Rate History'!$C$15*SUMIF(Data!$G:$G,Neutral!$A25,Data!$DF:$DF)+'Rate History'!$C$16*SUMIF(Data!$G:$G,Neutral!$A25,Data!$DG:$DG)+'Rate History'!$C$17*SUMIF(Data!$G:$G,Neutral!$A25,Data!$DH:$DH)+'Rate History'!$C$18*SUMIF(Data!$G:$G,Neutral!$A25,Data!$DI:$DI)+'Rate History'!$C$19*SUMIF(Data!$G:$G,Neutral!$A25,Data!$DJ:$DJ)+'Rate History'!$C$20*SUMIF(Data!$G:$G,Neutral!$A25,Data!$DK:$DK)+'Rate History'!$C$21*SUMIF(Data!$G:$G,Neutral!$A25,Data!$DL:$DL)+'Rate History'!$C$22*SUMIF(Data!$G:$G,Neutral!$A25,Data!$DM:$DM)+'Rate History'!$C$23*SUMIF(Data!$G:$G,Neutral!$A25,Data!$DN:$DN)+'Rate History'!$C$24*SUMIF(Data!$G:$G,Neutral!$A25,Data!$DO:$DO)+'Rate History'!$C$25*SUMIF(Data!$G:$G,Neutral!$A25,Data!$DP:$DP)+'Rate History'!$C$26*SUMIF(Data!$G:$G,Neutral!$A25,Data!$DQ:$DQ)+'Rate History'!$C$27*SUMIF(Data!$G:$G,Neutral!$A25,Data!$DR:$DR)+'Rate History'!$C$28*SUMIF(Data!$G:$G,Neutral!$A25,Data!$DS:$DS)+'Rate History'!$C$29*SUMIF(Data!$G:$G,Neutral!$A25,Data!$DT:$DT)+'Rate History'!$C$30*SUMIF(Data!$G:$G,Neutral!$A25,Data!$DV:$DV)+'Rate History'!$C$31*SUMIF(Data!$G:$G,Neutral!$A25,Data!$DW:$DW))</f>
        <v>5923606.7870580582</v>
      </c>
      <c r="D25" s="98">
        <f t="shared" si="1"/>
        <v>6829.011456605047</v>
      </c>
      <c r="E25" s="100">
        <f t="shared" si="0"/>
        <v>1.1541774451569399E-3</v>
      </c>
    </row>
    <row r="26" spans="1:5" x14ac:dyDescent="0.25">
      <c r="A26" s="93" t="s">
        <v>442</v>
      </c>
      <c r="B26" s="113">
        <f>$B$5*('Rate History'!$D$4*SUMIF(Data!$G:$G,Neutral!$A26,Data!$CU:$CU)+'Rate History'!$D$5*SUMIF(Data!$G:$G,Neutral!$A26,Data!$CV:$CV)+'Rate History'!$D$6*SUMIF(Data!$G:$G,Neutral!$A26,Data!$CW:$CW)+'Rate History'!$D$7*SUMIF(Data!$G:$G,Neutral!$A26,Data!$CX:$CX)+'Rate History'!$D$8*SUMIF(Data!$G:$G,Neutral!$A26,Data!$CY:$CY)+'Rate History'!$D$9*SUMIF(Data!$G:$G,Neutral!$A26,Data!$CZ:$CZ)+'Rate History'!$D$10*SUMIF(Data!$G:$G,Neutral!$A26,Data!$DA:$DA)+'Rate History'!$D$11*SUMIF(Data!$G:$G,Neutral!$A26,Data!$DB:$DB)+'Rate History'!$D$12*SUMIF(Data!$G:$G,Neutral!$A26,Data!$DC:$DC)+'Rate History'!$D$13*SUMIF(Data!$G:$G,Neutral!$A26,Data!$DD:$DD)+'Rate History'!$D$14*SUMIF(Data!$G:$G,Neutral!$A26,Data!$DE:$DE)+'Rate History'!$D$15*SUMIF(Data!$G:$G,Neutral!$A26,Data!$DF:$DF)+'Rate History'!$D$16*SUMIF(Data!$G:$G,Neutral!$A26,Data!$DG:$DG)+'Rate History'!$D$17*SUMIF(Data!$G:$G,Neutral!$A26,Data!$DH:$DH)+'Rate History'!$D$18*SUMIF(Data!$G:$G,Neutral!$A26,Data!$DI:$DI)+'Rate History'!$D$19*SUMIF(Data!$G:$G,Neutral!$A26,Data!$DJ:$DJ)+'Rate History'!$D$20*SUMIF(Data!$G:$G,Neutral!$A26,Data!$DK:$DK)+'Rate History'!$D$21*SUMIF(Data!$G:$G,Neutral!$A26,Data!$DL:$DL)+'Rate History'!$D$22*SUMIF(Data!$G:$G,Neutral!$A26,Data!$DM:$DM)+'Rate History'!$D$23*SUMIF(Data!$G:$G,Neutral!$A26,Data!$DN:$DN)+'Rate History'!$D$24*SUMIF(Data!$G:$G,Neutral!$A26,Data!$DO:$DO)+'Rate History'!$D$25*SUMIF(Data!$G:$G,Neutral!$A26,Data!$DP:$DP)+'Rate History'!$D$26*SUMIF(Data!$G:$G,Neutral!$A26,Data!$DQ:$DQ)+'Rate History'!$D$27*SUMIF(Data!$G:$G,Neutral!$A26,Data!$DR:$DR)+'Rate History'!$D$28*SUMIF(Data!$G:$G,Neutral!$A26,Data!$DS:$DS)+'Rate History'!$D$29*SUMIF(Data!$G:$G,Neutral!$A26,Data!$DT:$DT)+'Rate History'!$D$30*SUMIF(Data!$G:$G,Neutral!$A26,Data!$DV:$DV)+'Rate History'!$D$31*SUMIF(Data!$G:$G,Neutral!$A26,Data!$DW:$DW))</f>
        <v>63513007.70281259</v>
      </c>
      <c r="C26" s="113">
        <f>$C$5*('Rate History'!$C$4*SUMIF(Data!$G:$G,Neutral!$A26,Data!$CU:$CU)+'Rate History'!$C$5*SUMIF(Data!$G:$G,Neutral!$A26,Data!$CV:$CV)+'Rate History'!$C$6*SUMIF(Data!$G:$G,Neutral!$A26,Data!$CW:$CW)+'Rate History'!$C$7*SUMIF(Data!$G:$G,Neutral!$A26,Data!$CX:$CX)+'Rate History'!$C$8*SUMIF(Data!$G:$G,Neutral!$A26,Data!$CY:$CY)+'Rate History'!$C$9*SUMIF(Data!$G:$G,Neutral!$A26,Data!$CZ:$CZ)+'Rate History'!$C$10*SUMIF(Data!$G:$G,Neutral!$A26,Data!$DA:$DA)+'Rate History'!$C$11*SUMIF(Data!$G:$G,Neutral!$A26,Data!$DB:$DB)+'Rate History'!$C$12*SUMIF(Data!$G:$G,Neutral!$A26,Data!$DC:$DC)+'Rate History'!$C$13*SUMIF(Data!$G:$G,Neutral!$A26,Data!$DD:$DD)+'Rate History'!$C$14*SUMIF(Data!$G:$G,Neutral!$A26,Data!$DE:$DE)+'Rate History'!$C$15*SUMIF(Data!$G:$G,Neutral!$A26,Data!$DF:$DF)+'Rate History'!$C$16*SUMIF(Data!$G:$G,Neutral!$A26,Data!$DG:$DG)+'Rate History'!$C$17*SUMIF(Data!$G:$G,Neutral!$A26,Data!$DH:$DH)+'Rate History'!$C$18*SUMIF(Data!$G:$G,Neutral!$A26,Data!$DI:$DI)+'Rate History'!$C$19*SUMIF(Data!$G:$G,Neutral!$A26,Data!$DJ:$DJ)+'Rate History'!$C$20*SUMIF(Data!$G:$G,Neutral!$A26,Data!$DK:$DK)+'Rate History'!$C$21*SUMIF(Data!$G:$G,Neutral!$A26,Data!$DL:$DL)+'Rate History'!$C$22*SUMIF(Data!$G:$G,Neutral!$A26,Data!$DM:$DM)+'Rate History'!$C$23*SUMIF(Data!$G:$G,Neutral!$A26,Data!$DN:$DN)+'Rate History'!$C$24*SUMIF(Data!$G:$G,Neutral!$A26,Data!$DO:$DO)+'Rate History'!$C$25*SUMIF(Data!$G:$G,Neutral!$A26,Data!$DP:$DP)+'Rate History'!$C$26*SUMIF(Data!$G:$G,Neutral!$A26,Data!$DQ:$DQ)+'Rate History'!$C$27*SUMIF(Data!$G:$G,Neutral!$A26,Data!$DR:$DR)+'Rate History'!$C$28*SUMIF(Data!$G:$G,Neutral!$A26,Data!$DS:$DS)+'Rate History'!$C$29*SUMIF(Data!$G:$G,Neutral!$A26,Data!$DT:$DT)+'Rate History'!$C$30*SUMIF(Data!$G:$G,Neutral!$A26,Data!$DV:$DV)+'Rate History'!$C$31*SUMIF(Data!$G:$G,Neutral!$A26,Data!$DW:$DW))</f>
        <v>63656405.846879289</v>
      </c>
      <c r="D26" s="98">
        <f t="shared" si="1"/>
        <v>143398.14406669885</v>
      </c>
      <c r="E26" s="100">
        <f t="shared" si="0"/>
        <v>2.2577759935048496E-3</v>
      </c>
    </row>
    <row r="27" spans="1:5" x14ac:dyDescent="0.25">
      <c r="A27" s="93" t="s">
        <v>375</v>
      </c>
      <c r="B27" s="113">
        <f>$B$5*('Rate History'!$D$4*SUMIF(Data!$G:$G,Neutral!$A27,Data!$CU:$CU)+'Rate History'!$D$5*SUMIF(Data!$G:$G,Neutral!$A27,Data!$CV:$CV)+'Rate History'!$D$6*SUMIF(Data!$G:$G,Neutral!$A27,Data!$CW:$CW)+'Rate History'!$D$7*SUMIF(Data!$G:$G,Neutral!$A27,Data!$CX:$CX)+'Rate History'!$D$8*SUMIF(Data!$G:$G,Neutral!$A27,Data!$CY:$CY)+'Rate History'!$D$9*SUMIF(Data!$G:$G,Neutral!$A27,Data!$CZ:$CZ)+'Rate History'!$D$10*SUMIF(Data!$G:$G,Neutral!$A27,Data!$DA:$DA)+'Rate History'!$D$11*SUMIF(Data!$G:$G,Neutral!$A27,Data!$DB:$DB)+'Rate History'!$D$12*SUMIF(Data!$G:$G,Neutral!$A27,Data!$DC:$DC)+'Rate History'!$D$13*SUMIF(Data!$G:$G,Neutral!$A27,Data!$DD:$DD)+'Rate History'!$D$14*SUMIF(Data!$G:$G,Neutral!$A27,Data!$DE:$DE)+'Rate History'!$D$15*SUMIF(Data!$G:$G,Neutral!$A27,Data!$DF:$DF)+'Rate History'!$D$16*SUMIF(Data!$G:$G,Neutral!$A27,Data!$DG:$DG)+'Rate History'!$D$17*SUMIF(Data!$G:$G,Neutral!$A27,Data!$DH:$DH)+'Rate History'!$D$18*SUMIF(Data!$G:$G,Neutral!$A27,Data!$DI:$DI)+'Rate History'!$D$19*SUMIF(Data!$G:$G,Neutral!$A27,Data!$DJ:$DJ)+'Rate History'!$D$20*SUMIF(Data!$G:$G,Neutral!$A27,Data!$DK:$DK)+'Rate History'!$D$21*SUMIF(Data!$G:$G,Neutral!$A27,Data!$DL:$DL)+'Rate History'!$D$22*SUMIF(Data!$G:$G,Neutral!$A27,Data!$DM:$DM)+'Rate History'!$D$23*SUMIF(Data!$G:$G,Neutral!$A27,Data!$DN:$DN)+'Rate History'!$D$24*SUMIF(Data!$G:$G,Neutral!$A27,Data!$DO:$DO)+'Rate History'!$D$25*SUMIF(Data!$G:$G,Neutral!$A27,Data!$DP:$DP)+'Rate History'!$D$26*SUMIF(Data!$G:$G,Neutral!$A27,Data!$DQ:$DQ)+'Rate History'!$D$27*SUMIF(Data!$G:$G,Neutral!$A27,Data!$DR:$DR)+'Rate History'!$D$28*SUMIF(Data!$G:$G,Neutral!$A27,Data!$DS:$DS)+'Rate History'!$D$29*SUMIF(Data!$G:$G,Neutral!$A27,Data!$DT:$DT)+'Rate History'!$D$30*SUMIF(Data!$G:$G,Neutral!$A27,Data!$DV:$DV)+'Rate History'!$D$31*SUMIF(Data!$G:$G,Neutral!$A27,Data!$DW:$DW))</f>
        <v>8070052.1200062037</v>
      </c>
      <c r="C27" s="113">
        <f>$C$5*('Rate History'!$C$4*SUMIF(Data!$G:$G,Neutral!$A27,Data!$CU:$CU)+'Rate History'!$C$5*SUMIF(Data!$G:$G,Neutral!$A27,Data!$CV:$CV)+'Rate History'!$C$6*SUMIF(Data!$G:$G,Neutral!$A27,Data!$CW:$CW)+'Rate History'!$C$7*SUMIF(Data!$G:$G,Neutral!$A27,Data!$CX:$CX)+'Rate History'!$C$8*SUMIF(Data!$G:$G,Neutral!$A27,Data!$CY:$CY)+'Rate History'!$C$9*SUMIF(Data!$G:$G,Neutral!$A27,Data!$CZ:$CZ)+'Rate History'!$C$10*SUMIF(Data!$G:$G,Neutral!$A27,Data!$DA:$DA)+'Rate History'!$C$11*SUMIF(Data!$G:$G,Neutral!$A27,Data!$DB:$DB)+'Rate History'!$C$12*SUMIF(Data!$G:$G,Neutral!$A27,Data!$DC:$DC)+'Rate History'!$C$13*SUMIF(Data!$G:$G,Neutral!$A27,Data!$DD:$DD)+'Rate History'!$C$14*SUMIF(Data!$G:$G,Neutral!$A27,Data!$DE:$DE)+'Rate History'!$C$15*SUMIF(Data!$G:$G,Neutral!$A27,Data!$DF:$DF)+'Rate History'!$C$16*SUMIF(Data!$G:$G,Neutral!$A27,Data!$DG:$DG)+'Rate History'!$C$17*SUMIF(Data!$G:$G,Neutral!$A27,Data!$DH:$DH)+'Rate History'!$C$18*SUMIF(Data!$G:$G,Neutral!$A27,Data!$DI:$DI)+'Rate History'!$C$19*SUMIF(Data!$G:$G,Neutral!$A27,Data!$DJ:$DJ)+'Rate History'!$C$20*SUMIF(Data!$G:$G,Neutral!$A27,Data!$DK:$DK)+'Rate History'!$C$21*SUMIF(Data!$G:$G,Neutral!$A27,Data!$DL:$DL)+'Rate History'!$C$22*SUMIF(Data!$G:$G,Neutral!$A27,Data!$DM:$DM)+'Rate History'!$C$23*SUMIF(Data!$G:$G,Neutral!$A27,Data!$DN:$DN)+'Rate History'!$C$24*SUMIF(Data!$G:$G,Neutral!$A27,Data!$DO:$DO)+'Rate History'!$C$25*SUMIF(Data!$G:$G,Neutral!$A27,Data!$DP:$DP)+'Rate History'!$C$26*SUMIF(Data!$G:$G,Neutral!$A27,Data!$DQ:$DQ)+'Rate History'!$C$27*SUMIF(Data!$G:$G,Neutral!$A27,Data!$DR:$DR)+'Rate History'!$C$28*SUMIF(Data!$G:$G,Neutral!$A27,Data!$DS:$DS)+'Rate History'!$C$29*SUMIF(Data!$G:$G,Neutral!$A27,Data!$DT:$DT)+'Rate History'!$C$30*SUMIF(Data!$G:$G,Neutral!$A27,Data!$DV:$DV)+'Rate History'!$C$31*SUMIF(Data!$G:$G,Neutral!$A27,Data!$DW:$DW))</f>
        <v>8147578.1660283478</v>
      </c>
      <c r="D27" s="98">
        <f t="shared" si="1"/>
        <v>77526.046022144146</v>
      </c>
      <c r="E27" s="100">
        <f t="shared" si="0"/>
        <v>9.6066351083349075E-3</v>
      </c>
    </row>
    <row r="28" spans="1:5" x14ac:dyDescent="0.25">
      <c r="A28" s="93" t="s">
        <v>377</v>
      </c>
      <c r="B28" s="113">
        <f>$B$5*('Rate History'!$D$4*SUMIF(Data!$G:$G,Neutral!$A28,Data!$CU:$CU)+'Rate History'!$D$5*SUMIF(Data!$G:$G,Neutral!$A28,Data!$CV:$CV)+'Rate History'!$D$6*SUMIF(Data!$G:$G,Neutral!$A28,Data!$CW:$CW)+'Rate History'!$D$7*SUMIF(Data!$G:$G,Neutral!$A28,Data!$CX:$CX)+'Rate History'!$D$8*SUMIF(Data!$G:$G,Neutral!$A28,Data!$CY:$CY)+'Rate History'!$D$9*SUMIF(Data!$G:$G,Neutral!$A28,Data!$CZ:$CZ)+'Rate History'!$D$10*SUMIF(Data!$G:$G,Neutral!$A28,Data!$DA:$DA)+'Rate History'!$D$11*SUMIF(Data!$G:$G,Neutral!$A28,Data!$DB:$DB)+'Rate History'!$D$12*SUMIF(Data!$G:$G,Neutral!$A28,Data!$DC:$DC)+'Rate History'!$D$13*SUMIF(Data!$G:$G,Neutral!$A28,Data!$DD:$DD)+'Rate History'!$D$14*SUMIF(Data!$G:$G,Neutral!$A28,Data!$DE:$DE)+'Rate History'!$D$15*SUMIF(Data!$G:$G,Neutral!$A28,Data!$DF:$DF)+'Rate History'!$D$16*SUMIF(Data!$G:$G,Neutral!$A28,Data!$DG:$DG)+'Rate History'!$D$17*SUMIF(Data!$G:$G,Neutral!$A28,Data!$DH:$DH)+'Rate History'!$D$18*SUMIF(Data!$G:$G,Neutral!$A28,Data!$DI:$DI)+'Rate History'!$D$19*SUMIF(Data!$G:$G,Neutral!$A28,Data!$DJ:$DJ)+'Rate History'!$D$20*SUMIF(Data!$G:$G,Neutral!$A28,Data!$DK:$DK)+'Rate History'!$D$21*SUMIF(Data!$G:$G,Neutral!$A28,Data!$DL:$DL)+'Rate History'!$D$22*SUMIF(Data!$G:$G,Neutral!$A28,Data!$DM:$DM)+'Rate History'!$D$23*SUMIF(Data!$G:$G,Neutral!$A28,Data!$DN:$DN)+'Rate History'!$D$24*SUMIF(Data!$G:$G,Neutral!$A28,Data!$DO:$DO)+'Rate History'!$D$25*SUMIF(Data!$G:$G,Neutral!$A28,Data!$DP:$DP)+'Rate History'!$D$26*SUMIF(Data!$G:$G,Neutral!$A28,Data!$DQ:$DQ)+'Rate History'!$D$27*SUMIF(Data!$G:$G,Neutral!$A28,Data!$DR:$DR)+'Rate History'!$D$28*SUMIF(Data!$G:$G,Neutral!$A28,Data!$DS:$DS)+'Rate History'!$D$29*SUMIF(Data!$G:$G,Neutral!$A28,Data!$DT:$DT)+'Rate History'!$D$30*SUMIF(Data!$G:$G,Neutral!$A28,Data!$DV:$DV)+'Rate History'!$D$31*SUMIF(Data!$G:$G,Neutral!$A28,Data!$DW:$DW))</f>
        <v>10675986.054202516</v>
      </c>
      <c r="C28" s="113">
        <f>$C$5*('Rate History'!$C$4*SUMIF(Data!$G:$G,Neutral!$A28,Data!$CU:$CU)+'Rate History'!$C$5*SUMIF(Data!$G:$G,Neutral!$A28,Data!$CV:$CV)+'Rate History'!$C$6*SUMIF(Data!$G:$G,Neutral!$A28,Data!$CW:$CW)+'Rate History'!$C$7*SUMIF(Data!$G:$G,Neutral!$A28,Data!$CX:$CX)+'Rate History'!$C$8*SUMIF(Data!$G:$G,Neutral!$A28,Data!$CY:$CY)+'Rate History'!$C$9*SUMIF(Data!$G:$G,Neutral!$A28,Data!$CZ:$CZ)+'Rate History'!$C$10*SUMIF(Data!$G:$G,Neutral!$A28,Data!$DA:$DA)+'Rate History'!$C$11*SUMIF(Data!$G:$G,Neutral!$A28,Data!$DB:$DB)+'Rate History'!$C$12*SUMIF(Data!$G:$G,Neutral!$A28,Data!$DC:$DC)+'Rate History'!$C$13*SUMIF(Data!$G:$G,Neutral!$A28,Data!$DD:$DD)+'Rate History'!$C$14*SUMIF(Data!$G:$G,Neutral!$A28,Data!$DE:$DE)+'Rate History'!$C$15*SUMIF(Data!$G:$G,Neutral!$A28,Data!$DF:$DF)+'Rate History'!$C$16*SUMIF(Data!$G:$G,Neutral!$A28,Data!$DG:$DG)+'Rate History'!$C$17*SUMIF(Data!$G:$G,Neutral!$A28,Data!$DH:$DH)+'Rate History'!$C$18*SUMIF(Data!$G:$G,Neutral!$A28,Data!$DI:$DI)+'Rate History'!$C$19*SUMIF(Data!$G:$G,Neutral!$A28,Data!$DJ:$DJ)+'Rate History'!$C$20*SUMIF(Data!$G:$G,Neutral!$A28,Data!$DK:$DK)+'Rate History'!$C$21*SUMIF(Data!$G:$G,Neutral!$A28,Data!$DL:$DL)+'Rate History'!$C$22*SUMIF(Data!$G:$G,Neutral!$A28,Data!$DM:$DM)+'Rate History'!$C$23*SUMIF(Data!$G:$G,Neutral!$A28,Data!$DN:$DN)+'Rate History'!$C$24*SUMIF(Data!$G:$G,Neutral!$A28,Data!$DO:$DO)+'Rate History'!$C$25*SUMIF(Data!$G:$G,Neutral!$A28,Data!$DP:$DP)+'Rate History'!$C$26*SUMIF(Data!$G:$G,Neutral!$A28,Data!$DQ:$DQ)+'Rate History'!$C$27*SUMIF(Data!$G:$G,Neutral!$A28,Data!$DR:$DR)+'Rate History'!$C$28*SUMIF(Data!$G:$G,Neutral!$A28,Data!$DS:$DS)+'Rate History'!$C$29*SUMIF(Data!$G:$G,Neutral!$A28,Data!$DT:$DT)+'Rate History'!$C$30*SUMIF(Data!$G:$G,Neutral!$A28,Data!$DV:$DV)+'Rate History'!$C$31*SUMIF(Data!$G:$G,Neutral!$A28,Data!$DW:$DW))</f>
        <v>10664018.600044511</v>
      </c>
      <c r="D28" s="98">
        <f t="shared" si="1"/>
        <v>-11967.454158004373</v>
      </c>
      <c r="E28" s="100">
        <f t="shared" si="0"/>
        <v>-1.1209694446250688E-3</v>
      </c>
    </row>
    <row r="29" spans="1:5" x14ac:dyDescent="0.25">
      <c r="A29" s="93" t="s">
        <v>379</v>
      </c>
      <c r="B29" s="113">
        <f>$B$5*('Rate History'!$D$4*SUMIF(Data!$G:$G,Neutral!$A29,Data!$CU:$CU)+'Rate History'!$D$5*SUMIF(Data!$G:$G,Neutral!$A29,Data!$CV:$CV)+'Rate History'!$D$6*SUMIF(Data!$G:$G,Neutral!$A29,Data!$CW:$CW)+'Rate History'!$D$7*SUMIF(Data!$G:$G,Neutral!$A29,Data!$CX:$CX)+'Rate History'!$D$8*SUMIF(Data!$G:$G,Neutral!$A29,Data!$CY:$CY)+'Rate History'!$D$9*SUMIF(Data!$G:$G,Neutral!$A29,Data!$CZ:$CZ)+'Rate History'!$D$10*SUMIF(Data!$G:$G,Neutral!$A29,Data!$DA:$DA)+'Rate History'!$D$11*SUMIF(Data!$G:$G,Neutral!$A29,Data!$DB:$DB)+'Rate History'!$D$12*SUMIF(Data!$G:$G,Neutral!$A29,Data!$DC:$DC)+'Rate History'!$D$13*SUMIF(Data!$G:$G,Neutral!$A29,Data!$DD:$DD)+'Rate History'!$D$14*SUMIF(Data!$G:$G,Neutral!$A29,Data!$DE:$DE)+'Rate History'!$D$15*SUMIF(Data!$G:$G,Neutral!$A29,Data!$DF:$DF)+'Rate History'!$D$16*SUMIF(Data!$G:$G,Neutral!$A29,Data!$DG:$DG)+'Rate History'!$D$17*SUMIF(Data!$G:$G,Neutral!$A29,Data!$DH:$DH)+'Rate History'!$D$18*SUMIF(Data!$G:$G,Neutral!$A29,Data!$DI:$DI)+'Rate History'!$D$19*SUMIF(Data!$G:$G,Neutral!$A29,Data!$DJ:$DJ)+'Rate History'!$D$20*SUMIF(Data!$G:$G,Neutral!$A29,Data!$DK:$DK)+'Rate History'!$D$21*SUMIF(Data!$G:$G,Neutral!$A29,Data!$DL:$DL)+'Rate History'!$D$22*SUMIF(Data!$G:$G,Neutral!$A29,Data!$DM:$DM)+'Rate History'!$D$23*SUMIF(Data!$G:$G,Neutral!$A29,Data!$DN:$DN)+'Rate History'!$D$24*SUMIF(Data!$G:$G,Neutral!$A29,Data!$DO:$DO)+'Rate History'!$D$25*SUMIF(Data!$G:$G,Neutral!$A29,Data!$DP:$DP)+'Rate History'!$D$26*SUMIF(Data!$G:$G,Neutral!$A29,Data!$DQ:$DQ)+'Rate History'!$D$27*SUMIF(Data!$G:$G,Neutral!$A29,Data!$DR:$DR)+'Rate History'!$D$28*SUMIF(Data!$G:$G,Neutral!$A29,Data!$DS:$DS)+'Rate History'!$D$29*SUMIF(Data!$G:$G,Neutral!$A29,Data!$DT:$DT)+'Rate History'!$D$30*SUMIF(Data!$G:$G,Neutral!$A29,Data!$DV:$DV)+'Rate History'!$D$31*SUMIF(Data!$G:$G,Neutral!$A29,Data!$DW:$DW))</f>
        <v>11480868.71600874</v>
      </c>
      <c r="C29" s="113">
        <f>$C$5*('Rate History'!$C$4*SUMIF(Data!$G:$G,Neutral!$A29,Data!$CU:$CU)+'Rate History'!$C$5*SUMIF(Data!$G:$G,Neutral!$A29,Data!$CV:$CV)+'Rate History'!$C$6*SUMIF(Data!$G:$G,Neutral!$A29,Data!$CW:$CW)+'Rate History'!$C$7*SUMIF(Data!$G:$G,Neutral!$A29,Data!$CX:$CX)+'Rate History'!$C$8*SUMIF(Data!$G:$G,Neutral!$A29,Data!$CY:$CY)+'Rate History'!$C$9*SUMIF(Data!$G:$G,Neutral!$A29,Data!$CZ:$CZ)+'Rate History'!$C$10*SUMIF(Data!$G:$G,Neutral!$A29,Data!$DA:$DA)+'Rate History'!$C$11*SUMIF(Data!$G:$G,Neutral!$A29,Data!$DB:$DB)+'Rate History'!$C$12*SUMIF(Data!$G:$G,Neutral!$A29,Data!$DC:$DC)+'Rate History'!$C$13*SUMIF(Data!$G:$G,Neutral!$A29,Data!$DD:$DD)+'Rate History'!$C$14*SUMIF(Data!$G:$G,Neutral!$A29,Data!$DE:$DE)+'Rate History'!$C$15*SUMIF(Data!$G:$G,Neutral!$A29,Data!$DF:$DF)+'Rate History'!$C$16*SUMIF(Data!$G:$G,Neutral!$A29,Data!$DG:$DG)+'Rate History'!$C$17*SUMIF(Data!$G:$G,Neutral!$A29,Data!$DH:$DH)+'Rate History'!$C$18*SUMIF(Data!$G:$G,Neutral!$A29,Data!$DI:$DI)+'Rate History'!$C$19*SUMIF(Data!$G:$G,Neutral!$A29,Data!$DJ:$DJ)+'Rate History'!$C$20*SUMIF(Data!$G:$G,Neutral!$A29,Data!$DK:$DK)+'Rate History'!$C$21*SUMIF(Data!$G:$G,Neutral!$A29,Data!$DL:$DL)+'Rate History'!$C$22*SUMIF(Data!$G:$G,Neutral!$A29,Data!$DM:$DM)+'Rate History'!$C$23*SUMIF(Data!$G:$G,Neutral!$A29,Data!$DN:$DN)+'Rate History'!$C$24*SUMIF(Data!$G:$G,Neutral!$A29,Data!$DO:$DO)+'Rate History'!$C$25*SUMIF(Data!$G:$G,Neutral!$A29,Data!$DP:$DP)+'Rate History'!$C$26*SUMIF(Data!$G:$G,Neutral!$A29,Data!$DQ:$DQ)+'Rate History'!$C$27*SUMIF(Data!$G:$G,Neutral!$A29,Data!$DR:$DR)+'Rate History'!$C$28*SUMIF(Data!$G:$G,Neutral!$A29,Data!$DS:$DS)+'Rate History'!$C$29*SUMIF(Data!$G:$G,Neutral!$A29,Data!$DT:$DT)+'Rate History'!$C$30*SUMIF(Data!$G:$G,Neutral!$A29,Data!$DV:$DV)+'Rate History'!$C$31*SUMIF(Data!$G:$G,Neutral!$A29,Data!$DW:$DW))</f>
        <v>11471592.843948888</v>
      </c>
      <c r="D29" s="98">
        <f t="shared" si="1"/>
        <v>-9275.8720598518848</v>
      </c>
      <c r="E29" s="100">
        <f t="shared" si="0"/>
        <v>-8.0794165400722311E-4</v>
      </c>
    </row>
    <row r="30" spans="1:5" x14ac:dyDescent="0.25">
      <c r="A30" s="93" t="s">
        <v>381</v>
      </c>
      <c r="B30" s="113">
        <f>$B$5*('Rate History'!$D$4*SUMIF(Data!$G:$G,Neutral!$A30,Data!$CU:$CU)+'Rate History'!$D$5*SUMIF(Data!$G:$G,Neutral!$A30,Data!$CV:$CV)+'Rate History'!$D$6*SUMIF(Data!$G:$G,Neutral!$A30,Data!$CW:$CW)+'Rate History'!$D$7*SUMIF(Data!$G:$G,Neutral!$A30,Data!$CX:$CX)+'Rate History'!$D$8*SUMIF(Data!$G:$G,Neutral!$A30,Data!$CY:$CY)+'Rate History'!$D$9*SUMIF(Data!$G:$G,Neutral!$A30,Data!$CZ:$CZ)+'Rate History'!$D$10*SUMIF(Data!$G:$G,Neutral!$A30,Data!$DA:$DA)+'Rate History'!$D$11*SUMIF(Data!$G:$G,Neutral!$A30,Data!$DB:$DB)+'Rate History'!$D$12*SUMIF(Data!$G:$G,Neutral!$A30,Data!$DC:$DC)+'Rate History'!$D$13*SUMIF(Data!$G:$G,Neutral!$A30,Data!$DD:$DD)+'Rate History'!$D$14*SUMIF(Data!$G:$G,Neutral!$A30,Data!$DE:$DE)+'Rate History'!$D$15*SUMIF(Data!$G:$G,Neutral!$A30,Data!$DF:$DF)+'Rate History'!$D$16*SUMIF(Data!$G:$G,Neutral!$A30,Data!$DG:$DG)+'Rate History'!$D$17*SUMIF(Data!$G:$G,Neutral!$A30,Data!$DH:$DH)+'Rate History'!$D$18*SUMIF(Data!$G:$G,Neutral!$A30,Data!$DI:$DI)+'Rate History'!$D$19*SUMIF(Data!$G:$G,Neutral!$A30,Data!$DJ:$DJ)+'Rate History'!$D$20*SUMIF(Data!$G:$G,Neutral!$A30,Data!$DK:$DK)+'Rate History'!$D$21*SUMIF(Data!$G:$G,Neutral!$A30,Data!$DL:$DL)+'Rate History'!$D$22*SUMIF(Data!$G:$G,Neutral!$A30,Data!$DM:$DM)+'Rate History'!$D$23*SUMIF(Data!$G:$G,Neutral!$A30,Data!$DN:$DN)+'Rate History'!$D$24*SUMIF(Data!$G:$G,Neutral!$A30,Data!$DO:$DO)+'Rate History'!$D$25*SUMIF(Data!$G:$G,Neutral!$A30,Data!$DP:$DP)+'Rate History'!$D$26*SUMIF(Data!$G:$G,Neutral!$A30,Data!$DQ:$DQ)+'Rate History'!$D$27*SUMIF(Data!$G:$G,Neutral!$A30,Data!$DR:$DR)+'Rate History'!$D$28*SUMIF(Data!$G:$G,Neutral!$A30,Data!$DS:$DS)+'Rate History'!$D$29*SUMIF(Data!$G:$G,Neutral!$A30,Data!$DT:$DT)+'Rate History'!$D$30*SUMIF(Data!$G:$G,Neutral!$A30,Data!$DV:$DV)+'Rate History'!$D$31*SUMIF(Data!$G:$G,Neutral!$A30,Data!$DW:$DW))</f>
        <v>10720455.633249184</v>
      </c>
      <c r="C30" s="113">
        <f>$C$5*('Rate History'!$C$4*SUMIF(Data!$G:$G,Neutral!$A30,Data!$CU:$CU)+'Rate History'!$C$5*SUMIF(Data!$G:$G,Neutral!$A30,Data!$CV:$CV)+'Rate History'!$C$6*SUMIF(Data!$G:$G,Neutral!$A30,Data!$CW:$CW)+'Rate History'!$C$7*SUMIF(Data!$G:$G,Neutral!$A30,Data!$CX:$CX)+'Rate History'!$C$8*SUMIF(Data!$G:$G,Neutral!$A30,Data!$CY:$CY)+'Rate History'!$C$9*SUMIF(Data!$G:$G,Neutral!$A30,Data!$CZ:$CZ)+'Rate History'!$C$10*SUMIF(Data!$G:$G,Neutral!$A30,Data!$DA:$DA)+'Rate History'!$C$11*SUMIF(Data!$G:$G,Neutral!$A30,Data!$DB:$DB)+'Rate History'!$C$12*SUMIF(Data!$G:$G,Neutral!$A30,Data!$DC:$DC)+'Rate History'!$C$13*SUMIF(Data!$G:$G,Neutral!$A30,Data!$DD:$DD)+'Rate History'!$C$14*SUMIF(Data!$G:$G,Neutral!$A30,Data!$DE:$DE)+'Rate History'!$C$15*SUMIF(Data!$G:$G,Neutral!$A30,Data!$DF:$DF)+'Rate History'!$C$16*SUMIF(Data!$G:$G,Neutral!$A30,Data!$DG:$DG)+'Rate History'!$C$17*SUMIF(Data!$G:$G,Neutral!$A30,Data!$DH:$DH)+'Rate History'!$C$18*SUMIF(Data!$G:$G,Neutral!$A30,Data!$DI:$DI)+'Rate History'!$C$19*SUMIF(Data!$G:$G,Neutral!$A30,Data!$DJ:$DJ)+'Rate History'!$C$20*SUMIF(Data!$G:$G,Neutral!$A30,Data!$DK:$DK)+'Rate History'!$C$21*SUMIF(Data!$G:$G,Neutral!$A30,Data!$DL:$DL)+'Rate History'!$C$22*SUMIF(Data!$G:$G,Neutral!$A30,Data!$DM:$DM)+'Rate History'!$C$23*SUMIF(Data!$G:$G,Neutral!$A30,Data!$DN:$DN)+'Rate History'!$C$24*SUMIF(Data!$G:$G,Neutral!$A30,Data!$DO:$DO)+'Rate History'!$C$25*SUMIF(Data!$G:$G,Neutral!$A30,Data!$DP:$DP)+'Rate History'!$C$26*SUMIF(Data!$G:$G,Neutral!$A30,Data!$DQ:$DQ)+'Rate History'!$C$27*SUMIF(Data!$G:$G,Neutral!$A30,Data!$DR:$DR)+'Rate History'!$C$28*SUMIF(Data!$G:$G,Neutral!$A30,Data!$DS:$DS)+'Rate History'!$C$29*SUMIF(Data!$G:$G,Neutral!$A30,Data!$DT:$DT)+'Rate History'!$C$30*SUMIF(Data!$G:$G,Neutral!$A30,Data!$DV:$DV)+'Rate History'!$C$31*SUMIF(Data!$G:$G,Neutral!$A30,Data!$DW:$DW))</f>
        <v>10731718.379846083</v>
      </c>
      <c r="D30" s="98">
        <f t="shared" si="1"/>
        <v>11262.746596898884</v>
      </c>
      <c r="E30" s="100">
        <f t="shared" si="0"/>
        <v>1.0505846936176668E-3</v>
      </c>
    </row>
    <row r="31" spans="1:5" x14ac:dyDescent="0.25">
      <c r="A31" s="92" t="s">
        <v>1093</v>
      </c>
      <c r="B31" s="113">
        <f>$B$5*('Rate History'!$D$4*SUMIF(Data!$G:$G,Neutral!$A31,Data!$CU:$CU)+'Rate History'!$D$5*SUMIF(Data!$G:$G,Neutral!$A31,Data!$CV:$CV)+'Rate History'!$D$6*SUMIF(Data!$G:$G,Neutral!$A31,Data!$CW:$CW)+'Rate History'!$D$7*SUMIF(Data!$G:$G,Neutral!$A31,Data!$CX:$CX)+'Rate History'!$D$8*SUMIF(Data!$G:$G,Neutral!$A31,Data!$CY:$CY)+'Rate History'!$D$9*SUMIF(Data!$G:$G,Neutral!$A31,Data!$CZ:$CZ)+'Rate History'!$D$10*SUMIF(Data!$G:$G,Neutral!$A31,Data!$DA:$DA)+'Rate History'!$D$11*SUMIF(Data!$G:$G,Neutral!$A31,Data!$DB:$DB)+'Rate History'!$D$12*SUMIF(Data!$G:$G,Neutral!$A31,Data!$DC:$DC)+'Rate History'!$D$13*SUMIF(Data!$G:$G,Neutral!$A31,Data!$DD:$DD)+'Rate History'!$D$14*SUMIF(Data!$G:$G,Neutral!$A31,Data!$DE:$DE)+'Rate History'!$D$15*SUMIF(Data!$G:$G,Neutral!$A31,Data!$DF:$DF)+'Rate History'!$D$16*SUMIF(Data!$G:$G,Neutral!$A31,Data!$DG:$DG)+'Rate History'!$D$17*SUMIF(Data!$G:$G,Neutral!$A31,Data!$DH:$DH)+'Rate History'!$D$18*SUMIF(Data!$G:$G,Neutral!$A31,Data!$DI:$DI)+'Rate History'!$D$19*SUMIF(Data!$G:$G,Neutral!$A31,Data!$DJ:$DJ)+'Rate History'!$D$20*SUMIF(Data!$G:$G,Neutral!$A31,Data!$DK:$DK)+'Rate History'!$D$21*SUMIF(Data!$G:$G,Neutral!$A31,Data!$DL:$DL)+'Rate History'!$D$22*SUMIF(Data!$G:$G,Neutral!$A31,Data!$DM:$DM)+'Rate History'!$D$23*SUMIF(Data!$G:$G,Neutral!$A31,Data!$DN:$DN)+'Rate History'!$D$24*SUMIF(Data!$G:$G,Neutral!$A31,Data!$DO:$DO)+'Rate History'!$D$25*SUMIF(Data!$G:$G,Neutral!$A31,Data!$DP:$DP)+'Rate History'!$D$26*SUMIF(Data!$G:$G,Neutral!$A31,Data!$DQ:$DQ)+'Rate History'!$D$27*SUMIF(Data!$G:$G,Neutral!$A31,Data!$DR:$DR)+'Rate History'!$D$28*SUMIF(Data!$G:$G,Neutral!$A31,Data!$DS:$DS)+'Rate History'!$D$29*SUMIF(Data!$G:$G,Neutral!$A31,Data!$DT:$DT)+'Rate History'!$D$30*SUMIF(Data!$G:$G,Neutral!$A31,Data!$DV:$DV)+'Rate History'!$D$31*SUMIF(Data!$G:$G,Neutral!$A31,Data!$DW:$DW))</f>
        <v>0</v>
      </c>
      <c r="C31" s="113">
        <f>$C$5*('Rate History'!$C$4*SUMIF(Data!$G:$G,Neutral!$A31,Data!$CU:$CU)+'Rate History'!$C$5*SUMIF(Data!$G:$G,Neutral!$A31,Data!$CV:$CV)+'Rate History'!$C$6*SUMIF(Data!$G:$G,Neutral!$A31,Data!$CW:$CW)+'Rate History'!$C$7*SUMIF(Data!$G:$G,Neutral!$A31,Data!$CX:$CX)+'Rate History'!$C$8*SUMIF(Data!$G:$G,Neutral!$A31,Data!$CY:$CY)+'Rate History'!$C$9*SUMIF(Data!$G:$G,Neutral!$A31,Data!$CZ:$CZ)+'Rate History'!$C$10*SUMIF(Data!$G:$G,Neutral!$A31,Data!$DA:$DA)+'Rate History'!$C$11*SUMIF(Data!$G:$G,Neutral!$A31,Data!$DB:$DB)+'Rate History'!$C$12*SUMIF(Data!$G:$G,Neutral!$A31,Data!$DC:$DC)+'Rate History'!$C$13*SUMIF(Data!$G:$G,Neutral!$A31,Data!$DD:$DD)+'Rate History'!$C$14*SUMIF(Data!$G:$G,Neutral!$A31,Data!$DE:$DE)+'Rate History'!$C$15*SUMIF(Data!$G:$G,Neutral!$A31,Data!$DF:$DF)+'Rate History'!$C$16*SUMIF(Data!$G:$G,Neutral!$A31,Data!$DG:$DG)+'Rate History'!$C$17*SUMIF(Data!$G:$G,Neutral!$A31,Data!$DH:$DH)+'Rate History'!$C$18*SUMIF(Data!$G:$G,Neutral!$A31,Data!$DI:$DI)+'Rate History'!$C$19*SUMIF(Data!$G:$G,Neutral!$A31,Data!$DJ:$DJ)+'Rate History'!$C$20*SUMIF(Data!$G:$G,Neutral!$A31,Data!$DK:$DK)+'Rate History'!$C$21*SUMIF(Data!$G:$G,Neutral!$A31,Data!$DL:$DL)+'Rate History'!$C$22*SUMIF(Data!$G:$G,Neutral!$A31,Data!$DM:$DM)+'Rate History'!$C$23*SUMIF(Data!$G:$G,Neutral!$A31,Data!$DN:$DN)+'Rate History'!$C$24*SUMIF(Data!$G:$G,Neutral!$A31,Data!$DO:$DO)+'Rate History'!$C$25*SUMIF(Data!$G:$G,Neutral!$A31,Data!$DP:$DP)+'Rate History'!$C$26*SUMIF(Data!$G:$G,Neutral!$A31,Data!$DQ:$DQ)+'Rate History'!$C$27*SUMIF(Data!$G:$G,Neutral!$A31,Data!$DR:$DR)+'Rate History'!$C$28*SUMIF(Data!$G:$G,Neutral!$A31,Data!$DS:$DS)+'Rate History'!$C$29*SUMIF(Data!$G:$G,Neutral!$A31,Data!$DT:$DT)+'Rate History'!$C$30*SUMIF(Data!$G:$G,Neutral!$A31,Data!$DV:$DV)+'Rate History'!$C$31*SUMIF(Data!$G:$G,Neutral!$A31,Data!$DW:$DW))</f>
        <v>0</v>
      </c>
      <c r="D31" s="98">
        <f t="shared" si="1"/>
        <v>0</v>
      </c>
      <c r="E31" s="100" t="str">
        <f t="shared" si="0"/>
        <v/>
      </c>
    </row>
    <row r="32" spans="1:5" x14ac:dyDescent="0.25">
      <c r="A32" s="93" t="s">
        <v>383</v>
      </c>
      <c r="B32" s="113">
        <f>$B$5*('Rate History'!$D$4*SUMIF(Data!$G:$G,Neutral!$A32,Data!$CU:$CU)+'Rate History'!$D$5*SUMIF(Data!$G:$G,Neutral!$A32,Data!$CV:$CV)+'Rate History'!$D$6*SUMIF(Data!$G:$G,Neutral!$A32,Data!$CW:$CW)+'Rate History'!$D$7*SUMIF(Data!$G:$G,Neutral!$A32,Data!$CX:$CX)+'Rate History'!$D$8*SUMIF(Data!$G:$G,Neutral!$A32,Data!$CY:$CY)+'Rate History'!$D$9*SUMIF(Data!$G:$G,Neutral!$A32,Data!$CZ:$CZ)+'Rate History'!$D$10*SUMIF(Data!$G:$G,Neutral!$A32,Data!$DA:$DA)+'Rate History'!$D$11*SUMIF(Data!$G:$G,Neutral!$A32,Data!$DB:$DB)+'Rate History'!$D$12*SUMIF(Data!$G:$G,Neutral!$A32,Data!$DC:$DC)+'Rate History'!$D$13*SUMIF(Data!$G:$G,Neutral!$A32,Data!$DD:$DD)+'Rate History'!$D$14*SUMIF(Data!$G:$G,Neutral!$A32,Data!$DE:$DE)+'Rate History'!$D$15*SUMIF(Data!$G:$G,Neutral!$A32,Data!$DF:$DF)+'Rate History'!$D$16*SUMIF(Data!$G:$G,Neutral!$A32,Data!$DG:$DG)+'Rate History'!$D$17*SUMIF(Data!$G:$G,Neutral!$A32,Data!$DH:$DH)+'Rate History'!$D$18*SUMIF(Data!$G:$G,Neutral!$A32,Data!$DI:$DI)+'Rate History'!$D$19*SUMIF(Data!$G:$G,Neutral!$A32,Data!$DJ:$DJ)+'Rate History'!$D$20*SUMIF(Data!$G:$G,Neutral!$A32,Data!$DK:$DK)+'Rate History'!$D$21*SUMIF(Data!$G:$G,Neutral!$A32,Data!$DL:$DL)+'Rate History'!$D$22*SUMIF(Data!$G:$G,Neutral!$A32,Data!$DM:$DM)+'Rate History'!$D$23*SUMIF(Data!$G:$G,Neutral!$A32,Data!$DN:$DN)+'Rate History'!$D$24*SUMIF(Data!$G:$G,Neutral!$A32,Data!$DO:$DO)+'Rate History'!$D$25*SUMIF(Data!$G:$G,Neutral!$A32,Data!$DP:$DP)+'Rate History'!$D$26*SUMIF(Data!$G:$G,Neutral!$A32,Data!$DQ:$DQ)+'Rate History'!$D$27*SUMIF(Data!$G:$G,Neutral!$A32,Data!$DR:$DR)+'Rate History'!$D$28*SUMIF(Data!$G:$G,Neutral!$A32,Data!$DS:$DS)+'Rate History'!$D$29*SUMIF(Data!$G:$G,Neutral!$A32,Data!$DT:$DT)+'Rate History'!$D$30*SUMIF(Data!$G:$G,Neutral!$A32,Data!$DV:$DV)+'Rate History'!$D$31*SUMIF(Data!$G:$G,Neutral!$A32,Data!$DW:$DW))</f>
        <v>12797752.935065344</v>
      </c>
      <c r="C32" s="113">
        <f>$C$5*('Rate History'!$C$4*SUMIF(Data!$G:$G,Neutral!$A32,Data!$CU:$CU)+'Rate History'!$C$5*SUMIF(Data!$G:$G,Neutral!$A32,Data!$CV:$CV)+'Rate History'!$C$6*SUMIF(Data!$G:$G,Neutral!$A32,Data!$CW:$CW)+'Rate History'!$C$7*SUMIF(Data!$G:$G,Neutral!$A32,Data!$CX:$CX)+'Rate History'!$C$8*SUMIF(Data!$G:$G,Neutral!$A32,Data!$CY:$CY)+'Rate History'!$C$9*SUMIF(Data!$G:$G,Neutral!$A32,Data!$CZ:$CZ)+'Rate History'!$C$10*SUMIF(Data!$G:$G,Neutral!$A32,Data!$DA:$DA)+'Rate History'!$C$11*SUMIF(Data!$G:$G,Neutral!$A32,Data!$DB:$DB)+'Rate History'!$C$12*SUMIF(Data!$G:$G,Neutral!$A32,Data!$DC:$DC)+'Rate History'!$C$13*SUMIF(Data!$G:$G,Neutral!$A32,Data!$DD:$DD)+'Rate History'!$C$14*SUMIF(Data!$G:$G,Neutral!$A32,Data!$DE:$DE)+'Rate History'!$C$15*SUMIF(Data!$G:$G,Neutral!$A32,Data!$DF:$DF)+'Rate History'!$C$16*SUMIF(Data!$G:$G,Neutral!$A32,Data!$DG:$DG)+'Rate History'!$C$17*SUMIF(Data!$G:$G,Neutral!$A32,Data!$DH:$DH)+'Rate History'!$C$18*SUMIF(Data!$G:$G,Neutral!$A32,Data!$DI:$DI)+'Rate History'!$C$19*SUMIF(Data!$G:$G,Neutral!$A32,Data!$DJ:$DJ)+'Rate History'!$C$20*SUMIF(Data!$G:$G,Neutral!$A32,Data!$DK:$DK)+'Rate History'!$C$21*SUMIF(Data!$G:$G,Neutral!$A32,Data!$DL:$DL)+'Rate History'!$C$22*SUMIF(Data!$G:$G,Neutral!$A32,Data!$DM:$DM)+'Rate History'!$C$23*SUMIF(Data!$G:$G,Neutral!$A32,Data!$DN:$DN)+'Rate History'!$C$24*SUMIF(Data!$G:$G,Neutral!$A32,Data!$DO:$DO)+'Rate History'!$C$25*SUMIF(Data!$G:$G,Neutral!$A32,Data!$DP:$DP)+'Rate History'!$C$26*SUMIF(Data!$G:$G,Neutral!$A32,Data!$DQ:$DQ)+'Rate History'!$C$27*SUMIF(Data!$G:$G,Neutral!$A32,Data!$DR:$DR)+'Rate History'!$C$28*SUMIF(Data!$G:$G,Neutral!$A32,Data!$DS:$DS)+'Rate History'!$C$29*SUMIF(Data!$G:$G,Neutral!$A32,Data!$DT:$DT)+'Rate History'!$C$30*SUMIF(Data!$G:$G,Neutral!$A32,Data!$DV:$DV)+'Rate History'!$C$31*SUMIF(Data!$G:$G,Neutral!$A32,Data!$DW:$DW))</f>
        <v>12730658.044796301</v>
      </c>
      <c r="D32" s="98">
        <f t="shared" si="1"/>
        <v>-67094.890269042924</v>
      </c>
      <c r="E32" s="100">
        <f t="shared" si="0"/>
        <v>-5.2427086699888964E-3</v>
      </c>
    </row>
    <row r="33" spans="1:5" x14ac:dyDescent="0.25">
      <c r="A33" s="93" t="s">
        <v>434</v>
      </c>
      <c r="B33" s="113">
        <f>$B$5*('Rate History'!$D$4*SUMIF(Data!$G:$G,Neutral!$A33,Data!$CU:$CU)+'Rate History'!$D$5*SUMIF(Data!$G:$G,Neutral!$A33,Data!$CV:$CV)+'Rate History'!$D$6*SUMIF(Data!$G:$G,Neutral!$A33,Data!$CW:$CW)+'Rate History'!$D$7*SUMIF(Data!$G:$G,Neutral!$A33,Data!$CX:$CX)+'Rate History'!$D$8*SUMIF(Data!$G:$G,Neutral!$A33,Data!$CY:$CY)+'Rate History'!$D$9*SUMIF(Data!$G:$G,Neutral!$A33,Data!$CZ:$CZ)+'Rate History'!$D$10*SUMIF(Data!$G:$G,Neutral!$A33,Data!$DA:$DA)+'Rate History'!$D$11*SUMIF(Data!$G:$G,Neutral!$A33,Data!$DB:$DB)+'Rate History'!$D$12*SUMIF(Data!$G:$G,Neutral!$A33,Data!$DC:$DC)+'Rate History'!$D$13*SUMIF(Data!$G:$G,Neutral!$A33,Data!$DD:$DD)+'Rate History'!$D$14*SUMIF(Data!$G:$G,Neutral!$A33,Data!$DE:$DE)+'Rate History'!$D$15*SUMIF(Data!$G:$G,Neutral!$A33,Data!$DF:$DF)+'Rate History'!$D$16*SUMIF(Data!$G:$G,Neutral!$A33,Data!$DG:$DG)+'Rate History'!$D$17*SUMIF(Data!$G:$G,Neutral!$A33,Data!$DH:$DH)+'Rate History'!$D$18*SUMIF(Data!$G:$G,Neutral!$A33,Data!$DI:$DI)+'Rate History'!$D$19*SUMIF(Data!$G:$G,Neutral!$A33,Data!$DJ:$DJ)+'Rate History'!$D$20*SUMIF(Data!$G:$G,Neutral!$A33,Data!$DK:$DK)+'Rate History'!$D$21*SUMIF(Data!$G:$G,Neutral!$A33,Data!$DL:$DL)+'Rate History'!$D$22*SUMIF(Data!$G:$G,Neutral!$A33,Data!$DM:$DM)+'Rate History'!$D$23*SUMIF(Data!$G:$G,Neutral!$A33,Data!$DN:$DN)+'Rate History'!$D$24*SUMIF(Data!$G:$G,Neutral!$A33,Data!$DO:$DO)+'Rate History'!$D$25*SUMIF(Data!$G:$G,Neutral!$A33,Data!$DP:$DP)+'Rate History'!$D$26*SUMIF(Data!$G:$G,Neutral!$A33,Data!$DQ:$DQ)+'Rate History'!$D$27*SUMIF(Data!$G:$G,Neutral!$A33,Data!$DR:$DR)+'Rate History'!$D$28*SUMIF(Data!$G:$G,Neutral!$A33,Data!$DS:$DS)+'Rate History'!$D$29*SUMIF(Data!$G:$G,Neutral!$A33,Data!$DT:$DT)+'Rate History'!$D$30*SUMIF(Data!$G:$G,Neutral!$A33,Data!$DV:$DV)+'Rate History'!$D$31*SUMIF(Data!$G:$G,Neutral!$A33,Data!$DW:$DW))</f>
        <v>8574276.7314424627</v>
      </c>
      <c r="C33" s="113">
        <f>$C$5*('Rate History'!$C$4*SUMIF(Data!$G:$G,Neutral!$A33,Data!$CU:$CU)+'Rate History'!$C$5*SUMIF(Data!$G:$G,Neutral!$A33,Data!$CV:$CV)+'Rate History'!$C$6*SUMIF(Data!$G:$G,Neutral!$A33,Data!$CW:$CW)+'Rate History'!$C$7*SUMIF(Data!$G:$G,Neutral!$A33,Data!$CX:$CX)+'Rate History'!$C$8*SUMIF(Data!$G:$G,Neutral!$A33,Data!$CY:$CY)+'Rate History'!$C$9*SUMIF(Data!$G:$G,Neutral!$A33,Data!$CZ:$CZ)+'Rate History'!$C$10*SUMIF(Data!$G:$G,Neutral!$A33,Data!$DA:$DA)+'Rate History'!$C$11*SUMIF(Data!$G:$G,Neutral!$A33,Data!$DB:$DB)+'Rate History'!$C$12*SUMIF(Data!$G:$G,Neutral!$A33,Data!$DC:$DC)+'Rate History'!$C$13*SUMIF(Data!$G:$G,Neutral!$A33,Data!$DD:$DD)+'Rate History'!$C$14*SUMIF(Data!$G:$G,Neutral!$A33,Data!$DE:$DE)+'Rate History'!$C$15*SUMIF(Data!$G:$G,Neutral!$A33,Data!$DF:$DF)+'Rate History'!$C$16*SUMIF(Data!$G:$G,Neutral!$A33,Data!$DG:$DG)+'Rate History'!$C$17*SUMIF(Data!$G:$G,Neutral!$A33,Data!$DH:$DH)+'Rate History'!$C$18*SUMIF(Data!$G:$G,Neutral!$A33,Data!$DI:$DI)+'Rate History'!$C$19*SUMIF(Data!$G:$G,Neutral!$A33,Data!$DJ:$DJ)+'Rate History'!$C$20*SUMIF(Data!$G:$G,Neutral!$A33,Data!$DK:$DK)+'Rate History'!$C$21*SUMIF(Data!$G:$G,Neutral!$A33,Data!$DL:$DL)+'Rate History'!$C$22*SUMIF(Data!$G:$G,Neutral!$A33,Data!$DM:$DM)+'Rate History'!$C$23*SUMIF(Data!$G:$G,Neutral!$A33,Data!$DN:$DN)+'Rate History'!$C$24*SUMIF(Data!$G:$G,Neutral!$A33,Data!$DO:$DO)+'Rate History'!$C$25*SUMIF(Data!$G:$G,Neutral!$A33,Data!$DP:$DP)+'Rate History'!$C$26*SUMIF(Data!$G:$G,Neutral!$A33,Data!$DQ:$DQ)+'Rate History'!$C$27*SUMIF(Data!$G:$G,Neutral!$A33,Data!$DR:$DR)+'Rate History'!$C$28*SUMIF(Data!$G:$G,Neutral!$A33,Data!$DS:$DS)+'Rate History'!$C$29*SUMIF(Data!$G:$G,Neutral!$A33,Data!$DT:$DT)+'Rate History'!$C$30*SUMIF(Data!$G:$G,Neutral!$A33,Data!$DV:$DV)+'Rate History'!$C$31*SUMIF(Data!$G:$G,Neutral!$A33,Data!$DW:$DW))</f>
        <v>8560633.2242493574</v>
      </c>
      <c r="D33" s="98">
        <f t="shared" si="1"/>
        <v>-13643.507193105295</v>
      </c>
      <c r="E33" s="100">
        <f t="shared" si="0"/>
        <v>-1.5912137688621148E-3</v>
      </c>
    </row>
    <row r="34" spans="1:5" x14ac:dyDescent="0.25">
      <c r="A34" s="93" t="s">
        <v>385</v>
      </c>
      <c r="B34" s="113">
        <f>$B$5*('Rate History'!$D$4*SUMIF(Data!$G:$G,Neutral!$A34,Data!$CU:$CU)+'Rate History'!$D$5*SUMIF(Data!$G:$G,Neutral!$A34,Data!$CV:$CV)+'Rate History'!$D$6*SUMIF(Data!$G:$G,Neutral!$A34,Data!$CW:$CW)+'Rate History'!$D$7*SUMIF(Data!$G:$G,Neutral!$A34,Data!$CX:$CX)+'Rate History'!$D$8*SUMIF(Data!$G:$G,Neutral!$A34,Data!$CY:$CY)+'Rate History'!$D$9*SUMIF(Data!$G:$G,Neutral!$A34,Data!$CZ:$CZ)+'Rate History'!$D$10*SUMIF(Data!$G:$G,Neutral!$A34,Data!$DA:$DA)+'Rate History'!$D$11*SUMIF(Data!$G:$G,Neutral!$A34,Data!$DB:$DB)+'Rate History'!$D$12*SUMIF(Data!$G:$G,Neutral!$A34,Data!$DC:$DC)+'Rate History'!$D$13*SUMIF(Data!$G:$G,Neutral!$A34,Data!$DD:$DD)+'Rate History'!$D$14*SUMIF(Data!$G:$G,Neutral!$A34,Data!$DE:$DE)+'Rate History'!$D$15*SUMIF(Data!$G:$G,Neutral!$A34,Data!$DF:$DF)+'Rate History'!$D$16*SUMIF(Data!$G:$G,Neutral!$A34,Data!$DG:$DG)+'Rate History'!$D$17*SUMIF(Data!$G:$G,Neutral!$A34,Data!$DH:$DH)+'Rate History'!$D$18*SUMIF(Data!$G:$G,Neutral!$A34,Data!$DI:$DI)+'Rate History'!$D$19*SUMIF(Data!$G:$G,Neutral!$A34,Data!$DJ:$DJ)+'Rate History'!$D$20*SUMIF(Data!$G:$G,Neutral!$A34,Data!$DK:$DK)+'Rate History'!$D$21*SUMIF(Data!$G:$G,Neutral!$A34,Data!$DL:$DL)+'Rate History'!$D$22*SUMIF(Data!$G:$G,Neutral!$A34,Data!$DM:$DM)+'Rate History'!$D$23*SUMIF(Data!$G:$G,Neutral!$A34,Data!$DN:$DN)+'Rate History'!$D$24*SUMIF(Data!$G:$G,Neutral!$A34,Data!$DO:$DO)+'Rate History'!$D$25*SUMIF(Data!$G:$G,Neutral!$A34,Data!$DP:$DP)+'Rate History'!$D$26*SUMIF(Data!$G:$G,Neutral!$A34,Data!$DQ:$DQ)+'Rate History'!$D$27*SUMIF(Data!$G:$G,Neutral!$A34,Data!$DR:$DR)+'Rate History'!$D$28*SUMIF(Data!$G:$G,Neutral!$A34,Data!$DS:$DS)+'Rate History'!$D$29*SUMIF(Data!$G:$G,Neutral!$A34,Data!$DT:$DT)+'Rate History'!$D$30*SUMIF(Data!$G:$G,Neutral!$A34,Data!$DV:$DV)+'Rate History'!$D$31*SUMIF(Data!$G:$G,Neutral!$A34,Data!$DW:$DW))</f>
        <v>9651520.7718090881</v>
      </c>
      <c r="C34" s="113">
        <f>$C$5*('Rate History'!$C$4*SUMIF(Data!$G:$G,Neutral!$A34,Data!$CU:$CU)+'Rate History'!$C$5*SUMIF(Data!$G:$G,Neutral!$A34,Data!$CV:$CV)+'Rate History'!$C$6*SUMIF(Data!$G:$G,Neutral!$A34,Data!$CW:$CW)+'Rate History'!$C$7*SUMIF(Data!$G:$G,Neutral!$A34,Data!$CX:$CX)+'Rate History'!$C$8*SUMIF(Data!$G:$G,Neutral!$A34,Data!$CY:$CY)+'Rate History'!$C$9*SUMIF(Data!$G:$G,Neutral!$A34,Data!$CZ:$CZ)+'Rate History'!$C$10*SUMIF(Data!$G:$G,Neutral!$A34,Data!$DA:$DA)+'Rate History'!$C$11*SUMIF(Data!$G:$G,Neutral!$A34,Data!$DB:$DB)+'Rate History'!$C$12*SUMIF(Data!$G:$G,Neutral!$A34,Data!$DC:$DC)+'Rate History'!$C$13*SUMIF(Data!$G:$G,Neutral!$A34,Data!$DD:$DD)+'Rate History'!$C$14*SUMIF(Data!$G:$G,Neutral!$A34,Data!$DE:$DE)+'Rate History'!$C$15*SUMIF(Data!$G:$G,Neutral!$A34,Data!$DF:$DF)+'Rate History'!$C$16*SUMIF(Data!$G:$G,Neutral!$A34,Data!$DG:$DG)+'Rate History'!$C$17*SUMIF(Data!$G:$G,Neutral!$A34,Data!$DH:$DH)+'Rate History'!$C$18*SUMIF(Data!$G:$G,Neutral!$A34,Data!$DI:$DI)+'Rate History'!$C$19*SUMIF(Data!$G:$G,Neutral!$A34,Data!$DJ:$DJ)+'Rate History'!$C$20*SUMIF(Data!$G:$G,Neutral!$A34,Data!$DK:$DK)+'Rate History'!$C$21*SUMIF(Data!$G:$G,Neutral!$A34,Data!$DL:$DL)+'Rate History'!$C$22*SUMIF(Data!$G:$G,Neutral!$A34,Data!$DM:$DM)+'Rate History'!$C$23*SUMIF(Data!$G:$G,Neutral!$A34,Data!$DN:$DN)+'Rate History'!$C$24*SUMIF(Data!$G:$G,Neutral!$A34,Data!$DO:$DO)+'Rate History'!$C$25*SUMIF(Data!$G:$G,Neutral!$A34,Data!$DP:$DP)+'Rate History'!$C$26*SUMIF(Data!$G:$G,Neutral!$A34,Data!$DQ:$DQ)+'Rate History'!$C$27*SUMIF(Data!$G:$G,Neutral!$A34,Data!$DR:$DR)+'Rate History'!$C$28*SUMIF(Data!$G:$G,Neutral!$A34,Data!$DS:$DS)+'Rate History'!$C$29*SUMIF(Data!$G:$G,Neutral!$A34,Data!$DT:$DT)+'Rate History'!$C$30*SUMIF(Data!$G:$G,Neutral!$A34,Data!$DV:$DV)+'Rate History'!$C$31*SUMIF(Data!$G:$G,Neutral!$A34,Data!$DW:$DW))</f>
        <v>9626546.7972293999</v>
      </c>
      <c r="D34" s="98">
        <f t="shared" si="1"/>
        <v>-24973.974579688162</v>
      </c>
      <c r="E34" s="100">
        <f t="shared" si="0"/>
        <v>-2.5875688578150388E-3</v>
      </c>
    </row>
    <row r="35" spans="1:5" x14ac:dyDescent="0.25">
      <c r="A35" s="93" t="s">
        <v>363</v>
      </c>
      <c r="B35" s="113">
        <f>$B$5*('Rate History'!$D$4*SUMIF(Data!$G:$G,Neutral!$A35,Data!$CU:$CU)+'Rate History'!$D$5*SUMIF(Data!$G:$G,Neutral!$A35,Data!$CV:$CV)+'Rate History'!$D$6*SUMIF(Data!$G:$G,Neutral!$A35,Data!$CW:$CW)+'Rate History'!$D$7*SUMIF(Data!$G:$G,Neutral!$A35,Data!$CX:$CX)+'Rate History'!$D$8*SUMIF(Data!$G:$G,Neutral!$A35,Data!$CY:$CY)+'Rate History'!$D$9*SUMIF(Data!$G:$G,Neutral!$A35,Data!$CZ:$CZ)+'Rate History'!$D$10*SUMIF(Data!$G:$G,Neutral!$A35,Data!$DA:$DA)+'Rate History'!$D$11*SUMIF(Data!$G:$G,Neutral!$A35,Data!$DB:$DB)+'Rate History'!$D$12*SUMIF(Data!$G:$G,Neutral!$A35,Data!$DC:$DC)+'Rate History'!$D$13*SUMIF(Data!$G:$G,Neutral!$A35,Data!$DD:$DD)+'Rate History'!$D$14*SUMIF(Data!$G:$G,Neutral!$A35,Data!$DE:$DE)+'Rate History'!$D$15*SUMIF(Data!$G:$G,Neutral!$A35,Data!$DF:$DF)+'Rate History'!$D$16*SUMIF(Data!$G:$G,Neutral!$A35,Data!$DG:$DG)+'Rate History'!$D$17*SUMIF(Data!$G:$G,Neutral!$A35,Data!$DH:$DH)+'Rate History'!$D$18*SUMIF(Data!$G:$G,Neutral!$A35,Data!$DI:$DI)+'Rate History'!$D$19*SUMIF(Data!$G:$G,Neutral!$A35,Data!$DJ:$DJ)+'Rate History'!$D$20*SUMIF(Data!$G:$G,Neutral!$A35,Data!$DK:$DK)+'Rate History'!$D$21*SUMIF(Data!$G:$G,Neutral!$A35,Data!$DL:$DL)+'Rate History'!$D$22*SUMIF(Data!$G:$G,Neutral!$A35,Data!$DM:$DM)+'Rate History'!$D$23*SUMIF(Data!$G:$G,Neutral!$A35,Data!$DN:$DN)+'Rate History'!$D$24*SUMIF(Data!$G:$G,Neutral!$A35,Data!$DO:$DO)+'Rate History'!$D$25*SUMIF(Data!$G:$G,Neutral!$A35,Data!$DP:$DP)+'Rate History'!$D$26*SUMIF(Data!$G:$G,Neutral!$A35,Data!$DQ:$DQ)+'Rate History'!$D$27*SUMIF(Data!$G:$G,Neutral!$A35,Data!$DR:$DR)+'Rate History'!$D$28*SUMIF(Data!$G:$G,Neutral!$A35,Data!$DS:$DS)+'Rate History'!$D$29*SUMIF(Data!$G:$G,Neutral!$A35,Data!$DT:$DT)+'Rate History'!$D$30*SUMIF(Data!$G:$G,Neutral!$A35,Data!$DV:$DV)+'Rate History'!$D$31*SUMIF(Data!$G:$G,Neutral!$A35,Data!$DW:$DW))</f>
        <v>8046313.6424617553</v>
      </c>
      <c r="C35" s="113">
        <f>$C$5*('Rate History'!$C$4*SUMIF(Data!$G:$G,Neutral!$A35,Data!$CU:$CU)+'Rate History'!$C$5*SUMIF(Data!$G:$G,Neutral!$A35,Data!$CV:$CV)+'Rate History'!$C$6*SUMIF(Data!$G:$G,Neutral!$A35,Data!$CW:$CW)+'Rate History'!$C$7*SUMIF(Data!$G:$G,Neutral!$A35,Data!$CX:$CX)+'Rate History'!$C$8*SUMIF(Data!$G:$G,Neutral!$A35,Data!$CY:$CY)+'Rate History'!$C$9*SUMIF(Data!$G:$G,Neutral!$A35,Data!$CZ:$CZ)+'Rate History'!$C$10*SUMIF(Data!$G:$G,Neutral!$A35,Data!$DA:$DA)+'Rate History'!$C$11*SUMIF(Data!$G:$G,Neutral!$A35,Data!$DB:$DB)+'Rate History'!$C$12*SUMIF(Data!$G:$G,Neutral!$A35,Data!$DC:$DC)+'Rate History'!$C$13*SUMIF(Data!$G:$G,Neutral!$A35,Data!$DD:$DD)+'Rate History'!$C$14*SUMIF(Data!$G:$G,Neutral!$A35,Data!$DE:$DE)+'Rate History'!$C$15*SUMIF(Data!$G:$G,Neutral!$A35,Data!$DF:$DF)+'Rate History'!$C$16*SUMIF(Data!$G:$G,Neutral!$A35,Data!$DG:$DG)+'Rate History'!$C$17*SUMIF(Data!$G:$G,Neutral!$A35,Data!$DH:$DH)+'Rate History'!$C$18*SUMIF(Data!$G:$G,Neutral!$A35,Data!$DI:$DI)+'Rate History'!$C$19*SUMIF(Data!$G:$G,Neutral!$A35,Data!$DJ:$DJ)+'Rate History'!$C$20*SUMIF(Data!$G:$G,Neutral!$A35,Data!$DK:$DK)+'Rate History'!$C$21*SUMIF(Data!$G:$G,Neutral!$A35,Data!$DL:$DL)+'Rate History'!$C$22*SUMIF(Data!$G:$G,Neutral!$A35,Data!$DM:$DM)+'Rate History'!$C$23*SUMIF(Data!$G:$G,Neutral!$A35,Data!$DN:$DN)+'Rate History'!$C$24*SUMIF(Data!$G:$G,Neutral!$A35,Data!$DO:$DO)+'Rate History'!$C$25*SUMIF(Data!$G:$G,Neutral!$A35,Data!$DP:$DP)+'Rate History'!$C$26*SUMIF(Data!$G:$G,Neutral!$A35,Data!$DQ:$DQ)+'Rate History'!$C$27*SUMIF(Data!$G:$G,Neutral!$A35,Data!$DR:$DR)+'Rate History'!$C$28*SUMIF(Data!$G:$G,Neutral!$A35,Data!$DS:$DS)+'Rate History'!$C$29*SUMIF(Data!$G:$G,Neutral!$A35,Data!$DT:$DT)+'Rate History'!$C$30*SUMIF(Data!$G:$G,Neutral!$A35,Data!$DV:$DV)+'Rate History'!$C$31*SUMIF(Data!$G:$G,Neutral!$A35,Data!$DW:$DW))</f>
        <v>8017982.2999566412</v>
      </c>
      <c r="D35" s="98">
        <f t="shared" si="1"/>
        <v>-28331.342505114153</v>
      </c>
      <c r="E35" s="100">
        <f t="shared" si="0"/>
        <v>-3.5210338254284394E-3</v>
      </c>
    </row>
    <row r="36" spans="1:5" x14ac:dyDescent="0.25">
      <c r="A36" s="93" t="s">
        <v>447</v>
      </c>
      <c r="B36" s="113">
        <f>$B$5*('Rate History'!$D$4*SUMIF(Data!$G:$G,Neutral!$A36,Data!$CU:$CU)+'Rate History'!$D$5*SUMIF(Data!$G:$G,Neutral!$A36,Data!$CV:$CV)+'Rate History'!$D$6*SUMIF(Data!$G:$G,Neutral!$A36,Data!$CW:$CW)+'Rate History'!$D$7*SUMIF(Data!$G:$G,Neutral!$A36,Data!$CX:$CX)+'Rate History'!$D$8*SUMIF(Data!$G:$G,Neutral!$A36,Data!$CY:$CY)+'Rate History'!$D$9*SUMIF(Data!$G:$G,Neutral!$A36,Data!$CZ:$CZ)+'Rate History'!$D$10*SUMIF(Data!$G:$G,Neutral!$A36,Data!$DA:$DA)+'Rate History'!$D$11*SUMIF(Data!$G:$G,Neutral!$A36,Data!$DB:$DB)+'Rate History'!$D$12*SUMIF(Data!$G:$G,Neutral!$A36,Data!$DC:$DC)+'Rate History'!$D$13*SUMIF(Data!$G:$G,Neutral!$A36,Data!$DD:$DD)+'Rate History'!$D$14*SUMIF(Data!$G:$G,Neutral!$A36,Data!$DE:$DE)+'Rate History'!$D$15*SUMIF(Data!$G:$G,Neutral!$A36,Data!$DF:$DF)+'Rate History'!$D$16*SUMIF(Data!$G:$G,Neutral!$A36,Data!$DG:$DG)+'Rate History'!$D$17*SUMIF(Data!$G:$G,Neutral!$A36,Data!$DH:$DH)+'Rate History'!$D$18*SUMIF(Data!$G:$G,Neutral!$A36,Data!$DI:$DI)+'Rate History'!$D$19*SUMIF(Data!$G:$G,Neutral!$A36,Data!$DJ:$DJ)+'Rate History'!$D$20*SUMIF(Data!$G:$G,Neutral!$A36,Data!$DK:$DK)+'Rate History'!$D$21*SUMIF(Data!$G:$G,Neutral!$A36,Data!$DL:$DL)+'Rate History'!$D$22*SUMIF(Data!$G:$G,Neutral!$A36,Data!$DM:$DM)+'Rate History'!$D$23*SUMIF(Data!$G:$G,Neutral!$A36,Data!$DN:$DN)+'Rate History'!$D$24*SUMIF(Data!$G:$G,Neutral!$A36,Data!$DO:$DO)+'Rate History'!$D$25*SUMIF(Data!$G:$G,Neutral!$A36,Data!$DP:$DP)+'Rate History'!$D$26*SUMIF(Data!$G:$G,Neutral!$A36,Data!$DQ:$DQ)+'Rate History'!$D$27*SUMIF(Data!$G:$G,Neutral!$A36,Data!$DR:$DR)+'Rate History'!$D$28*SUMIF(Data!$G:$G,Neutral!$A36,Data!$DS:$DS)+'Rate History'!$D$29*SUMIF(Data!$G:$G,Neutral!$A36,Data!$DT:$DT)+'Rate History'!$D$30*SUMIF(Data!$G:$G,Neutral!$A36,Data!$DV:$DV)+'Rate History'!$D$31*SUMIF(Data!$G:$G,Neutral!$A36,Data!$DW:$DW))</f>
        <v>3851213.7088149074</v>
      </c>
      <c r="C36" s="113">
        <f>$C$5*('Rate History'!$C$4*SUMIF(Data!$G:$G,Neutral!$A36,Data!$CU:$CU)+'Rate History'!$C$5*SUMIF(Data!$G:$G,Neutral!$A36,Data!$CV:$CV)+'Rate History'!$C$6*SUMIF(Data!$G:$G,Neutral!$A36,Data!$CW:$CW)+'Rate History'!$C$7*SUMIF(Data!$G:$G,Neutral!$A36,Data!$CX:$CX)+'Rate History'!$C$8*SUMIF(Data!$G:$G,Neutral!$A36,Data!$CY:$CY)+'Rate History'!$C$9*SUMIF(Data!$G:$G,Neutral!$A36,Data!$CZ:$CZ)+'Rate History'!$C$10*SUMIF(Data!$G:$G,Neutral!$A36,Data!$DA:$DA)+'Rate History'!$C$11*SUMIF(Data!$G:$G,Neutral!$A36,Data!$DB:$DB)+'Rate History'!$C$12*SUMIF(Data!$G:$G,Neutral!$A36,Data!$DC:$DC)+'Rate History'!$C$13*SUMIF(Data!$G:$G,Neutral!$A36,Data!$DD:$DD)+'Rate History'!$C$14*SUMIF(Data!$G:$G,Neutral!$A36,Data!$DE:$DE)+'Rate History'!$C$15*SUMIF(Data!$G:$G,Neutral!$A36,Data!$DF:$DF)+'Rate History'!$C$16*SUMIF(Data!$G:$G,Neutral!$A36,Data!$DG:$DG)+'Rate History'!$C$17*SUMIF(Data!$G:$G,Neutral!$A36,Data!$DH:$DH)+'Rate History'!$C$18*SUMIF(Data!$G:$G,Neutral!$A36,Data!$DI:$DI)+'Rate History'!$C$19*SUMIF(Data!$G:$G,Neutral!$A36,Data!$DJ:$DJ)+'Rate History'!$C$20*SUMIF(Data!$G:$G,Neutral!$A36,Data!$DK:$DK)+'Rate History'!$C$21*SUMIF(Data!$G:$G,Neutral!$A36,Data!$DL:$DL)+'Rate History'!$C$22*SUMIF(Data!$G:$G,Neutral!$A36,Data!$DM:$DM)+'Rate History'!$C$23*SUMIF(Data!$G:$G,Neutral!$A36,Data!$DN:$DN)+'Rate History'!$C$24*SUMIF(Data!$G:$G,Neutral!$A36,Data!$DO:$DO)+'Rate History'!$C$25*SUMIF(Data!$G:$G,Neutral!$A36,Data!$DP:$DP)+'Rate History'!$C$26*SUMIF(Data!$G:$G,Neutral!$A36,Data!$DQ:$DQ)+'Rate History'!$C$27*SUMIF(Data!$G:$G,Neutral!$A36,Data!$DR:$DR)+'Rate History'!$C$28*SUMIF(Data!$G:$G,Neutral!$A36,Data!$DS:$DS)+'Rate History'!$C$29*SUMIF(Data!$G:$G,Neutral!$A36,Data!$DT:$DT)+'Rate History'!$C$30*SUMIF(Data!$G:$G,Neutral!$A36,Data!$DV:$DV)+'Rate History'!$C$31*SUMIF(Data!$G:$G,Neutral!$A36,Data!$DW:$DW))</f>
        <v>3835773.3109582681</v>
      </c>
      <c r="D36" s="98">
        <f t="shared" si="1"/>
        <v>-15440.397856639232</v>
      </c>
      <c r="E36" s="100">
        <f t="shared" si="0"/>
        <v>-4.0092290441577543E-3</v>
      </c>
    </row>
    <row r="37" spans="1:5" x14ac:dyDescent="0.25">
      <c r="A37" s="93" t="s">
        <v>387</v>
      </c>
      <c r="B37" s="113">
        <f>$B$5*('Rate History'!$D$4*SUMIF(Data!$G:$G,Neutral!$A37,Data!$CU:$CU)+'Rate History'!$D$5*SUMIF(Data!$G:$G,Neutral!$A37,Data!$CV:$CV)+'Rate History'!$D$6*SUMIF(Data!$G:$G,Neutral!$A37,Data!$CW:$CW)+'Rate History'!$D$7*SUMIF(Data!$G:$G,Neutral!$A37,Data!$CX:$CX)+'Rate History'!$D$8*SUMIF(Data!$G:$G,Neutral!$A37,Data!$CY:$CY)+'Rate History'!$D$9*SUMIF(Data!$G:$G,Neutral!$A37,Data!$CZ:$CZ)+'Rate History'!$D$10*SUMIF(Data!$G:$G,Neutral!$A37,Data!$DA:$DA)+'Rate History'!$D$11*SUMIF(Data!$G:$G,Neutral!$A37,Data!$DB:$DB)+'Rate History'!$D$12*SUMIF(Data!$G:$G,Neutral!$A37,Data!$DC:$DC)+'Rate History'!$D$13*SUMIF(Data!$G:$G,Neutral!$A37,Data!$DD:$DD)+'Rate History'!$D$14*SUMIF(Data!$G:$G,Neutral!$A37,Data!$DE:$DE)+'Rate History'!$D$15*SUMIF(Data!$G:$G,Neutral!$A37,Data!$DF:$DF)+'Rate History'!$D$16*SUMIF(Data!$G:$G,Neutral!$A37,Data!$DG:$DG)+'Rate History'!$D$17*SUMIF(Data!$G:$G,Neutral!$A37,Data!$DH:$DH)+'Rate History'!$D$18*SUMIF(Data!$G:$G,Neutral!$A37,Data!$DI:$DI)+'Rate History'!$D$19*SUMIF(Data!$G:$G,Neutral!$A37,Data!$DJ:$DJ)+'Rate History'!$D$20*SUMIF(Data!$G:$G,Neutral!$A37,Data!$DK:$DK)+'Rate History'!$D$21*SUMIF(Data!$G:$G,Neutral!$A37,Data!$DL:$DL)+'Rate History'!$D$22*SUMIF(Data!$G:$G,Neutral!$A37,Data!$DM:$DM)+'Rate History'!$D$23*SUMIF(Data!$G:$G,Neutral!$A37,Data!$DN:$DN)+'Rate History'!$D$24*SUMIF(Data!$G:$G,Neutral!$A37,Data!$DO:$DO)+'Rate History'!$D$25*SUMIF(Data!$G:$G,Neutral!$A37,Data!$DP:$DP)+'Rate History'!$D$26*SUMIF(Data!$G:$G,Neutral!$A37,Data!$DQ:$DQ)+'Rate History'!$D$27*SUMIF(Data!$G:$G,Neutral!$A37,Data!$DR:$DR)+'Rate History'!$D$28*SUMIF(Data!$G:$G,Neutral!$A37,Data!$DS:$DS)+'Rate History'!$D$29*SUMIF(Data!$G:$G,Neutral!$A37,Data!$DT:$DT)+'Rate History'!$D$30*SUMIF(Data!$G:$G,Neutral!$A37,Data!$DV:$DV)+'Rate History'!$D$31*SUMIF(Data!$G:$G,Neutral!$A37,Data!$DW:$DW))</f>
        <v>9193531.9989149366</v>
      </c>
      <c r="C37" s="113">
        <f>$C$5*('Rate History'!$C$4*SUMIF(Data!$G:$G,Neutral!$A37,Data!$CU:$CU)+'Rate History'!$C$5*SUMIF(Data!$G:$G,Neutral!$A37,Data!$CV:$CV)+'Rate History'!$C$6*SUMIF(Data!$G:$G,Neutral!$A37,Data!$CW:$CW)+'Rate History'!$C$7*SUMIF(Data!$G:$G,Neutral!$A37,Data!$CX:$CX)+'Rate History'!$C$8*SUMIF(Data!$G:$G,Neutral!$A37,Data!$CY:$CY)+'Rate History'!$C$9*SUMIF(Data!$G:$G,Neutral!$A37,Data!$CZ:$CZ)+'Rate History'!$C$10*SUMIF(Data!$G:$G,Neutral!$A37,Data!$DA:$DA)+'Rate History'!$C$11*SUMIF(Data!$G:$G,Neutral!$A37,Data!$DB:$DB)+'Rate History'!$C$12*SUMIF(Data!$G:$G,Neutral!$A37,Data!$DC:$DC)+'Rate History'!$C$13*SUMIF(Data!$G:$G,Neutral!$A37,Data!$DD:$DD)+'Rate History'!$C$14*SUMIF(Data!$G:$G,Neutral!$A37,Data!$DE:$DE)+'Rate History'!$C$15*SUMIF(Data!$G:$G,Neutral!$A37,Data!$DF:$DF)+'Rate History'!$C$16*SUMIF(Data!$G:$G,Neutral!$A37,Data!$DG:$DG)+'Rate History'!$C$17*SUMIF(Data!$G:$G,Neutral!$A37,Data!$DH:$DH)+'Rate History'!$C$18*SUMIF(Data!$G:$G,Neutral!$A37,Data!$DI:$DI)+'Rate History'!$C$19*SUMIF(Data!$G:$G,Neutral!$A37,Data!$DJ:$DJ)+'Rate History'!$C$20*SUMIF(Data!$G:$G,Neutral!$A37,Data!$DK:$DK)+'Rate History'!$C$21*SUMIF(Data!$G:$G,Neutral!$A37,Data!$DL:$DL)+'Rate History'!$C$22*SUMIF(Data!$G:$G,Neutral!$A37,Data!$DM:$DM)+'Rate History'!$C$23*SUMIF(Data!$G:$G,Neutral!$A37,Data!$DN:$DN)+'Rate History'!$C$24*SUMIF(Data!$G:$G,Neutral!$A37,Data!$DO:$DO)+'Rate History'!$C$25*SUMIF(Data!$G:$G,Neutral!$A37,Data!$DP:$DP)+'Rate History'!$C$26*SUMIF(Data!$G:$G,Neutral!$A37,Data!$DQ:$DQ)+'Rate History'!$C$27*SUMIF(Data!$G:$G,Neutral!$A37,Data!$DR:$DR)+'Rate History'!$C$28*SUMIF(Data!$G:$G,Neutral!$A37,Data!$DS:$DS)+'Rate History'!$C$29*SUMIF(Data!$G:$G,Neutral!$A37,Data!$DT:$DT)+'Rate History'!$C$30*SUMIF(Data!$G:$G,Neutral!$A37,Data!$DV:$DV)+'Rate History'!$C$31*SUMIF(Data!$G:$G,Neutral!$A37,Data!$DW:$DW))</f>
        <v>9149404.2984687388</v>
      </c>
      <c r="D37" s="98">
        <f t="shared" si="1"/>
        <v>-44127.700446197763</v>
      </c>
      <c r="E37" s="100">
        <f t="shared" si="0"/>
        <v>-4.7998636923661025E-3</v>
      </c>
    </row>
    <row r="38" spans="1:5" x14ac:dyDescent="0.25">
      <c r="A38" s="93" t="s">
        <v>389</v>
      </c>
      <c r="B38" s="113">
        <f>$B$5*('Rate History'!$D$4*SUMIF(Data!$G:$G,Neutral!$A38,Data!$CU:$CU)+'Rate History'!$D$5*SUMIF(Data!$G:$G,Neutral!$A38,Data!$CV:$CV)+'Rate History'!$D$6*SUMIF(Data!$G:$G,Neutral!$A38,Data!$CW:$CW)+'Rate History'!$D$7*SUMIF(Data!$G:$G,Neutral!$A38,Data!$CX:$CX)+'Rate History'!$D$8*SUMIF(Data!$G:$G,Neutral!$A38,Data!$CY:$CY)+'Rate History'!$D$9*SUMIF(Data!$G:$G,Neutral!$A38,Data!$CZ:$CZ)+'Rate History'!$D$10*SUMIF(Data!$G:$G,Neutral!$A38,Data!$DA:$DA)+'Rate History'!$D$11*SUMIF(Data!$G:$G,Neutral!$A38,Data!$DB:$DB)+'Rate History'!$D$12*SUMIF(Data!$G:$G,Neutral!$A38,Data!$DC:$DC)+'Rate History'!$D$13*SUMIF(Data!$G:$G,Neutral!$A38,Data!$DD:$DD)+'Rate History'!$D$14*SUMIF(Data!$G:$G,Neutral!$A38,Data!$DE:$DE)+'Rate History'!$D$15*SUMIF(Data!$G:$G,Neutral!$A38,Data!$DF:$DF)+'Rate History'!$D$16*SUMIF(Data!$G:$G,Neutral!$A38,Data!$DG:$DG)+'Rate History'!$D$17*SUMIF(Data!$G:$G,Neutral!$A38,Data!$DH:$DH)+'Rate History'!$D$18*SUMIF(Data!$G:$G,Neutral!$A38,Data!$DI:$DI)+'Rate History'!$D$19*SUMIF(Data!$G:$G,Neutral!$A38,Data!$DJ:$DJ)+'Rate History'!$D$20*SUMIF(Data!$G:$G,Neutral!$A38,Data!$DK:$DK)+'Rate History'!$D$21*SUMIF(Data!$G:$G,Neutral!$A38,Data!$DL:$DL)+'Rate History'!$D$22*SUMIF(Data!$G:$G,Neutral!$A38,Data!$DM:$DM)+'Rate History'!$D$23*SUMIF(Data!$G:$G,Neutral!$A38,Data!$DN:$DN)+'Rate History'!$D$24*SUMIF(Data!$G:$G,Neutral!$A38,Data!$DO:$DO)+'Rate History'!$D$25*SUMIF(Data!$G:$G,Neutral!$A38,Data!$DP:$DP)+'Rate History'!$D$26*SUMIF(Data!$G:$G,Neutral!$A38,Data!$DQ:$DQ)+'Rate History'!$D$27*SUMIF(Data!$G:$G,Neutral!$A38,Data!$DR:$DR)+'Rate History'!$D$28*SUMIF(Data!$G:$G,Neutral!$A38,Data!$DS:$DS)+'Rate History'!$D$29*SUMIF(Data!$G:$G,Neutral!$A38,Data!$DT:$DT)+'Rate History'!$D$30*SUMIF(Data!$G:$G,Neutral!$A38,Data!$DV:$DV)+'Rate History'!$D$31*SUMIF(Data!$G:$G,Neutral!$A38,Data!$DW:$DW))</f>
        <v>3421617.0756773674</v>
      </c>
      <c r="C38" s="113">
        <f>$C$5*('Rate History'!$C$4*SUMIF(Data!$G:$G,Neutral!$A38,Data!$CU:$CU)+'Rate History'!$C$5*SUMIF(Data!$G:$G,Neutral!$A38,Data!$CV:$CV)+'Rate History'!$C$6*SUMIF(Data!$G:$G,Neutral!$A38,Data!$CW:$CW)+'Rate History'!$C$7*SUMIF(Data!$G:$G,Neutral!$A38,Data!$CX:$CX)+'Rate History'!$C$8*SUMIF(Data!$G:$G,Neutral!$A38,Data!$CY:$CY)+'Rate History'!$C$9*SUMIF(Data!$G:$G,Neutral!$A38,Data!$CZ:$CZ)+'Rate History'!$C$10*SUMIF(Data!$G:$G,Neutral!$A38,Data!$DA:$DA)+'Rate History'!$C$11*SUMIF(Data!$G:$G,Neutral!$A38,Data!$DB:$DB)+'Rate History'!$C$12*SUMIF(Data!$G:$G,Neutral!$A38,Data!$DC:$DC)+'Rate History'!$C$13*SUMIF(Data!$G:$G,Neutral!$A38,Data!$DD:$DD)+'Rate History'!$C$14*SUMIF(Data!$G:$G,Neutral!$A38,Data!$DE:$DE)+'Rate History'!$C$15*SUMIF(Data!$G:$G,Neutral!$A38,Data!$DF:$DF)+'Rate History'!$C$16*SUMIF(Data!$G:$G,Neutral!$A38,Data!$DG:$DG)+'Rate History'!$C$17*SUMIF(Data!$G:$G,Neutral!$A38,Data!$DH:$DH)+'Rate History'!$C$18*SUMIF(Data!$G:$G,Neutral!$A38,Data!$DI:$DI)+'Rate History'!$C$19*SUMIF(Data!$G:$G,Neutral!$A38,Data!$DJ:$DJ)+'Rate History'!$C$20*SUMIF(Data!$G:$G,Neutral!$A38,Data!$DK:$DK)+'Rate History'!$C$21*SUMIF(Data!$G:$G,Neutral!$A38,Data!$DL:$DL)+'Rate History'!$C$22*SUMIF(Data!$G:$G,Neutral!$A38,Data!$DM:$DM)+'Rate History'!$C$23*SUMIF(Data!$G:$G,Neutral!$A38,Data!$DN:$DN)+'Rate History'!$C$24*SUMIF(Data!$G:$G,Neutral!$A38,Data!$DO:$DO)+'Rate History'!$C$25*SUMIF(Data!$G:$G,Neutral!$A38,Data!$DP:$DP)+'Rate History'!$C$26*SUMIF(Data!$G:$G,Neutral!$A38,Data!$DQ:$DQ)+'Rate History'!$C$27*SUMIF(Data!$G:$G,Neutral!$A38,Data!$DR:$DR)+'Rate History'!$C$28*SUMIF(Data!$G:$G,Neutral!$A38,Data!$DS:$DS)+'Rate History'!$C$29*SUMIF(Data!$G:$G,Neutral!$A38,Data!$DT:$DT)+'Rate History'!$C$30*SUMIF(Data!$G:$G,Neutral!$A38,Data!$DV:$DV)+'Rate History'!$C$31*SUMIF(Data!$G:$G,Neutral!$A38,Data!$DW:$DW))</f>
        <v>3394133.4002492791</v>
      </c>
      <c r="D38" s="98">
        <f t="shared" si="1"/>
        <v>-27483.675428088289</v>
      </c>
      <c r="E38" s="100">
        <f t="shared" si="0"/>
        <v>-8.0323644698457163E-3</v>
      </c>
    </row>
    <row r="39" spans="1:5" x14ac:dyDescent="0.25">
      <c r="A39" s="93" t="s">
        <v>391</v>
      </c>
      <c r="B39" s="113">
        <f>$B$5*('Rate History'!$D$4*SUMIF(Data!$G:$G,Neutral!$A39,Data!$CU:$CU)+'Rate History'!$D$5*SUMIF(Data!$G:$G,Neutral!$A39,Data!$CV:$CV)+'Rate History'!$D$6*SUMIF(Data!$G:$G,Neutral!$A39,Data!$CW:$CW)+'Rate History'!$D$7*SUMIF(Data!$G:$G,Neutral!$A39,Data!$CX:$CX)+'Rate History'!$D$8*SUMIF(Data!$G:$G,Neutral!$A39,Data!$CY:$CY)+'Rate History'!$D$9*SUMIF(Data!$G:$G,Neutral!$A39,Data!$CZ:$CZ)+'Rate History'!$D$10*SUMIF(Data!$G:$G,Neutral!$A39,Data!$DA:$DA)+'Rate History'!$D$11*SUMIF(Data!$G:$G,Neutral!$A39,Data!$DB:$DB)+'Rate History'!$D$12*SUMIF(Data!$G:$G,Neutral!$A39,Data!$DC:$DC)+'Rate History'!$D$13*SUMIF(Data!$G:$G,Neutral!$A39,Data!$DD:$DD)+'Rate History'!$D$14*SUMIF(Data!$G:$G,Neutral!$A39,Data!$DE:$DE)+'Rate History'!$D$15*SUMIF(Data!$G:$G,Neutral!$A39,Data!$DF:$DF)+'Rate History'!$D$16*SUMIF(Data!$G:$G,Neutral!$A39,Data!$DG:$DG)+'Rate History'!$D$17*SUMIF(Data!$G:$G,Neutral!$A39,Data!$DH:$DH)+'Rate History'!$D$18*SUMIF(Data!$G:$G,Neutral!$A39,Data!$DI:$DI)+'Rate History'!$D$19*SUMIF(Data!$G:$G,Neutral!$A39,Data!$DJ:$DJ)+'Rate History'!$D$20*SUMIF(Data!$G:$G,Neutral!$A39,Data!$DK:$DK)+'Rate History'!$D$21*SUMIF(Data!$G:$G,Neutral!$A39,Data!$DL:$DL)+'Rate History'!$D$22*SUMIF(Data!$G:$G,Neutral!$A39,Data!$DM:$DM)+'Rate History'!$D$23*SUMIF(Data!$G:$G,Neutral!$A39,Data!$DN:$DN)+'Rate History'!$D$24*SUMIF(Data!$G:$G,Neutral!$A39,Data!$DO:$DO)+'Rate History'!$D$25*SUMIF(Data!$G:$G,Neutral!$A39,Data!$DP:$DP)+'Rate History'!$D$26*SUMIF(Data!$G:$G,Neutral!$A39,Data!$DQ:$DQ)+'Rate History'!$D$27*SUMIF(Data!$G:$G,Neutral!$A39,Data!$DR:$DR)+'Rate History'!$D$28*SUMIF(Data!$G:$G,Neutral!$A39,Data!$DS:$DS)+'Rate History'!$D$29*SUMIF(Data!$G:$G,Neutral!$A39,Data!$DT:$DT)+'Rate History'!$D$30*SUMIF(Data!$G:$G,Neutral!$A39,Data!$DV:$DV)+'Rate History'!$D$31*SUMIF(Data!$G:$G,Neutral!$A39,Data!$DW:$DW))</f>
        <v>7583107.4451711169</v>
      </c>
      <c r="C39" s="113">
        <f>$C$5*('Rate History'!$C$4*SUMIF(Data!$G:$G,Neutral!$A39,Data!$CU:$CU)+'Rate History'!$C$5*SUMIF(Data!$G:$G,Neutral!$A39,Data!$CV:$CV)+'Rate History'!$C$6*SUMIF(Data!$G:$G,Neutral!$A39,Data!$CW:$CW)+'Rate History'!$C$7*SUMIF(Data!$G:$G,Neutral!$A39,Data!$CX:$CX)+'Rate History'!$C$8*SUMIF(Data!$G:$G,Neutral!$A39,Data!$CY:$CY)+'Rate History'!$C$9*SUMIF(Data!$G:$G,Neutral!$A39,Data!$CZ:$CZ)+'Rate History'!$C$10*SUMIF(Data!$G:$G,Neutral!$A39,Data!$DA:$DA)+'Rate History'!$C$11*SUMIF(Data!$G:$G,Neutral!$A39,Data!$DB:$DB)+'Rate History'!$C$12*SUMIF(Data!$G:$G,Neutral!$A39,Data!$DC:$DC)+'Rate History'!$C$13*SUMIF(Data!$G:$G,Neutral!$A39,Data!$DD:$DD)+'Rate History'!$C$14*SUMIF(Data!$G:$G,Neutral!$A39,Data!$DE:$DE)+'Rate History'!$C$15*SUMIF(Data!$G:$G,Neutral!$A39,Data!$DF:$DF)+'Rate History'!$C$16*SUMIF(Data!$G:$G,Neutral!$A39,Data!$DG:$DG)+'Rate History'!$C$17*SUMIF(Data!$G:$G,Neutral!$A39,Data!$DH:$DH)+'Rate History'!$C$18*SUMIF(Data!$G:$G,Neutral!$A39,Data!$DI:$DI)+'Rate History'!$C$19*SUMIF(Data!$G:$G,Neutral!$A39,Data!$DJ:$DJ)+'Rate History'!$C$20*SUMIF(Data!$G:$G,Neutral!$A39,Data!$DK:$DK)+'Rate History'!$C$21*SUMIF(Data!$G:$G,Neutral!$A39,Data!$DL:$DL)+'Rate History'!$C$22*SUMIF(Data!$G:$G,Neutral!$A39,Data!$DM:$DM)+'Rate History'!$C$23*SUMIF(Data!$G:$G,Neutral!$A39,Data!$DN:$DN)+'Rate History'!$C$24*SUMIF(Data!$G:$G,Neutral!$A39,Data!$DO:$DO)+'Rate History'!$C$25*SUMIF(Data!$G:$G,Neutral!$A39,Data!$DP:$DP)+'Rate History'!$C$26*SUMIF(Data!$G:$G,Neutral!$A39,Data!$DQ:$DQ)+'Rate History'!$C$27*SUMIF(Data!$G:$G,Neutral!$A39,Data!$DR:$DR)+'Rate History'!$C$28*SUMIF(Data!$G:$G,Neutral!$A39,Data!$DS:$DS)+'Rate History'!$C$29*SUMIF(Data!$G:$G,Neutral!$A39,Data!$DT:$DT)+'Rate History'!$C$30*SUMIF(Data!$G:$G,Neutral!$A39,Data!$DV:$DV)+'Rate History'!$C$31*SUMIF(Data!$G:$G,Neutral!$A39,Data!$DW:$DW))</f>
        <v>7595504.329446638</v>
      </c>
      <c r="D39" s="98">
        <f t="shared" si="1"/>
        <v>12396.884275521152</v>
      </c>
      <c r="E39" s="100">
        <f t="shared" si="0"/>
        <v>1.6348026670010357E-3</v>
      </c>
    </row>
    <row r="40" spans="1:5" x14ac:dyDescent="0.25">
      <c r="A40" s="93" t="s">
        <v>393</v>
      </c>
      <c r="B40" s="113">
        <f>$B$5*('Rate History'!$D$4*SUMIF(Data!$G:$G,Neutral!$A40,Data!$CU:$CU)+'Rate History'!$D$5*SUMIF(Data!$G:$G,Neutral!$A40,Data!$CV:$CV)+'Rate History'!$D$6*SUMIF(Data!$G:$G,Neutral!$A40,Data!$CW:$CW)+'Rate History'!$D$7*SUMIF(Data!$G:$G,Neutral!$A40,Data!$CX:$CX)+'Rate History'!$D$8*SUMIF(Data!$G:$G,Neutral!$A40,Data!$CY:$CY)+'Rate History'!$D$9*SUMIF(Data!$G:$G,Neutral!$A40,Data!$CZ:$CZ)+'Rate History'!$D$10*SUMIF(Data!$G:$G,Neutral!$A40,Data!$DA:$DA)+'Rate History'!$D$11*SUMIF(Data!$G:$G,Neutral!$A40,Data!$DB:$DB)+'Rate History'!$D$12*SUMIF(Data!$G:$G,Neutral!$A40,Data!$DC:$DC)+'Rate History'!$D$13*SUMIF(Data!$G:$G,Neutral!$A40,Data!$DD:$DD)+'Rate History'!$D$14*SUMIF(Data!$G:$G,Neutral!$A40,Data!$DE:$DE)+'Rate History'!$D$15*SUMIF(Data!$G:$G,Neutral!$A40,Data!$DF:$DF)+'Rate History'!$D$16*SUMIF(Data!$G:$G,Neutral!$A40,Data!$DG:$DG)+'Rate History'!$D$17*SUMIF(Data!$G:$G,Neutral!$A40,Data!$DH:$DH)+'Rate History'!$D$18*SUMIF(Data!$G:$G,Neutral!$A40,Data!$DI:$DI)+'Rate History'!$D$19*SUMIF(Data!$G:$G,Neutral!$A40,Data!$DJ:$DJ)+'Rate History'!$D$20*SUMIF(Data!$G:$G,Neutral!$A40,Data!$DK:$DK)+'Rate History'!$D$21*SUMIF(Data!$G:$G,Neutral!$A40,Data!$DL:$DL)+'Rate History'!$D$22*SUMIF(Data!$G:$G,Neutral!$A40,Data!$DM:$DM)+'Rate History'!$D$23*SUMIF(Data!$G:$G,Neutral!$A40,Data!$DN:$DN)+'Rate History'!$D$24*SUMIF(Data!$G:$G,Neutral!$A40,Data!$DO:$DO)+'Rate History'!$D$25*SUMIF(Data!$G:$G,Neutral!$A40,Data!$DP:$DP)+'Rate History'!$D$26*SUMIF(Data!$G:$G,Neutral!$A40,Data!$DQ:$DQ)+'Rate History'!$D$27*SUMIF(Data!$G:$G,Neutral!$A40,Data!$DR:$DR)+'Rate History'!$D$28*SUMIF(Data!$G:$G,Neutral!$A40,Data!$DS:$DS)+'Rate History'!$D$29*SUMIF(Data!$G:$G,Neutral!$A40,Data!$DT:$DT)+'Rate History'!$D$30*SUMIF(Data!$G:$G,Neutral!$A40,Data!$DV:$DV)+'Rate History'!$D$31*SUMIF(Data!$G:$G,Neutral!$A40,Data!$DW:$DW))</f>
        <v>1597880.5695678261</v>
      </c>
      <c r="C40" s="113">
        <f>$C$5*('Rate History'!$C$4*SUMIF(Data!$G:$G,Neutral!$A40,Data!$CU:$CU)+'Rate History'!$C$5*SUMIF(Data!$G:$G,Neutral!$A40,Data!$CV:$CV)+'Rate History'!$C$6*SUMIF(Data!$G:$G,Neutral!$A40,Data!$CW:$CW)+'Rate History'!$C$7*SUMIF(Data!$G:$G,Neutral!$A40,Data!$CX:$CX)+'Rate History'!$C$8*SUMIF(Data!$G:$G,Neutral!$A40,Data!$CY:$CY)+'Rate History'!$C$9*SUMIF(Data!$G:$G,Neutral!$A40,Data!$CZ:$CZ)+'Rate History'!$C$10*SUMIF(Data!$G:$G,Neutral!$A40,Data!$DA:$DA)+'Rate History'!$C$11*SUMIF(Data!$G:$G,Neutral!$A40,Data!$DB:$DB)+'Rate History'!$C$12*SUMIF(Data!$G:$G,Neutral!$A40,Data!$DC:$DC)+'Rate History'!$C$13*SUMIF(Data!$G:$G,Neutral!$A40,Data!$DD:$DD)+'Rate History'!$C$14*SUMIF(Data!$G:$G,Neutral!$A40,Data!$DE:$DE)+'Rate History'!$C$15*SUMIF(Data!$G:$G,Neutral!$A40,Data!$DF:$DF)+'Rate History'!$C$16*SUMIF(Data!$G:$G,Neutral!$A40,Data!$DG:$DG)+'Rate History'!$C$17*SUMIF(Data!$G:$G,Neutral!$A40,Data!$DH:$DH)+'Rate History'!$C$18*SUMIF(Data!$G:$G,Neutral!$A40,Data!$DI:$DI)+'Rate History'!$C$19*SUMIF(Data!$G:$G,Neutral!$A40,Data!$DJ:$DJ)+'Rate History'!$C$20*SUMIF(Data!$G:$G,Neutral!$A40,Data!$DK:$DK)+'Rate History'!$C$21*SUMIF(Data!$G:$G,Neutral!$A40,Data!$DL:$DL)+'Rate History'!$C$22*SUMIF(Data!$G:$G,Neutral!$A40,Data!$DM:$DM)+'Rate History'!$C$23*SUMIF(Data!$G:$G,Neutral!$A40,Data!$DN:$DN)+'Rate History'!$C$24*SUMIF(Data!$G:$G,Neutral!$A40,Data!$DO:$DO)+'Rate History'!$C$25*SUMIF(Data!$G:$G,Neutral!$A40,Data!$DP:$DP)+'Rate History'!$C$26*SUMIF(Data!$G:$G,Neutral!$A40,Data!$DQ:$DQ)+'Rate History'!$C$27*SUMIF(Data!$G:$G,Neutral!$A40,Data!$DR:$DR)+'Rate History'!$C$28*SUMIF(Data!$G:$G,Neutral!$A40,Data!$DS:$DS)+'Rate History'!$C$29*SUMIF(Data!$G:$G,Neutral!$A40,Data!$DT:$DT)+'Rate History'!$C$30*SUMIF(Data!$G:$G,Neutral!$A40,Data!$DV:$DV)+'Rate History'!$C$31*SUMIF(Data!$G:$G,Neutral!$A40,Data!$DW:$DW))</f>
        <v>1588224.9272481229</v>
      </c>
      <c r="D40" s="98">
        <f t="shared" si="1"/>
        <v>-9655.6423197032418</v>
      </c>
      <c r="E40" s="100">
        <f t="shared" si="0"/>
        <v>-6.042780983509158E-3</v>
      </c>
    </row>
    <row r="41" spans="1:5" x14ac:dyDescent="0.25">
      <c r="A41" s="93" t="s">
        <v>397</v>
      </c>
      <c r="B41" s="113">
        <f>$B$5*('Rate History'!$D$4*SUMIF(Data!$G:$G,Neutral!$A41,Data!$CU:$CU)+'Rate History'!$D$5*SUMIF(Data!$G:$G,Neutral!$A41,Data!$CV:$CV)+'Rate History'!$D$6*SUMIF(Data!$G:$G,Neutral!$A41,Data!$CW:$CW)+'Rate History'!$D$7*SUMIF(Data!$G:$G,Neutral!$A41,Data!$CX:$CX)+'Rate History'!$D$8*SUMIF(Data!$G:$G,Neutral!$A41,Data!$CY:$CY)+'Rate History'!$D$9*SUMIF(Data!$G:$G,Neutral!$A41,Data!$CZ:$CZ)+'Rate History'!$D$10*SUMIF(Data!$G:$G,Neutral!$A41,Data!$DA:$DA)+'Rate History'!$D$11*SUMIF(Data!$G:$G,Neutral!$A41,Data!$DB:$DB)+'Rate History'!$D$12*SUMIF(Data!$G:$G,Neutral!$A41,Data!$DC:$DC)+'Rate History'!$D$13*SUMIF(Data!$G:$G,Neutral!$A41,Data!$DD:$DD)+'Rate History'!$D$14*SUMIF(Data!$G:$G,Neutral!$A41,Data!$DE:$DE)+'Rate History'!$D$15*SUMIF(Data!$G:$G,Neutral!$A41,Data!$DF:$DF)+'Rate History'!$D$16*SUMIF(Data!$G:$G,Neutral!$A41,Data!$DG:$DG)+'Rate History'!$D$17*SUMIF(Data!$G:$G,Neutral!$A41,Data!$DH:$DH)+'Rate History'!$D$18*SUMIF(Data!$G:$G,Neutral!$A41,Data!$DI:$DI)+'Rate History'!$D$19*SUMIF(Data!$G:$G,Neutral!$A41,Data!$DJ:$DJ)+'Rate History'!$D$20*SUMIF(Data!$G:$G,Neutral!$A41,Data!$DK:$DK)+'Rate History'!$D$21*SUMIF(Data!$G:$G,Neutral!$A41,Data!$DL:$DL)+'Rate History'!$D$22*SUMIF(Data!$G:$G,Neutral!$A41,Data!$DM:$DM)+'Rate History'!$D$23*SUMIF(Data!$G:$G,Neutral!$A41,Data!$DN:$DN)+'Rate History'!$D$24*SUMIF(Data!$G:$G,Neutral!$A41,Data!$DO:$DO)+'Rate History'!$D$25*SUMIF(Data!$G:$G,Neutral!$A41,Data!$DP:$DP)+'Rate History'!$D$26*SUMIF(Data!$G:$G,Neutral!$A41,Data!$DQ:$DQ)+'Rate History'!$D$27*SUMIF(Data!$G:$G,Neutral!$A41,Data!$DR:$DR)+'Rate History'!$D$28*SUMIF(Data!$G:$G,Neutral!$A41,Data!$DS:$DS)+'Rate History'!$D$29*SUMIF(Data!$G:$G,Neutral!$A41,Data!$DT:$DT)+'Rate History'!$D$30*SUMIF(Data!$G:$G,Neutral!$A41,Data!$DV:$DV)+'Rate History'!$D$31*SUMIF(Data!$G:$G,Neutral!$A41,Data!$DW:$DW))</f>
        <v>35109433.450791299</v>
      </c>
      <c r="C41" s="113">
        <f>$C$5*('Rate History'!$C$4*SUMIF(Data!$G:$G,Neutral!$A41,Data!$CU:$CU)+'Rate History'!$C$5*SUMIF(Data!$G:$G,Neutral!$A41,Data!$CV:$CV)+'Rate History'!$C$6*SUMIF(Data!$G:$G,Neutral!$A41,Data!$CW:$CW)+'Rate History'!$C$7*SUMIF(Data!$G:$G,Neutral!$A41,Data!$CX:$CX)+'Rate History'!$C$8*SUMIF(Data!$G:$G,Neutral!$A41,Data!$CY:$CY)+'Rate History'!$C$9*SUMIF(Data!$G:$G,Neutral!$A41,Data!$CZ:$CZ)+'Rate History'!$C$10*SUMIF(Data!$G:$G,Neutral!$A41,Data!$DA:$DA)+'Rate History'!$C$11*SUMIF(Data!$G:$G,Neutral!$A41,Data!$DB:$DB)+'Rate History'!$C$12*SUMIF(Data!$G:$G,Neutral!$A41,Data!$DC:$DC)+'Rate History'!$C$13*SUMIF(Data!$G:$G,Neutral!$A41,Data!$DD:$DD)+'Rate History'!$C$14*SUMIF(Data!$G:$G,Neutral!$A41,Data!$DE:$DE)+'Rate History'!$C$15*SUMIF(Data!$G:$G,Neutral!$A41,Data!$DF:$DF)+'Rate History'!$C$16*SUMIF(Data!$G:$G,Neutral!$A41,Data!$DG:$DG)+'Rate History'!$C$17*SUMIF(Data!$G:$G,Neutral!$A41,Data!$DH:$DH)+'Rate History'!$C$18*SUMIF(Data!$G:$G,Neutral!$A41,Data!$DI:$DI)+'Rate History'!$C$19*SUMIF(Data!$G:$G,Neutral!$A41,Data!$DJ:$DJ)+'Rate History'!$C$20*SUMIF(Data!$G:$G,Neutral!$A41,Data!$DK:$DK)+'Rate History'!$C$21*SUMIF(Data!$G:$G,Neutral!$A41,Data!$DL:$DL)+'Rate History'!$C$22*SUMIF(Data!$G:$G,Neutral!$A41,Data!$DM:$DM)+'Rate History'!$C$23*SUMIF(Data!$G:$G,Neutral!$A41,Data!$DN:$DN)+'Rate History'!$C$24*SUMIF(Data!$G:$G,Neutral!$A41,Data!$DO:$DO)+'Rate History'!$C$25*SUMIF(Data!$G:$G,Neutral!$A41,Data!$DP:$DP)+'Rate History'!$C$26*SUMIF(Data!$G:$G,Neutral!$A41,Data!$DQ:$DQ)+'Rate History'!$C$27*SUMIF(Data!$G:$G,Neutral!$A41,Data!$DR:$DR)+'Rate History'!$C$28*SUMIF(Data!$G:$G,Neutral!$A41,Data!$DS:$DS)+'Rate History'!$C$29*SUMIF(Data!$G:$G,Neutral!$A41,Data!$DT:$DT)+'Rate History'!$C$30*SUMIF(Data!$G:$G,Neutral!$A41,Data!$DV:$DV)+'Rate History'!$C$31*SUMIF(Data!$G:$G,Neutral!$A41,Data!$DW:$DW))</f>
        <v>35069509.897006549</v>
      </c>
      <c r="D41" s="98">
        <f t="shared" si="1"/>
        <v>-39923.553784750402</v>
      </c>
      <c r="E41" s="100">
        <f t="shared" si="0"/>
        <v>-1.1371175738482502E-3</v>
      </c>
    </row>
    <row r="42" spans="1:5" x14ac:dyDescent="0.25">
      <c r="A42" s="93" t="s">
        <v>399</v>
      </c>
      <c r="B42" s="113">
        <f>$B$5*('Rate History'!$D$4*SUMIF(Data!$G:$G,Neutral!$A42,Data!$CU:$CU)+'Rate History'!$D$5*SUMIF(Data!$G:$G,Neutral!$A42,Data!$CV:$CV)+'Rate History'!$D$6*SUMIF(Data!$G:$G,Neutral!$A42,Data!$CW:$CW)+'Rate History'!$D$7*SUMIF(Data!$G:$G,Neutral!$A42,Data!$CX:$CX)+'Rate History'!$D$8*SUMIF(Data!$G:$G,Neutral!$A42,Data!$CY:$CY)+'Rate History'!$D$9*SUMIF(Data!$G:$G,Neutral!$A42,Data!$CZ:$CZ)+'Rate History'!$D$10*SUMIF(Data!$G:$G,Neutral!$A42,Data!$DA:$DA)+'Rate History'!$D$11*SUMIF(Data!$G:$G,Neutral!$A42,Data!$DB:$DB)+'Rate History'!$D$12*SUMIF(Data!$G:$G,Neutral!$A42,Data!$DC:$DC)+'Rate History'!$D$13*SUMIF(Data!$G:$G,Neutral!$A42,Data!$DD:$DD)+'Rate History'!$D$14*SUMIF(Data!$G:$G,Neutral!$A42,Data!$DE:$DE)+'Rate History'!$D$15*SUMIF(Data!$G:$G,Neutral!$A42,Data!$DF:$DF)+'Rate History'!$D$16*SUMIF(Data!$G:$G,Neutral!$A42,Data!$DG:$DG)+'Rate History'!$D$17*SUMIF(Data!$G:$G,Neutral!$A42,Data!$DH:$DH)+'Rate History'!$D$18*SUMIF(Data!$G:$G,Neutral!$A42,Data!$DI:$DI)+'Rate History'!$D$19*SUMIF(Data!$G:$G,Neutral!$A42,Data!$DJ:$DJ)+'Rate History'!$D$20*SUMIF(Data!$G:$G,Neutral!$A42,Data!$DK:$DK)+'Rate History'!$D$21*SUMIF(Data!$G:$G,Neutral!$A42,Data!$DL:$DL)+'Rate History'!$D$22*SUMIF(Data!$G:$G,Neutral!$A42,Data!$DM:$DM)+'Rate History'!$D$23*SUMIF(Data!$G:$G,Neutral!$A42,Data!$DN:$DN)+'Rate History'!$D$24*SUMIF(Data!$G:$G,Neutral!$A42,Data!$DO:$DO)+'Rate History'!$D$25*SUMIF(Data!$G:$G,Neutral!$A42,Data!$DP:$DP)+'Rate History'!$D$26*SUMIF(Data!$G:$G,Neutral!$A42,Data!$DQ:$DQ)+'Rate History'!$D$27*SUMIF(Data!$G:$G,Neutral!$A42,Data!$DR:$DR)+'Rate History'!$D$28*SUMIF(Data!$G:$G,Neutral!$A42,Data!$DS:$DS)+'Rate History'!$D$29*SUMIF(Data!$G:$G,Neutral!$A42,Data!$DT:$DT)+'Rate History'!$D$30*SUMIF(Data!$G:$G,Neutral!$A42,Data!$DV:$DV)+'Rate History'!$D$31*SUMIF(Data!$G:$G,Neutral!$A42,Data!$DW:$DW))</f>
        <v>14219152.792662105</v>
      </c>
      <c r="C42" s="113">
        <f>$C$5*('Rate History'!$C$4*SUMIF(Data!$G:$G,Neutral!$A42,Data!$CU:$CU)+'Rate History'!$C$5*SUMIF(Data!$G:$G,Neutral!$A42,Data!$CV:$CV)+'Rate History'!$C$6*SUMIF(Data!$G:$G,Neutral!$A42,Data!$CW:$CW)+'Rate History'!$C$7*SUMIF(Data!$G:$G,Neutral!$A42,Data!$CX:$CX)+'Rate History'!$C$8*SUMIF(Data!$G:$G,Neutral!$A42,Data!$CY:$CY)+'Rate History'!$C$9*SUMIF(Data!$G:$G,Neutral!$A42,Data!$CZ:$CZ)+'Rate History'!$C$10*SUMIF(Data!$G:$G,Neutral!$A42,Data!$DA:$DA)+'Rate History'!$C$11*SUMIF(Data!$G:$G,Neutral!$A42,Data!$DB:$DB)+'Rate History'!$C$12*SUMIF(Data!$G:$G,Neutral!$A42,Data!$DC:$DC)+'Rate History'!$C$13*SUMIF(Data!$G:$G,Neutral!$A42,Data!$DD:$DD)+'Rate History'!$C$14*SUMIF(Data!$G:$G,Neutral!$A42,Data!$DE:$DE)+'Rate History'!$C$15*SUMIF(Data!$G:$G,Neutral!$A42,Data!$DF:$DF)+'Rate History'!$C$16*SUMIF(Data!$G:$G,Neutral!$A42,Data!$DG:$DG)+'Rate History'!$C$17*SUMIF(Data!$G:$G,Neutral!$A42,Data!$DH:$DH)+'Rate History'!$C$18*SUMIF(Data!$G:$G,Neutral!$A42,Data!$DI:$DI)+'Rate History'!$C$19*SUMIF(Data!$G:$G,Neutral!$A42,Data!$DJ:$DJ)+'Rate History'!$C$20*SUMIF(Data!$G:$G,Neutral!$A42,Data!$DK:$DK)+'Rate History'!$C$21*SUMIF(Data!$G:$G,Neutral!$A42,Data!$DL:$DL)+'Rate History'!$C$22*SUMIF(Data!$G:$G,Neutral!$A42,Data!$DM:$DM)+'Rate History'!$C$23*SUMIF(Data!$G:$G,Neutral!$A42,Data!$DN:$DN)+'Rate History'!$C$24*SUMIF(Data!$G:$G,Neutral!$A42,Data!$DO:$DO)+'Rate History'!$C$25*SUMIF(Data!$G:$G,Neutral!$A42,Data!$DP:$DP)+'Rate History'!$C$26*SUMIF(Data!$G:$G,Neutral!$A42,Data!$DQ:$DQ)+'Rate History'!$C$27*SUMIF(Data!$G:$G,Neutral!$A42,Data!$DR:$DR)+'Rate History'!$C$28*SUMIF(Data!$G:$G,Neutral!$A42,Data!$DS:$DS)+'Rate History'!$C$29*SUMIF(Data!$G:$G,Neutral!$A42,Data!$DT:$DT)+'Rate History'!$C$30*SUMIF(Data!$G:$G,Neutral!$A42,Data!$DV:$DV)+'Rate History'!$C$31*SUMIF(Data!$G:$G,Neutral!$A42,Data!$DW:$DW))</f>
        <v>14144216.537763514</v>
      </c>
      <c r="D42" s="98">
        <f t="shared" si="1"/>
        <v>-74936.254898590967</v>
      </c>
      <c r="E42" s="100">
        <f t="shared" si="0"/>
        <v>-5.270092810118923E-3</v>
      </c>
    </row>
    <row r="43" spans="1:5" x14ac:dyDescent="0.25">
      <c r="A43" s="93" t="s">
        <v>456</v>
      </c>
      <c r="B43" s="113">
        <f>$B$5*('Rate History'!$D$4*SUMIF(Data!$G:$G,Neutral!$A43,Data!$CU:$CU)+'Rate History'!$D$5*SUMIF(Data!$G:$G,Neutral!$A43,Data!$CV:$CV)+'Rate History'!$D$6*SUMIF(Data!$G:$G,Neutral!$A43,Data!$CW:$CW)+'Rate History'!$D$7*SUMIF(Data!$G:$G,Neutral!$A43,Data!$CX:$CX)+'Rate History'!$D$8*SUMIF(Data!$G:$G,Neutral!$A43,Data!$CY:$CY)+'Rate History'!$D$9*SUMIF(Data!$G:$G,Neutral!$A43,Data!$CZ:$CZ)+'Rate History'!$D$10*SUMIF(Data!$G:$G,Neutral!$A43,Data!$DA:$DA)+'Rate History'!$D$11*SUMIF(Data!$G:$G,Neutral!$A43,Data!$DB:$DB)+'Rate History'!$D$12*SUMIF(Data!$G:$G,Neutral!$A43,Data!$DC:$DC)+'Rate History'!$D$13*SUMIF(Data!$G:$G,Neutral!$A43,Data!$DD:$DD)+'Rate History'!$D$14*SUMIF(Data!$G:$G,Neutral!$A43,Data!$DE:$DE)+'Rate History'!$D$15*SUMIF(Data!$G:$G,Neutral!$A43,Data!$DF:$DF)+'Rate History'!$D$16*SUMIF(Data!$G:$G,Neutral!$A43,Data!$DG:$DG)+'Rate History'!$D$17*SUMIF(Data!$G:$G,Neutral!$A43,Data!$DH:$DH)+'Rate History'!$D$18*SUMIF(Data!$G:$G,Neutral!$A43,Data!$DI:$DI)+'Rate History'!$D$19*SUMIF(Data!$G:$G,Neutral!$A43,Data!$DJ:$DJ)+'Rate History'!$D$20*SUMIF(Data!$G:$G,Neutral!$A43,Data!$DK:$DK)+'Rate History'!$D$21*SUMIF(Data!$G:$G,Neutral!$A43,Data!$DL:$DL)+'Rate History'!$D$22*SUMIF(Data!$G:$G,Neutral!$A43,Data!$DM:$DM)+'Rate History'!$D$23*SUMIF(Data!$G:$G,Neutral!$A43,Data!$DN:$DN)+'Rate History'!$D$24*SUMIF(Data!$G:$G,Neutral!$A43,Data!$DO:$DO)+'Rate History'!$D$25*SUMIF(Data!$G:$G,Neutral!$A43,Data!$DP:$DP)+'Rate History'!$D$26*SUMIF(Data!$G:$G,Neutral!$A43,Data!$DQ:$DQ)+'Rate History'!$D$27*SUMIF(Data!$G:$G,Neutral!$A43,Data!$DR:$DR)+'Rate History'!$D$28*SUMIF(Data!$G:$G,Neutral!$A43,Data!$DS:$DS)+'Rate History'!$D$29*SUMIF(Data!$G:$G,Neutral!$A43,Data!$DT:$DT)+'Rate History'!$D$30*SUMIF(Data!$G:$G,Neutral!$A43,Data!$DV:$DV)+'Rate History'!$D$31*SUMIF(Data!$G:$G,Neutral!$A43,Data!$DW:$DW))</f>
        <v>21207556.196699318</v>
      </c>
      <c r="C43" s="113">
        <f>$C$5*('Rate History'!$C$4*SUMIF(Data!$G:$G,Neutral!$A43,Data!$CU:$CU)+'Rate History'!$C$5*SUMIF(Data!$G:$G,Neutral!$A43,Data!$CV:$CV)+'Rate History'!$C$6*SUMIF(Data!$G:$G,Neutral!$A43,Data!$CW:$CW)+'Rate History'!$C$7*SUMIF(Data!$G:$G,Neutral!$A43,Data!$CX:$CX)+'Rate History'!$C$8*SUMIF(Data!$G:$G,Neutral!$A43,Data!$CY:$CY)+'Rate History'!$C$9*SUMIF(Data!$G:$G,Neutral!$A43,Data!$CZ:$CZ)+'Rate History'!$C$10*SUMIF(Data!$G:$G,Neutral!$A43,Data!$DA:$DA)+'Rate History'!$C$11*SUMIF(Data!$G:$G,Neutral!$A43,Data!$DB:$DB)+'Rate History'!$C$12*SUMIF(Data!$G:$G,Neutral!$A43,Data!$DC:$DC)+'Rate History'!$C$13*SUMIF(Data!$G:$G,Neutral!$A43,Data!$DD:$DD)+'Rate History'!$C$14*SUMIF(Data!$G:$G,Neutral!$A43,Data!$DE:$DE)+'Rate History'!$C$15*SUMIF(Data!$G:$G,Neutral!$A43,Data!$DF:$DF)+'Rate History'!$C$16*SUMIF(Data!$G:$G,Neutral!$A43,Data!$DG:$DG)+'Rate History'!$C$17*SUMIF(Data!$G:$G,Neutral!$A43,Data!$DH:$DH)+'Rate History'!$C$18*SUMIF(Data!$G:$G,Neutral!$A43,Data!$DI:$DI)+'Rate History'!$C$19*SUMIF(Data!$G:$G,Neutral!$A43,Data!$DJ:$DJ)+'Rate History'!$C$20*SUMIF(Data!$G:$G,Neutral!$A43,Data!$DK:$DK)+'Rate History'!$C$21*SUMIF(Data!$G:$G,Neutral!$A43,Data!$DL:$DL)+'Rate History'!$C$22*SUMIF(Data!$G:$G,Neutral!$A43,Data!$DM:$DM)+'Rate History'!$C$23*SUMIF(Data!$G:$G,Neutral!$A43,Data!$DN:$DN)+'Rate History'!$C$24*SUMIF(Data!$G:$G,Neutral!$A43,Data!$DO:$DO)+'Rate History'!$C$25*SUMIF(Data!$G:$G,Neutral!$A43,Data!$DP:$DP)+'Rate History'!$C$26*SUMIF(Data!$G:$G,Neutral!$A43,Data!$DQ:$DQ)+'Rate History'!$C$27*SUMIF(Data!$G:$G,Neutral!$A43,Data!$DR:$DR)+'Rate History'!$C$28*SUMIF(Data!$G:$G,Neutral!$A43,Data!$DS:$DS)+'Rate History'!$C$29*SUMIF(Data!$G:$G,Neutral!$A43,Data!$DT:$DT)+'Rate History'!$C$30*SUMIF(Data!$G:$G,Neutral!$A43,Data!$DV:$DV)+'Rate History'!$C$31*SUMIF(Data!$G:$G,Neutral!$A43,Data!$DW:$DW))</f>
        <v>21221185.578607026</v>
      </c>
      <c r="D43" s="98">
        <f t="shared" si="1"/>
        <v>13629.381907708943</v>
      </c>
      <c r="E43" s="100">
        <f t="shared" si="0"/>
        <v>6.4266631106841914E-4</v>
      </c>
    </row>
    <row r="44" spans="1:5" x14ac:dyDescent="0.25">
      <c r="A44" s="93" t="s">
        <v>401</v>
      </c>
      <c r="B44" s="113">
        <f>$B$5*('Rate History'!$D$4*SUMIF(Data!$G:$G,Neutral!$A44,Data!$CU:$CU)+'Rate History'!$D$5*SUMIF(Data!$G:$G,Neutral!$A44,Data!$CV:$CV)+'Rate History'!$D$6*SUMIF(Data!$G:$G,Neutral!$A44,Data!$CW:$CW)+'Rate History'!$D$7*SUMIF(Data!$G:$G,Neutral!$A44,Data!$CX:$CX)+'Rate History'!$D$8*SUMIF(Data!$G:$G,Neutral!$A44,Data!$CY:$CY)+'Rate History'!$D$9*SUMIF(Data!$G:$G,Neutral!$A44,Data!$CZ:$CZ)+'Rate History'!$D$10*SUMIF(Data!$G:$G,Neutral!$A44,Data!$DA:$DA)+'Rate History'!$D$11*SUMIF(Data!$G:$G,Neutral!$A44,Data!$DB:$DB)+'Rate History'!$D$12*SUMIF(Data!$G:$G,Neutral!$A44,Data!$DC:$DC)+'Rate History'!$D$13*SUMIF(Data!$G:$G,Neutral!$A44,Data!$DD:$DD)+'Rate History'!$D$14*SUMIF(Data!$G:$G,Neutral!$A44,Data!$DE:$DE)+'Rate History'!$D$15*SUMIF(Data!$G:$G,Neutral!$A44,Data!$DF:$DF)+'Rate History'!$D$16*SUMIF(Data!$G:$G,Neutral!$A44,Data!$DG:$DG)+'Rate History'!$D$17*SUMIF(Data!$G:$G,Neutral!$A44,Data!$DH:$DH)+'Rate History'!$D$18*SUMIF(Data!$G:$G,Neutral!$A44,Data!$DI:$DI)+'Rate History'!$D$19*SUMIF(Data!$G:$G,Neutral!$A44,Data!$DJ:$DJ)+'Rate History'!$D$20*SUMIF(Data!$G:$G,Neutral!$A44,Data!$DK:$DK)+'Rate History'!$D$21*SUMIF(Data!$G:$G,Neutral!$A44,Data!$DL:$DL)+'Rate History'!$D$22*SUMIF(Data!$G:$G,Neutral!$A44,Data!$DM:$DM)+'Rate History'!$D$23*SUMIF(Data!$G:$G,Neutral!$A44,Data!$DN:$DN)+'Rate History'!$D$24*SUMIF(Data!$G:$G,Neutral!$A44,Data!$DO:$DO)+'Rate History'!$D$25*SUMIF(Data!$G:$G,Neutral!$A44,Data!$DP:$DP)+'Rate History'!$D$26*SUMIF(Data!$G:$G,Neutral!$A44,Data!$DQ:$DQ)+'Rate History'!$D$27*SUMIF(Data!$G:$G,Neutral!$A44,Data!$DR:$DR)+'Rate History'!$D$28*SUMIF(Data!$G:$G,Neutral!$A44,Data!$DS:$DS)+'Rate History'!$D$29*SUMIF(Data!$G:$G,Neutral!$A44,Data!$DT:$DT)+'Rate History'!$D$30*SUMIF(Data!$G:$G,Neutral!$A44,Data!$DV:$DV)+'Rate History'!$D$31*SUMIF(Data!$G:$G,Neutral!$A44,Data!$DW:$DW))</f>
        <v>6859169.7707522325</v>
      </c>
      <c r="C44" s="113">
        <f>$C$5*('Rate History'!$C$4*SUMIF(Data!$G:$G,Neutral!$A44,Data!$CU:$CU)+'Rate History'!$C$5*SUMIF(Data!$G:$G,Neutral!$A44,Data!$CV:$CV)+'Rate History'!$C$6*SUMIF(Data!$G:$G,Neutral!$A44,Data!$CW:$CW)+'Rate History'!$C$7*SUMIF(Data!$G:$G,Neutral!$A44,Data!$CX:$CX)+'Rate History'!$C$8*SUMIF(Data!$G:$G,Neutral!$A44,Data!$CY:$CY)+'Rate History'!$C$9*SUMIF(Data!$G:$G,Neutral!$A44,Data!$CZ:$CZ)+'Rate History'!$C$10*SUMIF(Data!$G:$G,Neutral!$A44,Data!$DA:$DA)+'Rate History'!$C$11*SUMIF(Data!$G:$G,Neutral!$A44,Data!$DB:$DB)+'Rate History'!$C$12*SUMIF(Data!$G:$G,Neutral!$A44,Data!$DC:$DC)+'Rate History'!$C$13*SUMIF(Data!$G:$G,Neutral!$A44,Data!$DD:$DD)+'Rate History'!$C$14*SUMIF(Data!$G:$G,Neutral!$A44,Data!$DE:$DE)+'Rate History'!$C$15*SUMIF(Data!$G:$G,Neutral!$A44,Data!$DF:$DF)+'Rate History'!$C$16*SUMIF(Data!$G:$G,Neutral!$A44,Data!$DG:$DG)+'Rate History'!$C$17*SUMIF(Data!$G:$G,Neutral!$A44,Data!$DH:$DH)+'Rate History'!$C$18*SUMIF(Data!$G:$G,Neutral!$A44,Data!$DI:$DI)+'Rate History'!$C$19*SUMIF(Data!$G:$G,Neutral!$A44,Data!$DJ:$DJ)+'Rate History'!$C$20*SUMIF(Data!$G:$G,Neutral!$A44,Data!$DK:$DK)+'Rate History'!$C$21*SUMIF(Data!$G:$G,Neutral!$A44,Data!$DL:$DL)+'Rate History'!$C$22*SUMIF(Data!$G:$G,Neutral!$A44,Data!$DM:$DM)+'Rate History'!$C$23*SUMIF(Data!$G:$G,Neutral!$A44,Data!$DN:$DN)+'Rate History'!$C$24*SUMIF(Data!$G:$G,Neutral!$A44,Data!$DO:$DO)+'Rate History'!$C$25*SUMIF(Data!$G:$G,Neutral!$A44,Data!$DP:$DP)+'Rate History'!$C$26*SUMIF(Data!$G:$G,Neutral!$A44,Data!$DQ:$DQ)+'Rate History'!$C$27*SUMIF(Data!$G:$G,Neutral!$A44,Data!$DR:$DR)+'Rate History'!$C$28*SUMIF(Data!$G:$G,Neutral!$A44,Data!$DS:$DS)+'Rate History'!$C$29*SUMIF(Data!$G:$G,Neutral!$A44,Data!$DT:$DT)+'Rate History'!$C$30*SUMIF(Data!$G:$G,Neutral!$A44,Data!$DV:$DV)+'Rate History'!$C$31*SUMIF(Data!$G:$G,Neutral!$A44,Data!$DW:$DW))</f>
        <v>6873113.1358976346</v>
      </c>
      <c r="D44" s="98">
        <f t="shared" si="1"/>
        <v>13943.365145402029</v>
      </c>
      <c r="E44" s="100">
        <f t="shared" si="0"/>
        <v>2.0328065365661429E-3</v>
      </c>
    </row>
    <row r="45" spans="1:5" x14ac:dyDescent="0.25">
      <c r="A45" s="93" t="s">
        <v>402</v>
      </c>
      <c r="B45" s="113">
        <f>$B$5*('Rate History'!$D$4*SUMIF(Data!$G:$G,Neutral!$A45,Data!$CU:$CU)+'Rate History'!$D$5*SUMIF(Data!$G:$G,Neutral!$A45,Data!$CV:$CV)+'Rate History'!$D$6*SUMIF(Data!$G:$G,Neutral!$A45,Data!$CW:$CW)+'Rate History'!$D$7*SUMIF(Data!$G:$G,Neutral!$A45,Data!$CX:$CX)+'Rate History'!$D$8*SUMIF(Data!$G:$G,Neutral!$A45,Data!$CY:$CY)+'Rate History'!$D$9*SUMIF(Data!$G:$G,Neutral!$A45,Data!$CZ:$CZ)+'Rate History'!$D$10*SUMIF(Data!$G:$G,Neutral!$A45,Data!$DA:$DA)+'Rate History'!$D$11*SUMIF(Data!$G:$G,Neutral!$A45,Data!$DB:$DB)+'Rate History'!$D$12*SUMIF(Data!$G:$G,Neutral!$A45,Data!$DC:$DC)+'Rate History'!$D$13*SUMIF(Data!$G:$G,Neutral!$A45,Data!$DD:$DD)+'Rate History'!$D$14*SUMIF(Data!$G:$G,Neutral!$A45,Data!$DE:$DE)+'Rate History'!$D$15*SUMIF(Data!$G:$G,Neutral!$A45,Data!$DF:$DF)+'Rate History'!$D$16*SUMIF(Data!$G:$G,Neutral!$A45,Data!$DG:$DG)+'Rate History'!$D$17*SUMIF(Data!$G:$G,Neutral!$A45,Data!$DH:$DH)+'Rate History'!$D$18*SUMIF(Data!$G:$G,Neutral!$A45,Data!$DI:$DI)+'Rate History'!$D$19*SUMIF(Data!$G:$G,Neutral!$A45,Data!$DJ:$DJ)+'Rate History'!$D$20*SUMIF(Data!$G:$G,Neutral!$A45,Data!$DK:$DK)+'Rate History'!$D$21*SUMIF(Data!$G:$G,Neutral!$A45,Data!$DL:$DL)+'Rate History'!$D$22*SUMIF(Data!$G:$G,Neutral!$A45,Data!$DM:$DM)+'Rate History'!$D$23*SUMIF(Data!$G:$G,Neutral!$A45,Data!$DN:$DN)+'Rate History'!$D$24*SUMIF(Data!$G:$G,Neutral!$A45,Data!$DO:$DO)+'Rate History'!$D$25*SUMIF(Data!$G:$G,Neutral!$A45,Data!$DP:$DP)+'Rate History'!$D$26*SUMIF(Data!$G:$G,Neutral!$A45,Data!$DQ:$DQ)+'Rate History'!$D$27*SUMIF(Data!$G:$G,Neutral!$A45,Data!$DR:$DR)+'Rate History'!$D$28*SUMIF(Data!$G:$G,Neutral!$A45,Data!$DS:$DS)+'Rate History'!$D$29*SUMIF(Data!$G:$G,Neutral!$A45,Data!$DT:$DT)+'Rate History'!$D$30*SUMIF(Data!$G:$G,Neutral!$A45,Data!$DV:$DV)+'Rate History'!$D$31*SUMIF(Data!$G:$G,Neutral!$A45,Data!$DW:$DW))</f>
        <v>44165872.646864399</v>
      </c>
      <c r="C45" s="113">
        <f>$C$5*('Rate History'!$C$4*SUMIF(Data!$G:$G,Neutral!$A45,Data!$CU:$CU)+'Rate History'!$C$5*SUMIF(Data!$G:$G,Neutral!$A45,Data!$CV:$CV)+'Rate History'!$C$6*SUMIF(Data!$G:$G,Neutral!$A45,Data!$CW:$CW)+'Rate History'!$C$7*SUMIF(Data!$G:$G,Neutral!$A45,Data!$CX:$CX)+'Rate History'!$C$8*SUMIF(Data!$G:$G,Neutral!$A45,Data!$CY:$CY)+'Rate History'!$C$9*SUMIF(Data!$G:$G,Neutral!$A45,Data!$CZ:$CZ)+'Rate History'!$C$10*SUMIF(Data!$G:$G,Neutral!$A45,Data!$DA:$DA)+'Rate History'!$C$11*SUMIF(Data!$G:$G,Neutral!$A45,Data!$DB:$DB)+'Rate History'!$C$12*SUMIF(Data!$G:$G,Neutral!$A45,Data!$DC:$DC)+'Rate History'!$C$13*SUMIF(Data!$G:$G,Neutral!$A45,Data!$DD:$DD)+'Rate History'!$C$14*SUMIF(Data!$G:$G,Neutral!$A45,Data!$DE:$DE)+'Rate History'!$C$15*SUMIF(Data!$G:$G,Neutral!$A45,Data!$DF:$DF)+'Rate History'!$C$16*SUMIF(Data!$G:$G,Neutral!$A45,Data!$DG:$DG)+'Rate History'!$C$17*SUMIF(Data!$G:$G,Neutral!$A45,Data!$DH:$DH)+'Rate History'!$C$18*SUMIF(Data!$G:$G,Neutral!$A45,Data!$DI:$DI)+'Rate History'!$C$19*SUMIF(Data!$G:$G,Neutral!$A45,Data!$DJ:$DJ)+'Rate History'!$C$20*SUMIF(Data!$G:$G,Neutral!$A45,Data!$DK:$DK)+'Rate History'!$C$21*SUMIF(Data!$G:$G,Neutral!$A45,Data!$DL:$DL)+'Rate History'!$C$22*SUMIF(Data!$G:$G,Neutral!$A45,Data!$DM:$DM)+'Rate History'!$C$23*SUMIF(Data!$G:$G,Neutral!$A45,Data!$DN:$DN)+'Rate History'!$C$24*SUMIF(Data!$G:$G,Neutral!$A45,Data!$DO:$DO)+'Rate History'!$C$25*SUMIF(Data!$G:$G,Neutral!$A45,Data!$DP:$DP)+'Rate History'!$C$26*SUMIF(Data!$G:$G,Neutral!$A45,Data!$DQ:$DQ)+'Rate History'!$C$27*SUMIF(Data!$G:$G,Neutral!$A45,Data!$DR:$DR)+'Rate History'!$C$28*SUMIF(Data!$G:$G,Neutral!$A45,Data!$DS:$DS)+'Rate History'!$C$29*SUMIF(Data!$G:$G,Neutral!$A45,Data!$DT:$DT)+'Rate History'!$C$30*SUMIF(Data!$G:$G,Neutral!$A45,Data!$DV:$DV)+'Rate History'!$C$31*SUMIF(Data!$G:$G,Neutral!$A45,Data!$DW:$DW))</f>
        <v>44064197.023313805</v>
      </c>
      <c r="D45" s="98">
        <f t="shared" si="1"/>
        <v>-101675.62355059385</v>
      </c>
      <c r="E45" s="100">
        <f t="shared" si="0"/>
        <v>-2.3021309770908018E-3</v>
      </c>
    </row>
    <row r="46" spans="1:5" x14ac:dyDescent="0.25">
      <c r="A46" s="93" t="s">
        <v>404</v>
      </c>
      <c r="B46" s="113">
        <f>$B$5*('Rate History'!$D$4*SUMIF(Data!$G:$G,Neutral!$A46,Data!$CU:$CU)+'Rate History'!$D$5*SUMIF(Data!$G:$G,Neutral!$A46,Data!$CV:$CV)+'Rate History'!$D$6*SUMIF(Data!$G:$G,Neutral!$A46,Data!$CW:$CW)+'Rate History'!$D$7*SUMIF(Data!$G:$G,Neutral!$A46,Data!$CX:$CX)+'Rate History'!$D$8*SUMIF(Data!$G:$G,Neutral!$A46,Data!$CY:$CY)+'Rate History'!$D$9*SUMIF(Data!$G:$G,Neutral!$A46,Data!$CZ:$CZ)+'Rate History'!$D$10*SUMIF(Data!$G:$G,Neutral!$A46,Data!$DA:$DA)+'Rate History'!$D$11*SUMIF(Data!$G:$G,Neutral!$A46,Data!$DB:$DB)+'Rate History'!$D$12*SUMIF(Data!$G:$G,Neutral!$A46,Data!$DC:$DC)+'Rate History'!$D$13*SUMIF(Data!$G:$G,Neutral!$A46,Data!$DD:$DD)+'Rate History'!$D$14*SUMIF(Data!$G:$G,Neutral!$A46,Data!$DE:$DE)+'Rate History'!$D$15*SUMIF(Data!$G:$G,Neutral!$A46,Data!$DF:$DF)+'Rate History'!$D$16*SUMIF(Data!$G:$G,Neutral!$A46,Data!$DG:$DG)+'Rate History'!$D$17*SUMIF(Data!$G:$G,Neutral!$A46,Data!$DH:$DH)+'Rate History'!$D$18*SUMIF(Data!$G:$G,Neutral!$A46,Data!$DI:$DI)+'Rate History'!$D$19*SUMIF(Data!$G:$G,Neutral!$A46,Data!$DJ:$DJ)+'Rate History'!$D$20*SUMIF(Data!$G:$G,Neutral!$A46,Data!$DK:$DK)+'Rate History'!$D$21*SUMIF(Data!$G:$G,Neutral!$A46,Data!$DL:$DL)+'Rate History'!$D$22*SUMIF(Data!$G:$G,Neutral!$A46,Data!$DM:$DM)+'Rate History'!$D$23*SUMIF(Data!$G:$G,Neutral!$A46,Data!$DN:$DN)+'Rate History'!$D$24*SUMIF(Data!$G:$G,Neutral!$A46,Data!$DO:$DO)+'Rate History'!$D$25*SUMIF(Data!$G:$G,Neutral!$A46,Data!$DP:$DP)+'Rate History'!$D$26*SUMIF(Data!$G:$G,Neutral!$A46,Data!$DQ:$DQ)+'Rate History'!$D$27*SUMIF(Data!$G:$G,Neutral!$A46,Data!$DR:$DR)+'Rate History'!$D$28*SUMIF(Data!$G:$G,Neutral!$A46,Data!$DS:$DS)+'Rate History'!$D$29*SUMIF(Data!$G:$G,Neutral!$A46,Data!$DT:$DT)+'Rate History'!$D$30*SUMIF(Data!$G:$G,Neutral!$A46,Data!$DV:$DV)+'Rate History'!$D$31*SUMIF(Data!$G:$G,Neutral!$A46,Data!$DW:$DW))</f>
        <v>6295000.4005370559</v>
      </c>
      <c r="C46" s="113">
        <f>$C$5*('Rate History'!$C$4*SUMIF(Data!$G:$G,Neutral!$A46,Data!$CU:$CU)+'Rate History'!$C$5*SUMIF(Data!$G:$G,Neutral!$A46,Data!$CV:$CV)+'Rate History'!$C$6*SUMIF(Data!$G:$G,Neutral!$A46,Data!$CW:$CW)+'Rate History'!$C$7*SUMIF(Data!$G:$G,Neutral!$A46,Data!$CX:$CX)+'Rate History'!$C$8*SUMIF(Data!$G:$G,Neutral!$A46,Data!$CY:$CY)+'Rate History'!$C$9*SUMIF(Data!$G:$G,Neutral!$A46,Data!$CZ:$CZ)+'Rate History'!$C$10*SUMIF(Data!$G:$G,Neutral!$A46,Data!$DA:$DA)+'Rate History'!$C$11*SUMIF(Data!$G:$G,Neutral!$A46,Data!$DB:$DB)+'Rate History'!$C$12*SUMIF(Data!$G:$G,Neutral!$A46,Data!$DC:$DC)+'Rate History'!$C$13*SUMIF(Data!$G:$G,Neutral!$A46,Data!$DD:$DD)+'Rate History'!$C$14*SUMIF(Data!$G:$G,Neutral!$A46,Data!$DE:$DE)+'Rate History'!$C$15*SUMIF(Data!$G:$G,Neutral!$A46,Data!$DF:$DF)+'Rate History'!$C$16*SUMIF(Data!$G:$G,Neutral!$A46,Data!$DG:$DG)+'Rate History'!$C$17*SUMIF(Data!$G:$G,Neutral!$A46,Data!$DH:$DH)+'Rate History'!$C$18*SUMIF(Data!$G:$G,Neutral!$A46,Data!$DI:$DI)+'Rate History'!$C$19*SUMIF(Data!$G:$G,Neutral!$A46,Data!$DJ:$DJ)+'Rate History'!$C$20*SUMIF(Data!$G:$G,Neutral!$A46,Data!$DK:$DK)+'Rate History'!$C$21*SUMIF(Data!$G:$G,Neutral!$A46,Data!$DL:$DL)+'Rate History'!$C$22*SUMIF(Data!$G:$G,Neutral!$A46,Data!$DM:$DM)+'Rate History'!$C$23*SUMIF(Data!$G:$G,Neutral!$A46,Data!$DN:$DN)+'Rate History'!$C$24*SUMIF(Data!$G:$G,Neutral!$A46,Data!$DO:$DO)+'Rate History'!$C$25*SUMIF(Data!$G:$G,Neutral!$A46,Data!$DP:$DP)+'Rate History'!$C$26*SUMIF(Data!$G:$G,Neutral!$A46,Data!$DQ:$DQ)+'Rate History'!$C$27*SUMIF(Data!$G:$G,Neutral!$A46,Data!$DR:$DR)+'Rate History'!$C$28*SUMIF(Data!$G:$G,Neutral!$A46,Data!$DS:$DS)+'Rate History'!$C$29*SUMIF(Data!$G:$G,Neutral!$A46,Data!$DT:$DT)+'Rate History'!$C$30*SUMIF(Data!$G:$G,Neutral!$A46,Data!$DV:$DV)+'Rate History'!$C$31*SUMIF(Data!$G:$G,Neutral!$A46,Data!$DW:$DW))</f>
        <v>6264355.3258834323</v>
      </c>
      <c r="D46" s="98">
        <f t="shared" si="1"/>
        <v>-30645.074653623626</v>
      </c>
      <c r="E46" s="100">
        <f t="shared" si="0"/>
        <v>-4.8681608743041784E-3</v>
      </c>
    </row>
    <row r="47" spans="1:5" x14ac:dyDescent="0.25">
      <c r="A47" s="93" t="s">
        <v>406</v>
      </c>
      <c r="B47" s="113">
        <f>$B$5*('Rate History'!$D$4*SUMIF(Data!$G:$G,Neutral!$A47,Data!$CU:$CU)+'Rate History'!$D$5*SUMIF(Data!$G:$G,Neutral!$A47,Data!$CV:$CV)+'Rate History'!$D$6*SUMIF(Data!$G:$G,Neutral!$A47,Data!$CW:$CW)+'Rate History'!$D$7*SUMIF(Data!$G:$G,Neutral!$A47,Data!$CX:$CX)+'Rate History'!$D$8*SUMIF(Data!$G:$G,Neutral!$A47,Data!$CY:$CY)+'Rate History'!$D$9*SUMIF(Data!$G:$G,Neutral!$A47,Data!$CZ:$CZ)+'Rate History'!$D$10*SUMIF(Data!$G:$G,Neutral!$A47,Data!$DA:$DA)+'Rate History'!$D$11*SUMIF(Data!$G:$G,Neutral!$A47,Data!$DB:$DB)+'Rate History'!$D$12*SUMIF(Data!$G:$G,Neutral!$A47,Data!$DC:$DC)+'Rate History'!$D$13*SUMIF(Data!$G:$G,Neutral!$A47,Data!$DD:$DD)+'Rate History'!$D$14*SUMIF(Data!$G:$G,Neutral!$A47,Data!$DE:$DE)+'Rate History'!$D$15*SUMIF(Data!$G:$G,Neutral!$A47,Data!$DF:$DF)+'Rate History'!$D$16*SUMIF(Data!$G:$G,Neutral!$A47,Data!$DG:$DG)+'Rate History'!$D$17*SUMIF(Data!$G:$G,Neutral!$A47,Data!$DH:$DH)+'Rate History'!$D$18*SUMIF(Data!$G:$G,Neutral!$A47,Data!$DI:$DI)+'Rate History'!$D$19*SUMIF(Data!$G:$G,Neutral!$A47,Data!$DJ:$DJ)+'Rate History'!$D$20*SUMIF(Data!$G:$G,Neutral!$A47,Data!$DK:$DK)+'Rate History'!$D$21*SUMIF(Data!$G:$G,Neutral!$A47,Data!$DL:$DL)+'Rate History'!$D$22*SUMIF(Data!$G:$G,Neutral!$A47,Data!$DM:$DM)+'Rate History'!$D$23*SUMIF(Data!$G:$G,Neutral!$A47,Data!$DN:$DN)+'Rate History'!$D$24*SUMIF(Data!$G:$G,Neutral!$A47,Data!$DO:$DO)+'Rate History'!$D$25*SUMIF(Data!$G:$G,Neutral!$A47,Data!$DP:$DP)+'Rate History'!$D$26*SUMIF(Data!$G:$G,Neutral!$A47,Data!$DQ:$DQ)+'Rate History'!$D$27*SUMIF(Data!$G:$G,Neutral!$A47,Data!$DR:$DR)+'Rate History'!$D$28*SUMIF(Data!$G:$G,Neutral!$A47,Data!$DS:$DS)+'Rate History'!$D$29*SUMIF(Data!$G:$G,Neutral!$A47,Data!$DT:$DT)+'Rate History'!$D$30*SUMIF(Data!$G:$G,Neutral!$A47,Data!$DV:$DV)+'Rate History'!$D$31*SUMIF(Data!$G:$G,Neutral!$A47,Data!$DW:$DW))</f>
        <v>8688702.989793364</v>
      </c>
      <c r="C47" s="113">
        <f>$C$5*('Rate History'!$C$4*SUMIF(Data!$G:$G,Neutral!$A47,Data!$CU:$CU)+'Rate History'!$C$5*SUMIF(Data!$G:$G,Neutral!$A47,Data!$CV:$CV)+'Rate History'!$C$6*SUMIF(Data!$G:$G,Neutral!$A47,Data!$CW:$CW)+'Rate History'!$C$7*SUMIF(Data!$G:$G,Neutral!$A47,Data!$CX:$CX)+'Rate History'!$C$8*SUMIF(Data!$G:$G,Neutral!$A47,Data!$CY:$CY)+'Rate History'!$C$9*SUMIF(Data!$G:$G,Neutral!$A47,Data!$CZ:$CZ)+'Rate History'!$C$10*SUMIF(Data!$G:$G,Neutral!$A47,Data!$DA:$DA)+'Rate History'!$C$11*SUMIF(Data!$G:$G,Neutral!$A47,Data!$DB:$DB)+'Rate History'!$C$12*SUMIF(Data!$G:$G,Neutral!$A47,Data!$DC:$DC)+'Rate History'!$C$13*SUMIF(Data!$G:$G,Neutral!$A47,Data!$DD:$DD)+'Rate History'!$C$14*SUMIF(Data!$G:$G,Neutral!$A47,Data!$DE:$DE)+'Rate History'!$C$15*SUMIF(Data!$G:$G,Neutral!$A47,Data!$DF:$DF)+'Rate History'!$C$16*SUMIF(Data!$G:$G,Neutral!$A47,Data!$DG:$DG)+'Rate History'!$C$17*SUMIF(Data!$G:$G,Neutral!$A47,Data!$DH:$DH)+'Rate History'!$C$18*SUMIF(Data!$G:$G,Neutral!$A47,Data!$DI:$DI)+'Rate History'!$C$19*SUMIF(Data!$G:$G,Neutral!$A47,Data!$DJ:$DJ)+'Rate History'!$C$20*SUMIF(Data!$G:$G,Neutral!$A47,Data!$DK:$DK)+'Rate History'!$C$21*SUMIF(Data!$G:$G,Neutral!$A47,Data!$DL:$DL)+'Rate History'!$C$22*SUMIF(Data!$G:$G,Neutral!$A47,Data!$DM:$DM)+'Rate History'!$C$23*SUMIF(Data!$G:$G,Neutral!$A47,Data!$DN:$DN)+'Rate History'!$C$24*SUMIF(Data!$G:$G,Neutral!$A47,Data!$DO:$DO)+'Rate History'!$C$25*SUMIF(Data!$G:$G,Neutral!$A47,Data!$DP:$DP)+'Rate History'!$C$26*SUMIF(Data!$G:$G,Neutral!$A47,Data!$DQ:$DQ)+'Rate History'!$C$27*SUMIF(Data!$G:$G,Neutral!$A47,Data!$DR:$DR)+'Rate History'!$C$28*SUMIF(Data!$G:$G,Neutral!$A47,Data!$DS:$DS)+'Rate History'!$C$29*SUMIF(Data!$G:$G,Neutral!$A47,Data!$DT:$DT)+'Rate History'!$C$30*SUMIF(Data!$G:$G,Neutral!$A47,Data!$DV:$DV)+'Rate History'!$C$31*SUMIF(Data!$G:$G,Neutral!$A47,Data!$DW:$DW))</f>
        <v>8718114.4043715466</v>
      </c>
      <c r="D47" s="98">
        <f t="shared" si="1"/>
        <v>29411.414578182623</v>
      </c>
      <c r="E47" s="100">
        <f t="shared" si="0"/>
        <v>3.385017834391654E-3</v>
      </c>
    </row>
    <row r="48" spans="1:5" x14ac:dyDescent="0.25">
      <c r="A48" s="93" t="s">
        <v>410</v>
      </c>
      <c r="B48" s="113">
        <f>$B$5*('Rate History'!$D$4*SUMIF(Data!$G:$G,Neutral!$A48,Data!$CU:$CU)+'Rate History'!$D$5*SUMIF(Data!$G:$G,Neutral!$A48,Data!$CV:$CV)+'Rate History'!$D$6*SUMIF(Data!$G:$G,Neutral!$A48,Data!$CW:$CW)+'Rate History'!$D$7*SUMIF(Data!$G:$G,Neutral!$A48,Data!$CX:$CX)+'Rate History'!$D$8*SUMIF(Data!$G:$G,Neutral!$A48,Data!$CY:$CY)+'Rate History'!$D$9*SUMIF(Data!$G:$G,Neutral!$A48,Data!$CZ:$CZ)+'Rate History'!$D$10*SUMIF(Data!$G:$G,Neutral!$A48,Data!$DA:$DA)+'Rate History'!$D$11*SUMIF(Data!$G:$G,Neutral!$A48,Data!$DB:$DB)+'Rate History'!$D$12*SUMIF(Data!$G:$G,Neutral!$A48,Data!$DC:$DC)+'Rate History'!$D$13*SUMIF(Data!$G:$G,Neutral!$A48,Data!$DD:$DD)+'Rate History'!$D$14*SUMIF(Data!$G:$G,Neutral!$A48,Data!$DE:$DE)+'Rate History'!$D$15*SUMIF(Data!$G:$G,Neutral!$A48,Data!$DF:$DF)+'Rate History'!$D$16*SUMIF(Data!$G:$G,Neutral!$A48,Data!$DG:$DG)+'Rate History'!$D$17*SUMIF(Data!$G:$G,Neutral!$A48,Data!$DH:$DH)+'Rate History'!$D$18*SUMIF(Data!$G:$G,Neutral!$A48,Data!$DI:$DI)+'Rate History'!$D$19*SUMIF(Data!$G:$G,Neutral!$A48,Data!$DJ:$DJ)+'Rate History'!$D$20*SUMIF(Data!$G:$G,Neutral!$A48,Data!$DK:$DK)+'Rate History'!$D$21*SUMIF(Data!$G:$G,Neutral!$A48,Data!$DL:$DL)+'Rate History'!$D$22*SUMIF(Data!$G:$G,Neutral!$A48,Data!$DM:$DM)+'Rate History'!$D$23*SUMIF(Data!$G:$G,Neutral!$A48,Data!$DN:$DN)+'Rate History'!$D$24*SUMIF(Data!$G:$G,Neutral!$A48,Data!$DO:$DO)+'Rate History'!$D$25*SUMIF(Data!$G:$G,Neutral!$A48,Data!$DP:$DP)+'Rate History'!$D$26*SUMIF(Data!$G:$G,Neutral!$A48,Data!$DQ:$DQ)+'Rate History'!$D$27*SUMIF(Data!$G:$G,Neutral!$A48,Data!$DR:$DR)+'Rate History'!$D$28*SUMIF(Data!$G:$G,Neutral!$A48,Data!$DS:$DS)+'Rate History'!$D$29*SUMIF(Data!$G:$G,Neutral!$A48,Data!$DT:$DT)+'Rate History'!$D$30*SUMIF(Data!$G:$G,Neutral!$A48,Data!$DV:$DV)+'Rate History'!$D$31*SUMIF(Data!$G:$G,Neutral!$A48,Data!$DW:$DW))</f>
        <v>12075287.433443623</v>
      </c>
      <c r="C48" s="113">
        <f>$C$5*('Rate History'!$C$4*SUMIF(Data!$G:$G,Neutral!$A48,Data!$CU:$CU)+'Rate History'!$C$5*SUMIF(Data!$G:$G,Neutral!$A48,Data!$CV:$CV)+'Rate History'!$C$6*SUMIF(Data!$G:$G,Neutral!$A48,Data!$CW:$CW)+'Rate History'!$C$7*SUMIF(Data!$G:$G,Neutral!$A48,Data!$CX:$CX)+'Rate History'!$C$8*SUMIF(Data!$G:$G,Neutral!$A48,Data!$CY:$CY)+'Rate History'!$C$9*SUMIF(Data!$G:$G,Neutral!$A48,Data!$CZ:$CZ)+'Rate History'!$C$10*SUMIF(Data!$G:$G,Neutral!$A48,Data!$DA:$DA)+'Rate History'!$C$11*SUMIF(Data!$G:$G,Neutral!$A48,Data!$DB:$DB)+'Rate History'!$C$12*SUMIF(Data!$G:$G,Neutral!$A48,Data!$DC:$DC)+'Rate History'!$C$13*SUMIF(Data!$G:$G,Neutral!$A48,Data!$DD:$DD)+'Rate History'!$C$14*SUMIF(Data!$G:$G,Neutral!$A48,Data!$DE:$DE)+'Rate History'!$C$15*SUMIF(Data!$G:$G,Neutral!$A48,Data!$DF:$DF)+'Rate History'!$C$16*SUMIF(Data!$G:$G,Neutral!$A48,Data!$DG:$DG)+'Rate History'!$C$17*SUMIF(Data!$G:$G,Neutral!$A48,Data!$DH:$DH)+'Rate History'!$C$18*SUMIF(Data!$G:$G,Neutral!$A48,Data!$DI:$DI)+'Rate History'!$C$19*SUMIF(Data!$G:$G,Neutral!$A48,Data!$DJ:$DJ)+'Rate History'!$C$20*SUMIF(Data!$G:$G,Neutral!$A48,Data!$DK:$DK)+'Rate History'!$C$21*SUMIF(Data!$G:$G,Neutral!$A48,Data!$DL:$DL)+'Rate History'!$C$22*SUMIF(Data!$G:$G,Neutral!$A48,Data!$DM:$DM)+'Rate History'!$C$23*SUMIF(Data!$G:$G,Neutral!$A48,Data!$DN:$DN)+'Rate History'!$C$24*SUMIF(Data!$G:$G,Neutral!$A48,Data!$DO:$DO)+'Rate History'!$C$25*SUMIF(Data!$G:$G,Neutral!$A48,Data!$DP:$DP)+'Rate History'!$C$26*SUMIF(Data!$G:$G,Neutral!$A48,Data!$DQ:$DQ)+'Rate History'!$C$27*SUMIF(Data!$G:$G,Neutral!$A48,Data!$DR:$DR)+'Rate History'!$C$28*SUMIF(Data!$G:$G,Neutral!$A48,Data!$DS:$DS)+'Rate History'!$C$29*SUMIF(Data!$G:$G,Neutral!$A48,Data!$DT:$DT)+'Rate History'!$C$30*SUMIF(Data!$G:$G,Neutral!$A48,Data!$DV:$DV)+'Rate History'!$C$31*SUMIF(Data!$G:$G,Neutral!$A48,Data!$DW:$DW))</f>
        <v>12048876.575507686</v>
      </c>
      <c r="D48" s="98">
        <f t="shared" si="1"/>
        <v>-26410.857935937122</v>
      </c>
      <c r="E48" s="100">
        <f t="shared" si="0"/>
        <v>-2.1871825479524249E-3</v>
      </c>
    </row>
    <row r="49" spans="1:5" x14ac:dyDescent="0.25">
      <c r="A49" s="93" t="s">
        <v>371</v>
      </c>
      <c r="B49" s="113">
        <f>$B$5*('Rate History'!$D$4*SUMIF(Data!$G:$G,Neutral!$A49,Data!$CU:$CU)+'Rate History'!$D$5*SUMIF(Data!$G:$G,Neutral!$A49,Data!$CV:$CV)+'Rate History'!$D$6*SUMIF(Data!$G:$G,Neutral!$A49,Data!$CW:$CW)+'Rate History'!$D$7*SUMIF(Data!$G:$G,Neutral!$A49,Data!$CX:$CX)+'Rate History'!$D$8*SUMIF(Data!$G:$G,Neutral!$A49,Data!$CY:$CY)+'Rate History'!$D$9*SUMIF(Data!$G:$G,Neutral!$A49,Data!$CZ:$CZ)+'Rate History'!$D$10*SUMIF(Data!$G:$G,Neutral!$A49,Data!$DA:$DA)+'Rate History'!$D$11*SUMIF(Data!$G:$G,Neutral!$A49,Data!$DB:$DB)+'Rate History'!$D$12*SUMIF(Data!$G:$G,Neutral!$A49,Data!$DC:$DC)+'Rate History'!$D$13*SUMIF(Data!$G:$G,Neutral!$A49,Data!$DD:$DD)+'Rate History'!$D$14*SUMIF(Data!$G:$G,Neutral!$A49,Data!$DE:$DE)+'Rate History'!$D$15*SUMIF(Data!$G:$G,Neutral!$A49,Data!$DF:$DF)+'Rate History'!$D$16*SUMIF(Data!$G:$G,Neutral!$A49,Data!$DG:$DG)+'Rate History'!$D$17*SUMIF(Data!$G:$G,Neutral!$A49,Data!$DH:$DH)+'Rate History'!$D$18*SUMIF(Data!$G:$G,Neutral!$A49,Data!$DI:$DI)+'Rate History'!$D$19*SUMIF(Data!$G:$G,Neutral!$A49,Data!$DJ:$DJ)+'Rate History'!$D$20*SUMIF(Data!$G:$G,Neutral!$A49,Data!$DK:$DK)+'Rate History'!$D$21*SUMIF(Data!$G:$G,Neutral!$A49,Data!$DL:$DL)+'Rate History'!$D$22*SUMIF(Data!$G:$G,Neutral!$A49,Data!$DM:$DM)+'Rate History'!$D$23*SUMIF(Data!$G:$G,Neutral!$A49,Data!$DN:$DN)+'Rate History'!$D$24*SUMIF(Data!$G:$G,Neutral!$A49,Data!$DO:$DO)+'Rate History'!$D$25*SUMIF(Data!$G:$G,Neutral!$A49,Data!$DP:$DP)+'Rate History'!$D$26*SUMIF(Data!$G:$G,Neutral!$A49,Data!$DQ:$DQ)+'Rate History'!$D$27*SUMIF(Data!$G:$G,Neutral!$A49,Data!$DR:$DR)+'Rate History'!$D$28*SUMIF(Data!$G:$G,Neutral!$A49,Data!$DS:$DS)+'Rate History'!$D$29*SUMIF(Data!$G:$G,Neutral!$A49,Data!$DT:$DT)+'Rate History'!$D$30*SUMIF(Data!$G:$G,Neutral!$A49,Data!$DV:$DV)+'Rate History'!$D$31*SUMIF(Data!$G:$G,Neutral!$A49,Data!$DW:$DW))</f>
        <v>11371890.617031658</v>
      </c>
      <c r="C49" s="113">
        <f>$C$5*('Rate History'!$C$4*SUMIF(Data!$G:$G,Neutral!$A49,Data!$CU:$CU)+'Rate History'!$C$5*SUMIF(Data!$G:$G,Neutral!$A49,Data!$CV:$CV)+'Rate History'!$C$6*SUMIF(Data!$G:$G,Neutral!$A49,Data!$CW:$CW)+'Rate History'!$C$7*SUMIF(Data!$G:$G,Neutral!$A49,Data!$CX:$CX)+'Rate History'!$C$8*SUMIF(Data!$G:$G,Neutral!$A49,Data!$CY:$CY)+'Rate History'!$C$9*SUMIF(Data!$G:$G,Neutral!$A49,Data!$CZ:$CZ)+'Rate History'!$C$10*SUMIF(Data!$G:$G,Neutral!$A49,Data!$DA:$DA)+'Rate History'!$C$11*SUMIF(Data!$G:$G,Neutral!$A49,Data!$DB:$DB)+'Rate History'!$C$12*SUMIF(Data!$G:$G,Neutral!$A49,Data!$DC:$DC)+'Rate History'!$C$13*SUMIF(Data!$G:$G,Neutral!$A49,Data!$DD:$DD)+'Rate History'!$C$14*SUMIF(Data!$G:$G,Neutral!$A49,Data!$DE:$DE)+'Rate History'!$C$15*SUMIF(Data!$G:$G,Neutral!$A49,Data!$DF:$DF)+'Rate History'!$C$16*SUMIF(Data!$G:$G,Neutral!$A49,Data!$DG:$DG)+'Rate History'!$C$17*SUMIF(Data!$G:$G,Neutral!$A49,Data!$DH:$DH)+'Rate History'!$C$18*SUMIF(Data!$G:$G,Neutral!$A49,Data!$DI:$DI)+'Rate History'!$C$19*SUMIF(Data!$G:$G,Neutral!$A49,Data!$DJ:$DJ)+'Rate History'!$C$20*SUMIF(Data!$G:$G,Neutral!$A49,Data!$DK:$DK)+'Rate History'!$C$21*SUMIF(Data!$G:$G,Neutral!$A49,Data!$DL:$DL)+'Rate History'!$C$22*SUMIF(Data!$G:$G,Neutral!$A49,Data!$DM:$DM)+'Rate History'!$C$23*SUMIF(Data!$G:$G,Neutral!$A49,Data!$DN:$DN)+'Rate History'!$C$24*SUMIF(Data!$G:$G,Neutral!$A49,Data!$DO:$DO)+'Rate History'!$C$25*SUMIF(Data!$G:$G,Neutral!$A49,Data!$DP:$DP)+'Rate History'!$C$26*SUMIF(Data!$G:$G,Neutral!$A49,Data!$DQ:$DQ)+'Rate History'!$C$27*SUMIF(Data!$G:$G,Neutral!$A49,Data!$DR:$DR)+'Rate History'!$C$28*SUMIF(Data!$G:$G,Neutral!$A49,Data!$DS:$DS)+'Rate History'!$C$29*SUMIF(Data!$G:$G,Neutral!$A49,Data!$DT:$DT)+'Rate History'!$C$30*SUMIF(Data!$G:$G,Neutral!$A49,Data!$DV:$DV)+'Rate History'!$C$31*SUMIF(Data!$G:$G,Neutral!$A49,Data!$DW:$DW))</f>
        <v>11356489.071694087</v>
      </c>
      <c r="D49" s="98">
        <f t="shared" si="1"/>
        <v>-15401.545337570831</v>
      </c>
      <c r="E49" s="100">
        <f t="shared" si="0"/>
        <v>-1.354352223059899E-3</v>
      </c>
    </row>
    <row r="50" spans="1:5" x14ac:dyDescent="0.25">
      <c r="A50" s="93" t="s">
        <v>412</v>
      </c>
      <c r="B50" s="113">
        <f>$B$5*('Rate History'!$D$4*SUMIF(Data!$G:$G,Neutral!$A50,Data!$CU:$CU)+'Rate History'!$D$5*SUMIF(Data!$G:$G,Neutral!$A50,Data!$CV:$CV)+'Rate History'!$D$6*SUMIF(Data!$G:$G,Neutral!$A50,Data!$CW:$CW)+'Rate History'!$D$7*SUMIF(Data!$G:$G,Neutral!$A50,Data!$CX:$CX)+'Rate History'!$D$8*SUMIF(Data!$G:$G,Neutral!$A50,Data!$CY:$CY)+'Rate History'!$D$9*SUMIF(Data!$G:$G,Neutral!$A50,Data!$CZ:$CZ)+'Rate History'!$D$10*SUMIF(Data!$G:$G,Neutral!$A50,Data!$DA:$DA)+'Rate History'!$D$11*SUMIF(Data!$G:$G,Neutral!$A50,Data!$DB:$DB)+'Rate History'!$D$12*SUMIF(Data!$G:$G,Neutral!$A50,Data!$DC:$DC)+'Rate History'!$D$13*SUMIF(Data!$G:$G,Neutral!$A50,Data!$DD:$DD)+'Rate History'!$D$14*SUMIF(Data!$G:$G,Neutral!$A50,Data!$DE:$DE)+'Rate History'!$D$15*SUMIF(Data!$G:$G,Neutral!$A50,Data!$DF:$DF)+'Rate History'!$D$16*SUMIF(Data!$G:$G,Neutral!$A50,Data!$DG:$DG)+'Rate History'!$D$17*SUMIF(Data!$G:$G,Neutral!$A50,Data!$DH:$DH)+'Rate History'!$D$18*SUMIF(Data!$G:$G,Neutral!$A50,Data!$DI:$DI)+'Rate History'!$D$19*SUMIF(Data!$G:$G,Neutral!$A50,Data!$DJ:$DJ)+'Rate History'!$D$20*SUMIF(Data!$G:$G,Neutral!$A50,Data!$DK:$DK)+'Rate History'!$D$21*SUMIF(Data!$G:$G,Neutral!$A50,Data!$DL:$DL)+'Rate History'!$D$22*SUMIF(Data!$G:$G,Neutral!$A50,Data!$DM:$DM)+'Rate History'!$D$23*SUMIF(Data!$G:$G,Neutral!$A50,Data!$DN:$DN)+'Rate History'!$D$24*SUMIF(Data!$G:$G,Neutral!$A50,Data!$DO:$DO)+'Rate History'!$D$25*SUMIF(Data!$G:$G,Neutral!$A50,Data!$DP:$DP)+'Rate History'!$D$26*SUMIF(Data!$G:$G,Neutral!$A50,Data!$DQ:$DQ)+'Rate History'!$D$27*SUMIF(Data!$G:$G,Neutral!$A50,Data!$DR:$DR)+'Rate History'!$D$28*SUMIF(Data!$G:$G,Neutral!$A50,Data!$DS:$DS)+'Rate History'!$D$29*SUMIF(Data!$G:$G,Neutral!$A50,Data!$DT:$DT)+'Rate History'!$D$30*SUMIF(Data!$G:$G,Neutral!$A50,Data!$DV:$DV)+'Rate History'!$D$31*SUMIF(Data!$G:$G,Neutral!$A50,Data!$DW:$DW))</f>
        <v>16891088.041991957</v>
      </c>
      <c r="C50" s="113">
        <f>$C$5*('Rate History'!$C$4*SUMIF(Data!$G:$G,Neutral!$A50,Data!$CU:$CU)+'Rate History'!$C$5*SUMIF(Data!$G:$G,Neutral!$A50,Data!$CV:$CV)+'Rate History'!$C$6*SUMIF(Data!$G:$G,Neutral!$A50,Data!$CW:$CW)+'Rate History'!$C$7*SUMIF(Data!$G:$G,Neutral!$A50,Data!$CX:$CX)+'Rate History'!$C$8*SUMIF(Data!$G:$G,Neutral!$A50,Data!$CY:$CY)+'Rate History'!$C$9*SUMIF(Data!$G:$G,Neutral!$A50,Data!$CZ:$CZ)+'Rate History'!$C$10*SUMIF(Data!$G:$G,Neutral!$A50,Data!$DA:$DA)+'Rate History'!$C$11*SUMIF(Data!$G:$G,Neutral!$A50,Data!$DB:$DB)+'Rate History'!$C$12*SUMIF(Data!$G:$G,Neutral!$A50,Data!$DC:$DC)+'Rate History'!$C$13*SUMIF(Data!$G:$G,Neutral!$A50,Data!$DD:$DD)+'Rate History'!$C$14*SUMIF(Data!$G:$G,Neutral!$A50,Data!$DE:$DE)+'Rate History'!$C$15*SUMIF(Data!$G:$G,Neutral!$A50,Data!$DF:$DF)+'Rate History'!$C$16*SUMIF(Data!$G:$G,Neutral!$A50,Data!$DG:$DG)+'Rate History'!$C$17*SUMIF(Data!$G:$G,Neutral!$A50,Data!$DH:$DH)+'Rate History'!$C$18*SUMIF(Data!$G:$G,Neutral!$A50,Data!$DI:$DI)+'Rate History'!$C$19*SUMIF(Data!$G:$G,Neutral!$A50,Data!$DJ:$DJ)+'Rate History'!$C$20*SUMIF(Data!$G:$G,Neutral!$A50,Data!$DK:$DK)+'Rate History'!$C$21*SUMIF(Data!$G:$G,Neutral!$A50,Data!$DL:$DL)+'Rate History'!$C$22*SUMIF(Data!$G:$G,Neutral!$A50,Data!$DM:$DM)+'Rate History'!$C$23*SUMIF(Data!$G:$G,Neutral!$A50,Data!$DN:$DN)+'Rate History'!$C$24*SUMIF(Data!$G:$G,Neutral!$A50,Data!$DO:$DO)+'Rate History'!$C$25*SUMIF(Data!$G:$G,Neutral!$A50,Data!$DP:$DP)+'Rate History'!$C$26*SUMIF(Data!$G:$G,Neutral!$A50,Data!$DQ:$DQ)+'Rate History'!$C$27*SUMIF(Data!$G:$G,Neutral!$A50,Data!$DR:$DR)+'Rate History'!$C$28*SUMIF(Data!$G:$G,Neutral!$A50,Data!$DS:$DS)+'Rate History'!$C$29*SUMIF(Data!$G:$G,Neutral!$A50,Data!$DT:$DT)+'Rate History'!$C$30*SUMIF(Data!$G:$G,Neutral!$A50,Data!$DV:$DV)+'Rate History'!$C$31*SUMIF(Data!$G:$G,Neutral!$A50,Data!$DW:$DW))</f>
        <v>16844239.931539949</v>
      </c>
      <c r="D50" s="98">
        <f t="shared" si="1"/>
        <v>-46848.110452007502</v>
      </c>
      <c r="E50" s="100">
        <f t="shared" si="0"/>
        <v>-2.7735401257480349E-3</v>
      </c>
    </row>
    <row r="51" spans="1:5" x14ac:dyDescent="0.25">
      <c r="A51" s="93" t="s">
        <v>438</v>
      </c>
      <c r="B51" s="113">
        <f>$B$5*('Rate History'!$D$4*SUMIF(Data!$G:$G,Neutral!$A51,Data!$CU:$CU)+'Rate History'!$D$5*SUMIF(Data!$G:$G,Neutral!$A51,Data!$CV:$CV)+'Rate History'!$D$6*SUMIF(Data!$G:$G,Neutral!$A51,Data!$CW:$CW)+'Rate History'!$D$7*SUMIF(Data!$G:$G,Neutral!$A51,Data!$CX:$CX)+'Rate History'!$D$8*SUMIF(Data!$G:$G,Neutral!$A51,Data!$CY:$CY)+'Rate History'!$D$9*SUMIF(Data!$G:$G,Neutral!$A51,Data!$CZ:$CZ)+'Rate History'!$D$10*SUMIF(Data!$G:$G,Neutral!$A51,Data!$DA:$DA)+'Rate History'!$D$11*SUMIF(Data!$G:$G,Neutral!$A51,Data!$DB:$DB)+'Rate History'!$D$12*SUMIF(Data!$G:$G,Neutral!$A51,Data!$DC:$DC)+'Rate History'!$D$13*SUMIF(Data!$G:$G,Neutral!$A51,Data!$DD:$DD)+'Rate History'!$D$14*SUMIF(Data!$G:$G,Neutral!$A51,Data!$DE:$DE)+'Rate History'!$D$15*SUMIF(Data!$G:$G,Neutral!$A51,Data!$DF:$DF)+'Rate History'!$D$16*SUMIF(Data!$G:$G,Neutral!$A51,Data!$DG:$DG)+'Rate History'!$D$17*SUMIF(Data!$G:$G,Neutral!$A51,Data!$DH:$DH)+'Rate History'!$D$18*SUMIF(Data!$G:$G,Neutral!$A51,Data!$DI:$DI)+'Rate History'!$D$19*SUMIF(Data!$G:$G,Neutral!$A51,Data!$DJ:$DJ)+'Rate History'!$D$20*SUMIF(Data!$G:$G,Neutral!$A51,Data!$DK:$DK)+'Rate History'!$D$21*SUMIF(Data!$G:$G,Neutral!$A51,Data!$DL:$DL)+'Rate History'!$D$22*SUMIF(Data!$G:$G,Neutral!$A51,Data!$DM:$DM)+'Rate History'!$D$23*SUMIF(Data!$G:$G,Neutral!$A51,Data!$DN:$DN)+'Rate History'!$D$24*SUMIF(Data!$G:$G,Neutral!$A51,Data!$DO:$DO)+'Rate History'!$D$25*SUMIF(Data!$G:$G,Neutral!$A51,Data!$DP:$DP)+'Rate History'!$D$26*SUMIF(Data!$G:$G,Neutral!$A51,Data!$DQ:$DQ)+'Rate History'!$D$27*SUMIF(Data!$G:$G,Neutral!$A51,Data!$DR:$DR)+'Rate History'!$D$28*SUMIF(Data!$G:$G,Neutral!$A51,Data!$DS:$DS)+'Rate History'!$D$29*SUMIF(Data!$G:$G,Neutral!$A51,Data!$DT:$DT)+'Rate History'!$D$30*SUMIF(Data!$G:$G,Neutral!$A51,Data!$DV:$DV)+'Rate History'!$D$31*SUMIF(Data!$G:$G,Neutral!$A51,Data!$DW:$DW))</f>
        <v>5612157.481386289</v>
      </c>
      <c r="C51" s="113">
        <f>$C$5*('Rate History'!$C$4*SUMIF(Data!$G:$G,Neutral!$A51,Data!$CU:$CU)+'Rate History'!$C$5*SUMIF(Data!$G:$G,Neutral!$A51,Data!$CV:$CV)+'Rate History'!$C$6*SUMIF(Data!$G:$G,Neutral!$A51,Data!$CW:$CW)+'Rate History'!$C$7*SUMIF(Data!$G:$G,Neutral!$A51,Data!$CX:$CX)+'Rate History'!$C$8*SUMIF(Data!$G:$G,Neutral!$A51,Data!$CY:$CY)+'Rate History'!$C$9*SUMIF(Data!$G:$G,Neutral!$A51,Data!$CZ:$CZ)+'Rate History'!$C$10*SUMIF(Data!$G:$G,Neutral!$A51,Data!$DA:$DA)+'Rate History'!$C$11*SUMIF(Data!$G:$G,Neutral!$A51,Data!$DB:$DB)+'Rate History'!$C$12*SUMIF(Data!$G:$G,Neutral!$A51,Data!$DC:$DC)+'Rate History'!$C$13*SUMIF(Data!$G:$G,Neutral!$A51,Data!$DD:$DD)+'Rate History'!$C$14*SUMIF(Data!$G:$G,Neutral!$A51,Data!$DE:$DE)+'Rate History'!$C$15*SUMIF(Data!$G:$G,Neutral!$A51,Data!$DF:$DF)+'Rate History'!$C$16*SUMIF(Data!$G:$G,Neutral!$A51,Data!$DG:$DG)+'Rate History'!$C$17*SUMIF(Data!$G:$G,Neutral!$A51,Data!$DH:$DH)+'Rate History'!$C$18*SUMIF(Data!$G:$G,Neutral!$A51,Data!$DI:$DI)+'Rate History'!$C$19*SUMIF(Data!$G:$G,Neutral!$A51,Data!$DJ:$DJ)+'Rate History'!$C$20*SUMIF(Data!$G:$G,Neutral!$A51,Data!$DK:$DK)+'Rate History'!$C$21*SUMIF(Data!$G:$G,Neutral!$A51,Data!$DL:$DL)+'Rate History'!$C$22*SUMIF(Data!$G:$G,Neutral!$A51,Data!$DM:$DM)+'Rate History'!$C$23*SUMIF(Data!$G:$G,Neutral!$A51,Data!$DN:$DN)+'Rate History'!$C$24*SUMIF(Data!$G:$G,Neutral!$A51,Data!$DO:$DO)+'Rate History'!$C$25*SUMIF(Data!$G:$G,Neutral!$A51,Data!$DP:$DP)+'Rate History'!$C$26*SUMIF(Data!$G:$G,Neutral!$A51,Data!$DQ:$DQ)+'Rate History'!$C$27*SUMIF(Data!$G:$G,Neutral!$A51,Data!$DR:$DR)+'Rate History'!$C$28*SUMIF(Data!$G:$G,Neutral!$A51,Data!$DS:$DS)+'Rate History'!$C$29*SUMIF(Data!$G:$G,Neutral!$A51,Data!$DT:$DT)+'Rate History'!$C$30*SUMIF(Data!$G:$G,Neutral!$A51,Data!$DV:$DV)+'Rate History'!$C$31*SUMIF(Data!$G:$G,Neutral!$A51,Data!$DW:$DW))</f>
        <v>5598145.0468433863</v>
      </c>
      <c r="D51" s="98">
        <f t="shared" si="1"/>
        <v>-14012.434542902745</v>
      </c>
      <c r="E51" s="100">
        <f t="shared" si="0"/>
        <v>-2.4967999542738167E-3</v>
      </c>
    </row>
    <row r="52" spans="1:5" x14ac:dyDescent="0.25">
      <c r="A52" s="93" t="s">
        <v>414</v>
      </c>
      <c r="B52" s="113">
        <f>$B$5*('Rate History'!$D$4*SUMIF(Data!$G:$G,Neutral!$A52,Data!$CU:$CU)+'Rate History'!$D$5*SUMIF(Data!$G:$G,Neutral!$A52,Data!$CV:$CV)+'Rate History'!$D$6*SUMIF(Data!$G:$G,Neutral!$A52,Data!$CW:$CW)+'Rate History'!$D$7*SUMIF(Data!$G:$G,Neutral!$A52,Data!$CX:$CX)+'Rate History'!$D$8*SUMIF(Data!$G:$G,Neutral!$A52,Data!$CY:$CY)+'Rate History'!$D$9*SUMIF(Data!$G:$G,Neutral!$A52,Data!$CZ:$CZ)+'Rate History'!$D$10*SUMIF(Data!$G:$G,Neutral!$A52,Data!$DA:$DA)+'Rate History'!$D$11*SUMIF(Data!$G:$G,Neutral!$A52,Data!$DB:$DB)+'Rate History'!$D$12*SUMIF(Data!$G:$G,Neutral!$A52,Data!$DC:$DC)+'Rate History'!$D$13*SUMIF(Data!$G:$G,Neutral!$A52,Data!$DD:$DD)+'Rate History'!$D$14*SUMIF(Data!$G:$G,Neutral!$A52,Data!$DE:$DE)+'Rate History'!$D$15*SUMIF(Data!$G:$G,Neutral!$A52,Data!$DF:$DF)+'Rate History'!$D$16*SUMIF(Data!$G:$G,Neutral!$A52,Data!$DG:$DG)+'Rate History'!$D$17*SUMIF(Data!$G:$G,Neutral!$A52,Data!$DH:$DH)+'Rate History'!$D$18*SUMIF(Data!$G:$G,Neutral!$A52,Data!$DI:$DI)+'Rate History'!$D$19*SUMIF(Data!$G:$G,Neutral!$A52,Data!$DJ:$DJ)+'Rate History'!$D$20*SUMIF(Data!$G:$G,Neutral!$A52,Data!$DK:$DK)+'Rate History'!$D$21*SUMIF(Data!$G:$G,Neutral!$A52,Data!$DL:$DL)+'Rate History'!$D$22*SUMIF(Data!$G:$G,Neutral!$A52,Data!$DM:$DM)+'Rate History'!$D$23*SUMIF(Data!$G:$G,Neutral!$A52,Data!$DN:$DN)+'Rate History'!$D$24*SUMIF(Data!$G:$G,Neutral!$A52,Data!$DO:$DO)+'Rate History'!$D$25*SUMIF(Data!$G:$G,Neutral!$A52,Data!$DP:$DP)+'Rate History'!$D$26*SUMIF(Data!$G:$G,Neutral!$A52,Data!$DQ:$DQ)+'Rate History'!$D$27*SUMIF(Data!$G:$G,Neutral!$A52,Data!$DR:$DR)+'Rate History'!$D$28*SUMIF(Data!$G:$G,Neutral!$A52,Data!$DS:$DS)+'Rate History'!$D$29*SUMIF(Data!$G:$G,Neutral!$A52,Data!$DT:$DT)+'Rate History'!$D$30*SUMIF(Data!$G:$G,Neutral!$A52,Data!$DV:$DV)+'Rate History'!$D$31*SUMIF(Data!$G:$G,Neutral!$A52,Data!$DW:$DW))</f>
        <v>6589743.3931719083</v>
      </c>
      <c r="C52" s="113">
        <f>$C$5*('Rate History'!$C$4*SUMIF(Data!$G:$G,Neutral!$A52,Data!$CU:$CU)+'Rate History'!$C$5*SUMIF(Data!$G:$G,Neutral!$A52,Data!$CV:$CV)+'Rate History'!$C$6*SUMIF(Data!$G:$G,Neutral!$A52,Data!$CW:$CW)+'Rate History'!$C$7*SUMIF(Data!$G:$G,Neutral!$A52,Data!$CX:$CX)+'Rate History'!$C$8*SUMIF(Data!$G:$G,Neutral!$A52,Data!$CY:$CY)+'Rate History'!$C$9*SUMIF(Data!$G:$G,Neutral!$A52,Data!$CZ:$CZ)+'Rate History'!$C$10*SUMIF(Data!$G:$G,Neutral!$A52,Data!$DA:$DA)+'Rate History'!$C$11*SUMIF(Data!$G:$G,Neutral!$A52,Data!$DB:$DB)+'Rate History'!$C$12*SUMIF(Data!$G:$G,Neutral!$A52,Data!$DC:$DC)+'Rate History'!$C$13*SUMIF(Data!$G:$G,Neutral!$A52,Data!$DD:$DD)+'Rate History'!$C$14*SUMIF(Data!$G:$G,Neutral!$A52,Data!$DE:$DE)+'Rate History'!$C$15*SUMIF(Data!$G:$G,Neutral!$A52,Data!$DF:$DF)+'Rate History'!$C$16*SUMIF(Data!$G:$G,Neutral!$A52,Data!$DG:$DG)+'Rate History'!$C$17*SUMIF(Data!$G:$G,Neutral!$A52,Data!$DH:$DH)+'Rate History'!$C$18*SUMIF(Data!$G:$G,Neutral!$A52,Data!$DI:$DI)+'Rate History'!$C$19*SUMIF(Data!$G:$G,Neutral!$A52,Data!$DJ:$DJ)+'Rate History'!$C$20*SUMIF(Data!$G:$G,Neutral!$A52,Data!$DK:$DK)+'Rate History'!$C$21*SUMIF(Data!$G:$G,Neutral!$A52,Data!$DL:$DL)+'Rate History'!$C$22*SUMIF(Data!$G:$G,Neutral!$A52,Data!$DM:$DM)+'Rate History'!$C$23*SUMIF(Data!$G:$G,Neutral!$A52,Data!$DN:$DN)+'Rate History'!$C$24*SUMIF(Data!$G:$G,Neutral!$A52,Data!$DO:$DO)+'Rate History'!$C$25*SUMIF(Data!$G:$G,Neutral!$A52,Data!$DP:$DP)+'Rate History'!$C$26*SUMIF(Data!$G:$G,Neutral!$A52,Data!$DQ:$DQ)+'Rate History'!$C$27*SUMIF(Data!$G:$G,Neutral!$A52,Data!$DR:$DR)+'Rate History'!$C$28*SUMIF(Data!$G:$G,Neutral!$A52,Data!$DS:$DS)+'Rate History'!$C$29*SUMIF(Data!$G:$G,Neutral!$A52,Data!$DT:$DT)+'Rate History'!$C$30*SUMIF(Data!$G:$G,Neutral!$A52,Data!$DV:$DV)+'Rate History'!$C$31*SUMIF(Data!$G:$G,Neutral!$A52,Data!$DW:$DW))</f>
        <v>6543603.4389270833</v>
      </c>
      <c r="D52" s="98">
        <f t="shared" si="1"/>
        <v>-46139.954244825058</v>
      </c>
      <c r="E52" s="100">
        <f t="shared" si="0"/>
        <v>-7.0017831487389744E-3</v>
      </c>
    </row>
    <row r="53" spans="1:5" x14ac:dyDescent="0.25">
      <c r="A53" s="93" t="s">
        <v>416</v>
      </c>
      <c r="B53" s="113">
        <f>$B$5*('Rate History'!$D$4*SUMIF(Data!$G:$G,Neutral!$A53,Data!$CU:$CU)+'Rate History'!$D$5*SUMIF(Data!$G:$G,Neutral!$A53,Data!$CV:$CV)+'Rate History'!$D$6*SUMIF(Data!$G:$G,Neutral!$A53,Data!$CW:$CW)+'Rate History'!$D$7*SUMIF(Data!$G:$G,Neutral!$A53,Data!$CX:$CX)+'Rate History'!$D$8*SUMIF(Data!$G:$G,Neutral!$A53,Data!$CY:$CY)+'Rate History'!$D$9*SUMIF(Data!$G:$G,Neutral!$A53,Data!$CZ:$CZ)+'Rate History'!$D$10*SUMIF(Data!$G:$G,Neutral!$A53,Data!$DA:$DA)+'Rate History'!$D$11*SUMIF(Data!$G:$G,Neutral!$A53,Data!$DB:$DB)+'Rate History'!$D$12*SUMIF(Data!$G:$G,Neutral!$A53,Data!$DC:$DC)+'Rate History'!$D$13*SUMIF(Data!$G:$G,Neutral!$A53,Data!$DD:$DD)+'Rate History'!$D$14*SUMIF(Data!$G:$G,Neutral!$A53,Data!$DE:$DE)+'Rate History'!$D$15*SUMIF(Data!$G:$G,Neutral!$A53,Data!$DF:$DF)+'Rate History'!$D$16*SUMIF(Data!$G:$G,Neutral!$A53,Data!$DG:$DG)+'Rate History'!$D$17*SUMIF(Data!$G:$G,Neutral!$A53,Data!$DH:$DH)+'Rate History'!$D$18*SUMIF(Data!$G:$G,Neutral!$A53,Data!$DI:$DI)+'Rate History'!$D$19*SUMIF(Data!$G:$G,Neutral!$A53,Data!$DJ:$DJ)+'Rate History'!$D$20*SUMIF(Data!$G:$G,Neutral!$A53,Data!$DK:$DK)+'Rate History'!$D$21*SUMIF(Data!$G:$G,Neutral!$A53,Data!$DL:$DL)+'Rate History'!$D$22*SUMIF(Data!$G:$G,Neutral!$A53,Data!$DM:$DM)+'Rate History'!$D$23*SUMIF(Data!$G:$G,Neutral!$A53,Data!$DN:$DN)+'Rate History'!$D$24*SUMIF(Data!$G:$G,Neutral!$A53,Data!$DO:$DO)+'Rate History'!$D$25*SUMIF(Data!$G:$G,Neutral!$A53,Data!$DP:$DP)+'Rate History'!$D$26*SUMIF(Data!$G:$G,Neutral!$A53,Data!$DQ:$DQ)+'Rate History'!$D$27*SUMIF(Data!$G:$G,Neutral!$A53,Data!$DR:$DR)+'Rate History'!$D$28*SUMIF(Data!$G:$G,Neutral!$A53,Data!$DS:$DS)+'Rate History'!$D$29*SUMIF(Data!$G:$G,Neutral!$A53,Data!$DT:$DT)+'Rate History'!$D$30*SUMIF(Data!$G:$G,Neutral!$A53,Data!$DV:$DV)+'Rate History'!$D$31*SUMIF(Data!$G:$G,Neutral!$A53,Data!$DW:$DW))</f>
        <v>7901837.3757371278</v>
      </c>
      <c r="C53" s="113">
        <f>$C$5*('Rate History'!$C$4*SUMIF(Data!$G:$G,Neutral!$A53,Data!$CU:$CU)+'Rate History'!$C$5*SUMIF(Data!$G:$G,Neutral!$A53,Data!$CV:$CV)+'Rate History'!$C$6*SUMIF(Data!$G:$G,Neutral!$A53,Data!$CW:$CW)+'Rate History'!$C$7*SUMIF(Data!$G:$G,Neutral!$A53,Data!$CX:$CX)+'Rate History'!$C$8*SUMIF(Data!$G:$G,Neutral!$A53,Data!$CY:$CY)+'Rate History'!$C$9*SUMIF(Data!$G:$G,Neutral!$A53,Data!$CZ:$CZ)+'Rate History'!$C$10*SUMIF(Data!$G:$G,Neutral!$A53,Data!$DA:$DA)+'Rate History'!$C$11*SUMIF(Data!$G:$G,Neutral!$A53,Data!$DB:$DB)+'Rate History'!$C$12*SUMIF(Data!$G:$G,Neutral!$A53,Data!$DC:$DC)+'Rate History'!$C$13*SUMIF(Data!$G:$G,Neutral!$A53,Data!$DD:$DD)+'Rate History'!$C$14*SUMIF(Data!$G:$G,Neutral!$A53,Data!$DE:$DE)+'Rate History'!$C$15*SUMIF(Data!$G:$G,Neutral!$A53,Data!$DF:$DF)+'Rate History'!$C$16*SUMIF(Data!$G:$G,Neutral!$A53,Data!$DG:$DG)+'Rate History'!$C$17*SUMIF(Data!$G:$G,Neutral!$A53,Data!$DH:$DH)+'Rate History'!$C$18*SUMIF(Data!$G:$G,Neutral!$A53,Data!$DI:$DI)+'Rate History'!$C$19*SUMIF(Data!$G:$G,Neutral!$A53,Data!$DJ:$DJ)+'Rate History'!$C$20*SUMIF(Data!$G:$G,Neutral!$A53,Data!$DK:$DK)+'Rate History'!$C$21*SUMIF(Data!$G:$G,Neutral!$A53,Data!$DL:$DL)+'Rate History'!$C$22*SUMIF(Data!$G:$G,Neutral!$A53,Data!$DM:$DM)+'Rate History'!$C$23*SUMIF(Data!$G:$G,Neutral!$A53,Data!$DN:$DN)+'Rate History'!$C$24*SUMIF(Data!$G:$G,Neutral!$A53,Data!$DO:$DO)+'Rate History'!$C$25*SUMIF(Data!$G:$G,Neutral!$A53,Data!$DP:$DP)+'Rate History'!$C$26*SUMIF(Data!$G:$G,Neutral!$A53,Data!$DQ:$DQ)+'Rate History'!$C$27*SUMIF(Data!$G:$G,Neutral!$A53,Data!$DR:$DR)+'Rate History'!$C$28*SUMIF(Data!$G:$G,Neutral!$A53,Data!$DS:$DS)+'Rate History'!$C$29*SUMIF(Data!$G:$G,Neutral!$A53,Data!$DT:$DT)+'Rate History'!$C$30*SUMIF(Data!$G:$G,Neutral!$A53,Data!$DV:$DV)+'Rate History'!$C$31*SUMIF(Data!$G:$G,Neutral!$A53,Data!$DW:$DW))</f>
        <v>7890869.5179209961</v>
      </c>
      <c r="D53" s="98">
        <f t="shared" si="1"/>
        <v>-10967.857816131786</v>
      </c>
      <c r="E53" s="100">
        <f t="shared" si="0"/>
        <v>-1.3880136093168637E-3</v>
      </c>
    </row>
    <row r="54" spans="1:5" x14ac:dyDescent="0.25">
      <c r="A54" s="93" t="s">
        <v>432</v>
      </c>
      <c r="B54" s="113">
        <f>$B$5*('Rate History'!$D$4*SUMIF(Data!$G:$G,Neutral!$A54,Data!$CU:$CU)+'Rate History'!$D$5*SUMIF(Data!$G:$G,Neutral!$A54,Data!$CV:$CV)+'Rate History'!$D$6*SUMIF(Data!$G:$G,Neutral!$A54,Data!$CW:$CW)+'Rate History'!$D$7*SUMIF(Data!$G:$G,Neutral!$A54,Data!$CX:$CX)+'Rate History'!$D$8*SUMIF(Data!$G:$G,Neutral!$A54,Data!$CY:$CY)+'Rate History'!$D$9*SUMIF(Data!$G:$G,Neutral!$A54,Data!$CZ:$CZ)+'Rate History'!$D$10*SUMIF(Data!$G:$G,Neutral!$A54,Data!$DA:$DA)+'Rate History'!$D$11*SUMIF(Data!$G:$G,Neutral!$A54,Data!$DB:$DB)+'Rate History'!$D$12*SUMIF(Data!$G:$G,Neutral!$A54,Data!$DC:$DC)+'Rate History'!$D$13*SUMIF(Data!$G:$G,Neutral!$A54,Data!$DD:$DD)+'Rate History'!$D$14*SUMIF(Data!$G:$G,Neutral!$A54,Data!$DE:$DE)+'Rate History'!$D$15*SUMIF(Data!$G:$G,Neutral!$A54,Data!$DF:$DF)+'Rate History'!$D$16*SUMIF(Data!$G:$G,Neutral!$A54,Data!$DG:$DG)+'Rate History'!$D$17*SUMIF(Data!$G:$G,Neutral!$A54,Data!$DH:$DH)+'Rate History'!$D$18*SUMIF(Data!$G:$G,Neutral!$A54,Data!$DI:$DI)+'Rate History'!$D$19*SUMIF(Data!$G:$G,Neutral!$A54,Data!$DJ:$DJ)+'Rate History'!$D$20*SUMIF(Data!$G:$G,Neutral!$A54,Data!$DK:$DK)+'Rate History'!$D$21*SUMIF(Data!$G:$G,Neutral!$A54,Data!$DL:$DL)+'Rate History'!$D$22*SUMIF(Data!$G:$G,Neutral!$A54,Data!$DM:$DM)+'Rate History'!$D$23*SUMIF(Data!$G:$G,Neutral!$A54,Data!$DN:$DN)+'Rate History'!$D$24*SUMIF(Data!$G:$G,Neutral!$A54,Data!$DO:$DO)+'Rate History'!$D$25*SUMIF(Data!$G:$G,Neutral!$A54,Data!$DP:$DP)+'Rate History'!$D$26*SUMIF(Data!$G:$G,Neutral!$A54,Data!$DQ:$DQ)+'Rate History'!$D$27*SUMIF(Data!$G:$G,Neutral!$A54,Data!$DR:$DR)+'Rate History'!$D$28*SUMIF(Data!$G:$G,Neutral!$A54,Data!$DS:$DS)+'Rate History'!$D$29*SUMIF(Data!$G:$G,Neutral!$A54,Data!$DT:$DT)+'Rate History'!$D$30*SUMIF(Data!$G:$G,Neutral!$A54,Data!$DV:$DV)+'Rate History'!$D$31*SUMIF(Data!$G:$G,Neutral!$A54,Data!$DW:$DW))</f>
        <v>2373242.4760282692</v>
      </c>
      <c r="C54" s="113">
        <f>$C$5*('Rate History'!$C$4*SUMIF(Data!$G:$G,Neutral!$A54,Data!$CU:$CU)+'Rate History'!$C$5*SUMIF(Data!$G:$G,Neutral!$A54,Data!$CV:$CV)+'Rate History'!$C$6*SUMIF(Data!$G:$G,Neutral!$A54,Data!$CW:$CW)+'Rate History'!$C$7*SUMIF(Data!$G:$G,Neutral!$A54,Data!$CX:$CX)+'Rate History'!$C$8*SUMIF(Data!$G:$G,Neutral!$A54,Data!$CY:$CY)+'Rate History'!$C$9*SUMIF(Data!$G:$G,Neutral!$A54,Data!$CZ:$CZ)+'Rate History'!$C$10*SUMIF(Data!$G:$G,Neutral!$A54,Data!$DA:$DA)+'Rate History'!$C$11*SUMIF(Data!$G:$G,Neutral!$A54,Data!$DB:$DB)+'Rate History'!$C$12*SUMIF(Data!$G:$G,Neutral!$A54,Data!$DC:$DC)+'Rate History'!$C$13*SUMIF(Data!$G:$G,Neutral!$A54,Data!$DD:$DD)+'Rate History'!$C$14*SUMIF(Data!$G:$G,Neutral!$A54,Data!$DE:$DE)+'Rate History'!$C$15*SUMIF(Data!$G:$G,Neutral!$A54,Data!$DF:$DF)+'Rate History'!$C$16*SUMIF(Data!$G:$G,Neutral!$A54,Data!$DG:$DG)+'Rate History'!$C$17*SUMIF(Data!$G:$G,Neutral!$A54,Data!$DH:$DH)+'Rate History'!$C$18*SUMIF(Data!$G:$G,Neutral!$A54,Data!$DI:$DI)+'Rate History'!$C$19*SUMIF(Data!$G:$G,Neutral!$A54,Data!$DJ:$DJ)+'Rate History'!$C$20*SUMIF(Data!$G:$G,Neutral!$A54,Data!$DK:$DK)+'Rate History'!$C$21*SUMIF(Data!$G:$G,Neutral!$A54,Data!$DL:$DL)+'Rate History'!$C$22*SUMIF(Data!$G:$G,Neutral!$A54,Data!$DM:$DM)+'Rate History'!$C$23*SUMIF(Data!$G:$G,Neutral!$A54,Data!$DN:$DN)+'Rate History'!$C$24*SUMIF(Data!$G:$G,Neutral!$A54,Data!$DO:$DO)+'Rate History'!$C$25*SUMIF(Data!$G:$G,Neutral!$A54,Data!$DP:$DP)+'Rate History'!$C$26*SUMIF(Data!$G:$G,Neutral!$A54,Data!$DQ:$DQ)+'Rate History'!$C$27*SUMIF(Data!$G:$G,Neutral!$A54,Data!$DR:$DR)+'Rate History'!$C$28*SUMIF(Data!$G:$G,Neutral!$A54,Data!$DS:$DS)+'Rate History'!$C$29*SUMIF(Data!$G:$G,Neutral!$A54,Data!$DT:$DT)+'Rate History'!$C$30*SUMIF(Data!$G:$G,Neutral!$A54,Data!$DV:$DV)+'Rate History'!$C$31*SUMIF(Data!$G:$G,Neutral!$A54,Data!$DW:$DW))</f>
        <v>2366052.8752294127</v>
      </c>
      <c r="D54" s="98">
        <f t="shared" si="1"/>
        <v>-7189.600798856467</v>
      </c>
      <c r="E54" s="100">
        <f t="shared" si="0"/>
        <v>-3.0294421541319267E-3</v>
      </c>
    </row>
    <row r="55" spans="1:5" x14ac:dyDescent="0.25">
      <c r="A55" s="93" t="s">
        <v>418</v>
      </c>
      <c r="B55" s="113">
        <f>$B$5*('Rate History'!$D$4*SUMIF(Data!$G:$G,Neutral!$A55,Data!$CU:$CU)+'Rate History'!$D$5*SUMIF(Data!$G:$G,Neutral!$A55,Data!$CV:$CV)+'Rate History'!$D$6*SUMIF(Data!$G:$G,Neutral!$A55,Data!$CW:$CW)+'Rate History'!$D$7*SUMIF(Data!$G:$G,Neutral!$A55,Data!$CX:$CX)+'Rate History'!$D$8*SUMIF(Data!$G:$G,Neutral!$A55,Data!$CY:$CY)+'Rate History'!$D$9*SUMIF(Data!$G:$G,Neutral!$A55,Data!$CZ:$CZ)+'Rate History'!$D$10*SUMIF(Data!$G:$G,Neutral!$A55,Data!$DA:$DA)+'Rate History'!$D$11*SUMIF(Data!$G:$G,Neutral!$A55,Data!$DB:$DB)+'Rate History'!$D$12*SUMIF(Data!$G:$G,Neutral!$A55,Data!$DC:$DC)+'Rate History'!$D$13*SUMIF(Data!$G:$G,Neutral!$A55,Data!$DD:$DD)+'Rate History'!$D$14*SUMIF(Data!$G:$G,Neutral!$A55,Data!$DE:$DE)+'Rate History'!$D$15*SUMIF(Data!$G:$G,Neutral!$A55,Data!$DF:$DF)+'Rate History'!$D$16*SUMIF(Data!$G:$G,Neutral!$A55,Data!$DG:$DG)+'Rate History'!$D$17*SUMIF(Data!$G:$G,Neutral!$A55,Data!$DH:$DH)+'Rate History'!$D$18*SUMIF(Data!$G:$G,Neutral!$A55,Data!$DI:$DI)+'Rate History'!$D$19*SUMIF(Data!$G:$G,Neutral!$A55,Data!$DJ:$DJ)+'Rate History'!$D$20*SUMIF(Data!$G:$G,Neutral!$A55,Data!$DK:$DK)+'Rate History'!$D$21*SUMIF(Data!$G:$G,Neutral!$A55,Data!$DL:$DL)+'Rate History'!$D$22*SUMIF(Data!$G:$G,Neutral!$A55,Data!$DM:$DM)+'Rate History'!$D$23*SUMIF(Data!$G:$G,Neutral!$A55,Data!$DN:$DN)+'Rate History'!$D$24*SUMIF(Data!$G:$G,Neutral!$A55,Data!$DO:$DO)+'Rate History'!$D$25*SUMIF(Data!$G:$G,Neutral!$A55,Data!$DP:$DP)+'Rate History'!$D$26*SUMIF(Data!$G:$G,Neutral!$A55,Data!$DQ:$DQ)+'Rate History'!$D$27*SUMIF(Data!$G:$G,Neutral!$A55,Data!$DR:$DR)+'Rate History'!$D$28*SUMIF(Data!$G:$G,Neutral!$A55,Data!$DS:$DS)+'Rate History'!$D$29*SUMIF(Data!$G:$G,Neutral!$A55,Data!$DT:$DT)+'Rate History'!$D$30*SUMIF(Data!$G:$G,Neutral!$A55,Data!$DV:$DV)+'Rate History'!$D$31*SUMIF(Data!$G:$G,Neutral!$A55,Data!$DW:$DW))</f>
        <v>8654399.503559228</v>
      </c>
      <c r="C55" s="113">
        <f>$C$5*('Rate History'!$C$4*SUMIF(Data!$G:$G,Neutral!$A55,Data!$CU:$CU)+'Rate History'!$C$5*SUMIF(Data!$G:$G,Neutral!$A55,Data!$CV:$CV)+'Rate History'!$C$6*SUMIF(Data!$G:$G,Neutral!$A55,Data!$CW:$CW)+'Rate History'!$C$7*SUMIF(Data!$G:$G,Neutral!$A55,Data!$CX:$CX)+'Rate History'!$C$8*SUMIF(Data!$G:$G,Neutral!$A55,Data!$CY:$CY)+'Rate History'!$C$9*SUMIF(Data!$G:$G,Neutral!$A55,Data!$CZ:$CZ)+'Rate History'!$C$10*SUMIF(Data!$G:$G,Neutral!$A55,Data!$DA:$DA)+'Rate History'!$C$11*SUMIF(Data!$G:$G,Neutral!$A55,Data!$DB:$DB)+'Rate History'!$C$12*SUMIF(Data!$G:$G,Neutral!$A55,Data!$DC:$DC)+'Rate History'!$C$13*SUMIF(Data!$G:$G,Neutral!$A55,Data!$DD:$DD)+'Rate History'!$C$14*SUMIF(Data!$G:$G,Neutral!$A55,Data!$DE:$DE)+'Rate History'!$C$15*SUMIF(Data!$G:$G,Neutral!$A55,Data!$DF:$DF)+'Rate History'!$C$16*SUMIF(Data!$G:$G,Neutral!$A55,Data!$DG:$DG)+'Rate History'!$C$17*SUMIF(Data!$G:$G,Neutral!$A55,Data!$DH:$DH)+'Rate History'!$C$18*SUMIF(Data!$G:$G,Neutral!$A55,Data!$DI:$DI)+'Rate History'!$C$19*SUMIF(Data!$G:$G,Neutral!$A55,Data!$DJ:$DJ)+'Rate History'!$C$20*SUMIF(Data!$G:$G,Neutral!$A55,Data!$DK:$DK)+'Rate History'!$C$21*SUMIF(Data!$G:$G,Neutral!$A55,Data!$DL:$DL)+'Rate History'!$C$22*SUMIF(Data!$G:$G,Neutral!$A55,Data!$DM:$DM)+'Rate History'!$C$23*SUMIF(Data!$G:$G,Neutral!$A55,Data!$DN:$DN)+'Rate History'!$C$24*SUMIF(Data!$G:$G,Neutral!$A55,Data!$DO:$DO)+'Rate History'!$C$25*SUMIF(Data!$G:$G,Neutral!$A55,Data!$DP:$DP)+'Rate History'!$C$26*SUMIF(Data!$G:$G,Neutral!$A55,Data!$DQ:$DQ)+'Rate History'!$C$27*SUMIF(Data!$G:$G,Neutral!$A55,Data!$DR:$DR)+'Rate History'!$C$28*SUMIF(Data!$G:$G,Neutral!$A55,Data!$DS:$DS)+'Rate History'!$C$29*SUMIF(Data!$G:$G,Neutral!$A55,Data!$DT:$DT)+'Rate History'!$C$30*SUMIF(Data!$G:$G,Neutral!$A55,Data!$DV:$DV)+'Rate History'!$C$31*SUMIF(Data!$G:$G,Neutral!$A55,Data!$DW:$DW))</f>
        <v>8661903.1865232754</v>
      </c>
      <c r="D55" s="98">
        <f t="shared" si="1"/>
        <v>7503.682964047417</v>
      </c>
      <c r="E55" s="100">
        <f t="shared" si="0"/>
        <v>8.6703681300608266E-4</v>
      </c>
    </row>
    <row r="56" spans="1:5" x14ac:dyDescent="0.25">
      <c r="A56" s="91" t="s">
        <v>457</v>
      </c>
      <c r="B56" s="113">
        <f>$B$5*('Rate History'!$D$4*SUMIF(Data!$G:$G,Neutral!$A56,Data!$CU:$CU)+'Rate History'!$D$5*SUMIF(Data!$G:$G,Neutral!$A56,Data!$CV:$CV)+'Rate History'!$D$6*SUMIF(Data!$G:$G,Neutral!$A56,Data!$CW:$CW)+'Rate History'!$D$7*SUMIF(Data!$G:$G,Neutral!$A56,Data!$CX:$CX)+'Rate History'!$D$8*SUMIF(Data!$G:$G,Neutral!$A56,Data!$CY:$CY)+'Rate History'!$D$9*SUMIF(Data!$G:$G,Neutral!$A56,Data!$CZ:$CZ)+'Rate History'!$D$10*SUMIF(Data!$G:$G,Neutral!$A56,Data!$DA:$DA)+'Rate History'!$D$11*SUMIF(Data!$G:$G,Neutral!$A56,Data!$DB:$DB)+'Rate History'!$D$12*SUMIF(Data!$G:$G,Neutral!$A56,Data!$DC:$DC)+'Rate History'!$D$13*SUMIF(Data!$G:$G,Neutral!$A56,Data!$DD:$DD)+'Rate History'!$D$14*SUMIF(Data!$G:$G,Neutral!$A56,Data!$DE:$DE)+'Rate History'!$D$15*SUMIF(Data!$G:$G,Neutral!$A56,Data!$DF:$DF)+'Rate History'!$D$16*SUMIF(Data!$G:$G,Neutral!$A56,Data!$DG:$DG)+'Rate History'!$D$17*SUMIF(Data!$G:$G,Neutral!$A56,Data!$DH:$DH)+'Rate History'!$D$18*SUMIF(Data!$G:$G,Neutral!$A56,Data!$DI:$DI)+'Rate History'!$D$19*SUMIF(Data!$G:$G,Neutral!$A56,Data!$DJ:$DJ)+'Rate History'!$D$20*SUMIF(Data!$G:$G,Neutral!$A56,Data!$DK:$DK)+'Rate History'!$D$21*SUMIF(Data!$G:$G,Neutral!$A56,Data!$DL:$DL)+'Rate History'!$D$22*SUMIF(Data!$G:$G,Neutral!$A56,Data!$DM:$DM)+'Rate History'!$D$23*SUMIF(Data!$G:$G,Neutral!$A56,Data!$DN:$DN)+'Rate History'!$D$24*SUMIF(Data!$G:$G,Neutral!$A56,Data!$DO:$DO)+'Rate History'!$D$25*SUMIF(Data!$G:$G,Neutral!$A56,Data!$DP:$DP)+'Rate History'!$D$26*SUMIF(Data!$G:$G,Neutral!$A56,Data!$DQ:$DQ)+'Rate History'!$D$27*SUMIF(Data!$G:$G,Neutral!$A56,Data!$DR:$DR)+'Rate History'!$D$28*SUMIF(Data!$G:$G,Neutral!$A56,Data!$DS:$DS)+'Rate History'!$D$29*SUMIF(Data!$G:$G,Neutral!$A56,Data!$DT:$DT)+'Rate History'!$D$30*SUMIF(Data!$G:$G,Neutral!$A56,Data!$DV:$DV)+'Rate History'!$D$31*SUMIF(Data!$G:$G,Neutral!$A56,Data!$DW:$DW))</f>
        <v>1936513.4428141539</v>
      </c>
      <c r="C56" s="113">
        <f>$C$5*('Rate History'!$C$4*SUMIF(Data!$G:$G,Neutral!$A56,Data!$CU:$CU)+'Rate History'!$C$5*SUMIF(Data!$G:$G,Neutral!$A56,Data!$CV:$CV)+'Rate History'!$C$6*SUMIF(Data!$G:$G,Neutral!$A56,Data!$CW:$CW)+'Rate History'!$C$7*SUMIF(Data!$G:$G,Neutral!$A56,Data!$CX:$CX)+'Rate History'!$C$8*SUMIF(Data!$G:$G,Neutral!$A56,Data!$CY:$CY)+'Rate History'!$C$9*SUMIF(Data!$G:$G,Neutral!$A56,Data!$CZ:$CZ)+'Rate History'!$C$10*SUMIF(Data!$G:$G,Neutral!$A56,Data!$DA:$DA)+'Rate History'!$C$11*SUMIF(Data!$G:$G,Neutral!$A56,Data!$DB:$DB)+'Rate History'!$C$12*SUMIF(Data!$G:$G,Neutral!$A56,Data!$DC:$DC)+'Rate History'!$C$13*SUMIF(Data!$G:$G,Neutral!$A56,Data!$DD:$DD)+'Rate History'!$C$14*SUMIF(Data!$G:$G,Neutral!$A56,Data!$DE:$DE)+'Rate History'!$C$15*SUMIF(Data!$G:$G,Neutral!$A56,Data!$DF:$DF)+'Rate History'!$C$16*SUMIF(Data!$G:$G,Neutral!$A56,Data!$DG:$DG)+'Rate History'!$C$17*SUMIF(Data!$G:$G,Neutral!$A56,Data!$DH:$DH)+'Rate History'!$C$18*SUMIF(Data!$G:$G,Neutral!$A56,Data!$DI:$DI)+'Rate History'!$C$19*SUMIF(Data!$G:$G,Neutral!$A56,Data!$DJ:$DJ)+'Rate History'!$C$20*SUMIF(Data!$G:$G,Neutral!$A56,Data!$DK:$DK)+'Rate History'!$C$21*SUMIF(Data!$G:$G,Neutral!$A56,Data!$DL:$DL)+'Rate History'!$C$22*SUMIF(Data!$G:$G,Neutral!$A56,Data!$DM:$DM)+'Rate History'!$C$23*SUMIF(Data!$G:$G,Neutral!$A56,Data!$DN:$DN)+'Rate History'!$C$24*SUMIF(Data!$G:$G,Neutral!$A56,Data!$DO:$DO)+'Rate History'!$C$25*SUMIF(Data!$G:$G,Neutral!$A56,Data!$DP:$DP)+'Rate History'!$C$26*SUMIF(Data!$G:$G,Neutral!$A56,Data!$DQ:$DQ)+'Rate History'!$C$27*SUMIF(Data!$G:$G,Neutral!$A56,Data!$DR:$DR)+'Rate History'!$C$28*SUMIF(Data!$G:$G,Neutral!$A56,Data!$DS:$DS)+'Rate History'!$C$29*SUMIF(Data!$G:$G,Neutral!$A56,Data!$DT:$DT)+'Rate History'!$C$30*SUMIF(Data!$G:$G,Neutral!$A56,Data!$DV:$DV)+'Rate History'!$C$31*SUMIF(Data!$G:$G,Neutral!$A56,Data!$DW:$DW))</f>
        <v>1978920.9199248871</v>
      </c>
      <c r="D56" s="98">
        <f t="shared" si="1"/>
        <v>42407.477110733278</v>
      </c>
      <c r="E56" s="100">
        <f t="shared" si="0"/>
        <v>2.1898880830440535E-2</v>
      </c>
    </row>
    <row r="57" spans="1:5" x14ac:dyDescent="0.25">
      <c r="A57" s="91" t="s">
        <v>430</v>
      </c>
      <c r="B57" s="113">
        <f>$B$5*('Rate History'!$D$4*SUMIF(Data!$G:$G,Neutral!$A57,Data!$CU:$CU)+'Rate History'!$D$5*SUMIF(Data!$G:$G,Neutral!$A57,Data!$CV:$CV)+'Rate History'!$D$6*SUMIF(Data!$G:$G,Neutral!$A57,Data!$CW:$CW)+'Rate History'!$D$7*SUMIF(Data!$G:$G,Neutral!$A57,Data!$CX:$CX)+'Rate History'!$D$8*SUMIF(Data!$G:$G,Neutral!$A57,Data!$CY:$CY)+'Rate History'!$D$9*SUMIF(Data!$G:$G,Neutral!$A57,Data!$CZ:$CZ)+'Rate History'!$D$10*SUMIF(Data!$G:$G,Neutral!$A57,Data!$DA:$DA)+'Rate History'!$D$11*SUMIF(Data!$G:$G,Neutral!$A57,Data!$DB:$DB)+'Rate History'!$D$12*SUMIF(Data!$G:$G,Neutral!$A57,Data!$DC:$DC)+'Rate History'!$D$13*SUMIF(Data!$G:$G,Neutral!$A57,Data!$DD:$DD)+'Rate History'!$D$14*SUMIF(Data!$G:$G,Neutral!$A57,Data!$DE:$DE)+'Rate History'!$D$15*SUMIF(Data!$G:$G,Neutral!$A57,Data!$DF:$DF)+'Rate History'!$D$16*SUMIF(Data!$G:$G,Neutral!$A57,Data!$DG:$DG)+'Rate History'!$D$17*SUMIF(Data!$G:$G,Neutral!$A57,Data!$DH:$DH)+'Rate History'!$D$18*SUMIF(Data!$G:$G,Neutral!$A57,Data!$DI:$DI)+'Rate History'!$D$19*SUMIF(Data!$G:$G,Neutral!$A57,Data!$DJ:$DJ)+'Rate History'!$D$20*SUMIF(Data!$G:$G,Neutral!$A57,Data!$DK:$DK)+'Rate History'!$D$21*SUMIF(Data!$G:$G,Neutral!$A57,Data!$DL:$DL)+'Rate History'!$D$22*SUMIF(Data!$G:$G,Neutral!$A57,Data!$DM:$DM)+'Rate History'!$D$23*SUMIF(Data!$G:$G,Neutral!$A57,Data!$DN:$DN)+'Rate History'!$D$24*SUMIF(Data!$G:$G,Neutral!$A57,Data!$DO:$DO)+'Rate History'!$D$25*SUMIF(Data!$G:$G,Neutral!$A57,Data!$DP:$DP)+'Rate History'!$D$26*SUMIF(Data!$G:$G,Neutral!$A57,Data!$DQ:$DQ)+'Rate History'!$D$27*SUMIF(Data!$G:$G,Neutral!$A57,Data!$DR:$DR)+'Rate History'!$D$28*SUMIF(Data!$G:$G,Neutral!$A57,Data!$DS:$DS)+'Rate History'!$D$29*SUMIF(Data!$G:$G,Neutral!$A57,Data!$DT:$DT)+'Rate History'!$D$30*SUMIF(Data!$G:$G,Neutral!$A57,Data!$DV:$DV)+'Rate History'!$D$31*SUMIF(Data!$G:$G,Neutral!$A57,Data!$DW:$DW))</f>
        <v>11150480.030367626</v>
      </c>
      <c r="C57" s="113">
        <f>$C$5*('Rate History'!$C$4*SUMIF(Data!$G:$G,Neutral!$A57,Data!$CU:$CU)+'Rate History'!$C$5*SUMIF(Data!$G:$G,Neutral!$A57,Data!$CV:$CV)+'Rate History'!$C$6*SUMIF(Data!$G:$G,Neutral!$A57,Data!$CW:$CW)+'Rate History'!$C$7*SUMIF(Data!$G:$G,Neutral!$A57,Data!$CX:$CX)+'Rate History'!$C$8*SUMIF(Data!$G:$G,Neutral!$A57,Data!$CY:$CY)+'Rate History'!$C$9*SUMIF(Data!$G:$G,Neutral!$A57,Data!$CZ:$CZ)+'Rate History'!$C$10*SUMIF(Data!$G:$G,Neutral!$A57,Data!$DA:$DA)+'Rate History'!$C$11*SUMIF(Data!$G:$G,Neutral!$A57,Data!$DB:$DB)+'Rate History'!$C$12*SUMIF(Data!$G:$G,Neutral!$A57,Data!$DC:$DC)+'Rate History'!$C$13*SUMIF(Data!$G:$G,Neutral!$A57,Data!$DD:$DD)+'Rate History'!$C$14*SUMIF(Data!$G:$G,Neutral!$A57,Data!$DE:$DE)+'Rate History'!$C$15*SUMIF(Data!$G:$G,Neutral!$A57,Data!$DF:$DF)+'Rate History'!$C$16*SUMIF(Data!$G:$G,Neutral!$A57,Data!$DG:$DG)+'Rate History'!$C$17*SUMIF(Data!$G:$G,Neutral!$A57,Data!$DH:$DH)+'Rate History'!$C$18*SUMIF(Data!$G:$G,Neutral!$A57,Data!$DI:$DI)+'Rate History'!$C$19*SUMIF(Data!$G:$G,Neutral!$A57,Data!$DJ:$DJ)+'Rate History'!$C$20*SUMIF(Data!$G:$G,Neutral!$A57,Data!$DK:$DK)+'Rate History'!$C$21*SUMIF(Data!$G:$G,Neutral!$A57,Data!$DL:$DL)+'Rate History'!$C$22*SUMIF(Data!$G:$G,Neutral!$A57,Data!$DM:$DM)+'Rate History'!$C$23*SUMIF(Data!$G:$G,Neutral!$A57,Data!$DN:$DN)+'Rate History'!$C$24*SUMIF(Data!$G:$G,Neutral!$A57,Data!$DO:$DO)+'Rate History'!$C$25*SUMIF(Data!$G:$G,Neutral!$A57,Data!$DP:$DP)+'Rate History'!$C$26*SUMIF(Data!$G:$G,Neutral!$A57,Data!$DQ:$DQ)+'Rate History'!$C$27*SUMIF(Data!$G:$G,Neutral!$A57,Data!$DR:$DR)+'Rate History'!$C$28*SUMIF(Data!$G:$G,Neutral!$A57,Data!$DS:$DS)+'Rate History'!$C$29*SUMIF(Data!$G:$G,Neutral!$A57,Data!$DT:$DT)+'Rate History'!$C$30*SUMIF(Data!$G:$G,Neutral!$A57,Data!$DV:$DV)+'Rate History'!$C$31*SUMIF(Data!$G:$G,Neutral!$A57,Data!$DW:$DW))</f>
        <v>11248683.706021236</v>
      </c>
      <c r="D57" s="98">
        <f t="shared" si="1"/>
        <v>98203.675653610379</v>
      </c>
      <c r="E57" s="100">
        <f t="shared" si="0"/>
        <v>8.8071253781145647E-3</v>
      </c>
    </row>
    <row r="58" spans="1:5" x14ac:dyDescent="0.25">
      <c r="A58" s="91" t="s">
        <v>408</v>
      </c>
      <c r="B58" s="113">
        <f>$B$5*('Rate History'!$D$4*SUMIF(Data!$G:$G,Neutral!$A58,Data!$CU:$CU)+'Rate History'!$D$5*SUMIF(Data!$G:$G,Neutral!$A58,Data!$CV:$CV)+'Rate History'!$D$6*SUMIF(Data!$G:$G,Neutral!$A58,Data!$CW:$CW)+'Rate History'!$D$7*SUMIF(Data!$G:$G,Neutral!$A58,Data!$CX:$CX)+'Rate History'!$D$8*SUMIF(Data!$G:$G,Neutral!$A58,Data!$CY:$CY)+'Rate History'!$D$9*SUMIF(Data!$G:$G,Neutral!$A58,Data!$CZ:$CZ)+'Rate History'!$D$10*SUMIF(Data!$G:$G,Neutral!$A58,Data!$DA:$DA)+'Rate History'!$D$11*SUMIF(Data!$G:$G,Neutral!$A58,Data!$DB:$DB)+'Rate History'!$D$12*SUMIF(Data!$G:$G,Neutral!$A58,Data!$DC:$DC)+'Rate History'!$D$13*SUMIF(Data!$G:$G,Neutral!$A58,Data!$DD:$DD)+'Rate History'!$D$14*SUMIF(Data!$G:$G,Neutral!$A58,Data!$DE:$DE)+'Rate History'!$D$15*SUMIF(Data!$G:$G,Neutral!$A58,Data!$DF:$DF)+'Rate History'!$D$16*SUMIF(Data!$G:$G,Neutral!$A58,Data!$DG:$DG)+'Rate History'!$D$17*SUMIF(Data!$G:$G,Neutral!$A58,Data!$DH:$DH)+'Rate History'!$D$18*SUMIF(Data!$G:$G,Neutral!$A58,Data!$DI:$DI)+'Rate History'!$D$19*SUMIF(Data!$G:$G,Neutral!$A58,Data!$DJ:$DJ)+'Rate History'!$D$20*SUMIF(Data!$G:$G,Neutral!$A58,Data!$DK:$DK)+'Rate History'!$D$21*SUMIF(Data!$G:$G,Neutral!$A58,Data!$DL:$DL)+'Rate History'!$D$22*SUMIF(Data!$G:$G,Neutral!$A58,Data!$DM:$DM)+'Rate History'!$D$23*SUMIF(Data!$G:$G,Neutral!$A58,Data!$DN:$DN)+'Rate History'!$D$24*SUMIF(Data!$G:$G,Neutral!$A58,Data!$DO:$DO)+'Rate History'!$D$25*SUMIF(Data!$G:$G,Neutral!$A58,Data!$DP:$DP)+'Rate History'!$D$26*SUMIF(Data!$G:$G,Neutral!$A58,Data!$DQ:$DQ)+'Rate History'!$D$27*SUMIF(Data!$G:$G,Neutral!$A58,Data!$DR:$DR)+'Rate History'!$D$28*SUMIF(Data!$G:$G,Neutral!$A58,Data!$DS:$DS)+'Rate History'!$D$29*SUMIF(Data!$G:$G,Neutral!$A58,Data!$DT:$DT)+'Rate History'!$D$30*SUMIF(Data!$G:$G,Neutral!$A58,Data!$DV:$DV)+'Rate History'!$D$31*SUMIF(Data!$G:$G,Neutral!$A58,Data!$DW:$DW))</f>
        <v>15878952.798083378</v>
      </c>
      <c r="C58" s="113">
        <f>$C$5*('Rate History'!$C$4*SUMIF(Data!$G:$G,Neutral!$A58,Data!$CU:$CU)+'Rate History'!$C$5*SUMIF(Data!$G:$G,Neutral!$A58,Data!$CV:$CV)+'Rate History'!$C$6*SUMIF(Data!$G:$G,Neutral!$A58,Data!$CW:$CW)+'Rate History'!$C$7*SUMIF(Data!$G:$G,Neutral!$A58,Data!$CX:$CX)+'Rate History'!$C$8*SUMIF(Data!$G:$G,Neutral!$A58,Data!$CY:$CY)+'Rate History'!$C$9*SUMIF(Data!$G:$G,Neutral!$A58,Data!$CZ:$CZ)+'Rate History'!$C$10*SUMIF(Data!$G:$G,Neutral!$A58,Data!$DA:$DA)+'Rate History'!$C$11*SUMIF(Data!$G:$G,Neutral!$A58,Data!$DB:$DB)+'Rate History'!$C$12*SUMIF(Data!$G:$G,Neutral!$A58,Data!$DC:$DC)+'Rate History'!$C$13*SUMIF(Data!$G:$G,Neutral!$A58,Data!$DD:$DD)+'Rate History'!$C$14*SUMIF(Data!$G:$G,Neutral!$A58,Data!$DE:$DE)+'Rate History'!$C$15*SUMIF(Data!$G:$G,Neutral!$A58,Data!$DF:$DF)+'Rate History'!$C$16*SUMIF(Data!$G:$G,Neutral!$A58,Data!$DG:$DG)+'Rate History'!$C$17*SUMIF(Data!$G:$G,Neutral!$A58,Data!$DH:$DH)+'Rate History'!$C$18*SUMIF(Data!$G:$G,Neutral!$A58,Data!$DI:$DI)+'Rate History'!$C$19*SUMIF(Data!$G:$G,Neutral!$A58,Data!$DJ:$DJ)+'Rate History'!$C$20*SUMIF(Data!$G:$G,Neutral!$A58,Data!$DK:$DK)+'Rate History'!$C$21*SUMIF(Data!$G:$G,Neutral!$A58,Data!$DL:$DL)+'Rate History'!$C$22*SUMIF(Data!$G:$G,Neutral!$A58,Data!$DM:$DM)+'Rate History'!$C$23*SUMIF(Data!$G:$G,Neutral!$A58,Data!$DN:$DN)+'Rate History'!$C$24*SUMIF(Data!$G:$G,Neutral!$A58,Data!$DO:$DO)+'Rate History'!$C$25*SUMIF(Data!$G:$G,Neutral!$A58,Data!$DP:$DP)+'Rate History'!$C$26*SUMIF(Data!$G:$G,Neutral!$A58,Data!$DQ:$DQ)+'Rate History'!$C$27*SUMIF(Data!$G:$G,Neutral!$A58,Data!$DR:$DR)+'Rate History'!$C$28*SUMIF(Data!$G:$G,Neutral!$A58,Data!$DS:$DS)+'Rate History'!$C$29*SUMIF(Data!$G:$G,Neutral!$A58,Data!$DT:$DT)+'Rate History'!$C$30*SUMIF(Data!$G:$G,Neutral!$A58,Data!$DV:$DV)+'Rate History'!$C$31*SUMIF(Data!$G:$G,Neutral!$A58,Data!$DW:$DW))</f>
        <v>16019119.287921408</v>
      </c>
      <c r="D58" s="98">
        <f t="shared" si="1"/>
        <v>140166.48983803019</v>
      </c>
      <c r="E58" s="100">
        <f t="shared" si="0"/>
        <v>8.8271872597888556E-3</v>
      </c>
    </row>
    <row r="59" spans="1:5" x14ac:dyDescent="0.25">
      <c r="A59" s="91" t="s">
        <v>436</v>
      </c>
      <c r="B59" s="113">
        <f>$B$5*('Rate History'!$D$4*SUMIF(Data!$G:$G,Neutral!$A59,Data!$CU:$CU)+'Rate History'!$D$5*SUMIF(Data!$G:$G,Neutral!$A59,Data!$CV:$CV)+'Rate History'!$D$6*SUMIF(Data!$G:$G,Neutral!$A59,Data!$CW:$CW)+'Rate History'!$D$7*SUMIF(Data!$G:$G,Neutral!$A59,Data!$CX:$CX)+'Rate History'!$D$8*SUMIF(Data!$G:$G,Neutral!$A59,Data!$CY:$CY)+'Rate History'!$D$9*SUMIF(Data!$G:$G,Neutral!$A59,Data!$CZ:$CZ)+'Rate History'!$D$10*SUMIF(Data!$G:$G,Neutral!$A59,Data!$DA:$DA)+'Rate History'!$D$11*SUMIF(Data!$G:$G,Neutral!$A59,Data!$DB:$DB)+'Rate History'!$D$12*SUMIF(Data!$G:$G,Neutral!$A59,Data!$DC:$DC)+'Rate History'!$D$13*SUMIF(Data!$G:$G,Neutral!$A59,Data!$DD:$DD)+'Rate History'!$D$14*SUMIF(Data!$G:$G,Neutral!$A59,Data!$DE:$DE)+'Rate History'!$D$15*SUMIF(Data!$G:$G,Neutral!$A59,Data!$DF:$DF)+'Rate History'!$D$16*SUMIF(Data!$G:$G,Neutral!$A59,Data!$DG:$DG)+'Rate History'!$D$17*SUMIF(Data!$G:$G,Neutral!$A59,Data!$DH:$DH)+'Rate History'!$D$18*SUMIF(Data!$G:$G,Neutral!$A59,Data!$DI:$DI)+'Rate History'!$D$19*SUMIF(Data!$G:$G,Neutral!$A59,Data!$DJ:$DJ)+'Rate History'!$D$20*SUMIF(Data!$G:$G,Neutral!$A59,Data!$DK:$DK)+'Rate History'!$D$21*SUMIF(Data!$G:$G,Neutral!$A59,Data!$DL:$DL)+'Rate History'!$D$22*SUMIF(Data!$G:$G,Neutral!$A59,Data!$DM:$DM)+'Rate History'!$D$23*SUMIF(Data!$G:$G,Neutral!$A59,Data!$DN:$DN)+'Rate History'!$D$24*SUMIF(Data!$G:$G,Neutral!$A59,Data!$DO:$DO)+'Rate History'!$D$25*SUMIF(Data!$G:$G,Neutral!$A59,Data!$DP:$DP)+'Rate History'!$D$26*SUMIF(Data!$G:$G,Neutral!$A59,Data!$DQ:$DQ)+'Rate History'!$D$27*SUMIF(Data!$G:$G,Neutral!$A59,Data!$DR:$DR)+'Rate History'!$D$28*SUMIF(Data!$G:$G,Neutral!$A59,Data!$DS:$DS)+'Rate History'!$D$29*SUMIF(Data!$G:$G,Neutral!$A59,Data!$DT:$DT)+'Rate History'!$D$30*SUMIF(Data!$G:$G,Neutral!$A59,Data!$DV:$DV)+'Rate History'!$D$31*SUMIF(Data!$G:$G,Neutral!$A59,Data!$DW:$DW))</f>
        <v>7387165.6738970438</v>
      </c>
      <c r="C59" s="113">
        <f>$C$5*('Rate History'!$C$4*SUMIF(Data!$G:$G,Neutral!$A59,Data!$CU:$CU)+'Rate History'!$C$5*SUMIF(Data!$G:$G,Neutral!$A59,Data!$CV:$CV)+'Rate History'!$C$6*SUMIF(Data!$G:$G,Neutral!$A59,Data!$CW:$CW)+'Rate History'!$C$7*SUMIF(Data!$G:$G,Neutral!$A59,Data!$CX:$CX)+'Rate History'!$C$8*SUMIF(Data!$G:$G,Neutral!$A59,Data!$CY:$CY)+'Rate History'!$C$9*SUMIF(Data!$G:$G,Neutral!$A59,Data!$CZ:$CZ)+'Rate History'!$C$10*SUMIF(Data!$G:$G,Neutral!$A59,Data!$DA:$DA)+'Rate History'!$C$11*SUMIF(Data!$G:$G,Neutral!$A59,Data!$DB:$DB)+'Rate History'!$C$12*SUMIF(Data!$G:$G,Neutral!$A59,Data!$DC:$DC)+'Rate History'!$C$13*SUMIF(Data!$G:$G,Neutral!$A59,Data!$DD:$DD)+'Rate History'!$C$14*SUMIF(Data!$G:$G,Neutral!$A59,Data!$DE:$DE)+'Rate History'!$C$15*SUMIF(Data!$G:$G,Neutral!$A59,Data!$DF:$DF)+'Rate History'!$C$16*SUMIF(Data!$G:$G,Neutral!$A59,Data!$DG:$DG)+'Rate History'!$C$17*SUMIF(Data!$G:$G,Neutral!$A59,Data!$DH:$DH)+'Rate History'!$C$18*SUMIF(Data!$G:$G,Neutral!$A59,Data!$DI:$DI)+'Rate History'!$C$19*SUMIF(Data!$G:$G,Neutral!$A59,Data!$DJ:$DJ)+'Rate History'!$C$20*SUMIF(Data!$G:$G,Neutral!$A59,Data!$DK:$DK)+'Rate History'!$C$21*SUMIF(Data!$G:$G,Neutral!$A59,Data!$DL:$DL)+'Rate History'!$C$22*SUMIF(Data!$G:$G,Neutral!$A59,Data!$DM:$DM)+'Rate History'!$C$23*SUMIF(Data!$G:$G,Neutral!$A59,Data!$DN:$DN)+'Rate History'!$C$24*SUMIF(Data!$G:$G,Neutral!$A59,Data!$DO:$DO)+'Rate History'!$C$25*SUMIF(Data!$G:$G,Neutral!$A59,Data!$DP:$DP)+'Rate History'!$C$26*SUMIF(Data!$G:$G,Neutral!$A59,Data!$DQ:$DQ)+'Rate History'!$C$27*SUMIF(Data!$G:$G,Neutral!$A59,Data!$DR:$DR)+'Rate History'!$C$28*SUMIF(Data!$G:$G,Neutral!$A59,Data!$DS:$DS)+'Rate History'!$C$29*SUMIF(Data!$G:$G,Neutral!$A59,Data!$DT:$DT)+'Rate History'!$C$30*SUMIF(Data!$G:$G,Neutral!$A59,Data!$DV:$DV)+'Rate History'!$C$31*SUMIF(Data!$G:$G,Neutral!$A59,Data!$DW:$DW))</f>
        <v>7426207.8281077137</v>
      </c>
      <c r="D59" s="98">
        <f t="shared" si="1"/>
        <v>39042.15421066992</v>
      </c>
      <c r="E59" s="100">
        <f t="shared" si="0"/>
        <v>5.2851331531154795E-3</v>
      </c>
    </row>
    <row r="60" spans="1:5" x14ac:dyDescent="0.25">
      <c r="A60" s="91" t="s">
        <v>458</v>
      </c>
      <c r="B60" s="113">
        <f>$B$5*('Rate History'!$D$4*SUMIF(Data!$G:$G,Neutral!$A60,Data!$CU:$CU)+'Rate History'!$D$5*SUMIF(Data!$G:$G,Neutral!$A60,Data!$CV:$CV)+'Rate History'!$D$6*SUMIF(Data!$G:$G,Neutral!$A60,Data!$CW:$CW)+'Rate History'!$D$7*SUMIF(Data!$G:$G,Neutral!$A60,Data!$CX:$CX)+'Rate History'!$D$8*SUMIF(Data!$G:$G,Neutral!$A60,Data!$CY:$CY)+'Rate History'!$D$9*SUMIF(Data!$G:$G,Neutral!$A60,Data!$CZ:$CZ)+'Rate History'!$D$10*SUMIF(Data!$G:$G,Neutral!$A60,Data!$DA:$DA)+'Rate History'!$D$11*SUMIF(Data!$G:$G,Neutral!$A60,Data!$DB:$DB)+'Rate History'!$D$12*SUMIF(Data!$G:$G,Neutral!$A60,Data!$DC:$DC)+'Rate History'!$D$13*SUMIF(Data!$G:$G,Neutral!$A60,Data!$DD:$DD)+'Rate History'!$D$14*SUMIF(Data!$G:$G,Neutral!$A60,Data!$DE:$DE)+'Rate History'!$D$15*SUMIF(Data!$G:$G,Neutral!$A60,Data!$DF:$DF)+'Rate History'!$D$16*SUMIF(Data!$G:$G,Neutral!$A60,Data!$DG:$DG)+'Rate History'!$D$17*SUMIF(Data!$G:$G,Neutral!$A60,Data!$DH:$DH)+'Rate History'!$D$18*SUMIF(Data!$G:$G,Neutral!$A60,Data!$DI:$DI)+'Rate History'!$D$19*SUMIF(Data!$G:$G,Neutral!$A60,Data!$DJ:$DJ)+'Rate History'!$D$20*SUMIF(Data!$G:$G,Neutral!$A60,Data!$DK:$DK)+'Rate History'!$D$21*SUMIF(Data!$G:$G,Neutral!$A60,Data!$DL:$DL)+'Rate History'!$D$22*SUMIF(Data!$G:$G,Neutral!$A60,Data!$DM:$DM)+'Rate History'!$D$23*SUMIF(Data!$G:$G,Neutral!$A60,Data!$DN:$DN)+'Rate History'!$D$24*SUMIF(Data!$G:$G,Neutral!$A60,Data!$DO:$DO)+'Rate History'!$D$25*SUMIF(Data!$G:$G,Neutral!$A60,Data!$DP:$DP)+'Rate History'!$D$26*SUMIF(Data!$G:$G,Neutral!$A60,Data!$DQ:$DQ)+'Rate History'!$D$27*SUMIF(Data!$G:$G,Neutral!$A60,Data!$DR:$DR)+'Rate History'!$D$28*SUMIF(Data!$G:$G,Neutral!$A60,Data!$DS:$DS)+'Rate History'!$D$29*SUMIF(Data!$G:$G,Neutral!$A60,Data!$DT:$DT)+'Rate History'!$D$30*SUMIF(Data!$G:$G,Neutral!$A60,Data!$DV:$DV)+'Rate History'!$D$31*SUMIF(Data!$G:$G,Neutral!$A60,Data!$DW:$DW))</f>
        <v>4570467.8260108856</v>
      </c>
      <c r="C60" s="113">
        <f>$C$5*('Rate History'!$C$4*SUMIF(Data!$G:$G,Neutral!$A60,Data!$CU:$CU)+'Rate History'!$C$5*SUMIF(Data!$G:$G,Neutral!$A60,Data!$CV:$CV)+'Rate History'!$C$6*SUMIF(Data!$G:$G,Neutral!$A60,Data!$CW:$CW)+'Rate History'!$C$7*SUMIF(Data!$G:$G,Neutral!$A60,Data!$CX:$CX)+'Rate History'!$C$8*SUMIF(Data!$G:$G,Neutral!$A60,Data!$CY:$CY)+'Rate History'!$C$9*SUMIF(Data!$G:$G,Neutral!$A60,Data!$CZ:$CZ)+'Rate History'!$C$10*SUMIF(Data!$G:$G,Neutral!$A60,Data!$DA:$DA)+'Rate History'!$C$11*SUMIF(Data!$G:$G,Neutral!$A60,Data!$DB:$DB)+'Rate History'!$C$12*SUMIF(Data!$G:$G,Neutral!$A60,Data!$DC:$DC)+'Rate History'!$C$13*SUMIF(Data!$G:$G,Neutral!$A60,Data!$DD:$DD)+'Rate History'!$C$14*SUMIF(Data!$G:$G,Neutral!$A60,Data!$DE:$DE)+'Rate History'!$C$15*SUMIF(Data!$G:$G,Neutral!$A60,Data!$DF:$DF)+'Rate History'!$C$16*SUMIF(Data!$G:$G,Neutral!$A60,Data!$DG:$DG)+'Rate History'!$C$17*SUMIF(Data!$G:$G,Neutral!$A60,Data!$DH:$DH)+'Rate History'!$C$18*SUMIF(Data!$G:$G,Neutral!$A60,Data!$DI:$DI)+'Rate History'!$C$19*SUMIF(Data!$G:$G,Neutral!$A60,Data!$DJ:$DJ)+'Rate History'!$C$20*SUMIF(Data!$G:$G,Neutral!$A60,Data!$DK:$DK)+'Rate History'!$C$21*SUMIF(Data!$G:$G,Neutral!$A60,Data!$DL:$DL)+'Rate History'!$C$22*SUMIF(Data!$G:$G,Neutral!$A60,Data!$DM:$DM)+'Rate History'!$C$23*SUMIF(Data!$G:$G,Neutral!$A60,Data!$DN:$DN)+'Rate History'!$C$24*SUMIF(Data!$G:$G,Neutral!$A60,Data!$DO:$DO)+'Rate History'!$C$25*SUMIF(Data!$G:$G,Neutral!$A60,Data!$DP:$DP)+'Rate History'!$C$26*SUMIF(Data!$G:$G,Neutral!$A60,Data!$DQ:$DQ)+'Rate History'!$C$27*SUMIF(Data!$G:$G,Neutral!$A60,Data!$DR:$DR)+'Rate History'!$C$28*SUMIF(Data!$G:$G,Neutral!$A60,Data!$DS:$DS)+'Rate History'!$C$29*SUMIF(Data!$G:$G,Neutral!$A60,Data!$DT:$DT)+'Rate History'!$C$30*SUMIF(Data!$G:$G,Neutral!$A60,Data!$DV:$DV)+'Rate History'!$C$31*SUMIF(Data!$G:$G,Neutral!$A60,Data!$DW:$DW))</f>
        <v>4626699.0803422406</v>
      </c>
      <c r="D60" s="98">
        <f t="shared" si="1"/>
        <v>56231.254331354983</v>
      </c>
      <c r="E60" s="100">
        <f t="shared" si="0"/>
        <v>1.230317255737773E-2</v>
      </c>
    </row>
    <row r="61" spans="1:5" x14ac:dyDescent="0.25">
      <c r="A61" s="91" t="s">
        <v>451</v>
      </c>
      <c r="B61" s="113">
        <f>$B$5*('Rate History'!$D$4*SUMIF(Data!$G:$G,Neutral!$A61,Data!$CU:$CU)+'Rate History'!$D$5*SUMIF(Data!$G:$G,Neutral!$A61,Data!$CV:$CV)+'Rate History'!$D$6*SUMIF(Data!$G:$G,Neutral!$A61,Data!$CW:$CW)+'Rate History'!$D$7*SUMIF(Data!$G:$G,Neutral!$A61,Data!$CX:$CX)+'Rate History'!$D$8*SUMIF(Data!$G:$G,Neutral!$A61,Data!$CY:$CY)+'Rate History'!$D$9*SUMIF(Data!$G:$G,Neutral!$A61,Data!$CZ:$CZ)+'Rate History'!$D$10*SUMIF(Data!$G:$G,Neutral!$A61,Data!$DA:$DA)+'Rate History'!$D$11*SUMIF(Data!$G:$G,Neutral!$A61,Data!$DB:$DB)+'Rate History'!$D$12*SUMIF(Data!$G:$G,Neutral!$A61,Data!$DC:$DC)+'Rate History'!$D$13*SUMIF(Data!$G:$G,Neutral!$A61,Data!$DD:$DD)+'Rate History'!$D$14*SUMIF(Data!$G:$G,Neutral!$A61,Data!$DE:$DE)+'Rate History'!$D$15*SUMIF(Data!$G:$G,Neutral!$A61,Data!$DF:$DF)+'Rate History'!$D$16*SUMIF(Data!$G:$G,Neutral!$A61,Data!$DG:$DG)+'Rate History'!$D$17*SUMIF(Data!$G:$G,Neutral!$A61,Data!$DH:$DH)+'Rate History'!$D$18*SUMIF(Data!$G:$G,Neutral!$A61,Data!$DI:$DI)+'Rate History'!$D$19*SUMIF(Data!$G:$G,Neutral!$A61,Data!$DJ:$DJ)+'Rate History'!$D$20*SUMIF(Data!$G:$G,Neutral!$A61,Data!$DK:$DK)+'Rate History'!$D$21*SUMIF(Data!$G:$G,Neutral!$A61,Data!$DL:$DL)+'Rate History'!$D$22*SUMIF(Data!$G:$G,Neutral!$A61,Data!$DM:$DM)+'Rate History'!$D$23*SUMIF(Data!$G:$G,Neutral!$A61,Data!$DN:$DN)+'Rate History'!$D$24*SUMIF(Data!$G:$G,Neutral!$A61,Data!$DO:$DO)+'Rate History'!$D$25*SUMIF(Data!$G:$G,Neutral!$A61,Data!$DP:$DP)+'Rate History'!$D$26*SUMIF(Data!$G:$G,Neutral!$A61,Data!$DQ:$DQ)+'Rate History'!$D$27*SUMIF(Data!$G:$G,Neutral!$A61,Data!$DR:$DR)+'Rate History'!$D$28*SUMIF(Data!$G:$G,Neutral!$A61,Data!$DS:$DS)+'Rate History'!$D$29*SUMIF(Data!$G:$G,Neutral!$A61,Data!$DT:$DT)+'Rate History'!$D$30*SUMIF(Data!$G:$G,Neutral!$A61,Data!$DV:$DV)+'Rate History'!$D$31*SUMIF(Data!$G:$G,Neutral!$A61,Data!$DW:$DW))</f>
        <v>2787358.2905377047</v>
      </c>
      <c r="C61" s="113">
        <f>$C$5*('Rate History'!$C$4*SUMIF(Data!$G:$G,Neutral!$A61,Data!$CU:$CU)+'Rate History'!$C$5*SUMIF(Data!$G:$G,Neutral!$A61,Data!$CV:$CV)+'Rate History'!$C$6*SUMIF(Data!$G:$G,Neutral!$A61,Data!$CW:$CW)+'Rate History'!$C$7*SUMIF(Data!$G:$G,Neutral!$A61,Data!$CX:$CX)+'Rate History'!$C$8*SUMIF(Data!$G:$G,Neutral!$A61,Data!$CY:$CY)+'Rate History'!$C$9*SUMIF(Data!$G:$G,Neutral!$A61,Data!$CZ:$CZ)+'Rate History'!$C$10*SUMIF(Data!$G:$G,Neutral!$A61,Data!$DA:$DA)+'Rate History'!$C$11*SUMIF(Data!$G:$G,Neutral!$A61,Data!$DB:$DB)+'Rate History'!$C$12*SUMIF(Data!$G:$G,Neutral!$A61,Data!$DC:$DC)+'Rate History'!$C$13*SUMIF(Data!$G:$G,Neutral!$A61,Data!$DD:$DD)+'Rate History'!$C$14*SUMIF(Data!$G:$G,Neutral!$A61,Data!$DE:$DE)+'Rate History'!$C$15*SUMIF(Data!$G:$G,Neutral!$A61,Data!$DF:$DF)+'Rate History'!$C$16*SUMIF(Data!$G:$G,Neutral!$A61,Data!$DG:$DG)+'Rate History'!$C$17*SUMIF(Data!$G:$G,Neutral!$A61,Data!$DH:$DH)+'Rate History'!$C$18*SUMIF(Data!$G:$G,Neutral!$A61,Data!$DI:$DI)+'Rate History'!$C$19*SUMIF(Data!$G:$G,Neutral!$A61,Data!$DJ:$DJ)+'Rate History'!$C$20*SUMIF(Data!$G:$G,Neutral!$A61,Data!$DK:$DK)+'Rate History'!$C$21*SUMIF(Data!$G:$G,Neutral!$A61,Data!$DL:$DL)+'Rate History'!$C$22*SUMIF(Data!$G:$G,Neutral!$A61,Data!$DM:$DM)+'Rate History'!$C$23*SUMIF(Data!$G:$G,Neutral!$A61,Data!$DN:$DN)+'Rate History'!$C$24*SUMIF(Data!$G:$G,Neutral!$A61,Data!$DO:$DO)+'Rate History'!$C$25*SUMIF(Data!$G:$G,Neutral!$A61,Data!$DP:$DP)+'Rate History'!$C$26*SUMIF(Data!$G:$G,Neutral!$A61,Data!$DQ:$DQ)+'Rate History'!$C$27*SUMIF(Data!$G:$G,Neutral!$A61,Data!$DR:$DR)+'Rate History'!$C$28*SUMIF(Data!$G:$G,Neutral!$A61,Data!$DS:$DS)+'Rate History'!$C$29*SUMIF(Data!$G:$G,Neutral!$A61,Data!$DT:$DT)+'Rate History'!$C$30*SUMIF(Data!$G:$G,Neutral!$A61,Data!$DV:$DV)+'Rate History'!$C$31*SUMIF(Data!$G:$G,Neutral!$A61,Data!$DW:$DW))</f>
        <v>2769112.1213744786</v>
      </c>
      <c r="D61" s="98">
        <f t="shared" si="1"/>
        <v>-18246.16916322615</v>
      </c>
      <c r="E61" s="100">
        <f t="shared" si="0"/>
        <v>-6.5460436949088133E-3</v>
      </c>
    </row>
    <row r="62" spans="1:5" x14ac:dyDescent="0.25">
      <c r="A62" s="72" t="s">
        <v>449</v>
      </c>
      <c r="B62" s="113">
        <f>$B$5*('Rate History'!$D$4*SUMIF(Data!$G:$G,Neutral!$A62,Data!$CU:$CU)+'Rate History'!$D$5*SUMIF(Data!$G:$G,Neutral!$A62,Data!$CV:$CV)+'Rate History'!$D$6*SUMIF(Data!$G:$G,Neutral!$A62,Data!$CW:$CW)+'Rate History'!$D$7*SUMIF(Data!$G:$G,Neutral!$A62,Data!$CX:$CX)+'Rate History'!$D$8*SUMIF(Data!$G:$G,Neutral!$A62,Data!$CY:$CY)+'Rate History'!$D$9*SUMIF(Data!$G:$G,Neutral!$A62,Data!$CZ:$CZ)+'Rate History'!$D$10*SUMIF(Data!$G:$G,Neutral!$A62,Data!$DA:$DA)+'Rate History'!$D$11*SUMIF(Data!$G:$G,Neutral!$A62,Data!$DB:$DB)+'Rate History'!$D$12*SUMIF(Data!$G:$G,Neutral!$A62,Data!$DC:$DC)+'Rate History'!$D$13*SUMIF(Data!$G:$G,Neutral!$A62,Data!$DD:$DD)+'Rate History'!$D$14*SUMIF(Data!$G:$G,Neutral!$A62,Data!$DE:$DE)+'Rate History'!$D$15*SUMIF(Data!$G:$G,Neutral!$A62,Data!$DF:$DF)+'Rate History'!$D$16*SUMIF(Data!$G:$G,Neutral!$A62,Data!$DG:$DG)+'Rate History'!$D$17*SUMIF(Data!$G:$G,Neutral!$A62,Data!$DH:$DH)+'Rate History'!$D$18*SUMIF(Data!$G:$G,Neutral!$A62,Data!$DI:$DI)+'Rate History'!$D$19*SUMIF(Data!$G:$G,Neutral!$A62,Data!$DJ:$DJ)+'Rate History'!$D$20*SUMIF(Data!$G:$G,Neutral!$A62,Data!$DK:$DK)+'Rate History'!$D$21*SUMIF(Data!$G:$G,Neutral!$A62,Data!$DL:$DL)+'Rate History'!$D$22*SUMIF(Data!$G:$G,Neutral!$A62,Data!$DM:$DM)+'Rate History'!$D$23*SUMIF(Data!$G:$G,Neutral!$A62,Data!$DN:$DN)+'Rate History'!$D$24*SUMIF(Data!$G:$G,Neutral!$A62,Data!$DO:$DO)+'Rate History'!$D$25*SUMIF(Data!$G:$G,Neutral!$A62,Data!$DP:$DP)+'Rate History'!$D$26*SUMIF(Data!$G:$G,Neutral!$A62,Data!$DQ:$DQ)+'Rate History'!$D$27*SUMIF(Data!$G:$G,Neutral!$A62,Data!$DR:$DR)+'Rate History'!$D$28*SUMIF(Data!$G:$G,Neutral!$A62,Data!$DS:$DS)+'Rate History'!$D$29*SUMIF(Data!$G:$G,Neutral!$A62,Data!$DT:$DT)+'Rate History'!$D$30*SUMIF(Data!$G:$G,Neutral!$A62,Data!$DV:$DV)+'Rate History'!$D$31*SUMIF(Data!$G:$G,Neutral!$A62,Data!$DW:$DW))</f>
        <v>4853729.3730562804</v>
      </c>
      <c r="C62" s="113">
        <f>$C$5*('Rate History'!$C$4*SUMIF(Data!$G:$G,Neutral!$A62,Data!$CU:$CU)+'Rate History'!$C$5*SUMIF(Data!$G:$G,Neutral!$A62,Data!$CV:$CV)+'Rate History'!$C$6*SUMIF(Data!$G:$G,Neutral!$A62,Data!$CW:$CW)+'Rate History'!$C$7*SUMIF(Data!$G:$G,Neutral!$A62,Data!$CX:$CX)+'Rate History'!$C$8*SUMIF(Data!$G:$G,Neutral!$A62,Data!$CY:$CY)+'Rate History'!$C$9*SUMIF(Data!$G:$G,Neutral!$A62,Data!$CZ:$CZ)+'Rate History'!$C$10*SUMIF(Data!$G:$G,Neutral!$A62,Data!$DA:$DA)+'Rate History'!$C$11*SUMIF(Data!$G:$G,Neutral!$A62,Data!$DB:$DB)+'Rate History'!$C$12*SUMIF(Data!$G:$G,Neutral!$A62,Data!$DC:$DC)+'Rate History'!$C$13*SUMIF(Data!$G:$G,Neutral!$A62,Data!$DD:$DD)+'Rate History'!$C$14*SUMIF(Data!$G:$G,Neutral!$A62,Data!$DE:$DE)+'Rate History'!$C$15*SUMIF(Data!$G:$G,Neutral!$A62,Data!$DF:$DF)+'Rate History'!$C$16*SUMIF(Data!$G:$G,Neutral!$A62,Data!$DG:$DG)+'Rate History'!$C$17*SUMIF(Data!$G:$G,Neutral!$A62,Data!$DH:$DH)+'Rate History'!$C$18*SUMIF(Data!$G:$G,Neutral!$A62,Data!$DI:$DI)+'Rate History'!$C$19*SUMIF(Data!$G:$G,Neutral!$A62,Data!$DJ:$DJ)+'Rate History'!$C$20*SUMIF(Data!$G:$G,Neutral!$A62,Data!$DK:$DK)+'Rate History'!$C$21*SUMIF(Data!$G:$G,Neutral!$A62,Data!$DL:$DL)+'Rate History'!$C$22*SUMIF(Data!$G:$G,Neutral!$A62,Data!$DM:$DM)+'Rate History'!$C$23*SUMIF(Data!$G:$G,Neutral!$A62,Data!$DN:$DN)+'Rate History'!$C$24*SUMIF(Data!$G:$G,Neutral!$A62,Data!$DO:$DO)+'Rate History'!$C$25*SUMIF(Data!$G:$G,Neutral!$A62,Data!$DP:$DP)+'Rate History'!$C$26*SUMIF(Data!$G:$G,Neutral!$A62,Data!$DQ:$DQ)+'Rate History'!$C$27*SUMIF(Data!$G:$G,Neutral!$A62,Data!$DR:$DR)+'Rate History'!$C$28*SUMIF(Data!$G:$G,Neutral!$A62,Data!$DS:$DS)+'Rate History'!$C$29*SUMIF(Data!$G:$G,Neutral!$A62,Data!$DT:$DT)+'Rate History'!$C$30*SUMIF(Data!$G:$G,Neutral!$A62,Data!$DV:$DV)+'Rate History'!$C$31*SUMIF(Data!$G:$G,Neutral!$A62,Data!$DW:$DW))</f>
        <v>4866363.0788768716</v>
      </c>
      <c r="D62" s="98">
        <f t="shared" si="1"/>
        <v>12633.705820591189</v>
      </c>
      <c r="E62" s="100">
        <f t="shared" si="0"/>
        <v>2.602886327103985E-3</v>
      </c>
    </row>
    <row r="63" spans="1:5" ht="15.75" thickBot="1" x14ac:dyDescent="0.3">
      <c r="A63" s="81" t="s">
        <v>35</v>
      </c>
      <c r="B63" s="97">
        <f>SUM(B5:B62)</f>
        <v>811309636.00000024</v>
      </c>
      <c r="C63" s="97">
        <f>SUM(C6:C62)</f>
        <v>811309636.00000286</v>
      </c>
      <c r="D63" s="101">
        <f t="shared" si="1"/>
        <v>2.6226043701171875E-6</v>
      </c>
      <c r="E63" s="99">
        <f t="shared" si="0"/>
        <v>3.2325566636277284E-15</v>
      </c>
    </row>
    <row r="65" spans="2:2" x14ac:dyDescent="0.25">
      <c r="B65" s="177"/>
    </row>
    <row r="66" spans="2:2" x14ac:dyDescent="0.25">
      <c r="B66" s="178"/>
    </row>
  </sheetData>
  <mergeCells count="1">
    <mergeCell ref="A3:E3"/>
  </mergeCells>
  <pageMargins left="0.25" right="0.25" top="0.25" bottom="0.25" header="0.3" footer="0.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2"/>
  <sheetViews>
    <sheetView showGridLines="0" zoomScale="70" zoomScaleNormal="70" workbookViewId="0"/>
  </sheetViews>
  <sheetFormatPr defaultRowHeight="14.25" x14ac:dyDescent="0.2"/>
  <cols>
    <col min="1" max="1" width="9.42578125" style="10" customWidth="1"/>
    <col min="2" max="2" width="46.5703125" style="10" customWidth="1"/>
    <col min="3" max="3" width="18.28515625" style="10" customWidth="1"/>
    <col min="4" max="4" width="18.7109375" style="10" bestFit="1" customWidth="1"/>
    <col min="5" max="5" width="18.42578125" style="10" customWidth="1"/>
    <col min="6" max="6" width="17.28515625" style="10" customWidth="1"/>
    <col min="7" max="7" width="2.85546875" style="10" customWidth="1"/>
    <col min="8" max="9" width="10.5703125" style="61" bestFit="1" customWidth="1"/>
    <col min="10" max="10" width="12.42578125" style="61" bestFit="1" customWidth="1"/>
    <col min="11" max="11" width="17.85546875" style="10" bestFit="1" customWidth="1"/>
    <col min="12" max="14" width="9.140625" style="10"/>
    <col min="15" max="15" width="17.85546875" style="10" bestFit="1" customWidth="1"/>
    <col min="16"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394</v>
      </c>
      <c r="B2" s="11" t="str">
        <f>VLOOKUP(A2,Data!A:G,7,0)</f>
        <v>Alamo Community College District</v>
      </c>
      <c r="C2" s="11"/>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59180</v>
      </c>
      <c r="E5" s="15">
        <f>E36+E67+IFERROR($E$105/$D$105*D5,0)</f>
        <v>341927.27573268954</v>
      </c>
      <c r="F5" s="20">
        <f>IF(OR(D5=0,E5=0),"",ROUND(E5/D5,2))</f>
        <v>5.78</v>
      </c>
    </row>
    <row r="6" spans="1:6" x14ac:dyDescent="0.2">
      <c r="A6" s="19">
        <v>2</v>
      </c>
      <c r="B6" s="180" t="s">
        <v>1</v>
      </c>
      <c r="C6" s="181"/>
      <c r="D6" s="14">
        <f t="shared" ref="D6:D32" si="0">D37</f>
        <v>216765</v>
      </c>
      <c r="E6" s="17">
        <f t="shared" ref="E6:E32" si="1">E37+E68+IFERROR($E$105/$D$105*D6,0)</f>
        <v>1565901.031669423</v>
      </c>
      <c r="F6" s="21">
        <f t="shared" ref="F6:F33" si="2">IF(OR(D6=0,E6=0),"",ROUND(E6/D6,2))</f>
        <v>7.22</v>
      </c>
    </row>
    <row r="7" spans="1:6" x14ac:dyDescent="0.2">
      <c r="A7" s="19">
        <v>3</v>
      </c>
      <c r="B7" s="180" t="s">
        <v>2</v>
      </c>
      <c r="C7" s="181"/>
      <c r="D7" s="14">
        <f t="shared" si="0"/>
        <v>1864000</v>
      </c>
      <c r="E7" s="17">
        <f t="shared" si="1"/>
        <v>13932743.879785964</v>
      </c>
      <c r="F7" s="21">
        <f t="shared" si="2"/>
        <v>7.47</v>
      </c>
    </row>
    <row r="8" spans="1:6" x14ac:dyDescent="0.2">
      <c r="A8" s="19">
        <v>4</v>
      </c>
      <c r="B8" s="180" t="s">
        <v>3</v>
      </c>
      <c r="C8" s="181"/>
      <c r="D8" s="14">
        <f t="shared" si="0"/>
        <v>937188</v>
      </c>
      <c r="E8" s="17">
        <f t="shared" si="1"/>
        <v>7990845.8955283519</v>
      </c>
      <c r="F8" s="21">
        <f t="shared" si="2"/>
        <v>8.5299999999999994</v>
      </c>
    </row>
    <row r="9" spans="1:6" x14ac:dyDescent="0.2">
      <c r="A9" s="19">
        <v>5</v>
      </c>
      <c r="B9" s="180" t="s">
        <v>4</v>
      </c>
      <c r="C9" s="181"/>
      <c r="D9" s="14">
        <f t="shared" si="0"/>
        <v>18912</v>
      </c>
      <c r="E9" s="17">
        <f t="shared" si="1"/>
        <v>268182.74806787132</v>
      </c>
      <c r="F9" s="21">
        <f t="shared" si="2"/>
        <v>14.18</v>
      </c>
    </row>
    <row r="10" spans="1:6" x14ac:dyDescent="0.2">
      <c r="A10" s="19">
        <v>6</v>
      </c>
      <c r="B10" s="180" t="s">
        <v>5</v>
      </c>
      <c r="C10" s="181"/>
      <c r="D10" s="14">
        <f t="shared" si="0"/>
        <v>196034</v>
      </c>
      <c r="E10" s="17">
        <f t="shared" si="1"/>
        <v>1619013.6116083486</v>
      </c>
      <c r="F10" s="21">
        <f t="shared" si="2"/>
        <v>8.26</v>
      </c>
    </row>
    <row r="11" spans="1:6" x14ac:dyDescent="0.2">
      <c r="A11" s="19">
        <v>7</v>
      </c>
      <c r="B11" s="180" t="s">
        <v>6</v>
      </c>
      <c r="C11" s="181"/>
      <c r="D11" s="14">
        <f t="shared" si="0"/>
        <v>813693</v>
      </c>
      <c r="E11" s="17">
        <f t="shared" si="1"/>
        <v>6983481.1661162451</v>
      </c>
      <c r="F11" s="21">
        <f t="shared" si="2"/>
        <v>8.58</v>
      </c>
    </row>
    <row r="12" spans="1:6" x14ac:dyDescent="0.2">
      <c r="A12" s="19">
        <v>8</v>
      </c>
      <c r="B12" s="180" t="s">
        <v>7</v>
      </c>
      <c r="C12" s="181"/>
      <c r="D12" s="14">
        <f t="shared" si="0"/>
        <v>83328</v>
      </c>
      <c r="E12" s="17">
        <f t="shared" si="1"/>
        <v>677203.04224828584</v>
      </c>
      <c r="F12" s="21">
        <f t="shared" si="2"/>
        <v>8.1300000000000008</v>
      </c>
    </row>
    <row r="13" spans="1:6" x14ac:dyDescent="0.2">
      <c r="A13" s="19">
        <v>9</v>
      </c>
      <c r="B13" s="180" t="s">
        <v>8</v>
      </c>
      <c r="C13" s="181"/>
      <c r="D13" s="14">
        <f t="shared" si="0"/>
        <v>562426</v>
      </c>
      <c r="E13" s="17">
        <f t="shared" si="1"/>
        <v>4300742.4021161487</v>
      </c>
      <c r="F13" s="21">
        <f t="shared" si="2"/>
        <v>7.65</v>
      </c>
    </row>
    <row r="14" spans="1:6" x14ac:dyDescent="0.2">
      <c r="A14" s="19">
        <v>10</v>
      </c>
      <c r="B14" s="180" t="s">
        <v>9</v>
      </c>
      <c r="C14" s="181"/>
      <c r="D14" s="14">
        <f t="shared" si="0"/>
        <v>10032</v>
      </c>
      <c r="E14" s="17">
        <f t="shared" si="1"/>
        <v>199894.12778219569</v>
      </c>
      <c r="F14" s="21">
        <f t="shared" si="2"/>
        <v>19.93</v>
      </c>
    </row>
    <row r="15" spans="1:6" x14ac:dyDescent="0.2">
      <c r="A15" s="19">
        <v>11</v>
      </c>
      <c r="B15" s="180" t="s">
        <v>10</v>
      </c>
      <c r="C15" s="181"/>
      <c r="D15" s="14">
        <f t="shared" si="0"/>
        <v>242999</v>
      </c>
      <c r="E15" s="17">
        <f t="shared" si="1"/>
        <v>3567838.4445719472</v>
      </c>
      <c r="F15" s="21">
        <f t="shared" si="2"/>
        <v>14.68</v>
      </c>
    </row>
    <row r="16" spans="1:6" x14ac:dyDescent="0.2">
      <c r="A16" s="19">
        <v>12</v>
      </c>
      <c r="B16" s="180" t="s">
        <v>11</v>
      </c>
      <c r="C16" s="181"/>
      <c r="D16" s="14">
        <f t="shared" si="0"/>
        <v>3581392</v>
      </c>
      <c r="E16" s="17">
        <f t="shared" si="1"/>
        <v>23814233.243035629</v>
      </c>
      <c r="F16" s="21">
        <f t="shared" si="2"/>
        <v>6.65</v>
      </c>
    </row>
    <row r="17" spans="1:6" x14ac:dyDescent="0.2">
      <c r="A17" s="19">
        <v>13</v>
      </c>
      <c r="B17" s="180" t="s">
        <v>12</v>
      </c>
      <c r="C17" s="181"/>
      <c r="D17" s="14">
        <f t="shared" si="0"/>
        <v>392000</v>
      </c>
      <c r="E17" s="17">
        <f t="shared" si="1"/>
        <v>3102369.3008991941</v>
      </c>
      <c r="F17" s="21">
        <f t="shared" si="2"/>
        <v>7.91</v>
      </c>
    </row>
    <row r="18" spans="1:6" x14ac:dyDescent="0.2">
      <c r="A18" s="19">
        <v>14</v>
      </c>
      <c r="B18" s="180" t="s">
        <v>464</v>
      </c>
      <c r="C18" s="181"/>
      <c r="D18" s="14">
        <f t="shared" si="0"/>
        <v>420078</v>
      </c>
      <c r="E18" s="17">
        <f t="shared" si="1"/>
        <v>5097227.9601763561</v>
      </c>
      <c r="F18" s="21">
        <f t="shared" si="2"/>
        <v>12.13</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710433</v>
      </c>
      <c r="E20" s="17">
        <f t="shared" si="1"/>
        <v>5247076.5410375437</v>
      </c>
      <c r="F20" s="21">
        <f t="shared" si="2"/>
        <v>7.39</v>
      </c>
    </row>
    <row r="21" spans="1:6" x14ac:dyDescent="0.2">
      <c r="A21" s="19">
        <v>17</v>
      </c>
      <c r="B21" s="180" t="s">
        <v>15</v>
      </c>
      <c r="C21" s="181"/>
      <c r="D21" s="14">
        <f t="shared" si="0"/>
        <v>27856</v>
      </c>
      <c r="E21" s="17">
        <f t="shared" si="1"/>
        <v>421784.11877002032</v>
      </c>
      <c r="F21" s="21">
        <f t="shared" si="2"/>
        <v>15.14</v>
      </c>
    </row>
    <row r="22" spans="1:6" x14ac:dyDescent="0.2">
      <c r="A22" s="19">
        <v>18</v>
      </c>
      <c r="B22" s="180" t="s">
        <v>16</v>
      </c>
      <c r="C22" s="181"/>
      <c r="D22" s="14">
        <f t="shared" si="0"/>
        <v>284820</v>
      </c>
      <c r="E22" s="17">
        <f t="shared" si="1"/>
        <v>2394252.2128115012</v>
      </c>
      <c r="F22" s="21">
        <f t="shared" si="2"/>
        <v>8.41</v>
      </c>
    </row>
    <row r="23" spans="1:6" x14ac:dyDescent="0.2">
      <c r="A23" s="19">
        <v>19</v>
      </c>
      <c r="B23" s="180" t="s">
        <v>17</v>
      </c>
      <c r="C23" s="181"/>
      <c r="D23" s="14">
        <f t="shared" si="0"/>
        <v>3029078</v>
      </c>
      <c r="E23" s="17">
        <f t="shared" si="1"/>
        <v>20461880.40672227</v>
      </c>
      <c r="F23" s="21">
        <f t="shared" si="2"/>
        <v>6.76</v>
      </c>
    </row>
    <row r="24" spans="1:6" x14ac:dyDescent="0.2">
      <c r="A24" s="19">
        <v>20</v>
      </c>
      <c r="B24" s="180" t="s">
        <v>18</v>
      </c>
      <c r="C24" s="181"/>
      <c r="D24" s="14">
        <f t="shared" si="0"/>
        <v>270484</v>
      </c>
      <c r="E24" s="17">
        <f t="shared" si="1"/>
        <v>1303634.1195214735</v>
      </c>
      <c r="F24" s="21">
        <f t="shared" si="2"/>
        <v>4.82</v>
      </c>
    </row>
    <row r="25" spans="1:6" x14ac:dyDescent="0.2">
      <c r="A25" s="19">
        <v>21</v>
      </c>
      <c r="B25" s="180" t="s">
        <v>461</v>
      </c>
      <c r="C25" s="181"/>
      <c r="D25" s="14">
        <f t="shared" si="0"/>
        <v>236316</v>
      </c>
      <c r="E25" s="17">
        <f t="shared" si="1"/>
        <v>2807081.7409267705</v>
      </c>
      <c r="F25" s="21">
        <f t="shared" si="2"/>
        <v>11.88</v>
      </c>
    </row>
    <row r="26" spans="1:6" x14ac:dyDescent="0.2">
      <c r="A26" s="19">
        <v>22</v>
      </c>
      <c r="B26" s="180" t="s">
        <v>19</v>
      </c>
      <c r="C26" s="181"/>
      <c r="D26" s="14">
        <f t="shared" si="0"/>
        <v>2160</v>
      </c>
      <c r="E26" s="17">
        <f t="shared" si="1"/>
        <v>8356.8265559751526</v>
      </c>
      <c r="F26" s="21">
        <f t="shared" si="2"/>
        <v>3.87</v>
      </c>
    </row>
    <row r="27" spans="1:6" x14ac:dyDescent="0.2">
      <c r="A27" s="19">
        <v>23</v>
      </c>
      <c r="B27" s="180" t="s">
        <v>20</v>
      </c>
      <c r="C27" s="181"/>
      <c r="D27" s="14">
        <f t="shared" si="0"/>
        <v>454686</v>
      </c>
      <c r="E27" s="17">
        <f t="shared" si="1"/>
        <v>3762132.2478843136</v>
      </c>
      <c r="F27" s="21">
        <f t="shared" si="2"/>
        <v>8.27</v>
      </c>
    </row>
    <row r="28" spans="1:6" x14ac:dyDescent="0.2">
      <c r="A28" s="19">
        <v>24</v>
      </c>
      <c r="B28" s="180" t="s">
        <v>21</v>
      </c>
      <c r="C28" s="181"/>
      <c r="D28" s="14">
        <f t="shared" si="0"/>
        <v>460180</v>
      </c>
      <c r="E28" s="17">
        <f t="shared" si="1"/>
        <v>3000338.3539484469</v>
      </c>
      <c r="F28" s="21">
        <f t="shared" si="2"/>
        <v>6.52</v>
      </c>
    </row>
    <row r="29" spans="1:6" x14ac:dyDescent="0.2">
      <c r="A29" s="19">
        <v>25</v>
      </c>
      <c r="B29" s="180" t="s">
        <v>22</v>
      </c>
      <c r="C29" s="181"/>
      <c r="D29" s="14">
        <f t="shared" si="0"/>
        <v>3077320</v>
      </c>
      <c r="E29" s="17">
        <f t="shared" si="1"/>
        <v>20967797.619089562</v>
      </c>
      <c r="F29" s="21">
        <f t="shared" si="2"/>
        <v>6.81</v>
      </c>
    </row>
    <row r="30" spans="1:6" x14ac:dyDescent="0.2">
      <c r="A30" s="19">
        <v>26</v>
      </c>
      <c r="B30" s="180" t="s">
        <v>23</v>
      </c>
      <c r="C30" s="181"/>
      <c r="D30" s="14">
        <f t="shared" si="0"/>
        <v>909993</v>
      </c>
      <c r="E30" s="17">
        <f t="shared" si="1"/>
        <v>8609645.6834034696</v>
      </c>
      <c r="F30" s="21">
        <f t="shared" si="2"/>
        <v>9.4600000000000009</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C33" s="13" t="s">
        <v>35</v>
      </c>
      <c r="D33" s="61">
        <f>SUM(D5:D32)</f>
        <v>18861353</v>
      </c>
      <c r="E33" s="4">
        <f>SUM(E5:E32)</f>
        <v>142445584.00001001</v>
      </c>
      <c r="F33" s="32">
        <f t="shared" si="2"/>
        <v>7.55</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IF(F3="1",SUMIF(Data!A:A,$A$2,Data!CU:CU),0)</f>
        <v>59180</v>
      </c>
      <c r="E36" s="15">
        <f>IF(F3="1",SUMIF(Data!$A:$A,$A$2,Data!IO:IO),0)</f>
        <v>39766</v>
      </c>
      <c r="F36" s="20">
        <f t="shared" ref="F36:F64" si="3">IF(OR(D36=0,E36=0),"",ROUND(E36/D36,2))</f>
        <v>0.67</v>
      </c>
    </row>
    <row r="37" spans="1:6" x14ac:dyDescent="0.2">
      <c r="A37" s="19">
        <v>2</v>
      </c>
      <c r="B37" s="180" t="s">
        <v>1</v>
      </c>
      <c r="C37" s="181"/>
      <c r="D37" s="14">
        <f>IF(F3="1",SUMIF(Data!A:A,$A$2,Data!CV:CV),0)</f>
        <v>216765</v>
      </c>
      <c r="E37" s="17">
        <f>IF(F3="1",SUMIF(Data!$A:$A,$A$2,Data!IP:IP),0)</f>
        <v>120386</v>
      </c>
      <c r="F37" s="21">
        <f t="shared" si="3"/>
        <v>0.56000000000000005</v>
      </c>
    </row>
    <row r="38" spans="1:6" x14ac:dyDescent="0.2">
      <c r="A38" s="19">
        <v>3</v>
      </c>
      <c r="B38" s="180" t="s">
        <v>2</v>
      </c>
      <c r="C38" s="181"/>
      <c r="D38" s="14">
        <f>IF(F3="1",SUMIF(Data!A:A,$A$2,Data!CW:CW),0)</f>
        <v>1864000</v>
      </c>
      <c r="E38" s="17">
        <f>IF($F$3="1",SUMIF(Data!$A:$A,$A$2,Data!IQ:IQ),0)</f>
        <v>1265244</v>
      </c>
      <c r="F38" s="21">
        <f t="shared" si="3"/>
        <v>0.68</v>
      </c>
    </row>
    <row r="39" spans="1:6" x14ac:dyDescent="0.2">
      <c r="A39" s="19">
        <v>4</v>
      </c>
      <c r="B39" s="180" t="s">
        <v>3</v>
      </c>
      <c r="C39" s="181"/>
      <c r="D39" s="14">
        <f>IF(F3="1",SUMIF(Data!A:A,$A$2,Data!CX:CX),0)</f>
        <v>937188</v>
      </c>
      <c r="E39" s="17">
        <f>IF($F$3="1",SUMIF(Data!$A:$A,$A$2,Data!IR:IR),0)</f>
        <v>697796</v>
      </c>
      <c r="F39" s="21">
        <f t="shared" si="3"/>
        <v>0.74</v>
      </c>
    </row>
    <row r="40" spans="1:6" x14ac:dyDescent="0.2">
      <c r="A40" s="19">
        <v>5</v>
      </c>
      <c r="B40" s="180" t="s">
        <v>4</v>
      </c>
      <c r="C40" s="181"/>
      <c r="D40" s="14">
        <f>IF(F3="1",SUMIF(Data!A:A,$A$2,Data!CY:CY),0)</f>
        <v>18912</v>
      </c>
      <c r="E40" s="17">
        <f>IF($F$3="1",SUMIF(Data!$A:$A,$A$2,Data!IS:IS),0)</f>
        <v>71110</v>
      </c>
      <c r="F40" s="21">
        <f t="shared" si="3"/>
        <v>3.76</v>
      </c>
    </row>
    <row r="41" spans="1:6" x14ac:dyDescent="0.2">
      <c r="A41" s="19">
        <v>6</v>
      </c>
      <c r="B41" s="180" t="s">
        <v>5</v>
      </c>
      <c r="C41" s="181"/>
      <c r="D41" s="14">
        <f>IF(F3="1",SUMIF(Data!A:A,$A$2,Data!CZ:CZ),0)</f>
        <v>196034</v>
      </c>
      <c r="E41" s="17">
        <f>IF($F$3="1",SUMIF(Data!$A:$A,$A$2,Data!IT:IT),0)</f>
        <v>294971</v>
      </c>
      <c r="F41" s="21">
        <f t="shared" si="3"/>
        <v>1.5</v>
      </c>
    </row>
    <row r="42" spans="1:6" x14ac:dyDescent="0.2">
      <c r="A42" s="19">
        <v>7</v>
      </c>
      <c r="B42" s="180" t="s">
        <v>6</v>
      </c>
      <c r="C42" s="181"/>
      <c r="D42" s="14">
        <f>IF(F3="1",SUMIF(Data!A:A,$A$2,Data!DA:DA),0)</f>
        <v>813693</v>
      </c>
      <c r="E42" s="17">
        <f>IF($F$3="1",SUMIF(Data!$A:$A,$A$2,Data!IU:IU),0)</f>
        <v>714243</v>
      </c>
      <c r="F42" s="21">
        <f t="shared" si="3"/>
        <v>0.88</v>
      </c>
    </row>
    <row r="43" spans="1:6" x14ac:dyDescent="0.2">
      <c r="A43" s="19">
        <v>8</v>
      </c>
      <c r="B43" s="180" t="s">
        <v>7</v>
      </c>
      <c r="C43" s="181"/>
      <c r="D43" s="14">
        <f>IF(F3="1",SUMIF(Data!A:A,$A$2,Data!DB:DB),0)</f>
        <v>83328</v>
      </c>
      <c r="E43" s="17">
        <f>IF($F$3="1",SUMIF(Data!$A:$A,$A$2,Data!IV:IV),0)</f>
        <v>62567</v>
      </c>
      <c r="F43" s="21">
        <f t="shared" si="3"/>
        <v>0.75</v>
      </c>
    </row>
    <row r="44" spans="1:6" x14ac:dyDescent="0.2">
      <c r="A44" s="19">
        <v>9</v>
      </c>
      <c r="B44" s="180" t="s">
        <v>8</v>
      </c>
      <c r="C44" s="181"/>
      <c r="D44" s="14">
        <f>IF(F3="1",SUMIF(Data!A:A,$A$2,Data!DC:DC),0)</f>
        <v>562426</v>
      </c>
      <c r="E44" s="17">
        <f>IF($F$3="1",SUMIF(Data!$A:$A,$A$2,Data!IW:IW),0)</f>
        <v>505219</v>
      </c>
      <c r="F44" s="21">
        <f t="shared" si="3"/>
        <v>0.9</v>
      </c>
    </row>
    <row r="45" spans="1:6" x14ac:dyDescent="0.2">
      <c r="A45" s="19">
        <v>10</v>
      </c>
      <c r="B45" s="180" t="s">
        <v>9</v>
      </c>
      <c r="C45" s="181"/>
      <c r="D45" s="14">
        <f>IF(F3="1",SUMIF(Data!A:A,$A$2,Data!DD:DD),0)</f>
        <v>10032</v>
      </c>
      <c r="E45" s="17">
        <f>IF($F$3="1",SUMIF(Data!$A:$A,$A$2,Data!IX:IX),0)</f>
        <v>44438</v>
      </c>
      <c r="F45" s="21">
        <f t="shared" si="3"/>
        <v>4.43</v>
      </c>
    </row>
    <row r="46" spans="1:6" x14ac:dyDescent="0.2">
      <c r="A46" s="19">
        <v>11</v>
      </c>
      <c r="B46" s="180" t="s">
        <v>10</v>
      </c>
      <c r="C46" s="181"/>
      <c r="D46" s="14">
        <f>IF(F3="1",SUMIF(Data!A:A,$A$2,Data!DE:DE),0)</f>
        <v>242999</v>
      </c>
      <c r="E46" s="17">
        <f>IF($F$3="1",SUMIF(Data!$A:$A,$A$2,Data!IY:IY),0)</f>
        <v>520220</v>
      </c>
      <c r="F46" s="21">
        <f t="shared" si="3"/>
        <v>2.14</v>
      </c>
    </row>
    <row r="47" spans="1:6" x14ac:dyDescent="0.2">
      <c r="A47" s="19">
        <v>12</v>
      </c>
      <c r="B47" s="180" t="s">
        <v>11</v>
      </c>
      <c r="C47" s="181"/>
      <c r="D47" s="14">
        <f>IF(F3="1",SUMIF(Data!A:A,$A$2,Data!DF:DF),0)</f>
        <v>3581392</v>
      </c>
      <c r="E47" s="17">
        <f>IF($F$3="1",SUMIF(Data!$A:$A,$A$2,Data!IZ:IZ),0)</f>
        <v>1135167</v>
      </c>
      <c r="F47" s="21">
        <f t="shared" si="3"/>
        <v>0.32</v>
      </c>
    </row>
    <row r="48" spans="1:6" x14ac:dyDescent="0.2">
      <c r="A48" s="19">
        <v>13</v>
      </c>
      <c r="B48" s="180" t="s">
        <v>12</v>
      </c>
      <c r="C48" s="181"/>
      <c r="D48" s="14">
        <f>IF(F3="1",SUMIF(Data!A:A,$A$2,Data!DG:DG),0)</f>
        <v>392000</v>
      </c>
      <c r="E48" s="17">
        <f>IF($F$3="1",SUMIF(Data!$A:$A,$A$2,Data!JA:JA),0)</f>
        <v>251261</v>
      </c>
      <c r="F48" s="21">
        <f t="shared" si="3"/>
        <v>0.64</v>
      </c>
    </row>
    <row r="49" spans="1:14" x14ac:dyDescent="0.2">
      <c r="A49" s="19">
        <v>14</v>
      </c>
      <c r="B49" s="180" t="s">
        <v>464</v>
      </c>
      <c r="C49" s="181"/>
      <c r="D49" s="14">
        <f>IF(F3="1",SUMIF(Data!A:A,$A$2,Data!DH:DH),0)</f>
        <v>420078</v>
      </c>
      <c r="E49" s="17">
        <f>IF($F$3="1",SUMIF(Data!$A:$A,$A$2,Data!JB:JB),0)</f>
        <v>481545</v>
      </c>
      <c r="F49" s="21">
        <f t="shared" si="3"/>
        <v>1.1499999999999999</v>
      </c>
    </row>
    <row r="50" spans="1:14" x14ac:dyDescent="0.2">
      <c r="A50" s="19">
        <v>15</v>
      </c>
      <c r="B50" s="180" t="s">
        <v>13</v>
      </c>
      <c r="C50" s="181"/>
      <c r="D50" s="14">
        <f>IF(F3="1",SUMIF(Data!A:A,$A$2,Data!DI:DI),0)</f>
        <v>0</v>
      </c>
      <c r="E50" s="17">
        <f>IF($F$3="1",SUMIF(Data!$A:$A,$A$2,Data!JC:JC),0)</f>
        <v>0</v>
      </c>
      <c r="F50" s="21" t="str">
        <f t="shared" si="3"/>
        <v/>
      </c>
    </row>
    <row r="51" spans="1:14" x14ac:dyDescent="0.2">
      <c r="A51" s="19">
        <v>16</v>
      </c>
      <c r="B51" s="180" t="s">
        <v>14</v>
      </c>
      <c r="C51" s="181"/>
      <c r="D51" s="14">
        <f>IF(F3="1",SUMIF(Data!A:A,$A$2,Data!DJ:DJ),0)</f>
        <v>710433</v>
      </c>
      <c r="E51" s="17">
        <f>IF($F$3="1",SUMIF(Data!$A:$A,$A$2,Data!JD:JD),0)</f>
        <v>523342</v>
      </c>
      <c r="F51" s="21">
        <f t="shared" si="3"/>
        <v>0.74</v>
      </c>
    </row>
    <row r="52" spans="1:14" x14ac:dyDescent="0.2">
      <c r="A52" s="19">
        <v>17</v>
      </c>
      <c r="B52" s="180" t="s">
        <v>15</v>
      </c>
      <c r="C52" s="181"/>
      <c r="D52" s="14">
        <f>IF(F3="1",SUMIF(Data!A:A,$A$2,Data!DK:DK),0)</f>
        <v>27856</v>
      </c>
      <c r="E52" s="17">
        <f>IF($F$3="1",SUMIF(Data!$A:$A,$A$2,Data!JE:JE),0)</f>
        <v>7072</v>
      </c>
      <c r="F52" s="21">
        <f t="shared" si="3"/>
        <v>0.25</v>
      </c>
    </row>
    <row r="53" spans="1:14" x14ac:dyDescent="0.2">
      <c r="A53" s="19">
        <v>18</v>
      </c>
      <c r="B53" s="180" t="s">
        <v>16</v>
      </c>
      <c r="C53" s="181"/>
      <c r="D53" s="14">
        <f>IF(F3="1",SUMIF(Data!A:A,$A$2,Data!DL:DL),0)</f>
        <v>284820</v>
      </c>
      <c r="E53" s="17">
        <f>IF($F$3="1",SUMIF(Data!$A:$A,$A$2,Data!JF:JF),0)</f>
        <v>173227</v>
      </c>
      <c r="F53" s="21">
        <f t="shared" si="3"/>
        <v>0.61</v>
      </c>
    </row>
    <row r="54" spans="1:14" x14ac:dyDescent="0.2">
      <c r="A54" s="19">
        <v>19</v>
      </c>
      <c r="B54" s="180" t="s">
        <v>17</v>
      </c>
      <c r="C54" s="181"/>
      <c r="D54" s="14">
        <f>IF(F3="1",SUMIF(Data!A:A,$A$2,Data!DM:DM),0)</f>
        <v>3029078</v>
      </c>
      <c r="E54" s="17">
        <f>IF($F$3="1",SUMIF(Data!$A:$A,$A$2,Data!JG:JG),0)</f>
        <v>835288</v>
      </c>
      <c r="F54" s="21">
        <f t="shared" si="3"/>
        <v>0.28000000000000003</v>
      </c>
    </row>
    <row r="55" spans="1:14" x14ac:dyDescent="0.2">
      <c r="A55" s="19">
        <v>20</v>
      </c>
      <c r="B55" s="180" t="s">
        <v>18</v>
      </c>
      <c r="C55" s="181"/>
      <c r="D55" s="14">
        <f>IF(F3="1",SUMIF(Data!A:A,$A$2,Data!DN:DN),0)</f>
        <v>270484</v>
      </c>
      <c r="E55" s="17">
        <f>IF($F$3="1",SUMIF(Data!$A:$A,$A$2,Data!JH:JH),0)</f>
        <v>106823</v>
      </c>
      <c r="F55" s="21">
        <f t="shared" si="3"/>
        <v>0.39</v>
      </c>
    </row>
    <row r="56" spans="1:14" ht="14.25" customHeight="1" x14ac:dyDescent="0.2">
      <c r="A56" s="19">
        <v>21</v>
      </c>
      <c r="B56" s="180" t="s">
        <v>461</v>
      </c>
      <c r="C56" s="181"/>
      <c r="D56" s="14">
        <f>IF(F3="1",SUMIF(Data!A:A,$A$2,Data!DO:DO),0)</f>
        <v>236316</v>
      </c>
      <c r="E56" s="17">
        <f>IF($F$3="1",SUMIF(Data!$A:$A,$A$2,Data!JI:JI),0)</f>
        <v>602896</v>
      </c>
      <c r="F56" s="21">
        <f t="shared" si="3"/>
        <v>2.5499999999999998</v>
      </c>
    </row>
    <row r="57" spans="1:14" x14ac:dyDescent="0.2">
      <c r="A57" s="19">
        <v>22</v>
      </c>
      <c r="B57" s="180" t="s">
        <v>19</v>
      </c>
      <c r="C57" s="181"/>
      <c r="D57" s="14">
        <f>IF(F3="1",SUMIF(Data!A:A,$A$2,Data!DP:DP),0)</f>
        <v>2160</v>
      </c>
      <c r="E57" s="17">
        <f>IF($F$3="1",SUMIF(Data!$A:$A,$A$2,Data!JJ:JJ),0)</f>
        <v>549</v>
      </c>
      <c r="F57" s="21">
        <f t="shared" si="3"/>
        <v>0.25</v>
      </c>
    </row>
    <row r="58" spans="1:14" x14ac:dyDescent="0.2">
      <c r="A58" s="19">
        <v>23</v>
      </c>
      <c r="B58" s="180" t="s">
        <v>20</v>
      </c>
      <c r="C58" s="181"/>
      <c r="D58" s="14">
        <f>IF(F3="1",SUMIF(Data!A:A,$A$2,Data!DQ:DQ),0)</f>
        <v>454686</v>
      </c>
      <c r="E58" s="17">
        <f>IF($F$3="1",SUMIF(Data!$A:$A,$A$2,Data!JK:JK),0)</f>
        <v>345689</v>
      </c>
      <c r="F58" s="21">
        <f t="shared" si="3"/>
        <v>0.76</v>
      </c>
      <c r="K58" s="61"/>
      <c r="L58" s="61"/>
      <c r="M58" s="61"/>
      <c r="N58" s="61"/>
    </row>
    <row r="59" spans="1:14" x14ac:dyDescent="0.2">
      <c r="A59" s="19">
        <v>24</v>
      </c>
      <c r="B59" s="180" t="s">
        <v>21</v>
      </c>
      <c r="C59" s="181"/>
      <c r="D59" s="14">
        <f>IF(F3="1",SUMIF(Data!A:A,$A$2,Data!DR:DR),0)</f>
        <v>460180</v>
      </c>
      <c r="E59" s="17">
        <f>IF($F$3="1",SUMIF(Data!$A:$A,$A$2,Data!JL:JL),0)</f>
        <v>149900</v>
      </c>
      <c r="F59" s="21">
        <f t="shared" si="3"/>
        <v>0.33</v>
      </c>
    </row>
    <row r="60" spans="1:14" x14ac:dyDescent="0.2">
      <c r="A60" s="19">
        <v>25</v>
      </c>
      <c r="B60" s="180" t="s">
        <v>22</v>
      </c>
      <c r="C60" s="181"/>
      <c r="D60" s="14">
        <f>IF(F3="1",SUMIF(Data!A:A,$A$2,Data!DS:DS),0)</f>
        <v>3077320</v>
      </c>
      <c r="E60" s="17">
        <f>IF($F$3="1",SUMIF(Data!$A:$A,$A$2,Data!JM:JM),0)</f>
        <v>866658</v>
      </c>
      <c r="F60" s="21">
        <f t="shared" si="3"/>
        <v>0.28000000000000003</v>
      </c>
    </row>
    <row r="61" spans="1:14" x14ac:dyDescent="0.2">
      <c r="A61" s="19">
        <v>26</v>
      </c>
      <c r="B61" s="180" t="s">
        <v>23</v>
      </c>
      <c r="C61" s="181"/>
      <c r="D61" s="14">
        <f>IF(F3="1",SUMIF(Data!A:A,$A$2,Data!DT:DT),0)</f>
        <v>909993</v>
      </c>
      <c r="E61" s="17">
        <f>IF($F$3="1",SUMIF(Data!$A:$A,$A$2,Data!JN:JN),0)</f>
        <v>902769</v>
      </c>
      <c r="F61" s="21">
        <f t="shared" si="3"/>
        <v>0.99</v>
      </c>
    </row>
    <row r="62" spans="1:14" x14ac:dyDescent="0.2">
      <c r="A62" s="19">
        <v>28</v>
      </c>
      <c r="B62" s="180" t="s">
        <v>24</v>
      </c>
      <c r="C62" s="181"/>
      <c r="D62" s="14">
        <f>IF(F3="1",SUMIF(Data!A:A,$A$2,Data!DV:DV),0)</f>
        <v>0</v>
      </c>
      <c r="E62" s="17">
        <f>IF($F$3="1",SUMIF(Data!$A:$A,$A$2,Data!JP:JP),0)</f>
        <v>0</v>
      </c>
      <c r="F62" s="21" t="str">
        <f t="shared" si="3"/>
        <v/>
      </c>
    </row>
    <row r="63" spans="1:14" ht="15.75" customHeight="1" thickBot="1" x14ac:dyDescent="0.25">
      <c r="A63" s="22">
        <v>29</v>
      </c>
      <c r="B63" s="184" t="s">
        <v>25</v>
      </c>
      <c r="C63" s="185"/>
      <c r="D63" s="23">
        <f>IF(F3="1",SUMIF(Data!A:A,$A$2,Data!DW:DW),0)</f>
        <v>0</v>
      </c>
      <c r="E63" s="24">
        <f>IF($F$3="1",SUMIF(Data!$A:$A,$A$2,Data!JQ:JQ),0)</f>
        <v>0</v>
      </c>
      <c r="F63" s="25" t="str">
        <f t="shared" si="3"/>
        <v/>
      </c>
    </row>
    <row r="64" spans="1:14" x14ac:dyDescent="0.2">
      <c r="C64" s="13" t="s">
        <v>35</v>
      </c>
      <c r="D64" s="61">
        <f>SUM(D36:D63)</f>
        <v>18861353</v>
      </c>
      <c r="E64" s="4">
        <f>SUM(E36:E63)</f>
        <v>10718146</v>
      </c>
      <c r="F64" s="32">
        <f t="shared" si="3"/>
        <v>0.56999999999999995</v>
      </c>
      <c r="G64" s="60"/>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59180</v>
      </c>
      <c r="E67" s="15">
        <f>IF(F3="1",SUMIF(Data!A:A,$A$2,Data!DY:DY),0)</f>
        <v>92488</v>
      </c>
      <c r="F67" s="20">
        <f>IF(OR(D67=0,E67=0),"",ROUND(E67/D67,2))</f>
        <v>1.56</v>
      </c>
    </row>
    <row r="68" spans="1:6" x14ac:dyDescent="0.2">
      <c r="A68" s="19">
        <v>2</v>
      </c>
      <c r="B68" s="180" t="s">
        <v>1</v>
      </c>
      <c r="C68" s="181"/>
      <c r="D68" s="14">
        <f t="shared" ref="D68:D94" si="4">D37</f>
        <v>216765</v>
      </c>
      <c r="E68" s="17">
        <f>IF(F3="1",SUMIF(Data!A:A,$A$2,Data!DZ:DZ),0)</f>
        <v>677522</v>
      </c>
      <c r="F68" s="21">
        <f t="shared" ref="F68:F94" si="5">IF(OR(D68=0,E68=0),"",ROUND(E68/D68,2))</f>
        <v>3.13</v>
      </c>
    </row>
    <row r="69" spans="1:6" x14ac:dyDescent="0.2">
      <c r="A69" s="19">
        <v>3</v>
      </c>
      <c r="B69" s="180" t="s">
        <v>2</v>
      </c>
      <c r="C69" s="181"/>
      <c r="D69" s="14">
        <f t="shared" si="4"/>
        <v>1864000</v>
      </c>
      <c r="E69" s="17">
        <f>IF(F3="1",SUMIF(Data!A:A,$A$2,Data!EA:EA),0)</f>
        <v>6063394</v>
      </c>
      <c r="F69" s="21">
        <f t="shared" si="5"/>
        <v>3.25</v>
      </c>
    </row>
    <row r="70" spans="1:6" x14ac:dyDescent="0.2">
      <c r="A70" s="19">
        <v>4</v>
      </c>
      <c r="B70" s="180" t="s">
        <v>3</v>
      </c>
      <c r="C70" s="181"/>
      <c r="D70" s="14">
        <f t="shared" si="4"/>
        <v>937188</v>
      </c>
      <c r="E70" s="17">
        <f>IF(F3="1",SUMIF(Data!A:A,$A$2,Data!EB:EB),0)</f>
        <v>3972616</v>
      </c>
      <c r="F70" s="21">
        <f t="shared" si="5"/>
        <v>4.24</v>
      </c>
    </row>
    <row r="71" spans="1:6" x14ac:dyDescent="0.2">
      <c r="A71" s="19">
        <v>5</v>
      </c>
      <c r="B71" s="180" t="s">
        <v>4</v>
      </c>
      <c r="C71" s="181"/>
      <c r="D71" s="14">
        <f t="shared" si="4"/>
        <v>18912</v>
      </c>
      <c r="E71" s="17">
        <f>IF(F3="1",SUMIF(Data!A:A,$A$2,Data!EC:EC),0)</f>
        <v>130068</v>
      </c>
      <c r="F71" s="21">
        <f t="shared" si="5"/>
        <v>6.88</v>
      </c>
    </row>
    <row r="72" spans="1:6" x14ac:dyDescent="0.2">
      <c r="A72" s="19">
        <v>6</v>
      </c>
      <c r="B72" s="180" t="s">
        <v>5</v>
      </c>
      <c r="C72" s="181"/>
      <c r="D72" s="14">
        <f t="shared" si="4"/>
        <v>196034</v>
      </c>
      <c r="E72" s="17">
        <f>IF(F3="1",SUMIF(Data!A:A,$A$2,Data!ED:ED),0)</f>
        <v>629499</v>
      </c>
      <c r="F72" s="21">
        <f t="shared" si="5"/>
        <v>3.21</v>
      </c>
    </row>
    <row r="73" spans="1:6" x14ac:dyDescent="0.2">
      <c r="A73" s="19">
        <v>7</v>
      </c>
      <c r="B73" s="180" t="s">
        <v>6</v>
      </c>
      <c r="C73" s="181"/>
      <c r="D73" s="14">
        <f t="shared" si="4"/>
        <v>813693</v>
      </c>
      <c r="E73" s="17">
        <f>IF(F3="1",SUMIF(Data!A:A,$A$2,Data!EE:EE),0)</f>
        <v>3386344</v>
      </c>
      <c r="F73" s="21">
        <f t="shared" si="5"/>
        <v>4.16</v>
      </c>
    </row>
    <row r="74" spans="1:6" x14ac:dyDescent="0.2">
      <c r="A74" s="19">
        <v>8</v>
      </c>
      <c r="B74" s="180" t="s">
        <v>7</v>
      </c>
      <c r="C74" s="181"/>
      <c r="D74" s="14">
        <f t="shared" si="4"/>
        <v>83328</v>
      </c>
      <c r="E74" s="17">
        <f>IF(F3="1",SUMIF(Data!A:A,$A$2,Data!EF:EF),0)</f>
        <v>319407</v>
      </c>
      <c r="F74" s="21">
        <f t="shared" si="5"/>
        <v>3.83</v>
      </c>
    </row>
    <row r="75" spans="1:6" x14ac:dyDescent="0.2">
      <c r="A75" s="19">
        <v>9</v>
      </c>
      <c r="B75" s="180" t="s">
        <v>8</v>
      </c>
      <c r="C75" s="181"/>
      <c r="D75" s="14">
        <f t="shared" si="4"/>
        <v>562426</v>
      </c>
      <c r="E75" s="17">
        <f>IF(F3="1",SUMIF(Data!A:A,$A$2,Data!EG:EG),0)</f>
        <v>1802862</v>
      </c>
      <c r="F75" s="21">
        <f t="shared" si="5"/>
        <v>3.21</v>
      </c>
    </row>
    <row r="76" spans="1:6" x14ac:dyDescent="0.2">
      <c r="A76" s="19">
        <v>10</v>
      </c>
      <c r="B76" s="180" t="s">
        <v>9</v>
      </c>
      <c r="C76" s="181"/>
      <c r="D76" s="14">
        <f t="shared" si="4"/>
        <v>10032</v>
      </c>
      <c r="E76" s="17">
        <f>IF(F3="1",SUMIF(Data!A:A,$A$2,Data!EH:EH),0)</f>
        <v>119913</v>
      </c>
      <c r="F76" s="21">
        <f t="shared" si="5"/>
        <v>11.95</v>
      </c>
    </row>
    <row r="77" spans="1:6" x14ac:dyDescent="0.2">
      <c r="A77" s="19">
        <v>11</v>
      </c>
      <c r="B77" s="180" t="s">
        <v>10</v>
      </c>
      <c r="C77" s="181"/>
      <c r="D77" s="14">
        <f t="shared" si="4"/>
        <v>242999</v>
      </c>
      <c r="E77" s="17">
        <f>IF(F3="1",SUMIF(Data!A:A,$A$2,Data!EI:EI),0)</f>
        <v>2186679</v>
      </c>
      <c r="F77" s="21">
        <f t="shared" si="5"/>
        <v>9</v>
      </c>
    </row>
    <row r="78" spans="1:6" x14ac:dyDescent="0.2">
      <c r="A78" s="19">
        <v>12</v>
      </c>
      <c r="B78" s="180" t="s">
        <v>11</v>
      </c>
      <c r="C78" s="181"/>
      <c r="D78" s="14">
        <f t="shared" si="4"/>
        <v>3581392</v>
      </c>
      <c r="E78" s="17">
        <f>IF(F3="1",SUMIF(Data!A:A,$A$2,Data!EJ:EJ),0)</f>
        <v>9990283</v>
      </c>
      <c r="F78" s="21">
        <f t="shared" si="5"/>
        <v>2.79</v>
      </c>
    </row>
    <row r="79" spans="1:6" x14ac:dyDescent="0.2">
      <c r="A79" s="19">
        <v>13</v>
      </c>
      <c r="B79" s="180" t="s">
        <v>12</v>
      </c>
      <c r="C79" s="181"/>
      <c r="D79" s="14">
        <f t="shared" si="4"/>
        <v>392000</v>
      </c>
      <c r="E79" s="17">
        <f>IF(F3="1",SUMIF(Data!A:A,$A$2,Data!EK:EK),0)</f>
        <v>1462262</v>
      </c>
      <c r="F79" s="21">
        <f t="shared" si="5"/>
        <v>3.73</v>
      </c>
    </row>
    <row r="80" spans="1:6" x14ac:dyDescent="0.2">
      <c r="A80" s="19">
        <v>14</v>
      </c>
      <c r="B80" s="180" t="s">
        <v>464</v>
      </c>
      <c r="C80" s="181"/>
      <c r="D80" s="14">
        <f t="shared" si="4"/>
        <v>420078</v>
      </c>
      <c r="E80" s="17">
        <f>IF(F3="1",SUMIF(Data!A:A,$A$2,Data!EL:EL),0)</f>
        <v>3127357</v>
      </c>
      <c r="F80" s="21">
        <f t="shared" si="5"/>
        <v>7.44</v>
      </c>
    </row>
    <row r="81" spans="1:6" x14ac:dyDescent="0.2">
      <c r="A81" s="19">
        <v>15</v>
      </c>
      <c r="B81" s="180" t="s">
        <v>13</v>
      </c>
      <c r="C81" s="181"/>
      <c r="D81" s="14">
        <f t="shared" si="4"/>
        <v>0</v>
      </c>
      <c r="E81" s="17">
        <f>IF(F3="1",SUMIF(Data!A:A,$A$2,Data!EM:EM),0)</f>
        <v>0</v>
      </c>
      <c r="F81" s="21" t="str">
        <f t="shared" si="5"/>
        <v/>
      </c>
    </row>
    <row r="82" spans="1:6" x14ac:dyDescent="0.2">
      <c r="A82" s="19">
        <v>16</v>
      </c>
      <c r="B82" s="180" t="s">
        <v>14</v>
      </c>
      <c r="C82" s="181"/>
      <c r="D82" s="14">
        <f t="shared" si="4"/>
        <v>710433</v>
      </c>
      <c r="E82" s="17">
        <f>IF(F3="1",SUMIF(Data!A:A,$A$2,Data!EN:EN),0)</f>
        <v>2206688</v>
      </c>
      <c r="F82" s="21">
        <f t="shared" si="5"/>
        <v>3.11</v>
      </c>
    </row>
    <row r="83" spans="1:6" x14ac:dyDescent="0.2">
      <c r="A83" s="19">
        <v>17</v>
      </c>
      <c r="B83" s="180" t="s">
        <v>15</v>
      </c>
      <c r="C83" s="181"/>
      <c r="D83" s="14">
        <f t="shared" si="4"/>
        <v>27856</v>
      </c>
      <c r="E83" s="17">
        <f>IF(F3="1",SUMIF(Data!A:A,$A$2,Data!EO:EO),0)</f>
        <v>316019</v>
      </c>
      <c r="F83" s="21">
        <f t="shared" si="5"/>
        <v>11.34</v>
      </c>
    </row>
    <row r="84" spans="1:6" x14ac:dyDescent="0.2">
      <c r="A84" s="19">
        <v>18</v>
      </c>
      <c r="B84" s="180" t="s">
        <v>16</v>
      </c>
      <c r="C84" s="181"/>
      <c r="D84" s="14">
        <f t="shared" si="4"/>
        <v>284820</v>
      </c>
      <c r="E84" s="17">
        <f>IF(F3="1",SUMIF(Data!A:A,$A$2,Data!EP:EP),0)</f>
        <v>1211915</v>
      </c>
      <c r="F84" s="21">
        <f t="shared" si="5"/>
        <v>4.26</v>
      </c>
    </row>
    <row r="85" spans="1:6" x14ac:dyDescent="0.2">
      <c r="A85" s="19">
        <v>19</v>
      </c>
      <c r="B85" s="180" t="s">
        <v>17</v>
      </c>
      <c r="C85" s="181"/>
      <c r="D85" s="14">
        <f t="shared" si="4"/>
        <v>3029078</v>
      </c>
      <c r="E85" s="17">
        <f>IF(F3="1",SUMIF(Data!A:A,$A$2,Data!EQ:EQ),0)</f>
        <v>8894644</v>
      </c>
      <c r="F85" s="21">
        <f t="shared" si="5"/>
        <v>2.94</v>
      </c>
    </row>
    <row r="86" spans="1:6" x14ac:dyDescent="0.2">
      <c r="A86" s="19">
        <v>20</v>
      </c>
      <c r="B86" s="180" t="s">
        <v>18</v>
      </c>
      <c r="C86" s="181"/>
      <c r="D86" s="14">
        <f t="shared" si="4"/>
        <v>270484</v>
      </c>
      <c r="E86" s="17">
        <f>IF(F3="1",SUMIF(Data!A:A,$A$2,Data!ER:ER),0)</f>
        <v>238493</v>
      </c>
      <c r="F86" s="21">
        <f t="shared" si="5"/>
        <v>0.88</v>
      </c>
    </row>
    <row r="87" spans="1:6" x14ac:dyDescent="0.2">
      <c r="A87" s="19">
        <v>21</v>
      </c>
      <c r="B87" s="180" t="s">
        <v>461</v>
      </c>
      <c r="C87" s="181"/>
      <c r="D87" s="14">
        <f t="shared" si="4"/>
        <v>236316</v>
      </c>
      <c r="E87" s="17">
        <f>IF(F3="1",SUMIF(Data!A:A,$A$2,Data!ES:ES),0)</f>
        <v>1366924</v>
      </c>
      <c r="F87" s="21">
        <f t="shared" si="5"/>
        <v>5.78</v>
      </c>
    </row>
    <row r="88" spans="1:6" x14ac:dyDescent="0.2">
      <c r="A88" s="19">
        <v>22</v>
      </c>
      <c r="B88" s="180" t="s">
        <v>19</v>
      </c>
      <c r="C88" s="181"/>
      <c r="D88" s="14">
        <f t="shared" si="4"/>
        <v>2160</v>
      </c>
      <c r="E88" s="17">
        <f>IF(F3="1",SUMIF(Data!A:A,$A$2,Data!ET:ET),0)</f>
        <v>155</v>
      </c>
      <c r="F88" s="21">
        <f t="shared" si="5"/>
        <v>7.0000000000000007E-2</v>
      </c>
    </row>
    <row r="89" spans="1:6" x14ac:dyDescent="0.2">
      <c r="A89" s="19">
        <v>23</v>
      </c>
      <c r="B89" s="180" t="s">
        <v>20</v>
      </c>
      <c r="C89" s="181"/>
      <c r="D89" s="14">
        <f t="shared" si="4"/>
        <v>454686</v>
      </c>
      <c r="E89" s="17">
        <f>IF(F3="1",SUMIF(Data!A:A,$A$2,Data!EU:EU),0)</f>
        <v>1805502</v>
      </c>
      <c r="F89" s="21">
        <f t="shared" si="5"/>
        <v>3.97</v>
      </c>
    </row>
    <row r="90" spans="1:6" x14ac:dyDescent="0.2">
      <c r="A90" s="19">
        <v>24</v>
      </c>
      <c r="B90" s="180" t="s">
        <v>21</v>
      </c>
      <c r="C90" s="181"/>
      <c r="D90" s="14">
        <f t="shared" si="4"/>
        <v>460180</v>
      </c>
      <c r="E90" s="17">
        <f>IF(F3="1",SUMIF(Data!A:A,$A$2,Data!EV:EV),0)</f>
        <v>1220032</v>
      </c>
      <c r="F90" s="21">
        <f t="shared" si="5"/>
        <v>2.65</v>
      </c>
    </row>
    <row r="91" spans="1:6" x14ac:dyDescent="0.2">
      <c r="A91" s="19">
        <v>25</v>
      </c>
      <c r="B91" s="180" t="s">
        <v>22</v>
      </c>
      <c r="C91" s="181"/>
      <c r="D91" s="14">
        <f t="shared" si="4"/>
        <v>3077320</v>
      </c>
      <c r="E91" s="17">
        <f>IF(F3="1",SUMIF(Data!A:A,$A$2,Data!EW:EW),0)</f>
        <v>9198271</v>
      </c>
      <c r="F91" s="21">
        <f t="shared" si="5"/>
        <v>2.99</v>
      </c>
    </row>
    <row r="92" spans="1:6" x14ac:dyDescent="0.2">
      <c r="A92" s="19">
        <v>26</v>
      </c>
      <c r="B92" s="180" t="s">
        <v>23</v>
      </c>
      <c r="C92" s="181"/>
      <c r="D92" s="14">
        <f t="shared" si="4"/>
        <v>909993</v>
      </c>
      <c r="E92" s="17">
        <f>IF(F3="1",SUMIF(Data!A:A,$A$2,Data!EX:EX),0)</f>
        <v>4482794</v>
      </c>
      <c r="F92" s="21">
        <f t="shared" si="5"/>
        <v>4.93</v>
      </c>
    </row>
    <row r="93" spans="1:6" x14ac:dyDescent="0.2">
      <c r="A93" s="19">
        <v>28</v>
      </c>
      <c r="B93" s="180" t="s">
        <v>24</v>
      </c>
      <c r="C93" s="181"/>
      <c r="D93" s="14">
        <f t="shared" si="4"/>
        <v>0</v>
      </c>
      <c r="E93" s="17">
        <f>IF(F3="1",SUMIF(Data!A:A,$A$2,Data!EZ:EZ),0)</f>
        <v>0</v>
      </c>
      <c r="F93" s="21" t="str">
        <f t="shared" si="5"/>
        <v/>
      </c>
    </row>
    <row r="94" spans="1:6" ht="15.75" customHeight="1" thickBot="1" x14ac:dyDescent="0.25">
      <c r="A94" s="22">
        <v>29</v>
      </c>
      <c r="B94" s="184" t="s">
        <v>25</v>
      </c>
      <c r="C94" s="185"/>
      <c r="D94" s="23">
        <f t="shared" si="4"/>
        <v>0</v>
      </c>
      <c r="E94" s="24">
        <f>IF(F3="1",SUMIF(Data!A:A,$A$2,Data!FA:FA),0)</f>
        <v>0</v>
      </c>
      <c r="F94" s="25" t="str">
        <f t="shared" si="5"/>
        <v/>
      </c>
    </row>
    <row r="95" spans="1:6" x14ac:dyDescent="0.2">
      <c r="C95" s="13" t="s">
        <v>35</v>
      </c>
      <c r="D95" s="61">
        <f>SUM(D67:D94)</f>
        <v>18861353</v>
      </c>
      <c r="E95" s="4">
        <f>SUM(E67:E94)</f>
        <v>64902131</v>
      </c>
      <c r="F95" s="32">
        <f>IF(OR(D95=0,E95=0),"",ROUND(E95/D95,2))</f>
        <v>3.44</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IF(F3="1",SUMIF(Data!A:A,$A$2,Data!AH:AH),0)</f>
        <v>25583934</v>
      </c>
      <c r="F98" s="20">
        <f>IF(OR(E98=0,E98=0),"",ROUND(E98/$D$105,2))</f>
        <v>1.36</v>
      </c>
    </row>
    <row r="99" spans="2:6" x14ac:dyDescent="0.2">
      <c r="B99" s="190" t="s">
        <v>31</v>
      </c>
      <c r="C99" s="191"/>
      <c r="D99" s="36"/>
      <c r="E99" s="17">
        <f>IF(F3="1",SUMIF(Data!A:A,$A$2,Data!AI:AI),0)</f>
        <v>15149317</v>
      </c>
      <c r="F99" s="21">
        <f t="shared" ref="F99:F104" si="6">IF(OR(E99=0,E99=0),"",ROUND(E99/$D$105,2))</f>
        <v>0.8</v>
      </c>
    </row>
    <row r="100" spans="2:6" x14ac:dyDescent="0.2">
      <c r="B100" s="190" t="s">
        <v>1089</v>
      </c>
      <c r="C100" s="191"/>
      <c r="D100" s="36"/>
      <c r="E100" s="17">
        <f>IF(F3="1",SUMIF(Data!A:A,$A$2,Data!AJ:AJ),0)</f>
        <v>5818338</v>
      </c>
      <c r="F100" s="21">
        <f t="shared" si="6"/>
        <v>0.31</v>
      </c>
    </row>
    <row r="101" spans="2:6" x14ac:dyDescent="0.2">
      <c r="B101" s="190" t="s">
        <v>1090</v>
      </c>
      <c r="C101" s="191"/>
      <c r="D101" s="36"/>
      <c r="E101" s="17">
        <f>IF(F3="1",SUMIF(Data!A:A,$A$2,Data!AK:AK),0)</f>
        <v>8243683</v>
      </c>
      <c r="F101" s="21">
        <f t="shared" si="6"/>
        <v>0.44</v>
      </c>
    </row>
    <row r="102" spans="2:6" x14ac:dyDescent="0.2">
      <c r="B102" s="190" t="s">
        <v>1091</v>
      </c>
      <c r="C102" s="191"/>
      <c r="D102" s="36"/>
      <c r="E102" s="17">
        <f>IF(F3="1",SUMIF(Data!A:A,$A$2,Data!AL:AL),0)</f>
        <v>305249</v>
      </c>
      <c r="F102" s="21">
        <f t="shared" si="6"/>
        <v>0.02</v>
      </c>
    </row>
    <row r="103" spans="2:6" x14ac:dyDescent="0.2">
      <c r="B103" s="192" t="s">
        <v>34</v>
      </c>
      <c r="C103" s="193"/>
      <c r="D103" s="36"/>
      <c r="E103" s="17">
        <f>IF(F3="1",SUMIF(Data!A:A,$A$2,Data!AM:AM),0)</f>
        <v>1.0000000000000001E-5</v>
      </c>
      <c r="F103" s="21">
        <f t="shared" si="6"/>
        <v>0</v>
      </c>
    </row>
    <row r="104" spans="2:6" ht="15.75" customHeight="1" thickBot="1" x14ac:dyDescent="0.25">
      <c r="B104" s="186" t="s">
        <v>29</v>
      </c>
      <c r="C104" s="187"/>
      <c r="D104" s="37"/>
      <c r="E104" s="24">
        <f>IF(F3="1",SUMIF(Data!A:A,$A$2,Data!Q:Q),0)</f>
        <v>11724786</v>
      </c>
      <c r="F104" s="25">
        <f t="shared" si="6"/>
        <v>0.62</v>
      </c>
    </row>
    <row r="105" spans="2:6" x14ac:dyDescent="0.2">
      <c r="C105" s="13" t="s">
        <v>35</v>
      </c>
      <c r="D105" s="12">
        <f>D95</f>
        <v>18861353</v>
      </c>
      <c r="E105" s="4">
        <f>SUM(E98:E104)</f>
        <v>66825307.000009999</v>
      </c>
      <c r="F105" s="32">
        <f>IF($D$105=0,"",ROUND(E105/$D$105,2))</f>
        <v>3.54</v>
      </c>
    </row>
    <row r="107" spans="2:6" ht="15" thickBot="1" x14ac:dyDescent="0.25">
      <c r="B107" s="11" t="s">
        <v>932</v>
      </c>
    </row>
    <row r="108" spans="2:6" ht="28.5" x14ac:dyDescent="0.2">
      <c r="B108" s="45" t="s">
        <v>926</v>
      </c>
      <c r="C108" s="27" t="s">
        <v>930</v>
      </c>
      <c r="D108" s="27" t="s">
        <v>29</v>
      </c>
      <c r="E108" s="27" t="s">
        <v>931</v>
      </c>
      <c r="F108" s="46" t="s">
        <v>35</v>
      </c>
    </row>
    <row r="109" spans="2:6" x14ac:dyDescent="0.2">
      <c r="B109" s="42" t="s">
        <v>927</v>
      </c>
      <c r="C109" s="15">
        <f>E95+IF(F3="1",SUMIF(Data!$A:$A,$A$2,Data!GF:GF),0)</f>
        <v>64902131</v>
      </c>
      <c r="D109" s="15">
        <f>IF(F3="1",SUMIF(Data!$A:$A,$A$2,Data!HJ:HJ),0)</f>
        <v>0</v>
      </c>
      <c r="E109" s="15">
        <f>IF(F3="1",SUMIF(Data!$A:$A,$A$2,Data!IN:IN),0)</f>
        <v>0</v>
      </c>
      <c r="F109" s="47">
        <f>SUM(C109:E109)</f>
        <v>64902131</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10" x14ac:dyDescent="0.2">
      <c r="B113" s="42" t="s">
        <v>31</v>
      </c>
      <c r="C113" s="50">
        <f>IF(F3="1",SUMIF(Data!A:A,$A$2,Data!U:U),0)</f>
        <v>0</v>
      </c>
      <c r="D113" s="51"/>
      <c r="E113" s="50">
        <f>IF(F3="1",SUMIF(Data!A:A,$A$2,Data!AB:AB),0)</f>
        <v>0</v>
      </c>
      <c r="F113" s="48">
        <f t="shared" si="7"/>
        <v>0</v>
      </c>
    </row>
    <row r="114" spans="1:10" x14ac:dyDescent="0.2">
      <c r="B114" s="42" t="s">
        <v>1013</v>
      </c>
      <c r="C114" s="50">
        <f>IF(F3="1",SUMIF(Data!A:A,$A$2,Data!T:T),0)</f>
        <v>0</v>
      </c>
      <c r="D114" s="51"/>
      <c r="E114" s="50">
        <f>IF(F3="1",SUMIF(Data!A:A,$A$2,Data!AA:AA),0)</f>
        <v>0</v>
      </c>
      <c r="F114" s="48">
        <f t="shared" si="7"/>
        <v>0</v>
      </c>
    </row>
    <row r="115" spans="1:10" x14ac:dyDescent="0.2">
      <c r="B115" s="42" t="s">
        <v>929</v>
      </c>
      <c r="C115" s="50">
        <f>IF(F3="1",SUMIF(Data!A:A,$A$2,Data!BI:BI),0)</f>
        <v>0</v>
      </c>
      <c r="D115" s="50">
        <f>IF(F3="1",SUMIF(Data!A:A,$A$2,Data!BL:BL),0)</f>
        <v>0</v>
      </c>
      <c r="E115" s="50">
        <f>IF(F3="1",SUMIF(Data!A:A,$A$2,Data!BU:BU),0)</f>
        <v>0</v>
      </c>
      <c r="F115" s="48">
        <f t="shared" si="7"/>
        <v>0</v>
      </c>
    </row>
    <row r="116" spans="1:10" x14ac:dyDescent="0.2">
      <c r="B116" s="42" t="s">
        <v>33</v>
      </c>
      <c r="C116" s="50">
        <f>IF(F3="1",SUMIF(Data!A:A,$A$2,Data!X:X),0)</f>
        <v>0</v>
      </c>
      <c r="D116" s="50"/>
      <c r="E116" s="50">
        <f>E102</f>
        <v>305249</v>
      </c>
      <c r="F116" s="48">
        <f t="shared" si="7"/>
        <v>305249</v>
      </c>
    </row>
    <row r="117" spans="1:10" ht="15" thickBot="1" x14ac:dyDescent="0.25">
      <c r="B117" s="43" t="s">
        <v>933</v>
      </c>
      <c r="C117" s="52"/>
      <c r="D117" s="52">
        <f>IF(F3="1",SUMIF(Data!A:A,$A$2,Data!Q:Q),0)</f>
        <v>11724786</v>
      </c>
      <c r="E117" s="52"/>
      <c r="F117" s="49">
        <f>SUM(C117:E117)</f>
        <v>11724786</v>
      </c>
    </row>
    <row r="118" spans="1:10" x14ac:dyDescent="0.2">
      <c r="B118" s="13" t="s">
        <v>35</v>
      </c>
      <c r="C118" s="4">
        <f>SUM(C109:C116)</f>
        <v>64902131</v>
      </c>
      <c r="D118" s="4">
        <f>SUM(D109:D116)</f>
        <v>0</v>
      </c>
      <c r="E118" s="4">
        <f>SUM(E109:E116)</f>
        <v>305249</v>
      </c>
      <c r="F118" s="4">
        <f>SUM(F109:F116)</f>
        <v>65207380</v>
      </c>
    </row>
    <row r="119" spans="1:10" ht="15" thickBot="1" x14ac:dyDescent="0.25"/>
    <row r="120" spans="1:10" ht="15" thickBot="1" x14ac:dyDescent="0.25">
      <c r="B120" s="55" t="s">
        <v>934</v>
      </c>
      <c r="C120" s="53"/>
      <c r="D120" s="53"/>
      <c r="E120" s="53">
        <f>IF(F3="1",SUMIF(Data!A:A,$A$2,Data!AM:AM),0)</f>
        <v>1.0000000000000001E-5</v>
      </c>
      <c r="F120" s="54">
        <f>SUM(C120:E120)</f>
        <v>1.0000000000000001E-5</v>
      </c>
    </row>
    <row r="122" spans="1:10" s="60" customFormat="1" ht="101.25" customHeight="1" x14ac:dyDescent="0.2">
      <c r="A122" s="179" t="s">
        <v>935</v>
      </c>
      <c r="B122" s="179"/>
      <c r="C122" s="179"/>
      <c r="D122" s="179"/>
      <c r="E122" s="179"/>
      <c r="F122" s="179"/>
      <c r="H122" s="61"/>
      <c r="I122" s="61"/>
      <c r="J122" s="61"/>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3" width="12.1406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350</v>
      </c>
      <c r="B2" s="58" t="str">
        <f>VLOOKUP(A2,Data!A:G,7,0)</f>
        <v>Alvin Community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34128</v>
      </c>
      <c r="E5" s="15">
        <f>E36+E67+IFERROR($E$105/$D$105*D5,0)</f>
        <v>179435.01534248865</v>
      </c>
      <c r="F5" s="20">
        <f>IF(OR(D5=0,E5=0),"",ROUND(E5/D5,2))</f>
        <v>5.26</v>
      </c>
    </row>
    <row r="6" spans="1:6" x14ac:dyDescent="0.2">
      <c r="A6" s="19">
        <v>2</v>
      </c>
      <c r="B6" s="180" t="s">
        <v>1</v>
      </c>
      <c r="C6" s="181"/>
      <c r="D6" s="14">
        <f t="shared" ref="D6:D32" si="0">D37</f>
        <v>72986</v>
      </c>
      <c r="E6" s="17">
        <f t="shared" ref="E6:E32" si="1">E37+E68+IFERROR($E$105/$D$105*D6,0)</f>
        <v>515720.37194640399</v>
      </c>
      <c r="F6" s="21">
        <f t="shared" ref="F6:F33" si="2">IF(OR(D6=0,E6=0),"",ROUND(E6/D6,2))</f>
        <v>7.07</v>
      </c>
    </row>
    <row r="7" spans="1:6" ht="14.25" customHeight="1" x14ac:dyDescent="0.2">
      <c r="A7" s="19">
        <v>3</v>
      </c>
      <c r="B7" s="180" t="s">
        <v>2</v>
      </c>
      <c r="C7" s="181"/>
      <c r="D7" s="14">
        <f t="shared" si="0"/>
        <v>217216</v>
      </c>
      <c r="E7" s="17">
        <f t="shared" si="1"/>
        <v>1430857.3423767583</v>
      </c>
      <c r="F7" s="21">
        <f t="shared" si="2"/>
        <v>6.59</v>
      </c>
    </row>
    <row r="8" spans="1:6" ht="14.25" customHeight="1" x14ac:dyDescent="0.2">
      <c r="A8" s="19">
        <v>4</v>
      </c>
      <c r="B8" s="180" t="s">
        <v>3</v>
      </c>
      <c r="C8" s="181"/>
      <c r="D8" s="14">
        <f t="shared" si="0"/>
        <v>248013</v>
      </c>
      <c r="E8" s="17">
        <f t="shared" si="1"/>
        <v>1840900.3970972993</v>
      </c>
      <c r="F8" s="21">
        <f t="shared" si="2"/>
        <v>7.42</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55866</v>
      </c>
      <c r="E10" s="17">
        <f t="shared" si="1"/>
        <v>363276.96340610262</v>
      </c>
      <c r="F10" s="21">
        <f t="shared" si="2"/>
        <v>6.5</v>
      </c>
    </row>
    <row r="11" spans="1:6" x14ac:dyDescent="0.2">
      <c r="A11" s="19">
        <v>7</v>
      </c>
      <c r="B11" s="180" t="s">
        <v>6</v>
      </c>
      <c r="C11" s="181"/>
      <c r="D11" s="14">
        <f t="shared" si="0"/>
        <v>236456</v>
      </c>
      <c r="E11" s="17">
        <f t="shared" si="1"/>
        <v>1505111.8552456484</v>
      </c>
      <c r="F11" s="21">
        <f t="shared" si="2"/>
        <v>6.37</v>
      </c>
    </row>
    <row r="12" spans="1:6" x14ac:dyDescent="0.2">
      <c r="A12" s="19">
        <v>8</v>
      </c>
      <c r="B12" s="180" t="s">
        <v>7</v>
      </c>
      <c r="C12" s="181"/>
      <c r="D12" s="14">
        <f t="shared" si="0"/>
        <v>0</v>
      </c>
      <c r="E12" s="17">
        <f t="shared" si="1"/>
        <v>0</v>
      </c>
      <c r="F12" s="21" t="str">
        <f t="shared" si="2"/>
        <v/>
      </c>
    </row>
    <row r="13" spans="1:6" x14ac:dyDescent="0.2">
      <c r="A13" s="19">
        <v>9</v>
      </c>
      <c r="B13" s="180" t="s">
        <v>8</v>
      </c>
      <c r="C13" s="181"/>
      <c r="D13" s="14">
        <f t="shared" si="0"/>
        <v>42510</v>
      </c>
      <c r="E13" s="17">
        <f t="shared" si="1"/>
        <v>289654.60613599367</v>
      </c>
      <c r="F13" s="21">
        <f t="shared" si="2"/>
        <v>6.81</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48280</v>
      </c>
      <c r="E15" s="17">
        <f t="shared" si="1"/>
        <v>263277.67782276578</v>
      </c>
      <c r="F15" s="21">
        <f t="shared" si="2"/>
        <v>5.45</v>
      </c>
    </row>
    <row r="16" spans="1:6" ht="14.25" customHeight="1" x14ac:dyDescent="0.2">
      <c r="A16" s="19">
        <v>12</v>
      </c>
      <c r="B16" s="180" t="s">
        <v>11</v>
      </c>
      <c r="C16" s="181"/>
      <c r="D16" s="14">
        <f t="shared" si="0"/>
        <v>263288</v>
      </c>
      <c r="E16" s="17">
        <f t="shared" si="1"/>
        <v>1832332.5002195602</v>
      </c>
      <c r="F16" s="21">
        <f t="shared" si="2"/>
        <v>6.96</v>
      </c>
    </row>
    <row r="17" spans="1:6" x14ac:dyDescent="0.2">
      <c r="A17" s="19">
        <v>13</v>
      </c>
      <c r="B17" s="180" t="s">
        <v>12</v>
      </c>
      <c r="C17" s="181"/>
      <c r="D17" s="14">
        <f t="shared" si="0"/>
        <v>21733</v>
      </c>
      <c r="E17" s="17">
        <f t="shared" si="1"/>
        <v>165776.24262887676</v>
      </c>
      <c r="F17" s="21">
        <f t="shared" si="2"/>
        <v>7.63</v>
      </c>
    </row>
    <row r="18" spans="1:6" ht="14.25" customHeight="1" x14ac:dyDescent="0.2">
      <c r="A18" s="19">
        <v>14</v>
      </c>
      <c r="B18" s="180" t="s">
        <v>464</v>
      </c>
      <c r="C18" s="181"/>
      <c r="D18" s="14">
        <f t="shared" si="0"/>
        <v>75816</v>
      </c>
      <c r="E18" s="17">
        <f t="shared" si="1"/>
        <v>777146.64800768043</v>
      </c>
      <c r="F18" s="21">
        <f t="shared" si="2"/>
        <v>10.25</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161824</v>
      </c>
      <c r="E20" s="17">
        <f t="shared" si="1"/>
        <v>1151012.2541837459</v>
      </c>
      <c r="F20" s="21">
        <f t="shared" si="2"/>
        <v>7.11</v>
      </c>
    </row>
    <row r="21" spans="1:6" x14ac:dyDescent="0.2">
      <c r="A21" s="19">
        <v>17</v>
      </c>
      <c r="B21" s="180" t="s">
        <v>15</v>
      </c>
      <c r="C21" s="181"/>
      <c r="D21" s="14">
        <f t="shared" si="0"/>
        <v>24112</v>
      </c>
      <c r="E21" s="17">
        <f t="shared" si="1"/>
        <v>279541.88847685436</v>
      </c>
      <c r="F21" s="21">
        <f t="shared" si="2"/>
        <v>11.59</v>
      </c>
    </row>
    <row r="22" spans="1:6" x14ac:dyDescent="0.2">
      <c r="A22" s="19">
        <v>18</v>
      </c>
      <c r="B22" s="180" t="s">
        <v>16</v>
      </c>
      <c r="C22" s="181"/>
      <c r="D22" s="14">
        <f t="shared" si="0"/>
        <v>42480</v>
      </c>
      <c r="E22" s="17">
        <f t="shared" si="1"/>
        <v>281552.37352757028</v>
      </c>
      <c r="F22" s="21">
        <f t="shared" si="2"/>
        <v>6.63</v>
      </c>
    </row>
    <row r="23" spans="1:6" x14ac:dyDescent="0.2">
      <c r="A23" s="19">
        <v>19</v>
      </c>
      <c r="B23" s="180" t="s">
        <v>17</v>
      </c>
      <c r="C23" s="181"/>
      <c r="D23" s="14">
        <f t="shared" si="0"/>
        <v>221808</v>
      </c>
      <c r="E23" s="17">
        <f t="shared" si="1"/>
        <v>1296144.2136394372</v>
      </c>
      <c r="F23" s="21">
        <f t="shared" si="2"/>
        <v>5.84</v>
      </c>
    </row>
    <row r="24" spans="1:6" x14ac:dyDescent="0.2">
      <c r="A24" s="19">
        <v>20</v>
      </c>
      <c r="B24" s="180" t="s">
        <v>18</v>
      </c>
      <c r="C24" s="181"/>
      <c r="D24" s="14">
        <f t="shared" si="0"/>
        <v>33600</v>
      </c>
      <c r="E24" s="17">
        <f t="shared" si="1"/>
        <v>172646.52143423635</v>
      </c>
      <c r="F24" s="21">
        <f t="shared" si="2"/>
        <v>5.14</v>
      </c>
    </row>
    <row r="25" spans="1:6" ht="14.25" customHeight="1" x14ac:dyDescent="0.2">
      <c r="A25" s="19">
        <v>21</v>
      </c>
      <c r="B25" s="180" t="s">
        <v>461</v>
      </c>
      <c r="C25" s="181"/>
      <c r="D25" s="14">
        <f t="shared" si="0"/>
        <v>0</v>
      </c>
      <c r="E25" s="17">
        <f t="shared" si="1"/>
        <v>0</v>
      </c>
      <c r="F25" s="21" t="str">
        <f t="shared" si="2"/>
        <v/>
      </c>
    </row>
    <row r="26" spans="1:6" x14ac:dyDescent="0.2">
      <c r="A26" s="19">
        <v>22</v>
      </c>
      <c r="B26" s="180" t="s">
        <v>19</v>
      </c>
      <c r="C26" s="181"/>
      <c r="D26" s="14">
        <f t="shared" si="0"/>
        <v>0</v>
      </c>
      <c r="E26" s="17">
        <f t="shared" si="1"/>
        <v>0</v>
      </c>
      <c r="F26" s="21" t="str">
        <f t="shared" si="2"/>
        <v/>
      </c>
    </row>
    <row r="27" spans="1:6" x14ac:dyDescent="0.2">
      <c r="A27" s="19">
        <v>23</v>
      </c>
      <c r="B27" s="180" t="s">
        <v>20</v>
      </c>
      <c r="C27" s="181"/>
      <c r="D27" s="14">
        <f t="shared" si="0"/>
        <v>82752</v>
      </c>
      <c r="E27" s="17">
        <f t="shared" si="1"/>
        <v>642046.22707517631</v>
      </c>
      <c r="F27" s="21">
        <f t="shared" si="2"/>
        <v>7.76</v>
      </c>
    </row>
    <row r="28" spans="1:6" x14ac:dyDescent="0.2">
      <c r="A28" s="19">
        <v>24</v>
      </c>
      <c r="B28" s="180" t="s">
        <v>21</v>
      </c>
      <c r="C28" s="181"/>
      <c r="D28" s="14">
        <f t="shared" si="0"/>
        <v>120448</v>
      </c>
      <c r="E28" s="17">
        <f t="shared" si="1"/>
        <v>729006.64064615779</v>
      </c>
      <c r="F28" s="21">
        <f t="shared" si="2"/>
        <v>6.05</v>
      </c>
    </row>
    <row r="29" spans="1:6" x14ac:dyDescent="0.2">
      <c r="A29" s="19">
        <v>25</v>
      </c>
      <c r="B29" s="180" t="s">
        <v>22</v>
      </c>
      <c r="C29" s="181"/>
      <c r="D29" s="14">
        <f t="shared" si="0"/>
        <v>289824</v>
      </c>
      <c r="E29" s="17">
        <f t="shared" si="1"/>
        <v>1797766.3834570274</v>
      </c>
      <c r="F29" s="21">
        <f t="shared" si="2"/>
        <v>6.2</v>
      </c>
    </row>
    <row r="30" spans="1:6" x14ac:dyDescent="0.2">
      <c r="A30" s="19">
        <v>26</v>
      </c>
      <c r="B30" s="180" t="s">
        <v>23</v>
      </c>
      <c r="C30" s="181"/>
      <c r="D30" s="14">
        <f t="shared" si="0"/>
        <v>102560</v>
      </c>
      <c r="E30" s="17">
        <f t="shared" si="1"/>
        <v>875559.87733021658</v>
      </c>
      <c r="F30" s="21">
        <f t="shared" si="2"/>
        <v>8.5399999999999991</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2395700</v>
      </c>
      <c r="E33" s="31">
        <f>SUM(E5:E32)</f>
        <v>16388766</v>
      </c>
      <c r="F33" s="32">
        <f t="shared" si="2"/>
        <v>6.84</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IF(F3="1",SUMIF(Data!A:A,'2'!$A$2,Data!CU:CU),0)</f>
        <v>34128</v>
      </c>
      <c r="E36" s="15">
        <f>IF(F3="1",SUMIF(Data!$A:$A,$A$2,Data!IO:IO),0)</f>
        <v>21079</v>
      </c>
      <c r="F36" s="20">
        <f t="shared" ref="F36:F64" si="3">IF(OR(D36=0,E36=0),"",ROUND(E36/D36,2))</f>
        <v>0.62</v>
      </c>
    </row>
    <row r="37" spans="1:6" x14ac:dyDescent="0.2">
      <c r="A37" s="19">
        <v>2</v>
      </c>
      <c r="B37" s="180" t="s">
        <v>1</v>
      </c>
      <c r="C37" s="181"/>
      <c r="D37" s="14">
        <f>IF(F3="1",SUMIF(Data!A:A,'2'!$A$2,Data!CV:CV),0)</f>
        <v>72986</v>
      </c>
      <c r="E37" s="17">
        <f>IF(F3="1",SUMIF(Data!$A:$A,$A$2,Data!IP:IP),0)</f>
        <v>120029</v>
      </c>
      <c r="F37" s="21">
        <f t="shared" si="3"/>
        <v>1.64</v>
      </c>
    </row>
    <row r="38" spans="1:6" ht="14.25" customHeight="1" x14ac:dyDescent="0.2">
      <c r="A38" s="19">
        <v>3</v>
      </c>
      <c r="B38" s="180" t="s">
        <v>2</v>
      </c>
      <c r="C38" s="181"/>
      <c r="D38" s="14">
        <f>IF(F3="1",SUMIF(Data!A:A,'2'!$A$2,Data!CW:CW),0)</f>
        <v>217216</v>
      </c>
      <c r="E38" s="17">
        <f>IF($F$3="1",SUMIF(Data!$A:$A,$A$2,Data!IQ:IQ),0)</f>
        <v>118181</v>
      </c>
      <c r="F38" s="21">
        <f t="shared" si="3"/>
        <v>0.54</v>
      </c>
    </row>
    <row r="39" spans="1:6" ht="14.25" customHeight="1" x14ac:dyDescent="0.2">
      <c r="A39" s="19">
        <v>4</v>
      </c>
      <c r="B39" s="180" t="s">
        <v>3</v>
      </c>
      <c r="C39" s="181"/>
      <c r="D39" s="14">
        <f>IF(F3="1",SUMIF(Data!A:A,'2'!$A$2,Data!CX:CX),0)</f>
        <v>248013</v>
      </c>
      <c r="E39" s="17">
        <f>IF($F$3="1",SUMIF(Data!$A:$A,$A$2,Data!IR:IR),0)</f>
        <v>200749</v>
      </c>
      <c r="F39" s="21">
        <f t="shared" si="3"/>
        <v>0.81</v>
      </c>
    </row>
    <row r="40" spans="1:6" x14ac:dyDescent="0.2">
      <c r="A40" s="19">
        <v>5</v>
      </c>
      <c r="B40" s="180" t="s">
        <v>4</v>
      </c>
      <c r="C40" s="181"/>
      <c r="D40" s="14">
        <f>IF(F3="1",SUMIF(Data!A:A,'2'!$A$2,Data!CY:CY),0)</f>
        <v>0</v>
      </c>
      <c r="E40" s="17">
        <f>IF($F$3="1",SUMIF(Data!$A:$A,$A$2,Data!IS:IS),0)</f>
        <v>0</v>
      </c>
      <c r="F40" s="21" t="str">
        <f t="shared" si="3"/>
        <v/>
      </c>
    </row>
    <row r="41" spans="1:6" x14ac:dyDescent="0.2">
      <c r="A41" s="19">
        <v>6</v>
      </c>
      <c r="B41" s="180" t="s">
        <v>5</v>
      </c>
      <c r="C41" s="181"/>
      <c r="D41" s="14">
        <f>IF(F3="1",SUMIF(Data!A:A,'2'!$A$2,Data!CZ:CZ),0)</f>
        <v>55866</v>
      </c>
      <c r="E41" s="17">
        <f>IF($F$3="1",SUMIF(Data!$A:$A,$A$2,Data!IT:IT),0)</f>
        <v>51711</v>
      </c>
      <c r="F41" s="21">
        <f t="shared" si="3"/>
        <v>0.93</v>
      </c>
    </row>
    <row r="42" spans="1:6" x14ac:dyDescent="0.2">
      <c r="A42" s="19">
        <v>7</v>
      </c>
      <c r="B42" s="180" t="s">
        <v>6</v>
      </c>
      <c r="C42" s="181"/>
      <c r="D42" s="14">
        <f>IF(F3="1",SUMIF(Data!A:A,'2'!$A$2,Data!DA:DA),0)</f>
        <v>236456</v>
      </c>
      <c r="E42" s="17">
        <f>IF($F$3="1",SUMIF(Data!$A:$A,$A$2,Data!IU:IU),0)</f>
        <v>135910</v>
      </c>
      <c r="F42" s="21">
        <f t="shared" si="3"/>
        <v>0.56999999999999995</v>
      </c>
    </row>
    <row r="43" spans="1:6" x14ac:dyDescent="0.2">
      <c r="A43" s="19">
        <v>8</v>
      </c>
      <c r="B43" s="180" t="s">
        <v>7</v>
      </c>
      <c r="C43" s="181"/>
      <c r="D43" s="14">
        <f>IF(F3="1",SUMIF(Data!A:A,'2'!$A$2,Data!DB:DB),0)</f>
        <v>0</v>
      </c>
      <c r="E43" s="17">
        <f>IF($F$3="1",SUMIF(Data!$A:$A,$A$2,Data!IV:IV),0)</f>
        <v>0</v>
      </c>
      <c r="F43" s="21" t="str">
        <f t="shared" si="3"/>
        <v/>
      </c>
    </row>
    <row r="44" spans="1:6" x14ac:dyDescent="0.2">
      <c r="A44" s="19">
        <v>9</v>
      </c>
      <c r="B44" s="180" t="s">
        <v>8</v>
      </c>
      <c r="C44" s="181"/>
      <c r="D44" s="14">
        <f>IF(F3="1",SUMIF(Data!A:A,'2'!$A$2,Data!DC:DC),0)</f>
        <v>42510</v>
      </c>
      <c r="E44" s="17">
        <f>IF($F$3="1",SUMIF(Data!$A:$A,$A$2,Data!IW:IW),0)</f>
        <v>43347</v>
      </c>
      <c r="F44" s="21">
        <f t="shared" si="3"/>
        <v>1.02</v>
      </c>
    </row>
    <row r="45" spans="1:6" x14ac:dyDescent="0.2">
      <c r="A45" s="19">
        <v>10</v>
      </c>
      <c r="B45" s="180" t="s">
        <v>9</v>
      </c>
      <c r="C45" s="181"/>
      <c r="D45" s="14">
        <f>IF(F3="1",SUMIF(Data!A:A,'2'!$A$2,Data!DD:DD),0)</f>
        <v>0</v>
      </c>
      <c r="E45" s="17">
        <f>IF($F$3="1",SUMIF(Data!$A:$A,$A$2,Data!IX:IX),0)</f>
        <v>0</v>
      </c>
      <c r="F45" s="21" t="str">
        <f t="shared" si="3"/>
        <v/>
      </c>
    </row>
    <row r="46" spans="1:6" x14ac:dyDescent="0.2">
      <c r="A46" s="19">
        <v>11</v>
      </c>
      <c r="B46" s="180" t="s">
        <v>10</v>
      </c>
      <c r="C46" s="181"/>
      <c r="D46" s="14">
        <f>IF(F3="1",SUMIF(Data!A:A,'2'!$A$2,Data!DE:DE),0)</f>
        <v>48280</v>
      </c>
      <c r="E46" s="17">
        <f>IF($F$3="1",SUMIF(Data!$A:$A,$A$2,Data!IY:IY),0)</f>
        <v>43770</v>
      </c>
      <c r="F46" s="21">
        <f t="shared" si="3"/>
        <v>0.91</v>
      </c>
    </row>
    <row r="47" spans="1:6" ht="14.25" customHeight="1" x14ac:dyDescent="0.2">
      <c r="A47" s="19">
        <v>12</v>
      </c>
      <c r="B47" s="180" t="s">
        <v>11</v>
      </c>
      <c r="C47" s="181"/>
      <c r="D47" s="14">
        <f>IF(F3="1",SUMIF(Data!A:A,'2'!$A$2,Data!DF:DF),0)</f>
        <v>263288</v>
      </c>
      <c r="E47" s="17">
        <f>IF($F$3="1",SUMIF(Data!$A:$A,$A$2,Data!IZ:IZ),0)</f>
        <v>118605</v>
      </c>
      <c r="F47" s="21">
        <f t="shared" si="3"/>
        <v>0.45</v>
      </c>
    </row>
    <row r="48" spans="1:6" x14ac:dyDescent="0.2">
      <c r="A48" s="19">
        <v>13</v>
      </c>
      <c r="B48" s="180" t="s">
        <v>12</v>
      </c>
      <c r="C48" s="181"/>
      <c r="D48" s="14">
        <f>IF(F3="1",SUMIF(Data!A:A,'2'!$A$2,Data!DG:DG),0)</f>
        <v>21733</v>
      </c>
      <c r="E48" s="17">
        <f>IF($F$3="1",SUMIF(Data!$A:$A,$A$2,Data!JA:JA),0)</f>
        <v>10577</v>
      </c>
      <c r="F48" s="21">
        <f t="shared" si="3"/>
        <v>0.49</v>
      </c>
    </row>
    <row r="49" spans="1:6" ht="14.25" customHeight="1" x14ac:dyDescent="0.2">
      <c r="A49" s="19">
        <v>14</v>
      </c>
      <c r="B49" s="180" t="s">
        <v>464</v>
      </c>
      <c r="C49" s="181"/>
      <c r="D49" s="14">
        <f>IF(F3="1",SUMIF(Data!A:A,'2'!$A$2,Data!DH:DH),0)</f>
        <v>75816</v>
      </c>
      <c r="E49" s="17">
        <f>IF($F$3="1",SUMIF(Data!$A:$A,$A$2,Data!JB:JB),0)</f>
        <v>141855</v>
      </c>
      <c r="F49" s="21">
        <f t="shared" si="3"/>
        <v>1.87</v>
      </c>
    </row>
    <row r="50" spans="1:6" x14ac:dyDescent="0.2">
      <c r="A50" s="19">
        <v>15</v>
      </c>
      <c r="B50" s="180" t="s">
        <v>13</v>
      </c>
      <c r="C50" s="181"/>
      <c r="D50" s="14">
        <f>IF(F3="1",SUMIF(Data!A:A,'2'!$A$2,Data!DI:DI),0)</f>
        <v>0</v>
      </c>
      <c r="E50" s="17">
        <f>IF($F$3="1",SUMIF(Data!$A:$A,$A$2,Data!JC:JC),0)</f>
        <v>0</v>
      </c>
      <c r="F50" s="21" t="str">
        <f t="shared" si="3"/>
        <v/>
      </c>
    </row>
    <row r="51" spans="1:6" x14ac:dyDescent="0.2">
      <c r="A51" s="19">
        <v>16</v>
      </c>
      <c r="B51" s="180" t="s">
        <v>14</v>
      </c>
      <c r="C51" s="181"/>
      <c r="D51" s="14">
        <f>IF(F3="1",SUMIF(Data!A:A,'2'!$A$2,Data!DJ:DJ),0)</f>
        <v>161824</v>
      </c>
      <c r="E51" s="17">
        <f>IF($F$3="1",SUMIF(Data!$A:$A,$A$2,Data!JD:JD),0)</f>
        <v>90739</v>
      </c>
      <c r="F51" s="21">
        <f t="shared" si="3"/>
        <v>0.56000000000000005</v>
      </c>
    </row>
    <row r="52" spans="1:6" x14ac:dyDescent="0.2">
      <c r="A52" s="19">
        <v>17</v>
      </c>
      <c r="B52" s="180" t="s">
        <v>15</v>
      </c>
      <c r="C52" s="181"/>
      <c r="D52" s="14">
        <f>IF(F3="1",SUMIF(Data!A:A,'2'!$A$2,Data!DK:DK),0)</f>
        <v>24112</v>
      </c>
      <c r="E52" s="17">
        <f>IF($F$3="1",SUMIF(Data!$A:$A,$A$2,Data!JE:JE),0)</f>
        <v>22015</v>
      </c>
      <c r="F52" s="21">
        <f t="shared" si="3"/>
        <v>0.91</v>
      </c>
    </row>
    <row r="53" spans="1:6" x14ac:dyDescent="0.2">
      <c r="A53" s="19">
        <v>18</v>
      </c>
      <c r="B53" s="180" t="s">
        <v>16</v>
      </c>
      <c r="C53" s="181"/>
      <c r="D53" s="14">
        <f>IF(F3="1",SUMIF(Data!A:A,'2'!$A$2,Data!DL:DL),0)</f>
        <v>42480</v>
      </c>
      <c r="E53" s="17">
        <f>IF($F$3="1",SUMIF(Data!$A:$A,$A$2,Data!JF:JF),0)</f>
        <v>20666</v>
      </c>
      <c r="F53" s="21">
        <f t="shared" si="3"/>
        <v>0.49</v>
      </c>
    </row>
    <row r="54" spans="1:6" x14ac:dyDescent="0.2">
      <c r="A54" s="19">
        <v>19</v>
      </c>
      <c r="B54" s="180" t="s">
        <v>17</v>
      </c>
      <c r="C54" s="181"/>
      <c r="D54" s="14">
        <f>IF(F3="1",SUMIF(Data!A:A,'2'!$A$2,Data!DM:DM),0)</f>
        <v>221808</v>
      </c>
      <c r="E54" s="17">
        <f>IF($F$3="1",SUMIF(Data!$A:$A,$A$2,Data!JG:JG),0)</f>
        <v>74864</v>
      </c>
      <c r="F54" s="21">
        <f t="shared" si="3"/>
        <v>0.34</v>
      </c>
    </row>
    <row r="55" spans="1:6" x14ac:dyDescent="0.2">
      <c r="A55" s="19">
        <v>20</v>
      </c>
      <c r="B55" s="180" t="s">
        <v>18</v>
      </c>
      <c r="C55" s="181"/>
      <c r="D55" s="14">
        <f>IF(F3="1",SUMIF(Data!A:A,'2'!$A$2,Data!DN:DN),0)</f>
        <v>33600</v>
      </c>
      <c r="E55" s="17">
        <f>IF($F$3="1",SUMIF(Data!$A:$A,$A$2,Data!JH:JH),0)</f>
        <v>10757</v>
      </c>
      <c r="F55" s="21">
        <f t="shared" si="3"/>
        <v>0.32</v>
      </c>
    </row>
    <row r="56" spans="1:6" ht="14.25" customHeight="1" x14ac:dyDescent="0.2">
      <c r="A56" s="19">
        <v>21</v>
      </c>
      <c r="B56" s="180" t="s">
        <v>461</v>
      </c>
      <c r="C56" s="181"/>
      <c r="D56" s="14">
        <f>IF(F3="1",SUMIF(Data!A:A,'2'!$A$2,Data!DO:DO),0)</f>
        <v>0</v>
      </c>
      <c r="E56" s="17">
        <f>IF($F$3="1",SUMIF(Data!$A:$A,$A$2,Data!JI:JI),0)</f>
        <v>0</v>
      </c>
      <c r="F56" s="21" t="str">
        <f t="shared" si="3"/>
        <v/>
      </c>
    </row>
    <row r="57" spans="1:6" x14ac:dyDescent="0.2">
      <c r="A57" s="19">
        <v>22</v>
      </c>
      <c r="B57" s="180" t="s">
        <v>19</v>
      </c>
      <c r="C57" s="181"/>
      <c r="D57" s="14">
        <f>IF(F3="1",SUMIF(Data!A:A,'2'!$A$2,Data!DP:DP),0)</f>
        <v>0</v>
      </c>
      <c r="E57" s="17">
        <f>IF($F$3="1",SUMIF(Data!$A:$A,$A$2,Data!JJ:JJ),0)</f>
        <v>0</v>
      </c>
      <c r="F57" s="21" t="str">
        <f t="shared" si="3"/>
        <v/>
      </c>
    </row>
    <row r="58" spans="1:6" x14ac:dyDescent="0.2">
      <c r="A58" s="19">
        <v>23</v>
      </c>
      <c r="B58" s="180" t="s">
        <v>20</v>
      </c>
      <c r="C58" s="181"/>
      <c r="D58" s="14">
        <f>IF(F3="1",SUMIF(Data!A:A,'2'!$A$2,Data!DQ:DQ),0)</f>
        <v>82752</v>
      </c>
      <c r="E58" s="17">
        <f>IF($F$3="1",SUMIF(Data!$A:$A,$A$2,Data!JK:JK),0)</f>
        <v>48808</v>
      </c>
      <c r="F58" s="21">
        <f t="shared" si="3"/>
        <v>0.59</v>
      </c>
    </row>
    <row r="59" spans="1:6" x14ac:dyDescent="0.2">
      <c r="A59" s="19">
        <v>24</v>
      </c>
      <c r="B59" s="180" t="s">
        <v>21</v>
      </c>
      <c r="C59" s="181"/>
      <c r="D59" s="14">
        <f>IF(F3="1",SUMIF(Data!A:A,'2'!$A$2,Data!DR:DR),0)</f>
        <v>120448</v>
      </c>
      <c r="E59" s="17">
        <f>IF($F$3="1",SUMIF(Data!$A:$A,$A$2,Data!JL:JL),0)</f>
        <v>62047</v>
      </c>
      <c r="F59" s="21">
        <f t="shared" si="3"/>
        <v>0.52</v>
      </c>
    </row>
    <row r="60" spans="1:6" x14ac:dyDescent="0.2">
      <c r="A60" s="19">
        <v>25</v>
      </c>
      <c r="B60" s="180" t="s">
        <v>22</v>
      </c>
      <c r="C60" s="181"/>
      <c r="D60" s="14">
        <f>IF(F3="1",SUMIF(Data!A:A,'2'!$A$2,Data!DS:DS),0)</f>
        <v>289824</v>
      </c>
      <c r="E60" s="17">
        <f>IF($F$3="1",SUMIF(Data!$A:$A,$A$2,Data!JM:JM),0)</f>
        <v>104863</v>
      </c>
      <c r="F60" s="21">
        <f t="shared" si="3"/>
        <v>0.36</v>
      </c>
    </row>
    <row r="61" spans="1:6" x14ac:dyDescent="0.2">
      <c r="A61" s="19">
        <v>26</v>
      </c>
      <c r="B61" s="180" t="s">
        <v>23</v>
      </c>
      <c r="C61" s="181"/>
      <c r="D61" s="14">
        <f>IF(F3="1",SUMIF(Data!A:A,'2'!$A$2,Data!DT:DT),0)</f>
        <v>102560</v>
      </c>
      <c r="E61" s="17">
        <f>IF($F$3="1",SUMIF(Data!$A:$A,$A$2,Data!JN:JN),0)</f>
        <v>152281</v>
      </c>
      <c r="F61" s="21">
        <f t="shared" si="3"/>
        <v>1.48</v>
      </c>
    </row>
    <row r="62" spans="1:6" x14ac:dyDescent="0.2">
      <c r="A62" s="19">
        <v>28</v>
      </c>
      <c r="B62" s="180" t="s">
        <v>24</v>
      </c>
      <c r="C62" s="181"/>
      <c r="D62" s="14">
        <f>IF(F3="1",SUMIF(Data!A:A,'2'!$A$2,Data!DV:DV),0)</f>
        <v>0</v>
      </c>
      <c r="E62" s="17">
        <f>IF($F$3="1",SUMIF(Data!$A:$A,$A$2,Data!JP:JP),0)</f>
        <v>0</v>
      </c>
      <c r="F62" s="21" t="str">
        <f t="shared" si="3"/>
        <v/>
      </c>
    </row>
    <row r="63" spans="1:6" ht="15.75" customHeight="1" thickBot="1" x14ac:dyDescent="0.25">
      <c r="A63" s="22">
        <v>29</v>
      </c>
      <c r="B63" s="184" t="s">
        <v>25</v>
      </c>
      <c r="C63" s="185"/>
      <c r="D63" s="23">
        <f>IF(F3="1",SUMIF(Data!A:A,'2'!$A$2,Data!DW:DW),0)</f>
        <v>0</v>
      </c>
      <c r="E63" s="24">
        <f>IF($F$3="1",SUMIF(Data!$A:$A,$A$2,Data!JQ:JQ),0)</f>
        <v>0</v>
      </c>
      <c r="F63" s="25" t="str">
        <f t="shared" si="3"/>
        <v/>
      </c>
    </row>
    <row r="64" spans="1:6" x14ac:dyDescent="0.2">
      <c r="B64" s="30" t="s">
        <v>35</v>
      </c>
      <c r="C64" s="30"/>
      <c r="D64" s="59">
        <f>SUM(D36:D63)</f>
        <v>2395700</v>
      </c>
      <c r="E64" s="31">
        <f>SUM(E36:E63)</f>
        <v>1592853</v>
      </c>
      <c r="F64" s="32">
        <f t="shared" si="3"/>
        <v>0.66</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34128</v>
      </c>
      <c r="E67" s="15">
        <f>IF(F3="1",SUMIF(Data!A:A,'2'!$A$2,Data!DY:DY),0)</f>
        <v>51157</v>
      </c>
      <c r="F67" s="20">
        <f t="shared" ref="F67:F95" si="4">IF(OR(D67=0,E67=0),"",ROUND(E67/D67,2))</f>
        <v>1.5</v>
      </c>
    </row>
    <row r="68" spans="1:6" x14ac:dyDescent="0.2">
      <c r="A68" s="19">
        <v>2</v>
      </c>
      <c r="B68" s="180" t="s">
        <v>1</v>
      </c>
      <c r="C68" s="181"/>
      <c r="D68" s="14">
        <f t="shared" ref="D68:D94" si="5">D37</f>
        <v>72986</v>
      </c>
      <c r="E68" s="17">
        <f>IF(F3="1",SUMIF(Data!A:A,'2'!$A$2,Data!DZ:DZ),0)</f>
        <v>166436</v>
      </c>
      <c r="F68" s="21">
        <f t="shared" si="4"/>
        <v>2.2799999999999998</v>
      </c>
    </row>
    <row r="69" spans="1:6" ht="14.25" customHeight="1" x14ac:dyDescent="0.2">
      <c r="A69" s="19">
        <v>3</v>
      </c>
      <c r="B69" s="180" t="s">
        <v>2</v>
      </c>
      <c r="C69" s="181"/>
      <c r="D69" s="14">
        <f t="shared" si="5"/>
        <v>217216</v>
      </c>
      <c r="E69" s="17">
        <f>IF(F3="1",SUMIF(Data!A:A,'2'!$A$2,Data!EA:EA),0)</f>
        <v>630382</v>
      </c>
      <c r="F69" s="21">
        <f t="shared" si="4"/>
        <v>2.9</v>
      </c>
    </row>
    <row r="70" spans="1:6" ht="14.25" customHeight="1" x14ac:dyDescent="0.2">
      <c r="A70" s="19">
        <v>4</v>
      </c>
      <c r="B70" s="180" t="s">
        <v>3</v>
      </c>
      <c r="C70" s="181"/>
      <c r="D70" s="14">
        <f t="shared" si="5"/>
        <v>248013</v>
      </c>
      <c r="E70" s="17">
        <f>IF(F3="1",SUMIF(Data!A:A,'2'!$A$2,Data!EB:EB),0)</f>
        <v>861121</v>
      </c>
      <c r="F70" s="21">
        <f t="shared" si="4"/>
        <v>3.47</v>
      </c>
    </row>
    <row r="71" spans="1:6" x14ac:dyDescent="0.2">
      <c r="A71" s="19">
        <v>5</v>
      </c>
      <c r="B71" s="180" t="s">
        <v>4</v>
      </c>
      <c r="C71" s="181"/>
      <c r="D71" s="14">
        <f t="shared" si="5"/>
        <v>0</v>
      </c>
      <c r="E71" s="17">
        <f>IF(F3="1",SUMIF(Data!A:A,'2'!$A$2,Data!EC:EC),0)</f>
        <v>0</v>
      </c>
      <c r="F71" s="21" t="str">
        <f t="shared" si="4"/>
        <v/>
      </c>
    </row>
    <row r="72" spans="1:6" x14ac:dyDescent="0.2">
      <c r="A72" s="19">
        <v>6</v>
      </c>
      <c r="B72" s="180" t="s">
        <v>5</v>
      </c>
      <c r="C72" s="181"/>
      <c r="D72" s="14">
        <f t="shared" si="5"/>
        <v>55866</v>
      </c>
      <c r="E72" s="17">
        <f>IF(F3="1",SUMIF(Data!A:A,'2'!$A$2,Data!ED:ED),0)</f>
        <v>136086</v>
      </c>
      <c r="F72" s="21">
        <f t="shared" si="4"/>
        <v>2.44</v>
      </c>
    </row>
    <row r="73" spans="1:6" x14ac:dyDescent="0.2">
      <c r="A73" s="19">
        <v>7</v>
      </c>
      <c r="B73" s="180" t="s">
        <v>6</v>
      </c>
      <c r="C73" s="181"/>
      <c r="D73" s="14">
        <f t="shared" si="5"/>
        <v>236456</v>
      </c>
      <c r="E73" s="17">
        <f>IF(F3="1",SUMIF(Data!A:A,'2'!$A$2,Data!EE:EE),0)</f>
        <v>626473</v>
      </c>
      <c r="F73" s="21">
        <f t="shared" si="4"/>
        <v>2.65</v>
      </c>
    </row>
    <row r="74" spans="1:6" x14ac:dyDescent="0.2">
      <c r="A74" s="19">
        <v>8</v>
      </c>
      <c r="B74" s="180" t="s">
        <v>7</v>
      </c>
      <c r="C74" s="181"/>
      <c r="D74" s="14">
        <f t="shared" si="5"/>
        <v>0</v>
      </c>
      <c r="E74" s="17">
        <f>IF(F3="1",SUMIF(Data!A:A,'2'!$A$2,Data!EF:EF),0)</f>
        <v>0</v>
      </c>
      <c r="F74" s="21" t="str">
        <f t="shared" si="4"/>
        <v/>
      </c>
    </row>
    <row r="75" spans="1:6" x14ac:dyDescent="0.2">
      <c r="A75" s="19">
        <v>9</v>
      </c>
      <c r="B75" s="180" t="s">
        <v>8</v>
      </c>
      <c r="C75" s="181"/>
      <c r="D75" s="14">
        <f t="shared" si="5"/>
        <v>42510</v>
      </c>
      <c r="E75" s="17">
        <f>IF(F3="1",SUMIF(Data!A:A,'2'!$A$2,Data!EG:EG),0)</f>
        <v>112780</v>
      </c>
      <c r="F75" s="21">
        <f t="shared" si="4"/>
        <v>2.65</v>
      </c>
    </row>
    <row r="76" spans="1:6" x14ac:dyDescent="0.2">
      <c r="A76" s="19">
        <v>10</v>
      </c>
      <c r="B76" s="180" t="s">
        <v>9</v>
      </c>
      <c r="C76" s="181"/>
      <c r="D76" s="14">
        <f t="shared" si="5"/>
        <v>0</v>
      </c>
      <c r="E76" s="17">
        <f>IF(F3="1",SUMIF(Data!A:A,'2'!$A$2,Data!EH:EH),0)</f>
        <v>0</v>
      </c>
      <c r="F76" s="21" t="str">
        <f t="shared" si="4"/>
        <v/>
      </c>
    </row>
    <row r="77" spans="1:6" x14ac:dyDescent="0.2">
      <c r="A77" s="19">
        <v>11</v>
      </c>
      <c r="B77" s="180" t="s">
        <v>10</v>
      </c>
      <c r="C77" s="181"/>
      <c r="D77" s="14">
        <f t="shared" si="5"/>
        <v>48280</v>
      </c>
      <c r="E77" s="17">
        <f>IF(F3="1",SUMIF(Data!A:A,'2'!$A$2,Data!EI:EI),0)</f>
        <v>67856</v>
      </c>
      <c r="F77" s="21">
        <f t="shared" si="4"/>
        <v>1.41</v>
      </c>
    </row>
    <row r="78" spans="1:6" ht="14.25" customHeight="1" x14ac:dyDescent="0.2">
      <c r="A78" s="19">
        <v>12</v>
      </c>
      <c r="B78" s="180" t="s">
        <v>11</v>
      </c>
      <c r="C78" s="181"/>
      <c r="D78" s="14">
        <f t="shared" si="5"/>
        <v>263288</v>
      </c>
      <c r="E78" s="17">
        <f>IF(F3="1",SUMIF(Data!A:A,'2'!$A$2,Data!EJ:EJ),0)</f>
        <v>886717</v>
      </c>
      <c r="F78" s="21">
        <f t="shared" si="4"/>
        <v>3.37</v>
      </c>
    </row>
    <row r="79" spans="1:6" x14ac:dyDescent="0.2">
      <c r="A79" s="19">
        <v>13</v>
      </c>
      <c r="B79" s="180" t="s">
        <v>12</v>
      </c>
      <c r="C79" s="181"/>
      <c r="D79" s="14">
        <f t="shared" si="5"/>
        <v>21733</v>
      </c>
      <c r="E79" s="17">
        <f>IF(F3="1",SUMIF(Data!A:A,'2'!$A$2,Data!EK:EK),0)</f>
        <v>86934</v>
      </c>
      <c r="F79" s="21">
        <f t="shared" si="4"/>
        <v>4</v>
      </c>
    </row>
    <row r="80" spans="1:6" ht="14.25" customHeight="1" x14ac:dyDescent="0.2">
      <c r="A80" s="19">
        <v>14</v>
      </c>
      <c r="B80" s="180" t="s">
        <v>464</v>
      </c>
      <c r="C80" s="181"/>
      <c r="D80" s="14">
        <f t="shared" si="5"/>
        <v>75816</v>
      </c>
      <c r="E80" s="17">
        <f>IF(F3="1",SUMIF(Data!A:A,'2'!$A$2,Data!EL:EL),0)</f>
        <v>397147</v>
      </c>
      <c r="F80" s="21">
        <f t="shared" si="4"/>
        <v>5.24</v>
      </c>
    </row>
    <row r="81" spans="1:6" x14ac:dyDescent="0.2">
      <c r="A81" s="19">
        <v>15</v>
      </c>
      <c r="B81" s="180" t="s">
        <v>13</v>
      </c>
      <c r="C81" s="181"/>
      <c r="D81" s="14">
        <f t="shared" si="5"/>
        <v>0</v>
      </c>
      <c r="E81" s="17">
        <f>IF(F3="1",SUMIF(Data!A:A,'2'!$A$2,Data!EM:EM),0)</f>
        <v>0</v>
      </c>
      <c r="F81" s="21" t="str">
        <f t="shared" si="4"/>
        <v/>
      </c>
    </row>
    <row r="82" spans="1:6" x14ac:dyDescent="0.2">
      <c r="A82" s="19">
        <v>16</v>
      </c>
      <c r="B82" s="180" t="s">
        <v>14</v>
      </c>
      <c r="C82" s="181"/>
      <c r="D82" s="14">
        <f t="shared" si="5"/>
        <v>161824</v>
      </c>
      <c r="E82" s="17">
        <f>IF(F3="1",SUMIF(Data!A:A,'2'!$A$2,Data!EN:EN),0)</f>
        <v>551970</v>
      </c>
      <c r="F82" s="21">
        <f t="shared" si="4"/>
        <v>3.41</v>
      </c>
    </row>
    <row r="83" spans="1:6" x14ac:dyDescent="0.2">
      <c r="A83" s="19">
        <v>17</v>
      </c>
      <c r="B83" s="180" t="s">
        <v>15</v>
      </c>
      <c r="C83" s="181"/>
      <c r="D83" s="14">
        <f t="shared" si="5"/>
        <v>24112</v>
      </c>
      <c r="E83" s="17">
        <f>IF(F3="1",SUMIF(Data!A:A,'2'!$A$2,Data!EO:EO),0)</f>
        <v>181789</v>
      </c>
      <c r="F83" s="21">
        <f t="shared" si="4"/>
        <v>7.54</v>
      </c>
    </row>
    <row r="84" spans="1:6" x14ac:dyDescent="0.2">
      <c r="A84" s="19">
        <v>18</v>
      </c>
      <c r="B84" s="180" t="s">
        <v>16</v>
      </c>
      <c r="C84" s="181"/>
      <c r="D84" s="14">
        <f t="shared" si="5"/>
        <v>42480</v>
      </c>
      <c r="E84" s="17">
        <f>IF(F3="1",SUMIF(Data!A:A,'2'!$A$2,Data!EP:EP),0)</f>
        <v>127453</v>
      </c>
      <c r="F84" s="21">
        <f t="shared" si="4"/>
        <v>3</v>
      </c>
    </row>
    <row r="85" spans="1:6" x14ac:dyDescent="0.2">
      <c r="A85" s="19">
        <v>19</v>
      </c>
      <c r="B85" s="180" t="s">
        <v>17</v>
      </c>
      <c r="C85" s="181"/>
      <c r="D85" s="14">
        <f t="shared" si="5"/>
        <v>221808</v>
      </c>
      <c r="E85" s="17">
        <f>IF(F3="1",SUMIF(Data!A:A,'2'!$A$2,Data!EQ:EQ),0)</f>
        <v>524562</v>
      </c>
      <c r="F85" s="21">
        <f t="shared" si="4"/>
        <v>2.36</v>
      </c>
    </row>
    <row r="86" spans="1:6" x14ac:dyDescent="0.2">
      <c r="A86" s="19">
        <v>20</v>
      </c>
      <c r="B86" s="180" t="s">
        <v>18</v>
      </c>
      <c r="C86" s="181"/>
      <c r="D86" s="14">
        <f t="shared" si="5"/>
        <v>33600</v>
      </c>
      <c r="E86" s="17">
        <f>IF(F3="1",SUMIF(Data!A:A,'2'!$A$2,Data!ER:ER),0)</f>
        <v>56349</v>
      </c>
      <c r="F86" s="21">
        <f t="shared" si="4"/>
        <v>1.68</v>
      </c>
    </row>
    <row r="87" spans="1:6" ht="14.25" customHeight="1" x14ac:dyDescent="0.2">
      <c r="A87" s="19">
        <v>21</v>
      </c>
      <c r="B87" s="180" t="s">
        <v>461</v>
      </c>
      <c r="C87" s="181"/>
      <c r="D87" s="14">
        <f t="shared" si="5"/>
        <v>0</v>
      </c>
      <c r="E87" s="17">
        <f>IF(F3="1",SUMIF(Data!A:A,'2'!$A$2,Data!ES:ES),0)</f>
        <v>0</v>
      </c>
      <c r="F87" s="21" t="str">
        <f t="shared" si="4"/>
        <v/>
      </c>
    </row>
    <row r="88" spans="1:6" x14ac:dyDescent="0.2">
      <c r="A88" s="19">
        <v>22</v>
      </c>
      <c r="B88" s="180" t="s">
        <v>19</v>
      </c>
      <c r="C88" s="181"/>
      <c r="D88" s="14">
        <f t="shared" si="5"/>
        <v>0</v>
      </c>
      <c r="E88" s="17">
        <f>IF(F3="1",SUMIF(Data!A:A,'2'!$A$2,Data!ET:ET),0)</f>
        <v>0</v>
      </c>
      <c r="F88" s="21" t="str">
        <f t="shared" si="4"/>
        <v/>
      </c>
    </row>
    <row r="89" spans="1:6" x14ac:dyDescent="0.2">
      <c r="A89" s="19">
        <v>23</v>
      </c>
      <c r="B89" s="180" t="s">
        <v>20</v>
      </c>
      <c r="C89" s="181"/>
      <c r="D89" s="14">
        <f t="shared" si="5"/>
        <v>82752</v>
      </c>
      <c r="E89" s="17">
        <f>IF(F3="1",SUMIF(Data!A:A,'2'!$A$2,Data!EU:EU),0)</f>
        <v>333307</v>
      </c>
      <c r="F89" s="21">
        <f t="shared" si="4"/>
        <v>4.03</v>
      </c>
    </row>
    <row r="90" spans="1:6" x14ac:dyDescent="0.2">
      <c r="A90" s="19">
        <v>24</v>
      </c>
      <c r="B90" s="180" t="s">
        <v>21</v>
      </c>
      <c r="C90" s="181"/>
      <c r="D90" s="14">
        <f t="shared" si="5"/>
        <v>120448</v>
      </c>
      <c r="E90" s="17">
        <f>IF(F3="1",SUMIF(Data!A:A,'2'!$A$2,Data!EV:EV),0)</f>
        <v>288622</v>
      </c>
      <c r="F90" s="21">
        <f t="shared" si="4"/>
        <v>2.4</v>
      </c>
    </row>
    <row r="91" spans="1:6" x14ac:dyDescent="0.2">
      <c r="A91" s="19">
        <v>25</v>
      </c>
      <c r="B91" s="180" t="s">
        <v>22</v>
      </c>
      <c r="C91" s="181"/>
      <c r="D91" s="14">
        <f t="shared" si="5"/>
        <v>289824</v>
      </c>
      <c r="E91" s="17">
        <f>IF(F3="1",SUMIF(Data!A:A,'2'!$A$2,Data!EW:EW),0)</f>
        <v>782541</v>
      </c>
      <c r="F91" s="21">
        <f t="shared" si="4"/>
        <v>2.7</v>
      </c>
    </row>
    <row r="92" spans="1:6" x14ac:dyDescent="0.2">
      <c r="A92" s="19">
        <v>26</v>
      </c>
      <c r="B92" s="180" t="s">
        <v>23</v>
      </c>
      <c r="C92" s="181"/>
      <c r="D92" s="14">
        <f t="shared" si="5"/>
        <v>102560</v>
      </c>
      <c r="E92" s="17">
        <f>IF(F3="1",SUMIF(Data!A:A,'2'!$A$2,Data!EX:EX),0)</f>
        <v>401129</v>
      </c>
      <c r="F92" s="21">
        <f t="shared" si="4"/>
        <v>3.91</v>
      </c>
    </row>
    <row r="93" spans="1:6" x14ac:dyDescent="0.2">
      <c r="A93" s="19">
        <v>28</v>
      </c>
      <c r="B93" s="180" t="s">
        <v>24</v>
      </c>
      <c r="C93" s="181"/>
      <c r="D93" s="14">
        <f t="shared" si="5"/>
        <v>0</v>
      </c>
      <c r="E93" s="17">
        <f>IF(F3="1",SUMIF(Data!A:A,'2'!$A$2,Data!EZ:EZ),0)</f>
        <v>0</v>
      </c>
      <c r="F93" s="21" t="str">
        <f t="shared" si="4"/>
        <v/>
      </c>
    </row>
    <row r="94" spans="1:6" ht="15.75" customHeight="1" thickBot="1" x14ac:dyDescent="0.25">
      <c r="A94" s="22">
        <v>29</v>
      </c>
      <c r="B94" s="184" t="s">
        <v>25</v>
      </c>
      <c r="C94" s="185"/>
      <c r="D94" s="23">
        <f t="shared" si="5"/>
        <v>0</v>
      </c>
      <c r="E94" s="24">
        <f>IF(F3="1",SUMIF(Data!A:A,'2'!$A$2,Data!FA:FA),0)</f>
        <v>0</v>
      </c>
      <c r="F94" s="25" t="str">
        <f t="shared" si="4"/>
        <v/>
      </c>
    </row>
    <row r="95" spans="1:6" x14ac:dyDescent="0.2">
      <c r="B95" s="30" t="s">
        <v>35</v>
      </c>
      <c r="C95" s="30"/>
      <c r="D95" s="59">
        <f>SUM(D67:D94)</f>
        <v>2395700</v>
      </c>
      <c r="E95" s="31">
        <f>SUM(E67:E94)</f>
        <v>7270811</v>
      </c>
      <c r="F95" s="32">
        <f t="shared" si="4"/>
        <v>3.03</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IF(F3="1",SUMIF(Data!A:A,'2'!$A$2,Data!AH:AH),0)</f>
        <v>4128045</v>
      </c>
      <c r="F98" s="20">
        <f>IF(OR(E98=0,E98=0),"",ROUND(E98/$D$105,2))</f>
        <v>1.72</v>
      </c>
    </row>
    <row r="99" spans="2:6" x14ac:dyDescent="0.2">
      <c r="B99" s="190" t="s">
        <v>31</v>
      </c>
      <c r="C99" s="191"/>
      <c r="D99" s="36"/>
      <c r="E99" s="17">
        <f>IF(F3="1",SUMIF(Data!A:A,'2'!$A$2,Data!AI:AI),0)</f>
        <v>1321895</v>
      </c>
      <c r="F99" s="21">
        <f t="shared" ref="F99:F104" si="6">IF(OR(E99=0,E99=0),"",ROUND(E99/$D$105,2))</f>
        <v>0.55000000000000004</v>
      </c>
    </row>
    <row r="100" spans="2:6" x14ac:dyDescent="0.2">
      <c r="B100" s="190" t="s">
        <v>1089</v>
      </c>
      <c r="C100" s="191"/>
      <c r="D100" s="36"/>
      <c r="E100" s="17">
        <f>IF(F3="1",SUMIF(Data!A:A,'2'!$A$2,Data!AJ:AJ),0)</f>
        <v>467883</v>
      </c>
      <c r="F100" s="21">
        <f t="shared" si="6"/>
        <v>0.2</v>
      </c>
    </row>
    <row r="101" spans="2:6" x14ac:dyDescent="0.2">
      <c r="B101" s="190" t="s">
        <v>1090</v>
      </c>
      <c r="C101" s="191"/>
      <c r="D101" s="36"/>
      <c r="E101" s="17">
        <f>IF(F3="1",SUMIF(Data!A:A,'2'!$A$2,Data!AK:AK),0)</f>
        <v>871247</v>
      </c>
      <c r="F101" s="21">
        <f t="shared" si="6"/>
        <v>0.36</v>
      </c>
    </row>
    <row r="102" spans="2:6" x14ac:dyDescent="0.2">
      <c r="B102" s="190" t="s">
        <v>1091</v>
      </c>
      <c r="C102" s="191"/>
      <c r="D102" s="36"/>
      <c r="E102" s="17">
        <f>IF(F3="1",SUMIF(Data!A:A,'2'!$A$2,Data!AL:AL),0)</f>
        <v>0</v>
      </c>
      <c r="F102" s="21" t="str">
        <f t="shared" si="6"/>
        <v/>
      </c>
    </row>
    <row r="103" spans="2:6" x14ac:dyDescent="0.2">
      <c r="B103" s="192" t="s">
        <v>34</v>
      </c>
      <c r="C103" s="193"/>
      <c r="D103" s="36"/>
      <c r="E103" s="17">
        <f>IF(F3="1",SUMIF(Data!A:A,'2'!$A$2,Data!AM:AM),0)</f>
        <v>0</v>
      </c>
      <c r="F103" s="21" t="str">
        <f t="shared" si="6"/>
        <v/>
      </c>
    </row>
    <row r="104" spans="2:6" ht="15.75" customHeight="1" thickBot="1" x14ac:dyDescent="0.25">
      <c r="B104" s="186" t="s">
        <v>29</v>
      </c>
      <c r="C104" s="187"/>
      <c r="D104" s="37"/>
      <c r="E104" s="24">
        <f>IF(F3="1",SUMIF(Data!A:A,'2'!$A$2,Data!Q:Q),0)</f>
        <v>736032</v>
      </c>
      <c r="F104" s="25">
        <f t="shared" si="6"/>
        <v>0.31</v>
      </c>
    </row>
    <row r="105" spans="2:6" x14ac:dyDescent="0.2">
      <c r="B105" s="30" t="s">
        <v>35</v>
      </c>
      <c r="C105" s="30"/>
      <c r="D105" s="34">
        <f>D95</f>
        <v>2395700</v>
      </c>
      <c r="E105" s="31">
        <f>SUM(E98:E104)</f>
        <v>7525102</v>
      </c>
      <c r="F105" s="32">
        <f>IF($D$105=0,"",ROUND(E105/$D$105,2))</f>
        <v>3.14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7270811</v>
      </c>
      <c r="D109" s="15">
        <f>IF(F3="1",SUMIF(Data!$A:$A,$A$2,Data!HJ:HJ),0)</f>
        <v>0</v>
      </c>
      <c r="E109" s="15">
        <f>IF(F3="1",SUMIF(Data!$A:$A,$A$2,Data!IN:IN),0)</f>
        <v>0</v>
      </c>
      <c r="F109" s="47">
        <f>SUM(C109:E109)</f>
        <v>7270811</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736032</v>
      </c>
      <c r="E117" s="52"/>
      <c r="F117" s="49">
        <f>SUM(C117:E117)</f>
        <v>736032</v>
      </c>
    </row>
    <row r="118" spans="1:6" x14ac:dyDescent="0.2">
      <c r="B118" s="13" t="s">
        <v>35</v>
      </c>
      <c r="C118" s="4">
        <f>SUM(C109:C116)</f>
        <v>7270811</v>
      </c>
      <c r="D118" s="4">
        <f>SUM(D109:D116)</f>
        <v>0</v>
      </c>
      <c r="E118" s="4">
        <f>SUM(E109:E116)</f>
        <v>0</v>
      </c>
      <c r="F118" s="4">
        <f>SUM(F109:F116)</f>
        <v>7270811</v>
      </c>
    </row>
    <row r="119" spans="1:6" ht="15" thickBot="1" x14ac:dyDescent="0.25"/>
    <row r="120" spans="1:6" ht="15" thickBot="1" x14ac:dyDescent="0.25">
      <c r="B120" s="55" t="s">
        <v>934</v>
      </c>
      <c r="C120" s="53"/>
      <c r="D120" s="53"/>
      <c r="E120" s="53">
        <f>IF(F3="1",SUMIF(Data!A:A,'2'!$A$2,Data!AM:AM),0)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42578125" style="10" bestFit="1" customWidth="1"/>
    <col min="14" max="14" width="13.42578125" style="10" bestFit="1" customWidth="1"/>
    <col min="15" max="15" width="16.42578125" style="10" bestFit="1" customWidth="1"/>
    <col min="16"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352</v>
      </c>
      <c r="B2" s="58" t="str">
        <f>VLOOKUP(A2,Data!A:G,7,0)</f>
        <v>Amarillo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5953</v>
      </c>
      <c r="E5" s="15">
        <f>E36+E67+IFERROR($E$105/$D$105*D5,0)</f>
        <v>38221.181600139724</v>
      </c>
      <c r="F5" s="20">
        <f>IF(OR(D5=0,E5=0),"",ROUND(E5/D5,2))</f>
        <v>6.42</v>
      </c>
    </row>
    <row r="6" spans="1:6" x14ac:dyDescent="0.2">
      <c r="A6" s="19">
        <v>2</v>
      </c>
      <c r="B6" s="180" t="s">
        <v>1</v>
      </c>
      <c r="C6" s="181"/>
      <c r="D6" s="14">
        <f t="shared" ref="D6:D32" si="0">D37</f>
        <v>78852</v>
      </c>
      <c r="E6" s="17">
        <f t="shared" ref="E6:E32" si="1">E37+E68+IFERROR($E$105/$D$105*D6,0)</f>
        <v>549129.41635044815</v>
      </c>
      <c r="F6" s="21">
        <f t="shared" ref="F6:F33" si="2">IF(OR(D6=0,E6=0),"",ROUND(E6/D6,2))</f>
        <v>6.96</v>
      </c>
    </row>
    <row r="7" spans="1:6" ht="14.25" customHeight="1" x14ac:dyDescent="0.2">
      <c r="A7" s="19">
        <v>3</v>
      </c>
      <c r="B7" s="180" t="s">
        <v>2</v>
      </c>
      <c r="C7" s="181"/>
      <c r="D7" s="14">
        <f t="shared" si="0"/>
        <v>403664</v>
      </c>
      <c r="E7" s="17">
        <f t="shared" si="1"/>
        <v>2477572.9159144638</v>
      </c>
      <c r="F7" s="21">
        <f t="shared" si="2"/>
        <v>6.14</v>
      </c>
    </row>
    <row r="8" spans="1:6" ht="14.25" customHeight="1" x14ac:dyDescent="0.2">
      <c r="A8" s="19">
        <v>4</v>
      </c>
      <c r="B8" s="180" t="s">
        <v>3</v>
      </c>
      <c r="C8" s="181"/>
      <c r="D8" s="14">
        <f t="shared" si="0"/>
        <v>346678</v>
      </c>
      <c r="E8" s="17">
        <f t="shared" si="1"/>
        <v>2357584.5922683086</v>
      </c>
      <c r="F8" s="21">
        <f t="shared" si="2"/>
        <v>6.8</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37856</v>
      </c>
      <c r="E10" s="17">
        <f t="shared" si="1"/>
        <v>260795.26988995288</v>
      </c>
      <c r="F10" s="21">
        <f t="shared" si="2"/>
        <v>6.89</v>
      </c>
    </row>
    <row r="11" spans="1:6" x14ac:dyDescent="0.2">
      <c r="A11" s="19">
        <v>7</v>
      </c>
      <c r="B11" s="180" t="s">
        <v>6</v>
      </c>
      <c r="C11" s="181"/>
      <c r="D11" s="14">
        <f t="shared" si="0"/>
        <v>190026</v>
      </c>
      <c r="E11" s="17">
        <f t="shared" si="1"/>
        <v>1266567.3169407276</v>
      </c>
      <c r="F11" s="21">
        <f t="shared" si="2"/>
        <v>6.67</v>
      </c>
    </row>
    <row r="12" spans="1:6" x14ac:dyDescent="0.2">
      <c r="A12" s="19">
        <v>8</v>
      </c>
      <c r="B12" s="180" t="s">
        <v>7</v>
      </c>
      <c r="C12" s="181"/>
      <c r="D12" s="14">
        <f t="shared" si="0"/>
        <v>5212</v>
      </c>
      <c r="E12" s="17">
        <f t="shared" si="1"/>
        <v>37669.400218365234</v>
      </c>
      <c r="F12" s="21">
        <f t="shared" si="2"/>
        <v>7.23</v>
      </c>
    </row>
    <row r="13" spans="1:6" x14ac:dyDescent="0.2">
      <c r="A13" s="19">
        <v>9</v>
      </c>
      <c r="B13" s="180" t="s">
        <v>8</v>
      </c>
      <c r="C13" s="181"/>
      <c r="D13" s="14">
        <f t="shared" si="0"/>
        <v>175052</v>
      </c>
      <c r="E13" s="17">
        <f t="shared" si="1"/>
        <v>1004455.157142224</v>
      </c>
      <c r="F13" s="21">
        <f t="shared" si="2"/>
        <v>5.74</v>
      </c>
    </row>
    <row r="14" spans="1:6" x14ac:dyDescent="0.2">
      <c r="A14" s="19">
        <v>10</v>
      </c>
      <c r="B14" s="180" t="s">
        <v>9</v>
      </c>
      <c r="C14" s="181"/>
      <c r="D14" s="14">
        <f t="shared" si="0"/>
        <v>1472</v>
      </c>
      <c r="E14" s="17">
        <f t="shared" si="1"/>
        <v>9008.1905451714556</v>
      </c>
      <c r="F14" s="21">
        <f t="shared" si="2"/>
        <v>6.12</v>
      </c>
    </row>
    <row r="15" spans="1:6" x14ac:dyDescent="0.2">
      <c r="A15" s="19">
        <v>11</v>
      </c>
      <c r="B15" s="180" t="s">
        <v>10</v>
      </c>
      <c r="C15" s="181"/>
      <c r="D15" s="14">
        <f t="shared" si="0"/>
        <v>175562</v>
      </c>
      <c r="E15" s="17">
        <f t="shared" si="1"/>
        <v>1178383.1402794777</v>
      </c>
      <c r="F15" s="21">
        <f t="shared" si="2"/>
        <v>6.71</v>
      </c>
    </row>
    <row r="16" spans="1:6" ht="14.25" customHeight="1" x14ac:dyDescent="0.2">
      <c r="A16" s="19">
        <v>12</v>
      </c>
      <c r="B16" s="180" t="s">
        <v>11</v>
      </c>
      <c r="C16" s="181"/>
      <c r="D16" s="14">
        <f t="shared" si="0"/>
        <v>695767</v>
      </c>
      <c r="E16" s="17">
        <f t="shared" si="1"/>
        <v>4861319.1263874378</v>
      </c>
      <c r="F16" s="21">
        <f t="shared" si="2"/>
        <v>6.99</v>
      </c>
    </row>
    <row r="17" spans="1:6" x14ac:dyDescent="0.2">
      <c r="A17" s="19">
        <v>13</v>
      </c>
      <c r="B17" s="180" t="s">
        <v>12</v>
      </c>
      <c r="C17" s="181"/>
      <c r="D17" s="14">
        <f t="shared" si="0"/>
        <v>24947</v>
      </c>
      <c r="E17" s="17">
        <f t="shared" si="1"/>
        <v>176948.97318640782</v>
      </c>
      <c r="F17" s="21">
        <f t="shared" si="2"/>
        <v>7.09</v>
      </c>
    </row>
    <row r="18" spans="1:6" ht="14.25" customHeight="1" x14ac:dyDescent="0.2">
      <c r="A18" s="19">
        <v>14</v>
      </c>
      <c r="B18" s="180" t="s">
        <v>464</v>
      </c>
      <c r="C18" s="181"/>
      <c r="D18" s="14">
        <f t="shared" si="0"/>
        <v>252286</v>
      </c>
      <c r="E18" s="17">
        <f t="shared" si="1"/>
        <v>1880919.7485591888</v>
      </c>
      <c r="F18" s="21">
        <f t="shared" si="2"/>
        <v>7.46</v>
      </c>
    </row>
    <row r="19" spans="1:6" x14ac:dyDescent="0.2">
      <c r="A19" s="19">
        <v>15</v>
      </c>
      <c r="B19" s="180" t="s">
        <v>13</v>
      </c>
      <c r="C19" s="181"/>
      <c r="D19" s="14">
        <f t="shared" si="0"/>
        <v>47945</v>
      </c>
      <c r="E19" s="17">
        <f t="shared" si="1"/>
        <v>368138.60101103631</v>
      </c>
      <c r="F19" s="21">
        <f t="shared" si="2"/>
        <v>7.68</v>
      </c>
    </row>
    <row r="20" spans="1:6" x14ac:dyDescent="0.2">
      <c r="A20" s="19">
        <v>16</v>
      </c>
      <c r="B20" s="180" t="s">
        <v>14</v>
      </c>
      <c r="C20" s="181"/>
      <c r="D20" s="14">
        <f t="shared" si="0"/>
        <v>323755</v>
      </c>
      <c r="E20" s="17">
        <f t="shared" si="1"/>
        <v>2461447.7560815113</v>
      </c>
      <c r="F20" s="21">
        <f t="shared" si="2"/>
        <v>7.6</v>
      </c>
    </row>
    <row r="21" spans="1:6" x14ac:dyDescent="0.2">
      <c r="A21" s="19">
        <v>17</v>
      </c>
      <c r="B21" s="180" t="s">
        <v>15</v>
      </c>
      <c r="C21" s="181"/>
      <c r="D21" s="14">
        <f t="shared" si="0"/>
        <v>17728</v>
      </c>
      <c r="E21" s="17">
        <f t="shared" si="1"/>
        <v>135568.46873967361</v>
      </c>
      <c r="F21" s="21">
        <f t="shared" si="2"/>
        <v>7.65</v>
      </c>
    </row>
    <row r="22" spans="1:6" x14ac:dyDescent="0.2">
      <c r="A22" s="19">
        <v>18</v>
      </c>
      <c r="B22" s="180" t="s">
        <v>16</v>
      </c>
      <c r="C22" s="181"/>
      <c r="D22" s="14">
        <f t="shared" si="0"/>
        <v>113328</v>
      </c>
      <c r="E22" s="17">
        <f t="shared" si="1"/>
        <v>827184.87642879807</v>
      </c>
      <c r="F22" s="21">
        <f t="shared" si="2"/>
        <v>7.3</v>
      </c>
    </row>
    <row r="23" spans="1:6" x14ac:dyDescent="0.2">
      <c r="A23" s="19">
        <v>19</v>
      </c>
      <c r="B23" s="180" t="s">
        <v>17</v>
      </c>
      <c r="C23" s="181"/>
      <c r="D23" s="14">
        <f t="shared" si="0"/>
        <v>480008</v>
      </c>
      <c r="E23" s="17">
        <f t="shared" si="1"/>
        <v>2968572.3798958287</v>
      </c>
      <c r="F23" s="21">
        <f t="shared" si="2"/>
        <v>6.18</v>
      </c>
    </row>
    <row r="24" spans="1:6" x14ac:dyDescent="0.2">
      <c r="A24" s="19">
        <v>20</v>
      </c>
      <c r="B24" s="180" t="s">
        <v>18</v>
      </c>
      <c r="C24" s="181"/>
      <c r="D24" s="14">
        <f t="shared" si="0"/>
        <v>72896</v>
      </c>
      <c r="E24" s="17">
        <f t="shared" si="1"/>
        <v>507885.52308479516</v>
      </c>
      <c r="F24" s="21">
        <f t="shared" si="2"/>
        <v>6.97</v>
      </c>
    </row>
    <row r="25" spans="1:6" ht="14.25" customHeight="1" x14ac:dyDescent="0.2">
      <c r="A25" s="19">
        <v>21</v>
      </c>
      <c r="B25" s="180" t="s">
        <v>461</v>
      </c>
      <c r="C25" s="181"/>
      <c r="D25" s="14">
        <f t="shared" si="0"/>
        <v>114614</v>
      </c>
      <c r="E25" s="17">
        <f t="shared" si="1"/>
        <v>798678.94371214765</v>
      </c>
      <c r="F25" s="21">
        <f t="shared" si="2"/>
        <v>6.97</v>
      </c>
    </row>
    <row r="26" spans="1:6" x14ac:dyDescent="0.2">
      <c r="A26" s="19">
        <v>22</v>
      </c>
      <c r="B26" s="180" t="s">
        <v>19</v>
      </c>
      <c r="C26" s="181"/>
      <c r="D26" s="14">
        <f t="shared" si="0"/>
        <v>8576</v>
      </c>
      <c r="E26" s="17">
        <f t="shared" si="1"/>
        <v>58611.414480564134</v>
      </c>
      <c r="F26" s="21">
        <f t="shared" si="2"/>
        <v>6.83</v>
      </c>
    </row>
    <row r="27" spans="1:6" x14ac:dyDescent="0.2">
      <c r="A27" s="19">
        <v>23</v>
      </c>
      <c r="B27" s="180" t="s">
        <v>20</v>
      </c>
      <c r="C27" s="181"/>
      <c r="D27" s="14">
        <f t="shared" si="0"/>
        <v>104772</v>
      </c>
      <c r="E27" s="17">
        <f t="shared" si="1"/>
        <v>551416.20638498897</v>
      </c>
      <c r="F27" s="21">
        <f t="shared" si="2"/>
        <v>5.26</v>
      </c>
    </row>
    <row r="28" spans="1:6" x14ac:dyDescent="0.2">
      <c r="A28" s="19">
        <v>24</v>
      </c>
      <c r="B28" s="180" t="s">
        <v>21</v>
      </c>
      <c r="C28" s="181"/>
      <c r="D28" s="14">
        <f t="shared" si="0"/>
        <v>220025</v>
      </c>
      <c r="E28" s="17">
        <f t="shared" si="1"/>
        <v>1685615.7348514604</v>
      </c>
      <c r="F28" s="21">
        <f t="shared" si="2"/>
        <v>7.66</v>
      </c>
    </row>
    <row r="29" spans="1:6" x14ac:dyDescent="0.2">
      <c r="A29" s="19">
        <v>25</v>
      </c>
      <c r="B29" s="180" t="s">
        <v>22</v>
      </c>
      <c r="C29" s="181"/>
      <c r="D29" s="14">
        <f t="shared" si="0"/>
        <v>435889</v>
      </c>
      <c r="E29" s="17">
        <f t="shared" si="1"/>
        <v>2361687.3896360332</v>
      </c>
      <c r="F29" s="21">
        <f t="shared" si="2"/>
        <v>5.42</v>
      </c>
    </row>
    <row r="30" spans="1:6" x14ac:dyDescent="0.2">
      <c r="A30" s="19">
        <v>26</v>
      </c>
      <c r="B30" s="180" t="s">
        <v>23</v>
      </c>
      <c r="C30" s="181"/>
      <c r="D30" s="14">
        <f t="shared" si="0"/>
        <v>224639</v>
      </c>
      <c r="E30" s="17">
        <f t="shared" si="1"/>
        <v>1551458.2764108498</v>
      </c>
      <c r="F30" s="21">
        <f t="shared" si="2"/>
        <v>6.91</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4557502</v>
      </c>
      <c r="E33" s="31">
        <f>SUM(E5:E32)</f>
        <v>30374840</v>
      </c>
      <c r="F33" s="32">
        <f t="shared" si="2"/>
        <v>6.66</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IF(F3="1",SUMIF(Data!A:A,'3'!$A$2,Data!CU:CU),0)</f>
        <v>5953</v>
      </c>
      <c r="E36" s="15">
        <f>IF(F3="1",SUMIF(Data!$A:$A,$A$2,Data!IO:IO),0)</f>
        <v>3426</v>
      </c>
      <c r="F36" s="20">
        <f t="shared" ref="F36:F64" si="3">IF(OR(D36=0,E36=0),"",ROUND(E36/D36,2))</f>
        <v>0.57999999999999996</v>
      </c>
    </row>
    <row r="37" spans="1:6" x14ac:dyDescent="0.2">
      <c r="A37" s="19">
        <v>2</v>
      </c>
      <c r="B37" s="180" t="s">
        <v>1</v>
      </c>
      <c r="C37" s="181"/>
      <c r="D37" s="14">
        <f>IF(F3="1",SUMIF(Data!A:A,'3'!$A$2,Data!CV:CV),0)</f>
        <v>78852</v>
      </c>
      <c r="E37" s="17">
        <f>IF(F3="1",SUMIF(Data!$A:$A,$A$2,Data!IP:IP),0)</f>
        <v>68440</v>
      </c>
      <c r="F37" s="21">
        <f t="shared" si="3"/>
        <v>0.87</v>
      </c>
    </row>
    <row r="38" spans="1:6" ht="14.25" customHeight="1" x14ac:dyDescent="0.2">
      <c r="A38" s="19">
        <v>3</v>
      </c>
      <c r="B38" s="180" t="s">
        <v>2</v>
      </c>
      <c r="C38" s="181"/>
      <c r="D38" s="14">
        <f>IF(F3="1",SUMIF(Data!A:A,'3'!$A$2,Data!CW:CW),0)</f>
        <v>403664</v>
      </c>
      <c r="E38" s="17">
        <f>IF($F$3="1",SUMIF(Data!$A:$A,$A$2,Data!IQ:IQ),0)</f>
        <v>161810</v>
      </c>
      <c r="F38" s="21">
        <f t="shared" si="3"/>
        <v>0.4</v>
      </c>
    </row>
    <row r="39" spans="1:6" ht="14.25" customHeight="1" x14ac:dyDescent="0.2">
      <c r="A39" s="19">
        <v>4</v>
      </c>
      <c r="B39" s="180" t="s">
        <v>3</v>
      </c>
      <c r="C39" s="181"/>
      <c r="D39" s="14">
        <f>IF(F3="1",SUMIF(Data!A:A,'3'!$A$2,Data!CX:CX),0)</f>
        <v>346678</v>
      </c>
      <c r="E39" s="17">
        <f>IF($F$3="1",SUMIF(Data!$A:$A,$A$2,Data!IR:IR),0)</f>
        <v>239123</v>
      </c>
      <c r="F39" s="21">
        <f t="shared" si="3"/>
        <v>0.69</v>
      </c>
    </row>
    <row r="40" spans="1:6" x14ac:dyDescent="0.2">
      <c r="A40" s="19">
        <v>5</v>
      </c>
      <c r="B40" s="180" t="s">
        <v>4</v>
      </c>
      <c r="C40" s="181"/>
      <c r="D40" s="14">
        <f>IF(F3="1",SUMIF(Data!A:A,'3'!$A$2,Data!CY:CY),0)</f>
        <v>0</v>
      </c>
      <c r="E40" s="17">
        <f>IF($F$3="1",SUMIF(Data!$A:$A,$A$2,Data!IS:IS),0)</f>
        <v>0</v>
      </c>
      <c r="F40" s="21" t="str">
        <f t="shared" si="3"/>
        <v/>
      </c>
    </row>
    <row r="41" spans="1:6" x14ac:dyDescent="0.2">
      <c r="A41" s="19">
        <v>6</v>
      </c>
      <c r="B41" s="180" t="s">
        <v>5</v>
      </c>
      <c r="C41" s="181"/>
      <c r="D41" s="14">
        <f>IF(F3="1",SUMIF(Data!A:A,'3'!$A$2,Data!CZ:CZ),0)</f>
        <v>37856</v>
      </c>
      <c r="E41" s="17">
        <f>IF($F$3="1",SUMIF(Data!$A:$A,$A$2,Data!IT:IT),0)</f>
        <v>20567</v>
      </c>
      <c r="F41" s="21">
        <f t="shared" si="3"/>
        <v>0.54</v>
      </c>
    </row>
    <row r="42" spans="1:6" x14ac:dyDescent="0.2">
      <c r="A42" s="19">
        <v>7</v>
      </c>
      <c r="B42" s="180" t="s">
        <v>6</v>
      </c>
      <c r="C42" s="181"/>
      <c r="D42" s="14">
        <f>IF(F3="1",SUMIF(Data!A:A,'3'!$A$2,Data!DA:DA),0)</f>
        <v>190026</v>
      </c>
      <c r="E42" s="17">
        <f>IF($F$3="1",SUMIF(Data!$A:$A,$A$2,Data!IU:IU),0)</f>
        <v>105550</v>
      </c>
      <c r="F42" s="21">
        <f t="shared" si="3"/>
        <v>0.56000000000000005</v>
      </c>
    </row>
    <row r="43" spans="1:6" x14ac:dyDescent="0.2">
      <c r="A43" s="19">
        <v>8</v>
      </c>
      <c r="B43" s="180" t="s">
        <v>7</v>
      </c>
      <c r="C43" s="181"/>
      <c r="D43" s="14">
        <f>IF(F3="1",SUMIF(Data!A:A,'3'!$A$2,Data!DB:DB),0)</f>
        <v>5212</v>
      </c>
      <c r="E43" s="17">
        <f>IF($F$3="1",SUMIF(Data!$A:$A,$A$2,Data!IV:IV),0)</f>
        <v>8162</v>
      </c>
      <c r="F43" s="21">
        <f t="shared" si="3"/>
        <v>1.57</v>
      </c>
    </row>
    <row r="44" spans="1:6" x14ac:dyDescent="0.2">
      <c r="A44" s="19">
        <v>9</v>
      </c>
      <c r="B44" s="180" t="s">
        <v>8</v>
      </c>
      <c r="C44" s="181"/>
      <c r="D44" s="14">
        <f>IF(F3="1",SUMIF(Data!A:A,'3'!$A$2,Data!DC:DC),0)</f>
        <v>175052</v>
      </c>
      <c r="E44" s="17">
        <f>IF($F$3="1",SUMIF(Data!$A:$A,$A$2,Data!IW:IW),0)</f>
        <v>78675</v>
      </c>
      <c r="F44" s="21">
        <f t="shared" si="3"/>
        <v>0.45</v>
      </c>
    </row>
    <row r="45" spans="1:6" x14ac:dyDescent="0.2">
      <c r="A45" s="19">
        <v>10</v>
      </c>
      <c r="B45" s="180" t="s">
        <v>9</v>
      </c>
      <c r="C45" s="181"/>
      <c r="D45" s="14">
        <f>IF(F3="1",SUMIF(Data!A:A,'3'!$A$2,Data!DD:DD),0)</f>
        <v>1472</v>
      </c>
      <c r="E45" s="17">
        <f>IF($F$3="1",SUMIF(Data!$A:$A,$A$2,Data!IX:IX),0)</f>
        <v>587</v>
      </c>
      <c r="F45" s="21">
        <f t="shared" si="3"/>
        <v>0.4</v>
      </c>
    </row>
    <row r="46" spans="1:6" x14ac:dyDescent="0.2">
      <c r="A46" s="19">
        <v>11</v>
      </c>
      <c r="B46" s="180" t="s">
        <v>10</v>
      </c>
      <c r="C46" s="181"/>
      <c r="D46" s="14">
        <f>IF(F3="1",SUMIF(Data!A:A,'3'!$A$2,Data!DE:DE),0)</f>
        <v>175562</v>
      </c>
      <c r="E46" s="17">
        <f>IF($F$3="1",SUMIF(Data!$A:$A,$A$2,Data!IY:IY),0)</f>
        <v>183116</v>
      </c>
      <c r="F46" s="21">
        <f t="shared" si="3"/>
        <v>1.04</v>
      </c>
    </row>
    <row r="47" spans="1:6" ht="14.25" customHeight="1" x14ac:dyDescent="0.2">
      <c r="A47" s="19">
        <v>12</v>
      </c>
      <c r="B47" s="180" t="s">
        <v>11</v>
      </c>
      <c r="C47" s="181"/>
      <c r="D47" s="14">
        <f>IF(F3="1",SUMIF(Data!A:A,'3'!$A$2,Data!DF:DF),0)</f>
        <v>695767</v>
      </c>
      <c r="E47" s="17">
        <f>IF($F$3="1",SUMIF(Data!$A:$A,$A$2,Data!IZ:IZ),0)</f>
        <v>573314</v>
      </c>
      <c r="F47" s="21">
        <f t="shared" si="3"/>
        <v>0.82</v>
      </c>
    </row>
    <row r="48" spans="1:6" x14ac:dyDescent="0.2">
      <c r="A48" s="19">
        <v>13</v>
      </c>
      <c r="B48" s="180" t="s">
        <v>12</v>
      </c>
      <c r="C48" s="181"/>
      <c r="D48" s="14">
        <f>IF(F3="1",SUMIF(Data!A:A,'3'!$A$2,Data!DG:DG),0)</f>
        <v>24947</v>
      </c>
      <c r="E48" s="17">
        <f>IF($F$3="1",SUMIF(Data!$A:$A,$A$2,Data!JA:JA),0)</f>
        <v>20426</v>
      </c>
      <c r="F48" s="21">
        <f t="shared" si="3"/>
        <v>0.82</v>
      </c>
    </row>
    <row r="49" spans="1:6" ht="14.25" customHeight="1" x14ac:dyDescent="0.2">
      <c r="A49" s="19">
        <v>14</v>
      </c>
      <c r="B49" s="180" t="s">
        <v>464</v>
      </c>
      <c r="C49" s="181"/>
      <c r="D49" s="14">
        <f>IF(F3="1",SUMIF(Data!A:A,'3'!$A$2,Data!DH:DH),0)</f>
        <v>252286</v>
      </c>
      <c r="E49" s="17">
        <f>IF($F$3="1",SUMIF(Data!$A:$A,$A$2,Data!JB:JB),0)</f>
        <v>257428</v>
      </c>
      <c r="F49" s="21">
        <f t="shared" si="3"/>
        <v>1.02</v>
      </c>
    </row>
    <row r="50" spans="1:6" x14ac:dyDescent="0.2">
      <c r="A50" s="19">
        <v>15</v>
      </c>
      <c r="B50" s="180" t="s">
        <v>13</v>
      </c>
      <c r="C50" s="181"/>
      <c r="D50" s="14">
        <f>IF(F3="1",SUMIF(Data!A:A,'3'!$A$2,Data!DI:DI),0)</f>
        <v>47945</v>
      </c>
      <c r="E50" s="17">
        <f>IF($F$3="1",SUMIF(Data!$A:$A,$A$2,Data!JC:JC),0)</f>
        <v>37571</v>
      </c>
      <c r="F50" s="21">
        <f t="shared" si="3"/>
        <v>0.78</v>
      </c>
    </row>
    <row r="51" spans="1:6" x14ac:dyDescent="0.2">
      <c r="A51" s="19">
        <v>16</v>
      </c>
      <c r="B51" s="180" t="s">
        <v>14</v>
      </c>
      <c r="C51" s="181"/>
      <c r="D51" s="14">
        <f>IF(F3="1",SUMIF(Data!A:A,'3'!$A$2,Data!DJ:DJ),0)</f>
        <v>323755</v>
      </c>
      <c r="E51" s="17">
        <f>IF($F$3="1",SUMIF(Data!$A:$A,$A$2,Data!JD:JD),0)</f>
        <v>405059</v>
      </c>
      <c r="F51" s="21">
        <f t="shared" si="3"/>
        <v>1.25</v>
      </c>
    </row>
    <row r="52" spans="1:6" x14ac:dyDescent="0.2">
      <c r="A52" s="19">
        <v>17</v>
      </c>
      <c r="B52" s="180" t="s">
        <v>15</v>
      </c>
      <c r="C52" s="181"/>
      <c r="D52" s="14">
        <f>IF(F3="1",SUMIF(Data!A:A,'3'!$A$2,Data!DK:DK),0)</f>
        <v>17728</v>
      </c>
      <c r="E52" s="17">
        <f>IF($F$3="1",SUMIF(Data!$A:$A,$A$2,Data!JE:JE),0)</f>
        <v>10399</v>
      </c>
      <c r="F52" s="21">
        <f t="shared" si="3"/>
        <v>0.59</v>
      </c>
    </row>
    <row r="53" spans="1:6" x14ac:dyDescent="0.2">
      <c r="A53" s="19">
        <v>18</v>
      </c>
      <c r="B53" s="180" t="s">
        <v>16</v>
      </c>
      <c r="C53" s="181"/>
      <c r="D53" s="14">
        <f>IF(F3="1",SUMIF(Data!A:A,'3'!$A$2,Data!DL:DL),0)</f>
        <v>113328</v>
      </c>
      <c r="E53" s="17">
        <f>IF($F$3="1",SUMIF(Data!$A:$A,$A$2,Data!JF:JF),0)</f>
        <v>46642</v>
      </c>
      <c r="F53" s="21">
        <f t="shared" si="3"/>
        <v>0.41</v>
      </c>
    </row>
    <row r="54" spans="1:6" x14ac:dyDescent="0.2">
      <c r="A54" s="19">
        <v>19</v>
      </c>
      <c r="B54" s="180" t="s">
        <v>17</v>
      </c>
      <c r="C54" s="181"/>
      <c r="D54" s="14">
        <f>IF(F3="1",SUMIF(Data!A:A,'3'!$A$2,Data!DM:DM),0)</f>
        <v>480008</v>
      </c>
      <c r="E54" s="17">
        <f>IF($F$3="1",SUMIF(Data!$A:$A,$A$2,Data!JG:JG),0)</f>
        <v>226106</v>
      </c>
      <c r="F54" s="21">
        <f t="shared" si="3"/>
        <v>0.47</v>
      </c>
    </row>
    <row r="55" spans="1:6" x14ac:dyDescent="0.2">
      <c r="A55" s="19">
        <v>20</v>
      </c>
      <c r="B55" s="180" t="s">
        <v>18</v>
      </c>
      <c r="C55" s="181"/>
      <c r="D55" s="14">
        <f>IF(F3="1",SUMIF(Data!A:A,'3'!$A$2,Data!DN:DN),0)</f>
        <v>72896</v>
      </c>
      <c r="E55" s="17">
        <f>IF($F$3="1",SUMIF(Data!$A:$A,$A$2,Data!JH:JH),0)</f>
        <v>62083</v>
      </c>
      <c r="F55" s="21">
        <f t="shared" si="3"/>
        <v>0.85</v>
      </c>
    </row>
    <row r="56" spans="1:6" ht="14.25" customHeight="1" x14ac:dyDescent="0.2">
      <c r="A56" s="19">
        <v>21</v>
      </c>
      <c r="B56" s="180" t="s">
        <v>461</v>
      </c>
      <c r="C56" s="181"/>
      <c r="D56" s="14">
        <f>IF(F3="1",SUMIF(Data!A:A,'3'!$A$2,Data!DO:DO),0)</f>
        <v>114614</v>
      </c>
      <c r="E56" s="17">
        <f>IF($F$3="1",SUMIF(Data!$A:$A,$A$2,Data!JI:JI),0)</f>
        <v>97993</v>
      </c>
      <c r="F56" s="21">
        <f t="shared" si="3"/>
        <v>0.85</v>
      </c>
    </row>
    <row r="57" spans="1:6" x14ac:dyDescent="0.2">
      <c r="A57" s="19">
        <v>22</v>
      </c>
      <c r="B57" s="180" t="s">
        <v>19</v>
      </c>
      <c r="C57" s="181"/>
      <c r="D57" s="14">
        <f>IF(F3="1",SUMIF(Data!A:A,'3'!$A$2,Data!DP:DP),0)</f>
        <v>8576</v>
      </c>
      <c r="E57" s="17">
        <f>IF($F$3="1",SUMIF(Data!$A:$A,$A$2,Data!JJ:JJ),0)</f>
        <v>6695</v>
      </c>
      <c r="F57" s="21">
        <f t="shared" si="3"/>
        <v>0.78</v>
      </c>
    </row>
    <row r="58" spans="1:6" x14ac:dyDescent="0.2">
      <c r="A58" s="19">
        <v>23</v>
      </c>
      <c r="B58" s="180" t="s">
        <v>20</v>
      </c>
      <c r="C58" s="181"/>
      <c r="D58" s="14">
        <f>IF(F3="1",SUMIF(Data!A:A,'3'!$A$2,Data!DQ:DQ),0)</f>
        <v>104772</v>
      </c>
      <c r="E58" s="17">
        <f>IF($F$3="1",SUMIF(Data!$A:$A,$A$2,Data!JK:JK),0)</f>
        <v>12996</v>
      </c>
      <c r="F58" s="21">
        <f t="shared" si="3"/>
        <v>0.12</v>
      </c>
    </row>
    <row r="59" spans="1:6" x14ac:dyDescent="0.2">
      <c r="A59" s="19">
        <v>24</v>
      </c>
      <c r="B59" s="180" t="s">
        <v>21</v>
      </c>
      <c r="C59" s="181"/>
      <c r="D59" s="14">
        <f>IF(F3="1",SUMIF(Data!A:A,'3'!$A$2,Data!DR:DR),0)</f>
        <v>220025</v>
      </c>
      <c r="E59" s="17">
        <f>IF($F$3="1",SUMIF(Data!$A:$A,$A$2,Data!JL:JL),0)</f>
        <v>636798</v>
      </c>
      <c r="F59" s="21">
        <f t="shared" si="3"/>
        <v>2.89</v>
      </c>
    </row>
    <row r="60" spans="1:6" x14ac:dyDescent="0.2">
      <c r="A60" s="19">
        <v>25</v>
      </c>
      <c r="B60" s="180" t="s">
        <v>22</v>
      </c>
      <c r="C60" s="181"/>
      <c r="D60" s="14">
        <f>IF(F3="1",SUMIF(Data!A:A,'3'!$A$2,Data!DS:DS),0)</f>
        <v>435889</v>
      </c>
      <c r="E60" s="17">
        <f>IF($F$3="1",SUMIF(Data!$A:$A,$A$2,Data!JM:JM),0)</f>
        <v>91910</v>
      </c>
      <c r="F60" s="21">
        <f t="shared" si="3"/>
        <v>0.21</v>
      </c>
    </row>
    <row r="61" spans="1:6" x14ac:dyDescent="0.2">
      <c r="A61" s="19">
        <v>26</v>
      </c>
      <c r="B61" s="180" t="s">
        <v>23</v>
      </c>
      <c r="C61" s="181"/>
      <c r="D61" s="14">
        <f>IF(F3="1",SUMIF(Data!A:A,'3'!$A$2,Data!DT:DT),0)</f>
        <v>224639</v>
      </c>
      <c r="E61" s="17">
        <f>IF($F$3="1",SUMIF(Data!$A:$A,$A$2,Data!JN:JN),0)</f>
        <v>122406</v>
      </c>
      <c r="F61" s="21">
        <f t="shared" si="3"/>
        <v>0.54</v>
      </c>
    </row>
    <row r="62" spans="1:6" x14ac:dyDescent="0.2">
      <c r="A62" s="19">
        <v>28</v>
      </c>
      <c r="B62" s="180" t="s">
        <v>24</v>
      </c>
      <c r="C62" s="181"/>
      <c r="D62" s="14">
        <f>IF(F3="1",SUMIF(Data!A:A,'3'!$A$2,Data!DV:DV),0)</f>
        <v>0</v>
      </c>
      <c r="E62" s="17">
        <f>IF($F$3="1",SUMIF(Data!$A:$A,$A$2,Data!JP:JP),0)</f>
        <v>0</v>
      </c>
      <c r="F62" s="21" t="str">
        <f t="shared" si="3"/>
        <v/>
      </c>
    </row>
    <row r="63" spans="1:6" ht="15.75" customHeight="1" thickBot="1" x14ac:dyDescent="0.25">
      <c r="A63" s="22">
        <v>29</v>
      </c>
      <c r="B63" s="184" t="s">
        <v>25</v>
      </c>
      <c r="C63" s="185"/>
      <c r="D63" s="23">
        <f>IF(F3="1",SUMIF(Data!A:A,'3'!$A$2,Data!DW:DW),0)</f>
        <v>0</v>
      </c>
      <c r="E63" s="24">
        <f>IF($F$3="1",SUMIF(Data!$A:$A,$A$2,Data!JQ:JQ),0)</f>
        <v>0</v>
      </c>
      <c r="F63" s="25" t="str">
        <f t="shared" si="3"/>
        <v/>
      </c>
    </row>
    <row r="64" spans="1:6" x14ac:dyDescent="0.2">
      <c r="B64" s="30" t="s">
        <v>35</v>
      </c>
      <c r="C64" s="30"/>
      <c r="D64" s="59">
        <f>SUM(D36:D63)</f>
        <v>4557502</v>
      </c>
      <c r="E64" s="31">
        <f>SUM(E36:E63)</f>
        <v>3477282</v>
      </c>
      <c r="F64" s="32">
        <f t="shared" si="3"/>
        <v>0.76</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5953</v>
      </c>
      <c r="E67" s="15">
        <f>IF(F3="1",SUMIF(Data!A:A,'3'!$A$2,Data!DY:DY),0)</f>
        <v>15524</v>
      </c>
      <c r="F67" s="20">
        <f t="shared" ref="F67:F95" si="4">IF(OR(D67=0,E67=0),"",ROUND(E67/D67,2))</f>
        <v>2.61</v>
      </c>
    </row>
    <row r="68" spans="1:6" x14ac:dyDescent="0.2">
      <c r="A68" s="19">
        <v>2</v>
      </c>
      <c r="B68" s="180" t="s">
        <v>1</v>
      </c>
      <c r="C68" s="181"/>
      <c r="D68" s="14">
        <f t="shared" ref="D68:D94" si="5">D37</f>
        <v>78852</v>
      </c>
      <c r="E68" s="17">
        <f>IF(F3="1",SUMIF(Data!A:A,'3'!$A$2,Data!DZ:DZ),0)</f>
        <v>225428</v>
      </c>
      <c r="F68" s="21">
        <f t="shared" si="4"/>
        <v>2.86</v>
      </c>
    </row>
    <row r="69" spans="1:6" ht="14.25" customHeight="1" x14ac:dyDescent="0.2">
      <c r="A69" s="19">
        <v>3</v>
      </c>
      <c r="B69" s="180" t="s">
        <v>2</v>
      </c>
      <c r="C69" s="181"/>
      <c r="D69" s="14">
        <f t="shared" si="5"/>
        <v>403664</v>
      </c>
      <c r="E69" s="17">
        <f>IF(F3="1",SUMIF(Data!A:A,'3'!$A$2,Data!EA:EA),0)</f>
        <v>1009013</v>
      </c>
      <c r="F69" s="21">
        <f t="shared" si="4"/>
        <v>2.5</v>
      </c>
    </row>
    <row r="70" spans="1:6" ht="14.25" customHeight="1" x14ac:dyDescent="0.2">
      <c r="A70" s="19">
        <v>4</v>
      </c>
      <c r="B70" s="180" t="s">
        <v>3</v>
      </c>
      <c r="C70" s="181"/>
      <c r="D70" s="14">
        <f t="shared" si="5"/>
        <v>346678</v>
      </c>
      <c r="E70" s="17">
        <f>IF(F3="1",SUMIF(Data!A:A,'3'!$A$2,Data!EB:EB),0)</f>
        <v>996188</v>
      </c>
      <c r="F70" s="21">
        <f t="shared" si="4"/>
        <v>2.87</v>
      </c>
    </row>
    <row r="71" spans="1:6" x14ac:dyDescent="0.2">
      <c r="A71" s="19">
        <v>5</v>
      </c>
      <c r="B71" s="180" t="s">
        <v>4</v>
      </c>
      <c r="C71" s="181"/>
      <c r="D71" s="14">
        <f t="shared" si="5"/>
        <v>0</v>
      </c>
      <c r="E71" s="17">
        <f>IF(F3="1",SUMIF(Data!A:A,'3'!$A$2,Data!EC:EC),0)</f>
        <v>0</v>
      </c>
      <c r="F71" s="21" t="str">
        <f t="shared" si="4"/>
        <v/>
      </c>
    </row>
    <row r="72" spans="1:6" x14ac:dyDescent="0.2">
      <c r="A72" s="19">
        <v>6</v>
      </c>
      <c r="B72" s="180" t="s">
        <v>5</v>
      </c>
      <c r="C72" s="181"/>
      <c r="D72" s="14">
        <f t="shared" si="5"/>
        <v>37856</v>
      </c>
      <c r="E72" s="17">
        <f>IF(F3="1",SUMIF(Data!A:A,'3'!$A$2,Data!ED:ED),0)</f>
        <v>117680</v>
      </c>
      <c r="F72" s="21">
        <f t="shared" si="4"/>
        <v>3.11</v>
      </c>
    </row>
    <row r="73" spans="1:6" x14ac:dyDescent="0.2">
      <c r="A73" s="19">
        <v>7</v>
      </c>
      <c r="B73" s="180" t="s">
        <v>6</v>
      </c>
      <c r="C73" s="181"/>
      <c r="D73" s="14">
        <f t="shared" si="5"/>
        <v>190026</v>
      </c>
      <c r="E73" s="17">
        <f>IF(F3="1",SUMIF(Data!A:A,'3'!$A$2,Data!EE:EE),0)</f>
        <v>545861</v>
      </c>
      <c r="F73" s="21">
        <f t="shared" si="4"/>
        <v>2.87</v>
      </c>
    </row>
    <row r="74" spans="1:6" x14ac:dyDescent="0.2">
      <c r="A74" s="19">
        <v>8</v>
      </c>
      <c r="B74" s="180" t="s">
        <v>7</v>
      </c>
      <c r="C74" s="181"/>
      <c r="D74" s="14">
        <f t="shared" si="5"/>
        <v>5212</v>
      </c>
      <c r="E74" s="17">
        <f>IF(F3="1",SUMIF(Data!A:A,'3'!$A$2,Data!EF:EF),0)</f>
        <v>12635</v>
      </c>
      <c r="F74" s="21">
        <f t="shared" si="4"/>
        <v>2.42</v>
      </c>
    </row>
    <row r="75" spans="1:6" x14ac:dyDescent="0.2">
      <c r="A75" s="19">
        <v>9</v>
      </c>
      <c r="B75" s="180" t="s">
        <v>8</v>
      </c>
      <c r="C75" s="181"/>
      <c r="D75" s="14">
        <f t="shared" si="5"/>
        <v>175052</v>
      </c>
      <c r="E75" s="17">
        <f>IF(F3="1",SUMIF(Data!A:A,'3'!$A$2,Data!EG:EG),0)</f>
        <v>359098</v>
      </c>
      <c r="F75" s="21">
        <f t="shared" si="4"/>
        <v>2.0499999999999998</v>
      </c>
    </row>
    <row r="76" spans="1:6" x14ac:dyDescent="0.2">
      <c r="A76" s="19">
        <v>10</v>
      </c>
      <c r="B76" s="180" t="s">
        <v>9</v>
      </c>
      <c r="C76" s="181"/>
      <c r="D76" s="14">
        <f t="shared" si="5"/>
        <v>1472</v>
      </c>
      <c r="E76" s="17">
        <f>IF(F3="1",SUMIF(Data!A:A,'3'!$A$2,Data!EH:EH),0)</f>
        <v>3656</v>
      </c>
      <c r="F76" s="21">
        <f t="shared" si="4"/>
        <v>2.48</v>
      </c>
    </row>
    <row r="77" spans="1:6" x14ac:dyDescent="0.2">
      <c r="A77" s="19">
        <v>11</v>
      </c>
      <c r="B77" s="180" t="s">
        <v>10</v>
      </c>
      <c r="C77" s="181"/>
      <c r="D77" s="14">
        <f t="shared" si="5"/>
        <v>175562</v>
      </c>
      <c r="E77" s="17">
        <f>IF(F3="1",SUMIF(Data!A:A,'3'!$A$2,Data!EI:EI),0)</f>
        <v>426934</v>
      </c>
      <c r="F77" s="21">
        <f t="shared" si="4"/>
        <v>2.4300000000000002</v>
      </c>
    </row>
    <row r="78" spans="1:6" ht="14.25" customHeight="1" x14ac:dyDescent="0.2">
      <c r="A78" s="19">
        <v>12</v>
      </c>
      <c r="B78" s="180" t="s">
        <v>11</v>
      </c>
      <c r="C78" s="181"/>
      <c r="D78" s="14">
        <f t="shared" si="5"/>
        <v>695767</v>
      </c>
      <c r="E78" s="17">
        <f>IF(F3="1",SUMIF(Data!A:A,'3'!$A$2,Data!EJ:EJ),0)</f>
        <v>2035653</v>
      </c>
      <c r="F78" s="21">
        <f t="shared" si="4"/>
        <v>2.93</v>
      </c>
    </row>
    <row r="79" spans="1:6" x14ac:dyDescent="0.2">
      <c r="A79" s="19">
        <v>13</v>
      </c>
      <c r="B79" s="180" t="s">
        <v>12</v>
      </c>
      <c r="C79" s="181"/>
      <c r="D79" s="14">
        <f t="shared" si="5"/>
        <v>24947</v>
      </c>
      <c r="E79" s="17">
        <f>IF(F3="1",SUMIF(Data!A:A,'3'!$A$2,Data!EK:EK),0)</f>
        <v>75764</v>
      </c>
      <c r="F79" s="21">
        <f t="shared" si="4"/>
        <v>3.04</v>
      </c>
    </row>
    <row r="80" spans="1:6" ht="14.25" customHeight="1" x14ac:dyDescent="0.2">
      <c r="A80" s="19">
        <v>14</v>
      </c>
      <c r="B80" s="180" t="s">
        <v>464</v>
      </c>
      <c r="C80" s="181"/>
      <c r="D80" s="14">
        <f t="shared" si="5"/>
        <v>252286</v>
      </c>
      <c r="E80" s="17">
        <f>IF(F3="1",SUMIF(Data!A:A,'3'!$A$2,Data!EL:EL),0)</f>
        <v>806786</v>
      </c>
      <c r="F80" s="21">
        <f t="shared" si="4"/>
        <v>3.2</v>
      </c>
    </row>
    <row r="81" spans="1:6" x14ac:dyDescent="0.2">
      <c r="A81" s="19">
        <v>15</v>
      </c>
      <c r="B81" s="180" t="s">
        <v>13</v>
      </c>
      <c r="C81" s="181"/>
      <c r="D81" s="14">
        <f t="shared" si="5"/>
        <v>47945</v>
      </c>
      <c r="E81" s="17">
        <f>IF(F3="1",SUMIF(Data!A:A,'3'!$A$2,Data!EM:EM),0)</f>
        <v>175359</v>
      </c>
      <c r="F81" s="21">
        <f t="shared" si="4"/>
        <v>3.66</v>
      </c>
    </row>
    <row r="82" spans="1:6" x14ac:dyDescent="0.2">
      <c r="A82" s="19">
        <v>16</v>
      </c>
      <c r="B82" s="180" t="s">
        <v>14</v>
      </c>
      <c r="C82" s="181"/>
      <c r="D82" s="14">
        <f t="shared" si="5"/>
        <v>323755</v>
      </c>
      <c r="E82" s="17">
        <f>IF(F3="1",SUMIF(Data!A:A,'3'!$A$2,Data!EN:EN),0)</f>
        <v>1008322</v>
      </c>
      <c r="F82" s="21">
        <f t="shared" si="4"/>
        <v>3.11</v>
      </c>
    </row>
    <row r="83" spans="1:6" x14ac:dyDescent="0.2">
      <c r="A83" s="19">
        <v>17</v>
      </c>
      <c r="B83" s="180" t="s">
        <v>15</v>
      </c>
      <c r="C83" s="181"/>
      <c r="D83" s="14">
        <f t="shared" si="5"/>
        <v>17728</v>
      </c>
      <c r="E83" s="17">
        <f>IF(F3="1",SUMIF(Data!A:A,'3'!$A$2,Data!EO:EO),0)</f>
        <v>67780</v>
      </c>
      <c r="F83" s="21">
        <f t="shared" si="4"/>
        <v>3.82</v>
      </c>
    </row>
    <row r="84" spans="1:6" x14ac:dyDescent="0.2">
      <c r="A84" s="19">
        <v>18</v>
      </c>
      <c r="B84" s="180" t="s">
        <v>16</v>
      </c>
      <c r="C84" s="181"/>
      <c r="D84" s="14">
        <f t="shared" si="5"/>
        <v>113328</v>
      </c>
      <c r="E84" s="17">
        <f>IF(F3="1",SUMIF(Data!A:A,'3'!$A$2,Data!EP:EP),0)</f>
        <v>413675</v>
      </c>
      <c r="F84" s="21">
        <f t="shared" si="4"/>
        <v>3.65</v>
      </c>
    </row>
    <row r="85" spans="1:6" x14ac:dyDescent="0.2">
      <c r="A85" s="19">
        <v>19</v>
      </c>
      <c r="B85" s="180" t="s">
        <v>17</v>
      </c>
      <c r="C85" s="181"/>
      <c r="D85" s="14">
        <f t="shared" si="5"/>
        <v>480008</v>
      </c>
      <c r="E85" s="17">
        <f>IF(F3="1",SUMIF(Data!A:A,'3'!$A$2,Data!EQ:EQ),0)</f>
        <v>1188574</v>
      </c>
      <c r="F85" s="21">
        <f t="shared" si="4"/>
        <v>2.48</v>
      </c>
    </row>
    <row r="86" spans="1:6" x14ac:dyDescent="0.2">
      <c r="A86" s="19">
        <v>20</v>
      </c>
      <c r="B86" s="180" t="s">
        <v>18</v>
      </c>
      <c r="C86" s="181"/>
      <c r="D86" s="14">
        <f t="shared" si="5"/>
        <v>72896</v>
      </c>
      <c r="E86" s="17">
        <f>IF(F3="1",SUMIF(Data!A:A,'3'!$A$2,Data!ER:ER),0)</f>
        <v>209822</v>
      </c>
      <c r="F86" s="21">
        <f t="shared" si="4"/>
        <v>2.88</v>
      </c>
    </row>
    <row r="87" spans="1:6" ht="14.25" customHeight="1" x14ac:dyDescent="0.2">
      <c r="A87" s="19">
        <v>21</v>
      </c>
      <c r="B87" s="180" t="s">
        <v>461</v>
      </c>
      <c r="C87" s="181"/>
      <c r="D87" s="14">
        <f t="shared" si="5"/>
        <v>114614</v>
      </c>
      <c r="E87" s="17">
        <f>IF(F3="1",SUMIF(Data!A:A,'3'!$A$2,Data!ES:ES),0)</f>
        <v>329655</v>
      </c>
      <c r="F87" s="21">
        <f t="shared" si="4"/>
        <v>2.88</v>
      </c>
    </row>
    <row r="88" spans="1:6" x14ac:dyDescent="0.2">
      <c r="A88" s="19">
        <v>22</v>
      </c>
      <c r="B88" s="180" t="s">
        <v>19</v>
      </c>
      <c r="C88" s="181"/>
      <c r="D88" s="14">
        <f t="shared" si="5"/>
        <v>8576</v>
      </c>
      <c r="E88" s="17">
        <f>IF(F3="1",SUMIF(Data!A:A,'3'!$A$2,Data!ET:ET),0)</f>
        <v>24154</v>
      </c>
      <c r="F88" s="21">
        <f t="shared" si="4"/>
        <v>2.82</v>
      </c>
    </row>
    <row r="89" spans="1:6" x14ac:dyDescent="0.2">
      <c r="A89" s="19">
        <v>23</v>
      </c>
      <c r="B89" s="180" t="s">
        <v>20</v>
      </c>
      <c r="C89" s="181"/>
      <c r="D89" s="14">
        <f t="shared" si="5"/>
        <v>104772</v>
      </c>
      <c r="E89" s="17">
        <f>IF(F3="1",SUMIF(Data!A:A,'3'!$A$2,Data!EU:EU),0)</f>
        <v>199250</v>
      </c>
      <c r="F89" s="21">
        <f t="shared" si="4"/>
        <v>1.9</v>
      </c>
    </row>
    <row r="90" spans="1:6" x14ac:dyDescent="0.2">
      <c r="A90" s="19">
        <v>24</v>
      </c>
      <c r="B90" s="180" t="s">
        <v>21</v>
      </c>
      <c r="C90" s="181"/>
      <c r="D90" s="14">
        <f t="shared" si="5"/>
        <v>220025</v>
      </c>
      <c r="E90" s="17">
        <f>IF(F3="1",SUMIF(Data!A:A,'3'!$A$2,Data!EV:EV),0)</f>
        <v>336548</v>
      </c>
      <c r="F90" s="21">
        <f t="shared" si="4"/>
        <v>1.53</v>
      </c>
    </row>
    <row r="91" spans="1:6" x14ac:dyDescent="0.2">
      <c r="A91" s="19">
        <v>25</v>
      </c>
      <c r="B91" s="180" t="s">
        <v>22</v>
      </c>
      <c r="C91" s="181"/>
      <c r="D91" s="14">
        <f t="shared" si="5"/>
        <v>435889</v>
      </c>
      <c r="E91" s="17">
        <f>IF(F3="1",SUMIF(Data!A:A,'3'!$A$2,Data!EW:EW),0)</f>
        <v>858708</v>
      </c>
      <c r="F91" s="21">
        <f t="shared" si="4"/>
        <v>1.97</v>
      </c>
    </row>
    <row r="92" spans="1:6" x14ac:dyDescent="0.2">
      <c r="A92" s="19">
        <v>26</v>
      </c>
      <c r="B92" s="180" t="s">
        <v>23</v>
      </c>
      <c r="C92" s="181"/>
      <c r="D92" s="14">
        <f t="shared" si="5"/>
        <v>224639</v>
      </c>
      <c r="E92" s="17">
        <f>IF(F3="1",SUMIF(Data!A:A,'3'!$A$2,Data!EX:EX),0)</f>
        <v>701846</v>
      </c>
      <c r="F92" s="21">
        <f t="shared" si="4"/>
        <v>3.12</v>
      </c>
    </row>
    <row r="93" spans="1:6" x14ac:dyDescent="0.2">
      <c r="A93" s="19">
        <v>28</v>
      </c>
      <c r="B93" s="180" t="s">
        <v>24</v>
      </c>
      <c r="C93" s="181"/>
      <c r="D93" s="14">
        <f t="shared" si="5"/>
        <v>0</v>
      </c>
      <c r="E93" s="17">
        <f>IF(F3="1",SUMIF(Data!A:A,'3'!$A$2,Data!EZ:EZ),0)</f>
        <v>0</v>
      </c>
      <c r="F93" s="21" t="str">
        <f t="shared" si="4"/>
        <v/>
      </c>
    </row>
    <row r="94" spans="1:6" ht="15.75" customHeight="1" thickBot="1" x14ac:dyDescent="0.25">
      <c r="A94" s="22">
        <v>29</v>
      </c>
      <c r="B94" s="184" t="s">
        <v>25</v>
      </c>
      <c r="C94" s="185"/>
      <c r="D94" s="23">
        <f t="shared" si="5"/>
        <v>0</v>
      </c>
      <c r="E94" s="24">
        <f>IF(F3="1",SUMIF(Data!A:A,'3'!$A$2,Data!FA:FA),0)</f>
        <v>0</v>
      </c>
      <c r="F94" s="25" t="str">
        <f t="shared" si="4"/>
        <v/>
      </c>
    </row>
    <row r="95" spans="1:6" x14ac:dyDescent="0.2">
      <c r="B95" s="30" t="s">
        <v>35</v>
      </c>
      <c r="C95" s="30"/>
      <c r="D95" s="59">
        <f>SUM(D67:D94)</f>
        <v>4557502</v>
      </c>
      <c r="E95" s="31">
        <f>SUM(E67:E94)</f>
        <v>12143913</v>
      </c>
      <c r="F95" s="32">
        <f t="shared" si="4"/>
        <v>2.66</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IF(F3="1",SUMIF(Data!A:A,'3'!$A$2,Data!AH:AH),0)</f>
        <v>6794592</v>
      </c>
      <c r="F98" s="20">
        <f>IF(OR(E98=0,E98=0),"",ROUND(E98/$D$105,2))</f>
        <v>1.49</v>
      </c>
    </row>
    <row r="99" spans="2:6" x14ac:dyDescent="0.2">
      <c r="B99" s="190" t="s">
        <v>31</v>
      </c>
      <c r="C99" s="191"/>
      <c r="D99" s="36"/>
      <c r="E99" s="17">
        <f>IF(F3="1",SUMIF(Data!A:A,'3'!$A$2,Data!AI:AI),0)</f>
        <v>2711383</v>
      </c>
      <c r="F99" s="21">
        <f t="shared" ref="F99:F104" si="6">IF(OR(E99=0,E99=0),"",ROUND(E99/$D$105,2))</f>
        <v>0.59</v>
      </c>
    </row>
    <row r="100" spans="2:6" x14ac:dyDescent="0.2">
      <c r="B100" s="190" t="s">
        <v>1089</v>
      </c>
      <c r="C100" s="191"/>
      <c r="D100" s="36"/>
      <c r="E100" s="17">
        <f>IF(F3="1",SUMIF(Data!A:A,'3'!$A$2,Data!AJ:AJ),0)</f>
        <v>1099197</v>
      </c>
      <c r="F100" s="21">
        <f t="shared" si="6"/>
        <v>0.24</v>
      </c>
    </row>
    <row r="101" spans="2:6" x14ac:dyDescent="0.2">
      <c r="B101" s="190" t="s">
        <v>1090</v>
      </c>
      <c r="C101" s="191"/>
      <c r="D101" s="36"/>
      <c r="E101" s="17">
        <f>IF(F3="1",SUMIF(Data!A:A,'3'!$A$2,Data!AK:AK),0)</f>
        <v>1191593</v>
      </c>
      <c r="F101" s="21">
        <f t="shared" si="6"/>
        <v>0.26</v>
      </c>
    </row>
    <row r="102" spans="2:6" x14ac:dyDescent="0.2">
      <c r="B102" s="190" t="s">
        <v>1091</v>
      </c>
      <c r="C102" s="191"/>
      <c r="D102" s="36"/>
      <c r="E102" s="17">
        <f>IF(F3="1",SUMIF(Data!A:A,'3'!$A$2,Data!AL:AL),0)</f>
        <v>326035</v>
      </c>
      <c r="F102" s="21">
        <f t="shared" si="6"/>
        <v>7.0000000000000007E-2</v>
      </c>
    </row>
    <row r="103" spans="2:6" x14ac:dyDescent="0.2">
      <c r="B103" s="192" t="s">
        <v>34</v>
      </c>
      <c r="C103" s="193"/>
      <c r="D103" s="36"/>
      <c r="E103" s="17">
        <f>IF(F3="1",SUMIF(Data!A:A,'3'!$A$2,Data!AM:AM),0)</f>
        <v>0</v>
      </c>
      <c r="F103" s="21" t="str">
        <f t="shared" si="6"/>
        <v/>
      </c>
    </row>
    <row r="104" spans="2:6" ht="15.75" customHeight="1" thickBot="1" x14ac:dyDescent="0.25">
      <c r="B104" s="186" t="s">
        <v>29</v>
      </c>
      <c r="C104" s="187"/>
      <c r="D104" s="37"/>
      <c r="E104" s="24">
        <f>IF(F3="1",SUMIF(Data!A:A,'3'!$A$2,Data!Q:Q),0)</f>
        <v>2630845</v>
      </c>
      <c r="F104" s="25">
        <f t="shared" si="6"/>
        <v>0.57999999999999996</v>
      </c>
    </row>
    <row r="105" spans="2:6" x14ac:dyDescent="0.2">
      <c r="B105" s="30" t="s">
        <v>35</v>
      </c>
      <c r="C105" s="30"/>
      <c r="D105" s="34">
        <f>D95</f>
        <v>4557502</v>
      </c>
      <c r="E105" s="31">
        <f>SUM(E98:E104)</f>
        <v>14753645</v>
      </c>
      <c r="F105" s="32">
        <f>IF($D$105=0,"",ROUND(E105/$D$105,2))</f>
        <v>3.24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12143913</v>
      </c>
      <c r="D109" s="15">
        <f>IF(F3="1",SUMIF(Data!$A:$A,$A$2,Data!HJ:HJ),0)</f>
        <v>0</v>
      </c>
      <c r="E109" s="15">
        <f>IF(F3="1",SUMIF(Data!$A:$A,$A$2,Data!IN:IN),0)</f>
        <v>0</v>
      </c>
      <c r="F109" s="47">
        <f>SUM(C109:E109)</f>
        <v>12143913</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326035</v>
      </c>
      <c r="F116" s="48">
        <f t="shared" si="7"/>
        <v>326035</v>
      </c>
    </row>
    <row r="117" spans="1:6" ht="15" thickBot="1" x14ac:dyDescent="0.25">
      <c r="B117" s="43" t="s">
        <v>933</v>
      </c>
      <c r="C117" s="52"/>
      <c r="D117" s="52">
        <f>IF(F3="1",SUMIF(Data!A:A,$A$2,Data!Q:Q),0)</f>
        <v>2630845</v>
      </c>
      <c r="E117" s="52"/>
      <c r="F117" s="49">
        <f>SUM(C117:E117)</f>
        <v>2630845</v>
      </c>
    </row>
    <row r="118" spans="1:6" x14ac:dyDescent="0.2">
      <c r="B118" s="13" t="s">
        <v>35</v>
      </c>
      <c r="C118" s="4">
        <f>SUM(C109:C116)</f>
        <v>12143913</v>
      </c>
      <c r="D118" s="4">
        <f>SUM(D109:D116)</f>
        <v>0</v>
      </c>
      <c r="E118" s="4">
        <f>SUM(E109:E116)</f>
        <v>326035</v>
      </c>
      <c r="F118" s="4">
        <f>SUM(F109:F116)</f>
        <v>12469948</v>
      </c>
    </row>
    <row r="119" spans="1:6" ht="15" thickBot="1" x14ac:dyDescent="0.25"/>
    <row r="120" spans="1:6" ht="15" thickBot="1" x14ac:dyDescent="0.25">
      <c r="B120" s="55" t="s">
        <v>934</v>
      </c>
      <c r="C120" s="53"/>
      <c r="D120" s="53"/>
      <c r="E120" s="53">
        <f>IF(F3="1",SUMIF(Data!A:A,'3'!$A$2,Data!AM:AM),0)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421</v>
      </c>
      <c r="B2" s="58" t="str">
        <f>VLOOKUP(A2,Data!A:G,7,0)</f>
        <v>Angelina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4832</v>
      </c>
      <c r="E5" s="15">
        <f>E36+E67+IFERROR($E$105/$D$105*D5,0)</f>
        <v>16324.066166833745</v>
      </c>
      <c r="F5" s="20">
        <f>IF(OR(D5=0,E5=0),"",ROUND(E5/D5,2))</f>
        <v>3.38</v>
      </c>
    </row>
    <row r="6" spans="1:6" x14ac:dyDescent="0.2">
      <c r="A6" s="19">
        <v>2</v>
      </c>
      <c r="B6" s="180" t="s">
        <v>1</v>
      </c>
      <c r="C6" s="181"/>
      <c r="D6" s="14">
        <f t="shared" ref="D6:D32" si="0">D37</f>
        <v>62112</v>
      </c>
      <c r="E6" s="17">
        <f t="shared" ref="E6:E32" si="1">E37+E68+IFERROR($E$105/$D$105*D6,0)</f>
        <v>436055.0756942007</v>
      </c>
      <c r="F6" s="21">
        <f t="shared" ref="F6:F33" si="2">IF(OR(D6=0,E6=0),"",ROUND(E6/D6,2))</f>
        <v>7.02</v>
      </c>
    </row>
    <row r="7" spans="1:6" ht="14.25" customHeight="1" x14ac:dyDescent="0.2">
      <c r="A7" s="19">
        <v>3</v>
      </c>
      <c r="B7" s="180" t="s">
        <v>2</v>
      </c>
      <c r="C7" s="181"/>
      <c r="D7" s="14">
        <f t="shared" si="0"/>
        <v>198176</v>
      </c>
      <c r="E7" s="17">
        <f t="shared" si="1"/>
        <v>862890.32961060526</v>
      </c>
      <c r="F7" s="21">
        <f t="shared" si="2"/>
        <v>4.3499999999999996</v>
      </c>
    </row>
    <row r="8" spans="1:6" ht="14.25" customHeight="1" x14ac:dyDescent="0.2">
      <c r="A8" s="19">
        <v>4</v>
      </c>
      <c r="B8" s="180" t="s">
        <v>3</v>
      </c>
      <c r="C8" s="181"/>
      <c r="D8" s="14">
        <f t="shared" si="0"/>
        <v>143739</v>
      </c>
      <c r="E8" s="17">
        <f t="shared" si="1"/>
        <v>763291.54630681197</v>
      </c>
      <c r="F8" s="21">
        <f t="shared" si="2"/>
        <v>5.31</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10640</v>
      </c>
      <c r="E10" s="17">
        <f t="shared" si="1"/>
        <v>61538.288082597486</v>
      </c>
      <c r="F10" s="21">
        <f t="shared" si="2"/>
        <v>5.78</v>
      </c>
    </row>
    <row r="11" spans="1:6" x14ac:dyDescent="0.2">
      <c r="A11" s="19">
        <v>7</v>
      </c>
      <c r="B11" s="180" t="s">
        <v>6</v>
      </c>
      <c r="C11" s="181"/>
      <c r="D11" s="14">
        <f t="shared" si="0"/>
        <v>51082</v>
      </c>
      <c r="E11" s="17">
        <f t="shared" si="1"/>
        <v>399607.6229168463</v>
      </c>
      <c r="F11" s="21">
        <f t="shared" si="2"/>
        <v>7.82</v>
      </c>
    </row>
    <row r="12" spans="1:6" x14ac:dyDescent="0.2">
      <c r="A12" s="19">
        <v>8</v>
      </c>
      <c r="B12" s="180" t="s">
        <v>7</v>
      </c>
      <c r="C12" s="181"/>
      <c r="D12" s="14">
        <f t="shared" si="0"/>
        <v>11152</v>
      </c>
      <c r="E12" s="17">
        <f t="shared" si="1"/>
        <v>85741.222245970595</v>
      </c>
      <c r="F12" s="21">
        <f t="shared" si="2"/>
        <v>7.69</v>
      </c>
    </row>
    <row r="13" spans="1:6" x14ac:dyDescent="0.2">
      <c r="A13" s="19">
        <v>9</v>
      </c>
      <c r="B13" s="180" t="s">
        <v>8</v>
      </c>
      <c r="C13" s="181"/>
      <c r="D13" s="14">
        <f t="shared" si="0"/>
        <v>62310</v>
      </c>
      <c r="E13" s="17">
        <f t="shared" si="1"/>
        <v>320211.39007769263</v>
      </c>
      <c r="F13" s="21">
        <f t="shared" si="2"/>
        <v>5.14</v>
      </c>
    </row>
    <row r="14" spans="1:6" x14ac:dyDescent="0.2">
      <c r="A14" s="19">
        <v>10</v>
      </c>
      <c r="B14" s="180" t="s">
        <v>9</v>
      </c>
      <c r="C14" s="181"/>
      <c r="D14" s="14">
        <f t="shared" si="0"/>
        <v>2268</v>
      </c>
      <c r="E14" s="17">
        <f t="shared" si="1"/>
        <v>18580.419301816833</v>
      </c>
      <c r="F14" s="21">
        <f t="shared" si="2"/>
        <v>8.19</v>
      </c>
    </row>
    <row r="15" spans="1:6" x14ac:dyDescent="0.2">
      <c r="A15" s="19">
        <v>11</v>
      </c>
      <c r="B15" s="180" t="s">
        <v>10</v>
      </c>
      <c r="C15" s="181"/>
      <c r="D15" s="14">
        <f t="shared" si="0"/>
        <v>30064</v>
      </c>
      <c r="E15" s="17">
        <f t="shared" si="1"/>
        <v>231145.97790556494</v>
      </c>
      <c r="F15" s="21">
        <f t="shared" si="2"/>
        <v>7.69</v>
      </c>
    </row>
    <row r="16" spans="1:6" ht="14.25" customHeight="1" x14ac:dyDescent="0.2">
      <c r="A16" s="19">
        <v>12</v>
      </c>
      <c r="B16" s="180" t="s">
        <v>11</v>
      </c>
      <c r="C16" s="181"/>
      <c r="D16" s="14">
        <f t="shared" si="0"/>
        <v>371484</v>
      </c>
      <c r="E16" s="17">
        <f t="shared" si="1"/>
        <v>1535647.5678642523</v>
      </c>
      <c r="F16" s="21">
        <f t="shared" si="2"/>
        <v>4.13</v>
      </c>
    </row>
    <row r="17" spans="1:6" x14ac:dyDescent="0.2">
      <c r="A17" s="19">
        <v>13</v>
      </c>
      <c r="B17" s="180" t="s">
        <v>12</v>
      </c>
      <c r="C17" s="181"/>
      <c r="D17" s="14">
        <f t="shared" si="0"/>
        <v>25624</v>
      </c>
      <c r="E17" s="17">
        <f t="shared" si="1"/>
        <v>118320.56445756371</v>
      </c>
      <c r="F17" s="21">
        <f t="shared" si="2"/>
        <v>4.62</v>
      </c>
    </row>
    <row r="18" spans="1:6" ht="14.25" customHeight="1" x14ac:dyDescent="0.2">
      <c r="A18" s="19">
        <v>14</v>
      </c>
      <c r="B18" s="180" t="s">
        <v>464</v>
      </c>
      <c r="C18" s="181"/>
      <c r="D18" s="14">
        <f t="shared" si="0"/>
        <v>167368</v>
      </c>
      <c r="E18" s="17">
        <f t="shared" si="1"/>
        <v>1105440.8067488887</v>
      </c>
      <c r="F18" s="21">
        <f t="shared" si="2"/>
        <v>6.6</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229313</v>
      </c>
      <c r="E20" s="17">
        <f t="shared" si="1"/>
        <v>1162306.6324327704</v>
      </c>
      <c r="F20" s="21">
        <f t="shared" si="2"/>
        <v>5.07</v>
      </c>
    </row>
    <row r="21" spans="1:6" x14ac:dyDescent="0.2">
      <c r="A21" s="19">
        <v>17</v>
      </c>
      <c r="B21" s="180" t="s">
        <v>15</v>
      </c>
      <c r="C21" s="181"/>
      <c r="D21" s="14">
        <f t="shared" si="0"/>
        <v>27488</v>
      </c>
      <c r="E21" s="17">
        <f t="shared" si="1"/>
        <v>233134.40289609396</v>
      </c>
      <c r="F21" s="21">
        <f t="shared" si="2"/>
        <v>8.48</v>
      </c>
    </row>
    <row r="22" spans="1:6" x14ac:dyDescent="0.2">
      <c r="A22" s="19">
        <v>18</v>
      </c>
      <c r="B22" s="180" t="s">
        <v>16</v>
      </c>
      <c r="C22" s="181"/>
      <c r="D22" s="14">
        <f t="shared" si="0"/>
        <v>68080</v>
      </c>
      <c r="E22" s="17">
        <f t="shared" si="1"/>
        <v>239745.33953601849</v>
      </c>
      <c r="F22" s="21">
        <f t="shared" si="2"/>
        <v>3.52</v>
      </c>
    </row>
    <row r="23" spans="1:6" x14ac:dyDescent="0.2">
      <c r="A23" s="19">
        <v>19</v>
      </c>
      <c r="B23" s="180" t="s">
        <v>17</v>
      </c>
      <c r="C23" s="181"/>
      <c r="D23" s="14">
        <f t="shared" si="0"/>
        <v>275653</v>
      </c>
      <c r="E23" s="17">
        <f t="shared" si="1"/>
        <v>1156043.1502661884</v>
      </c>
      <c r="F23" s="21">
        <f t="shared" si="2"/>
        <v>4.1900000000000004</v>
      </c>
    </row>
    <row r="24" spans="1:6" x14ac:dyDescent="0.2">
      <c r="A24" s="19">
        <v>20</v>
      </c>
      <c r="B24" s="180" t="s">
        <v>18</v>
      </c>
      <c r="C24" s="181"/>
      <c r="D24" s="14">
        <f t="shared" si="0"/>
        <v>8288</v>
      </c>
      <c r="E24" s="17">
        <f t="shared" si="1"/>
        <v>72615.37176960225</v>
      </c>
      <c r="F24" s="21">
        <f t="shared" si="2"/>
        <v>8.76</v>
      </c>
    </row>
    <row r="25" spans="1:6" ht="14.25" customHeight="1" x14ac:dyDescent="0.2">
      <c r="A25" s="19">
        <v>21</v>
      </c>
      <c r="B25" s="180" t="s">
        <v>461</v>
      </c>
      <c r="C25" s="181"/>
      <c r="D25" s="14">
        <f t="shared" si="0"/>
        <v>8920</v>
      </c>
      <c r="E25" s="17">
        <f t="shared" si="1"/>
        <v>60275.587377515942</v>
      </c>
      <c r="F25" s="21">
        <f t="shared" si="2"/>
        <v>6.76</v>
      </c>
    </row>
    <row r="26" spans="1:6" x14ac:dyDescent="0.2">
      <c r="A26" s="19">
        <v>22</v>
      </c>
      <c r="B26" s="180" t="s">
        <v>19</v>
      </c>
      <c r="C26" s="181"/>
      <c r="D26" s="14">
        <f t="shared" si="0"/>
        <v>64</v>
      </c>
      <c r="E26" s="17">
        <f t="shared" si="1"/>
        <v>380.61677042163899</v>
      </c>
      <c r="F26" s="21">
        <f t="shared" si="2"/>
        <v>5.95</v>
      </c>
    </row>
    <row r="27" spans="1:6" x14ac:dyDescent="0.2">
      <c r="A27" s="19">
        <v>23</v>
      </c>
      <c r="B27" s="180" t="s">
        <v>20</v>
      </c>
      <c r="C27" s="181"/>
      <c r="D27" s="14">
        <f t="shared" si="0"/>
        <v>44592</v>
      </c>
      <c r="E27" s="17">
        <f t="shared" si="1"/>
        <v>262186.98479127698</v>
      </c>
      <c r="F27" s="21">
        <f t="shared" si="2"/>
        <v>5.88</v>
      </c>
    </row>
    <row r="28" spans="1:6" x14ac:dyDescent="0.2">
      <c r="A28" s="19">
        <v>24</v>
      </c>
      <c r="B28" s="180" t="s">
        <v>21</v>
      </c>
      <c r="C28" s="181"/>
      <c r="D28" s="14">
        <f t="shared" si="0"/>
        <v>201070</v>
      </c>
      <c r="E28" s="17">
        <f t="shared" si="1"/>
        <v>795228.50044810865</v>
      </c>
      <c r="F28" s="21">
        <f t="shared" si="2"/>
        <v>3.95</v>
      </c>
    </row>
    <row r="29" spans="1:6" x14ac:dyDescent="0.2">
      <c r="A29" s="19">
        <v>25</v>
      </c>
      <c r="B29" s="180" t="s">
        <v>22</v>
      </c>
      <c r="C29" s="181"/>
      <c r="D29" s="14">
        <f t="shared" si="0"/>
        <v>331352</v>
      </c>
      <c r="E29" s="17">
        <f t="shared" si="1"/>
        <v>1239615.8767617333</v>
      </c>
      <c r="F29" s="21">
        <f t="shared" si="2"/>
        <v>3.74</v>
      </c>
    </row>
    <row r="30" spans="1:6" x14ac:dyDescent="0.2">
      <c r="A30" s="19">
        <v>26</v>
      </c>
      <c r="B30" s="180" t="s">
        <v>23</v>
      </c>
      <c r="C30" s="181"/>
      <c r="D30" s="14">
        <f t="shared" si="0"/>
        <v>111280</v>
      </c>
      <c r="E30" s="17">
        <f t="shared" si="1"/>
        <v>608382.65957062482</v>
      </c>
      <c r="F30" s="21">
        <f t="shared" si="2"/>
        <v>5.47</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2446951</v>
      </c>
      <c r="E33" s="31">
        <f>SUM(E5:E32)</f>
        <v>11784710</v>
      </c>
      <c r="F33" s="32">
        <f t="shared" si="2"/>
        <v>4.82</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IF(F3="1",SUMIF(Data!A:A,'4'!$A$2,Data!CU:CU),0)</f>
        <v>4832</v>
      </c>
      <c r="E36" s="15">
        <f>IF(F3="1",SUMIF(Data!$A:$A,$A$2,Data!IO:IO),0)</f>
        <v>1184</v>
      </c>
      <c r="F36" s="20">
        <f t="shared" ref="F36:F64" si="3">IF(OR(D36=0,E36=0),"",ROUND(E36/D36,2))</f>
        <v>0.25</v>
      </c>
    </row>
    <row r="37" spans="1:6" x14ac:dyDescent="0.2">
      <c r="A37" s="19">
        <v>2</v>
      </c>
      <c r="B37" s="180" t="s">
        <v>1</v>
      </c>
      <c r="C37" s="181"/>
      <c r="D37" s="14">
        <f>IF(F3="1",SUMIF(Data!A:A,'4'!$A$2,Data!CV:CV),0)</f>
        <v>62112</v>
      </c>
      <c r="E37" s="17">
        <f>IF(F3="1",SUMIF(Data!$A:$A,$A$2,Data!IP:IP),0)</f>
        <v>21402</v>
      </c>
      <c r="F37" s="21">
        <f t="shared" si="3"/>
        <v>0.34</v>
      </c>
    </row>
    <row r="38" spans="1:6" ht="14.25" customHeight="1" x14ac:dyDescent="0.2">
      <c r="A38" s="19">
        <v>3</v>
      </c>
      <c r="B38" s="180" t="s">
        <v>2</v>
      </c>
      <c r="C38" s="181"/>
      <c r="D38" s="14">
        <f>IF(F3="1",SUMIF(Data!A:A,'4'!$A$2,Data!CW:CW),0)</f>
        <v>198176</v>
      </c>
      <c r="E38" s="17">
        <f>IF($F$3="1",SUMIF(Data!$A:$A,$A$2,Data!IQ:IQ),0)</f>
        <v>64110</v>
      </c>
      <c r="F38" s="21">
        <f t="shared" si="3"/>
        <v>0.32</v>
      </c>
    </row>
    <row r="39" spans="1:6" ht="14.25" customHeight="1" x14ac:dyDescent="0.2">
      <c r="A39" s="19">
        <v>4</v>
      </c>
      <c r="B39" s="180" t="s">
        <v>3</v>
      </c>
      <c r="C39" s="181"/>
      <c r="D39" s="14">
        <f>IF(F3="1",SUMIF(Data!A:A,'4'!$A$2,Data!CX:CX),0)</f>
        <v>143739</v>
      </c>
      <c r="E39" s="17">
        <f>IF($F$3="1",SUMIF(Data!$A:$A,$A$2,Data!IR:IR),0)</f>
        <v>23301</v>
      </c>
      <c r="F39" s="21">
        <f t="shared" si="3"/>
        <v>0.16</v>
      </c>
    </row>
    <row r="40" spans="1:6" x14ac:dyDescent="0.2">
      <c r="A40" s="19">
        <v>5</v>
      </c>
      <c r="B40" s="180" t="s">
        <v>4</v>
      </c>
      <c r="C40" s="181"/>
      <c r="D40" s="14">
        <f>IF(F3="1",SUMIF(Data!A:A,'4'!$A$2,Data!CY:CY),0)</f>
        <v>0</v>
      </c>
      <c r="E40" s="17">
        <f>IF($F$3="1",SUMIF(Data!$A:$A,$A$2,Data!IS:IS),0)</f>
        <v>0</v>
      </c>
      <c r="F40" s="21" t="str">
        <f t="shared" si="3"/>
        <v/>
      </c>
    </row>
    <row r="41" spans="1:6" x14ac:dyDescent="0.2">
      <c r="A41" s="19">
        <v>6</v>
      </c>
      <c r="B41" s="180" t="s">
        <v>5</v>
      </c>
      <c r="C41" s="181"/>
      <c r="D41" s="14">
        <f>IF(F3="1",SUMIF(Data!A:A,'4'!$A$2,Data!CZ:CZ),0)</f>
        <v>10640</v>
      </c>
      <c r="E41" s="17">
        <f>IF($F$3="1",SUMIF(Data!$A:$A,$A$2,Data!IT:IT),0)</f>
        <v>3280</v>
      </c>
      <c r="F41" s="21">
        <f t="shared" si="3"/>
        <v>0.31</v>
      </c>
    </row>
    <row r="42" spans="1:6" x14ac:dyDescent="0.2">
      <c r="A42" s="19">
        <v>7</v>
      </c>
      <c r="B42" s="180" t="s">
        <v>6</v>
      </c>
      <c r="C42" s="181"/>
      <c r="D42" s="14">
        <f>IF(F3="1",SUMIF(Data!A:A,'4'!$A$2,Data!DA:DA),0)</f>
        <v>51082</v>
      </c>
      <c r="E42" s="17">
        <f>IF($F$3="1",SUMIF(Data!$A:$A,$A$2,Data!IU:IU),0)</f>
        <v>54714</v>
      </c>
      <c r="F42" s="21">
        <f t="shared" si="3"/>
        <v>1.07</v>
      </c>
    </row>
    <row r="43" spans="1:6" x14ac:dyDescent="0.2">
      <c r="A43" s="19">
        <v>8</v>
      </c>
      <c r="B43" s="180" t="s">
        <v>7</v>
      </c>
      <c r="C43" s="181"/>
      <c r="D43" s="14">
        <f>IF(F3="1",SUMIF(Data!A:A,'4'!$A$2,Data!DB:DB),0)</f>
        <v>11152</v>
      </c>
      <c r="E43" s="17">
        <f>IF($F$3="1",SUMIF(Data!$A:$A,$A$2,Data!IV:IV),0)</f>
        <v>4315</v>
      </c>
      <c r="F43" s="21">
        <f t="shared" si="3"/>
        <v>0.39</v>
      </c>
    </row>
    <row r="44" spans="1:6" x14ac:dyDescent="0.2">
      <c r="A44" s="19">
        <v>9</v>
      </c>
      <c r="B44" s="180" t="s">
        <v>8</v>
      </c>
      <c r="C44" s="181"/>
      <c r="D44" s="14">
        <f>IF(F3="1",SUMIF(Data!A:A,'4'!$A$2,Data!DC:DC),0)</f>
        <v>62310</v>
      </c>
      <c r="E44" s="17">
        <f>IF($F$3="1",SUMIF(Data!$A:$A,$A$2,Data!IW:IW),0)</f>
        <v>40337</v>
      </c>
      <c r="F44" s="21">
        <f t="shared" si="3"/>
        <v>0.65</v>
      </c>
    </row>
    <row r="45" spans="1:6" x14ac:dyDescent="0.2">
      <c r="A45" s="19">
        <v>10</v>
      </c>
      <c r="B45" s="180" t="s">
        <v>9</v>
      </c>
      <c r="C45" s="181"/>
      <c r="D45" s="14">
        <f>IF(F3="1",SUMIF(Data!A:A,'4'!$A$2,Data!DD:DD),0)</f>
        <v>2268</v>
      </c>
      <c r="E45" s="17">
        <f>IF($F$3="1",SUMIF(Data!$A:$A,$A$2,Data!IX:IX),0)</f>
        <v>2228</v>
      </c>
      <c r="F45" s="21">
        <f t="shared" si="3"/>
        <v>0.98</v>
      </c>
    </row>
    <row r="46" spans="1:6" x14ac:dyDescent="0.2">
      <c r="A46" s="19">
        <v>11</v>
      </c>
      <c r="B46" s="180" t="s">
        <v>10</v>
      </c>
      <c r="C46" s="181"/>
      <c r="D46" s="14">
        <f>IF(F3="1",SUMIF(Data!A:A,'4'!$A$2,Data!DE:DE),0)</f>
        <v>30064</v>
      </c>
      <c r="E46" s="17">
        <f>IF($F$3="1",SUMIF(Data!$A:$A,$A$2,Data!IY:IY),0)</f>
        <v>11632</v>
      </c>
      <c r="F46" s="21">
        <f t="shared" si="3"/>
        <v>0.39</v>
      </c>
    </row>
    <row r="47" spans="1:6" ht="14.25" customHeight="1" x14ac:dyDescent="0.2">
      <c r="A47" s="19">
        <v>12</v>
      </c>
      <c r="B47" s="180" t="s">
        <v>11</v>
      </c>
      <c r="C47" s="181"/>
      <c r="D47" s="14">
        <f>IF(F3="1",SUMIF(Data!A:A,'4'!$A$2,Data!DF:DF),0)</f>
        <v>371484</v>
      </c>
      <c r="E47" s="17">
        <f>IF($F$3="1",SUMIF(Data!$A:$A,$A$2,Data!IZ:IZ),0)</f>
        <v>74914</v>
      </c>
      <c r="F47" s="21">
        <f t="shared" si="3"/>
        <v>0.2</v>
      </c>
    </row>
    <row r="48" spans="1:6" x14ac:dyDescent="0.2">
      <c r="A48" s="19">
        <v>13</v>
      </c>
      <c r="B48" s="180" t="s">
        <v>12</v>
      </c>
      <c r="C48" s="181"/>
      <c r="D48" s="14">
        <f>IF(F3="1",SUMIF(Data!A:A,'4'!$A$2,Data!DG:DG),0)</f>
        <v>25624</v>
      </c>
      <c r="E48" s="17">
        <f>IF($F$3="1",SUMIF(Data!$A:$A,$A$2,Data!JA:JA),0)</f>
        <v>3286</v>
      </c>
      <c r="F48" s="21">
        <f t="shared" si="3"/>
        <v>0.13</v>
      </c>
    </row>
    <row r="49" spans="1:6" ht="14.25" customHeight="1" x14ac:dyDescent="0.2">
      <c r="A49" s="19">
        <v>14</v>
      </c>
      <c r="B49" s="180" t="s">
        <v>464</v>
      </c>
      <c r="C49" s="181"/>
      <c r="D49" s="14">
        <f>IF(F3="1",SUMIF(Data!A:A,'4'!$A$2,Data!DH:DH),0)</f>
        <v>167368</v>
      </c>
      <c r="E49" s="17">
        <f>IF($F$3="1",SUMIF(Data!$A:$A,$A$2,Data!JB:JB),0)</f>
        <v>66206</v>
      </c>
      <c r="F49" s="21">
        <f t="shared" si="3"/>
        <v>0.4</v>
      </c>
    </row>
    <row r="50" spans="1:6" x14ac:dyDescent="0.2">
      <c r="A50" s="19">
        <v>15</v>
      </c>
      <c r="B50" s="180" t="s">
        <v>13</v>
      </c>
      <c r="C50" s="181"/>
      <c r="D50" s="14">
        <f>IF(F3="1",SUMIF(Data!A:A,'4'!$A$2,Data!DI:DI),0)</f>
        <v>0</v>
      </c>
      <c r="E50" s="17">
        <f>IF($F$3="1",SUMIF(Data!$A:$A,$A$2,Data!JC:JC),0)</f>
        <v>0</v>
      </c>
      <c r="F50" s="21" t="str">
        <f t="shared" si="3"/>
        <v/>
      </c>
    </row>
    <row r="51" spans="1:6" x14ac:dyDescent="0.2">
      <c r="A51" s="19">
        <v>16</v>
      </c>
      <c r="B51" s="180" t="s">
        <v>14</v>
      </c>
      <c r="C51" s="181"/>
      <c r="D51" s="14">
        <f>IF(F3="1",SUMIF(Data!A:A,'4'!$A$2,Data!DJ:DJ),0)</f>
        <v>229313</v>
      </c>
      <c r="E51" s="17">
        <f>IF($F$3="1",SUMIF(Data!$A:$A,$A$2,Data!JD:JD),0)</f>
        <v>113382</v>
      </c>
      <c r="F51" s="21">
        <f t="shared" si="3"/>
        <v>0.49</v>
      </c>
    </row>
    <row r="52" spans="1:6" x14ac:dyDescent="0.2">
      <c r="A52" s="19">
        <v>17</v>
      </c>
      <c r="B52" s="180" t="s">
        <v>15</v>
      </c>
      <c r="C52" s="181"/>
      <c r="D52" s="14">
        <f>IF(F3="1",SUMIF(Data!A:A,'4'!$A$2,Data!DK:DK),0)</f>
        <v>27488</v>
      </c>
      <c r="E52" s="17">
        <f>IF($F$3="1",SUMIF(Data!$A:$A,$A$2,Data!JE:JE),0)</f>
        <v>13614</v>
      </c>
      <c r="F52" s="21">
        <f t="shared" si="3"/>
        <v>0.5</v>
      </c>
    </row>
    <row r="53" spans="1:6" x14ac:dyDescent="0.2">
      <c r="A53" s="19">
        <v>18</v>
      </c>
      <c r="B53" s="180" t="s">
        <v>16</v>
      </c>
      <c r="C53" s="181"/>
      <c r="D53" s="14">
        <f>IF(F3="1",SUMIF(Data!A:A,'4'!$A$2,Data!DL:DL),0)</f>
        <v>68080</v>
      </c>
      <c r="E53" s="17">
        <f>IF($F$3="1",SUMIF(Data!$A:$A,$A$2,Data!JF:JF),0)</f>
        <v>26092</v>
      </c>
      <c r="F53" s="21">
        <f t="shared" si="3"/>
        <v>0.38</v>
      </c>
    </row>
    <row r="54" spans="1:6" x14ac:dyDescent="0.2">
      <c r="A54" s="19">
        <v>19</v>
      </c>
      <c r="B54" s="180" t="s">
        <v>17</v>
      </c>
      <c r="C54" s="181"/>
      <c r="D54" s="14">
        <f>IF(F3="1",SUMIF(Data!A:A,'4'!$A$2,Data!DM:DM),0)</f>
        <v>275653</v>
      </c>
      <c r="E54" s="17">
        <f>IF($F$3="1",SUMIF(Data!$A:$A,$A$2,Data!JG:JG),0)</f>
        <v>33388</v>
      </c>
      <c r="F54" s="21">
        <f t="shared" si="3"/>
        <v>0.12</v>
      </c>
    </row>
    <row r="55" spans="1:6" x14ac:dyDescent="0.2">
      <c r="A55" s="19">
        <v>20</v>
      </c>
      <c r="B55" s="180" t="s">
        <v>18</v>
      </c>
      <c r="C55" s="181"/>
      <c r="D55" s="14">
        <f>IF(F3="1",SUMIF(Data!A:A,'4'!$A$2,Data!DN:DN),0)</f>
        <v>8288</v>
      </c>
      <c r="E55" s="17">
        <f>IF($F$3="1",SUMIF(Data!$A:$A,$A$2,Data!JH:JH),0)</f>
        <v>3871</v>
      </c>
      <c r="F55" s="21">
        <f t="shared" si="3"/>
        <v>0.47</v>
      </c>
    </row>
    <row r="56" spans="1:6" ht="14.25" customHeight="1" x14ac:dyDescent="0.2">
      <c r="A56" s="19">
        <v>21</v>
      </c>
      <c r="B56" s="180" t="s">
        <v>461</v>
      </c>
      <c r="C56" s="181"/>
      <c r="D56" s="14">
        <f>IF(F3="1",SUMIF(Data!A:A,'4'!$A$2,Data!DO:DO),0)</f>
        <v>8920</v>
      </c>
      <c r="E56" s="17">
        <f>IF($F$3="1",SUMIF(Data!$A:$A,$A$2,Data!JI:JI),0)</f>
        <v>6762</v>
      </c>
      <c r="F56" s="21">
        <f t="shared" si="3"/>
        <v>0.76</v>
      </c>
    </row>
    <row r="57" spans="1:6" x14ac:dyDescent="0.2">
      <c r="A57" s="19">
        <v>22</v>
      </c>
      <c r="B57" s="180" t="s">
        <v>19</v>
      </c>
      <c r="C57" s="181"/>
      <c r="D57" s="14">
        <f>IF(F3="1",SUMIF(Data!A:A,'4'!$A$2,Data!DP:DP),0)</f>
        <v>64</v>
      </c>
      <c r="E57" s="17">
        <f>IF($F$3="1",SUMIF(Data!$A:$A,$A$2,Data!JJ:JJ),0)</f>
        <v>78</v>
      </c>
      <c r="F57" s="21">
        <f t="shared" si="3"/>
        <v>1.22</v>
      </c>
    </row>
    <row r="58" spans="1:6" x14ac:dyDescent="0.2">
      <c r="A58" s="19">
        <v>23</v>
      </c>
      <c r="B58" s="180" t="s">
        <v>20</v>
      </c>
      <c r="C58" s="181"/>
      <c r="D58" s="14">
        <f>IF(F3="1",SUMIF(Data!A:A,'4'!$A$2,Data!DQ:DQ),0)</f>
        <v>44592</v>
      </c>
      <c r="E58" s="17">
        <f>IF($F$3="1",SUMIF(Data!$A:$A,$A$2,Data!JK:JK),0)</f>
        <v>20683</v>
      </c>
      <c r="F58" s="21">
        <f t="shared" si="3"/>
        <v>0.46</v>
      </c>
    </row>
    <row r="59" spans="1:6" x14ac:dyDescent="0.2">
      <c r="A59" s="19">
        <v>24</v>
      </c>
      <c r="B59" s="180" t="s">
        <v>21</v>
      </c>
      <c r="C59" s="181"/>
      <c r="D59" s="14">
        <f>IF(F3="1",SUMIF(Data!A:A,'4'!$A$2,Data!DR:DR),0)</f>
        <v>201070</v>
      </c>
      <c r="E59" s="17">
        <f>IF($F$3="1",SUMIF(Data!$A:$A,$A$2,Data!JL:JL),0)</f>
        <v>115890</v>
      </c>
      <c r="F59" s="21">
        <f t="shared" si="3"/>
        <v>0.57999999999999996</v>
      </c>
    </row>
    <row r="60" spans="1:6" x14ac:dyDescent="0.2">
      <c r="A60" s="19">
        <v>25</v>
      </c>
      <c r="B60" s="180" t="s">
        <v>22</v>
      </c>
      <c r="C60" s="181"/>
      <c r="D60" s="14">
        <f>IF(F3="1",SUMIF(Data!A:A,'4'!$A$2,Data!DS:DS),0)</f>
        <v>331352</v>
      </c>
      <c r="E60" s="17">
        <f>IF($F$3="1",SUMIF(Data!$A:$A,$A$2,Data!JM:JM),0)</f>
        <v>30730</v>
      </c>
      <c r="F60" s="21">
        <f t="shared" si="3"/>
        <v>0.09</v>
      </c>
    </row>
    <row r="61" spans="1:6" x14ac:dyDescent="0.2">
      <c r="A61" s="19">
        <v>26</v>
      </c>
      <c r="B61" s="180" t="s">
        <v>23</v>
      </c>
      <c r="C61" s="181"/>
      <c r="D61" s="14">
        <f>IF(F3="1",SUMIF(Data!A:A,'4'!$A$2,Data!DT:DT),0)</f>
        <v>111280</v>
      </c>
      <c r="E61" s="17">
        <f>IF($F$3="1",SUMIF(Data!$A:$A,$A$2,Data!JN:JN),0)</f>
        <v>104556</v>
      </c>
      <c r="F61" s="21">
        <f t="shared" si="3"/>
        <v>0.94</v>
      </c>
    </row>
    <row r="62" spans="1:6" x14ac:dyDescent="0.2">
      <c r="A62" s="19">
        <v>28</v>
      </c>
      <c r="B62" s="180" t="s">
        <v>24</v>
      </c>
      <c r="C62" s="181"/>
      <c r="D62" s="14">
        <f>IF(F3="1",SUMIF(Data!A:A,'4'!$A$2,Data!DV:DV),0)</f>
        <v>0</v>
      </c>
      <c r="E62" s="17">
        <f>IF($F$3="1",SUMIF(Data!$A:$A,$A$2,Data!JP:JP),0)</f>
        <v>0</v>
      </c>
      <c r="F62" s="21" t="str">
        <f t="shared" si="3"/>
        <v/>
      </c>
    </row>
    <row r="63" spans="1:6" ht="15.75" customHeight="1" thickBot="1" x14ac:dyDescent="0.25">
      <c r="A63" s="22">
        <v>29</v>
      </c>
      <c r="B63" s="184" t="s">
        <v>25</v>
      </c>
      <c r="C63" s="185"/>
      <c r="D63" s="23">
        <f>IF(F3="1",SUMIF(Data!A:A,'4'!$A$2,Data!DW:DW),0)</f>
        <v>0</v>
      </c>
      <c r="E63" s="24">
        <f>IF($F$3="1",SUMIF(Data!$A:$A,$A$2,Data!JQ:JQ),0)</f>
        <v>0</v>
      </c>
      <c r="F63" s="25" t="str">
        <f t="shared" si="3"/>
        <v/>
      </c>
    </row>
    <row r="64" spans="1:6" x14ac:dyDescent="0.2">
      <c r="B64" s="30" t="s">
        <v>35</v>
      </c>
      <c r="C64" s="30"/>
      <c r="D64" s="59">
        <f>SUM(D36:D63)</f>
        <v>2446951</v>
      </c>
      <c r="E64" s="31">
        <f>SUM(E36:E63)</f>
        <v>839955</v>
      </c>
      <c r="F64" s="32">
        <f t="shared" si="3"/>
        <v>0.34</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4832</v>
      </c>
      <c r="E67" s="15">
        <f>IF(F3="1",SUMIF(Data!A:A,'4'!$A$2,Data!DY:DY),0)</f>
        <v>6713</v>
      </c>
      <c r="F67" s="20">
        <f t="shared" ref="F67:F95" si="4">IF(OR(D67=0,E67=0),"",ROUND(E67/D67,2))</f>
        <v>1.39</v>
      </c>
    </row>
    <row r="68" spans="1:6" x14ac:dyDescent="0.2">
      <c r="A68" s="19">
        <v>2</v>
      </c>
      <c r="B68" s="180" t="s">
        <v>1</v>
      </c>
      <c r="C68" s="181"/>
      <c r="D68" s="14">
        <f t="shared" ref="D68:D94" si="5">D37</f>
        <v>62112</v>
      </c>
      <c r="E68" s="17">
        <f>IF(F3="1",SUMIF(Data!A:A,'4'!$A$2,Data!DZ:DZ),0)</f>
        <v>306329</v>
      </c>
      <c r="F68" s="21">
        <f t="shared" si="4"/>
        <v>4.93</v>
      </c>
    </row>
    <row r="69" spans="1:6" ht="14.25" customHeight="1" x14ac:dyDescent="0.2">
      <c r="A69" s="19">
        <v>3</v>
      </c>
      <c r="B69" s="180" t="s">
        <v>2</v>
      </c>
      <c r="C69" s="181"/>
      <c r="D69" s="14">
        <f t="shared" si="5"/>
        <v>198176</v>
      </c>
      <c r="E69" s="17">
        <f>IF(F3="1",SUMIF(Data!A:A,'4'!$A$2,Data!EA:EA),0)</f>
        <v>453159</v>
      </c>
      <c r="F69" s="21">
        <f t="shared" si="4"/>
        <v>2.29</v>
      </c>
    </row>
    <row r="70" spans="1:6" ht="14.25" customHeight="1" x14ac:dyDescent="0.2">
      <c r="A70" s="19">
        <v>4</v>
      </c>
      <c r="B70" s="180" t="s">
        <v>3</v>
      </c>
      <c r="C70" s="181"/>
      <c r="D70" s="14">
        <f t="shared" si="5"/>
        <v>143739</v>
      </c>
      <c r="E70" s="17">
        <f>IF(F3="1",SUMIF(Data!A:A,'4'!$A$2,Data!EB:EB),0)</f>
        <v>489308</v>
      </c>
      <c r="F70" s="21">
        <f t="shared" si="4"/>
        <v>3.4</v>
      </c>
    </row>
    <row r="71" spans="1:6" x14ac:dyDescent="0.2">
      <c r="A71" s="19">
        <v>5</v>
      </c>
      <c r="B71" s="180" t="s">
        <v>4</v>
      </c>
      <c r="C71" s="181"/>
      <c r="D71" s="14">
        <f t="shared" si="5"/>
        <v>0</v>
      </c>
      <c r="E71" s="17">
        <f>IF(F3="1",SUMIF(Data!A:A,'4'!$A$2,Data!EC:EC),0)</f>
        <v>0</v>
      </c>
      <c r="F71" s="21" t="str">
        <f t="shared" si="4"/>
        <v/>
      </c>
    </row>
    <row r="72" spans="1:6" x14ac:dyDescent="0.2">
      <c r="A72" s="19">
        <v>6</v>
      </c>
      <c r="B72" s="180" t="s">
        <v>5</v>
      </c>
      <c r="C72" s="181"/>
      <c r="D72" s="14">
        <f t="shared" si="5"/>
        <v>10640</v>
      </c>
      <c r="E72" s="17">
        <f>IF(F3="1",SUMIF(Data!A:A,'4'!$A$2,Data!ED:ED),0)</f>
        <v>39702</v>
      </c>
      <c r="F72" s="21">
        <f t="shared" si="4"/>
        <v>3.73</v>
      </c>
    </row>
    <row r="73" spans="1:6" x14ac:dyDescent="0.2">
      <c r="A73" s="19">
        <v>7</v>
      </c>
      <c r="B73" s="180" t="s">
        <v>6</v>
      </c>
      <c r="C73" s="181"/>
      <c r="D73" s="14">
        <f t="shared" si="5"/>
        <v>51082</v>
      </c>
      <c r="E73" s="17">
        <f>IF(F3="1",SUMIF(Data!A:A,'4'!$A$2,Data!EE:EE),0)</f>
        <v>255806</v>
      </c>
      <c r="F73" s="21">
        <f t="shared" si="4"/>
        <v>5.01</v>
      </c>
    </row>
    <row r="74" spans="1:6" x14ac:dyDescent="0.2">
      <c r="A74" s="19">
        <v>8</v>
      </c>
      <c r="B74" s="180" t="s">
        <v>7</v>
      </c>
      <c r="C74" s="181"/>
      <c r="D74" s="14">
        <f t="shared" si="5"/>
        <v>11152</v>
      </c>
      <c r="E74" s="17">
        <f>IF(F3="1",SUMIF(Data!A:A,'4'!$A$2,Data!EF:EF),0)</f>
        <v>61977</v>
      </c>
      <c r="F74" s="21">
        <f t="shared" si="4"/>
        <v>5.56</v>
      </c>
    </row>
    <row r="75" spans="1:6" x14ac:dyDescent="0.2">
      <c r="A75" s="19">
        <v>9</v>
      </c>
      <c r="B75" s="180" t="s">
        <v>8</v>
      </c>
      <c r="C75" s="181"/>
      <c r="D75" s="14">
        <f t="shared" si="5"/>
        <v>62310</v>
      </c>
      <c r="E75" s="17">
        <f>IF(F3="1",SUMIF(Data!A:A,'4'!$A$2,Data!EG:EG),0)</f>
        <v>171205</v>
      </c>
      <c r="F75" s="21">
        <f t="shared" si="4"/>
        <v>2.75</v>
      </c>
    </row>
    <row r="76" spans="1:6" x14ac:dyDescent="0.2">
      <c r="A76" s="19">
        <v>10</v>
      </c>
      <c r="B76" s="180" t="s">
        <v>9</v>
      </c>
      <c r="C76" s="181"/>
      <c r="D76" s="14">
        <f t="shared" si="5"/>
        <v>2268</v>
      </c>
      <c r="E76" s="17">
        <f>IF(F3="1",SUMIF(Data!A:A,'4'!$A$2,Data!EH:EH),0)</f>
        <v>12397</v>
      </c>
      <c r="F76" s="21">
        <f t="shared" si="4"/>
        <v>5.47</v>
      </c>
    </row>
    <row r="77" spans="1:6" x14ac:dyDescent="0.2">
      <c r="A77" s="19">
        <v>11</v>
      </c>
      <c r="B77" s="180" t="s">
        <v>10</v>
      </c>
      <c r="C77" s="181"/>
      <c r="D77" s="14">
        <f t="shared" si="5"/>
        <v>30064</v>
      </c>
      <c r="E77" s="17">
        <f>IF(F3="1",SUMIF(Data!A:A,'4'!$A$2,Data!EI:EI),0)</f>
        <v>167082</v>
      </c>
      <c r="F77" s="21">
        <f t="shared" si="4"/>
        <v>5.56</v>
      </c>
    </row>
    <row r="78" spans="1:6" ht="14.25" customHeight="1" x14ac:dyDescent="0.2">
      <c r="A78" s="19">
        <v>12</v>
      </c>
      <c r="B78" s="180" t="s">
        <v>11</v>
      </c>
      <c r="C78" s="181"/>
      <c r="D78" s="14">
        <f t="shared" si="5"/>
        <v>371484</v>
      </c>
      <c r="E78" s="17">
        <f>IF(F3="1",SUMIF(Data!A:A,'4'!$A$2,Data!EJ:EJ),0)</f>
        <v>812861</v>
      </c>
      <c r="F78" s="21">
        <f t="shared" si="4"/>
        <v>2.19</v>
      </c>
    </row>
    <row r="79" spans="1:6" x14ac:dyDescent="0.2">
      <c r="A79" s="19">
        <v>13</v>
      </c>
      <c r="B79" s="180" t="s">
        <v>12</v>
      </c>
      <c r="C79" s="181"/>
      <c r="D79" s="14">
        <f t="shared" si="5"/>
        <v>25624</v>
      </c>
      <c r="E79" s="17">
        <f>IF(F3="1",SUMIF(Data!A:A,'4'!$A$2,Data!EK:EK),0)</f>
        <v>70346</v>
      </c>
      <c r="F79" s="21">
        <f t="shared" si="4"/>
        <v>2.75</v>
      </c>
    </row>
    <row r="80" spans="1:6" ht="14.25" customHeight="1" x14ac:dyDescent="0.2">
      <c r="A80" s="19">
        <v>14</v>
      </c>
      <c r="B80" s="180" t="s">
        <v>464</v>
      </c>
      <c r="C80" s="181"/>
      <c r="D80" s="14">
        <f t="shared" si="5"/>
        <v>167368</v>
      </c>
      <c r="E80" s="17">
        <f>IF(F3="1",SUMIF(Data!A:A,'4'!$A$2,Data!EL:EL),0)</f>
        <v>747343</v>
      </c>
      <c r="F80" s="21">
        <f t="shared" si="4"/>
        <v>4.47</v>
      </c>
    </row>
    <row r="81" spans="1:6" x14ac:dyDescent="0.2">
      <c r="A81" s="19">
        <v>15</v>
      </c>
      <c r="B81" s="180" t="s">
        <v>13</v>
      </c>
      <c r="C81" s="181"/>
      <c r="D81" s="14">
        <f t="shared" si="5"/>
        <v>0</v>
      </c>
      <c r="E81" s="17">
        <f>IF(F3="1",SUMIF(Data!A:A,'4'!$A$2,Data!EM:EM),0)</f>
        <v>0</v>
      </c>
      <c r="F81" s="21" t="str">
        <f t="shared" si="4"/>
        <v/>
      </c>
    </row>
    <row r="82" spans="1:6" x14ac:dyDescent="0.2">
      <c r="A82" s="19">
        <v>16</v>
      </c>
      <c r="B82" s="180" t="s">
        <v>14</v>
      </c>
      <c r="C82" s="181"/>
      <c r="D82" s="14">
        <f t="shared" si="5"/>
        <v>229313</v>
      </c>
      <c r="E82" s="17">
        <f>IF(F3="1",SUMIF(Data!A:A,'4'!$A$2,Data!EN:EN),0)</f>
        <v>649000</v>
      </c>
      <c r="F82" s="21">
        <f t="shared" si="4"/>
        <v>2.83</v>
      </c>
    </row>
    <row r="83" spans="1:6" x14ac:dyDescent="0.2">
      <c r="A83" s="19">
        <v>17</v>
      </c>
      <c r="B83" s="180" t="s">
        <v>15</v>
      </c>
      <c r="C83" s="181"/>
      <c r="D83" s="14">
        <f t="shared" si="5"/>
        <v>27488</v>
      </c>
      <c r="E83" s="17">
        <f>IF(F3="1",SUMIF(Data!A:A,'4'!$A$2,Data!EO:EO),0)</f>
        <v>171581</v>
      </c>
      <c r="F83" s="21">
        <f t="shared" si="4"/>
        <v>6.24</v>
      </c>
    </row>
    <row r="84" spans="1:6" x14ac:dyDescent="0.2">
      <c r="A84" s="19">
        <v>18</v>
      </c>
      <c r="B84" s="180" t="s">
        <v>16</v>
      </c>
      <c r="C84" s="181"/>
      <c r="D84" s="14">
        <f t="shared" si="5"/>
        <v>68080</v>
      </c>
      <c r="E84" s="17">
        <f>IF(F3="1",SUMIF(Data!A:A,'4'!$A$2,Data!EP:EP),0)</f>
        <v>94921</v>
      </c>
      <c r="F84" s="21">
        <f t="shared" si="4"/>
        <v>1.39</v>
      </c>
    </row>
    <row r="85" spans="1:6" x14ac:dyDescent="0.2">
      <c r="A85" s="19">
        <v>19</v>
      </c>
      <c r="B85" s="180" t="s">
        <v>17</v>
      </c>
      <c r="C85" s="181"/>
      <c r="D85" s="14">
        <f t="shared" si="5"/>
        <v>275653</v>
      </c>
      <c r="E85" s="17">
        <f>IF(F3="1",SUMIF(Data!A:A,'4'!$A$2,Data!EQ:EQ),0)</f>
        <v>641913</v>
      </c>
      <c r="F85" s="21">
        <f t="shared" si="4"/>
        <v>2.33</v>
      </c>
    </row>
    <row r="86" spans="1:6" x14ac:dyDescent="0.2">
      <c r="A86" s="19">
        <v>20</v>
      </c>
      <c r="B86" s="180" t="s">
        <v>18</v>
      </c>
      <c r="C86" s="181"/>
      <c r="D86" s="14">
        <f t="shared" si="5"/>
        <v>8288</v>
      </c>
      <c r="E86" s="17">
        <f>IF(F3="1",SUMIF(Data!A:A,'4'!$A$2,Data!ER:ER),0)</f>
        <v>54290</v>
      </c>
      <c r="F86" s="21">
        <f t="shared" si="4"/>
        <v>6.55</v>
      </c>
    </row>
    <row r="87" spans="1:6" ht="14.25" customHeight="1" x14ac:dyDescent="0.2">
      <c r="A87" s="19">
        <v>21</v>
      </c>
      <c r="B87" s="180" t="s">
        <v>461</v>
      </c>
      <c r="C87" s="181"/>
      <c r="D87" s="14">
        <f t="shared" si="5"/>
        <v>8920</v>
      </c>
      <c r="E87" s="17">
        <f>IF(F3="1",SUMIF(Data!A:A,'4'!$A$2,Data!ES:ES),0)</f>
        <v>37957</v>
      </c>
      <c r="F87" s="21">
        <f t="shared" si="4"/>
        <v>4.26</v>
      </c>
    </row>
    <row r="88" spans="1:6" x14ac:dyDescent="0.2">
      <c r="A88" s="19">
        <v>22</v>
      </c>
      <c r="B88" s="180" t="s">
        <v>19</v>
      </c>
      <c r="C88" s="181"/>
      <c r="D88" s="14">
        <f t="shared" si="5"/>
        <v>64</v>
      </c>
      <c r="E88" s="17">
        <f>IF(F3="1",SUMIF(Data!A:A,'4'!$A$2,Data!ET:ET),0)</f>
        <v>191</v>
      </c>
      <c r="F88" s="21">
        <f t="shared" si="4"/>
        <v>2.98</v>
      </c>
    </row>
    <row r="89" spans="1:6" x14ac:dyDescent="0.2">
      <c r="A89" s="19">
        <v>23</v>
      </c>
      <c r="B89" s="180" t="s">
        <v>20</v>
      </c>
      <c r="C89" s="181"/>
      <c r="D89" s="14">
        <f t="shared" si="5"/>
        <v>44592</v>
      </c>
      <c r="E89" s="17">
        <f>IF(F3="1",SUMIF(Data!A:A,'4'!$A$2,Data!EU:EU),0)</f>
        <v>163735</v>
      </c>
      <c r="F89" s="21">
        <f t="shared" si="4"/>
        <v>3.67</v>
      </c>
    </row>
    <row r="90" spans="1:6" x14ac:dyDescent="0.2">
      <c r="A90" s="19">
        <v>24</v>
      </c>
      <c r="B90" s="180" t="s">
        <v>21</v>
      </c>
      <c r="C90" s="181"/>
      <c r="D90" s="14">
        <f t="shared" si="5"/>
        <v>201070</v>
      </c>
      <c r="E90" s="17">
        <f>IF(F3="1",SUMIF(Data!A:A,'4'!$A$2,Data!EV:EV),0)</f>
        <v>328670</v>
      </c>
      <c r="F90" s="21">
        <f t="shared" si="4"/>
        <v>1.63</v>
      </c>
    </row>
    <row r="91" spans="1:6" x14ac:dyDescent="0.2">
      <c r="A91" s="19">
        <v>25</v>
      </c>
      <c r="B91" s="180" t="s">
        <v>22</v>
      </c>
      <c r="C91" s="181"/>
      <c r="D91" s="14">
        <f t="shared" si="5"/>
        <v>331352</v>
      </c>
      <c r="E91" s="17">
        <f>IF(F3="1",SUMIF(Data!A:A,'4'!$A$2,Data!EW:EW),0)</f>
        <v>631004</v>
      </c>
      <c r="F91" s="21">
        <f t="shared" si="4"/>
        <v>1.9</v>
      </c>
    </row>
    <row r="92" spans="1:6" x14ac:dyDescent="0.2">
      <c r="A92" s="19">
        <v>26</v>
      </c>
      <c r="B92" s="180" t="s">
        <v>23</v>
      </c>
      <c r="C92" s="181"/>
      <c r="D92" s="14">
        <f t="shared" si="5"/>
        <v>111280</v>
      </c>
      <c r="E92" s="17">
        <f>IF(F3="1",SUMIF(Data!A:A,'4'!$A$2,Data!EX:EX),0)</f>
        <v>309753</v>
      </c>
      <c r="F92" s="21">
        <f t="shared" si="4"/>
        <v>2.78</v>
      </c>
    </row>
    <row r="93" spans="1:6" x14ac:dyDescent="0.2">
      <c r="A93" s="19">
        <v>28</v>
      </c>
      <c r="B93" s="180" t="s">
        <v>24</v>
      </c>
      <c r="C93" s="181"/>
      <c r="D93" s="14">
        <f t="shared" si="5"/>
        <v>0</v>
      </c>
      <c r="E93" s="17">
        <f>IF(F3="1",SUMIF(Data!A:A,'4'!$A$2,Data!EZ:EZ),0)</f>
        <v>0</v>
      </c>
      <c r="F93" s="21" t="str">
        <f t="shared" si="4"/>
        <v/>
      </c>
    </row>
    <row r="94" spans="1:6" ht="15.75" customHeight="1" thickBot="1" x14ac:dyDescent="0.25">
      <c r="A94" s="22">
        <v>29</v>
      </c>
      <c r="B94" s="184" t="s">
        <v>25</v>
      </c>
      <c r="C94" s="185"/>
      <c r="D94" s="23">
        <f t="shared" si="5"/>
        <v>0</v>
      </c>
      <c r="E94" s="24">
        <f>IF(F3="1",SUMIF(Data!A:A,'4'!$A$2,Data!FA:FA),0)</f>
        <v>0</v>
      </c>
      <c r="F94" s="25" t="str">
        <f t="shared" si="4"/>
        <v/>
      </c>
    </row>
    <row r="95" spans="1:6" x14ac:dyDescent="0.2">
      <c r="B95" s="30" t="s">
        <v>35</v>
      </c>
      <c r="C95" s="30"/>
      <c r="D95" s="59">
        <f>SUM(D67:D94)</f>
        <v>2446951</v>
      </c>
      <c r="E95" s="31">
        <f>SUM(E67:E94)</f>
        <v>6677243</v>
      </c>
      <c r="F95" s="32">
        <f t="shared" si="4"/>
        <v>2.73</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IF(F3="1",SUMIF(Data!A:A,'4'!$A$2,Data!AH:AH),0)</f>
        <v>1552799</v>
      </c>
      <c r="F98" s="20">
        <f>IF(OR(E98=0,E98=0),"",ROUND(E98/$D$105,2))</f>
        <v>0.63</v>
      </c>
    </row>
    <row r="99" spans="2:6" x14ac:dyDescent="0.2">
      <c r="B99" s="190" t="s">
        <v>31</v>
      </c>
      <c r="C99" s="191"/>
      <c r="D99" s="36"/>
      <c r="E99" s="17">
        <f>IF(F3="1",SUMIF(Data!A:A,'4'!$A$2,Data!AI:AI),0)</f>
        <v>696667</v>
      </c>
      <c r="F99" s="21">
        <f t="shared" ref="F99:F104" si="6">IF(OR(E99=0,E99=0),"",ROUND(E99/$D$105,2))</f>
        <v>0.28000000000000003</v>
      </c>
    </row>
    <row r="100" spans="2:6" x14ac:dyDescent="0.2">
      <c r="B100" s="190" t="s">
        <v>1089</v>
      </c>
      <c r="C100" s="191"/>
      <c r="D100" s="36"/>
      <c r="E100" s="17">
        <f>IF(F3="1",SUMIF(Data!A:A,'4'!$A$2,Data!AJ:AJ),0)</f>
        <v>343483</v>
      </c>
      <c r="F100" s="21">
        <f t="shared" si="6"/>
        <v>0.14000000000000001</v>
      </c>
    </row>
    <row r="101" spans="2:6" x14ac:dyDescent="0.2">
      <c r="B101" s="190" t="s">
        <v>1090</v>
      </c>
      <c r="C101" s="191"/>
      <c r="D101" s="36"/>
      <c r="E101" s="17">
        <f>IF(F3="1",SUMIF(Data!A:A,'4'!$A$2,Data!AK:AK),0)</f>
        <v>1300040</v>
      </c>
      <c r="F101" s="21">
        <f t="shared" si="6"/>
        <v>0.53</v>
      </c>
    </row>
    <row r="102" spans="2:6" x14ac:dyDescent="0.2">
      <c r="B102" s="190" t="s">
        <v>1091</v>
      </c>
      <c r="C102" s="191"/>
      <c r="D102" s="36"/>
      <c r="E102" s="17">
        <f>IF(F3="1",SUMIF(Data!A:A,'4'!$A$2,Data!AL:AL),0)</f>
        <v>0</v>
      </c>
      <c r="F102" s="21" t="str">
        <f t="shared" si="6"/>
        <v/>
      </c>
    </row>
    <row r="103" spans="2:6" x14ac:dyDescent="0.2">
      <c r="B103" s="192" t="s">
        <v>34</v>
      </c>
      <c r="C103" s="193"/>
      <c r="D103" s="36"/>
      <c r="E103" s="17">
        <f>IF(F3="1",SUMIF(Data!A:A,'4'!$A$2,Data!AM:AM),0)</f>
        <v>0</v>
      </c>
      <c r="F103" s="21" t="str">
        <f t="shared" si="6"/>
        <v/>
      </c>
    </row>
    <row r="104" spans="2:6" ht="15.75" customHeight="1" thickBot="1" x14ac:dyDescent="0.25">
      <c r="B104" s="186" t="s">
        <v>29</v>
      </c>
      <c r="C104" s="187"/>
      <c r="D104" s="37"/>
      <c r="E104" s="24">
        <f>IF(F3="1",SUMIF(Data!A:A,'4'!$A$2,Data!Q:Q),0)</f>
        <v>374523</v>
      </c>
      <c r="F104" s="25">
        <f t="shared" si="6"/>
        <v>0.15</v>
      </c>
    </row>
    <row r="105" spans="2:6" x14ac:dyDescent="0.2">
      <c r="B105" s="30" t="s">
        <v>35</v>
      </c>
      <c r="C105" s="30"/>
      <c r="D105" s="34">
        <f>D95</f>
        <v>2446951</v>
      </c>
      <c r="E105" s="31">
        <f>SUM(E98:E104)</f>
        <v>4267512</v>
      </c>
      <c r="F105" s="32">
        <f>IF($D$105=0,"",ROUND(E105/$D$105,2))</f>
        <v>1.74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6677243</v>
      </c>
      <c r="D109" s="15">
        <f>IF(F3="1",SUMIF(Data!$A:$A,$A$2,Data!HJ:HJ),0)</f>
        <v>0</v>
      </c>
      <c r="E109" s="15">
        <f>IF(F3="1",SUMIF(Data!$A:$A,$A$2,Data!IN:IN),0)</f>
        <v>0</v>
      </c>
      <c r="F109" s="47">
        <f>SUM(C109:E109)</f>
        <v>6677243</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374523</v>
      </c>
      <c r="E117" s="52"/>
      <c r="F117" s="49">
        <f>SUM(C117:E117)</f>
        <v>374523</v>
      </c>
    </row>
    <row r="118" spans="1:6" x14ac:dyDescent="0.2">
      <c r="B118" s="13" t="s">
        <v>35</v>
      </c>
      <c r="C118" s="4">
        <f>SUM(C109:C116)</f>
        <v>6677243</v>
      </c>
      <c r="D118" s="4">
        <f>SUM(D109:D116)</f>
        <v>0</v>
      </c>
      <c r="E118" s="4">
        <f>SUM(E109:E116)</f>
        <v>0</v>
      </c>
      <c r="F118" s="4">
        <f>SUM(F109:F116)</f>
        <v>6677243</v>
      </c>
    </row>
    <row r="119" spans="1:6" ht="15" thickBot="1" x14ac:dyDescent="0.25"/>
    <row r="120" spans="1:6" ht="15" thickBot="1" x14ac:dyDescent="0.25">
      <c r="B120" s="55" t="s">
        <v>934</v>
      </c>
      <c r="C120" s="53"/>
      <c r="D120" s="53"/>
      <c r="E120" s="53">
        <f>IF(F3="1",SUMIF(Data!A:A,'4'!$A$2,Data!AM:AM),0)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42578125" style="10" bestFit="1" customWidth="1"/>
    <col min="12" max="12" width="13.42578125" style="10" bestFit="1" customWidth="1"/>
    <col min="13" max="14" width="13.5703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444</v>
      </c>
      <c r="B2" s="58" t="str">
        <f>VLOOKUP(A2,Data!A:G,7,0)</f>
        <v>Austin Community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87228</v>
      </c>
      <c r="E5" s="15">
        <f>E36+E67+IFERROR($E$105/$D$105*D5,0)</f>
        <v>721480.18539998343</v>
      </c>
      <c r="F5" s="20">
        <f>IF(OR(D5=0,E5=0),"",ROUND(E5/D5,2))</f>
        <v>8.27</v>
      </c>
    </row>
    <row r="6" spans="1:6" x14ac:dyDescent="0.2">
      <c r="A6" s="19">
        <v>2</v>
      </c>
      <c r="B6" s="180" t="s">
        <v>1</v>
      </c>
      <c r="C6" s="181"/>
      <c r="D6" s="14">
        <f t="shared" ref="D6:D32" si="0">D37</f>
        <v>275867</v>
      </c>
      <c r="E6" s="17">
        <f t="shared" ref="E6:E32" si="1">E37+E68+IFERROR($E$105/$D$105*D6,0)</f>
        <v>3054402.9331377223</v>
      </c>
      <c r="F6" s="21">
        <f t="shared" ref="F6:F33" si="2">IF(OR(D6=0,E6=0),"",ROUND(E6/D6,2))</f>
        <v>11.07</v>
      </c>
    </row>
    <row r="7" spans="1:6" ht="14.25" customHeight="1" x14ac:dyDescent="0.2">
      <c r="A7" s="19">
        <v>3</v>
      </c>
      <c r="B7" s="180" t="s">
        <v>2</v>
      </c>
      <c r="C7" s="181"/>
      <c r="D7" s="14">
        <f t="shared" si="0"/>
        <v>1204196</v>
      </c>
      <c r="E7" s="17">
        <f t="shared" si="1"/>
        <v>9373538.561584793</v>
      </c>
      <c r="F7" s="21">
        <f t="shared" si="2"/>
        <v>7.78</v>
      </c>
    </row>
    <row r="8" spans="1:6" ht="14.25" customHeight="1" x14ac:dyDescent="0.2">
      <c r="A8" s="19">
        <v>4</v>
      </c>
      <c r="B8" s="180" t="s">
        <v>3</v>
      </c>
      <c r="C8" s="181"/>
      <c r="D8" s="14">
        <f t="shared" si="0"/>
        <v>582041</v>
      </c>
      <c r="E8" s="17">
        <f t="shared" si="1"/>
        <v>5291354.8549134657</v>
      </c>
      <c r="F8" s="21">
        <f t="shared" si="2"/>
        <v>9.09</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141741</v>
      </c>
      <c r="E10" s="17">
        <f t="shared" si="1"/>
        <v>1313044.3443937618</v>
      </c>
      <c r="F10" s="21">
        <f t="shared" si="2"/>
        <v>9.26</v>
      </c>
    </row>
    <row r="11" spans="1:6" x14ac:dyDescent="0.2">
      <c r="A11" s="19">
        <v>7</v>
      </c>
      <c r="B11" s="180" t="s">
        <v>6</v>
      </c>
      <c r="C11" s="181"/>
      <c r="D11" s="14">
        <f t="shared" si="0"/>
        <v>492385</v>
      </c>
      <c r="E11" s="17">
        <f t="shared" si="1"/>
        <v>4243185.3789399145</v>
      </c>
      <c r="F11" s="21">
        <f t="shared" si="2"/>
        <v>8.6199999999999992</v>
      </c>
    </row>
    <row r="12" spans="1:6" x14ac:dyDescent="0.2">
      <c r="A12" s="19">
        <v>8</v>
      </c>
      <c r="B12" s="180" t="s">
        <v>7</v>
      </c>
      <c r="C12" s="181"/>
      <c r="D12" s="14">
        <f t="shared" si="0"/>
        <v>21427</v>
      </c>
      <c r="E12" s="17">
        <f t="shared" si="1"/>
        <v>231406.74304770766</v>
      </c>
      <c r="F12" s="21">
        <f t="shared" si="2"/>
        <v>10.8</v>
      </c>
    </row>
    <row r="13" spans="1:6" x14ac:dyDescent="0.2">
      <c r="A13" s="19">
        <v>9</v>
      </c>
      <c r="B13" s="180" t="s">
        <v>8</v>
      </c>
      <c r="C13" s="181"/>
      <c r="D13" s="14">
        <f t="shared" si="0"/>
        <v>194674</v>
      </c>
      <c r="E13" s="17">
        <f t="shared" si="1"/>
        <v>1756368.5317622367</v>
      </c>
      <c r="F13" s="21">
        <f t="shared" si="2"/>
        <v>9.02</v>
      </c>
    </row>
    <row r="14" spans="1:6" x14ac:dyDescent="0.2">
      <c r="A14" s="19">
        <v>10</v>
      </c>
      <c r="B14" s="180" t="s">
        <v>9</v>
      </c>
      <c r="C14" s="181"/>
      <c r="D14" s="14">
        <f t="shared" si="0"/>
        <v>5760</v>
      </c>
      <c r="E14" s="17">
        <f t="shared" si="1"/>
        <v>101967.80795047352</v>
      </c>
      <c r="F14" s="21">
        <f t="shared" si="2"/>
        <v>17.7</v>
      </c>
    </row>
    <row r="15" spans="1:6" x14ac:dyDescent="0.2">
      <c r="A15" s="19">
        <v>11</v>
      </c>
      <c r="B15" s="180" t="s">
        <v>10</v>
      </c>
      <c r="C15" s="181"/>
      <c r="D15" s="14">
        <f t="shared" si="0"/>
        <v>200628</v>
      </c>
      <c r="E15" s="17">
        <f t="shared" si="1"/>
        <v>2508217.5919249309</v>
      </c>
      <c r="F15" s="21">
        <f t="shared" si="2"/>
        <v>12.5</v>
      </c>
    </row>
    <row r="16" spans="1:6" ht="14.25" customHeight="1" x14ac:dyDescent="0.2">
      <c r="A16" s="19">
        <v>12</v>
      </c>
      <c r="B16" s="180" t="s">
        <v>11</v>
      </c>
      <c r="C16" s="181"/>
      <c r="D16" s="14">
        <f t="shared" si="0"/>
        <v>1667147</v>
      </c>
      <c r="E16" s="17">
        <f t="shared" si="1"/>
        <v>12375307.08684168</v>
      </c>
      <c r="F16" s="21">
        <f t="shared" si="2"/>
        <v>7.42</v>
      </c>
    </row>
    <row r="17" spans="1:6" x14ac:dyDescent="0.2">
      <c r="A17" s="19">
        <v>13</v>
      </c>
      <c r="B17" s="180" t="s">
        <v>12</v>
      </c>
      <c r="C17" s="181"/>
      <c r="D17" s="14">
        <f t="shared" si="0"/>
        <v>551513</v>
      </c>
      <c r="E17" s="17">
        <f t="shared" si="1"/>
        <v>3699032.3727759556</v>
      </c>
      <c r="F17" s="21">
        <f t="shared" si="2"/>
        <v>6.71</v>
      </c>
    </row>
    <row r="18" spans="1:6" ht="14.25" customHeight="1" x14ac:dyDescent="0.2">
      <c r="A18" s="19">
        <v>14</v>
      </c>
      <c r="B18" s="180" t="s">
        <v>464</v>
      </c>
      <c r="C18" s="181"/>
      <c r="D18" s="14">
        <f t="shared" si="0"/>
        <v>229802</v>
      </c>
      <c r="E18" s="17">
        <f t="shared" si="1"/>
        <v>2965412.1591379717</v>
      </c>
      <c r="F18" s="21">
        <f t="shared" si="2"/>
        <v>12.9</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503608</v>
      </c>
      <c r="E20" s="17">
        <f t="shared" si="1"/>
        <v>5055921.3406809149</v>
      </c>
      <c r="F20" s="21">
        <f t="shared" si="2"/>
        <v>10.039999999999999</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87184</v>
      </c>
      <c r="E22" s="17">
        <f t="shared" si="1"/>
        <v>1059736.8292281395</v>
      </c>
      <c r="F22" s="21">
        <f t="shared" si="2"/>
        <v>12.16</v>
      </c>
    </row>
    <row r="23" spans="1:6" x14ac:dyDescent="0.2">
      <c r="A23" s="19">
        <v>19</v>
      </c>
      <c r="B23" s="180" t="s">
        <v>17</v>
      </c>
      <c r="C23" s="181"/>
      <c r="D23" s="14">
        <f t="shared" si="0"/>
        <v>1517656</v>
      </c>
      <c r="E23" s="17">
        <f t="shared" si="1"/>
        <v>10279917.780361779</v>
      </c>
      <c r="F23" s="21">
        <f t="shared" si="2"/>
        <v>6.77</v>
      </c>
    </row>
    <row r="24" spans="1:6" x14ac:dyDescent="0.2">
      <c r="A24" s="19">
        <v>20</v>
      </c>
      <c r="B24" s="180" t="s">
        <v>18</v>
      </c>
      <c r="C24" s="181"/>
      <c r="D24" s="14">
        <f t="shared" si="0"/>
        <v>90432</v>
      </c>
      <c r="E24" s="17">
        <f t="shared" si="1"/>
        <v>950111.48482243437</v>
      </c>
      <c r="F24" s="21">
        <f t="shared" si="2"/>
        <v>10.51</v>
      </c>
    </row>
    <row r="25" spans="1:6" ht="14.25" customHeight="1" x14ac:dyDescent="0.2">
      <c r="A25" s="19">
        <v>21</v>
      </c>
      <c r="B25" s="180" t="s">
        <v>461</v>
      </c>
      <c r="C25" s="181"/>
      <c r="D25" s="14">
        <f t="shared" si="0"/>
        <v>25200</v>
      </c>
      <c r="E25" s="17">
        <f t="shared" si="1"/>
        <v>216483.53478332167</v>
      </c>
      <c r="F25" s="21">
        <f t="shared" si="2"/>
        <v>8.59</v>
      </c>
    </row>
    <row r="26" spans="1:6" x14ac:dyDescent="0.2">
      <c r="A26" s="19">
        <v>22</v>
      </c>
      <c r="B26" s="180" t="s">
        <v>19</v>
      </c>
      <c r="C26" s="181"/>
      <c r="D26" s="14">
        <f t="shared" si="0"/>
        <v>7148</v>
      </c>
      <c r="E26" s="17">
        <f t="shared" si="1"/>
        <v>65101.952644094577</v>
      </c>
      <c r="F26" s="21">
        <f t="shared" si="2"/>
        <v>9.11</v>
      </c>
    </row>
    <row r="27" spans="1:6" x14ac:dyDescent="0.2">
      <c r="A27" s="19">
        <v>23</v>
      </c>
      <c r="B27" s="180" t="s">
        <v>20</v>
      </c>
      <c r="C27" s="181"/>
      <c r="D27" s="14">
        <f t="shared" si="0"/>
        <v>224912</v>
      </c>
      <c r="E27" s="17">
        <f t="shared" si="1"/>
        <v>1727174.3482216843</v>
      </c>
      <c r="F27" s="21">
        <f t="shared" si="2"/>
        <v>7.68</v>
      </c>
    </row>
    <row r="28" spans="1:6" x14ac:dyDescent="0.2">
      <c r="A28" s="19">
        <v>24</v>
      </c>
      <c r="B28" s="180" t="s">
        <v>21</v>
      </c>
      <c r="C28" s="181"/>
      <c r="D28" s="14">
        <f t="shared" si="0"/>
        <v>187638</v>
      </c>
      <c r="E28" s="17">
        <f t="shared" si="1"/>
        <v>1603694.3948282902</v>
      </c>
      <c r="F28" s="21">
        <f t="shared" si="2"/>
        <v>8.5500000000000007</v>
      </c>
    </row>
    <row r="29" spans="1:6" x14ac:dyDescent="0.2">
      <c r="A29" s="19">
        <v>25</v>
      </c>
      <c r="B29" s="180" t="s">
        <v>22</v>
      </c>
      <c r="C29" s="181"/>
      <c r="D29" s="14">
        <f t="shared" si="0"/>
        <v>2456998</v>
      </c>
      <c r="E29" s="17">
        <f t="shared" si="1"/>
        <v>14996952.716093324</v>
      </c>
      <c r="F29" s="21">
        <f t="shared" si="2"/>
        <v>6.1</v>
      </c>
    </row>
    <row r="30" spans="1:6" x14ac:dyDescent="0.2">
      <c r="A30" s="19">
        <v>26</v>
      </c>
      <c r="B30" s="180" t="s">
        <v>23</v>
      </c>
      <c r="C30" s="181"/>
      <c r="D30" s="14">
        <f t="shared" si="0"/>
        <v>715528</v>
      </c>
      <c r="E30" s="17">
        <f t="shared" si="1"/>
        <v>6444178.0665254202</v>
      </c>
      <c r="F30" s="21">
        <f t="shared" si="2"/>
        <v>9.01</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11470713</v>
      </c>
      <c r="E33" s="31">
        <f>SUM(E5:E32)</f>
        <v>90033990.999999985</v>
      </c>
      <c r="F33" s="32">
        <f t="shared" si="2"/>
        <v>7.85</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IF(F3="1",SUMIF(Data!A:A,'5'!$A$2,Data!CU:CU),0)</f>
        <v>87228</v>
      </c>
      <c r="E36" s="15">
        <f>IF(F3="1",SUMIF(Data!$A:$A,$A$2,Data!IO:IO),0)</f>
        <v>91574</v>
      </c>
      <c r="F36" s="20">
        <f t="shared" ref="F36:F64" si="3">IF(OR(D36=0,E36=0),"",ROUND(E36/D36,2))</f>
        <v>1.05</v>
      </c>
    </row>
    <row r="37" spans="1:6" x14ac:dyDescent="0.2">
      <c r="A37" s="19">
        <v>2</v>
      </c>
      <c r="B37" s="180" t="s">
        <v>1</v>
      </c>
      <c r="C37" s="181"/>
      <c r="D37" s="14">
        <f>IF(F3="1",SUMIF(Data!A:A,'5'!$A$2,Data!CV:CV),0)</f>
        <v>275867</v>
      </c>
      <c r="E37" s="17">
        <f>IF(F3="1",SUMIF(Data!$A:$A,$A$2,Data!IP:IP),0)</f>
        <v>505642</v>
      </c>
      <c r="F37" s="21">
        <f t="shared" si="3"/>
        <v>1.83</v>
      </c>
    </row>
    <row r="38" spans="1:6" ht="14.25" customHeight="1" x14ac:dyDescent="0.2">
      <c r="A38" s="19">
        <v>3</v>
      </c>
      <c r="B38" s="180" t="s">
        <v>2</v>
      </c>
      <c r="C38" s="181"/>
      <c r="D38" s="14">
        <f>IF(F3="1",SUMIF(Data!A:A,'5'!$A$2,Data!CW:CW),0)</f>
        <v>1204196</v>
      </c>
      <c r="E38" s="17">
        <f>IF($F$3="1",SUMIF(Data!$A:$A,$A$2,Data!IQ:IQ),0)</f>
        <v>1147520</v>
      </c>
      <c r="F38" s="21">
        <f t="shared" si="3"/>
        <v>0.95</v>
      </c>
    </row>
    <row r="39" spans="1:6" ht="14.25" customHeight="1" x14ac:dyDescent="0.2">
      <c r="A39" s="19">
        <v>4</v>
      </c>
      <c r="B39" s="180" t="s">
        <v>3</v>
      </c>
      <c r="C39" s="181"/>
      <c r="D39" s="14">
        <f>IF(F3="1",SUMIF(Data!A:A,'5'!$A$2,Data!CX:CX),0)</f>
        <v>582041</v>
      </c>
      <c r="E39" s="17">
        <f>IF($F$3="1",SUMIF(Data!$A:$A,$A$2,Data!IR:IR),0)</f>
        <v>682870</v>
      </c>
      <c r="F39" s="21">
        <f t="shared" si="3"/>
        <v>1.17</v>
      </c>
    </row>
    <row r="40" spans="1:6" x14ac:dyDescent="0.2">
      <c r="A40" s="19">
        <v>5</v>
      </c>
      <c r="B40" s="180" t="s">
        <v>4</v>
      </c>
      <c r="C40" s="181"/>
      <c r="D40" s="14">
        <f>IF(F3="1",SUMIF(Data!A:A,'5'!$A$2,Data!CY:CY),0)</f>
        <v>0</v>
      </c>
      <c r="E40" s="17">
        <f>IF($F$3="1",SUMIF(Data!$A:$A,$A$2,Data!IS:IS),0)</f>
        <v>0</v>
      </c>
      <c r="F40" s="21" t="str">
        <f t="shared" si="3"/>
        <v/>
      </c>
    </row>
    <row r="41" spans="1:6" x14ac:dyDescent="0.2">
      <c r="A41" s="19">
        <v>6</v>
      </c>
      <c r="B41" s="180" t="s">
        <v>5</v>
      </c>
      <c r="C41" s="181"/>
      <c r="D41" s="14">
        <f>IF(F3="1",SUMIF(Data!A:A,'5'!$A$2,Data!CZ:CZ),0)</f>
        <v>141741</v>
      </c>
      <c r="E41" s="17">
        <f>IF($F$3="1",SUMIF(Data!$A:$A,$A$2,Data!IT:IT),0)</f>
        <v>171835</v>
      </c>
      <c r="F41" s="21">
        <f t="shared" si="3"/>
        <v>1.21</v>
      </c>
    </row>
    <row r="42" spans="1:6" x14ac:dyDescent="0.2">
      <c r="A42" s="19">
        <v>7</v>
      </c>
      <c r="B42" s="180" t="s">
        <v>6</v>
      </c>
      <c r="C42" s="181"/>
      <c r="D42" s="14">
        <f>IF(F3="1",SUMIF(Data!A:A,'5'!$A$2,Data!DA:DA),0)</f>
        <v>492385</v>
      </c>
      <c r="E42" s="17">
        <f>IF($F$3="1",SUMIF(Data!$A:$A,$A$2,Data!IU:IU),0)</f>
        <v>764936</v>
      </c>
      <c r="F42" s="21">
        <f t="shared" si="3"/>
        <v>1.55</v>
      </c>
    </row>
    <row r="43" spans="1:6" x14ac:dyDescent="0.2">
      <c r="A43" s="19">
        <v>8</v>
      </c>
      <c r="B43" s="180" t="s">
        <v>7</v>
      </c>
      <c r="C43" s="181"/>
      <c r="D43" s="14">
        <f>IF(F3="1",SUMIF(Data!A:A,'5'!$A$2,Data!DB:DB),0)</f>
        <v>21427</v>
      </c>
      <c r="E43" s="17">
        <f>IF($F$3="1",SUMIF(Data!$A:$A,$A$2,Data!IV:IV),0)</f>
        <v>47414</v>
      </c>
      <c r="F43" s="21">
        <f t="shared" si="3"/>
        <v>2.21</v>
      </c>
    </row>
    <row r="44" spans="1:6" x14ac:dyDescent="0.2">
      <c r="A44" s="19">
        <v>9</v>
      </c>
      <c r="B44" s="180" t="s">
        <v>8</v>
      </c>
      <c r="C44" s="181"/>
      <c r="D44" s="14">
        <f>IF(F3="1",SUMIF(Data!A:A,'5'!$A$2,Data!DC:DC),0)</f>
        <v>194674</v>
      </c>
      <c r="E44" s="17">
        <f>IF($F$3="1",SUMIF(Data!$A:$A,$A$2,Data!IW:IW),0)</f>
        <v>186027</v>
      </c>
      <c r="F44" s="21">
        <f t="shared" si="3"/>
        <v>0.96</v>
      </c>
    </row>
    <row r="45" spans="1:6" x14ac:dyDescent="0.2">
      <c r="A45" s="19">
        <v>10</v>
      </c>
      <c r="B45" s="180" t="s">
        <v>9</v>
      </c>
      <c r="C45" s="181"/>
      <c r="D45" s="14">
        <f>IF(F3="1",SUMIF(Data!A:A,'5'!$A$2,Data!DD:DD),0)</f>
        <v>5760</v>
      </c>
      <c r="E45" s="17">
        <f>IF($F$3="1",SUMIF(Data!$A:$A,$A$2,Data!IX:IX),0)</f>
        <v>226</v>
      </c>
      <c r="F45" s="21">
        <f t="shared" si="3"/>
        <v>0.04</v>
      </c>
    </row>
    <row r="46" spans="1:6" x14ac:dyDescent="0.2">
      <c r="A46" s="19">
        <v>11</v>
      </c>
      <c r="B46" s="180" t="s">
        <v>10</v>
      </c>
      <c r="C46" s="181"/>
      <c r="D46" s="14">
        <f>IF(F3="1",SUMIF(Data!A:A,'5'!$A$2,Data!DE:DE),0)</f>
        <v>200628</v>
      </c>
      <c r="E46" s="17">
        <f>IF($F$3="1",SUMIF(Data!$A:$A,$A$2,Data!IY:IY),0)</f>
        <v>442774</v>
      </c>
      <c r="F46" s="21">
        <f t="shared" si="3"/>
        <v>2.21</v>
      </c>
    </row>
    <row r="47" spans="1:6" ht="14.25" customHeight="1" x14ac:dyDescent="0.2">
      <c r="A47" s="19">
        <v>12</v>
      </c>
      <c r="B47" s="180" t="s">
        <v>11</v>
      </c>
      <c r="C47" s="181"/>
      <c r="D47" s="14">
        <f>IF(F3="1",SUMIF(Data!A:A,'5'!$A$2,Data!DF:DF),0)</f>
        <v>1667147</v>
      </c>
      <c r="E47" s="17">
        <f>IF($F$3="1",SUMIF(Data!$A:$A,$A$2,Data!IZ:IZ),0)</f>
        <v>276816</v>
      </c>
      <c r="F47" s="21">
        <f t="shared" si="3"/>
        <v>0.17</v>
      </c>
    </row>
    <row r="48" spans="1:6" x14ac:dyDescent="0.2">
      <c r="A48" s="19">
        <v>13</v>
      </c>
      <c r="B48" s="180" t="s">
        <v>12</v>
      </c>
      <c r="C48" s="181"/>
      <c r="D48" s="14">
        <f>IF(F3="1",SUMIF(Data!A:A,'5'!$A$2,Data!DG:DG),0)</f>
        <v>551513</v>
      </c>
      <c r="E48" s="17">
        <f>IF($F$3="1",SUMIF(Data!$A:$A,$A$2,Data!JA:JA),0)</f>
        <v>93194</v>
      </c>
      <c r="F48" s="21">
        <f t="shared" si="3"/>
        <v>0.17</v>
      </c>
    </row>
    <row r="49" spans="1:6" ht="14.25" customHeight="1" x14ac:dyDescent="0.2">
      <c r="A49" s="19">
        <v>14</v>
      </c>
      <c r="B49" s="180" t="s">
        <v>464</v>
      </c>
      <c r="C49" s="181"/>
      <c r="D49" s="14">
        <f>IF(F3="1",SUMIF(Data!A:A,'5'!$A$2,Data!DH:DH),0)</f>
        <v>229802</v>
      </c>
      <c r="E49" s="17">
        <f>IF($F$3="1",SUMIF(Data!$A:$A,$A$2,Data!JB:JB),0)</f>
        <v>139542</v>
      </c>
      <c r="F49" s="21">
        <f t="shared" si="3"/>
        <v>0.61</v>
      </c>
    </row>
    <row r="50" spans="1:6" x14ac:dyDescent="0.2">
      <c r="A50" s="19">
        <v>15</v>
      </c>
      <c r="B50" s="180" t="s">
        <v>13</v>
      </c>
      <c r="C50" s="181"/>
      <c r="D50" s="14">
        <f>IF(F3="1",SUMIF(Data!A:A,'5'!$A$2,Data!DI:DI),0)</f>
        <v>0</v>
      </c>
      <c r="E50" s="17">
        <f>IF($F$3="1",SUMIF(Data!$A:$A,$A$2,Data!JC:JC),0)</f>
        <v>0</v>
      </c>
      <c r="F50" s="21" t="str">
        <f t="shared" si="3"/>
        <v/>
      </c>
    </row>
    <row r="51" spans="1:6" x14ac:dyDescent="0.2">
      <c r="A51" s="19">
        <v>16</v>
      </c>
      <c r="B51" s="180" t="s">
        <v>14</v>
      </c>
      <c r="C51" s="181"/>
      <c r="D51" s="14">
        <f>IF(F3="1",SUMIF(Data!A:A,'5'!$A$2,Data!DJ:DJ),0)</f>
        <v>503608</v>
      </c>
      <c r="E51" s="17">
        <f>IF($F$3="1",SUMIF(Data!$A:$A,$A$2,Data!JD:JD),0)</f>
        <v>433240</v>
      </c>
      <c r="F51" s="21">
        <f t="shared" si="3"/>
        <v>0.86</v>
      </c>
    </row>
    <row r="52" spans="1:6" x14ac:dyDescent="0.2">
      <c r="A52" s="19">
        <v>17</v>
      </c>
      <c r="B52" s="180" t="s">
        <v>15</v>
      </c>
      <c r="C52" s="181"/>
      <c r="D52" s="14">
        <f>IF(F3="1",SUMIF(Data!A:A,'5'!$A$2,Data!DK:DK),0)</f>
        <v>0</v>
      </c>
      <c r="E52" s="17">
        <f>IF($F$3="1",SUMIF(Data!$A:$A,$A$2,Data!JE:JE),0)</f>
        <v>0</v>
      </c>
      <c r="F52" s="21" t="str">
        <f t="shared" si="3"/>
        <v/>
      </c>
    </row>
    <row r="53" spans="1:6" x14ac:dyDescent="0.2">
      <c r="A53" s="19">
        <v>18</v>
      </c>
      <c r="B53" s="180" t="s">
        <v>16</v>
      </c>
      <c r="C53" s="181"/>
      <c r="D53" s="14">
        <f>IF(F3="1",SUMIF(Data!A:A,'5'!$A$2,Data!DL:DL),0)</f>
        <v>87184</v>
      </c>
      <c r="E53" s="17">
        <f>IF($F$3="1",SUMIF(Data!$A:$A,$A$2,Data!JF:JF),0)</f>
        <v>35824</v>
      </c>
      <c r="F53" s="21">
        <f t="shared" si="3"/>
        <v>0.41</v>
      </c>
    </row>
    <row r="54" spans="1:6" x14ac:dyDescent="0.2">
      <c r="A54" s="19">
        <v>19</v>
      </c>
      <c r="B54" s="180" t="s">
        <v>17</v>
      </c>
      <c r="C54" s="181"/>
      <c r="D54" s="14">
        <f>IF(F3="1",SUMIF(Data!A:A,'5'!$A$2,Data!DM:DM),0)</f>
        <v>1517656</v>
      </c>
      <c r="E54" s="17">
        <f>IF($F$3="1",SUMIF(Data!$A:$A,$A$2,Data!JG:JG),0)</f>
        <v>151576</v>
      </c>
      <c r="F54" s="21">
        <f t="shared" si="3"/>
        <v>0.1</v>
      </c>
    </row>
    <row r="55" spans="1:6" x14ac:dyDescent="0.2">
      <c r="A55" s="19">
        <v>20</v>
      </c>
      <c r="B55" s="180" t="s">
        <v>18</v>
      </c>
      <c r="C55" s="181"/>
      <c r="D55" s="14">
        <f>IF(F3="1",SUMIF(Data!A:A,'5'!$A$2,Data!DN:DN),0)</f>
        <v>90432</v>
      </c>
      <c r="E55" s="17">
        <f>IF($F$3="1",SUMIF(Data!$A:$A,$A$2,Data!JH:JH),0)</f>
        <v>177283</v>
      </c>
      <c r="F55" s="21">
        <f t="shared" si="3"/>
        <v>1.96</v>
      </c>
    </row>
    <row r="56" spans="1:6" ht="14.25" customHeight="1" x14ac:dyDescent="0.2">
      <c r="A56" s="19">
        <v>21</v>
      </c>
      <c r="B56" s="180" t="s">
        <v>461</v>
      </c>
      <c r="C56" s="181"/>
      <c r="D56" s="14">
        <f>IF(F3="1",SUMIF(Data!A:A,'5'!$A$2,Data!DO:DO),0)</f>
        <v>25200</v>
      </c>
      <c r="E56" s="17">
        <f>IF($F$3="1",SUMIF(Data!$A:$A,$A$2,Data!JI:JI),0)</f>
        <v>58250</v>
      </c>
      <c r="F56" s="21">
        <f t="shared" si="3"/>
        <v>2.31</v>
      </c>
    </row>
    <row r="57" spans="1:6" x14ac:dyDescent="0.2">
      <c r="A57" s="19">
        <v>22</v>
      </c>
      <c r="B57" s="180" t="s">
        <v>19</v>
      </c>
      <c r="C57" s="181"/>
      <c r="D57" s="14">
        <f>IF(F3="1",SUMIF(Data!A:A,'5'!$A$2,Data!DP:DP),0)</f>
        <v>7148</v>
      </c>
      <c r="E57" s="17">
        <f>IF($F$3="1",SUMIF(Data!$A:$A,$A$2,Data!JJ:JJ),0)</f>
        <v>15557</v>
      </c>
      <c r="F57" s="21">
        <f t="shared" si="3"/>
        <v>2.1800000000000002</v>
      </c>
    </row>
    <row r="58" spans="1:6" x14ac:dyDescent="0.2">
      <c r="A58" s="19">
        <v>23</v>
      </c>
      <c r="B58" s="180" t="s">
        <v>20</v>
      </c>
      <c r="C58" s="181"/>
      <c r="D58" s="14">
        <f>IF(F3="1",SUMIF(Data!A:A,'5'!$A$2,Data!DQ:DQ),0)</f>
        <v>224912</v>
      </c>
      <c r="E58" s="17">
        <f>IF($F$3="1",SUMIF(Data!$A:$A,$A$2,Data!JK:JK),0)</f>
        <v>158554</v>
      </c>
      <c r="F58" s="21">
        <f t="shared" si="3"/>
        <v>0.7</v>
      </c>
    </row>
    <row r="59" spans="1:6" x14ac:dyDescent="0.2">
      <c r="A59" s="19">
        <v>24</v>
      </c>
      <c r="B59" s="180" t="s">
        <v>21</v>
      </c>
      <c r="C59" s="181"/>
      <c r="D59" s="14">
        <f>IF(F3="1",SUMIF(Data!A:A,'5'!$A$2,Data!DR:DR),0)</f>
        <v>187638</v>
      </c>
      <c r="E59" s="17">
        <f>IF($F$3="1",SUMIF(Data!$A:$A,$A$2,Data!JL:JL),0)</f>
        <v>150225</v>
      </c>
      <c r="F59" s="21">
        <f t="shared" si="3"/>
        <v>0.8</v>
      </c>
    </row>
    <row r="60" spans="1:6" x14ac:dyDescent="0.2">
      <c r="A60" s="19">
        <v>25</v>
      </c>
      <c r="B60" s="180" t="s">
        <v>22</v>
      </c>
      <c r="C60" s="181"/>
      <c r="D60" s="14">
        <f>IF(F3="1",SUMIF(Data!A:A,'5'!$A$2,Data!DS:DS),0)</f>
        <v>2456998</v>
      </c>
      <c r="E60" s="17">
        <f>IF($F$3="1",SUMIF(Data!$A:$A,$A$2,Data!JM:JM),0)</f>
        <v>166751</v>
      </c>
      <c r="F60" s="21">
        <f t="shared" si="3"/>
        <v>7.0000000000000007E-2</v>
      </c>
    </row>
    <row r="61" spans="1:6" x14ac:dyDescent="0.2">
      <c r="A61" s="19">
        <v>26</v>
      </c>
      <c r="B61" s="180" t="s">
        <v>23</v>
      </c>
      <c r="C61" s="181"/>
      <c r="D61" s="14">
        <f>IF(F3="1",SUMIF(Data!A:A,'5'!$A$2,Data!DT:DT),0)</f>
        <v>715528</v>
      </c>
      <c r="E61" s="17">
        <f>IF($F$3="1",SUMIF(Data!$A:$A,$A$2,Data!JN:JN),0)</f>
        <v>675506</v>
      </c>
      <c r="F61" s="21">
        <f t="shared" si="3"/>
        <v>0.94</v>
      </c>
    </row>
    <row r="62" spans="1:6" x14ac:dyDescent="0.2">
      <c r="A62" s="19">
        <v>28</v>
      </c>
      <c r="B62" s="180" t="s">
        <v>24</v>
      </c>
      <c r="C62" s="181"/>
      <c r="D62" s="14">
        <f>IF(F3="1",SUMIF(Data!A:A,'5'!$A$2,Data!DV:DV),0)</f>
        <v>0</v>
      </c>
      <c r="E62" s="17">
        <f>IF($F$3="1",SUMIF(Data!$A:$A,$A$2,Data!JP:JP),0)</f>
        <v>0</v>
      </c>
      <c r="F62" s="21" t="str">
        <f t="shared" si="3"/>
        <v/>
      </c>
    </row>
    <row r="63" spans="1:6" ht="15.75" customHeight="1" thickBot="1" x14ac:dyDescent="0.25">
      <c r="A63" s="22">
        <v>29</v>
      </c>
      <c r="B63" s="184" t="s">
        <v>25</v>
      </c>
      <c r="C63" s="185"/>
      <c r="D63" s="23">
        <f>IF(F3="1",SUMIF(Data!A:A,'5'!$A$2,Data!DW:DW),0)</f>
        <v>0</v>
      </c>
      <c r="E63" s="24">
        <f>IF($F$3="1",SUMIF(Data!$A:$A,$A$2,Data!JQ:JQ),0)</f>
        <v>0</v>
      </c>
      <c r="F63" s="25" t="str">
        <f t="shared" si="3"/>
        <v/>
      </c>
    </row>
    <row r="64" spans="1:6" x14ac:dyDescent="0.2">
      <c r="B64" s="30" t="s">
        <v>35</v>
      </c>
      <c r="C64" s="30"/>
      <c r="D64" s="59">
        <f>SUM(D36:D63)</f>
        <v>11470713</v>
      </c>
      <c r="E64" s="31">
        <f>SUM(E36:E63)</f>
        <v>6573136</v>
      </c>
      <c r="F64" s="32">
        <f t="shared" si="3"/>
        <v>0.56999999999999995</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87228</v>
      </c>
      <c r="E67" s="15">
        <f>IF(F3="1",SUMIF(Data!A:A,'5'!$A$2,Data!DY:DY),0)</f>
        <v>306060</v>
      </c>
      <c r="F67" s="20">
        <f t="shared" ref="F67:F95" si="4">IF(OR(D67=0,E67=0),"",ROUND(E67/D67,2))</f>
        <v>3.51</v>
      </c>
    </row>
    <row r="68" spans="1:6" x14ac:dyDescent="0.2">
      <c r="A68" s="19">
        <v>2</v>
      </c>
      <c r="B68" s="180" t="s">
        <v>1</v>
      </c>
      <c r="C68" s="181"/>
      <c r="D68" s="14">
        <f t="shared" ref="D68:D94" si="5">D37</f>
        <v>275867</v>
      </c>
      <c r="E68" s="17">
        <f>IF(F3="1",SUMIF(Data!A:A,'5'!$A$2,Data!DZ:DZ),0)</f>
        <v>1524566</v>
      </c>
      <c r="F68" s="21">
        <f t="shared" si="4"/>
        <v>5.53</v>
      </c>
    </row>
    <row r="69" spans="1:6" ht="14.25" customHeight="1" x14ac:dyDescent="0.2">
      <c r="A69" s="19">
        <v>3</v>
      </c>
      <c r="B69" s="180" t="s">
        <v>2</v>
      </c>
      <c r="C69" s="181"/>
      <c r="D69" s="14">
        <f t="shared" si="5"/>
        <v>1204196</v>
      </c>
      <c r="E69" s="17">
        <f>IF(F3="1",SUMIF(Data!A:A,'5'!$A$2,Data!EA:EA),0)</f>
        <v>3755272</v>
      </c>
      <c r="F69" s="21">
        <f t="shared" si="4"/>
        <v>3.12</v>
      </c>
    </row>
    <row r="70" spans="1:6" ht="14.25" customHeight="1" x14ac:dyDescent="0.2">
      <c r="A70" s="19">
        <v>4</v>
      </c>
      <c r="B70" s="180" t="s">
        <v>3</v>
      </c>
      <c r="C70" s="181"/>
      <c r="D70" s="14">
        <f t="shared" si="5"/>
        <v>582041</v>
      </c>
      <c r="E70" s="17">
        <f>IF(F3="1",SUMIF(Data!A:A,'5'!$A$2,Data!EB:EB),0)</f>
        <v>2447576</v>
      </c>
      <c r="F70" s="21">
        <f t="shared" si="4"/>
        <v>4.21</v>
      </c>
    </row>
    <row r="71" spans="1:6" x14ac:dyDescent="0.2">
      <c r="A71" s="19">
        <v>5</v>
      </c>
      <c r="B71" s="180" t="s">
        <v>4</v>
      </c>
      <c r="C71" s="181"/>
      <c r="D71" s="14">
        <f t="shared" si="5"/>
        <v>0</v>
      </c>
      <c r="E71" s="17">
        <f>IF(F3="1",SUMIF(Data!A:A,'5'!$A$2,Data!EC:EC),0)</f>
        <v>0</v>
      </c>
      <c r="F71" s="21" t="str">
        <f t="shared" si="4"/>
        <v/>
      </c>
    </row>
    <row r="72" spans="1:6" x14ac:dyDescent="0.2">
      <c r="A72" s="19">
        <v>6</v>
      </c>
      <c r="B72" s="180" t="s">
        <v>5</v>
      </c>
      <c r="C72" s="181"/>
      <c r="D72" s="14">
        <f t="shared" si="5"/>
        <v>141741</v>
      </c>
      <c r="E72" s="17">
        <f>IF(F3="1",SUMIF(Data!A:A,'5'!$A$2,Data!ED:ED),0)</f>
        <v>614976</v>
      </c>
      <c r="F72" s="21">
        <f t="shared" si="4"/>
        <v>4.34</v>
      </c>
    </row>
    <row r="73" spans="1:6" x14ac:dyDescent="0.2">
      <c r="A73" s="19">
        <v>7</v>
      </c>
      <c r="B73" s="180" t="s">
        <v>6</v>
      </c>
      <c r="C73" s="181"/>
      <c r="D73" s="14">
        <f t="shared" si="5"/>
        <v>492385</v>
      </c>
      <c r="E73" s="17">
        <f>IF(F3="1",SUMIF(Data!A:A,'5'!$A$2,Data!EE:EE),0)</f>
        <v>1650201</v>
      </c>
      <c r="F73" s="21">
        <f t="shared" si="4"/>
        <v>3.35</v>
      </c>
    </row>
    <row r="74" spans="1:6" x14ac:dyDescent="0.2">
      <c r="A74" s="19">
        <v>8</v>
      </c>
      <c r="B74" s="180" t="s">
        <v>7</v>
      </c>
      <c r="C74" s="181"/>
      <c r="D74" s="14">
        <f t="shared" si="5"/>
        <v>21427</v>
      </c>
      <c r="E74" s="17">
        <f>IF(F3="1",SUMIF(Data!A:A,'5'!$A$2,Data!EF:EF),0)</f>
        <v>104442</v>
      </c>
      <c r="F74" s="21">
        <f t="shared" si="4"/>
        <v>4.87</v>
      </c>
    </row>
    <row r="75" spans="1:6" x14ac:dyDescent="0.2">
      <c r="A75" s="19">
        <v>9</v>
      </c>
      <c r="B75" s="180" t="s">
        <v>8</v>
      </c>
      <c r="C75" s="181"/>
      <c r="D75" s="14">
        <f t="shared" si="5"/>
        <v>194674</v>
      </c>
      <c r="E75" s="17">
        <f>IF(F3="1",SUMIF(Data!A:A,'5'!$A$2,Data!EG:EG),0)</f>
        <v>847587</v>
      </c>
      <c r="F75" s="21">
        <f t="shared" si="4"/>
        <v>4.3499999999999996</v>
      </c>
    </row>
    <row r="76" spans="1:6" x14ac:dyDescent="0.2">
      <c r="A76" s="19">
        <v>10</v>
      </c>
      <c r="B76" s="180" t="s">
        <v>9</v>
      </c>
      <c r="C76" s="181"/>
      <c r="D76" s="14">
        <f t="shared" si="5"/>
        <v>5760</v>
      </c>
      <c r="E76" s="17">
        <f>IF(F3="1",SUMIF(Data!A:A,'5'!$A$2,Data!EH:EH),0)</f>
        <v>80357</v>
      </c>
      <c r="F76" s="21">
        <f t="shared" si="4"/>
        <v>13.95</v>
      </c>
    </row>
    <row r="77" spans="1:6" x14ac:dyDescent="0.2">
      <c r="A77" s="19">
        <v>11</v>
      </c>
      <c r="B77" s="180" t="s">
        <v>10</v>
      </c>
      <c r="C77" s="181"/>
      <c r="D77" s="14">
        <f t="shared" si="5"/>
        <v>200628</v>
      </c>
      <c r="E77" s="17">
        <f>IF(F3="1",SUMIF(Data!A:A,'5'!$A$2,Data!EI:EI),0)</f>
        <v>1320584</v>
      </c>
      <c r="F77" s="21">
        <f t="shared" si="4"/>
        <v>6.58</v>
      </c>
    </row>
    <row r="78" spans="1:6" ht="14.25" customHeight="1" x14ac:dyDescent="0.2">
      <c r="A78" s="19">
        <v>12</v>
      </c>
      <c r="B78" s="180" t="s">
        <v>11</v>
      </c>
      <c r="C78" s="181"/>
      <c r="D78" s="14">
        <f t="shared" si="5"/>
        <v>1667147</v>
      </c>
      <c r="E78" s="17">
        <f>IF(F3="1",SUMIF(Data!A:A,'5'!$A$2,Data!EJ:EJ),0)</f>
        <v>5908974</v>
      </c>
      <c r="F78" s="21">
        <f t="shared" si="4"/>
        <v>3.54</v>
      </c>
    </row>
    <row r="79" spans="1:6" x14ac:dyDescent="0.2">
      <c r="A79" s="19">
        <v>13</v>
      </c>
      <c r="B79" s="180" t="s">
        <v>12</v>
      </c>
      <c r="C79" s="181"/>
      <c r="D79" s="14">
        <f t="shared" si="5"/>
        <v>551513</v>
      </c>
      <c r="E79" s="17">
        <f>IF(F3="1",SUMIF(Data!A:A,'5'!$A$2,Data!EK:EK),0)</f>
        <v>1558269</v>
      </c>
      <c r="F79" s="21">
        <f t="shared" si="4"/>
        <v>2.83</v>
      </c>
    </row>
    <row r="80" spans="1:6" ht="14.25" customHeight="1" x14ac:dyDescent="0.2">
      <c r="A80" s="19">
        <v>14</v>
      </c>
      <c r="B80" s="180" t="s">
        <v>464</v>
      </c>
      <c r="C80" s="181"/>
      <c r="D80" s="14">
        <f t="shared" si="5"/>
        <v>229802</v>
      </c>
      <c r="E80" s="17">
        <f>IF(F3="1",SUMIF(Data!A:A,'5'!$A$2,Data!EL:EL),0)</f>
        <v>1972698</v>
      </c>
      <c r="F80" s="21">
        <f t="shared" si="4"/>
        <v>8.58</v>
      </c>
    </row>
    <row r="81" spans="1:6" x14ac:dyDescent="0.2">
      <c r="A81" s="19">
        <v>15</v>
      </c>
      <c r="B81" s="180" t="s">
        <v>13</v>
      </c>
      <c r="C81" s="181"/>
      <c r="D81" s="14">
        <f t="shared" si="5"/>
        <v>0</v>
      </c>
      <c r="E81" s="17">
        <f>IF(F3="1",SUMIF(Data!A:A,'5'!$A$2,Data!EM:EM),0)</f>
        <v>0</v>
      </c>
      <c r="F81" s="21" t="str">
        <f t="shared" si="4"/>
        <v/>
      </c>
    </row>
    <row r="82" spans="1:6" x14ac:dyDescent="0.2">
      <c r="A82" s="19">
        <v>16</v>
      </c>
      <c r="B82" s="180" t="s">
        <v>14</v>
      </c>
      <c r="C82" s="181"/>
      <c r="D82" s="14">
        <f t="shared" si="5"/>
        <v>503608</v>
      </c>
      <c r="E82" s="17">
        <f>IF(F3="1",SUMIF(Data!A:A,'5'!$A$2,Data!EN:EN),0)</f>
        <v>2752966</v>
      </c>
      <c r="F82" s="21">
        <f t="shared" si="4"/>
        <v>5.47</v>
      </c>
    </row>
    <row r="83" spans="1:6" x14ac:dyDescent="0.2">
      <c r="A83" s="19">
        <v>17</v>
      </c>
      <c r="B83" s="180" t="s">
        <v>15</v>
      </c>
      <c r="C83" s="181"/>
      <c r="D83" s="14">
        <f t="shared" si="5"/>
        <v>0</v>
      </c>
      <c r="E83" s="17">
        <f>IF(F3="1",SUMIF(Data!A:A,'5'!$A$2,Data!EO:EO),0)</f>
        <v>0</v>
      </c>
      <c r="F83" s="21" t="str">
        <f t="shared" si="4"/>
        <v/>
      </c>
    </row>
    <row r="84" spans="1:6" x14ac:dyDescent="0.2">
      <c r="A84" s="19">
        <v>18</v>
      </c>
      <c r="B84" s="180" t="s">
        <v>16</v>
      </c>
      <c r="C84" s="181"/>
      <c r="D84" s="14">
        <f t="shared" si="5"/>
        <v>87184</v>
      </c>
      <c r="E84" s="17">
        <f>IF(F3="1",SUMIF(Data!A:A,'5'!$A$2,Data!EP:EP),0)</f>
        <v>700230</v>
      </c>
      <c r="F84" s="21">
        <f t="shared" si="4"/>
        <v>8.0299999999999994</v>
      </c>
    </row>
    <row r="85" spans="1:6" x14ac:dyDescent="0.2">
      <c r="A85" s="19">
        <v>19</v>
      </c>
      <c r="B85" s="180" t="s">
        <v>17</v>
      </c>
      <c r="C85" s="181"/>
      <c r="D85" s="14">
        <f t="shared" si="5"/>
        <v>1517656</v>
      </c>
      <c r="E85" s="17">
        <f>IF(F3="1",SUMIF(Data!A:A,'5'!$A$2,Data!EQ:EQ),0)</f>
        <v>4493831</v>
      </c>
      <c r="F85" s="21">
        <f t="shared" si="4"/>
        <v>2.96</v>
      </c>
    </row>
    <row r="86" spans="1:6" x14ac:dyDescent="0.2">
      <c r="A86" s="19">
        <v>20</v>
      </c>
      <c r="B86" s="180" t="s">
        <v>18</v>
      </c>
      <c r="C86" s="181"/>
      <c r="D86" s="14">
        <f t="shared" si="5"/>
        <v>90432</v>
      </c>
      <c r="E86" s="17">
        <f>IF(F3="1",SUMIF(Data!A:A,'5'!$A$2,Data!ER:ER),0)</f>
        <v>437087</v>
      </c>
      <c r="F86" s="21">
        <f t="shared" si="4"/>
        <v>4.83</v>
      </c>
    </row>
    <row r="87" spans="1:6" ht="14.25" customHeight="1" x14ac:dyDescent="0.2">
      <c r="A87" s="19">
        <v>21</v>
      </c>
      <c r="B87" s="180" t="s">
        <v>461</v>
      </c>
      <c r="C87" s="181"/>
      <c r="D87" s="14">
        <f t="shared" si="5"/>
        <v>25200</v>
      </c>
      <c r="E87" s="17">
        <f>IF(F3="1",SUMIF(Data!A:A,'5'!$A$2,Data!ES:ES),0)</f>
        <v>64675</v>
      </c>
      <c r="F87" s="21">
        <f t="shared" si="4"/>
        <v>2.57</v>
      </c>
    </row>
    <row r="88" spans="1:6" x14ac:dyDescent="0.2">
      <c r="A88" s="19">
        <v>22</v>
      </c>
      <c r="B88" s="180" t="s">
        <v>19</v>
      </c>
      <c r="C88" s="181"/>
      <c r="D88" s="14">
        <f t="shared" si="5"/>
        <v>7148</v>
      </c>
      <c r="E88" s="17">
        <f>IF(F3="1",SUMIF(Data!A:A,'5'!$A$2,Data!ET:ET),0)</f>
        <v>23007</v>
      </c>
      <c r="F88" s="21">
        <f t="shared" si="4"/>
        <v>3.22</v>
      </c>
    </row>
    <row r="89" spans="1:6" x14ac:dyDescent="0.2">
      <c r="A89" s="19">
        <v>23</v>
      </c>
      <c r="B89" s="180" t="s">
        <v>20</v>
      </c>
      <c r="C89" s="181"/>
      <c r="D89" s="14">
        <f t="shared" si="5"/>
        <v>224912</v>
      </c>
      <c r="E89" s="17">
        <f>IF(F3="1",SUMIF(Data!A:A,'5'!$A$2,Data!EU:EU),0)</f>
        <v>733603</v>
      </c>
      <c r="F89" s="21">
        <f t="shared" si="4"/>
        <v>3.26</v>
      </c>
    </row>
    <row r="90" spans="1:6" x14ac:dyDescent="0.2">
      <c r="A90" s="19">
        <v>24</v>
      </c>
      <c r="B90" s="180" t="s">
        <v>21</v>
      </c>
      <c r="C90" s="181"/>
      <c r="D90" s="14">
        <f t="shared" si="5"/>
        <v>187638</v>
      </c>
      <c r="E90" s="17">
        <f>IF(F3="1",SUMIF(Data!A:A,'5'!$A$2,Data!EV:EV),0)</f>
        <v>756837</v>
      </c>
      <c r="F90" s="21">
        <f t="shared" si="4"/>
        <v>4.03</v>
      </c>
    </row>
    <row r="91" spans="1:6" x14ac:dyDescent="0.2">
      <c r="A91" s="19">
        <v>25</v>
      </c>
      <c r="B91" s="180" t="s">
        <v>22</v>
      </c>
      <c r="C91" s="181"/>
      <c r="D91" s="14">
        <f t="shared" si="5"/>
        <v>2456998</v>
      </c>
      <c r="E91" s="17">
        <f>IF(F3="1",SUMIF(Data!A:A,'5'!$A$2,Data!EW:EW),0)</f>
        <v>5708252</v>
      </c>
      <c r="F91" s="21">
        <f t="shared" si="4"/>
        <v>2.3199999999999998</v>
      </c>
    </row>
    <row r="92" spans="1:6" x14ac:dyDescent="0.2">
      <c r="A92" s="19">
        <v>26</v>
      </c>
      <c r="B92" s="180" t="s">
        <v>23</v>
      </c>
      <c r="C92" s="181"/>
      <c r="D92" s="14">
        <f t="shared" si="5"/>
        <v>715528</v>
      </c>
      <c r="E92" s="17">
        <f>IF(F3="1",SUMIF(Data!A:A,'5'!$A$2,Data!EX:EX),0)</f>
        <v>3112174</v>
      </c>
      <c r="F92" s="21">
        <f t="shared" si="4"/>
        <v>4.3499999999999996</v>
      </c>
    </row>
    <row r="93" spans="1:6" x14ac:dyDescent="0.2">
      <c r="A93" s="19">
        <v>28</v>
      </c>
      <c r="B93" s="180" t="s">
        <v>24</v>
      </c>
      <c r="C93" s="181"/>
      <c r="D93" s="14">
        <f t="shared" si="5"/>
        <v>0</v>
      </c>
      <c r="E93" s="17">
        <f>IF(F3="1",SUMIF(Data!A:A,'5'!$A$2,Data!EZ:EZ),0)</f>
        <v>0</v>
      </c>
      <c r="F93" s="21" t="str">
        <f t="shared" si="4"/>
        <v/>
      </c>
    </row>
    <row r="94" spans="1:6" ht="15.75" customHeight="1" thickBot="1" x14ac:dyDescent="0.25">
      <c r="A94" s="22">
        <v>29</v>
      </c>
      <c r="B94" s="184" t="s">
        <v>25</v>
      </c>
      <c r="C94" s="185"/>
      <c r="D94" s="23">
        <f t="shared" si="5"/>
        <v>0</v>
      </c>
      <c r="E94" s="24">
        <f>IF(F3="1",SUMIF(Data!A:A,'5'!$A$2,Data!FA:FA),0)</f>
        <v>0</v>
      </c>
      <c r="F94" s="25" t="str">
        <f t="shared" si="4"/>
        <v/>
      </c>
    </row>
    <row r="95" spans="1:6" x14ac:dyDescent="0.2">
      <c r="B95" s="30" t="s">
        <v>35</v>
      </c>
      <c r="C95" s="30"/>
      <c r="D95" s="59">
        <f>SUM(D67:D94)</f>
        <v>11470713</v>
      </c>
      <c r="E95" s="31">
        <f>SUM(E67:E94)</f>
        <v>40874224</v>
      </c>
      <c r="F95" s="32">
        <f t="shared" si="4"/>
        <v>3.56</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IF(F3="1",SUMIF(Data!A:A,'5'!$A$2,Data!AH:AH),0)</f>
        <v>17868305</v>
      </c>
      <c r="F98" s="20">
        <f>IF(OR(E98=0,E98=0),"",ROUND(E98/$D$105,2))</f>
        <v>1.56</v>
      </c>
    </row>
    <row r="99" spans="2:6" x14ac:dyDescent="0.2">
      <c r="B99" s="190" t="s">
        <v>31</v>
      </c>
      <c r="C99" s="191"/>
      <c r="D99" s="36"/>
      <c r="E99" s="17">
        <f>IF(F3="1",SUMIF(Data!A:A,'5'!$A$2,Data!AI:AI),0)</f>
        <v>7731272</v>
      </c>
      <c r="F99" s="21">
        <f t="shared" ref="F99:F104" si="6">IF(OR(E99=0,E99=0),"",ROUND(E99/$D$105,2))</f>
        <v>0.67</v>
      </c>
    </row>
    <row r="100" spans="2:6" x14ac:dyDescent="0.2">
      <c r="B100" s="190" t="s">
        <v>1089</v>
      </c>
      <c r="C100" s="191"/>
      <c r="D100" s="36"/>
      <c r="E100" s="17">
        <f>IF(F3="1",SUMIF(Data!A:A,'5'!$A$2,Data!AJ:AJ),0)</f>
        <v>2508627</v>
      </c>
      <c r="F100" s="21">
        <f t="shared" si="6"/>
        <v>0.22</v>
      </c>
    </row>
    <row r="101" spans="2:6" x14ac:dyDescent="0.2">
      <c r="B101" s="190" t="s">
        <v>1090</v>
      </c>
      <c r="C101" s="191"/>
      <c r="D101" s="36"/>
      <c r="E101" s="17">
        <f>IF(F3="1",SUMIF(Data!A:A,'5'!$A$2,Data!AK:AK),0)</f>
        <v>11042463</v>
      </c>
      <c r="F101" s="21">
        <f t="shared" si="6"/>
        <v>0.96</v>
      </c>
    </row>
    <row r="102" spans="2:6" x14ac:dyDescent="0.2">
      <c r="B102" s="190" t="s">
        <v>1091</v>
      </c>
      <c r="C102" s="191"/>
      <c r="D102" s="36"/>
      <c r="E102" s="17">
        <f>IF(F3="1",SUMIF(Data!A:A,'5'!$A$2,Data!AL:AL),0)</f>
        <v>0</v>
      </c>
      <c r="F102" s="21" t="str">
        <f t="shared" si="6"/>
        <v/>
      </c>
    </row>
    <row r="103" spans="2:6" x14ac:dyDescent="0.2">
      <c r="B103" s="192" t="s">
        <v>34</v>
      </c>
      <c r="C103" s="193"/>
      <c r="D103" s="36"/>
      <c r="E103" s="17">
        <f>IF(F3="1",SUMIF(Data!A:A,'5'!$A$2,Data!AM:AM),0)</f>
        <v>0</v>
      </c>
      <c r="F103" s="21" t="str">
        <f t="shared" si="6"/>
        <v/>
      </c>
    </row>
    <row r="104" spans="2:6" ht="15.75" customHeight="1" thickBot="1" x14ac:dyDescent="0.25">
      <c r="B104" s="186" t="s">
        <v>29</v>
      </c>
      <c r="C104" s="187"/>
      <c r="D104" s="37"/>
      <c r="E104" s="24">
        <f>IF(F3="1",SUMIF(Data!A:A,'5'!$A$2,Data!Q:Q),0)</f>
        <v>3435964</v>
      </c>
      <c r="F104" s="25">
        <f t="shared" si="6"/>
        <v>0.3</v>
      </c>
    </row>
    <row r="105" spans="2:6" x14ac:dyDescent="0.2">
      <c r="B105" s="30" t="s">
        <v>35</v>
      </c>
      <c r="C105" s="30"/>
      <c r="D105" s="34">
        <f>D95</f>
        <v>11470713</v>
      </c>
      <c r="E105" s="31">
        <f>SUM(E98:E104)</f>
        <v>42586631</v>
      </c>
      <c r="F105" s="32">
        <f>IF($D$105=0,"",ROUND(E105/$D$105,2))</f>
        <v>3.71</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40874224</v>
      </c>
      <c r="D109" s="15">
        <f>IF(F3="1",SUMIF(Data!$A:$A,$A$2,Data!HJ:HJ),0)</f>
        <v>0</v>
      </c>
      <c r="E109" s="15">
        <f>IF(F3="1",SUMIF(Data!$A:$A,$A$2,Data!IN:IN),0)</f>
        <v>0</v>
      </c>
      <c r="F109" s="47">
        <f>SUM(C109:E109)</f>
        <v>40874224</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3435964</v>
      </c>
      <c r="E117" s="52"/>
      <c r="F117" s="49">
        <f>SUM(C117:E117)</f>
        <v>3435964</v>
      </c>
    </row>
    <row r="118" spans="1:6" x14ac:dyDescent="0.2">
      <c r="B118" s="13" t="s">
        <v>35</v>
      </c>
      <c r="C118" s="4">
        <f>SUM(C109:C116)</f>
        <v>40874224</v>
      </c>
      <c r="D118" s="4">
        <f>SUM(D109:D116)</f>
        <v>0</v>
      </c>
      <c r="E118" s="4">
        <f>SUM(E109:E116)</f>
        <v>0</v>
      </c>
      <c r="F118" s="4">
        <f>SUM(F109:F116)</f>
        <v>40874224</v>
      </c>
    </row>
    <row r="119" spans="1:6" ht="15" thickBot="1" x14ac:dyDescent="0.25"/>
    <row r="120" spans="1:6" ht="15" thickBot="1" x14ac:dyDescent="0.25">
      <c r="B120" s="55" t="s">
        <v>934</v>
      </c>
      <c r="C120" s="53"/>
      <c r="D120" s="53"/>
      <c r="E120" s="53">
        <f>IF(F3="1",SUMIF(Data!A:A,'5'!$A$2,Data!AM:AM),0)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356</v>
      </c>
      <c r="B2" s="58" t="str">
        <f>VLOOKUP(A2,Data!A:G,7,0)</f>
        <v>Blinn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42896</v>
      </c>
      <c r="E5" s="15">
        <f>E36+E67+IFERROR($E$105/$D$105*D5,0)</f>
        <v>288175.77160258323</v>
      </c>
      <c r="F5" s="20">
        <f>IF(OR(D5=0,E5=0),"",ROUND(E5/D5,2))</f>
        <v>6.72</v>
      </c>
    </row>
    <row r="6" spans="1:6" x14ac:dyDescent="0.2">
      <c r="A6" s="19">
        <v>2</v>
      </c>
      <c r="B6" s="180" t="s">
        <v>1</v>
      </c>
      <c r="C6" s="181"/>
      <c r="D6" s="14">
        <f t="shared" ref="D6:D32" si="0">D37</f>
        <v>5752</v>
      </c>
      <c r="E6" s="17">
        <f t="shared" ref="E6:E32" si="1">E37+E68+IFERROR($E$105/$D$105*D6,0)</f>
        <v>128226.67433462465</v>
      </c>
      <c r="F6" s="21">
        <f t="shared" ref="F6:F33" si="2">IF(OR(D6=0,E6=0),"",ROUND(E6/D6,2))</f>
        <v>22.29</v>
      </c>
    </row>
    <row r="7" spans="1:6" ht="14.25" customHeight="1" x14ac:dyDescent="0.2">
      <c r="A7" s="19">
        <v>3</v>
      </c>
      <c r="B7" s="180" t="s">
        <v>2</v>
      </c>
      <c r="C7" s="181"/>
      <c r="D7" s="14">
        <f t="shared" si="0"/>
        <v>1097328</v>
      </c>
      <c r="E7" s="17">
        <f t="shared" si="1"/>
        <v>4622303.9092950262</v>
      </c>
      <c r="F7" s="21">
        <f t="shared" si="2"/>
        <v>4.21</v>
      </c>
    </row>
    <row r="8" spans="1:6" ht="14.25" customHeight="1" x14ac:dyDescent="0.2">
      <c r="A8" s="19">
        <v>4</v>
      </c>
      <c r="B8" s="180" t="s">
        <v>3</v>
      </c>
      <c r="C8" s="181"/>
      <c r="D8" s="14">
        <f t="shared" si="0"/>
        <v>322920</v>
      </c>
      <c r="E8" s="17">
        <f t="shared" si="1"/>
        <v>2134253.9882018412</v>
      </c>
      <c r="F8" s="21">
        <f t="shared" si="2"/>
        <v>6.61</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21984</v>
      </c>
      <c r="E10" s="17">
        <f t="shared" si="1"/>
        <v>105930.0056627935</v>
      </c>
      <c r="F10" s="21">
        <f t="shared" si="2"/>
        <v>4.82</v>
      </c>
    </row>
    <row r="11" spans="1:6" x14ac:dyDescent="0.2">
      <c r="A11" s="19">
        <v>7</v>
      </c>
      <c r="B11" s="180" t="s">
        <v>6</v>
      </c>
      <c r="C11" s="181"/>
      <c r="D11" s="14">
        <f t="shared" si="0"/>
        <v>207414</v>
      </c>
      <c r="E11" s="17">
        <f t="shared" si="1"/>
        <v>1693173.9308834902</v>
      </c>
      <c r="F11" s="21">
        <f t="shared" si="2"/>
        <v>8.16</v>
      </c>
    </row>
    <row r="12" spans="1:6" x14ac:dyDescent="0.2">
      <c r="A12" s="19">
        <v>8</v>
      </c>
      <c r="B12" s="180" t="s">
        <v>7</v>
      </c>
      <c r="C12" s="181"/>
      <c r="D12" s="14">
        <f t="shared" si="0"/>
        <v>680</v>
      </c>
      <c r="E12" s="17">
        <f t="shared" si="1"/>
        <v>13656.764003397906</v>
      </c>
      <c r="F12" s="21">
        <f t="shared" si="2"/>
        <v>20.079999999999998</v>
      </c>
    </row>
    <row r="13" spans="1:6" x14ac:dyDescent="0.2">
      <c r="A13" s="19">
        <v>9</v>
      </c>
      <c r="B13" s="180" t="s">
        <v>8</v>
      </c>
      <c r="C13" s="181"/>
      <c r="D13" s="14">
        <f t="shared" si="0"/>
        <v>125577</v>
      </c>
      <c r="E13" s="17">
        <f t="shared" si="1"/>
        <v>423463.91949220432</v>
      </c>
      <c r="F13" s="21">
        <f t="shared" si="2"/>
        <v>3.37</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6552</v>
      </c>
      <c r="E15" s="17">
        <f t="shared" si="1"/>
        <v>154344.80845626924</v>
      </c>
      <c r="F15" s="21">
        <f t="shared" si="2"/>
        <v>23.56</v>
      </c>
    </row>
    <row r="16" spans="1:6" ht="14.25" customHeight="1" x14ac:dyDescent="0.2">
      <c r="A16" s="19">
        <v>12</v>
      </c>
      <c r="B16" s="180" t="s">
        <v>11</v>
      </c>
      <c r="C16" s="181"/>
      <c r="D16" s="14">
        <f t="shared" si="0"/>
        <v>973948</v>
      </c>
      <c r="E16" s="17">
        <f t="shared" si="1"/>
        <v>5630231.6993843894</v>
      </c>
      <c r="F16" s="21">
        <f t="shared" si="2"/>
        <v>5.78</v>
      </c>
    </row>
    <row r="17" spans="1:6" x14ac:dyDescent="0.2">
      <c r="A17" s="19">
        <v>13</v>
      </c>
      <c r="B17" s="180" t="s">
        <v>12</v>
      </c>
      <c r="C17" s="181"/>
      <c r="D17" s="14">
        <f t="shared" si="0"/>
        <v>161164</v>
      </c>
      <c r="E17" s="17">
        <f t="shared" si="1"/>
        <v>758625.61447591218</v>
      </c>
      <c r="F17" s="21">
        <f t="shared" si="2"/>
        <v>4.71</v>
      </c>
    </row>
    <row r="18" spans="1:6" ht="14.25" customHeight="1" x14ac:dyDescent="0.2">
      <c r="A18" s="19">
        <v>14</v>
      </c>
      <c r="B18" s="180" t="s">
        <v>464</v>
      </c>
      <c r="C18" s="181"/>
      <c r="D18" s="14">
        <f t="shared" si="0"/>
        <v>77058</v>
      </c>
      <c r="E18" s="17">
        <f t="shared" si="1"/>
        <v>703801.07143211155</v>
      </c>
      <c r="F18" s="21">
        <f t="shared" si="2"/>
        <v>9.1300000000000008</v>
      </c>
    </row>
    <row r="19" spans="1:6" x14ac:dyDescent="0.2">
      <c r="A19" s="19">
        <v>15</v>
      </c>
      <c r="B19" s="180" t="s">
        <v>13</v>
      </c>
      <c r="C19" s="181"/>
      <c r="D19" s="14">
        <f t="shared" si="0"/>
        <v>17136</v>
      </c>
      <c r="E19" s="17">
        <f t="shared" si="1"/>
        <v>314952.65288562723</v>
      </c>
      <c r="F19" s="21">
        <f t="shared" si="2"/>
        <v>18.38</v>
      </c>
    </row>
    <row r="20" spans="1:6" x14ac:dyDescent="0.2">
      <c r="A20" s="19">
        <v>16</v>
      </c>
      <c r="B20" s="180" t="s">
        <v>14</v>
      </c>
      <c r="C20" s="181"/>
      <c r="D20" s="14">
        <f t="shared" si="0"/>
        <v>255342</v>
      </c>
      <c r="E20" s="17">
        <f t="shared" si="1"/>
        <v>1076047.156111218</v>
      </c>
      <c r="F20" s="21">
        <f t="shared" si="2"/>
        <v>4.21</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61472</v>
      </c>
      <c r="E22" s="17">
        <f t="shared" si="1"/>
        <v>415742.86590717081</v>
      </c>
      <c r="F22" s="21">
        <f t="shared" si="2"/>
        <v>6.76</v>
      </c>
    </row>
    <row r="23" spans="1:6" x14ac:dyDescent="0.2">
      <c r="A23" s="19">
        <v>19</v>
      </c>
      <c r="B23" s="180" t="s">
        <v>17</v>
      </c>
      <c r="C23" s="181"/>
      <c r="D23" s="14">
        <f t="shared" si="0"/>
        <v>736744</v>
      </c>
      <c r="E23" s="17">
        <f t="shared" si="1"/>
        <v>3872582.8866461581</v>
      </c>
      <c r="F23" s="21">
        <f t="shared" si="2"/>
        <v>5.26</v>
      </c>
    </row>
    <row r="24" spans="1:6" x14ac:dyDescent="0.2">
      <c r="A24" s="19">
        <v>20</v>
      </c>
      <c r="B24" s="180" t="s">
        <v>18</v>
      </c>
      <c r="C24" s="181"/>
      <c r="D24" s="14">
        <f t="shared" si="0"/>
        <v>1920</v>
      </c>
      <c r="E24" s="17">
        <f t="shared" si="1"/>
        <v>40713.92189194703</v>
      </c>
      <c r="F24" s="21">
        <f t="shared" si="2"/>
        <v>21.21</v>
      </c>
    </row>
    <row r="25" spans="1:6" ht="14.25" customHeight="1" x14ac:dyDescent="0.2">
      <c r="A25" s="19">
        <v>21</v>
      </c>
      <c r="B25" s="180" t="s">
        <v>461</v>
      </c>
      <c r="C25" s="181"/>
      <c r="D25" s="14">
        <f t="shared" si="0"/>
        <v>0</v>
      </c>
      <c r="E25" s="17">
        <f t="shared" si="1"/>
        <v>0</v>
      </c>
      <c r="F25" s="21" t="str">
        <f t="shared" si="2"/>
        <v/>
      </c>
    </row>
    <row r="26" spans="1:6" x14ac:dyDescent="0.2">
      <c r="A26" s="19">
        <v>22</v>
      </c>
      <c r="B26" s="180" t="s">
        <v>19</v>
      </c>
      <c r="C26" s="181"/>
      <c r="D26" s="14">
        <f t="shared" si="0"/>
        <v>0</v>
      </c>
      <c r="E26" s="17">
        <f t="shared" si="1"/>
        <v>0</v>
      </c>
      <c r="F26" s="21" t="str">
        <f t="shared" si="2"/>
        <v/>
      </c>
    </row>
    <row r="27" spans="1:6" x14ac:dyDescent="0.2">
      <c r="A27" s="19">
        <v>23</v>
      </c>
      <c r="B27" s="180" t="s">
        <v>20</v>
      </c>
      <c r="C27" s="181"/>
      <c r="D27" s="14">
        <f t="shared" si="0"/>
        <v>236592</v>
      </c>
      <c r="E27" s="17">
        <f t="shared" si="1"/>
        <v>1405296.3251351728</v>
      </c>
      <c r="F27" s="21">
        <f t="shared" si="2"/>
        <v>5.94</v>
      </c>
    </row>
    <row r="28" spans="1:6" x14ac:dyDescent="0.2">
      <c r="A28" s="19">
        <v>24</v>
      </c>
      <c r="B28" s="180" t="s">
        <v>21</v>
      </c>
      <c r="C28" s="181"/>
      <c r="D28" s="14">
        <f t="shared" si="0"/>
        <v>124080</v>
      </c>
      <c r="E28" s="17">
        <f t="shared" si="1"/>
        <v>461244.70226707688</v>
      </c>
      <c r="F28" s="21">
        <f t="shared" si="2"/>
        <v>3.72</v>
      </c>
    </row>
    <row r="29" spans="1:6" x14ac:dyDescent="0.2">
      <c r="A29" s="19">
        <v>25</v>
      </c>
      <c r="B29" s="180" t="s">
        <v>22</v>
      </c>
      <c r="C29" s="181"/>
      <c r="D29" s="14">
        <f t="shared" si="0"/>
        <v>1448784</v>
      </c>
      <c r="E29" s="17">
        <f t="shared" si="1"/>
        <v>6346236.7116159312</v>
      </c>
      <c r="F29" s="21">
        <f t="shared" si="2"/>
        <v>4.38</v>
      </c>
    </row>
    <row r="30" spans="1:6" x14ac:dyDescent="0.2">
      <c r="A30" s="19">
        <v>26</v>
      </c>
      <c r="B30" s="180" t="s">
        <v>23</v>
      </c>
      <c r="C30" s="181"/>
      <c r="D30" s="14">
        <f t="shared" si="0"/>
        <v>147808</v>
      </c>
      <c r="E30" s="17">
        <f t="shared" si="1"/>
        <v>948663.6203150556</v>
      </c>
      <c r="F30" s="21">
        <f t="shared" si="2"/>
        <v>6.42</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6073151</v>
      </c>
      <c r="E33" s="31">
        <f>SUM(E5:E32)</f>
        <v>31537669</v>
      </c>
      <c r="F33" s="32">
        <f t="shared" si="2"/>
        <v>5.19</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IF(F3="1",SUMIF(Data!A:A,'6'!$A$2,Data!CU:CU),0)</f>
        <v>42896</v>
      </c>
      <c r="E36" s="15">
        <f>IF(F3="1",SUMIF(Data!$A:$A,$A$2,Data!IO:IO),0)</f>
        <v>20335</v>
      </c>
      <c r="F36" s="20">
        <f t="shared" ref="F36:F64" si="3">IF(OR(D36=0,E36=0),"",ROUND(E36/D36,2))</f>
        <v>0.47</v>
      </c>
    </row>
    <row r="37" spans="1:6" x14ac:dyDescent="0.2">
      <c r="A37" s="19">
        <v>2</v>
      </c>
      <c r="B37" s="180" t="s">
        <v>1</v>
      </c>
      <c r="C37" s="181"/>
      <c r="D37" s="14">
        <f>IF(F3="1",SUMIF(Data!A:A,'6'!$A$2,Data!CV:CV),0)</f>
        <v>5752</v>
      </c>
      <c r="E37" s="17">
        <f>IF(F3="1",SUMIF(Data!$A:$A,$A$2,Data!IP:IP),0)</f>
        <v>82584</v>
      </c>
      <c r="F37" s="21">
        <f t="shared" si="3"/>
        <v>14.36</v>
      </c>
    </row>
    <row r="38" spans="1:6" ht="14.25" customHeight="1" x14ac:dyDescent="0.2">
      <c r="A38" s="19">
        <v>3</v>
      </c>
      <c r="B38" s="180" t="s">
        <v>2</v>
      </c>
      <c r="C38" s="181"/>
      <c r="D38" s="14">
        <f>IF(F3="1",SUMIF(Data!A:A,'6'!$A$2,Data!CW:CW),0)</f>
        <v>1097328</v>
      </c>
      <c r="E38" s="17">
        <f>IF($F$3="1",SUMIF(Data!$A:$A,$A$2,Data!IQ:IQ),0)</f>
        <v>258898</v>
      </c>
      <c r="F38" s="21">
        <f t="shared" si="3"/>
        <v>0.24</v>
      </c>
    </row>
    <row r="39" spans="1:6" ht="14.25" customHeight="1" x14ac:dyDescent="0.2">
      <c r="A39" s="19">
        <v>4</v>
      </c>
      <c r="B39" s="180" t="s">
        <v>3</v>
      </c>
      <c r="C39" s="181"/>
      <c r="D39" s="14">
        <f>IF(F3="1",SUMIF(Data!A:A,'6'!$A$2,Data!CX:CX),0)</f>
        <v>322920</v>
      </c>
      <c r="E39" s="17">
        <f>IF($F$3="1",SUMIF(Data!$A:$A,$A$2,Data!IR:IR),0)</f>
        <v>90588</v>
      </c>
      <c r="F39" s="21">
        <f t="shared" si="3"/>
        <v>0.28000000000000003</v>
      </c>
    </row>
    <row r="40" spans="1:6" x14ac:dyDescent="0.2">
      <c r="A40" s="19">
        <v>5</v>
      </c>
      <c r="B40" s="180" t="s">
        <v>4</v>
      </c>
      <c r="C40" s="181"/>
      <c r="D40" s="14">
        <f>IF(F3="1",SUMIF(Data!A:A,'6'!$A$2,Data!CY:CY),0)</f>
        <v>0</v>
      </c>
      <c r="E40" s="17">
        <f>IF($F$3="1",SUMIF(Data!$A:$A,$A$2,Data!IS:IS),0)</f>
        <v>0</v>
      </c>
      <c r="F40" s="21" t="str">
        <f t="shared" si="3"/>
        <v/>
      </c>
    </row>
    <row r="41" spans="1:6" x14ac:dyDescent="0.2">
      <c r="A41" s="19">
        <v>6</v>
      </c>
      <c r="B41" s="180" t="s">
        <v>5</v>
      </c>
      <c r="C41" s="181"/>
      <c r="D41" s="14">
        <f>IF(F3="1",SUMIF(Data!A:A,'6'!$A$2,Data!CZ:CZ),0)</f>
        <v>21984</v>
      </c>
      <c r="E41" s="17">
        <f>IF($F$3="1",SUMIF(Data!$A:$A,$A$2,Data!IT:IT),0)</f>
        <v>9376</v>
      </c>
      <c r="F41" s="21">
        <f t="shared" si="3"/>
        <v>0.43</v>
      </c>
    </row>
    <row r="42" spans="1:6" x14ac:dyDescent="0.2">
      <c r="A42" s="19">
        <v>7</v>
      </c>
      <c r="B42" s="180" t="s">
        <v>6</v>
      </c>
      <c r="C42" s="181"/>
      <c r="D42" s="14">
        <f>IF(F3="1",SUMIF(Data!A:A,'6'!$A$2,Data!DA:DA),0)</f>
        <v>207414</v>
      </c>
      <c r="E42" s="17">
        <f>IF($F$3="1",SUMIF(Data!$A:$A,$A$2,Data!IU:IU),0)</f>
        <v>853308</v>
      </c>
      <c r="F42" s="21">
        <f t="shared" si="3"/>
        <v>4.1100000000000003</v>
      </c>
    </row>
    <row r="43" spans="1:6" x14ac:dyDescent="0.2">
      <c r="A43" s="19">
        <v>8</v>
      </c>
      <c r="B43" s="180" t="s">
        <v>7</v>
      </c>
      <c r="C43" s="181"/>
      <c r="D43" s="14">
        <f>IF(F3="1",SUMIF(Data!A:A,'6'!$A$2,Data!DB:DB),0)</f>
        <v>680</v>
      </c>
      <c r="E43" s="17">
        <f>IF($F$3="1",SUMIF(Data!$A:$A,$A$2,Data!IV:IV),0)</f>
        <v>8693</v>
      </c>
      <c r="F43" s="21">
        <f t="shared" si="3"/>
        <v>12.78</v>
      </c>
    </row>
    <row r="44" spans="1:6" x14ac:dyDescent="0.2">
      <c r="A44" s="19">
        <v>9</v>
      </c>
      <c r="B44" s="180" t="s">
        <v>8</v>
      </c>
      <c r="C44" s="181"/>
      <c r="D44" s="14">
        <f>IF(F3="1",SUMIF(Data!A:A,'6'!$A$2,Data!DC:DC),0)</f>
        <v>125577</v>
      </c>
      <c r="E44" s="17">
        <f>IF($F$3="1",SUMIF(Data!$A:$A,$A$2,Data!IW:IW),0)</f>
        <v>14262</v>
      </c>
      <c r="F44" s="21">
        <f t="shared" si="3"/>
        <v>0.11</v>
      </c>
    </row>
    <row r="45" spans="1:6" x14ac:dyDescent="0.2">
      <c r="A45" s="19">
        <v>10</v>
      </c>
      <c r="B45" s="180" t="s">
        <v>9</v>
      </c>
      <c r="C45" s="181"/>
      <c r="D45" s="14">
        <f>IF(F3="1",SUMIF(Data!A:A,'6'!$A$2,Data!DD:DD),0)</f>
        <v>0</v>
      </c>
      <c r="E45" s="17">
        <f>IF($F$3="1",SUMIF(Data!$A:$A,$A$2,Data!IX:IX),0)</f>
        <v>0</v>
      </c>
      <c r="F45" s="21" t="str">
        <f t="shared" si="3"/>
        <v/>
      </c>
    </row>
    <row r="46" spans="1:6" x14ac:dyDescent="0.2">
      <c r="A46" s="19">
        <v>11</v>
      </c>
      <c r="B46" s="180" t="s">
        <v>10</v>
      </c>
      <c r="C46" s="181"/>
      <c r="D46" s="14">
        <f>IF(F3="1",SUMIF(Data!A:A,'6'!$A$2,Data!DE:DE),0)</f>
        <v>6552</v>
      </c>
      <c r="E46" s="17">
        <f>IF($F$3="1",SUMIF(Data!$A:$A,$A$2,Data!IY:IY),0)</f>
        <v>99971</v>
      </c>
      <c r="F46" s="21">
        <f t="shared" si="3"/>
        <v>15.26</v>
      </c>
    </row>
    <row r="47" spans="1:6" ht="14.25" customHeight="1" x14ac:dyDescent="0.2">
      <c r="A47" s="19">
        <v>12</v>
      </c>
      <c r="B47" s="180" t="s">
        <v>11</v>
      </c>
      <c r="C47" s="181"/>
      <c r="D47" s="14">
        <f>IF(F3="1",SUMIF(Data!A:A,'6'!$A$2,Data!DF:DF),0)</f>
        <v>973948</v>
      </c>
      <c r="E47" s="17">
        <f>IF($F$3="1",SUMIF(Data!$A:$A,$A$2,Data!IZ:IZ),0)</f>
        <v>491098</v>
      </c>
      <c r="F47" s="21">
        <f t="shared" si="3"/>
        <v>0.5</v>
      </c>
    </row>
    <row r="48" spans="1:6" x14ac:dyDescent="0.2">
      <c r="A48" s="19">
        <v>13</v>
      </c>
      <c r="B48" s="180" t="s">
        <v>12</v>
      </c>
      <c r="C48" s="181"/>
      <c r="D48" s="14">
        <f>IF(F3="1",SUMIF(Data!A:A,'6'!$A$2,Data!DG:DG),0)</f>
        <v>161164</v>
      </c>
      <c r="E48" s="17">
        <f>IF($F$3="1",SUMIF(Data!$A:$A,$A$2,Data!JA:JA),0)</f>
        <v>18925</v>
      </c>
      <c r="F48" s="21">
        <f t="shared" si="3"/>
        <v>0.12</v>
      </c>
    </row>
    <row r="49" spans="1:6" ht="14.25" customHeight="1" x14ac:dyDescent="0.2">
      <c r="A49" s="19">
        <v>14</v>
      </c>
      <c r="B49" s="180" t="s">
        <v>464</v>
      </c>
      <c r="C49" s="181"/>
      <c r="D49" s="14">
        <f>IF(F3="1",SUMIF(Data!A:A,'6'!$A$2,Data!DH:DH),0)</f>
        <v>77058</v>
      </c>
      <c r="E49" s="17">
        <f>IF($F$3="1",SUMIF(Data!$A:$A,$A$2,Data!JB:JB),0)</f>
        <v>85786</v>
      </c>
      <c r="F49" s="21">
        <f t="shared" si="3"/>
        <v>1.1100000000000001</v>
      </c>
    </row>
    <row r="50" spans="1:6" x14ac:dyDescent="0.2">
      <c r="A50" s="19">
        <v>15</v>
      </c>
      <c r="B50" s="180" t="s">
        <v>13</v>
      </c>
      <c r="C50" s="181"/>
      <c r="D50" s="14">
        <f>IF(F3="1",SUMIF(Data!A:A,'6'!$A$2,Data!DI:DI),0)</f>
        <v>17136</v>
      </c>
      <c r="E50" s="17">
        <f>IF($F$3="1",SUMIF(Data!$A:$A,$A$2,Data!JC:JC),0)</f>
        <v>139954</v>
      </c>
      <c r="F50" s="21">
        <f t="shared" si="3"/>
        <v>8.17</v>
      </c>
    </row>
    <row r="51" spans="1:6" x14ac:dyDescent="0.2">
      <c r="A51" s="19">
        <v>16</v>
      </c>
      <c r="B51" s="180" t="s">
        <v>14</v>
      </c>
      <c r="C51" s="181"/>
      <c r="D51" s="14">
        <f>IF(F3="1",SUMIF(Data!A:A,'6'!$A$2,Data!DJ:DJ),0)</f>
        <v>255342</v>
      </c>
      <c r="E51" s="17">
        <f>IF($F$3="1",SUMIF(Data!$A:$A,$A$2,Data!JD:JD),0)</f>
        <v>216678</v>
      </c>
      <c r="F51" s="21">
        <f t="shared" si="3"/>
        <v>0.85</v>
      </c>
    </row>
    <row r="52" spans="1:6" x14ac:dyDescent="0.2">
      <c r="A52" s="19">
        <v>17</v>
      </c>
      <c r="B52" s="180" t="s">
        <v>15</v>
      </c>
      <c r="C52" s="181"/>
      <c r="D52" s="14">
        <f>IF(F3="1",SUMIF(Data!A:A,'6'!$A$2,Data!DK:DK),0)</f>
        <v>0</v>
      </c>
      <c r="E52" s="17">
        <f>IF($F$3="1",SUMIF(Data!$A:$A,$A$2,Data!JE:JE),0)</f>
        <v>0</v>
      </c>
      <c r="F52" s="21" t="str">
        <f t="shared" si="3"/>
        <v/>
      </c>
    </row>
    <row r="53" spans="1:6" x14ac:dyDescent="0.2">
      <c r="A53" s="19">
        <v>18</v>
      </c>
      <c r="B53" s="180" t="s">
        <v>16</v>
      </c>
      <c r="C53" s="181"/>
      <c r="D53" s="14">
        <f>IF(F3="1",SUMIF(Data!A:A,'6'!$A$2,Data!DL:DL),0)</f>
        <v>61472</v>
      </c>
      <c r="E53" s="17">
        <f>IF($F$3="1",SUMIF(Data!$A:$A,$A$2,Data!JF:JF),0)</f>
        <v>112981</v>
      </c>
      <c r="F53" s="21">
        <f t="shared" si="3"/>
        <v>1.84</v>
      </c>
    </row>
    <row r="54" spans="1:6" x14ac:dyDescent="0.2">
      <c r="A54" s="19">
        <v>19</v>
      </c>
      <c r="B54" s="180" t="s">
        <v>17</v>
      </c>
      <c r="C54" s="181"/>
      <c r="D54" s="14">
        <f>IF(F3="1",SUMIF(Data!A:A,'6'!$A$2,Data!DM:DM),0)</f>
        <v>736744</v>
      </c>
      <c r="E54" s="17">
        <f>IF($F$3="1",SUMIF(Data!$A:$A,$A$2,Data!JG:JG),0)</f>
        <v>120886</v>
      </c>
      <c r="F54" s="21">
        <f t="shared" si="3"/>
        <v>0.16</v>
      </c>
    </row>
    <row r="55" spans="1:6" x14ac:dyDescent="0.2">
      <c r="A55" s="19">
        <v>20</v>
      </c>
      <c r="B55" s="180" t="s">
        <v>18</v>
      </c>
      <c r="C55" s="181"/>
      <c r="D55" s="14">
        <f>IF(F3="1",SUMIF(Data!A:A,'6'!$A$2,Data!DN:DN),0)</f>
        <v>1920</v>
      </c>
      <c r="E55" s="17">
        <f>IF($F$3="1",SUMIF(Data!$A:$A,$A$2,Data!JH:JH),0)</f>
        <v>26080</v>
      </c>
      <c r="F55" s="21">
        <f t="shared" si="3"/>
        <v>13.58</v>
      </c>
    </row>
    <row r="56" spans="1:6" ht="14.25" customHeight="1" x14ac:dyDescent="0.2">
      <c r="A56" s="19">
        <v>21</v>
      </c>
      <c r="B56" s="180" t="s">
        <v>461</v>
      </c>
      <c r="C56" s="181"/>
      <c r="D56" s="14">
        <f>IF(F3="1",SUMIF(Data!A:A,'6'!$A$2,Data!DO:DO),0)</f>
        <v>0</v>
      </c>
      <c r="E56" s="17">
        <f>IF($F$3="1",SUMIF(Data!$A:$A,$A$2,Data!JI:JI),0)</f>
        <v>0</v>
      </c>
      <c r="F56" s="21" t="str">
        <f t="shared" si="3"/>
        <v/>
      </c>
    </row>
    <row r="57" spans="1:6" x14ac:dyDescent="0.2">
      <c r="A57" s="19">
        <v>22</v>
      </c>
      <c r="B57" s="180" t="s">
        <v>19</v>
      </c>
      <c r="C57" s="181"/>
      <c r="D57" s="14">
        <f>IF(F3="1",SUMIF(Data!A:A,'6'!$A$2,Data!DP:DP),0)</f>
        <v>0</v>
      </c>
      <c r="E57" s="17">
        <f>IF($F$3="1",SUMIF(Data!$A:$A,$A$2,Data!JJ:JJ),0)</f>
        <v>0</v>
      </c>
      <c r="F57" s="21" t="str">
        <f t="shared" si="3"/>
        <v/>
      </c>
    </row>
    <row r="58" spans="1:6" x14ac:dyDescent="0.2">
      <c r="A58" s="19">
        <v>23</v>
      </c>
      <c r="B58" s="180" t="s">
        <v>20</v>
      </c>
      <c r="C58" s="181"/>
      <c r="D58" s="14">
        <f>IF(F3="1",SUMIF(Data!A:A,'6'!$A$2,Data!DQ:DQ),0)</f>
        <v>236592</v>
      </c>
      <c r="E58" s="17">
        <f>IF($F$3="1",SUMIF(Data!$A:$A,$A$2,Data!JK:JK),0)</f>
        <v>123415</v>
      </c>
      <c r="F58" s="21">
        <f t="shared" si="3"/>
        <v>0.52</v>
      </c>
    </row>
    <row r="59" spans="1:6" x14ac:dyDescent="0.2">
      <c r="A59" s="19">
        <v>24</v>
      </c>
      <c r="B59" s="180" t="s">
        <v>21</v>
      </c>
      <c r="C59" s="181"/>
      <c r="D59" s="14">
        <f>IF(F3="1",SUMIF(Data!A:A,'6'!$A$2,Data!DR:DR),0)</f>
        <v>124080</v>
      </c>
      <c r="E59" s="17">
        <f>IF($F$3="1",SUMIF(Data!$A:$A,$A$2,Data!JL:JL),0)</f>
        <v>15511</v>
      </c>
      <c r="F59" s="21">
        <f t="shared" si="3"/>
        <v>0.13</v>
      </c>
    </row>
    <row r="60" spans="1:6" x14ac:dyDescent="0.2">
      <c r="A60" s="19">
        <v>25</v>
      </c>
      <c r="B60" s="180" t="s">
        <v>22</v>
      </c>
      <c r="C60" s="181"/>
      <c r="D60" s="14">
        <f>IF(F3="1",SUMIF(Data!A:A,'6'!$A$2,Data!DS:DS),0)</f>
        <v>1448784</v>
      </c>
      <c r="E60" s="17">
        <f>IF($F$3="1",SUMIF(Data!$A:$A,$A$2,Data!JM:JM),0)</f>
        <v>122311</v>
      </c>
      <c r="F60" s="21">
        <f t="shared" si="3"/>
        <v>0.08</v>
      </c>
    </row>
    <row r="61" spans="1:6" x14ac:dyDescent="0.2">
      <c r="A61" s="19">
        <v>26</v>
      </c>
      <c r="B61" s="180" t="s">
        <v>23</v>
      </c>
      <c r="C61" s="181"/>
      <c r="D61" s="14">
        <f>IF(F3="1",SUMIF(Data!A:A,'6'!$A$2,Data!DT:DT),0)</f>
        <v>147808</v>
      </c>
      <c r="E61" s="17">
        <f>IF($F$3="1",SUMIF(Data!$A:$A,$A$2,Data!JN:JN),0)</f>
        <v>183047</v>
      </c>
      <c r="F61" s="21">
        <f t="shared" si="3"/>
        <v>1.24</v>
      </c>
    </row>
    <row r="62" spans="1:6" x14ac:dyDescent="0.2">
      <c r="A62" s="19">
        <v>28</v>
      </c>
      <c r="B62" s="180" t="s">
        <v>24</v>
      </c>
      <c r="C62" s="181"/>
      <c r="D62" s="14">
        <f>IF(F3="1",SUMIF(Data!A:A,'6'!$A$2,Data!DV:DV),0)</f>
        <v>0</v>
      </c>
      <c r="E62" s="17">
        <f>IF($F$3="1",SUMIF(Data!$A:$A,$A$2,Data!JP:JP),0)</f>
        <v>0</v>
      </c>
      <c r="F62" s="21" t="str">
        <f t="shared" si="3"/>
        <v/>
      </c>
    </row>
    <row r="63" spans="1:6" ht="15.75" customHeight="1" thickBot="1" x14ac:dyDescent="0.25">
      <c r="A63" s="22">
        <v>29</v>
      </c>
      <c r="B63" s="184" t="s">
        <v>25</v>
      </c>
      <c r="C63" s="185"/>
      <c r="D63" s="23">
        <f>IF(F3="1",SUMIF(Data!A:A,'6'!$A$2,Data!DW:DW),0)</f>
        <v>0</v>
      </c>
      <c r="E63" s="24">
        <f>IF($F$3="1",SUMIF(Data!$A:$A,$A$2,Data!JQ:JQ),0)</f>
        <v>0</v>
      </c>
      <c r="F63" s="25" t="str">
        <f t="shared" si="3"/>
        <v/>
      </c>
    </row>
    <row r="64" spans="1:6" x14ac:dyDescent="0.2">
      <c r="B64" s="30" t="s">
        <v>35</v>
      </c>
      <c r="C64" s="30"/>
      <c r="D64" s="59">
        <f>SUM(D36:D63)</f>
        <v>6073151</v>
      </c>
      <c r="E64" s="31">
        <f>SUM(E36:E63)</f>
        <v>3094687</v>
      </c>
      <c r="F64" s="32">
        <f t="shared" si="3"/>
        <v>0.51</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42896</v>
      </c>
      <c r="E67" s="15">
        <f>IF(F3="1",SUMIF(Data!A:A,'6'!$A$2,Data!DY:DY),0)</f>
        <v>176197</v>
      </c>
      <c r="F67" s="20">
        <f t="shared" ref="F67:F95" si="4">IF(OR(D67=0,E67=0),"",ROUND(E67/D67,2))</f>
        <v>4.1100000000000003</v>
      </c>
    </row>
    <row r="68" spans="1:6" x14ac:dyDescent="0.2">
      <c r="A68" s="19">
        <v>2</v>
      </c>
      <c r="B68" s="180" t="s">
        <v>1</v>
      </c>
      <c r="C68" s="181"/>
      <c r="D68" s="14">
        <f t="shared" ref="D68:D94" si="5">D37</f>
        <v>5752</v>
      </c>
      <c r="E68" s="17">
        <f>IF(F3="1",SUMIF(Data!A:A,'6'!$A$2,Data!DZ:DZ),0)</f>
        <v>33354</v>
      </c>
      <c r="F68" s="21">
        <f t="shared" si="4"/>
        <v>5.8</v>
      </c>
    </row>
    <row r="69" spans="1:6" ht="14.25" customHeight="1" x14ac:dyDescent="0.2">
      <c r="A69" s="19">
        <v>3</v>
      </c>
      <c r="B69" s="180" t="s">
        <v>2</v>
      </c>
      <c r="C69" s="181"/>
      <c r="D69" s="14">
        <f t="shared" si="5"/>
        <v>1097328</v>
      </c>
      <c r="E69" s="17">
        <f>IF(F3="1",SUMIF(Data!A:A,'6'!$A$2,Data!EA:EA),0)</f>
        <v>2019055</v>
      </c>
      <c r="F69" s="21">
        <f t="shared" si="4"/>
        <v>1.84</v>
      </c>
    </row>
    <row r="70" spans="1:6" ht="14.25" customHeight="1" x14ac:dyDescent="0.2">
      <c r="A70" s="19">
        <v>4</v>
      </c>
      <c r="B70" s="180" t="s">
        <v>3</v>
      </c>
      <c r="C70" s="181"/>
      <c r="D70" s="14">
        <f t="shared" si="5"/>
        <v>322920</v>
      </c>
      <c r="E70" s="17">
        <f>IF(F3="1",SUMIF(Data!A:A,'6'!$A$2,Data!EB:EB),0)</f>
        <v>1353774</v>
      </c>
      <c r="F70" s="21">
        <f t="shared" si="4"/>
        <v>4.1900000000000004</v>
      </c>
    </row>
    <row r="71" spans="1:6" x14ac:dyDescent="0.2">
      <c r="A71" s="19">
        <v>5</v>
      </c>
      <c r="B71" s="180" t="s">
        <v>4</v>
      </c>
      <c r="C71" s="181"/>
      <c r="D71" s="14">
        <f t="shared" si="5"/>
        <v>0</v>
      </c>
      <c r="E71" s="17">
        <f>IF(F3="1",SUMIF(Data!A:A,'6'!$A$2,Data!EC:EC),0)</f>
        <v>0</v>
      </c>
      <c r="F71" s="21" t="str">
        <f t="shared" si="4"/>
        <v/>
      </c>
    </row>
    <row r="72" spans="1:6" x14ac:dyDescent="0.2">
      <c r="A72" s="19">
        <v>6</v>
      </c>
      <c r="B72" s="180" t="s">
        <v>5</v>
      </c>
      <c r="C72" s="181"/>
      <c r="D72" s="14">
        <f t="shared" si="5"/>
        <v>21984</v>
      </c>
      <c r="E72" s="17">
        <f>IF(F3="1",SUMIF(Data!A:A,'6'!$A$2,Data!ED:ED),0)</f>
        <v>49587</v>
      </c>
      <c r="F72" s="21">
        <f t="shared" si="4"/>
        <v>2.2599999999999998</v>
      </c>
    </row>
    <row r="73" spans="1:6" x14ac:dyDescent="0.2">
      <c r="A73" s="19">
        <v>7</v>
      </c>
      <c r="B73" s="180" t="s">
        <v>6</v>
      </c>
      <c r="C73" s="181"/>
      <c r="D73" s="14">
        <f t="shared" si="5"/>
        <v>207414</v>
      </c>
      <c r="E73" s="17">
        <f>IF(F3="1",SUMIF(Data!A:A,'6'!$A$2,Data!EE:EE),0)</f>
        <v>396743</v>
      </c>
      <c r="F73" s="21">
        <f t="shared" si="4"/>
        <v>1.91</v>
      </c>
    </row>
    <row r="74" spans="1:6" x14ac:dyDescent="0.2">
      <c r="A74" s="19">
        <v>8</v>
      </c>
      <c r="B74" s="180" t="s">
        <v>7</v>
      </c>
      <c r="C74" s="181"/>
      <c r="D74" s="14">
        <f t="shared" si="5"/>
        <v>680</v>
      </c>
      <c r="E74" s="17">
        <f>IF(F3="1",SUMIF(Data!A:A,'6'!$A$2,Data!EF:EF),0)</f>
        <v>3511</v>
      </c>
      <c r="F74" s="21">
        <f t="shared" si="4"/>
        <v>5.16</v>
      </c>
    </row>
    <row r="75" spans="1:6" x14ac:dyDescent="0.2">
      <c r="A75" s="19">
        <v>9</v>
      </c>
      <c r="B75" s="180" t="s">
        <v>8</v>
      </c>
      <c r="C75" s="181"/>
      <c r="D75" s="14">
        <f t="shared" si="5"/>
        <v>125577</v>
      </c>
      <c r="E75" s="17">
        <f>IF(F3="1",SUMIF(Data!A:A,'6'!$A$2,Data!EG:EG),0)</f>
        <v>140917</v>
      </c>
      <c r="F75" s="21">
        <f t="shared" si="4"/>
        <v>1.1200000000000001</v>
      </c>
    </row>
    <row r="76" spans="1:6" x14ac:dyDescent="0.2">
      <c r="A76" s="19">
        <v>10</v>
      </c>
      <c r="B76" s="180" t="s">
        <v>9</v>
      </c>
      <c r="C76" s="181"/>
      <c r="D76" s="14">
        <f t="shared" si="5"/>
        <v>0</v>
      </c>
      <c r="E76" s="17">
        <f>IF(F3="1",SUMIF(Data!A:A,'6'!$A$2,Data!EH:EH),0)</f>
        <v>0</v>
      </c>
      <c r="F76" s="21" t="str">
        <f t="shared" si="4"/>
        <v/>
      </c>
    </row>
    <row r="77" spans="1:6" x14ac:dyDescent="0.2">
      <c r="A77" s="19">
        <v>11</v>
      </c>
      <c r="B77" s="180" t="s">
        <v>10</v>
      </c>
      <c r="C77" s="181"/>
      <c r="D77" s="14">
        <f t="shared" si="5"/>
        <v>6552</v>
      </c>
      <c r="E77" s="17">
        <f>IF(F3="1",SUMIF(Data!A:A,'6'!$A$2,Data!EI:EI),0)</f>
        <v>40376</v>
      </c>
      <c r="F77" s="21">
        <f t="shared" si="4"/>
        <v>6.16</v>
      </c>
    </row>
    <row r="78" spans="1:6" ht="14.25" customHeight="1" x14ac:dyDescent="0.2">
      <c r="A78" s="19">
        <v>12</v>
      </c>
      <c r="B78" s="180" t="s">
        <v>11</v>
      </c>
      <c r="C78" s="181"/>
      <c r="D78" s="14">
        <f t="shared" si="5"/>
        <v>973948</v>
      </c>
      <c r="E78" s="17">
        <f>IF(F3="1",SUMIF(Data!A:A,'6'!$A$2,Data!EJ:EJ),0)</f>
        <v>3058374</v>
      </c>
      <c r="F78" s="21">
        <f t="shared" si="4"/>
        <v>3.14</v>
      </c>
    </row>
    <row r="79" spans="1:6" x14ac:dyDescent="0.2">
      <c r="A79" s="19">
        <v>13</v>
      </c>
      <c r="B79" s="180" t="s">
        <v>12</v>
      </c>
      <c r="C79" s="181"/>
      <c r="D79" s="14">
        <f t="shared" si="5"/>
        <v>161164</v>
      </c>
      <c r="E79" s="17">
        <f>IF(F3="1",SUMIF(Data!A:A,'6'!$A$2,Data!EK:EK),0)</f>
        <v>395387</v>
      </c>
      <c r="F79" s="21">
        <f t="shared" si="4"/>
        <v>2.4500000000000002</v>
      </c>
    </row>
    <row r="80" spans="1:6" ht="14.25" customHeight="1" x14ac:dyDescent="0.2">
      <c r="A80" s="19">
        <v>14</v>
      </c>
      <c r="B80" s="180" t="s">
        <v>464</v>
      </c>
      <c r="C80" s="181"/>
      <c r="D80" s="14">
        <f t="shared" si="5"/>
        <v>77058</v>
      </c>
      <c r="E80" s="17">
        <f>IF(F3="1",SUMIF(Data!A:A,'6'!$A$2,Data!EL:EL),0)</f>
        <v>453387</v>
      </c>
      <c r="F80" s="21">
        <f t="shared" si="4"/>
        <v>5.88</v>
      </c>
    </row>
    <row r="81" spans="1:6" x14ac:dyDescent="0.2">
      <c r="A81" s="19">
        <v>15</v>
      </c>
      <c r="B81" s="180" t="s">
        <v>13</v>
      </c>
      <c r="C81" s="181"/>
      <c r="D81" s="14">
        <f t="shared" si="5"/>
        <v>17136</v>
      </c>
      <c r="E81" s="17">
        <f>IF(F3="1",SUMIF(Data!A:A,'6'!$A$2,Data!EM:EM),0)</f>
        <v>138389</v>
      </c>
      <c r="F81" s="21">
        <f t="shared" si="4"/>
        <v>8.08</v>
      </c>
    </row>
    <row r="82" spans="1:6" x14ac:dyDescent="0.2">
      <c r="A82" s="19">
        <v>16</v>
      </c>
      <c r="B82" s="180" t="s">
        <v>14</v>
      </c>
      <c r="C82" s="181"/>
      <c r="D82" s="14">
        <f t="shared" si="5"/>
        <v>255342</v>
      </c>
      <c r="E82" s="17">
        <f>IF(F3="1",SUMIF(Data!A:A,'6'!$A$2,Data!EN:EN),0)</f>
        <v>313852</v>
      </c>
      <c r="F82" s="21">
        <f t="shared" si="4"/>
        <v>1.23</v>
      </c>
    </row>
    <row r="83" spans="1:6" x14ac:dyDescent="0.2">
      <c r="A83" s="19">
        <v>17</v>
      </c>
      <c r="B83" s="180" t="s">
        <v>15</v>
      </c>
      <c r="C83" s="181"/>
      <c r="D83" s="14">
        <f t="shared" si="5"/>
        <v>0</v>
      </c>
      <c r="E83" s="17">
        <f>IF(F3="1",SUMIF(Data!A:A,'6'!$A$2,Data!EO:EO),0)</f>
        <v>0</v>
      </c>
      <c r="F83" s="21" t="str">
        <f t="shared" si="4"/>
        <v/>
      </c>
    </row>
    <row r="84" spans="1:6" x14ac:dyDescent="0.2">
      <c r="A84" s="19">
        <v>18</v>
      </c>
      <c r="B84" s="180" t="s">
        <v>16</v>
      </c>
      <c r="C84" s="181"/>
      <c r="D84" s="14">
        <f t="shared" si="5"/>
        <v>61472</v>
      </c>
      <c r="E84" s="17">
        <f>IF(F3="1",SUMIF(Data!A:A,'6'!$A$2,Data!EP:EP),0)</f>
        <v>171432</v>
      </c>
      <c r="F84" s="21">
        <f t="shared" si="4"/>
        <v>2.79</v>
      </c>
    </row>
    <row r="85" spans="1:6" x14ac:dyDescent="0.2">
      <c r="A85" s="19">
        <v>19</v>
      </c>
      <c r="B85" s="180" t="s">
        <v>17</v>
      </c>
      <c r="C85" s="181"/>
      <c r="D85" s="14">
        <f t="shared" si="5"/>
        <v>736744</v>
      </c>
      <c r="E85" s="17">
        <f>IF(F3="1",SUMIF(Data!A:A,'6'!$A$2,Data!EQ:EQ),0)</f>
        <v>2177704</v>
      </c>
      <c r="F85" s="21">
        <f t="shared" si="4"/>
        <v>2.96</v>
      </c>
    </row>
    <row r="86" spans="1:6" x14ac:dyDescent="0.2">
      <c r="A86" s="19">
        <v>20</v>
      </c>
      <c r="B86" s="180" t="s">
        <v>18</v>
      </c>
      <c r="C86" s="181"/>
      <c r="D86" s="14">
        <f t="shared" si="5"/>
        <v>1920</v>
      </c>
      <c r="E86" s="17">
        <f>IF(F3="1",SUMIF(Data!A:A,'6'!$A$2,Data!ER:ER),0)</f>
        <v>10532</v>
      </c>
      <c r="F86" s="21">
        <f t="shared" si="4"/>
        <v>5.49</v>
      </c>
    </row>
    <row r="87" spans="1:6" ht="14.25" customHeight="1" x14ac:dyDescent="0.2">
      <c r="A87" s="19">
        <v>21</v>
      </c>
      <c r="B87" s="180" t="s">
        <v>461</v>
      </c>
      <c r="C87" s="181"/>
      <c r="D87" s="14">
        <f t="shared" si="5"/>
        <v>0</v>
      </c>
      <c r="E87" s="17">
        <f>IF(F3="1",SUMIF(Data!A:A,'6'!$A$2,Data!ES:ES),0)</f>
        <v>0</v>
      </c>
      <c r="F87" s="21" t="str">
        <f t="shared" si="4"/>
        <v/>
      </c>
    </row>
    <row r="88" spans="1:6" x14ac:dyDescent="0.2">
      <c r="A88" s="19">
        <v>22</v>
      </c>
      <c r="B88" s="180" t="s">
        <v>19</v>
      </c>
      <c r="C88" s="181"/>
      <c r="D88" s="14">
        <f t="shared" si="5"/>
        <v>0</v>
      </c>
      <c r="E88" s="17">
        <f>IF(F3="1",SUMIF(Data!A:A,'6'!$A$2,Data!ET:ET),0)</f>
        <v>0</v>
      </c>
      <c r="F88" s="21" t="str">
        <f t="shared" si="4"/>
        <v/>
      </c>
    </row>
    <row r="89" spans="1:6" x14ac:dyDescent="0.2">
      <c r="A89" s="19">
        <v>23</v>
      </c>
      <c r="B89" s="180" t="s">
        <v>20</v>
      </c>
      <c r="C89" s="181"/>
      <c r="D89" s="14">
        <f t="shared" si="5"/>
        <v>236592</v>
      </c>
      <c r="E89" s="17">
        <f>IF(F3="1",SUMIF(Data!A:A,'6'!$A$2,Data!EU:EU),0)</f>
        <v>776422</v>
      </c>
      <c r="F89" s="21">
        <f t="shared" si="4"/>
        <v>3.28</v>
      </c>
    </row>
    <row r="90" spans="1:6" x14ac:dyDescent="0.2">
      <c r="A90" s="19">
        <v>24</v>
      </c>
      <c r="B90" s="180" t="s">
        <v>21</v>
      </c>
      <c r="C90" s="181"/>
      <c r="D90" s="14">
        <f t="shared" si="5"/>
        <v>124080</v>
      </c>
      <c r="E90" s="17">
        <f>IF(F3="1",SUMIF(Data!A:A,'6'!$A$2,Data!EV:EV),0)</f>
        <v>180647</v>
      </c>
      <c r="F90" s="21">
        <f t="shared" si="4"/>
        <v>1.46</v>
      </c>
    </row>
    <row r="91" spans="1:6" x14ac:dyDescent="0.2">
      <c r="A91" s="19">
        <v>25</v>
      </c>
      <c r="B91" s="180" t="s">
        <v>22</v>
      </c>
      <c r="C91" s="181"/>
      <c r="D91" s="14">
        <f t="shared" si="5"/>
        <v>1448784</v>
      </c>
      <c r="E91" s="17">
        <f>IF(F3="1",SUMIF(Data!A:A,'6'!$A$2,Data!EW:EW),0)</f>
        <v>3128718</v>
      </c>
      <c r="F91" s="21">
        <f t="shared" si="4"/>
        <v>2.16</v>
      </c>
    </row>
    <row r="92" spans="1:6" x14ac:dyDescent="0.2">
      <c r="A92" s="19">
        <v>26</v>
      </c>
      <c r="B92" s="180" t="s">
        <v>23</v>
      </c>
      <c r="C92" s="181"/>
      <c r="D92" s="14">
        <f t="shared" si="5"/>
        <v>147808</v>
      </c>
      <c r="E92" s="17">
        <f>IF(F3="1",SUMIF(Data!A:A,'6'!$A$2,Data!EX:EX),0)</f>
        <v>449837</v>
      </c>
      <c r="F92" s="21">
        <f t="shared" si="4"/>
        <v>3.04</v>
      </c>
    </row>
    <row r="93" spans="1:6" x14ac:dyDescent="0.2">
      <c r="A93" s="19">
        <v>28</v>
      </c>
      <c r="B93" s="180" t="s">
        <v>24</v>
      </c>
      <c r="C93" s="181"/>
      <c r="D93" s="14">
        <f t="shared" si="5"/>
        <v>0</v>
      </c>
      <c r="E93" s="17">
        <f>IF(F3="1",SUMIF(Data!A:A,'6'!$A$2,Data!EZ:EZ),0)</f>
        <v>0</v>
      </c>
      <c r="F93" s="21" t="str">
        <f t="shared" si="4"/>
        <v/>
      </c>
    </row>
    <row r="94" spans="1:6" ht="15.75" customHeight="1" thickBot="1" x14ac:dyDescent="0.25">
      <c r="A94" s="22">
        <v>29</v>
      </c>
      <c r="B94" s="184" t="s">
        <v>25</v>
      </c>
      <c r="C94" s="185"/>
      <c r="D94" s="23">
        <f t="shared" si="5"/>
        <v>0</v>
      </c>
      <c r="E94" s="24">
        <f>IF(F3="1",SUMIF(Data!A:A,'6'!$A$2,Data!FA:FA),0)</f>
        <v>0</v>
      </c>
      <c r="F94" s="25" t="str">
        <f t="shared" si="4"/>
        <v/>
      </c>
    </row>
    <row r="95" spans="1:6" x14ac:dyDescent="0.2">
      <c r="B95" s="30" t="s">
        <v>35</v>
      </c>
      <c r="C95" s="30"/>
      <c r="D95" s="59">
        <f>SUM(D67:D94)</f>
        <v>6073151</v>
      </c>
      <c r="E95" s="31">
        <f>SUM(E67:E94)</f>
        <v>15468195</v>
      </c>
      <c r="F95" s="32">
        <f t="shared" si="4"/>
        <v>2.5499999999999998</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IF(F3="1",SUMIF(Data!A:A,'6'!$A$2,Data!AH:AH),0)</f>
        <v>4177566</v>
      </c>
      <c r="F98" s="20">
        <f>IF(OR(E98=0,E98=0),"",ROUND(E98/$D$105,2))</f>
        <v>0.69</v>
      </c>
    </row>
    <row r="99" spans="2:6" x14ac:dyDescent="0.2">
      <c r="B99" s="190" t="s">
        <v>31</v>
      </c>
      <c r="C99" s="191"/>
      <c r="D99" s="36"/>
      <c r="E99" s="17">
        <f>IF(F3="1",SUMIF(Data!A:A,'6'!$A$2,Data!AI:AI),0)</f>
        <v>2702621</v>
      </c>
      <c r="F99" s="21">
        <f t="shared" ref="F99:F104" si="6">IF(OR(E99=0,E99=0),"",ROUND(E99/$D$105,2))</f>
        <v>0.45</v>
      </c>
    </row>
    <row r="100" spans="2:6" x14ac:dyDescent="0.2">
      <c r="B100" s="190" t="s">
        <v>1089</v>
      </c>
      <c r="C100" s="191"/>
      <c r="D100" s="36"/>
      <c r="E100" s="17">
        <f>IF(F3="1",SUMIF(Data!A:A,'6'!$A$2,Data!AJ:AJ),0)</f>
        <v>1034699</v>
      </c>
      <c r="F100" s="21">
        <f t="shared" si="6"/>
        <v>0.17</v>
      </c>
    </row>
    <row r="101" spans="2:6" x14ac:dyDescent="0.2">
      <c r="B101" s="190" t="s">
        <v>1090</v>
      </c>
      <c r="C101" s="191"/>
      <c r="D101" s="36"/>
      <c r="E101" s="17">
        <f>IF(F3="1",SUMIF(Data!A:A,'6'!$A$2,Data!AK:AK),0)</f>
        <v>2526640</v>
      </c>
      <c r="F101" s="21">
        <f t="shared" si="6"/>
        <v>0.42</v>
      </c>
    </row>
    <row r="102" spans="2:6" x14ac:dyDescent="0.2">
      <c r="B102" s="190" t="s">
        <v>1091</v>
      </c>
      <c r="C102" s="191"/>
      <c r="D102" s="36"/>
      <c r="E102" s="17">
        <f>IF(F3="1",SUMIF(Data!A:A,'6'!$A$2,Data!AL:AL),0)</f>
        <v>0</v>
      </c>
      <c r="F102" s="21" t="str">
        <f t="shared" si="6"/>
        <v/>
      </c>
    </row>
    <row r="103" spans="2:6" x14ac:dyDescent="0.2">
      <c r="B103" s="192" t="s">
        <v>34</v>
      </c>
      <c r="C103" s="193"/>
      <c r="D103" s="36"/>
      <c r="E103" s="17">
        <f>IF(F3="1",SUMIF(Data!A:A,'6'!$A$2,Data!AM:AM),0)</f>
        <v>0</v>
      </c>
      <c r="F103" s="21" t="str">
        <f t="shared" si="6"/>
        <v/>
      </c>
    </row>
    <row r="104" spans="2:6" ht="15.75" customHeight="1" thickBot="1" x14ac:dyDescent="0.25">
      <c r="B104" s="186" t="s">
        <v>29</v>
      </c>
      <c r="C104" s="187"/>
      <c r="D104" s="37"/>
      <c r="E104" s="24">
        <f>IF(F3="1",SUMIF(Data!A:A,'6'!$A$2,Data!Q:Q),0)</f>
        <v>2533261</v>
      </c>
      <c r="F104" s="25">
        <f t="shared" si="6"/>
        <v>0.42</v>
      </c>
    </row>
    <row r="105" spans="2:6" x14ac:dyDescent="0.2">
      <c r="B105" s="30" t="s">
        <v>35</v>
      </c>
      <c r="C105" s="30"/>
      <c r="D105" s="34">
        <f>D95</f>
        <v>6073151</v>
      </c>
      <c r="E105" s="31">
        <f>SUM(E98:E104)</f>
        <v>12974787</v>
      </c>
      <c r="F105" s="32">
        <f>IF($D$105=0,"",ROUND(E105/$D$105,2))</f>
        <v>2.14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15468195</v>
      </c>
      <c r="D109" s="15">
        <f>IF(F3="1",SUMIF(Data!$A:$A,$A$2,Data!HJ:HJ),0)</f>
        <v>0</v>
      </c>
      <c r="E109" s="15">
        <f>IF(F3="1",SUMIF(Data!$A:$A,$A$2,Data!IN:IN),0)</f>
        <v>0</v>
      </c>
      <c r="F109" s="47">
        <f>SUM(C109:E109)</f>
        <v>15468195</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2533261</v>
      </c>
      <c r="E117" s="52"/>
      <c r="F117" s="49">
        <f>SUM(C117:E117)</f>
        <v>2533261</v>
      </c>
    </row>
    <row r="118" spans="1:6" x14ac:dyDescent="0.2">
      <c r="B118" s="13" t="s">
        <v>35</v>
      </c>
      <c r="C118" s="4">
        <f>SUM(C109:C116)</f>
        <v>15468195</v>
      </c>
      <c r="D118" s="4">
        <f>SUM(D109:D116)</f>
        <v>0</v>
      </c>
      <c r="E118" s="4">
        <f>SUM(E109:E116)</f>
        <v>0</v>
      </c>
      <c r="F118" s="4">
        <f>SUM(F109:F116)</f>
        <v>15468195</v>
      </c>
    </row>
    <row r="119" spans="1:6" ht="15" thickBot="1" x14ac:dyDescent="0.25"/>
    <row r="120" spans="1:6" ht="15" thickBot="1" x14ac:dyDescent="0.25">
      <c r="B120" s="55" t="s">
        <v>934</v>
      </c>
      <c r="C120" s="53"/>
      <c r="D120" s="53"/>
      <c r="E120" s="53">
        <f>IF(F3="1",SUMIF(Data!A:A,'6'!$A$2,Data!AM:AM),0)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2" width="12.42578125" style="10" bestFit="1" customWidth="1"/>
    <col min="13" max="13" width="12.140625" style="10" bestFit="1" customWidth="1"/>
    <col min="14"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427</v>
      </c>
      <c r="B2" s="58" t="str">
        <f>VLOOKUP(A2,Data!A:G,7,0)</f>
        <v>Brazosport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0</v>
      </c>
      <c r="E5" s="15">
        <f>E36+E67+IFERROR($E$105/$D$105*D5,0)</f>
        <v>0</v>
      </c>
      <c r="F5" s="20" t="str">
        <f>IF(OR(D5=0,E5=0),"",ROUND(E5/D5,2))</f>
        <v/>
      </c>
    </row>
    <row r="6" spans="1:6" x14ac:dyDescent="0.2">
      <c r="A6" s="19">
        <v>2</v>
      </c>
      <c r="B6" s="180" t="s">
        <v>1</v>
      </c>
      <c r="C6" s="181"/>
      <c r="D6" s="14">
        <f t="shared" ref="D6:D32" si="0">D37</f>
        <v>92528</v>
      </c>
      <c r="E6" s="17">
        <f t="shared" ref="E6:E32" si="1">E37+E68+IFERROR($E$105/$D$105*D6,0)</f>
        <v>626912.07699716883</v>
      </c>
      <c r="F6" s="21">
        <f t="shared" ref="F6:F33" si="2">IF(OR(D6=0,E6=0),"",ROUND(E6/D6,2))</f>
        <v>6.78</v>
      </c>
    </row>
    <row r="7" spans="1:6" ht="14.25" customHeight="1" x14ac:dyDescent="0.2">
      <c r="A7" s="19">
        <v>3</v>
      </c>
      <c r="B7" s="180" t="s">
        <v>2</v>
      </c>
      <c r="C7" s="181"/>
      <c r="D7" s="14">
        <f t="shared" si="0"/>
        <v>228288</v>
      </c>
      <c r="E7" s="17">
        <f t="shared" si="1"/>
        <v>1577253.1175160999</v>
      </c>
      <c r="F7" s="21">
        <f t="shared" si="2"/>
        <v>6.91</v>
      </c>
    </row>
    <row r="8" spans="1:6" ht="14.25" customHeight="1" x14ac:dyDescent="0.2">
      <c r="A8" s="19">
        <v>4</v>
      </c>
      <c r="B8" s="180" t="s">
        <v>3</v>
      </c>
      <c r="C8" s="181"/>
      <c r="D8" s="14">
        <f t="shared" si="0"/>
        <v>145456</v>
      </c>
      <c r="E8" s="17">
        <f t="shared" si="1"/>
        <v>1235895.3831888747</v>
      </c>
      <c r="F8" s="21">
        <f t="shared" si="2"/>
        <v>8.5</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432</v>
      </c>
      <c r="E10" s="17">
        <f t="shared" si="1"/>
        <v>2649.5647724232335</v>
      </c>
      <c r="F10" s="21">
        <f t="shared" si="2"/>
        <v>6.13</v>
      </c>
    </row>
    <row r="11" spans="1:6" x14ac:dyDescent="0.2">
      <c r="A11" s="19">
        <v>7</v>
      </c>
      <c r="B11" s="180" t="s">
        <v>6</v>
      </c>
      <c r="C11" s="181"/>
      <c r="D11" s="14">
        <f t="shared" si="0"/>
        <v>73133</v>
      </c>
      <c r="E11" s="17">
        <f t="shared" si="1"/>
        <v>586720.40856858413</v>
      </c>
      <c r="F11" s="21">
        <f t="shared" si="2"/>
        <v>8.02</v>
      </c>
    </row>
    <row r="12" spans="1:6" x14ac:dyDescent="0.2">
      <c r="A12" s="19">
        <v>8</v>
      </c>
      <c r="B12" s="180" t="s">
        <v>7</v>
      </c>
      <c r="C12" s="181"/>
      <c r="D12" s="14">
        <f t="shared" si="0"/>
        <v>89376</v>
      </c>
      <c r="E12" s="17">
        <f t="shared" si="1"/>
        <v>643221.17847245117</v>
      </c>
      <c r="F12" s="21">
        <f t="shared" si="2"/>
        <v>7.2</v>
      </c>
    </row>
    <row r="13" spans="1:6" x14ac:dyDescent="0.2">
      <c r="A13" s="19">
        <v>9</v>
      </c>
      <c r="B13" s="180" t="s">
        <v>8</v>
      </c>
      <c r="C13" s="181"/>
      <c r="D13" s="14">
        <f t="shared" si="0"/>
        <v>40165</v>
      </c>
      <c r="E13" s="17">
        <f t="shared" si="1"/>
        <v>216404.91917680364</v>
      </c>
      <c r="F13" s="21">
        <f t="shared" si="2"/>
        <v>5.39</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106208</v>
      </c>
      <c r="E15" s="17">
        <f t="shared" si="1"/>
        <v>610248.96145723795</v>
      </c>
      <c r="F15" s="21">
        <f t="shared" si="2"/>
        <v>5.75</v>
      </c>
    </row>
    <row r="16" spans="1:6" ht="14.25" customHeight="1" x14ac:dyDescent="0.2">
      <c r="A16" s="19">
        <v>12</v>
      </c>
      <c r="B16" s="180" t="s">
        <v>11</v>
      </c>
      <c r="C16" s="181"/>
      <c r="D16" s="14">
        <f t="shared" si="0"/>
        <v>189552</v>
      </c>
      <c r="E16" s="17">
        <f t="shared" si="1"/>
        <v>1229636.4762554835</v>
      </c>
      <c r="F16" s="21">
        <f t="shared" si="2"/>
        <v>6.49</v>
      </c>
    </row>
    <row r="17" spans="1:6" x14ac:dyDescent="0.2">
      <c r="A17" s="19">
        <v>13</v>
      </c>
      <c r="B17" s="180" t="s">
        <v>12</v>
      </c>
      <c r="C17" s="181"/>
      <c r="D17" s="14">
        <f t="shared" si="0"/>
        <v>11536</v>
      </c>
      <c r="E17" s="17">
        <f t="shared" si="1"/>
        <v>141645.30373767228</v>
      </c>
      <c r="F17" s="21">
        <f t="shared" si="2"/>
        <v>12.28</v>
      </c>
    </row>
    <row r="18" spans="1:6" ht="14.25" customHeight="1" x14ac:dyDescent="0.2">
      <c r="A18" s="19">
        <v>14</v>
      </c>
      <c r="B18" s="180" t="s">
        <v>464</v>
      </c>
      <c r="C18" s="181"/>
      <c r="D18" s="14">
        <f t="shared" si="0"/>
        <v>0</v>
      </c>
      <c r="E18" s="17">
        <f t="shared" si="1"/>
        <v>0</v>
      </c>
      <c r="F18" s="21" t="str">
        <f t="shared" si="2"/>
        <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24996</v>
      </c>
      <c r="E20" s="17">
        <f t="shared" si="1"/>
        <v>234197.09502659988</v>
      </c>
      <c r="F20" s="21">
        <f t="shared" si="2"/>
        <v>9.3699999999999992</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23952</v>
      </c>
      <c r="E22" s="17">
        <f t="shared" si="1"/>
        <v>191061.9801599104</v>
      </c>
      <c r="F22" s="21">
        <f t="shared" si="2"/>
        <v>7.98</v>
      </c>
    </row>
    <row r="23" spans="1:6" x14ac:dyDescent="0.2">
      <c r="A23" s="19">
        <v>19</v>
      </c>
      <c r="B23" s="180" t="s">
        <v>17</v>
      </c>
      <c r="C23" s="181"/>
      <c r="D23" s="14">
        <f t="shared" si="0"/>
        <v>205936</v>
      </c>
      <c r="E23" s="17">
        <f t="shared" si="1"/>
        <v>1243204.4513281274</v>
      </c>
      <c r="F23" s="21">
        <f t="shared" si="2"/>
        <v>6.04</v>
      </c>
    </row>
    <row r="24" spans="1:6" x14ac:dyDescent="0.2">
      <c r="A24" s="19">
        <v>20</v>
      </c>
      <c r="B24" s="180" t="s">
        <v>18</v>
      </c>
      <c r="C24" s="181"/>
      <c r="D24" s="14">
        <f t="shared" si="0"/>
        <v>17744</v>
      </c>
      <c r="E24" s="17">
        <f t="shared" si="1"/>
        <v>178993.64194879134</v>
      </c>
      <c r="F24" s="21">
        <f t="shared" si="2"/>
        <v>10.09</v>
      </c>
    </row>
    <row r="25" spans="1:6" ht="14.25" customHeight="1" x14ac:dyDescent="0.2">
      <c r="A25" s="19">
        <v>21</v>
      </c>
      <c r="B25" s="180" t="s">
        <v>461</v>
      </c>
      <c r="C25" s="181"/>
      <c r="D25" s="14">
        <f t="shared" si="0"/>
        <v>6800</v>
      </c>
      <c r="E25" s="17">
        <f t="shared" si="1"/>
        <v>65316.33438073608</v>
      </c>
      <c r="F25" s="21">
        <f t="shared" si="2"/>
        <v>9.61</v>
      </c>
    </row>
    <row r="26" spans="1:6" x14ac:dyDescent="0.2">
      <c r="A26" s="19">
        <v>22</v>
      </c>
      <c r="B26" s="180" t="s">
        <v>19</v>
      </c>
      <c r="C26" s="181"/>
      <c r="D26" s="14">
        <f t="shared" si="0"/>
        <v>0</v>
      </c>
      <c r="E26" s="17">
        <f t="shared" si="1"/>
        <v>0</v>
      </c>
      <c r="F26" s="21" t="str">
        <f t="shared" si="2"/>
        <v/>
      </c>
    </row>
    <row r="27" spans="1:6" x14ac:dyDescent="0.2">
      <c r="A27" s="19">
        <v>23</v>
      </c>
      <c r="B27" s="180" t="s">
        <v>20</v>
      </c>
      <c r="C27" s="181"/>
      <c r="D27" s="14">
        <f t="shared" si="0"/>
        <v>25552</v>
      </c>
      <c r="E27" s="17">
        <f t="shared" si="1"/>
        <v>200481.29413184832</v>
      </c>
      <c r="F27" s="21">
        <f t="shared" si="2"/>
        <v>7.85</v>
      </c>
    </row>
    <row r="28" spans="1:6" x14ac:dyDescent="0.2">
      <c r="A28" s="19">
        <v>24</v>
      </c>
      <c r="B28" s="180" t="s">
        <v>21</v>
      </c>
      <c r="C28" s="181"/>
      <c r="D28" s="14">
        <f t="shared" si="0"/>
        <v>33320</v>
      </c>
      <c r="E28" s="17">
        <f t="shared" si="1"/>
        <v>200050.83846560682</v>
      </c>
      <c r="F28" s="21">
        <f t="shared" si="2"/>
        <v>6</v>
      </c>
    </row>
    <row r="29" spans="1:6" x14ac:dyDescent="0.2">
      <c r="A29" s="19">
        <v>25</v>
      </c>
      <c r="B29" s="180" t="s">
        <v>22</v>
      </c>
      <c r="C29" s="181"/>
      <c r="D29" s="14">
        <f t="shared" si="0"/>
        <v>231888</v>
      </c>
      <c r="E29" s="17">
        <f t="shared" si="1"/>
        <v>1531529.8239529603</v>
      </c>
      <c r="F29" s="21">
        <f t="shared" si="2"/>
        <v>6.6</v>
      </c>
    </row>
    <row r="30" spans="1:6" x14ac:dyDescent="0.2">
      <c r="A30" s="19">
        <v>26</v>
      </c>
      <c r="B30" s="180" t="s">
        <v>23</v>
      </c>
      <c r="C30" s="181"/>
      <c r="D30" s="14">
        <f t="shared" si="0"/>
        <v>60288</v>
      </c>
      <c r="E30" s="17">
        <f t="shared" si="1"/>
        <v>548691.15046262019</v>
      </c>
      <c r="F30" s="21">
        <f t="shared" si="2"/>
        <v>9.1</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1607150</v>
      </c>
      <c r="E33" s="31">
        <f>SUM(E5:E32)</f>
        <v>11264114</v>
      </c>
      <c r="F33" s="32">
        <f t="shared" si="2"/>
        <v>7.01</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IF(F3="1",SUMIF(Data!A:A,'7'!$A$2,Data!CU:CU),0)</f>
        <v>0</v>
      </c>
      <c r="E36" s="15">
        <f>IF(F3="1",SUMIF(Data!$A:$A,$A$2,Data!IO:IO),0)</f>
        <v>0</v>
      </c>
      <c r="F36" s="20" t="str">
        <f t="shared" ref="F36:F64" si="3">IF(OR(D36=0,E36=0),"",ROUND(E36/D36,2))</f>
        <v/>
      </c>
    </row>
    <row r="37" spans="1:6" x14ac:dyDescent="0.2">
      <c r="A37" s="19">
        <v>2</v>
      </c>
      <c r="B37" s="180" t="s">
        <v>1</v>
      </c>
      <c r="C37" s="181"/>
      <c r="D37" s="14">
        <f>IF(F3="1",SUMIF(Data!A:A,'7'!$A$2,Data!CV:CV),0)</f>
        <v>92528</v>
      </c>
      <c r="E37" s="17">
        <f>IF(F3="1",SUMIF(Data!$A:$A,$A$2,Data!IP:IP),0)</f>
        <v>72921</v>
      </c>
      <c r="F37" s="21">
        <f t="shared" si="3"/>
        <v>0.79</v>
      </c>
    </row>
    <row r="38" spans="1:6" ht="14.25" customHeight="1" x14ac:dyDescent="0.2">
      <c r="A38" s="19">
        <v>3</v>
      </c>
      <c r="B38" s="180" t="s">
        <v>2</v>
      </c>
      <c r="C38" s="181"/>
      <c r="D38" s="14">
        <f>IF(F3="1",SUMIF(Data!A:A,'7'!$A$2,Data!CW:CW),0)</f>
        <v>228288</v>
      </c>
      <c r="E38" s="17">
        <f>IF($F$3="1",SUMIF(Data!$A:$A,$A$2,Data!IQ:IQ),0)</f>
        <v>219942</v>
      </c>
      <c r="F38" s="21">
        <f t="shared" si="3"/>
        <v>0.96</v>
      </c>
    </row>
    <row r="39" spans="1:6" ht="14.25" customHeight="1" x14ac:dyDescent="0.2">
      <c r="A39" s="19">
        <v>4</v>
      </c>
      <c r="B39" s="180" t="s">
        <v>3</v>
      </c>
      <c r="C39" s="181"/>
      <c r="D39" s="14">
        <f>IF(F3="1",SUMIF(Data!A:A,'7'!$A$2,Data!CX:CX),0)</f>
        <v>145456</v>
      </c>
      <c r="E39" s="17">
        <f>IF($F$3="1",SUMIF(Data!$A:$A,$A$2,Data!IR:IR),0)</f>
        <v>302516</v>
      </c>
      <c r="F39" s="21">
        <f t="shared" si="3"/>
        <v>2.08</v>
      </c>
    </row>
    <row r="40" spans="1:6" x14ac:dyDescent="0.2">
      <c r="A40" s="19">
        <v>5</v>
      </c>
      <c r="B40" s="180" t="s">
        <v>4</v>
      </c>
      <c r="C40" s="181"/>
      <c r="D40" s="14">
        <f>IF(F3="1",SUMIF(Data!A:A,'7'!$A$2,Data!CY:CY),0)</f>
        <v>0</v>
      </c>
      <c r="E40" s="17">
        <f>IF($F$3="1",SUMIF(Data!$A:$A,$A$2,Data!IS:IS),0)</f>
        <v>0</v>
      </c>
      <c r="F40" s="21" t="str">
        <f t="shared" si="3"/>
        <v/>
      </c>
    </row>
    <row r="41" spans="1:6" x14ac:dyDescent="0.2">
      <c r="A41" s="19">
        <v>6</v>
      </c>
      <c r="B41" s="180" t="s">
        <v>5</v>
      </c>
      <c r="C41" s="181"/>
      <c r="D41" s="14">
        <f>IF(F3="1",SUMIF(Data!A:A,'7'!$A$2,Data!CZ:CZ),0)</f>
        <v>432</v>
      </c>
      <c r="E41" s="17">
        <f>IF($F$3="1",SUMIF(Data!$A:$A,$A$2,Data!IT:IT),0)</f>
        <v>152</v>
      </c>
      <c r="F41" s="21">
        <f t="shared" si="3"/>
        <v>0.35</v>
      </c>
    </row>
    <row r="42" spans="1:6" x14ac:dyDescent="0.2">
      <c r="A42" s="19">
        <v>7</v>
      </c>
      <c r="B42" s="180" t="s">
        <v>6</v>
      </c>
      <c r="C42" s="181"/>
      <c r="D42" s="14">
        <f>IF(F3="1",SUMIF(Data!A:A,'7'!$A$2,Data!DA:DA),0)</f>
        <v>73133</v>
      </c>
      <c r="E42" s="17">
        <f>IF($F$3="1",SUMIF(Data!$A:$A,$A$2,Data!IU:IU),0)</f>
        <v>46065</v>
      </c>
      <c r="F42" s="21">
        <f t="shared" si="3"/>
        <v>0.63</v>
      </c>
    </row>
    <row r="43" spans="1:6" x14ac:dyDescent="0.2">
      <c r="A43" s="19">
        <v>8</v>
      </c>
      <c r="B43" s="180" t="s">
        <v>7</v>
      </c>
      <c r="C43" s="181"/>
      <c r="D43" s="14">
        <f>IF(F3="1",SUMIF(Data!A:A,'7'!$A$2,Data!DB:DB),0)</f>
        <v>89376</v>
      </c>
      <c r="E43" s="17">
        <f>IF($F$3="1",SUMIF(Data!$A:$A,$A$2,Data!IV:IV),0)</f>
        <v>86640</v>
      </c>
      <c r="F43" s="21">
        <f t="shared" si="3"/>
        <v>0.97</v>
      </c>
    </row>
    <row r="44" spans="1:6" x14ac:dyDescent="0.2">
      <c r="A44" s="19">
        <v>9</v>
      </c>
      <c r="B44" s="180" t="s">
        <v>8</v>
      </c>
      <c r="C44" s="181"/>
      <c r="D44" s="14">
        <f>IF(F3="1",SUMIF(Data!A:A,'7'!$A$2,Data!DC:DC),0)</f>
        <v>40165</v>
      </c>
      <c r="E44" s="17">
        <f>IF($F$3="1",SUMIF(Data!$A:$A,$A$2,Data!IW:IW),0)</f>
        <v>15473</v>
      </c>
      <c r="F44" s="21">
        <f t="shared" si="3"/>
        <v>0.39</v>
      </c>
    </row>
    <row r="45" spans="1:6" x14ac:dyDescent="0.2">
      <c r="A45" s="19">
        <v>10</v>
      </c>
      <c r="B45" s="180" t="s">
        <v>9</v>
      </c>
      <c r="C45" s="181"/>
      <c r="D45" s="14">
        <f>IF(F3="1",SUMIF(Data!A:A,'7'!$A$2,Data!DD:DD),0)</f>
        <v>0</v>
      </c>
      <c r="E45" s="17">
        <f>IF($F$3="1",SUMIF(Data!$A:$A,$A$2,Data!IX:IX),0)</f>
        <v>0</v>
      </c>
      <c r="F45" s="21" t="str">
        <f t="shared" si="3"/>
        <v/>
      </c>
    </row>
    <row r="46" spans="1:6" x14ac:dyDescent="0.2">
      <c r="A46" s="19">
        <v>11</v>
      </c>
      <c r="B46" s="180" t="s">
        <v>10</v>
      </c>
      <c r="C46" s="181"/>
      <c r="D46" s="14">
        <f>IF(F3="1",SUMIF(Data!A:A,'7'!$A$2,Data!DE:DE),0)</f>
        <v>106208</v>
      </c>
      <c r="E46" s="17">
        <f>IF($F$3="1",SUMIF(Data!$A:$A,$A$2,Data!IY:IY),0)</f>
        <v>50432</v>
      </c>
      <c r="F46" s="21">
        <f t="shared" si="3"/>
        <v>0.47</v>
      </c>
    </row>
    <row r="47" spans="1:6" ht="14.25" customHeight="1" x14ac:dyDescent="0.2">
      <c r="A47" s="19">
        <v>12</v>
      </c>
      <c r="B47" s="180" t="s">
        <v>11</v>
      </c>
      <c r="C47" s="181"/>
      <c r="D47" s="14">
        <f>IF(F3="1",SUMIF(Data!A:A,'7'!$A$2,Data!DF:DF),0)</f>
        <v>189552</v>
      </c>
      <c r="E47" s="17">
        <f>IF($F$3="1",SUMIF(Data!$A:$A,$A$2,Data!IZ:IZ),0)</f>
        <v>24793</v>
      </c>
      <c r="F47" s="21">
        <f t="shared" si="3"/>
        <v>0.13</v>
      </c>
    </row>
    <row r="48" spans="1:6" x14ac:dyDescent="0.2">
      <c r="A48" s="19">
        <v>13</v>
      </c>
      <c r="B48" s="180" t="s">
        <v>12</v>
      </c>
      <c r="C48" s="181"/>
      <c r="D48" s="14">
        <f>IF(F3="1",SUMIF(Data!A:A,'7'!$A$2,Data!DG:DG),0)</f>
        <v>11536</v>
      </c>
      <c r="E48" s="17">
        <f>IF($F$3="1",SUMIF(Data!$A:$A,$A$2,Data!JA:JA),0)</f>
        <v>32117</v>
      </c>
      <c r="F48" s="21">
        <f t="shared" si="3"/>
        <v>2.78</v>
      </c>
    </row>
    <row r="49" spans="1:6" ht="14.25" customHeight="1" x14ac:dyDescent="0.2">
      <c r="A49" s="19">
        <v>14</v>
      </c>
      <c r="B49" s="180" t="s">
        <v>464</v>
      </c>
      <c r="C49" s="181"/>
      <c r="D49" s="14">
        <f>IF(F3="1",SUMIF(Data!A:A,'7'!$A$2,Data!DH:DH),0)</f>
        <v>0</v>
      </c>
      <c r="E49" s="17">
        <f>IF($F$3="1",SUMIF(Data!$A:$A,$A$2,Data!JB:JB),0)</f>
        <v>0</v>
      </c>
      <c r="F49" s="21" t="str">
        <f t="shared" si="3"/>
        <v/>
      </c>
    </row>
    <row r="50" spans="1:6" x14ac:dyDescent="0.2">
      <c r="A50" s="19">
        <v>15</v>
      </c>
      <c r="B50" s="180" t="s">
        <v>13</v>
      </c>
      <c r="C50" s="181"/>
      <c r="D50" s="14">
        <f>IF(F3="1",SUMIF(Data!A:A,'7'!$A$2,Data!DI:DI),0)</f>
        <v>0</v>
      </c>
      <c r="E50" s="17">
        <f>IF($F$3="1",SUMIF(Data!$A:$A,$A$2,Data!JC:JC),0)</f>
        <v>0</v>
      </c>
      <c r="F50" s="21" t="str">
        <f t="shared" si="3"/>
        <v/>
      </c>
    </row>
    <row r="51" spans="1:6" x14ac:dyDescent="0.2">
      <c r="A51" s="19">
        <v>16</v>
      </c>
      <c r="B51" s="180" t="s">
        <v>14</v>
      </c>
      <c r="C51" s="181"/>
      <c r="D51" s="14">
        <f>IF(F3="1",SUMIF(Data!A:A,'7'!$A$2,Data!DJ:DJ),0)</f>
        <v>24996</v>
      </c>
      <c r="E51" s="17">
        <f>IF($F$3="1",SUMIF(Data!$A:$A,$A$2,Data!JD:JD),0)</f>
        <v>51922</v>
      </c>
      <c r="F51" s="21">
        <f t="shared" si="3"/>
        <v>2.08</v>
      </c>
    </row>
    <row r="52" spans="1:6" x14ac:dyDescent="0.2">
      <c r="A52" s="19">
        <v>17</v>
      </c>
      <c r="B52" s="180" t="s">
        <v>15</v>
      </c>
      <c r="C52" s="181"/>
      <c r="D52" s="14">
        <f>IF(F3="1",SUMIF(Data!A:A,'7'!$A$2,Data!DK:DK),0)</f>
        <v>0</v>
      </c>
      <c r="E52" s="17">
        <f>IF($F$3="1",SUMIF(Data!$A:$A,$A$2,Data!JE:JE),0)</f>
        <v>0</v>
      </c>
      <c r="F52" s="21" t="str">
        <f t="shared" si="3"/>
        <v/>
      </c>
    </row>
    <row r="53" spans="1:6" x14ac:dyDescent="0.2">
      <c r="A53" s="19">
        <v>18</v>
      </c>
      <c r="B53" s="180" t="s">
        <v>16</v>
      </c>
      <c r="C53" s="181"/>
      <c r="D53" s="14">
        <f>IF(F3="1",SUMIF(Data!A:A,'7'!$A$2,Data!DL:DL),0)</f>
        <v>23952</v>
      </c>
      <c r="E53" s="17">
        <f>IF($F$3="1",SUMIF(Data!$A:$A,$A$2,Data!JF:JF),0)</f>
        <v>6065</v>
      </c>
      <c r="F53" s="21">
        <f t="shared" si="3"/>
        <v>0.25</v>
      </c>
    </row>
    <row r="54" spans="1:6" x14ac:dyDescent="0.2">
      <c r="A54" s="19">
        <v>19</v>
      </c>
      <c r="B54" s="180" t="s">
        <v>17</v>
      </c>
      <c r="C54" s="181"/>
      <c r="D54" s="14">
        <f>IF(F3="1",SUMIF(Data!A:A,'7'!$A$2,Data!DM:DM),0)</f>
        <v>205936</v>
      </c>
      <c r="E54" s="17">
        <f>IF($F$3="1",SUMIF(Data!$A:$A,$A$2,Data!JG:JG),0)</f>
        <v>43599</v>
      </c>
      <c r="F54" s="21">
        <f t="shared" si="3"/>
        <v>0.21</v>
      </c>
    </row>
    <row r="55" spans="1:6" x14ac:dyDescent="0.2">
      <c r="A55" s="19">
        <v>20</v>
      </c>
      <c r="B55" s="180" t="s">
        <v>18</v>
      </c>
      <c r="C55" s="181"/>
      <c r="D55" s="14">
        <f>IF(F3="1",SUMIF(Data!A:A,'7'!$A$2,Data!DN:DN),0)</f>
        <v>17744</v>
      </c>
      <c r="E55" s="17">
        <f>IF($F$3="1",SUMIF(Data!$A:$A,$A$2,Data!JH:JH),0)</f>
        <v>53486</v>
      </c>
      <c r="F55" s="21">
        <f t="shared" si="3"/>
        <v>3.01</v>
      </c>
    </row>
    <row r="56" spans="1:6" ht="14.25" customHeight="1" x14ac:dyDescent="0.2">
      <c r="A56" s="19">
        <v>21</v>
      </c>
      <c r="B56" s="180" t="s">
        <v>461</v>
      </c>
      <c r="C56" s="181"/>
      <c r="D56" s="14">
        <f>IF(F3="1",SUMIF(Data!A:A,'7'!$A$2,Data!DO:DO),0)</f>
        <v>6800</v>
      </c>
      <c r="E56" s="17">
        <f>IF($F$3="1",SUMIF(Data!$A:$A,$A$2,Data!JI:JI),0)</f>
        <v>17438</v>
      </c>
      <c r="F56" s="21">
        <f t="shared" si="3"/>
        <v>2.56</v>
      </c>
    </row>
    <row r="57" spans="1:6" x14ac:dyDescent="0.2">
      <c r="A57" s="19">
        <v>22</v>
      </c>
      <c r="B57" s="180" t="s">
        <v>19</v>
      </c>
      <c r="C57" s="181"/>
      <c r="D57" s="14">
        <f>IF(F3="1",SUMIF(Data!A:A,'7'!$A$2,Data!DP:DP),0)</f>
        <v>0</v>
      </c>
      <c r="E57" s="17">
        <f>IF($F$3="1",SUMIF(Data!$A:$A,$A$2,Data!JJ:JJ),0)</f>
        <v>0</v>
      </c>
      <c r="F57" s="21" t="str">
        <f t="shared" si="3"/>
        <v/>
      </c>
    </row>
    <row r="58" spans="1:6" x14ac:dyDescent="0.2">
      <c r="A58" s="19">
        <v>23</v>
      </c>
      <c r="B58" s="180" t="s">
        <v>20</v>
      </c>
      <c r="C58" s="181"/>
      <c r="D58" s="14">
        <f>IF(F3="1",SUMIF(Data!A:A,'7'!$A$2,Data!DQ:DQ),0)</f>
        <v>25552</v>
      </c>
      <c r="E58" s="17">
        <f>IF($F$3="1",SUMIF(Data!$A:$A,$A$2,Data!JK:JK),0)</f>
        <v>6438</v>
      </c>
      <c r="F58" s="21">
        <f t="shared" si="3"/>
        <v>0.25</v>
      </c>
    </row>
    <row r="59" spans="1:6" x14ac:dyDescent="0.2">
      <c r="A59" s="19">
        <v>24</v>
      </c>
      <c r="B59" s="180" t="s">
        <v>21</v>
      </c>
      <c r="C59" s="181"/>
      <c r="D59" s="14">
        <f>IF(F3="1",SUMIF(Data!A:A,'7'!$A$2,Data!DR:DR),0)</f>
        <v>33320</v>
      </c>
      <c r="E59" s="17">
        <f>IF($F$3="1",SUMIF(Data!$A:$A,$A$2,Data!JL:JL),0)</f>
        <v>4789</v>
      </c>
      <c r="F59" s="21">
        <f t="shared" si="3"/>
        <v>0.14000000000000001</v>
      </c>
    </row>
    <row r="60" spans="1:6" x14ac:dyDescent="0.2">
      <c r="A60" s="19">
        <v>25</v>
      </c>
      <c r="B60" s="180" t="s">
        <v>22</v>
      </c>
      <c r="C60" s="181"/>
      <c r="D60" s="14">
        <f>IF(F3="1",SUMIF(Data!A:A,'7'!$A$2,Data!DS:DS),0)</f>
        <v>231888</v>
      </c>
      <c r="E60" s="17">
        <f>IF($F$3="1",SUMIF(Data!$A:$A,$A$2,Data!JM:JM),0)</f>
        <v>59184</v>
      </c>
      <c r="F60" s="21">
        <f t="shared" si="3"/>
        <v>0.26</v>
      </c>
    </row>
    <row r="61" spans="1:6" x14ac:dyDescent="0.2">
      <c r="A61" s="19">
        <v>26</v>
      </c>
      <c r="B61" s="180" t="s">
        <v>23</v>
      </c>
      <c r="C61" s="181"/>
      <c r="D61" s="14">
        <f>IF(F3="1",SUMIF(Data!A:A,'7'!$A$2,Data!DT:DT),0)</f>
        <v>60288</v>
      </c>
      <c r="E61" s="17">
        <f>IF($F$3="1",SUMIF(Data!$A:$A,$A$2,Data!JN:JN),0)</f>
        <v>66115</v>
      </c>
      <c r="F61" s="21">
        <f t="shared" si="3"/>
        <v>1.1000000000000001</v>
      </c>
    </row>
    <row r="62" spans="1:6" x14ac:dyDescent="0.2">
      <c r="A62" s="19">
        <v>28</v>
      </c>
      <c r="B62" s="180" t="s">
        <v>24</v>
      </c>
      <c r="C62" s="181"/>
      <c r="D62" s="14">
        <f>IF(F3="1",SUMIF(Data!A:A,'7'!$A$2,Data!DV:DV),0)</f>
        <v>0</v>
      </c>
      <c r="E62" s="17">
        <f>IF($F$3="1",SUMIF(Data!$A:$A,$A$2,Data!JP:JP),0)</f>
        <v>0</v>
      </c>
      <c r="F62" s="21" t="str">
        <f t="shared" si="3"/>
        <v/>
      </c>
    </row>
    <row r="63" spans="1:6" ht="15.75" customHeight="1" thickBot="1" x14ac:dyDescent="0.25">
      <c r="A63" s="22">
        <v>29</v>
      </c>
      <c r="B63" s="184" t="s">
        <v>25</v>
      </c>
      <c r="C63" s="185"/>
      <c r="D63" s="23">
        <f>IF(F3="1",SUMIF(Data!A:A,'7'!$A$2,Data!DW:DW),0)</f>
        <v>0</v>
      </c>
      <c r="E63" s="24">
        <f>IF($F$3="1",SUMIF(Data!$A:$A,$A$2,Data!JQ:JQ),0)</f>
        <v>0</v>
      </c>
      <c r="F63" s="25" t="str">
        <f t="shared" si="3"/>
        <v/>
      </c>
    </row>
    <row r="64" spans="1:6" x14ac:dyDescent="0.2">
      <c r="B64" s="30" t="s">
        <v>35</v>
      </c>
      <c r="C64" s="30"/>
      <c r="D64" s="59">
        <f>SUM(D36:D63)</f>
        <v>1607150</v>
      </c>
      <c r="E64" s="31">
        <f>SUM(E36:E63)</f>
        <v>1160087</v>
      </c>
      <c r="F64" s="32">
        <f t="shared" si="3"/>
        <v>0.72</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0</v>
      </c>
      <c r="E67" s="15">
        <f>IF(F3="1",SUMIF(Data!A:A,'7'!$A$2,Data!DY:DY),0)</f>
        <v>0</v>
      </c>
      <c r="F67" s="20" t="str">
        <f t="shared" ref="F67:F95" si="4">IF(OR(D67=0,E67=0),"",ROUND(E67/D67,2))</f>
        <v/>
      </c>
    </row>
    <row r="68" spans="1:6" x14ac:dyDescent="0.2">
      <c r="A68" s="19">
        <v>2</v>
      </c>
      <c r="B68" s="180" t="s">
        <v>1</v>
      </c>
      <c r="C68" s="181"/>
      <c r="D68" s="14">
        <f t="shared" ref="D68:D94" si="5">D37</f>
        <v>92528</v>
      </c>
      <c r="E68" s="17">
        <f>IF(F3="1",SUMIF(Data!A:A,'7'!$A$2,Data!DZ:DZ),0)</f>
        <v>246086</v>
      </c>
      <c r="F68" s="21">
        <f t="shared" si="4"/>
        <v>2.66</v>
      </c>
    </row>
    <row r="69" spans="1:6" ht="14.25" customHeight="1" x14ac:dyDescent="0.2">
      <c r="A69" s="19">
        <v>3</v>
      </c>
      <c r="B69" s="180" t="s">
        <v>2</v>
      </c>
      <c r="C69" s="181"/>
      <c r="D69" s="14">
        <f t="shared" si="5"/>
        <v>228288</v>
      </c>
      <c r="E69" s="17">
        <f>IF(F3="1",SUMIF(Data!A:A,'7'!$A$2,Data!EA:EA),0)</f>
        <v>597638</v>
      </c>
      <c r="F69" s="21">
        <f t="shared" si="4"/>
        <v>2.62</v>
      </c>
    </row>
    <row r="70" spans="1:6" ht="14.25" customHeight="1" x14ac:dyDescent="0.2">
      <c r="A70" s="19">
        <v>4</v>
      </c>
      <c r="B70" s="180" t="s">
        <v>3</v>
      </c>
      <c r="C70" s="181"/>
      <c r="D70" s="14">
        <f t="shared" si="5"/>
        <v>145456</v>
      </c>
      <c r="E70" s="17">
        <f>IF(F3="1",SUMIF(Data!A:A,'7'!$A$2,Data!EB:EB),0)</f>
        <v>449346</v>
      </c>
      <c r="F70" s="21">
        <f t="shared" si="4"/>
        <v>3.09</v>
      </c>
    </row>
    <row r="71" spans="1:6" x14ac:dyDescent="0.2">
      <c r="A71" s="19">
        <v>5</v>
      </c>
      <c r="B71" s="180" t="s">
        <v>4</v>
      </c>
      <c r="C71" s="181"/>
      <c r="D71" s="14">
        <f t="shared" si="5"/>
        <v>0</v>
      </c>
      <c r="E71" s="17">
        <f>IF(F3="1",SUMIF(Data!A:A,'7'!$A$2,Data!EC:EC),0)</f>
        <v>0</v>
      </c>
      <c r="F71" s="21" t="str">
        <f t="shared" si="4"/>
        <v/>
      </c>
    </row>
    <row r="72" spans="1:6" x14ac:dyDescent="0.2">
      <c r="A72" s="19">
        <v>6</v>
      </c>
      <c r="B72" s="180" t="s">
        <v>5</v>
      </c>
      <c r="C72" s="181"/>
      <c r="D72" s="14">
        <f t="shared" si="5"/>
        <v>432</v>
      </c>
      <c r="E72" s="17">
        <f>IF(F3="1",SUMIF(Data!A:A,'7'!$A$2,Data!ED:ED),0)</f>
        <v>1060</v>
      </c>
      <c r="F72" s="21">
        <f t="shared" si="4"/>
        <v>2.4500000000000002</v>
      </c>
    </row>
    <row r="73" spans="1:6" x14ac:dyDescent="0.2">
      <c r="A73" s="19">
        <v>7</v>
      </c>
      <c r="B73" s="180" t="s">
        <v>6</v>
      </c>
      <c r="C73" s="181"/>
      <c r="D73" s="14">
        <f t="shared" si="5"/>
        <v>73133</v>
      </c>
      <c r="E73" s="17">
        <f>IF(F3="1",SUMIF(Data!A:A,'7'!$A$2,Data!EE:EE),0)</f>
        <v>297291</v>
      </c>
      <c r="F73" s="21">
        <f t="shared" si="4"/>
        <v>4.07</v>
      </c>
    </row>
    <row r="74" spans="1:6" x14ac:dyDescent="0.2">
      <c r="A74" s="19">
        <v>8</v>
      </c>
      <c r="B74" s="180" t="s">
        <v>7</v>
      </c>
      <c r="C74" s="181"/>
      <c r="D74" s="14">
        <f t="shared" si="5"/>
        <v>89376</v>
      </c>
      <c r="E74" s="17">
        <f>IF(F3="1",SUMIF(Data!A:A,'7'!$A$2,Data!EF:EF),0)</f>
        <v>259165</v>
      </c>
      <c r="F74" s="21">
        <f t="shared" si="4"/>
        <v>2.9</v>
      </c>
    </row>
    <row r="75" spans="1:6" x14ac:dyDescent="0.2">
      <c r="A75" s="19">
        <v>9</v>
      </c>
      <c r="B75" s="180" t="s">
        <v>8</v>
      </c>
      <c r="C75" s="181"/>
      <c r="D75" s="14">
        <f t="shared" si="5"/>
        <v>40165</v>
      </c>
      <c r="E75" s="17">
        <f>IF(F3="1",SUMIF(Data!A:A,'7'!$A$2,Data!EG:EG),0)</f>
        <v>67275</v>
      </c>
      <c r="F75" s="21">
        <f t="shared" si="4"/>
        <v>1.67</v>
      </c>
    </row>
    <row r="76" spans="1:6" x14ac:dyDescent="0.2">
      <c r="A76" s="19">
        <v>10</v>
      </c>
      <c r="B76" s="180" t="s">
        <v>9</v>
      </c>
      <c r="C76" s="181"/>
      <c r="D76" s="14">
        <f t="shared" si="5"/>
        <v>0</v>
      </c>
      <c r="E76" s="17">
        <f>IF(F3="1",SUMIF(Data!A:A,'7'!$A$2,Data!EH:EH),0)</f>
        <v>0</v>
      </c>
      <c r="F76" s="21" t="str">
        <f t="shared" si="4"/>
        <v/>
      </c>
    </row>
    <row r="77" spans="1:6" x14ac:dyDescent="0.2">
      <c r="A77" s="19">
        <v>11</v>
      </c>
      <c r="B77" s="180" t="s">
        <v>10</v>
      </c>
      <c r="C77" s="181"/>
      <c r="D77" s="14">
        <f t="shared" si="5"/>
        <v>106208</v>
      </c>
      <c r="E77" s="17">
        <f>IF(F3="1",SUMIF(Data!A:A,'7'!$A$2,Data!EI:EI),0)</f>
        <v>206389</v>
      </c>
      <c r="F77" s="21">
        <f t="shared" si="4"/>
        <v>1.94</v>
      </c>
    </row>
    <row r="78" spans="1:6" ht="14.25" customHeight="1" x14ac:dyDescent="0.2">
      <c r="A78" s="19">
        <v>12</v>
      </c>
      <c r="B78" s="180" t="s">
        <v>11</v>
      </c>
      <c r="C78" s="181"/>
      <c r="D78" s="14">
        <f t="shared" si="5"/>
        <v>189552</v>
      </c>
      <c r="E78" s="17">
        <f>IF(F3="1",SUMIF(Data!A:A,'7'!$A$2,Data!EJ:EJ),0)</f>
        <v>574072</v>
      </c>
      <c r="F78" s="21">
        <f t="shared" si="4"/>
        <v>3.03</v>
      </c>
    </row>
    <row r="79" spans="1:6" x14ac:dyDescent="0.2">
      <c r="A79" s="19">
        <v>13</v>
      </c>
      <c r="B79" s="180" t="s">
        <v>12</v>
      </c>
      <c r="C79" s="181"/>
      <c r="D79" s="14">
        <f t="shared" si="5"/>
        <v>11536</v>
      </c>
      <c r="E79" s="17">
        <f>IF(F3="1",SUMIF(Data!A:A,'7'!$A$2,Data!EK:EK),0)</f>
        <v>71140</v>
      </c>
      <c r="F79" s="21">
        <f t="shared" si="4"/>
        <v>6.17</v>
      </c>
    </row>
    <row r="80" spans="1:6" ht="14.25" customHeight="1" x14ac:dyDescent="0.2">
      <c r="A80" s="19">
        <v>14</v>
      </c>
      <c r="B80" s="180" t="s">
        <v>464</v>
      </c>
      <c r="C80" s="181"/>
      <c r="D80" s="14">
        <f t="shared" si="5"/>
        <v>0</v>
      </c>
      <c r="E80" s="17">
        <f>IF(F3="1",SUMIF(Data!A:A,'7'!$A$2,Data!EL:EL),0)</f>
        <v>0</v>
      </c>
      <c r="F80" s="21" t="str">
        <f t="shared" si="4"/>
        <v/>
      </c>
    </row>
    <row r="81" spans="1:6" x14ac:dyDescent="0.2">
      <c r="A81" s="19">
        <v>15</v>
      </c>
      <c r="B81" s="180" t="s">
        <v>13</v>
      </c>
      <c r="C81" s="181"/>
      <c r="D81" s="14">
        <f t="shared" si="5"/>
        <v>0</v>
      </c>
      <c r="E81" s="17">
        <f>IF(F3="1",SUMIF(Data!A:A,'7'!$A$2,Data!EM:EM),0)</f>
        <v>0</v>
      </c>
      <c r="F81" s="21" t="str">
        <f t="shared" si="4"/>
        <v/>
      </c>
    </row>
    <row r="82" spans="1:6" x14ac:dyDescent="0.2">
      <c r="A82" s="19">
        <v>16</v>
      </c>
      <c r="B82" s="180" t="s">
        <v>14</v>
      </c>
      <c r="C82" s="181"/>
      <c r="D82" s="14">
        <f t="shared" si="5"/>
        <v>24996</v>
      </c>
      <c r="E82" s="17">
        <f>IF(F3="1",SUMIF(Data!A:A,'7'!$A$2,Data!EN:EN),0)</f>
        <v>99096</v>
      </c>
      <c r="F82" s="21">
        <f t="shared" si="4"/>
        <v>3.96</v>
      </c>
    </row>
    <row r="83" spans="1:6" x14ac:dyDescent="0.2">
      <c r="A83" s="19">
        <v>17</v>
      </c>
      <c r="B83" s="180" t="s">
        <v>15</v>
      </c>
      <c r="C83" s="181"/>
      <c r="D83" s="14">
        <f t="shared" si="5"/>
        <v>0</v>
      </c>
      <c r="E83" s="17">
        <f>IF(F3="1",SUMIF(Data!A:A,'7'!$A$2,Data!EO:EO),0)</f>
        <v>0</v>
      </c>
      <c r="F83" s="21" t="str">
        <f t="shared" si="4"/>
        <v/>
      </c>
    </row>
    <row r="84" spans="1:6" x14ac:dyDescent="0.2">
      <c r="A84" s="19">
        <v>18</v>
      </c>
      <c r="B84" s="180" t="s">
        <v>16</v>
      </c>
      <c r="C84" s="181"/>
      <c r="D84" s="14">
        <f t="shared" si="5"/>
        <v>23952</v>
      </c>
      <c r="E84" s="17">
        <f>IF(F3="1",SUMIF(Data!A:A,'7'!$A$2,Data!EP:EP),0)</f>
        <v>105292</v>
      </c>
      <c r="F84" s="21">
        <f t="shared" si="4"/>
        <v>4.4000000000000004</v>
      </c>
    </row>
    <row r="85" spans="1:6" x14ac:dyDescent="0.2">
      <c r="A85" s="19">
        <v>19</v>
      </c>
      <c r="B85" s="180" t="s">
        <v>17</v>
      </c>
      <c r="C85" s="181"/>
      <c r="D85" s="14">
        <f t="shared" si="5"/>
        <v>205936</v>
      </c>
      <c r="E85" s="17">
        <f>IF(F3="1",SUMIF(Data!A:A,'7'!$A$2,Data!EQ:EQ),0)</f>
        <v>514313</v>
      </c>
      <c r="F85" s="21">
        <f t="shared" si="4"/>
        <v>2.5</v>
      </c>
    </row>
    <row r="86" spans="1:6" x14ac:dyDescent="0.2">
      <c r="A86" s="19">
        <v>20</v>
      </c>
      <c r="B86" s="180" t="s">
        <v>18</v>
      </c>
      <c r="C86" s="181"/>
      <c r="D86" s="14">
        <f t="shared" si="5"/>
        <v>17744</v>
      </c>
      <c r="E86" s="17">
        <f>IF(F3="1",SUMIF(Data!A:A,'7'!$A$2,Data!ER:ER),0)</f>
        <v>66461</v>
      </c>
      <c r="F86" s="21">
        <f t="shared" si="4"/>
        <v>3.75</v>
      </c>
    </row>
    <row r="87" spans="1:6" ht="14.25" customHeight="1" x14ac:dyDescent="0.2">
      <c r="A87" s="19">
        <v>21</v>
      </c>
      <c r="B87" s="180" t="s">
        <v>461</v>
      </c>
      <c r="C87" s="181"/>
      <c r="D87" s="14">
        <f t="shared" si="5"/>
        <v>6800</v>
      </c>
      <c r="E87" s="17">
        <f>IF(F3="1",SUMIF(Data!A:A,'7'!$A$2,Data!ES:ES),0)</f>
        <v>25250</v>
      </c>
      <c r="F87" s="21">
        <f t="shared" si="4"/>
        <v>3.71</v>
      </c>
    </row>
    <row r="88" spans="1:6" x14ac:dyDescent="0.2">
      <c r="A88" s="19">
        <v>22</v>
      </c>
      <c r="B88" s="180" t="s">
        <v>19</v>
      </c>
      <c r="C88" s="181"/>
      <c r="D88" s="14">
        <f t="shared" si="5"/>
        <v>0</v>
      </c>
      <c r="E88" s="17">
        <f>IF(F3="1",SUMIF(Data!A:A,'7'!$A$2,Data!ET:ET),0)</f>
        <v>0</v>
      </c>
      <c r="F88" s="21" t="str">
        <f t="shared" si="4"/>
        <v/>
      </c>
    </row>
    <row r="89" spans="1:6" x14ac:dyDescent="0.2">
      <c r="A89" s="19">
        <v>23</v>
      </c>
      <c r="B89" s="180" t="s">
        <v>20</v>
      </c>
      <c r="C89" s="181"/>
      <c r="D89" s="14">
        <f t="shared" si="5"/>
        <v>25552</v>
      </c>
      <c r="E89" s="17">
        <f>IF(F3="1",SUMIF(Data!A:A,'7'!$A$2,Data!EU:EU),0)</f>
        <v>109014</v>
      </c>
      <c r="F89" s="21">
        <f t="shared" si="4"/>
        <v>4.2699999999999996</v>
      </c>
    </row>
    <row r="90" spans="1:6" x14ac:dyDescent="0.2">
      <c r="A90" s="19">
        <v>24</v>
      </c>
      <c r="B90" s="180" t="s">
        <v>21</v>
      </c>
      <c r="C90" s="181"/>
      <c r="D90" s="14">
        <f t="shared" si="5"/>
        <v>33320</v>
      </c>
      <c r="E90" s="17">
        <f>IF(F3="1",SUMIF(Data!A:A,'7'!$A$2,Data!EV:EV),0)</f>
        <v>84383</v>
      </c>
      <c r="F90" s="21">
        <f t="shared" si="4"/>
        <v>2.5299999999999998</v>
      </c>
    </row>
    <row r="91" spans="1:6" x14ac:dyDescent="0.2">
      <c r="A91" s="19">
        <v>25</v>
      </c>
      <c r="B91" s="180" t="s">
        <v>22</v>
      </c>
      <c r="C91" s="181"/>
      <c r="D91" s="14">
        <f t="shared" si="5"/>
        <v>231888</v>
      </c>
      <c r="E91" s="17">
        <f>IF(F3="1",SUMIF(Data!A:A,'7'!$A$2,Data!EW:EW),0)</f>
        <v>700693</v>
      </c>
      <c r="F91" s="21">
        <f t="shared" si="4"/>
        <v>3.02</v>
      </c>
    </row>
    <row r="92" spans="1:6" x14ac:dyDescent="0.2">
      <c r="A92" s="19">
        <v>26</v>
      </c>
      <c r="B92" s="180" t="s">
        <v>23</v>
      </c>
      <c r="C92" s="181"/>
      <c r="D92" s="14">
        <f t="shared" si="5"/>
        <v>60288</v>
      </c>
      <c r="E92" s="17">
        <f>IF(F3="1",SUMIF(Data!A:A,'7'!$A$2,Data!EX:EX),0)</f>
        <v>281956</v>
      </c>
      <c r="F92" s="21">
        <f t="shared" si="4"/>
        <v>4.68</v>
      </c>
    </row>
    <row r="93" spans="1:6" x14ac:dyDescent="0.2">
      <c r="A93" s="19">
        <v>28</v>
      </c>
      <c r="B93" s="180" t="s">
        <v>24</v>
      </c>
      <c r="C93" s="181"/>
      <c r="D93" s="14">
        <f t="shared" si="5"/>
        <v>0</v>
      </c>
      <c r="E93" s="17">
        <f>IF(F3="1",SUMIF(Data!A:A,'7'!$A$2,Data!EZ:EZ),0)</f>
        <v>0</v>
      </c>
      <c r="F93" s="21" t="str">
        <f t="shared" si="4"/>
        <v/>
      </c>
    </row>
    <row r="94" spans="1:6" ht="15.75" customHeight="1" thickBot="1" x14ac:dyDescent="0.25">
      <c r="A94" s="22">
        <v>29</v>
      </c>
      <c r="B94" s="184" t="s">
        <v>25</v>
      </c>
      <c r="C94" s="185"/>
      <c r="D94" s="23">
        <f t="shared" si="5"/>
        <v>0</v>
      </c>
      <c r="E94" s="24">
        <f>IF(F3="1",SUMIF(Data!A:A,'7'!$A$2,Data!FA:FA),0)</f>
        <v>0</v>
      </c>
      <c r="F94" s="25" t="str">
        <f t="shared" si="4"/>
        <v/>
      </c>
    </row>
    <row r="95" spans="1:6" x14ac:dyDescent="0.2">
      <c r="B95" s="30" t="s">
        <v>35</v>
      </c>
      <c r="C95" s="30"/>
      <c r="D95" s="59">
        <f>SUM(D67:D94)</f>
        <v>1607150</v>
      </c>
      <c r="E95" s="31">
        <f>SUM(E67:E94)</f>
        <v>4755920</v>
      </c>
      <c r="F95" s="32">
        <f t="shared" si="4"/>
        <v>2.96</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IF(F3="1",SUMIF(Data!A:A,'7'!$A$2,Data!AH:AH),0)</f>
        <v>2845944</v>
      </c>
      <c r="F98" s="20">
        <f>IF(OR(E98=0,E98=0),"",ROUND(E98/$D$105,2))</f>
        <v>1.77</v>
      </c>
    </row>
    <row r="99" spans="2:6" x14ac:dyDescent="0.2">
      <c r="B99" s="190" t="s">
        <v>31</v>
      </c>
      <c r="C99" s="191"/>
      <c r="D99" s="36"/>
      <c r="E99" s="17">
        <f>IF(F3="1",SUMIF(Data!A:A,'7'!$A$2,Data!AI:AI),0)</f>
        <v>1127539</v>
      </c>
      <c r="F99" s="21">
        <f t="shared" ref="F99:F104" si="6">IF(OR(E99=0,E99=0),"",ROUND(E99/$D$105,2))</f>
        <v>0.7</v>
      </c>
    </row>
    <row r="100" spans="2:6" x14ac:dyDescent="0.2">
      <c r="B100" s="190" t="s">
        <v>1089</v>
      </c>
      <c r="C100" s="191"/>
      <c r="D100" s="36"/>
      <c r="E100" s="17">
        <f>IF(F3="1",SUMIF(Data!A:A,'7'!$A$2,Data!AJ:AJ),0)</f>
        <v>612571</v>
      </c>
      <c r="F100" s="21">
        <f t="shared" si="6"/>
        <v>0.38</v>
      </c>
    </row>
    <row r="101" spans="2:6" x14ac:dyDescent="0.2">
      <c r="B101" s="190" t="s">
        <v>1090</v>
      </c>
      <c r="C101" s="191"/>
      <c r="D101" s="36"/>
      <c r="E101" s="17">
        <f>IF(F3="1",SUMIF(Data!A:A,'7'!$A$2,Data!AK:AK),0)</f>
        <v>326016</v>
      </c>
      <c r="F101" s="21">
        <f t="shared" si="6"/>
        <v>0.2</v>
      </c>
    </row>
    <row r="102" spans="2:6" x14ac:dyDescent="0.2">
      <c r="B102" s="190" t="s">
        <v>1091</v>
      </c>
      <c r="C102" s="191"/>
      <c r="D102" s="36"/>
      <c r="E102" s="17">
        <f>IF(F3="1",SUMIF(Data!A:A,'7'!$A$2,Data!AL:AL),0)</f>
        <v>0</v>
      </c>
      <c r="F102" s="21" t="str">
        <f t="shared" si="6"/>
        <v/>
      </c>
    </row>
    <row r="103" spans="2:6" x14ac:dyDescent="0.2">
      <c r="B103" s="192" t="s">
        <v>34</v>
      </c>
      <c r="C103" s="193"/>
      <c r="D103" s="36"/>
      <c r="E103" s="17">
        <f>IF(F3="1",SUMIF(Data!A:A,'7'!$A$2,Data!AM:AM),0)</f>
        <v>0</v>
      </c>
      <c r="F103" s="21" t="str">
        <f t="shared" si="6"/>
        <v/>
      </c>
    </row>
    <row r="104" spans="2:6" ht="15.75" customHeight="1" thickBot="1" x14ac:dyDescent="0.25">
      <c r="B104" s="186" t="s">
        <v>29</v>
      </c>
      <c r="C104" s="187"/>
      <c r="D104" s="37"/>
      <c r="E104" s="24">
        <f>IF(F3="1",SUMIF(Data!A:A,'7'!$A$2,Data!Q:Q),0)</f>
        <v>436037</v>
      </c>
      <c r="F104" s="25">
        <f t="shared" si="6"/>
        <v>0.27</v>
      </c>
    </row>
    <row r="105" spans="2:6" x14ac:dyDescent="0.2">
      <c r="B105" s="30" t="s">
        <v>35</v>
      </c>
      <c r="C105" s="30"/>
      <c r="D105" s="34">
        <f>D95</f>
        <v>1607150</v>
      </c>
      <c r="E105" s="31">
        <f>SUM(E98:E104)</f>
        <v>5348107</v>
      </c>
      <c r="F105" s="32">
        <f>IF($D$105=0,"",ROUND(E105/$D$105,2))</f>
        <v>3.33</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4755920</v>
      </c>
      <c r="D109" s="15">
        <f>IF(F3="1",SUMIF(Data!$A:$A,$A$2,Data!HJ:HJ),0)</f>
        <v>0</v>
      </c>
      <c r="E109" s="15">
        <f>IF(F3="1",SUMIF(Data!$A:$A,$A$2,Data!IN:IN),0)</f>
        <v>0</v>
      </c>
      <c r="F109" s="47">
        <f>SUM(C109:E109)</f>
        <v>4755920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436037</v>
      </c>
      <c r="E117" s="52"/>
      <c r="F117" s="49">
        <f>SUM(C117:E117)</f>
        <v>436037</v>
      </c>
    </row>
    <row r="118" spans="1:6" x14ac:dyDescent="0.2">
      <c r="B118" s="13" t="s">
        <v>35</v>
      </c>
      <c r="C118" s="4">
        <f>SUM(C109:C116)</f>
        <v>4755920</v>
      </c>
      <c r="D118" s="4">
        <f>SUM(D109:D116)</f>
        <v>0</v>
      </c>
      <c r="E118" s="4">
        <f>SUM(E109:E116)</f>
        <v>0</v>
      </c>
      <c r="F118" s="4">
        <f>SUM(F109:F116)</f>
        <v>4755920</v>
      </c>
    </row>
    <row r="119" spans="1:6" ht="15" thickBot="1" x14ac:dyDescent="0.25"/>
    <row r="120" spans="1:6" ht="15" thickBot="1" x14ac:dyDescent="0.25">
      <c r="B120" s="55" t="s">
        <v>934</v>
      </c>
      <c r="C120" s="53"/>
      <c r="D120" s="53"/>
      <c r="E120" s="53">
        <f>IF(F3="1",SUMIF(Data!A:A,'7'!$A$2,Data!AM:AM),0)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419</v>
      </c>
      <c r="B2" s="58" t="str">
        <f>VLOOKUP(A2,Data!A:G,7,0)</f>
        <v>Central Texas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48908</v>
      </c>
      <c r="E5" s="15">
        <f>E36+E67+IFERROR($E$105/$D$105*D5,0)</f>
        <v>253123.62411930147</v>
      </c>
      <c r="F5" s="20">
        <f>IF(OR(D5=0,E5=0),"",ROUND(E5/D5,2))</f>
        <v>5.18</v>
      </c>
    </row>
    <row r="6" spans="1:6" x14ac:dyDescent="0.2">
      <c r="A6" s="19">
        <v>2</v>
      </c>
      <c r="B6" s="180" t="s">
        <v>1</v>
      </c>
      <c r="C6" s="181"/>
      <c r="D6" s="14">
        <f t="shared" ref="D6:D32" si="0">D37</f>
        <v>127074</v>
      </c>
      <c r="E6" s="17">
        <f t="shared" ref="E6:E32" si="1">E37+E68+IFERROR($E$105/$D$105*D6,0)</f>
        <v>830009.019819582</v>
      </c>
      <c r="F6" s="21">
        <f t="shared" ref="F6:F33" si="2">IF(OR(D6=0,E6=0),"",ROUND(E6/D6,2))</f>
        <v>6.53</v>
      </c>
    </row>
    <row r="7" spans="1:6" ht="14.25" customHeight="1" x14ac:dyDescent="0.2">
      <c r="A7" s="19">
        <v>3</v>
      </c>
      <c r="B7" s="180" t="s">
        <v>2</v>
      </c>
      <c r="C7" s="181"/>
      <c r="D7" s="14">
        <f t="shared" si="0"/>
        <v>242528</v>
      </c>
      <c r="E7" s="17">
        <f t="shared" si="1"/>
        <v>1457902.297832787</v>
      </c>
      <c r="F7" s="21">
        <f t="shared" si="2"/>
        <v>6.01</v>
      </c>
    </row>
    <row r="8" spans="1:6" ht="14.25" customHeight="1" x14ac:dyDescent="0.2">
      <c r="A8" s="19">
        <v>4</v>
      </c>
      <c r="B8" s="180" t="s">
        <v>3</v>
      </c>
      <c r="C8" s="181"/>
      <c r="D8" s="14">
        <f t="shared" si="0"/>
        <v>636338</v>
      </c>
      <c r="E8" s="17">
        <f t="shared" si="1"/>
        <v>3821334.46313135</v>
      </c>
      <c r="F8" s="21">
        <f t="shared" si="2"/>
        <v>6.01</v>
      </c>
    </row>
    <row r="9" spans="1:6" x14ac:dyDescent="0.2">
      <c r="A9" s="19">
        <v>5</v>
      </c>
      <c r="B9" s="180" t="s">
        <v>4</v>
      </c>
      <c r="C9" s="181"/>
      <c r="D9" s="14">
        <f t="shared" si="0"/>
        <v>25584</v>
      </c>
      <c r="E9" s="17">
        <f t="shared" si="1"/>
        <v>792196.2989995135</v>
      </c>
      <c r="F9" s="21">
        <f t="shared" si="2"/>
        <v>30.96</v>
      </c>
    </row>
    <row r="10" spans="1:6" x14ac:dyDescent="0.2">
      <c r="A10" s="19">
        <v>6</v>
      </c>
      <c r="B10" s="180" t="s">
        <v>5</v>
      </c>
      <c r="C10" s="181"/>
      <c r="D10" s="14">
        <f t="shared" si="0"/>
        <v>10768</v>
      </c>
      <c r="E10" s="17">
        <f t="shared" si="1"/>
        <v>47437.206520745851</v>
      </c>
      <c r="F10" s="21">
        <f t="shared" si="2"/>
        <v>4.41</v>
      </c>
    </row>
    <row r="11" spans="1:6" x14ac:dyDescent="0.2">
      <c r="A11" s="19">
        <v>7</v>
      </c>
      <c r="B11" s="180" t="s">
        <v>6</v>
      </c>
      <c r="C11" s="181"/>
      <c r="D11" s="14">
        <f t="shared" si="0"/>
        <v>567172</v>
      </c>
      <c r="E11" s="17">
        <f t="shared" si="1"/>
        <v>2344793.2288990035</v>
      </c>
      <c r="F11" s="21">
        <f t="shared" si="2"/>
        <v>4.13</v>
      </c>
    </row>
    <row r="12" spans="1:6" x14ac:dyDescent="0.2">
      <c r="A12" s="19">
        <v>8</v>
      </c>
      <c r="B12" s="180" t="s">
        <v>7</v>
      </c>
      <c r="C12" s="181"/>
      <c r="D12" s="14">
        <f t="shared" si="0"/>
        <v>48688</v>
      </c>
      <c r="E12" s="17">
        <f t="shared" si="1"/>
        <v>225904.08683897421</v>
      </c>
      <c r="F12" s="21">
        <f t="shared" si="2"/>
        <v>4.6399999999999997</v>
      </c>
    </row>
    <row r="13" spans="1:6" x14ac:dyDescent="0.2">
      <c r="A13" s="19">
        <v>9</v>
      </c>
      <c r="B13" s="180" t="s">
        <v>8</v>
      </c>
      <c r="C13" s="181"/>
      <c r="D13" s="14">
        <f t="shared" si="0"/>
        <v>342070</v>
      </c>
      <c r="E13" s="17">
        <f t="shared" si="1"/>
        <v>1501254.1703706849</v>
      </c>
      <c r="F13" s="21">
        <f t="shared" si="2"/>
        <v>4.3899999999999997</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164990</v>
      </c>
      <c r="E15" s="17">
        <f t="shared" si="1"/>
        <v>776150.52673271345</v>
      </c>
      <c r="F15" s="21">
        <f t="shared" si="2"/>
        <v>4.7</v>
      </c>
    </row>
    <row r="16" spans="1:6" ht="14.25" customHeight="1" x14ac:dyDescent="0.2">
      <c r="A16" s="19">
        <v>12</v>
      </c>
      <c r="B16" s="180" t="s">
        <v>11</v>
      </c>
      <c r="C16" s="181"/>
      <c r="D16" s="14">
        <f t="shared" si="0"/>
        <v>609656</v>
      </c>
      <c r="E16" s="17">
        <f t="shared" si="1"/>
        <v>3007451.1644327482</v>
      </c>
      <c r="F16" s="21">
        <f t="shared" si="2"/>
        <v>4.93</v>
      </c>
    </row>
    <row r="17" spans="1:6" x14ac:dyDescent="0.2">
      <c r="A17" s="19">
        <v>13</v>
      </c>
      <c r="B17" s="180" t="s">
        <v>12</v>
      </c>
      <c r="C17" s="181"/>
      <c r="D17" s="14">
        <f t="shared" si="0"/>
        <v>74432</v>
      </c>
      <c r="E17" s="17">
        <f t="shared" si="1"/>
        <v>359696.32204236212</v>
      </c>
      <c r="F17" s="21">
        <f t="shared" si="2"/>
        <v>4.83</v>
      </c>
    </row>
    <row r="18" spans="1:6" ht="14.25" customHeight="1" x14ac:dyDescent="0.2">
      <c r="A18" s="19">
        <v>14</v>
      </c>
      <c r="B18" s="180" t="s">
        <v>464</v>
      </c>
      <c r="C18" s="181"/>
      <c r="D18" s="14">
        <f t="shared" si="0"/>
        <v>210644</v>
      </c>
      <c r="E18" s="17">
        <f t="shared" si="1"/>
        <v>1819601.8858057198</v>
      </c>
      <c r="F18" s="21">
        <f t="shared" si="2"/>
        <v>8.64</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111149</v>
      </c>
      <c r="E20" s="17">
        <f t="shared" si="1"/>
        <v>916045.6507777099</v>
      </c>
      <c r="F20" s="21">
        <f t="shared" si="2"/>
        <v>8.24</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122528</v>
      </c>
      <c r="E22" s="17">
        <f t="shared" si="1"/>
        <v>886943.14492700109</v>
      </c>
      <c r="F22" s="21">
        <f t="shared" si="2"/>
        <v>7.24</v>
      </c>
    </row>
    <row r="23" spans="1:6" x14ac:dyDescent="0.2">
      <c r="A23" s="19">
        <v>19</v>
      </c>
      <c r="B23" s="180" t="s">
        <v>17</v>
      </c>
      <c r="C23" s="181"/>
      <c r="D23" s="14">
        <f t="shared" si="0"/>
        <v>589194</v>
      </c>
      <c r="E23" s="17">
        <f t="shared" si="1"/>
        <v>2621389.5106597636</v>
      </c>
      <c r="F23" s="21">
        <f t="shared" si="2"/>
        <v>4.45</v>
      </c>
    </row>
    <row r="24" spans="1:6" x14ac:dyDescent="0.2">
      <c r="A24" s="19">
        <v>20</v>
      </c>
      <c r="B24" s="180" t="s">
        <v>18</v>
      </c>
      <c r="C24" s="181"/>
      <c r="D24" s="14">
        <f t="shared" si="0"/>
        <v>71784</v>
      </c>
      <c r="E24" s="17">
        <f t="shared" si="1"/>
        <v>496186.12786824116</v>
      </c>
      <c r="F24" s="21">
        <f t="shared" si="2"/>
        <v>6.91</v>
      </c>
    </row>
    <row r="25" spans="1:6" ht="14.25" customHeight="1" x14ac:dyDescent="0.2">
      <c r="A25" s="19">
        <v>21</v>
      </c>
      <c r="B25" s="180" t="s">
        <v>461</v>
      </c>
      <c r="C25" s="181"/>
      <c r="D25" s="14">
        <f t="shared" si="0"/>
        <v>33722</v>
      </c>
      <c r="E25" s="17">
        <f t="shared" si="1"/>
        <v>207743.49166907428</v>
      </c>
      <c r="F25" s="21">
        <f t="shared" si="2"/>
        <v>6.16</v>
      </c>
    </row>
    <row r="26" spans="1:6" x14ac:dyDescent="0.2">
      <c r="A26" s="19">
        <v>22</v>
      </c>
      <c r="B26" s="180" t="s">
        <v>19</v>
      </c>
      <c r="C26" s="181"/>
      <c r="D26" s="14">
        <f t="shared" si="0"/>
        <v>2016</v>
      </c>
      <c r="E26" s="17">
        <f t="shared" si="1"/>
        <v>9828.1961688172032</v>
      </c>
      <c r="F26" s="21">
        <f t="shared" si="2"/>
        <v>4.88</v>
      </c>
    </row>
    <row r="27" spans="1:6" x14ac:dyDescent="0.2">
      <c r="A27" s="19">
        <v>23</v>
      </c>
      <c r="B27" s="180" t="s">
        <v>20</v>
      </c>
      <c r="C27" s="181"/>
      <c r="D27" s="14">
        <f t="shared" si="0"/>
        <v>120840</v>
      </c>
      <c r="E27" s="17">
        <f t="shared" si="1"/>
        <v>756468.56797612645</v>
      </c>
      <c r="F27" s="21">
        <f t="shared" si="2"/>
        <v>6.26</v>
      </c>
    </row>
    <row r="28" spans="1:6" x14ac:dyDescent="0.2">
      <c r="A28" s="19">
        <v>24</v>
      </c>
      <c r="B28" s="180" t="s">
        <v>21</v>
      </c>
      <c r="C28" s="181"/>
      <c r="D28" s="14">
        <f t="shared" si="0"/>
        <v>199928</v>
      </c>
      <c r="E28" s="17">
        <f t="shared" si="1"/>
        <v>855644.53355123301</v>
      </c>
      <c r="F28" s="21">
        <f t="shared" si="2"/>
        <v>4.28</v>
      </c>
    </row>
    <row r="29" spans="1:6" x14ac:dyDescent="0.2">
      <c r="A29" s="19">
        <v>25</v>
      </c>
      <c r="B29" s="180" t="s">
        <v>22</v>
      </c>
      <c r="C29" s="181"/>
      <c r="D29" s="14">
        <f t="shared" si="0"/>
        <v>916192</v>
      </c>
      <c r="E29" s="17">
        <f t="shared" si="1"/>
        <v>3738060.6906254818</v>
      </c>
      <c r="F29" s="21">
        <f t="shared" si="2"/>
        <v>4.08</v>
      </c>
    </row>
    <row r="30" spans="1:6" x14ac:dyDescent="0.2">
      <c r="A30" s="19">
        <v>26</v>
      </c>
      <c r="B30" s="180" t="s">
        <v>23</v>
      </c>
      <c r="C30" s="181"/>
      <c r="D30" s="14">
        <f t="shared" si="0"/>
        <v>140660</v>
      </c>
      <c r="E30" s="17">
        <f t="shared" si="1"/>
        <v>754775.79023106536</v>
      </c>
      <c r="F30" s="21">
        <f t="shared" si="2"/>
        <v>5.37</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5416865</v>
      </c>
      <c r="E33" s="31">
        <f>SUM(E5:E32)</f>
        <v>28479939.999999996</v>
      </c>
      <c r="F33" s="32">
        <f t="shared" si="2"/>
        <v>5.26</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IF(F3="1",SUMIF(Data!A:A,'8'!$A$2,Data!CU:CU),0)</f>
        <v>48908</v>
      </c>
      <c r="E36" s="15">
        <f>IF(F3="1",SUMIF(Data!$A:$A,$A$2,Data!IO:IO),0)</f>
        <v>27763</v>
      </c>
      <c r="F36" s="20">
        <f t="shared" ref="F36:F64" si="3">IF(OR(D36=0,E36=0),"",ROUND(E36/D36,2))</f>
        <v>0.56999999999999995</v>
      </c>
    </row>
    <row r="37" spans="1:6" x14ac:dyDescent="0.2">
      <c r="A37" s="19">
        <v>2</v>
      </c>
      <c r="B37" s="180" t="s">
        <v>1</v>
      </c>
      <c r="C37" s="181"/>
      <c r="D37" s="14">
        <f>IF(F3="1",SUMIF(Data!A:A,'8'!$A$2,Data!CV:CV),0)</f>
        <v>127074</v>
      </c>
      <c r="E37" s="17">
        <f>IF(F3="1",SUMIF(Data!$A:$A,$A$2,Data!IP:IP),0)</f>
        <v>157563</v>
      </c>
      <c r="F37" s="21">
        <f t="shared" si="3"/>
        <v>1.24</v>
      </c>
    </row>
    <row r="38" spans="1:6" ht="14.25" customHeight="1" x14ac:dyDescent="0.2">
      <c r="A38" s="19">
        <v>3</v>
      </c>
      <c r="B38" s="180" t="s">
        <v>2</v>
      </c>
      <c r="C38" s="181"/>
      <c r="D38" s="14">
        <f>IF(F3="1",SUMIF(Data!A:A,'8'!$A$2,Data!CW:CW),0)</f>
        <v>242528</v>
      </c>
      <c r="E38" s="17">
        <f>IF($F$3="1",SUMIF(Data!$A:$A,$A$2,Data!IQ:IQ),0)</f>
        <v>120054</v>
      </c>
      <c r="F38" s="21">
        <f t="shared" si="3"/>
        <v>0.5</v>
      </c>
    </row>
    <row r="39" spans="1:6" ht="14.25" customHeight="1" x14ac:dyDescent="0.2">
      <c r="A39" s="19">
        <v>4</v>
      </c>
      <c r="B39" s="180" t="s">
        <v>3</v>
      </c>
      <c r="C39" s="181"/>
      <c r="D39" s="14">
        <f>IF(F3="1",SUMIF(Data!A:A,'8'!$A$2,Data!CX:CX),0)</f>
        <v>636338</v>
      </c>
      <c r="E39" s="17">
        <f>IF($F$3="1",SUMIF(Data!$A:$A,$A$2,Data!IR:IR),0)</f>
        <v>901740</v>
      </c>
      <c r="F39" s="21">
        <f t="shared" si="3"/>
        <v>1.42</v>
      </c>
    </row>
    <row r="40" spans="1:6" x14ac:dyDescent="0.2">
      <c r="A40" s="19">
        <v>5</v>
      </c>
      <c r="B40" s="180" t="s">
        <v>4</v>
      </c>
      <c r="C40" s="181"/>
      <c r="D40" s="14">
        <f>IF(F3="1",SUMIF(Data!A:A,'8'!$A$2,Data!CY:CY),0)</f>
        <v>25584</v>
      </c>
      <c r="E40" s="17">
        <f>IF($F$3="1",SUMIF(Data!$A:$A,$A$2,Data!IS:IS),0)</f>
        <v>466291</v>
      </c>
      <c r="F40" s="21">
        <f t="shared" si="3"/>
        <v>18.23</v>
      </c>
    </row>
    <row r="41" spans="1:6" x14ac:dyDescent="0.2">
      <c r="A41" s="19">
        <v>6</v>
      </c>
      <c r="B41" s="180" t="s">
        <v>5</v>
      </c>
      <c r="C41" s="181"/>
      <c r="D41" s="14">
        <f>IF(F3="1",SUMIF(Data!A:A,'8'!$A$2,Data!CZ:CZ),0)</f>
        <v>10768</v>
      </c>
      <c r="E41" s="17">
        <f>IF($F$3="1",SUMIF(Data!$A:$A,$A$2,Data!IT:IT),0)</f>
        <v>9373</v>
      </c>
      <c r="F41" s="21">
        <f t="shared" si="3"/>
        <v>0.87</v>
      </c>
    </row>
    <row r="42" spans="1:6" x14ac:dyDescent="0.2">
      <c r="A42" s="19">
        <v>7</v>
      </c>
      <c r="B42" s="180" t="s">
        <v>6</v>
      </c>
      <c r="C42" s="181"/>
      <c r="D42" s="14">
        <f>IF(F3="1",SUMIF(Data!A:A,'8'!$A$2,Data!DA:DA),0)</f>
        <v>567172</v>
      </c>
      <c r="E42" s="17">
        <f>IF($F$3="1",SUMIF(Data!$A:$A,$A$2,Data!IU:IU),0)</f>
        <v>294787</v>
      </c>
      <c r="F42" s="21">
        <f t="shared" si="3"/>
        <v>0.52</v>
      </c>
    </row>
    <row r="43" spans="1:6" x14ac:dyDescent="0.2">
      <c r="A43" s="19">
        <v>8</v>
      </c>
      <c r="B43" s="180" t="s">
        <v>7</v>
      </c>
      <c r="C43" s="181"/>
      <c r="D43" s="14">
        <f>IF(F3="1",SUMIF(Data!A:A,'8'!$A$2,Data!DB:DB),0)</f>
        <v>48688</v>
      </c>
      <c r="E43" s="17">
        <f>IF($F$3="1",SUMIF(Data!$A:$A,$A$2,Data!IV:IV),0)</f>
        <v>32804</v>
      </c>
      <c r="F43" s="21">
        <f t="shared" si="3"/>
        <v>0.67</v>
      </c>
    </row>
    <row r="44" spans="1:6" x14ac:dyDescent="0.2">
      <c r="A44" s="19">
        <v>9</v>
      </c>
      <c r="B44" s="180" t="s">
        <v>8</v>
      </c>
      <c r="C44" s="181"/>
      <c r="D44" s="14">
        <f>IF(F3="1",SUMIF(Data!A:A,'8'!$A$2,Data!DC:DC),0)</f>
        <v>342070</v>
      </c>
      <c r="E44" s="17">
        <f>IF($F$3="1",SUMIF(Data!$A:$A,$A$2,Data!IW:IW),0)</f>
        <v>189629</v>
      </c>
      <c r="F44" s="21">
        <f t="shared" si="3"/>
        <v>0.55000000000000004</v>
      </c>
    </row>
    <row r="45" spans="1:6" x14ac:dyDescent="0.2">
      <c r="A45" s="19">
        <v>10</v>
      </c>
      <c r="B45" s="180" t="s">
        <v>9</v>
      </c>
      <c r="C45" s="181"/>
      <c r="D45" s="14">
        <f>IF(F3="1",SUMIF(Data!A:A,'8'!$A$2,Data!DD:DD),0)</f>
        <v>0</v>
      </c>
      <c r="E45" s="17">
        <f>IF($F$3="1",SUMIF(Data!$A:$A,$A$2,Data!IX:IX),0)</f>
        <v>0</v>
      </c>
      <c r="F45" s="21" t="str">
        <f t="shared" si="3"/>
        <v/>
      </c>
    </row>
    <row r="46" spans="1:6" x14ac:dyDescent="0.2">
      <c r="A46" s="19">
        <v>11</v>
      </c>
      <c r="B46" s="180" t="s">
        <v>10</v>
      </c>
      <c r="C46" s="181"/>
      <c r="D46" s="14">
        <f>IF(F3="1",SUMIF(Data!A:A,'8'!$A$2,Data!DE:DE),0)</f>
        <v>164990</v>
      </c>
      <c r="E46" s="17">
        <f>IF($F$3="1",SUMIF(Data!$A:$A,$A$2,Data!IY:IY),0)</f>
        <v>77851</v>
      </c>
      <c r="F46" s="21">
        <f t="shared" si="3"/>
        <v>0.47</v>
      </c>
    </row>
    <row r="47" spans="1:6" ht="14.25" customHeight="1" x14ac:dyDescent="0.2">
      <c r="A47" s="19">
        <v>12</v>
      </c>
      <c r="B47" s="180" t="s">
        <v>11</v>
      </c>
      <c r="C47" s="181"/>
      <c r="D47" s="14">
        <f>IF(F3="1",SUMIF(Data!A:A,'8'!$A$2,Data!DF:DF),0)</f>
        <v>609656</v>
      </c>
      <c r="E47" s="17">
        <f>IF($F$3="1",SUMIF(Data!$A:$A,$A$2,Data!IZ:IZ),0)</f>
        <v>97567</v>
      </c>
      <c r="F47" s="21">
        <f t="shared" si="3"/>
        <v>0.16</v>
      </c>
    </row>
    <row r="48" spans="1:6" x14ac:dyDescent="0.2">
      <c r="A48" s="19">
        <v>13</v>
      </c>
      <c r="B48" s="180" t="s">
        <v>12</v>
      </c>
      <c r="C48" s="181"/>
      <c r="D48" s="14">
        <f>IF(F3="1",SUMIF(Data!A:A,'8'!$A$2,Data!DG:DG),0)</f>
        <v>74432</v>
      </c>
      <c r="E48" s="17">
        <f>IF($F$3="1",SUMIF(Data!$A:$A,$A$2,Data!JA:JA),0)</f>
        <v>2691</v>
      </c>
      <c r="F48" s="21">
        <f t="shared" si="3"/>
        <v>0.04</v>
      </c>
    </row>
    <row r="49" spans="1:6" ht="14.25" customHeight="1" x14ac:dyDescent="0.2">
      <c r="A49" s="19">
        <v>14</v>
      </c>
      <c r="B49" s="180" t="s">
        <v>464</v>
      </c>
      <c r="C49" s="181"/>
      <c r="D49" s="14">
        <f>IF(F3="1",SUMIF(Data!A:A,'8'!$A$2,Data!DH:DH),0)</f>
        <v>210644</v>
      </c>
      <c r="E49" s="17">
        <f>IF($F$3="1",SUMIF(Data!$A:$A,$A$2,Data!JB:JB),0)</f>
        <v>156157</v>
      </c>
      <c r="F49" s="21">
        <f t="shared" si="3"/>
        <v>0.74</v>
      </c>
    </row>
    <row r="50" spans="1:6" x14ac:dyDescent="0.2">
      <c r="A50" s="19">
        <v>15</v>
      </c>
      <c r="B50" s="180" t="s">
        <v>13</v>
      </c>
      <c r="C50" s="181"/>
      <c r="D50" s="14">
        <f>IF(F3="1",SUMIF(Data!A:A,'8'!$A$2,Data!DI:DI),0)</f>
        <v>0</v>
      </c>
      <c r="E50" s="17">
        <f>IF($F$3="1",SUMIF(Data!$A:$A,$A$2,Data!JC:JC),0)</f>
        <v>0</v>
      </c>
      <c r="F50" s="21" t="str">
        <f t="shared" si="3"/>
        <v/>
      </c>
    </row>
    <row r="51" spans="1:6" x14ac:dyDescent="0.2">
      <c r="A51" s="19">
        <v>16</v>
      </c>
      <c r="B51" s="180" t="s">
        <v>14</v>
      </c>
      <c r="C51" s="181"/>
      <c r="D51" s="14">
        <f>IF(F3="1",SUMIF(Data!A:A,'8'!$A$2,Data!DJ:DJ),0)</f>
        <v>111149</v>
      </c>
      <c r="E51" s="17">
        <f>IF($F$3="1",SUMIF(Data!$A:$A,$A$2,Data!JD:JD),0)</f>
        <v>97839</v>
      </c>
      <c r="F51" s="21">
        <f t="shared" si="3"/>
        <v>0.88</v>
      </c>
    </row>
    <row r="52" spans="1:6" x14ac:dyDescent="0.2">
      <c r="A52" s="19">
        <v>17</v>
      </c>
      <c r="B52" s="180" t="s">
        <v>15</v>
      </c>
      <c r="C52" s="181"/>
      <c r="D52" s="14">
        <f>IF(F3="1",SUMIF(Data!A:A,'8'!$A$2,Data!DK:DK),0)</f>
        <v>0</v>
      </c>
      <c r="E52" s="17">
        <f>IF($F$3="1",SUMIF(Data!$A:$A,$A$2,Data!JE:JE),0)</f>
        <v>0</v>
      </c>
      <c r="F52" s="21" t="str">
        <f t="shared" si="3"/>
        <v/>
      </c>
    </row>
    <row r="53" spans="1:6" x14ac:dyDescent="0.2">
      <c r="A53" s="19">
        <v>18</v>
      </c>
      <c r="B53" s="180" t="s">
        <v>16</v>
      </c>
      <c r="C53" s="181"/>
      <c r="D53" s="14">
        <f>IF(F3="1",SUMIF(Data!A:A,'8'!$A$2,Data!DL:DL),0)</f>
        <v>122528</v>
      </c>
      <c r="E53" s="17">
        <f>IF($F$3="1",SUMIF(Data!$A:$A,$A$2,Data!JF:JF),0)</f>
        <v>87149</v>
      </c>
      <c r="F53" s="21">
        <f t="shared" si="3"/>
        <v>0.71</v>
      </c>
    </row>
    <row r="54" spans="1:6" x14ac:dyDescent="0.2">
      <c r="A54" s="19">
        <v>19</v>
      </c>
      <c r="B54" s="180" t="s">
        <v>17</v>
      </c>
      <c r="C54" s="181"/>
      <c r="D54" s="14">
        <f>IF(F3="1",SUMIF(Data!A:A,'8'!$A$2,Data!DM:DM),0)</f>
        <v>589194</v>
      </c>
      <c r="E54" s="17">
        <f>IF($F$3="1",SUMIF(Data!$A:$A,$A$2,Data!JG:JG),0)</f>
        <v>81268</v>
      </c>
      <c r="F54" s="21">
        <f t="shared" si="3"/>
        <v>0.14000000000000001</v>
      </c>
    </row>
    <row r="55" spans="1:6" x14ac:dyDescent="0.2">
      <c r="A55" s="19">
        <v>20</v>
      </c>
      <c r="B55" s="180" t="s">
        <v>18</v>
      </c>
      <c r="C55" s="181"/>
      <c r="D55" s="14">
        <f>IF(F3="1",SUMIF(Data!A:A,'8'!$A$2,Data!DN:DN),0)</f>
        <v>71784</v>
      </c>
      <c r="E55" s="17">
        <f>IF($F$3="1",SUMIF(Data!$A:$A,$A$2,Data!JH:JH),0)</f>
        <v>174114</v>
      </c>
      <c r="F55" s="21">
        <f t="shared" si="3"/>
        <v>2.4300000000000002</v>
      </c>
    </row>
    <row r="56" spans="1:6" ht="14.25" customHeight="1" x14ac:dyDescent="0.2">
      <c r="A56" s="19">
        <v>21</v>
      </c>
      <c r="B56" s="180" t="s">
        <v>461</v>
      </c>
      <c r="C56" s="181"/>
      <c r="D56" s="14">
        <f>IF(F3="1",SUMIF(Data!A:A,'8'!$A$2,Data!DO:DO),0)</f>
        <v>33722</v>
      </c>
      <c r="E56" s="17">
        <f>IF($F$3="1",SUMIF(Data!$A:$A,$A$2,Data!JI:JI),0)</f>
        <v>58183</v>
      </c>
      <c r="F56" s="21">
        <f t="shared" si="3"/>
        <v>1.73</v>
      </c>
    </row>
    <row r="57" spans="1:6" x14ac:dyDescent="0.2">
      <c r="A57" s="19">
        <v>22</v>
      </c>
      <c r="B57" s="180" t="s">
        <v>19</v>
      </c>
      <c r="C57" s="181"/>
      <c r="D57" s="14">
        <f>IF(F3="1",SUMIF(Data!A:A,'8'!$A$2,Data!DP:DP),0)</f>
        <v>2016</v>
      </c>
      <c r="E57" s="17">
        <f>IF($F$3="1",SUMIF(Data!$A:$A,$A$2,Data!JJ:JJ),0)</f>
        <v>1901</v>
      </c>
      <c r="F57" s="21">
        <f t="shared" si="3"/>
        <v>0.94</v>
      </c>
    </row>
    <row r="58" spans="1:6" x14ac:dyDescent="0.2">
      <c r="A58" s="19">
        <v>23</v>
      </c>
      <c r="B58" s="180" t="s">
        <v>20</v>
      </c>
      <c r="C58" s="181"/>
      <c r="D58" s="14">
        <f>IF(F3="1",SUMIF(Data!A:A,'8'!$A$2,Data!DQ:DQ),0)</f>
        <v>120840</v>
      </c>
      <c r="E58" s="17">
        <f>IF($F$3="1",SUMIF(Data!$A:$A,$A$2,Data!JK:JK),0)</f>
        <v>132918</v>
      </c>
      <c r="F58" s="21">
        <f t="shared" si="3"/>
        <v>1.1000000000000001</v>
      </c>
    </row>
    <row r="59" spans="1:6" x14ac:dyDescent="0.2">
      <c r="A59" s="19">
        <v>24</v>
      </c>
      <c r="B59" s="180" t="s">
        <v>21</v>
      </c>
      <c r="C59" s="181"/>
      <c r="D59" s="14">
        <f>IF(F3="1",SUMIF(Data!A:A,'8'!$A$2,Data!DR:DR),0)</f>
        <v>199928</v>
      </c>
      <c r="E59" s="17">
        <f>IF($F$3="1",SUMIF(Data!$A:$A,$A$2,Data!JL:JL),0)</f>
        <v>102494</v>
      </c>
      <c r="F59" s="21">
        <f t="shared" si="3"/>
        <v>0.51</v>
      </c>
    </row>
    <row r="60" spans="1:6" x14ac:dyDescent="0.2">
      <c r="A60" s="19">
        <v>25</v>
      </c>
      <c r="B60" s="180" t="s">
        <v>22</v>
      </c>
      <c r="C60" s="181"/>
      <c r="D60" s="14">
        <f>IF(F3="1",SUMIF(Data!A:A,'8'!$A$2,Data!DS:DS),0)</f>
        <v>916192</v>
      </c>
      <c r="E60" s="17">
        <f>IF($F$3="1",SUMIF(Data!$A:$A,$A$2,Data!JM:JM),0)</f>
        <v>52323</v>
      </c>
      <c r="F60" s="21">
        <f t="shared" si="3"/>
        <v>0.06</v>
      </c>
    </row>
    <row r="61" spans="1:6" x14ac:dyDescent="0.2">
      <c r="A61" s="19">
        <v>26</v>
      </c>
      <c r="B61" s="180" t="s">
        <v>23</v>
      </c>
      <c r="C61" s="181"/>
      <c r="D61" s="14">
        <f>IF(F3="1",SUMIF(Data!A:A,'8'!$A$2,Data!DT:DT),0)</f>
        <v>140660</v>
      </c>
      <c r="E61" s="17">
        <f>IF($F$3="1",SUMIF(Data!$A:$A,$A$2,Data!JN:JN),0)</f>
        <v>74611</v>
      </c>
      <c r="F61" s="21">
        <f t="shared" si="3"/>
        <v>0.53</v>
      </c>
    </row>
    <row r="62" spans="1:6" x14ac:dyDescent="0.2">
      <c r="A62" s="19">
        <v>28</v>
      </c>
      <c r="B62" s="180" t="s">
        <v>24</v>
      </c>
      <c r="C62" s="181"/>
      <c r="D62" s="14">
        <f>IF(F3="1",SUMIF(Data!A:A,'8'!$A$2,Data!DV:DV),0)</f>
        <v>0</v>
      </c>
      <c r="E62" s="17">
        <f>IF($F$3="1",SUMIF(Data!$A:$A,$A$2,Data!JP:JP),0)</f>
        <v>0</v>
      </c>
      <c r="F62" s="21" t="str">
        <f t="shared" si="3"/>
        <v/>
      </c>
    </row>
    <row r="63" spans="1:6" ht="15.75" customHeight="1" thickBot="1" x14ac:dyDescent="0.25">
      <c r="A63" s="22">
        <v>29</v>
      </c>
      <c r="B63" s="184" t="s">
        <v>25</v>
      </c>
      <c r="C63" s="185"/>
      <c r="D63" s="23">
        <f>IF(F3="1",SUMIF(Data!A:A,'8'!$A$2,Data!DW:DW),0)</f>
        <v>0</v>
      </c>
      <c r="E63" s="24">
        <f>IF($F$3="1",SUMIF(Data!$A:$A,$A$2,Data!JQ:JQ),0)</f>
        <v>0</v>
      </c>
      <c r="F63" s="25" t="str">
        <f t="shared" si="3"/>
        <v/>
      </c>
    </row>
    <row r="64" spans="1:6" x14ac:dyDescent="0.2">
      <c r="B64" s="30" t="s">
        <v>35</v>
      </c>
      <c r="C64" s="30"/>
      <c r="D64" s="59">
        <f>SUM(D36:D63)</f>
        <v>5416865</v>
      </c>
      <c r="E64" s="31">
        <f>SUM(E36:E63)</f>
        <v>3397070</v>
      </c>
      <c r="F64" s="32">
        <f t="shared" si="3"/>
        <v>0.63</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48908</v>
      </c>
      <c r="E67" s="15">
        <f>IF(F3="1",SUMIF(Data!A:A,'8'!$A$2,Data!DY:DY),0)</f>
        <v>86298</v>
      </c>
      <c r="F67" s="20">
        <f t="shared" ref="F67:F95" si="4">IF(OR(D67=0,E67=0),"",ROUND(E67/D67,2))</f>
        <v>1.76</v>
      </c>
    </row>
    <row r="68" spans="1:6" x14ac:dyDescent="0.2">
      <c r="A68" s="19">
        <v>2</v>
      </c>
      <c r="B68" s="180" t="s">
        <v>1</v>
      </c>
      <c r="C68" s="181"/>
      <c r="D68" s="14">
        <f t="shared" ref="D68:D94" si="5">D37</f>
        <v>127074</v>
      </c>
      <c r="E68" s="17">
        <f>IF(F3="1",SUMIF(Data!A:A,'8'!$A$2,Data!DZ:DZ),0)</f>
        <v>311130</v>
      </c>
      <c r="F68" s="21">
        <f t="shared" si="4"/>
        <v>2.4500000000000002</v>
      </c>
    </row>
    <row r="69" spans="1:6" ht="14.25" customHeight="1" x14ac:dyDescent="0.2">
      <c r="A69" s="19">
        <v>3</v>
      </c>
      <c r="B69" s="180" t="s">
        <v>2</v>
      </c>
      <c r="C69" s="181"/>
      <c r="D69" s="14">
        <f t="shared" si="5"/>
        <v>242528</v>
      </c>
      <c r="E69" s="17">
        <f>IF(F3="1",SUMIF(Data!A:A,'8'!$A$2,Data!EA:EA),0)</f>
        <v>648256</v>
      </c>
      <c r="F69" s="21">
        <f t="shared" si="4"/>
        <v>2.67</v>
      </c>
    </row>
    <row r="70" spans="1:6" ht="14.25" customHeight="1" x14ac:dyDescent="0.2">
      <c r="A70" s="19">
        <v>4</v>
      </c>
      <c r="B70" s="180" t="s">
        <v>3</v>
      </c>
      <c r="C70" s="181"/>
      <c r="D70" s="14">
        <f t="shared" si="5"/>
        <v>636338</v>
      </c>
      <c r="E70" s="17">
        <f>IF(F3="1",SUMIF(Data!A:A,'8'!$A$2,Data!EB:EB),0)</f>
        <v>1110262</v>
      </c>
      <c r="F70" s="21">
        <f t="shared" si="4"/>
        <v>1.74</v>
      </c>
    </row>
    <row r="71" spans="1:6" x14ac:dyDescent="0.2">
      <c r="A71" s="19">
        <v>5</v>
      </c>
      <c r="B71" s="180" t="s">
        <v>4</v>
      </c>
      <c r="C71" s="181"/>
      <c r="D71" s="14">
        <f t="shared" si="5"/>
        <v>25584</v>
      </c>
      <c r="E71" s="17">
        <f>IF(F3="1",SUMIF(Data!A:A,'8'!$A$2,Data!EC:EC),0)</f>
        <v>253161</v>
      </c>
      <c r="F71" s="21">
        <f t="shared" si="4"/>
        <v>9.9</v>
      </c>
    </row>
    <row r="72" spans="1:6" x14ac:dyDescent="0.2">
      <c r="A72" s="19">
        <v>6</v>
      </c>
      <c r="B72" s="180" t="s">
        <v>5</v>
      </c>
      <c r="C72" s="181"/>
      <c r="D72" s="14">
        <f t="shared" si="5"/>
        <v>10768</v>
      </c>
      <c r="E72" s="17">
        <f>IF(F3="1",SUMIF(Data!A:A,'8'!$A$2,Data!ED:ED),0)</f>
        <v>7447</v>
      </c>
      <c r="F72" s="21">
        <f t="shared" si="4"/>
        <v>0.69</v>
      </c>
    </row>
    <row r="73" spans="1:6" x14ac:dyDescent="0.2">
      <c r="A73" s="19">
        <v>7</v>
      </c>
      <c r="B73" s="180" t="s">
        <v>6</v>
      </c>
      <c r="C73" s="181"/>
      <c r="D73" s="14">
        <f t="shared" si="5"/>
        <v>567172</v>
      </c>
      <c r="E73" s="17">
        <f>IF(F3="1",SUMIF(Data!A:A,'8'!$A$2,Data!EE:EE),0)</f>
        <v>437337</v>
      </c>
      <c r="F73" s="21">
        <f t="shared" si="4"/>
        <v>0.77</v>
      </c>
    </row>
    <row r="74" spans="1:6" x14ac:dyDescent="0.2">
      <c r="A74" s="19">
        <v>8</v>
      </c>
      <c r="B74" s="180" t="s">
        <v>7</v>
      </c>
      <c r="C74" s="181"/>
      <c r="D74" s="14">
        <f t="shared" si="5"/>
        <v>48688</v>
      </c>
      <c r="E74" s="17">
        <f>IF(F3="1",SUMIF(Data!A:A,'8'!$A$2,Data!EF:EF),0)</f>
        <v>54663</v>
      </c>
      <c r="F74" s="21">
        <f t="shared" si="4"/>
        <v>1.1200000000000001</v>
      </c>
    </row>
    <row r="75" spans="1:6" x14ac:dyDescent="0.2">
      <c r="A75" s="19">
        <v>9</v>
      </c>
      <c r="B75" s="180" t="s">
        <v>8</v>
      </c>
      <c r="C75" s="181"/>
      <c r="D75" s="14">
        <f t="shared" si="5"/>
        <v>342070</v>
      </c>
      <c r="E75" s="17">
        <f>IF(F3="1",SUMIF(Data!A:A,'8'!$A$2,Data!EG:EG),0)</f>
        <v>339000</v>
      </c>
      <c r="F75" s="21">
        <f t="shared" si="4"/>
        <v>0.99</v>
      </c>
    </row>
    <row r="76" spans="1:6" x14ac:dyDescent="0.2">
      <c r="A76" s="19">
        <v>10</v>
      </c>
      <c r="B76" s="180" t="s">
        <v>9</v>
      </c>
      <c r="C76" s="181"/>
      <c r="D76" s="14">
        <f t="shared" si="5"/>
        <v>0</v>
      </c>
      <c r="E76" s="17">
        <f>IF(F3="1",SUMIF(Data!A:A,'8'!$A$2,Data!EH:EH),0)</f>
        <v>0</v>
      </c>
      <c r="F76" s="21" t="str">
        <f t="shared" si="4"/>
        <v/>
      </c>
    </row>
    <row r="77" spans="1:6" x14ac:dyDescent="0.2">
      <c r="A77" s="19">
        <v>11</v>
      </c>
      <c r="B77" s="180" t="s">
        <v>10</v>
      </c>
      <c r="C77" s="181"/>
      <c r="D77" s="14">
        <f t="shared" si="5"/>
        <v>164990</v>
      </c>
      <c r="E77" s="17">
        <f>IF(F3="1",SUMIF(Data!A:A,'8'!$A$2,Data!EI:EI),0)</f>
        <v>229175</v>
      </c>
      <c r="F77" s="21">
        <f t="shared" si="4"/>
        <v>1.39</v>
      </c>
    </row>
    <row r="78" spans="1:6" ht="14.25" customHeight="1" x14ac:dyDescent="0.2">
      <c r="A78" s="19">
        <v>12</v>
      </c>
      <c r="B78" s="180" t="s">
        <v>11</v>
      </c>
      <c r="C78" s="181"/>
      <c r="D78" s="14">
        <f t="shared" si="5"/>
        <v>609656</v>
      </c>
      <c r="E78" s="17">
        <f>IF(F3="1",SUMIF(Data!A:A,'8'!$A$2,Data!EJ:EJ),0)</f>
        <v>1176418</v>
      </c>
      <c r="F78" s="21">
        <f t="shared" si="4"/>
        <v>1.93</v>
      </c>
    </row>
    <row r="79" spans="1:6" x14ac:dyDescent="0.2">
      <c r="A79" s="19">
        <v>13</v>
      </c>
      <c r="B79" s="180" t="s">
        <v>12</v>
      </c>
      <c r="C79" s="181"/>
      <c r="D79" s="14">
        <f t="shared" si="5"/>
        <v>74432</v>
      </c>
      <c r="E79" s="17">
        <f>IF(F3="1",SUMIF(Data!A:A,'8'!$A$2,Data!EK:EK),0)</f>
        <v>145369</v>
      </c>
      <c r="F79" s="21">
        <f t="shared" si="4"/>
        <v>1.95</v>
      </c>
    </row>
    <row r="80" spans="1:6" ht="14.25" customHeight="1" x14ac:dyDescent="0.2">
      <c r="A80" s="19">
        <v>14</v>
      </c>
      <c r="B80" s="180" t="s">
        <v>464</v>
      </c>
      <c r="C80" s="181"/>
      <c r="D80" s="14">
        <f t="shared" si="5"/>
        <v>210644</v>
      </c>
      <c r="E80" s="17">
        <f>IF(F3="1",SUMIF(Data!A:A,'8'!$A$2,Data!EL:EL),0)</f>
        <v>1064510</v>
      </c>
      <c r="F80" s="21">
        <f t="shared" si="4"/>
        <v>5.05</v>
      </c>
    </row>
    <row r="81" spans="1:6" x14ac:dyDescent="0.2">
      <c r="A81" s="19">
        <v>15</v>
      </c>
      <c r="B81" s="180" t="s">
        <v>13</v>
      </c>
      <c r="C81" s="181"/>
      <c r="D81" s="14">
        <f t="shared" si="5"/>
        <v>0</v>
      </c>
      <c r="E81" s="17">
        <f>IF(F3="1",SUMIF(Data!A:A,'8'!$A$2,Data!EM:EM),0)</f>
        <v>0</v>
      </c>
      <c r="F81" s="21" t="str">
        <f t="shared" si="4"/>
        <v/>
      </c>
    </row>
    <row r="82" spans="1:6" x14ac:dyDescent="0.2">
      <c r="A82" s="19">
        <v>16</v>
      </c>
      <c r="B82" s="180" t="s">
        <v>14</v>
      </c>
      <c r="C82" s="181"/>
      <c r="D82" s="14">
        <f t="shared" si="5"/>
        <v>111149</v>
      </c>
      <c r="E82" s="17">
        <f>IF(F3="1",SUMIF(Data!A:A,'8'!$A$2,Data!EN:EN),0)</f>
        <v>502171</v>
      </c>
      <c r="F82" s="21">
        <f t="shared" si="4"/>
        <v>4.5199999999999996</v>
      </c>
    </row>
    <row r="83" spans="1:6" x14ac:dyDescent="0.2">
      <c r="A83" s="19">
        <v>17</v>
      </c>
      <c r="B83" s="180" t="s">
        <v>15</v>
      </c>
      <c r="C83" s="181"/>
      <c r="D83" s="14">
        <f t="shared" si="5"/>
        <v>0</v>
      </c>
      <c r="E83" s="17">
        <f>IF(F3="1",SUMIF(Data!A:A,'8'!$A$2,Data!EO:EO),0)</f>
        <v>0</v>
      </c>
      <c r="F83" s="21" t="str">
        <f t="shared" si="4"/>
        <v/>
      </c>
    </row>
    <row r="84" spans="1:6" x14ac:dyDescent="0.2">
      <c r="A84" s="19">
        <v>18</v>
      </c>
      <c r="B84" s="180" t="s">
        <v>16</v>
      </c>
      <c r="C84" s="181"/>
      <c r="D84" s="14">
        <f t="shared" si="5"/>
        <v>122528</v>
      </c>
      <c r="E84" s="17">
        <f>IF(F3="1",SUMIF(Data!A:A,'8'!$A$2,Data!EP:EP),0)</f>
        <v>451404</v>
      </c>
      <c r="F84" s="21">
        <f t="shared" si="4"/>
        <v>3.68</v>
      </c>
    </row>
    <row r="85" spans="1:6" x14ac:dyDescent="0.2">
      <c r="A85" s="19">
        <v>19</v>
      </c>
      <c r="B85" s="180" t="s">
        <v>17</v>
      </c>
      <c r="C85" s="181"/>
      <c r="D85" s="14">
        <f t="shared" si="5"/>
        <v>589194</v>
      </c>
      <c r="E85" s="17">
        <f>IF(F3="1",SUMIF(Data!A:A,'8'!$A$2,Data!EQ:EQ),0)</f>
        <v>864836</v>
      </c>
      <c r="F85" s="21">
        <f t="shared" si="4"/>
        <v>1.47</v>
      </c>
    </row>
    <row r="86" spans="1:6" x14ac:dyDescent="0.2">
      <c r="A86" s="19">
        <v>20</v>
      </c>
      <c r="B86" s="180" t="s">
        <v>18</v>
      </c>
      <c r="C86" s="181"/>
      <c r="D86" s="14">
        <f t="shared" si="5"/>
        <v>71784</v>
      </c>
      <c r="E86" s="17">
        <f>IF(F3="1",SUMIF(Data!A:A,'8'!$A$2,Data!ER:ER),0)</f>
        <v>117965</v>
      </c>
      <c r="F86" s="21">
        <f t="shared" si="4"/>
        <v>1.64</v>
      </c>
    </row>
    <row r="87" spans="1:6" ht="14.25" customHeight="1" x14ac:dyDescent="0.2">
      <c r="A87" s="19">
        <v>21</v>
      </c>
      <c r="B87" s="180" t="s">
        <v>461</v>
      </c>
      <c r="C87" s="181"/>
      <c r="D87" s="14">
        <f t="shared" si="5"/>
        <v>33722</v>
      </c>
      <c r="E87" s="17">
        <f>IF(F3="1",SUMIF(Data!A:A,'8'!$A$2,Data!ES:ES),0)</f>
        <v>53677</v>
      </c>
      <c r="F87" s="21">
        <f t="shared" si="4"/>
        <v>1.59</v>
      </c>
    </row>
    <row r="88" spans="1:6" x14ac:dyDescent="0.2">
      <c r="A88" s="19">
        <v>22</v>
      </c>
      <c r="B88" s="180" t="s">
        <v>19</v>
      </c>
      <c r="C88" s="181"/>
      <c r="D88" s="14">
        <f t="shared" si="5"/>
        <v>2016</v>
      </c>
      <c r="E88" s="17">
        <f>IF(F3="1",SUMIF(Data!A:A,'8'!$A$2,Data!ET:ET),0)</f>
        <v>2195</v>
      </c>
      <c r="F88" s="21">
        <f t="shared" si="4"/>
        <v>1.0900000000000001</v>
      </c>
    </row>
    <row r="89" spans="1:6" x14ac:dyDescent="0.2">
      <c r="A89" s="19">
        <v>23</v>
      </c>
      <c r="B89" s="180" t="s">
        <v>20</v>
      </c>
      <c r="C89" s="181"/>
      <c r="D89" s="14">
        <f t="shared" si="5"/>
        <v>120840</v>
      </c>
      <c r="E89" s="17">
        <f>IF(F3="1",SUMIF(Data!A:A,'8'!$A$2,Data!EU:EU),0)</f>
        <v>279960</v>
      </c>
      <c r="F89" s="21">
        <f t="shared" si="4"/>
        <v>2.3199999999999998</v>
      </c>
    </row>
    <row r="90" spans="1:6" x14ac:dyDescent="0.2">
      <c r="A90" s="19">
        <v>24</v>
      </c>
      <c r="B90" s="180" t="s">
        <v>21</v>
      </c>
      <c r="C90" s="181"/>
      <c r="D90" s="14">
        <f t="shared" si="5"/>
        <v>199928</v>
      </c>
      <c r="E90" s="17">
        <f>IF(F3="1",SUMIF(Data!A:A,'8'!$A$2,Data!EV:EV),0)</f>
        <v>184685</v>
      </c>
      <c r="F90" s="21">
        <f t="shared" si="4"/>
        <v>0.92</v>
      </c>
    </row>
    <row r="91" spans="1:6" x14ac:dyDescent="0.2">
      <c r="A91" s="19">
        <v>25</v>
      </c>
      <c r="B91" s="180" t="s">
        <v>22</v>
      </c>
      <c r="C91" s="181"/>
      <c r="D91" s="14">
        <f t="shared" si="5"/>
        <v>916192</v>
      </c>
      <c r="E91" s="17">
        <f>IF(F3="1",SUMIF(Data!A:A,'8'!$A$2,Data!EW:EW),0)</f>
        <v>1080682</v>
      </c>
      <c r="F91" s="21">
        <f t="shared" si="4"/>
        <v>1.18</v>
      </c>
    </row>
    <row r="92" spans="1:6" x14ac:dyDescent="0.2">
      <c r="A92" s="19">
        <v>26</v>
      </c>
      <c r="B92" s="180" t="s">
        <v>23</v>
      </c>
      <c r="C92" s="181"/>
      <c r="D92" s="14">
        <f t="shared" si="5"/>
        <v>140660</v>
      </c>
      <c r="E92" s="17">
        <f>IF(F3="1",SUMIF(Data!A:A,'8'!$A$2,Data!EX:EX),0)</f>
        <v>280219</v>
      </c>
      <c r="F92" s="21">
        <f t="shared" si="4"/>
        <v>1.99</v>
      </c>
    </row>
    <row r="93" spans="1:6" x14ac:dyDescent="0.2">
      <c r="A93" s="19">
        <v>28</v>
      </c>
      <c r="B93" s="180" t="s">
        <v>24</v>
      </c>
      <c r="C93" s="181"/>
      <c r="D93" s="14">
        <f t="shared" si="5"/>
        <v>0</v>
      </c>
      <c r="E93" s="17">
        <f>IF(F3="1",SUMIF(Data!A:A,'8'!$A$2,Data!EZ:EZ),0)</f>
        <v>0</v>
      </c>
      <c r="F93" s="21" t="str">
        <f t="shared" si="4"/>
        <v/>
      </c>
    </row>
    <row r="94" spans="1:6" ht="15.75" customHeight="1" thickBot="1" x14ac:dyDescent="0.25">
      <c r="A94" s="22">
        <v>29</v>
      </c>
      <c r="B94" s="184" t="s">
        <v>25</v>
      </c>
      <c r="C94" s="185"/>
      <c r="D94" s="23">
        <f t="shared" si="5"/>
        <v>0</v>
      </c>
      <c r="E94" s="24">
        <f>IF(F3="1",SUMIF(Data!A:A,'8'!$A$2,Data!FA:FA),0)</f>
        <v>0</v>
      </c>
      <c r="F94" s="25" t="str">
        <f t="shared" si="4"/>
        <v/>
      </c>
    </row>
    <row r="95" spans="1:6" x14ac:dyDescent="0.2">
      <c r="B95" s="30" t="s">
        <v>35</v>
      </c>
      <c r="C95" s="30"/>
      <c r="D95" s="59">
        <f>SUM(D67:D94)</f>
        <v>5416865</v>
      </c>
      <c r="E95" s="31">
        <f>SUM(E67:E94)</f>
        <v>9680820</v>
      </c>
      <c r="F95" s="32">
        <f t="shared" si="4"/>
        <v>1.79</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IF(F3="1",SUMIF(Data!A:A,'8'!$A$2,Data!AH:AH),0)</f>
        <v>7737153</v>
      </c>
      <c r="F98" s="20">
        <f>IF(OR(E98=0,E98=0),"",ROUND(E98/$D$105,2))</f>
        <v>1.43</v>
      </c>
    </row>
    <row r="99" spans="2:6" x14ac:dyDescent="0.2">
      <c r="B99" s="190" t="s">
        <v>31</v>
      </c>
      <c r="C99" s="191"/>
      <c r="D99" s="36"/>
      <c r="E99" s="17">
        <f>IF(F3="1",SUMIF(Data!A:A,'8'!$A$2,Data!AI:AI),0)</f>
        <v>2942512</v>
      </c>
      <c r="F99" s="21">
        <f t="shared" ref="F99:F104" si="6">IF(OR(E99=0,E99=0),"",ROUND(E99/$D$105,2))</f>
        <v>0.54</v>
      </c>
    </row>
    <row r="100" spans="2:6" x14ac:dyDescent="0.2">
      <c r="B100" s="190" t="s">
        <v>1089</v>
      </c>
      <c r="C100" s="191"/>
      <c r="D100" s="36"/>
      <c r="E100" s="17">
        <f>IF(F3="1",SUMIF(Data!A:A,'8'!$A$2,Data!AJ:AJ),0)</f>
        <v>906556</v>
      </c>
      <c r="F100" s="21">
        <f t="shared" si="6"/>
        <v>0.17</v>
      </c>
    </row>
    <row r="101" spans="2:6" x14ac:dyDescent="0.2">
      <c r="B101" s="190" t="s">
        <v>1090</v>
      </c>
      <c r="C101" s="191"/>
      <c r="D101" s="36"/>
      <c r="E101" s="17">
        <f>IF(F3="1",SUMIF(Data!A:A,'8'!$A$2,Data!AK:AK),0)</f>
        <v>346784</v>
      </c>
      <c r="F101" s="21">
        <f t="shared" si="6"/>
        <v>0.06</v>
      </c>
    </row>
    <row r="102" spans="2:6" x14ac:dyDescent="0.2">
      <c r="B102" s="190" t="s">
        <v>1091</v>
      </c>
      <c r="C102" s="191"/>
      <c r="D102" s="36"/>
      <c r="E102" s="17">
        <f>IF(F3="1",SUMIF(Data!A:A,'8'!$A$2,Data!AL:AL),0)</f>
        <v>157818</v>
      </c>
      <c r="F102" s="21">
        <f t="shared" si="6"/>
        <v>0.03</v>
      </c>
    </row>
    <row r="103" spans="2:6" x14ac:dyDescent="0.2">
      <c r="B103" s="192" t="s">
        <v>34</v>
      </c>
      <c r="C103" s="193"/>
      <c r="D103" s="36"/>
      <c r="E103" s="17">
        <f>IF(F3="1",SUMIF(Data!A:A,'8'!$A$2,Data!AM:AM),0)</f>
        <v>0</v>
      </c>
      <c r="F103" s="21" t="str">
        <f t="shared" si="6"/>
        <v/>
      </c>
    </row>
    <row r="104" spans="2:6" ht="15.75" customHeight="1" thickBot="1" x14ac:dyDescent="0.25">
      <c r="B104" s="186" t="s">
        <v>29</v>
      </c>
      <c r="C104" s="187"/>
      <c r="D104" s="37"/>
      <c r="E104" s="24">
        <f>IF(F3="1",SUMIF(Data!A:A,'8'!$A$2,Data!Q:Q),0)</f>
        <v>3311227</v>
      </c>
      <c r="F104" s="25">
        <f t="shared" si="6"/>
        <v>0.61</v>
      </c>
    </row>
    <row r="105" spans="2:6" x14ac:dyDescent="0.2">
      <c r="B105" s="30" t="s">
        <v>35</v>
      </c>
      <c r="C105" s="30"/>
      <c r="D105" s="34">
        <f>D95</f>
        <v>5416865</v>
      </c>
      <c r="E105" s="31">
        <f>SUM(E98:E104)</f>
        <v>15402050</v>
      </c>
      <c r="F105" s="32">
        <f>IF($D$105=0,"",ROUND(E105/$D$105,2))</f>
        <v>2.84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9680820</v>
      </c>
      <c r="D109" s="15">
        <f>IF(F3="1",SUMIF(Data!$A:$A,$A$2,Data!HJ:HJ),0)</f>
        <v>0</v>
      </c>
      <c r="E109" s="15">
        <f>IF(F3="1",SUMIF(Data!$A:$A,$A$2,Data!IN:IN),0)</f>
        <v>0</v>
      </c>
      <c r="F109" s="47">
        <f>SUM(C109:E109)</f>
        <v>9680820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157818</v>
      </c>
      <c r="F116" s="48">
        <f t="shared" si="7"/>
        <v>157818</v>
      </c>
    </row>
    <row r="117" spans="1:6" ht="15" thickBot="1" x14ac:dyDescent="0.25">
      <c r="B117" s="43" t="s">
        <v>933</v>
      </c>
      <c r="C117" s="52"/>
      <c r="D117" s="52">
        <f>IF(F3="1",SUMIF(Data!A:A,$A$2,Data!Q:Q),0)</f>
        <v>3311227</v>
      </c>
      <c r="E117" s="52"/>
      <c r="F117" s="49">
        <f>SUM(C117:E117)</f>
        <v>3311227</v>
      </c>
    </row>
    <row r="118" spans="1:6" x14ac:dyDescent="0.2">
      <c r="B118" s="13" t="s">
        <v>35</v>
      </c>
      <c r="C118" s="4">
        <f>SUM(C109:C116)</f>
        <v>9680820</v>
      </c>
      <c r="D118" s="4">
        <f>SUM(D109:D116)</f>
        <v>0</v>
      </c>
      <c r="E118" s="4">
        <f>SUM(E109:E116)</f>
        <v>157818</v>
      </c>
      <c r="F118" s="4">
        <f>SUM(F109:F116)</f>
        <v>9838638</v>
      </c>
    </row>
    <row r="119" spans="1:6" ht="15" thickBot="1" x14ac:dyDescent="0.25"/>
    <row r="120" spans="1:6" ht="15" thickBot="1" x14ac:dyDescent="0.25">
      <c r="B120" s="55" t="s">
        <v>934</v>
      </c>
      <c r="C120" s="53"/>
      <c r="D120" s="53"/>
      <c r="E120" s="53">
        <f>IF(F3="1",SUMIF(Data!A:A,'8'!$A$2,Data!AM:AM),0)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2" width="12.140625" style="10" bestFit="1" customWidth="1"/>
    <col min="13" max="13" width="10.5703125" style="10" bestFit="1" customWidth="1"/>
    <col min="14"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358</v>
      </c>
      <c r="B2" s="58" t="str">
        <f>VLOOKUP(A2,Data!A:G,7,0)</f>
        <v>Cisco Junior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7888</v>
      </c>
      <c r="E5" s="15">
        <f>E36+E67+IFERROR($E$105/$D$105*D5,0)</f>
        <v>69874.660225064596</v>
      </c>
      <c r="F5" s="20">
        <f>IF(OR(D5=0,E5=0),"",ROUND(E5/D5,2))</f>
        <v>8.86</v>
      </c>
    </row>
    <row r="6" spans="1:6" x14ac:dyDescent="0.2">
      <c r="A6" s="19">
        <v>2</v>
      </c>
      <c r="B6" s="180" t="s">
        <v>1</v>
      </c>
      <c r="C6" s="181"/>
      <c r="D6" s="14">
        <f t="shared" ref="D6:D32" si="0">D37</f>
        <v>7280</v>
      </c>
      <c r="E6" s="17">
        <f t="shared" ref="E6:E32" si="1">E37+E68+IFERROR($E$105/$D$105*D6,0)</f>
        <v>38997.858828406475</v>
      </c>
      <c r="F6" s="21">
        <f t="shared" ref="F6:F33" si="2">IF(OR(D6=0,E6=0),"",ROUND(E6/D6,2))</f>
        <v>5.36</v>
      </c>
    </row>
    <row r="7" spans="1:6" ht="14.25" customHeight="1" x14ac:dyDescent="0.2">
      <c r="A7" s="19">
        <v>3</v>
      </c>
      <c r="B7" s="180" t="s">
        <v>2</v>
      </c>
      <c r="C7" s="181"/>
      <c r="D7" s="14">
        <f t="shared" si="0"/>
        <v>141984</v>
      </c>
      <c r="E7" s="17">
        <f t="shared" si="1"/>
        <v>465414.88405116269</v>
      </c>
      <c r="F7" s="21">
        <f t="shared" si="2"/>
        <v>3.28</v>
      </c>
    </row>
    <row r="8" spans="1:6" ht="14.25" customHeight="1" x14ac:dyDescent="0.2">
      <c r="A8" s="19">
        <v>4</v>
      </c>
      <c r="B8" s="180" t="s">
        <v>3</v>
      </c>
      <c r="C8" s="181"/>
      <c r="D8" s="14">
        <f t="shared" si="0"/>
        <v>80639</v>
      </c>
      <c r="E8" s="17">
        <f t="shared" si="1"/>
        <v>285834.30234393815</v>
      </c>
      <c r="F8" s="21">
        <f t="shared" si="2"/>
        <v>3.54</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0</v>
      </c>
      <c r="E10" s="17">
        <f t="shared" si="1"/>
        <v>0</v>
      </c>
      <c r="F10" s="21" t="str">
        <f t="shared" si="2"/>
        <v/>
      </c>
    </row>
    <row r="11" spans="1:6" x14ac:dyDescent="0.2">
      <c r="A11" s="19">
        <v>7</v>
      </c>
      <c r="B11" s="180" t="s">
        <v>6</v>
      </c>
      <c r="C11" s="181"/>
      <c r="D11" s="14">
        <f t="shared" si="0"/>
        <v>53487</v>
      </c>
      <c r="E11" s="17">
        <f t="shared" si="1"/>
        <v>247964.09260370562</v>
      </c>
      <c r="F11" s="21">
        <f t="shared" si="2"/>
        <v>4.6399999999999997</v>
      </c>
    </row>
    <row r="12" spans="1:6" x14ac:dyDescent="0.2">
      <c r="A12" s="19">
        <v>8</v>
      </c>
      <c r="B12" s="180" t="s">
        <v>7</v>
      </c>
      <c r="C12" s="181"/>
      <c r="D12" s="14">
        <f t="shared" si="0"/>
        <v>1752</v>
      </c>
      <c r="E12" s="17">
        <f t="shared" si="1"/>
        <v>9439.9934982648538</v>
      </c>
      <c r="F12" s="21">
        <f t="shared" si="2"/>
        <v>5.39</v>
      </c>
    </row>
    <row r="13" spans="1:6" x14ac:dyDescent="0.2">
      <c r="A13" s="19">
        <v>9</v>
      </c>
      <c r="B13" s="180" t="s">
        <v>8</v>
      </c>
      <c r="C13" s="181"/>
      <c r="D13" s="14">
        <f t="shared" si="0"/>
        <v>55333</v>
      </c>
      <c r="E13" s="17">
        <f t="shared" si="1"/>
        <v>188208.28894948011</v>
      </c>
      <c r="F13" s="21">
        <f t="shared" si="2"/>
        <v>3.4</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12192</v>
      </c>
      <c r="E15" s="17">
        <f t="shared" si="1"/>
        <v>65314.54379614447</v>
      </c>
      <c r="F15" s="21">
        <f t="shared" si="2"/>
        <v>5.36</v>
      </c>
    </row>
    <row r="16" spans="1:6" ht="14.25" customHeight="1" x14ac:dyDescent="0.2">
      <c r="A16" s="19">
        <v>12</v>
      </c>
      <c r="B16" s="180" t="s">
        <v>11</v>
      </c>
      <c r="C16" s="181"/>
      <c r="D16" s="14">
        <f t="shared" si="0"/>
        <v>220080</v>
      </c>
      <c r="E16" s="17">
        <f t="shared" si="1"/>
        <v>807235.34765874944</v>
      </c>
      <c r="F16" s="21">
        <f t="shared" si="2"/>
        <v>3.67</v>
      </c>
    </row>
    <row r="17" spans="1:6" x14ac:dyDescent="0.2">
      <c r="A17" s="19">
        <v>13</v>
      </c>
      <c r="B17" s="180" t="s">
        <v>12</v>
      </c>
      <c r="C17" s="181"/>
      <c r="D17" s="14">
        <f t="shared" si="0"/>
        <v>10272</v>
      </c>
      <c r="E17" s="17">
        <f t="shared" si="1"/>
        <v>58929.592017224073</v>
      </c>
      <c r="F17" s="21">
        <f t="shared" si="2"/>
        <v>5.74</v>
      </c>
    </row>
    <row r="18" spans="1:6" ht="14.25" customHeight="1" x14ac:dyDescent="0.2">
      <c r="A18" s="19">
        <v>14</v>
      </c>
      <c r="B18" s="180" t="s">
        <v>464</v>
      </c>
      <c r="C18" s="181"/>
      <c r="D18" s="14">
        <f t="shared" si="0"/>
        <v>34624</v>
      </c>
      <c r="E18" s="17">
        <f t="shared" si="1"/>
        <v>225073.16374653101</v>
      </c>
      <c r="F18" s="21">
        <f t="shared" si="2"/>
        <v>6.5</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74776</v>
      </c>
      <c r="E20" s="17">
        <f t="shared" si="1"/>
        <v>269609.19282320363</v>
      </c>
      <c r="F20" s="21">
        <f t="shared" si="2"/>
        <v>3.61</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108928</v>
      </c>
      <c r="E22" s="17">
        <f t="shared" si="1"/>
        <v>452890.99759074999</v>
      </c>
      <c r="F22" s="21">
        <f t="shared" si="2"/>
        <v>4.16</v>
      </c>
    </row>
    <row r="23" spans="1:6" x14ac:dyDescent="0.2">
      <c r="A23" s="19">
        <v>19</v>
      </c>
      <c r="B23" s="180" t="s">
        <v>17</v>
      </c>
      <c r="C23" s="181"/>
      <c r="D23" s="14">
        <f t="shared" si="0"/>
        <v>129600</v>
      </c>
      <c r="E23" s="17">
        <f t="shared" si="1"/>
        <v>495090.24507712619</v>
      </c>
      <c r="F23" s="21">
        <f t="shared" si="2"/>
        <v>3.82</v>
      </c>
    </row>
    <row r="24" spans="1:6" x14ac:dyDescent="0.2">
      <c r="A24" s="19">
        <v>20</v>
      </c>
      <c r="B24" s="180" t="s">
        <v>18</v>
      </c>
      <c r="C24" s="181"/>
      <c r="D24" s="14">
        <f t="shared" si="0"/>
        <v>30752</v>
      </c>
      <c r="E24" s="17">
        <f t="shared" si="1"/>
        <v>146579.74432570822</v>
      </c>
      <c r="F24" s="21">
        <f t="shared" si="2"/>
        <v>4.7699999999999996</v>
      </c>
    </row>
    <row r="25" spans="1:6" ht="14.25" customHeight="1" x14ac:dyDescent="0.2">
      <c r="A25" s="19">
        <v>21</v>
      </c>
      <c r="B25" s="180" t="s">
        <v>461</v>
      </c>
      <c r="C25" s="181"/>
      <c r="D25" s="14">
        <f t="shared" si="0"/>
        <v>1920</v>
      </c>
      <c r="E25" s="17">
        <f t="shared" si="1"/>
        <v>5210.9517789203883</v>
      </c>
      <c r="F25" s="21">
        <f t="shared" si="2"/>
        <v>2.71</v>
      </c>
    </row>
    <row r="26" spans="1:6" x14ac:dyDescent="0.2">
      <c r="A26" s="19">
        <v>22</v>
      </c>
      <c r="B26" s="180" t="s">
        <v>19</v>
      </c>
      <c r="C26" s="181"/>
      <c r="D26" s="14">
        <f t="shared" si="0"/>
        <v>2080</v>
      </c>
      <c r="E26" s="17">
        <f t="shared" si="1"/>
        <v>93206.531093830417</v>
      </c>
      <c r="F26" s="21">
        <f t="shared" si="2"/>
        <v>44.81</v>
      </c>
    </row>
    <row r="27" spans="1:6" x14ac:dyDescent="0.2">
      <c r="A27" s="19">
        <v>23</v>
      </c>
      <c r="B27" s="180" t="s">
        <v>20</v>
      </c>
      <c r="C27" s="181"/>
      <c r="D27" s="14">
        <f t="shared" si="0"/>
        <v>51840</v>
      </c>
      <c r="E27" s="17">
        <f t="shared" si="1"/>
        <v>488073.6980308505</v>
      </c>
      <c r="F27" s="21">
        <f t="shared" si="2"/>
        <v>9.42</v>
      </c>
    </row>
    <row r="28" spans="1:6" x14ac:dyDescent="0.2">
      <c r="A28" s="19">
        <v>24</v>
      </c>
      <c r="B28" s="180" t="s">
        <v>21</v>
      </c>
      <c r="C28" s="181"/>
      <c r="D28" s="14">
        <f t="shared" si="0"/>
        <v>15648</v>
      </c>
      <c r="E28" s="17">
        <f t="shared" si="1"/>
        <v>109814.25699820116</v>
      </c>
      <c r="F28" s="21">
        <f t="shared" si="2"/>
        <v>7.02</v>
      </c>
    </row>
    <row r="29" spans="1:6" x14ac:dyDescent="0.2">
      <c r="A29" s="19">
        <v>25</v>
      </c>
      <c r="B29" s="180" t="s">
        <v>22</v>
      </c>
      <c r="C29" s="181"/>
      <c r="D29" s="14">
        <f t="shared" si="0"/>
        <v>270000</v>
      </c>
      <c r="E29" s="17">
        <f t="shared" si="1"/>
        <v>857131.09391067957</v>
      </c>
      <c r="F29" s="21">
        <f t="shared" si="2"/>
        <v>3.17</v>
      </c>
    </row>
    <row r="30" spans="1:6" x14ac:dyDescent="0.2">
      <c r="A30" s="19">
        <v>26</v>
      </c>
      <c r="B30" s="180" t="s">
        <v>23</v>
      </c>
      <c r="C30" s="181"/>
      <c r="D30" s="14">
        <f t="shared" si="0"/>
        <v>47024</v>
      </c>
      <c r="E30" s="17">
        <f t="shared" si="1"/>
        <v>329306.56065205851</v>
      </c>
      <c r="F30" s="21">
        <f t="shared" si="2"/>
        <v>7</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1358099</v>
      </c>
      <c r="E33" s="31">
        <f>SUM(E5:E32)</f>
        <v>5709200</v>
      </c>
      <c r="F33" s="32">
        <f t="shared" si="2"/>
        <v>4.2</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IF(F3="1",SUMIF(Data!A:A,'9'!$A$2,Data!CU:CU),0)</f>
        <v>7888</v>
      </c>
      <c r="E36" s="15">
        <f>IF(F3="1",SUMIF(Data!$A:$A,$A$2,Data!IO:IO),0)</f>
        <v>5729</v>
      </c>
      <c r="F36" s="20">
        <f t="shared" ref="F36:F64" si="3">IF(OR(D36=0,E36=0),"",ROUND(E36/D36,2))</f>
        <v>0.73</v>
      </c>
    </row>
    <row r="37" spans="1:6" x14ac:dyDescent="0.2">
      <c r="A37" s="19">
        <v>2</v>
      </c>
      <c r="B37" s="180" t="s">
        <v>1</v>
      </c>
      <c r="C37" s="181"/>
      <c r="D37" s="14">
        <f>IF(F3="1",SUMIF(Data!A:A,'9'!$A$2,Data!CV:CV),0)</f>
        <v>7280</v>
      </c>
      <c r="E37" s="17">
        <f>IF(F3="1",SUMIF(Data!$A:$A,$A$2,Data!IP:IP),0)</f>
        <v>2247</v>
      </c>
      <c r="F37" s="21">
        <f t="shared" si="3"/>
        <v>0.31</v>
      </c>
    </row>
    <row r="38" spans="1:6" ht="14.25" customHeight="1" x14ac:dyDescent="0.2">
      <c r="A38" s="19">
        <v>3</v>
      </c>
      <c r="B38" s="180" t="s">
        <v>2</v>
      </c>
      <c r="C38" s="181"/>
      <c r="D38" s="14">
        <f>IF(F3="1",SUMIF(Data!A:A,'9'!$A$2,Data!CW:CW),0)</f>
        <v>141984</v>
      </c>
      <c r="E38" s="17">
        <f>IF($F$3="1",SUMIF(Data!$A:$A,$A$2,Data!IQ:IQ),0)</f>
        <v>10200</v>
      </c>
      <c r="F38" s="21">
        <f t="shared" si="3"/>
        <v>7.0000000000000007E-2</v>
      </c>
    </row>
    <row r="39" spans="1:6" ht="14.25" customHeight="1" x14ac:dyDescent="0.2">
      <c r="A39" s="19">
        <v>4</v>
      </c>
      <c r="B39" s="180" t="s">
        <v>3</v>
      </c>
      <c r="C39" s="181"/>
      <c r="D39" s="14">
        <f>IF(F3="1",SUMIF(Data!A:A,'9'!$A$2,Data!CX:CX),0)</f>
        <v>80639</v>
      </c>
      <c r="E39" s="17">
        <f>IF($F$3="1",SUMIF(Data!$A:$A,$A$2,Data!IR:IR),0)</f>
        <v>7725</v>
      </c>
      <c r="F39" s="21">
        <f t="shared" si="3"/>
        <v>0.1</v>
      </c>
    </row>
    <row r="40" spans="1:6" x14ac:dyDescent="0.2">
      <c r="A40" s="19">
        <v>5</v>
      </c>
      <c r="B40" s="180" t="s">
        <v>4</v>
      </c>
      <c r="C40" s="181"/>
      <c r="D40" s="14">
        <f>IF(F3="1",SUMIF(Data!A:A,'9'!$A$2,Data!CY:CY),0)</f>
        <v>0</v>
      </c>
      <c r="E40" s="17">
        <f>IF($F$3="1",SUMIF(Data!$A:$A,$A$2,Data!IS:IS),0)</f>
        <v>0</v>
      </c>
      <c r="F40" s="21" t="str">
        <f t="shared" si="3"/>
        <v/>
      </c>
    </row>
    <row r="41" spans="1:6" x14ac:dyDescent="0.2">
      <c r="A41" s="19">
        <v>6</v>
      </c>
      <c r="B41" s="180" t="s">
        <v>5</v>
      </c>
      <c r="C41" s="181"/>
      <c r="D41" s="14">
        <f>IF(F3="1",SUMIF(Data!A:A,'9'!$A$2,Data!CZ:CZ),0)</f>
        <v>0</v>
      </c>
      <c r="E41" s="17">
        <f>IF($F$3="1",SUMIF(Data!$A:$A,$A$2,Data!IT:IT),0)</f>
        <v>0</v>
      </c>
      <c r="F41" s="21" t="str">
        <f t="shared" si="3"/>
        <v/>
      </c>
    </row>
    <row r="42" spans="1:6" x14ac:dyDescent="0.2">
      <c r="A42" s="19">
        <v>7</v>
      </c>
      <c r="B42" s="180" t="s">
        <v>6</v>
      </c>
      <c r="C42" s="181"/>
      <c r="D42" s="14">
        <f>IF(F3="1",SUMIF(Data!A:A,'9'!$A$2,Data!DA:DA),0)</f>
        <v>53487</v>
      </c>
      <c r="E42" s="17">
        <f>IF($F$3="1",SUMIF(Data!$A:$A,$A$2,Data!IU:IU),0)</f>
        <v>4841</v>
      </c>
      <c r="F42" s="21">
        <f t="shared" si="3"/>
        <v>0.09</v>
      </c>
    </row>
    <row r="43" spans="1:6" x14ac:dyDescent="0.2">
      <c r="A43" s="19">
        <v>8</v>
      </c>
      <c r="B43" s="180" t="s">
        <v>7</v>
      </c>
      <c r="C43" s="181"/>
      <c r="D43" s="14">
        <f>IF(F3="1",SUMIF(Data!A:A,'9'!$A$2,Data!DB:DB),0)</f>
        <v>1752</v>
      </c>
      <c r="E43" s="17">
        <f>IF($F$3="1",SUMIF(Data!$A:$A,$A$2,Data!IV:IV),0)</f>
        <v>595</v>
      </c>
      <c r="F43" s="21">
        <f t="shared" si="3"/>
        <v>0.34</v>
      </c>
    </row>
    <row r="44" spans="1:6" x14ac:dyDescent="0.2">
      <c r="A44" s="19">
        <v>9</v>
      </c>
      <c r="B44" s="180" t="s">
        <v>8</v>
      </c>
      <c r="C44" s="181"/>
      <c r="D44" s="14">
        <f>IF(F3="1",SUMIF(Data!A:A,'9'!$A$2,Data!DC:DC),0)</f>
        <v>55333</v>
      </c>
      <c r="E44" s="17">
        <f>IF($F$3="1",SUMIF(Data!$A:$A,$A$2,Data!IW:IW),0)</f>
        <v>15529</v>
      </c>
      <c r="F44" s="21">
        <f t="shared" si="3"/>
        <v>0.28000000000000003</v>
      </c>
    </row>
    <row r="45" spans="1:6" x14ac:dyDescent="0.2">
      <c r="A45" s="19">
        <v>10</v>
      </c>
      <c r="B45" s="180" t="s">
        <v>9</v>
      </c>
      <c r="C45" s="181"/>
      <c r="D45" s="14">
        <f>IF(F3="1",SUMIF(Data!A:A,'9'!$A$2,Data!DD:DD),0)</f>
        <v>0</v>
      </c>
      <c r="E45" s="17">
        <f>IF($F$3="1",SUMIF(Data!$A:$A,$A$2,Data!IX:IX),0)</f>
        <v>0</v>
      </c>
      <c r="F45" s="21" t="str">
        <f t="shared" si="3"/>
        <v/>
      </c>
    </row>
    <row r="46" spans="1:6" x14ac:dyDescent="0.2">
      <c r="A46" s="19">
        <v>11</v>
      </c>
      <c r="B46" s="180" t="s">
        <v>10</v>
      </c>
      <c r="C46" s="181"/>
      <c r="D46" s="14">
        <f>IF(F3="1",SUMIF(Data!A:A,'9'!$A$2,Data!DE:DE),0)</f>
        <v>12192</v>
      </c>
      <c r="E46" s="17">
        <f>IF($F$3="1",SUMIF(Data!$A:$A,$A$2,Data!IY:IY),0)</f>
        <v>3767</v>
      </c>
      <c r="F46" s="21">
        <f t="shared" si="3"/>
        <v>0.31</v>
      </c>
    </row>
    <row r="47" spans="1:6" ht="14.25" customHeight="1" x14ac:dyDescent="0.2">
      <c r="A47" s="19">
        <v>12</v>
      </c>
      <c r="B47" s="180" t="s">
        <v>11</v>
      </c>
      <c r="C47" s="181"/>
      <c r="D47" s="14">
        <f>IF(F3="1",SUMIF(Data!A:A,'9'!$A$2,Data!DF:DF),0)</f>
        <v>220080</v>
      </c>
      <c r="E47" s="17">
        <f>IF($F$3="1",SUMIF(Data!$A:$A,$A$2,Data!IZ:IZ),0)</f>
        <v>16819</v>
      </c>
      <c r="F47" s="21">
        <f t="shared" si="3"/>
        <v>0.08</v>
      </c>
    </row>
    <row r="48" spans="1:6" x14ac:dyDescent="0.2">
      <c r="A48" s="19">
        <v>13</v>
      </c>
      <c r="B48" s="180" t="s">
        <v>12</v>
      </c>
      <c r="C48" s="181"/>
      <c r="D48" s="14">
        <f>IF(F3="1",SUMIF(Data!A:A,'9'!$A$2,Data!DG:DG),0)</f>
        <v>10272</v>
      </c>
      <c r="E48" s="17">
        <f>IF($F$3="1",SUMIF(Data!$A:$A,$A$2,Data!JA:JA),0)</f>
        <v>256</v>
      </c>
      <c r="F48" s="21">
        <f t="shared" si="3"/>
        <v>0.02</v>
      </c>
    </row>
    <row r="49" spans="1:6" ht="14.25" customHeight="1" x14ac:dyDescent="0.2">
      <c r="A49" s="19">
        <v>14</v>
      </c>
      <c r="B49" s="180" t="s">
        <v>464</v>
      </c>
      <c r="C49" s="181"/>
      <c r="D49" s="14">
        <f>IF(F3="1",SUMIF(Data!A:A,'9'!$A$2,Data!DH:DH),0)</f>
        <v>34624</v>
      </c>
      <c r="E49" s="17">
        <f>IF($F$3="1",SUMIF(Data!$A:$A,$A$2,Data!JB:JB),0)</f>
        <v>35980</v>
      </c>
      <c r="F49" s="21">
        <f t="shared" si="3"/>
        <v>1.04</v>
      </c>
    </row>
    <row r="50" spans="1:6" x14ac:dyDescent="0.2">
      <c r="A50" s="19">
        <v>15</v>
      </c>
      <c r="B50" s="180" t="s">
        <v>13</v>
      </c>
      <c r="C50" s="181"/>
      <c r="D50" s="14">
        <f>IF(F3="1",SUMIF(Data!A:A,'9'!$A$2,Data!DI:DI),0)</f>
        <v>0</v>
      </c>
      <c r="E50" s="17">
        <f>IF($F$3="1",SUMIF(Data!$A:$A,$A$2,Data!JC:JC),0)</f>
        <v>0</v>
      </c>
      <c r="F50" s="21" t="str">
        <f t="shared" si="3"/>
        <v/>
      </c>
    </row>
    <row r="51" spans="1:6" x14ac:dyDescent="0.2">
      <c r="A51" s="19">
        <v>16</v>
      </c>
      <c r="B51" s="180" t="s">
        <v>14</v>
      </c>
      <c r="C51" s="181"/>
      <c r="D51" s="14">
        <f>IF(F3="1",SUMIF(Data!A:A,'9'!$A$2,Data!DJ:DJ),0)</f>
        <v>74776</v>
      </c>
      <c r="E51" s="17">
        <f>IF($F$3="1",SUMIF(Data!$A:$A,$A$2,Data!JD:JD),0)</f>
        <v>4274</v>
      </c>
      <c r="F51" s="21">
        <f t="shared" si="3"/>
        <v>0.06</v>
      </c>
    </row>
    <row r="52" spans="1:6" x14ac:dyDescent="0.2">
      <c r="A52" s="19">
        <v>17</v>
      </c>
      <c r="B52" s="180" t="s">
        <v>15</v>
      </c>
      <c r="C52" s="181"/>
      <c r="D52" s="14">
        <f>IF(F3="1",SUMIF(Data!A:A,'9'!$A$2,Data!DK:DK),0)</f>
        <v>0</v>
      </c>
      <c r="E52" s="17">
        <f>IF($F$3="1",SUMIF(Data!$A:$A,$A$2,Data!JE:JE),0)</f>
        <v>0</v>
      </c>
      <c r="F52" s="21" t="str">
        <f t="shared" si="3"/>
        <v/>
      </c>
    </row>
    <row r="53" spans="1:6" x14ac:dyDescent="0.2">
      <c r="A53" s="19">
        <v>18</v>
      </c>
      <c r="B53" s="180" t="s">
        <v>16</v>
      </c>
      <c r="C53" s="181"/>
      <c r="D53" s="14">
        <f>IF(F3="1",SUMIF(Data!A:A,'9'!$A$2,Data!DL:DL),0)</f>
        <v>108928</v>
      </c>
      <c r="E53" s="17">
        <f>IF($F$3="1",SUMIF(Data!$A:$A,$A$2,Data!JF:JF),0)</f>
        <v>41943</v>
      </c>
      <c r="F53" s="21">
        <f t="shared" si="3"/>
        <v>0.39</v>
      </c>
    </row>
    <row r="54" spans="1:6" x14ac:dyDescent="0.2">
      <c r="A54" s="19">
        <v>19</v>
      </c>
      <c r="B54" s="180" t="s">
        <v>17</v>
      </c>
      <c r="C54" s="181"/>
      <c r="D54" s="14">
        <f>IF(F3="1",SUMIF(Data!A:A,'9'!$A$2,Data!DM:DM),0)</f>
        <v>129600</v>
      </c>
      <c r="E54" s="17">
        <f>IF($F$3="1",SUMIF(Data!$A:$A,$A$2,Data!JG:JG),0)</f>
        <v>5672</v>
      </c>
      <c r="F54" s="21">
        <f t="shared" si="3"/>
        <v>0.04</v>
      </c>
    </row>
    <row r="55" spans="1:6" x14ac:dyDescent="0.2">
      <c r="A55" s="19">
        <v>20</v>
      </c>
      <c r="B55" s="180" t="s">
        <v>18</v>
      </c>
      <c r="C55" s="181"/>
      <c r="D55" s="14">
        <f>IF(F3="1",SUMIF(Data!A:A,'9'!$A$2,Data!DN:DN),0)</f>
        <v>30752</v>
      </c>
      <c r="E55" s="17">
        <f>IF($F$3="1",SUMIF(Data!$A:$A,$A$2,Data!JH:JH),0)</f>
        <v>12670</v>
      </c>
      <c r="F55" s="21">
        <f t="shared" si="3"/>
        <v>0.41</v>
      </c>
    </row>
    <row r="56" spans="1:6" ht="14.25" customHeight="1" x14ac:dyDescent="0.2">
      <c r="A56" s="19">
        <v>21</v>
      </c>
      <c r="B56" s="180" t="s">
        <v>461</v>
      </c>
      <c r="C56" s="181"/>
      <c r="D56" s="14">
        <f>IF(F3="1",SUMIF(Data!A:A,'9'!$A$2,Data!DO:DO),0)</f>
        <v>1920</v>
      </c>
      <c r="E56" s="17">
        <f>IF($F$3="1",SUMIF(Data!$A:$A,$A$2,Data!JI:JI),0)</f>
        <v>0</v>
      </c>
      <c r="F56" s="21" t="str">
        <f t="shared" si="3"/>
        <v/>
      </c>
    </row>
    <row r="57" spans="1:6" x14ac:dyDescent="0.2">
      <c r="A57" s="19">
        <v>22</v>
      </c>
      <c r="B57" s="180" t="s">
        <v>19</v>
      </c>
      <c r="C57" s="181"/>
      <c r="D57" s="14">
        <f>IF(F3="1",SUMIF(Data!A:A,'9'!$A$2,Data!DP:DP),0)</f>
        <v>2080</v>
      </c>
      <c r="E57" s="17">
        <f>IF($F$3="1",SUMIF(Data!$A:$A,$A$2,Data!JJ:JJ),0)</f>
        <v>7365</v>
      </c>
      <c r="F57" s="21">
        <f t="shared" si="3"/>
        <v>3.54</v>
      </c>
    </row>
    <row r="58" spans="1:6" x14ac:dyDescent="0.2">
      <c r="A58" s="19">
        <v>23</v>
      </c>
      <c r="B58" s="180" t="s">
        <v>20</v>
      </c>
      <c r="C58" s="181"/>
      <c r="D58" s="14">
        <f>IF(F3="1",SUMIF(Data!A:A,'9'!$A$2,Data!DQ:DQ),0)</f>
        <v>51840</v>
      </c>
      <c r="E58" s="17">
        <f>IF($F$3="1",SUMIF(Data!$A:$A,$A$2,Data!JK:JK),0)</f>
        <v>48941</v>
      </c>
      <c r="F58" s="21">
        <f t="shared" si="3"/>
        <v>0.94</v>
      </c>
    </row>
    <row r="59" spans="1:6" x14ac:dyDescent="0.2">
      <c r="A59" s="19">
        <v>24</v>
      </c>
      <c r="B59" s="180" t="s">
        <v>21</v>
      </c>
      <c r="C59" s="181"/>
      <c r="D59" s="14">
        <f>IF(F3="1",SUMIF(Data!A:A,'9'!$A$2,Data!DR:DR),0)</f>
        <v>15648</v>
      </c>
      <c r="E59" s="17">
        <f>IF($F$3="1",SUMIF(Data!$A:$A,$A$2,Data!JL:JL),0)</f>
        <v>1881</v>
      </c>
      <c r="F59" s="21">
        <f t="shared" si="3"/>
        <v>0.12</v>
      </c>
    </row>
    <row r="60" spans="1:6" x14ac:dyDescent="0.2">
      <c r="A60" s="19">
        <v>25</v>
      </c>
      <c r="B60" s="180" t="s">
        <v>22</v>
      </c>
      <c r="C60" s="181"/>
      <c r="D60" s="14">
        <f>IF(F3="1",SUMIF(Data!A:A,'9'!$A$2,Data!DS:DS),0)</f>
        <v>270000</v>
      </c>
      <c r="E60" s="17">
        <f>IF($F$3="1",SUMIF(Data!$A:$A,$A$2,Data!JM:JM),0)</f>
        <v>23579</v>
      </c>
      <c r="F60" s="21">
        <f t="shared" si="3"/>
        <v>0.09</v>
      </c>
    </row>
    <row r="61" spans="1:6" x14ac:dyDescent="0.2">
      <c r="A61" s="19">
        <v>26</v>
      </c>
      <c r="B61" s="180" t="s">
        <v>23</v>
      </c>
      <c r="C61" s="181"/>
      <c r="D61" s="14">
        <f>IF(F3="1",SUMIF(Data!A:A,'9'!$A$2,Data!DT:DT),0)</f>
        <v>47024</v>
      </c>
      <c r="E61" s="17">
        <f>IF($F$3="1",SUMIF(Data!$A:$A,$A$2,Data!JN:JN),0)</f>
        <v>20622</v>
      </c>
      <c r="F61" s="21">
        <f t="shared" si="3"/>
        <v>0.44</v>
      </c>
    </row>
    <row r="62" spans="1:6" x14ac:dyDescent="0.2">
      <c r="A62" s="19">
        <v>28</v>
      </c>
      <c r="B62" s="180" t="s">
        <v>24</v>
      </c>
      <c r="C62" s="181"/>
      <c r="D62" s="14">
        <f>IF(F3="1",SUMIF(Data!A:A,'9'!$A$2,Data!DV:DV),0)</f>
        <v>0</v>
      </c>
      <c r="E62" s="17">
        <f>IF($F$3="1",SUMIF(Data!$A:$A,$A$2,Data!JP:JP),0)</f>
        <v>0</v>
      </c>
      <c r="F62" s="21" t="str">
        <f t="shared" si="3"/>
        <v/>
      </c>
    </row>
    <row r="63" spans="1:6" ht="15.75" customHeight="1" thickBot="1" x14ac:dyDescent="0.25">
      <c r="A63" s="22">
        <v>29</v>
      </c>
      <c r="B63" s="184" t="s">
        <v>25</v>
      </c>
      <c r="C63" s="185"/>
      <c r="D63" s="23">
        <f>IF(F3="1",SUMIF(Data!A:A,'9'!$A$2,Data!DW:DW),0)</f>
        <v>0</v>
      </c>
      <c r="E63" s="24">
        <f>IF($F$3="1",SUMIF(Data!$A:$A,$A$2,Data!JQ:JQ),0)</f>
        <v>0</v>
      </c>
      <c r="F63" s="25" t="str">
        <f t="shared" si="3"/>
        <v/>
      </c>
    </row>
    <row r="64" spans="1:6" x14ac:dyDescent="0.2">
      <c r="B64" s="30" t="s">
        <v>35</v>
      </c>
      <c r="C64" s="30"/>
      <c r="D64" s="59">
        <f>SUM(D36:D63)</f>
        <v>1358099</v>
      </c>
      <c r="E64" s="31">
        <f>SUM(E36:E63)</f>
        <v>270635</v>
      </c>
      <c r="F64" s="32">
        <f t="shared" si="3"/>
        <v>0.2</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7888</v>
      </c>
      <c r="E67" s="15">
        <f>IF(F3="1",SUMIF(Data!A:A,'9'!$A$2,Data!DY:DY),0)</f>
        <v>50954</v>
      </c>
      <c r="F67" s="20">
        <f t="shared" ref="F67:F95" si="4">IF(OR(D67=0,E67=0),"",ROUND(E67/D67,2))</f>
        <v>6.46</v>
      </c>
    </row>
    <row r="68" spans="1:6" x14ac:dyDescent="0.2">
      <c r="A68" s="19">
        <v>2</v>
      </c>
      <c r="B68" s="180" t="s">
        <v>1</v>
      </c>
      <c r="C68" s="181"/>
      <c r="D68" s="14">
        <f t="shared" ref="D68:D94" si="5">D37</f>
        <v>7280</v>
      </c>
      <c r="E68" s="17">
        <f>IF(F3="1",SUMIF(Data!A:A,'9'!$A$2,Data!DZ:DZ),0)</f>
        <v>24576</v>
      </c>
      <c r="F68" s="21">
        <f t="shared" si="4"/>
        <v>3.38</v>
      </c>
    </row>
    <row r="69" spans="1:6" ht="14.25" customHeight="1" x14ac:dyDescent="0.2">
      <c r="A69" s="19">
        <v>3</v>
      </c>
      <c r="B69" s="180" t="s">
        <v>2</v>
      </c>
      <c r="C69" s="181"/>
      <c r="D69" s="14">
        <f t="shared" si="5"/>
        <v>141984</v>
      </c>
      <c r="E69" s="17">
        <f>IF(F3="1",SUMIF(Data!A:A,'9'!$A$2,Data!EA:EA),0)</f>
        <v>217765</v>
      </c>
      <c r="F69" s="21">
        <f t="shared" si="4"/>
        <v>1.53</v>
      </c>
    </row>
    <row r="70" spans="1:6" ht="14.25" customHeight="1" x14ac:dyDescent="0.2">
      <c r="A70" s="19">
        <v>4</v>
      </c>
      <c r="B70" s="180" t="s">
        <v>3</v>
      </c>
      <c r="C70" s="181"/>
      <c r="D70" s="14">
        <f t="shared" si="5"/>
        <v>80639</v>
      </c>
      <c r="E70" s="17">
        <f>IF(F3="1",SUMIF(Data!A:A,'9'!$A$2,Data!EB:EB),0)</f>
        <v>143251</v>
      </c>
      <c r="F70" s="21">
        <f t="shared" si="4"/>
        <v>1.78</v>
      </c>
    </row>
    <row r="71" spans="1:6" x14ac:dyDescent="0.2">
      <c r="A71" s="19">
        <v>5</v>
      </c>
      <c r="B71" s="180" t="s">
        <v>4</v>
      </c>
      <c r="C71" s="181"/>
      <c r="D71" s="14">
        <f t="shared" si="5"/>
        <v>0</v>
      </c>
      <c r="E71" s="17">
        <f>IF(F3="1",SUMIF(Data!A:A,'9'!$A$2,Data!EC:EC),0)</f>
        <v>0</v>
      </c>
      <c r="F71" s="21" t="str">
        <f t="shared" si="4"/>
        <v/>
      </c>
    </row>
    <row r="72" spans="1:6" x14ac:dyDescent="0.2">
      <c r="A72" s="19">
        <v>6</v>
      </c>
      <c r="B72" s="180" t="s">
        <v>5</v>
      </c>
      <c r="C72" s="181"/>
      <c r="D72" s="14">
        <f t="shared" si="5"/>
        <v>0</v>
      </c>
      <c r="E72" s="17">
        <f>IF(F3="1",SUMIF(Data!A:A,'9'!$A$2,Data!ED:ED),0)</f>
        <v>0</v>
      </c>
      <c r="F72" s="21" t="str">
        <f t="shared" si="4"/>
        <v/>
      </c>
    </row>
    <row r="73" spans="1:6" x14ac:dyDescent="0.2">
      <c r="A73" s="19">
        <v>7</v>
      </c>
      <c r="B73" s="180" t="s">
        <v>6</v>
      </c>
      <c r="C73" s="181"/>
      <c r="D73" s="14">
        <f t="shared" si="5"/>
        <v>53487</v>
      </c>
      <c r="E73" s="17">
        <f>IF(F3="1",SUMIF(Data!A:A,'9'!$A$2,Data!EE:EE),0)</f>
        <v>153673</v>
      </c>
      <c r="F73" s="21">
        <f t="shared" si="4"/>
        <v>2.87</v>
      </c>
    </row>
    <row r="74" spans="1:6" x14ac:dyDescent="0.2">
      <c r="A74" s="19">
        <v>8</v>
      </c>
      <c r="B74" s="180" t="s">
        <v>7</v>
      </c>
      <c r="C74" s="181"/>
      <c r="D74" s="14">
        <f t="shared" si="5"/>
        <v>1752</v>
      </c>
      <c r="E74" s="17">
        <f>IF(F3="1",SUMIF(Data!A:A,'9'!$A$2,Data!EF:EF),0)</f>
        <v>5915</v>
      </c>
      <c r="F74" s="21">
        <f t="shared" si="4"/>
        <v>3.38</v>
      </c>
    </row>
    <row r="75" spans="1:6" x14ac:dyDescent="0.2">
      <c r="A75" s="19">
        <v>9</v>
      </c>
      <c r="B75" s="180" t="s">
        <v>8</v>
      </c>
      <c r="C75" s="181"/>
      <c r="D75" s="14">
        <f t="shared" si="5"/>
        <v>55333</v>
      </c>
      <c r="E75" s="17">
        <f>IF(F3="1",SUMIF(Data!A:A,'9'!$A$2,Data!EG:EG),0)</f>
        <v>80142</v>
      </c>
      <c r="F75" s="21">
        <f t="shared" si="4"/>
        <v>1.45</v>
      </c>
    </row>
    <row r="76" spans="1:6" x14ac:dyDescent="0.2">
      <c r="A76" s="19">
        <v>10</v>
      </c>
      <c r="B76" s="180" t="s">
        <v>9</v>
      </c>
      <c r="C76" s="181"/>
      <c r="D76" s="14">
        <f t="shared" si="5"/>
        <v>0</v>
      </c>
      <c r="E76" s="17">
        <f>IF(F3="1",SUMIF(Data!A:A,'9'!$A$2,Data!EH:EH),0)</f>
        <v>0</v>
      </c>
      <c r="F76" s="21" t="str">
        <f t="shared" si="4"/>
        <v/>
      </c>
    </row>
    <row r="77" spans="1:6" x14ac:dyDescent="0.2">
      <c r="A77" s="19">
        <v>11</v>
      </c>
      <c r="B77" s="180" t="s">
        <v>10</v>
      </c>
      <c r="C77" s="181"/>
      <c r="D77" s="14">
        <f t="shared" si="5"/>
        <v>12192</v>
      </c>
      <c r="E77" s="17">
        <f>IF(F3="1",SUMIF(Data!A:A,'9'!$A$2,Data!EI:EI),0)</f>
        <v>41158</v>
      </c>
      <c r="F77" s="21">
        <f t="shared" si="4"/>
        <v>3.38</v>
      </c>
    </row>
    <row r="78" spans="1:6" ht="14.25" customHeight="1" x14ac:dyDescent="0.2">
      <c r="A78" s="19">
        <v>12</v>
      </c>
      <c r="B78" s="180" t="s">
        <v>11</v>
      </c>
      <c r="C78" s="181"/>
      <c r="D78" s="14">
        <f t="shared" si="5"/>
        <v>220080</v>
      </c>
      <c r="E78" s="17">
        <f>IF(F3="1",SUMIF(Data!A:A,'9'!$A$2,Data!EJ:EJ),0)</f>
        <v>422361</v>
      </c>
      <c r="F78" s="21">
        <f t="shared" si="4"/>
        <v>1.92</v>
      </c>
    </row>
    <row r="79" spans="1:6" x14ac:dyDescent="0.2">
      <c r="A79" s="19">
        <v>13</v>
      </c>
      <c r="B79" s="180" t="s">
        <v>12</v>
      </c>
      <c r="C79" s="181"/>
      <c r="D79" s="14">
        <f t="shared" si="5"/>
        <v>10272</v>
      </c>
      <c r="E79" s="17">
        <f>IF(F3="1",SUMIF(Data!A:A,'9'!$A$2,Data!EK:EK),0)</f>
        <v>41495</v>
      </c>
      <c r="F79" s="21">
        <f t="shared" si="4"/>
        <v>4.04</v>
      </c>
    </row>
    <row r="80" spans="1:6" ht="14.25" customHeight="1" x14ac:dyDescent="0.2">
      <c r="A80" s="19">
        <v>14</v>
      </c>
      <c r="B80" s="180" t="s">
        <v>464</v>
      </c>
      <c r="C80" s="181"/>
      <c r="D80" s="14">
        <f t="shared" si="5"/>
        <v>34624</v>
      </c>
      <c r="E80" s="17">
        <f>IF(F3="1",SUMIF(Data!A:A,'9'!$A$2,Data!EL:EL),0)</f>
        <v>131189</v>
      </c>
      <c r="F80" s="21">
        <f t="shared" si="4"/>
        <v>3.79</v>
      </c>
    </row>
    <row r="81" spans="1:6" x14ac:dyDescent="0.2">
      <c r="A81" s="19">
        <v>15</v>
      </c>
      <c r="B81" s="180" t="s">
        <v>13</v>
      </c>
      <c r="C81" s="181"/>
      <c r="D81" s="14">
        <f t="shared" si="5"/>
        <v>0</v>
      </c>
      <c r="E81" s="17">
        <f>IF(F3="1",SUMIF(Data!A:A,'9'!$A$2,Data!EM:EM),0)</f>
        <v>0</v>
      </c>
      <c r="F81" s="21" t="str">
        <f t="shared" si="4"/>
        <v/>
      </c>
    </row>
    <row r="82" spans="1:6" x14ac:dyDescent="0.2">
      <c r="A82" s="19">
        <v>16</v>
      </c>
      <c r="B82" s="180" t="s">
        <v>14</v>
      </c>
      <c r="C82" s="181"/>
      <c r="D82" s="14">
        <f t="shared" si="5"/>
        <v>74776</v>
      </c>
      <c r="E82" s="17">
        <f>IF(F3="1",SUMIF(Data!A:A,'9'!$A$2,Data!EN:EN),0)</f>
        <v>140282</v>
      </c>
      <c r="F82" s="21">
        <f t="shared" si="4"/>
        <v>1.88</v>
      </c>
    </row>
    <row r="83" spans="1:6" x14ac:dyDescent="0.2">
      <c r="A83" s="19">
        <v>17</v>
      </c>
      <c r="B83" s="180" t="s">
        <v>15</v>
      </c>
      <c r="C83" s="181"/>
      <c r="D83" s="14">
        <f t="shared" si="5"/>
        <v>0</v>
      </c>
      <c r="E83" s="17">
        <f>IF(F3="1",SUMIF(Data!A:A,'9'!$A$2,Data!EO:EO),0)</f>
        <v>0</v>
      </c>
      <c r="F83" s="21" t="str">
        <f t="shared" si="4"/>
        <v/>
      </c>
    </row>
    <row r="84" spans="1:6" x14ac:dyDescent="0.2">
      <c r="A84" s="19">
        <v>18</v>
      </c>
      <c r="B84" s="180" t="s">
        <v>16</v>
      </c>
      <c r="C84" s="181"/>
      <c r="D84" s="14">
        <f t="shared" si="5"/>
        <v>108928</v>
      </c>
      <c r="E84" s="17">
        <f>IF(F3="1",SUMIF(Data!A:A,'9'!$A$2,Data!EP:EP),0)</f>
        <v>228780</v>
      </c>
      <c r="F84" s="21">
        <f t="shared" si="4"/>
        <v>2.1</v>
      </c>
    </row>
    <row r="85" spans="1:6" x14ac:dyDescent="0.2">
      <c r="A85" s="19">
        <v>19</v>
      </c>
      <c r="B85" s="180" t="s">
        <v>17</v>
      </c>
      <c r="C85" s="181"/>
      <c r="D85" s="14">
        <f t="shared" si="5"/>
        <v>129600</v>
      </c>
      <c r="E85" s="17">
        <f>IF(F3="1",SUMIF(Data!A:A,'9'!$A$2,Data!EQ:EQ),0)</f>
        <v>272679</v>
      </c>
      <c r="F85" s="21">
        <f t="shared" si="4"/>
        <v>2.1</v>
      </c>
    </row>
    <row r="86" spans="1:6" x14ac:dyDescent="0.2">
      <c r="A86" s="19">
        <v>20</v>
      </c>
      <c r="B86" s="180" t="s">
        <v>18</v>
      </c>
      <c r="C86" s="181"/>
      <c r="D86" s="14">
        <f t="shared" si="5"/>
        <v>30752</v>
      </c>
      <c r="E86" s="17">
        <f>IF(F3="1",SUMIF(Data!A:A,'9'!$A$2,Data!ER:ER),0)</f>
        <v>82481</v>
      </c>
      <c r="F86" s="21">
        <f t="shared" si="4"/>
        <v>2.68</v>
      </c>
    </row>
    <row r="87" spans="1:6" ht="14.25" customHeight="1" x14ac:dyDescent="0.2">
      <c r="A87" s="19">
        <v>21</v>
      </c>
      <c r="B87" s="180" t="s">
        <v>461</v>
      </c>
      <c r="C87" s="181"/>
      <c r="D87" s="14">
        <f t="shared" si="5"/>
        <v>1920</v>
      </c>
      <c r="E87" s="17">
        <f>IF(F3="1",SUMIF(Data!A:A,'9'!$A$2,Data!ES:ES),0)</f>
        <v>2000</v>
      </c>
      <c r="F87" s="21">
        <f t="shared" si="4"/>
        <v>1.04</v>
      </c>
    </row>
    <row r="88" spans="1:6" x14ac:dyDescent="0.2">
      <c r="A88" s="19">
        <v>22</v>
      </c>
      <c r="B88" s="180" t="s">
        <v>19</v>
      </c>
      <c r="C88" s="181"/>
      <c r="D88" s="14">
        <f t="shared" si="5"/>
        <v>2080</v>
      </c>
      <c r="E88" s="17">
        <f>IF(F3="1",SUMIF(Data!A:A,'9'!$A$2,Data!ET:ET),0)</f>
        <v>82363</v>
      </c>
      <c r="F88" s="21">
        <f t="shared" si="4"/>
        <v>39.6</v>
      </c>
    </row>
    <row r="89" spans="1:6" x14ac:dyDescent="0.2">
      <c r="A89" s="19">
        <v>23</v>
      </c>
      <c r="B89" s="180" t="s">
        <v>20</v>
      </c>
      <c r="C89" s="181"/>
      <c r="D89" s="14">
        <f t="shared" si="5"/>
        <v>51840</v>
      </c>
      <c r="E89" s="17">
        <f>IF(F3="1",SUMIF(Data!A:A,'9'!$A$2,Data!EU:EU),0)</f>
        <v>352437</v>
      </c>
      <c r="F89" s="21">
        <f t="shared" si="4"/>
        <v>6.8</v>
      </c>
    </row>
    <row r="90" spans="1:6" x14ac:dyDescent="0.2">
      <c r="A90" s="19">
        <v>24</v>
      </c>
      <c r="B90" s="180" t="s">
        <v>21</v>
      </c>
      <c r="C90" s="181"/>
      <c r="D90" s="14">
        <f t="shared" si="5"/>
        <v>15648</v>
      </c>
      <c r="E90" s="17">
        <f>IF(F3="1",SUMIF(Data!A:A,'9'!$A$2,Data!EV:EV),0)</f>
        <v>81764</v>
      </c>
      <c r="F90" s="21">
        <f t="shared" si="4"/>
        <v>5.23</v>
      </c>
    </row>
    <row r="91" spans="1:6" x14ac:dyDescent="0.2">
      <c r="A91" s="19">
        <v>25</v>
      </c>
      <c r="B91" s="180" t="s">
        <v>22</v>
      </c>
      <c r="C91" s="181"/>
      <c r="D91" s="14">
        <f t="shared" si="5"/>
        <v>270000</v>
      </c>
      <c r="E91" s="17">
        <f>IF(F3="1",SUMIF(Data!A:A,'9'!$A$2,Data!EW:EW),0)</f>
        <v>382012</v>
      </c>
      <c r="F91" s="21">
        <f t="shared" si="4"/>
        <v>1.41</v>
      </c>
    </row>
    <row r="92" spans="1:6" x14ac:dyDescent="0.2">
      <c r="A92" s="19">
        <v>26</v>
      </c>
      <c r="B92" s="180" t="s">
        <v>23</v>
      </c>
      <c r="C92" s="181"/>
      <c r="D92" s="14">
        <f t="shared" si="5"/>
        <v>47024</v>
      </c>
      <c r="E92" s="17">
        <f>IF(F3="1",SUMIF(Data!A:A,'9'!$A$2,Data!EX:EX),0)</f>
        <v>230043</v>
      </c>
      <c r="F92" s="21">
        <f t="shared" si="4"/>
        <v>4.8899999999999997</v>
      </c>
    </row>
    <row r="93" spans="1:6" x14ac:dyDescent="0.2">
      <c r="A93" s="19">
        <v>28</v>
      </c>
      <c r="B93" s="180" t="s">
        <v>24</v>
      </c>
      <c r="C93" s="181"/>
      <c r="D93" s="14">
        <f t="shared" si="5"/>
        <v>0</v>
      </c>
      <c r="E93" s="17">
        <f>IF(F3="1",SUMIF(Data!A:A,'9'!$A$2,Data!EZ:EZ),0)</f>
        <v>0</v>
      </c>
      <c r="F93" s="21" t="str">
        <f t="shared" si="4"/>
        <v/>
      </c>
    </row>
    <row r="94" spans="1:6" ht="15.75" customHeight="1" thickBot="1" x14ac:dyDescent="0.25">
      <c r="A94" s="22">
        <v>29</v>
      </c>
      <c r="B94" s="184" t="s">
        <v>25</v>
      </c>
      <c r="C94" s="185"/>
      <c r="D94" s="23">
        <f t="shared" si="5"/>
        <v>0</v>
      </c>
      <c r="E94" s="24">
        <f>IF(F3="1",SUMIF(Data!A:A,'9'!$A$2,Data!FA:FA),0)</f>
        <v>0</v>
      </c>
      <c r="F94" s="25" t="str">
        <f t="shared" si="4"/>
        <v/>
      </c>
    </row>
    <row r="95" spans="1:6" x14ac:dyDescent="0.2">
      <c r="B95" s="30" t="s">
        <v>35</v>
      </c>
      <c r="C95" s="30"/>
      <c r="D95" s="59">
        <f>SUM(D67:D94)</f>
        <v>1358099</v>
      </c>
      <c r="E95" s="31">
        <f>SUM(E67:E94)</f>
        <v>3167320</v>
      </c>
      <c r="F95" s="32">
        <f t="shared" si="4"/>
        <v>2.33</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IF(F3="1",SUMIF(Data!A:A,'9'!$A$2,Data!AH:AH),0)</f>
        <v>1072997</v>
      </c>
      <c r="F98" s="20">
        <f>IF(OR(E98=0,E98=0),"",ROUND(E98/$D$105,2))</f>
        <v>0.79</v>
      </c>
    </row>
    <row r="99" spans="2:6" x14ac:dyDescent="0.2">
      <c r="B99" s="190" t="s">
        <v>31</v>
      </c>
      <c r="C99" s="191"/>
      <c r="D99" s="36"/>
      <c r="E99" s="17">
        <f>IF(F3="1",SUMIF(Data!A:A,'9'!$A$2,Data!AI:AI),0)</f>
        <v>619686</v>
      </c>
      <c r="F99" s="21">
        <f t="shared" ref="F99:F104" si="6">IF(OR(E99=0,E99=0),"",ROUND(E99/$D$105,2))</f>
        <v>0.46</v>
      </c>
    </row>
    <row r="100" spans="2:6" x14ac:dyDescent="0.2">
      <c r="B100" s="190" t="s">
        <v>1089</v>
      </c>
      <c r="C100" s="191"/>
      <c r="D100" s="36"/>
      <c r="E100" s="17">
        <f>IF(F3="1",SUMIF(Data!A:A,'9'!$A$2,Data!AJ:AJ),0)</f>
        <v>178837</v>
      </c>
      <c r="F100" s="21">
        <f t="shared" si="6"/>
        <v>0.13</v>
      </c>
    </row>
    <row r="101" spans="2:6" x14ac:dyDescent="0.2">
      <c r="B101" s="190" t="s">
        <v>1090</v>
      </c>
      <c r="C101" s="191"/>
      <c r="D101" s="36"/>
      <c r="E101" s="17">
        <f>IF(F3="1",SUMIF(Data!A:A,'9'!$A$2,Data!AK:AK),0)</f>
        <v>216257</v>
      </c>
      <c r="F101" s="21">
        <f t="shared" si="6"/>
        <v>0.16</v>
      </c>
    </row>
    <row r="102" spans="2:6" x14ac:dyDescent="0.2">
      <c r="B102" s="190" t="s">
        <v>1091</v>
      </c>
      <c r="C102" s="191"/>
      <c r="D102" s="36"/>
      <c r="E102" s="17">
        <f>IF(F3="1",SUMIF(Data!A:A,'9'!$A$2,Data!AL:AL),0)</f>
        <v>0</v>
      </c>
      <c r="F102" s="21" t="str">
        <f t="shared" si="6"/>
        <v/>
      </c>
    </row>
    <row r="103" spans="2:6" x14ac:dyDescent="0.2">
      <c r="B103" s="192" t="s">
        <v>34</v>
      </c>
      <c r="C103" s="193"/>
      <c r="D103" s="36"/>
      <c r="E103" s="17">
        <f>IF(F3="1",SUMIF(Data!A:A,'9'!$A$2,Data!AM:AM),0)</f>
        <v>0</v>
      </c>
      <c r="F103" s="21" t="str">
        <f t="shared" si="6"/>
        <v/>
      </c>
    </row>
    <row r="104" spans="2:6" ht="15.75" customHeight="1" thickBot="1" x14ac:dyDescent="0.25">
      <c r="B104" s="186" t="s">
        <v>29</v>
      </c>
      <c r="C104" s="187"/>
      <c r="D104" s="37"/>
      <c r="E104" s="24">
        <f>IF(F3="1",SUMIF(Data!A:A,'9'!$A$2,Data!Q:Q),0)</f>
        <v>183468</v>
      </c>
      <c r="F104" s="25">
        <f t="shared" si="6"/>
        <v>0.14000000000000001</v>
      </c>
    </row>
    <row r="105" spans="2:6" x14ac:dyDescent="0.2">
      <c r="B105" s="30" t="s">
        <v>35</v>
      </c>
      <c r="C105" s="30"/>
      <c r="D105" s="34">
        <f>D95</f>
        <v>1358099</v>
      </c>
      <c r="E105" s="31">
        <f>SUM(E98:E104)</f>
        <v>2271245</v>
      </c>
      <c r="F105" s="32">
        <f>IF($D$105=0,"",ROUND(E105/$D$105,2))</f>
        <v>1.67</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3167320</v>
      </c>
      <c r="D109" s="15">
        <f>IF(F3="1",SUMIF(Data!$A:$A,$A$2,Data!HJ:HJ),0)</f>
        <v>0</v>
      </c>
      <c r="E109" s="15">
        <f>IF(F3="1",SUMIF(Data!$A:$A,$A$2,Data!IN:IN),0)</f>
        <v>0</v>
      </c>
      <c r="F109" s="47">
        <f>SUM(C109:E109)</f>
        <v>3167320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183468</v>
      </c>
      <c r="E117" s="52"/>
      <c r="F117" s="49">
        <f>SUM(C117:E117)</f>
        <v>183468</v>
      </c>
    </row>
    <row r="118" spans="1:6" x14ac:dyDescent="0.2">
      <c r="B118" s="13" t="s">
        <v>35</v>
      </c>
      <c r="C118" s="4">
        <f>SUM(C109:C116)</f>
        <v>3167320</v>
      </c>
      <c r="D118" s="4">
        <f>SUM(D109:D116)</f>
        <v>0</v>
      </c>
      <c r="E118" s="4">
        <f>SUM(E109:E116)</f>
        <v>0</v>
      </c>
      <c r="F118" s="4">
        <f>SUM(F109:F116)</f>
        <v>3167320</v>
      </c>
    </row>
    <row r="119" spans="1:6" ht="15" thickBot="1" x14ac:dyDescent="0.25"/>
    <row r="120" spans="1:6" ht="15" thickBot="1" x14ac:dyDescent="0.25">
      <c r="B120" s="55" t="s">
        <v>934</v>
      </c>
      <c r="C120" s="53"/>
      <c r="D120" s="53"/>
      <c r="E120" s="53">
        <f>IF(F3="1",SUMIF(Data!A:A,'9'!$A$2,Data!AM:AM),0)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28515625" style="10" bestFit="1" customWidth="1"/>
    <col min="12" max="12" width="12.42578125" style="10" bestFit="1" customWidth="1"/>
    <col min="13" max="13" width="10.28515625" style="10" bestFit="1" customWidth="1"/>
    <col min="14"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360</v>
      </c>
      <c r="B2" s="58" t="str">
        <f>VLOOKUP(A2,Data!A:G,7,0)</f>
        <v>Clarendon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38832</v>
      </c>
      <c r="E5" s="15">
        <f>E36+E67+IFERROR($E$105/$D$105*D5,0)</f>
        <v>400941.83770887274</v>
      </c>
      <c r="F5" s="20">
        <f>IF(OR(D5=0,E5=0),"",ROUND(E5/D5,2))</f>
        <v>10.33</v>
      </c>
    </row>
    <row r="6" spans="1:6" x14ac:dyDescent="0.2">
      <c r="A6" s="19">
        <v>2</v>
      </c>
      <c r="B6" s="180" t="s">
        <v>1</v>
      </c>
      <c r="C6" s="181"/>
      <c r="D6" s="14">
        <f t="shared" ref="D6:D32" si="0">D37</f>
        <v>608</v>
      </c>
      <c r="E6" s="17">
        <f t="shared" ref="E6:E32" si="1">E37+E68+IFERROR($E$105/$D$105*D6,0)</f>
        <v>3932.2817605839155</v>
      </c>
      <c r="F6" s="21">
        <f t="shared" ref="F6:F33" si="2">IF(OR(D6=0,E6=0),"",ROUND(E6/D6,2))</f>
        <v>6.47</v>
      </c>
    </row>
    <row r="7" spans="1:6" ht="14.25" customHeight="1" x14ac:dyDescent="0.2">
      <c r="A7" s="19">
        <v>3</v>
      </c>
      <c r="B7" s="180" t="s">
        <v>2</v>
      </c>
      <c r="C7" s="181"/>
      <c r="D7" s="14">
        <f t="shared" si="0"/>
        <v>62496</v>
      </c>
      <c r="E7" s="17">
        <f t="shared" si="1"/>
        <v>328189.90939054673</v>
      </c>
      <c r="F7" s="21">
        <f t="shared" si="2"/>
        <v>5.25</v>
      </c>
    </row>
    <row r="8" spans="1:6" ht="14.25" customHeight="1" x14ac:dyDescent="0.2">
      <c r="A8" s="19">
        <v>4</v>
      </c>
      <c r="B8" s="180" t="s">
        <v>3</v>
      </c>
      <c r="C8" s="181"/>
      <c r="D8" s="14">
        <f t="shared" si="0"/>
        <v>18646</v>
      </c>
      <c r="E8" s="17">
        <f t="shared" si="1"/>
        <v>163852.04228264422</v>
      </c>
      <c r="F8" s="21">
        <f t="shared" si="2"/>
        <v>8.7899999999999991</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480</v>
      </c>
      <c r="E10" s="17">
        <f t="shared" si="1"/>
        <v>3039.1698109873018</v>
      </c>
      <c r="F10" s="21">
        <f t="shared" si="2"/>
        <v>6.33</v>
      </c>
    </row>
    <row r="11" spans="1:6" x14ac:dyDescent="0.2">
      <c r="A11" s="19">
        <v>7</v>
      </c>
      <c r="B11" s="180" t="s">
        <v>6</v>
      </c>
      <c r="C11" s="181"/>
      <c r="D11" s="14">
        <f t="shared" si="0"/>
        <v>27002</v>
      </c>
      <c r="E11" s="17">
        <f t="shared" si="1"/>
        <v>209374.0067422482</v>
      </c>
      <c r="F11" s="21">
        <f t="shared" si="2"/>
        <v>7.75</v>
      </c>
    </row>
    <row r="12" spans="1:6" x14ac:dyDescent="0.2">
      <c r="A12" s="19">
        <v>8</v>
      </c>
      <c r="B12" s="180" t="s">
        <v>7</v>
      </c>
      <c r="C12" s="181"/>
      <c r="D12" s="14">
        <f t="shared" si="0"/>
        <v>0</v>
      </c>
      <c r="E12" s="17">
        <f t="shared" si="1"/>
        <v>0</v>
      </c>
      <c r="F12" s="21" t="str">
        <f t="shared" si="2"/>
        <v/>
      </c>
    </row>
    <row r="13" spans="1:6" x14ac:dyDescent="0.2">
      <c r="A13" s="19">
        <v>9</v>
      </c>
      <c r="B13" s="180" t="s">
        <v>8</v>
      </c>
      <c r="C13" s="181"/>
      <c r="D13" s="14">
        <f t="shared" si="0"/>
        <v>2944</v>
      </c>
      <c r="E13" s="17">
        <f t="shared" si="1"/>
        <v>11233.574840722118</v>
      </c>
      <c r="F13" s="21">
        <f t="shared" si="2"/>
        <v>3.82</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592</v>
      </c>
      <c r="E15" s="17">
        <f t="shared" si="1"/>
        <v>3836.6427668843389</v>
      </c>
      <c r="F15" s="21">
        <f t="shared" si="2"/>
        <v>6.48</v>
      </c>
    </row>
    <row r="16" spans="1:6" ht="14.25" customHeight="1" x14ac:dyDescent="0.2">
      <c r="A16" s="19">
        <v>12</v>
      </c>
      <c r="B16" s="180" t="s">
        <v>11</v>
      </c>
      <c r="C16" s="181"/>
      <c r="D16" s="14">
        <f t="shared" si="0"/>
        <v>82368</v>
      </c>
      <c r="E16" s="17">
        <f t="shared" si="1"/>
        <v>502611.539565421</v>
      </c>
      <c r="F16" s="21">
        <f t="shared" si="2"/>
        <v>6.1</v>
      </c>
    </row>
    <row r="17" spans="1:6" x14ac:dyDescent="0.2">
      <c r="A17" s="19">
        <v>13</v>
      </c>
      <c r="B17" s="180" t="s">
        <v>12</v>
      </c>
      <c r="C17" s="181"/>
      <c r="D17" s="14">
        <f t="shared" si="0"/>
        <v>4672</v>
      </c>
      <c r="E17" s="17">
        <f t="shared" si="1"/>
        <v>20176.586160276405</v>
      </c>
      <c r="F17" s="21">
        <f t="shared" si="2"/>
        <v>4.32</v>
      </c>
    </row>
    <row r="18" spans="1:6" ht="14.25" customHeight="1" x14ac:dyDescent="0.2">
      <c r="A18" s="19">
        <v>14</v>
      </c>
      <c r="B18" s="180" t="s">
        <v>464</v>
      </c>
      <c r="C18" s="181"/>
      <c r="D18" s="14">
        <f t="shared" si="0"/>
        <v>0</v>
      </c>
      <c r="E18" s="17">
        <f t="shared" si="1"/>
        <v>0</v>
      </c>
      <c r="F18" s="21" t="str">
        <f t="shared" si="2"/>
        <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26400</v>
      </c>
      <c r="E20" s="17">
        <f t="shared" si="1"/>
        <v>104918.33960430161</v>
      </c>
      <c r="F20" s="21">
        <f t="shared" si="2"/>
        <v>3.97</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28512</v>
      </c>
      <c r="E22" s="17">
        <f t="shared" si="1"/>
        <v>184702.68677264574</v>
      </c>
      <c r="F22" s="21">
        <f t="shared" si="2"/>
        <v>6.48</v>
      </c>
    </row>
    <row r="23" spans="1:6" x14ac:dyDescent="0.2">
      <c r="A23" s="19">
        <v>19</v>
      </c>
      <c r="B23" s="180" t="s">
        <v>17</v>
      </c>
      <c r="C23" s="181"/>
      <c r="D23" s="14">
        <f t="shared" si="0"/>
        <v>49376</v>
      </c>
      <c r="E23" s="17">
        <f t="shared" si="1"/>
        <v>228798.9345568938</v>
      </c>
      <c r="F23" s="21">
        <f t="shared" si="2"/>
        <v>4.63</v>
      </c>
    </row>
    <row r="24" spans="1:6" x14ac:dyDescent="0.2">
      <c r="A24" s="19">
        <v>20</v>
      </c>
      <c r="B24" s="180" t="s">
        <v>18</v>
      </c>
      <c r="C24" s="181"/>
      <c r="D24" s="14">
        <f t="shared" si="0"/>
        <v>0</v>
      </c>
      <c r="E24" s="17">
        <f t="shared" si="1"/>
        <v>0</v>
      </c>
      <c r="F24" s="21" t="str">
        <f t="shared" si="2"/>
        <v/>
      </c>
    </row>
    <row r="25" spans="1:6" ht="14.25" customHeight="1" x14ac:dyDescent="0.2">
      <c r="A25" s="19">
        <v>21</v>
      </c>
      <c r="B25" s="180" t="s">
        <v>461</v>
      </c>
      <c r="C25" s="181"/>
      <c r="D25" s="14">
        <f t="shared" si="0"/>
        <v>0</v>
      </c>
      <c r="E25" s="17">
        <f t="shared" si="1"/>
        <v>0</v>
      </c>
      <c r="F25" s="21" t="str">
        <f t="shared" si="2"/>
        <v/>
      </c>
    </row>
    <row r="26" spans="1:6" x14ac:dyDescent="0.2">
      <c r="A26" s="19">
        <v>22</v>
      </c>
      <c r="B26" s="180" t="s">
        <v>19</v>
      </c>
      <c r="C26" s="181"/>
      <c r="D26" s="14">
        <f t="shared" si="0"/>
        <v>0</v>
      </c>
      <c r="E26" s="17">
        <f t="shared" si="1"/>
        <v>0</v>
      </c>
      <c r="F26" s="21" t="str">
        <f t="shared" si="2"/>
        <v/>
      </c>
    </row>
    <row r="27" spans="1:6" x14ac:dyDescent="0.2">
      <c r="A27" s="19">
        <v>23</v>
      </c>
      <c r="B27" s="180" t="s">
        <v>20</v>
      </c>
      <c r="C27" s="181"/>
      <c r="D27" s="14">
        <f t="shared" si="0"/>
        <v>23952</v>
      </c>
      <c r="E27" s="17">
        <f t="shared" si="1"/>
        <v>278976.57356826635</v>
      </c>
      <c r="F27" s="21">
        <f t="shared" si="2"/>
        <v>11.65</v>
      </c>
    </row>
    <row r="28" spans="1:6" x14ac:dyDescent="0.2">
      <c r="A28" s="19">
        <v>24</v>
      </c>
      <c r="B28" s="180" t="s">
        <v>21</v>
      </c>
      <c r="C28" s="181"/>
      <c r="D28" s="14">
        <f t="shared" si="0"/>
        <v>720</v>
      </c>
      <c r="E28" s="17">
        <f t="shared" si="1"/>
        <v>4333.754716480953</v>
      </c>
      <c r="F28" s="21">
        <f t="shared" si="2"/>
        <v>6.02</v>
      </c>
    </row>
    <row r="29" spans="1:6" x14ac:dyDescent="0.2">
      <c r="A29" s="19">
        <v>25</v>
      </c>
      <c r="B29" s="180" t="s">
        <v>22</v>
      </c>
      <c r="C29" s="181"/>
      <c r="D29" s="14">
        <f t="shared" si="0"/>
        <v>64224</v>
      </c>
      <c r="E29" s="17">
        <f t="shared" si="1"/>
        <v>366263.92071010103</v>
      </c>
      <c r="F29" s="21">
        <f t="shared" si="2"/>
        <v>5.7</v>
      </c>
    </row>
    <row r="30" spans="1:6" x14ac:dyDescent="0.2">
      <c r="A30" s="19">
        <v>26</v>
      </c>
      <c r="B30" s="180" t="s">
        <v>23</v>
      </c>
      <c r="C30" s="181"/>
      <c r="D30" s="14">
        <f t="shared" si="0"/>
        <v>20844</v>
      </c>
      <c r="E30" s="17">
        <f t="shared" si="1"/>
        <v>145269.19904212357</v>
      </c>
      <c r="F30" s="21">
        <f t="shared" si="2"/>
        <v>6.97</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452668</v>
      </c>
      <c r="E33" s="31">
        <f>SUM(E5:E32)</f>
        <v>2960451</v>
      </c>
      <c r="F33" s="32">
        <f t="shared" si="2"/>
        <v>6.54</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IF(F3="1",SUMIF(Data!A:A,'10'!$A$2,Data!CU:CU),0)</f>
        <v>38832</v>
      </c>
      <c r="E36" s="15">
        <f>IF(F3="1",SUMIF(Data!$A:$A,$A$2,Data!IO:IO),0)</f>
        <v>90744</v>
      </c>
      <c r="F36" s="20">
        <f t="shared" ref="F36:F64" si="3">IF(OR(D36=0,E36=0),"",ROUND(E36/D36,2))</f>
        <v>2.34</v>
      </c>
    </row>
    <row r="37" spans="1:6" x14ac:dyDescent="0.2">
      <c r="A37" s="19">
        <v>2</v>
      </c>
      <c r="B37" s="180" t="s">
        <v>1</v>
      </c>
      <c r="C37" s="181"/>
      <c r="D37" s="14">
        <f>IF(F3="1",SUMIF(Data!A:A,'10'!$A$2,Data!CV:CV),0)</f>
        <v>608</v>
      </c>
      <c r="E37" s="17">
        <f>IF(F3="1",SUMIF(Data!$A:$A,$A$2,Data!IP:IP),0)</f>
        <v>46</v>
      </c>
      <c r="F37" s="21">
        <f t="shared" si="3"/>
        <v>0.08</v>
      </c>
    </row>
    <row r="38" spans="1:6" ht="14.25" customHeight="1" x14ac:dyDescent="0.2">
      <c r="A38" s="19">
        <v>3</v>
      </c>
      <c r="B38" s="180" t="s">
        <v>2</v>
      </c>
      <c r="C38" s="181"/>
      <c r="D38" s="14">
        <f>IF(F3="1",SUMIF(Data!A:A,'10'!$A$2,Data!CW:CW),0)</f>
        <v>62496</v>
      </c>
      <c r="E38" s="17">
        <f>IF($F$3="1",SUMIF(Data!$A:$A,$A$2,Data!IQ:IQ),0)</f>
        <v>12759</v>
      </c>
      <c r="F38" s="21">
        <f t="shared" si="3"/>
        <v>0.2</v>
      </c>
    </row>
    <row r="39" spans="1:6" ht="14.25" customHeight="1" x14ac:dyDescent="0.2">
      <c r="A39" s="19">
        <v>4</v>
      </c>
      <c r="B39" s="180" t="s">
        <v>3</v>
      </c>
      <c r="C39" s="181"/>
      <c r="D39" s="14">
        <f>IF(F3="1",SUMIF(Data!A:A,'10'!$A$2,Data!CX:CX),0)</f>
        <v>18646</v>
      </c>
      <c r="E39" s="17">
        <f>IF($F$3="1",SUMIF(Data!$A:$A,$A$2,Data!IR:IR),0)</f>
        <v>1651</v>
      </c>
      <c r="F39" s="21">
        <f t="shared" si="3"/>
        <v>0.09</v>
      </c>
    </row>
    <row r="40" spans="1:6" x14ac:dyDescent="0.2">
      <c r="A40" s="19">
        <v>5</v>
      </c>
      <c r="B40" s="180" t="s">
        <v>4</v>
      </c>
      <c r="C40" s="181"/>
      <c r="D40" s="14">
        <f>IF(F3="1",SUMIF(Data!A:A,'10'!$A$2,Data!CY:CY),0)</f>
        <v>0</v>
      </c>
      <c r="E40" s="17">
        <f>IF($F$3="1",SUMIF(Data!$A:$A,$A$2,Data!IS:IS),0)</f>
        <v>0</v>
      </c>
      <c r="F40" s="21" t="str">
        <f t="shared" si="3"/>
        <v/>
      </c>
    </row>
    <row r="41" spans="1:6" x14ac:dyDescent="0.2">
      <c r="A41" s="19">
        <v>6</v>
      </c>
      <c r="B41" s="180" t="s">
        <v>5</v>
      </c>
      <c r="C41" s="181"/>
      <c r="D41" s="14">
        <f>IF(F3="1",SUMIF(Data!A:A,'10'!$A$2,Data!CZ:CZ),0)</f>
        <v>480</v>
      </c>
      <c r="E41" s="17">
        <f>IF($F$3="1",SUMIF(Data!$A:$A,$A$2,Data!IT:IT),0)</f>
        <v>0</v>
      </c>
      <c r="F41" s="21" t="str">
        <f t="shared" si="3"/>
        <v/>
      </c>
    </row>
    <row r="42" spans="1:6" x14ac:dyDescent="0.2">
      <c r="A42" s="19">
        <v>7</v>
      </c>
      <c r="B42" s="180" t="s">
        <v>6</v>
      </c>
      <c r="C42" s="181"/>
      <c r="D42" s="14">
        <f>IF(F3="1",SUMIF(Data!A:A,'10'!$A$2,Data!DA:DA),0)</f>
        <v>27002</v>
      </c>
      <c r="E42" s="17">
        <f>IF($F$3="1",SUMIF(Data!$A:$A,$A$2,Data!IU:IU),0)</f>
        <v>349</v>
      </c>
      <c r="F42" s="21">
        <f t="shared" si="3"/>
        <v>0.01</v>
      </c>
    </row>
    <row r="43" spans="1:6" x14ac:dyDescent="0.2">
      <c r="A43" s="19">
        <v>8</v>
      </c>
      <c r="B43" s="180" t="s">
        <v>7</v>
      </c>
      <c r="C43" s="181"/>
      <c r="D43" s="14">
        <f>IF(F3="1",SUMIF(Data!A:A,'10'!$A$2,Data!DB:DB),0)</f>
        <v>0</v>
      </c>
      <c r="E43" s="17">
        <f>IF($F$3="1",SUMIF(Data!$A:$A,$A$2,Data!IV:IV),0)</f>
        <v>0</v>
      </c>
      <c r="F43" s="21" t="str">
        <f t="shared" si="3"/>
        <v/>
      </c>
    </row>
    <row r="44" spans="1:6" x14ac:dyDescent="0.2">
      <c r="A44" s="19">
        <v>9</v>
      </c>
      <c r="B44" s="180" t="s">
        <v>8</v>
      </c>
      <c r="C44" s="181"/>
      <c r="D44" s="14">
        <f>IF(F3="1",SUMIF(Data!A:A,'10'!$A$2,Data!DC:DC),0)</f>
        <v>2944</v>
      </c>
      <c r="E44" s="17">
        <f>IF($F$3="1",SUMIF(Data!$A:$A,$A$2,Data!IW:IW),0)</f>
        <v>0</v>
      </c>
      <c r="F44" s="21" t="str">
        <f t="shared" si="3"/>
        <v/>
      </c>
    </row>
    <row r="45" spans="1:6" x14ac:dyDescent="0.2">
      <c r="A45" s="19">
        <v>10</v>
      </c>
      <c r="B45" s="180" t="s">
        <v>9</v>
      </c>
      <c r="C45" s="181"/>
      <c r="D45" s="14">
        <f>IF(F3="1",SUMIF(Data!A:A,'10'!$A$2,Data!DD:DD),0)</f>
        <v>0</v>
      </c>
      <c r="E45" s="17">
        <f>IF($F$3="1",SUMIF(Data!$A:$A,$A$2,Data!IX:IX),0)</f>
        <v>0</v>
      </c>
      <c r="F45" s="21" t="str">
        <f t="shared" si="3"/>
        <v/>
      </c>
    </row>
    <row r="46" spans="1:6" x14ac:dyDescent="0.2">
      <c r="A46" s="19">
        <v>11</v>
      </c>
      <c r="B46" s="180" t="s">
        <v>10</v>
      </c>
      <c r="C46" s="181"/>
      <c r="D46" s="14">
        <f>IF(F3="1",SUMIF(Data!A:A,'10'!$A$2,Data!DE:DE),0)</f>
        <v>592</v>
      </c>
      <c r="E46" s="17">
        <f>IF($F$3="1",SUMIF(Data!$A:$A,$A$2,Data!IY:IY),0)</f>
        <v>0</v>
      </c>
      <c r="F46" s="21" t="str">
        <f t="shared" si="3"/>
        <v/>
      </c>
    </row>
    <row r="47" spans="1:6" ht="14.25" customHeight="1" x14ac:dyDescent="0.2">
      <c r="A47" s="19">
        <v>12</v>
      </c>
      <c r="B47" s="180" t="s">
        <v>11</v>
      </c>
      <c r="C47" s="181"/>
      <c r="D47" s="14">
        <f>IF(F3="1",SUMIF(Data!A:A,'10'!$A$2,Data!DF:DF),0)</f>
        <v>82368</v>
      </c>
      <c r="E47" s="17">
        <f>IF($F$3="1",SUMIF(Data!$A:$A,$A$2,Data!IZ:IZ),0)</f>
        <v>1003</v>
      </c>
      <c r="F47" s="21">
        <f t="shared" si="3"/>
        <v>0.01</v>
      </c>
    </row>
    <row r="48" spans="1:6" x14ac:dyDescent="0.2">
      <c r="A48" s="19">
        <v>13</v>
      </c>
      <c r="B48" s="180" t="s">
        <v>12</v>
      </c>
      <c r="C48" s="181"/>
      <c r="D48" s="14">
        <f>IF(F3="1",SUMIF(Data!A:A,'10'!$A$2,Data!DG:DG),0)</f>
        <v>4672</v>
      </c>
      <c r="E48" s="17">
        <f>IF($F$3="1",SUMIF(Data!$A:$A,$A$2,Data!JA:JA),0)</f>
        <v>0</v>
      </c>
      <c r="F48" s="21" t="str">
        <f t="shared" si="3"/>
        <v/>
      </c>
    </row>
    <row r="49" spans="1:6" ht="14.25" customHeight="1" x14ac:dyDescent="0.2">
      <c r="A49" s="19">
        <v>14</v>
      </c>
      <c r="B49" s="180" t="s">
        <v>464</v>
      </c>
      <c r="C49" s="181"/>
      <c r="D49" s="14">
        <f>IF(F3="1",SUMIF(Data!A:A,'10'!$A$2,Data!DH:DH),0)</f>
        <v>0</v>
      </c>
      <c r="E49" s="17">
        <f>IF($F$3="1",SUMIF(Data!$A:$A,$A$2,Data!JB:JB),0)</f>
        <v>0</v>
      </c>
      <c r="F49" s="21" t="str">
        <f t="shared" si="3"/>
        <v/>
      </c>
    </row>
    <row r="50" spans="1:6" x14ac:dyDescent="0.2">
      <c r="A50" s="19">
        <v>15</v>
      </c>
      <c r="B50" s="180" t="s">
        <v>13</v>
      </c>
      <c r="C50" s="181"/>
      <c r="D50" s="14">
        <f>IF(F3="1",SUMIF(Data!A:A,'10'!$A$2,Data!DI:DI),0)</f>
        <v>0</v>
      </c>
      <c r="E50" s="17">
        <f>IF($F$3="1",SUMIF(Data!$A:$A,$A$2,Data!JC:JC),0)</f>
        <v>0</v>
      </c>
      <c r="F50" s="21" t="str">
        <f t="shared" si="3"/>
        <v/>
      </c>
    </row>
    <row r="51" spans="1:6" x14ac:dyDescent="0.2">
      <c r="A51" s="19">
        <v>16</v>
      </c>
      <c r="B51" s="180" t="s">
        <v>14</v>
      </c>
      <c r="C51" s="181"/>
      <c r="D51" s="14">
        <f>IF(F3="1",SUMIF(Data!A:A,'10'!$A$2,Data!DJ:DJ),0)</f>
        <v>26400</v>
      </c>
      <c r="E51" s="17">
        <f>IF($F$3="1",SUMIF(Data!$A:$A,$A$2,Data!JD:JD),0)</f>
        <v>5393</v>
      </c>
      <c r="F51" s="21">
        <f t="shared" si="3"/>
        <v>0.2</v>
      </c>
    </row>
    <row r="52" spans="1:6" x14ac:dyDescent="0.2">
      <c r="A52" s="19">
        <v>17</v>
      </c>
      <c r="B52" s="180" t="s">
        <v>15</v>
      </c>
      <c r="C52" s="181"/>
      <c r="D52" s="14">
        <f>IF(F3="1",SUMIF(Data!A:A,'10'!$A$2,Data!DK:DK),0)</f>
        <v>0</v>
      </c>
      <c r="E52" s="17">
        <f>IF($F$3="1",SUMIF(Data!$A:$A,$A$2,Data!JE:JE),0)</f>
        <v>0</v>
      </c>
      <c r="F52" s="21" t="str">
        <f t="shared" si="3"/>
        <v/>
      </c>
    </row>
    <row r="53" spans="1:6" x14ac:dyDescent="0.2">
      <c r="A53" s="19">
        <v>18</v>
      </c>
      <c r="B53" s="180" t="s">
        <v>16</v>
      </c>
      <c r="C53" s="181"/>
      <c r="D53" s="14">
        <f>IF(F3="1",SUMIF(Data!A:A,'10'!$A$2,Data!DL:DL),0)</f>
        <v>28512</v>
      </c>
      <c r="E53" s="17">
        <f>IF($F$3="1",SUMIF(Data!$A:$A,$A$2,Data!JF:JF),0)</f>
        <v>6135</v>
      </c>
      <c r="F53" s="21">
        <f t="shared" si="3"/>
        <v>0.22</v>
      </c>
    </row>
    <row r="54" spans="1:6" x14ac:dyDescent="0.2">
      <c r="A54" s="19">
        <v>19</v>
      </c>
      <c r="B54" s="180" t="s">
        <v>17</v>
      </c>
      <c r="C54" s="181"/>
      <c r="D54" s="14">
        <f>IF(F3="1",SUMIF(Data!A:A,'10'!$A$2,Data!DM:DM),0)</f>
        <v>49376</v>
      </c>
      <c r="E54" s="17">
        <f>IF($F$3="1",SUMIF(Data!$A:$A,$A$2,Data!JG:JG),0)</f>
        <v>196</v>
      </c>
      <c r="F54" s="21">
        <f t="shared" si="3"/>
        <v>0</v>
      </c>
    </row>
    <row r="55" spans="1:6" x14ac:dyDescent="0.2">
      <c r="A55" s="19">
        <v>20</v>
      </c>
      <c r="B55" s="180" t="s">
        <v>18</v>
      </c>
      <c r="C55" s="181"/>
      <c r="D55" s="14">
        <f>IF(F3="1",SUMIF(Data!A:A,'10'!$A$2,Data!DN:DN),0)</f>
        <v>0</v>
      </c>
      <c r="E55" s="17">
        <f>IF($F$3="1",SUMIF(Data!$A:$A,$A$2,Data!JH:JH),0)</f>
        <v>0</v>
      </c>
      <c r="F55" s="21" t="str">
        <f t="shared" si="3"/>
        <v/>
      </c>
    </row>
    <row r="56" spans="1:6" ht="14.25" customHeight="1" x14ac:dyDescent="0.2">
      <c r="A56" s="19">
        <v>21</v>
      </c>
      <c r="B56" s="180" t="s">
        <v>461</v>
      </c>
      <c r="C56" s="181"/>
      <c r="D56" s="14">
        <f>IF(F3="1",SUMIF(Data!A:A,'10'!$A$2,Data!DO:DO),0)</f>
        <v>0</v>
      </c>
      <c r="E56" s="17">
        <f>IF($F$3="1",SUMIF(Data!$A:$A,$A$2,Data!JI:JI),0)</f>
        <v>0</v>
      </c>
      <c r="F56" s="21" t="str">
        <f t="shared" si="3"/>
        <v/>
      </c>
    </row>
    <row r="57" spans="1:6" x14ac:dyDescent="0.2">
      <c r="A57" s="19">
        <v>22</v>
      </c>
      <c r="B57" s="180" t="s">
        <v>19</v>
      </c>
      <c r="C57" s="181"/>
      <c r="D57" s="14">
        <f>IF(F3="1",SUMIF(Data!A:A,'10'!$A$2,Data!DP:DP),0)</f>
        <v>0</v>
      </c>
      <c r="E57" s="17">
        <f>IF($F$3="1",SUMIF(Data!$A:$A,$A$2,Data!JJ:JJ),0)</f>
        <v>0</v>
      </c>
      <c r="F57" s="21" t="str">
        <f t="shared" si="3"/>
        <v/>
      </c>
    </row>
    <row r="58" spans="1:6" x14ac:dyDescent="0.2">
      <c r="A58" s="19">
        <v>23</v>
      </c>
      <c r="B58" s="180" t="s">
        <v>20</v>
      </c>
      <c r="C58" s="181"/>
      <c r="D58" s="14">
        <f>IF(F3="1",SUMIF(Data!A:A,'10'!$A$2,Data!DQ:DQ),0)</f>
        <v>23952</v>
      </c>
      <c r="E58" s="17">
        <f>IF($F$3="1",SUMIF(Data!$A:$A,$A$2,Data!JK:JK),0)</f>
        <v>60169</v>
      </c>
      <c r="F58" s="21">
        <f t="shared" si="3"/>
        <v>2.5099999999999998</v>
      </c>
    </row>
    <row r="59" spans="1:6" x14ac:dyDescent="0.2">
      <c r="A59" s="19">
        <v>24</v>
      </c>
      <c r="B59" s="180" t="s">
        <v>21</v>
      </c>
      <c r="C59" s="181"/>
      <c r="D59" s="14">
        <f>IF(F3="1",SUMIF(Data!A:A,'10'!$A$2,Data!DR:DR),0)</f>
        <v>720</v>
      </c>
      <c r="E59" s="17">
        <f>IF($F$3="1",SUMIF(Data!$A:$A,$A$2,Data!JL:JL),0)</f>
        <v>0</v>
      </c>
      <c r="F59" s="21" t="str">
        <f t="shared" si="3"/>
        <v/>
      </c>
    </row>
    <row r="60" spans="1:6" x14ac:dyDescent="0.2">
      <c r="A60" s="19">
        <v>25</v>
      </c>
      <c r="B60" s="180" t="s">
        <v>22</v>
      </c>
      <c r="C60" s="181"/>
      <c r="D60" s="14">
        <f>IF(F3="1",SUMIF(Data!A:A,'10'!$A$2,Data!DS:DS),0)</f>
        <v>64224</v>
      </c>
      <c r="E60" s="17">
        <f>IF($F$3="1",SUMIF(Data!$A:$A,$A$2,Data!JM:JM),0)</f>
        <v>737</v>
      </c>
      <c r="F60" s="21">
        <f t="shared" si="3"/>
        <v>0.01</v>
      </c>
    </row>
    <row r="61" spans="1:6" x14ac:dyDescent="0.2">
      <c r="A61" s="19">
        <v>26</v>
      </c>
      <c r="B61" s="180" t="s">
        <v>23</v>
      </c>
      <c r="C61" s="181"/>
      <c r="D61" s="14">
        <f>IF(F3="1",SUMIF(Data!A:A,'10'!$A$2,Data!DT:DT),0)</f>
        <v>20844</v>
      </c>
      <c r="E61" s="17">
        <f>IF($F$3="1",SUMIF(Data!$A:$A,$A$2,Data!JN:JN),0)</f>
        <v>2829</v>
      </c>
      <c r="F61" s="21">
        <f t="shared" si="3"/>
        <v>0.14000000000000001</v>
      </c>
    </row>
    <row r="62" spans="1:6" x14ac:dyDescent="0.2">
      <c r="A62" s="19">
        <v>28</v>
      </c>
      <c r="B62" s="180" t="s">
        <v>24</v>
      </c>
      <c r="C62" s="181"/>
      <c r="D62" s="14">
        <f>IF(F3="1",SUMIF(Data!A:A,'10'!$A$2,Data!DV:DV),0)</f>
        <v>0</v>
      </c>
      <c r="E62" s="17">
        <f>IF($F$3="1",SUMIF(Data!$A:$A,$A$2,Data!JP:JP),0)</f>
        <v>0</v>
      </c>
      <c r="F62" s="21" t="str">
        <f t="shared" si="3"/>
        <v/>
      </c>
    </row>
    <row r="63" spans="1:6" ht="15.75" customHeight="1" thickBot="1" x14ac:dyDescent="0.25">
      <c r="A63" s="22">
        <v>29</v>
      </c>
      <c r="B63" s="184" t="s">
        <v>25</v>
      </c>
      <c r="C63" s="185"/>
      <c r="D63" s="23">
        <f>IF(F3="1",SUMIF(Data!A:A,'10'!$A$2,Data!DW:DW),0)</f>
        <v>0</v>
      </c>
      <c r="E63" s="24">
        <f>IF($F$3="1",SUMIF(Data!$A:$A,$A$2,Data!JQ:JQ),0)</f>
        <v>0</v>
      </c>
      <c r="F63" s="25" t="str">
        <f t="shared" si="3"/>
        <v/>
      </c>
    </row>
    <row r="64" spans="1:6" x14ac:dyDescent="0.2">
      <c r="B64" s="30" t="s">
        <v>35</v>
      </c>
      <c r="C64" s="30"/>
      <c r="D64" s="59">
        <f>SUM(D36:D63)</f>
        <v>452668</v>
      </c>
      <c r="E64" s="31">
        <f>SUM(E36:E63)</f>
        <v>182011</v>
      </c>
      <c r="F64" s="32">
        <f t="shared" si="3"/>
        <v>0.4</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38832</v>
      </c>
      <c r="E67" s="15">
        <f>IF(F3="1",SUMIF(Data!A:A,'10'!$A$2,Data!DY:DY),0)</f>
        <v>189724</v>
      </c>
      <c r="F67" s="20">
        <f t="shared" ref="F67:F95" si="4">IF(OR(D67=0,E67=0),"",ROUND(E67/D67,2))</f>
        <v>4.8899999999999997</v>
      </c>
    </row>
    <row r="68" spans="1:6" x14ac:dyDescent="0.2">
      <c r="A68" s="19">
        <v>2</v>
      </c>
      <c r="B68" s="180" t="s">
        <v>1</v>
      </c>
      <c r="C68" s="181"/>
      <c r="D68" s="14">
        <f t="shared" ref="D68:D94" si="5">D37</f>
        <v>608</v>
      </c>
      <c r="E68" s="17">
        <f>IF(F3="1",SUMIF(Data!A:A,'10'!$A$2,Data!DZ:DZ),0)</f>
        <v>2000</v>
      </c>
      <c r="F68" s="21">
        <f t="shared" si="4"/>
        <v>3.29</v>
      </c>
    </row>
    <row r="69" spans="1:6" ht="14.25" customHeight="1" x14ac:dyDescent="0.2">
      <c r="A69" s="19">
        <v>3</v>
      </c>
      <c r="B69" s="180" t="s">
        <v>2</v>
      </c>
      <c r="C69" s="181"/>
      <c r="D69" s="14">
        <f t="shared" si="5"/>
        <v>62496</v>
      </c>
      <c r="E69" s="17">
        <f>IF(F3="1",SUMIF(Data!A:A,'10'!$A$2,Data!EA:EA),0)</f>
        <v>121541</v>
      </c>
      <c r="F69" s="21">
        <f t="shared" si="4"/>
        <v>1.94</v>
      </c>
    </row>
    <row r="70" spans="1:6" ht="14.25" customHeight="1" x14ac:dyDescent="0.2">
      <c r="A70" s="19">
        <v>4</v>
      </c>
      <c r="B70" s="180" t="s">
        <v>3</v>
      </c>
      <c r="C70" s="181"/>
      <c r="D70" s="14">
        <f t="shared" si="5"/>
        <v>18646</v>
      </c>
      <c r="E70" s="17">
        <f>IF(F3="1",SUMIF(Data!A:A,'10'!$A$2,Data!EB:EB),0)</f>
        <v>104353</v>
      </c>
      <c r="F70" s="21">
        <f t="shared" si="4"/>
        <v>5.6</v>
      </c>
    </row>
    <row r="71" spans="1:6" x14ac:dyDescent="0.2">
      <c r="A71" s="19">
        <v>5</v>
      </c>
      <c r="B71" s="180" t="s">
        <v>4</v>
      </c>
      <c r="C71" s="181"/>
      <c r="D71" s="14">
        <f t="shared" si="5"/>
        <v>0</v>
      </c>
      <c r="E71" s="17">
        <f>IF(F3="1",SUMIF(Data!A:A,'10'!$A$2,Data!EC:EC),0)</f>
        <v>0</v>
      </c>
      <c r="F71" s="21" t="str">
        <f t="shared" si="4"/>
        <v/>
      </c>
    </row>
    <row r="72" spans="1:6" x14ac:dyDescent="0.2">
      <c r="A72" s="19">
        <v>6</v>
      </c>
      <c r="B72" s="180" t="s">
        <v>5</v>
      </c>
      <c r="C72" s="181"/>
      <c r="D72" s="14">
        <f t="shared" si="5"/>
        <v>480</v>
      </c>
      <c r="E72" s="17">
        <f>IF(F3="1",SUMIF(Data!A:A,'10'!$A$2,Data!ED:ED),0)</f>
        <v>1550</v>
      </c>
      <c r="F72" s="21">
        <f t="shared" si="4"/>
        <v>3.23</v>
      </c>
    </row>
    <row r="73" spans="1:6" x14ac:dyDescent="0.2">
      <c r="A73" s="19">
        <v>7</v>
      </c>
      <c r="B73" s="180" t="s">
        <v>6</v>
      </c>
      <c r="C73" s="181"/>
      <c r="D73" s="14">
        <f t="shared" si="5"/>
        <v>27002</v>
      </c>
      <c r="E73" s="17">
        <f>IF(F3="1",SUMIF(Data!A:A,'10'!$A$2,Data!EE:EE),0)</f>
        <v>125253</v>
      </c>
      <c r="F73" s="21">
        <f t="shared" si="4"/>
        <v>4.6399999999999997</v>
      </c>
    </row>
    <row r="74" spans="1:6" x14ac:dyDescent="0.2">
      <c r="A74" s="19">
        <v>8</v>
      </c>
      <c r="B74" s="180" t="s">
        <v>7</v>
      </c>
      <c r="C74" s="181"/>
      <c r="D74" s="14">
        <f t="shared" si="5"/>
        <v>0</v>
      </c>
      <c r="E74" s="17">
        <f>IF(F3="1",SUMIF(Data!A:A,'10'!$A$2,Data!EF:EF),0)</f>
        <v>0</v>
      </c>
      <c r="F74" s="21" t="str">
        <f t="shared" si="4"/>
        <v/>
      </c>
    </row>
    <row r="75" spans="1:6" x14ac:dyDescent="0.2">
      <c r="A75" s="19">
        <v>9</v>
      </c>
      <c r="B75" s="180" t="s">
        <v>8</v>
      </c>
      <c r="C75" s="181"/>
      <c r="D75" s="14">
        <f t="shared" si="5"/>
        <v>2944</v>
      </c>
      <c r="E75" s="17">
        <f>IF(F3="1",SUMIF(Data!A:A,'10'!$A$2,Data!EG:EG),0)</f>
        <v>2100</v>
      </c>
      <c r="F75" s="21">
        <f t="shared" si="4"/>
        <v>0.71</v>
      </c>
    </row>
    <row r="76" spans="1:6" x14ac:dyDescent="0.2">
      <c r="A76" s="19">
        <v>10</v>
      </c>
      <c r="B76" s="180" t="s">
        <v>9</v>
      </c>
      <c r="C76" s="181"/>
      <c r="D76" s="14">
        <f t="shared" si="5"/>
        <v>0</v>
      </c>
      <c r="E76" s="17">
        <f>IF(F3="1",SUMIF(Data!A:A,'10'!$A$2,Data!EH:EH),0)</f>
        <v>0</v>
      </c>
      <c r="F76" s="21" t="str">
        <f t="shared" si="4"/>
        <v/>
      </c>
    </row>
    <row r="77" spans="1:6" x14ac:dyDescent="0.2">
      <c r="A77" s="19">
        <v>11</v>
      </c>
      <c r="B77" s="180" t="s">
        <v>10</v>
      </c>
      <c r="C77" s="181"/>
      <c r="D77" s="14">
        <f t="shared" si="5"/>
        <v>592</v>
      </c>
      <c r="E77" s="17">
        <f>IF(F3="1",SUMIF(Data!A:A,'10'!$A$2,Data!EI:EI),0)</f>
        <v>2000</v>
      </c>
      <c r="F77" s="21">
        <f t="shared" si="4"/>
        <v>3.38</v>
      </c>
    </row>
    <row r="78" spans="1:6" ht="14.25" customHeight="1" x14ac:dyDescent="0.2">
      <c r="A78" s="19">
        <v>12</v>
      </c>
      <c r="B78" s="180" t="s">
        <v>11</v>
      </c>
      <c r="C78" s="181"/>
      <c r="D78" s="14">
        <f t="shared" si="5"/>
        <v>82368</v>
      </c>
      <c r="E78" s="17">
        <f>IF(F3="1",SUMIF(Data!A:A,'10'!$A$2,Data!EJ:EJ),0)</f>
        <v>246067</v>
      </c>
      <c r="F78" s="21">
        <f t="shared" si="4"/>
        <v>2.99</v>
      </c>
    </row>
    <row r="79" spans="1:6" x14ac:dyDescent="0.2">
      <c r="A79" s="19">
        <v>13</v>
      </c>
      <c r="B79" s="180" t="s">
        <v>12</v>
      </c>
      <c r="C79" s="181"/>
      <c r="D79" s="14">
        <f t="shared" si="5"/>
        <v>4672</v>
      </c>
      <c r="E79" s="17">
        <f>IF(F3="1",SUMIF(Data!A:A,'10'!$A$2,Data!EK:EK),0)</f>
        <v>5682</v>
      </c>
      <c r="F79" s="21">
        <f t="shared" si="4"/>
        <v>1.22</v>
      </c>
    </row>
    <row r="80" spans="1:6" ht="14.25" customHeight="1" x14ac:dyDescent="0.2">
      <c r="A80" s="19">
        <v>14</v>
      </c>
      <c r="B80" s="180" t="s">
        <v>464</v>
      </c>
      <c r="C80" s="181"/>
      <c r="D80" s="14">
        <f t="shared" si="5"/>
        <v>0</v>
      </c>
      <c r="E80" s="17">
        <f>IF(F3="1",SUMIF(Data!A:A,'10'!$A$2,Data!EL:EL),0)</f>
        <v>0</v>
      </c>
      <c r="F80" s="21" t="str">
        <f t="shared" si="4"/>
        <v/>
      </c>
    </row>
    <row r="81" spans="1:6" x14ac:dyDescent="0.2">
      <c r="A81" s="19">
        <v>15</v>
      </c>
      <c r="B81" s="180" t="s">
        <v>13</v>
      </c>
      <c r="C81" s="181"/>
      <c r="D81" s="14">
        <f t="shared" si="5"/>
        <v>0</v>
      </c>
      <c r="E81" s="17">
        <f>IF(F3="1",SUMIF(Data!A:A,'10'!$A$2,Data!EM:EM),0)</f>
        <v>0</v>
      </c>
      <c r="F81" s="21" t="str">
        <f t="shared" si="4"/>
        <v/>
      </c>
    </row>
    <row r="82" spans="1:6" x14ac:dyDescent="0.2">
      <c r="A82" s="19">
        <v>16</v>
      </c>
      <c r="B82" s="180" t="s">
        <v>14</v>
      </c>
      <c r="C82" s="181"/>
      <c r="D82" s="14">
        <f t="shared" si="5"/>
        <v>26400</v>
      </c>
      <c r="E82" s="17">
        <f>IF(F3="1",SUMIF(Data!A:A,'10'!$A$2,Data!EN:EN),0)</f>
        <v>17621</v>
      </c>
      <c r="F82" s="21">
        <f t="shared" si="4"/>
        <v>0.67</v>
      </c>
    </row>
    <row r="83" spans="1:6" x14ac:dyDescent="0.2">
      <c r="A83" s="19">
        <v>17</v>
      </c>
      <c r="B83" s="180" t="s">
        <v>15</v>
      </c>
      <c r="C83" s="181"/>
      <c r="D83" s="14">
        <f t="shared" si="5"/>
        <v>0</v>
      </c>
      <c r="E83" s="17">
        <f>IF(F3="1",SUMIF(Data!A:A,'10'!$A$2,Data!EO:EO),0)</f>
        <v>0</v>
      </c>
      <c r="F83" s="21" t="str">
        <f t="shared" si="4"/>
        <v/>
      </c>
    </row>
    <row r="84" spans="1:6" x14ac:dyDescent="0.2">
      <c r="A84" s="19">
        <v>18</v>
      </c>
      <c r="B84" s="180" t="s">
        <v>16</v>
      </c>
      <c r="C84" s="181"/>
      <c r="D84" s="14">
        <f t="shared" si="5"/>
        <v>28512</v>
      </c>
      <c r="E84" s="17">
        <f>IF(F3="1",SUMIF(Data!A:A,'10'!$A$2,Data!EP:EP),0)</f>
        <v>90111</v>
      </c>
      <c r="F84" s="21">
        <f t="shared" si="4"/>
        <v>3.16</v>
      </c>
    </row>
    <row r="85" spans="1:6" x14ac:dyDescent="0.2">
      <c r="A85" s="19">
        <v>19</v>
      </c>
      <c r="B85" s="180" t="s">
        <v>17</v>
      </c>
      <c r="C85" s="181"/>
      <c r="D85" s="14">
        <f t="shared" si="5"/>
        <v>49376</v>
      </c>
      <c r="E85" s="17">
        <f>IF(F3="1",SUMIF(Data!A:A,'10'!$A$2,Data!EQ:EQ),0)</f>
        <v>75417</v>
      </c>
      <c r="F85" s="21">
        <f t="shared" si="4"/>
        <v>1.53</v>
      </c>
    </row>
    <row r="86" spans="1:6" x14ac:dyDescent="0.2">
      <c r="A86" s="19">
        <v>20</v>
      </c>
      <c r="B86" s="180" t="s">
        <v>18</v>
      </c>
      <c r="C86" s="181"/>
      <c r="D86" s="14">
        <f t="shared" si="5"/>
        <v>0</v>
      </c>
      <c r="E86" s="17">
        <f>IF(F3="1",SUMIF(Data!A:A,'10'!$A$2,Data!ER:ER),0)</f>
        <v>0</v>
      </c>
      <c r="F86" s="21" t="str">
        <f t="shared" si="4"/>
        <v/>
      </c>
    </row>
    <row r="87" spans="1:6" ht="14.25" customHeight="1" x14ac:dyDescent="0.2">
      <c r="A87" s="19">
        <v>21</v>
      </c>
      <c r="B87" s="180" t="s">
        <v>461</v>
      </c>
      <c r="C87" s="181"/>
      <c r="D87" s="14">
        <f t="shared" si="5"/>
        <v>0</v>
      </c>
      <c r="E87" s="17">
        <f>IF(F3="1",SUMIF(Data!A:A,'10'!$A$2,Data!ES:ES),0)</f>
        <v>0</v>
      </c>
      <c r="F87" s="21" t="str">
        <f t="shared" si="4"/>
        <v/>
      </c>
    </row>
    <row r="88" spans="1:6" x14ac:dyDescent="0.2">
      <c r="A88" s="19">
        <v>22</v>
      </c>
      <c r="B88" s="180" t="s">
        <v>19</v>
      </c>
      <c r="C88" s="181"/>
      <c r="D88" s="14">
        <f t="shared" si="5"/>
        <v>0</v>
      </c>
      <c r="E88" s="17">
        <f>IF(F3="1",SUMIF(Data!A:A,'10'!$A$2,Data!ET:ET),0)</f>
        <v>0</v>
      </c>
      <c r="F88" s="21" t="str">
        <f t="shared" si="4"/>
        <v/>
      </c>
    </row>
    <row r="89" spans="1:6" x14ac:dyDescent="0.2">
      <c r="A89" s="19">
        <v>23</v>
      </c>
      <c r="B89" s="180" t="s">
        <v>20</v>
      </c>
      <c r="C89" s="181"/>
      <c r="D89" s="14">
        <f t="shared" si="5"/>
        <v>23952</v>
      </c>
      <c r="E89" s="17">
        <f>IF(F3="1",SUMIF(Data!A:A,'10'!$A$2,Data!EU:EU),0)</f>
        <v>144498</v>
      </c>
      <c r="F89" s="21">
        <f t="shared" si="4"/>
        <v>6.03</v>
      </c>
    </row>
    <row r="90" spans="1:6" x14ac:dyDescent="0.2">
      <c r="A90" s="19">
        <v>24</v>
      </c>
      <c r="B90" s="180" t="s">
        <v>21</v>
      </c>
      <c r="C90" s="181"/>
      <c r="D90" s="14">
        <f t="shared" si="5"/>
        <v>720</v>
      </c>
      <c r="E90" s="17">
        <f>IF(F3="1",SUMIF(Data!A:A,'10'!$A$2,Data!EV:EV),0)</f>
        <v>2100</v>
      </c>
      <c r="F90" s="21">
        <f t="shared" si="4"/>
        <v>2.92</v>
      </c>
    </row>
    <row r="91" spans="1:6" x14ac:dyDescent="0.2">
      <c r="A91" s="19">
        <v>25</v>
      </c>
      <c r="B91" s="180" t="s">
        <v>22</v>
      </c>
      <c r="C91" s="181"/>
      <c r="D91" s="14">
        <f t="shared" si="5"/>
        <v>64224</v>
      </c>
      <c r="E91" s="17">
        <f>IF(F3="1",SUMIF(Data!A:A,'10'!$A$2,Data!EW:EW),0)</f>
        <v>166276</v>
      </c>
      <c r="F91" s="21">
        <f t="shared" si="4"/>
        <v>2.59</v>
      </c>
    </row>
    <row r="92" spans="1:6" x14ac:dyDescent="0.2">
      <c r="A92" s="19">
        <v>26</v>
      </c>
      <c r="B92" s="180" t="s">
        <v>23</v>
      </c>
      <c r="C92" s="181"/>
      <c r="D92" s="14">
        <f t="shared" si="5"/>
        <v>20844</v>
      </c>
      <c r="E92" s="17">
        <f>IF(F3="1",SUMIF(Data!A:A,'10'!$A$2,Data!EX:EX),0)</f>
        <v>77773</v>
      </c>
      <c r="F92" s="21">
        <f t="shared" si="4"/>
        <v>3.73</v>
      </c>
    </row>
    <row r="93" spans="1:6" x14ac:dyDescent="0.2">
      <c r="A93" s="19">
        <v>28</v>
      </c>
      <c r="B93" s="180" t="s">
        <v>24</v>
      </c>
      <c r="C93" s="181"/>
      <c r="D93" s="14">
        <f t="shared" si="5"/>
        <v>0</v>
      </c>
      <c r="E93" s="17">
        <f>IF(F3="1",SUMIF(Data!A:A,'10'!$A$2,Data!EZ:EZ),0)</f>
        <v>0</v>
      </c>
      <c r="F93" s="21" t="str">
        <f t="shared" si="4"/>
        <v/>
      </c>
    </row>
    <row r="94" spans="1:6" ht="15.75" customHeight="1" thickBot="1" x14ac:dyDescent="0.25">
      <c r="A94" s="22">
        <v>29</v>
      </c>
      <c r="B94" s="184" t="s">
        <v>25</v>
      </c>
      <c r="C94" s="185"/>
      <c r="D94" s="23">
        <f t="shared" si="5"/>
        <v>0</v>
      </c>
      <c r="E94" s="24">
        <f>IF(F3="1",SUMIF(Data!A:A,'10'!$A$2,Data!FA:FA),0)</f>
        <v>0</v>
      </c>
      <c r="F94" s="25" t="str">
        <f t="shared" si="4"/>
        <v/>
      </c>
    </row>
    <row r="95" spans="1:6" x14ac:dyDescent="0.2">
      <c r="B95" s="30" t="s">
        <v>35</v>
      </c>
      <c r="C95" s="30"/>
      <c r="D95" s="59">
        <f>SUM(D67:D94)</f>
        <v>452668</v>
      </c>
      <c r="E95" s="31">
        <f>SUM(E67:E94)</f>
        <v>1374066</v>
      </c>
      <c r="F95" s="32">
        <f t="shared" si="4"/>
        <v>3.04</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IF(F3="1",SUMIF(Data!A:A,'10'!$A$2,Data!AH:AH),0)</f>
        <v>751049</v>
      </c>
      <c r="F98" s="20">
        <f>IF(OR(E98=0,E98=0),"",ROUND(E98/$D$105,2))</f>
        <v>1.66</v>
      </c>
    </row>
    <row r="99" spans="2:6" x14ac:dyDescent="0.2">
      <c r="B99" s="190" t="s">
        <v>31</v>
      </c>
      <c r="C99" s="191"/>
      <c r="D99" s="36"/>
      <c r="E99" s="17">
        <f>IF(F3="1",SUMIF(Data!A:A,'10'!$A$2,Data!AI:AI),0)</f>
        <v>298015</v>
      </c>
      <c r="F99" s="21">
        <f t="shared" ref="F99:F104" si="6">IF(OR(E99=0,E99=0),"",ROUND(E99/$D$105,2))</f>
        <v>0.66</v>
      </c>
    </row>
    <row r="100" spans="2:6" x14ac:dyDescent="0.2">
      <c r="B100" s="190" t="s">
        <v>1089</v>
      </c>
      <c r="C100" s="191"/>
      <c r="D100" s="36"/>
      <c r="E100" s="17">
        <f>IF(F3="1",SUMIF(Data!A:A,'10'!$A$2,Data!AJ:AJ),0)</f>
        <v>97244</v>
      </c>
      <c r="F100" s="21">
        <f t="shared" si="6"/>
        <v>0.21</v>
      </c>
    </row>
    <row r="101" spans="2:6" x14ac:dyDescent="0.2">
      <c r="B101" s="190" t="s">
        <v>1090</v>
      </c>
      <c r="C101" s="191"/>
      <c r="D101" s="36"/>
      <c r="E101" s="17">
        <f>IF(F3="1",SUMIF(Data!A:A,'10'!$A$2,Data!AK:AK),0)</f>
        <v>155314</v>
      </c>
      <c r="F101" s="21">
        <f t="shared" si="6"/>
        <v>0.34</v>
      </c>
    </row>
    <row r="102" spans="2:6" x14ac:dyDescent="0.2">
      <c r="B102" s="190" t="s">
        <v>1091</v>
      </c>
      <c r="C102" s="191"/>
      <c r="D102" s="36"/>
      <c r="E102" s="17">
        <f>IF(F3="1",SUMIF(Data!A:A,'10'!$A$2,Data!AL:AL),0)</f>
        <v>0</v>
      </c>
      <c r="F102" s="21" t="str">
        <f t="shared" si="6"/>
        <v/>
      </c>
    </row>
    <row r="103" spans="2:6" x14ac:dyDescent="0.2">
      <c r="B103" s="192" t="s">
        <v>34</v>
      </c>
      <c r="C103" s="193"/>
      <c r="D103" s="36"/>
      <c r="E103" s="17">
        <f>IF(F3="1",SUMIF(Data!A:A,'10'!$A$2,Data!AM:AM),0)</f>
        <v>0</v>
      </c>
      <c r="F103" s="21" t="str">
        <f t="shared" si="6"/>
        <v/>
      </c>
    </row>
    <row r="104" spans="2:6" ht="15.75" customHeight="1" thickBot="1" x14ac:dyDescent="0.25">
      <c r="B104" s="186" t="s">
        <v>29</v>
      </c>
      <c r="C104" s="187"/>
      <c r="D104" s="37"/>
      <c r="E104" s="24">
        <f>IF(F3="1",SUMIF(Data!A:A,'10'!$A$2,Data!Q:Q),0)</f>
        <v>102752</v>
      </c>
      <c r="F104" s="25">
        <f t="shared" si="6"/>
        <v>0.23</v>
      </c>
    </row>
    <row r="105" spans="2:6" x14ac:dyDescent="0.2">
      <c r="B105" s="30" t="s">
        <v>35</v>
      </c>
      <c r="C105" s="30"/>
      <c r="D105" s="34">
        <f>D95</f>
        <v>452668</v>
      </c>
      <c r="E105" s="31">
        <f>SUM(E98:E104)</f>
        <v>1404374</v>
      </c>
      <c r="F105" s="32">
        <f>IF($D$105=0,"",ROUND(E105/$D$105,2))</f>
        <v>3.1</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1374066</v>
      </c>
      <c r="D109" s="15">
        <f>IF(F3="1",SUMIF(Data!$A:$A,$A$2,Data!HJ:HJ),0)</f>
        <v>0</v>
      </c>
      <c r="E109" s="15">
        <f>IF(F3="1",SUMIF(Data!$A:$A,$A$2,Data!IN:IN),0)</f>
        <v>0</v>
      </c>
      <c r="F109" s="47">
        <f>SUM(C109:E109)</f>
        <v>1374066</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102752</v>
      </c>
      <c r="E117" s="52"/>
      <c r="F117" s="49">
        <f>SUM(C117:E117)</f>
        <v>102752</v>
      </c>
    </row>
    <row r="118" spans="1:6" x14ac:dyDescent="0.2">
      <c r="B118" s="13" t="s">
        <v>35</v>
      </c>
      <c r="C118" s="4">
        <f>SUM(C109:C116)</f>
        <v>1374066</v>
      </c>
      <c r="D118" s="4">
        <f>SUM(D109:D116)</f>
        <v>0</v>
      </c>
      <c r="E118" s="4">
        <f>SUM(E109:E116)</f>
        <v>0</v>
      </c>
      <c r="F118" s="4">
        <f>SUM(F109:F116)</f>
        <v>1374066</v>
      </c>
    </row>
    <row r="119" spans="1:6" ht="15" thickBot="1" x14ac:dyDescent="0.25"/>
    <row r="120" spans="1:6" ht="15" thickBot="1" x14ac:dyDescent="0.25">
      <c r="B120" s="55" t="s">
        <v>934</v>
      </c>
      <c r="C120" s="53"/>
      <c r="D120" s="53"/>
      <c r="E120" s="53">
        <f>IF(F3="1",SUMIF(Data!A:A,'10'!$A$2,Data!AM:AM),0)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3" width="12.140625" style="10" bestFit="1" customWidth="1"/>
    <col min="14"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354</v>
      </c>
      <c r="B2" s="58" t="str">
        <f>VLOOKUP(A2,Data!A:G,7,0)</f>
        <v>Coastal Bend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47772</v>
      </c>
      <c r="E5" s="15">
        <f>E36+E67+IFERROR($E$105/$D$105*D5,0)</f>
        <v>146379.80650713394</v>
      </c>
      <c r="F5" s="20">
        <f>IF(OR(D5=0,E5=0),"",ROUND(E5/D5,2))</f>
        <v>3.06</v>
      </c>
    </row>
    <row r="6" spans="1:6" x14ac:dyDescent="0.2">
      <c r="A6" s="19">
        <v>2</v>
      </c>
      <c r="B6" s="180" t="s">
        <v>1</v>
      </c>
      <c r="C6" s="181"/>
      <c r="D6" s="14">
        <f t="shared" ref="D6:D32" si="0">D37</f>
        <v>100166</v>
      </c>
      <c r="E6" s="17">
        <f t="shared" ref="E6:E32" si="1">E37+E68+IFERROR($E$105/$D$105*D6,0)</f>
        <v>496040.45454646187</v>
      </c>
      <c r="F6" s="21">
        <f t="shared" ref="F6:F33" si="2">IF(OR(D6=0,E6=0),"",ROUND(E6/D6,2))</f>
        <v>4.95</v>
      </c>
    </row>
    <row r="7" spans="1:6" ht="14.25" customHeight="1" x14ac:dyDescent="0.2">
      <c r="A7" s="19">
        <v>3</v>
      </c>
      <c r="B7" s="180" t="s">
        <v>2</v>
      </c>
      <c r="C7" s="181"/>
      <c r="D7" s="14">
        <f t="shared" si="0"/>
        <v>115072</v>
      </c>
      <c r="E7" s="17">
        <f t="shared" si="1"/>
        <v>591823.07632899843</v>
      </c>
      <c r="F7" s="21">
        <f t="shared" si="2"/>
        <v>5.14</v>
      </c>
    </row>
    <row r="8" spans="1:6" ht="14.25" customHeight="1" x14ac:dyDescent="0.2">
      <c r="A8" s="19">
        <v>4</v>
      </c>
      <c r="B8" s="180" t="s">
        <v>3</v>
      </c>
      <c r="C8" s="181"/>
      <c r="D8" s="14">
        <f t="shared" si="0"/>
        <v>119308</v>
      </c>
      <c r="E8" s="17">
        <f t="shared" si="1"/>
        <v>794029.38371332863</v>
      </c>
      <c r="F8" s="21">
        <f t="shared" si="2"/>
        <v>6.66</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17856</v>
      </c>
      <c r="E10" s="17">
        <f t="shared" si="1"/>
        <v>82686.253223465275</v>
      </c>
      <c r="F10" s="21">
        <f t="shared" si="2"/>
        <v>4.63</v>
      </c>
    </row>
    <row r="11" spans="1:6" x14ac:dyDescent="0.2">
      <c r="A11" s="19">
        <v>7</v>
      </c>
      <c r="B11" s="180" t="s">
        <v>6</v>
      </c>
      <c r="C11" s="181"/>
      <c r="D11" s="14">
        <f t="shared" si="0"/>
        <v>195984</v>
      </c>
      <c r="E11" s="17">
        <f t="shared" si="1"/>
        <v>907555.03739626007</v>
      </c>
      <c r="F11" s="21">
        <f t="shared" si="2"/>
        <v>4.63</v>
      </c>
    </row>
    <row r="12" spans="1:6" x14ac:dyDescent="0.2">
      <c r="A12" s="19">
        <v>8</v>
      </c>
      <c r="B12" s="180" t="s">
        <v>7</v>
      </c>
      <c r="C12" s="181"/>
      <c r="D12" s="14">
        <f t="shared" si="0"/>
        <v>30606</v>
      </c>
      <c r="E12" s="17">
        <f t="shared" si="1"/>
        <v>150258.76199358079</v>
      </c>
      <c r="F12" s="21">
        <f t="shared" si="2"/>
        <v>4.91</v>
      </c>
    </row>
    <row r="13" spans="1:6" x14ac:dyDescent="0.2">
      <c r="A13" s="19">
        <v>9</v>
      </c>
      <c r="B13" s="180" t="s">
        <v>8</v>
      </c>
      <c r="C13" s="181"/>
      <c r="D13" s="14">
        <f t="shared" si="0"/>
        <v>218064</v>
      </c>
      <c r="E13" s="17">
        <f t="shared" si="1"/>
        <v>1091644.7161134481</v>
      </c>
      <c r="F13" s="21">
        <f t="shared" si="2"/>
        <v>5.01</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119661</v>
      </c>
      <c r="E15" s="17">
        <f t="shared" si="1"/>
        <v>457682.74266202276</v>
      </c>
      <c r="F15" s="21">
        <f t="shared" si="2"/>
        <v>3.82</v>
      </c>
    </row>
    <row r="16" spans="1:6" ht="14.25" customHeight="1" x14ac:dyDescent="0.2">
      <c r="A16" s="19">
        <v>12</v>
      </c>
      <c r="B16" s="180" t="s">
        <v>11</v>
      </c>
      <c r="C16" s="181"/>
      <c r="D16" s="14">
        <f t="shared" si="0"/>
        <v>259782</v>
      </c>
      <c r="E16" s="17">
        <f t="shared" si="1"/>
        <v>1261743.1088092662</v>
      </c>
      <c r="F16" s="21">
        <f t="shared" si="2"/>
        <v>4.8600000000000003</v>
      </c>
    </row>
    <row r="17" spans="1:6" x14ac:dyDescent="0.2">
      <c r="A17" s="19">
        <v>13</v>
      </c>
      <c r="B17" s="180" t="s">
        <v>12</v>
      </c>
      <c r="C17" s="181"/>
      <c r="D17" s="14">
        <f t="shared" si="0"/>
        <v>17888</v>
      </c>
      <c r="E17" s="17">
        <f t="shared" si="1"/>
        <v>96822.271598417719</v>
      </c>
      <c r="F17" s="21">
        <f t="shared" si="2"/>
        <v>5.41</v>
      </c>
    </row>
    <row r="18" spans="1:6" ht="14.25" customHeight="1" x14ac:dyDescent="0.2">
      <c r="A18" s="19">
        <v>14</v>
      </c>
      <c r="B18" s="180" t="s">
        <v>464</v>
      </c>
      <c r="C18" s="181"/>
      <c r="D18" s="14">
        <f t="shared" si="0"/>
        <v>13680</v>
      </c>
      <c r="E18" s="17">
        <f t="shared" si="1"/>
        <v>60272.355292170978</v>
      </c>
      <c r="F18" s="21">
        <f t="shared" si="2"/>
        <v>4.41</v>
      </c>
    </row>
    <row r="19" spans="1:6" x14ac:dyDescent="0.2">
      <c r="A19" s="19">
        <v>15</v>
      </c>
      <c r="B19" s="180" t="s">
        <v>13</v>
      </c>
      <c r="C19" s="181"/>
      <c r="D19" s="14">
        <f t="shared" si="0"/>
        <v>44160</v>
      </c>
      <c r="E19" s="17">
        <f t="shared" si="1"/>
        <v>449754.35743437649</v>
      </c>
      <c r="F19" s="21">
        <f t="shared" si="2"/>
        <v>10.18</v>
      </c>
    </row>
    <row r="20" spans="1:6" x14ac:dyDescent="0.2">
      <c r="A20" s="19">
        <v>16</v>
      </c>
      <c r="B20" s="180" t="s">
        <v>14</v>
      </c>
      <c r="C20" s="181"/>
      <c r="D20" s="14">
        <f t="shared" si="0"/>
        <v>79320</v>
      </c>
      <c r="E20" s="17">
        <f t="shared" si="1"/>
        <v>309780.29691337736</v>
      </c>
      <c r="F20" s="21">
        <f t="shared" si="2"/>
        <v>3.91</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175440</v>
      </c>
      <c r="E22" s="17">
        <f t="shared" si="1"/>
        <v>787149.2406767892</v>
      </c>
      <c r="F22" s="21">
        <f t="shared" si="2"/>
        <v>4.49</v>
      </c>
    </row>
    <row r="23" spans="1:6" x14ac:dyDescent="0.2">
      <c r="A23" s="19">
        <v>19</v>
      </c>
      <c r="B23" s="180" t="s">
        <v>17</v>
      </c>
      <c r="C23" s="181"/>
      <c r="D23" s="14">
        <f t="shared" si="0"/>
        <v>190209</v>
      </c>
      <c r="E23" s="17">
        <f t="shared" si="1"/>
        <v>807468.37754156068</v>
      </c>
      <c r="F23" s="21">
        <f t="shared" si="2"/>
        <v>4.25</v>
      </c>
    </row>
    <row r="24" spans="1:6" x14ac:dyDescent="0.2">
      <c r="A24" s="19">
        <v>20</v>
      </c>
      <c r="B24" s="180" t="s">
        <v>18</v>
      </c>
      <c r="C24" s="181"/>
      <c r="D24" s="14">
        <f t="shared" si="0"/>
        <v>33072</v>
      </c>
      <c r="E24" s="17">
        <f t="shared" si="1"/>
        <v>186486.4905133537</v>
      </c>
      <c r="F24" s="21">
        <f t="shared" si="2"/>
        <v>5.64</v>
      </c>
    </row>
    <row r="25" spans="1:6" ht="14.25" customHeight="1" x14ac:dyDescent="0.2">
      <c r="A25" s="19">
        <v>21</v>
      </c>
      <c r="B25" s="180" t="s">
        <v>461</v>
      </c>
      <c r="C25" s="181"/>
      <c r="D25" s="14">
        <f t="shared" si="0"/>
        <v>4016</v>
      </c>
      <c r="E25" s="17">
        <f t="shared" si="1"/>
        <v>86778.806056532063</v>
      </c>
      <c r="F25" s="21">
        <f t="shared" si="2"/>
        <v>21.61</v>
      </c>
    </row>
    <row r="26" spans="1:6" x14ac:dyDescent="0.2">
      <c r="A26" s="19">
        <v>22</v>
      </c>
      <c r="B26" s="180" t="s">
        <v>19</v>
      </c>
      <c r="C26" s="181"/>
      <c r="D26" s="14">
        <f t="shared" si="0"/>
        <v>15440</v>
      </c>
      <c r="E26" s="17">
        <f t="shared" si="1"/>
        <v>77901.365914555558</v>
      </c>
      <c r="F26" s="21">
        <f t="shared" si="2"/>
        <v>5.05</v>
      </c>
    </row>
    <row r="27" spans="1:6" x14ac:dyDescent="0.2">
      <c r="A27" s="19">
        <v>23</v>
      </c>
      <c r="B27" s="180" t="s">
        <v>20</v>
      </c>
      <c r="C27" s="181"/>
      <c r="D27" s="14">
        <f t="shared" si="0"/>
        <v>45216</v>
      </c>
      <c r="E27" s="17">
        <f t="shared" si="1"/>
        <v>221611.96380780725</v>
      </c>
      <c r="F27" s="21">
        <f t="shared" si="2"/>
        <v>4.9000000000000004</v>
      </c>
    </row>
    <row r="28" spans="1:6" x14ac:dyDescent="0.2">
      <c r="A28" s="19">
        <v>24</v>
      </c>
      <c r="B28" s="180" t="s">
        <v>21</v>
      </c>
      <c r="C28" s="181"/>
      <c r="D28" s="14">
        <f t="shared" si="0"/>
        <v>55712</v>
      </c>
      <c r="E28" s="17">
        <f t="shared" si="1"/>
        <v>414636.99079220975</v>
      </c>
      <c r="F28" s="21">
        <f t="shared" si="2"/>
        <v>7.44</v>
      </c>
    </row>
    <row r="29" spans="1:6" x14ac:dyDescent="0.2">
      <c r="A29" s="19">
        <v>25</v>
      </c>
      <c r="B29" s="180" t="s">
        <v>22</v>
      </c>
      <c r="C29" s="181"/>
      <c r="D29" s="14">
        <f t="shared" si="0"/>
        <v>199200</v>
      </c>
      <c r="E29" s="17">
        <f t="shared" si="1"/>
        <v>918417.38407898089</v>
      </c>
      <c r="F29" s="21">
        <f t="shared" si="2"/>
        <v>4.6100000000000003</v>
      </c>
    </row>
    <row r="30" spans="1:6" x14ac:dyDescent="0.2">
      <c r="A30" s="19">
        <v>26</v>
      </c>
      <c r="B30" s="180" t="s">
        <v>23</v>
      </c>
      <c r="C30" s="181"/>
      <c r="D30" s="14">
        <f t="shared" si="0"/>
        <v>68368</v>
      </c>
      <c r="E30" s="17">
        <f t="shared" si="1"/>
        <v>474350.75808590243</v>
      </c>
      <c r="F30" s="21">
        <f t="shared" si="2"/>
        <v>6.94</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2165992</v>
      </c>
      <c r="E33" s="31">
        <f>SUM(E5:E32)</f>
        <v>10871274</v>
      </c>
      <c r="F33" s="32">
        <f t="shared" si="2"/>
        <v>5.0199999999999996</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IF(F3="1",SUMIF(Data!A:A,'11'!$A$2,Data!CU:CU),0)</f>
        <v>47772</v>
      </c>
      <c r="E36" s="15">
        <f>IF(F3="1",SUMIF(Data!$A:$A,$A$2,Data!IO:IO),0)</f>
        <v>7752</v>
      </c>
      <c r="F36" s="20">
        <f t="shared" ref="F36:F64" si="3">IF(OR(D36=0,E36=0),"",ROUND(E36/D36,2))</f>
        <v>0.16</v>
      </c>
    </row>
    <row r="37" spans="1:6" x14ac:dyDescent="0.2">
      <c r="A37" s="19">
        <v>2</v>
      </c>
      <c r="B37" s="180" t="s">
        <v>1</v>
      </c>
      <c r="C37" s="181"/>
      <c r="D37" s="14">
        <f>IF(F3="1",SUMIF(Data!A:A,'11'!$A$2,Data!CV:CV),0)</f>
        <v>100166</v>
      </c>
      <c r="E37" s="17">
        <f>IF(F3="1",SUMIF(Data!$A:$A,$A$2,Data!IP:IP),0)</f>
        <v>62061</v>
      </c>
      <c r="F37" s="21">
        <f t="shared" si="3"/>
        <v>0.62</v>
      </c>
    </row>
    <row r="38" spans="1:6" ht="14.25" customHeight="1" x14ac:dyDescent="0.2">
      <c r="A38" s="19">
        <v>3</v>
      </c>
      <c r="B38" s="180" t="s">
        <v>2</v>
      </c>
      <c r="C38" s="181"/>
      <c r="D38" s="14">
        <f>IF(F3="1",SUMIF(Data!A:A,'11'!$A$2,Data!CW:CW),0)</f>
        <v>115072</v>
      </c>
      <c r="E38" s="17">
        <f>IF($F$3="1",SUMIF(Data!$A:$A,$A$2,Data!IQ:IQ),0)</f>
        <v>37820</v>
      </c>
      <c r="F38" s="21">
        <f t="shared" si="3"/>
        <v>0.33</v>
      </c>
    </row>
    <row r="39" spans="1:6" ht="14.25" customHeight="1" x14ac:dyDescent="0.2">
      <c r="A39" s="19">
        <v>4</v>
      </c>
      <c r="B39" s="180" t="s">
        <v>3</v>
      </c>
      <c r="C39" s="181"/>
      <c r="D39" s="14">
        <f>IF(F3="1",SUMIF(Data!A:A,'11'!$A$2,Data!CX:CX),0)</f>
        <v>119308</v>
      </c>
      <c r="E39" s="17">
        <f>IF($F$3="1",SUMIF(Data!$A:$A,$A$2,Data!IR:IR),0)</f>
        <v>55386</v>
      </c>
      <c r="F39" s="21">
        <f t="shared" si="3"/>
        <v>0.46</v>
      </c>
    </row>
    <row r="40" spans="1:6" x14ac:dyDescent="0.2">
      <c r="A40" s="19">
        <v>5</v>
      </c>
      <c r="B40" s="180" t="s">
        <v>4</v>
      </c>
      <c r="C40" s="181"/>
      <c r="D40" s="14">
        <f>IF(F3="1",SUMIF(Data!A:A,'11'!$A$2,Data!CY:CY),0)</f>
        <v>0</v>
      </c>
      <c r="E40" s="17">
        <f>IF($F$3="1",SUMIF(Data!$A:$A,$A$2,Data!IS:IS),0)</f>
        <v>0</v>
      </c>
      <c r="F40" s="21" t="str">
        <f t="shared" si="3"/>
        <v/>
      </c>
    </row>
    <row r="41" spans="1:6" x14ac:dyDescent="0.2">
      <c r="A41" s="19">
        <v>6</v>
      </c>
      <c r="B41" s="180" t="s">
        <v>5</v>
      </c>
      <c r="C41" s="181"/>
      <c r="D41" s="14">
        <f>IF(F3="1",SUMIF(Data!A:A,'11'!$A$2,Data!CZ:CZ),0)</f>
        <v>17856</v>
      </c>
      <c r="E41" s="17">
        <f>IF($F$3="1",SUMIF(Data!$A:$A,$A$2,Data!IT:IT),0)</f>
        <v>8006</v>
      </c>
      <c r="F41" s="21">
        <f t="shared" si="3"/>
        <v>0.45</v>
      </c>
    </row>
    <row r="42" spans="1:6" x14ac:dyDescent="0.2">
      <c r="A42" s="19">
        <v>7</v>
      </c>
      <c r="B42" s="180" t="s">
        <v>6</v>
      </c>
      <c r="C42" s="181"/>
      <c r="D42" s="14">
        <f>IF(F3="1",SUMIF(Data!A:A,'11'!$A$2,Data!DA:DA),0)</f>
        <v>195984</v>
      </c>
      <c r="E42" s="17">
        <f>IF($F$3="1",SUMIF(Data!$A:$A,$A$2,Data!IU:IU),0)</f>
        <v>87874</v>
      </c>
      <c r="F42" s="21">
        <f t="shared" si="3"/>
        <v>0.45</v>
      </c>
    </row>
    <row r="43" spans="1:6" x14ac:dyDescent="0.2">
      <c r="A43" s="19">
        <v>8</v>
      </c>
      <c r="B43" s="180" t="s">
        <v>7</v>
      </c>
      <c r="C43" s="181"/>
      <c r="D43" s="14">
        <f>IF(F3="1",SUMIF(Data!A:A,'11'!$A$2,Data!DB:DB),0)</f>
        <v>30606</v>
      </c>
      <c r="E43" s="17">
        <f>IF($F$3="1",SUMIF(Data!$A:$A,$A$2,Data!IV:IV),0)</f>
        <v>12115</v>
      </c>
      <c r="F43" s="21">
        <f t="shared" si="3"/>
        <v>0.4</v>
      </c>
    </row>
    <row r="44" spans="1:6" x14ac:dyDescent="0.2">
      <c r="A44" s="19">
        <v>9</v>
      </c>
      <c r="B44" s="180" t="s">
        <v>8</v>
      </c>
      <c r="C44" s="181"/>
      <c r="D44" s="14">
        <f>IF(F3="1",SUMIF(Data!A:A,'11'!$A$2,Data!DC:DC),0)</f>
        <v>218064</v>
      </c>
      <c r="E44" s="17">
        <f>IF($F$3="1",SUMIF(Data!$A:$A,$A$2,Data!IW:IW),0)</f>
        <v>95137</v>
      </c>
      <c r="F44" s="21">
        <f t="shared" si="3"/>
        <v>0.44</v>
      </c>
    </row>
    <row r="45" spans="1:6" x14ac:dyDescent="0.2">
      <c r="A45" s="19">
        <v>10</v>
      </c>
      <c r="B45" s="180" t="s">
        <v>9</v>
      </c>
      <c r="C45" s="181"/>
      <c r="D45" s="14">
        <f>IF(F3="1",SUMIF(Data!A:A,'11'!$A$2,Data!DD:DD),0)</f>
        <v>0</v>
      </c>
      <c r="E45" s="17">
        <f>IF($F$3="1",SUMIF(Data!$A:$A,$A$2,Data!IX:IX),0)</f>
        <v>0</v>
      </c>
      <c r="F45" s="21" t="str">
        <f t="shared" si="3"/>
        <v/>
      </c>
    </row>
    <row r="46" spans="1:6" x14ac:dyDescent="0.2">
      <c r="A46" s="19">
        <v>11</v>
      </c>
      <c r="B46" s="180" t="s">
        <v>10</v>
      </c>
      <c r="C46" s="181"/>
      <c r="D46" s="14">
        <f>IF(F3="1",SUMIF(Data!A:A,'11'!$A$2,Data!DE:DE),0)</f>
        <v>119661</v>
      </c>
      <c r="E46" s="17">
        <f>IF($F$3="1",SUMIF(Data!$A:$A,$A$2,Data!IY:IY),0)</f>
        <v>19427</v>
      </c>
      <c r="F46" s="21">
        <f t="shared" si="3"/>
        <v>0.16</v>
      </c>
    </row>
    <row r="47" spans="1:6" ht="14.25" customHeight="1" x14ac:dyDescent="0.2">
      <c r="A47" s="19">
        <v>12</v>
      </c>
      <c r="B47" s="180" t="s">
        <v>11</v>
      </c>
      <c r="C47" s="181"/>
      <c r="D47" s="14">
        <f>IF(F3="1",SUMIF(Data!A:A,'11'!$A$2,Data!DF:DF),0)</f>
        <v>259782</v>
      </c>
      <c r="E47" s="17">
        <f>IF($F$3="1",SUMIF(Data!$A:$A,$A$2,Data!IZ:IZ),0)</f>
        <v>77963</v>
      </c>
      <c r="F47" s="21">
        <f t="shared" si="3"/>
        <v>0.3</v>
      </c>
    </row>
    <row r="48" spans="1:6" x14ac:dyDescent="0.2">
      <c r="A48" s="19">
        <v>13</v>
      </c>
      <c r="B48" s="180" t="s">
        <v>12</v>
      </c>
      <c r="C48" s="181"/>
      <c r="D48" s="14">
        <f>IF(F3="1",SUMIF(Data!A:A,'11'!$A$2,Data!DG:DG),0)</f>
        <v>17888</v>
      </c>
      <c r="E48" s="17">
        <f>IF($F$3="1",SUMIF(Data!$A:$A,$A$2,Data!JA:JA),0)</f>
        <v>7049</v>
      </c>
      <c r="F48" s="21">
        <f t="shared" si="3"/>
        <v>0.39</v>
      </c>
    </row>
    <row r="49" spans="1:6" ht="14.25" customHeight="1" x14ac:dyDescent="0.2">
      <c r="A49" s="19">
        <v>14</v>
      </c>
      <c r="B49" s="180" t="s">
        <v>464</v>
      </c>
      <c r="C49" s="181"/>
      <c r="D49" s="14">
        <f>IF(F3="1",SUMIF(Data!A:A,'11'!$A$2,Data!DH:DH),0)</f>
        <v>13680</v>
      </c>
      <c r="E49" s="17">
        <f>IF($F$3="1",SUMIF(Data!$A:$A,$A$2,Data!JB:JB),0)</f>
        <v>7498</v>
      </c>
      <c r="F49" s="21">
        <f t="shared" si="3"/>
        <v>0.55000000000000004</v>
      </c>
    </row>
    <row r="50" spans="1:6" x14ac:dyDescent="0.2">
      <c r="A50" s="19">
        <v>15</v>
      </c>
      <c r="B50" s="180" t="s">
        <v>13</v>
      </c>
      <c r="C50" s="181"/>
      <c r="D50" s="14">
        <f>IF(F3="1",SUMIF(Data!A:A,'11'!$A$2,Data!DI:DI),0)</f>
        <v>44160</v>
      </c>
      <c r="E50" s="17">
        <f>IF($F$3="1",SUMIF(Data!$A:$A,$A$2,Data!JC:JC),0)</f>
        <v>100881</v>
      </c>
      <c r="F50" s="21">
        <f t="shared" si="3"/>
        <v>2.2799999999999998</v>
      </c>
    </row>
    <row r="51" spans="1:6" x14ac:dyDescent="0.2">
      <c r="A51" s="19">
        <v>16</v>
      </c>
      <c r="B51" s="180" t="s">
        <v>14</v>
      </c>
      <c r="C51" s="181"/>
      <c r="D51" s="14">
        <f>IF(F3="1",SUMIF(Data!A:A,'11'!$A$2,Data!DJ:DJ),0)</f>
        <v>79320</v>
      </c>
      <c r="E51" s="17">
        <f>IF($F$3="1",SUMIF(Data!$A:$A,$A$2,Data!JD:JD),0)</f>
        <v>29329</v>
      </c>
      <c r="F51" s="21">
        <f t="shared" si="3"/>
        <v>0.37</v>
      </c>
    </row>
    <row r="52" spans="1:6" x14ac:dyDescent="0.2">
      <c r="A52" s="19">
        <v>17</v>
      </c>
      <c r="B52" s="180" t="s">
        <v>15</v>
      </c>
      <c r="C52" s="181"/>
      <c r="D52" s="14">
        <f>IF(F3="1",SUMIF(Data!A:A,'11'!$A$2,Data!DK:DK),0)</f>
        <v>0</v>
      </c>
      <c r="E52" s="17">
        <f>IF($F$3="1",SUMIF(Data!$A:$A,$A$2,Data!JE:JE),0)</f>
        <v>0</v>
      </c>
      <c r="F52" s="21" t="str">
        <f t="shared" si="3"/>
        <v/>
      </c>
    </row>
    <row r="53" spans="1:6" x14ac:dyDescent="0.2">
      <c r="A53" s="19">
        <v>18</v>
      </c>
      <c r="B53" s="180" t="s">
        <v>16</v>
      </c>
      <c r="C53" s="181"/>
      <c r="D53" s="14">
        <f>IF(F3="1",SUMIF(Data!A:A,'11'!$A$2,Data!DL:DL),0)</f>
        <v>175440</v>
      </c>
      <c r="E53" s="17">
        <f>IF($F$3="1",SUMIF(Data!$A:$A,$A$2,Data!JF:JF),0)</f>
        <v>99610</v>
      </c>
      <c r="F53" s="21">
        <f t="shared" si="3"/>
        <v>0.56999999999999995</v>
      </c>
    </row>
    <row r="54" spans="1:6" x14ac:dyDescent="0.2">
      <c r="A54" s="19">
        <v>19</v>
      </c>
      <c r="B54" s="180" t="s">
        <v>17</v>
      </c>
      <c r="C54" s="181"/>
      <c r="D54" s="14">
        <f>IF(F3="1",SUMIF(Data!A:A,'11'!$A$2,Data!DM:DM),0)</f>
        <v>190209</v>
      </c>
      <c r="E54" s="17">
        <f>IF($F$3="1",SUMIF(Data!$A:$A,$A$2,Data!JG:JG),0)</f>
        <v>29300</v>
      </c>
      <c r="F54" s="21">
        <f t="shared" si="3"/>
        <v>0.15</v>
      </c>
    </row>
    <row r="55" spans="1:6" x14ac:dyDescent="0.2">
      <c r="A55" s="19">
        <v>20</v>
      </c>
      <c r="B55" s="180" t="s">
        <v>18</v>
      </c>
      <c r="C55" s="181"/>
      <c r="D55" s="14">
        <f>IF(F3="1",SUMIF(Data!A:A,'11'!$A$2,Data!DN:DN),0)</f>
        <v>33072</v>
      </c>
      <c r="E55" s="17">
        <f>IF($F$3="1",SUMIF(Data!$A:$A,$A$2,Data!JH:JH),0)</f>
        <v>13412</v>
      </c>
      <c r="F55" s="21">
        <f t="shared" si="3"/>
        <v>0.41</v>
      </c>
    </row>
    <row r="56" spans="1:6" ht="14.25" customHeight="1" x14ac:dyDescent="0.2">
      <c r="A56" s="19">
        <v>21</v>
      </c>
      <c r="B56" s="180" t="s">
        <v>461</v>
      </c>
      <c r="C56" s="181"/>
      <c r="D56" s="14">
        <f>IF(F3="1",SUMIF(Data!A:A,'11'!$A$2,Data!DO:DO),0)</f>
        <v>4016</v>
      </c>
      <c r="E56" s="17">
        <f>IF($F$3="1",SUMIF(Data!$A:$A,$A$2,Data!JI:JI),0)</f>
        <v>50928</v>
      </c>
      <c r="F56" s="21">
        <f t="shared" si="3"/>
        <v>12.68</v>
      </c>
    </row>
    <row r="57" spans="1:6" x14ac:dyDescent="0.2">
      <c r="A57" s="19">
        <v>22</v>
      </c>
      <c r="B57" s="180" t="s">
        <v>19</v>
      </c>
      <c r="C57" s="181"/>
      <c r="D57" s="14">
        <f>IF(F3="1",SUMIF(Data!A:A,'11'!$A$2,Data!DP:DP),0)</f>
        <v>15440</v>
      </c>
      <c r="E57" s="17">
        <f>IF($F$3="1",SUMIF(Data!$A:$A,$A$2,Data!JJ:JJ),0)</f>
        <v>7995</v>
      </c>
      <c r="F57" s="21">
        <f t="shared" si="3"/>
        <v>0.52</v>
      </c>
    </row>
    <row r="58" spans="1:6" x14ac:dyDescent="0.2">
      <c r="A58" s="19">
        <v>23</v>
      </c>
      <c r="B58" s="180" t="s">
        <v>20</v>
      </c>
      <c r="C58" s="181"/>
      <c r="D58" s="14">
        <f>IF(F3="1",SUMIF(Data!A:A,'11'!$A$2,Data!DQ:DQ),0)</f>
        <v>45216</v>
      </c>
      <c r="E58" s="17">
        <f>IF($F$3="1",SUMIF(Data!$A:$A,$A$2,Data!JK:JK),0)</f>
        <v>11925</v>
      </c>
      <c r="F58" s="21">
        <f t="shared" si="3"/>
        <v>0.26</v>
      </c>
    </row>
    <row r="59" spans="1:6" x14ac:dyDescent="0.2">
      <c r="A59" s="19">
        <v>24</v>
      </c>
      <c r="B59" s="180" t="s">
        <v>21</v>
      </c>
      <c r="C59" s="181"/>
      <c r="D59" s="14">
        <f>IF(F3="1",SUMIF(Data!A:A,'11'!$A$2,Data!DR:DR),0)</f>
        <v>55712</v>
      </c>
      <c r="E59" s="17">
        <f>IF($F$3="1",SUMIF(Data!$A:$A,$A$2,Data!JL:JL),0)</f>
        <v>56954</v>
      </c>
      <c r="F59" s="21">
        <f t="shared" si="3"/>
        <v>1.02</v>
      </c>
    </row>
    <row r="60" spans="1:6" x14ac:dyDescent="0.2">
      <c r="A60" s="19">
        <v>25</v>
      </c>
      <c r="B60" s="180" t="s">
        <v>22</v>
      </c>
      <c r="C60" s="181"/>
      <c r="D60" s="14">
        <f>IF(F3="1",SUMIF(Data!A:A,'11'!$A$2,Data!DS:DS),0)</f>
        <v>199200</v>
      </c>
      <c r="E60" s="17">
        <f>IF($F$3="1",SUMIF(Data!$A:$A,$A$2,Data!JM:JM),0)</f>
        <v>23291</v>
      </c>
      <c r="F60" s="21">
        <f t="shared" si="3"/>
        <v>0.12</v>
      </c>
    </row>
    <row r="61" spans="1:6" x14ac:dyDescent="0.2">
      <c r="A61" s="19">
        <v>26</v>
      </c>
      <c r="B61" s="180" t="s">
        <v>23</v>
      </c>
      <c r="C61" s="181"/>
      <c r="D61" s="14">
        <f>IF(F3="1",SUMIF(Data!A:A,'11'!$A$2,Data!DT:DT),0)</f>
        <v>68368</v>
      </c>
      <c r="E61" s="17">
        <f>IF($F$3="1",SUMIF(Data!$A:$A,$A$2,Data!JN:JN),0)</f>
        <v>70081</v>
      </c>
      <c r="F61" s="21">
        <f t="shared" si="3"/>
        <v>1.03</v>
      </c>
    </row>
    <row r="62" spans="1:6" x14ac:dyDescent="0.2">
      <c r="A62" s="19">
        <v>28</v>
      </c>
      <c r="B62" s="180" t="s">
        <v>24</v>
      </c>
      <c r="C62" s="181"/>
      <c r="D62" s="14">
        <f>IF(F3="1",SUMIF(Data!A:A,'11'!$A$2,Data!DV:DV),0)</f>
        <v>0</v>
      </c>
      <c r="E62" s="17">
        <f>IF($F$3="1",SUMIF(Data!$A:$A,$A$2,Data!JP:JP),0)</f>
        <v>0</v>
      </c>
      <c r="F62" s="21" t="str">
        <f t="shared" si="3"/>
        <v/>
      </c>
    </row>
    <row r="63" spans="1:6" ht="15.75" customHeight="1" thickBot="1" x14ac:dyDescent="0.25">
      <c r="A63" s="22">
        <v>29</v>
      </c>
      <c r="B63" s="184" t="s">
        <v>25</v>
      </c>
      <c r="C63" s="185"/>
      <c r="D63" s="23">
        <f>IF(F3="1",SUMIF(Data!A:A,'11'!$A$2,Data!DW:DW),0)</f>
        <v>0</v>
      </c>
      <c r="E63" s="24">
        <f>IF($F$3="1",SUMIF(Data!$A:$A,$A$2,Data!JQ:JQ),0)</f>
        <v>0</v>
      </c>
      <c r="F63" s="25" t="str">
        <f t="shared" si="3"/>
        <v/>
      </c>
    </row>
    <row r="64" spans="1:6" x14ac:dyDescent="0.2">
      <c r="B64" s="30" t="s">
        <v>35</v>
      </c>
      <c r="C64" s="30"/>
      <c r="D64" s="59">
        <f>SUM(D36:D63)</f>
        <v>2165992</v>
      </c>
      <c r="E64" s="31">
        <f>SUM(E36:E63)</f>
        <v>971794</v>
      </c>
      <c r="F64" s="32">
        <f t="shared" si="3"/>
        <v>0.45</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47772</v>
      </c>
      <c r="E67" s="15">
        <f>IF(F3="1",SUMIF(Data!A:A,'11'!$A$2,Data!DY:DY),0)</f>
        <v>35592</v>
      </c>
      <c r="F67" s="20">
        <f t="shared" ref="F67:F95" si="4">IF(OR(D67=0,E67=0),"",ROUND(E67/D67,2))</f>
        <v>0.75</v>
      </c>
    </row>
    <row r="68" spans="1:6" x14ac:dyDescent="0.2">
      <c r="A68" s="19">
        <v>2</v>
      </c>
      <c r="B68" s="180" t="s">
        <v>1</v>
      </c>
      <c r="C68" s="181"/>
      <c r="D68" s="14">
        <f t="shared" ref="D68:D94" si="5">D37</f>
        <v>100166</v>
      </c>
      <c r="E68" s="17">
        <f>IF(F3="1",SUMIF(Data!A:A,'11'!$A$2,Data!DZ:DZ),0)</f>
        <v>217939</v>
      </c>
      <c r="F68" s="21">
        <f t="shared" si="4"/>
        <v>2.1800000000000002</v>
      </c>
    </row>
    <row r="69" spans="1:6" ht="14.25" customHeight="1" x14ac:dyDescent="0.2">
      <c r="A69" s="19">
        <v>3</v>
      </c>
      <c r="B69" s="180" t="s">
        <v>2</v>
      </c>
      <c r="C69" s="181"/>
      <c r="D69" s="14">
        <f t="shared" si="5"/>
        <v>115072</v>
      </c>
      <c r="E69" s="17">
        <f>IF(F3="1",SUMIF(Data!A:A,'11'!$A$2,Data!EA:EA),0)</f>
        <v>305813</v>
      </c>
      <c r="F69" s="21">
        <f t="shared" si="4"/>
        <v>2.66</v>
      </c>
    </row>
    <row r="70" spans="1:6" ht="14.25" customHeight="1" x14ac:dyDescent="0.2">
      <c r="A70" s="19">
        <v>4</v>
      </c>
      <c r="B70" s="180" t="s">
        <v>3</v>
      </c>
      <c r="C70" s="181"/>
      <c r="D70" s="14">
        <f t="shared" si="5"/>
        <v>119308</v>
      </c>
      <c r="E70" s="17">
        <f>IF(F3="1",SUMIF(Data!A:A,'11'!$A$2,Data!EB:EB),0)</f>
        <v>481317</v>
      </c>
      <c r="F70" s="21">
        <f t="shared" si="4"/>
        <v>4.03</v>
      </c>
    </row>
    <row r="71" spans="1:6" x14ac:dyDescent="0.2">
      <c r="A71" s="19">
        <v>5</v>
      </c>
      <c r="B71" s="180" t="s">
        <v>4</v>
      </c>
      <c r="C71" s="181"/>
      <c r="D71" s="14">
        <f t="shared" si="5"/>
        <v>0</v>
      </c>
      <c r="E71" s="17">
        <f>IF(F3="1",SUMIF(Data!A:A,'11'!$A$2,Data!EC:EC),0)</f>
        <v>0</v>
      </c>
      <c r="F71" s="21" t="str">
        <f t="shared" si="4"/>
        <v/>
      </c>
    </row>
    <row r="72" spans="1:6" x14ac:dyDescent="0.2">
      <c r="A72" s="19">
        <v>6</v>
      </c>
      <c r="B72" s="180" t="s">
        <v>5</v>
      </c>
      <c r="C72" s="181"/>
      <c r="D72" s="14">
        <f t="shared" si="5"/>
        <v>17856</v>
      </c>
      <c r="E72" s="17">
        <f>IF(F3="1",SUMIF(Data!A:A,'11'!$A$2,Data!ED:ED),0)</f>
        <v>36168</v>
      </c>
      <c r="F72" s="21">
        <f t="shared" si="4"/>
        <v>2.0299999999999998</v>
      </c>
    </row>
    <row r="73" spans="1:6" x14ac:dyDescent="0.2">
      <c r="A73" s="19">
        <v>7</v>
      </c>
      <c r="B73" s="180" t="s">
        <v>6</v>
      </c>
      <c r="C73" s="181"/>
      <c r="D73" s="14">
        <f t="shared" si="5"/>
        <v>195984</v>
      </c>
      <c r="E73" s="17">
        <f>IF(F3="1",SUMIF(Data!A:A,'11'!$A$2,Data!EE:EE),0)</f>
        <v>396978</v>
      </c>
      <c r="F73" s="21">
        <f t="shared" si="4"/>
        <v>2.0299999999999998</v>
      </c>
    </row>
    <row r="74" spans="1:6" x14ac:dyDescent="0.2">
      <c r="A74" s="19">
        <v>8</v>
      </c>
      <c r="B74" s="180" t="s">
        <v>7</v>
      </c>
      <c r="C74" s="181"/>
      <c r="D74" s="14">
        <f t="shared" si="5"/>
        <v>30606</v>
      </c>
      <c r="E74" s="17">
        <f>IF(F3="1",SUMIF(Data!A:A,'11'!$A$2,Data!EF:EF),0)</f>
        <v>72132</v>
      </c>
      <c r="F74" s="21">
        <f t="shared" si="4"/>
        <v>2.36</v>
      </c>
    </row>
    <row r="75" spans="1:6" x14ac:dyDescent="0.2">
      <c r="A75" s="19">
        <v>9</v>
      </c>
      <c r="B75" s="180" t="s">
        <v>8</v>
      </c>
      <c r="C75" s="181"/>
      <c r="D75" s="14">
        <f t="shared" si="5"/>
        <v>218064</v>
      </c>
      <c r="E75" s="17">
        <f>IF(F3="1",SUMIF(Data!A:A,'11'!$A$2,Data!EG:EG),0)</f>
        <v>526182</v>
      </c>
      <c r="F75" s="21">
        <f t="shared" si="4"/>
        <v>2.41</v>
      </c>
    </row>
    <row r="76" spans="1:6" x14ac:dyDescent="0.2">
      <c r="A76" s="19">
        <v>10</v>
      </c>
      <c r="B76" s="180" t="s">
        <v>9</v>
      </c>
      <c r="C76" s="181"/>
      <c r="D76" s="14">
        <f t="shared" si="5"/>
        <v>0</v>
      </c>
      <c r="E76" s="17">
        <f>IF(F3="1",SUMIF(Data!A:A,'11'!$A$2,Data!EH:EH),0)</f>
        <v>0</v>
      </c>
      <c r="F76" s="21" t="str">
        <f t="shared" si="4"/>
        <v/>
      </c>
    </row>
    <row r="77" spans="1:6" x14ac:dyDescent="0.2">
      <c r="A77" s="19">
        <v>11</v>
      </c>
      <c r="B77" s="180" t="s">
        <v>10</v>
      </c>
      <c r="C77" s="181"/>
      <c r="D77" s="14">
        <f t="shared" si="5"/>
        <v>119661</v>
      </c>
      <c r="E77" s="17">
        <f>IF(F3="1",SUMIF(Data!A:A,'11'!$A$2,Data!EI:EI),0)</f>
        <v>180168</v>
      </c>
      <c r="F77" s="21">
        <f t="shared" si="4"/>
        <v>1.51</v>
      </c>
    </row>
    <row r="78" spans="1:6" ht="14.25" customHeight="1" x14ac:dyDescent="0.2">
      <c r="A78" s="19">
        <v>12</v>
      </c>
      <c r="B78" s="180" t="s">
        <v>11</v>
      </c>
      <c r="C78" s="181"/>
      <c r="D78" s="14">
        <f t="shared" si="5"/>
        <v>259782</v>
      </c>
      <c r="E78" s="17">
        <f>IF(F3="1",SUMIF(Data!A:A,'11'!$A$2,Data!EJ:EJ),0)</f>
        <v>623476</v>
      </c>
      <c r="F78" s="21">
        <f t="shared" si="4"/>
        <v>2.4</v>
      </c>
    </row>
    <row r="79" spans="1:6" x14ac:dyDescent="0.2">
      <c r="A79" s="19">
        <v>13</v>
      </c>
      <c r="B79" s="180" t="s">
        <v>12</v>
      </c>
      <c r="C79" s="181"/>
      <c r="D79" s="14">
        <f t="shared" si="5"/>
        <v>17888</v>
      </c>
      <c r="E79" s="17">
        <f>IF(F3="1",SUMIF(Data!A:A,'11'!$A$2,Data!EK:EK),0)</f>
        <v>51192</v>
      </c>
      <c r="F79" s="21">
        <f t="shared" si="4"/>
        <v>2.86</v>
      </c>
    </row>
    <row r="80" spans="1:6" ht="14.25" customHeight="1" x14ac:dyDescent="0.2">
      <c r="A80" s="19">
        <v>14</v>
      </c>
      <c r="B80" s="180" t="s">
        <v>464</v>
      </c>
      <c r="C80" s="181"/>
      <c r="D80" s="14">
        <f t="shared" si="5"/>
        <v>13680</v>
      </c>
      <c r="E80" s="17">
        <f>IF(F3="1",SUMIF(Data!A:A,'11'!$A$2,Data!EL:EL),0)</f>
        <v>23269</v>
      </c>
      <c r="F80" s="21">
        <f t="shared" si="4"/>
        <v>1.7</v>
      </c>
    </row>
    <row r="81" spans="1:6" x14ac:dyDescent="0.2">
      <c r="A81" s="19">
        <v>15</v>
      </c>
      <c r="B81" s="180" t="s">
        <v>13</v>
      </c>
      <c r="C81" s="181"/>
      <c r="D81" s="14">
        <f t="shared" si="5"/>
        <v>44160</v>
      </c>
      <c r="E81" s="17">
        <f>IF(F3="1",SUMIF(Data!A:A,'11'!$A$2,Data!EM:EM),0)</f>
        <v>253628</v>
      </c>
      <c r="F81" s="21">
        <f t="shared" si="4"/>
        <v>5.74</v>
      </c>
    </row>
    <row r="82" spans="1:6" x14ac:dyDescent="0.2">
      <c r="A82" s="19">
        <v>16</v>
      </c>
      <c r="B82" s="180" t="s">
        <v>14</v>
      </c>
      <c r="C82" s="181"/>
      <c r="D82" s="14">
        <f t="shared" si="5"/>
        <v>79320</v>
      </c>
      <c r="E82" s="17">
        <f>IF(F3="1",SUMIF(Data!A:A,'11'!$A$2,Data!EN:EN),0)</f>
        <v>109372</v>
      </c>
      <c r="F82" s="21">
        <f t="shared" si="4"/>
        <v>1.38</v>
      </c>
    </row>
    <row r="83" spans="1:6" x14ac:dyDescent="0.2">
      <c r="A83" s="19">
        <v>17</v>
      </c>
      <c r="B83" s="180" t="s">
        <v>15</v>
      </c>
      <c r="C83" s="181"/>
      <c r="D83" s="14">
        <f t="shared" si="5"/>
        <v>0</v>
      </c>
      <c r="E83" s="17">
        <f>IF(F3="1",SUMIF(Data!A:A,'11'!$A$2,Data!EO:EO),0)</f>
        <v>0</v>
      </c>
      <c r="F83" s="21" t="str">
        <f t="shared" si="4"/>
        <v/>
      </c>
    </row>
    <row r="84" spans="1:6" x14ac:dyDescent="0.2">
      <c r="A84" s="19">
        <v>18</v>
      </c>
      <c r="B84" s="180" t="s">
        <v>16</v>
      </c>
      <c r="C84" s="181"/>
      <c r="D84" s="14">
        <f t="shared" si="5"/>
        <v>175440</v>
      </c>
      <c r="E84" s="17">
        <f>IF(F3="1",SUMIF(Data!A:A,'11'!$A$2,Data!EP:EP),0)</f>
        <v>309146</v>
      </c>
      <c r="F84" s="21">
        <f t="shared" si="4"/>
        <v>1.76</v>
      </c>
    </row>
    <row r="85" spans="1:6" x14ac:dyDescent="0.2">
      <c r="A85" s="19">
        <v>19</v>
      </c>
      <c r="B85" s="180" t="s">
        <v>17</v>
      </c>
      <c r="C85" s="181"/>
      <c r="D85" s="14">
        <f t="shared" si="5"/>
        <v>190209</v>
      </c>
      <c r="E85" s="17">
        <f>IF(F3="1",SUMIF(Data!A:A,'11'!$A$2,Data!EQ:EQ),0)</f>
        <v>367921</v>
      </c>
      <c r="F85" s="21">
        <f t="shared" si="4"/>
        <v>1.93</v>
      </c>
    </row>
    <row r="86" spans="1:6" x14ac:dyDescent="0.2">
      <c r="A86" s="19">
        <v>20</v>
      </c>
      <c r="B86" s="180" t="s">
        <v>18</v>
      </c>
      <c r="C86" s="181"/>
      <c r="D86" s="14">
        <f t="shared" si="5"/>
        <v>33072</v>
      </c>
      <c r="E86" s="17">
        <f>IF(F3="1",SUMIF(Data!A:A,'11'!$A$2,Data!ER:ER),0)</f>
        <v>101744</v>
      </c>
      <c r="F86" s="21">
        <f t="shared" si="4"/>
        <v>3.08</v>
      </c>
    </row>
    <row r="87" spans="1:6" ht="14.25" customHeight="1" x14ac:dyDescent="0.2">
      <c r="A87" s="19">
        <v>21</v>
      </c>
      <c r="B87" s="180" t="s">
        <v>461</v>
      </c>
      <c r="C87" s="181"/>
      <c r="D87" s="14">
        <f t="shared" si="5"/>
        <v>4016</v>
      </c>
      <c r="E87" s="17">
        <f>IF(F3="1",SUMIF(Data!A:A,'11'!$A$2,Data!ES:ES),0)</f>
        <v>27189</v>
      </c>
      <c r="F87" s="21">
        <f t="shared" si="4"/>
        <v>6.77</v>
      </c>
    </row>
    <row r="88" spans="1:6" x14ac:dyDescent="0.2">
      <c r="A88" s="19">
        <v>22</v>
      </c>
      <c r="B88" s="180" t="s">
        <v>19</v>
      </c>
      <c r="C88" s="181"/>
      <c r="D88" s="14">
        <f t="shared" si="5"/>
        <v>15440</v>
      </c>
      <c r="E88" s="17">
        <f>IF(F3="1",SUMIF(Data!A:A,'11'!$A$2,Data!ET:ET),0)</f>
        <v>36605</v>
      </c>
      <c r="F88" s="21">
        <f t="shared" si="4"/>
        <v>2.37</v>
      </c>
    </row>
    <row r="89" spans="1:6" x14ac:dyDescent="0.2">
      <c r="A89" s="19">
        <v>23</v>
      </c>
      <c r="B89" s="180" t="s">
        <v>20</v>
      </c>
      <c r="C89" s="181"/>
      <c r="D89" s="14">
        <f t="shared" si="5"/>
        <v>45216</v>
      </c>
      <c r="E89" s="17">
        <f>IF(F3="1",SUMIF(Data!A:A,'11'!$A$2,Data!EU:EU),0)</f>
        <v>112164</v>
      </c>
      <c r="F89" s="21">
        <f t="shared" si="4"/>
        <v>2.48</v>
      </c>
    </row>
    <row r="90" spans="1:6" x14ac:dyDescent="0.2">
      <c r="A90" s="19">
        <v>24</v>
      </c>
      <c r="B90" s="180" t="s">
        <v>21</v>
      </c>
      <c r="C90" s="181"/>
      <c r="D90" s="14">
        <f t="shared" si="5"/>
        <v>55712</v>
      </c>
      <c r="E90" s="17">
        <f>IF(F3="1",SUMIF(Data!A:A,'11'!$A$2,Data!EV:EV),0)</f>
        <v>237522</v>
      </c>
      <c r="F90" s="21">
        <f t="shared" si="4"/>
        <v>4.26</v>
      </c>
    </row>
    <row r="91" spans="1:6" x14ac:dyDescent="0.2">
      <c r="A91" s="19">
        <v>25</v>
      </c>
      <c r="B91" s="180" t="s">
        <v>22</v>
      </c>
      <c r="C91" s="181"/>
      <c r="D91" s="14">
        <f t="shared" si="5"/>
        <v>199200</v>
      </c>
      <c r="E91" s="17">
        <f>IF(F3="1",SUMIF(Data!A:A,'11'!$A$2,Data!EW:EW),0)</f>
        <v>465487</v>
      </c>
      <c r="F91" s="21">
        <f t="shared" si="4"/>
        <v>2.34</v>
      </c>
    </row>
    <row r="92" spans="1:6" x14ac:dyDescent="0.2">
      <c r="A92" s="19">
        <v>26</v>
      </c>
      <c r="B92" s="180" t="s">
        <v>23</v>
      </c>
      <c r="C92" s="181"/>
      <c r="D92" s="14">
        <f t="shared" si="5"/>
        <v>68368</v>
      </c>
      <c r="E92" s="17">
        <f>IF(F3="1",SUMIF(Data!A:A,'11'!$A$2,Data!EX:EX),0)</f>
        <v>256812</v>
      </c>
      <c r="F92" s="21">
        <f t="shared" si="4"/>
        <v>3.76</v>
      </c>
    </row>
    <row r="93" spans="1:6" x14ac:dyDescent="0.2">
      <c r="A93" s="19">
        <v>28</v>
      </c>
      <c r="B93" s="180" t="s">
        <v>24</v>
      </c>
      <c r="C93" s="181"/>
      <c r="D93" s="14">
        <f t="shared" si="5"/>
        <v>0</v>
      </c>
      <c r="E93" s="17">
        <f>IF(F3="1",SUMIF(Data!A:A,'11'!$A$2,Data!EZ:EZ),0)</f>
        <v>0</v>
      </c>
      <c r="F93" s="21" t="str">
        <f t="shared" si="4"/>
        <v/>
      </c>
    </row>
    <row r="94" spans="1:6" ht="15.75" customHeight="1" thickBot="1" x14ac:dyDescent="0.25">
      <c r="A94" s="22">
        <v>29</v>
      </c>
      <c r="B94" s="184" t="s">
        <v>25</v>
      </c>
      <c r="C94" s="185"/>
      <c r="D94" s="23">
        <f t="shared" si="5"/>
        <v>0</v>
      </c>
      <c r="E94" s="24">
        <f>IF(F3="1",SUMIF(Data!A:A,'11'!$A$2,Data!FA:FA),0)</f>
        <v>0</v>
      </c>
      <c r="F94" s="25" t="str">
        <f t="shared" si="4"/>
        <v/>
      </c>
    </row>
    <row r="95" spans="1:6" x14ac:dyDescent="0.2">
      <c r="B95" s="30" t="s">
        <v>35</v>
      </c>
      <c r="C95" s="30"/>
      <c r="D95" s="59">
        <f>SUM(D67:D94)</f>
        <v>2165992</v>
      </c>
      <c r="E95" s="31">
        <f>SUM(E67:E94)</f>
        <v>5227816</v>
      </c>
      <c r="F95" s="32">
        <f t="shared" si="4"/>
        <v>2.41</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IF(F3="1",SUMIF(Data!A:A,'11'!$A$2,Data!AH:AH),0)</f>
        <v>2007198</v>
      </c>
      <c r="F98" s="20">
        <f>IF(OR(E98=0,E98=0),"",ROUND(E98/$D$105,2))</f>
        <v>0.93</v>
      </c>
    </row>
    <row r="99" spans="2:6" x14ac:dyDescent="0.2">
      <c r="B99" s="190" t="s">
        <v>31</v>
      </c>
      <c r="C99" s="191"/>
      <c r="D99" s="36"/>
      <c r="E99" s="17">
        <f>IF(F3="1",SUMIF(Data!A:A,'11'!$A$2,Data!AI:AI),0)</f>
        <v>821580</v>
      </c>
      <c r="F99" s="21">
        <f t="shared" ref="F99:F104" si="6">IF(OR(E99=0,E99=0),"",ROUND(E99/$D$105,2))</f>
        <v>0.38</v>
      </c>
    </row>
    <row r="100" spans="2:6" x14ac:dyDescent="0.2">
      <c r="B100" s="190" t="s">
        <v>1089</v>
      </c>
      <c r="C100" s="191"/>
      <c r="D100" s="36"/>
      <c r="E100" s="17">
        <f>IF(F3="1",SUMIF(Data!A:A,'11'!$A$2,Data!AJ:AJ),0)</f>
        <v>576910</v>
      </c>
      <c r="F100" s="21">
        <f t="shared" si="6"/>
        <v>0.27</v>
      </c>
    </row>
    <row r="101" spans="2:6" x14ac:dyDescent="0.2">
      <c r="B101" s="190" t="s">
        <v>1090</v>
      </c>
      <c r="C101" s="191"/>
      <c r="D101" s="36"/>
      <c r="E101" s="17">
        <f>IF(F3="1",SUMIF(Data!A:A,'11'!$A$2,Data!AK:AK),0)</f>
        <v>810973</v>
      </c>
      <c r="F101" s="21">
        <f t="shared" si="6"/>
        <v>0.37</v>
      </c>
    </row>
    <row r="102" spans="2:6" x14ac:dyDescent="0.2">
      <c r="B102" s="190" t="s">
        <v>1091</v>
      </c>
      <c r="C102" s="191"/>
      <c r="D102" s="36"/>
      <c r="E102" s="17">
        <f>IF(F3="1",SUMIF(Data!A:A,'11'!$A$2,Data!AL:AL),0)</f>
        <v>0</v>
      </c>
      <c r="F102" s="21" t="str">
        <f t="shared" si="6"/>
        <v/>
      </c>
    </row>
    <row r="103" spans="2:6" x14ac:dyDescent="0.2">
      <c r="B103" s="192" t="s">
        <v>34</v>
      </c>
      <c r="C103" s="193"/>
      <c r="D103" s="36"/>
      <c r="E103" s="17">
        <f>IF(F3="1",SUMIF(Data!A:A,'11'!$A$2,Data!AM:AM),0)</f>
        <v>0</v>
      </c>
      <c r="F103" s="21" t="str">
        <f t="shared" si="6"/>
        <v/>
      </c>
    </row>
    <row r="104" spans="2:6" ht="15.75" customHeight="1" thickBot="1" x14ac:dyDescent="0.25">
      <c r="B104" s="186" t="s">
        <v>29</v>
      </c>
      <c r="C104" s="187"/>
      <c r="D104" s="37"/>
      <c r="E104" s="24">
        <f>IF(F3="1",SUMIF(Data!A:A,'11'!$A$2,Data!Q:Q),0)</f>
        <v>455003</v>
      </c>
      <c r="F104" s="25">
        <f t="shared" si="6"/>
        <v>0.21</v>
      </c>
    </row>
    <row r="105" spans="2:6" x14ac:dyDescent="0.2">
      <c r="B105" s="30" t="s">
        <v>35</v>
      </c>
      <c r="C105" s="30"/>
      <c r="D105" s="34">
        <f>D95</f>
        <v>2165992</v>
      </c>
      <c r="E105" s="31">
        <f>SUM(E98:E104)</f>
        <v>4671664</v>
      </c>
      <c r="F105" s="32">
        <f>IF($D$105=0,"",ROUND(E105/$D$105,2))</f>
        <v>2.16</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5227816</v>
      </c>
      <c r="D109" s="15">
        <f>IF(F3="1",SUMIF(Data!$A:$A,$A$2,Data!HJ:HJ),0)</f>
        <v>0</v>
      </c>
      <c r="E109" s="15">
        <f>IF(F3="1",SUMIF(Data!$A:$A,$A$2,Data!IN:IN),0)</f>
        <v>0</v>
      </c>
      <c r="F109" s="47">
        <f>SUM(C109:E109)</f>
        <v>5227816</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455003</v>
      </c>
      <c r="E117" s="52"/>
      <c r="F117" s="49">
        <f>SUM(C117:E117)</f>
        <v>455003</v>
      </c>
    </row>
    <row r="118" spans="1:6" x14ac:dyDescent="0.2">
      <c r="B118" s="13" t="s">
        <v>35</v>
      </c>
      <c r="C118" s="4">
        <f>SUM(C109:C116)</f>
        <v>5227816</v>
      </c>
      <c r="D118" s="4">
        <f>SUM(D109:D116)</f>
        <v>0</v>
      </c>
      <c r="E118" s="4">
        <f>SUM(E109:E116)</f>
        <v>0</v>
      </c>
      <c r="F118" s="4">
        <f>SUM(F109:F116)</f>
        <v>5227816</v>
      </c>
    </row>
    <row r="119" spans="1:6" ht="15" thickBot="1" x14ac:dyDescent="0.25"/>
    <row r="120" spans="1:6" ht="15" thickBot="1" x14ac:dyDescent="0.25">
      <c r="B120" s="55" t="s">
        <v>934</v>
      </c>
      <c r="C120" s="53"/>
      <c r="D120" s="53"/>
      <c r="E120" s="53">
        <f>IF(F3="1",SUMIF(Data!A:A,'11'!$A$2,Data!AM:AM),0)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140625" style="10"/>
    <col min="12" max="14" width="6"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425</v>
      </c>
      <c r="B2" s="58" t="str">
        <f>VLOOKUP(A2,Data!A:G,7,0)</f>
        <v>College of the Mainland Community College District</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11808</v>
      </c>
      <c r="E5" s="15">
        <f>E36+E67+IFERROR($E$105/$D$105*D5,0)</f>
        <v>149034.26816690108</v>
      </c>
      <c r="F5" s="20">
        <f>IF(OR(D5=0,E5=0),"",ROUND(E5/D5,2))</f>
        <v>12.62</v>
      </c>
    </row>
    <row r="6" spans="1:6" x14ac:dyDescent="0.2">
      <c r="A6" s="19">
        <v>2</v>
      </c>
      <c r="B6" s="180" t="s">
        <v>1</v>
      </c>
      <c r="C6" s="181"/>
      <c r="D6" s="14">
        <f t="shared" ref="D6:D32" si="0">D37</f>
        <v>47184</v>
      </c>
      <c r="E6" s="17">
        <f t="shared" ref="E6:E32" si="1">E37+E68+IFERROR($E$105/$D$105*D6,0)</f>
        <v>1064994.396780747</v>
      </c>
      <c r="F6" s="21">
        <f t="shared" ref="F6:F33" si="2">IF(OR(D6=0,E6=0),"",ROUND(E6/D6,2))</f>
        <v>22.57</v>
      </c>
    </row>
    <row r="7" spans="1:6" ht="14.25" customHeight="1" x14ac:dyDescent="0.2">
      <c r="A7" s="19">
        <v>3</v>
      </c>
      <c r="B7" s="180" t="s">
        <v>2</v>
      </c>
      <c r="C7" s="181"/>
      <c r="D7" s="14">
        <f t="shared" si="0"/>
        <v>269859</v>
      </c>
      <c r="E7" s="17">
        <f t="shared" si="1"/>
        <v>2145412.19065479</v>
      </c>
      <c r="F7" s="21">
        <f t="shared" si="2"/>
        <v>7.95</v>
      </c>
    </row>
    <row r="8" spans="1:6" ht="14.25" customHeight="1" x14ac:dyDescent="0.2">
      <c r="A8" s="19">
        <v>4</v>
      </c>
      <c r="B8" s="180" t="s">
        <v>3</v>
      </c>
      <c r="C8" s="181"/>
      <c r="D8" s="14">
        <f t="shared" si="0"/>
        <v>83952</v>
      </c>
      <c r="E8" s="17">
        <f t="shared" si="1"/>
        <v>910045.12611345528</v>
      </c>
      <c r="F8" s="21">
        <f t="shared" si="2"/>
        <v>10.84</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8752</v>
      </c>
      <c r="E10" s="17">
        <f t="shared" si="1"/>
        <v>515155.23670365161</v>
      </c>
      <c r="F10" s="21">
        <f t="shared" si="2"/>
        <v>58.86</v>
      </c>
    </row>
    <row r="11" spans="1:6" x14ac:dyDescent="0.2">
      <c r="A11" s="19">
        <v>7</v>
      </c>
      <c r="B11" s="180" t="s">
        <v>6</v>
      </c>
      <c r="C11" s="181"/>
      <c r="D11" s="14">
        <f t="shared" si="0"/>
        <v>51888</v>
      </c>
      <c r="E11" s="17">
        <f t="shared" si="1"/>
        <v>812178.63369276444</v>
      </c>
      <c r="F11" s="21">
        <f t="shared" si="2"/>
        <v>15.65</v>
      </c>
    </row>
    <row r="12" spans="1:6" x14ac:dyDescent="0.2">
      <c r="A12" s="19">
        <v>8</v>
      </c>
      <c r="B12" s="180" t="s">
        <v>7</v>
      </c>
      <c r="C12" s="181"/>
      <c r="D12" s="14">
        <f t="shared" si="0"/>
        <v>1152</v>
      </c>
      <c r="E12" s="17">
        <f t="shared" si="1"/>
        <v>11302.221284575715</v>
      </c>
      <c r="F12" s="21">
        <f t="shared" si="2"/>
        <v>9.81</v>
      </c>
    </row>
    <row r="13" spans="1:6" x14ac:dyDescent="0.2">
      <c r="A13" s="19">
        <v>9</v>
      </c>
      <c r="B13" s="180" t="s">
        <v>8</v>
      </c>
      <c r="C13" s="181"/>
      <c r="D13" s="14">
        <f t="shared" si="0"/>
        <v>111088</v>
      </c>
      <c r="E13" s="17">
        <f t="shared" si="1"/>
        <v>1268445.2274834611</v>
      </c>
      <c r="F13" s="21">
        <f t="shared" si="2"/>
        <v>11.42</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25920</v>
      </c>
      <c r="E15" s="17">
        <f t="shared" si="1"/>
        <v>261828.97890295359</v>
      </c>
      <c r="F15" s="21">
        <f t="shared" si="2"/>
        <v>10.1</v>
      </c>
    </row>
    <row r="16" spans="1:6" ht="14.25" customHeight="1" x14ac:dyDescent="0.2">
      <c r="A16" s="19">
        <v>12</v>
      </c>
      <c r="B16" s="180" t="s">
        <v>11</v>
      </c>
      <c r="C16" s="181"/>
      <c r="D16" s="14">
        <f t="shared" si="0"/>
        <v>243176</v>
      </c>
      <c r="E16" s="17">
        <f t="shared" si="1"/>
        <v>2038261.6554670001</v>
      </c>
      <c r="F16" s="21">
        <f t="shared" si="2"/>
        <v>8.3800000000000008</v>
      </c>
    </row>
    <row r="17" spans="1:6" x14ac:dyDescent="0.2">
      <c r="A17" s="19">
        <v>13</v>
      </c>
      <c r="B17" s="180" t="s">
        <v>12</v>
      </c>
      <c r="C17" s="181"/>
      <c r="D17" s="14">
        <f t="shared" si="0"/>
        <v>22960</v>
      </c>
      <c r="E17" s="17">
        <f t="shared" si="1"/>
        <v>188524.29921341877</v>
      </c>
      <c r="F17" s="21">
        <f t="shared" si="2"/>
        <v>8.2100000000000009</v>
      </c>
    </row>
    <row r="18" spans="1:6" ht="14.25" customHeight="1" x14ac:dyDescent="0.2">
      <c r="A18" s="19">
        <v>14</v>
      </c>
      <c r="B18" s="180" t="s">
        <v>464</v>
      </c>
      <c r="C18" s="181"/>
      <c r="D18" s="14">
        <f t="shared" si="0"/>
        <v>20544</v>
      </c>
      <c r="E18" s="17">
        <f t="shared" si="1"/>
        <v>682374.27957493358</v>
      </c>
      <c r="F18" s="21">
        <f t="shared" si="2"/>
        <v>33.22</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68160</v>
      </c>
      <c r="E20" s="17">
        <f t="shared" si="1"/>
        <v>621842.75933739648</v>
      </c>
      <c r="F20" s="21">
        <f t="shared" si="2"/>
        <v>9.1199999999999992</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0</v>
      </c>
      <c r="E22" s="17">
        <f t="shared" si="1"/>
        <v>0</v>
      </c>
      <c r="F22" s="21" t="str">
        <f t="shared" si="2"/>
        <v/>
      </c>
    </row>
    <row r="23" spans="1:6" x14ac:dyDescent="0.2">
      <c r="A23" s="19">
        <v>19</v>
      </c>
      <c r="B23" s="180" t="s">
        <v>17</v>
      </c>
      <c r="C23" s="181"/>
      <c r="D23" s="14">
        <f t="shared" si="0"/>
        <v>280680</v>
      </c>
      <c r="E23" s="17">
        <f t="shared" si="1"/>
        <v>2215521.7483981876</v>
      </c>
      <c r="F23" s="21">
        <f t="shared" si="2"/>
        <v>7.89</v>
      </c>
    </row>
    <row r="24" spans="1:6" x14ac:dyDescent="0.2">
      <c r="A24" s="19">
        <v>20</v>
      </c>
      <c r="B24" s="180" t="s">
        <v>18</v>
      </c>
      <c r="C24" s="181"/>
      <c r="D24" s="14">
        <f t="shared" si="0"/>
        <v>0</v>
      </c>
      <c r="E24" s="17">
        <f t="shared" si="1"/>
        <v>0</v>
      </c>
      <c r="F24" s="21" t="str">
        <f t="shared" si="2"/>
        <v/>
      </c>
    </row>
    <row r="25" spans="1:6" ht="14.25" customHeight="1" x14ac:dyDescent="0.2">
      <c r="A25" s="19">
        <v>21</v>
      </c>
      <c r="B25" s="180" t="s">
        <v>461</v>
      </c>
      <c r="C25" s="181"/>
      <c r="D25" s="14">
        <f t="shared" si="0"/>
        <v>4048</v>
      </c>
      <c r="E25" s="17">
        <f t="shared" si="1"/>
        <v>92817.999791634109</v>
      </c>
      <c r="F25" s="21">
        <f t="shared" si="2"/>
        <v>22.93</v>
      </c>
    </row>
    <row r="26" spans="1:6" x14ac:dyDescent="0.2">
      <c r="A26" s="19">
        <v>22</v>
      </c>
      <c r="B26" s="180" t="s">
        <v>19</v>
      </c>
      <c r="C26" s="181"/>
      <c r="D26" s="14">
        <f t="shared" si="0"/>
        <v>0</v>
      </c>
      <c r="E26" s="17">
        <f t="shared" si="1"/>
        <v>0</v>
      </c>
      <c r="F26" s="21" t="str">
        <f t="shared" si="2"/>
        <v/>
      </c>
    </row>
    <row r="27" spans="1:6" x14ac:dyDescent="0.2">
      <c r="A27" s="19">
        <v>23</v>
      </c>
      <c r="B27" s="180" t="s">
        <v>20</v>
      </c>
      <c r="C27" s="181"/>
      <c r="D27" s="14">
        <f t="shared" si="0"/>
        <v>54384</v>
      </c>
      <c r="E27" s="17">
        <f t="shared" si="1"/>
        <v>580044.77980934526</v>
      </c>
      <c r="F27" s="21">
        <f t="shared" si="2"/>
        <v>10.67</v>
      </c>
    </row>
    <row r="28" spans="1:6" x14ac:dyDescent="0.2">
      <c r="A28" s="19">
        <v>24</v>
      </c>
      <c r="B28" s="180" t="s">
        <v>21</v>
      </c>
      <c r="C28" s="181"/>
      <c r="D28" s="14">
        <f t="shared" si="0"/>
        <v>42496</v>
      </c>
      <c r="E28" s="17">
        <f t="shared" si="1"/>
        <v>343117.38516434864</v>
      </c>
      <c r="F28" s="21">
        <f t="shared" si="2"/>
        <v>8.07</v>
      </c>
    </row>
    <row r="29" spans="1:6" x14ac:dyDescent="0.2">
      <c r="A29" s="19">
        <v>25</v>
      </c>
      <c r="B29" s="180" t="s">
        <v>22</v>
      </c>
      <c r="C29" s="181"/>
      <c r="D29" s="14">
        <f t="shared" si="0"/>
        <v>255936</v>
      </c>
      <c r="E29" s="17">
        <f t="shared" si="1"/>
        <v>2190107.8287232378</v>
      </c>
      <c r="F29" s="21">
        <f t="shared" si="2"/>
        <v>8.56</v>
      </c>
    </row>
    <row r="30" spans="1:6" x14ac:dyDescent="0.2">
      <c r="A30" s="19">
        <v>26</v>
      </c>
      <c r="B30" s="180" t="s">
        <v>23</v>
      </c>
      <c r="C30" s="181"/>
      <c r="D30" s="14">
        <f t="shared" si="0"/>
        <v>66152</v>
      </c>
      <c r="E30" s="17">
        <f t="shared" si="1"/>
        <v>808278.98473719857</v>
      </c>
      <c r="F30" s="21">
        <f t="shared" si="2"/>
        <v>12.22</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1670139</v>
      </c>
      <c r="E33" s="31">
        <f>SUM(E5:E32)</f>
        <v>16899288.000000004</v>
      </c>
      <c r="F33" s="32">
        <f t="shared" si="2"/>
        <v>10.119999999999999</v>
      </c>
    </row>
    <row r="34" spans="1:6" ht="15" thickBot="1" x14ac:dyDescent="0.25"/>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IF(F3="1",SUMIF(Data!A:A,'12'!$A$2,Data!CU:CU),0)</f>
        <v>11808</v>
      </c>
      <c r="E36" s="15">
        <f>IF(F3="1",SUMIF(Data!$A:$A,$A$2,Data!IO:IO),0)</f>
        <v>14779</v>
      </c>
      <c r="F36" s="20">
        <f t="shared" ref="F36:F64" si="3">IF(OR(D36=0,E36=0),"",ROUND(E36/D36,2))</f>
        <v>1.25</v>
      </c>
    </row>
    <row r="37" spans="1:6" x14ac:dyDescent="0.2">
      <c r="A37" s="19">
        <v>2</v>
      </c>
      <c r="B37" s="180" t="s">
        <v>1</v>
      </c>
      <c r="C37" s="181"/>
      <c r="D37" s="14">
        <f>IF(F3="1",SUMIF(Data!A:A,'12'!$A$2,Data!CV:CV),0)</f>
        <v>47184</v>
      </c>
      <c r="E37" s="17">
        <f>IF(F3="1",SUMIF(Data!$A:$A,$A$2,Data!IP:IP),0)</f>
        <v>225284</v>
      </c>
      <c r="F37" s="21">
        <f t="shared" si="3"/>
        <v>4.7699999999999996</v>
      </c>
    </row>
    <row r="38" spans="1:6" ht="14.25" customHeight="1" x14ac:dyDescent="0.2">
      <c r="A38" s="19">
        <v>3</v>
      </c>
      <c r="B38" s="180" t="s">
        <v>2</v>
      </c>
      <c r="C38" s="181"/>
      <c r="D38" s="14">
        <f>IF(F3="1",SUMIF(Data!A:A,'12'!$A$2,Data!CW:CW),0)</f>
        <v>269859</v>
      </c>
      <c r="E38" s="17">
        <f>IF($F$3="1",SUMIF(Data!$A:$A,$A$2,Data!IQ:IQ),0)</f>
        <v>112219</v>
      </c>
      <c r="F38" s="21">
        <f t="shared" si="3"/>
        <v>0.42</v>
      </c>
    </row>
    <row r="39" spans="1:6" ht="14.25" customHeight="1" x14ac:dyDescent="0.2">
      <c r="A39" s="19">
        <v>4</v>
      </c>
      <c r="B39" s="180" t="s">
        <v>3</v>
      </c>
      <c r="C39" s="181"/>
      <c r="D39" s="14">
        <f>IF(F3="1",SUMIF(Data!A:A,'12'!$A$2,Data!CX:CX),0)</f>
        <v>83952</v>
      </c>
      <c r="E39" s="17">
        <f>IF($F$3="1",SUMIF(Data!$A:$A,$A$2,Data!IR:IR),0)</f>
        <v>52306</v>
      </c>
      <c r="F39" s="21">
        <f t="shared" si="3"/>
        <v>0.62</v>
      </c>
    </row>
    <row r="40" spans="1:6" x14ac:dyDescent="0.2">
      <c r="A40" s="19">
        <v>5</v>
      </c>
      <c r="B40" s="180" t="s">
        <v>4</v>
      </c>
      <c r="C40" s="181"/>
      <c r="D40" s="14">
        <f>IF(F3="1",SUMIF(Data!A:A,'12'!$A$2,Data!CY:CY),0)</f>
        <v>0</v>
      </c>
      <c r="E40" s="17">
        <f>IF($F$3="1",SUMIF(Data!$A:$A,$A$2,Data!IS:IS),0)</f>
        <v>0</v>
      </c>
      <c r="F40" s="21" t="str">
        <f t="shared" si="3"/>
        <v/>
      </c>
    </row>
    <row r="41" spans="1:6" x14ac:dyDescent="0.2">
      <c r="A41" s="19">
        <v>6</v>
      </c>
      <c r="B41" s="180" t="s">
        <v>5</v>
      </c>
      <c r="C41" s="181"/>
      <c r="D41" s="14">
        <f>IF(F3="1",SUMIF(Data!A:A,'12'!$A$2,Data!CZ:CZ),0)</f>
        <v>8752</v>
      </c>
      <c r="E41" s="17">
        <f>IF($F$3="1",SUMIF(Data!$A:$A,$A$2,Data!IT:IT),0)</f>
        <v>105367</v>
      </c>
      <c r="F41" s="21">
        <f t="shared" si="3"/>
        <v>12.04</v>
      </c>
    </row>
    <row r="42" spans="1:6" x14ac:dyDescent="0.2">
      <c r="A42" s="19">
        <v>7</v>
      </c>
      <c r="B42" s="180" t="s">
        <v>6</v>
      </c>
      <c r="C42" s="181"/>
      <c r="D42" s="14">
        <f>IF(F3="1",SUMIF(Data!A:A,'12'!$A$2,Data!DA:DA),0)</f>
        <v>51888</v>
      </c>
      <c r="E42" s="17">
        <f>IF($F$3="1",SUMIF(Data!$A:$A,$A$2,Data!IU:IU),0)</f>
        <v>230103</v>
      </c>
      <c r="F42" s="21">
        <f t="shared" si="3"/>
        <v>4.43</v>
      </c>
    </row>
    <row r="43" spans="1:6" x14ac:dyDescent="0.2">
      <c r="A43" s="19">
        <v>8</v>
      </c>
      <c r="B43" s="180" t="s">
        <v>7</v>
      </c>
      <c r="C43" s="181"/>
      <c r="D43" s="14">
        <f>IF(F3="1",SUMIF(Data!A:A,'12'!$A$2,Data!DB:DB),0)</f>
        <v>1152</v>
      </c>
      <c r="E43" s="17">
        <f>IF($F$3="1",SUMIF(Data!$A:$A,$A$2,Data!IV:IV),0)</f>
        <v>569</v>
      </c>
      <c r="F43" s="21">
        <f t="shared" si="3"/>
        <v>0.49</v>
      </c>
    </row>
    <row r="44" spans="1:6" x14ac:dyDescent="0.2">
      <c r="A44" s="19">
        <v>9</v>
      </c>
      <c r="B44" s="180" t="s">
        <v>8</v>
      </c>
      <c r="C44" s="181"/>
      <c r="D44" s="14">
        <f>IF(F3="1",SUMIF(Data!A:A,'12'!$A$2,Data!DC:DC),0)</f>
        <v>111088</v>
      </c>
      <c r="E44" s="17">
        <f>IF($F$3="1",SUMIF(Data!$A:$A,$A$2,Data!IW:IW),0)</f>
        <v>273357</v>
      </c>
      <c r="F44" s="21">
        <f t="shared" si="3"/>
        <v>2.46</v>
      </c>
    </row>
    <row r="45" spans="1:6" x14ac:dyDescent="0.2">
      <c r="A45" s="19">
        <v>10</v>
      </c>
      <c r="B45" s="180" t="s">
        <v>9</v>
      </c>
      <c r="C45" s="181"/>
      <c r="D45" s="14">
        <f>IF(F3="1",SUMIF(Data!A:A,'12'!$A$2,Data!DD:DD),0)</f>
        <v>0</v>
      </c>
      <c r="E45" s="17">
        <f>IF($F$3="1",SUMIF(Data!$A:$A,$A$2,Data!IX:IX),0)</f>
        <v>0</v>
      </c>
      <c r="F45" s="21" t="str">
        <f t="shared" si="3"/>
        <v/>
      </c>
    </row>
    <row r="46" spans="1:6" x14ac:dyDescent="0.2">
      <c r="A46" s="19">
        <v>11</v>
      </c>
      <c r="B46" s="180" t="s">
        <v>10</v>
      </c>
      <c r="C46" s="181"/>
      <c r="D46" s="14">
        <f>IF(F3="1",SUMIF(Data!A:A,'12'!$A$2,Data!DE:DE),0)</f>
        <v>25920</v>
      </c>
      <c r="E46" s="17">
        <f>IF($F$3="1",SUMIF(Data!$A:$A,$A$2,Data!IY:IY),0)</f>
        <v>13648</v>
      </c>
      <c r="F46" s="21">
        <f t="shared" si="3"/>
        <v>0.53</v>
      </c>
    </row>
    <row r="47" spans="1:6" ht="14.25" customHeight="1" x14ac:dyDescent="0.2">
      <c r="A47" s="19">
        <v>12</v>
      </c>
      <c r="B47" s="180" t="s">
        <v>11</v>
      </c>
      <c r="C47" s="181"/>
      <c r="D47" s="14">
        <f>IF(F3="1",SUMIF(Data!A:A,'12'!$A$2,Data!DF:DF),0)</f>
        <v>243176</v>
      </c>
      <c r="E47" s="17">
        <f>IF($F$3="1",SUMIF(Data!$A:$A,$A$2,Data!IZ:IZ),0)</f>
        <v>76572</v>
      </c>
      <c r="F47" s="21">
        <f t="shared" si="3"/>
        <v>0.31</v>
      </c>
    </row>
    <row r="48" spans="1:6" x14ac:dyDescent="0.2">
      <c r="A48" s="19">
        <v>13</v>
      </c>
      <c r="B48" s="180" t="s">
        <v>12</v>
      </c>
      <c r="C48" s="181"/>
      <c r="D48" s="14">
        <f>IF(F3="1",SUMIF(Data!A:A,'12'!$A$2,Data!DG:DG),0)</f>
        <v>22960</v>
      </c>
      <c r="E48" s="17">
        <f>IF($F$3="1",SUMIF(Data!$A:$A,$A$2,Data!JA:JA),0)</f>
        <v>349</v>
      </c>
      <c r="F48" s="21">
        <f t="shared" si="3"/>
        <v>0.02</v>
      </c>
    </row>
    <row r="49" spans="1:6" ht="14.25" customHeight="1" x14ac:dyDescent="0.2">
      <c r="A49" s="19">
        <v>14</v>
      </c>
      <c r="B49" s="180" t="s">
        <v>464</v>
      </c>
      <c r="C49" s="181"/>
      <c r="D49" s="14">
        <f>IF(F3="1",SUMIF(Data!A:A,'12'!$A$2,Data!DH:DH),0)</f>
        <v>20544</v>
      </c>
      <c r="E49" s="17">
        <f>IF($F$3="1",SUMIF(Data!$A:$A,$A$2,Data!JB:JB),0)</f>
        <v>147052</v>
      </c>
      <c r="F49" s="21">
        <f t="shared" si="3"/>
        <v>7.16</v>
      </c>
    </row>
    <row r="50" spans="1:6" x14ac:dyDescent="0.2">
      <c r="A50" s="19">
        <v>15</v>
      </c>
      <c r="B50" s="180" t="s">
        <v>13</v>
      </c>
      <c r="C50" s="181"/>
      <c r="D50" s="14">
        <f>IF(F3="1",SUMIF(Data!A:A,'12'!$A$2,Data!DI:DI),0)</f>
        <v>0</v>
      </c>
      <c r="E50" s="17">
        <f>IF($F$3="1",SUMIF(Data!$A:$A,$A$2,Data!JC:JC),0)</f>
        <v>0</v>
      </c>
      <c r="F50" s="21" t="str">
        <f t="shared" si="3"/>
        <v/>
      </c>
    </row>
    <row r="51" spans="1:6" x14ac:dyDescent="0.2">
      <c r="A51" s="19">
        <v>16</v>
      </c>
      <c r="B51" s="180" t="s">
        <v>14</v>
      </c>
      <c r="C51" s="181"/>
      <c r="D51" s="14">
        <f>IF(F3="1",SUMIF(Data!A:A,'12'!$A$2,Data!DJ:DJ),0)</f>
        <v>68160</v>
      </c>
      <c r="E51" s="17">
        <f>IF($F$3="1",SUMIF(Data!$A:$A,$A$2,Data!JD:JD),0)</f>
        <v>64719</v>
      </c>
      <c r="F51" s="21">
        <f t="shared" si="3"/>
        <v>0.95</v>
      </c>
    </row>
    <row r="52" spans="1:6" x14ac:dyDescent="0.2">
      <c r="A52" s="19">
        <v>17</v>
      </c>
      <c r="B52" s="180" t="s">
        <v>15</v>
      </c>
      <c r="C52" s="181"/>
      <c r="D52" s="14">
        <f>IF(F3="1",SUMIF(Data!A:A,'12'!$A$2,Data!DK:DK),0)</f>
        <v>0</v>
      </c>
      <c r="E52" s="17">
        <f>IF($F$3="1",SUMIF(Data!$A:$A,$A$2,Data!JE:JE),0)</f>
        <v>0</v>
      </c>
      <c r="F52" s="21" t="str">
        <f t="shared" si="3"/>
        <v/>
      </c>
    </row>
    <row r="53" spans="1:6" x14ac:dyDescent="0.2">
      <c r="A53" s="19">
        <v>18</v>
      </c>
      <c r="B53" s="180" t="s">
        <v>16</v>
      </c>
      <c r="C53" s="181"/>
      <c r="D53" s="14">
        <f>IF(F3="1",SUMIF(Data!A:A,'12'!$A$2,Data!DL:DL),0)</f>
        <v>0</v>
      </c>
      <c r="E53" s="17">
        <f>IF($F$3="1",SUMIF(Data!$A:$A,$A$2,Data!JF:JF),0)</f>
        <v>0</v>
      </c>
      <c r="F53" s="21" t="str">
        <f t="shared" si="3"/>
        <v/>
      </c>
    </row>
    <row r="54" spans="1:6" x14ac:dyDescent="0.2">
      <c r="A54" s="19">
        <v>19</v>
      </c>
      <c r="B54" s="180" t="s">
        <v>17</v>
      </c>
      <c r="C54" s="181"/>
      <c r="D54" s="14">
        <f>IF(F3="1",SUMIF(Data!A:A,'12'!$A$2,Data!DM:DM),0)</f>
        <v>280680</v>
      </c>
      <c r="E54" s="17">
        <f>IF($F$3="1",SUMIF(Data!$A:$A,$A$2,Data!JG:JG),0)</f>
        <v>84751</v>
      </c>
      <c r="F54" s="21">
        <f t="shared" si="3"/>
        <v>0.3</v>
      </c>
    </row>
    <row r="55" spans="1:6" x14ac:dyDescent="0.2">
      <c r="A55" s="19">
        <v>20</v>
      </c>
      <c r="B55" s="180" t="s">
        <v>18</v>
      </c>
      <c r="C55" s="181"/>
      <c r="D55" s="14">
        <f>IF(F3="1",SUMIF(Data!A:A,'12'!$A$2,Data!DN:DN),0)</f>
        <v>0</v>
      </c>
      <c r="E55" s="17">
        <f>IF($F$3="1",SUMIF(Data!$A:$A,$A$2,Data!JH:JH),0)</f>
        <v>0</v>
      </c>
      <c r="F55" s="21" t="str">
        <f t="shared" si="3"/>
        <v/>
      </c>
    </row>
    <row r="56" spans="1:6" ht="14.25" customHeight="1" x14ac:dyDescent="0.2">
      <c r="A56" s="19">
        <v>21</v>
      </c>
      <c r="B56" s="180" t="s">
        <v>461</v>
      </c>
      <c r="C56" s="181"/>
      <c r="D56" s="14">
        <f>IF(F3="1",SUMIF(Data!A:A,'12'!$A$2,Data!DO:DO),0)</f>
        <v>4048</v>
      </c>
      <c r="E56" s="17">
        <f>IF($F$3="1",SUMIF(Data!$A:$A,$A$2,Data!JI:JI),0)</f>
        <v>16632</v>
      </c>
      <c r="F56" s="21">
        <f t="shared" si="3"/>
        <v>4.1100000000000003</v>
      </c>
    </row>
    <row r="57" spans="1:6" x14ac:dyDescent="0.2">
      <c r="A57" s="19">
        <v>22</v>
      </c>
      <c r="B57" s="180" t="s">
        <v>19</v>
      </c>
      <c r="C57" s="181"/>
      <c r="D57" s="14">
        <f>IF(F3="1",SUMIF(Data!A:A,'12'!$A$2,Data!DP:DP),0)</f>
        <v>0</v>
      </c>
      <c r="E57" s="17">
        <f>IF($F$3="1",SUMIF(Data!$A:$A,$A$2,Data!JJ:JJ),0)</f>
        <v>0</v>
      </c>
      <c r="F57" s="21" t="str">
        <f t="shared" si="3"/>
        <v/>
      </c>
    </row>
    <row r="58" spans="1:6" x14ac:dyDescent="0.2">
      <c r="A58" s="19">
        <v>23</v>
      </c>
      <c r="B58" s="180" t="s">
        <v>20</v>
      </c>
      <c r="C58" s="181"/>
      <c r="D58" s="14">
        <f>IF(F3="1",SUMIF(Data!A:A,'12'!$A$2,Data!DQ:DQ),0)</f>
        <v>54384</v>
      </c>
      <c r="E58" s="17">
        <f>IF($F$3="1",SUMIF(Data!$A:$A,$A$2,Data!JK:JK),0)</f>
        <v>87704</v>
      </c>
      <c r="F58" s="21">
        <f t="shared" si="3"/>
        <v>1.61</v>
      </c>
    </row>
    <row r="59" spans="1:6" x14ac:dyDescent="0.2">
      <c r="A59" s="19">
        <v>24</v>
      </c>
      <c r="B59" s="180" t="s">
        <v>21</v>
      </c>
      <c r="C59" s="181"/>
      <c r="D59" s="14">
        <f>IF(F3="1",SUMIF(Data!A:A,'12'!$A$2,Data!DR:DR),0)</f>
        <v>42496</v>
      </c>
      <c r="E59" s="17">
        <f>IF($F$3="1",SUMIF(Data!$A:$A,$A$2,Data!JL:JL),0)</f>
        <v>34322</v>
      </c>
      <c r="F59" s="21">
        <f t="shared" si="3"/>
        <v>0.81</v>
      </c>
    </row>
    <row r="60" spans="1:6" x14ac:dyDescent="0.2">
      <c r="A60" s="19">
        <v>25</v>
      </c>
      <c r="B60" s="180" t="s">
        <v>22</v>
      </c>
      <c r="C60" s="181"/>
      <c r="D60" s="14">
        <f>IF(F3="1",SUMIF(Data!A:A,'12'!$A$2,Data!DS:DS),0)</f>
        <v>255936</v>
      </c>
      <c r="E60" s="17">
        <f>IF($F$3="1",SUMIF(Data!$A:$A,$A$2,Data!JM:JM),0)</f>
        <v>16672</v>
      </c>
      <c r="F60" s="21">
        <f t="shared" si="3"/>
        <v>7.0000000000000007E-2</v>
      </c>
    </row>
    <row r="61" spans="1:6" x14ac:dyDescent="0.2">
      <c r="A61" s="19">
        <v>26</v>
      </c>
      <c r="B61" s="180" t="s">
        <v>23</v>
      </c>
      <c r="C61" s="181"/>
      <c r="D61" s="14">
        <f>IF(F3="1",SUMIF(Data!A:A,'12'!$A$2,Data!DT:DT),0)</f>
        <v>66152</v>
      </c>
      <c r="E61" s="17">
        <f>IF($F$3="1",SUMIF(Data!$A:$A,$A$2,Data!JN:JN),0)</f>
        <v>94330</v>
      </c>
      <c r="F61" s="21">
        <f t="shared" si="3"/>
        <v>1.43</v>
      </c>
    </row>
    <row r="62" spans="1:6" x14ac:dyDescent="0.2">
      <c r="A62" s="19">
        <v>28</v>
      </c>
      <c r="B62" s="180" t="s">
        <v>24</v>
      </c>
      <c r="C62" s="181"/>
      <c r="D62" s="14">
        <f>IF(F3="1",SUMIF(Data!A:A,'12'!$A$2,Data!DV:DV),0)</f>
        <v>0</v>
      </c>
      <c r="E62" s="17">
        <f>IF($F$3="1",SUMIF(Data!$A:$A,$A$2,Data!JP:JP),0)</f>
        <v>0</v>
      </c>
      <c r="F62" s="21" t="str">
        <f t="shared" si="3"/>
        <v/>
      </c>
    </row>
    <row r="63" spans="1:6" ht="15.75" customHeight="1" thickBot="1" x14ac:dyDescent="0.25">
      <c r="A63" s="22">
        <v>29</v>
      </c>
      <c r="B63" s="184" t="s">
        <v>25</v>
      </c>
      <c r="C63" s="185"/>
      <c r="D63" s="23">
        <f>IF(F3="1",SUMIF(Data!A:A,'12'!$A$2,Data!DW:DW),0)</f>
        <v>0</v>
      </c>
      <c r="E63" s="24">
        <f>IF($F$3="1",SUMIF(Data!$A:$A,$A$2,Data!JQ:JQ),0)</f>
        <v>0</v>
      </c>
      <c r="F63" s="25" t="str">
        <f t="shared" si="3"/>
        <v/>
      </c>
    </row>
    <row r="64" spans="1:6" x14ac:dyDescent="0.2">
      <c r="B64" s="30" t="s">
        <v>35</v>
      </c>
      <c r="C64" s="30"/>
      <c r="D64" s="59">
        <f>SUM(D36:D63)</f>
        <v>1670139</v>
      </c>
      <c r="E64" s="31">
        <f>SUM(E36:E63)</f>
        <v>1650735</v>
      </c>
      <c r="F64" s="32">
        <f t="shared" si="3"/>
        <v>0.99</v>
      </c>
    </row>
    <row r="65" spans="1:6" ht="15" thickBot="1" x14ac:dyDescent="0.25"/>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11808</v>
      </c>
      <c r="E67" s="15">
        <f>IF(F3="1",SUMIF(Data!A:A,'12'!$A$2,Data!DY:DY),0)</f>
        <v>69883</v>
      </c>
      <c r="F67" s="20">
        <f t="shared" ref="F67:F95" si="4">IF(OR(D67=0,E67=0),"",ROUND(E67/D67,2))</f>
        <v>5.92</v>
      </c>
    </row>
    <row r="68" spans="1:6" x14ac:dyDescent="0.2">
      <c r="A68" s="19">
        <v>2</v>
      </c>
      <c r="B68" s="180" t="s">
        <v>1</v>
      </c>
      <c r="C68" s="181"/>
      <c r="D68" s="14">
        <f t="shared" ref="D68:D94" si="5">D37</f>
        <v>47184</v>
      </c>
      <c r="E68" s="17">
        <f>IF(F3="1",SUMIF(Data!A:A,'12'!$A$2,Data!DZ:DZ),0)</f>
        <v>582483</v>
      </c>
      <c r="F68" s="21">
        <f t="shared" si="4"/>
        <v>12.34</v>
      </c>
    </row>
    <row r="69" spans="1:6" ht="14.25" customHeight="1" x14ac:dyDescent="0.2">
      <c r="A69" s="19">
        <v>3</v>
      </c>
      <c r="B69" s="180" t="s">
        <v>2</v>
      </c>
      <c r="C69" s="181"/>
      <c r="D69" s="14">
        <f t="shared" si="5"/>
        <v>269859</v>
      </c>
      <c r="E69" s="17">
        <f>IF(F3="1",SUMIF(Data!A:A,'12'!$A$2,Data!EA:EA),0)</f>
        <v>562035</v>
      </c>
      <c r="F69" s="21">
        <f t="shared" si="4"/>
        <v>2.08</v>
      </c>
    </row>
    <row r="70" spans="1:6" ht="14.25" customHeight="1" x14ac:dyDescent="0.2">
      <c r="A70" s="19">
        <v>4</v>
      </c>
      <c r="B70" s="180" t="s">
        <v>3</v>
      </c>
      <c r="C70" s="181"/>
      <c r="D70" s="14">
        <f t="shared" si="5"/>
        <v>83952</v>
      </c>
      <c r="E70" s="17">
        <f>IF(F3="1",SUMIF(Data!A:A,'12'!$A$2,Data!EB:EB),0)</f>
        <v>400068</v>
      </c>
      <c r="F70" s="21">
        <f t="shared" si="4"/>
        <v>4.7699999999999996</v>
      </c>
    </row>
    <row r="71" spans="1:6" x14ac:dyDescent="0.2">
      <c r="A71" s="19">
        <v>5</v>
      </c>
      <c r="B71" s="180" t="s">
        <v>4</v>
      </c>
      <c r="C71" s="181"/>
      <c r="D71" s="14">
        <f t="shared" si="5"/>
        <v>0</v>
      </c>
      <c r="E71" s="17">
        <f>IF(F3="1",SUMIF(Data!A:A,'12'!$A$2,Data!EC:EC),0)</f>
        <v>0</v>
      </c>
      <c r="F71" s="21" t="str">
        <f t="shared" si="4"/>
        <v/>
      </c>
    </row>
    <row r="72" spans="1:6" x14ac:dyDescent="0.2">
      <c r="A72" s="19">
        <v>6</v>
      </c>
      <c r="B72" s="180" t="s">
        <v>5</v>
      </c>
      <c r="C72" s="181"/>
      <c r="D72" s="14">
        <f t="shared" si="5"/>
        <v>8752</v>
      </c>
      <c r="E72" s="17">
        <f>IF(F3="1",SUMIF(Data!A:A,'12'!$A$2,Data!ED:ED),0)</f>
        <v>362076</v>
      </c>
      <c r="F72" s="21">
        <f t="shared" si="4"/>
        <v>41.37</v>
      </c>
    </row>
    <row r="73" spans="1:6" x14ac:dyDescent="0.2">
      <c r="A73" s="19">
        <v>7</v>
      </c>
      <c r="B73" s="180" t="s">
        <v>6</v>
      </c>
      <c r="C73" s="181"/>
      <c r="D73" s="14">
        <f t="shared" si="5"/>
        <v>51888</v>
      </c>
      <c r="E73" s="17">
        <f>IF(F3="1",SUMIF(Data!A:A,'12'!$A$2,Data!EE:EE),0)</f>
        <v>299204</v>
      </c>
      <c r="F73" s="21">
        <f t="shared" si="4"/>
        <v>5.77</v>
      </c>
    </row>
    <row r="74" spans="1:6" x14ac:dyDescent="0.2">
      <c r="A74" s="19">
        <v>8</v>
      </c>
      <c r="B74" s="180" t="s">
        <v>7</v>
      </c>
      <c r="C74" s="181"/>
      <c r="D74" s="14">
        <f t="shared" si="5"/>
        <v>1152</v>
      </c>
      <c r="E74" s="17">
        <f>IF(F3="1",SUMIF(Data!A:A,'12'!$A$2,Data!EF:EF),0)</f>
        <v>4453</v>
      </c>
      <c r="F74" s="21">
        <f t="shared" si="4"/>
        <v>3.87</v>
      </c>
    </row>
    <row r="75" spans="1:6" x14ac:dyDescent="0.2">
      <c r="A75" s="19">
        <v>9</v>
      </c>
      <c r="B75" s="180" t="s">
        <v>8</v>
      </c>
      <c r="C75" s="181"/>
      <c r="D75" s="14">
        <f t="shared" si="5"/>
        <v>111088</v>
      </c>
      <c r="E75" s="17">
        <f>IF(F3="1",SUMIF(Data!A:A,'12'!$A$2,Data!EG:EG),0)</f>
        <v>389483</v>
      </c>
      <c r="F75" s="21">
        <f t="shared" si="4"/>
        <v>3.51</v>
      </c>
    </row>
    <row r="76" spans="1:6" x14ac:dyDescent="0.2">
      <c r="A76" s="19">
        <v>10</v>
      </c>
      <c r="B76" s="180" t="s">
        <v>9</v>
      </c>
      <c r="C76" s="181"/>
      <c r="D76" s="14">
        <f t="shared" si="5"/>
        <v>0</v>
      </c>
      <c r="E76" s="17">
        <f>IF(F3="1",SUMIF(Data!A:A,'12'!$A$2,Data!EH:EH),0)</f>
        <v>0</v>
      </c>
      <c r="F76" s="21" t="str">
        <f t="shared" si="4"/>
        <v/>
      </c>
    </row>
    <row r="77" spans="1:6" x14ac:dyDescent="0.2">
      <c r="A77" s="19">
        <v>11</v>
      </c>
      <c r="B77" s="180" t="s">
        <v>10</v>
      </c>
      <c r="C77" s="181"/>
      <c r="D77" s="14">
        <f t="shared" si="5"/>
        <v>25920</v>
      </c>
      <c r="E77" s="17">
        <f>IF(F3="1",SUMIF(Data!A:A,'12'!$A$2,Data!EI:EI),0)</f>
        <v>106876</v>
      </c>
      <c r="F77" s="21">
        <f t="shared" si="4"/>
        <v>4.12</v>
      </c>
    </row>
    <row r="78" spans="1:6" ht="14.25" customHeight="1" x14ac:dyDescent="0.2">
      <c r="A78" s="19">
        <v>12</v>
      </c>
      <c r="B78" s="180" t="s">
        <v>11</v>
      </c>
      <c r="C78" s="181"/>
      <c r="D78" s="14">
        <f t="shared" si="5"/>
        <v>243176</v>
      </c>
      <c r="E78" s="17">
        <f>IF(F3="1",SUMIF(Data!A:A,'12'!$A$2,Data!EJ:EJ),0)</f>
        <v>635996</v>
      </c>
      <c r="F78" s="21">
        <f t="shared" si="4"/>
        <v>2.62</v>
      </c>
    </row>
    <row r="79" spans="1:6" x14ac:dyDescent="0.2">
      <c r="A79" s="19">
        <v>13</v>
      </c>
      <c r="B79" s="180" t="s">
        <v>12</v>
      </c>
      <c r="C79" s="181"/>
      <c r="D79" s="14">
        <f t="shared" si="5"/>
        <v>22960</v>
      </c>
      <c r="E79" s="17">
        <f>IF(F3="1",SUMIF(Data!A:A,'12'!$A$2,Data!EK:EK),0)</f>
        <v>63007</v>
      </c>
      <c r="F79" s="21">
        <f t="shared" si="4"/>
        <v>2.74</v>
      </c>
    </row>
    <row r="80" spans="1:6" ht="14.25" customHeight="1" x14ac:dyDescent="0.2">
      <c r="A80" s="19">
        <v>14</v>
      </c>
      <c r="B80" s="180" t="s">
        <v>464</v>
      </c>
      <c r="C80" s="181"/>
      <c r="D80" s="14">
        <f t="shared" si="5"/>
        <v>20544</v>
      </c>
      <c r="E80" s="17">
        <f>IF(F3="1",SUMIF(Data!A:A,'12'!$A$2,Data!EL:EL),0)</f>
        <v>423325</v>
      </c>
      <c r="F80" s="21">
        <f t="shared" si="4"/>
        <v>20.61</v>
      </c>
    </row>
    <row r="81" spans="1:6" x14ac:dyDescent="0.2">
      <c r="A81" s="19">
        <v>15</v>
      </c>
      <c r="B81" s="180" t="s">
        <v>13</v>
      </c>
      <c r="C81" s="181"/>
      <c r="D81" s="14">
        <f t="shared" si="5"/>
        <v>0</v>
      </c>
      <c r="E81" s="17">
        <f>IF(F3="1",SUMIF(Data!A:A,'12'!$A$2,Data!EM:EM),0)</f>
        <v>0</v>
      </c>
      <c r="F81" s="21" t="str">
        <f t="shared" si="4"/>
        <v/>
      </c>
    </row>
    <row r="82" spans="1:6" x14ac:dyDescent="0.2">
      <c r="A82" s="19">
        <v>16</v>
      </c>
      <c r="B82" s="180" t="s">
        <v>14</v>
      </c>
      <c r="C82" s="181"/>
      <c r="D82" s="14">
        <f t="shared" si="5"/>
        <v>68160</v>
      </c>
      <c r="E82" s="17">
        <f>IF(F3="1",SUMIF(Data!A:A,'12'!$A$2,Data!EN:EN),0)</f>
        <v>185544</v>
      </c>
      <c r="F82" s="21">
        <f t="shared" si="4"/>
        <v>2.72</v>
      </c>
    </row>
    <row r="83" spans="1:6" x14ac:dyDescent="0.2">
      <c r="A83" s="19">
        <v>17</v>
      </c>
      <c r="B83" s="180" t="s">
        <v>15</v>
      </c>
      <c r="C83" s="181"/>
      <c r="D83" s="14">
        <f t="shared" si="5"/>
        <v>0</v>
      </c>
      <c r="E83" s="17">
        <f>IF(F3="1",SUMIF(Data!A:A,'12'!$A$2,Data!EO:EO),0)</f>
        <v>0</v>
      </c>
      <c r="F83" s="21" t="str">
        <f t="shared" si="4"/>
        <v/>
      </c>
    </row>
    <row r="84" spans="1:6" x14ac:dyDescent="0.2">
      <c r="A84" s="19">
        <v>18</v>
      </c>
      <c r="B84" s="180" t="s">
        <v>16</v>
      </c>
      <c r="C84" s="181"/>
      <c r="D84" s="14">
        <f t="shared" si="5"/>
        <v>0</v>
      </c>
      <c r="E84" s="17">
        <f>IF(F3="1",SUMIF(Data!A:A,'12'!$A$2,Data!EP:EP),0)</f>
        <v>0</v>
      </c>
      <c r="F84" s="21" t="str">
        <f t="shared" si="4"/>
        <v/>
      </c>
    </row>
    <row r="85" spans="1:6" x14ac:dyDescent="0.2">
      <c r="A85" s="19">
        <v>19</v>
      </c>
      <c r="B85" s="180" t="s">
        <v>17</v>
      </c>
      <c r="C85" s="181"/>
      <c r="D85" s="14">
        <f t="shared" si="5"/>
        <v>280680</v>
      </c>
      <c r="E85" s="17">
        <f>IF(F3="1",SUMIF(Data!A:A,'12'!$A$2,Data!EQ:EQ),0)</f>
        <v>600621</v>
      </c>
      <c r="F85" s="21">
        <f t="shared" si="4"/>
        <v>2.14</v>
      </c>
    </row>
    <row r="86" spans="1:6" x14ac:dyDescent="0.2">
      <c r="A86" s="19">
        <v>20</v>
      </c>
      <c r="B86" s="180" t="s">
        <v>18</v>
      </c>
      <c r="C86" s="181"/>
      <c r="D86" s="14">
        <f t="shared" si="5"/>
        <v>0</v>
      </c>
      <c r="E86" s="17">
        <f>IF(F3="1",SUMIF(Data!A:A,'12'!$A$2,Data!ER:ER),0)</f>
        <v>0</v>
      </c>
      <c r="F86" s="21" t="str">
        <f t="shared" si="4"/>
        <v/>
      </c>
    </row>
    <row r="87" spans="1:6" ht="14.25" customHeight="1" x14ac:dyDescent="0.2">
      <c r="A87" s="19">
        <v>21</v>
      </c>
      <c r="B87" s="180" t="s">
        <v>461</v>
      </c>
      <c r="C87" s="181"/>
      <c r="D87" s="14">
        <f t="shared" si="5"/>
        <v>4048</v>
      </c>
      <c r="E87" s="17">
        <f>IF(F3="1",SUMIF(Data!A:A,'12'!$A$2,Data!ES:ES),0)</f>
        <v>54118</v>
      </c>
      <c r="F87" s="21">
        <f t="shared" si="4"/>
        <v>13.37</v>
      </c>
    </row>
    <row r="88" spans="1:6" x14ac:dyDescent="0.2">
      <c r="A88" s="19">
        <v>22</v>
      </c>
      <c r="B88" s="180" t="s">
        <v>19</v>
      </c>
      <c r="C88" s="181"/>
      <c r="D88" s="14">
        <f t="shared" si="5"/>
        <v>0</v>
      </c>
      <c r="E88" s="17">
        <f>IF(F3="1",SUMIF(Data!A:A,'12'!$A$2,Data!ET:ET),0)</f>
        <v>0</v>
      </c>
      <c r="F88" s="21" t="str">
        <f t="shared" si="4"/>
        <v/>
      </c>
    </row>
    <row r="89" spans="1:6" x14ac:dyDescent="0.2">
      <c r="A89" s="19">
        <v>23</v>
      </c>
      <c r="B89" s="180" t="s">
        <v>20</v>
      </c>
      <c r="C89" s="181"/>
      <c r="D89" s="14">
        <f t="shared" si="5"/>
        <v>54384</v>
      </c>
      <c r="E89" s="17">
        <f>IF(F3="1",SUMIF(Data!A:A,'12'!$A$2,Data!EU:EU),0)</f>
        <v>195862</v>
      </c>
      <c r="F89" s="21">
        <f t="shared" si="4"/>
        <v>3.6</v>
      </c>
    </row>
    <row r="90" spans="1:6" x14ac:dyDescent="0.2">
      <c r="A90" s="19">
        <v>24</v>
      </c>
      <c r="B90" s="180" t="s">
        <v>21</v>
      </c>
      <c r="C90" s="181"/>
      <c r="D90" s="14">
        <f t="shared" si="5"/>
        <v>42496</v>
      </c>
      <c r="E90" s="17">
        <f>IF(F3="1",SUMIF(Data!A:A,'12'!$A$2,Data!EV:EV),0)</f>
        <v>77125</v>
      </c>
      <c r="F90" s="21">
        <f t="shared" si="4"/>
        <v>1.81</v>
      </c>
    </row>
    <row r="91" spans="1:6" x14ac:dyDescent="0.2">
      <c r="A91" s="19">
        <v>25</v>
      </c>
      <c r="B91" s="180" t="s">
        <v>22</v>
      </c>
      <c r="C91" s="181"/>
      <c r="D91" s="14">
        <f t="shared" si="5"/>
        <v>255936</v>
      </c>
      <c r="E91" s="17">
        <f>IF(F3="1",SUMIF(Data!A:A,'12'!$A$2,Data!EW:EW),0)</f>
        <v>778180</v>
      </c>
      <c r="F91" s="21">
        <f t="shared" si="4"/>
        <v>3.04</v>
      </c>
    </row>
    <row r="92" spans="1:6" x14ac:dyDescent="0.2">
      <c r="A92" s="19">
        <v>26</v>
      </c>
      <c r="B92" s="180" t="s">
        <v>23</v>
      </c>
      <c r="C92" s="181"/>
      <c r="D92" s="14">
        <f t="shared" si="5"/>
        <v>66152</v>
      </c>
      <c r="E92" s="17">
        <f>IF(F3="1",SUMIF(Data!A:A,'12'!$A$2,Data!EX:EX),0)</f>
        <v>353316</v>
      </c>
      <c r="F92" s="21">
        <f t="shared" si="4"/>
        <v>5.34</v>
      </c>
    </row>
    <row r="93" spans="1:6" x14ac:dyDescent="0.2">
      <c r="A93" s="19">
        <v>28</v>
      </c>
      <c r="B93" s="180" t="s">
        <v>24</v>
      </c>
      <c r="C93" s="181"/>
      <c r="D93" s="14">
        <f t="shared" si="5"/>
        <v>0</v>
      </c>
      <c r="E93" s="17">
        <f>IF(F3="1",SUMIF(Data!A:A,'12'!$A$2,Data!EZ:EZ),0)</f>
        <v>0</v>
      </c>
      <c r="F93" s="21" t="str">
        <f t="shared" si="4"/>
        <v/>
      </c>
    </row>
    <row r="94" spans="1:6" ht="15.75" customHeight="1" thickBot="1" x14ac:dyDescent="0.25">
      <c r="A94" s="22">
        <v>29</v>
      </c>
      <c r="B94" s="184" t="s">
        <v>25</v>
      </c>
      <c r="C94" s="185"/>
      <c r="D94" s="23">
        <f t="shared" si="5"/>
        <v>0</v>
      </c>
      <c r="E94" s="24">
        <f>IF(F3="1",SUMIF(Data!A:A,'12'!$A$2,Data!FA:FA),0)</f>
        <v>0</v>
      </c>
      <c r="F94" s="25" t="str">
        <f t="shared" si="4"/>
        <v/>
      </c>
    </row>
    <row r="95" spans="1:6" x14ac:dyDescent="0.2">
      <c r="B95" s="30" t="s">
        <v>35</v>
      </c>
      <c r="C95" s="30"/>
      <c r="D95" s="59">
        <f>SUM(D67:D94)</f>
        <v>1670139</v>
      </c>
      <c r="E95" s="31">
        <f>SUM(E67:E94)</f>
        <v>6143655</v>
      </c>
      <c r="F95" s="32">
        <f t="shared" si="4"/>
        <v>3.68</v>
      </c>
    </row>
    <row r="96" spans="1:6" ht="15" thickBot="1" x14ac:dyDescent="0.25"/>
    <row r="97" spans="2:6" ht="29.25" customHeight="1" x14ac:dyDescent="0.2">
      <c r="B97" s="188" t="s">
        <v>468</v>
      </c>
      <c r="C97" s="189"/>
      <c r="D97" s="28" t="s">
        <v>27</v>
      </c>
      <c r="E97" s="33" t="s">
        <v>462</v>
      </c>
      <c r="F97" s="29" t="s">
        <v>463</v>
      </c>
    </row>
    <row r="98" spans="2:6" x14ac:dyDescent="0.2">
      <c r="B98" s="190" t="s">
        <v>30</v>
      </c>
      <c r="C98" s="191"/>
      <c r="D98" s="35"/>
      <c r="E98" s="15">
        <f>IF(F3="1",SUMIF(Data!A:A,'12'!$A$2,Data!AH:AH),0)</f>
        <v>4498562</v>
      </c>
      <c r="F98" s="20">
        <f>IF(OR(E98=0,E98=0),"",ROUND(E98/$D$105,2))</f>
        <v>2.69</v>
      </c>
    </row>
    <row r="99" spans="2:6" x14ac:dyDescent="0.2">
      <c r="B99" s="190" t="s">
        <v>31</v>
      </c>
      <c r="C99" s="191"/>
      <c r="D99" s="36"/>
      <c r="E99" s="17">
        <f>IF(F3="1",SUMIF(Data!A:A,'12'!$A$2,Data!AI:AI),0)</f>
        <v>1719975</v>
      </c>
      <c r="F99" s="21">
        <f t="shared" ref="F99:F104" si="6">IF(OR(E99=0,E99=0),"",ROUND(E99/$D$105,2))</f>
        <v>1.03</v>
      </c>
    </row>
    <row r="100" spans="2:6" x14ac:dyDescent="0.2">
      <c r="B100" s="190" t="s">
        <v>1089</v>
      </c>
      <c r="C100" s="191"/>
      <c r="D100" s="36"/>
      <c r="E100" s="17">
        <f>IF(F3="1",SUMIF(Data!A:A,'12'!$A$2,Data!AJ:AJ),0)</f>
        <v>673434</v>
      </c>
      <c r="F100" s="21">
        <f t="shared" si="6"/>
        <v>0.4</v>
      </c>
    </row>
    <row r="101" spans="2:6" x14ac:dyDescent="0.2">
      <c r="B101" s="190" t="s">
        <v>1090</v>
      </c>
      <c r="C101" s="191"/>
      <c r="D101" s="36"/>
      <c r="E101" s="17">
        <f>IF(F3="1",SUMIF(Data!A:A,'12'!$A$2,Data!AK:AK),0)</f>
        <v>444297</v>
      </c>
      <c r="F101" s="21">
        <f t="shared" si="6"/>
        <v>0.27</v>
      </c>
    </row>
    <row r="102" spans="2:6" x14ac:dyDescent="0.2">
      <c r="B102" s="190" t="s">
        <v>1091</v>
      </c>
      <c r="C102" s="191"/>
      <c r="D102" s="36"/>
      <c r="E102" s="17">
        <f>IF(F3="1",SUMIF(Data!A:A,'12'!$A$2,Data!AL:AL),0)</f>
        <v>0</v>
      </c>
      <c r="F102" s="21" t="str">
        <f t="shared" si="6"/>
        <v/>
      </c>
    </row>
    <row r="103" spans="2:6" x14ac:dyDescent="0.2">
      <c r="B103" s="192" t="s">
        <v>34</v>
      </c>
      <c r="C103" s="193"/>
      <c r="D103" s="36"/>
      <c r="E103" s="17">
        <f>IF(F3="1",SUMIF(Data!A:A,'12'!$A$2,Data!AM:AM),0)</f>
        <v>0</v>
      </c>
      <c r="F103" s="21" t="str">
        <f t="shared" si="6"/>
        <v/>
      </c>
    </row>
    <row r="104" spans="2:6" ht="15.75" customHeight="1" thickBot="1" x14ac:dyDescent="0.25">
      <c r="B104" s="186" t="s">
        <v>29</v>
      </c>
      <c r="C104" s="187"/>
      <c r="D104" s="37"/>
      <c r="E104" s="24">
        <f>IF(F3="1",SUMIF(Data!A:A,'12'!$A$2,Data!Q:Q),0)</f>
        <v>1768630</v>
      </c>
      <c r="F104" s="25">
        <f t="shared" si="6"/>
        <v>1.06</v>
      </c>
    </row>
    <row r="105" spans="2:6" x14ac:dyDescent="0.2">
      <c r="B105" s="30" t="s">
        <v>35</v>
      </c>
      <c r="C105" s="30"/>
      <c r="D105" s="34">
        <f>D95</f>
        <v>1670139</v>
      </c>
      <c r="E105" s="31">
        <f>SUM(E98:E104)</f>
        <v>9104898</v>
      </c>
      <c r="F105" s="32">
        <f>IF($D$105=0,"",ROUND(E105/$D$105,2))</f>
        <v>5.45</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6143655</v>
      </c>
      <c r="D109" s="15">
        <f>IF(F3="1",SUMIF(Data!$A:$A,$A$2,Data!HJ:HJ),0)</f>
        <v>0</v>
      </c>
      <c r="E109" s="15">
        <f>IF(F3="1",SUMIF(Data!$A:$A,$A$2,Data!IN:IN),0)</f>
        <v>0</v>
      </c>
      <c r="F109" s="47">
        <f>SUM(C109:E109)</f>
        <v>6143655</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1768630</v>
      </c>
      <c r="E117" s="52"/>
      <c r="F117" s="49">
        <f>SUM(C117:E117)</f>
        <v>1768630</v>
      </c>
    </row>
    <row r="118" spans="1:6" x14ac:dyDescent="0.2">
      <c r="B118" s="13" t="s">
        <v>35</v>
      </c>
      <c r="C118" s="4">
        <f>SUM(C109:C116)</f>
        <v>6143655</v>
      </c>
      <c r="D118" s="4">
        <f>SUM(D109:D116)</f>
        <v>0</v>
      </c>
      <c r="E118" s="4">
        <f>SUM(E109:E116)</f>
        <v>0</v>
      </c>
      <c r="F118" s="4">
        <f>SUM(F109:F116)</f>
        <v>6143655</v>
      </c>
    </row>
    <row r="119" spans="1:6" ht="15" thickBot="1" x14ac:dyDescent="0.25"/>
    <row r="120" spans="1:6" ht="15" thickBot="1" x14ac:dyDescent="0.25">
      <c r="B120" s="55" t="s">
        <v>934</v>
      </c>
      <c r="C120" s="53"/>
      <c r="D120" s="53"/>
      <c r="E120" s="53">
        <f>IF(F3="1",SUMIF(Data!A:A,'12'!$A$2,Data!AM:AM),0)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452</v>
      </c>
      <c r="B2" s="58" t="str">
        <f>VLOOKUP(A2,Data!A:G,7,0)</f>
        <v>Collin County Community College District</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36220</v>
      </c>
      <c r="E5" s="15">
        <f>E36+E67+IFERROR($E$105/$D$105*D5,0)</f>
        <v>208020.77023141776</v>
      </c>
      <c r="F5" s="20">
        <f>IF(OR(D5=0,E5=0),"",ROUND(E5/D5,2))</f>
        <v>5.74</v>
      </c>
    </row>
    <row r="6" spans="1:6" x14ac:dyDescent="0.2">
      <c r="A6" s="19">
        <v>2</v>
      </c>
      <c r="B6" s="180" t="s">
        <v>1</v>
      </c>
      <c r="C6" s="181"/>
      <c r="D6" s="14">
        <f t="shared" ref="D6:D32" si="0">D37</f>
        <v>43792</v>
      </c>
      <c r="E6" s="17">
        <f t="shared" ref="E6:E32" si="1">E37+E68+IFERROR($E$105/$D$105*D6,0)</f>
        <v>437042.34218592616</v>
      </c>
      <c r="F6" s="21">
        <f t="shared" ref="F6:F33" si="2">IF(OR(D6=0,E6=0),"",ROUND(E6/D6,2))</f>
        <v>9.98</v>
      </c>
    </row>
    <row r="7" spans="1:6" ht="14.25" customHeight="1" x14ac:dyDescent="0.2">
      <c r="A7" s="19">
        <v>3</v>
      </c>
      <c r="B7" s="180" t="s">
        <v>2</v>
      </c>
      <c r="C7" s="181"/>
      <c r="D7" s="14">
        <f t="shared" si="0"/>
        <v>658688</v>
      </c>
      <c r="E7" s="17">
        <f t="shared" si="1"/>
        <v>3922930.1827220349</v>
      </c>
      <c r="F7" s="21">
        <f t="shared" si="2"/>
        <v>5.96</v>
      </c>
    </row>
    <row r="8" spans="1:6" ht="14.25" customHeight="1" x14ac:dyDescent="0.2">
      <c r="A8" s="19">
        <v>4</v>
      </c>
      <c r="B8" s="180" t="s">
        <v>3</v>
      </c>
      <c r="C8" s="181"/>
      <c r="D8" s="14">
        <f t="shared" si="0"/>
        <v>488284</v>
      </c>
      <c r="E8" s="17">
        <f t="shared" si="1"/>
        <v>3611648.4765234012</v>
      </c>
      <c r="F8" s="21">
        <f t="shared" si="2"/>
        <v>7.4</v>
      </c>
    </row>
    <row r="9" spans="1:6" x14ac:dyDescent="0.2">
      <c r="A9" s="19">
        <v>5</v>
      </c>
      <c r="B9" s="180" t="s">
        <v>4</v>
      </c>
      <c r="C9" s="181"/>
      <c r="D9" s="14">
        <f t="shared" si="0"/>
        <v>432</v>
      </c>
      <c r="E9" s="17">
        <f t="shared" si="1"/>
        <v>3397.7552937595933</v>
      </c>
      <c r="F9" s="21">
        <f t="shared" si="2"/>
        <v>7.87</v>
      </c>
    </row>
    <row r="10" spans="1:6" x14ac:dyDescent="0.2">
      <c r="A10" s="19">
        <v>6</v>
      </c>
      <c r="B10" s="180" t="s">
        <v>5</v>
      </c>
      <c r="C10" s="181"/>
      <c r="D10" s="14">
        <f t="shared" si="0"/>
        <v>71872</v>
      </c>
      <c r="E10" s="17">
        <f t="shared" si="1"/>
        <v>529037.43628029979</v>
      </c>
      <c r="F10" s="21">
        <f t="shared" si="2"/>
        <v>7.36</v>
      </c>
    </row>
    <row r="11" spans="1:6" x14ac:dyDescent="0.2">
      <c r="A11" s="19">
        <v>7</v>
      </c>
      <c r="B11" s="180" t="s">
        <v>6</v>
      </c>
      <c r="C11" s="181"/>
      <c r="D11" s="14">
        <f t="shared" si="0"/>
        <v>406164</v>
      </c>
      <c r="E11" s="17">
        <f t="shared" si="1"/>
        <v>2390409.4563300265</v>
      </c>
      <c r="F11" s="21">
        <f t="shared" si="2"/>
        <v>5.89</v>
      </c>
    </row>
    <row r="12" spans="1:6" x14ac:dyDescent="0.2">
      <c r="A12" s="19">
        <v>8</v>
      </c>
      <c r="B12" s="180" t="s">
        <v>7</v>
      </c>
      <c r="C12" s="181"/>
      <c r="D12" s="14">
        <f t="shared" si="0"/>
        <v>648</v>
      </c>
      <c r="E12" s="17">
        <f t="shared" si="1"/>
        <v>5097.1329406393897</v>
      </c>
      <c r="F12" s="21">
        <f t="shared" si="2"/>
        <v>7.87</v>
      </c>
    </row>
    <row r="13" spans="1:6" x14ac:dyDescent="0.2">
      <c r="A13" s="19">
        <v>9</v>
      </c>
      <c r="B13" s="180" t="s">
        <v>8</v>
      </c>
      <c r="C13" s="181"/>
      <c r="D13" s="14">
        <f t="shared" si="0"/>
        <v>118454</v>
      </c>
      <c r="E13" s="17">
        <f t="shared" si="1"/>
        <v>723134.15640509001</v>
      </c>
      <c r="F13" s="21">
        <f t="shared" si="2"/>
        <v>6.1</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76708</v>
      </c>
      <c r="E15" s="17">
        <f t="shared" si="1"/>
        <v>920617.22470766411</v>
      </c>
      <c r="F15" s="21">
        <f t="shared" si="2"/>
        <v>12</v>
      </c>
    </row>
    <row r="16" spans="1:6" ht="14.25" customHeight="1" x14ac:dyDescent="0.2">
      <c r="A16" s="19">
        <v>12</v>
      </c>
      <c r="B16" s="180" t="s">
        <v>11</v>
      </c>
      <c r="C16" s="181"/>
      <c r="D16" s="14">
        <f t="shared" si="0"/>
        <v>1316235</v>
      </c>
      <c r="E16" s="17">
        <f t="shared" si="1"/>
        <v>7904208.8427816164</v>
      </c>
      <c r="F16" s="21">
        <f t="shared" si="2"/>
        <v>6.01</v>
      </c>
    </row>
    <row r="17" spans="1:6" x14ac:dyDescent="0.2">
      <c r="A17" s="19">
        <v>13</v>
      </c>
      <c r="B17" s="180" t="s">
        <v>12</v>
      </c>
      <c r="C17" s="181"/>
      <c r="D17" s="14">
        <f t="shared" si="0"/>
        <v>191752</v>
      </c>
      <c r="E17" s="17">
        <f t="shared" si="1"/>
        <v>1302826.0302985869</v>
      </c>
      <c r="F17" s="21">
        <f t="shared" si="2"/>
        <v>6.79</v>
      </c>
    </row>
    <row r="18" spans="1:6" ht="14.25" customHeight="1" x14ac:dyDescent="0.2">
      <c r="A18" s="19">
        <v>14</v>
      </c>
      <c r="B18" s="180" t="s">
        <v>464</v>
      </c>
      <c r="C18" s="181"/>
      <c r="D18" s="14">
        <f t="shared" si="0"/>
        <v>90430</v>
      </c>
      <c r="E18" s="17">
        <f t="shared" si="1"/>
        <v>835045.38244138891</v>
      </c>
      <c r="F18" s="21">
        <f t="shared" si="2"/>
        <v>9.23</v>
      </c>
    </row>
    <row r="19" spans="1:6" x14ac:dyDescent="0.2">
      <c r="A19" s="19">
        <v>15</v>
      </c>
      <c r="B19" s="180" t="s">
        <v>13</v>
      </c>
      <c r="C19" s="181"/>
      <c r="D19" s="14">
        <f t="shared" si="0"/>
        <v>23712</v>
      </c>
      <c r="E19" s="17">
        <f t="shared" si="1"/>
        <v>473114.12390191545</v>
      </c>
      <c r="F19" s="21">
        <f t="shared" si="2"/>
        <v>19.95</v>
      </c>
    </row>
    <row r="20" spans="1:6" x14ac:dyDescent="0.2">
      <c r="A20" s="19">
        <v>16</v>
      </c>
      <c r="B20" s="180" t="s">
        <v>14</v>
      </c>
      <c r="C20" s="181"/>
      <c r="D20" s="14">
        <f t="shared" si="0"/>
        <v>134715</v>
      </c>
      <c r="E20" s="17">
        <f t="shared" si="1"/>
        <v>892421.11434912868</v>
      </c>
      <c r="F20" s="21">
        <f t="shared" si="2"/>
        <v>6.62</v>
      </c>
    </row>
    <row r="21" spans="1:6" x14ac:dyDescent="0.2">
      <c r="A21" s="19">
        <v>17</v>
      </c>
      <c r="B21" s="180" t="s">
        <v>15</v>
      </c>
      <c r="C21" s="181"/>
      <c r="D21" s="14">
        <f t="shared" si="0"/>
        <v>38864</v>
      </c>
      <c r="E21" s="17">
        <f t="shared" si="1"/>
        <v>362776.17068674264</v>
      </c>
      <c r="F21" s="21">
        <f t="shared" si="2"/>
        <v>9.33</v>
      </c>
    </row>
    <row r="22" spans="1:6" x14ac:dyDescent="0.2">
      <c r="A22" s="19">
        <v>18</v>
      </c>
      <c r="B22" s="180" t="s">
        <v>16</v>
      </c>
      <c r="C22" s="181"/>
      <c r="D22" s="14">
        <f t="shared" si="0"/>
        <v>0</v>
      </c>
      <c r="E22" s="17">
        <f t="shared" si="1"/>
        <v>0</v>
      </c>
      <c r="F22" s="21" t="str">
        <f t="shared" si="2"/>
        <v/>
      </c>
    </row>
    <row r="23" spans="1:6" x14ac:dyDescent="0.2">
      <c r="A23" s="19">
        <v>19</v>
      </c>
      <c r="B23" s="180" t="s">
        <v>17</v>
      </c>
      <c r="C23" s="181"/>
      <c r="D23" s="14">
        <f t="shared" si="0"/>
        <v>986000</v>
      </c>
      <c r="E23" s="17">
        <f t="shared" si="1"/>
        <v>5041719.4436272196</v>
      </c>
      <c r="F23" s="21">
        <f t="shared" si="2"/>
        <v>5.1100000000000003</v>
      </c>
    </row>
    <row r="24" spans="1:6" x14ac:dyDescent="0.2">
      <c r="A24" s="19">
        <v>20</v>
      </c>
      <c r="B24" s="180" t="s">
        <v>18</v>
      </c>
      <c r="C24" s="181"/>
      <c r="D24" s="14">
        <f t="shared" si="0"/>
        <v>0</v>
      </c>
      <c r="E24" s="17">
        <f t="shared" si="1"/>
        <v>0</v>
      </c>
      <c r="F24" s="21" t="str">
        <f t="shared" si="2"/>
        <v/>
      </c>
    </row>
    <row r="25" spans="1:6" ht="14.25" customHeight="1" x14ac:dyDescent="0.2">
      <c r="A25" s="19">
        <v>21</v>
      </c>
      <c r="B25" s="180" t="s">
        <v>461</v>
      </c>
      <c r="C25" s="181"/>
      <c r="D25" s="14">
        <f t="shared" si="0"/>
        <v>0</v>
      </c>
      <c r="E25" s="17">
        <f t="shared" si="1"/>
        <v>0</v>
      </c>
      <c r="F25" s="21" t="str">
        <f t="shared" si="2"/>
        <v/>
      </c>
    </row>
    <row r="26" spans="1:6" x14ac:dyDescent="0.2">
      <c r="A26" s="19">
        <v>22</v>
      </c>
      <c r="B26" s="180" t="s">
        <v>19</v>
      </c>
      <c r="C26" s="181"/>
      <c r="D26" s="14">
        <f t="shared" si="0"/>
        <v>1168</v>
      </c>
      <c r="E26" s="17">
        <f t="shared" si="1"/>
        <v>7331.819868312974</v>
      </c>
      <c r="F26" s="21">
        <f t="shared" si="2"/>
        <v>6.28</v>
      </c>
    </row>
    <row r="27" spans="1:6" x14ac:dyDescent="0.2">
      <c r="A27" s="19">
        <v>23</v>
      </c>
      <c r="B27" s="180" t="s">
        <v>20</v>
      </c>
      <c r="C27" s="181"/>
      <c r="D27" s="14">
        <f t="shared" si="0"/>
        <v>192896</v>
      </c>
      <c r="E27" s="17">
        <f t="shared" si="1"/>
        <v>1432211.1415394689</v>
      </c>
      <c r="F27" s="21">
        <f t="shared" si="2"/>
        <v>7.42</v>
      </c>
    </row>
    <row r="28" spans="1:6" x14ac:dyDescent="0.2">
      <c r="A28" s="19">
        <v>24</v>
      </c>
      <c r="B28" s="180" t="s">
        <v>21</v>
      </c>
      <c r="C28" s="181"/>
      <c r="D28" s="14">
        <f t="shared" si="0"/>
        <v>269201</v>
      </c>
      <c r="E28" s="17">
        <f t="shared" si="1"/>
        <v>2217953.6338781859</v>
      </c>
      <c r="F28" s="21">
        <f t="shared" si="2"/>
        <v>8.24</v>
      </c>
    </row>
    <row r="29" spans="1:6" x14ac:dyDescent="0.2">
      <c r="A29" s="19">
        <v>25</v>
      </c>
      <c r="B29" s="180" t="s">
        <v>22</v>
      </c>
      <c r="C29" s="181"/>
      <c r="D29" s="14">
        <f t="shared" si="0"/>
        <v>1309776</v>
      </c>
      <c r="E29" s="17">
        <f t="shared" si="1"/>
        <v>6781168.6334242243</v>
      </c>
      <c r="F29" s="21">
        <f t="shared" si="2"/>
        <v>5.18</v>
      </c>
    </row>
    <row r="30" spans="1:6" x14ac:dyDescent="0.2">
      <c r="A30" s="19">
        <v>26</v>
      </c>
      <c r="B30" s="180" t="s">
        <v>23</v>
      </c>
      <c r="C30" s="181"/>
      <c r="D30" s="14">
        <f t="shared" si="0"/>
        <v>582040</v>
      </c>
      <c r="E30" s="17">
        <f t="shared" si="1"/>
        <v>4819217.7295829486</v>
      </c>
      <c r="F30" s="21">
        <f t="shared" si="2"/>
        <v>8.2799999999999994</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7038051</v>
      </c>
      <c r="E33" s="31">
        <f>SUM(E5:E32)</f>
        <v>44821329.000000007</v>
      </c>
      <c r="F33" s="32">
        <f t="shared" si="2"/>
        <v>6.37</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IF(F3="1",SUMIF(Data!A:A,'13'!$A$2,Data!CU:CU),0)</f>
        <v>36220</v>
      </c>
      <c r="E36" s="15">
        <f>IF(F3="1",SUMIF(Data!$A:$A,$A$2,Data!IO:IO),0)</f>
        <v>27372</v>
      </c>
      <c r="F36" s="20">
        <f t="shared" ref="F36:F64" si="3">IF(OR(D36=0,E36=0),"",ROUND(E36/D36,2))</f>
        <v>0.76</v>
      </c>
    </row>
    <row r="37" spans="1:6" x14ac:dyDescent="0.2">
      <c r="A37" s="19">
        <v>2</v>
      </c>
      <c r="B37" s="180" t="s">
        <v>1</v>
      </c>
      <c r="C37" s="181"/>
      <c r="D37" s="14">
        <f>IF(F3="1",SUMIF(Data!A:A,'13'!$A$2,Data!CV:CV),0)</f>
        <v>43792</v>
      </c>
      <c r="E37" s="17">
        <f>IF(F3="1",SUMIF(Data!$A:$A,$A$2,Data!IP:IP),0)</f>
        <v>159032</v>
      </c>
      <c r="F37" s="21">
        <f t="shared" si="3"/>
        <v>3.63</v>
      </c>
    </row>
    <row r="38" spans="1:6" ht="14.25" customHeight="1" x14ac:dyDescent="0.2">
      <c r="A38" s="19">
        <v>3</v>
      </c>
      <c r="B38" s="180" t="s">
        <v>2</v>
      </c>
      <c r="C38" s="181"/>
      <c r="D38" s="14">
        <f>IF(F3="1",SUMIF(Data!A:A,'13'!$A$2,Data!CW:CW),0)</f>
        <v>658688</v>
      </c>
      <c r="E38" s="17">
        <f>IF($F$3="1",SUMIF(Data!$A:$A,$A$2,Data!IQ:IQ),0)</f>
        <v>569903</v>
      </c>
      <c r="F38" s="21">
        <f t="shared" si="3"/>
        <v>0.87</v>
      </c>
    </row>
    <row r="39" spans="1:6" ht="14.25" customHeight="1" x14ac:dyDescent="0.2">
      <c r="A39" s="19">
        <v>4</v>
      </c>
      <c r="B39" s="180" t="s">
        <v>3</v>
      </c>
      <c r="C39" s="181"/>
      <c r="D39" s="14">
        <f>IF(F3="1",SUMIF(Data!A:A,'13'!$A$2,Data!CX:CX),0)</f>
        <v>488284</v>
      </c>
      <c r="E39" s="17">
        <f>IF($F$3="1",SUMIF(Data!$A:$A,$A$2,Data!IR:IR),0)</f>
        <v>753326</v>
      </c>
      <c r="F39" s="21">
        <f t="shared" si="3"/>
        <v>1.54</v>
      </c>
    </row>
    <row r="40" spans="1:6" x14ac:dyDescent="0.2">
      <c r="A40" s="19">
        <v>5</v>
      </c>
      <c r="B40" s="180" t="s">
        <v>4</v>
      </c>
      <c r="C40" s="181"/>
      <c r="D40" s="14">
        <f>IF(F3="1",SUMIF(Data!A:A,'13'!$A$2,Data!CY:CY),0)</f>
        <v>432</v>
      </c>
      <c r="E40" s="17">
        <f>IF($F$3="1",SUMIF(Data!$A:$A,$A$2,Data!IS:IS),0)</f>
        <v>1451</v>
      </c>
      <c r="F40" s="21">
        <f t="shared" si="3"/>
        <v>3.36</v>
      </c>
    </row>
    <row r="41" spans="1:6" x14ac:dyDescent="0.2">
      <c r="A41" s="19">
        <v>6</v>
      </c>
      <c r="B41" s="180" t="s">
        <v>5</v>
      </c>
      <c r="C41" s="181"/>
      <c r="D41" s="14">
        <f>IF(F3="1",SUMIF(Data!A:A,'13'!$A$2,Data!CZ:CZ),0)</f>
        <v>71872</v>
      </c>
      <c r="E41" s="17">
        <f>IF($F$3="1",SUMIF(Data!$A:$A,$A$2,Data!IT:IT),0)</f>
        <v>66545</v>
      </c>
      <c r="F41" s="21">
        <f t="shared" si="3"/>
        <v>0.93</v>
      </c>
    </row>
    <row r="42" spans="1:6" x14ac:dyDescent="0.2">
      <c r="A42" s="19">
        <v>7</v>
      </c>
      <c r="B42" s="180" t="s">
        <v>6</v>
      </c>
      <c r="C42" s="181"/>
      <c r="D42" s="14">
        <f>IF(F3="1",SUMIF(Data!A:A,'13'!$A$2,Data!DA:DA),0)</f>
        <v>406164</v>
      </c>
      <c r="E42" s="17">
        <f>IF($F$3="1",SUMIF(Data!$A:$A,$A$2,Data!IU:IU),0)</f>
        <v>384633</v>
      </c>
      <c r="F42" s="21">
        <f t="shared" si="3"/>
        <v>0.95</v>
      </c>
    </row>
    <row r="43" spans="1:6" x14ac:dyDescent="0.2">
      <c r="A43" s="19">
        <v>8</v>
      </c>
      <c r="B43" s="180" t="s">
        <v>7</v>
      </c>
      <c r="C43" s="181"/>
      <c r="D43" s="14">
        <f>IF(F3="1",SUMIF(Data!A:A,'13'!$A$2,Data!DB:DB),0)</f>
        <v>648</v>
      </c>
      <c r="E43" s="17">
        <f>IF($F$3="1",SUMIF(Data!$A:$A,$A$2,Data!IV:IV),0)</f>
        <v>2177</v>
      </c>
      <c r="F43" s="21">
        <f t="shared" si="3"/>
        <v>3.36</v>
      </c>
    </row>
    <row r="44" spans="1:6" x14ac:dyDescent="0.2">
      <c r="A44" s="19">
        <v>9</v>
      </c>
      <c r="B44" s="180" t="s">
        <v>8</v>
      </c>
      <c r="C44" s="181"/>
      <c r="D44" s="14">
        <f>IF(F3="1",SUMIF(Data!A:A,'13'!$A$2,Data!DC:DC),0)</f>
        <v>118454</v>
      </c>
      <c r="E44" s="17">
        <f>IF($F$3="1",SUMIF(Data!$A:$A,$A$2,Data!IW:IW),0)</f>
        <v>125403</v>
      </c>
      <c r="F44" s="21">
        <f t="shared" si="3"/>
        <v>1.06</v>
      </c>
    </row>
    <row r="45" spans="1:6" x14ac:dyDescent="0.2">
      <c r="A45" s="19">
        <v>10</v>
      </c>
      <c r="B45" s="180" t="s">
        <v>9</v>
      </c>
      <c r="C45" s="181"/>
      <c r="D45" s="14">
        <f>IF(F3="1",SUMIF(Data!A:A,'13'!$A$2,Data!DD:DD),0)</f>
        <v>0</v>
      </c>
      <c r="E45" s="17">
        <f>IF($F$3="1",SUMIF(Data!$A:$A,$A$2,Data!IX:IX),0)</f>
        <v>0</v>
      </c>
      <c r="F45" s="21" t="str">
        <f t="shared" si="3"/>
        <v/>
      </c>
    </row>
    <row r="46" spans="1:6" x14ac:dyDescent="0.2">
      <c r="A46" s="19">
        <v>11</v>
      </c>
      <c r="B46" s="180" t="s">
        <v>10</v>
      </c>
      <c r="C46" s="181"/>
      <c r="D46" s="14">
        <f>IF(F3="1",SUMIF(Data!A:A,'13'!$A$2,Data!DE:DE),0)</f>
        <v>76708</v>
      </c>
      <c r="E46" s="17">
        <f>IF($F$3="1",SUMIF(Data!$A:$A,$A$2,Data!IY:IY),0)</f>
        <v>218900</v>
      </c>
      <c r="F46" s="21">
        <f t="shared" si="3"/>
        <v>2.85</v>
      </c>
    </row>
    <row r="47" spans="1:6" ht="14.25" customHeight="1" x14ac:dyDescent="0.2">
      <c r="A47" s="19">
        <v>12</v>
      </c>
      <c r="B47" s="180" t="s">
        <v>11</v>
      </c>
      <c r="C47" s="181"/>
      <c r="D47" s="14">
        <f>IF(F3="1",SUMIF(Data!A:A,'13'!$A$2,Data!DF:DF),0)</f>
        <v>1316235</v>
      </c>
      <c r="E47" s="17">
        <f>IF($F$3="1",SUMIF(Data!$A:$A,$A$2,Data!IZ:IZ),0)</f>
        <v>1083203</v>
      </c>
      <c r="F47" s="21">
        <f t="shared" si="3"/>
        <v>0.82</v>
      </c>
    </row>
    <row r="48" spans="1:6" x14ac:dyDescent="0.2">
      <c r="A48" s="19">
        <v>13</v>
      </c>
      <c r="B48" s="180" t="s">
        <v>12</v>
      </c>
      <c r="C48" s="181"/>
      <c r="D48" s="14">
        <f>IF(F3="1",SUMIF(Data!A:A,'13'!$A$2,Data!DG:DG),0)</f>
        <v>191752</v>
      </c>
      <c r="E48" s="17">
        <f>IF($F$3="1",SUMIF(Data!$A:$A,$A$2,Data!JA:JA),0)</f>
        <v>254947</v>
      </c>
      <c r="F48" s="21">
        <f t="shared" si="3"/>
        <v>1.33</v>
      </c>
    </row>
    <row r="49" spans="1:6" ht="14.25" customHeight="1" x14ac:dyDescent="0.2">
      <c r="A49" s="19">
        <v>14</v>
      </c>
      <c r="B49" s="180" t="s">
        <v>464</v>
      </c>
      <c r="C49" s="181"/>
      <c r="D49" s="14">
        <f>IF(F3="1",SUMIF(Data!A:A,'13'!$A$2,Data!DH:DH),0)</f>
        <v>90430</v>
      </c>
      <c r="E49" s="17">
        <f>IF($F$3="1",SUMIF(Data!$A:$A,$A$2,Data!JB:JB),0)</f>
        <v>152846</v>
      </c>
      <c r="F49" s="21">
        <f t="shared" si="3"/>
        <v>1.69</v>
      </c>
    </row>
    <row r="50" spans="1:6" x14ac:dyDescent="0.2">
      <c r="A50" s="19">
        <v>15</v>
      </c>
      <c r="B50" s="180" t="s">
        <v>13</v>
      </c>
      <c r="C50" s="181"/>
      <c r="D50" s="14">
        <f>IF(F3="1",SUMIF(Data!A:A,'13'!$A$2,Data!DI:DI),0)</f>
        <v>23712</v>
      </c>
      <c r="E50" s="17">
        <f>IF($F$3="1",SUMIF(Data!$A:$A,$A$2,Data!JC:JC),0)</f>
        <v>165311</v>
      </c>
      <c r="F50" s="21">
        <f t="shared" si="3"/>
        <v>6.97</v>
      </c>
    </row>
    <row r="51" spans="1:6" x14ac:dyDescent="0.2">
      <c r="A51" s="19">
        <v>16</v>
      </c>
      <c r="B51" s="180" t="s">
        <v>14</v>
      </c>
      <c r="C51" s="181"/>
      <c r="D51" s="14">
        <f>IF(F3="1",SUMIF(Data!A:A,'13'!$A$2,Data!DJ:DJ),0)</f>
        <v>134715</v>
      </c>
      <c r="E51" s="17">
        <f>IF($F$3="1",SUMIF(Data!$A:$A,$A$2,Data!JD:JD),0)</f>
        <v>197998</v>
      </c>
      <c r="F51" s="21">
        <f t="shared" si="3"/>
        <v>1.47</v>
      </c>
    </row>
    <row r="52" spans="1:6" x14ac:dyDescent="0.2">
      <c r="A52" s="19">
        <v>17</v>
      </c>
      <c r="B52" s="180" t="s">
        <v>15</v>
      </c>
      <c r="C52" s="181"/>
      <c r="D52" s="14">
        <f>IF(F3="1",SUMIF(Data!A:A,'13'!$A$2,Data!DK:DK),0)</f>
        <v>38864</v>
      </c>
      <c r="E52" s="17">
        <f>IF($F$3="1",SUMIF(Data!$A:$A,$A$2,Data!JE:JE),0)</f>
        <v>84465</v>
      </c>
      <c r="F52" s="21">
        <f t="shared" si="3"/>
        <v>2.17</v>
      </c>
    </row>
    <row r="53" spans="1:6" x14ac:dyDescent="0.2">
      <c r="A53" s="19">
        <v>18</v>
      </c>
      <c r="B53" s="180" t="s">
        <v>16</v>
      </c>
      <c r="C53" s="181"/>
      <c r="D53" s="14">
        <f>IF(F3="1",SUMIF(Data!A:A,'13'!$A$2,Data!DL:DL),0)</f>
        <v>0</v>
      </c>
      <c r="E53" s="17">
        <f>IF($F$3="1",SUMIF(Data!$A:$A,$A$2,Data!JF:JF),0)</f>
        <v>0</v>
      </c>
      <c r="F53" s="21" t="str">
        <f t="shared" si="3"/>
        <v/>
      </c>
    </row>
    <row r="54" spans="1:6" x14ac:dyDescent="0.2">
      <c r="A54" s="19">
        <v>19</v>
      </c>
      <c r="B54" s="180" t="s">
        <v>17</v>
      </c>
      <c r="C54" s="181"/>
      <c r="D54" s="14">
        <f>IF(F3="1",SUMIF(Data!A:A,'13'!$A$2,Data!DM:DM),0)</f>
        <v>986000</v>
      </c>
      <c r="E54" s="17">
        <f>IF($F$3="1",SUMIF(Data!$A:$A,$A$2,Data!JG:JG),0)</f>
        <v>659674</v>
      </c>
      <c r="F54" s="21">
        <f t="shared" si="3"/>
        <v>0.67</v>
      </c>
    </row>
    <row r="55" spans="1:6" x14ac:dyDescent="0.2">
      <c r="A55" s="19">
        <v>20</v>
      </c>
      <c r="B55" s="180" t="s">
        <v>18</v>
      </c>
      <c r="C55" s="181"/>
      <c r="D55" s="14">
        <f>IF(F3="1",SUMIF(Data!A:A,'13'!$A$2,Data!DN:DN),0)</f>
        <v>0</v>
      </c>
      <c r="E55" s="17">
        <f>IF($F$3="1",SUMIF(Data!$A:$A,$A$2,Data!JH:JH),0)</f>
        <v>0</v>
      </c>
      <c r="F55" s="21" t="str">
        <f t="shared" si="3"/>
        <v/>
      </c>
    </row>
    <row r="56" spans="1:6" ht="14.25" customHeight="1" x14ac:dyDescent="0.2">
      <c r="A56" s="19">
        <v>21</v>
      </c>
      <c r="B56" s="180" t="s">
        <v>461</v>
      </c>
      <c r="C56" s="181"/>
      <c r="D56" s="14">
        <f>IF(F3="1",SUMIF(Data!A:A,'13'!$A$2,Data!DO:DO),0)</f>
        <v>0</v>
      </c>
      <c r="E56" s="17">
        <f>IF($F$3="1",SUMIF(Data!$A:$A,$A$2,Data!JI:JI),0)</f>
        <v>0</v>
      </c>
      <c r="F56" s="21" t="str">
        <f t="shared" si="3"/>
        <v/>
      </c>
    </row>
    <row r="57" spans="1:6" x14ac:dyDescent="0.2">
      <c r="A57" s="19">
        <v>22</v>
      </c>
      <c r="B57" s="180" t="s">
        <v>19</v>
      </c>
      <c r="C57" s="181"/>
      <c r="D57" s="14">
        <f>IF(F3="1",SUMIF(Data!A:A,'13'!$A$2,Data!DP:DP),0)</f>
        <v>1168</v>
      </c>
      <c r="E57" s="17">
        <f>IF($F$3="1",SUMIF(Data!$A:$A,$A$2,Data!JJ:JJ),0)</f>
        <v>2746</v>
      </c>
      <c r="F57" s="21">
        <f t="shared" si="3"/>
        <v>2.35</v>
      </c>
    </row>
    <row r="58" spans="1:6" x14ac:dyDescent="0.2">
      <c r="A58" s="19">
        <v>23</v>
      </c>
      <c r="B58" s="180" t="s">
        <v>20</v>
      </c>
      <c r="C58" s="181"/>
      <c r="D58" s="14">
        <f>IF(F3="1",SUMIF(Data!A:A,'13'!$A$2,Data!DQ:DQ),0)</f>
        <v>192896</v>
      </c>
      <c r="E58" s="17">
        <f>IF($F$3="1",SUMIF(Data!$A:$A,$A$2,Data!JK:JK),0)</f>
        <v>360342</v>
      </c>
      <c r="F58" s="21">
        <f t="shared" si="3"/>
        <v>1.87</v>
      </c>
    </row>
    <row r="59" spans="1:6" x14ac:dyDescent="0.2">
      <c r="A59" s="19">
        <v>24</v>
      </c>
      <c r="B59" s="180" t="s">
        <v>21</v>
      </c>
      <c r="C59" s="181"/>
      <c r="D59" s="14">
        <f>IF(F3="1",SUMIF(Data!A:A,'13'!$A$2,Data!DR:DR),0)</f>
        <v>269201</v>
      </c>
      <c r="E59" s="17">
        <f>IF($F$3="1",SUMIF(Data!$A:$A,$A$2,Data!JL:JL),0)</f>
        <v>837946</v>
      </c>
      <c r="F59" s="21">
        <f t="shared" si="3"/>
        <v>3.11</v>
      </c>
    </row>
    <row r="60" spans="1:6" x14ac:dyDescent="0.2">
      <c r="A60" s="19">
        <v>25</v>
      </c>
      <c r="B60" s="180" t="s">
        <v>22</v>
      </c>
      <c r="C60" s="181"/>
      <c r="D60" s="14">
        <f>IF(F3="1",SUMIF(Data!A:A,'13'!$A$2,Data!DS:DS),0)</f>
        <v>1309776</v>
      </c>
      <c r="E60" s="17">
        <f>IF($F$3="1",SUMIF(Data!$A:$A,$A$2,Data!JM:JM),0)</f>
        <v>496890</v>
      </c>
      <c r="F60" s="21">
        <f t="shared" si="3"/>
        <v>0.38</v>
      </c>
    </row>
    <row r="61" spans="1:6" x14ac:dyDescent="0.2">
      <c r="A61" s="19">
        <v>26</v>
      </c>
      <c r="B61" s="180" t="s">
        <v>23</v>
      </c>
      <c r="C61" s="181"/>
      <c r="D61" s="14">
        <f>IF(F3="1",SUMIF(Data!A:A,'13'!$A$2,Data!DT:DT),0)</f>
        <v>582040</v>
      </c>
      <c r="E61" s="17">
        <f>IF($F$3="1",SUMIF(Data!$A:$A,$A$2,Data!JN:JN),0)</f>
        <v>1309505</v>
      </c>
      <c r="F61" s="21">
        <f t="shared" si="3"/>
        <v>2.25</v>
      </c>
    </row>
    <row r="62" spans="1:6" x14ac:dyDescent="0.2">
      <c r="A62" s="19">
        <v>28</v>
      </c>
      <c r="B62" s="180" t="s">
        <v>24</v>
      </c>
      <c r="C62" s="181"/>
      <c r="D62" s="14">
        <f>IF(F3="1",SUMIF(Data!A:A,'13'!$A$2,Data!DV:DV),0)</f>
        <v>0</v>
      </c>
      <c r="E62" s="17">
        <f>IF($F$3="1",SUMIF(Data!$A:$A,$A$2,Data!JP:JP),0)</f>
        <v>0</v>
      </c>
      <c r="F62" s="21" t="str">
        <f t="shared" si="3"/>
        <v/>
      </c>
    </row>
    <row r="63" spans="1:6" ht="15.75" customHeight="1" thickBot="1" x14ac:dyDescent="0.25">
      <c r="A63" s="22">
        <v>29</v>
      </c>
      <c r="B63" s="184" t="s">
        <v>25</v>
      </c>
      <c r="C63" s="185"/>
      <c r="D63" s="23">
        <f>IF(F3="1",SUMIF(Data!A:A,'13'!$A$2,Data!DW:DW),0)</f>
        <v>0</v>
      </c>
      <c r="E63" s="24">
        <f>IF($F$3="1",SUMIF(Data!$A:$A,$A$2,Data!JQ:JQ),0)</f>
        <v>0</v>
      </c>
      <c r="F63" s="25" t="str">
        <f t="shared" si="3"/>
        <v/>
      </c>
    </row>
    <row r="64" spans="1:6" x14ac:dyDescent="0.2">
      <c r="B64" s="30" t="s">
        <v>35</v>
      </c>
      <c r="C64" s="30"/>
      <c r="D64" s="59">
        <f>SUM(D36:D63)</f>
        <v>7038051</v>
      </c>
      <c r="E64" s="31">
        <f>SUM(E36:E63)</f>
        <v>7914615</v>
      </c>
      <c r="F64" s="32">
        <f t="shared" si="3"/>
        <v>1.1200000000000001</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36220</v>
      </c>
      <c r="E67" s="15">
        <f>IF(F3="1",SUMIF(Data!A:A,'13'!$A$2,Data!DY:DY),0)</f>
        <v>76956</v>
      </c>
      <c r="F67" s="20">
        <f t="shared" ref="F67:F95" si="4">IF(OR(D67=0,E67=0),"",ROUND(E67/D67,2))</f>
        <v>2.12</v>
      </c>
    </row>
    <row r="68" spans="1:6" x14ac:dyDescent="0.2">
      <c r="A68" s="19">
        <v>2</v>
      </c>
      <c r="B68" s="180" t="s">
        <v>1</v>
      </c>
      <c r="C68" s="181"/>
      <c r="D68" s="14">
        <f t="shared" ref="D68:D94" si="5">D37</f>
        <v>43792</v>
      </c>
      <c r="E68" s="17">
        <f>IF(F3="1",SUMIF(Data!A:A,'13'!$A$2,Data!DZ:DZ),0)</f>
        <v>152640</v>
      </c>
      <c r="F68" s="21">
        <f t="shared" si="4"/>
        <v>3.49</v>
      </c>
    </row>
    <row r="69" spans="1:6" ht="14.25" customHeight="1" x14ac:dyDescent="0.2">
      <c r="A69" s="19">
        <v>3</v>
      </c>
      <c r="B69" s="180" t="s">
        <v>2</v>
      </c>
      <c r="C69" s="181"/>
      <c r="D69" s="14">
        <f t="shared" si="5"/>
        <v>658688</v>
      </c>
      <c r="E69" s="17">
        <f>IF(F3="1",SUMIF(Data!A:A,'13'!$A$2,Data!EA:EA),0)</f>
        <v>1467296</v>
      </c>
      <c r="F69" s="21">
        <f t="shared" si="4"/>
        <v>2.23</v>
      </c>
    </row>
    <row r="70" spans="1:6" ht="14.25" customHeight="1" x14ac:dyDescent="0.2">
      <c r="A70" s="19">
        <v>4</v>
      </c>
      <c r="B70" s="180" t="s">
        <v>3</v>
      </c>
      <c r="C70" s="181"/>
      <c r="D70" s="14">
        <f t="shared" si="5"/>
        <v>488284</v>
      </c>
      <c r="E70" s="17">
        <f>IF(F3="1",SUMIF(Data!A:A,'13'!$A$2,Data!EB:EB),0)</f>
        <v>1460434</v>
      </c>
      <c r="F70" s="21">
        <f t="shared" si="4"/>
        <v>2.99</v>
      </c>
    </row>
    <row r="71" spans="1:6" x14ac:dyDescent="0.2">
      <c r="A71" s="19">
        <v>5</v>
      </c>
      <c r="B71" s="180" t="s">
        <v>4</v>
      </c>
      <c r="C71" s="181"/>
      <c r="D71" s="14">
        <f t="shared" si="5"/>
        <v>432</v>
      </c>
      <c r="E71" s="17">
        <f>IF(F3="1",SUMIF(Data!A:A,'13'!$A$2,Data!EC:EC),0)</f>
        <v>710</v>
      </c>
      <c r="F71" s="21">
        <f t="shared" si="4"/>
        <v>1.64</v>
      </c>
    </row>
    <row r="72" spans="1:6" x14ac:dyDescent="0.2">
      <c r="A72" s="19">
        <v>6</v>
      </c>
      <c r="B72" s="180" t="s">
        <v>5</v>
      </c>
      <c r="C72" s="181"/>
      <c r="D72" s="14">
        <f t="shared" si="5"/>
        <v>71872</v>
      </c>
      <c r="E72" s="17">
        <f>IF(F3="1",SUMIF(Data!A:A,'13'!$A$2,Data!ED:ED),0)</f>
        <v>256733</v>
      </c>
      <c r="F72" s="21">
        <f t="shared" si="4"/>
        <v>3.57</v>
      </c>
    </row>
    <row r="73" spans="1:6" x14ac:dyDescent="0.2">
      <c r="A73" s="19">
        <v>7</v>
      </c>
      <c r="B73" s="180" t="s">
        <v>6</v>
      </c>
      <c r="C73" s="181"/>
      <c r="D73" s="14">
        <f t="shared" si="5"/>
        <v>406164</v>
      </c>
      <c r="E73" s="17">
        <f>IF(F3="1",SUMIF(Data!A:A,'13'!$A$2,Data!EE:EE),0)</f>
        <v>842986</v>
      </c>
      <c r="F73" s="21">
        <f t="shared" si="4"/>
        <v>2.08</v>
      </c>
    </row>
    <row r="74" spans="1:6" x14ac:dyDescent="0.2">
      <c r="A74" s="19">
        <v>8</v>
      </c>
      <c r="B74" s="180" t="s">
        <v>7</v>
      </c>
      <c r="C74" s="181"/>
      <c r="D74" s="14">
        <f t="shared" si="5"/>
        <v>648</v>
      </c>
      <c r="E74" s="17">
        <f>IF(F3="1",SUMIF(Data!A:A,'13'!$A$2,Data!EF:EF),0)</f>
        <v>1065</v>
      </c>
      <c r="F74" s="21">
        <f t="shared" si="4"/>
        <v>1.64</v>
      </c>
    </row>
    <row r="75" spans="1:6" x14ac:dyDescent="0.2">
      <c r="A75" s="19">
        <v>9</v>
      </c>
      <c r="B75" s="180" t="s">
        <v>8</v>
      </c>
      <c r="C75" s="181"/>
      <c r="D75" s="14">
        <f t="shared" si="5"/>
        <v>118454</v>
      </c>
      <c r="E75" s="17">
        <f>IF(F3="1",SUMIF(Data!A:A,'13'!$A$2,Data!EG:EG),0)</f>
        <v>258614</v>
      </c>
      <c r="F75" s="21">
        <f t="shared" si="4"/>
        <v>2.1800000000000002</v>
      </c>
    </row>
    <row r="76" spans="1:6" x14ac:dyDescent="0.2">
      <c r="A76" s="19">
        <v>10</v>
      </c>
      <c r="B76" s="180" t="s">
        <v>9</v>
      </c>
      <c r="C76" s="181"/>
      <c r="D76" s="14">
        <f t="shared" si="5"/>
        <v>0</v>
      </c>
      <c r="E76" s="17">
        <f>IF(F3="1",SUMIF(Data!A:A,'13'!$A$2,Data!EH:EH),0)</f>
        <v>0</v>
      </c>
      <c r="F76" s="21" t="str">
        <f t="shared" si="4"/>
        <v/>
      </c>
    </row>
    <row r="77" spans="1:6" x14ac:dyDescent="0.2">
      <c r="A77" s="19">
        <v>11</v>
      </c>
      <c r="B77" s="180" t="s">
        <v>10</v>
      </c>
      <c r="C77" s="181"/>
      <c r="D77" s="14">
        <f t="shared" si="5"/>
        <v>76708</v>
      </c>
      <c r="E77" s="17">
        <f>IF(F3="1",SUMIF(Data!A:A,'13'!$A$2,Data!EI:EI),0)</f>
        <v>482113</v>
      </c>
      <c r="F77" s="21">
        <f t="shared" si="4"/>
        <v>6.29</v>
      </c>
    </row>
    <row r="78" spans="1:6" ht="14.25" customHeight="1" x14ac:dyDescent="0.2">
      <c r="A78" s="19">
        <v>12</v>
      </c>
      <c r="B78" s="180" t="s">
        <v>11</v>
      </c>
      <c r="C78" s="181"/>
      <c r="D78" s="14">
        <f t="shared" si="5"/>
        <v>1316235</v>
      </c>
      <c r="E78" s="17">
        <f>IF(F3="1",SUMIF(Data!A:A,'13'!$A$2,Data!EJ:EJ),0)</f>
        <v>3052810</v>
      </c>
      <c r="F78" s="21">
        <f t="shared" si="4"/>
        <v>2.3199999999999998</v>
      </c>
    </row>
    <row r="79" spans="1:6" x14ac:dyDescent="0.2">
      <c r="A79" s="19">
        <v>13</v>
      </c>
      <c r="B79" s="180" t="s">
        <v>12</v>
      </c>
      <c r="C79" s="181"/>
      <c r="D79" s="14">
        <f t="shared" si="5"/>
        <v>191752</v>
      </c>
      <c r="E79" s="17">
        <f>IF(F3="1",SUMIF(Data!A:A,'13'!$A$2,Data!EK:EK),0)</f>
        <v>498920</v>
      </c>
      <c r="F79" s="21">
        <f t="shared" si="4"/>
        <v>2.6</v>
      </c>
    </row>
    <row r="80" spans="1:6" ht="14.25" customHeight="1" x14ac:dyDescent="0.2">
      <c r="A80" s="19">
        <v>14</v>
      </c>
      <c r="B80" s="180" t="s">
        <v>464</v>
      </c>
      <c r="C80" s="181"/>
      <c r="D80" s="14">
        <f t="shared" si="5"/>
        <v>90430</v>
      </c>
      <c r="E80" s="17">
        <f>IF(F3="1",SUMIF(Data!A:A,'13'!$A$2,Data!EL:EL),0)</f>
        <v>423311</v>
      </c>
      <c r="F80" s="21">
        <f t="shared" si="4"/>
        <v>4.68</v>
      </c>
    </row>
    <row r="81" spans="1:6" x14ac:dyDescent="0.2">
      <c r="A81" s="19">
        <v>15</v>
      </c>
      <c r="B81" s="180" t="s">
        <v>13</v>
      </c>
      <c r="C81" s="181"/>
      <c r="D81" s="14">
        <f t="shared" si="5"/>
        <v>23712</v>
      </c>
      <c r="E81" s="17">
        <f>IF(F3="1",SUMIF(Data!A:A,'13'!$A$2,Data!EM:EM),0)</f>
        <v>239919</v>
      </c>
      <c r="F81" s="21">
        <f t="shared" si="4"/>
        <v>10.119999999999999</v>
      </c>
    </row>
    <row r="82" spans="1:6" x14ac:dyDescent="0.2">
      <c r="A82" s="19">
        <v>16</v>
      </c>
      <c r="B82" s="180" t="s">
        <v>14</v>
      </c>
      <c r="C82" s="181"/>
      <c r="D82" s="14">
        <f t="shared" si="5"/>
        <v>134715</v>
      </c>
      <c r="E82" s="17">
        <f>IF(F3="1",SUMIF(Data!A:A,'13'!$A$2,Data!EN:EN),0)</f>
        <v>308753</v>
      </c>
      <c r="F82" s="21">
        <f t="shared" si="4"/>
        <v>2.29</v>
      </c>
    </row>
    <row r="83" spans="1:6" x14ac:dyDescent="0.2">
      <c r="A83" s="19">
        <v>17</v>
      </c>
      <c r="B83" s="180" t="s">
        <v>15</v>
      </c>
      <c r="C83" s="181"/>
      <c r="D83" s="14">
        <f t="shared" si="5"/>
        <v>38864</v>
      </c>
      <c r="E83" s="17">
        <f>IF(F3="1",SUMIF(Data!A:A,'13'!$A$2,Data!EO:EO),0)</f>
        <v>167049</v>
      </c>
      <c r="F83" s="21">
        <f t="shared" si="4"/>
        <v>4.3</v>
      </c>
    </row>
    <row r="84" spans="1:6" x14ac:dyDescent="0.2">
      <c r="A84" s="19">
        <v>18</v>
      </c>
      <c r="B84" s="180" t="s">
        <v>16</v>
      </c>
      <c r="C84" s="181"/>
      <c r="D84" s="14">
        <f t="shared" si="5"/>
        <v>0</v>
      </c>
      <c r="E84" s="17">
        <f>IF(F3="1",SUMIF(Data!A:A,'13'!$A$2,Data!EP:EP),0)</f>
        <v>0</v>
      </c>
      <c r="F84" s="21" t="str">
        <f t="shared" si="4"/>
        <v/>
      </c>
    </row>
    <row r="85" spans="1:6" x14ac:dyDescent="0.2">
      <c r="A85" s="19">
        <v>19</v>
      </c>
      <c r="B85" s="180" t="s">
        <v>17</v>
      </c>
      <c r="C85" s="181"/>
      <c r="D85" s="14">
        <f t="shared" si="5"/>
        <v>986000</v>
      </c>
      <c r="E85" s="17">
        <f>IF(F3="1",SUMIF(Data!A:A,'13'!$A$2,Data!EQ:EQ),0)</f>
        <v>1559266</v>
      </c>
      <c r="F85" s="21">
        <f t="shared" si="4"/>
        <v>1.58</v>
      </c>
    </row>
    <row r="86" spans="1:6" x14ac:dyDescent="0.2">
      <c r="A86" s="19">
        <v>20</v>
      </c>
      <c r="B86" s="180" t="s">
        <v>18</v>
      </c>
      <c r="C86" s="181"/>
      <c r="D86" s="14">
        <f t="shared" si="5"/>
        <v>0</v>
      </c>
      <c r="E86" s="17">
        <f>IF(F3="1",SUMIF(Data!A:A,'13'!$A$2,Data!ER:ER),0)</f>
        <v>0</v>
      </c>
      <c r="F86" s="21" t="str">
        <f t="shared" si="4"/>
        <v/>
      </c>
    </row>
    <row r="87" spans="1:6" ht="14.25" customHeight="1" x14ac:dyDescent="0.2">
      <c r="A87" s="19">
        <v>21</v>
      </c>
      <c r="B87" s="180" t="s">
        <v>461</v>
      </c>
      <c r="C87" s="181"/>
      <c r="D87" s="14">
        <f t="shared" si="5"/>
        <v>0</v>
      </c>
      <c r="E87" s="17">
        <f>IF(F3="1",SUMIF(Data!A:A,'13'!$A$2,Data!ES:ES),0)</f>
        <v>0</v>
      </c>
      <c r="F87" s="21" t="str">
        <f t="shared" si="4"/>
        <v/>
      </c>
    </row>
    <row r="88" spans="1:6" x14ac:dyDescent="0.2">
      <c r="A88" s="19">
        <v>22</v>
      </c>
      <c r="B88" s="180" t="s">
        <v>19</v>
      </c>
      <c r="C88" s="181"/>
      <c r="D88" s="14">
        <f t="shared" si="5"/>
        <v>1168</v>
      </c>
      <c r="E88" s="17">
        <f>IF(F3="1",SUMIF(Data!A:A,'13'!$A$2,Data!ET:ET),0)</f>
        <v>1242</v>
      </c>
      <c r="F88" s="21">
        <f t="shared" si="4"/>
        <v>1.06</v>
      </c>
    </row>
    <row r="89" spans="1:6" x14ac:dyDescent="0.2">
      <c r="A89" s="19">
        <v>23</v>
      </c>
      <c r="B89" s="180" t="s">
        <v>20</v>
      </c>
      <c r="C89" s="181"/>
      <c r="D89" s="14">
        <f t="shared" si="5"/>
        <v>192896</v>
      </c>
      <c r="E89" s="17">
        <f>IF(F3="1",SUMIF(Data!A:A,'13'!$A$2,Data!EU:EU),0)</f>
        <v>519635</v>
      </c>
      <c r="F89" s="21">
        <f t="shared" si="4"/>
        <v>2.69</v>
      </c>
    </row>
    <row r="90" spans="1:6" x14ac:dyDescent="0.2">
      <c r="A90" s="19">
        <v>24</v>
      </c>
      <c r="B90" s="180" t="s">
        <v>21</v>
      </c>
      <c r="C90" s="181"/>
      <c r="D90" s="14">
        <f t="shared" si="5"/>
        <v>269201</v>
      </c>
      <c r="E90" s="17">
        <f>IF(F3="1",SUMIF(Data!A:A,'13'!$A$2,Data!EV:EV),0)</f>
        <v>609323</v>
      </c>
      <c r="F90" s="21">
        <f t="shared" si="4"/>
        <v>2.2599999999999998</v>
      </c>
    </row>
    <row r="91" spans="1:6" x14ac:dyDescent="0.2">
      <c r="A91" s="19">
        <v>25</v>
      </c>
      <c r="B91" s="180" t="s">
        <v>22</v>
      </c>
      <c r="C91" s="181"/>
      <c r="D91" s="14">
        <f t="shared" si="5"/>
        <v>1309776</v>
      </c>
      <c r="E91" s="17">
        <f>IF(F3="1",SUMIF(Data!A:A,'13'!$A$2,Data!EW:EW),0)</f>
        <v>2534574</v>
      </c>
      <c r="F91" s="21">
        <f t="shared" si="4"/>
        <v>1.94</v>
      </c>
    </row>
    <row r="92" spans="1:6" x14ac:dyDescent="0.2">
      <c r="A92" s="19">
        <v>26</v>
      </c>
      <c r="B92" s="180" t="s">
        <v>23</v>
      </c>
      <c r="C92" s="181"/>
      <c r="D92" s="14">
        <f t="shared" si="5"/>
        <v>582040</v>
      </c>
      <c r="E92" s="17">
        <f>IF(F3="1",SUMIF(Data!A:A,'13'!$A$2,Data!EX:EX),0)</f>
        <v>1843414</v>
      </c>
      <c r="F92" s="21">
        <f t="shared" si="4"/>
        <v>3.17</v>
      </c>
    </row>
    <row r="93" spans="1:6" x14ac:dyDescent="0.2">
      <c r="A93" s="19">
        <v>28</v>
      </c>
      <c r="B93" s="180" t="s">
        <v>24</v>
      </c>
      <c r="C93" s="181"/>
      <c r="D93" s="14">
        <f t="shared" si="5"/>
        <v>0</v>
      </c>
      <c r="E93" s="17">
        <f>IF(F3="1",SUMIF(Data!A:A,'13'!$A$2,Data!EZ:EZ),0)</f>
        <v>0</v>
      </c>
      <c r="F93" s="21" t="str">
        <f t="shared" si="4"/>
        <v/>
      </c>
    </row>
    <row r="94" spans="1:6" ht="15.75" customHeight="1" thickBot="1" x14ac:dyDescent="0.25">
      <c r="A94" s="22">
        <v>29</v>
      </c>
      <c r="B94" s="184" t="s">
        <v>25</v>
      </c>
      <c r="C94" s="185"/>
      <c r="D94" s="23">
        <f t="shared" si="5"/>
        <v>0</v>
      </c>
      <c r="E94" s="24">
        <f>IF(F3="1",SUMIF(Data!A:A,'13'!$A$2,Data!FA:FA),0)</f>
        <v>0</v>
      </c>
      <c r="F94" s="25" t="str">
        <f t="shared" si="4"/>
        <v/>
      </c>
    </row>
    <row r="95" spans="1:6" x14ac:dyDescent="0.2">
      <c r="B95" s="30" t="s">
        <v>35</v>
      </c>
      <c r="C95" s="30"/>
      <c r="D95" s="59">
        <f>SUM(D67:D94)</f>
        <v>7038051</v>
      </c>
      <c r="E95" s="31">
        <f>SUM(E67:E94)</f>
        <v>16757763</v>
      </c>
      <c r="F95" s="32">
        <f t="shared" si="4"/>
        <v>2.38</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IF(F3="1",SUMIF(Data!A:A,'13'!$A$2,Data!AH:AH),0)</f>
        <v>8421394</v>
      </c>
      <c r="F98" s="20">
        <f>IF(OR(E98=0,E98=0),"",ROUND(E98/$D$105,2))</f>
        <v>1.2</v>
      </c>
    </row>
    <row r="99" spans="2:6" x14ac:dyDescent="0.2">
      <c r="B99" s="190" t="s">
        <v>31</v>
      </c>
      <c r="C99" s="191"/>
      <c r="D99" s="36"/>
      <c r="E99" s="17">
        <f>IF(F3="1",SUMIF(Data!A:A,'13'!$A$2,Data!AI:AI),0)</f>
        <v>4532579</v>
      </c>
      <c r="F99" s="21">
        <f t="shared" ref="F99:F104" si="6">IF(OR(E99=0,E99=0),"",ROUND(E99/$D$105,2))</f>
        <v>0.64</v>
      </c>
    </row>
    <row r="100" spans="2:6" x14ac:dyDescent="0.2">
      <c r="B100" s="190" t="s">
        <v>1089</v>
      </c>
      <c r="C100" s="191"/>
      <c r="D100" s="36"/>
      <c r="E100" s="17">
        <f>IF(F3="1",SUMIF(Data!A:A,'13'!$A$2,Data!AJ:AJ),0)</f>
        <v>2975743</v>
      </c>
      <c r="F100" s="21">
        <f t="shared" si="6"/>
        <v>0.42</v>
      </c>
    </row>
    <row r="101" spans="2:6" x14ac:dyDescent="0.2">
      <c r="B101" s="190" t="s">
        <v>1090</v>
      </c>
      <c r="C101" s="191"/>
      <c r="D101" s="36"/>
      <c r="E101" s="17">
        <f>IF(F3="1",SUMIF(Data!A:A,'13'!$A$2,Data!AK:AK),0)</f>
        <v>2796339</v>
      </c>
      <c r="F101" s="21">
        <f t="shared" si="6"/>
        <v>0.4</v>
      </c>
    </row>
    <row r="102" spans="2:6" x14ac:dyDescent="0.2">
      <c r="B102" s="190" t="s">
        <v>1091</v>
      </c>
      <c r="C102" s="191"/>
      <c r="D102" s="36"/>
      <c r="E102" s="17">
        <f>IF(F3="1",SUMIF(Data!A:A,'13'!$A$2,Data!AL:AL),0)</f>
        <v>0</v>
      </c>
      <c r="F102" s="21" t="str">
        <f t="shared" si="6"/>
        <v/>
      </c>
    </row>
    <row r="103" spans="2:6" x14ac:dyDescent="0.2">
      <c r="B103" s="192" t="s">
        <v>34</v>
      </c>
      <c r="C103" s="193"/>
      <c r="D103" s="36"/>
      <c r="E103" s="17">
        <f>IF(F3="1",SUMIF(Data!A:A,'13'!$A$2,Data!AM:AM),0)</f>
        <v>0</v>
      </c>
      <c r="F103" s="21" t="str">
        <f t="shared" si="6"/>
        <v/>
      </c>
    </row>
    <row r="104" spans="2:6" ht="15.75" customHeight="1" thickBot="1" x14ac:dyDescent="0.25">
      <c r="B104" s="186" t="s">
        <v>29</v>
      </c>
      <c r="C104" s="187"/>
      <c r="D104" s="37"/>
      <c r="E104" s="24">
        <f>IF(F3="1",SUMIF(Data!A:A,'13'!$A$2,Data!Q:Q),0)</f>
        <v>1422896</v>
      </c>
      <c r="F104" s="25">
        <f t="shared" si="6"/>
        <v>0.2</v>
      </c>
    </row>
    <row r="105" spans="2:6" x14ac:dyDescent="0.2">
      <c r="B105" s="30" t="s">
        <v>35</v>
      </c>
      <c r="C105" s="30"/>
      <c r="D105" s="34">
        <f>D95</f>
        <v>7038051</v>
      </c>
      <c r="E105" s="31">
        <f>SUM(E98:E104)</f>
        <v>20148951</v>
      </c>
      <c r="F105" s="32">
        <f>IF($D$105=0,"",ROUND(E105/$D$105,2))</f>
        <v>2.86</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16757763</v>
      </c>
      <c r="D109" s="15">
        <f>IF(F3="1",SUMIF(Data!$A:$A,$A$2,Data!HJ:HJ),0)</f>
        <v>0</v>
      </c>
      <c r="E109" s="15">
        <f>IF(F3="1",SUMIF(Data!$A:$A,$A$2,Data!IN:IN),0)</f>
        <v>0</v>
      </c>
      <c r="F109" s="47">
        <f>SUM(C109:E109)</f>
        <v>16757763</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1422896</v>
      </c>
      <c r="E117" s="52"/>
      <c r="F117" s="49">
        <f>SUM(C117:E117)</f>
        <v>1422896</v>
      </c>
    </row>
    <row r="118" spans="1:6" x14ac:dyDescent="0.2">
      <c r="B118" s="13" t="s">
        <v>35</v>
      </c>
      <c r="C118" s="4">
        <f>SUM(C109:C116)</f>
        <v>16757763</v>
      </c>
      <c r="D118" s="4">
        <f>SUM(D109:D116)</f>
        <v>0</v>
      </c>
      <c r="E118" s="4">
        <f>SUM(E109:E116)</f>
        <v>0</v>
      </c>
      <c r="F118" s="4">
        <f>SUM(F109:F116)</f>
        <v>16757763</v>
      </c>
    </row>
    <row r="119" spans="1:6" ht="15" thickBot="1" x14ac:dyDescent="0.25"/>
    <row r="120" spans="1:6" ht="15" thickBot="1" x14ac:dyDescent="0.25">
      <c r="B120" s="55" t="s">
        <v>934</v>
      </c>
      <c r="C120" s="53"/>
      <c r="D120" s="53"/>
      <c r="E120" s="53">
        <f>IF(F3="1",SUMIF(Data!A:A,'13'!$A$2,Data!AM:AM),0)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4.5703125" style="10" bestFit="1" customWidth="1"/>
    <col min="13"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454</v>
      </c>
      <c r="B2" s="58" t="str">
        <f>VLOOKUP(A2,Data!A:G,7,0)</f>
        <v>Dallas County Community College District</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95835</v>
      </c>
      <c r="E5" s="15">
        <f>E36+E67+IFERROR($E$105/$D$105*D5,0)</f>
        <v>1475836.939566863</v>
      </c>
      <c r="F5" s="20">
        <f>IF(OR(D5=0,E5=0),"",ROUND(E5/D5,2))</f>
        <v>15.4</v>
      </c>
    </row>
    <row r="6" spans="1:6" x14ac:dyDescent="0.2">
      <c r="A6" s="19">
        <v>2</v>
      </c>
      <c r="B6" s="180" t="s">
        <v>1</v>
      </c>
      <c r="C6" s="181"/>
      <c r="D6" s="14">
        <f t="shared" ref="D6:D32" si="0">D37</f>
        <v>297780</v>
      </c>
      <c r="E6" s="17">
        <f t="shared" ref="E6:E32" si="1">E37+E68+IFERROR($E$105/$D$105*D6,0)</f>
        <v>1619994.5486431939</v>
      </c>
      <c r="F6" s="21">
        <f t="shared" ref="F6:F33" si="2">IF(OR(D6=0,E6=0),"",ROUND(E6/D6,2))</f>
        <v>5.44</v>
      </c>
    </row>
    <row r="7" spans="1:6" ht="14.25" customHeight="1" x14ac:dyDescent="0.2">
      <c r="A7" s="19">
        <v>3</v>
      </c>
      <c r="B7" s="180" t="s">
        <v>2</v>
      </c>
      <c r="C7" s="181"/>
      <c r="D7" s="14">
        <f t="shared" si="0"/>
        <v>2649824</v>
      </c>
      <c r="E7" s="17">
        <f t="shared" si="1"/>
        <v>16949673.290455714</v>
      </c>
      <c r="F7" s="21">
        <f t="shared" si="2"/>
        <v>6.4</v>
      </c>
    </row>
    <row r="8" spans="1:6" ht="14.25" customHeight="1" x14ac:dyDescent="0.2">
      <c r="A8" s="19">
        <v>4</v>
      </c>
      <c r="B8" s="180" t="s">
        <v>3</v>
      </c>
      <c r="C8" s="181"/>
      <c r="D8" s="14">
        <f t="shared" si="0"/>
        <v>2308366</v>
      </c>
      <c r="E8" s="17">
        <f t="shared" si="1"/>
        <v>17051189.234519761</v>
      </c>
      <c r="F8" s="21">
        <f t="shared" si="2"/>
        <v>7.39</v>
      </c>
    </row>
    <row r="9" spans="1:6" x14ac:dyDescent="0.2">
      <c r="A9" s="19">
        <v>5</v>
      </c>
      <c r="B9" s="180" t="s">
        <v>4</v>
      </c>
      <c r="C9" s="181"/>
      <c r="D9" s="14">
        <f t="shared" si="0"/>
        <v>21504</v>
      </c>
      <c r="E9" s="17">
        <f t="shared" si="1"/>
        <v>209352.36853389494</v>
      </c>
      <c r="F9" s="21">
        <f t="shared" si="2"/>
        <v>9.74</v>
      </c>
    </row>
    <row r="10" spans="1:6" x14ac:dyDescent="0.2">
      <c r="A10" s="19">
        <v>6</v>
      </c>
      <c r="B10" s="180" t="s">
        <v>5</v>
      </c>
      <c r="C10" s="181"/>
      <c r="D10" s="14">
        <f t="shared" si="0"/>
        <v>328368</v>
      </c>
      <c r="E10" s="17">
        <f t="shared" si="1"/>
        <v>3894515.7391526238</v>
      </c>
      <c r="F10" s="21">
        <f t="shared" si="2"/>
        <v>11.86</v>
      </c>
    </row>
    <row r="11" spans="1:6" x14ac:dyDescent="0.2">
      <c r="A11" s="19">
        <v>7</v>
      </c>
      <c r="B11" s="180" t="s">
        <v>6</v>
      </c>
      <c r="C11" s="181"/>
      <c r="D11" s="14">
        <f t="shared" si="0"/>
        <v>1898986</v>
      </c>
      <c r="E11" s="17">
        <f t="shared" si="1"/>
        <v>16183451.108105797</v>
      </c>
      <c r="F11" s="21">
        <f t="shared" si="2"/>
        <v>8.52</v>
      </c>
    </row>
    <row r="12" spans="1:6" x14ac:dyDescent="0.2">
      <c r="A12" s="19">
        <v>8</v>
      </c>
      <c r="B12" s="180" t="s">
        <v>7</v>
      </c>
      <c r="C12" s="181"/>
      <c r="D12" s="14">
        <f t="shared" si="0"/>
        <v>174330</v>
      </c>
      <c r="E12" s="17">
        <f t="shared" si="1"/>
        <v>2388193.004953214</v>
      </c>
      <c r="F12" s="21">
        <f t="shared" si="2"/>
        <v>13.7</v>
      </c>
    </row>
    <row r="13" spans="1:6" x14ac:dyDescent="0.2">
      <c r="A13" s="19">
        <v>9</v>
      </c>
      <c r="B13" s="180" t="s">
        <v>8</v>
      </c>
      <c r="C13" s="181"/>
      <c r="D13" s="14">
        <f t="shared" si="0"/>
        <v>627425</v>
      </c>
      <c r="E13" s="17">
        <f t="shared" si="1"/>
        <v>3421781.2588066892</v>
      </c>
      <c r="F13" s="21">
        <f t="shared" si="2"/>
        <v>5.45</v>
      </c>
    </row>
    <row r="14" spans="1:6" x14ac:dyDescent="0.2">
      <c r="A14" s="19">
        <v>10</v>
      </c>
      <c r="B14" s="180" t="s">
        <v>9</v>
      </c>
      <c r="C14" s="181"/>
      <c r="D14" s="14">
        <f t="shared" si="0"/>
        <v>8614</v>
      </c>
      <c r="E14" s="17">
        <f t="shared" si="1"/>
        <v>49157.430922199179</v>
      </c>
      <c r="F14" s="21">
        <f t="shared" si="2"/>
        <v>5.71</v>
      </c>
    </row>
    <row r="15" spans="1:6" x14ac:dyDescent="0.2">
      <c r="A15" s="19">
        <v>11</v>
      </c>
      <c r="B15" s="180" t="s">
        <v>10</v>
      </c>
      <c r="C15" s="181"/>
      <c r="D15" s="14">
        <f t="shared" si="0"/>
        <v>650565</v>
      </c>
      <c r="E15" s="17">
        <f t="shared" si="1"/>
        <v>3626477.1289645359</v>
      </c>
      <c r="F15" s="21">
        <f t="shared" si="2"/>
        <v>5.57</v>
      </c>
    </row>
    <row r="16" spans="1:6" ht="14.25" customHeight="1" x14ac:dyDescent="0.2">
      <c r="A16" s="19">
        <v>12</v>
      </c>
      <c r="B16" s="180" t="s">
        <v>11</v>
      </c>
      <c r="C16" s="181"/>
      <c r="D16" s="14">
        <f t="shared" si="0"/>
        <v>5368418</v>
      </c>
      <c r="E16" s="17">
        <f t="shared" si="1"/>
        <v>37200144.459077165</v>
      </c>
      <c r="F16" s="21">
        <f t="shared" si="2"/>
        <v>6.93</v>
      </c>
    </row>
    <row r="17" spans="1:6" x14ac:dyDescent="0.2">
      <c r="A17" s="19">
        <v>13</v>
      </c>
      <c r="B17" s="180" t="s">
        <v>12</v>
      </c>
      <c r="C17" s="181"/>
      <c r="D17" s="14">
        <f t="shared" si="0"/>
        <v>524341</v>
      </c>
      <c r="E17" s="17">
        <f t="shared" si="1"/>
        <v>3573260.2261640169</v>
      </c>
      <c r="F17" s="21">
        <f t="shared" si="2"/>
        <v>6.81</v>
      </c>
    </row>
    <row r="18" spans="1:6" ht="14.25" customHeight="1" x14ac:dyDescent="0.2">
      <c r="A18" s="19">
        <v>14</v>
      </c>
      <c r="B18" s="180" t="s">
        <v>464</v>
      </c>
      <c r="C18" s="181"/>
      <c r="D18" s="14">
        <f t="shared" si="0"/>
        <v>326136</v>
      </c>
      <c r="E18" s="17">
        <f t="shared" si="1"/>
        <v>3573193.7075972082</v>
      </c>
      <c r="F18" s="21">
        <f t="shared" si="2"/>
        <v>10.96</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864051</v>
      </c>
      <c r="E20" s="17">
        <f t="shared" si="1"/>
        <v>6026694.7681399025</v>
      </c>
      <c r="F20" s="21">
        <f t="shared" si="2"/>
        <v>6.97</v>
      </c>
    </row>
    <row r="21" spans="1:6" x14ac:dyDescent="0.2">
      <c r="A21" s="19">
        <v>17</v>
      </c>
      <c r="B21" s="180" t="s">
        <v>15</v>
      </c>
      <c r="C21" s="181"/>
      <c r="D21" s="14">
        <f t="shared" si="0"/>
        <v>7920</v>
      </c>
      <c r="E21" s="17">
        <f t="shared" si="1"/>
        <v>248945.01519663542</v>
      </c>
      <c r="F21" s="21">
        <f t="shared" si="2"/>
        <v>31.43</v>
      </c>
    </row>
    <row r="22" spans="1:6" x14ac:dyDescent="0.2">
      <c r="A22" s="19">
        <v>18</v>
      </c>
      <c r="B22" s="180" t="s">
        <v>16</v>
      </c>
      <c r="C22" s="181"/>
      <c r="D22" s="14">
        <f t="shared" si="0"/>
        <v>30944</v>
      </c>
      <c r="E22" s="17">
        <f t="shared" si="1"/>
        <v>351731.26543493517</v>
      </c>
      <c r="F22" s="21">
        <f t="shared" si="2"/>
        <v>11.37</v>
      </c>
    </row>
    <row r="23" spans="1:6" x14ac:dyDescent="0.2">
      <c r="A23" s="19">
        <v>19</v>
      </c>
      <c r="B23" s="180" t="s">
        <v>17</v>
      </c>
      <c r="C23" s="181"/>
      <c r="D23" s="14">
        <f t="shared" si="0"/>
        <v>2901984</v>
      </c>
      <c r="E23" s="17">
        <f t="shared" si="1"/>
        <v>17437509.3500496</v>
      </c>
      <c r="F23" s="21">
        <f t="shared" si="2"/>
        <v>6.01</v>
      </c>
    </row>
    <row r="24" spans="1:6" x14ac:dyDescent="0.2">
      <c r="A24" s="19">
        <v>20</v>
      </c>
      <c r="B24" s="180" t="s">
        <v>18</v>
      </c>
      <c r="C24" s="181"/>
      <c r="D24" s="14">
        <f t="shared" si="0"/>
        <v>465469</v>
      </c>
      <c r="E24" s="17">
        <f t="shared" si="1"/>
        <v>4159341.8132023602</v>
      </c>
      <c r="F24" s="21">
        <f t="shared" si="2"/>
        <v>8.94</v>
      </c>
    </row>
    <row r="25" spans="1:6" ht="14.25" customHeight="1" x14ac:dyDescent="0.2">
      <c r="A25" s="19">
        <v>21</v>
      </c>
      <c r="B25" s="180" t="s">
        <v>461</v>
      </c>
      <c r="C25" s="181"/>
      <c r="D25" s="14">
        <f t="shared" si="0"/>
        <v>296732</v>
      </c>
      <c r="E25" s="17">
        <f t="shared" si="1"/>
        <v>1569278.3617838412</v>
      </c>
      <c r="F25" s="21">
        <f t="shared" si="2"/>
        <v>5.29</v>
      </c>
    </row>
    <row r="26" spans="1:6" x14ac:dyDescent="0.2">
      <c r="A26" s="19">
        <v>22</v>
      </c>
      <c r="B26" s="180" t="s">
        <v>19</v>
      </c>
      <c r="C26" s="181"/>
      <c r="D26" s="14">
        <f t="shared" si="0"/>
        <v>32720</v>
      </c>
      <c r="E26" s="17">
        <f t="shared" si="1"/>
        <v>1050141.0324790291</v>
      </c>
      <c r="F26" s="21">
        <f t="shared" si="2"/>
        <v>32.090000000000003</v>
      </c>
    </row>
    <row r="27" spans="1:6" x14ac:dyDescent="0.2">
      <c r="A27" s="19">
        <v>23</v>
      </c>
      <c r="B27" s="180" t="s">
        <v>20</v>
      </c>
      <c r="C27" s="181"/>
      <c r="D27" s="14">
        <f t="shared" si="0"/>
        <v>582064</v>
      </c>
      <c r="E27" s="17">
        <f t="shared" si="1"/>
        <v>4712870.1107846461</v>
      </c>
      <c r="F27" s="21">
        <f t="shared" si="2"/>
        <v>8.1</v>
      </c>
    </row>
    <row r="28" spans="1:6" x14ac:dyDescent="0.2">
      <c r="A28" s="19">
        <v>24</v>
      </c>
      <c r="B28" s="180" t="s">
        <v>21</v>
      </c>
      <c r="C28" s="181"/>
      <c r="D28" s="14">
        <f t="shared" si="0"/>
        <v>598535</v>
      </c>
      <c r="E28" s="17">
        <f t="shared" si="1"/>
        <v>3457525.9874644168</v>
      </c>
      <c r="F28" s="21">
        <f t="shared" si="2"/>
        <v>5.78</v>
      </c>
    </row>
    <row r="29" spans="1:6" x14ac:dyDescent="0.2">
      <c r="A29" s="19">
        <v>25</v>
      </c>
      <c r="B29" s="180" t="s">
        <v>22</v>
      </c>
      <c r="C29" s="181"/>
      <c r="D29" s="14">
        <f t="shared" si="0"/>
        <v>3667628</v>
      </c>
      <c r="E29" s="17">
        <f t="shared" si="1"/>
        <v>21558358.502475452</v>
      </c>
      <c r="F29" s="21">
        <f t="shared" si="2"/>
        <v>5.88</v>
      </c>
    </row>
    <row r="30" spans="1:6" x14ac:dyDescent="0.2">
      <c r="A30" s="19">
        <v>26</v>
      </c>
      <c r="B30" s="180" t="s">
        <v>23</v>
      </c>
      <c r="C30" s="181"/>
      <c r="D30" s="14">
        <f t="shared" si="0"/>
        <v>1230365</v>
      </c>
      <c r="E30" s="17">
        <f t="shared" si="1"/>
        <v>10503529.347526304</v>
      </c>
      <c r="F30" s="21">
        <f t="shared" si="2"/>
        <v>8.5399999999999991</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25958904</v>
      </c>
      <c r="E33" s="31">
        <f>SUM(E5:E32)</f>
        <v>182292145.99999997</v>
      </c>
      <c r="F33" s="32">
        <f t="shared" si="2"/>
        <v>7.02</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IF(F3="1",SUMIF(Data!A:A,'14'!$A$2,Data!CU:CU),0)</f>
        <v>95835</v>
      </c>
      <c r="E36" s="15">
        <f>IF(F3="1",SUMIF(Data!$A:$A,$A$2,Data!IO:IO),0)</f>
        <v>652953</v>
      </c>
      <c r="F36" s="20">
        <f t="shared" ref="F36:F64" si="3">IF(OR(D36=0,E36=0),"",ROUND(E36/D36,2))</f>
        <v>6.81</v>
      </c>
    </row>
    <row r="37" spans="1:6" x14ac:dyDescent="0.2">
      <c r="A37" s="19">
        <v>2</v>
      </c>
      <c r="B37" s="180" t="s">
        <v>1</v>
      </c>
      <c r="C37" s="181"/>
      <c r="D37" s="14">
        <f>IF(F3="1",SUMIF(Data!A:A,'14'!$A$2,Data!CV:CV),0)</f>
        <v>297780</v>
      </c>
      <c r="E37" s="17">
        <f>IF(F3="1",SUMIF(Data!$A:$A,$A$2,Data!IP:IP),0)</f>
        <v>290117</v>
      </c>
      <c r="F37" s="21">
        <f t="shared" si="3"/>
        <v>0.97</v>
      </c>
    </row>
    <row r="38" spans="1:6" ht="14.25" customHeight="1" x14ac:dyDescent="0.2">
      <c r="A38" s="19">
        <v>3</v>
      </c>
      <c r="B38" s="180" t="s">
        <v>2</v>
      </c>
      <c r="C38" s="181"/>
      <c r="D38" s="14">
        <f>IF(F3="1",SUMIF(Data!A:A,'14'!$A$2,Data!CW:CW),0)</f>
        <v>2649824</v>
      </c>
      <c r="E38" s="17">
        <f>IF($F$3="1",SUMIF(Data!$A:$A,$A$2,Data!IQ:IQ),0)</f>
        <v>3137294</v>
      </c>
      <c r="F38" s="21">
        <f t="shared" si="3"/>
        <v>1.18</v>
      </c>
    </row>
    <row r="39" spans="1:6" ht="14.25" customHeight="1" x14ac:dyDescent="0.2">
      <c r="A39" s="19">
        <v>4</v>
      </c>
      <c r="B39" s="180" t="s">
        <v>3</v>
      </c>
      <c r="C39" s="181"/>
      <c r="D39" s="14">
        <f>IF(F3="1",SUMIF(Data!A:A,'14'!$A$2,Data!CX:CX),0)</f>
        <v>2308366</v>
      </c>
      <c r="E39" s="17">
        <f>IF($F$3="1",SUMIF(Data!$A:$A,$A$2,Data!IR:IR),0)</f>
        <v>3648233</v>
      </c>
      <c r="F39" s="21">
        <f t="shared" si="3"/>
        <v>1.58</v>
      </c>
    </row>
    <row r="40" spans="1:6" x14ac:dyDescent="0.2">
      <c r="A40" s="19">
        <v>5</v>
      </c>
      <c r="B40" s="180" t="s">
        <v>4</v>
      </c>
      <c r="C40" s="181"/>
      <c r="D40" s="14">
        <f>IF(F3="1",SUMIF(Data!A:A,'14'!$A$2,Data!CY:CY),0)</f>
        <v>21504</v>
      </c>
      <c r="E40" s="17">
        <f>IF($F$3="1",SUMIF(Data!$A:$A,$A$2,Data!IS:IS),0)</f>
        <v>21315</v>
      </c>
      <c r="F40" s="21">
        <f t="shared" si="3"/>
        <v>0.99</v>
      </c>
    </row>
    <row r="41" spans="1:6" x14ac:dyDescent="0.2">
      <c r="A41" s="19">
        <v>6</v>
      </c>
      <c r="B41" s="180" t="s">
        <v>5</v>
      </c>
      <c r="C41" s="181"/>
      <c r="D41" s="14">
        <f>IF(F3="1",SUMIF(Data!A:A,'14'!$A$2,Data!CZ:CZ),0)</f>
        <v>328368</v>
      </c>
      <c r="E41" s="17">
        <f>IF($F$3="1",SUMIF(Data!$A:$A,$A$2,Data!IT:IT),0)</f>
        <v>2246339</v>
      </c>
      <c r="F41" s="21">
        <f t="shared" si="3"/>
        <v>6.84</v>
      </c>
    </row>
    <row r="42" spans="1:6" x14ac:dyDescent="0.2">
      <c r="A42" s="19">
        <v>7</v>
      </c>
      <c r="B42" s="180" t="s">
        <v>6</v>
      </c>
      <c r="C42" s="181"/>
      <c r="D42" s="14">
        <f>IF(F3="1",SUMIF(Data!A:A,'14'!$A$2,Data!DA:DA),0)</f>
        <v>1898986</v>
      </c>
      <c r="E42" s="17">
        <f>IF($F$3="1",SUMIF(Data!$A:$A,$A$2,Data!IU:IU),0)</f>
        <v>3232774</v>
      </c>
      <c r="F42" s="21">
        <f t="shared" si="3"/>
        <v>1.7</v>
      </c>
    </row>
    <row r="43" spans="1:6" x14ac:dyDescent="0.2">
      <c r="A43" s="19">
        <v>8</v>
      </c>
      <c r="B43" s="180" t="s">
        <v>7</v>
      </c>
      <c r="C43" s="181"/>
      <c r="D43" s="14">
        <f>IF(F3="1",SUMIF(Data!A:A,'14'!$A$2,Data!DB:DB),0)</f>
        <v>174330</v>
      </c>
      <c r="E43" s="17">
        <f>IF($F$3="1",SUMIF(Data!$A:$A,$A$2,Data!IV:IV),0)</f>
        <v>1100924</v>
      </c>
      <c r="F43" s="21">
        <f t="shared" si="3"/>
        <v>6.32</v>
      </c>
    </row>
    <row r="44" spans="1:6" x14ac:dyDescent="0.2">
      <c r="A44" s="19">
        <v>9</v>
      </c>
      <c r="B44" s="180" t="s">
        <v>8</v>
      </c>
      <c r="C44" s="181"/>
      <c r="D44" s="14">
        <f>IF(F3="1",SUMIF(Data!A:A,'14'!$A$2,Data!DC:DC),0)</f>
        <v>627425</v>
      </c>
      <c r="E44" s="17">
        <f>IF($F$3="1",SUMIF(Data!$A:$A,$A$2,Data!IW:IW),0)</f>
        <v>390881</v>
      </c>
      <c r="F44" s="21">
        <f t="shared" si="3"/>
        <v>0.62</v>
      </c>
    </row>
    <row r="45" spans="1:6" x14ac:dyDescent="0.2">
      <c r="A45" s="19">
        <v>10</v>
      </c>
      <c r="B45" s="180" t="s">
        <v>9</v>
      </c>
      <c r="C45" s="181"/>
      <c r="D45" s="14">
        <f>IF(F3="1",SUMIF(Data!A:A,'14'!$A$2,Data!DD:DD),0)</f>
        <v>8614</v>
      </c>
      <c r="E45" s="17">
        <f>IF($F$3="1",SUMIF(Data!$A:$A,$A$2,Data!IX:IX),0)</f>
        <v>12150</v>
      </c>
      <c r="F45" s="21">
        <f t="shared" si="3"/>
        <v>1.41</v>
      </c>
    </row>
    <row r="46" spans="1:6" x14ac:dyDescent="0.2">
      <c r="A46" s="19">
        <v>11</v>
      </c>
      <c r="B46" s="180" t="s">
        <v>10</v>
      </c>
      <c r="C46" s="181"/>
      <c r="D46" s="14">
        <f>IF(F3="1",SUMIF(Data!A:A,'14'!$A$2,Data!DE:DE),0)</f>
        <v>650565</v>
      </c>
      <c r="E46" s="17">
        <f>IF($F$3="1",SUMIF(Data!$A:$A,$A$2,Data!IY:IY),0)</f>
        <v>664102</v>
      </c>
      <c r="F46" s="21">
        <f t="shared" si="3"/>
        <v>1.02</v>
      </c>
    </row>
    <row r="47" spans="1:6" ht="14.25" customHeight="1" x14ac:dyDescent="0.2">
      <c r="A47" s="19">
        <v>12</v>
      </c>
      <c r="B47" s="180" t="s">
        <v>11</v>
      </c>
      <c r="C47" s="181"/>
      <c r="D47" s="14">
        <f>IF(F3="1",SUMIF(Data!A:A,'14'!$A$2,Data!DF:DF),0)</f>
        <v>5368418</v>
      </c>
      <c r="E47" s="17">
        <f>IF($F$3="1",SUMIF(Data!$A:$A,$A$2,Data!IZ:IZ),0)</f>
        <v>5288651</v>
      </c>
      <c r="F47" s="21">
        <f t="shared" si="3"/>
        <v>0.99</v>
      </c>
    </row>
    <row r="48" spans="1:6" x14ac:dyDescent="0.2">
      <c r="A48" s="19">
        <v>13</v>
      </c>
      <c r="B48" s="180" t="s">
        <v>12</v>
      </c>
      <c r="C48" s="181"/>
      <c r="D48" s="14">
        <f>IF(F3="1",SUMIF(Data!A:A,'14'!$A$2,Data!DG:DG),0)</f>
        <v>524341</v>
      </c>
      <c r="E48" s="17">
        <f>IF($F$3="1",SUMIF(Data!$A:$A,$A$2,Data!JA:JA),0)</f>
        <v>369738</v>
      </c>
      <c r="F48" s="21">
        <f t="shared" si="3"/>
        <v>0.71</v>
      </c>
    </row>
    <row r="49" spans="1:6" ht="14.25" customHeight="1" x14ac:dyDescent="0.2">
      <c r="A49" s="19">
        <v>14</v>
      </c>
      <c r="B49" s="180" t="s">
        <v>464</v>
      </c>
      <c r="C49" s="181"/>
      <c r="D49" s="14">
        <f>IF(F3="1",SUMIF(Data!A:A,'14'!$A$2,Data!DH:DH),0)</f>
        <v>326136</v>
      </c>
      <c r="E49" s="17">
        <f>IF($F$3="1",SUMIF(Data!$A:$A,$A$2,Data!JB:JB),0)</f>
        <v>661449</v>
      </c>
      <c r="F49" s="21">
        <f t="shared" si="3"/>
        <v>2.0299999999999998</v>
      </c>
    </row>
    <row r="50" spans="1:6" x14ac:dyDescent="0.2">
      <c r="A50" s="19">
        <v>15</v>
      </c>
      <c r="B50" s="180" t="s">
        <v>13</v>
      </c>
      <c r="C50" s="181"/>
      <c r="D50" s="14">
        <f>IF(F3="1",SUMIF(Data!A:A,'14'!$A$2,Data!DI:DI),0)</f>
        <v>0</v>
      </c>
      <c r="E50" s="17">
        <f>IF($F$3="1",SUMIF(Data!$A:$A,$A$2,Data!JC:JC),0)</f>
        <v>0</v>
      </c>
      <c r="F50" s="21" t="str">
        <f t="shared" si="3"/>
        <v/>
      </c>
    </row>
    <row r="51" spans="1:6" x14ac:dyDescent="0.2">
      <c r="A51" s="19">
        <v>16</v>
      </c>
      <c r="B51" s="180" t="s">
        <v>14</v>
      </c>
      <c r="C51" s="181"/>
      <c r="D51" s="14">
        <f>IF(F3="1",SUMIF(Data!A:A,'14'!$A$2,Data!DJ:DJ),0)</f>
        <v>864051</v>
      </c>
      <c r="E51" s="17">
        <f>IF($F$3="1",SUMIF(Data!$A:$A,$A$2,Data!JD:JD),0)</f>
        <v>1837231</v>
      </c>
      <c r="F51" s="21">
        <f t="shared" si="3"/>
        <v>2.13</v>
      </c>
    </row>
    <row r="52" spans="1:6" x14ac:dyDescent="0.2">
      <c r="A52" s="19">
        <v>17</v>
      </c>
      <c r="B52" s="180" t="s">
        <v>15</v>
      </c>
      <c r="C52" s="181"/>
      <c r="D52" s="14">
        <f>IF(F3="1",SUMIF(Data!A:A,'14'!$A$2,Data!DK:DK),0)</f>
        <v>7920</v>
      </c>
      <c r="E52" s="17">
        <f>IF($F$3="1",SUMIF(Data!$A:$A,$A$2,Data!JE:JE),0)</f>
        <v>23246</v>
      </c>
      <c r="F52" s="21">
        <f t="shared" si="3"/>
        <v>2.94</v>
      </c>
    </row>
    <row r="53" spans="1:6" x14ac:dyDescent="0.2">
      <c r="A53" s="19">
        <v>18</v>
      </c>
      <c r="B53" s="180" t="s">
        <v>16</v>
      </c>
      <c r="C53" s="181"/>
      <c r="D53" s="14">
        <f>IF(F3="1",SUMIF(Data!A:A,'14'!$A$2,Data!DL:DL),0)</f>
        <v>30944</v>
      </c>
      <c r="E53" s="17">
        <f>IF($F$3="1",SUMIF(Data!$A:$A,$A$2,Data!JF:JF),0)</f>
        <v>36621</v>
      </c>
      <c r="F53" s="21">
        <f t="shared" si="3"/>
        <v>1.18</v>
      </c>
    </row>
    <row r="54" spans="1:6" x14ac:dyDescent="0.2">
      <c r="A54" s="19">
        <v>19</v>
      </c>
      <c r="B54" s="180" t="s">
        <v>17</v>
      </c>
      <c r="C54" s="181"/>
      <c r="D54" s="14">
        <f>IF(F3="1",SUMIF(Data!A:A,'14'!$A$2,Data!DM:DM),0)</f>
        <v>2901984</v>
      </c>
      <c r="E54" s="17">
        <f>IF($F$3="1",SUMIF(Data!$A:$A,$A$2,Data!JG:JG),0)</f>
        <v>1448714</v>
      </c>
      <c r="F54" s="21">
        <f t="shared" si="3"/>
        <v>0.5</v>
      </c>
    </row>
    <row r="55" spans="1:6" x14ac:dyDescent="0.2">
      <c r="A55" s="19">
        <v>20</v>
      </c>
      <c r="B55" s="180" t="s">
        <v>18</v>
      </c>
      <c r="C55" s="181"/>
      <c r="D55" s="14">
        <f>IF(F3="1",SUMIF(Data!A:A,'14'!$A$2,Data!DN:DN),0)</f>
        <v>465469</v>
      </c>
      <c r="E55" s="17">
        <f>IF($F$3="1",SUMIF(Data!$A:$A,$A$2,Data!JH:JH),0)</f>
        <v>984652</v>
      </c>
      <c r="F55" s="21">
        <f t="shared" si="3"/>
        <v>2.12</v>
      </c>
    </row>
    <row r="56" spans="1:6" ht="14.25" customHeight="1" x14ac:dyDescent="0.2">
      <c r="A56" s="19">
        <v>21</v>
      </c>
      <c r="B56" s="180" t="s">
        <v>461</v>
      </c>
      <c r="C56" s="181"/>
      <c r="D56" s="14">
        <f>IF(F3="1",SUMIF(Data!A:A,'14'!$A$2,Data!DO:DO),0)</f>
        <v>296732</v>
      </c>
      <c r="E56" s="17">
        <f>IF($F$3="1",SUMIF(Data!$A:$A,$A$2,Data!JI:JI),0)</f>
        <v>302291</v>
      </c>
      <c r="F56" s="21">
        <f t="shared" si="3"/>
        <v>1.02</v>
      </c>
    </row>
    <row r="57" spans="1:6" x14ac:dyDescent="0.2">
      <c r="A57" s="19">
        <v>22</v>
      </c>
      <c r="B57" s="180" t="s">
        <v>19</v>
      </c>
      <c r="C57" s="181"/>
      <c r="D57" s="14">
        <f>IF(F3="1",SUMIF(Data!A:A,'14'!$A$2,Data!DP:DP),0)</f>
        <v>32720</v>
      </c>
      <c r="E57" s="17">
        <f>IF($F$3="1",SUMIF(Data!$A:$A,$A$2,Data!JJ:JJ),0)</f>
        <v>360995</v>
      </c>
      <c r="F57" s="21">
        <f t="shared" si="3"/>
        <v>11.03</v>
      </c>
    </row>
    <row r="58" spans="1:6" x14ac:dyDescent="0.2">
      <c r="A58" s="19">
        <v>23</v>
      </c>
      <c r="B58" s="180" t="s">
        <v>20</v>
      </c>
      <c r="C58" s="181"/>
      <c r="D58" s="14">
        <f>IF(F3="1",SUMIF(Data!A:A,'14'!$A$2,Data!DQ:DQ),0)</f>
        <v>582064</v>
      </c>
      <c r="E58" s="17">
        <f>IF($F$3="1",SUMIF(Data!$A:$A,$A$2,Data!JK:JK),0)</f>
        <v>974581</v>
      </c>
      <c r="F58" s="21">
        <f t="shared" si="3"/>
        <v>1.67</v>
      </c>
    </row>
    <row r="59" spans="1:6" x14ac:dyDescent="0.2">
      <c r="A59" s="19">
        <v>24</v>
      </c>
      <c r="B59" s="180" t="s">
        <v>21</v>
      </c>
      <c r="C59" s="181"/>
      <c r="D59" s="14">
        <f>IF(F3="1",SUMIF(Data!A:A,'14'!$A$2,Data!DR:DR),0)</f>
        <v>598535</v>
      </c>
      <c r="E59" s="17">
        <f>IF($F$3="1",SUMIF(Data!$A:$A,$A$2,Data!JL:JL),0)</f>
        <v>761947</v>
      </c>
      <c r="F59" s="21">
        <f t="shared" si="3"/>
        <v>1.27</v>
      </c>
    </row>
    <row r="60" spans="1:6" x14ac:dyDescent="0.2">
      <c r="A60" s="19">
        <v>25</v>
      </c>
      <c r="B60" s="180" t="s">
        <v>22</v>
      </c>
      <c r="C60" s="181"/>
      <c r="D60" s="14">
        <f>IF(F3="1",SUMIF(Data!A:A,'14'!$A$2,Data!DS:DS),0)</f>
        <v>3667628</v>
      </c>
      <c r="E60" s="17">
        <f>IF($F$3="1",SUMIF(Data!$A:$A,$A$2,Data!JM:JM),0)</f>
        <v>1863075</v>
      </c>
      <c r="F60" s="21">
        <f t="shared" si="3"/>
        <v>0.51</v>
      </c>
    </row>
    <row r="61" spans="1:6" x14ac:dyDescent="0.2">
      <c r="A61" s="19">
        <v>26</v>
      </c>
      <c r="B61" s="180" t="s">
        <v>23</v>
      </c>
      <c r="C61" s="181"/>
      <c r="D61" s="14">
        <f>IF(F3="1",SUMIF(Data!A:A,'14'!$A$2,Data!DT:DT),0)</f>
        <v>1230365</v>
      </c>
      <c r="E61" s="17">
        <f>IF($F$3="1",SUMIF(Data!$A:$A,$A$2,Data!JN:JN),0)</f>
        <v>1761276</v>
      </c>
      <c r="F61" s="21">
        <f t="shared" si="3"/>
        <v>1.43</v>
      </c>
    </row>
    <row r="62" spans="1:6" x14ac:dyDescent="0.2">
      <c r="A62" s="19">
        <v>28</v>
      </c>
      <c r="B62" s="180" t="s">
        <v>24</v>
      </c>
      <c r="C62" s="181"/>
      <c r="D62" s="14">
        <f>IF(F3="1",SUMIF(Data!A:A,'14'!$A$2,Data!DV:DV),0)</f>
        <v>0</v>
      </c>
      <c r="E62" s="17">
        <f>IF($F$3="1",SUMIF(Data!$A:$A,$A$2,Data!JP:JP),0)</f>
        <v>0</v>
      </c>
      <c r="F62" s="21" t="str">
        <f t="shared" si="3"/>
        <v/>
      </c>
    </row>
    <row r="63" spans="1:6" ht="15.75" customHeight="1" thickBot="1" x14ac:dyDescent="0.25">
      <c r="A63" s="22">
        <v>29</v>
      </c>
      <c r="B63" s="184" t="s">
        <v>25</v>
      </c>
      <c r="C63" s="185"/>
      <c r="D63" s="23">
        <f>IF(F3="1",SUMIF(Data!A:A,'14'!$A$2,Data!DW:DW),0)</f>
        <v>0</v>
      </c>
      <c r="E63" s="24">
        <f>IF($F$3="1",SUMIF(Data!$A:$A,$A$2,Data!JQ:JQ),0)</f>
        <v>0</v>
      </c>
      <c r="F63" s="25" t="str">
        <f t="shared" si="3"/>
        <v/>
      </c>
    </row>
    <row r="64" spans="1:6" x14ac:dyDescent="0.2">
      <c r="B64" s="30" t="s">
        <v>35</v>
      </c>
      <c r="C64" s="30"/>
      <c r="D64" s="59">
        <f>SUM(D36:D63)</f>
        <v>25958904</v>
      </c>
      <c r="E64" s="31">
        <f>SUM(E36:E63)</f>
        <v>32071549</v>
      </c>
      <c r="F64" s="32">
        <f t="shared" si="3"/>
        <v>1.24</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95835</v>
      </c>
      <c r="E67" s="15">
        <f>IF(F3="1",SUMIF(Data!A:A,'14'!$A$2,Data!DY:DY),0)</f>
        <v>520822</v>
      </c>
      <c r="F67" s="20">
        <f t="shared" ref="F67:F95" si="4">IF(OR(D67=0,E67=0),"",ROUND(E67/D67,2))</f>
        <v>5.43</v>
      </c>
    </row>
    <row r="68" spans="1:6" x14ac:dyDescent="0.2">
      <c r="A68" s="19">
        <v>2</v>
      </c>
      <c r="B68" s="180" t="s">
        <v>1</v>
      </c>
      <c r="C68" s="181"/>
      <c r="D68" s="14">
        <f t="shared" ref="D68:D94" si="5">D37</f>
        <v>297780</v>
      </c>
      <c r="E68" s="17">
        <f>IF(F3="1",SUMIF(Data!A:A,'14'!$A$2,Data!DZ:DZ),0)</f>
        <v>391306</v>
      </c>
      <c r="F68" s="21">
        <f t="shared" si="4"/>
        <v>1.31</v>
      </c>
    </row>
    <row r="69" spans="1:6" ht="14.25" customHeight="1" x14ac:dyDescent="0.2">
      <c r="A69" s="19">
        <v>3</v>
      </c>
      <c r="B69" s="180" t="s">
        <v>2</v>
      </c>
      <c r="C69" s="181"/>
      <c r="D69" s="14">
        <f t="shared" si="5"/>
        <v>2649824</v>
      </c>
      <c r="E69" s="17">
        <f>IF(F3="1",SUMIF(Data!A:A,'14'!$A$2,Data!EA:EA),0)</f>
        <v>5460410</v>
      </c>
      <c r="F69" s="21">
        <f t="shared" si="4"/>
        <v>2.06</v>
      </c>
    </row>
    <row r="70" spans="1:6" ht="14.25" customHeight="1" x14ac:dyDescent="0.2">
      <c r="A70" s="19">
        <v>4</v>
      </c>
      <c r="B70" s="180" t="s">
        <v>3</v>
      </c>
      <c r="C70" s="181"/>
      <c r="D70" s="14">
        <f t="shared" si="5"/>
        <v>2308366</v>
      </c>
      <c r="E70" s="17">
        <f>IF(F3="1",SUMIF(Data!A:A,'14'!$A$2,Data!EB:EB),0)</f>
        <v>6127227</v>
      </c>
      <c r="F70" s="21">
        <f t="shared" si="4"/>
        <v>2.65</v>
      </c>
    </row>
    <row r="71" spans="1:6" x14ac:dyDescent="0.2">
      <c r="A71" s="19">
        <v>5</v>
      </c>
      <c r="B71" s="180" t="s">
        <v>4</v>
      </c>
      <c r="C71" s="181"/>
      <c r="D71" s="14">
        <f t="shared" si="5"/>
        <v>21504</v>
      </c>
      <c r="E71" s="17">
        <f>IF(F3="1",SUMIF(Data!A:A,'14'!$A$2,Data!EC:EC),0)</f>
        <v>120259</v>
      </c>
      <c r="F71" s="21">
        <f t="shared" si="4"/>
        <v>5.59</v>
      </c>
    </row>
    <row r="72" spans="1:6" x14ac:dyDescent="0.2">
      <c r="A72" s="19">
        <v>6</v>
      </c>
      <c r="B72" s="180" t="s">
        <v>5</v>
      </c>
      <c r="C72" s="181"/>
      <c r="D72" s="14">
        <f t="shared" si="5"/>
        <v>328368</v>
      </c>
      <c r="E72" s="17">
        <f>IF(F3="1",SUMIF(Data!A:A,'14'!$A$2,Data!ED:ED),0)</f>
        <v>613195</v>
      </c>
      <c r="F72" s="21">
        <f t="shared" si="4"/>
        <v>1.87</v>
      </c>
    </row>
    <row r="73" spans="1:6" x14ac:dyDescent="0.2">
      <c r="A73" s="19">
        <v>7</v>
      </c>
      <c r="B73" s="180" t="s">
        <v>6</v>
      </c>
      <c r="C73" s="181"/>
      <c r="D73" s="14">
        <f t="shared" si="5"/>
        <v>1898986</v>
      </c>
      <c r="E73" s="17">
        <f>IF(F3="1",SUMIF(Data!A:A,'14'!$A$2,Data!EE:EE),0)</f>
        <v>6965271</v>
      </c>
      <c r="F73" s="21">
        <f t="shared" si="4"/>
        <v>3.67</v>
      </c>
    </row>
    <row r="74" spans="1:6" x14ac:dyDescent="0.2">
      <c r="A74" s="19">
        <v>8</v>
      </c>
      <c r="B74" s="180" t="s">
        <v>7</v>
      </c>
      <c r="C74" s="181"/>
      <c r="D74" s="14">
        <f t="shared" si="5"/>
        <v>174330</v>
      </c>
      <c r="E74" s="17">
        <f>IF(F3="1",SUMIF(Data!A:A,'14'!$A$2,Data!EF:EF),0)</f>
        <v>737799</v>
      </c>
      <c r="F74" s="21">
        <f t="shared" si="4"/>
        <v>4.2300000000000004</v>
      </c>
    </row>
    <row r="75" spans="1:6" x14ac:dyDescent="0.2">
      <c r="A75" s="19">
        <v>9</v>
      </c>
      <c r="B75" s="180" t="s">
        <v>8</v>
      </c>
      <c r="C75" s="181"/>
      <c r="D75" s="14">
        <f t="shared" si="5"/>
        <v>627425</v>
      </c>
      <c r="E75" s="17">
        <f>IF(F3="1",SUMIF(Data!A:A,'14'!$A$2,Data!EG:EG),0)</f>
        <v>1053322</v>
      </c>
      <c r="F75" s="21">
        <f t="shared" si="4"/>
        <v>1.68</v>
      </c>
    </row>
    <row r="76" spans="1:6" x14ac:dyDescent="0.2">
      <c r="A76" s="19">
        <v>10</v>
      </c>
      <c r="B76" s="180" t="s">
        <v>9</v>
      </c>
      <c r="C76" s="181"/>
      <c r="D76" s="14">
        <f t="shared" si="5"/>
        <v>8614</v>
      </c>
      <c r="E76" s="17">
        <f>IF(F3="1",SUMIF(Data!A:A,'14'!$A$2,Data!EH:EH),0)</f>
        <v>9857</v>
      </c>
      <c r="F76" s="21">
        <f t="shared" si="4"/>
        <v>1.1399999999999999</v>
      </c>
    </row>
    <row r="77" spans="1:6" x14ac:dyDescent="0.2">
      <c r="A77" s="19">
        <v>11</v>
      </c>
      <c r="B77" s="180" t="s">
        <v>10</v>
      </c>
      <c r="C77" s="181"/>
      <c r="D77" s="14">
        <f t="shared" si="5"/>
        <v>650565</v>
      </c>
      <c r="E77" s="17">
        <f>IF(F3="1",SUMIF(Data!A:A,'14'!$A$2,Data!EI:EI),0)</f>
        <v>911862</v>
      </c>
      <c r="F77" s="21">
        <f t="shared" si="4"/>
        <v>1.4</v>
      </c>
    </row>
    <row r="78" spans="1:6" ht="14.25" customHeight="1" x14ac:dyDescent="0.2">
      <c r="A78" s="19">
        <v>12</v>
      </c>
      <c r="B78" s="180" t="s">
        <v>11</v>
      </c>
      <c r="C78" s="181"/>
      <c r="D78" s="14">
        <f t="shared" si="5"/>
        <v>5368418</v>
      </c>
      <c r="E78" s="17">
        <f>IF(F3="1",SUMIF(Data!A:A,'14'!$A$2,Data!EJ:EJ),0)</f>
        <v>14990799</v>
      </c>
      <c r="F78" s="21">
        <f t="shared" si="4"/>
        <v>2.79</v>
      </c>
    </row>
    <row r="79" spans="1:6" x14ac:dyDescent="0.2">
      <c r="A79" s="19">
        <v>13</v>
      </c>
      <c r="B79" s="180" t="s">
        <v>12</v>
      </c>
      <c r="C79" s="181"/>
      <c r="D79" s="14">
        <f t="shared" si="5"/>
        <v>524341</v>
      </c>
      <c r="E79" s="17">
        <f>IF(F3="1",SUMIF(Data!A:A,'14'!$A$2,Data!EK:EK),0)</f>
        <v>1550854</v>
      </c>
      <c r="F79" s="21">
        <f t="shared" si="4"/>
        <v>2.96</v>
      </c>
    </row>
    <row r="80" spans="1:6" ht="14.25" customHeight="1" x14ac:dyDescent="0.2">
      <c r="A80" s="19">
        <v>14</v>
      </c>
      <c r="B80" s="180" t="s">
        <v>464</v>
      </c>
      <c r="C80" s="181"/>
      <c r="D80" s="14">
        <f t="shared" si="5"/>
        <v>326136</v>
      </c>
      <c r="E80" s="17">
        <f>IF(F3="1",SUMIF(Data!A:A,'14'!$A$2,Data!EL:EL),0)</f>
        <v>1883798</v>
      </c>
      <c r="F80" s="21">
        <f t="shared" si="4"/>
        <v>5.78</v>
      </c>
    </row>
    <row r="81" spans="1:6" x14ac:dyDescent="0.2">
      <c r="A81" s="19">
        <v>15</v>
      </c>
      <c r="B81" s="180" t="s">
        <v>13</v>
      </c>
      <c r="C81" s="181"/>
      <c r="D81" s="14">
        <f t="shared" si="5"/>
        <v>0</v>
      </c>
      <c r="E81" s="17">
        <f>IF(F3="1",SUMIF(Data!A:A,'14'!$A$2,Data!EM:EM),0)</f>
        <v>0</v>
      </c>
      <c r="F81" s="21" t="str">
        <f t="shared" si="4"/>
        <v/>
      </c>
    </row>
    <row r="82" spans="1:6" x14ac:dyDescent="0.2">
      <c r="A82" s="19">
        <v>16</v>
      </c>
      <c r="B82" s="180" t="s">
        <v>14</v>
      </c>
      <c r="C82" s="181"/>
      <c r="D82" s="14">
        <f t="shared" si="5"/>
        <v>864051</v>
      </c>
      <c r="E82" s="17">
        <f>IF(F3="1",SUMIF(Data!A:A,'14'!$A$2,Data!EN:EN),0)</f>
        <v>1466065</v>
      </c>
      <c r="F82" s="21">
        <f t="shared" si="4"/>
        <v>1.7</v>
      </c>
    </row>
    <row r="83" spans="1:6" x14ac:dyDescent="0.2">
      <c r="A83" s="19">
        <v>17</v>
      </c>
      <c r="B83" s="180" t="s">
        <v>15</v>
      </c>
      <c r="C83" s="181"/>
      <c r="D83" s="14">
        <f t="shared" si="5"/>
        <v>7920</v>
      </c>
      <c r="E83" s="17">
        <f>IF(F3="1",SUMIF(Data!A:A,'14'!$A$2,Data!EO:EO),0)</f>
        <v>200736</v>
      </c>
      <c r="F83" s="21">
        <f t="shared" si="4"/>
        <v>25.35</v>
      </c>
    </row>
    <row r="84" spans="1:6" x14ac:dyDescent="0.2">
      <c r="A84" s="19">
        <v>18</v>
      </c>
      <c r="B84" s="180" t="s">
        <v>16</v>
      </c>
      <c r="C84" s="181"/>
      <c r="D84" s="14">
        <f t="shared" si="5"/>
        <v>30944</v>
      </c>
      <c r="E84" s="17">
        <f>IF(F3="1",SUMIF(Data!A:A,'14'!$A$2,Data!EP:EP),0)</f>
        <v>217578</v>
      </c>
      <c r="F84" s="21">
        <f t="shared" si="4"/>
        <v>7.03</v>
      </c>
    </row>
    <row r="85" spans="1:6" x14ac:dyDescent="0.2">
      <c r="A85" s="19">
        <v>19</v>
      </c>
      <c r="B85" s="180" t="s">
        <v>17</v>
      </c>
      <c r="C85" s="181"/>
      <c r="D85" s="14">
        <f t="shared" si="5"/>
        <v>2901984</v>
      </c>
      <c r="E85" s="17">
        <f>IF(F3="1",SUMIF(Data!A:A,'14'!$A$2,Data!EQ:EQ),0)</f>
        <v>6842044</v>
      </c>
      <c r="F85" s="21">
        <f t="shared" si="4"/>
        <v>2.36</v>
      </c>
    </row>
    <row r="86" spans="1:6" x14ac:dyDescent="0.2">
      <c r="A86" s="19">
        <v>20</v>
      </c>
      <c r="B86" s="180" t="s">
        <v>18</v>
      </c>
      <c r="C86" s="181"/>
      <c r="D86" s="14">
        <f t="shared" si="5"/>
        <v>465469</v>
      </c>
      <c r="E86" s="17">
        <f>IF(F3="1",SUMIF(Data!A:A,'14'!$A$2,Data!ER:ER),0)</f>
        <v>1707580</v>
      </c>
      <c r="F86" s="21">
        <f t="shared" si="4"/>
        <v>3.67</v>
      </c>
    </row>
    <row r="87" spans="1:6" ht="14.25" customHeight="1" x14ac:dyDescent="0.2">
      <c r="A87" s="19">
        <v>21</v>
      </c>
      <c r="B87" s="180" t="s">
        <v>461</v>
      </c>
      <c r="C87" s="181"/>
      <c r="D87" s="14">
        <f t="shared" si="5"/>
        <v>296732</v>
      </c>
      <c r="E87" s="17">
        <f>IF(F3="1",SUMIF(Data!A:A,'14'!$A$2,Data!ES:ES),0)</f>
        <v>331719</v>
      </c>
      <c r="F87" s="21">
        <f t="shared" si="4"/>
        <v>1.1200000000000001</v>
      </c>
    </row>
    <row r="88" spans="1:6" x14ac:dyDescent="0.2">
      <c r="A88" s="19">
        <v>22</v>
      </c>
      <c r="B88" s="180" t="s">
        <v>19</v>
      </c>
      <c r="C88" s="181"/>
      <c r="D88" s="14">
        <f t="shared" si="5"/>
        <v>32720</v>
      </c>
      <c r="E88" s="17">
        <f>IF(F3="1",SUMIF(Data!A:A,'14'!$A$2,Data!ET:ET),0)</f>
        <v>586016</v>
      </c>
      <c r="F88" s="21">
        <f t="shared" si="4"/>
        <v>17.91</v>
      </c>
    </row>
    <row r="89" spans="1:6" x14ac:dyDescent="0.2">
      <c r="A89" s="19">
        <v>23</v>
      </c>
      <c r="B89" s="180" t="s">
        <v>20</v>
      </c>
      <c r="C89" s="181"/>
      <c r="D89" s="14">
        <f t="shared" si="5"/>
        <v>582064</v>
      </c>
      <c r="E89" s="17">
        <f>IF(F3="1",SUMIF(Data!A:A,'14'!$A$2,Data!EU:EU),0)</f>
        <v>1903684</v>
      </c>
      <c r="F89" s="21">
        <f t="shared" si="4"/>
        <v>3.27</v>
      </c>
    </row>
    <row r="90" spans="1:6" x14ac:dyDescent="0.2">
      <c r="A90" s="19">
        <v>24</v>
      </c>
      <c r="B90" s="180" t="s">
        <v>21</v>
      </c>
      <c r="C90" s="181"/>
      <c r="D90" s="14">
        <f t="shared" si="5"/>
        <v>598535</v>
      </c>
      <c r="E90" s="17">
        <f>IF(F3="1",SUMIF(Data!A:A,'14'!$A$2,Data!EV:EV),0)</f>
        <v>809059</v>
      </c>
      <c r="F90" s="21">
        <f t="shared" si="4"/>
        <v>1.35</v>
      </c>
    </row>
    <row r="91" spans="1:6" x14ac:dyDescent="0.2">
      <c r="A91" s="19">
        <v>25</v>
      </c>
      <c r="B91" s="180" t="s">
        <v>22</v>
      </c>
      <c r="C91" s="181"/>
      <c r="D91" s="14">
        <f t="shared" si="5"/>
        <v>3667628</v>
      </c>
      <c r="E91" s="17">
        <f>IF(F3="1",SUMIF(Data!A:A,'14'!$A$2,Data!EW:EW),0)</f>
        <v>8135302</v>
      </c>
      <c r="F91" s="21">
        <f t="shared" si="4"/>
        <v>2.2200000000000002</v>
      </c>
    </row>
    <row r="92" spans="1:6" x14ac:dyDescent="0.2">
      <c r="A92" s="19">
        <v>26</v>
      </c>
      <c r="B92" s="180" t="s">
        <v>23</v>
      </c>
      <c r="C92" s="181"/>
      <c r="D92" s="14">
        <f t="shared" si="5"/>
        <v>1230365</v>
      </c>
      <c r="E92" s="17">
        <f>IF(F3="1",SUMIF(Data!A:A,'14'!$A$2,Data!EX:EX),0)</f>
        <v>4864271</v>
      </c>
      <c r="F92" s="21">
        <f t="shared" si="4"/>
        <v>3.95</v>
      </c>
    </row>
    <row r="93" spans="1:6" x14ac:dyDescent="0.2">
      <c r="A93" s="19">
        <v>28</v>
      </c>
      <c r="B93" s="180" t="s">
        <v>24</v>
      </c>
      <c r="C93" s="181"/>
      <c r="D93" s="14">
        <f t="shared" si="5"/>
        <v>0</v>
      </c>
      <c r="E93" s="17">
        <f>IF(F3="1",SUMIF(Data!A:A,'14'!$A$2,Data!EZ:EZ),0)</f>
        <v>0</v>
      </c>
      <c r="F93" s="21" t="str">
        <f t="shared" si="4"/>
        <v/>
      </c>
    </row>
    <row r="94" spans="1:6" ht="15.75" customHeight="1" thickBot="1" x14ac:dyDescent="0.25">
      <c r="A94" s="22">
        <v>29</v>
      </c>
      <c r="B94" s="184" t="s">
        <v>25</v>
      </c>
      <c r="C94" s="185"/>
      <c r="D94" s="23">
        <f t="shared" si="5"/>
        <v>0</v>
      </c>
      <c r="E94" s="24">
        <f>IF(F3="1",SUMIF(Data!A:A,'14'!$A$2,Data!FA:FA),0)</f>
        <v>0</v>
      </c>
      <c r="F94" s="25" t="str">
        <f t="shared" si="4"/>
        <v/>
      </c>
    </row>
    <row r="95" spans="1:6" x14ac:dyDescent="0.2">
      <c r="B95" s="30" t="s">
        <v>35</v>
      </c>
      <c r="C95" s="30"/>
      <c r="D95" s="59">
        <f>SUM(D67:D94)</f>
        <v>25958904</v>
      </c>
      <c r="E95" s="31">
        <f>SUM(E67:E94)</f>
        <v>68400835</v>
      </c>
      <c r="F95" s="32">
        <f t="shared" si="4"/>
        <v>2.63</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IF(F3="1",SUMIF(Data!A:A,'14'!$A$2,Data!AH:AH),0)</f>
        <v>40187854</v>
      </c>
      <c r="F98" s="20">
        <f>IF(OR(E98=0,E98=0),"",ROUND(E98/$D$105,2))</f>
        <v>1.55</v>
      </c>
    </row>
    <row r="99" spans="2:6" x14ac:dyDescent="0.2">
      <c r="B99" s="190" t="s">
        <v>31</v>
      </c>
      <c r="C99" s="191"/>
      <c r="D99" s="36"/>
      <c r="E99" s="17">
        <f>IF(F3="1",SUMIF(Data!A:A,'14'!$A$2,Data!AI:AI),0)</f>
        <v>18847001</v>
      </c>
      <c r="F99" s="21">
        <f t="shared" ref="F99:F104" si="6">IF(OR(E99=0,E99=0),"",ROUND(E99/$D$105,2))</f>
        <v>0.73</v>
      </c>
    </row>
    <row r="100" spans="2:6" x14ac:dyDescent="0.2">
      <c r="B100" s="190" t="s">
        <v>1089</v>
      </c>
      <c r="C100" s="191"/>
      <c r="D100" s="36"/>
      <c r="E100" s="17">
        <f>IF(F3="1",SUMIF(Data!A:A,'14'!$A$2,Data!AJ:AJ),0)</f>
        <v>7423575</v>
      </c>
      <c r="F100" s="21">
        <f t="shared" si="6"/>
        <v>0.28999999999999998</v>
      </c>
    </row>
    <row r="101" spans="2:6" x14ac:dyDescent="0.2">
      <c r="B101" s="190" t="s">
        <v>1090</v>
      </c>
      <c r="C101" s="191"/>
      <c r="D101" s="36"/>
      <c r="E101" s="17">
        <f>IF(F3="1",SUMIF(Data!A:A,'14'!$A$2,Data!AK:AK),0)</f>
        <v>5926155</v>
      </c>
      <c r="F101" s="21">
        <f t="shared" si="6"/>
        <v>0.23</v>
      </c>
    </row>
    <row r="102" spans="2:6" x14ac:dyDescent="0.2">
      <c r="B102" s="190" t="s">
        <v>1091</v>
      </c>
      <c r="C102" s="191"/>
      <c r="D102" s="36"/>
      <c r="E102" s="17">
        <f>IF(F3="1",SUMIF(Data!A:A,'14'!$A$2,Data!AL:AL),0)</f>
        <v>687498</v>
      </c>
      <c r="F102" s="21">
        <f t="shared" si="6"/>
        <v>0.03</v>
      </c>
    </row>
    <row r="103" spans="2:6" x14ac:dyDescent="0.2">
      <c r="B103" s="192" t="s">
        <v>34</v>
      </c>
      <c r="C103" s="193"/>
      <c r="D103" s="36"/>
      <c r="E103" s="17">
        <f>IF(F3="1",SUMIF(Data!A:A,'14'!$A$2,Data!AM:AM),0)</f>
        <v>0</v>
      </c>
      <c r="F103" s="21" t="str">
        <f t="shared" si="6"/>
        <v/>
      </c>
    </row>
    <row r="104" spans="2:6" ht="15.75" customHeight="1" thickBot="1" x14ac:dyDescent="0.25">
      <c r="B104" s="186" t="s">
        <v>29</v>
      </c>
      <c r="C104" s="187"/>
      <c r="D104" s="37"/>
      <c r="E104" s="24">
        <f>IF(F3="1",SUMIF(Data!A:A,'14'!$A$2,Data!Q:Q),0)</f>
        <v>8747679</v>
      </c>
      <c r="F104" s="25">
        <f t="shared" si="6"/>
        <v>0.34</v>
      </c>
    </row>
    <row r="105" spans="2:6" x14ac:dyDescent="0.2">
      <c r="B105" s="30" t="s">
        <v>35</v>
      </c>
      <c r="C105" s="30"/>
      <c r="D105" s="34">
        <f>D95</f>
        <v>25958904</v>
      </c>
      <c r="E105" s="31">
        <f>SUM(E98:E104)</f>
        <v>81819762</v>
      </c>
      <c r="F105" s="32">
        <f>IF($D$105=0,"",ROUND(E105/$D$105,2))</f>
        <v>3.15</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68400835</v>
      </c>
      <c r="D109" s="15">
        <f>IF(F3="1",SUMIF(Data!$A:$A,$A$2,Data!HJ:HJ),0)</f>
        <v>0</v>
      </c>
      <c r="E109" s="15">
        <f>IF(F3="1",SUMIF(Data!$A:$A,$A$2,Data!IN:IN),0)</f>
        <v>0</v>
      </c>
      <c r="F109" s="47">
        <f>SUM(C109:E109)</f>
        <v>68400835</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687498</v>
      </c>
      <c r="F116" s="48">
        <f t="shared" si="7"/>
        <v>687498</v>
      </c>
    </row>
    <row r="117" spans="1:6" ht="15" thickBot="1" x14ac:dyDescent="0.25">
      <c r="B117" s="43" t="s">
        <v>933</v>
      </c>
      <c r="C117" s="52"/>
      <c r="D117" s="52">
        <f>IF(F3="1",SUMIF(Data!A:A,$A$2,Data!Q:Q),0)</f>
        <v>8747679</v>
      </c>
      <c r="E117" s="52"/>
      <c r="F117" s="49">
        <f>SUM(C117:E117)</f>
        <v>8747679</v>
      </c>
    </row>
    <row r="118" spans="1:6" x14ac:dyDescent="0.2">
      <c r="B118" s="13" t="s">
        <v>35</v>
      </c>
      <c r="C118" s="4">
        <f>SUM(C109:C116)</f>
        <v>68400835</v>
      </c>
      <c r="D118" s="4">
        <f>SUM(D109:D116)</f>
        <v>0</v>
      </c>
      <c r="E118" s="4">
        <f>SUM(E109:E116)</f>
        <v>687498</v>
      </c>
      <c r="F118" s="4">
        <f>SUM(F109:F116)</f>
        <v>69088333</v>
      </c>
    </row>
    <row r="119" spans="1:6" ht="15" thickBot="1" x14ac:dyDescent="0.25"/>
    <row r="120" spans="1:6" ht="15" thickBot="1" x14ac:dyDescent="0.25">
      <c r="B120" s="55" t="s">
        <v>934</v>
      </c>
      <c r="C120" s="53"/>
      <c r="D120" s="53"/>
      <c r="E120" s="53">
        <f>IF(F3="1",SUMIF(Data!A:A,'14'!$A$2,Data!AM:AM),0)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42578125" style="10" bestFit="1" customWidth="1"/>
    <col min="12" max="12" width="13.5703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364</v>
      </c>
      <c r="B2" s="58" t="str">
        <f>VLOOKUP(A2,Data!A:G,7,0)</f>
        <v>Del Mar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0</v>
      </c>
      <c r="E5" s="15">
        <f>E36+E67+IFERROR($E$105/$D$105*D5,0)</f>
        <v>0</v>
      </c>
      <c r="F5" s="20" t="str">
        <f>IF(OR(D5=0,E5=0),"",ROUND(E5/D5,2))</f>
        <v/>
      </c>
    </row>
    <row r="6" spans="1:6" x14ac:dyDescent="0.2">
      <c r="A6" s="19">
        <v>2</v>
      </c>
      <c r="B6" s="180" t="s">
        <v>1</v>
      </c>
      <c r="C6" s="181"/>
      <c r="D6" s="14">
        <f t="shared" ref="D6:D32" si="0">D37</f>
        <v>201544</v>
      </c>
      <c r="E6" s="17">
        <f t="shared" ref="E6:E32" si="1">E37+E68+IFERROR($E$105/$D$105*D6,0)</f>
        <v>1396868.955777281</v>
      </c>
      <c r="F6" s="21">
        <f t="shared" ref="F6:F33" si="2">IF(OR(D6=0,E6=0),"",ROUND(E6/D6,2))</f>
        <v>6.93</v>
      </c>
    </row>
    <row r="7" spans="1:6" ht="14.25" customHeight="1" x14ac:dyDescent="0.2">
      <c r="A7" s="19">
        <v>3</v>
      </c>
      <c r="B7" s="180" t="s">
        <v>2</v>
      </c>
      <c r="C7" s="181"/>
      <c r="D7" s="14">
        <f t="shared" si="0"/>
        <v>438608</v>
      </c>
      <c r="E7" s="17">
        <f t="shared" si="1"/>
        <v>3275817.6416244674</v>
      </c>
      <c r="F7" s="21">
        <f t="shared" si="2"/>
        <v>7.47</v>
      </c>
    </row>
    <row r="8" spans="1:6" ht="14.25" customHeight="1" x14ac:dyDescent="0.2">
      <c r="A8" s="19">
        <v>4</v>
      </c>
      <c r="B8" s="180" t="s">
        <v>3</v>
      </c>
      <c r="C8" s="181"/>
      <c r="D8" s="14">
        <f t="shared" si="0"/>
        <v>419609</v>
      </c>
      <c r="E8" s="17">
        <f t="shared" si="1"/>
        <v>3668650.7789105559</v>
      </c>
      <c r="F8" s="21">
        <f t="shared" si="2"/>
        <v>8.74</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34976</v>
      </c>
      <c r="E10" s="17">
        <f t="shared" si="1"/>
        <v>285855.71978955553</v>
      </c>
      <c r="F10" s="21">
        <f t="shared" si="2"/>
        <v>8.17</v>
      </c>
    </row>
    <row r="11" spans="1:6" x14ac:dyDescent="0.2">
      <c r="A11" s="19">
        <v>7</v>
      </c>
      <c r="B11" s="180" t="s">
        <v>6</v>
      </c>
      <c r="C11" s="181"/>
      <c r="D11" s="14">
        <f t="shared" si="0"/>
        <v>294608</v>
      </c>
      <c r="E11" s="17">
        <f t="shared" si="1"/>
        <v>2321407.979178905</v>
      </c>
      <c r="F11" s="21">
        <f t="shared" si="2"/>
        <v>7.88</v>
      </c>
    </row>
    <row r="12" spans="1:6" x14ac:dyDescent="0.2">
      <c r="A12" s="19">
        <v>8</v>
      </c>
      <c r="B12" s="180" t="s">
        <v>7</v>
      </c>
      <c r="C12" s="181"/>
      <c r="D12" s="14">
        <f t="shared" si="0"/>
        <v>18466</v>
      </c>
      <c r="E12" s="17">
        <f t="shared" si="1"/>
        <v>115567.40043555388</v>
      </c>
      <c r="F12" s="21">
        <f t="shared" si="2"/>
        <v>6.26</v>
      </c>
    </row>
    <row r="13" spans="1:6" x14ac:dyDescent="0.2">
      <c r="A13" s="19">
        <v>9</v>
      </c>
      <c r="B13" s="180" t="s">
        <v>8</v>
      </c>
      <c r="C13" s="181"/>
      <c r="D13" s="14">
        <f t="shared" si="0"/>
        <v>286583</v>
      </c>
      <c r="E13" s="17">
        <f t="shared" si="1"/>
        <v>2172189.0959071992</v>
      </c>
      <c r="F13" s="21">
        <f t="shared" si="2"/>
        <v>7.58</v>
      </c>
    </row>
    <row r="14" spans="1:6" x14ac:dyDescent="0.2">
      <c r="A14" s="19">
        <v>10</v>
      </c>
      <c r="B14" s="180" t="s">
        <v>9</v>
      </c>
      <c r="C14" s="181"/>
      <c r="D14" s="14">
        <f t="shared" si="0"/>
        <v>416</v>
      </c>
      <c r="E14" s="17">
        <f t="shared" si="1"/>
        <v>3136.3608026205143</v>
      </c>
      <c r="F14" s="21">
        <f t="shared" si="2"/>
        <v>7.54</v>
      </c>
    </row>
    <row r="15" spans="1:6" x14ac:dyDescent="0.2">
      <c r="A15" s="19">
        <v>11</v>
      </c>
      <c r="B15" s="180" t="s">
        <v>10</v>
      </c>
      <c r="C15" s="181"/>
      <c r="D15" s="14">
        <f t="shared" si="0"/>
        <v>144991</v>
      </c>
      <c r="E15" s="17">
        <f t="shared" si="1"/>
        <v>1173815.2142614205</v>
      </c>
      <c r="F15" s="21">
        <f t="shared" si="2"/>
        <v>8.1</v>
      </c>
    </row>
    <row r="16" spans="1:6" ht="14.25" customHeight="1" x14ac:dyDescent="0.2">
      <c r="A16" s="19">
        <v>12</v>
      </c>
      <c r="B16" s="180" t="s">
        <v>11</v>
      </c>
      <c r="C16" s="181"/>
      <c r="D16" s="14">
        <f t="shared" si="0"/>
        <v>807684</v>
      </c>
      <c r="E16" s="17">
        <f t="shared" si="1"/>
        <v>7289224.1310186237</v>
      </c>
      <c r="F16" s="21">
        <f t="shared" si="2"/>
        <v>9.02</v>
      </c>
    </row>
    <row r="17" spans="1:6" x14ac:dyDescent="0.2">
      <c r="A17" s="19">
        <v>13</v>
      </c>
      <c r="B17" s="180" t="s">
        <v>12</v>
      </c>
      <c r="C17" s="181"/>
      <c r="D17" s="14">
        <f t="shared" si="0"/>
        <v>67833</v>
      </c>
      <c r="E17" s="17">
        <f t="shared" si="1"/>
        <v>514702.60174076282</v>
      </c>
      <c r="F17" s="21">
        <f t="shared" si="2"/>
        <v>7.59</v>
      </c>
    </row>
    <row r="18" spans="1:6" ht="14.25" customHeight="1" x14ac:dyDescent="0.2">
      <c r="A18" s="19">
        <v>14</v>
      </c>
      <c r="B18" s="180" t="s">
        <v>464</v>
      </c>
      <c r="C18" s="181"/>
      <c r="D18" s="14">
        <f t="shared" si="0"/>
        <v>334343</v>
      </c>
      <c r="E18" s="17">
        <f t="shared" si="1"/>
        <v>3225337.0572849773</v>
      </c>
      <c r="F18" s="21">
        <f t="shared" si="2"/>
        <v>9.65</v>
      </c>
    </row>
    <row r="19" spans="1:6" x14ac:dyDescent="0.2">
      <c r="A19" s="19">
        <v>15</v>
      </c>
      <c r="B19" s="180" t="s">
        <v>13</v>
      </c>
      <c r="C19" s="181"/>
      <c r="D19" s="14">
        <f t="shared" si="0"/>
        <v>27898</v>
      </c>
      <c r="E19" s="17">
        <f t="shared" si="1"/>
        <v>395872.19632573822</v>
      </c>
      <c r="F19" s="21">
        <f t="shared" si="2"/>
        <v>14.19</v>
      </c>
    </row>
    <row r="20" spans="1:6" x14ac:dyDescent="0.2">
      <c r="A20" s="19">
        <v>16</v>
      </c>
      <c r="B20" s="180" t="s">
        <v>14</v>
      </c>
      <c r="C20" s="181"/>
      <c r="D20" s="14">
        <f t="shared" si="0"/>
        <v>465075</v>
      </c>
      <c r="E20" s="17">
        <f t="shared" si="1"/>
        <v>3712644.3660546532</v>
      </c>
      <c r="F20" s="21">
        <f t="shared" si="2"/>
        <v>7.98</v>
      </c>
    </row>
    <row r="21" spans="1:6" x14ac:dyDescent="0.2">
      <c r="A21" s="19">
        <v>17</v>
      </c>
      <c r="B21" s="180" t="s">
        <v>15</v>
      </c>
      <c r="C21" s="181"/>
      <c r="D21" s="14">
        <f t="shared" si="0"/>
        <v>18688</v>
      </c>
      <c r="E21" s="17">
        <f t="shared" si="1"/>
        <v>248356.82374849077</v>
      </c>
      <c r="F21" s="21">
        <f t="shared" si="2"/>
        <v>13.29</v>
      </c>
    </row>
    <row r="22" spans="1:6" x14ac:dyDescent="0.2">
      <c r="A22" s="19">
        <v>18</v>
      </c>
      <c r="B22" s="180" t="s">
        <v>16</v>
      </c>
      <c r="C22" s="181"/>
      <c r="D22" s="14">
        <f t="shared" si="0"/>
        <v>100272</v>
      </c>
      <c r="E22" s="17">
        <f t="shared" si="1"/>
        <v>946869.65961626009</v>
      </c>
      <c r="F22" s="21">
        <f t="shared" si="2"/>
        <v>9.44</v>
      </c>
    </row>
    <row r="23" spans="1:6" x14ac:dyDescent="0.2">
      <c r="A23" s="19">
        <v>19</v>
      </c>
      <c r="B23" s="180" t="s">
        <v>17</v>
      </c>
      <c r="C23" s="181"/>
      <c r="D23" s="14">
        <f t="shared" si="0"/>
        <v>513391</v>
      </c>
      <c r="E23" s="17">
        <f t="shared" si="1"/>
        <v>3972501.1173513182</v>
      </c>
      <c r="F23" s="21">
        <f t="shared" si="2"/>
        <v>7.74</v>
      </c>
    </row>
    <row r="24" spans="1:6" x14ac:dyDescent="0.2">
      <c r="A24" s="19">
        <v>20</v>
      </c>
      <c r="B24" s="180" t="s">
        <v>18</v>
      </c>
      <c r="C24" s="181"/>
      <c r="D24" s="14">
        <f t="shared" si="0"/>
        <v>86388</v>
      </c>
      <c r="E24" s="17">
        <f t="shared" si="1"/>
        <v>718317.61782880046</v>
      </c>
      <c r="F24" s="21">
        <f t="shared" si="2"/>
        <v>8.32</v>
      </c>
    </row>
    <row r="25" spans="1:6" ht="14.25" customHeight="1" x14ac:dyDescent="0.2">
      <c r="A25" s="19">
        <v>21</v>
      </c>
      <c r="B25" s="180" t="s">
        <v>461</v>
      </c>
      <c r="C25" s="181"/>
      <c r="D25" s="14">
        <f t="shared" si="0"/>
        <v>85684</v>
      </c>
      <c r="E25" s="17">
        <f t="shared" si="1"/>
        <v>684958.54570128885</v>
      </c>
      <c r="F25" s="21">
        <f t="shared" si="2"/>
        <v>7.99</v>
      </c>
    </row>
    <row r="26" spans="1:6" x14ac:dyDescent="0.2">
      <c r="A26" s="19">
        <v>22</v>
      </c>
      <c r="B26" s="180" t="s">
        <v>19</v>
      </c>
      <c r="C26" s="181"/>
      <c r="D26" s="14">
        <f t="shared" si="0"/>
        <v>32464</v>
      </c>
      <c r="E26" s="17">
        <f t="shared" si="1"/>
        <v>277893.84878911625</v>
      </c>
      <c r="F26" s="21">
        <f t="shared" si="2"/>
        <v>8.56</v>
      </c>
    </row>
    <row r="27" spans="1:6" x14ac:dyDescent="0.2">
      <c r="A27" s="19">
        <v>23</v>
      </c>
      <c r="B27" s="180" t="s">
        <v>20</v>
      </c>
      <c r="C27" s="181"/>
      <c r="D27" s="14">
        <f t="shared" si="0"/>
        <v>119232</v>
      </c>
      <c r="E27" s="17">
        <f t="shared" si="1"/>
        <v>964164.48850492586</v>
      </c>
      <c r="F27" s="21">
        <f t="shared" si="2"/>
        <v>8.09</v>
      </c>
    </row>
    <row r="28" spans="1:6" x14ac:dyDescent="0.2">
      <c r="A28" s="19">
        <v>24</v>
      </c>
      <c r="B28" s="180" t="s">
        <v>21</v>
      </c>
      <c r="C28" s="181"/>
      <c r="D28" s="14">
        <f t="shared" si="0"/>
        <v>245880</v>
      </c>
      <c r="E28" s="17">
        <f t="shared" si="1"/>
        <v>1726269.7936257981</v>
      </c>
      <c r="F28" s="21">
        <f t="shared" si="2"/>
        <v>7.02</v>
      </c>
    </row>
    <row r="29" spans="1:6" x14ac:dyDescent="0.2">
      <c r="A29" s="19">
        <v>25</v>
      </c>
      <c r="B29" s="180" t="s">
        <v>22</v>
      </c>
      <c r="C29" s="181"/>
      <c r="D29" s="14">
        <f t="shared" si="0"/>
        <v>542288</v>
      </c>
      <c r="E29" s="17">
        <f t="shared" si="1"/>
        <v>4108986.7185852728</v>
      </c>
      <c r="F29" s="21">
        <f t="shared" si="2"/>
        <v>7.58</v>
      </c>
    </row>
    <row r="30" spans="1:6" x14ac:dyDescent="0.2">
      <c r="A30" s="19">
        <v>26</v>
      </c>
      <c r="B30" s="180" t="s">
        <v>23</v>
      </c>
      <c r="C30" s="181"/>
      <c r="D30" s="14">
        <f t="shared" si="0"/>
        <v>220090</v>
      </c>
      <c r="E30" s="17">
        <f t="shared" si="1"/>
        <v>2588891.8871364156</v>
      </c>
      <c r="F30" s="21">
        <f t="shared" si="2"/>
        <v>11.76</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5507011</v>
      </c>
      <c r="E33" s="31">
        <f>SUM(E5:E32)</f>
        <v>45788300.000000007</v>
      </c>
      <c r="F33" s="32">
        <f t="shared" si="2"/>
        <v>8.31</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IF(F3="1",SUMIF(Data!A:A,'15'!$A$2,Data!CU:CU),0)</f>
        <v>0</v>
      </c>
      <c r="E36" s="15">
        <f>IF(F3="1",SUMIF(Data!$A:$A,$A$2,Data!IO:IO),0)</f>
        <v>0</v>
      </c>
      <c r="F36" s="20" t="str">
        <f t="shared" ref="F36:F64" si="3">IF(OR(D36=0,E36=0),"",ROUND(E36/D36,2))</f>
        <v/>
      </c>
    </row>
    <row r="37" spans="1:6" x14ac:dyDescent="0.2">
      <c r="A37" s="19">
        <v>2</v>
      </c>
      <c r="B37" s="180" t="s">
        <v>1</v>
      </c>
      <c r="C37" s="181"/>
      <c r="D37" s="14">
        <f>IF(F3="1",SUMIF(Data!A:A,'15'!$A$2,Data!CV:CV),0)</f>
        <v>201544</v>
      </c>
      <c r="E37" s="17">
        <f>IF(F3="1",SUMIF(Data!$A:$A,$A$2,Data!IP:IP),0)</f>
        <v>85804</v>
      </c>
      <c r="F37" s="21">
        <f t="shared" si="3"/>
        <v>0.43</v>
      </c>
    </row>
    <row r="38" spans="1:6" ht="14.25" customHeight="1" x14ac:dyDescent="0.2">
      <c r="A38" s="19">
        <v>3</v>
      </c>
      <c r="B38" s="180" t="s">
        <v>2</v>
      </c>
      <c r="C38" s="181"/>
      <c r="D38" s="14">
        <f>IF(F3="1",SUMIF(Data!A:A,'15'!$A$2,Data!CW:CW),0)</f>
        <v>438608</v>
      </c>
      <c r="E38" s="17">
        <f>IF($F$3="1",SUMIF(Data!$A:$A,$A$2,Data!IQ:IQ),0)</f>
        <v>160278</v>
      </c>
      <c r="F38" s="21">
        <f t="shared" si="3"/>
        <v>0.37</v>
      </c>
    </row>
    <row r="39" spans="1:6" ht="14.25" customHeight="1" x14ac:dyDescent="0.2">
      <c r="A39" s="19">
        <v>4</v>
      </c>
      <c r="B39" s="180" t="s">
        <v>3</v>
      </c>
      <c r="C39" s="181"/>
      <c r="D39" s="14">
        <f>IF(F3="1",SUMIF(Data!A:A,'15'!$A$2,Data!CX:CX),0)</f>
        <v>419609</v>
      </c>
      <c r="E39" s="17">
        <f>IF($F$3="1",SUMIF(Data!$A:$A,$A$2,Data!IR:IR),0)</f>
        <v>185370</v>
      </c>
      <c r="F39" s="21">
        <f t="shared" si="3"/>
        <v>0.44</v>
      </c>
    </row>
    <row r="40" spans="1:6" x14ac:dyDescent="0.2">
      <c r="A40" s="19">
        <v>5</v>
      </c>
      <c r="B40" s="180" t="s">
        <v>4</v>
      </c>
      <c r="C40" s="181"/>
      <c r="D40" s="14">
        <f>IF(F3="1",SUMIF(Data!A:A,'15'!$A$2,Data!CY:CY),0)</f>
        <v>0</v>
      </c>
      <c r="E40" s="17">
        <f>IF($F$3="1",SUMIF(Data!$A:$A,$A$2,Data!IS:IS),0)</f>
        <v>0</v>
      </c>
      <c r="F40" s="21" t="str">
        <f t="shared" si="3"/>
        <v/>
      </c>
    </row>
    <row r="41" spans="1:6" x14ac:dyDescent="0.2">
      <c r="A41" s="19">
        <v>6</v>
      </c>
      <c r="B41" s="180" t="s">
        <v>5</v>
      </c>
      <c r="C41" s="181"/>
      <c r="D41" s="14">
        <f>IF(F3="1",SUMIF(Data!A:A,'15'!$A$2,Data!CZ:CZ),0)</f>
        <v>34976</v>
      </c>
      <c r="E41" s="17">
        <f>IF($F$3="1",SUMIF(Data!$A:$A,$A$2,Data!IT:IT),0)</f>
        <v>20634</v>
      </c>
      <c r="F41" s="21">
        <f t="shared" si="3"/>
        <v>0.59</v>
      </c>
    </row>
    <row r="42" spans="1:6" x14ac:dyDescent="0.2">
      <c r="A42" s="19">
        <v>7</v>
      </c>
      <c r="B42" s="180" t="s">
        <v>6</v>
      </c>
      <c r="C42" s="181"/>
      <c r="D42" s="14">
        <f>IF(F3="1",SUMIF(Data!A:A,'15'!$A$2,Data!DA:DA),0)</f>
        <v>294608</v>
      </c>
      <c r="E42" s="17">
        <f>IF($F$3="1",SUMIF(Data!$A:$A,$A$2,Data!IU:IU),0)</f>
        <v>132572</v>
      </c>
      <c r="F42" s="21">
        <f t="shared" si="3"/>
        <v>0.45</v>
      </c>
    </row>
    <row r="43" spans="1:6" x14ac:dyDescent="0.2">
      <c r="A43" s="19">
        <v>8</v>
      </c>
      <c r="B43" s="180" t="s">
        <v>7</v>
      </c>
      <c r="C43" s="181"/>
      <c r="D43" s="14">
        <f>IF(F3="1",SUMIF(Data!A:A,'15'!$A$2,Data!DB:DB),0)</f>
        <v>18466</v>
      </c>
      <c r="E43" s="17">
        <f>IF($F$3="1",SUMIF(Data!$A:$A,$A$2,Data!IV:IV),0)</f>
        <v>8620</v>
      </c>
      <c r="F43" s="21">
        <f t="shared" si="3"/>
        <v>0.47</v>
      </c>
    </row>
    <row r="44" spans="1:6" x14ac:dyDescent="0.2">
      <c r="A44" s="19">
        <v>9</v>
      </c>
      <c r="B44" s="180" t="s">
        <v>8</v>
      </c>
      <c r="C44" s="181"/>
      <c r="D44" s="14">
        <f>IF(F3="1",SUMIF(Data!A:A,'15'!$A$2,Data!DC:DC),0)</f>
        <v>286583</v>
      </c>
      <c r="E44" s="17">
        <f>IF($F$3="1",SUMIF(Data!$A:$A,$A$2,Data!IW:IW),0)</f>
        <v>141149</v>
      </c>
      <c r="F44" s="21">
        <f t="shared" si="3"/>
        <v>0.49</v>
      </c>
    </row>
    <row r="45" spans="1:6" x14ac:dyDescent="0.2">
      <c r="A45" s="19">
        <v>10</v>
      </c>
      <c r="B45" s="180" t="s">
        <v>9</v>
      </c>
      <c r="C45" s="181"/>
      <c r="D45" s="14">
        <f>IF(F3="1",SUMIF(Data!A:A,'15'!$A$2,Data!DD:DD),0)</f>
        <v>416</v>
      </c>
      <c r="E45" s="17">
        <f>IF($F$3="1",SUMIF(Data!$A:$A,$A$2,Data!IX:IX),0)</f>
        <v>41</v>
      </c>
      <c r="F45" s="21">
        <f t="shared" si="3"/>
        <v>0.1</v>
      </c>
    </row>
    <row r="46" spans="1:6" x14ac:dyDescent="0.2">
      <c r="A46" s="19">
        <v>11</v>
      </c>
      <c r="B46" s="180" t="s">
        <v>10</v>
      </c>
      <c r="C46" s="181"/>
      <c r="D46" s="14">
        <f>IF(F3="1",SUMIF(Data!A:A,'15'!$A$2,Data!DE:DE),0)</f>
        <v>144991</v>
      </c>
      <c r="E46" s="17">
        <f>IF($F$3="1",SUMIF(Data!$A:$A,$A$2,Data!IY:IY),0)</f>
        <v>37425</v>
      </c>
      <c r="F46" s="21">
        <f t="shared" si="3"/>
        <v>0.26</v>
      </c>
    </row>
    <row r="47" spans="1:6" ht="14.25" customHeight="1" x14ac:dyDescent="0.2">
      <c r="A47" s="19">
        <v>12</v>
      </c>
      <c r="B47" s="180" t="s">
        <v>11</v>
      </c>
      <c r="C47" s="181"/>
      <c r="D47" s="14">
        <f>IF(F3="1",SUMIF(Data!A:A,'15'!$A$2,Data!DF:DF),0)</f>
        <v>807684</v>
      </c>
      <c r="E47" s="17">
        <f>IF($F$3="1",SUMIF(Data!$A:$A,$A$2,Data!IZ:IZ),0)</f>
        <v>549457</v>
      </c>
      <c r="F47" s="21">
        <f t="shared" si="3"/>
        <v>0.68</v>
      </c>
    </row>
    <row r="48" spans="1:6" x14ac:dyDescent="0.2">
      <c r="A48" s="19">
        <v>13</v>
      </c>
      <c r="B48" s="180" t="s">
        <v>12</v>
      </c>
      <c r="C48" s="181"/>
      <c r="D48" s="14">
        <f>IF(F3="1",SUMIF(Data!A:A,'15'!$A$2,Data!DG:DG),0)</f>
        <v>67833</v>
      </c>
      <c r="E48" s="17">
        <f>IF($F$3="1",SUMIF(Data!$A:$A,$A$2,Data!JA:JA),0)</f>
        <v>74178</v>
      </c>
      <c r="F48" s="21">
        <f t="shared" si="3"/>
        <v>1.0900000000000001</v>
      </c>
    </row>
    <row r="49" spans="1:6" ht="14.25" customHeight="1" x14ac:dyDescent="0.2">
      <c r="A49" s="19">
        <v>14</v>
      </c>
      <c r="B49" s="180" t="s">
        <v>464</v>
      </c>
      <c r="C49" s="181"/>
      <c r="D49" s="14">
        <f>IF(F3="1",SUMIF(Data!A:A,'15'!$A$2,Data!DH:DH),0)</f>
        <v>334343</v>
      </c>
      <c r="E49" s="17">
        <f>IF($F$3="1",SUMIF(Data!$A:$A,$A$2,Data!JB:JB),0)</f>
        <v>123843</v>
      </c>
      <c r="F49" s="21">
        <f t="shared" si="3"/>
        <v>0.37</v>
      </c>
    </row>
    <row r="50" spans="1:6" x14ac:dyDescent="0.2">
      <c r="A50" s="19">
        <v>15</v>
      </c>
      <c r="B50" s="180" t="s">
        <v>13</v>
      </c>
      <c r="C50" s="181"/>
      <c r="D50" s="14">
        <f>IF(F3="1",SUMIF(Data!A:A,'15'!$A$2,Data!DI:DI),0)</f>
        <v>27898</v>
      </c>
      <c r="E50" s="17">
        <f>IF($F$3="1",SUMIF(Data!$A:$A,$A$2,Data!JC:JC),0)</f>
        <v>30713</v>
      </c>
      <c r="F50" s="21">
        <f t="shared" si="3"/>
        <v>1.1000000000000001</v>
      </c>
    </row>
    <row r="51" spans="1:6" x14ac:dyDescent="0.2">
      <c r="A51" s="19">
        <v>16</v>
      </c>
      <c r="B51" s="180" t="s">
        <v>14</v>
      </c>
      <c r="C51" s="181"/>
      <c r="D51" s="14">
        <f>IF(F3="1",SUMIF(Data!A:A,'15'!$A$2,Data!DJ:DJ),0)</f>
        <v>465075</v>
      </c>
      <c r="E51" s="17">
        <f>IF($F$3="1",SUMIF(Data!$A:$A,$A$2,Data!JD:JD),0)</f>
        <v>123018</v>
      </c>
      <c r="F51" s="21">
        <f t="shared" si="3"/>
        <v>0.26</v>
      </c>
    </row>
    <row r="52" spans="1:6" x14ac:dyDescent="0.2">
      <c r="A52" s="19">
        <v>17</v>
      </c>
      <c r="B52" s="180" t="s">
        <v>15</v>
      </c>
      <c r="C52" s="181"/>
      <c r="D52" s="14">
        <f>IF(F3="1",SUMIF(Data!A:A,'15'!$A$2,Data!DK:DK),0)</f>
        <v>18688</v>
      </c>
      <c r="E52" s="17">
        <f>IF($F$3="1",SUMIF(Data!$A:$A,$A$2,Data!JE:JE),0)</f>
        <v>9117</v>
      </c>
      <c r="F52" s="21">
        <f t="shared" si="3"/>
        <v>0.49</v>
      </c>
    </row>
    <row r="53" spans="1:6" x14ac:dyDescent="0.2">
      <c r="A53" s="19">
        <v>18</v>
      </c>
      <c r="B53" s="180" t="s">
        <v>16</v>
      </c>
      <c r="C53" s="181"/>
      <c r="D53" s="14">
        <f>IF(F3="1",SUMIF(Data!A:A,'15'!$A$2,Data!DL:DL),0)</f>
        <v>100272</v>
      </c>
      <c r="E53" s="17">
        <f>IF($F$3="1",SUMIF(Data!$A:$A,$A$2,Data!JF:JF),0)</f>
        <v>10114</v>
      </c>
      <c r="F53" s="21">
        <f t="shared" si="3"/>
        <v>0.1</v>
      </c>
    </row>
    <row r="54" spans="1:6" x14ac:dyDescent="0.2">
      <c r="A54" s="19">
        <v>19</v>
      </c>
      <c r="B54" s="180" t="s">
        <v>17</v>
      </c>
      <c r="C54" s="181"/>
      <c r="D54" s="14">
        <f>IF(F3="1",SUMIF(Data!A:A,'15'!$A$2,Data!DM:DM),0)</f>
        <v>513391</v>
      </c>
      <c r="E54" s="17">
        <f>IF($F$3="1",SUMIF(Data!$A:$A,$A$2,Data!JG:JG),0)</f>
        <v>120087</v>
      </c>
      <c r="F54" s="21">
        <f t="shared" si="3"/>
        <v>0.23</v>
      </c>
    </row>
    <row r="55" spans="1:6" x14ac:dyDescent="0.2">
      <c r="A55" s="19">
        <v>20</v>
      </c>
      <c r="B55" s="180" t="s">
        <v>18</v>
      </c>
      <c r="C55" s="181"/>
      <c r="D55" s="14">
        <f>IF(F3="1",SUMIF(Data!A:A,'15'!$A$2,Data!DN:DN),0)</f>
        <v>86388</v>
      </c>
      <c r="E55" s="17">
        <f>IF($F$3="1",SUMIF(Data!$A:$A,$A$2,Data!JH:JH),0)</f>
        <v>29027</v>
      </c>
      <c r="F55" s="21">
        <f t="shared" si="3"/>
        <v>0.34</v>
      </c>
    </row>
    <row r="56" spans="1:6" ht="14.25" customHeight="1" x14ac:dyDescent="0.2">
      <c r="A56" s="19">
        <v>21</v>
      </c>
      <c r="B56" s="180" t="s">
        <v>461</v>
      </c>
      <c r="C56" s="181"/>
      <c r="D56" s="14">
        <f>IF(F3="1",SUMIF(Data!A:A,'15'!$A$2,Data!DO:DO),0)</f>
        <v>85684</v>
      </c>
      <c r="E56" s="17">
        <f>IF($F$3="1",SUMIF(Data!$A:$A,$A$2,Data!JI:JI),0)</f>
        <v>56810</v>
      </c>
      <c r="F56" s="21">
        <f t="shared" si="3"/>
        <v>0.66</v>
      </c>
    </row>
    <row r="57" spans="1:6" x14ac:dyDescent="0.2">
      <c r="A57" s="19">
        <v>22</v>
      </c>
      <c r="B57" s="180" t="s">
        <v>19</v>
      </c>
      <c r="C57" s="181"/>
      <c r="D57" s="14">
        <f>IF(F3="1",SUMIF(Data!A:A,'15'!$A$2,Data!DP:DP),0)</f>
        <v>32464</v>
      </c>
      <c r="E57" s="17">
        <f>IF($F$3="1",SUMIF(Data!$A:$A,$A$2,Data!JJ:JJ),0)</f>
        <v>14028</v>
      </c>
      <c r="F57" s="21">
        <f t="shared" si="3"/>
        <v>0.43</v>
      </c>
    </row>
    <row r="58" spans="1:6" x14ac:dyDescent="0.2">
      <c r="A58" s="19">
        <v>23</v>
      </c>
      <c r="B58" s="180" t="s">
        <v>20</v>
      </c>
      <c r="C58" s="181"/>
      <c r="D58" s="14">
        <f>IF(F3="1",SUMIF(Data!A:A,'15'!$A$2,Data!DQ:DQ),0)</f>
        <v>119232</v>
      </c>
      <c r="E58" s="17">
        <f>IF($F$3="1",SUMIF(Data!$A:$A,$A$2,Data!JK:JK),0)</f>
        <v>46997</v>
      </c>
      <c r="F58" s="21">
        <f t="shared" si="3"/>
        <v>0.39</v>
      </c>
    </row>
    <row r="59" spans="1:6" x14ac:dyDescent="0.2">
      <c r="A59" s="19">
        <v>24</v>
      </c>
      <c r="B59" s="180" t="s">
        <v>21</v>
      </c>
      <c r="C59" s="181"/>
      <c r="D59" s="14">
        <f>IF(F3="1",SUMIF(Data!A:A,'15'!$A$2,Data!DR:DR),0)</f>
        <v>245880</v>
      </c>
      <c r="E59" s="17">
        <f>IF($F$3="1",SUMIF(Data!$A:$A,$A$2,Data!JL:JL),0)</f>
        <v>96696</v>
      </c>
      <c r="F59" s="21">
        <f t="shared" si="3"/>
        <v>0.39</v>
      </c>
    </row>
    <row r="60" spans="1:6" x14ac:dyDescent="0.2">
      <c r="A60" s="19">
        <v>25</v>
      </c>
      <c r="B60" s="180" t="s">
        <v>22</v>
      </c>
      <c r="C60" s="181"/>
      <c r="D60" s="14">
        <f>IF(F3="1",SUMIF(Data!A:A,'15'!$A$2,Data!DS:DS),0)</f>
        <v>542288</v>
      </c>
      <c r="E60" s="17">
        <f>IF($F$3="1",SUMIF(Data!$A:$A,$A$2,Data!JM:JM),0)</f>
        <v>38892</v>
      </c>
      <c r="F60" s="21">
        <f t="shared" si="3"/>
        <v>7.0000000000000007E-2</v>
      </c>
    </row>
    <row r="61" spans="1:6" x14ac:dyDescent="0.2">
      <c r="A61" s="19">
        <v>26</v>
      </c>
      <c r="B61" s="180" t="s">
        <v>23</v>
      </c>
      <c r="C61" s="181"/>
      <c r="D61" s="14">
        <f>IF(F3="1",SUMIF(Data!A:A,'15'!$A$2,Data!DT:DT),0)</f>
        <v>220090</v>
      </c>
      <c r="E61" s="17">
        <f>IF($F$3="1",SUMIF(Data!$A:$A,$A$2,Data!JN:JN),0)</f>
        <v>196576</v>
      </c>
      <c r="F61" s="21">
        <f t="shared" si="3"/>
        <v>0.89</v>
      </c>
    </row>
    <row r="62" spans="1:6" x14ac:dyDescent="0.2">
      <c r="A62" s="19">
        <v>28</v>
      </c>
      <c r="B62" s="180" t="s">
        <v>24</v>
      </c>
      <c r="C62" s="181"/>
      <c r="D62" s="14">
        <f>IF(F3="1",SUMIF(Data!A:A,'15'!$A$2,Data!DV:DV),0)</f>
        <v>0</v>
      </c>
      <c r="E62" s="17">
        <f>IF($F$3="1",SUMIF(Data!$A:$A,$A$2,Data!JP:JP),0)</f>
        <v>0</v>
      </c>
      <c r="F62" s="21" t="str">
        <f t="shared" si="3"/>
        <v/>
      </c>
    </row>
    <row r="63" spans="1:6" ht="15.75" customHeight="1" thickBot="1" x14ac:dyDescent="0.25">
      <c r="A63" s="22">
        <v>29</v>
      </c>
      <c r="B63" s="184" t="s">
        <v>25</v>
      </c>
      <c r="C63" s="185"/>
      <c r="D63" s="23">
        <f>IF(F3="1",SUMIF(Data!A:A,'15'!$A$2,Data!DW:DW),0)</f>
        <v>0</v>
      </c>
      <c r="E63" s="24">
        <f>IF($F$3="1",SUMIF(Data!$A:$A,$A$2,Data!JQ:JQ),0)</f>
        <v>0</v>
      </c>
      <c r="F63" s="25" t="str">
        <f t="shared" si="3"/>
        <v/>
      </c>
    </row>
    <row r="64" spans="1:6" x14ac:dyDescent="0.2">
      <c r="B64" s="30" t="s">
        <v>35</v>
      </c>
      <c r="C64" s="30"/>
      <c r="D64" s="59">
        <f>SUM(D36:D63)</f>
        <v>5507011</v>
      </c>
      <c r="E64" s="31">
        <f>SUM(E36:E63)</f>
        <v>2291446</v>
      </c>
      <c r="F64" s="32">
        <f t="shared" si="3"/>
        <v>0.42</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0</v>
      </c>
      <c r="E67" s="15">
        <f>IF(F3="1",SUMIF(Data!A:A,'15'!$A$2,Data!DY:DY),0)</f>
        <v>0</v>
      </c>
      <c r="F67" s="20" t="str">
        <f t="shared" ref="F67:F95" si="4">IF(OR(D67=0,E67=0),"",ROUND(E67/D67,2))</f>
        <v/>
      </c>
    </row>
    <row r="68" spans="1:6" x14ac:dyDescent="0.2">
      <c r="A68" s="19">
        <v>2</v>
      </c>
      <c r="B68" s="180" t="s">
        <v>1</v>
      </c>
      <c r="C68" s="181"/>
      <c r="D68" s="14">
        <f t="shared" ref="D68:D94" si="5">D37</f>
        <v>201544</v>
      </c>
      <c r="E68" s="17">
        <f>IF(F3="1",SUMIF(Data!A:A,'15'!$A$2,Data!DZ:DZ),0)</f>
        <v>458204</v>
      </c>
      <c r="F68" s="21">
        <f t="shared" si="4"/>
        <v>2.27</v>
      </c>
    </row>
    <row r="69" spans="1:6" ht="14.25" customHeight="1" x14ac:dyDescent="0.2">
      <c r="A69" s="19">
        <v>3</v>
      </c>
      <c r="B69" s="180" t="s">
        <v>2</v>
      </c>
      <c r="C69" s="181"/>
      <c r="D69" s="14">
        <f t="shared" si="5"/>
        <v>438608</v>
      </c>
      <c r="E69" s="17">
        <f>IF(F3="1",SUMIF(Data!A:A,'15'!$A$2,Data!EA:EA),0)</f>
        <v>1259510</v>
      </c>
      <c r="F69" s="21">
        <f t="shared" si="4"/>
        <v>2.87</v>
      </c>
    </row>
    <row r="70" spans="1:6" ht="14.25" customHeight="1" x14ac:dyDescent="0.2">
      <c r="A70" s="19">
        <v>4</v>
      </c>
      <c r="B70" s="180" t="s">
        <v>3</v>
      </c>
      <c r="C70" s="181"/>
      <c r="D70" s="14">
        <f t="shared" si="5"/>
        <v>419609</v>
      </c>
      <c r="E70" s="17">
        <f>IF(F3="1",SUMIF(Data!A:A,'15'!$A$2,Data!EB:EB),0)</f>
        <v>1707648</v>
      </c>
      <c r="F70" s="21">
        <f t="shared" si="4"/>
        <v>4.07</v>
      </c>
    </row>
    <row r="71" spans="1:6" x14ac:dyDescent="0.2">
      <c r="A71" s="19">
        <v>5</v>
      </c>
      <c r="B71" s="180" t="s">
        <v>4</v>
      </c>
      <c r="C71" s="181"/>
      <c r="D71" s="14">
        <f t="shared" si="5"/>
        <v>0</v>
      </c>
      <c r="E71" s="17">
        <f>IF(F3="1",SUMIF(Data!A:A,'15'!$A$2,Data!EC:EC),0)</f>
        <v>0</v>
      </c>
      <c r="F71" s="21" t="str">
        <f t="shared" si="4"/>
        <v/>
      </c>
    </row>
    <row r="72" spans="1:6" x14ac:dyDescent="0.2">
      <c r="A72" s="19">
        <v>6</v>
      </c>
      <c r="B72" s="180" t="s">
        <v>5</v>
      </c>
      <c r="C72" s="181"/>
      <c r="D72" s="14">
        <f t="shared" si="5"/>
        <v>34976</v>
      </c>
      <c r="E72" s="17">
        <f>IF(F3="1",SUMIF(Data!A:A,'15'!$A$2,Data!ED:ED),0)</f>
        <v>117216</v>
      </c>
      <c r="F72" s="21">
        <f t="shared" si="4"/>
        <v>3.35</v>
      </c>
    </row>
    <row r="73" spans="1:6" x14ac:dyDescent="0.2">
      <c r="A73" s="19">
        <v>7</v>
      </c>
      <c r="B73" s="180" t="s">
        <v>6</v>
      </c>
      <c r="C73" s="181"/>
      <c r="D73" s="14">
        <f t="shared" si="5"/>
        <v>294608</v>
      </c>
      <c r="E73" s="17">
        <f>IF(F3="1",SUMIF(Data!A:A,'15'!$A$2,Data!EE:EE),0)</f>
        <v>942162</v>
      </c>
      <c r="F73" s="21">
        <f t="shared" si="4"/>
        <v>3.2</v>
      </c>
    </row>
    <row r="74" spans="1:6" x14ac:dyDescent="0.2">
      <c r="A74" s="19">
        <v>8</v>
      </c>
      <c r="B74" s="180" t="s">
        <v>7</v>
      </c>
      <c r="C74" s="181"/>
      <c r="D74" s="14">
        <f t="shared" si="5"/>
        <v>18466</v>
      </c>
      <c r="E74" s="17">
        <f>IF(F3="1",SUMIF(Data!A:A,'15'!$A$2,Data!EF:EF),0)</f>
        <v>28806</v>
      </c>
      <c r="F74" s="21">
        <f t="shared" si="4"/>
        <v>1.56</v>
      </c>
    </row>
    <row r="75" spans="1:6" x14ac:dyDescent="0.2">
      <c r="A75" s="19">
        <v>9</v>
      </c>
      <c r="B75" s="180" t="s">
        <v>8</v>
      </c>
      <c r="C75" s="181"/>
      <c r="D75" s="14">
        <f t="shared" si="5"/>
        <v>286583</v>
      </c>
      <c r="E75" s="17">
        <f>IF(F3="1",SUMIF(Data!A:A,'15'!$A$2,Data!EG:EG),0)</f>
        <v>818325</v>
      </c>
      <c r="F75" s="21">
        <f t="shared" si="4"/>
        <v>2.86</v>
      </c>
    </row>
    <row r="76" spans="1:6" x14ac:dyDescent="0.2">
      <c r="A76" s="19">
        <v>10</v>
      </c>
      <c r="B76" s="180" t="s">
        <v>9</v>
      </c>
      <c r="C76" s="181"/>
      <c r="D76" s="14">
        <f t="shared" si="5"/>
        <v>416</v>
      </c>
      <c r="E76" s="17">
        <f>IF(F3="1",SUMIF(Data!A:A,'15'!$A$2,Data!EH:EH),0)</f>
        <v>1335</v>
      </c>
      <c r="F76" s="21">
        <f t="shared" si="4"/>
        <v>3.21</v>
      </c>
    </row>
    <row r="77" spans="1:6" x14ac:dyDescent="0.2">
      <c r="A77" s="19">
        <v>11</v>
      </c>
      <c r="B77" s="180" t="s">
        <v>10</v>
      </c>
      <c r="C77" s="181"/>
      <c r="D77" s="14">
        <f t="shared" si="5"/>
        <v>144991</v>
      </c>
      <c r="E77" s="17">
        <f>IF(F3="1",SUMIF(Data!A:A,'15'!$A$2,Data!EI:EI),0)</f>
        <v>522841</v>
      </c>
      <c r="F77" s="21">
        <f t="shared" si="4"/>
        <v>3.61</v>
      </c>
    </row>
    <row r="78" spans="1:6" ht="14.25" customHeight="1" x14ac:dyDescent="0.2">
      <c r="A78" s="19">
        <v>12</v>
      </c>
      <c r="B78" s="180" t="s">
        <v>11</v>
      </c>
      <c r="C78" s="181"/>
      <c r="D78" s="14">
        <f t="shared" si="5"/>
        <v>807684</v>
      </c>
      <c r="E78" s="17">
        <f>IF(F3="1",SUMIF(Data!A:A,'15'!$A$2,Data!EJ:EJ),0)</f>
        <v>3321942</v>
      </c>
      <c r="F78" s="21">
        <f t="shared" si="4"/>
        <v>4.1100000000000003</v>
      </c>
    </row>
    <row r="79" spans="1:6" x14ac:dyDescent="0.2">
      <c r="A79" s="19">
        <v>13</v>
      </c>
      <c r="B79" s="180" t="s">
        <v>12</v>
      </c>
      <c r="C79" s="181"/>
      <c r="D79" s="14">
        <f t="shared" si="5"/>
        <v>67833</v>
      </c>
      <c r="E79" s="17">
        <f>IF(F3="1",SUMIF(Data!A:A,'15'!$A$2,Data!EK:EK),0)</f>
        <v>153480</v>
      </c>
      <c r="F79" s="21">
        <f t="shared" si="4"/>
        <v>2.2599999999999998</v>
      </c>
    </row>
    <row r="80" spans="1:6" ht="14.25" customHeight="1" x14ac:dyDescent="0.2">
      <c r="A80" s="19">
        <v>14</v>
      </c>
      <c r="B80" s="180" t="s">
        <v>464</v>
      </c>
      <c r="C80" s="181"/>
      <c r="D80" s="14">
        <f t="shared" si="5"/>
        <v>334343</v>
      </c>
      <c r="E80" s="17">
        <f>IF(F3="1",SUMIF(Data!A:A,'15'!$A$2,Data!EL:EL),0)</f>
        <v>1686676</v>
      </c>
      <c r="F80" s="21">
        <f t="shared" si="4"/>
        <v>5.04</v>
      </c>
    </row>
    <row r="81" spans="1:6" x14ac:dyDescent="0.2">
      <c r="A81" s="19">
        <v>15</v>
      </c>
      <c r="B81" s="180" t="s">
        <v>13</v>
      </c>
      <c r="C81" s="181"/>
      <c r="D81" s="14">
        <f t="shared" si="5"/>
        <v>27898</v>
      </c>
      <c r="E81" s="17">
        <f>IF(F3="1",SUMIF(Data!A:A,'15'!$A$2,Data!EM:EM),0)</f>
        <v>247105</v>
      </c>
      <c r="F81" s="21">
        <f t="shared" si="4"/>
        <v>8.86</v>
      </c>
    </row>
    <row r="82" spans="1:6" x14ac:dyDescent="0.2">
      <c r="A82" s="19">
        <v>16</v>
      </c>
      <c r="B82" s="180" t="s">
        <v>14</v>
      </c>
      <c r="C82" s="181"/>
      <c r="D82" s="14">
        <f t="shared" si="5"/>
        <v>465075</v>
      </c>
      <c r="E82" s="17">
        <f>IF(F3="1",SUMIF(Data!A:A,'15'!$A$2,Data!EN:EN),0)</f>
        <v>1621598</v>
      </c>
      <c r="F82" s="21">
        <f t="shared" si="4"/>
        <v>3.49</v>
      </c>
    </row>
    <row r="83" spans="1:6" x14ac:dyDescent="0.2">
      <c r="A83" s="19">
        <v>17</v>
      </c>
      <c r="B83" s="180" t="s">
        <v>15</v>
      </c>
      <c r="C83" s="181"/>
      <c r="D83" s="14">
        <f t="shared" si="5"/>
        <v>18688</v>
      </c>
      <c r="E83" s="17">
        <f>IF(F3="1",SUMIF(Data!A:A,'15'!$A$2,Data!EO:EO),0)</f>
        <v>160159</v>
      </c>
      <c r="F83" s="21">
        <f t="shared" si="4"/>
        <v>8.57</v>
      </c>
    </row>
    <row r="84" spans="1:6" x14ac:dyDescent="0.2">
      <c r="A84" s="19">
        <v>18</v>
      </c>
      <c r="B84" s="180" t="s">
        <v>16</v>
      </c>
      <c r="C84" s="181"/>
      <c r="D84" s="14">
        <f t="shared" si="5"/>
        <v>100272</v>
      </c>
      <c r="E84" s="17">
        <f>IF(F3="1",SUMIF(Data!A:A,'15'!$A$2,Data!EP:EP),0)</f>
        <v>512441</v>
      </c>
      <c r="F84" s="21">
        <f t="shared" si="4"/>
        <v>5.1100000000000003</v>
      </c>
    </row>
    <row r="85" spans="1:6" x14ac:dyDescent="0.2">
      <c r="A85" s="19">
        <v>19</v>
      </c>
      <c r="B85" s="180" t="s">
        <v>17</v>
      </c>
      <c r="C85" s="181"/>
      <c r="D85" s="14">
        <f t="shared" si="5"/>
        <v>513391</v>
      </c>
      <c r="E85" s="17">
        <f>IF(F3="1",SUMIF(Data!A:A,'15'!$A$2,Data!EQ:EQ),0)</f>
        <v>1679930</v>
      </c>
      <c r="F85" s="21">
        <f t="shared" si="4"/>
        <v>3.27</v>
      </c>
    </row>
    <row r="86" spans="1:6" x14ac:dyDescent="0.2">
      <c r="A86" s="19">
        <v>20</v>
      </c>
      <c r="B86" s="180" t="s">
        <v>18</v>
      </c>
      <c r="C86" s="181"/>
      <c r="D86" s="14">
        <f t="shared" si="5"/>
        <v>86388</v>
      </c>
      <c r="E86" s="17">
        <f>IF(F3="1",SUMIF(Data!A:A,'15'!$A$2,Data!ER:ER),0)</f>
        <v>323728</v>
      </c>
      <c r="F86" s="21">
        <f t="shared" si="4"/>
        <v>3.75</v>
      </c>
    </row>
    <row r="87" spans="1:6" ht="14.25" customHeight="1" x14ac:dyDescent="0.2">
      <c r="A87" s="19">
        <v>21</v>
      </c>
      <c r="B87" s="180" t="s">
        <v>461</v>
      </c>
      <c r="C87" s="181"/>
      <c r="D87" s="14">
        <f t="shared" si="5"/>
        <v>85684</v>
      </c>
      <c r="E87" s="17">
        <f>IF(F3="1",SUMIF(Data!A:A,'15'!$A$2,Data!ES:ES),0)</f>
        <v>265565</v>
      </c>
      <c r="F87" s="21">
        <f t="shared" si="4"/>
        <v>3.1</v>
      </c>
    </row>
    <row r="88" spans="1:6" x14ac:dyDescent="0.2">
      <c r="A88" s="19">
        <v>22</v>
      </c>
      <c r="B88" s="180" t="s">
        <v>19</v>
      </c>
      <c r="C88" s="181"/>
      <c r="D88" s="14">
        <f t="shared" si="5"/>
        <v>32464</v>
      </c>
      <c r="E88" s="17">
        <f>IF(F3="1",SUMIF(Data!A:A,'15'!$A$2,Data!ET:ET),0)</f>
        <v>126490</v>
      </c>
      <c r="F88" s="21">
        <f t="shared" si="4"/>
        <v>3.9</v>
      </c>
    </row>
    <row r="89" spans="1:6" x14ac:dyDescent="0.2">
      <c r="A89" s="19">
        <v>23</v>
      </c>
      <c r="B89" s="180" t="s">
        <v>20</v>
      </c>
      <c r="C89" s="181"/>
      <c r="D89" s="14">
        <f t="shared" si="5"/>
        <v>119232</v>
      </c>
      <c r="E89" s="17">
        <f>IF(F3="1",SUMIF(Data!A:A,'15'!$A$2,Data!EU:EU),0)</f>
        <v>412621</v>
      </c>
      <c r="F89" s="21">
        <f t="shared" si="4"/>
        <v>3.46</v>
      </c>
    </row>
    <row r="90" spans="1:6" x14ac:dyDescent="0.2">
      <c r="A90" s="19">
        <v>24</v>
      </c>
      <c r="B90" s="180" t="s">
        <v>21</v>
      </c>
      <c r="C90" s="181"/>
      <c r="D90" s="14">
        <f t="shared" si="5"/>
        <v>245880</v>
      </c>
      <c r="E90" s="17">
        <f>IF(F3="1",SUMIF(Data!A:A,'15'!$A$2,Data!EV:EV),0)</f>
        <v>589099</v>
      </c>
      <c r="F90" s="21">
        <f t="shared" si="4"/>
        <v>2.4</v>
      </c>
    </row>
    <row r="91" spans="1:6" x14ac:dyDescent="0.2">
      <c r="A91" s="19">
        <v>25</v>
      </c>
      <c r="B91" s="180" t="s">
        <v>22</v>
      </c>
      <c r="C91" s="181"/>
      <c r="D91" s="14">
        <f t="shared" si="5"/>
        <v>542288</v>
      </c>
      <c r="E91" s="17">
        <f>IF(F3="1",SUMIF(Data!A:A,'15'!$A$2,Data!EW:EW),0)</f>
        <v>1775329</v>
      </c>
      <c r="F91" s="21">
        <f t="shared" si="4"/>
        <v>3.27</v>
      </c>
    </row>
    <row r="92" spans="1:6" x14ac:dyDescent="0.2">
      <c r="A92" s="19">
        <v>26</v>
      </c>
      <c r="B92" s="180" t="s">
        <v>23</v>
      </c>
      <c r="C92" s="181"/>
      <c r="D92" s="14">
        <f t="shared" si="5"/>
        <v>220090</v>
      </c>
      <c r="E92" s="17">
        <f>IF(F3="1",SUMIF(Data!A:A,'15'!$A$2,Data!EX:EX),0)</f>
        <v>1460975</v>
      </c>
      <c r="F92" s="21">
        <f t="shared" si="4"/>
        <v>6.64</v>
      </c>
    </row>
    <row r="93" spans="1:6" x14ac:dyDescent="0.2">
      <c r="A93" s="19">
        <v>28</v>
      </c>
      <c r="B93" s="180" t="s">
        <v>24</v>
      </c>
      <c r="C93" s="181"/>
      <c r="D93" s="14">
        <f t="shared" si="5"/>
        <v>0</v>
      </c>
      <c r="E93" s="17">
        <f>IF(F3="1",SUMIF(Data!A:A,'15'!$A$2,Data!EZ:EZ),0)</f>
        <v>0</v>
      </c>
      <c r="F93" s="21" t="str">
        <f t="shared" si="4"/>
        <v/>
      </c>
    </row>
    <row r="94" spans="1:6" ht="15.75" customHeight="1" thickBot="1" x14ac:dyDescent="0.25">
      <c r="A94" s="22">
        <v>29</v>
      </c>
      <c r="B94" s="184" t="s">
        <v>25</v>
      </c>
      <c r="C94" s="185"/>
      <c r="D94" s="23">
        <f t="shared" si="5"/>
        <v>0</v>
      </c>
      <c r="E94" s="24">
        <f>IF(F3="1",SUMIF(Data!A:A,'15'!$A$2,Data!FA:FA),0)</f>
        <v>0</v>
      </c>
      <c r="F94" s="25" t="str">
        <f t="shared" si="4"/>
        <v/>
      </c>
    </row>
    <row r="95" spans="1:6" x14ac:dyDescent="0.2">
      <c r="B95" s="30" t="s">
        <v>35</v>
      </c>
      <c r="C95" s="30"/>
      <c r="D95" s="59">
        <f>SUM(D67:D94)</f>
        <v>5507011</v>
      </c>
      <c r="E95" s="31">
        <f>SUM(E67:E94)</f>
        <v>20193185</v>
      </c>
      <c r="F95" s="32">
        <f t="shared" si="4"/>
        <v>3.67</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IF(F3="1",SUMIF(Data!A:A,'15'!$A$2,Data!AH:AH),0)</f>
        <v>9056644</v>
      </c>
      <c r="F98" s="20">
        <f>IF(OR(E98=0,E98=0),"",ROUND(E98/$D$105,2))</f>
        <v>1.64</v>
      </c>
    </row>
    <row r="99" spans="2:6" x14ac:dyDescent="0.2">
      <c r="B99" s="190" t="s">
        <v>31</v>
      </c>
      <c r="C99" s="191"/>
      <c r="D99" s="36"/>
      <c r="E99" s="17">
        <f>IF(F3="1",SUMIF(Data!A:A,'15'!$A$2,Data!AI:AI),0)</f>
        <v>4822949</v>
      </c>
      <c r="F99" s="21">
        <f t="shared" ref="F99:F104" si="6">IF(OR(E99=0,E99=0),"",ROUND(E99/$D$105,2))</f>
        <v>0.88</v>
      </c>
    </row>
    <row r="100" spans="2:6" x14ac:dyDescent="0.2">
      <c r="B100" s="190" t="s">
        <v>1089</v>
      </c>
      <c r="C100" s="191"/>
      <c r="D100" s="36"/>
      <c r="E100" s="17">
        <f>IF(F3="1",SUMIF(Data!A:A,'15'!$A$2,Data!AJ:AJ),0)</f>
        <v>2288027</v>
      </c>
      <c r="F100" s="21">
        <f t="shared" si="6"/>
        <v>0.42</v>
      </c>
    </row>
    <row r="101" spans="2:6" x14ac:dyDescent="0.2">
      <c r="B101" s="190" t="s">
        <v>1090</v>
      </c>
      <c r="C101" s="191"/>
      <c r="D101" s="36"/>
      <c r="E101" s="17">
        <f>IF(F3="1",SUMIF(Data!A:A,'15'!$A$2,Data!AK:AK),0)</f>
        <v>3132763</v>
      </c>
      <c r="F101" s="21">
        <f t="shared" si="6"/>
        <v>0.56999999999999995</v>
      </c>
    </row>
    <row r="102" spans="2:6" x14ac:dyDescent="0.2">
      <c r="B102" s="190" t="s">
        <v>1091</v>
      </c>
      <c r="C102" s="191"/>
      <c r="D102" s="36"/>
      <c r="E102" s="17">
        <f>IF(F3="1",SUMIF(Data!A:A,'15'!$A$2,Data!AL:AL),0)</f>
        <v>0</v>
      </c>
      <c r="F102" s="21" t="str">
        <f t="shared" si="6"/>
        <v/>
      </c>
    </row>
    <row r="103" spans="2:6" x14ac:dyDescent="0.2">
      <c r="B103" s="192" t="s">
        <v>34</v>
      </c>
      <c r="C103" s="193"/>
      <c r="D103" s="36"/>
      <c r="E103" s="17">
        <f>IF(F3="1",SUMIF(Data!A:A,'15'!$A$2,Data!AM:AM),0)</f>
        <v>0</v>
      </c>
      <c r="F103" s="21" t="str">
        <f t="shared" si="6"/>
        <v/>
      </c>
    </row>
    <row r="104" spans="2:6" ht="15.75" customHeight="1" thickBot="1" x14ac:dyDescent="0.25">
      <c r="B104" s="186" t="s">
        <v>29</v>
      </c>
      <c r="C104" s="187"/>
      <c r="D104" s="37"/>
      <c r="E104" s="24">
        <f>IF(F3="1",SUMIF(Data!A:A,'15'!$A$2,Data!Q:Q),0)</f>
        <v>4003286</v>
      </c>
      <c r="F104" s="25">
        <f t="shared" si="6"/>
        <v>0.73</v>
      </c>
    </row>
    <row r="105" spans="2:6" x14ac:dyDescent="0.2">
      <c r="B105" s="30" t="s">
        <v>35</v>
      </c>
      <c r="C105" s="30"/>
      <c r="D105" s="34">
        <f>D95</f>
        <v>5507011</v>
      </c>
      <c r="E105" s="31">
        <f>SUM(E98:E104)</f>
        <v>23303669</v>
      </c>
      <c r="F105" s="32">
        <f>IF($D$105=0,"",ROUND(E105/$D$105,2))</f>
        <v>4.2300000000000004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20193185</v>
      </c>
      <c r="D109" s="15">
        <f>IF(F3="1",SUMIF(Data!$A:$A,$A$2,Data!HJ:HJ),0)</f>
        <v>0</v>
      </c>
      <c r="E109" s="15">
        <f>IF(F3="1",SUMIF(Data!$A:$A,$A$2,Data!IN:IN),0)</f>
        <v>0</v>
      </c>
      <c r="F109" s="47">
        <f>SUM(C109:E109)</f>
        <v>20193185</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4003286</v>
      </c>
      <c r="E117" s="52"/>
      <c r="F117" s="49">
        <f>SUM(C117:E117)</f>
        <v>4003286</v>
      </c>
    </row>
    <row r="118" spans="1:6" x14ac:dyDescent="0.2">
      <c r="B118" s="13" t="s">
        <v>35</v>
      </c>
      <c r="C118" s="4">
        <f>SUM(C109:C116)</f>
        <v>20193185</v>
      </c>
      <c r="D118" s="4">
        <f>SUM(D109:D116)</f>
        <v>0</v>
      </c>
      <c r="E118" s="4">
        <f>SUM(E109:E116)</f>
        <v>0</v>
      </c>
      <c r="F118" s="4">
        <f>SUM(F109:F116)</f>
        <v>20193185</v>
      </c>
    </row>
    <row r="119" spans="1:6" ht="15" thickBot="1" x14ac:dyDescent="0.25"/>
    <row r="120" spans="1:6" ht="15" thickBot="1" x14ac:dyDescent="0.25">
      <c r="B120" s="55" t="s">
        <v>934</v>
      </c>
      <c r="C120" s="53"/>
      <c r="D120" s="53"/>
      <c r="E120" s="53">
        <f>IF(F3="1",SUMIF(Data!A:A,'15'!$A$2,Data!AM:AM),0)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42578125" style="10" bestFit="1" customWidth="1"/>
    <col min="12" max="12" width="13.5703125" style="10" bestFit="1" customWidth="1"/>
    <col min="13" max="13" width="12.140625" style="10" bestFit="1" customWidth="1"/>
    <col min="14" max="14" width="13.5703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439</v>
      </c>
      <c r="B2" s="58" t="str">
        <f>VLOOKUP(A2,Data!A:G,7,0)</f>
        <v>El Paso Community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0</v>
      </c>
      <c r="E5" s="15">
        <f>E36+E67+IFERROR($E$105/$D$105*D5,0)</f>
        <v>0</v>
      </c>
      <c r="F5" s="20" t="str">
        <f>IF(OR(D5=0,E5=0),"",ROUND(E5/D5,2))</f>
        <v/>
      </c>
    </row>
    <row r="6" spans="1:6" x14ac:dyDescent="0.2">
      <c r="A6" s="19">
        <v>2</v>
      </c>
      <c r="B6" s="180" t="s">
        <v>1</v>
      </c>
      <c r="C6" s="181"/>
      <c r="D6" s="14">
        <f t="shared" ref="D6:D32" si="0">D37</f>
        <v>79732</v>
      </c>
      <c r="E6" s="17">
        <f t="shared" ref="E6:E32" si="1">E37+E68+IFERROR($E$105/$D$105*D6,0)</f>
        <v>1579091.3145026669</v>
      </c>
      <c r="F6" s="21">
        <f t="shared" ref="F6:F33" si="2">IF(OR(D6=0,E6=0),"",ROUND(E6/D6,2))</f>
        <v>19.8</v>
      </c>
    </row>
    <row r="7" spans="1:6" ht="14.25" customHeight="1" x14ac:dyDescent="0.2">
      <c r="A7" s="19">
        <v>3</v>
      </c>
      <c r="B7" s="180" t="s">
        <v>2</v>
      </c>
      <c r="C7" s="181"/>
      <c r="D7" s="14">
        <f t="shared" si="0"/>
        <v>863088</v>
      </c>
      <c r="E7" s="17">
        <f t="shared" si="1"/>
        <v>5320547.0819680663</v>
      </c>
      <c r="F7" s="21">
        <f t="shared" si="2"/>
        <v>6.16</v>
      </c>
    </row>
    <row r="8" spans="1:6" ht="14.25" customHeight="1" x14ac:dyDescent="0.2">
      <c r="A8" s="19">
        <v>4</v>
      </c>
      <c r="B8" s="180" t="s">
        <v>3</v>
      </c>
      <c r="C8" s="181"/>
      <c r="D8" s="14">
        <f t="shared" si="0"/>
        <v>471149</v>
      </c>
      <c r="E8" s="17">
        <f t="shared" si="1"/>
        <v>3100956.035062673</v>
      </c>
      <c r="F8" s="21">
        <f t="shared" si="2"/>
        <v>6.58</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19200</v>
      </c>
      <c r="E10" s="17">
        <f t="shared" si="1"/>
        <v>371318.37132457743</v>
      </c>
      <c r="F10" s="21">
        <f t="shared" si="2"/>
        <v>19.34</v>
      </c>
    </row>
    <row r="11" spans="1:6" x14ac:dyDescent="0.2">
      <c r="A11" s="19">
        <v>7</v>
      </c>
      <c r="B11" s="180" t="s">
        <v>6</v>
      </c>
      <c r="C11" s="181"/>
      <c r="D11" s="14">
        <f t="shared" si="0"/>
        <v>373191</v>
      </c>
      <c r="E11" s="17">
        <f t="shared" si="1"/>
        <v>3084230.306822415</v>
      </c>
      <c r="F11" s="21">
        <f t="shared" si="2"/>
        <v>8.26</v>
      </c>
    </row>
    <row r="12" spans="1:6" x14ac:dyDescent="0.2">
      <c r="A12" s="19">
        <v>8</v>
      </c>
      <c r="B12" s="180" t="s">
        <v>7</v>
      </c>
      <c r="C12" s="181"/>
      <c r="D12" s="14">
        <f t="shared" si="0"/>
        <v>0</v>
      </c>
      <c r="E12" s="17">
        <f t="shared" si="1"/>
        <v>0</v>
      </c>
      <c r="F12" s="21" t="str">
        <f t="shared" si="2"/>
        <v/>
      </c>
    </row>
    <row r="13" spans="1:6" x14ac:dyDescent="0.2">
      <c r="A13" s="19">
        <v>9</v>
      </c>
      <c r="B13" s="180" t="s">
        <v>8</v>
      </c>
      <c r="C13" s="181"/>
      <c r="D13" s="14">
        <f t="shared" si="0"/>
        <v>368060</v>
      </c>
      <c r="E13" s="17">
        <f t="shared" si="1"/>
        <v>1696711.8557147898</v>
      </c>
      <c r="F13" s="21">
        <f t="shared" si="2"/>
        <v>4.6100000000000003</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0</v>
      </c>
      <c r="E15" s="17">
        <f t="shared" si="1"/>
        <v>0</v>
      </c>
      <c r="F15" s="21" t="str">
        <f t="shared" si="2"/>
        <v/>
      </c>
    </row>
    <row r="16" spans="1:6" ht="14.25" customHeight="1" x14ac:dyDescent="0.2">
      <c r="A16" s="19">
        <v>12</v>
      </c>
      <c r="B16" s="180" t="s">
        <v>11</v>
      </c>
      <c r="C16" s="181"/>
      <c r="D16" s="14">
        <f t="shared" si="0"/>
        <v>2570566</v>
      </c>
      <c r="E16" s="17">
        <f t="shared" si="1"/>
        <v>18223648.288038209</v>
      </c>
      <c r="F16" s="21">
        <f t="shared" si="2"/>
        <v>7.09</v>
      </c>
    </row>
    <row r="17" spans="1:6" x14ac:dyDescent="0.2">
      <c r="A17" s="19">
        <v>13</v>
      </c>
      <c r="B17" s="180" t="s">
        <v>12</v>
      </c>
      <c r="C17" s="181"/>
      <c r="D17" s="14">
        <f t="shared" si="0"/>
        <v>72542</v>
      </c>
      <c r="E17" s="17">
        <f t="shared" si="1"/>
        <v>636840.63169934868</v>
      </c>
      <c r="F17" s="21">
        <f t="shared" si="2"/>
        <v>8.7799999999999994</v>
      </c>
    </row>
    <row r="18" spans="1:6" ht="14.25" customHeight="1" x14ac:dyDescent="0.2">
      <c r="A18" s="19">
        <v>14</v>
      </c>
      <c r="B18" s="180" t="s">
        <v>464</v>
      </c>
      <c r="C18" s="181"/>
      <c r="D18" s="14">
        <f t="shared" si="0"/>
        <v>155514</v>
      </c>
      <c r="E18" s="17">
        <f t="shared" si="1"/>
        <v>2205753.8338630381</v>
      </c>
      <c r="F18" s="21">
        <f t="shared" si="2"/>
        <v>14.18</v>
      </c>
    </row>
    <row r="19" spans="1:6" x14ac:dyDescent="0.2">
      <c r="A19" s="19">
        <v>15</v>
      </c>
      <c r="B19" s="180" t="s">
        <v>13</v>
      </c>
      <c r="C19" s="181"/>
      <c r="D19" s="14">
        <f t="shared" si="0"/>
        <v>26112</v>
      </c>
      <c r="E19" s="17">
        <f t="shared" si="1"/>
        <v>370428.86500142526</v>
      </c>
      <c r="F19" s="21">
        <f t="shared" si="2"/>
        <v>14.19</v>
      </c>
    </row>
    <row r="20" spans="1:6" x14ac:dyDescent="0.2">
      <c r="A20" s="19">
        <v>16</v>
      </c>
      <c r="B20" s="180" t="s">
        <v>14</v>
      </c>
      <c r="C20" s="181"/>
      <c r="D20" s="14">
        <f t="shared" si="0"/>
        <v>359263</v>
      </c>
      <c r="E20" s="17">
        <f t="shared" si="1"/>
        <v>3533965.5724573778</v>
      </c>
      <c r="F20" s="21">
        <f t="shared" si="2"/>
        <v>9.84</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0</v>
      </c>
      <c r="E22" s="17">
        <f t="shared" si="1"/>
        <v>0</v>
      </c>
      <c r="F22" s="21" t="str">
        <f t="shared" si="2"/>
        <v/>
      </c>
    </row>
    <row r="23" spans="1:6" x14ac:dyDescent="0.2">
      <c r="A23" s="19">
        <v>19</v>
      </c>
      <c r="B23" s="180" t="s">
        <v>17</v>
      </c>
      <c r="C23" s="181"/>
      <c r="D23" s="14">
        <f t="shared" si="0"/>
        <v>1324954</v>
      </c>
      <c r="E23" s="17">
        <f t="shared" si="1"/>
        <v>7684252.1506241737</v>
      </c>
      <c r="F23" s="21">
        <f t="shared" si="2"/>
        <v>5.8</v>
      </c>
    </row>
    <row r="24" spans="1:6" x14ac:dyDescent="0.2">
      <c r="A24" s="19">
        <v>20</v>
      </c>
      <c r="B24" s="180" t="s">
        <v>18</v>
      </c>
      <c r="C24" s="181"/>
      <c r="D24" s="14">
        <f t="shared" si="0"/>
        <v>52324</v>
      </c>
      <c r="E24" s="17">
        <f t="shared" si="1"/>
        <v>560226.29443683277</v>
      </c>
      <c r="F24" s="21">
        <f t="shared" si="2"/>
        <v>10.71</v>
      </c>
    </row>
    <row r="25" spans="1:6" ht="14.25" customHeight="1" x14ac:dyDescent="0.2">
      <c r="A25" s="19">
        <v>21</v>
      </c>
      <c r="B25" s="180" t="s">
        <v>461</v>
      </c>
      <c r="C25" s="181"/>
      <c r="D25" s="14">
        <f t="shared" si="0"/>
        <v>0</v>
      </c>
      <c r="E25" s="17">
        <f t="shared" si="1"/>
        <v>0</v>
      </c>
      <c r="F25" s="21" t="str">
        <f t="shared" si="2"/>
        <v/>
      </c>
    </row>
    <row r="26" spans="1:6" x14ac:dyDescent="0.2">
      <c r="A26" s="19">
        <v>22</v>
      </c>
      <c r="B26" s="180" t="s">
        <v>19</v>
      </c>
      <c r="C26" s="181"/>
      <c r="D26" s="14">
        <f t="shared" si="0"/>
        <v>127607</v>
      </c>
      <c r="E26" s="17">
        <f t="shared" si="1"/>
        <v>777430.78727163281</v>
      </c>
      <c r="F26" s="21">
        <f t="shared" si="2"/>
        <v>6.09</v>
      </c>
    </row>
    <row r="27" spans="1:6" x14ac:dyDescent="0.2">
      <c r="A27" s="19">
        <v>23</v>
      </c>
      <c r="B27" s="180" t="s">
        <v>20</v>
      </c>
      <c r="C27" s="181"/>
      <c r="D27" s="14">
        <f t="shared" si="0"/>
        <v>49312</v>
      </c>
      <c r="E27" s="17">
        <f t="shared" si="1"/>
        <v>771562.8136852897</v>
      </c>
      <c r="F27" s="21">
        <f t="shared" si="2"/>
        <v>15.65</v>
      </c>
    </row>
    <row r="28" spans="1:6" x14ac:dyDescent="0.2">
      <c r="A28" s="19">
        <v>24</v>
      </c>
      <c r="B28" s="180" t="s">
        <v>21</v>
      </c>
      <c r="C28" s="181"/>
      <c r="D28" s="14">
        <f t="shared" si="0"/>
        <v>218080</v>
      </c>
      <c r="E28" s="17">
        <f t="shared" si="1"/>
        <v>1534978.1176283252</v>
      </c>
      <c r="F28" s="21">
        <f t="shared" si="2"/>
        <v>7.04</v>
      </c>
    </row>
    <row r="29" spans="1:6" x14ac:dyDescent="0.2">
      <c r="A29" s="19">
        <v>25</v>
      </c>
      <c r="B29" s="180" t="s">
        <v>22</v>
      </c>
      <c r="C29" s="181"/>
      <c r="D29" s="14">
        <f t="shared" si="0"/>
        <v>1475328</v>
      </c>
      <c r="E29" s="17">
        <f t="shared" si="1"/>
        <v>9080476.3725805283</v>
      </c>
      <c r="F29" s="21">
        <f t="shared" si="2"/>
        <v>6.15</v>
      </c>
    </row>
    <row r="30" spans="1:6" x14ac:dyDescent="0.2">
      <c r="A30" s="19">
        <v>26</v>
      </c>
      <c r="B30" s="180" t="s">
        <v>23</v>
      </c>
      <c r="C30" s="181"/>
      <c r="D30" s="14">
        <f t="shared" si="0"/>
        <v>311524</v>
      </c>
      <c r="E30" s="17">
        <f t="shared" si="1"/>
        <v>2053008.3073186278</v>
      </c>
      <c r="F30" s="21">
        <f t="shared" si="2"/>
        <v>6.59</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8917546</v>
      </c>
      <c r="E33" s="31">
        <f>SUM(E5:E32)</f>
        <v>62585427</v>
      </c>
      <c r="F33" s="32">
        <f t="shared" si="2"/>
        <v>7.02</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IF(F3="1",SUMIF(Data!A:A,'16'!$A$2,Data!CU:CU),0)</f>
        <v>0</v>
      </c>
      <c r="E36" s="15">
        <f>IF(F3="1",SUMIF(Data!$A:$A,$A$2,Data!IO:IO),0)</f>
        <v>0</v>
      </c>
      <c r="F36" s="20" t="str">
        <f t="shared" ref="F36:F64" si="3">IF(OR(D36=0,E36=0),"",ROUND(E36/D36,2))</f>
        <v/>
      </c>
    </row>
    <row r="37" spans="1:6" x14ac:dyDescent="0.2">
      <c r="A37" s="19">
        <v>2</v>
      </c>
      <c r="B37" s="180" t="s">
        <v>1</v>
      </c>
      <c r="C37" s="181"/>
      <c r="D37" s="14">
        <f>IF(F3="1",SUMIF(Data!A:A,'16'!$A$2,Data!CV:CV),0)</f>
        <v>79732</v>
      </c>
      <c r="E37" s="17">
        <f>IF(F3="1",SUMIF(Data!$A:$A,$A$2,Data!IP:IP),0)</f>
        <v>471111</v>
      </c>
      <c r="F37" s="21">
        <f t="shared" si="3"/>
        <v>5.91</v>
      </c>
    </row>
    <row r="38" spans="1:6" ht="14.25" customHeight="1" x14ac:dyDescent="0.2">
      <c r="A38" s="19">
        <v>3</v>
      </c>
      <c r="B38" s="180" t="s">
        <v>2</v>
      </c>
      <c r="C38" s="181"/>
      <c r="D38" s="14">
        <f>IF(F3="1",SUMIF(Data!A:A,'16'!$A$2,Data!CW:CW),0)</f>
        <v>863088</v>
      </c>
      <c r="E38" s="17">
        <f>IF($F$3="1",SUMIF(Data!$A:$A,$A$2,Data!IQ:IQ),0)</f>
        <v>272909</v>
      </c>
      <c r="F38" s="21">
        <f t="shared" si="3"/>
        <v>0.32</v>
      </c>
    </row>
    <row r="39" spans="1:6" ht="14.25" customHeight="1" x14ac:dyDescent="0.2">
      <c r="A39" s="19">
        <v>4</v>
      </c>
      <c r="B39" s="180" t="s">
        <v>3</v>
      </c>
      <c r="C39" s="181"/>
      <c r="D39" s="14">
        <f>IF(F3="1",SUMIF(Data!A:A,'16'!$A$2,Data!CX:CX),0)</f>
        <v>471149</v>
      </c>
      <c r="E39" s="17">
        <f>IF($F$3="1",SUMIF(Data!$A:$A,$A$2,Data!IR:IR),0)</f>
        <v>363374</v>
      </c>
      <c r="F39" s="21">
        <f t="shared" si="3"/>
        <v>0.77</v>
      </c>
    </row>
    <row r="40" spans="1:6" x14ac:dyDescent="0.2">
      <c r="A40" s="19">
        <v>5</v>
      </c>
      <c r="B40" s="180" t="s">
        <v>4</v>
      </c>
      <c r="C40" s="181"/>
      <c r="D40" s="14">
        <f>IF(F3="1",SUMIF(Data!A:A,'16'!$A$2,Data!CY:CY),0)</f>
        <v>0</v>
      </c>
      <c r="E40" s="17">
        <f>IF($F$3="1",SUMIF(Data!$A:$A,$A$2,Data!IS:IS),0)</f>
        <v>0</v>
      </c>
      <c r="F40" s="21" t="str">
        <f t="shared" si="3"/>
        <v/>
      </c>
    </row>
    <row r="41" spans="1:6" x14ac:dyDescent="0.2">
      <c r="A41" s="19">
        <v>6</v>
      </c>
      <c r="B41" s="180" t="s">
        <v>5</v>
      </c>
      <c r="C41" s="181"/>
      <c r="D41" s="14">
        <f>IF(F3="1",SUMIF(Data!A:A,'16'!$A$2,Data!CZ:CZ),0)</f>
        <v>19200</v>
      </c>
      <c r="E41" s="17">
        <f>IF($F$3="1",SUMIF(Data!$A:$A,$A$2,Data!IT:IT),0)</f>
        <v>88247</v>
      </c>
      <c r="F41" s="21">
        <f t="shared" si="3"/>
        <v>4.5999999999999996</v>
      </c>
    </row>
    <row r="42" spans="1:6" x14ac:dyDescent="0.2">
      <c r="A42" s="19">
        <v>7</v>
      </c>
      <c r="B42" s="180" t="s">
        <v>6</v>
      </c>
      <c r="C42" s="181"/>
      <c r="D42" s="14">
        <f>IF(F3="1",SUMIF(Data!A:A,'16'!$A$2,Data!DA:DA),0)</f>
        <v>373191</v>
      </c>
      <c r="E42" s="17">
        <f>IF($F$3="1",SUMIF(Data!$A:$A,$A$2,Data!IU:IU),0)</f>
        <v>262806</v>
      </c>
      <c r="F42" s="21">
        <f t="shared" si="3"/>
        <v>0.7</v>
      </c>
    </row>
    <row r="43" spans="1:6" x14ac:dyDescent="0.2">
      <c r="A43" s="19">
        <v>8</v>
      </c>
      <c r="B43" s="180" t="s">
        <v>7</v>
      </c>
      <c r="C43" s="181"/>
      <c r="D43" s="14">
        <f>IF(F3="1",SUMIF(Data!A:A,'16'!$A$2,Data!DB:DB),0)</f>
        <v>0</v>
      </c>
      <c r="E43" s="17">
        <f>IF($F$3="1",SUMIF(Data!$A:$A,$A$2,Data!IV:IV),0)</f>
        <v>0</v>
      </c>
      <c r="F43" s="21" t="str">
        <f t="shared" si="3"/>
        <v/>
      </c>
    </row>
    <row r="44" spans="1:6" x14ac:dyDescent="0.2">
      <c r="A44" s="19">
        <v>9</v>
      </c>
      <c r="B44" s="180" t="s">
        <v>8</v>
      </c>
      <c r="C44" s="181"/>
      <c r="D44" s="14">
        <f>IF(F3="1",SUMIF(Data!A:A,'16'!$A$2,Data!DC:DC),0)</f>
        <v>368060</v>
      </c>
      <c r="E44" s="17">
        <f>IF($F$3="1",SUMIF(Data!$A:$A,$A$2,Data!IW:IW),0)</f>
        <v>84919</v>
      </c>
      <c r="F44" s="21">
        <f t="shared" si="3"/>
        <v>0.23</v>
      </c>
    </row>
    <row r="45" spans="1:6" x14ac:dyDescent="0.2">
      <c r="A45" s="19">
        <v>10</v>
      </c>
      <c r="B45" s="180" t="s">
        <v>9</v>
      </c>
      <c r="C45" s="181"/>
      <c r="D45" s="14">
        <f>IF(F3="1",SUMIF(Data!A:A,'16'!$A$2,Data!DD:DD),0)</f>
        <v>0</v>
      </c>
      <c r="E45" s="17">
        <f>IF($F$3="1",SUMIF(Data!$A:$A,$A$2,Data!IX:IX),0)</f>
        <v>0</v>
      </c>
      <c r="F45" s="21" t="str">
        <f t="shared" si="3"/>
        <v/>
      </c>
    </row>
    <row r="46" spans="1:6" x14ac:dyDescent="0.2">
      <c r="A46" s="19">
        <v>11</v>
      </c>
      <c r="B46" s="180" t="s">
        <v>10</v>
      </c>
      <c r="C46" s="181"/>
      <c r="D46" s="14">
        <f>IF(F3="1",SUMIF(Data!A:A,'16'!$A$2,Data!DE:DE),0)</f>
        <v>0</v>
      </c>
      <c r="E46" s="17">
        <f>IF($F$3="1",SUMIF(Data!$A:$A,$A$2,Data!IY:IY),0)</f>
        <v>0</v>
      </c>
      <c r="F46" s="21" t="str">
        <f t="shared" si="3"/>
        <v/>
      </c>
    </row>
    <row r="47" spans="1:6" ht="14.25" customHeight="1" x14ac:dyDescent="0.2">
      <c r="A47" s="19">
        <v>12</v>
      </c>
      <c r="B47" s="180" t="s">
        <v>11</v>
      </c>
      <c r="C47" s="181"/>
      <c r="D47" s="14">
        <f>IF(F3="1",SUMIF(Data!A:A,'16'!$A$2,Data!DF:DF),0)</f>
        <v>2570566</v>
      </c>
      <c r="E47" s="17">
        <f>IF($F$3="1",SUMIF(Data!$A:$A,$A$2,Data!IZ:IZ),0)</f>
        <v>1106216</v>
      </c>
      <c r="F47" s="21">
        <f t="shared" si="3"/>
        <v>0.43</v>
      </c>
    </row>
    <row r="48" spans="1:6" x14ac:dyDescent="0.2">
      <c r="A48" s="19">
        <v>13</v>
      </c>
      <c r="B48" s="180" t="s">
        <v>12</v>
      </c>
      <c r="C48" s="181"/>
      <c r="D48" s="14">
        <f>IF(F3="1",SUMIF(Data!A:A,'16'!$A$2,Data!DG:DG),0)</f>
        <v>72542</v>
      </c>
      <c r="E48" s="17">
        <f>IF($F$3="1",SUMIF(Data!$A:$A,$A$2,Data!JA:JA),0)</f>
        <v>25709</v>
      </c>
      <c r="F48" s="21">
        <f t="shared" si="3"/>
        <v>0.35</v>
      </c>
    </row>
    <row r="49" spans="1:6" ht="14.25" customHeight="1" x14ac:dyDescent="0.2">
      <c r="A49" s="19">
        <v>14</v>
      </c>
      <c r="B49" s="180" t="s">
        <v>464</v>
      </c>
      <c r="C49" s="181"/>
      <c r="D49" s="14">
        <f>IF(F3="1",SUMIF(Data!A:A,'16'!$A$2,Data!DH:DH),0)</f>
        <v>155514</v>
      </c>
      <c r="E49" s="17">
        <f>IF($F$3="1",SUMIF(Data!$A:$A,$A$2,Data!JB:JB),0)</f>
        <v>199850</v>
      </c>
      <c r="F49" s="21">
        <f t="shared" si="3"/>
        <v>1.29</v>
      </c>
    </row>
    <row r="50" spans="1:6" x14ac:dyDescent="0.2">
      <c r="A50" s="19">
        <v>15</v>
      </c>
      <c r="B50" s="180" t="s">
        <v>13</v>
      </c>
      <c r="C50" s="181"/>
      <c r="D50" s="14">
        <f>IF(F3="1",SUMIF(Data!A:A,'16'!$A$2,Data!DI:DI),0)</f>
        <v>26112</v>
      </c>
      <c r="E50" s="17">
        <f>IF($F$3="1",SUMIF(Data!$A:$A,$A$2,Data!JC:JC),0)</f>
        <v>15373</v>
      </c>
      <c r="F50" s="21">
        <f t="shared" si="3"/>
        <v>0.59</v>
      </c>
    </row>
    <row r="51" spans="1:6" x14ac:dyDescent="0.2">
      <c r="A51" s="19">
        <v>16</v>
      </c>
      <c r="B51" s="180" t="s">
        <v>14</v>
      </c>
      <c r="C51" s="181"/>
      <c r="D51" s="14">
        <f>IF(F3="1",SUMIF(Data!A:A,'16'!$A$2,Data!DJ:DJ),0)</f>
        <v>359263</v>
      </c>
      <c r="E51" s="17">
        <f>IF($F$3="1",SUMIF(Data!$A:$A,$A$2,Data!JD:JD),0)</f>
        <v>184554</v>
      </c>
      <c r="F51" s="21">
        <f t="shared" si="3"/>
        <v>0.51</v>
      </c>
    </row>
    <row r="52" spans="1:6" x14ac:dyDescent="0.2">
      <c r="A52" s="19">
        <v>17</v>
      </c>
      <c r="B52" s="180" t="s">
        <v>15</v>
      </c>
      <c r="C52" s="181"/>
      <c r="D52" s="14">
        <f>IF(F3="1",SUMIF(Data!A:A,'16'!$A$2,Data!DK:DK),0)</f>
        <v>0</v>
      </c>
      <c r="E52" s="17">
        <f>IF($F$3="1",SUMIF(Data!$A:$A,$A$2,Data!JE:JE),0)</f>
        <v>0</v>
      </c>
      <c r="F52" s="21" t="str">
        <f t="shared" si="3"/>
        <v/>
      </c>
    </row>
    <row r="53" spans="1:6" x14ac:dyDescent="0.2">
      <c r="A53" s="19">
        <v>18</v>
      </c>
      <c r="B53" s="180" t="s">
        <v>16</v>
      </c>
      <c r="C53" s="181"/>
      <c r="D53" s="14">
        <f>IF(F3="1",SUMIF(Data!A:A,'16'!$A$2,Data!DL:DL),0)</f>
        <v>0</v>
      </c>
      <c r="E53" s="17">
        <f>IF($F$3="1",SUMIF(Data!$A:$A,$A$2,Data!JF:JF),0)</f>
        <v>0</v>
      </c>
      <c r="F53" s="21" t="str">
        <f t="shared" si="3"/>
        <v/>
      </c>
    </row>
    <row r="54" spans="1:6" x14ac:dyDescent="0.2">
      <c r="A54" s="19">
        <v>19</v>
      </c>
      <c r="B54" s="180" t="s">
        <v>17</v>
      </c>
      <c r="C54" s="181"/>
      <c r="D54" s="14">
        <f>IF(F3="1",SUMIF(Data!A:A,'16'!$A$2,Data!DM:DM),0)</f>
        <v>1324954</v>
      </c>
      <c r="E54" s="17">
        <f>IF($F$3="1",SUMIF(Data!$A:$A,$A$2,Data!JG:JG),0)</f>
        <v>367443</v>
      </c>
      <c r="F54" s="21">
        <f t="shared" si="3"/>
        <v>0.28000000000000003</v>
      </c>
    </row>
    <row r="55" spans="1:6" x14ac:dyDescent="0.2">
      <c r="A55" s="19">
        <v>20</v>
      </c>
      <c r="B55" s="180" t="s">
        <v>18</v>
      </c>
      <c r="C55" s="181"/>
      <c r="D55" s="14">
        <f>IF(F3="1",SUMIF(Data!A:A,'16'!$A$2,Data!DN:DN),0)</f>
        <v>52324</v>
      </c>
      <c r="E55" s="17">
        <f>IF($F$3="1",SUMIF(Data!$A:$A,$A$2,Data!JH:JH),0)</f>
        <v>80785</v>
      </c>
      <c r="F55" s="21">
        <f t="shared" si="3"/>
        <v>1.54</v>
      </c>
    </row>
    <row r="56" spans="1:6" ht="14.25" customHeight="1" x14ac:dyDescent="0.2">
      <c r="A56" s="19">
        <v>21</v>
      </c>
      <c r="B56" s="180" t="s">
        <v>461</v>
      </c>
      <c r="C56" s="181"/>
      <c r="D56" s="14">
        <f>IF(F3="1",SUMIF(Data!A:A,'16'!$A$2,Data!DO:DO),0)</f>
        <v>0</v>
      </c>
      <c r="E56" s="17">
        <f>IF($F$3="1",SUMIF(Data!$A:$A,$A$2,Data!JI:JI),0)</f>
        <v>0</v>
      </c>
      <c r="F56" s="21" t="str">
        <f t="shared" si="3"/>
        <v/>
      </c>
    </row>
    <row r="57" spans="1:6" x14ac:dyDescent="0.2">
      <c r="A57" s="19">
        <v>22</v>
      </c>
      <c r="B57" s="180" t="s">
        <v>19</v>
      </c>
      <c r="C57" s="181"/>
      <c r="D57" s="14">
        <f>IF(F3="1",SUMIF(Data!A:A,'16'!$A$2,Data!DP:DP),0)</f>
        <v>127607</v>
      </c>
      <c r="E57" s="17">
        <f>IF($F$3="1",SUMIF(Data!$A:$A,$A$2,Data!JJ:JJ),0)</f>
        <v>63678</v>
      </c>
      <c r="F57" s="21">
        <f t="shared" si="3"/>
        <v>0.5</v>
      </c>
    </row>
    <row r="58" spans="1:6" x14ac:dyDescent="0.2">
      <c r="A58" s="19">
        <v>23</v>
      </c>
      <c r="B58" s="180" t="s">
        <v>20</v>
      </c>
      <c r="C58" s="181"/>
      <c r="D58" s="14">
        <f>IF(F3="1",SUMIF(Data!A:A,'16'!$A$2,Data!DQ:DQ),0)</f>
        <v>49312</v>
      </c>
      <c r="E58" s="17">
        <f>IF($F$3="1",SUMIF(Data!$A:$A,$A$2,Data!JK:JK),0)</f>
        <v>131505</v>
      </c>
      <c r="F58" s="21">
        <f t="shared" si="3"/>
        <v>2.67</v>
      </c>
    </row>
    <row r="59" spans="1:6" x14ac:dyDescent="0.2">
      <c r="A59" s="19">
        <v>24</v>
      </c>
      <c r="B59" s="180" t="s">
        <v>21</v>
      </c>
      <c r="C59" s="181"/>
      <c r="D59" s="14">
        <f>IF(F3="1",SUMIF(Data!A:A,'16'!$A$2,Data!DR:DR),0)</f>
        <v>218080</v>
      </c>
      <c r="E59" s="17">
        <f>IF($F$3="1",SUMIF(Data!$A:$A,$A$2,Data!JL:JL),0)</f>
        <v>137978</v>
      </c>
      <c r="F59" s="21">
        <f t="shared" si="3"/>
        <v>0.63</v>
      </c>
    </row>
    <row r="60" spans="1:6" x14ac:dyDescent="0.2">
      <c r="A60" s="19">
        <v>25</v>
      </c>
      <c r="B60" s="180" t="s">
        <v>22</v>
      </c>
      <c r="C60" s="181"/>
      <c r="D60" s="14">
        <f>IF(F3="1",SUMIF(Data!A:A,'16'!$A$2,Data!DS:DS),0)</f>
        <v>1475328</v>
      </c>
      <c r="E60" s="17">
        <f>IF($F$3="1",SUMIF(Data!$A:$A,$A$2,Data!JM:JM),0)</f>
        <v>118347</v>
      </c>
      <c r="F60" s="21">
        <f t="shared" si="3"/>
        <v>0.08</v>
      </c>
    </row>
    <row r="61" spans="1:6" x14ac:dyDescent="0.2">
      <c r="A61" s="19">
        <v>26</v>
      </c>
      <c r="B61" s="180" t="s">
        <v>23</v>
      </c>
      <c r="C61" s="181"/>
      <c r="D61" s="14">
        <f>IF(F3="1",SUMIF(Data!A:A,'16'!$A$2,Data!DT:DT),0)</f>
        <v>311524</v>
      </c>
      <c r="E61" s="17">
        <f>IF($F$3="1",SUMIF(Data!$A:$A,$A$2,Data!JN:JN),0)</f>
        <v>90527</v>
      </c>
      <c r="F61" s="21">
        <f t="shared" si="3"/>
        <v>0.28999999999999998</v>
      </c>
    </row>
    <row r="62" spans="1:6" x14ac:dyDescent="0.2">
      <c r="A62" s="19">
        <v>28</v>
      </c>
      <c r="B62" s="180" t="s">
        <v>24</v>
      </c>
      <c r="C62" s="181"/>
      <c r="D62" s="14">
        <f>IF(F3="1",SUMIF(Data!A:A,'16'!$A$2,Data!DV:DV),0)</f>
        <v>0</v>
      </c>
      <c r="E62" s="17">
        <f>IF($F$3="1",SUMIF(Data!$A:$A,$A$2,Data!JP:JP),0)</f>
        <v>0</v>
      </c>
      <c r="F62" s="21" t="str">
        <f t="shared" si="3"/>
        <v/>
      </c>
    </row>
    <row r="63" spans="1:6" ht="15.75" customHeight="1" thickBot="1" x14ac:dyDescent="0.25">
      <c r="A63" s="22">
        <v>29</v>
      </c>
      <c r="B63" s="184" t="s">
        <v>25</v>
      </c>
      <c r="C63" s="185"/>
      <c r="D63" s="23">
        <f>IF(F3="1",SUMIF(Data!A:A,'16'!$A$2,Data!DW:DW),0)</f>
        <v>0</v>
      </c>
      <c r="E63" s="24">
        <f>IF($F$3="1",SUMIF(Data!$A:$A,$A$2,Data!JQ:JQ),0)</f>
        <v>0</v>
      </c>
      <c r="F63" s="25" t="str">
        <f t="shared" si="3"/>
        <v/>
      </c>
    </row>
    <row r="64" spans="1:6" x14ac:dyDescent="0.2">
      <c r="B64" s="30" t="s">
        <v>35</v>
      </c>
      <c r="C64" s="30"/>
      <c r="D64" s="59">
        <f>SUM(D36:D63)</f>
        <v>8917546</v>
      </c>
      <c r="E64" s="31">
        <f>SUM(E36:E63)</f>
        <v>4065331</v>
      </c>
      <c r="F64" s="32">
        <f t="shared" si="3"/>
        <v>0.46</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0</v>
      </c>
      <c r="E67" s="15">
        <f>IF(F3="1",SUMIF(Data!A:A,'16'!$A$2,Data!DY:DY),0)</f>
        <v>0</v>
      </c>
      <c r="F67" s="20" t="str">
        <f t="shared" ref="F67:F95" si="4">IF(OR(D67=0,E67=0),"",ROUND(E67/D67,2))</f>
        <v/>
      </c>
    </row>
    <row r="68" spans="1:6" x14ac:dyDescent="0.2">
      <c r="A68" s="19">
        <v>2</v>
      </c>
      <c r="B68" s="180" t="s">
        <v>1</v>
      </c>
      <c r="C68" s="181"/>
      <c r="D68" s="14">
        <f t="shared" ref="D68:D94" si="5">D37</f>
        <v>79732</v>
      </c>
      <c r="E68" s="17">
        <f>IF(F3="1",SUMIF(Data!A:A,'16'!$A$2,Data!DZ:DZ),0)</f>
        <v>805346</v>
      </c>
      <c r="F68" s="21">
        <f t="shared" si="4"/>
        <v>10.1</v>
      </c>
    </row>
    <row r="69" spans="1:6" ht="14.25" customHeight="1" x14ac:dyDescent="0.2">
      <c r="A69" s="19">
        <v>3</v>
      </c>
      <c r="B69" s="180" t="s">
        <v>2</v>
      </c>
      <c r="C69" s="181"/>
      <c r="D69" s="14">
        <f t="shared" si="5"/>
        <v>863088</v>
      </c>
      <c r="E69" s="17">
        <f>IF(F3="1",SUMIF(Data!A:A,'16'!$A$2,Data!EA:EA),0)</f>
        <v>1771663</v>
      </c>
      <c r="F69" s="21">
        <f t="shared" si="4"/>
        <v>2.0499999999999998</v>
      </c>
    </row>
    <row r="70" spans="1:6" ht="14.25" customHeight="1" x14ac:dyDescent="0.2">
      <c r="A70" s="19">
        <v>4</v>
      </c>
      <c r="B70" s="180" t="s">
        <v>3</v>
      </c>
      <c r="C70" s="181"/>
      <c r="D70" s="14">
        <f t="shared" si="5"/>
        <v>471149</v>
      </c>
      <c r="E70" s="17">
        <f>IF(F3="1",SUMIF(Data!A:A,'16'!$A$2,Data!EB:EB),0)</f>
        <v>949268</v>
      </c>
      <c r="F70" s="21">
        <f t="shared" si="4"/>
        <v>2.0099999999999998</v>
      </c>
    </row>
    <row r="71" spans="1:6" x14ac:dyDescent="0.2">
      <c r="A71" s="19">
        <v>5</v>
      </c>
      <c r="B71" s="180" t="s">
        <v>4</v>
      </c>
      <c r="C71" s="181"/>
      <c r="D71" s="14">
        <f t="shared" si="5"/>
        <v>0</v>
      </c>
      <c r="E71" s="17">
        <f>IF(F3="1",SUMIF(Data!A:A,'16'!$A$2,Data!EC:EC),0)</f>
        <v>0</v>
      </c>
      <c r="F71" s="21" t="str">
        <f t="shared" si="4"/>
        <v/>
      </c>
    </row>
    <row r="72" spans="1:6" x14ac:dyDescent="0.2">
      <c r="A72" s="19">
        <v>6</v>
      </c>
      <c r="B72" s="180" t="s">
        <v>5</v>
      </c>
      <c r="C72" s="181"/>
      <c r="D72" s="14">
        <f t="shared" si="5"/>
        <v>19200</v>
      </c>
      <c r="E72" s="17">
        <f>IF(F3="1",SUMIF(Data!A:A,'16'!$A$2,Data!ED:ED),0)</f>
        <v>210195</v>
      </c>
      <c r="F72" s="21">
        <f t="shared" si="4"/>
        <v>10.95</v>
      </c>
    </row>
    <row r="73" spans="1:6" x14ac:dyDescent="0.2">
      <c r="A73" s="19">
        <v>7</v>
      </c>
      <c r="B73" s="180" t="s">
        <v>6</v>
      </c>
      <c r="C73" s="181"/>
      <c r="D73" s="14">
        <f t="shared" si="5"/>
        <v>373191</v>
      </c>
      <c r="E73" s="17">
        <f>IF(F3="1",SUMIF(Data!A:A,'16'!$A$2,Data!EE:EE),0)</f>
        <v>1404924</v>
      </c>
      <c r="F73" s="21">
        <f t="shared" si="4"/>
        <v>3.76</v>
      </c>
    </row>
    <row r="74" spans="1:6" x14ac:dyDescent="0.2">
      <c r="A74" s="19">
        <v>8</v>
      </c>
      <c r="B74" s="180" t="s">
        <v>7</v>
      </c>
      <c r="C74" s="181"/>
      <c r="D74" s="14">
        <f t="shared" si="5"/>
        <v>0</v>
      </c>
      <c r="E74" s="17">
        <f>IF(F3="1",SUMIF(Data!A:A,'16'!$A$2,Data!EF:EF),0)</f>
        <v>0</v>
      </c>
      <c r="F74" s="21" t="str">
        <f t="shared" si="4"/>
        <v/>
      </c>
    </row>
    <row r="75" spans="1:6" x14ac:dyDescent="0.2">
      <c r="A75" s="19">
        <v>9</v>
      </c>
      <c r="B75" s="180" t="s">
        <v>8</v>
      </c>
      <c r="C75" s="181"/>
      <c r="D75" s="14">
        <f t="shared" si="5"/>
        <v>368060</v>
      </c>
      <c r="E75" s="17">
        <f>IF(F3="1",SUMIF(Data!A:A,'16'!$A$2,Data!EG:EG),0)</f>
        <v>214768</v>
      </c>
      <c r="F75" s="21">
        <f t="shared" si="4"/>
        <v>0.57999999999999996</v>
      </c>
    </row>
    <row r="76" spans="1:6" x14ac:dyDescent="0.2">
      <c r="A76" s="19">
        <v>10</v>
      </c>
      <c r="B76" s="180" t="s">
        <v>9</v>
      </c>
      <c r="C76" s="181"/>
      <c r="D76" s="14">
        <f t="shared" si="5"/>
        <v>0</v>
      </c>
      <c r="E76" s="17">
        <f>IF(F3="1",SUMIF(Data!A:A,'16'!$A$2,Data!EH:EH),0)</f>
        <v>0</v>
      </c>
      <c r="F76" s="21" t="str">
        <f t="shared" si="4"/>
        <v/>
      </c>
    </row>
    <row r="77" spans="1:6" x14ac:dyDescent="0.2">
      <c r="A77" s="19">
        <v>11</v>
      </c>
      <c r="B77" s="180" t="s">
        <v>10</v>
      </c>
      <c r="C77" s="181"/>
      <c r="D77" s="14">
        <f t="shared" si="5"/>
        <v>0</v>
      </c>
      <c r="E77" s="17">
        <f>IF(F3="1",SUMIF(Data!A:A,'16'!$A$2,Data!EI:EI),0)</f>
        <v>0</v>
      </c>
      <c r="F77" s="21" t="str">
        <f t="shared" si="4"/>
        <v/>
      </c>
    </row>
    <row r="78" spans="1:6" ht="14.25" customHeight="1" x14ac:dyDescent="0.2">
      <c r="A78" s="19">
        <v>12</v>
      </c>
      <c r="B78" s="180" t="s">
        <v>11</v>
      </c>
      <c r="C78" s="181"/>
      <c r="D78" s="14">
        <f t="shared" si="5"/>
        <v>2570566</v>
      </c>
      <c r="E78" s="17">
        <f>IF(F3="1",SUMIF(Data!A:A,'16'!$A$2,Data!EJ:EJ),0)</f>
        <v>7360478</v>
      </c>
      <c r="F78" s="21">
        <f t="shared" si="4"/>
        <v>2.86</v>
      </c>
    </row>
    <row r="79" spans="1:6" x14ac:dyDescent="0.2">
      <c r="A79" s="19">
        <v>13</v>
      </c>
      <c r="B79" s="180" t="s">
        <v>12</v>
      </c>
      <c r="C79" s="181"/>
      <c r="D79" s="14">
        <f t="shared" si="5"/>
        <v>72542</v>
      </c>
      <c r="E79" s="17">
        <f>IF(F3="1",SUMIF(Data!A:A,'16'!$A$2,Data!EK:EK),0)</f>
        <v>335788</v>
      </c>
      <c r="F79" s="21">
        <f t="shared" si="4"/>
        <v>4.63</v>
      </c>
    </row>
    <row r="80" spans="1:6" ht="14.25" customHeight="1" x14ac:dyDescent="0.2">
      <c r="A80" s="19">
        <v>14</v>
      </c>
      <c r="B80" s="180" t="s">
        <v>464</v>
      </c>
      <c r="C80" s="181"/>
      <c r="D80" s="14">
        <f t="shared" si="5"/>
        <v>155514</v>
      </c>
      <c r="E80" s="17">
        <f>IF(F3="1",SUMIF(Data!A:A,'16'!$A$2,Data!EL:EL),0)</f>
        <v>1415628</v>
      </c>
      <c r="F80" s="21">
        <f t="shared" si="4"/>
        <v>9.1</v>
      </c>
    </row>
    <row r="81" spans="1:6" x14ac:dyDescent="0.2">
      <c r="A81" s="19">
        <v>15</v>
      </c>
      <c r="B81" s="180" t="s">
        <v>13</v>
      </c>
      <c r="C81" s="181"/>
      <c r="D81" s="14">
        <f t="shared" si="5"/>
        <v>26112</v>
      </c>
      <c r="E81" s="17">
        <f>IF(F3="1",SUMIF(Data!A:A,'16'!$A$2,Data!EM:EM),0)</f>
        <v>255944</v>
      </c>
      <c r="F81" s="21">
        <f t="shared" si="4"/>
        <v>9.8000000000000007</v>
      </c>
    </row>
    <row r="82" spans="1:6" x14ac:dyDescent="0.2">
      <c r="A82" s="19">
        <v>16</v>
      </c>
      <c r="B82" s="180" t="s">
        <v>14</v>
      </c>
      <c r="C82" s="181"/>
      <c r="D82" s="14">
        <f t="shared" si="5"/>
        <v>359263</v>
      </c>
      <c r="E82" s="17">
        <f>IF(F3="1",SUMIF(Data!A:A,'16'!$A$2,Data!EN:EN),0)</f>
        <v>1985777</v>
      </c>
      <c r="F82" s="21">
        <f t="shared" si="4"/>
        <v>5.53</v>
      </c>
    </row>
    <row r="83" spans="1:6" x14ac:dyDescent="0.2">
      <c r="A83" s="19">
        <v>17</v>
      </c>
      <c r="B83" s="180" t="s">
        <v>15</v>
      </c>
      <c r="C83" s="181"/>
      <c r="D83" s="14">
        <f t="shared" si="5"/>
        <v>0</v>
      </c>
      <c r="E83" s="17">
        <f>IF(F3="1",SUMIF(Data!A:A,'16'!$A$2,Data!EO:EO),0)</f>
        <v>0</v>
      </c>
      <c r="F83" s="21" t="str">
        <f t="shared" si="4"/>
        <v/>
      </c>
    </row>
    <row r="84" spans="1:6" x14ac:dyDescent="0.2">
      <c r="A84" s="19">
        <v>18</v>
      </c>
      <c r="B84" s="180" t="s">
        <v>16</v>
      </c>
      <c r="C84" s="181"/>
      <c r="D84" s="14">
        <f t="shared" si="5"/>
        <v>0</v>
      </c>
      <c r="E84" s="17">
        <f>IF(F3="1",SUMIF(Data!A:A,'16'!$A$2,Data!EP:EP),0)</f>
        <v>0</v>
      </c>
      <c r="F84" s="21" t="str">
        <f t="shared" si="4"/>
        <v/>
      </c>
    </row>
    <row r="85" spans="1:6" x14ac:dyDescent="0.2">
      <c r="A85" s="19">
        <v>19</v>
      </c>
      <c r="B85" s="180" t="s">
        <v>17</v>
      </c>
      <c r="C85" s="181"/>
      <c r="D85" s="14">
        <f t="shared" si="5"/>
        <v>1324954</v>
      </c>
      <c r="E85" s="17">
        <f>IF(F3="1",SUMIF(Data!A:A,'16'!$A$2,Data!EQ:EQ),0)</f>
        <v>2287755</v>
      </c>
      <c r="F85" s="21">
        <f t="shared" si="4"/>
        <v>1.73</v>
      </c>
    </row>
    <row r="86" spans="1:6" x14ac:dyDescent="0.2">
      <c r="A86" s="19">
        <v>20</v>
      </c>
      <c r="B86" s="180" t="s">
        <v>18</v>
      </c>
      <c r="C86" s="181"/>
      <c r="D86" s="14">
        <f t="shared" si="5"/>
        <v>52324</v>
      </c>
      <c r="E86" s="17">
        <f>IF(F3="1",SUMIF(Data!A:A,'16'!$A$2,Data!ER:ER),0)</f>
        <v>280838</v>
      </c>
      <c r="F86" s="21">
        <f t="shared" si="4"/>
        <v>5.37</v>
      </c>
    </row>
    <row r="87" spans="1:6" ht="14.25" customHeight="1" x14ac:dyDescent="0.2">
      <c r="A87" s="19">
        <v>21</v>
      </c>
      <c r="B87" s="180" t="s">
        <v>461</v>
      </c>
      <c r="C87" s="181"/>
      <c r="D87" s="14">
        <f t="shared" si="5"/>
        <v>0</v>
      </c>
      <c r="E87" s="17">
        <f>IF(F3="1",SUMIF(Data!A:A,'16'!$A$2,Data!ES:ES),0)</f>
        <v>0</v>
      </c>
      <c r="F87" s="21" t="str">
        <f t="shared" si="4"/>
        <v/>
      </c>
    </row>
    <row r="88" spans="1:6" x14ac:dyDescent="0.2">
      <c r="A88" s="19">
        <v>22</v>
      </c>
      <c r="B88" s="180" t="s">
        <v>19</v>
      </c>
      <c r="C88" s="181"/>
      <c r="D88" s="14">
        <f t="shared" si="5"/>
        <v>127607</v>
      </c>
      <c r="E88" s="17">
        <f>IF(F3="1",SUMIF(Data!A:A,'16'!$A$2,Data!ET:ET),0)</f>
        <v>229402</v>
      </c>
      <c r="F88" s="21">
        <f t="shared" si="4"/>
        <v>1.8</v>
      </c>
    </row>
    <row r="89" spans="1:6" x14ac:dyDescent="0.2">
      <c r="A89" s="19">
        <v>23</v>
      </c>
      <c r="B89" s="180" t="s">
        <v>20</v>
      </c>
      <c r="C89" s="181"/>
      <c r="D89" s="14">
        <f t="shared" si="5"/>
        <v>49312</v>
      </c>
      <c r="E89" s="17">
        <f>IF(F3="1",SUMIF(Data!A:A,'16'!$A$2,Data!EU:EU),0)</f>
        <v>452887</v>
      </c>
      <c r="F89" s="21">
        <f t="shared" si="4"/>
        <v>9.18</v>
      </c>
    </row>
    <row r="90" spans="1:6" x14ac:dyDescent="0.2">
      <c r="A90" s="19">
        <v>24</v>
      </c>
      <c r="B90" s="180" t="s">
        <v>21</v>
      </c>
      <c r="C90" s="181"/>
      <c r="D90" s="14">
        <f t="shared" si="5"/>
        <v>218080</v>
      </c>
      <c r="E90" s="17">
        <f>IF(F3="1",SUMIF(Data!A:A,'16'!$A$2,Data!EV:EV),0)</f>
        <v>569246</v>
      </c>
      <c r="F90" s="21">
        <f t="shared" si="4"/>
        <v>2.61</v>
      </c>
    </row>
    <row r="91" spans="1:6" x14ac:dyDescent="0.2">
      <c r="A91" s="19">
        <v>25</v>
      </c>
      <c r="B91" s="180" t="s">
        <v>22</v>
      </c>
      <c r="C91" s="181"/>
      <c r="D91" s="14">
        <f t="shared" si="5"/>
        <v>1475328</v>
      </c>
      <c r="E91" s="17">
        <f>IF(F3="1",SUMIF(Data!A:A,'16'!$A$2,Data!EW:EW),0)</f>
        <v>3362309</v>
      </c>
      <c r="F91" s="21">
        <f t="shared" si="4"/>
        <v>2.2799999999999998</v>
      </c>
    </row>
    <row r="92" spans="1:6" x14ac:dyDescent="0.2">
      <c r="A92" s="19">
        <v>26</v>
      </c>
      <c r="B92" s="180" t="s">
        <v>23</v>
      </c>
      <c r="C92" s="181"/>
      <c r="D92" s="14">
        <f t="shared" si="5"/>
        <v>311524</v>
      </c>
      <c r="E92" s="17">
        <f>IF(F3="1",SUMIF(Data!A:A,'16'!$A$2,Data!EX:EX),0)</f>
        <v>780047</v>
      </c>
      <c r="F92" s="21">
        <f t="shared" si="4"/>
        <v>2.5</v>
      </c>
    </row>
    <row r="93" spans="1:6" x14ac:dyDescent="0.2">
      <c r="A93" s="19">
        <v>28</v>
      </c>
      <c r="B93" s="180" t="s">
        <v>24</v>
      </c>
      <c r="C93" s="181"/>
      <c r="D93" s="14">
        <f t="shared" si="5"/>
        <v>0</v>
      </c>
      <c r="E93" s="17">
        <f>IF(F3="1",SUMIF(Data!A:A,'16'!$A$2,Data!EZ:EZ),0)</f>
        <v>0</v>
      </c>
      <c r="F93" s="21" t="str">
        <f t="shared" si="4"/>
        <v/>
      </c>
    </row>
    <row r="94" spans="1:6" ht="15.75" customHeight="1" thickBot="1" x14ac:dyDescent="0.25">
      <c r="A94" s="22">
        <v>29</v>
      </c>
      <c r="B94" s="184" t="s">
        <v>25</v>
      </c>
      <c r="C94" s="185"/>
      <c r="D94" s="23">
        <f t="shared" si="5"/>
        <v>0</v>
      </c>
      <c r="E94" s="24">
        <f>IF(F3="1",SUMIF(Data!A:A,'16'!$A$2,Data!FA:FA),0)</f>
        <v>0</v>
      </c>
      <c r="F94" s="25" t="str">
        <f t="shared" si="4"/>
        <v/>
      </c>
    </row>
    <row r="95" spans="1:6" x14ac:dyDescent="0.2">
      <c r="B95" s="30" t="s">
        <v>35</v>
      </c>
      <c r="C95" s="30"/>
      <c r="D95" s="59">
        <f>SUM(D67:D94)</f>
        <v>8917546</v>
      </c>
      <c r="E95" s="31">
        <f>SUM(E67:E94)</f>
        <v>24672263</v>
      </c>
      <c r="F95" s="32">
        <f t="shared" si="4"/>
        <v>2.77</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IF(F3="1",SUMIF(Data!A:A,'16'!$A$2,Data!AH:AH),0)</f>
        <v>14122974</v>
      </c>
      <c r="F98" s="20">
        <f>IF(OR(E98=0,E98=0),"",ROUND(E98/$D$105,2))</f>
        <v>1.58</v>
      </c>
    </row>
    <row r="99" spans="2:6" x14ac:dyDescent="0.2">
      <c r="B99" s="190" t="s">
        <v>31</v>
      </c>
      <c r="C99" s="191"/>
      <c r="D99" s="36"/>
      <c r="E99" s="17">
        <f>IF(F3="1",SUMIF(Data!A:A,'16'!$A$2,Data!AI:AI),0)</f>
        <v>6221180</v>
      </c>
      <c r="F99" s="21">
        <f t="shared" ref="F99:F104" si="6">IF(OR(E99=0,E99=0),"",ROUND(E99/$D$105,2))</f>
        <v>0.7</v>
      </c>
    </row>
    <row r="100" spans="2:6" x14ac:dyDescent="0.2">
      <c r="B100" s="190" t="s">
        <v>1089</v>
      </c>
      <c r="C100" s="191"/>
      <c r="D100" s="36"/>
      <c r="E100" s="17">
        <f>IF(F3="1",SUMIF(Data!A:A,'16'!$A$2,Data!AJ:AJ),0)</f>
        <v>2471161</v>
      </c>
      <c r="F100" s="21">
        <f t="shared" si="6"/>
        <v>0.28000000000000003</v>
      </c>
    </row>
    <row r="101" spans="2:6" x14ac:dyDescent="0.2">
      <c r="B101" s="190" t="s">
        <v>1090</v>
      </c>
      <c r="C101" s="191"/>
      <c r="D101" s="36"/>
      <c r="E101" s="17">
        <f>IF(F3="1",SUMIF(Data!A:A,'16'!$A$2,Data!AK:AK),0)</f>
        <v>6937155</v>
      </c>
      <c r="F101" s="21">
        <f t="shared" si="6"/>
        <v>0.78</v>
      </c>
    </row>
    <row r="102" spans="2:6" x14ac:dyDescent="0.2">
      <c r="B102" s="190" t="s">
        <v>1091</v>
      </c>
      <c r="C102" s="191"/>
      <c r="D102" s="36"/>
      <c r="E102" s="17">
        <f>IF(F3="1",SUMIF(Data!A:A,'16'!$A$2,Data!AL:AL),0)</f>
        <v>184950</v>
      </c>
      <c r="F102" s="21">
        <f t="shared" si="6"/>
        <v>0.02</v>
      </c>
    </row>
    <row r="103" spans="2:6" x14ac:dyDescent="0.2">
      <c r="B103" s="192" t="s">
        <v>34</v>
      </c>
      <c r="C103" s="193"/>
      <c r="D103" s="36"/>
      <c r="E103" s="17">
        <f>IF(F3="1",SUMIF(Data!A:A,'16'!$A$2,Data!AM:AM),0)</f>
        <v>0</v>
      </c>
      <c r="F103" s="21" t="str">
        <f t="shared" si="6"/>
        <v/>
      </c>
    </row>
    <row r="104" spans="2:6" ht="15.75" customHeight="1" thickBot="1" x14ac:dyDescent="0.25">
      <c r="B104" s="186" t="s">
        <v>29</v>
      </c>
      <c r="C104" s="187"/>
      <c r="D104" s="37"/>
      <c r="E104" s="24">
        <f>IF(F3="1",SUMIF(Data!A:A,'16'!$A$2,Data!Q:Q),0)</f>
        <v>3910413</v>
      </c>
      <c r="F104" s="25">
        <f t="shared" si="6"/>
        <v>0.44</v>
      </c>
    </row>
    <row r="105" spans="2:6" x14ac:dyDescent="0.2">
      <c r="B105" s="30" t="s">
        <v>35</v>
      </c>
      <c r="C105" s="30"/>
      <c r="D105" s="34">
        <f>D95</f>
        <v>8917546</v>
      </c>
      <c r="E105" s="31">
        <f>SUM(E98:E104)</f>
        <v>33847833</v>
      </c>
      <c r="F105" s="32">
        <f>IF($D$105=0,"",ROUND(E105/$D$105,2))</f>
        <v>3.8</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24672263</v>
      </c>
      <c r="D109" s="15">
        <f>IF(F3="1",SUMIF(Data!$A:$A,$A$2,Data!HJ:HJ),0)</f>
        <v>0</v>
      </c>
      <c r="E109" s="15">
        <f>IF(F3="1",SUMIF(Data!$A:$A,$A$2,Data!IN:IN),0)</f>
        <v>0</v>
      </c>
      <c r="F109" s="47">
        <f>SUM(C109:E109)</f>
        <v>24672263</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184950</v>
      </c>
      <c r="F116" s="48">
        <f t="shared" si="7"/>
        <v>184950</v>
      </c>
    </row>
    <row r="117" spans="1:6" ht="15" thickBot="1" x14ac:dyDescent="0.25">
      <c r="B117" s="43" t="s">
        <v>933</v>
      </c>
      <c r="C117" s="52"/>
      <c r="D117" s="52">
        <f>IF(F3="1",SUMIF(Data!A:A,$A$2,Data!Q:Q),0)</f>
        <v>3910413</v>
      </c>
      <c r="E117" s="52"/>
      <c r="F117" s="49">
        <f>SUM(C117:E117)</f>
        <v>3910413</v>
      </c>
    </row>
    <row r="118" spans="1:6" x14ac:dyDescent="0.2">
      <c r="B118" s="13" t="s">
        <v>35</v>
      </c>
      <c r="C118" s="4">
        <f>SUM(C109:C116)</f>
        <v>24672263</v>
      </c>
      <c r="D118" s="4">
        <f>SUM(D109:D116)</f>
        <v>0</v>
      </c>
      <c r="E118" s="4">
        <f>SUM(E109:E116)</f>
        <v>184950</v>
      </c>
      <c r="F118" s="4">
        <f>SUM(F109:F116)</f>
        <v>24857213</v>
      </c>
    </row>
    <row r="119" spans="1:6" ht="15" thickBot="1" x14ac:dyDescent="0.25"/>
    <row r="120" spans="1:6" ht="15" thickBot="1" x14ac:dyDescent="0.25">
      <c r="B120" s="55" t="s">
        <v>934</v>
      </c>
      <c r="C120" s="53"/>
      <c r="D120" s="53"/>
      <c r="E120" s="53">
        <f>IF(F3="1",SUMIF(Data!A:A,'16'!$A$2,Data!AM:AM),0)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366</v>
      </c>
      <c r="B2" s="58" t="str">
        <f>VLOOKUP(A2,Data!A:G,7,0)</f>
        <v>Frank Phillips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20486</v>
      </c>
      <c r="E5" s="15">
        <f>E36+E67+IFERROR($E$105/$D$105*D5,0)</f>
        <v>166670.22384620248</v>
      </c>
      <c r="F5" s="20">
        <f>IF(OR(D5=0,E5=0),"",ROUND(E5/D5,2))</f>
        <v>8.14</v>
      </c>
    </row>
    <row r="6" spans="1:6" x14ac:dyDescent="0.2">
      <c r="A6" s="19">
        <v>2</v>
      </c>
      <c r="B6" s="180" t="s">
        <v>1</v>
      </c>
      <c r="C6" s="181"/>
      <c r="D6" s="14">
        <f t="shared" ref="D6:D32" si="0">D37</f>
        <v>47000</v>
      </c>
      <c r="E6" s="17">
        <f t="shared" ref="E6:E32" si="1">E37+E68+IFERROR($E$105/$D$105*D6,0)</f>
        <v>193774.77100319814</v>
      </c>
      <c r="F6" s="21">
        <f t="shared" ref="F6:F33" si="2">IF(OR(D6=0,E6=0),"",ROUND(E6/D6,2))</f>
        <v>4.12</v>
      </c>
    </row>
    <row r="7" spans="1:6" ht="14.25" customHeight="1" x14ac:dyDescent="0.2">
      <c r="A7" s="19">
        <v>3</v>
      </c>
      <c r="B7" s="180" t="s">
        <v>2</v>
      </c>
      <c r="C7" s="181"/>
      <c r="D7" s="14">
        <f t="shared" si="0"/>
        <v>67558</v>
      </c>
      <c r="E7" s="17">
        <f t="shared" si="1"/>
        <v>492755.45458370342</v>
      </c>
      <c r="F7" s="21">
        <f t="shared" si="2"/>
        <v>7.29</v>
      </c>
    </row>
    <row r="8" spans="1:6" ht="14.25" customHeight="1" x14ac:dyDescent="0.2">
      <c r="A8" s="19">
        <v>4</v>
      </c>
      <c r="B8" s="180" t="s">
        <v>3</v>
      </c>
      <c r="C8" s="181"/>
      <c r="D8" s="14">
        <f t="shared" si="0"/>
        <v>77663</v>
      </c>
      <c r="E8" s="17">
        <f t="shared" si="1"/>
        <v>424627.93534939102</v>
      </c>
      <c r="F8" s="21">
        <f t="shared" si="2"/>
        <v>5.47</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0</v>
      </c>
      <c r="E10" s="17">
        <f t="shared" si="1"/>
        <v>0</v>
      </c>
      <c r="F10" s="21" t="str">
        <f t="shared" si="2"/>
        <v/>
      </c>
    </row>
    <row r="11" spans="1:6" x14ac:dyDescent="0.2">
      <c r="A11" s="19">
        <v>7</v>
      </c>
      <c r="B11" s="180" t="s">
        <v>6</v>
      </c>
      <c r="C11" s="181"/>
      <c r="D11" s="14">
        <f t="shared" si="0"/>
        <v>55234</v>
      </c>
      <c r="E11" s="17">
        <f t="shared" si="1"/>
        <v>642298.26339554565</v>
      </c>
      <c r="F11" s="21">
        <f t="shared" si="2"/>
        <v>11.63</v>
      </c>
    </row>
    <row r="12" spans="1:6" x14ac:dyDescent="0.2">
      <c r="A12" s="19">
        <v>8</v>
      </c>
      <c r="B12" s="180" t="s">
        <v>7</v>
      </c>
      <c r="C12" s="181"/>
      <c r="D12" s="14">
        <f t="shared" si="0"/>
        <v>6272</v>
      </c>
      <c r="E12" s="17">
        <f t="shared" si="1"/>
        <v>105606.714632597</v>
      </c>
      <c r="F12" s="21">
        <f t="shared" si="2"/>
        <v>16.84</v>
      </c>
    </row>
    <row r="13" spans="1:6" x14ac:dyDescent="0.2">
      <c r="A13" s="19">
        <v>9</v>
      </c>
      <c r="B13" s="180" t="s">
        <v>8</v>
      </c>
      <c r="C13" s="181"/>
      <c r="D13" s="14">
        <f t="shared" si="0"/>
        <v>52876</v>
      </c>
      <c r="E13" s="17">
        <f t="shared" si="1"/>
        <v>254525.4570971299</v>
      </c>
      <c r="F13" s="21">
        <f t="shared" si="2"/>
        <v>4.8099999999999996</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34988</v>
      </c>
      <c r="E15" s="17">
        <f t="shared" si="1"/>
        <v>139993.57199701908</v>
      </c>
      <c r="F15" s="21">
        <f t="shared" si="2"/>
        <v>4</v>
      </c>
    </row>
    <row r="16" spans="1:6" ht="14.25" customHeight="1" x14ac:dyDescent="0.2">
      <c r="A16" s="19">
        <v>12</v>
      </c>
      <c r="B16" s="180" t="s">
        <v>11</v>
      </c>
      <c r="C16" s="181"/>
      <c r="D16" s="14">
        <f t="shared" si="0"/>
        <v>73894</v>
      </c>
      <c r="E16" s="17">
        <f t="shared" si="1"/>
        <v>361571.91120234731</v>
      </c>
      <c r="F16" s="21">
        <f t="shared" si="2"/>
        <v>4.8899999999999997</v>
      </c>
    </row>
    <row r="17" spans="1:6" x14ac:dyDescent="0.2">
      <c r="A17" s="19">
        <v>13</v>
      </c>
      <c r="B17" s="180" t="s">
        <v>12</v>
      </c>
      <c r="C17" s="181"/>
      <c r="D17" s="14">
        <f t="shared" si="0"/>
        <v>4704</v>
      </c>
      <c r="E17" s="17">
        <f t="shared" si="1"/>
        <v>24498.035974447746</v>
      </c>
      <c r="F17" s="21">
        <f t="shared" si="2"/>
        <v>5.21</v>
      </c>
    </row>
    <row r="18" spans="1:6" ht="14.25" customHeight="1" x14ac:dyDescent="0.2">
      <c r="A18" s="19">
        <v>14</v>
      </c>
      <c r="B18" s="180" t="s">
        <v>464</v>
      </c>
      <c r="C18" s="181"/>
      <c r="D18" s="14">
        <f t="shared" si="0"/>
        <v>0</v>
      </c>
      <c r="E18" s="17">
        <f t="shared" si="1"/>
        <v>0</v>
      </c>
      <c r="F18" s="21" t="str">
        <f t="shared" si="2"/>
        <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22100</v>
      </c>
      <c r="E20" s="17">
        <f t="shared" si="1"/>
        <v>171546.27955682296</v>
      </c>
      <c r="F20" s="21">
        <f t="shared" si="2"/>
        <v>7.76</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55172</v>
      </c>
      <c r="E22" s="17">
        <f t="shared" si="1"/>
        <v>511004.45084656274</v>
      </c>
      <c r="F22" s="21">
        <f t="shared" si="2"/>
        <v>9.26</v>
      </c>
    </row>
    <row r="23" spans="1:6" x14ac:dyDescent="0.2">
      <c r="A23" s="19">
        <v>19</v>
      </c>
      <c r="B23" s="180" t="s">
        <v>17</v>
      </c>
      <c r="C23" s="181"/>
      <c r="D23" s="14">
        <f t="shared" si="0"/>
        <v>49760</v>
      </c>
      <c r="E23" s="17">
        <f t="shared" si="1"/>
        <v>251662.39415147106</v>
      </c>
      <c r="F23" s="21">
        <f t="shared" si="2"/>
        <v>5.0599999999999996</v>
      </c>
    </row>
    <row r="24" spans="1:6" x14ac:dyDescent="0.2">
      <c r="A24" s="19">
        <v>20</v>
      </c>
      <c r="B24" s="180" t="s">
        <v>18</v>
      </c>
      <c r="C24" s="181"/>
      <c r="D24" s="14">
        <f t="shared" si="0"/>
        <v>192</v>
      </c>
      <c r="E24" s="17">
        <f t="shared" si="1"/>
        <v>1127.2259581407243</v>
      </c>
      <c r="F24" s="21">
        <f t="shared" si="2"/>
        <v>5.87</v>
      </c>
    </row>
    <row r="25" spans="1:6" ht="14.25" customHeight="1" x14ac:dyDescent="0.2">
      <c r="A25" s="19">
        <v>21</v>
      </c>
      <c r="B25" s="180" t="s">
        <v>461</v>
      </c>
      <c r="C25" s="181"/>
      <c r="D25" s="14">
        <f t="shared" si="0"/>
        <v>77</v>
      </c>
      <c r="E25" s="17">
        <f t="shared" si="1"/>
        <v>684.28332696268637</v>
      </c>
      <c r="F25" s="21">
        <f t="shared" si="2"/>
        <v>8.89</v>
      </c>
    </row>
    <row r="26" spans="1:6" x14ac:dyDescent="0.2">
      <c r="A26" s="19">
        <v>22</v>
      </c>
      <c r="B26" s="180" t="s">
        <v>19</v>
      </c>
      <c r="C26" s="181"/>
      <c r="D26" s="14">
        <f t="shared" si="0"/>
        <v>244</v>
      </c>
      <c r="E26" s="17">
        <f t="shared" si="1"/>
        <v>5123.3913218038369</v>
      </c>
      <c r="F26" s="21">
        <f t="shared" si="2"/>
        <v>21</v>
      </c>
    </row>
    <row r="27" spans="1:6" x14ac:dyDescent="0.2">
      <c r="A27" s="19">
        <v>23</v>
      </c>
      <c r="B27" s="180" t="s">
        <v>20</v>
      </c>
      <c r="C27" s="181"/>
      <c r="D27" s="14">
        <f t="shared" si="0"/>
        <v>43139</v>
      </c>
      <c r="E27" s="17">
        <f t="shared" si="1"/>
        <v>359248.99275121203</v>
      </c>
      <c r="F27" s="21">
        <f t="shared" si="2"/>
        <v>8.33</v>
      </c>
    </row>
    <row r="28" spans="1:6" x14ac:dyDescent="0.2">
      <c r="A28" s="19">
        <v>24</v>
      </c>
      <c r="B28" s="180" t="s">
        <v>21</v>
      </c>
      <c r="C28" s="181"/>
      <c r="D28" s="14">
        <f t="shared" si="0"/>
        <v>5280</v>
      </c>
      <c r="E28" s="17">
        <f t="shared" si="1"/>
        <v>35415.71384886992</v>
      </c>
      <c r="F28" s="21">
        <f t="shared" si="2"/>
        <v>6.71</v>
      </c>
    </row>
    <row r="29" spans="1:6" x14ac:dyDescent="0.2">
      <c r="A29" s="19">
        <v>25</v>
      </c>
      <c r="B29" s="180" t="s">
        <v>22</v>
      </c>
      <c r="C29" s="181"/>
      <c r="D29" s="14">
        <f t="shared" si="0"/>
        <v>86296</v>
      </c>
      <c r="E29" s="17">
        <f t="shared" si="1"/>
        <v>536549.35043599969</v>
      </c>
      <c r="F29" s="21">
        <f t="shared" si="2"/>
        <v>6.22</v>
      </c>
    </row>
    <row r="30" spans="1:6" x14ac:dyDescent="0.2">
      <c r="A30" s="19">
        <v>26</v>
      </c>
      <c r="B30" s="180" t="s">
        <v>23</v>
      </c>
      <c r="C30" s="181"/>
      <c r="D30" s="14">
        <f t="shared" si="0"/>
        <v>24359</v>
      </c>
      <c r="E30" s="17">
        <f t="shared" si="1"/>
        <v>157198.5787205724</v>
      </c>
      <c r="F30" s="21">
        <f t="shared" si="2"/>
        <v>6.45</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727294</v>
      </c>
      <c r="E33" s="31">
        <f>SUM(E5:E32)</f>
        <v>4835882.9999999991</v>
      </c>
      <c r="F33" s="32">
        <f t="shared" si="2"/>
        <v>6.65</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IF(F3="1",SUMIF(Data!A:A,'17'!$A$2,Data!CU:CU),0)</f>
        <v>20486</v>
      </c>
      <c r="E36" s="15">
        <f>IF(F3="1",SUMIF(Data!$A:$A,$A$2,Data!IO:IO),0)</f>
        <v>17272</v>
      </c>
      <c r="F36" s="20">
        <f t="shared" ref="F36:F64" si="3">IF(OR(D36=0,E36=0),"",ROUND(E36/D36,2))</f>
        <v>0.84</v>
      </c>
    </row>
    <row r="37" spans="1:6" x14ac:dyDescent="0.2">
      <c r="A37" s="19">
        <v>2</v>
      </c>
      <c r="B37" s="180" t="s">
        <v>1</v>
      </c>
      <c r="C37" s="181"/>
      <c r="D37" s="14">
        <f>IF(F3="1",SUMIF(Data!A:A,'17'!$A$2,Data!CV:CV),0)</f>
        <v>47000</v>
      </c>
      <c r="E37" s="17">
        <f>IF(F3="1",SUMIF(Data!$A:$A,$A$2,Data!IP:IP),0)</f>
        <v>40187</v>
      </c>
      <c r="F37" s="21">
        <f t="shared" si="3"/>
        <v>0.86</v>
      </c>
    </row>
    <row r="38" spans="1:6" ht="14.25" customHeight="1" x14ac:dyDescent="0.2">
      <c r="A38" s="19">
        <v>3</v>
      </c>
      <c r="B38" s="180" t="s">
        <v>2</v>
      </c>
      <c r="C38" s="181"/>
      <c r="D38" s="14">
        <f>IF(F3="1",SUMIF(Data!A:A,'17'!$A$2,Data!CW:CW),0)</f>
        <v>67558</v>
      </c>
      <c r="E38" s="17">
        <f>IF($F$3="1",SUMIF(Data!$A:$A,$A$2,Data!IQ:IQ),0)</f>
        <v>89712</v>
      </c>
      <c r="F38" s="21">
        <f t="shared" si="3"/>
        <v>1.33</v>
      </c>
    </row>
    <row r="39" spans="1:6" ht="14.25" customHeight="1" x14ac:dyDescent="0.2">
      <c r="A39" s="19">
        <v>4</v>
      </c>
      <c r="B39" s="180" t="s">
        <v>3</v>
      </c>
      <c r="C39" s="181"/>
      <c r="D39" s="14">
        <f>IF(F3="1",SUMIF(Data!A:A,'17'!$A$2,Data!CX:CX),0)</f>
        <v>77663</v>
      </c>
      <c r="E39" s="17">
        <f>IF($F$3="1",SUMIF(Data!$A:$A,$A$2,Data!IR:IR),0)</f>
        <v>63634</v>
      </c>
      <c r="F39" s="21">
        <f t="shared" si="3"/>
        <v>0.82</v>
      </c>
    </row>
    <row r="40" spans="1:6" x14ac:dyDescent="0.2">
      <c r="A40" s="19">
        <v>5</v>
      </c>
      <c r="B40" s="180" t="s">
        <v>4</v>
      </c>
      <c r="C40" s="181"/>
      <c r="D40" s="14">
        <f>IF(F3="1",SUMIF(Data!A:A,'17'!$A$2,Data!CY:CY),0)</f>
        <v>0</v>
      </c>
      <c r="E40" s="17">
        <f>IF($F$3="1",SUMIF(Data!$A:$A,$A$2,Data!IS:IS),0)</f>
        <v>0</v>
      </c>
      <c r="F40" s="21" t="str">
        <f t="shared" si="3"/>
        <v/>
      </c>
    </row>
    <row r="41" spans="1:6" x14ac:dyDescent="0.2">
      <c r="A41" s="19">
        <v>6</v>
      </c>
      <c r="B41" s="180" t="s">
        <v>5</v>
      </c>
      <c r="C41" s="181"/>
      <c r="D41" s="14">
        <f>IF(F3="1",SUMIF(Data!A:A,'17'!$A$2,Data!CZ:CZ),0)</f>
        <v>0</v>
      </c>
      <c r="E41" s="17">
        <f>IF($F$3="1",SUMIF(Data!$A:$A,$A$2,Data!IT:IT),0)</f>
        <v>0</v>
      </c>
      <c r="F41" s="21" t="str">
        <f t="shared" si="3"/>
        <v/>
      </c>
    </row>
    <row r="42" spans="1:6" x14ac:dyDescent="0.2">
      <c r="A42" s="19">
        <v>7</v>
      </c>
      <c r="B42" s="180" t="s">
        <v>6</v>
      </c>
      <c r="C42" s="181"/>
      <c r="D42" s="14">
        <f>IF(F3="1",SUMIF(Data!A:A,'17'!$A$2,Data!DA:DA),0)</f>
        <v>55234</v>
      </c>
      <c r="E42" s="17">
        <f>IF($F$3="1",SUMIF(Data!$A:$A,$A$2,Data!IU:IU),0)</f>
        <v>327756</v>
      </c>
      <c r="F42" s="21">
        <f t="shared" si="3"/>
        <v>5.93</v>
      </c>
    </row>
    <row r="43" spans="1:6" x14ac:dyDescent="0.2">
      <c r="A43" s="19">
        <v>8</v>
      </c>
      <c r="B43" s="180" t="s">
        <v>7</v>
      </c>
      <c r="C43" s="181"/>
      <c r="D43" s="14">
        <f>IF(F3="1",SUMIF(Data!A:A,'17'!$A$2,Data!DB:DB),0)</f>
        <v>6272</v>
      </c>
      <c r="E43" s="17">
        <f>IF($F$3="1",SUMIF(Data!$A:$A,$A$2,Data!IV:IV),0)</f>
        <v>26923</v>
      </c>
      <c r="F43" s="21">
        <f t="shared" si="3"/>
        <v>4.29</v>
      </c>
    </row>
    <row r="44" spans="1:6" x14ac:dyDescent="0.2">
      <c r="A44" s="19">
        <v>9</v>
      </c>
      <c r="B44" s="180" t="s">
        <v>8</v>
      </c>
      <c r="C44" s="181"/>
      <c r="D44" s="14">
        <f>IF(F3="1",SUMIF(Data!A:A,'17'!$A$2,Data!DC:DC),0)</f>
        <v>52876</v>
      </c>
      <c r="E44" s="17">
        <f>IF($F$3="1",SUMIF(Data!$A:$A,$A$2,Data!IW:IW),0)</f>
        <v>94241</v>
      </c>
      <c r="F44" s="21">
        <f t="shared" si="3"/>
        <v>1.78</v>
      </c>
    </row>
    <row r="45" spans="1:6" x14ac:dyDescent="0.2">
      <c r="A45" s="19">
        <v>10</v>
      </c>
      <c r="B45" s="180" t="s">
        <v>9</v>
      </c>
      <c r="C45" s="181"/>
      <c r="D45" s="14">
        <f>IF(F3="1",SUMIF(Data!A:A,'17'!$A$2,Data!DD:DD),0)</f>
        <v>0</v>
      </c>
      <c r="E45" s="17">
        <f>IF($F$3="1",SUMIF(Data!$A:$A,$A$2,Data!IX:IX),0)</f>
        <v>0</v>
      </c>
      <c r="F45" s="21" t="str">
        <f t="shared" si="3"/>
        <v/>
      </c>
    </row>
    <row r="46" spans="1:6" x14ac:dyDescent="0.2">
      <c r="A46" s="19">
        <v>11</v>
      </c>
      <c r="B46" s="180" t="s">
        <v>10</v>
      </c>
      <c r="C46" s="181"/>
      <c r="D46" s="14">
        <f>IF(F3="1",SUMIF(Data!A:A,'17'!$A$2,Data!DE:DE),0)</f>
        <v>34988</v>
      </c>
      <c r="E46" s="17">
        <f>IF($F$3="1",SUMIF(Data!$A:$A,$A$2,Data!IY:IY),0)</f>
        <v>782</v>
      </c>
      <c r="F46" s="21">
        <f t="shared" si="3"/>
        <v>0.02</v>
      </c>
    </row>
    <row r="47" spans="1:6" ht="14.25" customHeight="1" x14ac:dyDescent="0.2">
      <c r="A47" s="19">
        <v>12</v>
      </c>
      <c r="B47" s="180" t="s">
        <v>11</v>
      </c>
      <c r="C47" s="181"/>
      <c r="D47" s="14">
        <f>IF(F3="1",SUMIF(Data!A:A,'17'!$A$2,Data!DF:DF),0)</f>
        <v>73894</v>
      </c>
      <c r="E47" s="17">
        <f>IF($F$3="1",SUMIF(Data!$A:$A,$A$2,Data!IZ:IZ),0)</f>
        <v>31699</v>
      </c>
      <c r="F47" s="21">
        <f t="shared" si="3"/>
        <v>0.43</v>
      </c>
    </row>
    <row r="48" spans="1:6" x14ac:dyDescent="0.2">
      <c r="A48" s="19">
        <v>13</v>
      </c>
      <c r="B48" s="180" t="s">
        <v>12</v>
      </c>
      <c r="C48" s="181"/>
      <c r="D48" s="14">
        <f>IF(F3="1",SUMIF(Data!A:A,'17'!$A$2,Data!DG:DG),0)</f>
        <v>4704</v>
      </c>
      <c r="E48" s="17">
        <f>IF($F$3="1",SUMIF(Data!$A:$A,$A$2,Data!JA:JA),0)</f>
        <v>43</v>
      </c>
      <c r="F48" s="21">
        <f t="shared" si="3"/>
        <v>0.01</v>
      </c>
    </row>
    <row r="49" spans="1:6" ht="14.25" customHeight="1" x14ac:dyDescent="0.2">
      <c r="A49" s="19">
        <v>14</v>
      </c>
      <c r="B49" s="180" t="s">
        <v>464</v>
      </c>
      <c r="C49" s="181"/>
      <c r="D49" s="14">
        <f>IF(F3="1",SUMIF(Data!A:A,'17'!$A$2,Data!DH:DH),0)</f>
        <v>0</v>
      </c>
      <c r="E49" s="17">
        <f>IF($F$3="1",SUMIF(Data!$A:$A,$A$2,Data!JB:JB),0)</f>
        <v>0</v>
      </c>
      <c r="F49" s="21" t="str">
        <f t="shared" si="3"/>
        <v/>
      </c>
    </row>
    <row r="50" spans="1:6" x14ac:dyDescent="0.2">
      <c r="A50" s="19">
        <v>15</v>
      </c>
      <c r="B50" s="180" t="s">
        <v>13</v>
      </c>
      <c r="C50" s="181"/>
      <c r="D50" s="14">
        <f>IF(F3="1",SUMIF(Data!A:A,'17'!$A$2,Data!DI:DI),0)</f>
        <v>0</v>
      </c>
      <c r="E50" s="17">
        <f>IF($F$3="1",SUMIF(Data!$A:$A,$A$2,Data!JC:JC),0)</f>
        <v>0</v>
      </c>
      <c r="F50" s="21" t="str">
        <f t="shared" si="3"/>
        <v/>
      </c>
    </row>
    <row r="51" spans="1:6" x14ac:dyDescent="0.2">
      <c r="A51" s="19">
        <v>16</v>
      </c>
      <c r="B51" s="180" t="s">
        <v>14</v>
      </c>
      <c r="C51" s="181"/>
      <c r="D51" s="14">
        <f>IF(F3="1",SUMIF(Data!A:A,'17'!$A$2,Data!DJ:DJ),0)</f>
        <v>22100</v>
      </c>
      <c r="E51" s="17">
        <f>IF($F$3="1",SUMIF(Data!$A:$A,$A$2,Data!JD:JD),0)</f>
        <v>44155</v>
      </c>
      <c r="F51" s="21">
        <f t="shared" si="3"/>
        <v>2</v>
      </c>
    </row>
    <row r="52" spans="1:6" x14ac:dyDescent="0.2">
      <c r="A52" s="19">
        <v>17</v>
      </c>
      <c r="B52" s="180" t="s">
        <v>15</v>
      </c>
      <c r="C52" s="181"/>
      <c r="D52" s="14">
        <f>IF(F3="1",SUMIF(Data!A:A,'17'!$A$2,Data!DK:DK),0)</f>
        <v>0</v>
      </c>
      <c r="E52" s="17">
        <f>IF($F$3="1",SUMIF(Data!$A:$A,$A$2,Data!JE:JE),0)</f>
        <v>0</v>
      </c>
      <c r="F52" s="21" t="str">
        <f t="shared" si="3"/>
        <v/>
      </c>
    </row>
    <row r="53" spans="1:6" x14ac:dyDescent="0.2">
      <c r="A53" s="19">
        <v>18</v>
      </c>
      <c r="B53" s="180" t="s">
        <v>16</v>
      </c>
      <c r="C53" s="181"/>
      <c r="D53" s="14">
        <f>IF(F3="1",SUMIF(Data!A:A,'17'!$A$2,Data!DL:DL),0)</f>
        <v>55172</v>
      </c>
      <c r="E53" s="17">
        <f>IF($F$3="1",SUMIF(Data!$A:$A,$A$2,Data!JF:JF),0)</f>
        <v>138081</v>
      </c>
      <c r="F53" s="21">
        <f t="shared" si="3"/>
        <v>2.5</v>
      </c>
    </row>
    <row r="54" spans="1:6" x14ac:dyDescent="0.2">
      <c r="A54" s="19">
        <v>19</v>
      </c>
      <c r="B54" s="180" t="s">
        <v>17</v>
      </c>
      <c r="C54" s="181"/>
      <c r="D54" s="14">
        <f>IF(F3="1",SUMIF(Data!A:A,'17'!$A$2,Data!DM:DM),0)</f>
        <v>49760</v>
      </c>
      <c r="E54" s="17">
        <f>IF($F$3="1",SUMIF(Data!$A:$A,$A$2,Data!JG:JG),0)</f>
        <v>1336</v>
      </c>
      <c r="F54" s="21">
        <f t="shared" si="3"/>
        <v>0.03</v>
      </c>
    </row>
    <row r="55" spans="1:6" x14ac:dyDescent="0.2">
      <c r="A55" s="19">
        <v>20</v>
      </c>
      <c r="B55" s="180" t="s">
        <v>18</v>
      </c>
      <c r="C55" s="181"/>
      <c r="D55" s="14">
        <f>IF(F3="1",SUMIF(Data!A:A,'17'!$A$2,Data!DN:DN),0)</f>
        <v>192</v>
      </c>
      <c r="E55" s="17">
        <f>IF($F$3="1",SUMIF(Data!$A:$A,$A$2,Data!JH:JH),0)</f>
        <v>78</v>
      </c>
      <c r="F55" s="21">
        <f t="shared" si="3"/>
        <v>0.41</v>
      </c>
    </row>
    <row r="56" spans="1:6" ht="14.25" customHeight="1" x14ac:dyDescent="0.2">
      <c r="A56" s="19">
        <v>21</v>
      </c>
      <c r="B56" s="180" t="s">
        <v>461</v>
      </c>
      <c r="C56" s="181"/>
      <c r="D56" s="14">
        <f>IF(F3="1",SUMIF(Data!A:A,'17'!$A$2,Data!DO:DO),0)</f>
        <v>77</v>
      </c>
      <c r="E56" s="17">
        <f>IF($F$3="1",SUMIF(Data!$A:$A,$A$2,Data!JI:JI),0)</f>
        <v>0</v>
      </c>
      <c r="F56" s="21" t="str">
        <f t="shared" si="3"/>
        <v/>
      </c>
    </row>
    <row r="57" spans="1:6" x14ac:dyDescent="0.2">
      <c r="A57" s="19">
        <v>22</v>
      </c>
      <c r="B57" s="180" t="s">
        <v>19</v>
      </c>
      <c r="C57" s="181"/>
      <c r="D57" s="14">
        <f>IF(F3="1",SUMIF(Data!A:A,'17'!$A$2,Data!DP:DP),0)</f>
        <v>244</v>
      </c>
      <c r="E57" s="17">
        <f>IF($F$3="1",SUMIF(Data!$A:$A,$A$2,Data!JJ:JJ),0)</f>
        <v>0</v>
      </c>
      <c r="F57" s="21" t="str">
        <f t="shared" si="3"/>
        <v/>
      </c>
    </row>
    <row r="58" spans="1:6" x14ac:dyDescent="0.2">
      <c r="A58" s="19">
        <v>23</v>
      </c>
      <c r="B58" s="180" t="s">
        <v>20</v>
      </c>
      <c r="C58" s="181"/>
      <c r="D58" s="14">
        <f>IF(F3="1",SUMIF(Data!A:A,'17'!$A$2,Data!DQ:DQ),0)</f>
        <v>43139</v>
      </c>
      <c r="E58" s="17">
        <f>IF($F$3="1",SUMIF(Data!$A:$A,$A$2,Data!JK:JK),0)</f>
        <v>50632</v>
      </c>
      <c r="F58" s="21">
        <f t="shared" si="3"/>
        <v>1.17</v>
      </c>
    </row>
    <row r="59" spans="1:6" x14ac:dyDescent="0.2">
      <c r="A59" s="19">
        <v>24</v>
      </c>
      <c r="B59" s="180" t="s">
        <v>21</v>
      </c>
      <c r="C59" s="181"/>
      <c r="D59" s="14">
        <f>IF(F3="1",SUMIF(Data!A:A,'17'!$A$2,Data!DR:DR),0)</f>
        <v>5280</v>
      </c>
      <c r="E59" s="17">
        <f>IF($F$3="1",SUMIF(Data!$A:$A,$A$2,Data!JL:JL),0)</f>
        <v>13674</v>
      </c>
      <c r="F59" s="21">
        <f t="shared" si="3"/>
        <v>2.59</v>
      </c>
    </row>
    <row r="60" spans="1:6" x14ac:dyDescent="0.2">
      <c r="A60" s="19">
        <v>25</v>
      </c>
      <c r="B60" s="180" t="s">
        <v>22</v>
      </c>
      <c r="C60" s="181"/>
      <c r="D60" s="14">
        <f>IF(F3="1",SUMIF(Data!A:A,'17'!$A$2,Data!DS:DS),0)</f>
        <v>86296</v>
      </c>
      <c r="E60" s="17">
        <f>IF($F$3="1",SUMIF(Data!$A:$A,$A$2,Data!JM:JM),0)</f>
        <v>71144</v>
      </c>
      <c r="F60" s="21">
        <f t="shared" si="3"/>
        <v>0.82</v>
      </c>
    </row>
    <row r="61" spans="1:6" x14ac:dyDescent="0.2">
      <c r="A61" s="19">
        <v>26</v>
      </c>
      <c r="B61" s="180" t="s">
        <v>23</v>
      </c>
      <c r="C61" s="181"/>
      <c r="D61" s="14">
        <f>IF(F3="1",SUMIF(Data!A:A,'17'!$A$2,Data!DT:DT),0)</f>
        <v>24359</v>
      </c>
      <c r="E61" s="17">
        <f>IF($F$3="1",SUMIF(Data!$A:$A,$A$2,Data!JN:JN),0)</f>
        <v>12210</v>
      </c>
      <c r="F61" s="21">
        <f t="shared" si="3"/>
        <v>0.5</v>
      </c>
    </row>
    <row r="62" spans="1:6" x14ac:dyDescent="0.2">
      <c r="A62" s="19">
        <v>28</v>
      </c>
      <c r="B62" s="180" t="s">
        <v>24</v>
      </c>
      <c r="C62" s="181"/>
      <c r="D62" s="14">
        <f>IF(F3="1",SUMIF(Data!A:A,'17'!$A$2,Data!DV:DV),0)</f>
        <v>0</v>
      </c>
      <c r="E62" s="17">
        <f>IF($F$3="1",SUMIF(Data!$A:$A,$A$2,Data!JP:JP),0)</f>
        <v>0</v>
      </c>
      <c r="F62" s="21" t="str">
        <f t="shared" si="3"/>
        <v/>
      </c>
    </row>
    <row r="63" spans="1:6" ht="15.75" customHeight="1" thickBot="1" x14ac:dyDescent="0.25">
      <c r="A63" s="22">
        <v>29</v>
      </c>
      <c r="B63" s="184" t="s">
        <v>25</v>
      </c>
      <c r="C63" s="185"/>
      <c r="D63" s="23">
        <f>IF(F3="1",SUMIF(Data!A:A,'17'!$A$2,Data!DW:DW),0)</f>
        <v>0</v>
      </c>
      <c r="E63" s="24">
        <f>IF($F$3="1",SUMIF(Data!$A:$A,$A$2,Data!JQ:JQ),0)</f>
        <v>0</v>
      </c>
      <c r="F63" s="25" t="str">
        <f t="shared" si="3"/>
        <v/>
      </c>
    </row>
    <row r="64" spans="1:6" x14ac:dyDescent="0.2">
      <c r="B64" s="30" t="s">
        <v>35</v>
      </c>
      <c r="C64" s="30"/>
      <c r="D64" s="59">
        <f>SUM(D36:D63)</f>
        <v>727294</v>
      </c>
      <c r="E64" s="31">
        <f>SUM(E36:E63)</f>
        <v>1023559</v>
      </c>
      <c r="F64" s="32">
        <f t="shared" si="3"/>
        <v>1.41</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20486</v>
      </c>
      <c r="E67" s="15">
        <f>IF(F3="1",SUMIF(Data!A:A,'17'!$A$2,Data!DY:DY),0)</f>
        <v>88663</v>
      </c>
      <c r="F67" s="20">
        <f t="shared" ref="F67:F95" si="4">IF(OR(D67=0,E67=0),"",ROUND(E67/D67,2))</f>
        <v>4.33</v>
      </c>
    </row>
    <row r="68" spans="1:6" x14ac:dyDescent="0.2">
      <c r="A68" s="19">
        <v>2</v>
      </c>
      <c r="B68" s="180" t="s">
        <v>1</v>
      </c>
      <c r="C68" s="181"/>
      <c r="D68" s="14">
        <f t="shared" ref="D68:D94" si="5">D37</f>
        <v>47000</v>
      </c>
      <c r="E68" s="17">
        <f>IF(F3="1",SUMIF(Data!A:A,'17'!$A$2,Data!DZ:DZ),0)</f>
        <v>14246</v>
      </c>
      <c r="F68" s="21">
        <f t="shared" si="4"/>
        <v>0.3</v>
      </c>
    </row>
    <row r="69" spans="1:6" ht="14.25" customHeight="1" x14ac:dyDescent="0.2">
      <c r="A69" s="19">
        <v>3</v>
      </c>
      <c r="B69" s="180" t="s">
        <v>2</v>
      </c>
      <c r="C69" s="181"/>
      <c r="D69" s="14">
        <f t="shared" si="5"/>
        <v>67558</v>
      </c>
      <c r="E69" s="17">
        <f>IF(F3="1",SUMIF(Data!A:A,'17'!$A$2,Data!EA:EA),0)</f>
        <v>202753</v>
      </c>
      <c r="F69" s="21">
        <f t="shared" si="4"/>
        <v>3</v>
      </c>
    </row>
    <row r="70" spans="1:6" ht="14.25" customHeight="1" x14ac:dyDescent="0.2">
      <c r="A70" s="19">
        <v>4</v>
      </c>
      <c r="B70" s="180" t="s">
        <v>3</v>
      </c>
      <c r="C70" s="181"/>
      <c r="D70" s="14">
        <f t="shared" si="5"/>
        <v>77663</v>
      </c>
      <c r="E70" s="17">
        <f>IF(F3="1",SUMIF(Data!A:A,'17'!$A$2,Data!EB:EB),0)</f>
        <v>130745</v>
      </c>
      <c r="F70" s="21">
        <f t="shared" si="4"/>
        <v>1.68</v>
      </c>
    </row>
    <row r="71" spans="1:6" x14ac:dyDescent="0.2">
      <c r="A71" s="19">
        <v>5</v>
      </c>
      <c r="B71" s="180" t="s">
        <v>4</v>
      </c>
      <c r="C71" s="181"/>
      <c r="D71" s="14">
        <f t="shared" si="5"/>
        <v>0</v>
      </c>
      <c r="E71" s="17">
        <f>IF(F3="1",SUMIF(Data!A:A,'17'!$A$2,Data!EC:EC),0)</f>
        <v>0</v>
      </c>
      <c r="F71" s="21" t="str">
        <f t="shared" si="4"/>
        <v/>
      </c>
    </row>
    <row r="72" spans="1:6" x14ac:dyDescent="0.2">
      <c r="A72" s="19">
        <v>6</v>
      </c>
      <c r="B72" s="180" t="s">
        <v>5</v>
      </c>
      <c r="C72" s="181"/>
      <c r="D72" s="14">
        <f t="shared" si="5"/>
        <v>0</v>
      </c>
      <c r="E72" s="17">
        <f>IF(F3="1",SUMIF(Data!A:A,'17'!$A$2,Data!ED:ED),0)</f>
        <v>0</v>
      </c>
      <c r="F72" s="21" t="str">
        <f t="shared" si="4"/>
        <v/>
      </c>
    </row>
    <row r="73" spans="1:6" x14ac:dyDescent="0.2">
      <c r="A73" s="19">
        <v>7</v>
      </c>
      <c r="B73" s="180" t="s">
        <v>6</v>
      </c>
      <c r="C73" s="181"/>
      <c r="D73" s="14">
        <f t="shared" si="5"/>
        <v>55234</v>
      </c>
      <c r="E73" s="17">
        <f>IF(F3="1",SUMIF(Data!A:A,'17'!$A$2,Data!EE:EE),0)</f>
        <v>150789</v>
      </c>
      <c r="F73" s="21">
        <f t="shared" si="4"/>
        <v>2.73</v>
      </c>
    </row>
    <row r="74" spans="1:6" x14ac:dyDescent="0.2">
      <c r="A74" s="19">
        <v>8</v>
      </c>
      <c r="B74" s="180" t="s">
        <v>7</v>
      </c>
      <c r="C74" s="181"/>
      <c r="D74" s="14">
        <f t="shared" si="5"/>
        <v>6272</v>
      </c>
      <c r="E74" s="17">
        <f>IF(F3="1",SUMIF(Data!A:A,'17'!$A$2,Data!EF:EF),0)</f>
        <v>60089</v>
      </c>
      <c r="F74" s="21">
        <f t="shared" si="4"/>
        <v>9.58</v>
      </c>
    </row>
    <row r="75" spans="1:6" x14ac:dyDescent="0.2">
      <c r="A75" s="19">
        <v>9</v>
      </c>
      <c r="B75" s="180" t="s">
        <v>8</v>
      </c>
      <c r="C75" s="181"/>
      <c r="D75" s="14">
        <f t="shared" si="5"/>
        <v>52876</v>
      </c>
      <c r="E75" s="17">
        <f>IF(F3="1",SUMIF(Data!A:A,'17'!$A$2,Data!EG:EG),0)</f>
        <v>3522</v>
      </c>
      <c r="F75" s="21">
        <f t="shared" si="4"/>
        <v>7.0000000000000007E-2</v>
      </c>
    </row>
    <row r="76" spans="1:6" x14ac:dyDescent="0.2">
      <c r="A76" s="19">
        <v>10</v>
      </c>
      <c r="B76" s="180" t="s">
        <v>9</v>
      </c>
      <c r="C76" s="181"/>
      <c r="D76" s="14">
        <f t="shared" si="5"/>
        <v>0</v>
      </c>
      <c r="E76" s="17">
        <f>IF(F3="1",SUMIF(Data!A:A,'17'!$A$2,Data!EH:EH),0)</f>
        <v>0</v>
      </c>
      <c r="F76" s="21" t="str">
        <f t="shared" si="4"/>
        <v/>
      </c>
    </row>
    <row r="77" spans="1:6" x14ac:dyDescent="0.2">
      <c r="A77" s="19">
        <v>11</v>
      </c>
      <c r="B77" s="180" t="s">
        <v>10</v>
      </c>
      <c r="C77" s="181"/>
      <c r="D77" s="14">
        <f t="shared" si="5"/>
        <v>34988</v>
      </c>
      <c r="E77" s="17">
        <f>IF(F3="1",SUMIF(Data!A:A,'17'!$A$2,Data!EI:EI),0)</f>
        <v>35482</v>
      </c>
      <c r="F77" s="21">
        <f t="shared" si="4"/>
        <v>1.01</v>
      </c>
    </row>
    <row r="78" spans="1:6" ht="14.25" customHeight="1" x14ac:dyDescent="0.2">
      <c r="A78" s="19">
        <v>12</v>
      </c>
      <c r="B78" s="180" t="s">
        <v>11</v>
      </c>
      <c r="C78" s="181"/>
      <c r="D78" s="14">
        <f t="shared" si="5"/>
        <v>73894</v>
      </c>
      <c r="E78" s="17">
        <f>IF(F3="1",SUMIF(Data!A:A,'17'!$A$2,Data!EJ:EJ),0)</f>
        <v>110798</v>
      </c>
      <c r="F78" s="21">
        <f t="shared" si="4"/>
        <v>1.5</v>
      </c>
    </row>
    <row r="79" spans="1:6" x14ac:dyDescent="0.2">
      <c r="A79" s="19">
        <v>13</v>
      </c>
      <c r="B79" s="180" t="s">
        <v>12</v>
      </c>
      <c r="C79" s="181"/>
      <c r="D79" s="14">
        <f t="shared" si="5"/>
        <v>4704</v>
      </c>
      <c r="E79" s="17">
        <f>IF(F3="1",SUMIF(Data!A:A,'17'!$A$2,Data!EK:EK),0)</f>
        <v>10509</v>
      </c>
      <c r="F79" s="21">
        <f t="shared" si="4"/>
        <v>2.23</v>
      </c>
    </row>
    <row r="80" spans="1:6" ht="14.25" customHeight="1" x14ac:dyDescent="0.2">
      <c r="A80" s="19">
        <v>14</v>
      </c>
      <c r="B80" s="180" t="s">
        <v>464</v>
      </c>
      <c r="C80" s="181"/>
      <c r="D80" s="14">
        <f t="shared" si="5"/>
        <v>0</v>
      </c>
      <c r="E80" s="17">
        <f>IF(F3="1",SUMIF(Data!A:A,'17'!$A$2,Data!EL:EL),0)</f>
        <v>0</v>
      </c>
      <c r="F80" s="21" t="str">
        <f t="shared" si="4"/>
        <v/>
      </c>
    </row>
    <row r="81" spans="1:6" x14ac:dyDescent="0.2">
      <c r="A81" s="19">
        <v>15</v>
      </c>
      <c r="B81" s="180" t="s">
        <v>13</v>
      </c>
      <c r="C81" s="181"/>
      <c r="D81" s="14">
        <f t="shared" si="5"/>
        <v>0</v>
      </c>
      <c r="E81" s="17">
        <f>IF(F3="1",SUMIF(Data!A:A,'17'!$A$2,Data!EM:EM),0)</f>
        <v>0</v>
      </c>
      <c r="F81" s="21" t="str">
        <f t="shared" si="4"/>
        <v/>
      </c>
    </row>
    <row r="82" spans="1:6" x14ac:dyDescent="0.2">
      <c r="A82" s="19">
        <v>16</v>
      </c>
      <c r="B82" s="180" t="s">
        <v>14</v>
      </c>
      <c r="C82" s="181"/>
      <c r="D82" s="14">
        <f t="shared" si="5"/>
        <v>22100</v>
      </c>
      <c r="E82" s="17">
        <f>IF(F3="1",SUMIF(Data!A:A,'17'!$A$2,Data!EN:EN),0)</f>
        <v>61871</v>
      </c>
      <c r="F82" s="21">
        <f t="shared" si="4"/>
        <v>2.8</v>
      </c>
    </row>
    <row r="83" spans="1:6" x14ac:dyDescent="0.2">
      <c r="A83" s="19">
        <v>17</v>
      </c>
      <c r="B83" s="180" t="s">
        <v>15</v>
      </c>
      <c r="C83" s="181"/>
      <c r="D83" s="14">
        <f t="shared" si="5"/>
        <v>0</v>
      </c>
      <c r="E83" s="17">
        <f>IF(F3="1",SUMIF(Data!A:A,'17'!$A$2,Data!EO:EO),0)</f>
        <v>0</v>
      </c>
      <c r="F83" s="21" t="str">
        <f t="shared" si="4"/>
        <v/>
      </c>
    </row>
    <row r="84" spans="1:6" x14ac:dyDescent="0.2">
      <c r="A84" s="19">
        <v>18</v>
      </c>
      <c r="B84" s="180" t="s">
        <v>16</v>
      </c>
      <c r="C84" s="181"/>
      <c r="D84" s="14">
        <f t="shared" si="5"/>
        <v>55172</v>
      </c>
      <c r="E84" s="17">
        <f>IF(F3="1",SUMIF(Data!A:A,'17'!$A$2,Data!EP:EP),0)</f>
        <v>209354</v>
      </c>
      <c r="F84" s="21">
        <f t="shared" si="4"/>
        <v>3.79</v>
      </c>
    </row>
    <row r="85" spans="1:6" x14ac:dyDescent="0.2">
      <c r="A85" s="19">
        <v>19</v>
      </c>
      <c r="B85" s="180" t="s">
        <v>17</v>
      </c>
      <c r="C85" s="181"/>
      <c r="D85" s="14">
        <f t="shared" si="5"/>
        <v>49760</v>
      </c>
      <c r="E85" s="17">
        <f>IF(F3="1",SUMIF(Data!A:A,'17'!$A$2,Data!EQ:EQ),0)</f>
        <v>102802</v>
      </c>
      <c r="F85" s="21">
        <f t="shared" si="4"/>
        <v>2.0699999999999998</v>
      </c>
    </row>
    <row r="86" spans="1:6" x14ac:dyDescent="0.2">
      <c r="A86" s="19">
        <v>20</v>
      </c>
      <c r="B86" s="180" t="s">
        <v>18</v>
      </c>
      <c r="C86" s="181"/>
      <c r="D86" s="14">
        <f t="shared" si="5"/>
        <v>192</v>
      </c>
      <c r="E86" s="17">
        <f>IF(F3="1",SUMIF(Data!A:A,'17'!$A$2,Data!ER:ER),0)</f>
        <v>480</v>
      </c>
      <c r="F86" s="21">
        <f t="shared" si="4"/>
        <v>2.5</v>
      </c>
    </row>
    <row r="87" spans="1:6" ht="14.25" customHeight="1" x14ac:dyDescent="0.2">
      <c r="A87" s="19">
        <v>21</v>
      </c>
      <c r="B87" s="180" t="s">
        <v>461</v>
      </c>
      <c r="C87" s="181"/>
      <c r="D87" s="14">
        <f t="shared" si="5"/>
        <v>77</v>
      </c>
      <c r="E87" s="17">
        <f>IF(F3="1",SUMIF(Data!A:A,'17'!$A$2,Data!ES:ES),0)</f>
        <v>456</v>
      </c>
      <c r="F87" s="21">
        <f t="shared" si="4"/>
        <v>5.92</v>
      </c>
    </row>
    <row r="88" spans="1:6" x14ac:dyDescent="0.2">
      <c r="A88" s="19">
        <v>22</v>
      </c>
      <c r="B88" s="180" t="s">
        <v>19</v>
      </c>
      <c r="C88" s="181"/>
      <c r="D88" s="14">
        <f t="shared" si="5"/>
        <v>244</v>
      </c>
      <c r="E88" s="17">
        <f>IF(F3="1",SUMIF(Data!A:A,'17'!$A$2,Data!ET:ET),0)</f>
        <v>4400</v>
      </c>
      <c r="F88" s="21">
        <f t="shared" si="4"/>
        <v>18.03</v>
      </c>
    </row>
    <row r="89" spans="1:6" x14ac:dyDescent="0.2">
      <c r="A89" s="19">
        <v>23</v>
      </c>
      <c r="B89" s="180" t="s">
        <v>20</v>
      </c>
      <c r="C89" s="181"/>
      <c r="D89" s="14">
        <f t="shared" si="5"/>
        <v>43139</v>
      </c>
      <c r="E89" s="17">
        <f>IF(F3="1",SUMIF(Data!A:A,'17'!$A$2,Data!EU:EU),0)</f>
        <v>180722</v>
      </c>
      <c r="F89" s="21">
        <f t="shared" si="4"/>
        <v>4.1900000000000004</v>
      </c>
    </row>
    <row r="90" spans="1:6" x14ac:dyDescent="0.2">
      <c r="A90" s="19">
        <v>24</v>
      </c>
      <c r="B90" s="180" t="s">
        <v>21</v>
      </c>
      <c r="C90" s="181"/>
      <c r="D90" s="14">
        <f t="shared" si="5"/>
        <v>5280</v>
      </c>
      <c r="E90" s="17">
        <f>IF(F3="1",SUMIF(Data!A:A,'17'!$A$2,Data!EV:EV),0)</f>
        <v>6088</v>
      </c>
      <c r="F90" s="21">
        <f t="shared" si="4"/>
        <v>1.1499999999999999</v>
      </c>
    </row>
    <row r="91" spans="1:6" x14ac:dyDescent="0.2">
      <c r="A91" s="19">
        <v>25</v>
      </c>
      <c r="B91" s="180" t="s">
        <v>22</v>
      </c>
      <c r="C91" s="181"/>
      <c r="D91" s="14">
        <f t="shared" si="5"/>
        <v>86296</v>
      </c>
      <c r="E91" s="17">
        <f>IF(F3="1",SUMIF(Data!A:A,'17'!$A$2,Data!EW:EW),0)</f>
        <v>209562</v>
      </c>
      <c r="F91" s="21">
        <f t="shared" si="4"/>
        <v>2.4300000000000002</v>
      </c>
    </row>
    <row r="92" spans="1:6" x14ac:dyDescent="0.2">
      <c r="A92" s="19">
        <v>26</v>
      </c>
      <c r="B92" s="180" t="s">
        <v>23</v>
      </c>
      <c r="C92" s="181"/>
      <c r="D92" s="14">
        <f t="shared" si="5"/>
        <v>24359</v>
      </c>
      <c r="E92" s="17">
        <f>IF(F3="1",SUMIF(Data!A:A,'17'!$A$2,Data!EX:EX),0)</f>
        <v>72771</v>
      </c>
      <c r="F92" s="21">
        <f t="shared" si="4"/>
        <v>2.99</v>
      </c>
    </row>
    <row r="93" spans="1:6" x14ac:dyDescent="0.2">
      <c r="A93" s="19">
        <v>28</v>
      </c>
      <c r="B93" s="180" t="s">
        <v>24</v>
      </c>
      <c r="C93" s="181"/>
      <c r="D93" s="14">
        <f t="shared" si="5"/>
        <v>0</v>
      </c>
      <c r="E93" s="17">
        <f>IF(F3="1",SUMIF(Data!A:A,'17'!$A$2,Data!EZ:EZ),0)</f>
        <v>0</v>
      </c>
      <c r="F93" s="21" t="str">
        <f t="shared" si="4"/>
        <v/>
      </c>
    </row>
    <row r="94" spans="1:6" ht="15.75" customHeight="1" thickBot="1" x14ac:dyDescent="0.25">
      <c r="A94" s="22">
        <v>29</v>
      </c>
      <c r="B94" s="184" t="s">
        <v>25</v>
      </c>
      <c r="C94" s="185"/>
      <c r="D94" s="23">
        <f t="shared" si="5"/>
        <v>0</v>
      </c>
      <c r="E94" s="24">
        <f>IF(F3="1",SUMIF(Data!A:A,'17'!$A$2,Data!FA:FA),0)</f>
        <v>0</v>
      </c>
      <c r="F94" s="25" t="str">
        <f t="shared" si="4"/>
        <v/>
      </c>
    </row>
    <row r="95" spans="1:6" x14ac:dyDescent="0.2">
      <c r="B95" s="30" t="s">
        <v>35</v>
      </c>
      <c r="C95" s="30"/>
      <c r="D95" s="59">
        <f>SUM(D67:D94)</f>
        <v>727294</v>
      </c>
      <c r="E95" s="31">
        <f>SUM(E67:E94)</f>
        <v>1656102</v>
      </c>
      <c r="F95" s="32">
        <f t="shared" si="4"/>
        <v>2.2799999999999998</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IF(F3="1",SUMIF(Data!A:A,'17'!$A$2,Data!AH:AH),0)</f>
        <v>1316765</v>
      </c>
      <c r="F98" s="20">
        <f>IF(OR(E98=0,E98=0),"",ROUND(E98/$D$105,2))</f>
        <v>1.81</v>
      </c>
    </row>
    <row r="99" spans="2:6" x14ac:dyDescent="0.2">
      <c r="B99" s="190" t="s">
        <v>31</v>
      </c>
      <c r="C99" s="191"/>
      <c r="D99" s="36"/>
      <c r="E99" s="17">
        <f>IF(F3="1",SUMIF(Data!A:A,'17'!$A$2,Data!AI:AI),0)</f>
        <v>414744</v>
      </c>
      <c r="F99" s="21">
        <f t="shared" ref="F99:F104" si="6">IF(OR(E99=0,E99=0),"",ROUND(E99/$D$105,2))</f>
        <v>0.56999999999999995</v>
      </c>
    </row>
    <row r="100" spans="2:6" x14ac:dyDescent="0.2">
      <c r="B100" s="190" t="s">
        <v>1089</v>
      </c>
      <c r="C100" s="191"/>
      <c r="D100" s="36"/>
      <c r="E100" s="17">
        <f>IF(F3="1",SUMIF(Data!A:A,'17'!$A$2,Data!AJ:AJ),0)</f>
        <v>125125</v>
      </c>
      <c r="F100" s="21">
        <f t="shared" si="6"/>
        <v>0.17</v>
      </c>
    </row>
    <row r="101" spans="2:6" x14ac:dyDescent="0.2">
      <c r="B101" s="190" t="s">
        <v>1090</v>
      </c>
      <c r="C101" s="191"/>
      <c r="D101" s="36"/>
      <c r="E101" s="17">
        <f>IF(F3="1",SUMIF(Data!A:A,'17'!$A$2,Data!AK:AK),0)</f>
        <v>65902</v>
      </c>
      <c r="F101" s="21">
        <f t="shared" si="6"/>
        <v>0.09</v>
      </c>
    </row>
    <row r="102" spans="2:6" x14ac:dyDescent="0.2">
      <c r="B102" s="190" t="s">
        <v>1091</v>
      </c>
      <c r="C102" s="191"/>
      <c r="D102" s="36"/>
      <c r="E102" s="17">
        <f>IF(F3="1",SUMIF(Data!A:A,'17'!$A$2,Data!AL:AL),0)</f>
        <v>0</v>
      </c>
      <c r="F102" s="21" t="str">
        <f t="shared" si="6"/>
        <v/>
      </c>
    </row>
    <row r="103" spans="2:6" x14ac:dyDescent="0.2">
      <c r="B103" s="192" t="s">
        <v>34</v>
      </c>
      <c r="C103" s="193"/>
      <c r="D103" s="36"/>
      <c r="E103" s="17">
        <f>IF(F3="1",SUMIF(Data!A:A,'17'!$A$2,Data!AM:AM),0)</f>
        <v>0</v>
      </c>
      <c r="F103" s="21" t="str">
        <f t="shared" si="6"/>
        <v/>
      </c>
    </row>
    <row r="104" spans="2:6" ht="15.75" customHeight="1" thickBot="1" x14ac:dyDescent="0.25">
      <c r="B104" s="186" t="s">
        <v>29</v>
      </c>
      <c r="C104" s="187"/>
      <c r="D104" s="37"/>
      <c r="E104" s="24">
        <f>IF(F3="1",SUMIF(Data!A:A,'17'!$A$2,Data!Q:Q),0)</f>
        <v>233686</v>
      </c>
      <c r="F104" s="25">
        <f t="shared" si="6"/>
        <v>0.32</v>
      </c>
    </row>
    <row r="105" spans="2:6" x14ac:dyDescent="0.2">
      <c r="B105" s="30" t="s">
        <v>35</v>
      </c>
      <c r="C105" s="30"/>
      <c r="D105" s="34">
        <f>D95</f>
        <v>727294</v>
      </c>
      <c r="E105" s="31">
        <f>SUM(E98:E104)</f>
        <v>2156222</v>
      </c>
      <c r="F105" s="32">
        <f>IF($D$105=0,"",ROUND(E105/$D$105,2))</f>
        <v>2.96</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1656102</v>
      </c>
      <c r="D109" s="15">
        <f>IF(F3="1",SUMIF(Data!$A:$A,$A$2,Data!HJ:HJ),0)</f>
        <v>0</v>
      </c>
      <c r="E109" s="15">
        <f>IF(F3="1",SUMIF(Data!$A:$A,$A$2,Data!IN:IN),0)</f>
        <v>0</v>
      </c>
      <c r="F109" s="47">
        <f>SUM(C109:E109)</f>
        <v>1656102</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233686</v>
      </c>
      <c r="E117" s="52"/>
      <c r="F117" s="49">
        <f>SUM(C117:E117)</f>
        <v>233686</v>
      </c>
    </row>
    <row r="118" spans="1:6" x14ac:dyDescent="0.2">
      <c r="B118" s="13" t="s">
        <v>35</v>
      </c>
      <c r="C118" s="4">
        <f>SUM(C109:C116)</f>
        <v>1656102</v>
      </c>
      <c r="D118" s="4">
        <f>SUM(D109:D116)</f>
        <v>0</v>
      </c>
      <c r="E118" s="4">
        <f>SUM(E109:E116)</f>
        <v>0</v>
      </c>
      <c r="F118" s="4">
        <f>SUM(F109:F116)</f>
        <v>1656102</v>
      </c>
    </row>
    <row r="119" spans="1:6" ht="15" thickBot="1" x14ac:dyDescent="0.25"/>
    <row r="120" spans="1:6" ht="15" thickBot="1" x14ac:dyDescent="0.25">
      <c r="B120" s="55" t="s">
        <v>934</v>
      </c>
      <c r="C120" s="53"/>
      <c r="D120" s="53"/>
      <c r="E120" s="53">
        <f>IF(F3="1",SUMIF(Data!A:A,'17'!$A$2,Data!AM:AM),0)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42578125" style="10" bestFit="1" customWidth="1"/>
    <col min="13"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423</v>
      </c>
      <c r="B2" s="58" t="str">
        <f>VLOOKUP(A2,Data!A:G,7,0)</f>
        <v>Galveston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0</v>
      </c>
      <c r="E5" s="15">
        <f>E36+E67+IFERROR($E$105/$D$105*D5,0)</f>
        <v>0</v>
      </c>
      <c r="F5" s="20" t="str">
        <f>IF(OR(D5=0,E5=0),"",ROUND(E5/D5,2))</f>
        <v/>
      </c>
    </row>
    <row r="6" spans="1:6" x14ac:dyDescent="0.2">
      <c r="A6" s="19">
        <v>2</v>
      </c>
      <c r="B6" s="180" t="s">
        <v>1</v>
      </c>
      <c r="C6" s="181"/>
      <c r="D6" s="14">
        <f t="shared" ref="D6:D32" si="0">D37</f>
        <v>10994</v>
      </c>
      <c r="E6" s="17">
        <f t="shared" ref="E6:E32" si="1">E37+E68+IFERROR($E$105/$D$105*D6,0)</f>
        <v>82215.732566723353</v>
      </c>
      <c r="F6" s="21">
        <f t="shared" ref="F6:F33" si="2">IF(OR(D6=0,E6=0),"",ROUND(E6/D6,2))</f>
        <v>7.48</v>
      </c>
    </row>
    <row r="7" spans="1:6" ht="14.25" customHeight="1" x14ac:dyDescent="0.2">
      <c r="A7" s="19">
        <v>3</v>
      </c>
      <c r="B7" s="180" t="s">
        <v>2</v>
      </c>
      <c r="C7" s="181"/>
      <c r="D7" s="14">
        <f t="shared" si="0"/>
        <v>124704</v>
      </c>
      <c r="E7" s="17">
        <f t="shared" si="1"/>
        <v>1007099.482081196</v>
      </c>
      <c r="F7" s="21">
        <f t="shared" si="2"/>
        <v>8.08</v>
      </c>
    </row>
    <row r="8" spans="1:6" ht="14.25" customHeight="1" x14ac:dyDescent="0.2">
      <c r="A8" s="19">
        <v>4</v>
      </c>
      <c r="B8" s="180" t="s">
        <v>3</v>
      </c>
      <c r="C8" s="181"/>
      <c r="D8" s="14">
        <f t="shared" si="0"/>
        <v>59215</v>
      </c>
      <c r="E8" s="17">
        <f t="shared" si="1"/>
        <v>625900.76077301474</v>
      </c>
      <c r="F8" s="21">
        <f t="shared" si="2"/>
        <v>10.57</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96</v>
      </c>
      <c r="E10" s="17">
        <f t="shared" si="1"/>
        <v>104368.10044809946</v>
      </c>
      <c r="F10" s="21">
        <f t="shared" si="2"/>
        <v>1087.17</v>
      </c>
    </row>
    <row r="11" spans="1:6" x14ac:dyDescent="0.2">
      <c r="A11" s="19">
        <v>7</v>
      </c>
      <c r="B11" s="180" t="s">
        <v>6</v>
      </c>
      <c r="C11" s="181"/>
      <c r="D11" s="14">
        <f t="shared" si="0"/>
        <v>35856</v>
      </c>
      <c r="E11" s="17">
        <f t="shared" si="1"/>
        <v>453160.01736514759</v>
      </c>
      <c r="F11" s="21">
        <f t="shared" si="2"/>
        <v>12.64</v>
      </c>
    </row>
    <row r="12" spans="1:6" x14ac:dyDescent="0.2">
      <c r="A12" s="19">
        <v>8</v>
      </c>
      <c r="B12" s="180" t="s">
        <v>7</v>
      </c>
      <c r="C12" s="181"/>
      <c r="D12" s="14">
        <f t="shared" si="0"/>
        <v>0</v>
      </c>
      <c r="E12" s="17">
        <f t="shared" si="1"/>
        <v>0</v>
      </c>
      <c r="F12" s="21" t="str">
        <f t="shared" si="2"/>
        <v/>
      </c>
    </row>
    <row r="13" spans="1:6" x14ac:dyDescent="0.2">
      <c r="A13" s="19">
        <v>9</v>
      </c>
      <c r="B13" s="180" t="s">
        <v>8</v>
      </c>
      <c r="C13" s="181"/>
      <c r="D13" s="14">
        <f t="shared" si="0"/>
        <v>38880</v>
      </c>
      <c r="E13" s="17">
        <f t="shared" si="1"/>
        <v>372538.68148028047</v>
      </c>
      <c r="F13" s="21">
        <f t="shared" si="2"/>
        <v>9.58</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2851</v>
      </c>
      <c r="E15" s="17">
        <f t="shared" si="1"/>
        <v>77919.41018262037</v>
      </c>
      <c r="F15" s="21">
        <f t="shared" si="2"/>
        <v>27.33</v>
      </c>
    </row>
    <row r="16" spans="1:6" ht="14.25" customHeight="1" x14ac:dyDescent="0.2">
      <c r="A16" s="19">
        <v>12</v>
      </c>
      <c r="B16" s="180" t="s">
        <v>11</v>
      </c>
      <c r="C16" s="181"/>
      <c r="D16" s="14">
        <f t="shared" si="0"/>
        <v>177400</v>
      </c>
      <c r="E16" s="17">
        <f t="shared" si="1"/>
        <v>1190946.7030504569</v>
      </c>
      <c r="F16" s="21">
        <f t="shared" si="2"/>
        <v>6.71</v>
      </c>
    </row>
    <row r="17" spans="1:6" x14ac:dyDescent="0.2">
      <c r="A17" s="19">
        <v>13</v>
      </c>
      <c r="B17" s="180" t="s">
        <v>12</v>
      </c>
      <c r="C17" s="181"/>
      <c r="D17" s="14">
        <f t="shared" si="0"/>
        <v>16176</v>
      </c>
      <c r="E17" s="17">
        <f t="shared" si="1"/>
        <v>92022.425504758678</v>
      </c>
      <c r="F17" s="21">
        <f t="shared" si="2"/>
        <v>5.69</v>
      </c>
    </row>
    <row r="18" spans="1:6" ht="14.25" customHeight="1" x14ac:dyDescent="0.2">
      <c r="A18" s="19">
        <v>14</v>
      </c>
      <c r="B18" s="180" t="s">
        <v>464</v>
      </c>
      <c r="C18" s="181"/>
      <c r="D18" s="14">
        <f t="shared" si="0"/>
        <v>110658</v>
      </c>
      <c r="E18" s="17">
        <f t="shared" si="1"/>
        <v>1203345.8477686441</v>
      </c>
      <c r="F18" s="21">
        <f t="shared" si="2"/>
        <v>10.87</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145057</v>
      </c>
      <c r="E20" s="17">
        <f t="shared" si="1"/>
        <v>1225462.1427079488</v>
      </c>
      <c r="F20" s="21">
        <f t="shared" si="2"/>
        <v>8.4499999999999993</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28000</v>
      </c>
      <c r="E22" s="17">
        <f t="shared" si="1"/>
        <v>242302.63069567527</v>
      </c>
      <c r="F22" s="21">
        <f t="shared" si="2"/>
        <v>8.65</v>
      </c>
    </row>
    <row r="23" spans="1:6" x14ac:dyDescent="0.2">
      <c r="A23" s="19">
        <v>19</v>
      </c>
      <c r="B23" s="180" t="s">
        <v>17</v>
      </c>
      <c r="C23" s="181"/>
      <c r="D23" s="14">
        <f t="shared" si="0"/>
        <v>137713</v>
      </c>
      <c r="E23" s="17">
        <f t="shared" si="1"/>
        <v>834135.95842834027</v>
      </c>
      <c r="F23" s="21">
        <f t="shared" si="2"/>
        <v>6.06</v>
      </c>
    </row>
    <row r="24" spans="1:6" x14ac:dyDescent="0.2">
      <c r="A24" s="19">
        <v>20</v>
      </c>
      <c r="B24" s="180" t="s">
        <v>18</v>
      </c>
      <c r="C24" s="181"/>
      <c r="D24" s="14">
        <f t="shared" si="0"/>
        <v>0</v>
      </c>
      <c r="E24" s="17">
        <f t="shared" si="1"/>
        <v>0</v>
      </c>
      <c r="F24" s="21" t="str">
        <f t="shared" si="2"/>
        <v/>
      </c>
    </row>
    <row r="25" spans="1:6" ht="14.25" customHeight="1" x14ac:dyDescent="0.2">
      <c r="A25" s="19">
        <v>21</v>
      </c>
      <c r="B25" s="180" t="s">
        <v>461</v>
      </c>
      <c r="C25" s="181"/>
      <c r="D25" s="14">
        <f t="shared" si="0"/>
        <v>2160</v>
      </c>
      <c r="E25" s="17">
        <f t="shared" si="1"/>
        <v>33244.760082237808</v>
      </c>
      <c r="F25" s="21">
        <f t="shared" si="2"/>
        <v>15.39</v>
      </c>
    </row>
    <row r="26" spans="1:6" x14ac:dyDescent="0.2">
      <c r="A26" s="19">
        <v>22</v>
      </c>
      <c r="B26" s="180" t="s">
        <v>19</v>
      </c>
      <c r="C26" s="181"/>
      <c r="D26" s="14">
        <f t="shared" si="0"/>
        <v>0</v>
      </c>
      <c r="E26" s="17">
        <f t="shared" si="1"/>
        <v>0</v>
      </c>
      <c r="F26" s="21" t="str">
        <f t="shared" si="2"/>
        <v/>
      </c>
    </row>
    <row r="27" spans="1:6" x14ac:dyDescent="0.2">
      <c r="A27" s="19">
        <v>23</v>
      </c>
      <c r="B27" s="180" t="s">
        <v>20</v>
      </c>
      <c r="C27" s="181"/>
      <c r="D27" s="14">
        <f t="shared" si="0"/>
        <v>49698</v>
      </c>
      <c r="E27" s="17">
        <f t="shared" si="1"/>
        <v>468207.06322548818</v>
      </c>
      <c r="F27" s="21">
        <f t="shared" si="2"/>
        <v>9.42</v>
      </c>
    </row>
    <row r="28" spans="1:6" x14ac:dyDescent="0.2">
      <c r="A28" s="19">
        <v>24</v>
      </c>
      <c r="B28" s="180" t="s">
        <v>21</v>
      </c>
      <c r="C28" s="181"/>
      <c r="D28" s="14">
        <f t="shared" si="0"/>
        <v>36282</v>
      </c>
      <c r="E28" s="17">
        <f t="shared" si="1"/>
        <v>243939.77560358893</v>
      </c>
      <c r="F28" s="21">
        <f t="shared" si="2"/>
        <v>6.72</v>
      </c>
    </row>
    <row r="29" spans="1:6" x14ac:dyDescent="0.2">
      <c r="A29" s="19">
        <v>25</v>
      </c>
      <c r="B29" s="180" t="s">
        <v>22</v>
      </c>
      <c r="C29" s="181"/>
      <c r="D29" s="14">
        <f t="shared" si="0"/>
        <v>140016</v>
      </c>
      <c r="E29" s="17">
        <f t="shared" si="1"/>
        <v>1053704.0035530594</v>
      </c>
      <c r="F29" s="21">
        <f t="shared" si="2"/>
        <v>7.53</v>
      </c>
    </row>
    <row r="30" spans="1:6" x14ac:dyDescent="0.2">
      <c r="A30" s="19">
        <v>26</v>
      </c>
      <c r="B30" s="180" t="s">
        <v>23</v>
      </c>
      <c r="C30" s="181"/>
      <c r="D30" s="14">
        <f t="shared" si="0"/>
        <v>43808</v>
      </c>
      <c r="E30" s="17">
        <f t="shared" si="1"/>
        <v>386600.50448271935</v>
      </c>
      <c r="F30" s="21">
        <f t="shared" si="2"/>
        <v>8.82</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1159564</v>
      </c>
      <c r="E33" s="31">
        <f>SUM(E5:E32)</f>
        <v>9697114</v>
      </c>
      <c r="F33" s="32">
        <f t="shared" si="2"/>
        <v>8.36</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IF(F3="1",SUMIF(Data!A:A,'18'!$A$2,Data!CU:CU),0)</f>
        <v>0</v>
      </c>
      <c r="E36" s="15">
        <f>IF(F3="1",SUMIF(Data!$A:$A,$A$2,Data!IO:IO),0)</f>
        <v>0</v>
      </c>
      <c r="F36" s="20" t="str">
        <f t="shared" ref="F36:F64" si="3">IF(OR(D36=0,E36=0),"",ROUND(E36/D36,2))</f>
        <v/>
      </c>
    </row>
    <row r="37" spans="1:6" x14ac:dyDescent="0.2">
      <c r="A37" s="19">
        <v>2</v>
      </c>
      <c r="B37" s="180" t="s">
        <v>1</v>
      </c>
      <c r="C37" s="181"/>
      <c r="D37" s="14">
        <f>IF(F3="1",SUMIF(Data!A:A,'18'!$A$2,Data!CV:CV),0)</f>
        <v>10994</v>
      </c>
      <c r="E37" s="17">
        <f>IF(F3="1",SUMIF(Data!$A:$A,$A$2,Data!IP:IP),0)</f>
        <v>14057</v>
      </c>
      <c r="F37" s="21">
        <f t="shared" si="3"/>
        <v>1.28</v>
      </c>
    </row>
    <row r="38" spans="1:6" ht="14.25" customHeight="1" x14ac:dyDescent="0.2">
      <c r="A38" s="19">
        <v>3</v>
      </c>
      <c r="B38" s="180" t="s">
        <v>2</v>
      </c>
      <c r="C38" s="181"/>
      <c r="D38" s="14">
        <f>IF(F3="1",SUMIF(Data!A:A,'18'!$A$2,Data!CW:CW),0)</f>
        <v>124704</v>
      </c>
      <c r="E38" s="17">
        <f>IF($F$3="1",SUMIF(Data!$A:$A,$A$2,Data!IQ:IQ),0)</f>
        <v>46070</v>
      </c>
      <c r="F38" s="21">
        <f t="shared" si="3"/>
        <v>0.37</v>
      </c>
    </row>
    <row r="39" spans="1:6" ht="14.25" customHeight="1" x14ac:dyDescent="0.2">
      <c r="A39" s="19">
        <v>4</v>
      </c>
      <c r="B39" s="180" t="s">
        <v>3</v>
      </c>
      <c r="C39" s="181"/>
      <c r="D39" s="14">
        <f>IF(F3="1",SUMIF(Data!A:A,'18'!$A$2,Data!CX:CX),0)</f>
        <v>59215</v>
      </c>
      <c r="E39" s="17">
        <f>IF($F$3="1",SUMIF(Data!$A:$A,$A$2,Data!IR:IR),0)</f>
        <v>57947</v>
      </c>
      <c r="F39" s="21">
        <f t="shared" si="3"/>
        <v>0.98</v>
      </c>
    </row>
    <row r="40" spans="1:6" x14ac:dyDescent="0.2">
      <c r="A40" s="19">
        <v>5</v>
      </c>
      <c r="B40" s="180" t="s">
        <v>4</v>
      </c>
      <c r="C40" s="181"/>
      <c r="D40" s="14">
        <f>IF(F3="1",SUMIF(Data!A:A,'18'!$A$2,Data!CY:CY),0)</f>
        <v>0</v>
      </c>
      <c r="E40" s="17">
        <f>IF($F$3="1",SUMIF(Data!$A:$A,$A$2,Data!IS:IS),0)</f>
        <v>0</v>
      </c>
      <c r="F40" s="21" t="str">
        <f t="shared" si="3"/>
        <v/>
      </c>
    </row>
    <row r="41" spans="1:6" x14ac:dyDescent="0.2">
      <c r="A41" s="19">
        <v>6</v>
      </c>
      <c r="B41" s="180" t="s">
        <v>5</v>
      </c>
      <c r="C41" s="181"/>
      <c r="D41" s="14">
        <f>IF(F3="1",SUMIF(Data!A:A,'18'!$A$2,Data!CZ:CZ),0)</f>
        <v>96</v>
      </c>
      <c r="E41" s="17">
        <f>IF($F$3="1",SUMIF(Data!$A:$A,$A$2,Data!IT:IT),0)</f>
        <v>103949</v>
      </c>
      <c r="F41" s="21">
        <f t="shared" si="3"/>
        <v>1082.8</v>
      </c>
    </row>
    <row r="42" spans="1:6" x14ac:dyDescent="0.2">
      <c r="A42" s="19">
        <v>7</v>
      </c>
      <c r="B42" s="180" t="s">
        <v>6</v>
      </c>
      <c r="C42" s="181"/>
      <c r="D42" s="14">
        <f>IF(F3="1",SUMIF(Data!A:A,'18'!$A$2,Data!DA:DA),0)</f>
        <v>35856</v>
      </c>
      <c r="E42" s="17">
        <f>IF($F$3="1",SUMIF(Data!$A:$A,$A$2,Data!IU:IU),0)</f>
        <v>144232</v>
      </c>
      <c r="F42" s="21">
        <f t="shared" si="3"/>
        <v>4.0199999999999996</v>
      </c>
    </row>
    <row r="43" spans="1:6" x14ac:dyDescent="0.2">
      <c r="A43" s="19">
        <v>8</v>
      </c>
      <c r="B43" s="180" t="s">
        <v>7</v>
      </c>
      <c r="C43" s="181"/>
      <c r="D43" s="14">
        <f>IF(F3="1",SUMIF(Data!A:A,'18'!$A$2,Data!DB:DB),0)</f>
        <v>0</v>
      </c>
      <c r="E43" s="17">
        <f>IF($F$3="1",SUMIF(Data!$A:$A,$A$2,Data!IV:IV),0)</f>
        <v>0</v>
      </c>
      <c r="F43" s="21" t="str">
        <f t="shared" si="3"/>
        <v/>
      </c>
    </row>
    <row r="44" spans="1:6" x14ac:dyDescent="0.2">
      <c r="A44" s="19">
        <v>9</v>
      </c>
      <c r="B44" s="180" t="s">
        <v>8</v>
      </c>
      <c r="C44" s="181"/>
      <c r="D44" s="14">
        <f>IF(F3="1",SUMIF(Data!A:A,'18'!$A$2,Data!DC:DC),0)</f>
        <v>38880</v>
      </c>
      <c r="E44" s="17">
        <f>IF($F$3="1",SUMIF(Data!$A:$A,$A$2,Data!IW:IW),0)</f>
        <v>109444</v>
      </c>
      <c r="F44" s="21">
        <f t="shared" si="3"/>
        <v>2.81</v>
      </c>
    </row>
    <row r="45" spans="1:6" x14ac:dyDescent="0.2">
      <c r="A45" s="19">
        <v>10</v>
      </c>
      <c r="B45" s="180" t="s">
        <v>9</v>
      </c>
      <c r="C45" s="181"/>
      <c r="D45" s="14">
        <f>IF(F3="1",SUMIF(Data!A:A,'18'!$A$2,Data!DD:DD),0)</f>
        <v>0</v>
      </c>
      <c r="E45" s="17">
        <f>IF($F$3="1",SUMIF(Data!$A:$A,$A$2,Data!IX:IX),0)</f>
        <v>0</v>
      </c>
      <c r="F45" s="21" t="str">
        <f t="shared" si="3"/>
        <v/>
      </c>
    </row>
    <row r="46" spans="1:6" x14ac:dyDescent="0.2">
      <c r="A46" s="19">
        <v>11</v>
      </c>
      <c r="B46" s="180" t="s">
        <v>10</v>
      </c>
      <c r="C46" s="181"/>
      <c r="D46" s="14">
        <f>IF(F3="1",SUMIF(Data!A:A,'18'!$A$2,Data!DE:DE),0)</f>
        <v>2851</v>
      </c>
      <c r="E46" s="17">
        <f>IF($F$3="1",SUMIF(Data!$A:$A,$A$2,Data!IY:IY),0)</f>
        <v>26822</v>
      </c>
      <c r="F46" s="21">
        <f t="shared" si="3"/>
        <v>9.41</v>
      </c>
    </row>
    <row r="47" spans="1:6" ht="14.25" customHeight="1" x14ac:dyDescent="0.2">
      <c r="A47" s="19">
        <v>12</v>
      </c>
      <c r="B47" s="180" t="s">
        <v>11</v>
      </c>
      <c r="C47" s="181"/>
      <c r="D47" s="14">
        <f>IF(F3="1",SUMIF(Data!A:A,'18'!$A$2,Data!DF:DF),0)</f>
        <v>177400</v>
      </c>
      <c r="E47" s="17">
        <f>IF($F$3="1",SUMIF(Data!$A:$A,$A$2,Data!IZ:IZ),0)</f>
        <v>34346</v>
      </c>
      <c r="F47" s="21">
        <f t="shared" si="3"/>
        <v>0.19</v>
      </c>
    </row>
    <row r="48" spans="1:6" x14ac:dyDescent="0.2">
      <c r="A48" s="19">
        <v>13</v>
      </c>
      <c r="B48" s="180" t="s">
        <v>12</v>
      </c>
      <c r="C48" s="181"/>
      <c r="D48" s="14">
        <f>IF(F3="1",SUMIF(Data!A:A,'18'!$A$2,Data!DG:DG),0)</f>
        <v>16176</v>
      </c>
      <c r="E48" s="17">
        <f>IF($F$3="1",SUMIF(Data!$A:$A,$A$2,Data!JA:JA),0)</f>
        <v>1945</v>
      </c>
      <c r="F48" s="21">
        <f t="shared" si="3"/>
        <v>0.12</v>
      </c>
    </row>
    <row r="49" spans="1:6" ht="14.25" customHeight="1" x14ac:dyDescent="0.2">
      <c r="A49" s="19">
        <v>14</v>
      </c>
      <c r="B49" s="180" t="s">
        <v>464</v>
      </c>
      <c r="C49" s="181"/>
      <c r="D49" s="14">
        <f>IF(F3="1",SUMIF(Data!A:A,'18'!$A$2,Data!DH:DH),0)</f>
        <v>110658</v>
      </c>
      <c r="E49" s="17">
        <f>IF($F$3="1",SUMIF(Data!$A:$A,$A$2,Data!JB:JB),0)</f>
        <v>17163</v>
      </c>
      <c r="F49" s="21">
        <f t="shared" si="3"/>
        <v>0.16</v>
      </c>
    </row>
    <row r="50" spans="1:6" x14ac:dyDescent="0.2">
      <c r="A50" s="19">
        <v>15</v>
      </c>
      <c r="B50" s="180" t="s">
        <v>13</v>
      </c>
      <c r="C50" s="181"/>
      <c r="D50" s="14">
        <f>IF(F3="1",SUMIF(Data!A:A,'18'!$A$2,Data!DI:DI),0)</f>
        <v>0</v>
      </c>
      <c r="E50" s="17">
        <f>IF($F$3="1",SUMIF(Data!$A:$A,$A$2,Data!JC:JC),0)</f>
        <v>0</v>
      </c>
      <c r="F50" s="21" t="str">
        <f t="shared" si="3"/>
        <v/>
      </c>
    </row>
    <row r="51" spans="1:6" x14ac:dyDescent="0.2">
      <c r="A51" s="19">
        <v>16</v>
      </c>
      <c r="B51" s="180" t="s">
        <v>14</v>
      </c>
      <c r="C51" s="181"/>
      <c r="D51" s="14">
        <f>IF(F3="1",SUMIF(Data!A:A,'18'!$A$2,Data!DJ:DJ),0)</f>
        <v>145057</v>
      </c>
      <c r="E51" s="17">
        <f>IF($F$3="1",SUMIF(Data!$A:$A,$A$2,Data!JD:JD),0)</f>
        <v>101120</v>
      </c>
      <c r="F51" s="21">
        <f t="shared" si="3"/>
        <v>0.7</v>
      </c>
    </row>
    <row r="52" spans="1:6" x14ac:dyDescent="0.2">
      <c r="A52" s="19">
        <v>17</v>
      </c>
      <c r="B52" s="180" t="s">
        <v>15</v>
      </c>
      <c r="C52" s="181"/>
      <c r="D52" s="14">
        <f>IF(F3="1",SUMIF(Data!A:A,'18'!$A$2,Data!DK:DK),0)</f>
        <v>0</v>
      </c>
      <c r="E52" s="17">
        <f>IF($F$3="1",SUMIF(Data!$A:$A,$A$2,Data!JE:JE),0)</f>
        <v>0</v>
      </c>
      <c r="F52" s="21" t="str">
        <f t="shared" si="3"/>
        <v/>
      </c>
    </row>
    <row r="53" spans="1:6" x14ac:dyDescent="0.2">
      <c r="A53" s="19">
        <v>18</v>
      </c>
      <c r="B53" s="180" t="s">
        <v>16</v>
      </c>
      <c r="C53" s="181"/>
      <c r="D53" s="14">
        <f>IF(F3="1",SUMIF(Data!A:A,'18'!$A$2,Data!DL:DL),0)</f>
        <v>28000</v>
      </c>
      <c r="E53" s="17">
        <f>IF($F$3="1",SUMIF(Data!$A:$A,$A$2,Data!JF:JF),0)</f>
        <v>3497</v>
      </c>
      <c r="F53" s="21">
        <f t="shared" si="3"/>
        <v>0.12</v>
      </c>
    </row>
    <row r="54" spans="1:6" x14ac:dyDescent="0.2">
      <c r="A54" s="19">
        <v>19</v>
      </c>
      <c r="B54" s="180" t="s">
        <v>17</v>
      </c>
      <c r="C54" s="181"/>
      <c r="D54" s="14">
        <f>IF(F3="1",SUMIF(Data!A:A,'18'!$A$2,Data!DM:DM),0)</f>
        <v>137713</v>
      </c>
      <c r="E54" s="17">
        <f>IF($F$3="1",SUMIF(Data!$A:$A,$A$2,Data!JG:JG),0)</f>
        <v>7720</v>
      </c>
      <c r="F54" s="21">
        <f t="shared" si="3"/>
        <v>0.06</v>
      </c>
    </row>
    <row r="55" spans="1:6" x14ac:dyDescent="0.2">
      <c r="A55" s="19">
        <v>20</v>
      </c>
      <c r="B55" s="180" t="s">
        <v>18</v>
      </c>
      <c r="C55" s="181"/>
      <c r="D55" s="14">
        <f>IF(F3="1",SUMIF(Data!A:A,'18'!$A$2,Data!DN:DN),0)</f>
        <v>0</v>
      </c>
      <c r="E55" s="17">
        <f>IF($F$3="1",SUMIF(Data!$A:$A,$A$2,Data!JH:JH),0)</f>
        <v>0</v>
      </c>
      <c r="F55" s="21" t="str">
        <f t="shared" si="3"/>
        <v/>
      </c>
    </row>
    <row r="56" spans="1:6" ht="14.25" customHeight="1" x14ac:dyDescent="0.2">
      <c r="A56" s="19">
        <v>21</v>
      </c>
      <c r="B56" s="180" t="s">
        <v>461</v>
      </c>
      <c r="C56" s="181"/>
      <c r="D56" s="14">
        <f>IF(F3="1",SUMIF(Data!A:A,'18'!$A$2,Data!DO:DO),0)</f>
        <v>2160</v>
      </c>
      <c r="E56" s="17">
        <f>IF($F$3="1",SUMIF(Data!$A:$A,$A$2,Data!JI:JI),0)</f>
        <v>9783</v>
      </c>
      <c r="F56" s="21">
        <f t="shared" si="3"/>
        <v>4.53</v>
      </c>
    </row>
    <row r="57" spans="1:6" x14ac:dyDescent="0.2">
      <c r="A57" s="19">
        <v>22</v>
      </c>
      <c r="B57" s="180" t="s">
        <v>19</v>
      </c>
      <c r="C57" s="181"/>
      <c r="D57" s="14">
        <f>IF(F3="1",SUMIF(Data!A:A,'18'!$A$2,Data!DP:DP),0)</f>
        <v>0</v>
      </c>
      <c r="E57" s="17">
        <f>IF($F$3="1",SUMIF(Data!$A:$A,$A$2,Data!JJ:JJ),0)</f>
        <v>0</v>
      </c>
      <c r="F57" s="21" t="str">
        <f t="shared" si="3"/>
        <v/>
      </c>
    </row>
    <row r="58" spans="1:6" x14ac:dyDescent="0.2">
      <c r="A58" s="19">
        <v>23</v>
      </c>
      <c r="B58" s="180" t="s">
        <v>20</v>
      </c>
      <c r="C58" s="181"/>
      <c r="D58" s="14">
        <f>IF(F3="1",SUMIF(Data!A:A,'18'!$A$2,Data!DQ:DQ),0)</f>
        <v>49698</v>
      </c>
      <c r="E58" s="17">
        <f>IF($F$3="1",SUMIF(Data!$A:$A,$A$2,Data!JK:JK),0)</f>
        <v>125923</v>
      </c>
      <c r="F58" s="21">
        <f t="shared" si="3"/>
        <v>2.5299999999999998</v>
      </c>
    </row>
    <row r="59" spans="1:6" x14ac:dyDescent="0.2">
      <c r="A59" s="19">
        <v>24</v>
      </c>
      <c r="B59" s="180" t="s">
        <v>21</v>
      </c>
      <c r="C59" s="181"/>
      <c r="D59" s="14">
        <f>IF(F3="1",SUMIF(Data!A:A,'18'!$A$2,Data!DR:DR),0)</f>
        <v>36282</v>
      </c>
      <c r="E59" s="17">
        <f>IF($F$3="1",SUMIF(Data!$A:$A,$A$2,Data!JL:JL),0)</f>
        <v>7141</v>
      </c>
      <c r="F59" s="21">
        <f t="shared" si="3"/>
        <v>0.2</v>
      </c>
    </row>
    <row r="60" spans="1:6" x14ac:dyDescent="0.2">
      <c r="A60" s="19">
        <v>25</v>
      </c>
      <c r="B60" s="180" t="s">
        <v>22</v>
      </c>
      <c r="C60" s="181"/>
      <c r="D60" s="14">
        <f>IF(F3="1",SUMIF(Data!A:A,'18'!$A$2,Data!DS:DS),0)</f>
        <v>140016</v>
      </c>
      <c r="E60" s="17">
        <f>IF($F$3="1",SUMIF(Data!$A:$A,$A$2,Data!JM:JM),0)</f>
        <v>10411</v>
      </c>
      <c r="F60" s="21">
        <f t="shared" si="3"/>
        <v>7.0000000000000007E-2</v>
      </c>
    </row>
    <row r="61" spans="1:6" x14ac:dyDescent="0.2">
      <c r="A61" s="19">
        <v>26</v>
      </c>
      <c r="B61" s="180" t="s">
        <v>23</v>
      </c>
      <c r="C61" s="181"/>
      <c r="D61" s="14">
        <f>IF(F3="1",SUMIF(Data!A:A,'18'!$A$2,Data!DT:DT),0)</f>
        <v>43808</v>
      </c>
      <c r="E61" s="17">
        <f>IF($F$3="1",SUMIF(Data!$A:$A,$A$2,Data!JN:JN),0)</f>
        <v>18196</v>
      </c>
      <c r="F61" s="21">
        <f t="shared" si="3"/>
        <v>0.42</v>
      </c>
    </row>
    <row r="62" spans="1:6" x14ac:dyDescent="0.2">
      <c r="A62" s="19">
        <v>28</v>
      </c>
      <c r="B62" s="180" t="s">
        <v>24</v>
      </c>
      <c r="C62" s="181"/>
      <c r="D62" s="14">
        <f>IF(F3="1",SUMIF(Data!A:A,'18'!$A$2,Data!DV:DV),0)</f>
        <v>0</v>
      </c>
      <c r="E62" s="17">
        <f>IF($F$3="1",SUMIF(Data!$A:$A,$A$2,Data!JP:JP),0)</f>
        <v>0</v>
      </c>
      <c r="F62" s="21" t="str">
        <f t="shared" si="3"/>
        <v/>
      </c>
    </row>
    <row r="63" spans="1:6" ht="15.75" customHeight="1" thickBot="1" x14ac:dyDescent="0.25">
      <c r="A63" s="22">
        <v>29</v>
      </c>
      <c r="B63" s="184" t="s">
        <v>25</v>
      </c>
      <c r="C63" s="185"/>
      <c r="D63" s="23">
        <f>IF(F3="1",SUMIF(Data!A:A,'18'!$A$2,Data!DW:DW),0)</f>
        <v>0</v>
      </c>
      <c r="E63" s="24">
        <f>IF($F$3="1",SUMIF(Data!$A:$A,$A$2,Data!JQ:JQ),0)</f>
        <v>0</v>
      </c>
      <c r="F63" s="25" t="str">
        <f t="shared" si="3"/>
        <v/>
      </c>
    </row>
    <row r="64" spans="1:6" x14ac:dyDescent="0.2">
      <c r="B64" s="30" t="s">
        <v>35</v>
      </c>
      <c r="C64" s="30"/>
      <c r="D64" s="59">
        <f>SUM(D36:D63)</f>
        <v>1159564</v>
      </c>
      <c r="E64" s="31">
        <f>SUM(E36:E63)</f>
        <v>839766</v>
      </c>
      <c r="F64" s="32">
        <f t="shared" si="3"/>
        <v>0.72</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0</v>
      </c>
      <c r="E67" s="15">
        <f>IF(F3="1",SUMIF(Data!A:A,'18'!$A$2,Data!DY:DY),0)</f>
        <v>0</v>
      </c>
      <c r="F67" s="20" t="str">
        <f t="shared" ref="F67:F95" si="4">IF(OR(D67=0,E67=0),"",ROUND(E67/D67,2))</f>
        <v/>
      </c>
    </row>
    <row r="68" spans="1:6" x14ac:dyDescent="0.2">
      <c r="A68" s="19">
        <v>2</v>
      </c>
      <c r="B68" s="180" t="s">
        <v>1</v>
      </c>
      <c r="C68" s="181"/>
      <c r="D68" s="14">
        <f t="shared" ref="D68:D94" si="5">D37</f>
        <v>10994</v>
      </c>
      <c r="E68" s="17">
        <f>IF(F3="1",SUMIF(Data!A:A,'18'!$A$2,Data!DZ:DZ),0)</f>
        <v>20163</v>
      </c>
      <c r="F68" s="21">
        <f t="shared" si="4"/>
        <v>1.83</v>
      </c>
    </row>
    <row r="69" spans="1:6" ht="14.25" customHeight="1" x14ac:dyDescent="0.2">
      <c r="A69" s="19">
        <v>3</v>
      </c>
      <c r="B69" s="180" t="s">
        <v>2</v>
      </c>
      <c r="C69" s="181"/>
      <c r="D69" s="14">
        <f t="shared" si="5"/>
        <v>124704</v>
      </c>
      <c r="E69" s="17">
        <f>IF(F3="1",SUMIF(Data!A:A,'18'!$A$2,Data!EA:EA),0)</f>
        <v>416618</v>
      </c>
      <c r="F69" s="21">
        <f t="shared" si="4"/>
        <v>3.34</v>
      </c>
    </row>
    <row r="70" spans="1:6" ht="14.25" customHeight="1" x14ac:dyDescent="0.2">
      <c r="A70" s="19">
        <v>4</v>
      </c>
      <c r="B70" s="180" t="s">
        <v>3</v>
      </c>
      <c r="C70" s="181"/>
      <c r="D70" s="14">
        <f t="shared" si="5"/>
        <v>59215</v>
      </c>
      <c r="E70" s="17">
        <f>IF(F3="1",SUMIF(Data!A:A,'18'!$A$2,Data!EB:EB),0)</f>
        <v>309443</v>
      </c>
      <c r="F70" s="21">
        <f t="shared" si="4"/>
        <v>5.23</v>
      </c>
    </row>
    <row r="71" spans="1:6" x14ac:dyDescent="0.2">
      <c r="A71" s="19">
        <v>5</v>
      </c>
      <c r="B71" s="180" t="s">
        <v>4</v>
      </c>
      <c r="C71" s="181"/>
      <c r="D71" s="14">
        <f t="shared" si="5"/>
        <v>0</v>
      </c>
      <c r="E71" s="17">
        <f>IF(F3="1",SUMIF(Data!A:A,'18'!$A$2,Data!EC:EC),0)</f>
        <v>0</v>
      </c>
      <c r="F71" s="21" t="str">
        <f t="shared" si="4"/>
        <v/>
      </c>
    </row>
    <row r="72" spans="1:6" x14ac:dyDescent="0.2">
      <c r="A72" s="19">
        <v>6</v>
      </c>
      <c r="B72" s="180" t="s">
        <v>5</v>
      </c>
      <c r="C72" s="181"/>
      <c r="D72" s="14">
        <f t="shared" si="5"/>
        <v>96</v>
      </c>
      <c r="E72" s="17">
        <f>IF(F3="1",SUMIF(Data!A:A,'18'!$A$2,Data!ED:ED),0)</f>
        <v>0</v>
      </c>
      <c r="F72" s="21" t="str">
        <f t="shared" si="4"/>
        <v/>
      </c>
    </row>
    <row r="73" spans="1:6" x14ac:dyDescent="0.2">
      <c r="A73" s="19">
        <v>7</v>
      </c>
      <c r="B73" s="180" t="s">
        <v>6</v>
      </c>
      <c r="C73" s="181"/>
      <c r="D73" s="14">
        <f t="shared" si="5"/>
        <v>35856</v>
      </c>
      <c r="E73" s="17">
        <f>IF(F3="1",SUMIF(Data!A:A,'18'!$A$2,Data!EE:EE),0)</f>
        <v>152394</v>
      </c>
      <c r="F73" s="21">
        <f t="shared" si="4"/>
        <v>4.25</v>
      </c>
    </row>
    <row r="74" spans="1:6" x14ac:dyDescent="0.2">
      <c r="A74" s="19">
        <v>8</v>
      </c>
      <c r="B74" s="180" t="s">
        <v>7</v>
      </c>
      <c r="C74" s="181"/>
      <c r="D74" s="14">
        <f t="shared" si="5"/>
        <v>0</v>
      </c>
      <c r="E74" s="17">
        <f>IF(F3="1",SUMIF(Data!A:A,'18'!$A$2,Data!EF:EF),0)</f>
        <v>0</v>
      </c>
      <c r="F74" s="21" t="str">
        <f t="shared" si="4"/>
        <v/>
      </c>
    </row>
    <row r="75" spans="1:6" x14ac:dyDescent="0.2">
      <c r="A75" s="19">
        <v>9</v>
      </c>
      <c r="B75" s="180" t="s">
        <v>8</v>
      </c>
      <c r="C75" s="181"/>
      <c r="D75" s="14">
        <f t="shared" si="5"/>
        <v>38880</v>
      </c>
      <c r="E75" s="17">
        <f>IF(F3="1",SUMIF(Data!A:A,'18'!$A$2,Data!EG:EG),0)</f>
        <v>93359</v>
      </c>
      <c r="F75" s="21">
        <f t="shared" si="4"/>
        <v>2.4</v>
      </c>
    </row>
    <row r="76" spans="1:6" x14ac:dyDescent="0.2">
      <c r="A76" s="19">
        <v>10</v>
      </c>
      <c r="B76" s="180" t="s">
        <v>9</v>
      </c>
      <c r="C76" s="181"/>
      <c r="D76" s="14">
        <f t="shared" si="5"/>
        <v>0</v>
      </c>
      <c r="E76" s="17">
        <f>IF(F3="1",SUMIF(Data!A:A,'18'!$A$2,Data!EH:EH),0)</f>
        <v>0</v>
      </c>
      <c r="F76" s="21" t="str">
        <f t="shared" si="4"/>
        <v/>
      </c>
    </row>
    <row r="77" spans="1:6" x14ac:dyDescent="0.2">
      <c r="A77" s="19">
        <v>11</v>
      </c>
      <c r="B77" s="180" t="s">
        <v>10</v>
      </c>
      <c r="C77" s="181"/>
      <c r="D77" s="14">
        <f t="shared" si="5"/>
        <v>2851</v>
      </c>
      <c r="E77" s="17">
        <f>IF(F3="1",SUMIF(Data!A:A,'18'!$A$2,Data!EI:EI),0)</f>
        <v>38651</v>
      </c>
      <c r="F77" s="21">
        <f t="shared" si="4"/>
        <v>13.56</v>
      </c>
    </row>
    <row r="78" spans="1:6" ht="14.25" customHeight="1" x14ac:dyDescent="0.2">
      <c r="A78" s="19">
        <v>12</v>
      </c>
      <c r="B78" s="180" t="s">
        <v>11</v>
      </c>
      <c r="C78" s="181"/>
      <c r="D78" s="14">
        <f t="shared" si="5"/>
        <v>177400</v>
      </c>
      <c r="E78" s="17">
        <f>IF(F3="1",SUMIF(Data!A:A,'18'!$A$2,Data!EJ:EJ),0)</f>
        <v>382138</v>
      </c>
      <c r="F78" s="21">
        <f t="shared" si="4"/>
        <v>2.15</v>
      </c>
    </row>
    <row r="79" spans="1:6" x14ac:dyDescent="0.2">
      <c r="A79" s="19">
        <v>13</v>
      </c>
      <c r="B79" s="180" t="s">
        <v>12</v>
      </c>
      <c r="C79" s="181"/>
      <c r="D79" s="14">
        <f t="shared" si="5"/>
        <v>16176</v>
      </c>
      <c r="E79" s="17">
        <f>IF(F3="1",SUMIF(Data!A:A,'18'!$A$2,Data!EK:EK),0)</f>
        <v>19459</v>
      </c>
      <c r="F79" s="21">
        <f t="shared" si="4"/>
        <v>1.2</v>
      </c>
    </row>
    <row r="80" spans="1:6" ht="14.25" customHeight="1" x14ac:dyDescent="0.2">
      <c r="A80" s="19">
        <v>14</v>
      </c>
      <c r="B80" s="180" t="s">
        <v>464</v>
      </c>
      <c r="C80" s="181"/>
      <c r="D80" s="14">
        <f t="shared" si="5"/>
        <v>110658</v>
      </c>
      <c r="E80" s="17">
        <f>IF(F3="1",SUMIF(Data!A:A,'18'!$A$2,Data!EL:EL),0)</f>
        <v>703091</v>
      </c>
      <c r="F80" s="21">
        <f t="shared" si="4"/>
        <v>6.35</v>
      </c>
    </row>
    <row r="81" spans="1:6" x14ac:dyDescent="0.2">
      <c r="A81" s="19">
        <v>15</v>
      </c>
      <c r="B81" s="180" t="s">
        <v>13</v>
      </c>
      <c r="C81" s="181"/>
      <c r="D81" s="14">
        <f t="shared" si="5"/>
        <v>0</v>
      </c>
      <c r="E81" s="17">
        <f>IF(F3="1",SUMIF(Data!A:A,'18'!$A$2,Data!EM:EM),0)</f>
        <v>0</v>
      </c>
      <c r="F81" s="21" t="str">
        <f t="shared" si="4"/>
        <v/>
      </c>
    </row>
    <row r="82" spans="1:6" x14ac:dyDescent="0.2">
      <c r="A82" s="19">
        <v>16</v>
      </c>
      <c r="B82" s="180" t="s">
        <v>14</v>
      </c>
      <c r="C82" s="181"/>
      <c r="D82" s="14">
        <f t="shared" si="5"/>
        <v>145057</v>
      </c>
      <c r="E82" s="17">
        <f>IF(F3="1",SUMIF(Data!A:A,'18'!$A$2,Data!EN:EN),0)</f>
        <v>491077</v>
      </c>
      <c r="F82" s="21">
        <f t="shared" si="4"/>
        <v>3.39</v>
      </c>
    </row>
    <row r="83" spans="1:6" x14ac:dyDescent="0.2">
      <c r="A83" s="19">
        <v>17</v>
      </c>
      <c r="B83" s="180" t="s">
        <v>15</v>
      </c>
      <c r="C83" s="181"/>
      <c r="D83" s="14">
        <f t="shared" si="5"/>
        <v>0</v>
      </c>
      <c r="E83" s="17">
        <f>IF(F3="1",SUMIF(Data!A:A,'18'!$A$2,Data!EO:EO),0)</f>
        <v>0</v>
      </c>
      <c r="F83" s="21" t="str">
        <f t="shared" si="4"/>
        <v/>
      </c>
    </row>
    <row r="84" spans="1:6" x14ac:dyDescent="0.2">
      <c r="A84" s="19">
        <v>18</v>
      </c>
      <c r="B84" s="180" t="s">
        <v>16</v>
      </c>
      <c r="C84" s="181"/>
      <c r="D84" s="14">
        <f t="shared" si="5"/>
        <v>28000</v>
      </c>
      <c r="E84" s="17">
        <f>IF(F3="1",SUMIF(Data!A:A,'18'!$A$2,Data!EP:EP),0)</f>
        <v>116568</v>
      </c>
      <c r="F84" s="21">
        <f t="shared" si="4"/>
        <v>4.16</v>
      </c>
    </row>
    <row r="85" spans="1:6" x14ac:dyDescent="0.2">
      <c r="A85" s="19">
        <v>19</v>
      </c>
      <c r="B85" s="180" t="s">
        <v>17</v>
      </c>
      <c r="C85" s="181"/>
      <c r="D85" s="14">
        <f t="shared" si="5"/>
        <v>137713</v>
      </c>
      <c r="E85" s="17">
        <f>IF(F3="1",SUMIF(Data!A:A,'18'!$A$2,Data!EQ:EQ),0)</f>
        <v>225212</v>
      </c>
      <c r="F85" s="21">
        <f t="shared" si="4"/>
        <v>1.64</v>
      </c>
    </row>
    <row r="86" spans="1:6" x14ac:dyDescent="0.2">
      <c r="A86" s="19">
        <v>20</v>
      </c>
      <c r="B86" s="180" t="s">
        <v>18</v>
      </c>
      <c r="C86" s="181"/>
      <c r="D86" s="14">
        <f t="shared" si="5"/>
        <v>0</v>
      </c>
      <c r="E86" s="17">
        <f>IF(F3="1",SUMIF(Data!A:A,'18'!$A$2,Data!ER:ER),0)</f>
        <v>0</v>
      </c>
      <c r="F86" s="21" t="str">
        <f t="shared" si="4"/>
        <v/>
      </c>
    </row>
    <row r="87" spans="1:6" ht="14.25" customHeight="1" x14ac:dyDescent="0.2">
      <c r="A87" s="19">
        <v>21</v>
      </c>
      <c r="B87" s="180" t="s">
        <v>461</v>
      </c>
      <c r="C87" s="181"/>
      <c r="D87" s="14">
        <f t="shared" si="5"/>
        <v>2160</v>
      </c>
      <c r="E87" s="17">
        <f>IF(F3="1",SUMIF(Data!A:A,'18'!$A$2,Data!ES:ES),0)</f>
        <v>14032</v>
      </c>
      <c r="F87" s="21">
        <f t="shared" si="4"/>
        <v>6.5</v>
      </c>
    </row>
    <row r="88" spans="1:6" x14ac:dyDescent="0.2">
      <c r="A88" s="19">
        <v>22</v>
      </c>
      <c r="B88" s="180" t="s">
        <v>19</v>
      </c>
      <c r="C88" s="181"/>
      <c r="D88" s="14">
        <f t="shared" si="5"/>
        <v>0</v>
      </c>
      <c r="E88" s="17">
        <f>IF(F3="1",SUMIF(Data!A:A,'18'!$A$2,Data!ET:ET),0)</f>
        <v>0</v>
      </c>
      <c r="F88" s="21" t="str">
        <f t="shared" si="4"/>
        <v/>
      </c>
    </row>
    <row r="89" spans="1:6" x14ac:dyDescent="0.2">
      <c r="A89" s="19">
        <v>23</v>
      </c>
      <c r="B89" s="180" t="s">
        <v>20</v>
      </c>
      <c r="C89" s="181"/>
      <c r="D89" s="14">
        <f t="shared" si="5"/>
        <v>49698</v>
      </c>
      <c r="E89" s="17">
        <f>IF(F3="1",SUMIF(Data!A:A,'18'!$A$2,Data!EU:EU),0)</f>
        <v>125321</v>
      </c>
      <c r="F89" s="21">
        <f t="shared" si="4"/>
        <v>2.52</v>
      </c>
    </row>
    <row r="90" spans="1:6" x14ac:dyDescent="0.2">
      <c r="A90" s="19">
        <v>24</v>
      </c>
      <c r="B90" s="180" t="s">
        <v>21</v>
      </c>
      <c r="C90" s="181"/>
      <c r="D90" s="14">
        <f t="shared" si="5"/>
        <v>36282</v>
      </c>
      <c r="E90" s="17">
        <f>IF(F3="1",SUMIF(Data!A:A,'18'!$A$2,Data!EV:EV),0)</f>
        <v>78405</v>
      </c>
      <c r="F90" s="21">
        <f t="shared" si="4"/>
        <v>2.16</v>
      </c>
    </row>
    <row r="91" spans="1:6" x14ac:dyDescent="0.2">
      <c r="A91" s="19">
        <v>25</v>
      </c>
      <c r="B91" s="180" t="s">
        <v>22</v>
      </c>
      <c r="C91" s="181"/>
      <c r="D91" s="14">
        <f t="shared" si="5"/>
        <v>140016</v>
      </c>
      <c r="E91" s="17">
        <f>IF(F3="1",SUMIF(Data!A:A,'18'!$A$2,Data!EW:EW),0)</f>
        <v>432035</v>
      </c>
      <c r="F91" s="21">
        <f t="shared" si="4"/>
        <v>3.09</v>
      </c>
    </row>
    <row r="92" spans="1:6" x14ac:dyDescent="0.2">
      <c r="A92" s="19">
        <v>26</v>
      </c>
      <c r="B92" s="180" t="s">
        <v>23</v>
      </c>
      <c r="C92" s="181"/>
      <c r="D92" s="14">
        <f t="shared" si="5"/>
        <v>43808</v>
      </c>
      <c r="E92" s="17">
        <f>IF(F3="1",SUMIF(Data!A:A,'18'!$A$2,Data!EX:EX),0)</f>
        <v>177155</v>
      </c>
      <c r="F92" s="21">
        <f t="shared" si="4"/>
        <v>4.04</v>
      </c>
    </row>
    <row r="93" spans="1:6" x14ac:dyDescent="0.2">
      <c r="A93" s="19">
        <v>28</v>
      </c>
      <c r="B93" s="180" t="s">
        <v>24</v>
      </c>
      <c r="C93" s="181"/>
      <c r="D93" s="14">
        <f t="shared" si="5"/>
        <v>0</v>
      </c>
      <c r="E93" s="17">
        <f>IF(F3="1",SUMIF(Data!A:A,'18'!$A$2,Data!EZ:EZ),0)</f>
        <v>0</v>
      </c>
      <c r="F93" s="21" t="str">
        <f t="shared" si="4"/>
        <v/>
      </c>
    </row>
    <row r="94" spans="1:6" ht="15.75" customHeight="1" thickBot="1" x14ac:dyDescent="0.25">
      <c r="A94" s="22">
        <v>29</v>
      </c>
      <c r="B94" s="184" t="s">
        <v>25</v>
      </c>
      <c r="C94" s="185"/>
      <c r="D94" s="23">
        <f t="shared" si="5"/>
        <v>0</v>
      </c>
      <c r="E94" s="24">
        <f>IF(F3="1",SUMIF(Data!A:A,'18'!$A$2,Data!FA:FA),0)</f>
        <v>0</v>
      </c>
      <c r="F94" s="25" t="str">
        <f t="shared" si="4"/>
        <v/>
      </c>
    </row>
    <row r="95" spans="1:6" x14ac:dyDescent="0.2">
      <c r="B95" s="30" t="s">
        <v>35</v>
      </c>
      <c r="C95" s="30"/>
      <c r="D95" s="59">
        <f>SUM(D67:D94)</f>
        <v>1159564</v>
      </c>
      <c r="E95" s="31">
        <f>SUM(E67:E94)</f>
        <v>3795121</v>
      </c>
      <c r="F95" s="32">
        <f t="shared" si="4"/>
        <v>3.27</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IF(F3="1",SUMIF(Data!A:A,'18'!$A$2,Data!AH:AH),0)</f>
        <v>2562667</v>
      </c>
      <c r="F98" s="20">
        <f>IF(OR(E98=0,E98=0),"",ROUND(E98/$D$105,2))</f>
        <v>2.21</v>
      </c>
    </row>
    <row r="99" spans="2:6" x14ac:dyDescent="0.2">
      <c r="B99" s="190" t="s">
        <v>31</v>
      </c>
      <c r="C99" s="191"/>
      <c r="D99" s="36"/>
      <c r="E99" s="17">
        <f>IF(F3="1",SUMIF(Data!A:A,'18'!$A$2,Data!AI:AI),0)</f>
        <v>574572</v>
      </c>
      <c r="F99" s="21">
        <f t="shared" ref="F99:F104" si="6">IF(OR(E99=0,E99=0),"",ROUND(E99/$D$105,2))</f>
        <v>0.5</v>
      </c>
    </row>
    <row r="100" spans="2:6" x14ac:dyDescent="0.2">
      <c r="B100" s="190" t="s">
        <v>1089</v>
      </c>
      <c r="C100" s="191"/>
      <c r="D100" s="36"/>
      <c r="E100" s="17">
        <f>IF(F3="1",SUMIF(Data!A:A,'18'!$A$2,Data!AJ:AJ),0)</f>
        <v>289758</v>
      </c>
      <c r="F100" s="21">
        <f t="shared" si="6"/>
        <v>0.25</v>
      </c>
    </row>
    <row r="101" spans="2:6" x14ac:dyDescent="0.2">
      <c r="B101" s="190" t="s">
        <v>1090</v>
      </c>
      <c r="C101" s="191"/>
      <c r="D101" s="36"/>
      <c r="E101" s="17">
        <f>IF(F3="1",SUMIF(Data!A:A,'18'!$A$2,Data!AK:AK),0)</f>
        <v>873686</v>
      </c>
      <c r="F101" s="21">
        <f t="shared" si="6"/>
        <v>0.75</v>
      </c>
    </row>
    <row r="102" spans="2:6" x14ac:dyDescent="0.2">
      <c r="B102" s="190" t="s">
        <v>1091</v>
      </c>
      <c r="C102" s="191"/>
      <c r="D102" s="36"/>
      <c r="E102" s="17">
        <f>IF(F3="1",SUMIF(Data!A:A,'18'!$A$2,Data!AL:AL),0)</f>
        <v>0</v>
      </c>
      <c r="F102" s="21" t="str">
        <f t="shared" si="6"/>
        <v/>
      </c>
    </row>
    <row r="103" spans="2:6" x14ac:dyDescent="0.2">
      <c r="B103" s="192" t="s">
        <v>34</v>
      </c>
      <c r="C103" s="193"/>
      <c r="D103" s="36"/>
      <c r="E103" s="17">
        <f>IF(F3="1",SUMIF(Data!A:A,'18'!$A$2,Data!AM:AM),0)</f>
        <v>0</v>
      </c>
      <c r="F103" s="21" t="str">
        <f t="shared" si="6"/>
        <v/>
      </c>
    </row>
    <row r="104" spans="2:6" ht="15.75" customHeight="1" thickBot="1" x14ac:dyDescent="0.25">
      <c r="B104" s="186" t="s">
        <v>29</v>
      </c>
      <c r="C104" s="187"/>
      <c r="D104" s="37"/>
      <c r="E104" s="24">
        <f>IF(F3="1",SUMIF(Data!A:A,'18'!$A$2,Data!Q:Q),0)</f>
        <v>761544</v>
      </c>
      <c r="F104" s="25">
        <f t="shared" si="6"/>
        <v>0.66</v>
      </c>
    </row>
    <row r="105" spans="2:6" x14ac:dyDescent="0.2">
      <c r="B105" s="30" t="s">
        <v>35</v>
      </c>
      <c r="C105" s="30"/>
      <c r="D105" s="34">
        <f>D95</f>
        <v>1159564</v>
      </c>
      <c r="E105" s="31">
        <f>SUM(E98:E104)</f>
        <v>5062227</v>
      </c>
      <c r="F105" s="32">
        <f>IF($D$105=0,"",ROUND(E105/$D$105,2))</f>
        <v>4.37</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3795121</v>
      </c>
      <c r="D109" s="15">
        <f>IF(F3="1",SUMIF(Data!$A:$A,$A$2,Data!HJ:HJ),0)</f>
        <v>0</v>
      </c>
      <c r="E109" s="15">
        <f>IF(F3="1",SUMIF(Data!$A:$A,$A$2,Data!IN:IN),0)</f>
        <v>0</v>
      </c>
      <c r="F109" s="47">
        <f>SUM(C109:E109)</f>
        <v>3795121</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761544</v>
      </c>
      <c r="E117" s="52"/>
      <c r="F117" s="49">
        <f>SUM(C117:E117)</f>
        <v>761544</v>
      </c>
    </row>
    <row r="118" spans="1:6" x14ac:dyDescent="0.2">
      <c r="B118" s="13" t="s">
        <v>35</v>
      </c>
      <c r="C118" s="4">
        <f>SUM(C109:C116)</f>
        <v>3795121</v>
      </c>
      <c r="D118" s="4">
        <f>SUM(D109:D116)</f>
        <v>0</v>
      </c>
      <c r="E118" s="4">
        <f>SUM(E109:E116)</f>
        <v>0</v>
      </c>
      <c r="F118" s="4">
        <f>SUM(F109:F116)</f>
        <v>3795121</v>
      </c>
    </row>
    <row r="119" spans="1:6" ht="15" thickBot="1" x14ac:dyDescent="0.25"/>
    <row r="120" spans="1:6" ht="15" thickBot="1" x14ac:dyDescent="0.25">
      <c r="B120" s="55" t="s">
        <v>934</v>
      </c>
      <c r="C120" s="53"/>
      <c r="D120" s="53"/>
      <c r="E120" s="53">
        <f>IF(F3="1",SUMIF(Data!A:A,'18'!$A$2,Data!AM:AM),0)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3" width="12.42578125" style="10" bestFit="1" customWidth="1"/>
    <col min="14"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368</v>
      </c>
      <c r="B2" s="58" t="str">
        <f>VLOOKUP(A2,Data!A:G,7,0)</f>
        <v>Grayson County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17696</v>
      </c>
      <c r="E5" s="15">
        <f>E36+E67+IFERROR($E$105/$D$105*D5,0)</f>
        <v>113297.03224168571</v>
      </c>
      <c r="F5" s="20">
        <f>IF(OR(D5=0,E5=0),"",ROUND(E5/D5,2))</f>
        <v>6.4</v>
      </c>
    </row>
    <row r="6" spans="1:6" x14ac:dyDescent="0.2">
      <c r="A6" s="19">
        <v>2</v>
      </c>
      <c r="B6" s="180" t="s">
        <v>1</v>
      </c>
      <c r="C6" s="181"/>
      <c r="D6" s="14">
        <f t="shared" ref="D6:D32" si="0">D37</f>
        <v>38816</v>
      </c>
      <c r="E6" s="17">
        <f t="shared" ref="E6:E32" si="1">E37+E68+IFERROR($E$105/$D$105*D6,0)</f>
        <v>304314.13582127442</v>
      </c>
      <c r="F6" s="21">
        <f t="shared" ref="F6:F33" si="2">IF(OR(D6=0,E6=0),"",ROUND(E6/D6,2))</f>
        <v>7.84</v>
      </c>
    </row>
    <row r="7" spans="1:6" ht="14.25" customHeight="1" x14ac:dyDescent="0.2">
      <c r="A7" s="19">
        <v>3</v>
      </c>
      <c r="B7" s="180" t="s">
        <v>2</v>
      </c>
      <c r="C7" s="181"/>
      <c r="D7" s="14">
        <f t="shared" si="0"/>
        <v>220880</v>
      </c>
      <c r="E7" s="17">
        <f t="shared" si="1"/>
        <v>1040857.0832698655</v>
      </c>
      <c r="F7" s="21">
        <f t="shared" si="2"/>
        <v>4.71</v>
      </c>
    </row>
    <row r="8" spans="1:6" ht="14.25" customHeight="1" x14ac:dyDescent="0.2">
      <c r="A8" s="19">
        <v>4</v>
      </c>
      <c r="B8" s="180" t="s">
        <v>3</v>
      </c>
      <c r="C8" s="181"/>
      <c r="D8" s="14">
        <f t="shared" si="0"/>
        <v>80768</v>
      </c>
      <c r="E8" s="17">
        <f t="shared" si="1"/>
        <v>507681.50520436664</v>
      </c>
      <c r="F8" s="21">
        <f t="shared" si="2"/>
        <v>6.29</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1088</v>
      </c>
      <c r="E10" s="17">
        <f t="shared" si="1"/>
        <v>2617.3871541000253</v>
      </c>
      <c r="F10" s="21">
        <f t="shared" si="2"/>
        <v>2.41</v>
      </c>
    </row>
    <row r="11" spans="1:6" x14ac:dyDescent="0.2">
      <c r="A11" s="19">
        <v>7</v>
      </c>
      <c r="B11" s="180" t="s">
        <v>6</v>
      </c>
      <c r="C11" s="181"/>
      <c r="D11" s="14">
        <f t="shared" si="0"/>
        <v>60752</v>
      </c>
      <c r="E11" s="17">
        <f t="shared" si="1"/>
        <v>453258.27976643818</v>
      </c>
      <c r="F11" s="21">
        <f t="shared" si="2"/>
        <v>7.46</v>
      </c>
    </row>
    <row r="12" spans="1:6" x14ac:dyDescent="0.2">
      <c r="A12" s="19">
        <v>8</v>
      </c>
      <c r="B12" s="180" t="s">
        <v>7</v>
      </c>
      <c r="C12" s="181"/>
      <c r="D12" s="14">
        <f t="shared" si="0"/>
        <v>0</v>
      </c>
      <c r="E12" s="17">
        <f t="shared" si="1"/>
        <v>0</v>
      </c>
      <c r="F12" s="21" t="str">
        <f t="shared" si="2"/>
        <v/>
      </c>
    </row>
    <row r="13" spans="1:6" x14ac:dyDescent="0.2">
      <c r="A13" s="19">
        <v>9</v>
      </c>
      <c r="B13" s="180" t="s">
        <v>8</v>
      </c>
      <c r="C13" s="181"/>
      <c r="D13" s="14">
        <f t="shared" si="0"/>
        <v>103232</v>
      </c>
      <c r="E13" s="17">
        <f t="shared" si="1"/>
        <v>438079.85173902009</v>
      </c>
      <c r="F13" s="21">
        <f t="shared" si="2"/>
        <v>4.24</v>
      </c>
    </row>
    <row r="14" spans="1:6" x14ac:dyDescent="0.2">
      <c r="A14" s="19">
        <v>10</v>
      </c>
      <c r="B14" s="180" t="s">
        <v>9</v>
      </c>
      <c r="C14" s="181"/>
      <c r="D14" s="14">
        <f t="shared" si="0"/>
        <v>432</v>
      </c>
      <c r="E14" s="17">
        <f t="shared" si="1"/>
        <v>1039.2566641279514</v>
      </c>
      <c r="F14" s="21">
        <f t="shared" si="2"/>
        <v>2.41</v>
      </c>
    </row>
    <row r="15" spans="1:6" x14ac:dyDescent="0.2">
      <c r="A15" s="19">
        <v>11</v>
      </c>
      <c r="B15" s="180" t="s">
        <v>10</v>
      </c>
      <c r="C15" s="181"/>
      <c r="D15" s="14">
        <f t="shared" si="0"/>
        <v>67200</v>
      </c>
      <c r="E15" s="17">
        <f t="shared" si="1"/>
        <v>428567.14775323687</v>
      </c>
      <c r="F15" s="21">
        <f t="shared" si="2"/>
        <v>6.38</v>
      </c>
    </row>
    <row r="16" spans="1:6" ht="14.25" customHeight="1" x14ac:dyDescent="0.2">
      <c r="A16" s="19">
        <v>12</v>
      </c>
      <c r="B16" s="180" t="s">
        <v>11</v>
      </c>
      <c r="C16" s="181"/>
      <c r="D16" s="14">
        <f t="shared" si="0"/>
        <v>246864</v>
      </c>
      <c r="E16" s="17">
        <f t="shared" si="1"/>
        <v>1288119.4470677837</v>
      </c>
      <c r="F16" s="21">
        <f t="shared" si="2"/>
        <v>5.22</v>
      </c>
    </row>
    <row r="17" spans="1:6" x14ac:dyDescent="0.2">
      <c r="A17" s="19">
        <v>13</v>
      </c>
      <c r="B17" s="180" t="s">
        <v>12</v>
      </c>
      <c r="C17" s="181"/>
      <c r="D17" s="14">
        <f t="shared" si="0"/>
        <v>13072</v>
      </c>
      <c r="E17" s="17">
        <f t="shared" si="1"/>
        <v>87409.136836760605</v>
      </c>
      <c r="F17" s="21">
        <f t="shared" si="2"/>
        <v>6.69</v>
      </c>
    </row>
    <row r="18" spans="1:6" ht="14.25" customHeight="1" x14ac:dyDescent="0.2">
      <c r="A18" s="19">
        <v>14</v>
      </c>
      <c r="B18" s="180" t="s">
        <v>464</v>
      </c>
      <c r="C18" s="181"/>
      <c r="D18" s="14">
        <f t="shared" si="0"/>
        <v>176455</v>
      </c>
      <c r="E18" s="17">
        <f t="shared" si="1"/>
        <v>1367025.4506219854</v>
      </c>
      <c r="F18" s="21">
        <f t="shared" si="2"/>
        <v>7.75</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53824</v>
      </c>
      <c r="E20" s="17">
        <f t="shared" si="1"/>
        <v>329691.68215283065</v>
      </c>
      <c r="F20" s="21">
        <f t="shared" si="2"/>
        <v>6.13</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54492</v>
      </c>
      <c r="E22" s="17">
        <f t="shared" si="1"/>
        <v>313045.68088347296</v>
      </c>
      <c r="F22" s="21">
        <f t="shared" si="2"/>
        <v>5.74</v>
      </c>
    </row>
    <row r="23" spans="1:6" x14ac:dyDescent="0.2">
      <c r="A23" s="19">
        <v>19</v>
      </c>
      <c r="B23" s="180" t="s">
        <v>17</v>
      </c>
      <c r="C23" s="181"/>
      <c r="D23" s="14">
        <f t="shared" si="0"/>
        <v>164560</v>
      </c>
      <c r="E23" s="17">
        <f t="shared" si="1"/>
        <v>771257.80705762887</v>
      </c>
      <c r="F23" s="21">
        <f t="shared" si="2"/>
        <v>4.6900000000000004</v>
      </c>
    </row>
    <row r="24" spans="1:6" x14ac:dyDescent="0.2">
      <c r="A24" s="19">
        <v>20</v>
      </c>
      <c r="B24" s="180" t="s">
        <v>18</v>
      </c>
      <c r="C24" s="181"/>
      <c r="D24" s="14">
        <f t="shared" si="0"/>
        <v>11648</v>
      </c>
      <c r="E24" s="17">
        <f t="shared" si="1"/>
        <v>110288.43894389439</v>
      </c>
      <c r="F24" s="21">
        <f t="shared" si="2"/>
        <v>9.4700000000000006</v>
      </c>
    </row>
    <row r="25" spans="1:6" ht="14.25" customHeight="1" x14ac:dyDescent="0.2">
      <c r="A25" s="19">
        <v>21</v>
      </c>
      <c r="B25" s="180" t="s">
        <v>461</v>
      </c>
      <c r="C25" s="181"/>
      <c r="D25" s="14">
        <f t="shared" si="0"/>
        <v>0</v>
      </c>
      <c r="E25" s="17">
        <f t="shared" si="1"/>
        <v>0</v>
      </c>
      <c r="F25" s="21" t="str">
        <f t="shared" si="2"/>
        <v/>
      </c>
    </row>
    <row r="26" spans="1:6" x14ac:dyDescent="0.2">
      <c r="A26" s="19">
        <v>22</v>
      </c>
      <c r="B26" s="180" t="s">
        <v>19</v>
      </c>
      <c r="C26" s="181"/>
      <c r="D26" s="14">
        <f t="shared" si="0"/>
        <v>1600</v>
      </c>
      <c r="E26" s="17">
        <f t="shared" si="1"/>
        <v>12026.098756029449</v>
      </c>
      <c r="F26" s="21">
        <f t="shared" si="2"/>
        <v>7.52</v>
      </c>
    </row>
    <row r="27" spans="1:6" x14ac:dyDescent="0.2">
      <c r="A27" s="19">
        <v>23</v>
      </c>
      <c r="B27" s="180" t="s">
        <v>20</v>
      </c>
      <c r="C27" s="181"/>
      <c r="D27" s="14">
        <f t="shared" si="0"/>
        <v>24048</v>
      </c>
      <c r="E27" s="17">
        <f t="shared" si="1"/>
        <v>261014.95430312262</v>
      </c>
      <c r="F27" s="21">
        <f t="shared" si="2"/>
        <v>10.85</v>
      </c>
    </row>
    <row r="28" spans="1:6" x14ac:dyDescent="0.2">
      <c r="A28" s="19">
        <v>24</v>
      </c>
      <c r="B28" s="180" t="s">
        <v>21</v>
      </c>
      <c r="C28" s="181"/>
      <c r="D28" s="14">
        <f t="shared" si="0"/>
        <v>18784</v>
      </c>
      <c r="E28" s="17">
        <f t="shared" si="1"/>
        <v>276823.41939578572</v>
      </c>
      <c r="F28" s="21">
        <f t="shared" si="2"/>
        <v>14.74</v>
      </c>
    </row>
    <row r="29" spans="1:6" x14ac:dyDescent="0.2">
      <c r="A29" s="19">
        <v>25</v>
      </c>
      <c r="B29" s="180" t="s">
        <v>22</v>
      </c>
      <c r="C29" s="181"/>
      <c r="D29" s="14">
        <f t="shared" si="0"/>
        <v>272304</v>
      </c>
      <c r="E29" s="17">
        <f t="shared" si="1"/>
        <v>1275098.1172886519</v>
      </c>
      <c r="F29" s="21">
        <f t="shared" si="2"/>
        <v>4.68</v>
      </c>
    </row>
    <row r="30" spans="1:6" x14ac:dyDescent="0.2">
      <c r="A30" s="19">
        <v>26</v>
      </c>
      <c r="B30" s="180" t="s">
        <v>23</v>
      </c>
      <c r="C30" s="181"/>
      <c r="D30" s="14">
        <f t="shared" si="0"/>
        <v>77072</v>
      </c>
      <c r="E30" s="17">
        <f t="shared" si="1"/>
        <v>455300.0870779386</v>
      </c>
      <c r="F30" s="21">
        <f t="shared" si="2"/>
        <v>5.91</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1705587</v>
      </c>
      <c r="E33" s="31">
        <f>SUM(E5:E32)</f>
        <v>9836812</v>
      </c>
      <c r="F33" s="32">
        <f t="shared" si="2"/>
        <v>5.77</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IF(F3="1",SUMIF(Data!A:A,'19'!$A$2,Data!CU:CU),0)</f>
        <v>17696</v>
      </c>
      <c r="E36" s="15">
        <f>IF(F3="1",SUMIF(Data!$A:$A,$A$2,Data!IO:IO),0)</f>
        <v>12210</v>
      </c>
      <c r="F36" s="20">
        <f t="shared" ref="F36:F64" si="3">IF(OR(D36=0,E36=0),"",ROUND(E36/D36,2))</f>
        <v>0.69</v>
      </c>
    </row>
    <row r="37" spans="1:6" x14ac:dyDescent="0.2">
      <c r="A37" s="19">
        <v>2</v>
      </c>
      <c r="B37" s="180" t="s">
        <v>1</v>
      </c>
      <c r="C37" s="181"/>
      <c r="D37" s="14">
        <f>IF(F3="1",SUMIF(Data!A:A,'19'!$A$2,Data!CV:CV),0)</f>
        <v>38816</v>
      </c>
      <c r="E37" s="17">
        <f>IF(F3="1",SUMIF(Data!$A:$A,$A$2,Data!IP:IP),0)</f>
        <v>37149</v>
      </c>
      <c r="F37" s="21">
        <f t="shared" si="3"/>
        <v>0.96</v>
      </c>
    </row>
    <row r="38" spans="1:6" ht="14.25" customHeight="1" x14ac:dyDescent="0.2">
      <c r="A38" s="19">
        <v>3</v>
      </c>
      <c r="B38" s="180" t="s">
        <v>2</v>
      </c>
      <c r="C38" s="181"/>
      <c r="D38" s="14">
        <f>IF(F3="1",SUMIF(Data!A:A,'19'!$A$2,Data!CW:CW),0)</f>
        <v>220880</v>
      </c>
      <c r="E38" s="17">
        <f>IF($F$3="1",SUMIF(Data!$A:$A,$A$2,Data!IQ:IQ),0)</f>
        <v>82187</v>
      </c>
      <c r="F38" s="21">
        <f t="shared" si="3"/>
        <v>0.37</v>
      </c>
    </row>
    <row r="39" spans="1:6" ht="14.25" customHeight="1" x14ac:dyDescent="0.2">
      <c r="A39" s="19">
        <v>4</v>
      </c>
      <c r="B39" s="180" t="s">
        <v>3</v>
      </c>
      <c r="C39" s="181"/>
      <c r="D39" s="14">
        <f>IF(F3="1",SUMIF(Data!A:A,'19'!$A$2,Data!CX:CX),0)</f>
        <v>80768</v>
      </c>
      <c r="E39" s="17">
        <f>IF($F$3="1",SUMIF(Data!$A:$A,$A$2,Data!IR:IR),0)</f>
        <v>7486</v>
      </c>
      <c r="F39" s="21">
        <f t="shared" si="3"/>
        <v>0.09</v>
      </c>
    </row>
    <row r="40" spans="1:6" x14ac:dyDescent="0.2">
      <c r="A40" s="19">
        <v>5</v>
      </c>
      <c r="B40" s="180" t="s">
        <v>4</v>
      </c>
      <c r="C40" s="181"/>
      <c r="D40" s="14">
        <f>IF(F3="1",SUMIF(Data!A:A,'19'!$A$2,Data!CY:CY),0)</f>
        <v>0</v>
      </c>
      <c r="E40" s="17">
        <f>IF($F$3="1",SUMIF(Data!$A:$A,$A$2,Data!IS:IS),0)</f>
        <v>0</v>
      </c>
      <c r="F40" s="21" t="str">
        <f t="shared" si="3"/>
        <v/>
      </c>
    </row>
    <row r="41" spans="1:6" x14ac:dyDescent="0.2">
      <c r="A41" s="19">
        <v>6</v>
      </c>
      <c r="B41" s="180" t="s">
        <v>5</v>
      </c>
      <c r="C41" s="181"/>
      <c r="D41" s="14">
        <f>IF(F3="1",SUMIF(Data!A:A,'19'!$A$2,Data!CZ:CZ),0)</f>
        <v>1088</v>
      </c>
      <c r="E41" s="17">
        <f>IF($F$3="1",SUMIF(Data!$A:$A,$A$2,Data!IT:IT),0)</f>
        <v>0</v>
      </c>
      <c r="F41" s="21" t="str">
        <f t="shared" si="3"/>
        <v/>
      </c>
    </row>
    <row r="42" spans="1:6" x14ac:dyDescent="0.2">
      <c r="A42" s="19">
        <v>7</v>
      </c>
      <c r="B42" s="180" t="s">
        <v>6</v>
      </c>
      <c r="C42" s="181"/>
      <c r="D42" s="14">
        <f>IF(F3="1",SUMIF(Data!A:A,'19'!$A$2,Data!DA:DA),0)</f>
        <v>60752</v>
      </c>
      <c r="E42" s="17">
        <f>IF($F$3="1",SUMIF(Data!$A:$A,$A$2,Data!IU:IU),0)</f>
        <v>23135</v>
      </c>
      <c r="F42" s="21">
        <f t="shared" si="3"/>
        <v>0.38</v>
      </c>
    </row>
    <row r="43" spans="1:6" x14ac:dyDescent="0.2">
      <c r="A43" s="19">
        <v>8</v>
      </c>
      <c r="B43" s="180" t="s">
        <v>7</v>
      </c>
      <c r="C43" s="181"/>
      <c r="D43" s="14">
        <f>IF(F3="1",SUMIF(Data!A:A,'19'!$A$2,Data!DB:DB),0)</f>
        <v>0</v>
      </c>
      <c r="E43" s="17">
        <f>IF($F$3="1",SUMIF(Data!$A:$A,$A$2,Data!IV:IV),0)</f>
        <v>0</v>
      </c>
      <c r="F43" s="21" t="str">
        <f t="shared" si="3"/>
        <v/>
      </c>
    </row>
    <row r="44" spans="1:6" x14ac:dyDescent="0.2">
      <c r="A44" s="19">
        <v>9</v>
      </c>
      <c r="B44" s="180" t="s">
        <v>8</v>
      </c>
      <c r="C44" s="181"/>
      <c r="D44" s="14">
        <f>IF(F3="1",SUMIF(Data!A:A,'19'!$A$2,Data!DC:DC),0)</f>
        <v>103232</v>
      </c>
      <c r="E44" s="17">
        <f>IF($F$3="1",SUMIF(Data!$A:$A,$A$2,Data!IW:IW),0)</f>
        <v>41336</v>
      </c>
      <c r="F44" s="21">
        <f t="shared" si="3"/>
        <v>0.4</v>
      </c>
    </row>
    <row r="45" spans="1:6" x14ac:dyDescent="0.2">
      <c r="A45" s="19">
        <v>10</v>
      </c>
      <c r="B45" s="180" t="s">
        <v>9</v>
      </c>
      <c r="C45" s="181"/>
      <c r="D45" s="14">
        <f>IF(F3="1",SUMIF(Data!A:A,'19'!$A$2,Data!DD:DD),0)</f>
        <v>432</v>
      </c>
      <c r="E45" s="17">
        <f>IF($F$3="1",SUMIF(Data!$A:$A,$A$2,Data!IX:IX),0)</f>
        <v>0</v>
      </c>
      <c r="F45" s="21" t="str">
        <f t="shared" si="3"/>
        <v/>
      </c>
    </row>
    <row r="46" spans="1:6" x14ac:dyDescent="0.2">
      <c r="A46" s="19">
        <v>11</v>
      </c>
      <c r="B46" s="180" t="s">
        <v>10</v>
      </c>
      <c r="C46" s="181"/>
      <c r="D46" s="14">
        <f>IF(F3="1",SUMIF(Data!A:A,'19'!$A$2,Data!DE:DE),0)</f>
        <v>67200</v>
      </c>
      <c r="E46" s="17">
        <f>IF($F$3="1",SUMIF(Data!$A:$A,$A$2,Data!IY:IY),0)</f>
        <v>29539</v>
      </c>
      <c r="F46" s="21">
        <f t="shared" si="3"/>
        <v>0.44</v>
      </c>
    </row>
    <row r="47" spans="1:6" ht="14.25" customHeight="1" x14ac:dyDescent="0.2">
      <c r="A47" s="19">
        <v>12</v>
      </c>
      <c r="B47" s="180" t="s">
        <v>11</v>
      </c>
      <c r="C47" s="181"/>
      <c r="D47" s="14">
        <f>IF(F3="1",SUMIF(Data!A:A,'19'!$A$2,Data!DF:DF),0)</f>
        <v>246864</v>
      </c>
      <c r="E47" s="17">
        <f>IF($F$3="1",SUMIF(Data!$A:$A,$A$2,Data!IZ:IZ),0)</f>
        <v>99892</v>
      </c>
      <c r="F47" s="21">
        <f t="shared" si="3"/>
        <v>0.4</v>
      </c>
    </row>
    <row r="48" spans="1:6" x14ac:dyDescent="0.2">
      <c r="A48" s="19">
        <v>13</v>
      </c>
      <c r="B48" s="180" t="s">
        <v>12</v>
      </c>
      <c r="C48" s="181"/>
      <c r="D48" s="14">
        <f>IF(F3="1",SUMIF(Data!A:A,'19'!$A$2,Data!DG:DG),0)</f>
        <v>13072</v>
      </c>
      <c r="E48" s="17">
        <f>IF($F$3="1",SUMIF(Data!$A:$A,$A$2,Data!JA:JA),0)</f>
        <v>3875</v>
      </c>
      <c r="F48" s="21">
        <f t="shared" si="3"/>
        <v>0.3</v>
      </c>
    </row>
    <row r="49" spans="1:6" ht="14.25" customHeight="1" x14ac:dyDescent="0.2">
      <c r="A49" s="19">
        <v>14</v>
      </c>
      <c r="B49" s="180" t="s">
        <v>464</v>
      </c>
      <c r="C49" s="181"/>
      <c r="D49" s="14">
        <f>IF(F3="1",SUMIF(Data!A:A,'19'!$A$2,Data!DH:DH),0)</f>
        <v>176455</v>
      </c>
      <c r="E49" s="17">
        <f>IF($F$3="1",SUMIF(Data!$A:$A,$A$2,Data!JB:JB),0)</f>
        <v>63315</v>
      </c>
      <c r="F49" s="21">
        <f t="shared" si="3"/>
        <v>0.36</v>
      </c>
    </row>
    <row r="50" spans="1:6" x14ac:dyDescent="0.2">
      <c r="A50" s="19">
        <v>15</v>
      </c>
      <c r="B50" s="180" t="s">
        <v>13</v>
      </c>
      <c r="C50" s="181"/>
      <c r="D50" s="14">
        <f>IF(F3="1",SUMIF(Data!A:A,'19'!$A$2,Data!DI:DI),0)</f>
        <v>0</v>
      </c>
      <c r="E50" s="17">
        <f>IF($F$3="1",SUMIF(Data!$A:$A,$A$2,Data!JC:JC),0)</f>
        <v>0</v>
      </c>
      <c r="F50" s="21" t="str">
        <f t="shared" si="3"/>
        <v/>
      </c>
    </row>
    <row r="51" spans="1:6" x14ac:dyDescent="0.2">
      <c r="A51" s="19">
        <v>16</v>
      </c>
      <c r="B51" s="180" t="s">
        <v>14</v>
      </c>
      <c r="C51" s="181"/>
      <c r="D51" s="14">
        <f>IF(F3="1",SUMIF(Data!A:A,'19'!$A$2,Data!DJ:DJ),0)</f>
        <v>53824</v>
      </c>
      <c r="E51" s="17">
        <f>IF($F$3="1",SUMIF(Data!$A:$A,$A$2,Data!JD:JD),0)</f>
        <v>17798</v>
      </c>
      <c r="F51" s="21">
        <f t="shared" si="3"/>
        <v>0.33</v>
      </c>
    </row>
    <row r="52" spans="1:6" x14ac:dyDescent="0.2">
      <c r="A52" s="19">
        <v>17</v>
      </c>
      <c r="B52" s="180" t="s">
        <v>15</v>
      </c>
      <c r="C52" s="181"/>
      <c r="D52" s="14">
        <f>IF(F3="1",SUMIF(Data!A:A,'19'!$A$2,Data!DK:DK),0)</f>
        <v>0</v>
      </c>
      <c r="E52" s="17">
        <f>IF($F$3="1",SUMIF(Data!$A:$A,$A$2,Data!JE:JE),0)</f>
        <v>0</v>
      </c>
      <c r="F52" s="21" t="str">
        <f t="shared" si="3"/>
        <v/>
      </c>
    </row>
    <row r="53" spans="1:6" x14ac:dyDescent="0.2">
      <c r="A53" s="19">
        <v>18</v>
      </c>
      <c r="B53" s="180" t="s">
        <v>16</v>
      </c>
      <c r="C53" s="181"/>
      <c r="D53" s="14">
        <f>IF(F3="1",SUMIF(Data!A:A,'19'!$A$2,Data!DL:DL),0)</f>
        <v>54492</v>
      </c>
      <c r="E53" s="17">
        <f>IF($F$3="1",SUMIF(Data!$A:$A,$A$2,Data!JF:JF),0)</f>
        <v>26193</v>
      </c>
      <c r="F53" s="21">
        <f t="shared" si="3"/>
        <v>0.48</v>
      </c>
    </row>
    <row r="54" spans="1:6" x14ac:dyDescent="0.2">
      <c r="A54" s="19">
        <v>19</v>
      </c>
      <c r="B54" s="180" t="s">
        <v>17</v>
      </c>
      <c r="C54" s="181"/>
      <c r="D54" s="14">
        <f>IF(F3="1",SUMIF(Data!A:A,'19'!$A$2,Data!DM:DM),0)</f>
        <v>164560</v>
      </c>
      <c r="E54" s="17">
        <f>IF($F$3="1",SUMIF(Data!$A:$A,$A$2,Data!JG:JG),0)</f>
        <v>31764</v>
      </c>
      <c r="F54" s="21">
        <f t="shared" si="3"/>
        <v>0.19</v>
      </c>
    </row>
    <row r="55" spans="1:6" x14ac:dyDescent="0.2">
      <c r="A55" s="19">
        <v>20</v>
      </c>
      <c r="B55" s="180" t="s">
        <v>18</v>
      </c>
      <c r="C55" s="181"/>
      <c r="D55" s="14">
        <f>IF(F3="1",SUMIF(Data!A:A,'19'!$A$2,Data!DN:DN),0)</f>
        <v>11648</v>
      </c>
      <c r="E55" s="17">
        <f>IF($F$3="1",SUMIF(Data!$A:$A,$A$2,Data!JH:JH),0)</f>
        <v>14418</v>
      </c>
      <c r="F55" s="21">
        <f t="shared" si="3"/>
        <v>1.24</v>
      </c>
    </row>
    <row r="56" spans="1:6" ht="14.25" customHeight="1" x14ac:dyDescent="0.2">
      <c r="A56" s="19">
        <v>21</v>
      </c>
      <c r="B56" s="180" t="s">
        <v>461</v>
      </c>
      <c r="C56" s="181"/>
      <c r="D56" s="14">
        <f>IF(F3="1",SUMIF(Data!A:A,'19'!$A$2,Data!DO:DO),0)</f>
        <v>0</v>
      </c>
      <c r="E56" s="17">
        <f>IF($F$3="1",SUMIF(Data!$A:$A,$A$2,Data!JI:JI),0)</f>
        <v>0</v>
      </c>
      <c r="F56" s="21" t="str">
        <f t="shared" si="3"/>
        <v/>
      </c>
    </row>
    <row r="57" spans="1:6" x14ac:dyDescent="0.2">
      <c r="A57" s="19">
        <v>22</v>
      </c>
      <c r="B57" s="180" t="s">
        <v>19</v>
      </c>
      <c r="C57" s="181"/>
      <c r="D57" s="14">
        <f>IF(F3="1",SUMIF(Data!A:A,'19'!$A$2,Data!DP:DP),0)</f>
        <v>1600</v>
      </c>
      <c r="E57" s="17">
        <f>IF($F$3="1",SUMIF(Data!$A:$A,$A$2,Data!JJ:JJ),0)</f>
        <v>637</v>
      </c>
      <c r="F57" s="21">
        <f t="shared" si="3"/>
        <v>0.4</v>
      </c>
    </row>
    <row r="58" spans="1:6" x14ac:dyDescent="0.2">
      <c r="A58" s="19">
        <v>23</v>
      </c>
      <c r="B58" s="180" t="s">
        <v>20</v>
      </c>
      <c r="C58" s="181"/>
      <c r="D58" s="14">
        <f>IF(F3="1",SUMIF(Data!A:A,'19'!$A$2,Data!DQ:DQ),0)</f>
        <v>24048</v>
      </c>
      <c r="E58" s="17">
        <f>IF($F$3="1",SUMIF(Data!$A:$A,$A$2,Data!JK:JK),0)</f>
        <v>7080</v>
      </c>
      <c r="F58" s="21">
        <f t="shared" si="3"/>
        <v>0.28999999999999998</v>
      </c>
    </row>
    <row r="59" spans="1:6" x14ac:dyDescent="0.2">
      <c r="A59" s="19">
        <v>24</v>
      </c>
      <c r="B59" s="180" t="s">
        <v>21</v>
      </c>
      <c r="C59" s="181"/>
      <c r="D59" s="14">
        <f>IF(F3="1",SUMIF(Data!A:A,'19'!$A$2,Data!DR:DR),0)</f>
        <v>18784</v>
      </c>
      <c r="E59" s="17">
        <f>IF($F$3="1",SUMIF(Data!$A:$A,$A$2,Data!JL:JL),0)</f>
        <v>24596</v>
      </c>
      <c r="F59" s="21">
        <f t="shared" si="3"/>
        <v>1.31</v>
      </c>
    </row>
    <row r="60" spans="1:6" x14ac:dyDescent="0.2">
      <c r="A60" s="19">
        <v>25</v>
      </c>
      <c r="B60" s="180" t="s">
        <v>22</v>
      </c>
      <c r="C60" s="181"/>
      <c r="D60" s="14">
        <f>IF(F3="1",SUMIF(Data!A:A,'19'!$A$2,Data!DS:DS),0)</f>
        <v>272304</v>
      </c>
      <c r="E60" s="17">
        <f>IF($F$3="1",SUMIF(Data!$A:$A,$A$2,Data!JM:JM),0)</f>
        <v>12224</v>
      </c>
      <c r="F60" s="21">
        <f t="shared" si="3"/>
        <v>0.04</v>
      </c>
    </row>
    <row r="61" spans="1:6" x14ac:dyDescent="0.2">
      <c r="A61" s="19">
        <v>26</v>
      </c>
      <c r="B61" s="180" t="s">
        <v>23</v>
      </c>
      <c r="C61" s="181"/>
      <c r="D61" s="14">
        <f>IF(F3="1",SUMIF(Data!A:A,'19'!$A$2,Data!DT:DT),0)</f>
        <v>77072</v>
      </c>
      <c r="E61" s="17">
        <f>IF($F$3="1",SUMIF(Data!$A:$A,$A$2,Data!JN:JN),0)</f>
        <v>22426</v>
      </c>
      <c r="F61" s="21">
        <f t="shared" si="3"/>
        <v>0.28999999999999998</v>
      </c>
    </row>
    <row r="62" spans="1:6" x14ac:dyDescent="0.2">
      <c r="A62" s="19">
        <v>28</v>
      </c>
      <c r="B62" s="180" t="s">
        <v>24</v>
      </c>
      <c r="C62" s="181"/>
      <c r="D62" s="14">
        <f>IF(F3="1",SUMIF(Data!A:A,'19'!$A$2,Data!DV:DV),0)</f>
        <v>0</v>
      </c>
      <c r="E62" s="17">
        <f>IF($F$3="1",SUMIF(Data!$A:$A,$A$2,Data!JP:JP),0)</f>
        <v>0</v>
      </c>
      <c r="F62" s="21" t="str">
        <f t="shared" si="3"/>
        <v/>
      </c>
    </row>
    <row r="63" spans="1:6" ht="15.75" customHeight="1" thickBot="1" x14ac:dyDescent="0.25">
      <c r="A63" s="22">
        <v>29</v>
      </c>
      <c r="B63" s="184" t="s">
        <v>25</v>
      </c>
      <c r="C63" s="185"/>
      <c r="D63" s="23">
        <f>IF(F3="1",SUMIF(Data!A:A,'19'!$A$2,Data!DW:DW),0)</f>
        <v>0</v>
      </c>
      <c r="E63" s="24">
        <f>IF($F$3="1",SUMIF(Data!$A:$A,$A$2,Data!JQ:JQ),0)</f>
        <v>0</v>
      </c>
      <c r="F63" s="25" t="str">
        <f t="shared" si="3"/>
        <v/>
      </c>
    </row>
    <row r="64" spans="1:6" x14ac:dyDescent="0.2">
      <c r="B64" s="30" t="s">
        <v>35</v>
      </c>
      <c r="C64" s="30"/>
      <c r="D64" s="59">
        <f>SUM(D36:D63)</f>
        <v>1705587</v>
      </c>
      <c r="E64" s="31">
        <f>SUM(E36:E63)</f>
        <v>557260</v>
      </c>
      <c r="F64" s="32">
        <f t="shared" si="3"/>
        <v>0.33</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17696</v>
      </c>
      <c r="E67" s="15">
        <f>IF(F3="1",SUMIF(Data!A:A,'19'!$A$2,Data!DY:DY),0)</f>
        <v>58516</v>
      </c>
      <c r="F67" s="20">
        <f t="shared" ref="F67:F95" si="4">IF(OR(D67=0,E67=0),"",ROUND(E67/D67,2))</f>
        <v>3.31</v>
      </c>
    </row>
    <row r="68" spans="1:6" x14ac:dyDescent="0.2">
      <c r="A68" s="19">
        <v>2</v>
      </c>
      <c r="B68" s="180" t="s">
        <v>1</v>
      </c>
      <c r="C68" s="181"/>
      <c r="D68" s="14">
        <f t="shared" ref="D68:D94" si="5">D37</f>
        <v>38816</v>
      </c>
      <c r="E68" s="17">
        <f>IF(F3="1",SUMIF(Data!A:A,'19'!$A$2,Data!DZ:DZ),0)</f>
        <v>173786</v>
      </c>
      <c r="F68" s="21">
        <f t="shared" si="4"/>
        <v>4.4800000000000004</v>
      </c>
    </row>
    <row r="69" spans="1:6" ht="14.25" customHeight="1" x14ac:dyDescent="0.2">
      <c r="A69" s="19">
        <v>3</v>
      </c>
      <c r="B69" s="180" t="s">
        <v>2</v>
      </c>
      <c r="C69" s="181"/>
      <c r="D69" s="14">
        <f t="shared" si="5"/>
        <v>220880</v>
      </c>
      <c r="E69" s="17">
        <f>IF(F3="1",SUMIF(Data!A:A,'19'!$A$2,Data!EA:EA),0)</f>
        <v>427302</v>
      </c>
      <c r="F69" s="21">
        <f t="shared" si="4"/>
        <v>1.93</v>
      </c>
    </row>
    <row r="70" spans="1:6" ht="14.25" customHeight="1" x14ac:dyDescent="0.2">
      <c r="A70" s="19">
        <v>4</v>
      </c>
      <c r="B70" s="180" t="s">
        <v>3</v>
      </c>
      <c r="C70" s="181"/>
      <c r="D70" s="14">
        <f t="shared" si="5"/>
        <v>80768</v>
      </c>
      <c r="E70" s="17">
        <f>IF(F3="1",SUMIF(Data!A:A,'19'!$A$2,Data!EB:EB),0)</f>
        <v>305893</v>
      </c>
      <c r="F70" s="21">
        <f t="shared" si="4"/>
        <v>3.79</v>
      </c>
    </row>
    <row r="71" spans="1:6" x14ac:dyDescent="0.2">
      <c r="A71" s="19">
        <v>5</v>
      </c>
      <c r="B71" s="180" t="s">
        <v>4</v>
      </c>
      <c r="C71" s="181"/>
      <c r="D71" s="14">
        <f t="shared" si="5"/>
        <v>0</v>
      </c>
      <c r="E71" s="17">
        <f>IF(F3="1",SUMIF(Data!A:A,'19'!$A$2,Data!EC:EC),0)</f>
        <v>0</v>
      </c>
      <c r="F71" s="21" t="str">
        <f t="shared" si="4"/>
        <v/>
      </c>
    </row>
    <row r="72" spans="1:6" x14ac:dyDescent="0.2">
      <c r="A72" s="19">
        <v>6</v>
      </c>
      <c r="B72" s="180" t="s">
        <v>5</v>
      </c>
      <c r="C72" s="181"/>
      <c r="D72" s="14">
        <f t="shared" si="5"/>
        <v>1088</v>
      </c>
      <c r="E72" s="17">
        <f>IF(F3="1",SUMIF(Data!A:A,'19'!$A$2,Data!ED:ED),0)</f>
        <v>0</v>
      </c>
      <c r="F72" s="21" t="str">
        <f t="shared" si="4"/>
        <v/>
      </c>
    </row>
    <row r="73" spans="1:6" x14ac:dyDescent="0.2">
      <c r="A73" s="19">
        <v>7</v>
      </c>
      <c r="B73" s="180" t="s">
        <v>6</v>
      </c>
      <c r="C73" s="181"/>
      <c r="D73" s="14">
        <f t="shared" si="5"/>
        <v>60752</v>
      </c>
      <c r="E73" s="17">
        <f>IF(F3="1",SUMIF(Data!A:A,'19'!$A$2,Data!EE:EE),0)</f>
        <v>283973</v>
      </c>
      <c r="F73" s="21">
        <f t="shared" si="4"/>
        <v>4.67</v>
      </c>
    </row>
    <row r="74" spans="1:6" x14ac:dyDescent="0.2">
      <c r="A74" s="19">
        <v>8</v>
      </c>
      <c r="B74" s="180" t="s">
        <v>7</v>
      </c>
      <c r="C74" s="181"/>
      <c r="D74" s="14">
        <f t="shared" si="5"/>
        <v>0</v>
      </c>
      <c r="E74" s="17">
        <f>IF(F3="1",SUMIF(Data!A:A,'19'!$A$2,Data!EF:EF),0)</f>
        <v>0</v>
      </c>
      <c r="F74" s="21" t="str">
        <f t="shared" si="4"/>
        <v/>
      </c>
    </row>
    <row r="75" spans="1:6" x14ac:dyDescent="0.2">
      <c r="A75" s="19">
        <v>9</v>
      </c>
      <c r="B75" s="180" t="s">
        <v>8</v>
      </c>
      <c r="C75" s="181"/>
      <c r="D75" s="14">
        <f t="shared" si="5"/>
        <v>103232</v>
      </c>
      <c r="E75" s="17">
        <f>IF(F3="1",SUMIF(Data!A:A,'19'!$A$2,Data!EG:EG),0)</f>
        <v>148400</v>
      </c>
      <c r="F75" s="21">
        <f t="shared" si="4"/>
        <v>1.44</v>
      </c>
    </row>
    <row r="76" spans="1:6" x14ac:dyDescent="0.2">
      <c r="A76" s="19">
        <v>10</v>
      </c>
      <c r="B76" s="180" t="s">
        <v>9</v>
      </c>
      <c r="C76" s="181"/>
      <c r="D76" s="14">
        <f t="shared" si="5"/>
        <v>432</v>
      </c>
      <c r="E76" s="17">
        <f>IF(F3="1",SUMIF(Data!A:A,'19'!$A$2,Data!EH:EH),0)</f>
        <v>0</v>
      </c>
      <c r="F76" s="21" t="str">
        <f t="shared" si="4"/>
        <v/>
      </c>
    </row>
    <row r="77" spans="1:6" x14ac:dyDescent="0.2">
      <c r="A77" s="19">
        <v>11</v>
      </c>
      <c r="B77" s="180" t="s">
        <v>10</v>
      </c>
      <c r="C77" s="181"/>
      <c r="D77" s="14">
        <f t="shared" si="5"/>
        <v>67200</v>
      </c>
      <c r="E77" s="17">
        <f>IF(F3="1",SUMIF(Data!A:A,'19'!$A$2,Data!EI:EI),0)</f>
        <v>237366</v>
      </c>
      <c r="F77" s="21">
        <f t="shared" si="4"/>
        <v>3.53</v>
      </c>
    </row>
    <row r="78" spans="1:6" ht="14.25" customHeight="1" x14ac:dyDescent="0.2">
      <c r="A78" s="19">
        <v>12</v>
      </c>
      <c r="B78" s="180" t="s">
        <v>11</v>
      </c>
      <c r="C78" s="181"/>
      <c r="D78" s="14">
        <f t="shared" si="5"/>
        <v>246864</v>
      </c>
      <c r="E78" s="17">
        <f>IF(F3="1",SUMIF(Data!A:A,'19'!$A$2,Data!EJ:EJ),0)</f>
        <v>594350</v>
      </c>
      <c r="F78" s="21">
        <f t="shared" si="4"/>
        <v>2.41</v>
      </c>
    </row>
    <row r="79" spans="1:6" x14ac:dyDescent="0.2">
      <c r="A79" s="19">
        <v>13</v>
      </c>
      <c r="B79" s="180" t="s">
        <v>12</v>
      </c>
      <c r="C79" s="181"/>
      <c r="D79" s="14">
        <f t="shared" si="5"/>
        <v>13072</v>
      </c>
      <c r="E79" s="17">
        <f>IF(F3="1",SUMIF(Data!A:A,'19'!$A$2,Data!EK:EK),0)</f>
        <v>52087</v>
      </c>
      <c r="F79" s="21">
        <f t="shared" si="4"/>
        <v>3.98</v>
      </c>
    </row>
    <row r="80" spans="1:6" ht="14.25" customHeight="1" x14ac:dyDescent="0.2">
      <c r="A80" s="19">
        <v>14</v>
      </c>
      <c r="B80" s="180" t="s">
        <v>464</v>
      </c>
      <c r="C80" s="181"/>
      <c r="D80" s="14">
        <f t="shared" si="5"/>
        <v>176455</v>
      </c>
      <c r="E80" s="17">
        <f>IF(F3="1",SUMIF(Data!A:A,'19'!$A$2,Data!EL:EL),0)</f>
        <v>879215</v>
      </c>
      <c r="F80" s="21">
        <f t="shared" si="4"/>
        <v>4.9800000000000004</v>
      </c>
    </row>
    <row r="81" spans="1:6" x14ac:dyDescent="0.2">
      <c r="A81" s="19">
        <v>15</v>
      </c>
      <c r="B81" s="180" t="s">
        <v>13</v>
      </c>
      <c r="C81" s="181"/>
      <c r="D81" s="14">
        <f t="shared" si="5"/>
        <v>0</v>
      </c>
      <c r="E81" s="17">
        <f>IF(F3="1",SUMIF(Data!A:A,'19'!$A$2,Data!EM:EM),0)</f>
        <v>0</v>
      </c>
      <c r="F81" s="21" t="str">
        <f t="shared" si="4"/>
        <v/>
      </c>
    </row>
    <row r="82" spans="1:6" x14ac:dyDescent="0.2">
      <c r="A82" s="19">
        <v>16</v>
      </c>
      <c r="B82" s="180" t="s">
        <v>14</v>
      </c>
      <c r="C82" s="181"/>
      <c r="D82" s="14">
        <f t="shared" si="5"/>
        <v>53824</v>
      </c>
      <c r="E82" s="17">
        <f>IF(F3="1",SUMIF(Data!A:A,'19'!$A$2,Data!EN:EN),0)</f>
        <v>182410</v>
      </c>
      <c r="F82" s="21">
        <f t="shared" si="4"/>
        <v>3.39</v>
      </c>
    </row>
    <row r="83" spans="1:6" x14ac:dyDescent="0.2">
      <c r="A83" s="19">
        <v>17</v>
      </c>
      <c r="B83" s="180" t="s">
        <v>15</v>
      </c>
      <c r="C83" s="181"/>
      <c r="D83" s="14">
        <f t="shared" si="5"/>
        <v>0</v>
      </c>
      <c r="E83" s="17">
        <f>IF(F3="1",SUMIF(Data!A:A,'19'!$A$2,Data!EO:EO),0)</f>
        <v>0</v>
      </c>
      <c r="F83" s="21" t="str">
        <f t="shared" si="4"/>
        <v/>
      </c>
    </row>
    <row r="84" spans="1:6" x14ac:dyDescent="0.2">
      <c r="A84" s="19">
        <v>18</v>
      </c>
      <c r="B84" s="180" t="s">
        <v>16</v>
      </c>
      <c r="C84" s="181"/>
      <c r="D84" s="14">
        <f t="shared" si="5"/>
        <v>54492</v>
      </c>
      <c r="E84" s="17">
        <f>IF(F3="1",SUMIF(Data!A:A,'19'!$A$2,Data!EP:EP),0)</f>
        <v>155762</v>
      </c>
      <c r="F84" s="21">
        <f t="shared" si="4"/>
        <v>2.86</v>
      </c>
    </row>
    <row r="85" spans="1:6" x14ac:dyDescent="0.2">
      <c r="A85" s="19">
        <v>19</v>
      </c>
      <c r="B85" s="180" t="s">
        <v>17</v>
      </c>
      <c r="C85" s="181"/>
      <c r="D85" s="14">
        <f t="shared" si="5"/>
        <v>164560</v>
      </c>
      <c r="E85" s="17">
        <f>IF(F3="1",SUMIF(Data!A:A,'19'!$A$2,Data!EQ:EQ),0)</f>
        <v>343614</v>
      </c>
      <c r="F85" s="21">
        <f t="shared" si="4"/>
        <v>2.09</v>
      </c>
    </row>
    <row r="86" spans="1:6" x14ac:dyDescent="0.2">
      <c r="A86" s="19">
        <v>20</v>
      </c>
      <c r="B86" s="180" t="s">
        <v>18</v>
      </c>
      <c r="C86" s="181"/>
      <c r="D86" s="14">
        <f t="shared" si="5"/>
        <v>11648</v>
      </c>
      <c r="E86" s="17">
        <f>IF(F3="1",SUMIF(Data!A:A,'19'!$A$2,Data!ER:ER),0)</f>
        <v>67849</v>
      </c>
      <c r="F86" s="21">
        <f t="shared" si="4"/>
        <v>5.82</v>
      </c>
    </row>
    <row r="87" spans="1:6" ht="14.25" customHeight="1" x14ac:dyDescent="0.2">
      <c r="A87" s="19">
        <v>21</v>
      </c>
      <c r="B87" s="180" t="s">
        <v>461</v>
      </c>
      <c r="C87" s="181"/>
      <c r="D87" s="14">
        <f t="shared" si="5"/>
        <v>0</v>
      </c>
      <c r="E87" s="17">
        <f>IF(F3="1",SUMIF(Data!A:A,'19'!$A$2,Data!ES:ES),0)</f>
        <v>0</v>
      </c>
      <c r="F87" s="21" t="str">
        <f t="shared" si="4"/>
        <v/>
      </c>
    </row>
    <row r="88" spans="1:6" x14ac:dyDescent="0.2">
      <c r="A88" s="19">
        <v>22</v>
      </c>
      <c r="B88" s="180" t="s">
        <v>19</v>
      </c>
      <c r="C88" s="181"/>
      <c r="D88" s="14">
        <f t="shared" si="5"/>
        <v>1600</v>
      </c>
      <c r="E88" s="17">
        <f>IF(F3="1",SUMIF(Data!A:A,'19'!$A$2,Data!ET:ET),0)</f>
        <v>7540</v>
      </c>
      <c r="F88" s="21">
        <f t="shared" si="4"/>
        <v>4.71</v>
      </c>
    </row>
    <row r="89" spans="1:6" x14ac:dyDescent="0.2">
      <c r="A89" s="19">
        <v>23</v>
      </c>
      <c r="B89" s="180" t="s">
        <v>20</v>
      </c>
      <c r="C89" s="181"/>
      <c r="D89" s="14">
        <f t="shared" si="5"/>
        <v>24048</v>
      </c>
      <c r="E89" s="17">
        <f>IF(F3="1",SUMIF(Data!A:A,'19'!$A$2,Data!EU:EU),0)</f>
        <v>196083</v>
      </c>
      <c r="F89" s="21">
        <f t="shared" si="4"/>
        <v>8.15</v>
      </c>
    </row>
    <row r="90" spans="1:6" x14ac:dyDescent="0.2">
      <c r="A90" s="19">
        <v>24</v>
      </c>
      <c r="B90" s="180" t="s">
        <v>21</v>
      </c>
      <c r="C90" s="181"/>
      <c r="D90" s="14">
        <f t="shared" si="5"/>
        <v>18784</v>
      </c>
      <c r="E90" s="17">
        <f>IF(F3="1",SUMIF(Data!A:A,'19'!$A$2,Data!EV:EV),0)</f>
        <v>207039</v>
      </c>
      <c r="F90" s="21">
        <f t="shared" si="4"/>
        <v>11.02</v>
      </c>
    </row>
    <row r="91" spans="1:6" x14ac:dyDescent="0.2">
      <c r="A91" s="19">
        <v>25</v>
      </c>
      <c r="B91" s="180" t="s">
        <v>22</v>
      </c>
      <c r="C91" s="181"/>
      <c r="D91" s="14">
        <f t="shared" si="5"/>
        <v>272304</v>
      </c>
      <c r="E91" s="17">
        <f>IF(F3="1",SUMIF(Data!A:A,'19'!$A$2,Data!EW:EW),0)</f>
        <v>607796</v>
      </c>
      <c r="F91" s="21">
        <f t="shared" si="4"/>
        <v>2.23</v>
      </c>
    </row>
    <row r="92" spans="1:6" x14ac:dyDescent="0.2">
      <c r="A92" s="19">
        <v>26</v>
      </c>
      <c r="B92" s="180" t="s">
        <v>23</v>
      </c>
      <c r="C92" s="181"/>
      <c r="D92" s="14">
        <f t="shared" si="5"/>
        <v>77072</v>
      </c>
      <c r="E92" s="17">
        <f>IF(F3="1",SUMIF(Data!A:A,'19'!$A$2,Data!EX:EX),0)</f>
        <v>247463</v>
      </c>
      <c r="F92" s="21">
        <f t="shared" si="4"/>
        <v>3.21</v>
      </c>
    </row>
    <row r="93" spans="1:6" x14ac:dyDescent="0.2">
      <c r="A93" s="19">
        <v>28</v>
      </c>
      <c r="B93" s="180" t="s">
        <v>24</v>
      </c>
      <c r="C93" s="181"/>
      <c r="D93" s="14">
        <f t="shared" si="5"/>
        <v>0</v>
      </c>
      <c r="E93" s="17">
        <f>IF(F3="1",SUMIF(Data!A:A,'19'!$A$2,Data!EZ:EZ),0)</f>
        <v>0</v>
      </c>
      <c r="F93" s="21" t="str">
        <f t="shared" si="4"/>
        <v/>
      </c>
    </row>
    <row r="94" spans="1:6" ht="15.75" customHeight="1" thickBot="1" x14ac:dyDescent="0.25">
      <c r="A94" s="22">
        <v>29</v>
      </c>
      <c r="B94" s="184" t="s">
        <v>25</v>
      </c>
      <c r="C94" s="185"/>
      <c r="D94" s="23">
        <f t="shared" si="5"/>
        <v>0</v>
      </c>
      <c r="E94" s="24">
        <f>IF(F3="1",SUMIF(Data!A:A,'19'!$A$2,Data!FA:FA),0)</f>
        <v>0</v>
      </c>
      <c r="F94" s="25" t="str">
        <f t="shared" si="4"/>
        <v/>
      </c>
    </row>
    <row r="95" spans="1:6" x14ac:dyDescent="0.2">
      <c r="B95" s="30" t="s">
        <v>35</v>
      </c>
      <c r="C95" s="30"/>
      <c r="D95" s="59">
        <f>SUM(D67:D94)</f>
        <v>1705587</v>
      </c>
      <c r="E95" s="31">
        <f>SUM(E67:E94)</f>
        <v>5176444</v>
      </c>
      <c r="F95" s="32">
        <f t="shared" si="4"/>
        <v>3.03</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IF(F3="1",SUMIF(Data!A:A,'19'!$A$2,Data!AH:AH),0)</f>
        <v>1638518</v>
      </c>
      <c r="F98" s="20">
        <f>IF(OR(E98=0,E98=0),"",ROUND(E98/$D$105,2))</f>
        <v>0.96</v>
      </c>
    </row>
    <row r="99" spans="2:6" x14ac:dyDescent="0.2">
      <c r="B99" s="190" t="s">
        <v>31</v>
      </c>
      <c r="C99" s="191"/>
      <c r="D99" s="36"/>
      <c r="E99" s="17">
        <f>IF(F3="1",SUMIF(Data!A:A,'19'!$A$2,Data!AI:AI),0)</f>
        <v>900015</v>
      </c>
      <c r="F99" s="21">
        <f t="shared" ref="F99:F104" si="6">IF(OR(E99=0,E99=0),"",ROUND(E99/$D$105,2))</f>
        <v>0.53</v>
      </c>
    </row>
    <row r="100" spans="2:6" x14ac:dyDescent="0.2">
      <c r="B100" s="190" t="s">
        <v>1089</v>
      </c>
      <c r="C100" s="191"/>
      <c r="D100" s="36"/>
      <c r="E100" s="17">
        <f>IF(F3="1",SUMIF(Data!A:A,'19'!$A$2,Data!AJ:AJ),0)</f>
        <v>326399</v>
      </c>
      <c r="F100" s="21">
        <f t="shared" si="6"/>
        <v>0.19</v>
      </c>
    </row>
    <row r="101" spans="2:6" x14ac:dyDescent="0.2">
      <c r="B101" s="190" t="s">
        <v>1090</v>
      </c>
      <c r="C101" s="191"/>
      <c r="D101" s="36"/>
      <c r="E101" s="17">
        <f>IF(F3="1",SUMIF(Data!A:A,'19'!$A$2,Data!AK:AK),0)</f>
        <v>388174</v>
      </c>
      <c r="F101" s="21">
        <f t="shared" si="6"/>
        <v>0.23</v>
      </c>
    </row>
    <row r="102" spans="2:6" x14ac:dyDescent="0.2">
      <c r="B102" s="190" t="s">
        <v>1091</v>
      </c>
      <c r="C102" s="191"/>
      <c r="D102" s="36"/>
      <c r="E102" s="17">
        <f>IF(F3="1",SUMIF(Data!A:A,'19'!$A$2,Data!AL:AL),0)</f>
        <v>0</v>
      </c>
      <c r="F102" s="21" t="str">
        <f t="shared" si="6"/>
        <v/>
      </c>
    </row>
    <row r="103" spans="2:6" x14ac:dyDescent="0.2">
      <c r="B103" s="192" t="s">
        <v>34</v>
      </c>
      <c r="C103" s="193"/>
      <c r="D103" s="36"/>
      <c r="E103" s="17">
        <f>IF(F3="1",SUMIF(Data!A:A,'19'!$A$2,Data!AM:AM),0)</f>
        <v>0</v>
      </c>
      <c r="F103" s="21" t="str">
        <f t="shared" si="6"/>
        <v/>
      </c>
    </row>
    <row r="104" spans="2:6" ht="15.75" customHeight="1" thickBot="1" x14ac:dyDescent="0.25">
      <c r="B104" s="186" t="s">
        <v>29</v>
      </c>
      <c r="C104" s="187"/>
      <c r="D104" s="37"/>
      <c r="E104" s="24">
        <f>IF(F3="1",SUMIF(Data!A:A,'19'!$A$2,Data!Q:Q),0)</f>
        <v>850002</v>
      </c>
      <c r="F104" s="25">
        <f t="shared" si="6"/>
        <v>0.5</v>
      </c>
    </row>
    <row r="105" spans="2:6" x14ac:dyDescent="0.2">
      <c r="B105" s="30" t="s">
        <v>35</v>
      </c>
      <c r="C105" s="30"/>
      <c r="D105" s="34">
        <f>D95</f>
        <v>1705587</v>
      </c>
      <c r="E105" s="31">
        <f>SUM(E98:E104)</f>
        <v>4103108</v>
      </c>
      <c r="F105" s="32">
        <f>IF($D$105=0,"",ROUND(E105/$D$105,2))</f>
        <v>2.41</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5176444</v>
      </c>
      <c r="D109" s="15">
        <f>IF(F3="1",SUMIF(Data!$A:$A,$A$2,Data!HJ:HJ),0)</f>
        <v>0</v>
      </c>
      <c r="E109" s="15">
        <f>IF(F3="1",SUMIF(Data!$A:$A,$A$2,Data!IN:IN),0)</f>
        <v>0</v>
      </c>
      <c r="F109" s="47">
        <f>SUM(C109:E109)</f>
        <v>5176444</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850002</v>
      </c>
      <c r="E117" s="52"/>
      <c r="F117" s="49">
        <f>SUM(C117:E117)</f>
        <v>850002</v>
      </c>
    </row>
    <row r="118" spans="1:6" x14ac:dyDescent="0.2">
      <c r="B118" s="13" t="s">
        <v>35</v>
      </c>
      <c r="C118" s="4">
        <f>SUM(C109:C116)</f>
        <v>5176444</v>
      </c>
      <c r="D118" s="4">
        <f>SUM(D109:D116)</f>
        <v>0</v>
      </c>
      <c r="E118" s="4">
        <f>SUM(E109:E116)</f>
        <v>0</v>
      </c>
      <c r="F118" s="4">
        <f>SUM(F109:F116)</f>
        <v>5176444</v>
      </c>
    </row>
    <row r="119" spans="1:6" ht="15" thickBot="1" x14ac:dyDescent="0.25"/>
    <row r="120" spans="1:6" ht="15" thickBot="1" x14ac:dyDescent="0.25">
      <c r="B120" s="55" t="s">
        <v>934</v>
      </c>
      <c r="C120" s="53"/>
      <c r="D120" s="53"/>
      <c r="E120" s="53">
        <f>IF(F3="1",SUMIF(Data!A:A,'19'!$A$2,Data!AM:AM),0)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42578125" style="10" bestFit="1" customWidth="1"/>
    <col min="13" max="13" width="10.5703125" style="10" bestFit="1" customWidth="1"/>
    <col min="14"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372</v>
      </c>
      <c r="B2" s="58" t="str">
        <f>VLOOKUP(A2,Data!A:G,7,0)</f>
        <v>Hill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9740</v>
      </c>
      <c r="E5" s="15">
        <f>E36+E67+IFERROR($E$105/$D$105*D5,0)</f>
        <v>76553.785613537737</v>
      </c>
      <c r="F5" s="20">
        <f>IF(OR(D5=0,E5=0),"",ROUND(E5/D5,2))</f>
        <v>7.86</v>
      </c>
    </row>
    <row r="6" spans="1:6" x14ac:dyDescent="0.2">
      <c r="A6" s="19">
        <v>2</v>
      </c>
      <c r="B6" s="180" t="s">
        <v>1</v>
      </c>
      <c r="C6" s="181"/>
      <c r="D6" s="14">
        <f t="shared" ref="D6:D32" si="0">D37</f>
        <v>44424</v>
      </c>
      <c r="E6" s="17">
        <f t="shared" ref="E6:E32" si="1">E37+E68+IFERROR($E$105/$D$105*D6,0)</f>
        <v>269890.63984556473</v>
      </c>
      <c r="F6" s="21">
        <f t="shared" ref="F6:F33" si="2">IF(OR(D6=0,E6=0),"",ROUND(E6/D6,2))</f>
        <v>6.08</v>
      </c>
    </row>
    <row r="7" spans="1:6" ht="14.25" customHeight="1" x14ac:dyDescent="0.2">
      <c r="A7" s="19">
        <v>3</v>
      </c>
      <c r="B7" s="180" t="s">
        <v>2</v>
      </c>
      <c r="C7" s="181"/>
      <c r="D7" s="14">
        <f t="shared" si="0"/>
        <v>114624</v>
      </c>
      <c r="E7" s="17">
        <f t="shared" si="1"/>
        <v>493182.72712178121</v>
      </c>
      <c r="F7" s="21">
        <f t="shared" si="2"/>
        <v>4.3</v>
      </c>
    </row>
    <row r="8" spans="1:6" ht="14.25" customHeight="1" x14ac:dyDescent="0.2">
      <c r="A8" s="19">
        <v>4</v>
      </c>
      <c r="B8" s="180" t="s">
        <v>3</v>
      </c>
      <c r="C8" s="181"/>
      <c r="D8" s="14">
        <f t="shared" si="0"/>
        <v>95044</v>
      </c>
      <c r="E8" s="17">
        <f t="shared" si="1"/>
        <v>274592.05747978238</v>
      </c>
      <c r="F8" s="21">
        <f t="shared" si="2"/>
        <v>2.89</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5280</v>
      </c>
      <c r="E10" s="17">
        <f t="shared" si="1"/>
        <v>61327.596307954744</v>
      </c>
      <c r="F10" s="21">
        <f t="shared" si="2"/>
        <v>11.62</v>
      </c>
    </row>
    <row r="11" spans="1:6" x14ac:dyDescent="0.2">
      <c r="A11" s="19">
        <v>7</v>
      </c>
      <c r="B11" s="180" t="s">
        <v>6</v>
      </c>
      <c r="C11" s="181"/>
      <c r="D11" s="14">
        <f t="shared" si="0"/>
        <v>115377</v>
      </c>
      <c r="E11" s="17">
        <f t="shared" si="1"/>
        <v>622309.70818615425</v>
      </c>
      <c r="F11" s="21">
        <f t="shared" si="2"/>
        <v>5.39</v>
      </c>
    </row>
    <row r="12" spans="1:6" x14ac:dyDescent="0.2">
      <c r="A12" s="19">
        <v>8</v>
      </c>
      <c r="B12" s="180" t="s">
        <v>7</v>
      </c>
      <c r="C12" s="181"/>
      <c r="D12" s="14">
        <f t="shared" si="0"/>
        <v>4944</v>
      </c>
      <c r="E12" s="17">
        <f t="shared" si="1"/>
        <v>67910.38563381217</v>
      </c>
      <c r="F12" s="21">
        <f t="shared" si="2"/>
        <v>13.74</v>
      </c>
    </row>
    <row r="13" spans="1:6" x14ac:dyDescent="0.2">
      <c r="A13" s="19">
        <v>9</v>
      </c>
      <c r="B13" s="180" t="s">
        <v>8</v>
      </c>
      <c r="C13" s="181"/>
      <c r="D13" s="14">
        <f t="shared" si="0"/>
        <v>267028</v>
      </c>
      <c r="E13" s="17">
        <f t="shared" si="1"/>
        <v>925585.03540161741</v>
      </c>
      <c r="F13" s="21">
        <f t="shared" si="2"/>
        <v>3.47</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23102</v>
      </c>
      <c r="E15" s="17">
        <f t="shared" si="1"/>
        <v>139682.89581560047</v>
      </c>
      <c r="F15" s="21">
        <f t="shared" si="2"/>
        <v>6.05</v>
      </c>
    </row>
    <row r="16" spans="1:6" ht="14.25" customHeight="1" x14ac:dyDescent="0.2">
      <c r="A16" s="19">
        <v>12</v>
      </c>
      <c r="B16" s="180" t="s">
        <v>11</v>
      </c>
      <c r="C16" s="181"/>
      <c r="D16" s="14">
        <f t="shared" si="0"/>
        <v>211208</v>
      </c>
      <c r="E16" s="17">
        <f t="shared" si="1"/>
        <v>850874.50019138365</v>
      </c>
      <c r="F16" s="21">
        <f t="shared" si="2"/>
        <v>4.03</v>
      </c>
    </row>
    <row r="17" spans="1:6" x14ac:dyDescent="0.2">
      <c r="A17" s="19">
        <v>13</v>
      </c>
      <c r="B17" s="180" t="s">
        <v>12</v>
      </c>
      <c r="C17" s="181"/>
      <c r="D17" s="14">
        <f t="shared" si="0"/>
        <v>33656</v>
      </c>
      <c r="E17" s="17">
        <f t="shared" si="1"/>
        <v>145037.60252661456</v>
      </c>
      <c r="F17" s="21">
        <f t="shared" si="2"/>
        <v>4.3099999999999996</v>
      </c>
    </row>
    <row r="18" spans="1:6" ht="14.25" customHeight="1" x14ac:dyDescent="0.2">
      <c r="A18" s="19">
        <v>14</v>
      </c>
      <c r="B18" s="180" t="s">
        <v>464</v>
      </c>
      <c r="C18" s="181"/>
      <c r="D18" s="14">
        <f t="shared" si="0"/>
        <v>0</v>
      </c>
      <c r="E18" s="17">
        <f t="shared" si="1"/>
        <v>8195</v>
      </c>
      <c r="F18" s="21" t="str">
        <f t="shared" si="2"/>
        <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87996</v>
      </c>
      <c r="E20" s="17">
        <f t="shared" si="1"/>
        <v>318262.28119598213</v>
      </c>
      <c r="F20" s="21">
        <f t="shared" si="2"/>
        <v>3.62</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118608</v>
      </c>
      <c r="E22" s="17">
        <f t="shared" si="1"/>
        <v>718114.36797232879</v>
      </c>
      <c r="F22" s="21">
        <f t="shared" si="2"/>
        <v>6.05</v>
      </c>
    </row>
    <row r="23" spans="1:6" x14ac:dyDescent="0.2">
      <c r="A23" s="19">
        <v>19</v>
      </c>
      <c r="B23" s="180" t="s">
        <v>17</v>
      </c>
      <c r="C23" s="181"/>
      <c r="D23" s="14">
        <f t="shared" si="0"/>
        <v>148448</v>
      </c>
      <c r="E23" s="17">
        <f t="shared" si="1"/>
        <v>569391.934985467</v>
      </c>
      <c r="F23" s="21">
        <f t="shared" si="2"/>
        <v>3.84</v>
      </c>
    </row>
    <row r="24" spans="1:6" x14ac:dyDescent="0.2">
      <c r="A24" s="19">
        <v>20</v>
      </c>
      <c r="B24" s="180" t="s">
        <v>18</v>
      </c>
      <c r="C24" s="181"/>
      <c r="D24" s="14">
        <f t="shared" si="0"/>
        <v>42096</v>
      </c>
      <c r="E24" s="17">
        <f t="shared" si="1"/>
        <v>255251.1087461483</v>
      </c>
      <c r="F24" s="21">
        <f t="shared" si="2"/>
        <v>6.06</v>
      </c>
    </row>
    <row r="25" spans="1:6" ht="14.25" customHeight="1" x14ac:dyDescent="0.2">
      <c r="A25" s="19">
        <v>21</v>
      </c>
      <c r="B25" s="180" t="s">
        <v>461</v>
      </c>
      <c r="C25" s="181"/>
      <c r="D25" s="14">
        <f t="shared" si="0"/>
        <v>0</v>
      </c>
      <c r="E25" s="17">
        <f t="shared" si="1"/>
        <v>0</v>
      </c>
      <c r="F25" s="21" t="str">
        <f t="shared" si="2"/>
        <v/>
      </c>
    </row>
    <row r="26" spans="1:6" x14ac:dyDescent="0.2">
      <c r="A26" s="19">
        <v>22</v>
      </c>
      <c r="B26" s="180" t="s">
        <v>19</v>
      </c>
      <c r="C26" s="181"/>
      <c r="D26" s="14">
        <f t="shared" si="0"/>
        <v>192</v>
      </c>
      <c r="E26" s="17">
        <f t="shared" si="1"/>
        <v>7665.5489566528995</v>
      </c>
      <c r="F26" s="21">
        <f t="shared" si="2"/>
        <v>39.92</v>
      </c>
    </row>
    <row r="27" spans="1:6" x14ac:dyDescent="0.2">
      <c r="A27" s="19">
        <v>23</v>
      </c>
      <c r="B27" s="180" t="s">
        <v>20</v>
      </c>
      <c r="C27" s="181"/>
      <c r="D27" s="14">
        <f t="shared" si="0"/>
        <v>62256</v>
      </c>
      <c r="E27" s="17">
        <f t="shared" si="1"/>
        <v>379180.74919470277</v>
      </c>
      <c r="F27" s="21">
        <f t="shared" si="2"/>
        <v>6.09</v>
      </c>
    </row>
    <row r="28" spans="1:6" x14ac:dyDescent="0.2">
      <c r="A28" s="19">
        <v>24</v>
      </c>
      <c r="B28" s="180" t="s">
        <v>21</v>
      </c>
      <c r="C28" s="181"/>
      <c r="D28" s="14">
        <f t="shared" si="0"/>
        <v>76712</v>
      </c>
      <c r="E28" s="17">
        <f t="shared" si="1"/>
        <v>385603.45605602732</v>
      </c>
      <c r="F28" s="21">
        <f t="shared" si="2"/>
        <v>5.03</v>
      </c>
    </row>
    <row r="29" spans="1:6" x14ac:dyDescent="0.2">
      <c r="A29" s="19">
        <v>25</v>
      </c>
      <c r="B29" s="180" t="s">
        <v>22</v>
      </c>
      <c r="C29" s="181"/>
      <c r="D29" s="14">
        <f t="shared" si="0"/>
        <v>161952</v>
      </c>
      <c r="E29" s="17">
        <f t="shared" si="1"/>
        <v>684782.54493672098</v>
      </c>
      <c r="F29" s="21">
        <f t="shared" si="2"/>
        <v>4.2300000000000004</v>
      </c>
    </row>
    <row r="30" spans="1:6" x14ac:dyDescent="0.2">
      <c r="A30" s="19">
        <v>26</v>
      </c>
      <c r="B30" s="180" t="s">
        <v>23</v>
      </c>
      <c r="C30" s="181"/>
      <c r="D30" s="14">
        <f t="shared" si="0"/>
        <v>93760</v>
      </c>
      <c r="E30" s="17">
        <f t="shared" si="1"/>
        <v>462169.07383216609</v>
      </c>
      <c r="F30" s="21">
        <f t="shared" si="2"/>
        <v>4.93</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1716447</v>
      </c>
      <c r="E33" s="31">
        <f>SUM(E5:E32)</f>
        <v>7715563.0000000009</v>
      </c>
      <c r="F33" s="32">
        <f t="shared" si="2"/>
        <v>4.5</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IF(F3="1",SUMIF(Data!A:A,'20'!$A$2,Data!CU:CU),0)</f>
        <v>9740</v>
      </c>
      <c r="E36" s="15">
        <f>IF(F3="1",SUMIF(Data!$A:$A,$A$2,Data!IO:IO),0)</f>
        <v>9798</v>
      </c>
      <c r="F36" s="20">
        <f t="shared" ref="F36:F64" si="3">IF(OR(D36=0,E36=0),"",ROUND(E36/D36,2))</f>
        <v>1.01</v>
      </c>
    </row>
    <row r="37" spans="1:6" x14ac:dyDescent="0.2">
      <c r="A37" s="19">
        <v>2</v>
      </c>
      <c r="B37" s="180" t="s">
        <v>1</v>
      </c>
      <c r="C37" s="181"/>
      <c r="D37" s="14">
        <f>IF(F3="1",SUMIF(Data!A:A,'20'!$A$2,Data!CV:CV),0)</f>
        <v>44424</v>
      </c>
      <c r="E37" s="17">
        <f>IF(F3="1",SUMIF(Data!$A:$A,$A$2,Data!IP:IP),0)</f>
        <v>32393</v>
      </c>
      <c r="F37" s="21">
        <f t="shared" si="3"/>
        <v>0.73</v>
      </c>
    </row>
    <row r="38" spans="1:6" ht="14.25" customHeight="1" x14ac:dyDescent="0.2">
      <c r="A38" s="19">
        <v>3</v>
      </c>
      <c r="B38" s="180" t="s">
        <v>2</v>
      </c>
      <c r="C38" s="181"/>
      <c r="D38" s="14">
        <f>IF(F3="1",SUMIF(Data!A:A,'20'!$A$2,Data!CW:CW),0)</f>
        <v>114624</v>
      </c>
      <c r="E38" s="17">
        <f>IF($F$3="1",SUMIF(Data!$A:$A,$A$2,Data!IQ:IQ),0)</f>
        <v>21218</v>
      </c>
      <c r="F38" s="21">
        <f t="shared" si="3"/>
        <v>0.19</v>
      </c>
    </row>
    <row r="39" spans="1:6" ht="14.25" customHeight="1" x14ac:dyDescent="0.2">
      <c r="A39" s="19">
        <v>4</v>
      </c>
      <c r="B39" s="180" t="s">
        <v>3</v>
      </c>
      <c r="C39" s="181"/>
      <c r="D39" s="14">
        <f>IF(F3="1",SUMIF(Data!A:A,'20'!$A$2,Data!CX:CX),0)</f>
        <v>95044</v>
      </c>
      <c r="E39" s="17">
        <f>IF($F$3="1",SUMIF(Data!$A:$A,$A$2,Data!IR:IR),0)</f>
        <v>6336</v>
      </c>
      <c r="F39" s="21">
        <f t="shared" si="3"/>
        <v>7.0000000000000007E-2</v>
      </c>
    </row>
    <row r="40" spans="1:6" x14ac:dyDescent="0.2">
      <c r="A40" s="19">
        <v>5</v>
      </c>
      <c r="B40" s="180" t="s">
        <v>4</v>
      </c>
      <c r="C40" s="181"/>
      <c r="D40" s="14">
        <f>IF(F3="1",SUMIF(Data!A:A,'20'!$A$2,Data!CY:CY),0)</f>
        <v>0</v>
      </c>
      <c r="E40" s="17">
        <f>IF($F$3="1",SUMIF(Data!$A:$A,$A$2,Data!IS:IS),0)</f>
        <v>0</v>
      </c>
      <c r="F40" s="21" t="str">
        <f t="shared" si="3"/>
        <v/>
      </c>
    </row>
    <row r="41" spans="1:6" x14ac:dyDescent="0.2">
      <c r="A41" s="19">
        <v>6</v>
      </c>
      <c r="B41" s="180" t="s">
        <v>5</v>
      </c>
      <c r="C41" s="181"/>
      <c r="D41" s="14">
        <f>IF(F3="1",SUMIF(Data!A:A,'20'!$A$2,Data!CZ:CZ),0)</f>
        <v>5280</v>
      </c>
      <c r="E41" s="17">
        <f>IF($F$3="1",SUMIF(Data!$A:$A,$A$2,Data!IT:IT),0)</f>
        <v>922</v>
      </c>
      <c r="F41" s="21">
        <f t="shared" si="3"/>
        <v>0.17</v>
      </c>
    </row>
    <row r="42" spans="1:6" x14ac:dyDescent="0.2">
      <c r="A42" s="19">
        <v>7</v>
      </c>
      <c r="B42" s="180" t="s">
        <v>6</v>
      </c>
      <c r="C42" s="181"/>
      <c r="D42" s="14">
        <f>IF(F3="1",SUMIF(Data!A:A,'20'!$A$2,Data!DA:DA),0)</f>
        <v>115377</v>
      </c>
      <c r="E42" s="17">
        <f>IF($F$3="1",SUMIF(Data!$A:$A,$A$2,Data!IU:IU),0)</f>
        <v>45829</v>
      </c>
      <c r="F42" s="21">
        <f t="shared" si="3"/>
        <v>0.4</v>
      </c>
    </row>
    <row r="43" spans="1:6" x14ac:dyDescent="0.2">
      <c r="A43" s="19">
        <v>8</v>
      </c>
      <c r="B43" s="180" t="s">
        <v>7</v>
      </c>
      <c r="C43" s="181"/>
      <c r="D43" s="14">
        <f>IF(F3="1",SUMIF(Data!A:A,'20'!$A$2,Data!DB:DB),0)</f>
        <v>4944</v>
      </c>
      <c r="E43" s="17">
        <f>IF($F$3="1",SUMIF(Data!$A:$A,$A$2,Data!IV:IV),0)</f>
        <v>12000</v>
      </c>
      <c r="F43" s="21">
        <f t="shared" si="3"/>
        <v>2.4300000000000002</v>
      </c>
    </row>
    <row r="44" spans="1:6" x14ac:dyDescent="0.2">
      <c r="A44" s="19">
        <v>9</v>
      </c>
      <c r="B44" s="180" t="s">
        <v>8</v>
      </c>
      <c r="C44" s="181"/>
      <c r="D44" s="14">
        <f>IF(F3="1",SUMIF(Data!A:A,'20'!$A$2,Data!DC:DC),0)</f>
        <v>267028</v>
      </c>
      <c r="E44" s="17">
        <f>IF($F$3="1",SUMIF(Data!$A:$A,$A$2,Data!IW:IW),0)</f>
        <v>38033</v>
      </c>
      <c r="F44" s="21">
        <f t="shared" si="3"/>
        <v>0.14000000000000001</v>
      </c>
    </row>
    <row r="45" spans="1:6" x14ac:dyDescent="0.2">
      <c r="A45" s="19">
        <v>10</v>
      </c>
      <c r="B45" s="180" t="s">
        <v>9</v>
      </c>
      <c r="C45" s="181"/>
      <c r="D45" s="14">
        <f>IF(F3="1",SUMIF(Data!A:A,'20'!$A$2,Data!DD:DD),0)</f>
        <v>0</v>
      </c>
      <c r="E45" s="17">
        <f>IF($F$3="1",SUMIF(Data!$A:$A,$A$2,Data!IX:IX),0)</f>
        <v>0</v>
      </c>
      <c r="F45" s="21" t="str">
        <f t="shared" si="3"/>
        <v/>
      </c>
    </row>
    <row r="46" spans="1:6" x14ac:dyDescent="0.2">
      <c r="A46" s="19">
        <v>11</v>
      </c>
      <c r="B46" s="180" t="s">
        <v>10</v>
      </c>
      <c r="C46" s="181"/>
      <c r="D46" s="14">
        <f>IF(F3="1",SUMIF(Data!A:A,'20'!$A$2,Data!DE:DE),0)</f>
        <v>23102</v>
      </c>
      <c r="E46" s="17">
        <f>IF($F$3="1",SUMIF(Data!$A:$A,$A$2,Data!IY:IY),0)</f>
        <v>6568</v>
      </c>
      <c r="F46" s="21">
        <f t="shared" si="3"/>
        <v>0.28000000000000003</v>
      </c>
    </row>
    <row r="47" spans="1:6" ht="14.25" customHeight="1" x14ac:dyDescent="0.2">
      <c r="A47" s="19">
        <v>12</v>
      </c>
      <c r="B47" s="180" t="s">
        <v>11</v>
      </c>
      <c r="C47" s="181"/>
      <c r="D47" s="14">
        <f>IF(F3="1",SUMIF(Data!A:A,'20'!$A$2,Data!DF:DF),0)</f>
        <v>211208</v>
      </c>
      <c r="E47" s="17">
        <f>IF($F$3="1",SUMIF(Data!$A:$A,$A$2,Data!IZ:IZ),0)</f>
        <v>31874</v>
      </c>
      <c r="F47" s="21">
        <f t="shared" si="3"/>
        <v>0.15</v>
      </c>
    </row>
    <row r="48" spans="1:6" x14ac:dyDescent="0.2">
      <c r="A48" s="19">
        <v>13</v>
      </c>
      <c r="B48" s="180" t="s">
        <v>12</v>
      </c>
      <c r="C48" s="181"/>
      <c r="D48" s="14">
        <f>IF(F3="1",SUMIF(Data!A:A,'20'!$A$2,Data!DG:DG),0)</f>
        <v>33656</v>
      </c>
      <c r="E48" s="17">
        <f>IF($F$3="1",SUMIF(Data!$A:$A,$A$2,Data!JA:JA),0)</f>
        <v>2740</v>
      </c>
      <c r="F48" s="21">
        <f t="shared" si="3"/>
        <v>0.08</v>
      </c>
    </row>
    <row r="49" spans="1:6" ht="14.25" customHeight="1" x14ac:dyDescent="0.2">
      <c r="A49" s="19">
        <v>14</v>
      </c>
      <c r="B49" s="180" t="s">
        <v>464</v>
      </c>
      <c r="C49" s="181"/>
      <c r="D49" s="14">
        <f>IF(F3="1",SUMIF(Data!A:A,'20'!$A$2,Data!DH:DH),0)</f>
        <v>0</v>
      </c>
      <c r="E49" s="17">
        <f>IF($F$3="1",SUMIF(Data!$A:$A,$A$2,Data!JB:JB),0)</f>
        <v>865</v>
      </c>
      <c r="F49" s="21" t="str">
        <f t="shared" si="3"/>
        <v/>
      </c>
    </row>
    <row r="50" spans="1:6" x14ac:dyDescent="0.2">
      <c r="A50" s="19">
        <v>15</v>
      </c>
      <c r="B50" s="180" t="s">
        <v>13</v>
      </c>
      <c r="C50" s="181"/>
      <c r="D50" s="14">
        <f>IF(F3="1",SUMIF(Data!A:A,'20'!$A$2,Data!DI:DI),0)</f>
        <v>0</v>
      </c>
      <c r="E50" s="17">
        <f>IF($F$3="1",SUMIF(Data!$A:$A,$A$2,Data!JC:JC),0)</f>
        <v>0</v>
      </c>
      <c r="F50" s="21" t="str">
        <f t="shared" si="3"/>
        <v/>
      </c>
    </row>
    <row r="51" spans="1:6" x14ac:dyDescent="0.2">
      <c r="A51" s="19">
        <v>16</v>
      </c>
      <c r="B51" s="180" t="s">
        <v>14</v>
      </c>
      <c r="C51" s="181"/>
      <c r="D51" s="14">
        <f>IF(F3="1",SUMIF(Data!A:A,'20'!$A$2,Data!DJ:DJ),0)</f>
        <v>87996</v>
      </c>
      <c r="E51" s="17">
        <f>IF($F$3="1",SUMIF(Data!$A:$A,$A$2,Data!JD:JD),0)</f>
        <v>20312</v>
      </c>
      <c r="F51" s="21">
        <f t="shared" si="3"/>
        <v>0.23</v>
      </c>
    </row>
    <row r="52" spans="1:6" x14ac:dyDescent="0.2">
      <c r="A52" s="19">
        <v>17</v>
      </c>
      <c r="B52" s="180" t="s">
        <v>15</v>
      </c>
      <c r="C52" s="181"/>
      <c r="D52" s="14">
        <f>IF(F3="1",SUMIF(Data!A:A,'20'!$A$2,Data!DK:DK),0)</f>
        <v>0</v>
      </c>
      <c r="E52" s="17">
        <f>IF($F$3="1",SUMIF(Data!$A:$A,$A$2,Data!JE:JE),0)</f>
        <v>0</v>
      </c>
      <c r="F52" s="21" t="str">
        <f t="shared" si="3"/>
        <v/>
      </c>
    </row>
    <row r="53" spans="1:6" x14ac:dyDescent="0.2">
      <c r="A53" s="19">
        <v>18</v>
      </c>
      <c r="B53" s="180" t="s">
        <v>16</v>
      </c>
      <c r="C53" s="181"/>
      <c r="D53" s="14">
        <f>IF(F3="1",SUMIF(Data!A:A,'20'!$A$2,Data!DL:DL),0)</f>
        <v>118608</v>
      </c>
      <c r="E53" s="17">
        <f>IF($F$3="1",SUMIF(Data!$A:$A,$A$2,Data!JF:JF),0)</f>
        <v>52779</v>
      </c>
      <c r="F53" s="21">
        <f t="shared" si="3"/>
        <v>0.44</v>
      </c>
    </row>
    <row r="54" spans="1:6" x14ac:dyDescent="0.2">
      <c r="A54" s="19">
        <v>19</v>
      </c>
      <c r="B54" s="180" t="s">
        <v>17</v>
      </c>
      <c r="C54" s="181"/>
      <c r="D54" s="14">
        <f>IF(F3="1",SUMIF(Data!A:A,'20'!$A$2,Data!DM:DM),0)</f>
        <v>148448</v>
      </c>
      <c r="E54" s="17">
        <f>IF($F$3="1",SUMIF(Data!$A:$A,$A$2,Data!JG:JG),0)</f>
        <v>12457</v>
      </c>
      <c r="F54" s="21">
        <f t="shared" si="3"/>
        <v>0.08</v>
      </c>
    </row>
    <row r="55" spans="1:6" x14ac:dyDescent="0.2">
      <c r="A55" s="19">
        <v>20</v>
      </c>
      <c r="B55" s="180" t="s">
        <v>18</v>
      </c>
      <c r="C55" s="181"/>
      <c r="D55" s="14">
        <f>IF(F3="1",SUMIF(Data!A:A,'20'!$A$2,Data!DN:DN),0)</f>
        <v>42096</v>
      </c>
      <c r="E55" s="17">
        <f>IF($F$3="1",SUMIF(Data!$A:$A,$A$2,Data!JH:JH),0)</f>
        <v>28299</v>
      </c>
      <c r="F55" s="21">
        <f t="shared" si="3"/>
        <v>0.67</v>
      </c>
    </row>
    <row r="56" spans="1:6" ht="14.25" customHeight="1" x14ac:dyDescent="0.2">
      <c r="A56" s="19">
        <v>21</v>
      </c>
      <c r="B56" s="180" t="s">
        <v>461</v>
      </c>
      <c r="C56" s="181"/>
      <c r="D56" s="14">
        <f>IF(F3="1",SUMIF(Data!A:A,'20'!$A$2,Data!DO:DO),0)</f>
        <v>0</v>
      </c>
      <c r="E56" s="17">
        <f>IF($F$3="1",SUMIF(Data!$A:$A,$A$2,Data!JI:JI),0)</f>
        <v>0</v>
      </c>
      <c r="F56" s="21" t="str">
        <f t="shared" si="3"/>
        <v/>
      </c>
    </row>
    <row r="57" spans="1:6" x14ac:dyDescent="0.2">
      <c r="A57" s="19">
        <v>22</v>
      </c>
      <c r="B57" s="180" t="s">
        <v>19</v>
      </c>
      <c r="C57" s="181"/>
      <c r="D57" s="14">
        <f>IF(F3="1",SUMIF(Data!A:A,'20'!$A$2,Data!DP:DP),0)</f>
        <v>192</v>
      </c>
      <c r="E57" s="17">
        <f>IF($F$3="1",SUMIF(Data!$A:$A,$A$2,Data!JJ:JJ),0)</f>
        <v>336</v>
      </c>
      <c r="F57" s="21">
        <f t="shared" si="3"/>
        <v>1.75</v>
      </c>
    </row>
    <row r="58" spans="1:6" x14ac:dyDescent="0.2">
      <c r="A58" s="19">
        <v>23</v>
      </c>
      <c r="B58" s="180" t="s">
        <v>20</v>
      </c>
      <c r="C58" s="181"/>
      <c r="D58" s="14">
        <f>IF(F3="1",SUMIF(Data!A:A,'20'!$A$2,Data!DQ:DQ),0)</f>
        <v>62256</v>
      </c>
      <c r="E58" s="17">
        <f>IF($F$3="1",SUMIF(Data!$A:$A,$A$2,Data!JK:JK),0)</f>
        <v>5883</v>
      </c>
      <c r="F58" s="21">
        <f t="shared" si="3"/>
        <v>0.09</v>
      </c>
    </row>
    <row r="59" spans="1:6" x14ac:dyDescent="0.2">
      <c r="A59" s="19">
        <v>24</v>
      </c>
      <c r="B59" s="180" t="s">
        <v>21</v>
      </c>
      <c r="C59" s="181"/>
      <c r="D59" s="14">
        <f>IF(F3="1",SUMIF(Data!A:A,'20'!$A$2,Data!DR:DR),0)</f>
        <v>76712</v>
      </c>
      <c r="E59" s="17">
        <f>IF($F$3="1",SUMIF(Data!$A:$A,$A$2,Data!JL:JL),0)</f>
        <v>33492</v>
      </c>
      <c r="F59" s="21">
        <f t="shared" si="3"/>
        <v>0.44</v>
      </c>
    </row>
    <row r="60" spans="1:6" x14ac:dyDescent="0.2">
      <c r="A60" s="19">
        <v>25</v>
      </c>
      <c r="B60" s="180" t="s">
        <v>22</v>
      </c>
      <c r="C60" s="181"/>
      <c r="D60" s="14">
        <f>IF(F3="1",SUMIF(Data!A:A,'20'!$A$2,Data!DS:DS),0)</f>
        <v>161952</v>
      </c>
      <c r="E60" s="17">
        <f>IF($F$3="1",SUMIF(Data!$A:$A,$A$2,Data!JM:JM),0)</f>
        <v>16254</v>
      </c>
      <c r="F60" s="21">
        <f t="shared" si="3"/>
        <v>0.1</v>
      </c>
    </row>
    <row r="61" spans="1:6" x14ac:dyDescent="0.2">
      <c r="A61" s="19">
        <v>26</v>
      </c>
      <c r="B61" s="180" t="s">
        <v>23</v>
      </c>
      <c r="C61" s="181"/>
      <c r="D61" s="14">
        <f>IF(F3="1",SUMIF(Data!A:A,'20'!$A$2,Data!DT:DT),0)</f>
        <v>93760</v>
      </c>
      <c r="E61" s="17">
        <f>IF($F$3="1",SUMIF(Data!$A:$A,$A$2,Data!JN:JN),0)</f>
        <v>36656</v>
      </c>
      <c r="F61" s="21">
        <f t="shared" si="3"/>
        <v>0.39</v>
      </c>
    </row>
    <row r="62" spans="1:6" x14ac:dyDescent="0.2">
      <c r="A62" s="19">
        <v>28</v>
      </c>
      <c r="B62" s="180" t="s">
        <v>24</v>
      </c>
      <c r="C62" s="181"/>
      <c r="D62" s="14">
        <f>IF(F3="1",SUMIF(Data!A:A,'20'!$A$2,Data!DV:DV),0)</f>
        <v>0</v>
      </c>
      <c r="E62" s="17">
        <f>IF($F$3="1",SUMIF(Data!$A:$A,$A$2,Data!JP:JP),0)</f>
        <v>0</v>
      </c>
      <c r="F62" s="21" t="str">
        <f t="shared" si="3"/>
        <v/>
      </c>
    </row>
    <row r="63" spans="1:6" ht="15.75" customHeight="1" thickBot="1" x14ac:dyDescent="0.25">
      <c r="A63" s="22">
        <v>29</v>
      </c>
      <c r="B63" s="184" t="s">
        <v>25</v>
      </c>
      <c r="C63" s="185"/>
      <c r="D63" s="23">
        <f>IF(F3="1",SUMIF(Data!A:A,'20'!$A$2,Data!DW:DW),0)</f>
        <v>0</v>
      </c>
      <c r="E63" s="24">
        <f>IF($F$3="1",SUMIF(Data!$A:$A,$A$2,Data!JQ:JQ),0)</f>
        <v>0</v>
      </c>
      <c r="F63" s="25" t="str">
        <f t="shared" si="3"/>
        <v/>
      </c>
    </row>
    <row r="64" spans="1:6" x14ac:dyDescent="0.2">
      <c r="B64" s="30" t="s">
        <v>35</v>
      </c>
      <c r="C64" s="30"/>
      <c r="D64" s="59">
        <f>SUM(D36:D63)</f>
        <v>1716447</v>
      </c>
      <c r="E64" s="31">
        <f>SUM(E36:E63)</f>
        <v>415044</v>
      </c>
      <c r="F64" s="32">
        <f t="shared" si="3"/>
        <v>0.24</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9740</v>
      </c>
      <c r="E67" s="15">
        <f>IF(F3="1",SUMIF(Data!A:A,'20'!$A$2,Data!DY:DY),0)</f>
        <v>46487</v>
      </c>
      <c r="F67" s="20">
        <f t="shared" ref="F67:F95" si="4">IF(OR(D67=0,E67=0),"",ROUND(E67/D67,2))</f>
        <v>4.7699999999999996</v>
      </c>
    </row>
    <row r="68" spans="1:6" x14ac:dyDescent="0.2">
      <c r="A68" s="19">
        <v>2</v>
      </c>
      <c r="B68" s="180" t="s">
        <v>1</v>
      </c>
      <c r="C68" s="181"/>
      <c r="D68" s="14">
        <f t="shared" ref="D68:D94" si="5">D37</f>
        <v>44424</v>
      </c>
      <c r="E68" s="17">
        <f>IF(F3="1",SUMIF(Data!A:A,'20'!$A$2,Data!DZ:DZ),0)</f>
        <v>145052</v>
      </c>
      <c r="F68" s="21">
        <f t="shared" si="4"/>
        <v>3.27</v>
      </c>
    </row>
    <row r="69" spans="1:6" ht="14.25" customHeight="1" x14ac:dyDescent="0.2">
      <c r="A69" s="19">
        <v>3</v>
      </c>
      <c r="B69" s="180" t="s">
        <v>2</v>
      </c>
      <c r="C69" s="181"/>
      <c r="D69" s="14">
        <f t="shared" si="5"/>
        <v>114624</v>
      </c>
      <c r="E69" s="17">
        <f>IF(F3="1",SUMIF(Data!A:A,'20'!$A$2,Data!EA:EA),0)</f>
        <v>233434</v>
      </c>
      <c r="F69" s="21">
        <f t="shared" si="4"/>
        <v>2.04</v>
      </c>
    </row>
    <row r="70" spans="1:6" ht="14.25" customHeight="1" x14ac:dyDescent="0.2">
      <c r="A70" s="19">
        <v>4</v>
      </c>
      <c r="B70" s="180" t="s">
        <v>3</v>
      </c>
      <c r="C70" s="181"/>
      <c r="D70" s="14">
        <f t="shared" si="5"/>
        <v>95044</v>
      </c>
      <c r="E70" s="17">
        <f>IF(F3="1",SUMIF(Data!A:A,'20'!$A$2,Data!EB:EB),0)</f>
        <v>70471</v>
      </c>
      <c r="F70" s="21">
        <f t="shared" si="4"/>
        <v>0.74</v>
      </c>
    </row>
    <row r="71" spans="1:6" x14ac:dyDescent="0.2">
      <c r="A71" s="19">
        <v>5</v>
      </c>
      <c r="B71" s="180" t="s">
        <v>4</v>
      </c>
      <c r="C71" s="181"/>
      <c r="D71" s="14">
        <f t="shared" si="5"/>
        <v>0</v>
      </c>
      <c r="E71" s="17">
        <f>IF(F3="1",SUMIF(Data!A:A,'20'!$A$2,Data!EC:EC),0)</f>
        <v>0</v>
      </c>
      <c r="F71" s="21" t="str">
        <f t="shared" si="4"/>
        <v/>
      </c>
    </row>
    <row r="72" spans="1:6" x14ac:dyDescent="0.2">
      <c r="A72" s="19">
        <v>6</v>
      </c>
      <c r="B72" s="180" t="s">
        <v>5</v>
      </c>
      <c r="C72" s="181"/>
      <c r="D72" s="14">
        <f t="shared" si="5"/>
        <v>5280</v>
      </c>
      <c r="E72" s="17">
        <f>IF(F3="1",SUMIF(Data!A:A,'20'!$A$2,Data!ED:ED),0)</f>
        <v>49418</v>
      </c>
      <c r="F72" s="21">
        <f t="shared" si="4"/>
        <v>9.36</v>
      </c>
    </row>
    <row r="73" spans="1:6" x14ac:dyDescent="0.2">
      <c r="A73" s="19">
        <v>7</v>
      </c>
      <c r="B73" s="180" t="s">
        <v>6</v>
      </c>
      <c r="C73" s="181"/>
      <c r="D73" s="14">
        <f t="shared" si="5"/>
        <v>115377</v>
      </c>
      <c r="E73" s="17">
        <f>IF(F3="1",SUMIF(Data!A:A,'20'!$A$2,Data!EE:EE),0)</f>
        <v>336383</v>
      </c>
      <c r="F73" s="21">
        <f t="shared" si="4"/>
        <v>2.92</v>
      </c>
    </row>
    <row r="74" spans="1:6" x14ac:dyDescent="0.2">
      <c r="A74" s="19">
        <v>8</v>
      </c>
      <c r="B74" s="180" t="s">
        <v>7</v>
      </c>
      <c r="C74" s="181"/>
      <c r="D74" s="14">
        <f t="shared" si="5"/>
        <v>4944</v>
      </c>
      <c r="E74" s="17">
        <f>IF(F3="1",SUMIF(Data!A:A,'20'!$A$2,Data!EF:EF),0)</f>
        <v>45622</v>
      </c>
      <c r="F74" s="21">
        <f t="shared" si="4"/>
        <v>9.23</v>
      </c>
    </row>
    <row r="75" spans="1:6" x14ac:dyDescent="0.2">
      <c r="A75" s="19">
        <v>9</v>
      </c>
      <c r="B75" s="180" t="s">
        <v>8</v>
      </c>
      <c r="C75" s="181"/>
      <c r="D75" s="14">
        <f t="shared" si="5"/>
        <v>267028</v>
      </c>
      <c r="E75" s="17">
        <f>IF(F3="1",SUMIF(Data!A:A,'20'!$A$2,Data!EG:EG),0)</f>
        <v>331871</v>
      </c>
      <c r="F75" s="21">
        <f t="shared" si="4"/>
        <v>1.24</v>
      </c>
    </row>
    <row r="76" spans="1:6" x14ac:dyDescent="0.2">
      <c r="A76" s="19">
        <v>10</v>
      </c>
      <c r="B76" s="180" t="s">
        <v>9</v>
      </c>
      <c r="C76" s="181"/>
      <c r="D76" s="14">
        <f t="shared" si="5"/>
        <v>0</v>
      </c>
      <c r="E76" s="17">
        <f>IF(F3="1",SUMIF(Data!A:A,'20'!$A$2,Data!EH:EH),0)</f>
        <v>0</v>
      </c>
      <c r="F76" s="21" t="str">
        <f t="shared" si="4"/>
        <v/>
      </c>
    </row>
    <row r="77" spans="1:6" x14ac:dyDescent="0.2">
      <c r="A77" s="19">
        <v>11</v>
      </c>
      <c r="B77" s="180" t="s">
        <v>10</v>
      </c>
      <c r="C77" s="181"/>
      <c r="D77" s="14">
        <f t="shared" si="5"/>
        <v>23102</v>
      </c>
      <c r="E77" s="17">
        <f>IF(F3="1",SUMIF(Data!A:A,'20'!$A$2,Data!EI:EI),0)</f>
        <v>85040</v>
      </c>
      <c r="F77" s="21">
        <f t="shared" si="4"/>
        <v>3.68</v>
      </c>
    </row>
    <row r="78" spans="1:6" ht="14.25" customHeight="1" x14ac:dyDescent="0.2">
      <c r="A78" s="19">
        <v>12</v>
      </c>
      <c r="B78" s="180" t="s">
        <v>11</v>
      </c>
      <c r="C78" s="181"/>
      <c r="D78" s="14">
        <f t="shared" si="5"/>
        <v>211208</v>
      </c>
      <c r="E78" s="17">
        <f>IF(F3="1",SUMIF(Data!A:A,'20'!$A$2,Data!EJ:EJ),0)</f>
        <v>379480</v>
      </c>
      <c r="F78" s="21">
        <f t="shared" si="4"/>
        <v>1.8</v>
      </c>
    </row>
    <row r="79" spans="1:6" x14ac:dyDescent="0.2">
      <c r="A79" s="19">
        <v>13</v>
      </c>
      <c r="B79" s="180" t="s">
        <v>12</v>
      </c>
      <c r="C79" s="181"/>
      <c r="D79" s="14">
        <f t="shared" si="5"/>
        <v>33656</v>
      </c>
      <c r="E79" s="17">
        <f>IF(F3="1",SUMIF(Data!A:A,'20'!$A$2,Data!EK:EK),0)</f>
        <v>72260</v>
      </c>
      <c r="F79" s="21">
        <f t="shared" si="4"/>
        <v>2.15</v>
      </c>
    </row>
    <row r="80" spans="1:6" ht="14.25" customHeight="1" x14ac:dyDescent="0.2">
      <c r="A80" s="19">
        <v>14</v>
      </c>
      <c r="B80" s="180" t="s">
        <v>464</v>
      </c>
      <c r="C80" s="181"/>
      <c r="D80" s="14">
        <f t="shared" si="5"/>
        <v>0</v>
      </c>
      <c r="E80" s="17">
        <f>IF(F3="1",SUMIF(Data!A:A,'20'!$A$2,Data!EL:EL),0)</f>
        <v>7330</v>
      </c>
      <c r="F80" s="21" t="str">
        <f t="shared" si="4"/>
        <v/>
      </c>
    </row>
    <row r="81" spans="1:6" x14ac:dyDescent="0.2">
      <c r="A81" s="19">
        <v>15</v>
      </c>
      <c r="B81" s="180" t="s">
        <v>13</v>
      </c>
      <c r="C81" s="181"/>
      <c r="D81" s="14">
        <f t="shared" si="5"/>
        <v>0</v>
      </c>
      <c r="E81" s="17">
        <f>IF(F3="1",SUMIF(Data!A:A,'20'!$A$2,Data!EM:EM),0)</f>
        <v>0</v>
      </c>
      <c r="F81" s="21" t="str">
        <f t="shared" si="4"/>
        <v/>
      </c>
    </row>
    <row r="82" spans="1:6" x14ac:dyDescent="0.2">
      <c r="A82" s="19">
        <v>16</v>
      </c>
      <c r="B82" s="180" t="s">
        <v>14</v>
      </c>
      <c r="C82" s="181"/>
      <c r="D82" s="14">
        <f t="shared" si="5"/>
        <v>87996</v>
      </c>
      <c r="E82" s="17">
        <f>IF(F3="1",SUMIF(Data!A:A,'20'!$A$2,Data!EN:EN),0)</f>
        <v>114832</v>
      </c>
      <c r="F82" s="21">
        <f t="shared" si="4"/>
        <v>1.3</v>
      </c>
    </row>
    <row r="83" spans="1:6" x14ac:dyDescent="0.2">
      <c r="A83" s="19">
        <v>17</v>
      </c>
      <c r="B83" s="180" t="s">
        <v>15</v>
      </c>
      <c r="C83" s="181"/>
      <c r="D83" s="14">
        <f t="shared" si="5"/>
        <v>0</v>
      </c>
      <c r="E83" s="17">
        <f>IF(F3="1",SUMIF(Data!A:A,'20'!$A$2,Data!EO:EO),0)</f>
        <v>0</v>
      </c>
      <c r="F83" s="21" t="str">
        <f t="shared" si="4"/>
        <v/>
      </c>
    </row>
    <row r="84" spans="1:6" x14ac:dyDescent="0.2">
      <c r="A84" s="19">
        <v>18</v>
      </c>
      <c r="B84" s="180" t="s">
        <v>16</v>
      </c>
      <c r="C84" s="181"/>
      <c r="D84" s="14">
        <f t="shared" si="5"/>
        <v>118608</v>
      </c>
      <c r="E84" s="17">
        <f>IF(F3="1",SUMIF(Data!A:A,'20'!$A$2,Data!EP:EP),0)</f>
        <v>418514</v>
      </c>
      <c r="F84" s="21">
        <f t="shared" si="4"/>
        <v>3.53</v>
      </c>
    </row>
    <row r="85" spans="1:6" x14ac:dyDescent="0.2">
      <c r="A85" s="19">
        <v>19</v>
      </c>
      <c r="B85" s="180" t="s">
        <v>17</v>
      </c>
      <c r="C85" s="181"/>
      <c r="D85" s="14">
        <f t="shared" si="5"/>
        <v>148448</v>
      </c>
      <c r="E85" s="17">
        <f>IF(F3="1",SUMIF(Data!A:A,'20'!$A$2,Data!EQ:EQ),0)</f>
        <v>248017</v>
      </c>
      <c r="F85" s="21">
        <f t="shared" si="4"/>
        <v>1.67</v>
      </c>
    </row>
    <row r="86" spans="1:6" x14ac:dyDescent="0.2">
      <c r="A86" s="19">
        <v>20</v>
      </c>
      <c r="B86" s="180" t="s">
        <v>18</v>
      </c>
      <c r="C86" s="181"/>
      <c r="D86" s="14">
        <f t="shared" si="5"/>
        <v>42096</v>
      </c>
      <c r="E86" s="17">
        <f>IF(F3="1",SUMIF(Data!A:A,'20'!$A$2,Data!ER:ER),0)</f>
        <v>139351</v>
      </c>
      <c r="F86" s="21">
        <f t="shared" si="4"/>
        <v>3.31</v>
      </c>
    </row>
    <row r="87" spans="1:6" ht="14.25" customHeight="1" x14ac:dyDescent="0.2">
      <c r="A87" s="19">
        <v>21</v>
      </c>
      <c r="B87" s="180" t="s">
        <v>461</v>
      </c>
      <c r="C87" s="181"/>
      <c r="D87" s="14">
        <f t="shared" si="5"/>
        <v>0</v>
      </c>
      <c r="E87" s="17">
        <f>IF(F3="1",SUMIF(Data!A:A,'20'!$A$2,Data!ES:ES),0)</f>
        <v>0</v>
      </c>
      <c r="F87" s="21" t="str">
        <f t="shared" si="4"/>
        <v/>
      </c>
    </row>
    <row r="88" spans="1:6" x14ac:dyDescent="0.2">
      <c r="A88" s="19">
        <v>22</v>
      </c>
      <c r="B88" s="180" t="s">
        <v>19</v>
      </c>
      <c r="C88" s="181"/>
      <c r="D88" s="14">
        <f t="shared" si="5"/>
        <v>192</v>
      </c>
      <c r="E88" s="17">
        <f>IF(F3="1",SUMIF(Data!A:A,'20'!$A$2,Data!ET:ET),0)</f>
        <v>6930</v>
      </c>
      <c r="F88" s="21">
        <f t="shared" si="4"/>
        <v>36.090000000000003</v>
      </c>
    </row>
    <row r="89" spans="1:6" x14ac:dyDescent="0.2">
      <c r="A89" s="19">
        <v>23</v>
      </c>
      <c r="B89" s="180" t="s">
        <v>20</v>
      </c>
      <c r="C89" s="181"/>
      <c r="D89" s="14">
        <f t="shared" si="5"/>
        <v>62256</v>
      </c>
      <c r="E89" s="17">
        <f>IF(F3="1",SUMIF(Data!A:A,'20'!$A$2,Data!EU:EU),0)</f>
        <v>243744</v>
      </c>
      <c r="F89" s="21">
        <f t="shared" si="4"/>
        <v>3.92</v>
      </c>
    </row>
    <row r="90" spans="1:6" x14ac:dyDescent="0.2">
      <c r="A90" s="19">
        <v>24</v>
      </c>
      <c r="B90" s="180" t="s">
        <v>21</v>
      </c>
      <c r="C90" s="181"/>
      <c r="D90" s="14">
        <f t="shared" si="5"/>
        <v>76712</v>
      </c>
      <c r="E90" s="17">
        <f>IF(F3="1",SUMIF(Data!A:A,'20'!$A$2,Data!EV:EV),0)</f>
        <v>192475</v>
      </c>
      <c r="F90" s="21">
        <f t="shared" si="4"/>
        <v>2.5099999999999998</v>
      </c>
    </row>
    <row r="91" spans="1:6" x14ac:dyDescent="0.2">
      <c r="A91" s="19">
        <v>25</v>
      </c>
      <c r="B91" s="180" t="s">
        <v>22</v>
      </c>
      <c r="C91" s="181"/>
      <c r="D91" s="14">
        <f t="shared" si="5"/>
        <v>161952</v>
      </c>
      <c r="E91" s="17">
        <f>IF(F3="1",SUMIF(Data!A:A,'20'!$A$2,Data!EW:EW),0)</f>
        <v>331509</v>
      </c>
      <c r="F91" s="21">
        <f t="shared" si="4"/>
        <v>2.0499999999999998</v>
      </c>
    </row>
    <row r="92" spans="1:6" x14ac:dyDescent="0.2">
      <c r="A92" s="19">
        <v>26</v>
      </c>
      <c r="B92" s="180" t="s">
        <v>23</v>
      </c>
      <c r="C92" s="181"/>
      <c r="D92" s="14">
        <f t="shared" si="5"/>
        <v>93760</v>
      </c>
      <c r="E92" s="17">
        <f>IF(F3="1",SUMIF(Data!A:A,'20'!$A$2,Data!EX:EX),0)</f>
        <v>230400</v>
      </c>
      <c r="F92" s="21">
        <f t="shared" si="4"/>
        <v>2.46</v>
      </c>
    </row>
    <row r="93" spans="1:6" x14ac:dyDescent="0.2">
      <c r="A93" s="19">
        <v>28</v>
      </c>
      <c r="B93" s="180" t="s">
        <v>24</v>
      </c>
      <c r="C93" s="181"/>
      <c r="D93" s="14">
        <f t="shared" si="5"/>
        <v>0</v>
      </c>
      <c r="E93" s="17">
        <f>IF(F3="1",SUMIF(Data!A:A,'20'!$A$2,Data!EZ:EZ),0)</f>
        <v>0</v>
      </c>
      <c r="F93" s="21" t="str">
        <f t="shared" si="4"/>
        <v/>
      </c>
    </row>
    <row r="94" spans="1:6" ht="15.75" customHeight="1" thickBot="1" x14ac:dyDescent="0.25">
      <c r="A94" s="22">
        <v>29</v>
      </c>
      <c r="B94" s="184" t="s">
        <v>25</v>
      </c>
      <c r="C94" s="185"/>
      <c r="D94" s="23">
        <f t="shared" si="5"/>
        <v>0</v>
      </c>
      <c r="E94" s="24">
        <f>IF(F3="1",SUMIF(Data!A:A,'20'!$A$2,Data!FA:FA),0)</f>
        <v>0</v>
      </c>
      <c r="F94" s="25" t="str">
        <f t="shared" si="4"/>
        <v/>
      </c>
    </row>
    <row r="95" spans="1:6" x14ac:dyDescent="0.2">
      <c r="B95" s="30" t="s">
        <v>35</v>
      </c>
      <c r="C95" s="30"/>
      <c r="D95" s="59">
        <f>SUM(D67:D94)</f>
        <v>1716447</v>
      </c>
      <c r="E95" s="31">
        <f>SUM(E67:E94)</f>
        <v>3728620</v>
      </c>
      <c r="F95" s="32">
        <f t="shared" si="4"/>
        <v>2.17</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IF(F3="1",SUMIF(Data!A:A,'20'!$A$2,Data!AH:AH),0)</f>
        <v>1457601</v>
      </c>
      <c r="F98" s="20">
        <f>IF(OR(E98=0,E98=0),"",ROUND(E98/$D$105,2))</f>
        <v>0.85</v>
      </c>
    </row>
    <row r="99" spans="2:6" x14ac:dyDescent="0.2">
      <c r="B99" s="190" t="s">
        <v>31</v>
      </c>
      <c r="C99" s="191"/>
      <c r="D99" s="36"/>
      <c r="E99" s="17">
        <f>IF(F3="1",SUMIF(Data!A:A,'20'!$A$2,Data!AI:AI),0)</f>
        <v>1021284</v>
      </c>
      <c r="F99" s="21">
        <f t="shared" ref="F99:F104" si="6">IF(OR(E99=0,E99=0),"",ROUND(E99/$D$105,2))</f>
        <v>0.59</v>
      </c>
    </row>
    <row r="100" spans="2:6" x14ac:dyDescent="0.2">
      <c r="B100" s="190" t="s">
        <v>1089</v>
      </c>
      <c r="C100" s="191"/>
      <c r="D100" s="36"/>
      <c r="E100" s="17">
        <f>IF(F3="1",SUMIF(Data!A:A,'20'!$A$2,Data!AJ:AJ),0)</f>
        <v>536271</v>
      </c>
      <c r="F100" s="21">
        <f t="shared" si="6"/>
        <v>0.31</v>
      </c>
    </row>
    <row r="101" spans="2:6" x14ac:dyDescent="0.2">
      <c r="B101" s="190" t="s">
        <v>1090</v>
      </c>
      <c r="C101" s="191"/>
      <c r="D101" s="36"/>
      <c r="E101" s="17">
        <f>IF(F3="1",SUMIF(Data!A:A,'20'!$A$2,Data!AK:AK),0)</f>
        <v>367012</v>
      </c>
      <c r="F101" s="21">
        <f t="shared" si="6"/>
        <v>0.21</v>
      </c>
    </row>
    <row r="102" spans="2:6" x14ac:dyDescent="0.2">
      <c r="B102" s="190" t="s">
        <v>1091</v>
      </c>
      <c r="C102" s="191"/>
      <c r="D102" s="36"/>
      <c r="E102" s="17">
        <f>IF(F3="1",SUMIF(Data!A:A,'20'!$A$2,Data!AL:AL),0)</f>
        <v>0</v>
      </c>
      <c r="F102" s="21" t="str">
        <f t="shared" si="6"/>
        <v/>
      </c>
    </row>
    <row r="103" spans="2:6" x14ac:dyDescent="0.2">
      <c r="B103" s="192" t="s">
        <v>34</v>
      </c>
      <c r="C103" s="193"/>
      <c r="D103" s="36"/>
      <c r="E103" s="17">
        <f>IF(F3="1",SUMIF(Data!A:A,'20'!$A$2,Data!AM:AM),0)</f>
        <v>0</v>
      </c>
      <c r="F103" s="21" t="str">
        <f t="shared" si="6"/>
        <v/>
      </c>
    </row>
    <row r="104" spans="2:6" ht="15.75" customHeight="1" thickBot="1" x14ac:dyDescent="0.25">
      <c r="B104" s="186" t="s">
        <v>29</v>
      </c>
      <c r="C104" s="187"/>
      <c r="D104" s="37"/>
      <c r="E104" s="24">
        <f>IF(F3="1",SUMIF(Data!A:A,'20'!$A$2,Data!Q:Q),0)</f>
        <v>189731</v>
      </c>
      <c r="F104" s="25">
        <f t="shared" si="6"/>
        <v>0.11</v>
      </c>
    </row>
    <row r="105" spans="2:6" x14ac:dyDescent="0.2">
      <c r="B105" s="30" t="s">
        <v>35</v>
      </c>
      <c r="C105" s="30"/>
      <c r="D105" s="34">
        <f>D95</f>
        <v>1716447</v>
      </c>
      <c r="E105" s="31">
        <f>SUM(E98:E104)</f>
        <v>3571899</v>
      </c>
      <c r="F105" s="32">
        <f>IF($D$105=0,"",ROUND(E105/$D$105,2))</f>
        <v>2.08</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3728620</v>
      </c>
      <c r="D109" s="15">
        <f>IF(F3="1",SUMIF(Data!$A:$A,$A$2,Data!HJ:HJ),0)</f>
        <v>0</v>
      </c>
      <c r="E109" s="15">
        <f>IF(F3="1",SUMIF(Data!$A:$A,$A$2,Data!IN:IN),0)</f>
        <v>0</v>
      </c>
      <c r="F109" s="47">
        <f>SUM(C109:E109)</f>
        <v>3728620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189731</v>
      </c>
      <c r="E117" s="52"/>
      <c r="F117" s="49">
        <f>SUM(C117:E117)</f>
        <v>189731</v>
      </c>
    </row>
    <row r="118" spans="1:6" x14ac:dyDescent="0.2">
      <c r="B118" s="13" t="s">
        <v>35</v>
      </c>
      <c r="C118" s="4">
        <f>SUM(C109:C116)</f>
        <v>3728620</v>
      </c>
      <c r="D118" s="4">
        <f>SUM(D109:D116)</f>
        <v>0</v>
      </c>
      <c r="E118" s="4">
        <f>SUM(E109:E116)</f>
        <v>0</v>
      </c>
      <c r="F118" s="4">
        <f>SUM(F109:F116)</f>
        <v>3728620</v>
      </c>
    </row>
    <row r="119" spans="1:6" ht="15" thickBot="1" x14ac:dyDescent="0.25"/>
    <row r="120" spans="1:6" ht="15" thickBot="1" x14ac:dyDescent="0.25">
      <c r="B120" s="55" t="s">
        <v>934</v>
      </c>
      <c r="C120" s="53"/>
      <c r="D120" s="53"/>
      <c r="E120" s="53">
        <f>IF(F3="1",SUMIF(Data!A:A,'20'!$A$2,Data!AM:AM),0)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5703125" style="10" bestFit="1" customWidth="1"/>
    <col min="13"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441</v>
      </c>
      <c r="B2" s="58" t="str">
        <f>VLOOKUP(A2,Data!A:G,7,0)</f>
        <v>Houston Community College System</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96928</v>
      </c>
      <c r="E5" s="15">
        <f>E36+E67+IFERROR($E$105/$D$105*D5,0)</f>
        <v>788409.91763412394</v>
      </c>
      <c r="F5" s="20">
        <f>IF(OR(D5=0,E5=0),"",ROUND(E5/D5,2))</f>
        <v>8.1300000000000008</v>
      </c>
    </row>
    <row r="6" spans="1:6" x14ac:dyDescent="0.2">
      <c r="A6" s="19">
        <v>2</v>
      </c>
      <c r="B6" s="180" t="s">
        <v>1</v>
      </c>
      <c r="C6" s="181"/>
      <c r="D6" s="14">
        <f t="shared" ref="D6:D32" si="0">D37</f>
        <v>525066</v>
      </c>
      <c r="E6" s="17">
        <f t="shared" ref="E6:E32" si="1">E37+E68+IFERROR($E$105/$D$105*D6,0)</f>
        <v>2923886.8864154727</v>
      </c>
      <c r="F6" s="21">
        <f t="shared" ref="F6:F33" si="2">IF(OR(D6=0,E6=0),"",ROUND(E6/D6,2))</f>
        <v>5.57</v>
      </c>
    </row>
    <row r="7" spans="1:6" ht="14.25" customHeight="1" x14ac:dyDescent="0.2">
      <c r="A7" s="19">
        <v>3</v>
      </c>
      <c r="B7" s="180" t="s">
        <v>2</v>
      </c>
      <c r="C7" s="181"/>
      <c r="D7" s="14">
        <f t="shared" si="0"/>
        <v>1878096</v>
      </c>
      <c r="E7" s="17">
        <f t="shared" si="1"/>
        <v>13385301.874349803</v>
      </c>
      <c r="F7" s="21">
        <f t="shared" si="2"/>
        <v>7.13</v>
      </c>
    </row>
    <row r="8" spans="1:6" ht="14.25" customHeight="1" x14ac:dyDescent="0.2">
      <c r="A8" s="19">
        <v>4</v>
      </c>
      <c r="B8" s="180" t="s">
        <v>3</v>
      </c>
      <c r="C8" s="181"/>
      <c r="D8" s="14">
        <f t="shared" si="0"/>
        <v>1447954</v>
      </c>
      <c r="E8" s="17">
        <f t="shared" si="1"/>
        <v>11051723.597309347</v>
      </c>
      <c r="F8" s="21">
        <f t="shared" si="2"/>
        <v>7.63</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264376</v>
      </c>
      <c r="E10" s="17">
        <f t="shared" si="1"/>
        <v>3682520.0999550093</v>
      </c>
      <c r="F10" s="21">
        <f t="shared" si="2"/>
        <v>13.93</v>
      </c>
    </row>
    <row r="11" spans="1:6" x14ac:dyDescent="0.2">
      <c r="A11" s="19">
        <v>7</v>
      </c>
      <c r="B11" s="180" t="s">
        <v>6</v>
      </c>
      <c r="C11" s="181"/>
      <c r="D11" s="14">
        <f t="shared" si="0"/>
        <v>390787</v>
      </c>
      <c r="E11" s="17">
        <f t="shared" si="1"/>
        <v>9232293.769287372</v>
      </c>
      <c r="F11" s="21">
        <f t="shared" si="2"/>
        <v>23.62</v>
      </c>
    </row>
    <row r="12" spans="1:6" x14ac:dyDescent="0.2">
      <c r="A12" s="19">
        <v>8</v>
      </c>
      <c r="B12" s="180" t="s">
        <v>7</v>
      </c>
      <c r="C12" s="181"/>
      <c r="D12" s="14">
        <f t="shared" si="0"/>
        <v>561466</v>
      </c>
      <c r="E12" s="17">
        <f t="shared" si="1"/>
        <v>4163541.4456128371</v>
      </c>
      <c r="F12" s="21">
        <f t="shared" si="2"/>
        <v>7.42</v>
      </c>
    </row>
    <row r="13" spans="1:6" x14ac:dyDescent="0.2">
      <c r="A13" s="19">
        <v>9</v>
      </c>
      <c r="B13" s="180" t="s">
        <v>8</v>
      </c>
      <c r="C13" s="181"/>
      <c r="D13" s="14">
        <f t="shared" si="0"/>
        <v>594821</v>
      </c>
      <c r="E13" s="17">
        <f t="shared" si="1"/>
        <v>4340396.4436081145</v>
      </c>
      <c r="F13" s="21">
        <f t="shared" si="2"/>
        <v>7.3</v>
      </c>
    </row>
    <row r="14" spans="1:6" x14ac:dyDescent="0.2">
      <c r="A14" s="19">
        <v>10</v>
      </c>
      <c r="B14" s="180" t="s">
        <v>9</v>
      </c>
      <c r="C14" s="181"/>
      <c r="D14" s="14">
        <f t="shared" si="0"/>
        <v>5888</v>
      </c>
      <c r="E14" s="17">
        <f t="shared" si="1"/>
        <v>70272.96957566154</v>
      </c>
      <c r="F14" s="21">
        <f t="shared" si="2"/>
        <v>11.93</v>
      </c>
    </row>
    <row r="15" spans="1:6" x14ac:dyDescent="0.2">
      <c r="A15" s="19">
        <v>11</v>
      </c>
      <c r="B15" s="180" t="s">
        <v>10</v>
      </c>
      <c r="C15" s="181"/>
      <c r="D15" s="14">
        <f t="shared" si="0"/>
        <v>300139</v>
      </c>
      <c r="E15" s="17">
        <f t="shared" si="1"/>
        <v>3670887.7118664198</v>
      </c>
      <c r="F15" s="21">
        <f t="shared" si="2"/>
        <v>12.23</v>
      </c>
    </row>
    <row r="16" spans="1:6" ht="14.25" customHeight="1" x14ac:dyDescent="0.2">
      <c r="A16" s="19">
        <v>12</v>
      </c>
      <c r="B16" s="180" t="s">
        <v>11</v>
      </c>
      <c r="C16" s="181"/>
      <c r="D16" s="14">
        <f t="shared" si="0"/>
        <v>3372331</v>
      </c>
      <c r="E16" s="17">
        <f t="shared" si="1"/>
        <v>24007973.348175995</v>
      </c>
      <c r="F16" s="21">
        <f t="shared" si="2"/>
        <v>7.12</v>
      </c>
    </row>
    <row r="17" spans="1:6" x14ac:dyDescent="0.2">
      <c r="A17" s="19">
        <v>13</v>
      </c>
      <c r="B17" s="180" t="s">
        <v>12</v>
      </c>
      <c r="C17" s="181"/>
      <c r="D17" s="14">
        <f t="shared" si="0"/>
        <v>300536</v>
      </c>
      <c r="E17" s="17">
        <f t="shared" si="1"/>
        <v>2238036.3587620612</v>
      </c>
      <c r="F17" s="21">
        <f t="shared" si="2"/>
        <v>7.45</v>
      </c>
    </row>
    <row r="18" spans="1:6" ht="14.25" customHeight="1" x14ac:dyDescent="0.2">
      <c r="A18" s="19">
        <v>14</v>
      </c>
      <c r="B18" s="180" t="s">
        <v>464</v>
      </c>
      <c r="C18" s="181"/>
      <c r="D18" s="14">
        <f t="shared" si="0"/>
        <v>271596</v>
      </c>
      <c r="E18" s="17">
        <f t="shared" si="1"/>
        <v>3417887.136696904</v>
      </c>
      <c r="F18" s="21">
        <f t="shared" si="2"/>
        <v>12.58</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878273</v>
      </c>
      <c r="E20" s="17">
        <f t="shared" si="1"/>
        <v>7476593.6195864454</v>
      </c>
      <c r="F20" s="21">
        <f t="shared" si="2"/>
        <v>8.51</v>
      </c>
    </row>
    <row r="21" spans="1:6" x14ac:dyDescent="0.2">
      <c r="A21" s="19">
        <v>17</v>
      </c>
      <c r="B21" s="180" t="s">
        <v>15</v>
      </c>
      <c r="C21" s="181"/>
      <c r="D21" s="14">
        <f t="shared" si="0"/>
        <v>37600</v>
      </c>
      <c r="E21" s="17">
        <f t="shared" si="1"/>
        <v>602983.06114892568</v>
      </c>
      <c r="F21" s="21">
        <f t="shared" si="2"/>
        <v>16.04</v>
      </c>
    </row>
    <row r="22" spans="1:6" x14ac:dyDescent="0.2">
      <c r="A22" s="19">
        <v>18</v>
      </c>
      <c r="B22" s="180" t="s">
        <v>16</v>
      </c>
      <c r="C22" s="181"/>
      <c r="D22" s="14">
        <f t="shared" si="0"/>
        <v>108976</v>
      </c>
      <c r="E22" s="17">
        <f t="shared" si="1"/>
        <v>1273827.5972278011</v>
      </c>
      <c r="F22" s="21">
        <f t="shared" si="2"/>
        <v>11.69</v>
      </c>
    </row>
    <row r="23" spans="1:6" x14ac:dyDescent="0.2">
      <c r="A23" s="19">
        <v>19</v>
      </c>
      <c r="B23" s="180" t="s">
        <v>17</v>
      </c>
      <c r="C23" s="181"/>
      <c r="D23" s="14">
        <f t="shared" si="0"/>
        <v>1902168</v>
      </c>
      <c r="E23" s="17">
        <f t="shared" si="1"/>
        <v>13126986.403498126</v>
      </c>
      <c r="F23" s="21">
        <f t="shared" si="2"/>
        <v>6.9</v>
      </c>
    </row>
    <row r="24" spans="1:6" x14ac:dyDescent="0.2">
      <c r="A24" s="19">
        <v>20</v>
      </c>
      <c r="B24" s="180" t="s">
        <v>18</v>
      </c>
      <c r="C24" s="181"/>
      <c r="D24" s="14">
        <f t="shared" si="0"/>
        <v>309456</v>
      </c>
      <c r="E24" s="17">
        <f t="shared" si="1"/>
        <v>3014169.523268668</v>
      </c>
      <c r="F24" s="21">
        <f t="shared" si="2"/>
        <v>9.74</v>
      </c>
    </row>
    <row r="25" spans="1:6" ht="14.25" customHeight="1" x14ac:dyDescent="0.2">
      <c r="A25" s="19">
        <v>21</v>
      </c>
      <c r="B25" s="180" t="s">
        <v>461</v>
      </c>
      <c r="C25" s="181"/>
      <c r="D25" s="14">
        <f t="shared" si="0"/>
        <v>795650</v>
      </c>
      <c r="E25" s="17">
        <f t="shared" si="1"/>
        <v>8696624.3564665597</v>
      </c>
      <c r="F25" s="21">
        <f t="shared" si="2"/>
        <v>10.93</v>
      </c>
    </row>
    <row r="26" spans="1:6" x14ac:dyDescent="0.2">
      <c r="A26" s="19">
        <v>22</v>
      </c>
      <c r="B26" s="180" t="s">
        <v>19</v>
      </c>
      <c r="C26" s="181"/>
      <c r="D26" s="14">
        <f t="shared" si="0"/>
        <v>35884</v>
      </c>
      <c r="E26" s="17">
        <f t="shared" si="1"/>
        <v>840143.7133581927</v>
      </c>
      <c r="F26" s="21">
        <f t="shared" si="2"/>
        <v>23.41</v>
      </c>
    </row>
    <row r="27" spans="1:6" x14ac:dyDescent="0.2">
      <c r="A27" s="19">
        <v>23</v>
      </c>
      <c r="B27" s="180" t="s">
        <v>20</v>
      </c>
      <c r="C27" s="181"/>
      <c r="D27" s="14">
        <f t="shared" si="0"/>
        <v>46032</v>
      </c>
      <c r="E27" s="17">
        <f t="shared" si="1"/>
        <v>527693.01486189745</v>
      </c>
      <c r="F27" s="21">
        <f t="shared" si="2"/>
        <v>11.46</v>
      </c>
    </row>
    <row r="28" spans="1:6" x14ac:dyDescent="0.2">
      <c r="A28" s="19">
        <v>24</v>
      </c>
      <c r="B28" s="180" t="s">
        <v>21</v>
      </c>
      <c r="C28" s="181"/>
      <c r="D28" s="14">
        <f t="shared" si="0"/>
        <v>438560</v>
      </c>
      <c r="E28" s="17">
        <f t="shared" si="1"/>
        <v>5397313.9132306604</v>
      </c>
      <c r="F28" s="21">
        <f t="shared" si="2"/>
        <v>12.31</v>
      </c>
    </row>
    <row r="29" spans="1:6" x14ac:dyDescent="0.2">
      <c r="A29" s="19">
        <v>25</v>
      </c>
      <c r="B29" s="180" t="s">
        <v>22</v>
      </c>
      <c r="C29" s="181"/>
      <c r="D29" s="14">
        <f t="shared" si="0"/>
        <v>2815247</v>
      </c>
      <c r="E29" s="17">
        <f t="shared" si="1"/>
        <v>19027207.28718961</v>
      </c>
      <c r="F29" s="21">
        <f t="shared" si="2"/>
        <v>6.76</v>
      </c>
    </row>
    <row r="30" spans="1:6" x14ac:dyDescent="0.2">
      <c r="A30" s="19">
        <v>26</v>
      </c>
      <c r="B30" s="180" t="s">
        <v>23</v>
      </c>
      <c r="C30" s="181"/>
      <c r="D30" s="14">
        <f t="shared" si="0"/>
        <v>783781</v>
      </c>
      <c r="E30" s="17">
        <f t="shared" si="1"/>
        <v>7127797.9509139918</v>
      </c>
      <c r="F30" s="21">
        <f t="shared" si="2"/>
        <v>9.09</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18161611</v>
      </c>
      <c r="E33" s="31">
        <f>SUM(E5:E32)</f>
        <v>150084471.99999997</v>
      </c>
      <c r="F33" s="32">
        <f t="shared" si="2"/>
        <v>8.26</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IF(F3="1",SUMIF(Data!A:A,'21'!$A$2,Data!CU:CU),0)</f>
        <v>96928</v>
      </c>
      <c r="E36" s="15">
        <f>IF(F3="1",SUMIF(Data!$A:$A,$A$2,Data!IO:IO),0)</f>
        <v>148392</v>
      </c>
      <c r="F36" s="20">
        <f t="shared" ref="F36:F64" si="3">IF(OR(D36=0,E36=0),"",ROUND(E36/D36,2))</f>
        <v>1.53</v>
      </c>
    </row>
    <row r="37" spans="1:6" x14ac:dyDescent="0.2">
      <c r="A37" s="19">
        <v>2</v>
      </c>
      <c r="B37" s="180" t="s">
        <v>1</v>
      </c>
      <c r="C37" s="181"/>
      <c r="D37" s="14">
        <f>IF(F3="1",SUMIF(Data!A:A,'21'!$A$2,Data!CV:CV),0)</f>
        <v>525066</v>
      </c>
      <c r="E37" s="17">
        <f>IF(F3="1",SUMIF(Data!$A:$A,$A$2,Data!IP:IP),0)</f>
        <v>278014</v>
      </c>
      <c r="F37" s="21">
        <f t="shared" si="3"/>
        <v>0.53</v>
      </c>
    </row>
    <row r="38" spans="1:6" ht="14.25" customHeight="1" x14ac:dyDescent="0.2">
      <c r="A38" s="19">
        <v>3</v>
      </c>
      <c r="B38" s="180" t="s">
        <v>2</v>
      </c>
      <c r="C38" s="181"/>
      <c r="D38" s="14">
        <f>IF(F3="1",SUMIF(Data!A:A,'21'!$A$2,Data!CW:CW),0)</f>
        <v>1878096</v>
      </c>
      <c r="E38" s="17">
        <f>IF($F$3="1",SUMIF(Data!$A:$A,$A$2,Data!IQ:IQ),0)</f>
        <v>1011128</v>
      </c>
      <c r="F38" s="21">
        <f t="shared" si="3"/>
        <v>0.54</v>
      </c>
    </row>
    <row r="39" spans="1:6" ht="14.25" customHeight="1" x14ac:dyDescent="0.2">
      <c r="A39" s="19">
        <v>4</v>
      </c>
      <c r="B39" s="180" t="s">
        <v>3</v>
      </c>
      <c r="C39" s="181"/>
      <c r="D39" s="14">
        <f>IF(F3="1",SUMIF(Data!A:A,'21'!$A$2,Data!CX:CX),0)</f>
        <v>1447954</v>
      </c>
      <c r="E39" s="17">
        <f>IF($F$3="1",SUMIF(Data!$A:$A,$A$2,Data!IR:IR),0)</f>
        <v>779020</v>
      </c>
      <c r="F39" s="21">
        <f t="shared" si="3"/>
        <v>0.54</v>
      </c>
    </row>
    <row r="40" spans="1:6" x14ac:dyDescent="0.2">
      <c r="A40" s="19">
        <v>5</v>
      </c>
      <c r="B40" s="180" t="s">
        <v>4</v>
      </c>
      <c r="C40" s="181"/>
      <c r="D40" s="14">
        <f>IF(F3="1",SUMIF(Data!A:A,'21'!$A$2,Data!CY:CY),0)</f>
        <v>0</v>
      </c>
      <c r="E40" s="17">
        <f>IF($F$3="1",SUMIF(Data!$A:$A,$A$2,Data!IS:IS),0)</f>
        <v>0</v>
      </c>
      <c r="F40" s="21" t="str">
        <f t="shared" si="3"/>
        <v/>
      </c>
    </row>
    <row r="41" spans="1:6" x14ac:dyDescent="0.2">
      <c r="A41" s="19">
        <v>6</v>
      </c>
      <c r="B41" s="180" t="s">
        <v>5</v>
      </c>
      <c r="C41" s="181"/>
      <c r="D41" s="14">
        <f>IF(F3="1",SUMIF(Data!A:A,'21'!$A$2,Data!CZ:CZ),0)</f>
        <v>264376</v>
      </c>
      <c r="E41" s="17">
        <f>IF($F$3="1",SUMIF(Data!$A:$A,$A$2,Data!IT:IT),0)</f>
        <v>1955431</v>
      </c>
      <c r="F41" s="21">
        <f t="shared" si="3"/>
        <v>7.4</v>
      </c>
    </row>
    <row r="42" spans="1:6" x14ac:dyDescent="0.2">
      <c r="A42" s="19">
        <v>7</v>
      </c>
      <c r="B42" s="180" t="s">
        <v>6</v>
      </c>
      <c r="C42" s="181"/>
      <c r="D42" s="14">
        <f>IF(F3="1",SUMIF(Data!A:A,'21'!$A$2,Data!DA:DA),0)</f>
        <v>390787</v>
      </c>
      <c r="E42" s="17">
        <f>IF($F$3="1",SUMIF(Data!$A:$A,$A$2,Data!IU:IU),0)</f>
        <v>4900353</v>
      </c>
      <c r="F42" s="21">
        <f t="shared" si="3"/>
        <v>12.54</v>
      </c>
    </row>
    <row r="43" spans="1:6" x14ac:dyDescent="0.2">
      <c r="A43" s="19">
        <v>8</v>
      </c>
      <c r="B43" s="180" t="s">
        <v>7</v>
      </c>
      <c r="C43" s="181"/>
      <c r="D43" s="14">
        <f>IF(F3="1",SUMIF(Data!A:A,'21'!$A$2,Data!DB:DB),0)</f>
        <v>561466</v>
      </c>
      <c r="E43" s="17">
        <f>IF($F$3="1",SUMIF(Data!$A:$A,$A$2,Data!IV:IV),0)</f>
        <v>1180097</v>
      </c>
      <c r="F43" s="21">
        <f t="shared" si="3"/>
        <v>2.1</v>
      </c>
    </row>
    <row r="44" spans="1:6" x14ac:dyDescent="0.2">
      <c r="A44" s="19">
        <v>9</v>
      </c>
      <c r="B44" s="180" t="s">
        <v>8</v>
      </c>
      <c r="C44" s="181"/>
      <c r="D44" s="14">
        <f>IF(F3="1",SUMIF(Data!A:A,'21'!$A$2,Data!DC:DC),0)</f>
        <v>594821</v>
      </c>
      <c r="E44" s="17">
        <f>IF($F$3="1",SUMIF(Data!$A:$A,$A$2,Data!IW:IW),0)</f>
        <v>581543</v>
      </c>
      <c r="F44" s="21">
        <f t="shared" si="3"/>
        <v>0.98</v>
      </c>
    </row>
    <row r="45" spans="1:6" x14ac:dyDescent="0.2">
      <c r="A45" s="19">
        <v>10</v>
      </c>
      <c r="B45" s="180" t="s">
        <v>9</v>
      </c>
      <c r="C45" s="181"/>
      <c r="D45" s="14">
        <f>IF(F3="1",SUMIF(Data!A:A,'21'!$A$2,Data!DD:DD),0)</f>
        <v>5888</v>
      </c>
      <c r="E45" s="17">
        <f>IF($F$3="1",SUMIF(Data!$A:$A,$A$2,Data!IX:IX),0)</f>
        <v>16731</v>
      </c>
      <c r="F45" s="21">
        <f t="shared" si="3"/>
        <v>2.84</v>
      </c>
    </row>
    <row r="46" spans="1:6" x14ac:dyDescent="0.2">
      <c r="A46" s="19">
        <v>11</v>
      </c>
      <c r="B46" s="180" t="s">
        <v>10</v>
      </c>
      <c r="C46" s="181"/>
      <c r="D46" s="14">
        <f>IF(F3="1",SUMIF(Data!A:A,'21'!$A$2,Data!DE:DE),0)</f>
        <v>300139</v>
      </c>
      <c r="E46" s="17">
        <f>IF($F$3="1",SUMIF(Data!$A:$A,$A$2,Data!IY:IY),0)</f>
        <v>941621</v>
      </c>
      <c r="F46" s="21">
        <f t="shared" si="3"/>
        <v>3.14</v>
      </c>
    </row>
    <row r="47" spans="1:6" ht="14.25" customHeight="1" x14ac:dyDescent="0.2">
      <c r="A47" s="19">
        <v>12</v>
      </c>
      <c r="B47" s="180" t="s">
        <v>11</v>
      </c>
      <c r="C47" s="181"/>
      <c r="D47" s="14">
        <f>IF(F3="1",SUMIF(Data!A:A,'21'!$A$2,Data!DF:DF),0)</f>
        <v>3372331</v>
      </c>
      <c r="E47" s="17">
        <f>IF($F$3="1",SUMIF(Data!$A:$A,$A$2,Data!IZ:IZ),0)</f>
        <v>996438</v>
      </c>
      <c r="F47" s="21">
        <f t="shared" si="3"/>
        <v>0.3</v>
      </c>
    </row>
    <row r="48" spans="1:6" x14ac:dyDescent="0.2">
      <c r="A48" s="19">
        <v>13</v>
      </c>
      <c r="B48" s="180" t="s">
        <v>12</v>
      </c>
      <c r="C48" s="181"/>
      <c r="D48" s="14">
        <f>IF(F3="1",SUMIF(Data!A:A,'21'!$A$2,Data!DG:DG),0)</f>
        <v>300536</v>
      </c>
      <c r="E48" s="17">
        <f>IF($F$3="1",SUMIF(Data!$A:$A,$A$2,Data!JA:JA),0)</f>
        <v>166911</v>
      </c>
      <c r="F48" s="21">
        <f t="shared" si="3"/>
        <v>0.56000000000000005</v>
      </c>
    </row>
    <row r="49" spans="1:6" ht="14.25" customHeight="1" x14ac:dyDescent="0.2">
      <c r="A49" s="19">
        <v>14</v>
      </c>
      <c r="B49" s="180" t="s">
        <v>464</v>
      </c>
      <c r="C49" s="181"/>
      <c r="D49" s="14">
        <f>IF(F3="1",SUMIF(Data!A:A,'21'!$A$2,Data!DH:DH),0)</f>
        <v>271596</v>
      </c>
      <c r="E49" s="17">
        <f>IF($F$3="1",SUMIF(Data!$A:$A,$A$2,Data!JB:JB),0)</f>
        <v>534351</v>
      </c>
      <c r="F49" s="21">
        <f t="shared" si="3"/>
        <v>1.97</v>
      </c>
    </row>
    <row r="50" spans="1:6" x14ac:dyDescent="0.2">
      <c r="A50" s="19">
        <v>15</v>
      </c>
      <c r="B50" s="180" t="s">
        <v>13</v>
      </c>
      <c r="C50" s="181"/>
      <c r="D50" s="14">
        <f>IF(F3="1",SUMIF(Data!A:A,'21'!$A$2,Data!DI:DI),0)</f>
        <v>0</v>
      </c>
      <c r="E50" s="17">
        <f>IF($F$3="1",SUMIF(Data!$A:$A,$A$2,Data!JC:JC),0)</f>
        <v>0</v>
      </c>
      <c r="F50" s="21" t="str">
        <f t="shared" si="3"/>
        <v/>
      </c>
    </row>
    <row r="51" spans="1:6" x14ac:dyDescent="0.2">
      <c r="A51" s="19">
        <v>16</v>
      </c>
      <c r="B51" s="180" t="s">
        <v>14</v>
      </c>
      <c r="C51" s="181"/>
      <c r="D51" s="14">
        <f>IF(F3="1",SUMIF(Data!A:A,'21'!$A$2,Data!DJ:DJ),0)</f>
        <v>878273</v>
      </c>
      <c r="E51" s="17">
        <f>IF($F$3="1",SUMIF(Data!$A:$A,$A$2,Data!JD:JD),0)</f>
        <v>607526</v>
      </c>
      <c r="F51" s="21">
        <f t="shared" si="3"/>
        <v>0.69</v>
      </c>
    </row>
    <row r="52" spans="1:6" x14ac:dyDescent="0.2">
      <c r="A52" s="19">
        <v>17</v>
      </c>
      <c r="B52" s="180" t="s">
        <v>15</v>
      </c>
      <c r="C52" s="181"/>
      <c r="D52" s="14">
        <f>IF(F3="1",SUMIF(Data!A:A,'21'!$A$2,Data!DK:DK),0)</f>
        <v>37600</v>
      </c>
      <c r="E52" s="17">
        <f>IF($F$3="1",SUMIF(Data!$A:$A,$A$2,Data!JE:JE),0)</f>
        <v>72550</v>
      </c>
      <c r="F52" s="21">
        <f t="shared" si="3"/>
        <v>1.93</v>
      </c>
    </row>
    <row r="53" spans="1:6" x14ac:dyDescent="0.2">
      <c r="A53" s="19">
        <v>18</v>
      </c>
      <c r="B53" s="180" t="s">
        <v>16</v>
      </c>
      <c r="C53" s="181"/>
      <c r="D53" s="14">
        <f>IF(F3="1",SUMIF(Data!A:A,'21'!$A$2,Data!DL:DL),0)</f>
        <v>108976</v>
      </c>
      <c r="E53" s="17">
        <f>IF($F$3="1",SUMIF(Data!$A:$A,$A$2,Data!JF:JF),0)</f>
        <v>192615</v>
      </c>
      <c r="F53" s="21">
        <f t="shared" si="3"/>
        <v>1.77</v>
      </c>
    </row>
    <row r="54" spans="1:6" x14ac:dyDescent="0.2">
      <c r="A54" s="19">
        <v>19</v>
      </c>
      <c r="B54" s="180" t="s">
        <v>17</v>
      </c>
      <c r="C54" s="181"/>
      <c r="D54" s="14">
        <f>IF(F3="1",SUMIF(Data!A:A,'21'!$A$2,Data!DM:DM),0)</f>
        <v>1902168</v>
      </c>
      <c r="E54" s="17">
        <f>IF($F$3="1",SUMIF(Data!$A:$A,$A$2,Data!JG:JG),0)</f>
        <v>391484</v>
      </c>
      <c r="F54" s="21">
        <f t="shared" si="3"/>
        <v>0.21</v>
      </c>
    </row>
    <row r="55" spans="1:6" x14ac:dyDescent="0.2">
      <c r="A55" s="19">
        <v>20</v>
      </c>
      <c r="B55" s="180" t="s">
        <v>18</v>
      </c>
      <c r="C55" s="181"/>
      <c r="D55" s="14">
        <f>IF(F3="1",SUMIF(Data!A:A,'21'!$A$2,Data!DN:DN),0)</f>
        <v>309456</v>
      </c>
      <c r="E55" s="17">
        <f>IF($F$3="1",SUMIF(Data!$A:$A,$A$2,Data!JH:JH),0)</f>
        <v>551754</v>
      </c>
      <c r="F55" s="21">
        <f t="shared" si="3"/>
        <v>1.78</v>
      </c>
    </row>
    <row r="56" spans="1:6" ht="14.25" customHeight="1" x14ac:dyDescent="0.2">
      <c r="A56" s="19">
        <v>21</v>
      </c>
      <c r="B56" s="180" t="s">
        <v>461</v>
      </c>
      <c r="C56" s="181"/>
      <c r="D56" s="14">
        <f>IF(F3="1",SUMIF(Data!A:A,'21'!$A$2,Data!DO:DO),0)</f>
        <v>795650</v>
      </c>
      <c r="E56" s="17">
        <f>IF($F$3="1",SUMIF(Data!$A:$A,$A$2,Data!JI:JI),0)</f>
        <v>5507119</v>
      </c>
      <c r="F56" s="21">
        <f t="shared" si="3"/>
        <v>6.92</v>
      </c>
    </row>
    <row r="57" spans="1:6" x14ac:dyDescent="0.2">
      <c r="A57" s="19">
        <v>22</v>
      </c>
      <c r="B57" s="180" t="s">
        <v>19</v>
      </c>
      <c r="C57" s="181"/>
      <c r="D57" s="14">
        <f>IF(F3="1",SUMIF(Data!A:A,'21'!$A$2,Data!DP:DP),0)</f>
        <v>35884</v>
      </c>
      <c r="E57" s="17">
        <f>IF($F$3="1",SUMIF(Data!$A:$A,$A$2,Data!JJ:JJ),0)</f>
        <v>122431</v>
      </c>
      <c r="F57" s="21">
        <f t="shared" si="3"/>
        <v>3.41</v>
      </c>
    </row>
    <row r="58" spans="1:6" x14ac:dyDescent="0.2">
      <c r="A58" s="19">
        <v>23</v>
      </c>
      <c r="B58" s="180" t="s">
        <v>20</v>
      </c>
      <c r="C58" s="181"/>
      <c r="D58" s="14">
        <f>IF(F3="1",SUMIF(Data!A:A,'21'!$A$2,Data!DQ:DQ),0)</f>
        <v>46032</v>
      </c>
      <c r="E58" s="17">
        <f>IF($F$3="1",SUMIF(Data!$A:$A,$A$2,Data!JK:JK),0)</f>
        <v>100551</v>
      </c>
      <c r="F58" s="21">
        <f t="shared" si="3"/>
        <v>2.1800000000000002</v>
      </c>
    </row>
    <row r="59" spans="1:6" x14ac:dyDescent="0.2">
      <c r="A59" s="19">
        <v>24</v>
      </c>
      <c r="B59" s="180" t="s">
        <v>21</v>
      </c>
      <c r="C59" s="181"/>
      <c r="D59" s="14">
        <f>IF(F3="1",SUMIF(Data!A:A,'21'!$A$2,Data!DR:DR),0)</f>
        <v>438560</v>
      </c>
      <c r="E59" s="17">
        <f>IF($F$3="1",SUMIF(Data!$A:$A,$A$2,Data!JL:JL),0)</f>
        <v>798069</v>
      </c>
      <c r="F59" s="21">
        <f t="shared" si="3"/>
        <v>1.82</v>
      </c>
    </row>
    <row r="60" spans="1:6" x14ac:dyDescent="0.2">
      <c r="A60" s="19">
        <v>25</v>
      </c>
      <c r="B60" s="180" t="s">
        <v>22</v>
      </c>
      <c r="C60" s="181"/>
      <c r="D60" s="14">
        <f>IF(F3="1",SUMIF(Data!A:A,'21'!$A$2,Data!DS:DS),0)</f>
        <v>2815247</v>
      </c>
      <c r="E60" s="17">
        <f>IF($F$3="1",SUMIF(Data!$A:$A,$A$2,Data!JM:JM),0)</f>
        <v>495162</v>
      </c>
      <c r="F60" s="21">
        <f t="shared" si="3"/>
        <v>0.18</v>
      </c>
    </row>
    <row r="61" spans="1:6" x14ac:dyDescent="0.2">
      <c r="A61" s="19">
        <v>26</v>
      </c>
      <c r="B61" s="180" t="s">
        <v>23</v>
      </c>
      <c r="C61" s="181"/>
      <c r="D61" s="14">
        <f>IF(F3="1",SUMIF(Data!A:A,'21'!$A$2,Data!DT:DT),0)</f>
        <v>783781</v>
      </c>
      <c r="E61" s="17">
        <f>IF($F$3="1",SUMIF(Data!$A:$A,$A$2,Data!JN:JN),0)</f>
        <v>893771</v>
      </c>
      <c r="F61" s="21">
        <f t="shared" si="3"/>
        <v>1.1399999999999999</v>
      </c>
    </row>
    <row r="62" spans="1:6" x14ac:dyDescent="0.2">
      <c r="A62" s="19">
        <v>28</v>
      </c>
      <c r="B62" s="180" t="s">
        <v>24</v>
      </c>
      <c r="C62" s="181"/>
      <c r="D62" s="14">
        <f>IF(F3="1",SUMIF(Data!A:A,'21'!$A$2,Data!DV:DV),0)</f>
        <v>0</v>
      </c>
      <c r="E62" s="17">
        <f>IF($F$3="1",SUMIF(Data!$A:$A,$A$2,Data!JP:JP),0)</f>
        <v>0</v>
      </c>
      <c r="F62" s="21" t="str">
        <f t="shared" si="3"/>
        <v/>
      </c>
    </row>
    <row r="63" spans="1:6" ht="15.75" customHeight="1" thickBot="1" x14ac:dyDescent="0.25">
      <c r="A63" s="22">
        <v>29</v>
      </c>
      <c r="B63" s="184" t="s">
        <v>25</v>
      </c>
      <c r="C63" s="185"/>
      <c r="D63" s="23">
        <f>IF(F3="1",SUMIF(Data!A:A,'21'!$A$2,Data!DW:DW),0)</f>
        <v>0</v>
      </c>
      <c r="E63" s="24">
        <f>IF($F$3="1",SUMIF(Data!$A:$A,$A$2,Data!JQ:JQ),0)</f>
        <v>0</v>
      </c>
      <c r="F63" s="25" t="str">
        <f t="shared" si="3"/>
        <v/>
      </c>
    </row>
    <row r="64" spans="1:6" x14ac:dyDescent="0.2">
      <c r="B64" s="30" t="s">
        <v>35</v>
      </c>
      <c r="C64" s="30"/>
      <c r="D64" s="59">
        <f>SUM(D36:D63)</f>
        <v>18161611</v>
      </c>
      <c r="E64" s="31">
        <f>SUM(E36:E63)</f>
        <v>23223062</v>
      </c>
      <c r="F64" s="32">
        <f t="shared" si="3"/>
        <v>1.28</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96928</v>
      </c>
      <c r="E67" s="15">
        <f>IF(F3="1",SUMIF(Data!A:A,'21'!$A$2,Data!DY:DY),0)</f>
        <v>257031</v>
      </c>
      <c r="F67" s="20">
        <f t="shared" ref="F67:F95" si="4">IF(OR(D67=0,E67=0),"",ROUND(E67/D67,2))</f>
        <v>2.65</v>
      </c>
    </row>
    <row r="68" spans="1:6" x14ac:dyDescent="0.2">
      <c r="A68" s="19">
        <v>2</v>
      </c>
      <c r="B68" s="180" t="s">
        <v>1</v>
      </c>
      <c r="C68" s="181"/>
      <c r="D68" s="14">
        <f t="shared" ref="D68:D94" si="5">D37</f>
        <v>525066</v>
      </c>
      <c r="E68" s="17">
        <f>IF(F3="1",SUMIF(Data!A:A,'21'!$A$2,Data!DZ:DZ),0)</f>
        <v>571205</v>
      </c>
      <c r="F68" s="21">
        <f t="shared" si="4"/>
        <v>1.0900000000000001</v>
      </c>
    </row>
    <row r="69" spans="1:6" ht="14.25" customHeight="1" x14ac:dyDescent="0.2">
      <c r="A69" s="19">
        <v>3</v>
      </c>
      <c r="B69" s="180" t="s">
        <v>2</v>
      </c>
      <c r="C69" s="181"/>
      <c r="D69" s="14">
        <f t="shared" si="5"/>
        <v>1878096</v>
      </c>
      <c r="E69" s="17">
        <f>IF(F3="1",SUMIF(Data!A:A,'21'!$A$2,Data!EA:EA),0)</f>
        <v>4953344</v>
      </c>
      <c r="F69" s="21">
        <f t="shared" si="4"/>
        <v>2.64</v>
      </c>
    </row>
    <row r="70" spans="1:6" ht="14.25" customHeight="1" x14ac:dyDescent="0.2">
      <c r="A70" s="19">
        <v>4</v>
      </c>
      <c r="B70" s="180" t="s">
        <v>3</v>
      </c>
      <c r="C70" s="181"/>
      <c r="D70" s="14">
        <f t="shared" si="5"/>
        <v>1447954</v>
      </c>
      <c r="E70" s="17">
        <f>IF(F3="1",SUMIF(Data!A:A,'21'!$A$2,Data!EB:EB),0)</f>
        <v>4551473</v>
      </c>
      <c r="F70" s="21">
        <f t="shared" si="4"/>
        <v>3.14</v>
      </c>
    </row>
    <row r="71" spans="1:6" x14ac:dyDescent="0.2">
      <c r="A71" s="19">
        <v>5</v>
      </c>
      <c r="B71" s="180" t="s">
        <v>4</v>
      </c>
      <c r="C71" s="181"/>
      <c r="D71" s="14">
        <f t="shared" si="5"/>
        <v>0</v>
      </c>
      <c r="E71" s="17">
        <f>IF(F3="1",SUMIF(Data!A:A,'21'!$A$2,Data!EC:EC),0)</f>
        <v>0</v>
      </c>
      <c r="F71" s="21" t="str">
        <f t="shared" si="4"/>
        <v/>
      </c>
    </row>
    <row r="72" spans="1:6" x14ac:dyDescent="0.2">
      <c r="A72" s="19">
        <v>6</v>
      </c>
      <c r="B72" s="180" t="s">
        <v>5</v>
      </c>
      <c r="C72" s="181"/>
      <c r="D72" s="14">
        <f t="shared" si="5"/>
        <v>264376</v>
      </c>
      <c r="E72" s="17">
        <f>IF(F3="1",SUMIF(Data!A:A,'21'!$A$2,Data!ED:ED),0)</f>
        <v>682473</v>
      </c>
      <c r="F72" s="21">
        <f t="shared" si="4"/>
        <v>2.58</v>
      </c>
    </row>
    <row r="73" spans="1:6" x14ac:dyDescent="0.2">
      <c r="A73" s="19">
        <v>7</v>
      </c>
      <c r="B73" s="180" t="s">
        <v>6</v>
      </c>
      <c r="C73" s="181"/>
      <c r="D73" s="14">
        <f t="shared" si="5"/>
        <v>390787</v>
      </c>
      <c r="E73" s="17">
        <f>IF(F3="1",SUMIF(Data!A:A,'21'!$A$2,Data!EE:EE),0)</f>
        <v>2787843</v>
      </c>
      <c r="F73" s="21">
        <f t="shared" si="4"/>
        <v>7.13</v>
      </c>
    </row>
    <row r="74" spans="1:6" x14ac:dyDescent="0.2">
      <c r="A74" s="19">
        <v>8</v>
      </c>
      <c r="B74" s="180" t="s">
        <v>7</v>
      </c>
      <c r="C74" s="181"/>
      <c r="D74" s="14">
        <f t="shared" si="5"/>
        <v>561466</v>
      </c>
      <c r="E74" s="17">
        <f>IF(F3="1",SUMIF(Data!A:A,'21'!$A$2,Data!EF:EF),0)</f>
        <v>764951</v>
      </c>
      <c r="F74" s="21">
        <f t="shared" si="4"/>
        <v>1.36</v>
      </c>
    </row>
    <row r="75" spans="1:6" x14ac:dyDescent="0.2">
      <c r="A75" s="19">
        <v>9</v>
      </c>
      <c r="B75" s="180" t="s">
        <v>8</v>
      </c>
      <c r="C75" s="181"/>
      <c r="D75" s="14">
        <f t="shared" si="5"/>
        <v>594821</v>
      </c>
      <c r="E75" s="17">
        <f>IF(F3="1",SUMIF(Data!A:A,'21'!$A$2,Data!EG:EG),0)</f>
        <v>1408566</v>
      </c>
      <c r="F75" s="21">
        <f t="shared" si="4"/>
        <v>2.37</v>
      </c>
    </row>
    <row r="76" spans="1:6" x14ac:dyDescent="0.2">
      <c r="A76" s="19">
        <v>10</v>
      </c>
      <c r="B76" s="180" t="s">
        <v>9</v>
      </c>
      <c r="C76" s="181"/>
      <c r="D76" s="14">
        <f t="shared" si="5"/>
        <v>5888</v>
      </c>
      <c r="E76" s="17">
        <f>IF(F3="1",SUMIF(Data!A:A,'21'!$A$2,Data!EH:EH),0)</f>
        <v>30277</v>
      </c>
      <c r="F76" s="21">
        <f t="shared" si="4"/>
        <v>5.14</v>
      </c>
    </row>
    <row r="77" spans="1:6" x14ac:dyDescent="0.2">
      <c r="A77" s="19">
        <v>11</v>
      </c>
      <c r="B77" s="180" t="s">
        <v>10</v>
      </c>
      <c r="C77" s="181"/>
      <c r="D77" s="14">
        <f t="shared" si="5"/>
        <v>300139</v>
      </c>
      <c r="E77" s="17">
        <f>IF(F3="1",SUMIF(Data!A:A,'21'!$A$2,Data!EI:EI),0)</f>
        <v>1543342</v>
      </c>
      <c r="F77" s="21">
        <f t="shared" si="4"/>
        <v>5.14</v>
      </c>
    </row>
    <row r="78" spans="1:6" ht="14.25" customHeight="1" x14ac:dyDescent="0.2">
      <c r="A78" s="19">
        <v>12</v>
      </c>
      <c r="B78" s="180" t="s">
        <v>11</v>
      </c>
      <c r="C78" s="181"/>
      <c r="D78" s="14">
        <f t="shared" si="5"/>
        <v>3372331</v>
      </c>
      <c r="E78" s="17">
        <f>IF(F3="1",SUMIF(Data!A:A,'21'!$A$2,Data!EJ:EJ),0)</f>
        <v>9686607</v>
      </c>
      <c r="F78" s="21">
        <f t="shared" si="4"/>
        <v>2.87</v>
      </c>
    </row>
    <row r="79" spans="1:6" x14ac:dyDescent="0.2">
      <c r="A79" s="19">
        <v>13</v>
      </c>
      <c r="B79" s="180" t="s">
        <v>12</v>
      </c>
      <c r="C79" s="181"/>
      <c r="D79" s="14">
        <f t="shared" si="5"/>
        <v>300536</v>
      </c>
      <c r="E79" s="17">
        <f>IF(F3="1",SUMIF(Data!A:A,'21'!$A$2,Data!EK:EK),0)</f>
        <v>883632</v>
      </c>
      <c r="F79" s="21">
        <f t="shared" si="4"/>
        <v>2.94</v>
      </c>
    </row>
    <row r="80" spans="1:6" ht="14.25" customHeight="1" x14ac:dyDescent="0.2">
      <c r="A80" s="19">
        <v>14</v>
      </c>
      <c r="B80" s="180" t="s">
        <v>464</v>
      </c>
      <c r="C80" s="181"/>
      <c r="D80" s="14">
        <f t="shared" si="5"/>
        <v>271596</v>
      </c>
      <c r="E80" s="17">
        <f>IF(F3="1",SUMIF(Data!A:A,'21'!$A$2,Data!EL:EL),0)</f>
        <v>1810392</v>
      </c>
      <c r="F80" s="21">
        <f t="shared" si="4"/>
        <v>6.67</v>
      </c>
    </row>
    <row r="81" spans="1:6" x14ac:dyDescent="0.2">
      <c r="A81" s="19">
        <v>15</v>
      </c>
      <c r="B81" s="180" t="s">
        <v>13</v>
      </c>
      <c r="C81" s="181"/>
      <c r="D81" s="14">
        <f t="shared" si="5"/>
        <v>0</v>
      </c>
      <c r="E81" s="17">
        <f>IF(F3="1",SUMIF(Data!A:A,'21'!$A$2,Data!EM:EM),0)</f>
        <v>0</v>
      </c>
      <c r="F81" s="21" t="str">
        <f t="shared" si="4"/>
        <v/>
      </c>
    </row>
    <row r="82" spans="1:6" x14ac:dyDescent="0.2">
      <c r="A82" s="19">
        <v>16</v>
      </c>
      <c r="B82" s="180" t="s">
        <v>14</v>
      </c>
      <c r="C82" s="181"/>
      <c r="D82" s="14">
        <f t="shared" si="5"/>
        <v>878273</v>
      </c>
      <c r="E82" s="17">
        <f>IF(F3="1",SUMIF(Data!A:A,'21'!$A$2,Data!EN:EN),0)</f>
        <v>3398790</v>
      </c>
      <c r="F82" s="21">
        <f t="shared" si="4"/>
        <v>3.87</v>
      </c>
    </row>
    <row r="83" spans="1:6" x14ac:dyDescent="0.2">
      <c r="A83" s="19">
        <v>17</v>
      </c>
      <c r="B83" s="180" t="s">
        <v>15</v>
      </c>
      <c r="C83" s="181"/>
      <c r="D83" s="14">
        <f t="shared" si="5"/>
        <v>37600</v>
      </c>
      <c r="E83" s="17">
        <f>IF(F3="1",SUMIF(Data!A:A,'21'!$A$2,Data!EO:EO),0)</f>
        <v>381866</v>
      </c>
      <c r="F83" s="21">
        <f t="shared" si="4"/>
        <v>10.16</v>
      </c>
    </row>
    <row r="84" spans="1:6" x14ac:dyDescent="0.2">
      <c r="A84" s="19">
        <v>18</v>
      </c>
      <c r="B84" s="180" t="s">
        <v>16</v>
      </c>
      <c r="C84" s="181"/>
      <c r="D84" s="14">
        <f t="shared" si="5"/>
        <v>108976</v>
      </c>
      <c r="E84" s="17">
        <f>IF(F3="1",SUMIF(Data!A:A,'21'!$A$2,Data!EP:EP),0)</f>
        <v>650621</v>
      </c>
      <c r="F84" s="21">
        <f t="shared" si="4"/>
        <v>5.97</v>
      </c>
    </row>
    <row r="85" spans="1:6" x14ac:dyDescent="0.2">
      <c r="A85" s="19">
        <v>19</v>
      </c>
      <c r="B85" s="180" t="s">
        <v>17</v>
      </c>
      <c r="C85" s="181"/>
      <c r="D85" s="14">
        <f t="shared" si="5"/>
        <v>1902168</v>
      </c>
      <c r="E85" s="17">
        <f>IF(F3="1",SUMIF(Data!A:A,'21'!$A$2,Data!EQ:EQ),0)</f>
        <v>5219558</v>
      </c>
      <c r="F85" s="21">
        <f t="shared" si="4"/>
        <v>2.74</v>
      </c>
    </row>
    <row r="86" spans="1:6" x14ac:dyDescent="0.2">
      <c r="A86" s="19">
        <v>20</v>
      </c>
      <c r="B86" s="180" t="s">
        <v>18</v>
      </c>
      <c r="C86" s="181"/>
      <c r="D86" s="14">
        <f t="shared" si="5"/>
        <v>309456</v>
      </c>
      <c r="E86" s="17">
        <f>IF(F3="1",SUMIF(Data!A:A,'21'!$A$2,Data!ER:ER),0)</f>
        <v>1239677</v>
      </c>
      <c r="F86" s="21">
        <f t="shared" si="4"/>
        <v>4.01</v>
      </c>
    </row>
    <row r="87" spans="1:6" ht="14.25" customHeight="1" x14ac:dyDescent="0.2">
      <c r="A87" s="19">
        <v>21</v>
      </c>
      <c r="B87" s="180" t="s">
        <v>461</v>
      </c>
      <c r="C87" s="181"/>
      <c r="D87" s="14">
        <f t="shared" si="5"/>
        <v>795650</v>
      </c>
      <c r="E87" s="17">
        <f>IF(F3="1",SUMIF(Data!A:A,'21'!$A$2,Data!ES:ES),0)</f>
        <v>45692</v>
      </c>
      <c r="F87" s="21">
        <f t="shared" si="4"/>
        <v>0.06</v>
      </c>
    </row>
    <row r="88" spans="1:6" x14ac:dyDescent="0.2">
      <c r="A88" s="19">
        <v>22</v>
      </c>
      <c r="B88" s="180" t="s">
        <v>19</v>
      </c>
      <c r="C88" s="181"/>
      <c r="D88" s="14">
        <f t="shared" si="5"/>
        <v>35884</v>
      </c>
      <c r="E88" s="17">
        <f>IF(F3="1",SUMIF(Data!A:A,'21'!$A$2,Data!ET:ET),0)</f>
        <v>575926</v>
      </c>
      <c r="F88" s="21">
        <f t="shared" si="4"/>
        <v>16.05</v>
      </c>
    </row>
    <row r="89" spans="1:6" x14ac:dyDescent="0.2">
      <c r="A89" s="19">
        <v>23</v>
      </c>
      <c r="B89" s="180" t="s">
        <v>20</v>
      </c>
      <c r="C89" s="181"/>
      <c r="D89" s="14">
        <f t="shared" si="5"/>
        <v>46032</v>
      </c>
      <c r="E89" s="17">
        <f>IF(F3="1",SUMIF(Data!A:A,'21'!$A$2,Data!EU:EU),0)</f>
        <v>245258</v>
      </c>
      <c r="F89" s="21">
        <f t="shared" si="4"/>
        <v>5.33</v>
      </c>
    </row>
    <row r="90" spans="1:6" x14ac:dyDescent="0.2">
      <c r="A90" s="19">
        <v>24</v>
      </c>
      <c r="B90" s="180" t="s">
        <v>21</v>
      </c>
      <c r="C90" s="181"/>
      <c r="D90" s="14">
        <f t="shared" si="5"/>
        <v>438560</v>
      </c>
      <c r="E90" s="17">
        <f>IF(F3="1",SUMIF(Data!A:A,'21'!$A$2,Data!EV:EV),0)</f>
        <v>2866384</v>
      </c>
      <c r="F90" s="21">
        <f t="shared" si="4"/>
        <v>6.54</v>
      </c>
    </row>
    <row r="91" spans="1:6" x14ac:dyDescent="0.2">
      <c r="A91" s="19">
        <v>25</v>
      </c>
      <c r="B91" s="180" t="s">
        <v>22</v>
      </c>
      <c r="C91" s="181"/>
      <c r="D91" s="14">
        <f t="shared" si="5"/>
        <v>2815247</v>
      </c>
      <c r="E91" s="17">
        <f>IF(F3="1",SUMIF(Data!A:A,'21'!$A$2,Data!EW:EW),0)</f>
        <v>7408296</v>
      </c>
      <c r="F91" s="21">
        <f t="shared" si="4"/>
        <v>2.63</v>
      </c>
    </row>
    <row r="92" spans="1:6" x14ac:dyDescent="0.2">
      <c r="A92" s="19">
        <v>26</v>
      </c>
      <c r="B92" s="180" t="s">
        <v>23</v>
      </c>
      <c r="C92" s="181"/>
      <c r="D92" s="14">
        <f t="shared" si="5"/>
        <v>783781</v>
      </c>
      <c r="E92" s="17">
        <f>IF(F3="1",SUMIF(Data!A:A,'21'!$A$2,Data!EX:EX),0)</f>
        <v>3137111</v>
      </c>
      <c r="F92" s="21">
        <f t="shared" si="4"/>
        <v>4</v>
      </c>
    </row>
    <row r="93" spans="1:6" x14ac:dyDescent="0.2">
      <c r="A93" s="19">
        <v>28</v>
      </c>
      <c r="B93" s="180" t="s">
        <v>24</v>
      </c>
      <c r="C93" s="181"/>
      <c r="D93" s="14">
        <f t="shared" si="5"/>
        <v>0</v>
      </c>
      <c r="E93" s="17">
        <f>IF(F3="1",SUMIF(Data!A:A,'21'!$A$2,Data!EZ:EZ),0)</f>
        <v>0</v>
      </c>
      <c r="F93" s="21" t="str">
        <f t="shared" si="4"/>
        <v/>
      </c>
    </row>
    <row r="94" spans="1:6" ht="15.75" customHeight="1" thickBot="1" x14ac:dyDescent="0.25">
      <c r="A94" s="22">
        <v>29</v>
      </c>
      <c r="B94" s="184" t="s">
        <v>25</v>
      </c>
      <c r="C94" s="185"/>
      <c r="D94" s="23">
        <f t="shared" si="5"/>
        <v>0</v>
      </c>
      <c r="E94" s="24">
        <f>IF(F3="1",SUMIF(Data!A:A,'21'!$A$2,Data!FA:FA),0)</f>
        <v>0</v>
      </c>
      <c r="F94" s="25" t="str">
        <f t="shared" si="4"/>
        <v/>
      </c>
    </row>
    <row r="95" spans="1:6" x14ac:dyDescent="0.2">
      <c r="B95" s="30" t="s">
        <v>35</v>
      </c>
      <c r="C95" s="30"/>
      <c r="D95" s="59">
        <f>SUM(D67:D94)</f>
        <v>18161611</v>
      </c>
      <c r="E95" s="31">
        <f>SUM(E67:E94)</f>
        <v>55100315</v>
      </c>
      <c r="F95" s="32">
        <f t="shared" si="4"/>
        <v>3.03</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IF(F3="1",SUMIF(Data!A:A,'21'!$A$2,Data!AH:AH),0)</f>
        <v>39274432</v>
      </c>
      <c r="F98" s="20">
        <f>IF(OR(E98=0,E98=0),"",ROUND(E98/$D$105,2))</f>
        <v>2.16</v>
      </c>
    </row>
    <row r="99" spans="2:6" x14ac:dyDescent="0.2">
      <c r="B99" s="190" t="s">
        <v>31</v>
      </c>
      <c r="C99" s="191"/>
      <c r="D99" s="36"/>
      <c r="E99" s="17">
        <f>IF(F3="1",SUMIF(Data!A:A,'21'!$A$2,Data!AI:AI),0)</f>
        <v>20683163</v>
      </c>
      <c r="F99" s="21">
        <f t="shared" ref="F99:F104" si="6">IF(OR(E99=0,E99=0),"",ROUND(E99/$D$105,2))</f>
        <v>1.1399999999999999</v>
      </c>
    </row>
    <row r="100" spans="2:6" x14ac:dyDescent="0.2">
      <c r="B100" s="190" t="s">
        <v>1089</v>
      </c>
      <c r="C100" s="191"/>
      <c r="D100" s="36"/>
      <c r="E100" s="17">
        <f>IF(F3="1",SUMIF(Data!A:A,'21'!$A$2,Data!AJ:AJ),0)</f>
        <v>3777493</v>
      </c>
      <c r="F100" s="21">
        <f t="shared" si="6"/>
        <v>0.21</v>
      </c>
    </row>
    <row r="101" spans="2:6" x14ac:dyDescent="0.2">
      <c r="B101" s="190" t="s">
        <v>1090</v>
      </c>
      <c r="C101" s="191"/>
      <c r="D101" s="36"/>
      <c r="E101" s="17">
        <f>IF(F3="1",SUMIF(Data!A:A,'21'!$A$2,Data!AK:AK),0)</f>
        <v>2829354</v>
      </c>
      <c r="F101" s="21">
        <f t="shared" si="6"/>
        <v>0.16</v>
      </c>
    </row>
    <row r="102" spans="2:6" x14ac:dyDescent="0.2">
      <c r="B102" s="190" t="s">
        <v>1091</v>
      </c>
      <c r="C102" s="191"/>
      <c r="D102" s="36"/>
      <c r="E102" s="17">
        <f>IF(F3="1",SUMIF(Data!A:A,'21'!$A$2,Data!AL:AL),0)</f>
        <v>0</v>
      </c>
      <c r="F102" s="21" t="str">
        <f t="shared" si="6"/>
        <v/>
      </c>
    </row>
    <row r="103" spans="2:6" x14ac:dyDescent="0.2">
      <c r="B103" s="192" t="s">
        <v>34</v>
      </c>
      <c r="C103" s="193"/>
      <c r="D103" s="36"/>
      <c r="E103" s="17">
        <f>IF(F3="1",SUMIF(Data!A:A,'21'!$A$2,Data!AM:AM),0)</f>
        <v>0</v>
      </c>
      <c r="F103" s="21" t="str">
        <f t="shared" si="6"/>
        <v/>
      </c>
    </row>
    <row r="104" spans="2:6" ht="15.75" customHeight="1" thickBot="1" x14ac:dyDescent="0.25">
      <c r="B104" s="186" t="s">
        <v>29</v>
      </c>
      <c r="C104" s="187"/>
      <c r="D104" s="37"/>
      <c r="E104" s="24">
        <f>IF(F3="1",SUMIF(Data!A:A,'21'!$A$2,Data!Q:Q),0)</f>
        <v>5196653</v>
      </c>
      <c r="F104" s="25">
        <f t="shared" si="6"/>
        <v>0.28999999999999998</v>
      </c>
    </row>
    <row r="105" spans="2:6" x14ac:dyDescent="0.2">
      <c r="B105" s="30" t="s">
        <v>35</v>
      </c>
      <c r="C105" s="30"/>
      <c r="D105" s="34">
        <f>D95</f>
        <v>18161611</v>
      </c>
      <c r="E105" s="31">
        <f>SUM(E98:E104)</f>
        <v>71761095</v>
      </c>
      <c r="F105" s="32">
        <f>IF($D$105=0,"",ROUND(E105/$D$105,2))</f>
        <v>3.95</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55100315</v>
      </c>
      <c r="D109" s="15">
        <f>IF(F3="1",SUMIF(Data!$A:$A,$A$2,Data!HJ:HJ),0)</f>
        <v>0</v>
      </c>
      <c r="E109" s="15">
        <f>IF(F3="1",SUMIF(Data!$A:$A,$A$2,Data!IN:IN),0)</f>
        <v>0</v>
      </c>
      <c r="F109" s="47">
        <f>SUM(C109:E109)</f>
        <v>55100315</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5196653</v>
      </c>
      <c r="E117" s="52"/>
      <c r="F117" s="49">
        <f>SUM(C117:E117)</f>
        <v>5196653</v>
      </c>
    </row>
    <row r="118" spans="1:6" x14ac:dyDescent="0.2">
      <c r="B118" s="13" t="s">
        <v>35</v>
      </c>
      <c r="C118" s="4">
        <f>SUM(C109:C116)</f>
        <v>55100315</v>
      </c>
      <c r="D118" s="4">
        <f>SUM(D109:D116)</f>
        <v>0</v>
      </c>
      <c r="E118" s="4">
        <f>SUM(E109:E116)</f>
        <v>0</v>
      </c>
      <c r="F118" s="4">
        <f>SUM(F109:F116)</f>
        <v>55100315</v>
      </c>
    </row>
    <row r="119" spans="1:6" ht="15" thickBot="1" x14ac:dyDescent="0.25"/>
    <row r="120" spans="1:6" ht="15" thickBot="1" x14ac:dyDescent="0.25">
      <c r="B120" s="55" t="s">
        <v>934</v>
      </c>
      <c r="C120" s="53"/>
      <c r="D120" s="53"/>
      <c r="E120" s="53">
        <f>IF(F3="1",SUMIF(Data!A:A,'21'!$A$2,Data!AM:AM),0)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42578125" style="10" bestFit="1" customWidth="1"/>
    <col min="13"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374</v>
      </c>
      <c r="B2" s="58" t="str">
        <f>VLOOKUP(A2,Data!A:G,7,0)</f>
        <v>Howard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77447</v>
      </c>
      <c r="E5" s="15">
        <f>E36+E67+IFERROR($E$105/$D$105*D5,0)</f>
        <v>518553.20997172804</v>
      </c>
      <c r="F5" s="20">
        <f>IF(OR(D5=0,E5=0),"",ROUND(E5/D5,2))</f>
        <v>6.7</v>
      </c>
    </row>
    <row r="6" spans="1:6" x14ac:dyDescent="0.2">
      <c r="A6" s="19">
        <v>2</v>
      </c>
      <c r="B6" s="180" t="s">
        <v>1</v>
      </c>
      <c r="C6" s="181"/>
      <c r="D6" s="14">
        <f t="shared" ref="D6:D32" si="0">D37</f>
        <v>48494</v>
      </c>
      <c r="E6" s="17">
        <f t="shared" ref="E6:E32" si="1">E37+E68+IFERROR($E$105/$D$105*D6,0)</f>
        <v>282060.19393093314</v>
      </c>
      <c r="F6" s="21">
        <f t="shared" ref="F6:F33" si="2">IF(OR(D6=0,E6=0),"",ROUND(E6/D6,2))</f>
        <v>5.82</v>
      </c>
    </row>
    <row r="7" spans="1:6" ht="14.25" customHeight="1" x14ac:dyDescent="0.2">
      <c r="A7" s="19">
        <v>3</v>
      </c>
      <c r="B7" s="180" t="s">
        <v>2</v>
      </c>
      <c r="C7" s="181"/>
      <c r="D7" s="14">
        <f t="shared" si="0"/>
        <v>112896</v>
      </c>
      <c r="E7" s="17">
        <f t="shared" si="1"/>
        <v>760504.89033749804</v>
      </c>
      <c r="F7" s="21">
        <f t="shared" si="2"/>
        <v>6.74</v>
      </c>
    </row>
    <row r="8" spans="1:6" ht="14.25" customHeight="1" x14ac:dyDescent="0.2">
      <c r="A8" s="19">
        <v>4</v>
      </c>
      <c r="B8" s="180" t="s">
        <v>3</v>
      </c>
      <c r="C8" s="181"/>
      <c r="D8" s="14">
        <f t="shared" si="0"/>
        <v>285162</v>
      </c>
      <c r="E8" s="17">
        <f t="shared" si="1"/>
        <v>1567501.9206032243</v>
      </c>
      <c r="F8" s="21">
        <f t="shared" si="2"/>
        <v>5.5</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66472</v>
      </c>
      <c r="E10" s="17">
        <f t="shared" si="1"/>
        <v>239326.91856677091</v>
      </c>
      <c r="F10" s="21">
        <f t="shared" si="2"/>
        <v>3.6</v>
      </c>
    </row>
    <row r="11" spans="1:6" x14ac:dyDescent="0.2">
      <c r="A11" s="19">
        <v>7</v>
      </c>
      <c r="B11" s="180" t="s">
        <v>6</v>
      </c>
      <c r="C11" s="181"/>
      <c r="D11" s="14">
        <f t="shared" si="0"/>
        <v>211988</v>
      </c>
      <c r="E11" s="17">
        <f t="shared" si="1"/>
        <v>1335066.618984424</v>
      </c>
      <c r="F11" s="21">
        <f t="shared" si="2"/>
        <v>6.3</v>
      </c>
    </row>
    <row r="12" spans="1:6" x14ac:dyDescent="0.2">
      <c r="A12" s="19">
        <v>8</v>
      </c>
      <c r="B12" s="180" t="s">
        <v>7</v>
      </c>
      <c r="C12" s="181"/>
      <c r="D12" s="14">
        <f t="shared" si="0"/>
        <v>113636</v>
      </c>
      <c r="E12" s="17">
        <f t="shared" si="1"/>
        <v>682070.4721725476</v>
      </c>
      <c r="F12" s="21">
        <f t="shared" si="2"/>
        <v>6</v>
      </c>
    </row>
    <row r="13" spans="1:6" x14ac:dyDescent="0.2">
      <c r="A13" s="19">
        <v>9</v>
      </c>
      <c r="B13" s="180" t="s">
        <v>8</v>
      </c>
      <c r="C13" s="181"/>
      <c r="D13" s="14">
        <f t="shared" si="0"/>
        <v>205374</v>
      </c>
      <c r="E13" s="17">
        <f t="shared" si="1"/>
        <v>1135114.5429614275</v>
      </c>
      <c r="F13" s="21">
        <f t="shared" si="2"/>
        <v>5.53</v>
      </c>
    </row>
    <row r="14" spans="1:6" x14ac:dyDescent="0.2">
      <c r="A14" s="19">
        <v>10</v>
      </c>
      <c r="B14" s="180" t="s">
        <v>9</v>
      </c>
      <c r="C14" s="181"/>
      <c r="D14" s="14">
        <f t="shared" si="0"/>
        <v>240</v>
      </c>
      <c r="E14" s="17">
        <f t="shared" si="1"/>
        <v>1993.8373519079464</v>
      </c>
      <c r="F14" s="21">
        <f t="shared" si="2"/>
        <v>8.31</v>
      </c>
    </row>
    <row r="15" spans="1:6" x14ac:dyDescent="0.2">
      <c r="A15" s="19">
        <v>11</v>
      </c>
      <c r="B15" s="180" t="s">
        <v>10</v>
      </c>
      <c r="C15" s="181"/>
      <c r="D15" s="14">
        <f t="shared" si="0"/>
        <v>75957</v>
      </c>
      <c r="E15" s="17">
        <f t="shared" si="1"/>
        <v>485735.01141196617</v>
      </c>
      <c r="F15" s="21">
        <f t="shared" si="2"/>
        <v>6.39</v>
      </c>
    </row>
    <row r="16" spans="1:6" ht="14.25" customHeight="1" x14ac:dyDescent="0.2">
      <c r="A16" s="19">
        <v>12</v>
      </c>
      <c r="B16" s="180" t="s">
        <v>11</v>
      </c>
      <c r="C16" s="181"/>
      <c r="D16" s="14">
        <f t="shared" si="0"/>
        <v>289749</v>
      </c>
      <c r="E16" s="17">
        <f t="shared" si="1"/>
        <v>1550319.924491565</v>
      </c>
      <c r="F16" s="21">
        <f t="shared" si="2"/>
        <v>5.35</v>
      </c>
    </row>
    <row r="17" spans="1:6" x14ac:dyDescent="0.2">
      <c r="A17" s="19">
        <v>13</v>
      </c>
      <c r="B17" s="180" t="s">
        <v>12</v>
      </c>
      <c r="C17" s="181"/>
      <c r="D17" s="14">
        <f t="shared" si="0"/>
        <v>8888</v>
      </c>
      <c r="E17" s="17">
        <f t="shared" si="1"/>
        <v>62949.009932324283</v>
      </c>
      <c r="F17" s="21">
        <f t="shared" si="2"/>
        <v>7.08</v>
      </c>
    </row>
    <row r="18" spans="1:6" ht="14.25" customHeight="1" x14ac:dyDescent="0.2">
      <c r="A18" s="19">
        <v>14</v>
      </c>
      <c r="B18" s="180" t="s">
        <v>464</v>
      </c>
      <c r="C18" s="181"/>
      <c r="D18" s="14">
        <f t="shared" si="0"/>
        <v>24976</v>
      </c>
      <c r="E18" s="17">
        <f t="shared" si="1"/>
        <v>315098.14042188693</v>
      </c>
      <c r="F18" s="21">
        <f t="shared" si="2"/>
        <v>12.62</v>
      </c>
    </row>
    <row r="19" spans="1:6" x14ac:dyDescent="0.2">
      <c r="A19" s="19">
        <v>15</v>
      </c>
      <c r="B19" s="180" t="s">
        <v>13</v>
      </c>
      <c r="C19" s="181"/>
      <c r="D19" s="14">
        <f t="shared" si="0"/>
        <v>20592</v>
      </c>
      <c r="E19" s="17">
        <f t="shared" si="1"/>
        <v>294708.84479370178</v>
      </c>
      <c r="F19" s="21">
        <f t="shared" si="2"/>
        <v>14.31</v>
      </c>
    </row>
    <row r="20" spans="1:6" x14ac:dyDescent="0.2">
      <c r="A20" s="19">
        <v>16</v>
      </c>
      <c r="B20" s="180" t="s">
        <v>14</v>
      </c>
      <c r="C20" s="181"/>
      <c r="D20" s="14">
        <f t="shared" si="0"/>
        <v>122595</v>
      </c>
      <c r="E20" s="17">
        <f t="shared" si="1"/>
        <v>743522.7298214779</v>
      </c>
      <c r="F20" s="21">
        <f t="shared" si="2"/>
        <v>6.06</v>
      </c>
    </row>
    <row r="21" spans="1:6" x14ac:dyDescent="0.2">
      <c r="A21" s="19">
        <v>17</v>
      </c>
      <c r="B21" s="180" t="s">
        <v>15</v>
      </c>
      <c r="C21" s="181"/>
      <c r="D21" s="14">
        <f t="shared" si="0"/>
        <v>15850</v>
      </c>
      <c r="E21" s="17">
        <f t="shared" si="1"/>
        <v>140810.30011558731</v>
      </c>
      <c r="F21" s="21">
        <f t="shared" si="2"/>
        <v>8.8800000000000008</v>
      </c>
    </row>
    <row r="22" spans="1:6" x14ac:dyDescent="0.2">
      <c r="A22" s="19">
        <v>18</v>
      </c>
      <c r="B22" s="180" t="s">
        <v>16</v>
      </c>
      <c r="C22" s="181"/>
      <c r="D22" s="14">
        <f t="shared" si="0"/>
        <v>60057</v>
      </c>
      <c r="E22" s="17">
        <f t="shared" si="1"/>
        <v>463464.53684806474</v>
      </c>
      <c r="F22" s="21">
        <f t="shared" si="2"/>
        <v>7.72</v>
      </c>
    </row>
    <row r="23" spans="1:6" x14ac:dyDescent="0.2">
      <c r="A23" s="19">
        <v>19</v>
      </c>
      <c r="B23" s="180" t="s">
        <v>17</v>
      </c>
      <c r="C23" s="181"/>
      <c r="D23" s="14">
        <f t="shared" si="0"/>
        <v>115760</v>
      </c>
      <c r="E23" s="17">
        <f t="shared" si="1"/>
        <v>661617.88273693284</v>
      </c>
      <c r="F23" s="21">
        <f t="shared" si="2"/>
        <v>5.72</v>
      </c>
    </row>
    <row r="24" spans="1:6" x14ac:dyDescent="0.2">
      <c r="A24" s="19">
        <v>20</v>
      </c>
      <c r="B24" s="180" t="s">
        <v>18</v>
      </c>
      <c r="C24" s="181"/>
      <c r="D24" s="14">
        <f t="shared" si="0"/>
        <v>2304</v>
      </c>
      <c r="E24" s="17">
        <f t="shared" si="1"/>
        <v>12710.038578316286</v>
      </c>
      <c r="F24" s="21">
        <f t="shared" si="2"/>
        <v>5.52</v>
      </c>
    </row>
    <row r="25" spans="1:6" ht="14.25" customHeight="1" x14ac:dyDescent="0.2">
      <c r="A25" s="19">
        <v>21</v>
      </c>
      <c r="B25" s="180" t="s">
        <v>461</v>
      </c>
      <c r="C25" s="181"/>
      <c r="D25" s="14">
        <f t="shared" si="0"/>
        <v>924</v>
      </c>
      <c r="E25" s="17">
        <f t="shared" si="1"/>
        <v>4766.2238048455938</v>
      </c>
      <c r="F25" s="21">
        <f t="shared" si="2"/>
        <v>5.16</v>
      </c>
    </row>
    <row r="26" spans="1:6" x14ac:dyDescent="0.2">
      <c r="A26" s="19">
        <v>22</v>
      </c>
      <c r="B26" s="180" t="s">
        <v>19</v>
      </c>
      <c r="C26" s="181"/>
      <c r="D26" s="14">
        <f t="shared" si="0"/>
        <v>11034</v>
      </c>
      <c r="E26" s="17">
        <f t="shared" si="1"/>
        <v>43513.497253967842</v>
      </c>
      <c r="F26" s="21">
        <f t="shared" si="2"/>
        <v>3.94</v>
      </c>
    </row>
    <row r="27" spans="1:6" x14ac:dyDescent="0.2">
      <c r="A27" s="19">
        <v>23</v>
      </c>
      <c r="B27" s="180" t="s">
        <v>20</v>
      </c>
      <c r="C27" s="181"/>
      <c r="D27" s="14">
        <f t="shared" si="0"/>
        <v>42192</v>
      </c>
      <c r="E27" s="17">
        <f t="shared" si="1"/>
        <v>576956.20646541705</v>
      </c>
      <c r="F27" s="21">
        <f t="shared" si="2"/>
        <v>13.67</v>
      </c>
    </row>
    <row r="28" spans="1:6" x14ac:dyDescent="0.2">
      <c r="A28" s="19">
        <v>24</v>
      </c>
      <c r="B28" s="180" t="s">
        <v>21</v>
      </c>
      <c r="C28" s="181"/>
      <c r="D28" s="14">
        <f t="shared" si="0"/>
        <v>100819</v>
      </c>
      <c r="E28" s="17">
        <f t="shared" si="1"/>
        <v>469020.75409169693</v>
      </c>
      <c r="F28" s="21">
        <f t="shared" si="2"/>
        <v>4.6500000000000004</v>
      </c>
    </row>
    <row r="29" spans="1:6" x14ac:dyDescent="0.2">
      <c r="A29" s="19">
        <v>25</v>
      </c>
      <c r="B29" s="180" t="s">
        <v>22</v>
      </c>
      <c r="C29" s="181"/>
      <c r="D29" s="14">
        <f t="shared" si="0"/>
        <v>185228</v>
      </c>
      <c r="E29" s="17">
        <f t="shared" si="1"/>
        <v>959050.25424668798</v>
      </c>
      <c r="F29" s="21">
        <f t="shared" si="2"/>
        <v>5.18</v>
      </c>
    </row>
    <row r="30" spans="1:6" x14ac:dyDescent="0.2">
      <c r="A30" s="19">
        <v>26</v>
      </c>
      <c r="B30" s="180" t="s">
        <v>23</v>
      </c>
      <c r="C30" s="181"/>
      <c r="D30" s="14">
        <f t="shared" si="0"/>
        <v>49883</v>
      </c>
      <c r="E30" s="17">
        <f t="shared" si="1"/>
        <v>342881.04010510037</v>
      </c>
      <c r="F30" s="21">
        <f t="shared" si="2"/>
        <v>6.87</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2248517</v>
      </c>
      <c r="E33" s="31">
        <f>SUM(E5:E32)</f>
        <v>13649317</v>
      </c>
      <c r="F33" s="32">
        <f t="shared" si="2"/>
        <v>6.07</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IF(F3="1",SUMIF(Data!A:A,'22'!$A$2,Data!CU:CU),0)</f>
        <v>77447</v>
      </c>
      <c r="E36" s="15">
        <f>IF(F3="1",SUMIF(Data!$A:$A,$A$2,Data!IO:IO),0)</f>
        <v>79917</v>
      </c>
      <c r="F36" s="20">
        <f t="shared" ref="F36:F64" si="3">IF(OR(D36=0,E36=0),"",ROUND(E36/D36,2))</f>
        <v>1.03</v>
      </c>
    </row>
    <row r="37" spans="1:6" x14ac:dyDescent="0.2">
      <c r="A37" s="19">
        <v>2</v>
      </c>
      <c r="B37" s="180" t="s">
        <v>1</v>
      </c>
      <c r="C37" s="181"/>
      <c r="D37" s="14">
        <f>IF(F3="1",SUMIF(Data!A:A,'22'!$A$2,Data!CV:CV),0)</f>
        <v>48494</v>
      </c>
      <c r="E37" s="17">
        <f>IF(F3="1",SUMIF(Data!$A:$A,$A$2,Data!IP:IP),0)</f>
        <v>27157</v>
      </c>
      <c r="F37" s="21">
        <f t="shared" si="3"/>
        <v>0.56000000000000005</v>
      </c>
    </row>
    <row r="38" spans="1:6" ht="14.25" customHeight="1" x14ac:dyDescent="0.2">
      <c r="A38" s="19">
        <v>3</v>
      </c>
      <c r="B38" s="180" t="s">
        <v>2</v>
      </c>
      <c r="C38" s="181"/>
      <c r="D38" s="14">
        <f>IF(F3="1",SUMIF(Data!A:A,'22'!$A$2,Data!CW:CW),0)</f>
        <v>112896</v>
      </c>
      <c r="E38" s="17">
        <f>IF($F$3="1",SUMIF(Data!$A:$A,$A$2,Data!IQ:IQ),0)</f>
        <v>74285</v>
      </c>
      <c r="F38" s="21">
        <f t="shared" si="3"/>
        <v>0.66</v>
      </c>
    </row>
    <row r="39" spans="1:6" ht="14.25" customHeight="1" x14ac:dyDescent="0.2">
      <c r="A39" s="19">
        <v>4</v>
      </c>
      <c r="B39" s="180" t="s">
        <v>3</v>
      </c>
      <c r="C39" s="181"/>
      <c r="D39" s="14">
        <f>IF(F3="1",SUMIF(Data!A:A,'22'!$A$2,Data!CX:CX),0)</f>
        <v>285162</v>
      </c>
      <c r="E39" s="17">
        <f>IF($F$3="1",SUMIF(Data!$A:$A,$A$2,Data!IR:IR),0)</f>
        <v>248853</v>
      </c>
      <c r="F39" s="21">
        <f t="shared" si="3"/>
        <v>0.87</v>
      </c>
    </row>
    <row r="40" spans="1:6" x14ac:dyDescent="0.2">
      <c r="A40" s="19">
        <v>5</v>
      </c>
      <c r="B40" s="180" t="s">
        <v>4</v>
      </c>
      <c r="C40" s="181"/>
      <c r="D40" s="14">
        <f>IF(F3="1",SUMIF(Data!A:A,'22'!$A$2,Data!CY:CY),0)</f>
        <v>0</v>
      </c>
      <c r="E40" s="17">
        <f>IF($F$3="1",SUMIF(Data!$A:$A,$A$2,Data!IS:IS),0)</f>
        <v>0</v>
      </c>
      <c r="F40" s="21" t="str">
        <f t="shared" si="3"/>
        <v/>
      </c>
    </row>
    <row r="41" spans="1:6" x14ac:dyDescent="0.2">
      <c r="A41" s="19">
        <v>6</v>
      </c>
      <c r="B41" s="180" t="s">
        <v>5</v>
      </c>
      <c r="C41" s="181"/>
      <c r="D41" s="14">
        <f>IF(F3="1",SUMIF(Data!A:A,'22'!$A$2,Data!CZ:CZ),0)</f>
        <v>66472</v>
      </c>
      <c r="E41" s="17">
        <f>IF($F$3="1",SUMIF(Data!$A:$A,$A$2,Data!IT:IT),0)</f>
        <v>22758</v>
      </c>
      <c r="F41" s="21">
        <f t="shared" si="3"/>
        <v>0.34</v>
      </c>
    </row>
    <row r="42" spans="1:6" x14ac:dyDescent="0.2">
      <c r="A42" s="19">
        <v>7</v>
      </c>
      <c r="B42" s="180" t="s">
        <v>6</v>
      </c>
      <c r="C42" s="181"/>
      <c r="D42" s="14">
        <f>IF(F3="1",SUMIF(Data!A:A,'22'!$A$2,Data!DA:DA),0)</f>
        <v>211988</v>
      </c>
      <c r="E42" s="17">
        <f>IF($F$3="1",SUMIF(Data!$A:$A,$A$2,Data!IU:IU),0)</f>
        <v>248654</v>
      </c>
      <c r="F42" s="21">
        <f t="shared" si="3"/>
        <v>1.17</v>
      </c>
    </row>
    <row r="43" spans="1:6" x14ac:dyDescent="0.2">
      <c r="A43" s="19">
        <v>8</v>
      </c>
      <c r="B43" s="180" t="s">
        <v>7</v>
      </c>
      <c r="C43" s="181"/>
      <c r="D43" s="14">
        <f>IF(F3="1",SUMIF(Data!A:A,'22'!$A$2,Data!DB:DB),0)</f>
        <v>113636</v>
      </c>
      <c r="E43" s="17">
        <f>IF($F$3="1",SUMIF(Data!$A:$A,$A$2,Data!IV:IV),0)</f>
        <v>15550</v>
      </c>
      <c r="F43" s="21">
        <f t="shared" si="3"/>
        <v>0.14000000000000001</v>
      </c>
    </row>
    <row r="44" spans="1:6" x14ac:dyDescent="0.2">
      <c r="A44" s="19">
        <v>9</v>
      </c>
      <c r="B44" s="180" t="s">
        <v>8</v>
      </c>
      <c r="C44" s="181"/>
      <c r="D44" s="14">
        <f>IF(F3="1",SUMIF(Data!A:A,'22'!$A$2,Data!DC:DC),0)</f>
        <v>205374</v>
      </c>
      <c r="E44" s="17">
        <f>IF($F$3="1",SUMIF(Data!$A:$A,$A$2,Data!IW:IW),0)</f>
        <v>225522</v>
      </c>
      <c r="F44" s="21">
        <f t="shared" si="3"/>
        <v>1.1000000000000001</v>
      </c>
    </row>
    <row r="45" spans="1:6" x14ac:dyDescent="0.2">
      <c r="A45" s="19">
        <v>10</v>
      </c>
      <c r="B45" s="180" t="s">
        <v>9</v>
      </c>
      <c r="C45" s="181"/>
      <c r="D45" s="14">
        <f>IF(F3="1",SUMIF(Data!A:A,'22'!$A$2,Data!DD:DD),0)</f>
        <v>240</v>
      </c>
      <c r="E45" s="17">
        <f>IF($F$3="1",SUMIF(Data!$A:$A,$A$2,Data!IX:IX),0)</f>
        <v>73</v>
      </c>
      <c r="F45" s="21">
        <f t="shared" si="3"/>
        <v>0.3</v>
      </c>
    </row>
    <row r="46" spans="1:6" x14ac:dyDescent="0.2">
      <c r="A46" s="19">
        <v>11</v>
      </c>
      <c r="B46" s="180" t="s">
        <v>10</v>
      </c>
      <c r="C46" s="181"/>
      <c r="D46" s="14">
        <f>IF(F3="1",SUMIF(Data!A:A,'22'!$A$2,Data!DE:DE),0)</f>
        <v>75957</v>
      </c>
      <c r="E46" s="17">
        <f>IF($F$3="1",SUMIF(Data!$A:$A,$A$2,Data!IY:IY),0)</f>
        <v>70706</v>
      </c>
      <c r="F46" s="21">
        <f t="shared" si="3"/>
        <v>0.93</v>
      </c>
    </row>
    <row r="47" spans="1:6" ht="14.25" customHeight="1" x14ac:dyDescent="0.2">
      <c r="A47" s="19">
        <v>12</v>
      </c>
      <c r="B47" s="180" t="s">
        <v>11</v>
      </c>
      <c r="C47" s="181"/>
      <c r="D47" s="14">
        <f>IF(F3="1",SUMIF(Data!A:A,'22'!$A$2,Data!DF:DF),0)</f>
        <v>289749</v>
      </c>
      <c r="E47" s="17">
        <f>IF($F$3="1",SUMIF(Data!$A:$A,$A$2,Data!IZ:IZ),0)</f>
        <v>121958</v>
      </c>
      <c r="F47" s="21">
        <f t="shared" si="3"/>
        <v>0.42</v>
      </c>
    </row>
    <row r="48" spans="1:6" x14ac:dyDescent="0.2">
      <c r="A48" s="19">
        <v>13</v>
      </c>
      <c r="B48" s="180" t="s">
        <v>12</v>
      </c>
      <c r="C48" s="181"/>
      <c r="D48" s="14">
        <f>IF(F3="1",SUMIF(Data!A:A,'22'!$A$2,Data!DG:DG),0)</f>
        <v>8888</v>
      </c>
      <c r="E48" s="17">
        <f>IF($F$3="1",SUMIF(Data!$A:$A,$A$2,Data!JA:JA),0)</f>
        <v>1278</v>
      </c>
      <c r="F48" s="21">
        <f t="shared" si="3"/>
        <v>0.14000000000000001</v>
      </c>
    </row>
    <row r="49" spans="1:6" ht="14.25" customHeight="1" x14ac:dyDescent="0.2">
      <c r="A49" s="19">
        <v>14</v>
      </c>
      <c r="B49" s="180" t="s">
        <v>464</v>
      </c>
      <c r="C49" s="181"/>
      <c r="D49" s="14">
        <f>IF(F3="1",SUMIF(Data!A:A,'22'!$A$2,Data!DH:DH),0)</f>
        <v>24976</v>
      </c>
      <c r="E49" s="17">
        <f>IF($F$3="1",SUMIF(Data!$A:$A,$A$2,Data!JB:JB),0)</f>
        <v>71660</v>
      </c>
      <c r="F49" s="21">
        <f t="shared" si="3"/>
        <v>2.87</v>
      </c>
    </row>
    <row r="50" spans="1:6" x14ac:dyDescent="0.2">
      <c r="A50" s="19">
        <v>15</v>
      </c>
      <c r="B50" s="180" t="s">
        <v>13</v>
      </c>
      <c r="C50" s="181"/>
      <c r="D50" s="14">
        <f>IF(F3="1",SUMIF(Data!A:A,'22'!$A$2,Data!DI:DI),0)</f>
        <v>20592</v>
      </c>
      <c r="E50" s="17">
        <f>IF($F$3="1",SUMIF(Data!$A:$A,$A$2,Data!JC:JC),0)</f>
        <v>82784</v>
      </c>
      <c r="F50" s="21">
        <f t="shared" si="3"/>
        <v>4.0199999999999996</v>
      </c>
    </row>
    <row r="51" spans="1:6" x14ac:dyDescent="0.2">
      <c r="A51" s="19">
        <v>16</v>
      </c>
      <c r="B51" s="180" t="s">
        <v>14</v>
      </c>
      <c r="C51" s="181"/>
      <c r="D51" s="14">
        <f>IF(F3="1",SUMIF(Data!A:A,'22'!$A$2,Data!DJ:DJ),0)</f>
        <v>122595</v>
      </c>
      <c r="E51" s="17">
        <f>IF($F$3="1",SUMIF(Data!$A:$A,$A$2,Data!JD:JD),0)</f>
        <v>83961</v>
      </c>
      <c r="F51" s="21">
        <f t="shared" si="3"/>
        <v>0.68</v>
      </c>
    </row>
    <row r="52" spans="1:6" x14ac:dyDescent="0.2">
      <c r="A52" s="19">
        <v>17</v>
      </c>
      <c r="B52" s="180" t="s">
        <v>15</v>
      </c>
      <c r="C52" s="181"/>
      <c r="D52" s="14">
        <f>IF(F3="1",SUMIF(Data!A:A,'22'!$A$2,Data!DK:DK),0)</f>
        <v>15850</v>
      </c>
      <c r="E52" s="17">
        <f>IF($F$3="1",SUMIF(Data!$A:$A,$A$2,Data!JE:JE),0)</f>
        <v>0</v>
      </c>
      <c r="F52" s="21" t="str">
        <f t="shared" si="3"/>
        <v/>
      </c>
    </row>
    <row r="53" spans="1:6" x14ac:dyDescent="0.2">
      <c r="A53" s="19">
        <v>18</v>
      </c>
      <c r="B53" s="180" t="s">
        <v>16</v>
      </c>
      <c r="C53" s="181"/>
      <c r="D53" s="14">
        <f>IF(F3="1",SUMIF(Data!A:A,'22'!$A$2,Data!DL:DL),0)</f>
        <v>60057</v>
      </c>
      <c r="E53" s="17">
        <f>IF($F$3="1",SUMIF(Data!$A:$A,$A$2,Data!JF:JF),0)</f>
        <v>30888</v>
      </c>
      <c r="F53" s="21">
        <f t="shared" si="3"/>
        <v>0.51</v>
      </c>
    </row>
    <row r="54" spans="1:6" x14ac:dyDescent="0.2">
      <c r="A54" s="19">
        <v>19</v>
      </c>
      <c r="B54" s="180" t="s">
        <v>17</v>
      </c>
      <c r="C54" s="181"/>
      <c r="D54" s="14">
        <f>IF(F3="1",SUMIF(Data!A:A,'22'!$A$2,Data!DM:DM),0)</f>
        <v>115760</v>
      </c>
      <c r="E54" s="17">
        <f>IF($F$3="1",SUMIF(Data!$A:$A,$A$2,Data!JG:JG),0)</f>
        <v>29798</v>
      </c>
      <c r="F54" s="21">
        <f t="shared" si="3"/>
        <v>0.26</v>
      </c>
    </row>
    <row r="55" spans="1:6" x14ac:dyDescent="0.2">
      <c r="A55" s="19">
        <v>20</v>
      </c>
      <c r="B55" s="180" t="s">
        <v>18</v>
      </c>
      <c r="C55" s="181"/>
      <c r="D55" s="14">
        <f>IF(F3="1",SUMIF(Data!A:A,'22'!$A$2,Data!DN:DN),0)</f>
        <v>2304</v>
      </c>
      <c r="E55" s="17">
        <f>IF($F$3="1",SUMIF(Data!$A:$A,$A$2,Data!JH:JH),0)</f>
        <v>697</v>
      </c>
      <c r="F55" s="21">
        <f t="shared" si="3"/>
        <v>0.3</v>
      </c>
    </row>
    <row r="56" spans="1:6" ht="14.25" customHeight="1" x14ac:dyDescent="0.2">
      <c r="A56" s="19">
        <v>21</v>
      </c>
      <c r="B56" s="180" t="s">
        <v>461</v>
      </c>
      <c r="C56" s="181"/>
      <c r="D56" s="14">
        <f>IF(F3="1",SUMIF(Data!A:A,'22'!$A$2,Data!DO:DO),0)</f>
        <v>924</v>
      </c>
      <c r="E56" s="17">
        <f>IF($F$3="1",SUMIF(Data!$A:$A,$A$2,Data!JI:JI),0)</f>
        <v>280</v>
      </c>
      <c r="F56" s="21">
        <f t="shared" si="3"/>
        <v>0.3</v>
      </c>
    </row>
    <row r="57" spans="1:6" x14ac:dyDescent="0.2">
      <c r="A57" s="19">
        <v>22</v>
      </c>
      <c r="B57" s="180" t="s">
        <v>19</v>
      </c>
      <c r="C57" s="181"/>
      <c r="D57" s="14">
        <f>IF(F3="1",SUMIF(Data!A:A,'22'!$A$2,Data!DP:DP),0)</f>
        <v>11034</v>
      </c>
      <c r="E57" s="17">
        <f>IF($F$3="1",SUMIF(Data!$A:$A,$A$2,Data!JJ:JJ),0)</f>
        <v>339</v>
      </c>
      <c r="F57" s="21">
        <f t="shared" si="3"/>
        <v>0.03</v>
      </c>
    </row>
    <row r="58" spans="1:6" x14ac:dyDescent="0.2">
      <c r="A58" s="19">
        <v>23</v>
      </c>
      <c r="B58" s="180" t="s">
        <v>20</v>
      </c>
      <c r="C58" s="181"/>
      <c r="D58" s="14">
        <f>IF(F3="1",SUMIF(Data!A:A,'22'!$A$2,Data!DQ:DQ),0)</f>
        <v>42192</v>
      </c>
      <c r="E58" s="17">
        <f>IF($F$3="1",SUMIF(Data!$A:$A,$A$2,Data!JK:JK),0)</f>
        <v>54643</v>
      </c>
      <c r="F58" s="21">
        <f t="shared" si="3"/>
        <v>1.3</v>
      </c>
    </row>
    <row r="59" spans="1:6" x14ac:dyDescent="0.2">
      <c r="A59" s="19">
        <v>24</v>
      </c>
      <c r="B59" s="180" t="s">
        <v>21</v>
      </c>
      <c r="C59" s="181"/>
      <c r="D59" s="14">
        <f>IF(F3="1",SUMIF(Data!A:A,'22'!$A$2,Data!DR:DR),0)</f>
        <v>100819</v>
      </c>
      <c r="E59" s="17">
        <f>IF($F$3="1",SUMIF(Data!$A:$A,$A$2,Data!JL:JL),0)</f>
        <v>77948</v>
      </c>
      <c r="F59" s="21">
        <f t="shared" si="3"/>
        <v>0.77</v>
      </c>
    </row>
    <row r="60" spans="1:6" x14ac:dyDescent="0.2">
      <c r="A60" s="19">
        <v>25</v>
      </c>
      <c r="B60" s="180" t="s">
        <v>22</v>
      </c>
      <c r="C60" s="181"/>
      <c r="D60" s="14">
        <f>IF(F3="1",SUMIF(Data!A:A,'22'!$A$2,Data!DS:DS),0)</f>
        <v>185228</v>
      </c>
      <c r="E60" s="17">
        <f>IF($F$3="1",SUMIF(Data!$A:$A,$A$2,Data!JM:JM),0)</f>
        <v>28160</v>
      </c>
      <c r="F60" s="21">
        <f t="shared" si="3"/>
        <v>0.15</v>
      </c>
    </row>
    <row r="61" spans="1:6" x14ac:dyDescent="0.2">
      <c r="A61" s="19">
        <v>26</v>
      </c>
      <c r="B61" s="180" t="s">
        <v>23</v>
      </c>
      <c r="C61" s="181"/>
      <c r="D61" s="14">
        <f>IF(F3="1",SUMIF(Data!A:A,'22'!$A$2,Data!DT:DT),0)</f>
        <v>49883</v>
      </c>
      <c r="E61" s="17">
        <f>IF($F$3="1",SUMIF(Data!$A:$A,$A$2,Data!JN:JN),0)</f>
        <v>23494</v>
      </c>
      <c r="F61" s="21">
        <f t="shared" si="3"/>
        <v>0.47</v>
      </c>
    </row>
    <row r="62" spans="1:6" x14ac:dyDescent="0.2">
      <c r="A62" s="19">
        <v>28</v>
      </c>
      <c r="B62" s="180" t="s">
        <v>24</v>
      </c>
      <c r="C62" s="181"/>
      <c r="D62" s="14">
        <f>IF(F3="1",SUMIF(Data!A:A,'22'!$A$2,Data!DV:DV),0)</f>
        <v>0</v>
      </c>
      <c r="E62" s="17">
        <f>IF($F$3="1",SUMIF(Data!$A:$A,$A$2,Data!JP:JP),0)</f>
        <v>0</v>
      </c>
      <c r="F62" s="21" t="str">
        <f t="shared" si="3"/>
        <v/>
      </c>
    </row>
    <row r="63" spans="1:6" ht="15.75" customHeight="1" thickBot="1" x14ac:dyDescent="0.25">
      <c r="A63" s="22">
        <v>29</v>
      </c>
      <c r="B63" s="184" t="s">
        <v>25</v>
      </c>
      <c r="C63" s="185"/>
      <c r="D63" s="23">
        <f>IF(F3="1",SUMIF(Data!A:A,'22'!$A$2,Data!DW:DW),0)</f>
        <v>0</v>
      </c>
      <c r="E63" s="24">
        <f>IF($F$3="1",SUMIF(Data!$A:$A,$A$2,Data!JQ:JQ),0)</f>
        <v>0</v>
      </c>
      <c r="F63" s="25" t="str">
        <f t="shared" si="3"/>
        <v/>
      </c>
    </row>
    <row r="64" spans="1:6" x14ac:dyDescent="0.2">
      <c r="B64" s="30" t="s">
        <v>35</v>
      </c>
      <c r="C64" s="30"/>
      <c r="D64" s="59">
        <f>SUM(D36:D63)</f>
        <v>2248517</v>
      </c>
      <c r="E64" s="31">
        <f>SUM(E36:E63)</f>
        <v>1621363</v>
      </c>
      <c r="F64" s="32">
        <f t="shared" si="3"/>
        <v>0.72</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77447</v>
      </c>
      <c r="E67" s="15">
        <f>IF(F3="1",SUMIF(Data!A:A,'22'!$A$2,Data!DY:DY),0)</f>
        <v>206025</v>
      </c>
      <c r="F67" s="20">
        <f t="shared" ref="F67:F95" si="4">IF(OR(D67=0,E67=0),"",ROUND(E67/D67,2))</f>
        <v>2.66</v>
      </c>
    </row>
    <row r="68" spans="1:6" x14ac:dyDescent="0.2">
      <c r="A68" s="19">
        <v>2</v>
      </c>
      <c r="B68" s="180" t="s">
        <v>1</v>
      </c>
      <c r="C68" s="181"/>
      <c r="D68" s="14">
        <f t="shared" ref="D68:D94" si="5">D37</f>
        <v>48494</v>
      </c>
      <c r="E68" s="17">
        <f>IF(F3="1",SUMIF(Data!A:A,'22'!$A$2,Data!DZ:DZ),0)</f>
        <v>109252</v>
      </c>
      <c r="F68" s="21">
        <f t="shared" si="4"/>
        <v>2.25</v>
      </c>
    </row>
    <row r="69" spans="1:6" ht="14.25" customHeight="1" x14ac:dyDescent="0.2">
      <c r="A69" s="19">
        <v>3</v>
      </c>
      <c r="B69" s="180" t="s">
        <v>2</v>
      </c>
      <c r="C69" s="181"/>
      <c r="D69" s="14">
        <f t="shared" si="5"/>
        <v>112896</v>
      </c>
      <c r="E69" s="17">
        <f>IF(F3="1",SUMIF(Data!A:A,'22'!$A$2,Data!EA:EA),0)</f>
        <v>347138</v>
      </c>
      <c r="F69" s="21">
        <f t="shared" si="4"/>
        <v>3.07</v>
      </c>
    </row>
    <row r="70" spans="1:6" ht="14.25" customHeight="1" x14ac:dyDescent="0.2">
      <c r="A70" s="19">
        <v>4</v>
      </c>
      <c r="B70" s="180" t="s">
        <v>3</v>
      </c>
      <c r="C70" s="181"/>
      <c r="D70" s="14">
        <f t="shared" si="5"/>
        <v>285162</v>
      </c>
      <c r="E70" s="17">
        <f>IF(F3="1",SUMIF(Data!A:A,'22'!$A$2,Data!EB:EB),0)</f>
        <v>462168</v>
      </c>
      <c r="F70" s="21">
        <f t="shared" si="4"/>
        <v>1.62</v>
      </c>
    </row>
    <row r="71" spans="1:6" x14ac:dyDescent="0.2">
      <c r="A71" s="19">
        <v>5</v>
      </c>
      <c r="B71" s="180" t="s">
        <v>4</v>
      </c>
      <c r="C71" s="181"/>
      <c r="D71" s="14">
        <f t="shared" si="5"/>
        <v>0</v>
      </c>
      <c r="E71" s="17">
        <f>IF(F3="1",SUMIF(Data!A:A,'22'!$A$2,Data!EC:EC),0)</f>
        <v>0</v>
      </c>
      <c r="F71" s="21" t="str">
        <f t="shared" si="4"/>
        <v/>
      </c>
    </row>
    <row r="72" spans="1:6" x14ac:dyDescent="0.2">
      <c r="A72" s="19">
        <v>6</v>
      </c>
      <c r="B72" s="180" t="s">
        <v>5</v>
      </c>
      <c r="C72" s="181"/>
      <c r="D72" s="14">
        <f t="shared" si="5"/>
        <v>66472</v>
      </c>
      <c r="E72" s="17">
        <f>IF(F3="1",SUMIF(Data!A:A,'22'!$A$2,Data!ED:ED),0)</f>
        <v>16921</v>
      </c>
      <c r="F72" s="21">
        <f t="shared" si="4"/>
        <v>0.25</v>
      </c>
    </row>
    <row r="73" spans="1:6" x14ac:dyDescent="0.2">
      <c r="A73" s="19">
        <v>7</v>
      </c>
      <c r="B73" s="180" t="s">
        <v>6</v>
      </c>
      <c r="C73" s="181"/>
      <c r="D73" s="14">
        <f t="shared" si="5"/>
        <v>211988</v>
      </c>
      <c r="E73" s="17">
        <f>IF(F3="1",SUMIF(Data!A:A,'22'!$A$2,Data!EE:EE),0)</f>
        <v>449709</v>
      </c>
      <c r="F73" s="21">
        <f t="shared" si="4"/>
        <v>2.12</v>
      </c>
    </row>
    <row r="74" spans="1:6" x14ac:dyDescent="0.2">
      <c r="A74" s="19">
        <v>8</v>
      </c>
      <c r="B74" s="180" t="s">
        <v>7</v>
      </c>
      <c r="C74" s="181"/>
      <c r="D74" s="14">
        <f t="shared" si="5"/>
        <v>113636</v>
      </c>
      <c r="E74" s="17">
        <f>IF(F3="1",SUMIF(Data!A:A,'22'!$A$2,Data!EF:EF),0)</f>
        <v>325216</v>
      </c>
      <c r="F74" s="21">
        <f t="shared" si="4"/>
        <v>2.86</v>
      </c>
    </row>
    <row r="75" spans="1:6" x14ac:dyDescent="0.2">
      <c r="A75" s="19">
        <v>9</v>
      </c>
      <c r="B75" s="180" t="s">
        <v>8</v>
      </c>
      <c r="C75" s="181"/>
      <c r="D75" s="14">
        <f t="shared" si="5"/>
        <v>205374</v>
      </c>
      <c r="E75" s="17">
        <f>IF(F3="1",SUMIF(Data!A:A,'22'!$A$2,Data!EG:EG),0)</f>
        <v>292754</v>
      </c>
      <c r="F75" s="21">
        <f t="shared" si="4"/>
        <v>1.43</v>
      </c>
    </row>
    <row r="76" spans="1:6" x14ac:dyDescent="0.2">
      <c r="A76" s="19">
        <v>10</v>
      </c>
      <c r="B76" s="180" t="s">
        <v>9</v>
      </c>
      <c r="C76" s="181"/>
      <c r="D76" s="14">
        <f t="shared" si="5"/>
        <v>240</v>
      </c>
      <c r="E76" s="17">
        <f>IF(F3="1",SUMIF(Data!A:A,'22'!$A$2,Data!EH:EH),0)</f>
        <v>1200</v>
      </c>
      <c r="F76" s="21">
        <f t="shared" si="4"/>
        <v>5</v>
      </c>
    </row>
    <row r="77" spans="1:6" x14ac:dyDescent="0.2">
      <c r="A77" s="19">
        <v>11</v>
      </c>
      <c r="B77" s="180" t="s">
        <v>10</v>
      </c>
      <c r="C77" s="181"/>
      <c r="D77" s="14">
        <f t="shared" si="5"/>
        <v>75957</v>
      </c>
      <c r="E77" s="17">
        <f>IF(F3="1",SUMIF(Data!A:A,'22'!$A$2,Data!EI:EI),0)</f>
        <v>186893</v>
      </c>
      <c r="F77" s="21">
        <f t="shared" si="4"/>
        <v>2.46</v>
      </c>
    </row>
    <row r="78" spans="1:6" ht="14.25" customHeight="1" x14ac:dyDescent="0.2">
      <c r="A78" s="19">
        <v>12</v>
      </c>
      <c r="B78" s="180" t="s">
        <v>11</v>
      </c>
      <c r="C78" s="181"/>
      <c r="D78" s="14">
        <f t="shared" si="5"/>
        <v>289749</v>
      </c>
      <c r="E78" s="17">
        <f>IF(F3="1",SUMIF(Data!A:A,'22'!$A$2,Data!EJ:EJ),0)</f>
        <v>558104</v>
      </c>
      <c r="F78" s="21">
        <f t="shared" si="4"/>
        <v>1.93</v>
      </c>
    </row>
    <row r="79" spans="1:6" x14ac:dyDescent="0.2">
      <c r="A79" s="19">
        <v>13</v>
      </c>
      <c r="B79" s="180" t="s">
        <v>12</v>
      </c>
      <c r="C79" s="181"/>
      <c r="D79" s="14">
        <f t="shared" si="5"/>
        <v>8888</v>
      </c>
      <c r="E79" s="17">
        <f>IF(F3="1",SUMIF(Data!A:A,'22'!$A$2,Data!EK:EK),0)</f>
        <v>34976</v>
      </c>
      <c r="F79" s="21">
        <f t="shared" si="4"/>
        <v>3.94</v>
      </c>
    </row>
    <row r="80" spans="1:6" ht="14.25" customHeight="1" x14ac:dyDescent="0.2">
      <c r="A80" s="19">
        <v>14</v>
      </c>
      <c r="B80" s="180" t="s">
        <v>464</v>
      </c>
      <c r="C80" s="181"/>
      <c r="D80" s="14">
        <f t="shared" si="5"/>
        <v>24976</v>
      </c>
      <c r="E80" s="17">
        <f>IF(F3="1",SUMIF(Data!A:A,'22'!$A$2,Data!EL:EL),0)</f>
        <v>168423</v>
      </c>
      <c r="F80" s="21">
        <f t="shared" si="4"/>
        <v>6.74</v>
      </c>
    </row>
    <row r="81" spans="1:6" x14ac:dyDescent="0.2">
      <c r="A81" s="19">
        <v>15</v>
      </c>
      <c r="B81" s="180" t="s">
        <v>13</v>
      </c>
      <c r="C81" s="181"/>
      <c r="D81" s="14">
        <f t="shared" si="5"/>
        <v>20592</v>
      </c>
      <c r="E81" s="17">
        <f>IF(F3="1",SUMIF(Data!A:A,'22'!$A$2,Data!EM:EM),0)</f>
        <v>150077</v>
      </c>
      <c r="F81" s="21">
        <f t="shared" si="4"/>
        <v>7.29</v>
      </c>
    </row>
    <row r="82" spans="1:6" x14ac:dyDescent="0.2">
      <c r="A82" s="19">
        <v>16</v>
      </c>
      <c r="B82" s="180" t="s">
        <v>14</v>
      </c>
      <c r="C82" s="181"/>
      <c r="D82" s="14">
        <f t="shared" si="5"/>
        <v>122595</v>
      </c>
      <c r="E82" s="17">
        <f>IF(F3="1",SUMIF(Data!A:A,'22'!$A$2,Data!EN:EN),0)</f>
        <v>291349</v>
      </c>
      <c r="F82" s="21">
        <f t="shared" si="4"/>
        <v>2.38</v>
      </c>
    </row>
    <row r="83" spans="1:6" x14ac:dyDescent="0.2">
      <c r="A83" s="19">
        <v>17</v>
      </c>
      <c r="B83" s="180" t="s">
        <v>15</v>
      </c>
      <c r="C83" s="181"/>
      <c r="D83" s="14">
        <f t="shared" si="5"/>
        <v>15850</v>
      </c>
      <c r="E83" s="17">
        <f>IF(F3="1",SUMIF(Data!A:A,'22'!$A$2,Data!EO:EO),0)</f>
        <v>93205</v>
      </c>
      <c r="F83" s="21">
        <f t="shared" si="4"/>
        <v>5.88</v>
      </c>
    </row>
    <row r="84" spans="1:6" x14ac:dyDescent="0.2">
      <c r="A84" s="19">
        <v>18</v>
      </c>
      <c r="B84" s="180" t="s">
        <v>16</v>
      </c>
      <c r="C84" s="181"/>
      <c r="D84" s="14">
        <f t="shared" si="5"/>
        <v>60057</v>
      </c>
      <c r="E84" s="17">
        <f>IF(F3="1",SUMIF(Data!A:A,'22'!$A$2,Data!EP:EP),0)</f>
        <v>252196</v>
      </c>
      <c r="F84" s="21">
        <f t="shared" si="4"/>
        <v>4.2</v>
      </c>
    </row>
    <row r="85" spans="1:6" x14ac:dyDescent="0.2">
      <c r="A85" s="19">
        <v>19</v>
      </c>
      <c r="B85" s="180" t="s">
        <v>17</v>
      </c>
      <c r="C85" s="181"/>
      <c r="D85" s="14">
        <f t="shared" si="5"/>
        <v>115760</v>
      </c>
      <c r="E85" s="17">
        <f>IF(F3="1",SUMIF(Data!A:A,'22'!$A$2,Data!EQ:EQ),0)</f>
        <v>284136</v>
      </c>
      <c r="F85" s="21">
        <f t="shared" si="4"/>
        <v>2.4500000000000002</v>
      </c>
    </row>
    <row r="86" spans="1:6" x14ac:dyDescent="0.2">
      <c r="A86" s="19">
        <v>20</v>
      </c>
      <c r="B86" s="180" t="s">
        <v>18</v>
      </c>
      <c r="C86" s="181"/>
      <c r="D86" s="14">
        <f t="shared" si="5"/>
        <v>2304</v>
      </c>
      <c r="E86" s="17">
        <f>IF(F3="1",SUMIF(Data!A:A,'22'!$A$2,Data!ER:ER),0)</f>
        <v>5093</v>
      </c>
      <c r="F86" s="21">
        <f t="shared" si="4"/>
        <v>2.21</v>
      </c>
    </row>
    <row r="87" spans="1:6" ht="14.25" customHeight="1" x14ac:dyDescent="0.2">
      <c r="A87" s="19">
        <v>21</v>
      </c>
      <c r="B87" s="180" t="s">
        <v>461</v>
      </c>
      <c r="C87" s="181"/>
      <c r="D87" s="14">
        <f t="shared" si="5"/>
        <v>924</v>
      </c>
      <c r="E87" s="17">
        <f>IF(F3="1",SUMIF(Data!A:A,'22'!$A$2,Data!ES:ES),0)</f>
        <v>1711</v>
      </c>
      <c r="F87" s="21">
        <f t="shared" si="4"/>
        <v>1.85</v>
      </c>
    </row>
    <row r="88" spans="1:6" x14ac:dyDescent="0.2">
      <c r="A88" s="19">
        <v>22</v>
      </c>
      <c r="B88" s="180" t="s">
        <v>19</v>
      </c>
      <c r="C88" s="181"/>
      <c r="D88" s="14">
        <f t="shared" si="5"/>
        <v>11034</v>
      </c>
      <c r="E88" s="17">
        <f>IF(F3="1",SUMIF(Data!A:A,'22'!$A$2,Data!ET:ET),0)</f>
        <v>10034</v>
      </c>
      <c r="F88" s="21">
        <f t="shared" si="4"/>
        <v>0.91</v>
      </c>
    </row>
    <row r="89" spans="1:6" x14ac:dyDescent="0.2">
      <c r="A89" s="19">
        <v>23</v>
      </c>
      <c r="B89" s="180" t="s">
        <v>20</v>
      </c>
      <c r="C89" s="181"/>
      <c r="D89" s="14">
        <f t="shared" si="5"/>
        <v>42192</v>
      </c>
      <c r="E89" s="17">
        <f>IF(F3="1",SUMIF(Data!A:A,'22'!$A$2,Data!EU:EU),0)</f>
        <v>395590</v>
      </c>
      <c r="F89" s="21">
        <f t="shared" si="4"/>
        <v>9.3800000000000008</v>
      </c>
    </row>
    <row r="90" spans="1:6" x14ac:dyDescent="0.2">
      <c r="A90" s="19">
        <v>24</v>
      </c>
      <c r="B90" s="180" t="s">
        <v>21</v>
      </c>
      <c r="C90" s="181"/>
      <c r="D90" s="14">
        <f t="shared" si="5"/>
        <v>100819</v>
      </c>
      <c r="E90" s="17">
        <f>IF(F3="1",SUMIF(Data!A:A,'22'!$A$2,Data!EV:EV),0)</f>
        <v>88264</v>
      </c>
      <c r="F90" s="21">
        <f t="shared" si="4"/>
        <v>0.88</v>
      </c>
    </row>
    <row r="91" spans="1:6" x14ac:dyDescent="0.2">
      <c r="A91" s="19">
        <v>25</v>
      </c>
      <c r="B91" s="180" t="s">
        <v>22</v>
      </c>
      <c r="C91" s="181"/>
      <c r="D91" s="14">
        <f t="shared" si="5"/>
        <v>185228</v>
      </c>
      <c r="E91" s="17">
        <f>IF(F3="1",SUMIF(Data!A:A,'22'!$A$2,Data!EW:EW),0)</f>
        <v>374560</v>
      </c>
      <c r="F91" s="21">
        <f t="shared" si="4"/>
        <v>2.02</v>
      </c>
    </row>
    <row r="92" spans="1:6" x14ac:dyDescent="0.2">
      <c r="A92" s="19">
        <v>26</v>
      </c>
      <c r="B92" s="180" t="s">
        <v>23</v>
      </c>
      <c r="C92" s="181"/>
      <c r="D92" s="14">
        <f t="shared" si="5"/>
        <v>49883</v>
      </c>
      <c r="E92" s="17">
        <f>IF(F3="1",SUMIF(Data!A:A,'22'!$A$2,Data!EX:EX),0)</f>
        <v>169564</v>
      </c>
      <c r="F92" s="21">
        <f t="shared" si="4"/>
        <v>3.4</v>
      </c>
    </row>
    <row r="93" spans="1:6" x14ac:dyDescent="0.2">
      <c r="A93" s="19">
        <v>28</v>
      </c>
      <c r="B93" s="180" t="s">
        <v>24</v>
      </c>
      <c r="C93" s="181"/>
      <c r="D93" s="14">
        <f t="shared" si="5"/>
        <v>0</v>
      </c>
      <c r="E93" s="17">
        <f>IF(F3="1",SUMIF(Data!A:A,'22'!$A$2,Data!EZ:EZ),0)</f>
        <v>0</v>
      </c>
      <c r="F93" s="21" t="str">
        <f t="shared" si="4"/>
        <v/>
      </c>
    </row>
    <row r="94" spans="1:6" ht="15.75" customHeight="1" thickBot="1" x14ac:dyDescent="0.25">
      <c r="A94" s="22">
        <v>29</v>
      </c>
      <c r="B94" s="184" t="s">
        <v>25</v>
      </c>
      <c r="C94" s="185"/>
      <c r="D94" s="23">
        <f t="shared" si="5"/>
        <v>0</v>
      </c>
      <c r="E94" s="24">
        <f>IF(F3="1",SUMIF(Data!A:A,'22'!$A$2,Data!FA:FA),0)</f>
        <v>0</v>
      </c>
      <c r="F94" s="25" t="str">
        <f t="shared" si="4"/>
        <v/>
      </c>
    </row>
    <row r="95" spans="1:6" x14ac:dyDescent="0.2">
      <c r="B95" s="30" t="s">
        <v>35</v>
      </c>
      <c r="C95" s="30"/>
      <c r="D95" s="59">
        <f>SUM(D67:D94)</f>
        <v>2248517</v>
      </c>
      <c r="E95" s="31">
        <f>SUM(E67:E94)</f>
        <v>5274558</v>
      </c>
      <c r="F95" s="32">
        <f t="shared" si="4"/>
        <v>2.35</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IF(F3="1",SUMIF(Data!A:A,'22'!$A$2,Data!AH:AH),0)</f>
        <v>4184137</v>
      </c>
      <c r="F98" s="20">
        <f>IF(OR(E98=0,E98=0),"",ROUND(E98/$D$105,2))</f>
        <v>1.86</v>
      </c>
    </row>
    <row r="99" spans="2:6" x14ac:dyDescent="0.2">
      <c r="B99" s="190" t="s">
        <v>31</v>
      </c>
      <c r="C99" s="191"/>
      <c r="D99" s="36"/>
      <c r="E99" s="17">
        <f>IF(F3="1",SUMIF(Data!A:A,'22'!$A$2,Data!AI:AI),0)</f>
        <v>903116</v>
      </c>
      <c r="F99" s="21">
        <f t="shared" ref="F99:F104" si="6">IF(OR(E99=0,E99=0),"",ROUND(E99/$D$105,2))</f>
        <v>0.4</v>
      </c>
    </row>
    <row r="100" spans="2:6" x14ac:dyDescent="0.2">
      <c r="B100" s="190" t="s">
        <v>1089</v>
      </c>
      <c r="C100" s="191"/>
      <c r="D100" s="36"/>
      <c r="E100" s="17">
        <f>IF(F3="1",SUMIF(Data!A:A,'22'!$A$2,Data!AJ:AJ),0)</f>
        <v>184394</v>
      </c>
      <c r="F100" s="21">
        <f t="shared" si="6"/>
        <v>0.08</v>
      </c>
    </row>
    <row r="101" spans="2:6" x14ac:dyDescent="0.2">
      <c r="B101" s="190" t="s">
        <v>1090</v>
      </c>
      <c r="C101" s="191"/>
      <c r="D101" s="36"/>
      <c r="E101" s="17">
        <f>IF(F3="1",SUMIF(Data!A:A,'22'!$A$2,Data!AK:AK),0)</f>
        <v>590424</v>
      </c>
      <c r="F101" s="21">
        <f t="shared" si="6"/>
        <v>0.26</v>
      </c>
    </row>
    <row r="102" spans="2:6" x14ac:dyDescent="0.2">
      <c r="B102" s="190" t="s">
        <v>1091</v>
      </c>
      <c r="C102" s="191"/>
      <c r="D102" s="36"/>
      <c r="E102" s="17">
        <f>IF(F3="1",SUMIF(Data!A:A,'22'!$A$2,Data!AL:AL),0)</f>
        <v>0</v>
      </c>
      <c r="F102" s="21" t="str">
        <f t="shared" si="6"/>
        <v/>
      </c>
    </row>
    <row r="103" spans="2:6" x14ac:dyDescent="0.2">
      <c r="B103" s="192" t="s">
        <v>34</v>
      </c>
      <c r="C103" s="193"/>
      <c r="D103" s="36"/>
      <c r="E103" s="17">
        <f>IF(F3="1",SUMIF(Data!A:A,'22'!$A$2,Data!AM:AM),0)</f>
        <v>0</v>
      </c>
      <c r="F103" s="21" t="str">
        <f t="shared" si="6"/>
        <v/>
      </c>
    </row>
    <row r="104" spans="2:6" ht="15.75" customHeight="1" thickBot="1" x14ac:dyDescent="0.25">
      <c r="B104" s="186" t="s">
        <v>29</v>
      </c>
      <c r="C104" s="187"/>
      <c r="D104" s="37"/>
      <c r="E104" s="24">
        <f>IF(F3="1",SUMIF(Data!A:A,'22'!$A$2,Data!Q:Q),0)</f>
        <v>891325</v>
      </c>
      <c r="F104" s="25">
        <f t="shared" si="6"/>
        <v>0.4</v>
      </c>
    </row>
    <row r="105" spans="2:6" x14ac:dyDescent="0.2">
      <c r="B105" s="30" t="s">
        <v>35</v>
      </c>
      <c r="C105" s="30"/>
      <c r="D105" s="34">
        <f>D95</f>
        <v>2248517</v>
      </c>
      <c r="E105" s="31">
        <f>SUM(E98:E104)</f>
        <v>6753396</v>
      </c>
      <c r="F105" s="32">
        <f>IF($D$105=0,"",ROUND(E105/$D$105,2))</f>
        <v>3</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5274558</v>
      </c>
      <c r="D109" s="15">
        <f>IF(F3="1",SUMIF(Data!$A:$A,$A$2,Data!HJ:HJ),0)</f>
        <v>0</v>
      </c>
      <c r="E109" s="15">
        <f>IF(F3="1",SUMIF(Data!$A:$A,$A$2,Data!IN:IN),0)</f>
        <v>0</v>
      </c>
      <c r="F109" s="47">
        <f>SUM(C109:E109)</f>
        <v>5274558</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891325</v>
      </c>
      <c r="E117" s="52"/>
      <c r="F117" s="49">
        <f>SUM(C117:E117)</f>
        <v>891325</v>
      </c>
    </row>
    <row r="118" spans="1:6" x14ac:dyDescent="0.2">
      <c r="B118" s="13" t="s">
        <v>35</v>
      </c>
      <c r="C118" s="4">
        <f>SUM(C109:C116)</f>
        <v>5274558</v>
      </c>
      <c r="D118" s="4">
        <f>SUM(D109:D116)</f>
        <v>0</v>
      </c>
      <c r="E118" s="4">
        <f>SUM(E109:E116)</f>
        <v>0</v>
      </c>
      <c r="F118" s="4">
        <f>SUM(F109:F116)</f>
        <v>5274558</v>
      </c>
    </row>
    <row r="119" spans="1:6" ht="15" thickBot="1" x14ac:dyDescent="0.25"/>
    <row r="120" spans="1:6" ht="15" thickBot="1" x14ac:dyDescent="0.25">
      <c r="B120" s="55" t="s">
        <v>934</v>
      </c>
      <c r="C120" s="53"/>
      <c r="D120" s="53"/>
      <c r="E120" s="53">
        <f>IF(F3="1",SUMIF(Data!A:A,'22'!$A$2,Data!AM:AM),0)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376</v>
      </c>
      <c r="B2" s="58" t="str">
        <f>VLOOKUP(A2,Data!A:G,7,0)</f>
        <v>Kilgore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7483</v>
      </c>
      <c r="E5" s="15">
        <f>E36+E67+IFERROR($E$105/$D$105*D5,0)</f>
        <v>68275.625300072992</v>
      </c>
      <c r="F5" s="20">
        <f>IF(OR(D5=0,E5=0),"",ROUND(E5/D5,2))</f>
        <v>9.1199999999999992</v>
      </c>
    </row>
    <row r="6" spans="1:6" x14ac:dyDescent="0.2">
      <c r="A6" s="19">
        <v>2</v>
      </c>
      <c r="B6" s="180" t="s">
        <v>1</v>
      </c>
      <c r="C6" s="181"/>
      <c r="D6" s="14">
        <f t="shared" ref="D6:D32" si="0">D37</f>
        <v>43487</v>
      </c>
      <c r="E6" s="17">
        <f t="shared" ref="E6:E32" si="1">E37+E68+IFERROR($E$105/$D$105*D6,0)</f>
        <v>264061.05110574292</v>
      </c>
      <c r="F6" s="21">
        <f t="shared" ref="F6:F33" si="2">IF(OR(D6=0,E6=0),"",ROUND(E6/D6,2))</f>
        <v>6.07</v>
      </c>
    </row>
    <row r="7" spans="1:6" ht="14.25" customHeight="1" x14ac:dyDescent="0.2">
      <c r="A7" s="19">
        <v>3</v>
      </c>
      <c r="B7" s="180" t="s">
        <v>2</v>
      </c>
      <c r="C7" s="181"/>
      <c r="D7" s="14">
        <f t="shared" si="0"/>
        <v>222496</v>
      </c>
      <c r="E7" s="17">
        <f t="shared" si="1"/>
        <v>1176620.5746044421</v>
      </c>
      <c r="F7" s="21">
        <f t="shared" si="2"/>
        <v>5.29</v>
      </c>
    </row>
    <row r="8" spans="1:6" ht="14.25" customHeight="1" x14ac:dyDescent="0.2">
      <c r="A8" s="19">
        <v>4</v>
      </c>
      <c r="B8" s="180" t="s">
        <v>3</v>
      </c>
      <c r="C8" s="181"/>
      <c r="D8" s="14">
        <f t="shared" si="0"/>
        <v>226228</v>
      </c>
      <c r="E8" s="17">
        <f t="shared" si="1"/>
        <v>1175461.8424943089</v>
      </c>
      <c r="F8" s="21">
        <f t="shared" si="2"/>
        <v>5.2</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8824</v>
      </c>
      <c r="E10" s="17">
        <f t="shared" si="1"/>
        <v>107293.25934088521</v>
      </c>
      <c r="F10" s="21">
        <f t="shared" si="2"/>
        <v>12.16</v>
      </c>
    </row>
    <row r="11" spans="1:6" x14ac:dyDescent="0.2">
      <c r="A11" s="19">
        <v>7</v>
      </c>
      <c r="B11" s="180" t="s">
        <v>6</v>
      </c>
      <c r="C11" s="181"/>
      <c r="D11" s="14">
        <f t="shared" si="0"/>
        <v>117007</v>
      </c>
      <c r="E11" s="17">
        <f t="shared" si="1"/>
        <v>542906.34244095162</v>
      </c>
      <c r="F11" s="21">
        <f t="shared" si="2"/>
        <v>4.6399999999999997</v>
      </c>
    </row>
    <row r="12" spans="1:6" x14ac:dyDescent="0.2">
      <c r="A12" s="19">
        <v>8</v>
      </c>
      <c r="B12" s="180" t="s">
        <v>7</v>
      </c>
      <c r="C12" s="181"/>
      <c r="D12" s="14">
        <f t="shared" si="0"/>
        <v>10890</v>
      </c>
      <c r="E12" s="17">
        <f t="shared" si="1"/>
        <v>85141.940868340898</v>
      </c>
      <c r="F12" s="21">
        <f t="shared" si="2"/>
        <v>7.82</v>
      </c>
    </row>
    <row r="13" spans="1:6" x14ac:dyDescent="0.2">
      <c r="A13" s="19">
        <v>9</v>
      </c>
      <c r="B13" s="180" t="s">
        <v>8</v>
      </c>
      <c r="C13" s="181"/>
      <c r="D13" s="14">
        <f t="shared" si="0"/>
        <v>278214</v>
      </c>
      <c r="E13" s="17">
        <f t="shared" si="1"/>
        <v>958447.2006193382</v>
      </c>
      <c r="F13" s="21">
        <f t="shared" si="2"/>
        <v>3.44</v>
      </c>
    </row>
    <row r="14" spans="1:6" x14ac:dyDescent="0.2">
      <c r="A14" s="19">
        <v>10</v>
      </c>
      <c r="B14" s="180" t="s">
        <v>9</v>
      </c>
      <c r="C14" s="181"/>
      <c r="D14" s="14">
        <f t="shared" si="0"/>
        <v>1360</v>
      </c>
      <c r="E14" s="17">
        <f t="shared" si="1"/>
        <v>40585.723561151848</v>
      </c>
      <c r="F14" s="21">
        <f t="shared" si="2"/>
        <v>29.84</v>
      </c>
    </row>
    <row r="15" spans="1:6" x14ac:dyDescent="0.2">
      <c r="A15" s="19">
        <v>11</v>
      </c>
      <c r="B15" s="180" t="s">
        <v>10</v>
      </c>
      <c r="C15" s="181"/>
      <c r="D15" s="14">
        <f t="shared" si="0"/>
        <v>90056</v>
      </c>
      <c r="E15" s="17">
        <f t="shared" si="1"/>
        <v>533147.46545815491</v>
      </c>
      <c r="F15" s="21">
        <f t="shared" si="2"/>
        <v>5.92</v>
      </c>
    </row>
    <row r="16" spans="1:6" ht="14.25" customHeight="1" x14ac:dyDescent="0.2">
      <c r="A16" s="19">
        <v>12</v>
      </c>
      <c r="B16" s="180" t="s">
        <v>11</v>
      </c>
      <c r="C16" s="181"/>
      <c r="D16" s="14">
        <f t="shared" si="0"/>
        <v>353648</v>
      </c>
      <c r="E16" s="17">
        <f t="shared" si="1"/>
        <v>1577573.4573192857</v>
      </c>
      <c r="F16" s="21">
        <f t="shared" si="2"/>
        <v>4.46</v>
      </c>
    </row>
    <row r="17" spans="1:6" x14ac:dyDescent="0.2">
      <c r="A17" s="19">
        <v>13</v>
      </c>
      <c r="B17" s="180" t="s">
        <v>12</v>
      </c>
      <c r="C17" s="181"/>
      <c r="D17" s="14">
        <f t="shared" si="0"/>
        <v>22442</v>
      </c>
      <c r="E17" s="17">
        <f t="shared" si="1"/>
        <v>210005.36923483069</v>
      </c>
      <c r="F17" s="21">
        <f t="shared" si="2"/>
        <v>9.36</v>
      </c>
    </row>
    <row r="18" spans="1:6" ht="14.25" customHeight="1" x14ac:dyDescent="0.2">
      <c r="A18" s="19">
        <v>14</v>
      </c>
      <c r="B18" s="180" t="s">
        <v>464</v>
      </c>
      <c r="C18" s="181"/>
      <c r="D18" s="14">
        <f t="shared" si="0"/>
        <v>92000</v>
      </c>
      <c r="E18" s="17">
        <f t="shared" si="1"/>
        <v>731294.88796027203</v>
      </c>
      <c r="F18" s="21">
        <f t="shared" si="2"/>
        <v>7.95</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159648</v>
      </c>
      <c r="E20" s="17">
        <f t="shared" si="1"/>
        <v>883472.30227262503</v>
      </c>
      <c r="F20" s="21">
        <f t="shared" si="2"/>
        <v>5.53</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84848</v>
      </c>
      <c r="E22" s="17">
        <f t="shared" si="1"/>
        <v>426626.50640927348</v>
      </c>
      <c r="F22" s="21">
        <f t="shared" si="2"/>
        <v>5.03</v>
      </c>
    </row>
    <row r="23" spans="1:6" x14ac:dyDescent="0.2">
      <c r="A23" s="19">
        <v>19</v>
      </c>
      <c r="B23" s="180" t="s">
        <v>17</v>
      </c>
      <c r="C23" s="181"/>
      <c r="D23" s="14">
        <f t="shared" si="0"/>
        <v>271776</v>
      </c>
      <c r="E23" s="17">
        <f t="shared" si="1"/>
        <v>1132656.4989379444</v>
      </c>
      <c r="F23" s="21">
        <f t="shared" si="2"/>
        <v>4.17</v>
      </c>
    </row>
    <row r="24" spans="1:6" x14ac:dyDescent="0.2">
      <c r="A24" s="19">
        <v>20</v>
      </c>
      <c r="B24" s="180" t="s">
        <v>18</v>
      </c>
      <c r="C24" s="181"/>
      <c r="D24" s="14">
        <f t="shared" si="0"/>
        <v>35376</v>
      </c>
      <c r="E24" s="17">
        <f t="shared" si="1"/>
        <v>200154.25639654981</v>
      </c>
      <c r="F24" s="21">
        <f t="shared" si="2"/>
        <v>5.66</v>
      </c>
    </row>
    <row r="25" spans="1:6" ht="14.25" customHeight="1" x14ac:dyDescent="0.2">
      <c r="A25" s="19">
        <v>21</v>
      </c>
      <c r="B25" s="180" t="s">
        <v>461</v>
      </c>
      <c r="C25" s="181"/>
      <c r="D25" s="14">
        <f t="shared" si="0"/>
        <v>13312</v>
      </c>
      <c r="E25" s="17">
        <f t="shared" si="1"/>
        <v>135943.2470926863</v>
      </c>
      <c r="F25" s="21">
        <f t="shared" si="2"/>
        <v>10.210000000000001</v>
      </c>
    </row>
    <row r="26" spans="1:6" x14ac:dyDescent="0.2">
      <c r="A26" s="19">
        <v>22</v>
      </c>
      <c r="B26" s="180" t="s">
        <v>19</v>
      </c>
      <c r="C26" s="181"/>
      <c r="D26" s="14">
        <f t="shared" si="0"/>
        <v>0</v>
      </c>
      <c r="E26" s="17">
        <f t="shared" si="1"/>
        <v>0</v>
      </c>
      <c r="F26" s="21" t="str">
        <f t="shared" si="2"/>
        <v/>
      </c>
    </row>
    <row r="27" spans="1:6" x14ac:dyDescent="0.2">
      <c r="A27" s="19">
        <v>23</v>
      </c>
      <c r="B27" s="180" t="s">
        <v>20</v>
      </c>
      <c r="C27" s="181"/>
      <c r="D27" s="14">
        <f t="shared" si="0"/>
        <v>98048</v>
      </c>
      <c r="E27" s="17">
        <f t="shared" si="1"/>
        <v>665736.64685574733</v>
      </c>
      <c r="F27" s="21">
        <f t="shared" si="2"/>
        <v>6.79</v>
      </c>
    </row>
    <row r="28" spans="1:6" x14ac:dyDescent="0.2">
      <c r="A28" s="19">
        <v>24</v>
      </c>
      <c r="B28" s="180" t="s">
        <v>21</v>
      </c>
      <c r="C28" s="181"/>
      <c r="D28" s="14">
        <f t="shared" si="0"/>
        <v>341996</v>
      </c>
      <c r="E28" s="17">
        <f t="shared" si="1"/>
        <v>2414282.5051615345</v>
      </c>
      <c r="F28" s="21">
        <f t="shared" si="2"/>
        <v>7.06</v>
      </c>
    </row>
    <row r="29" spans="1:6" x14ac:dyDescent="0.2">
      <c r="A29" s="19">
        <v>25</v>
      </c>
      <c r="B29" s="180" t="s">
        <v>22</v>
      </c>
      <c r="C29" s="181"/>
      <c r="D29" s="14">
        <f t="shared" si="0"/>
        <v>364768</v>
      </c>
      <c r="E29" s="17">
        <f t="shared" si="1"/>
        <v>1495195.9029075271</v>
      </c>
      <c r="F29" s="21">
        <f t="shared" si="2"/>
        <v>4.0999999999999996</v>
      </c>
    </row>
    <row r="30" spans="1:6" x14ac:dyDescent="0.2">
      <c r="A30" s="19">
        <v>26</v>
      </c>
      <c r="B30" s="180" t="s">
        <v>23</v>
      </c>
      <c r="C30" s="181"/>
      <c r="D30" s="14">
        <f t="shared" si="0"/>
        <v>201602</v>
      </c>
      <c r="E30" s="17">
        <f t="shared" si="1"/>
        <v>1211226.3936583344</v>
      </c>
      <c r="F30" s="21">
        <f t="shared" si="2"/>
        <v>6.01</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3045509</v>
      </c>
      <c r="E33" s="31">
        <f>SUM(E5:E32)</f>
        <v>16036109.000000002</v>
      </c>
      <c r="F33" s="32">
        <f t="shared" si="2"/>
        <v>5.27</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IF(F3="1",SUMIF(Data!A:A,'23'!$A$2,Data!CU:CU),0)</f>
        <v>7483</v>
      </c>
      <c r="E36" s="15">
        <f>IF(F3="1",SUMIF(Data!$A:$A,$A$2,Data!IO:IO),0)</f>
        <v>2149</v>
      </c>
      <c r="F36" s="20">
        <f t="shared" ref="F36:F64" si="3">IF(OR(D36=0,E36=0),"",ROUND(E36/D36,2))</f>
        <v>0.28999999999999998</v>
      </c>
    </row>
    <row r="37" spans="1:6" x14ac:dyDescent="0.2">
      <c r="A37" s="19">
        <v>2</v>
      </c>
      <c r="B37" s="180" t="s">
        <v>1</v>
      </c>
      <c r="C37" s="181"/>
      <c r="D37" s="14">
        <f>IF(F3="1",SUMIF(Data!A:A,'23'!$A$2,Data!CV:CV),0)</f>
        <v>43487</v>
      </c>
      <c r="E37" s="17">
        <f>IF(F3="1",SUMIF(Data!$A:$A,$A$2,Data!IP:IP),0)</f>
        <v>44134</v>
      </c>
      <c r="F37" s="21">
        <f t="shared" si="3"/>
        <v>1.01</v>
      </c>
    </row>
    <row r="38" spans="1:6" ht="14.25" customHeight="1" x14ac:dyDescent="0.2">
      <c r="A38" s="19">
        <v>3</v>
      </c>
      <c r="B38" s="180" t="s">
        <v>2</v>
      </c>
      <c r="C38" s="181"/>
      <c r="D38" s="14">
        <f>IF(F3="1",SUMIF(Data!A:A,'23'!$A$2,Data!CW:CW),0)</f>
        <v>222496</v>
      </c>
      <c r="E38" s="17">
        <f>IF($F$3="1",SUMIF(Data!$A:$A,$A$2,Data!IQ:IQ),0)</f>
        <v>75861</v>
      </c>
      <c r="F38" s="21">
        <f t="shared" si="3"/>
        <v>0.34</v>
      </c>
    </row>
    <row r="39" spans="1:6" ht="14.25" customHeight="1" x14ac:dyDescent="0.2">
      <c r="A39" s="19">
        <v>4</v>
      </c>
      <c r="B39" s="180" t="s">
        <v>3</v>
      </c>
      <c r="C39" s="181"/>
      <c r="D39" s="14">
        <f>IF(F3="1",SUMIF(Data!A:A,'23'!$A$2,Data!CX:CX),0)</f>
        <v>226228</v>
      </c>
      <c r="E39" s="17">
        <f>IF($F$3="1",SUMIF(Data!$A:$A,$A$2,Data!IR:IR),0)</f>
        <v>23323</v>
      </c>
      <c r="F39" s="21">
        <f t="shared" si="3"/>
        <v>0.1</v>
      </c>
    </row>
    <row r="40" spans="1:6" x14ac:dyDescent="0.2">
      <c r="A40" s="19">
        <v>5</v>
      </c>
      <c r="B40" s="180" t="s">
        <v>4</v>
      </c>
      <c r="C40" s="181"/>
      <c r="D40" s="14">
        <f>IF(F3="1",SUMIF(Data!A:A,'23'!$A$2,Data!CY:CY),0)</f>
        <v>0</v>
      </c>
      <c r="E40" s="17">
        <f>IF($F$3="1",SUMIF(Data!$A:$A,$A$2,Data!IS:IS),0)</f>
        <v>0</v>
      </c>
      <c r="F40" s="21" t="str">
        <f t="shared" si="3"/>
        <v/>
      </c>
    </row>
    <row r="41" spans="1:6" x14ac:dyDescent="0.2">
      <c r="A41" s="19">
        <v>6</v>
      </c>
      <c r="B41" s="180" t="s">
        <v>5</v>
      </c>
      <c r="C41" s="181"/>
      <c r="D41" s="14">
        <f>IF(F3="1",SUMIF(Data!A:A,'23'!$A$2,Data!CZ:CZ),0)</f>
        <v>8824</v>
      </c>
      <c r="E41" s="17">
        <f>IF($F$3="1",SUMIF(Data!$A:$A,$A$2,Data!IT:IT),0)</f>
        <v>25744</v>
      </c>
      <c r="F41" s="21">
        <f t="shared" si="3"/>
        <v>2.92</v>
      </c>
    </row>
    <row r="42" spans="1:6" x14ac:dyDescent="0.2">
      <c r="A42" s="19">
        <v>7</v>
      </c>
      <c r="B42" s="180" t="s">
        <v>6</v>
      </c>
      <c r="C42" s="181"/>
      <c r="D42" s="14">
        <f>IF(F3="1",SUMIF(Data!A:A,'23'!$A$2,Data!DA:DA),0)</f>
        <v>117007</v>
      </c>
      <c r="E42" s="17">
        <f>IF($F$3="1",SUMIF(Data!$A:$A,$A$2,Data!IU:IU),0)</f>
        <v>18691</v>
      </c>
      <c r="F42" s="21">
        <f t="shared" si="3"/>
        <v>0.16</v>
      </c>
    </row>
    <row r="43" spans="1:6" x14ac:dyDescent="0.2">
      <c r="A43" s="19">
        <v>8</v>
      </c>
      <c r="B43" s="180" t="s">
        <v>7</v>
      </c>
      <c r="C43" s="181"/>
      <c r="D43" s="14">
        <f>IF(F3="1",SUMIF(Data!A:A,'23'!$A$2,Data!DB:DB),0)</f>
        <v>10890</v>
      </c>
      <c r="E43" s="17">
        <f>IF($F$3="1",SUMIF(Data!$A:$A,$A$2,Data!IV:IV),0)</f>
        <v>20873</v>
      </c>
      <c r="F43" s="21">
        <f t="shared" si="3"/>
        <v>1.92</v>
      </c>
    </row>
    <row r="44" spans="1:6" x14ac:dyDescent="0.2">
      <c r="A44" s="19">
        <v>9</v>
      </c>
      <c r="B44" s="180" t="s">
        <v>8</v>
      </c>
      <c r="C44" s="181"/>
      <c r="D44" s="14">
        <f>IF(F3="1",SUMIF(Data!A:A,'23'!$A$2,Data!DC:DC),0)</f>
        <v>278214</v>
      </c>
      <c r="E44" s="17">
        <f>IF($F$3="1",SUMIF(Data!$A:$A,$A$2,Data!IW:IW),0)</f>
        <v>23778</v>
      </c>
      <c r="F44" s="21">
        <f t="shared" si="3"/>
        <v>0.09</v>
      </c>
    </row>
    <row r="45" spans="1:6" x14ac:dyDescent="0.2">
      <c r="A45" s="19">
        <v>10</v>
      </c>
      <c r="B45" s="180" t="s">
        <v>9</v>
      </c>
      <c r="C45" s="181"/>
      <c r="D45" s="14">
        <f>IF(F3="1",SUMIF(Data!A:A,'23'!$A$2,Data!DD:DD),0)</f>
        <v>1360</v>
      </c>
      <c r="E45" s="17">
        <f>IF($F$3="1",SUMIF(Data!$A:$A,$A$2,Data!IX:IX),0)</f>
        <v>975</v>
      </c>
      <c r="F45" s="21">
        <f t="shared" si="3"/>
        <v>0.72</v>
      </c>
    </row>
    <row r="46" spans="1:6" x14ac:dyDescent="0.2">
      <c r="A46" s="19">
        <v>11</v>
      </c>
      <c r="B46" s="180" t="s">
        <v>10</v>
      </c>
      <c r="C46" s="181"/>
      <c r="D46" s="14">
        <f>IF(F3="1",SUMIF(Data!A:A,'23'!$A$2,Data!DE:DE),0)</f>
        <v>90056</v>
      </c>
      <c r="E46" s="17">
        <f>IF($F$3="1",SUMIF(Data!$A:$A,$A$2,Data!IY:IY),0)</f>
        <v>49773</v>
      </c>
      <c r="F46" s="21">
        <f t="shared" si="3"/>
        <v>0.55000000000000004</v>
      </c>
    </row>
    <row r="47" spans="1:6" ht="14.25" customHeight="1" x14ac:dyDescent="0.2">
      <c r="A47" s="19">
        <v>12</v>
      </c>
      <c r="B47" s="180" t="s">
        <v>11</v>
      </c>
      <c r="C47" s="181"/>
      <c r="D47" s="14">
        <f>IF(F3="1",SUMIF(Data!A:A,'23'!$A$2,Data!DF:DF),0)</f>
        <v>353648</v>
      </c>
      <c r="E47" s="17">
        <f>IF($F$3="1",SUMIF(Data!$A:$A,$A$2,Data!IZ:IZ),0)</f>
        <v>43155</v>
      </c>
      <c r="F47" s="21">
        <f t="shared" si="3"/>
        <v>0.12</v>
      </c>
    </row>
    <row r="48" spans="1:6" x14ac:dyDescent="0.2">
      <c r="A48" s="19">
        <v>13</v>
      </c>
      <c r="B48" s="180" t="s">
        <v>12</v>
      </c>
      <c r="C48" s="181"/>
      <c r="D48" s="14">
        <f>IF(F3="1",SUMIF(Data!A:A,'23'!$A$2,Data!DG:DG),0)</f>
        <v>22442</v>
      </c>
      <c r="E48" s="17">
        <f>IF($F$3="1",SUMIF(Data!$A:$A,$A$2,Data!JA:JA),0)</f>
        <v>13002</v>
      </c>
      <c r="F48" s="21">
        <f t="shared" si="3"/>
        <v>0.57999999999999996</v>
      </c>
    </row>
    <row r="49" spans="1:6" ht="14.25" customHeight="1" x14ac:dyDescent="0.2">
      <c r="A49" s="19">
        <v>14</v>
      </c>
      <c r="B49" s="180" t="s">
        <v>464</v>
      </c>
      <c r="C49" s="181"/>
      <c r="D49" s="14">
        <f>IF(F3="1",SUMIF(Data!A:A,'23'!$A$2,Data!DH:DH),0)</f>
        <v>92000</v>
      </c>
      <c r="E49" s="17">
        <f>IF($F$3="1",SUMIF(Data!$A:$A,$A$2,Data!JB:JB),0)</f>
        <v>72008</v>
      </c>
      <c r="F49" s="21">
        <f t="shared" si="3"/>
        <v>0.78</v>
      </c>
    </row>
    <row r="50" spans="1:6" x14ac:dyDescent="0.2">
      <c r="A50" s="19">
        <v>15</v>
      </c>
      <c r="B50" s="180" t="s">
        <v>13</v>
      </c>
      <c r="C50" s="181"/>
      <c r="D50" s="14">
        <f>IF(F3="1",SUMIF(Data!A:A,'23'!$A$2,Data!DI:DI),0)</f>
        <v>0</v>
      </c>
      <c r="E50" s="17">
        <f>IF($F$3="1",SUMIF(Data!$A:$A,$A$2,Data!JC:JC),0)</f>
        <v>0</v>
      </c>
      <c r="F50" s="21" t="str">
        <f t="shared" si="3"/>
        <v/>
      </c>
    </row>
    <row r="51" spans="1:6" x14ac:dyDescent="0.2">
      <c r="A51" s="19">
        <v>16</v>
      </c>
      <c r="B51" s="180" t="s">
        <v>14</v>
      </c>
      <c r="C51" s="181"/>
      <c r="D51" s="14">
        <f>IF(F3="1",SUMIF(Data!A:A,'23'!$A$2,Data!DJ:DJ),0)</f>
        <v>159648</v>
      </c>
      <c r="E51" s="17">
        <f>IF($F$3="1",SUMIF(Data!$A:$A,$A$2,Data!JD:JD),0)</f>
        <v>57633</v>
      </c>
      <c r="F51" s="21">
        <f t="shared" si="3"/>
        <v>0.36</v>
      </c>
    </row>
    <row r="52" spans="1:6" x14ac:dyDescent="0.2">
      <c r="A52" s="19">
        <v>17</v>
      </c>
      <c r="B52" s="180" t="s">
        <v>15</v>
      </c>
      <c r="C52" s="181"/>
      <c r="D52" s="14">
        <f>IF(F3="1",SUMIF(Data!A:A,'23'!$A$2,Data!DK:DK),0)</f>
        <v>0</v>
      </c>
      <c r="E52" s="17">
        <f>IF($F$3="1",SUMIF(Data!$A:$A,$A$2,Data!JE:JE),0)</f>
        <v>0</v>
      </c>
      <c r="F52" s="21" t="str">
        <f t="shared" si="3"/>
        <v/>
      </c>
    </row>
    <row r="53" spans="1:6" x14ac:dyDescent="0.2">
      <c r="A53" s="19">
        <v>18</v>
      </c>
      <c r="B53" s="180" t="s">
        <v>16</v>
      </c>
      <c r="C53" s="181"/>
      <c r="D53" s="14">
        <f>IF(F3="1",SUMIF(Data!A:A,'23'!$A$2,Data!DL:DL),0)</f>
        <v>84848</v>
      </c>
      <c r="E53" s="17">
        <f>IF($F$3="1",SUMIF(Data!$A:$A,$A$2,Data!JF:JF),0)</f>
        <v>12331</v>
      </c>
      <c r="F53" s="21">
        <f t="shared" si="3"/>
        <v>0.15</v>
      </c>
    </row>
    <row r="54" spans="1:6" x14ac:dyDescent="0.2">
      <c r="A54" s="19">
        <v>19</v>
      </c>
      <c r="B54" s="180" t="s">
        <v>17</v>
      </c>
      <c r="C54" s="181"/>
      <c r="D54" s="14">
        <f>IF(F3="1",SUMIF(Data!A:A,'23'!$A$2,Data!DM:DM),0)</f>
        <v>271776</v>
      </c>
      <c r="E54" s="17">
        <f>IF($F$3="1",SUMIF(Data!$A:$A,$A$2,Data!JG:JG),0)</f>
        <v>10984</v>
      </c>
      <c r="F54" s="21">
        <f t="shared" si="3"/>
        <v>0.04</v>
      </c>
    </row>
    <row r="55" spans="1:6" x14ac:dyDescent="0.2">
      <c r="A55" s="19">
        <v>20</v>
      </c>
      <c r="B55" s="180" t="s">
        <v>18</v>
      </c>
      <c r="C55" s="181"/>
      <c r="D55" s="14">
        <f>IF(F3="1",SUMIF(Data!A:A,'23'!$A$2,Data!DN:DN),0)</f>
        <v>35376</v>
      </c>
      <c r="E55" s="17">
        <f>IF($F$3="1",SUMIF(Data!$A:$A,$A$2,Data!JH:JH),0)</f>
        <v>26089</v>
      </c>
      <c r="F55" s="21">
        <f t="shared" si="3"/>
        <v>0.74</v>
      </c>
    </row>
    <row r="56" spans="1:6" ht="14.25" customHeight="1" x14ac:dyDescent="0.2">
      <c r="A56" s="19">
        <v>21</v>
      </c>
      <c r="B56" s="180" t="s">
        <v>461</v>
      </c>
      <c r="C56" s="181"/>
      <c r="D56" s="14">
        <f>IF(F3="1",SUMIF(Data!A:A,'23'!$A$2,Data!DO:DO),0)</f>
        <v>13312</v>
      </c>
      <c r="E56" s="17">
        <f>IF($F$3="1",SUMIF(Data!$A:$A,$A$2,Data!JI:JI),0)</f>
        <v>21730</v>
      </c>
      <c r="F56" s="21">
        <f t="shared" si="3"/>
        <v>1.63</v>
      </c>
    </row>
    <row r="57" spans="1:6" x14ac:dyDescent="0.2">
      <c r="A57" s="19">
        <v>22</v>
      </c>
      <c r="B57" s="180" t="s">
        <v>19</v>
      </c>
      <c r="C57" s="181"/>
      <c r="D57" s="14">
        <f>IF(F3="1",SUMIF(Data!A:A,'23'!$A$2,Data!DP:DP),0)</f>
        <v>0</v>
      </c>
      <c r="E57" s="17">
        <f>IF($F$3="1",SUMIF(Data!$A:$A,$A$2,Data!JJ:JJ),0)</f>
        <v>0</v>
      </c>
      <c r="F57" s="21" t="str">
        <f t="shared" si="3"/>
        <v/>
      </c>
    </row>
    <row r="58" spans="1:6" x14ac:dyDescent="0.2">
      <c r="A58" s="19">
        <v>23</v>
      </c>
      <c r="B58" s="180" t="s">
        <v>20</v>
      </c>
      <c r="C58" s="181"/>
      <c r="D58" s="14">
        <f>IF(F3="1",SUMIF(Data!A:A,'23'!$A$2,Data!DQ:DQ),0)</f>
        <v>98048</v>
      </c>
      <c r="E58" s="17">
        <f>IF($F$3="1",SUMIF(Data!$A:$A,$A$2,Data!JK:JK),0)</f>
        <v>26236</v>
      </c>
      <c r="F58" s="21">
        <f t="shared" si="3"/>
        <v>0.27</v>
      </c>
    </row>
    <row r="59" spans="1:6" x14ac:dyDescent="0.2">
      <c r="A59" s="19">
        <v>24</v>
      </c>
      <c r="B59" s="180" t="s">
        <v>21</v>
      </c>
      <c r="C59" s="181"/>
      <c r="D59" s="14">
        <f>IF(F3="1",SUMIF(Data!A:A,'23'!$A$2,Data!DR:DR),0)</f>
        <v>341996</v>
      </c>
      <c r="E59" s="17">
        <f>IF($F$3="1",SUMIF(Data!$A:$A,$A$2,Data!JL:JL),0)</f>
        <v>943470</v>
      </c>
      <c r="F59" s="21">
        <f t="shared" si="3"/>
        <v>2.76</v>
      </c>
    </row>
    <row r="60" spans="1:6" x14ac:dyDescent="0.2">
      <c r="A60" s="19">
        <v>25</v>
      </c>
      <c r="B60" s="180" t="s">
        <v>22</v>
      </c>
      <c r="C60" s="181"/>
      <c r="D60" s="14">
        <f>IF(F3="1",SUMIF(Data!A:A,'23'!$A$2,Data!DS:DS),0)</f>
        <v>364768</v>
      </c>
      <c r="E60" s="17">
        <f>IF($F$3="1",SUMIF(Data!$A:$A,$A$2,Data!JM:JM),0)</f>
        <v>22173</v>
      </c>
      <c r="F60" s="21">
        <f t="shared" si="3"/>
        <v>0.06</v>
      </c>
    </row>
    <row r="61" spans="1:6" x14ac:dyDescent="0.2">
      <c r="A61" s="19">
        <v>26</v>
      </c>
      <c r="B61" s="180" t="s">
        <v>23</v>
      </c>
      <c r="C61" s="181"/>
      <c r="D61" s="14">
        <f>IF(F3="1",SUMIF(Data!A:A,'23'!$A$2,Data!DT:DT),0)</f>
        <v>201602</v>
      </c>
      <c r="E61" s="17">
        <f>IF($F$3="1",SUMIF(Data!$A:$A,$A$2,Data!JN:JN),0)</f>
        <v>119061</v>
      </c>
      <c r="F61" s="21">
        <f t="shared" si="3"/>
        <v>0.59</v>
      </c>
    </row>
    <row r="62" spans="1:6" x14ac:dyDescent="0.2">
      <c r="A62" s="19">
        <v>28</v>
      </c>
      <c r="B62" s="180" t="s">
        <v>24</v>
      </c>
      <c r="C62" s="181"/>
      <c r="D62" s="14">
        <f>IF(F3="1",SUMIF(Data!A:A,'23'!$A$2,Data!DV:DV),0)</f>
        <v>0</v>
      </c>
      <c r="E62" s="17">
        <f>IF($F$3="1",SUMIF(Data!$A:$A,$A$2,Data!JP:JP),0)</f>
        <v>0</v>
      </c>
      <c r="F62" s="21" t="str">
        <f t="shared" si="3"/>
        <v/>
      </c>
    </row>
    <row r="63" spans="1:6" ht="15.75" customHeight="1" thickBot="1" x14ac:dyDescent="0.25">
      <c r="A63" s="22">
        <v>29</v>
      </c>
      <c r="B63" s="184" t="s">
        <v>25</v>
      </c>
      <c r="C63" s="185"/>
      <c r="D63" s="23">
        <f>IF(F3="1",SUMIF(Data!A:A,'23'!$A$2,Data!DW:DW),0)</f>
        <v>0</v>
      </c>
      <c r="E63" s="24">
        <f>IF($F$3="1",SUMIF(Data!$A:$A,$A$2,Data!JQ:JQ),0)</f>
        <v>0</v>
      </c>
      <c r="F63" s="25" t="str">
        <f t="shared" si="3"/>
        <v/>
      </c>
    </row>
    <row r="64" spans="1:6" x14ac:dyDescent="0.2">
      <c r="B64" s="30" t="s">
        <v>35</v>
      </c>
      <c r="C64" s="30"/>
      <c r="D64" s="59">
        <f>SUM(D36:D63)</f>
        <v>3045509</v>
      </c>
      <c r="E64" s="31">
        <f>SUM(E36:E63)</f>
        <v>1653173</v>
      </c>
      <c r="F64" s="32">
        <f t="shared" si="3"/>
        <v>0.54</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7483</v>
      </c>
      <c r="E67" s="15">
        <f>IF(F3="1",SUMIF(Data!A:A,'23'!$A$2,Data!DY:DY),0)</f>
        <v>49550</v>
      </c>
      <c r="F67" s="20">
        <f t="shared" ref="F67:F95" si="4">IF(OR(D67=0,E67=0),"",ROUND(E67/D67,2))</f>
        <v>6.62</v>
      </c>
    </row>
    <row r="68" spans="1:6" x14ac:dyDescent="0.2">
      <c r="A68" s="19">
        <v>2</v>
      </c>
      <c r="B68" s="180" t="s">
        <v>1</v>
      </c>
      <c r="C68" s="181"/>
      <c r="D68" s="14">
        <f t="shared" ref="D68:D94" si="5">D37</f>
        <v>43487</v>
      </c>
      <c r="E68" s="17">
        <f>IF(F3="1",SUMIF(Data!A:A,'23'!$A$2,Data!DZ:DZ),0)</f>
        <v>123593</v>
      </c>
      <c r="F68" s="21">
        <f t="shared" si="4"/>
        <v>2.84</v>
      </c>
    </row>
    <row r="69" spans="1:6" ht="14.25" customHeight="1" x14ac:dyDescent="0.2">
      <c r="A69" s="19">
        <v>3</v>
      </c>
      <c r="B69" s="180" t="s">
        <v>2</v>
      </c>
      <c r="C69" s="181"/>
      <c r="D69" s="14">
        <f t="shared" si="5"/>
        <v>222496</v>
      </c>
      <c r="E69" s="17">
        <f>IF(F3="1",SUMIF(Data!A:A,'23'!$A$2,Data!EA:EA),0)</f>
        <v>607878</v>
      </c>
      <c r="F69" s="21">
        <f t="shared" si="4"/>
        <v>2.73</v>
      </c>
    </row>
    <row r="70" spans="1:6" ht="14.25" customHeight="1" x14ac:dyDescent="0.2">
      <c r="A70" s="19">
        <v>4</v>
      </c>
      <c r="B70" s="180" t="s">
        <v>3</v>
      </c>
      <c r="C70" s="181"/>
      <c r="D70" s="14">
        <f t="shared" si="5"/>
        <v>226228</v>
      </c>
      <c r="E70" s="17">
        <f>IF(F3="1",SUMIF(Data!A:A,'23'!$A$2,Data!EB:EB),0)</f>
        <v>650990</v>
      </c>
      <c r="F70" s="21">
        <f t="shared" si="4"/>
        <v>2.88</v>
      </c>
    </row>
    <row r="71" spans="1:6" x14ac:dyDescent="0.2">
      <c r="A71" s="19">
        <v>5</v>
      </c>
      <c r="B71" s="180" t="s">
        <v>4</v>
      </c>
      <c r="C71" s="181"/>
      <c r="D71" s="14">
        <f t="shared" si="5"/>
        <v>0</v>
      </c>
      <c r="E71" s="17">
        <f>IF(F3="1",SUMIF(Data!A:A,'23'!$A$2,Data!EC:EC),0)</f>
        <v>0</v>
      </c>
      <c r="F71" s="21" t="str">
        <f t="shared" si="4"/>
        <v/>
      </c>
    </row>
    <row r="72" spans="1:6" x14ac:dyDescent="0.2">
      <c r="A72" s="19">
        <v>6</v>
      </c>
      <c r="B72" s="180" t="s">
        <v>5</v>
      </c>
      <c r="C72" s="181"/>
      <c r="D72" s="14">
        <f t="shared" si="5"/>
        <v>8824</v>
      </c>
      <c r="E72" s="17">
        <f>IF(F3="1",SUMIF(Data!A:A,'23'!$A$2,Data!ED:ED),0)</f>
        <v>62002</v>
      </c>
      <c r="F72" s="21">
        <f t="shared" si="4"/>
        <v>7.03</v>
      </c>
    </row>
    <row r="73" spans="1:6" x14ac:dyDescent="0.2">
      <c r="A73" s="19">
        <v>7</v>
      </c>
      <c r="B73" s="180" t="s">
        <v>6</v>
      </c>
      <c r="C73" s="181"/>
      <c r="D73" s="14">
        <f t="shared" si="5"/>
        <v>117007</v>
      </c>
      <c r="E73" s="17">
        <f>IF(F3="1",SUMIF(Data!A:A,'23'!$A$2,Data!EE:EE),0)</f>
        <v>265017</v>
      </c>
      <c r="F73" s="21">
        <f t="shared" si="4"/>
        <v>2.2599999999999998</v>
      </c>
    </row>
    <row r="74" spans="1:6" x14ac:dyDescent="0.2">
      <c r="A74" s="19">
        <v>8</v>
      </c>
      <c r="B74" s="180" t="s">
        <v>7</v>
      </c>
      <c r="C74" s="181"/>
      <c r="D74" s="14">
        <f t="shared" si="5"/>
        <v>10890</v>
      </c>
      <c r="E74" s="17">
        <f>IF(F3="1",SUMIF(Data!A:A,'23'!$A$2,Data!EF:EF),0)</f>
        <v>40145</v>
      </c>
      <c r="F74" s="21">
        <f t="shared" si="4"/>
        <v>3.69</v>
      </c>
    </row>
    <row r="75" spans="1:6" x14ac:dyDescent="0.2">
      <c r="A75" s="19">
        <v>9</v>
      </c>
      <c r="B75" s="180" t="s">
        <v>8</v>
      </c>
      <c r="C75" s="181"/>
      <c r="D75" s="14">
        <f t="shared" si="5"/>
        <v>278214</v>
      </c>
      <c r="E75" s="17">
        <f>IF(F3="1",SUMIF(Data!A:A,'23'!$A$2,Data!EG:EG),0)</f>
        <v>318359</v>
      </c>
      <c r="F75" s="21">
        <f t="shared" si="4"/>
        <v>1.1399999999999999</v>
      </c>
    </row>
    <row r="76" spans="1:6" x14ac:dyDescent="0.2">
      <c r="A76" s="19">
        <v>10</v>
      </c>
      <c r="B76" s="180" t="s">
        <v>9</v>
      </c>
      <c r="C76" s="181"/>
      <c r="D76" s="14">
        <f t="shared" si="5"/>
        <v>1360</v>
      </c>
      <c r="E76" s="17">
        <f>IF(F3="1",SUMIF(Data!A:A,'23'!$A$2,Data!EH:EH),0)</f>
        <v>36598</v>
      </c>
      <c r="F76" s="21">
        <f t="shared" si="4"/>
        <v>26.91</v>
      </c>
    </row>
    <row r="77" spans="1:6" x14ac:dyDescent="0.2">
      <c r="A77" s="19">
        <v>11</v>
      </c>
      <c r="B77" s="180" t="s">
        <v>10</v>
      </c>
      <c r="C77" s="181"/>
      <c r="D77" s="14">
        <f t="shared" si="5"/>
        <v>90056</v>
      </c>
      <c r="E77" s="17">
        <f>IF(F3="1",SUMIF(Data!A:A,'23'!$A$2,Data!EI:EI),0)</f>
        <v>283879</v>
      </c>
      <c r="F77" s="21">
        <f t="shared" si="4"/>
        <v>3.15</v>
      </c>
    </row>
    <row r="78" spans="1:6" ht="14.25" customHeight="1" x14ac:dyDescent="0.2">
      <c r="A78" s="19">
        <v>12</v>
      </c>
      <c r="B78" s="180" t="s">
        <v>11</v>
      </c>
      <c r="C78" s="181"/>
      <c r="D78" s="14">
        <f t="shared" si="5"/>
        <v>353648</v>
      </c>
      <c r="E78" s="17">
        <f>IF(F3="1",SUMIF(Data!A:A,'23'!$A$2,Data!EJ:EJ),0)</f>
        <v>751004</v>
      </c>
      <c r="F78" s="21">
        <f t="shared" si="4"/>
        <v>2.12</v>
      </c>
    </row>
    <row r="79" spans="1:6" x14ac:dyDescent="0.2">
      <c r="A79" s="19">
        <v>13</v>
      </c>
      <c r="B79" s="180" t="s">
        <v>12</v>
      </c>
      <c r="C79" s="181"/>
      <c r="D79" s="14">
        <f t="shared" si="5"/>
        <v>22442</v>
      </c>
      <c r="E79" s="17">
        <f>IF(F3="1",SUMIF(Data!A:A,'23'!$A$2,Data!EK:EK),0)</f>
        <v>147289</v>
      </c>
      <c r="F79" s="21">
        <f t="shared" si="4"/>
        <v>6.56</v>
      </c>
    </row>
    <row r="80" spans="1:6" ht="14.25" customHeight="1" x14ac:dyDescent="0.2">
      <c r="A80" s="19">
        <v>14</v>
      </c>
      <c r="B80" s="180" t="s">
        <v>464</v>
      </c>
      <c r="C80" s="181"/>
      <c r="D80" s="14">
        <f t="shared" si="5"/>
        <v>92000</v>
      </c>
      <c r="E80" s="17">
        <f>IF(F3="1",SUMIF(Data!A:A,'23'!$A$2,Data!EL:EL),0)</f>
        <v>455485</v>
      </c>
      <c r="F80" s="21">
        <f t="shared" si="4"/>
        <v>4.95</v>
      </c>
    </row>
    <row r="81" spans="1:6" x14ac:dyDescent="0.2">
      <c r="A81" s="19">
        <v>15</v>
      </c>
      <c r="B81" s="180" t="s">
        <v>13</v>
      </c>
      <c r="C81" s="181"/>
      <c r="D81" s="14">
        <f t="shared" si="5"/>
        <v>0</v>
      </c>
      <c r="E81" s="17">
        <f>IF(F3="1",SUMIF(Data!A:A,'23'!$A$2,Data!EM:EM),0)</f>
        <v>0</v>
      </c>
      <c r="F81" s="21" t="str">
        <f t="shared" si="4"/>
        <v/>
      </c>
    </row>
    <row r="82" spans="1:6" x14ac:dyDescent="0.2">
      <c r="A82" s="19">
        <v>16</v>
      </c>
      <c r="B82" s="180" t="s">
        <v>14</v>
      </c>
      <c r="C82" s="181"/>
      <c r="D82" s="14">
        <f t="shared" si="5"/>
        <v>159648</v>
      </c>
      <c r="E82" s="17">
        <f>IF(F3="1",SUMIF(Data!A:A,'23'!$A$2,Data!EN:EN),0)</f>
        <v>472181</v>
      </c>
      <c r="F82" s="21">
        <f t="shared" si="4"/>
        <v>2.96</v>
      </c>
    </row>
    <row r="83" spans="1:6" x14ac:dyDescent="0.2">
      <c r="A83" s="19">
        <v>17</v>
      </c>
      <c r="B83" s="180" t="s">
        <v>15</v>
      </c>
      <c r="C83" s="181"/>
      <c r="D83" s="14">
        <f t="shared" si="5"/>
        <v>0</v>
      </c>
      <c r="E83" s="17">
        <f>IF(F3="1",SUMIF(Data!A:A,'23'!$A$2,Data!EO:EO),0)</f>
        <v>0</v>
      </c>
      <c r="F83" s="21" t="str">
        <f t="shared" si="4"/>
        <v/>
      </c>
    </row>
    <row r="84" spans="1:6" x14ac:dyDescent="0.2">
      <c r="A84" s="19">
        <v>18</v>
      </c>
      <c r="B84" s="180" t="s">
        <v>16</v>
      </c>
      <c r="C84" s="181"/>
      <c r="D84" s="14">
        <f t="shared" si="5"/>
        <v>84848</v>
      </c>
      <c r="E84" s="17">
        <f>IF(F3="1",SUMIF(Data!A:A,'23'!$A$2,Data!EP:EP),0)</f>
        <v>226337</v>
      </c>
      <c r="F84" s="21">
        <f t="shared" si="4"/>
        <v>2.67</v>
      </c>
    </row>
    <row r="85" spans="1:6" x14ac:dyDescent="0.2">
      <c r="A85" s="19">
        <v>19</v>
      </c>
      <c r="B85" s="180" t="s">
        <v>17</v>
      </c>
      <c r="C85" s="181"/>
      <c r="D85" s="14">
        <f t="shared" si="5"/>
        <v>271776</v>
      </c>
      <c r="E85" s="17">
        <f>IF(F3="1",SUMIF(Data!A:A,'23'!$A$2,Data!EQ:EQ),0)</f>
        <v>519624</v>
      </c>
      <c r="F85" s="21">
        <f t="shared" si="4"/>
        <v>1.91</v>
      </c>
    </row>
    <row r="86" spans="1:6" x14ac:dyDescent="0.2">
      <c r="A86" s="19">
        <v>20</v>
      </c>
      <c r="B86" s="180" t="s">
        <v>18</v>
      </c>
      <c r="C86" s="181"/>
      <c r="D86" s="14">
        <f t="shared" si="5"/>
        <v>35376</v>
      </c>
      <c r="E86" s="17">
        <f>IF(F3="1",SUMIF(Data!A:A,'23'!$A$2,Data!ER:ER),0)</f>
        <v>95699</v>
      </c>
      <c r="F86" s="21">
        <f t="shared" si="4"/>
        <v>2.71</v>
      </c>
    </row>
    <row r="87" spans="1:6" ht="14.25" customHeight="1" x14ac:dyDescent="0.2">
      <c r="A87" s="19">
        <v>21</v>
      </c>
      <c r="B87" s="180" t="s">
        <v>461</v>
      </c>
      <c r="C87" s="181"/>
      <c r="D87" s="14">
        <f t="shared" si="5"/>
        <v>13312</v>
      </c>
      <c r="E87" s="17">
        <f>IF(F3="1",SUMIF(Data!A:A,'23'!$A$2,Data!ES:ES),0)</f>
        <v>84724</v>
      </c>
      <c r="F87" s="21">
        <f t="shared" si="4"/>
        <v>6.36</v>
      </c>
    </row>
    <row r="88" spans="1:6" x14ac:dyDescent="0.2">
      <c r="A88" s="19">
        <v>22</v>
      </c>
      <c r="B88" s="180" t="s">
        <v>19</v>
      </c>
      <c r="C88" s="181"/>
      <c r="D88" s="14">
        <f t="shared" si="5"/>
        <v>0</v>
      </c>
      <c r="E88" s="17">
        <f>IF(F3="1",SUMIF(Data!A:A,'23'!$A$2,Data!ET:ET),0)</f>
        <v>0</v>
      </c>
      <c r="F88" s="21" t="str">
        <f t="shared" si="4"/>
        <v/>
      </c>
    </row>
    <row r="89" spans="1:6" x14ac:dyDescent="0.2">
      <c r="A89" s="19">
        <v>23</v>
      </c>
      <c r="B89" s="180" t="s">
        <v>20</v>
      </c>
      <c r="C89" s="181"/>
      <c r="D89" s="14">
        <f t="shared" si="5"/>
        <v>98048</v>
      </c>
      <c r="E89" s="17">
        <f>IF(F3="1",SUMIF(Data!A:A,'23'!$A$2,Data!EU:EU),0)</f>
        <v>422301</v>
      </c>
      <c r="F89" s="21">
        <f t="shared" si="4"/>
        <v>4.3099999999999996</v>
      </c>
    </row>
    <row r="90" spans="1:6" x14ac:dyDescent="0.2">
      <c r="A90" s="19">
        <v>24</v>
      </c>
      <c r="B90" s="180" t="s">
        <v>21</v>
      </c>
      <c r="C90" s="181"/>
      <c r="D90" s="14">
        <f t="shared" si="5"/>
        <v>341996</v>
      </c>
      <c r="E90" s="17">
        <f>IF(F3="1",SUMIF(Data!A:A,'23'!$A$2,Data!EV:EV),0)</f>
        <v>713210</v>
      </c>
      <c r="F90" s="21">
        <f t="shared" si="4"/>
        <v>2.09</v>
      </c>
    </row>
    <row r="91" spans="1:6" x14ac:dyDescent="0.2">
      <c r="A91" s="19">
        <v>25</v>
      </c>
      <c r="B91" s="180" t="s">
        <v>22</v>
      </c>
      <c r="C91" s="181"/>
      <c r="D91" s="14">
        <f t="shared" si="5"/>
        <v>364768</v>
      </c>
      <c r="E91" s="17">
        <f>IF(F3="1",SUMIF(Data!A:A,'23'!$A$2,Data!EW:EW),0)</f>
        <v>664975</v>
      </c>
      <c r="F91" s="21">
        <f t="shared" si="4"/>
        <v>1.82</v>
      </c>
    </row>
    <row r="92" spans="1:6" x14ac:dyDescent="0.2">
      <c r="A92" s="19">
        <v>26</v>
      </c>
      <c r="B92" s="180" t="s">
        <v>23</v>
      </c>
      <c r="C92" s="181"/>
      <c r="D92" s="14">
        <f t="shared" si="5"/>
        <v>201602</v>
      </c>
      <c r="E92" s="17">
        <f>IF(F3="1",SUMIF(Data!A:A,'23'!$A$2,Data!EX:EX),0)</f>
        <v>645569</v>
      </c>
      <c r="F92" s="21">
        <f t="shared" si="4"/>
        <v>3.2</v>
      </c>
    </row>
    <row r="93" spans="1:6" x14ac:dyDescent="0.2">
      <c r="A93" s="19">
        <v>28</v>
      </c>
      <c r="B93" s="180" t="s">
        <v>24</v>
      </c>
      <c r="C93" s="181"/>
      <c r="D93" s="14">
        <f t="shared" si="5"/>
        <v>0</v>
      </c>
      <c r="E93" s="17">
        <f>IF(F3="1",SUMIF(Data!A:A,'23'!$A$2,Data!EZ:EZ),0)</f>
        <v>0</v>
      </c>
      <c r="F93" s="21" t="str">
        <f t="shared" si="4"/>
        <v/>
      </c>
    </row>
    <row r="94" spans="1:6" ht="15.75" customHeight="1" thickBot="1" x14ac:dyDescent="0.25">
      <c r="A94" s="22">
        <v>29</v>
      </c>
      <c r="B94" s="184" t="s">
        <v>25</v>
      </c>
      <c r="C94" s="185"/>
      <c r="D94" s="23">
        <f t="shared" si="5"/>
        <v>0</v>
      </c>
      <c r="E94" s="24">
        <f>IF(F3="1",SUMIF(Data!A:A,'23'!$A$2,Data!FA:FA),0)</f>
        <v>0</v>
      </c>
      <c r="F94" s="25" t="str">
        <f t="shared" si="4"/>
        <v/>
      </c>
    </row>
    <row r="95" spans="1:6" x14ac:dyDescent="0.2">
      <c r="B95" s="30" t="s">
        <v>35</v>
      </c>
      <c r="C95" s="30"/>
      <c r="D95" s="59">
        <f>SUM(D67:D94)</f>
        <v>3045509</v>
      </c>
      <c r="E95" s="31">
        <f>SUM(E67:E94)</f>
        <v>7636409</v>
      </c>
      <c r="F95" s="32">
        <f t="shared" si="4"/>
        <v>2.5099999999999998</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IF(F3="1",SUMIF(Data!A:A,'23'!$A$2,Data!AH:AH),0)</f>
        <v>2879300</v>
      </c>
      <c r="F98" s="20">
        <f>IF(OR(E98=0,E98=0),"",ROUND(E98/$D$105,2))</f>
        <v>0.95</v>
      </c>
    </row>
    <row r="99" spans="2:6" x14ac:dyDescent="0.2">
      <c r="B99" s="190" t="s">
        <v>31</v>
      </c>
      <c r="C99" s="191"/>
      <c r="D99" s="36"/>
      <c r="E99" s="17">
        <f>IF(F3="1",SUMIF(Data!A:A,'23'!$A$2,Data!AI:AI),0)</f>
        <v>1105576</v>
      </c>
      <c r="F99" s="21">
        <f t="shared" ref="F99:F104" si="6">IF(OR(E99=0,E99=0),"",ROUND(E99/$D$105,2))</f>
        <v>0.36</v>
      </c>
    </row>
    <row r="100" spans="2:6" x14ac:dyDescent="0.2">
      <c r="B100" s="190" t="s">
        <v>1089</v>
      </c>
      <c r="C100" s="191"/>
      <c r="D100" s="36"/>
      <c r="E100" s="17">
        <f>IF(F3="1",SUMIF(Data!A:A,'23'!$A$2,Data!AJ:AJ),0)</f>
        <v>367869</v>
      </c>
      <c r="F100" s="21">
        <f t="shared" si="6"/>
        <v>0.12</v>
      </c>
    </row>
    <row r="101" spans="2:6" x14ac:dyDescent="0.2">
      <c r="B101" s="190" t="s">
        <v>1090</v>
      </c>
      <c r="C101" s="191"/>
      <c r="D101" s="36"/>
      <c r="E101" s="17">
        <f>IF(F3="1",SUMIF(Data!A:A,'23'!$A$2,Data!AK:AK),0)</f>
        <v>1666362</v>
      </c>
      <c r="F101" s="21">
        <f t="shared" si="6"/>
        <v>0.55000000000000004</v>
      </c>
    </row>
    <row r="102" spans="2:6" x14ac:dyDescent="0.2">
      <c r="B102" s="190" t="s">
        <v>1091</v>
      </c>
      <c r="C102" s="191"/>
      <c r="D102" s="36"/>
      <c r="E102" s="17">
        <f>IF(F3="1",SUMIF(Data!A:A,'23'!$A$2,Data!AL:AL),0)</f>
        <v>0</v>
      </c>
      <c r="F102" s="21" t="str">
        <f t="shared" si="6"/>
        <v/>
      </c>
    </row>
    <row r="103" spans="2:6" x14ac:dyDescent="0.2">
      <c r="B103" s="192" t="s">
        <v>34</v>
      </c>
      <c r="C103" s="193"/>
      <c r="D103" s="36"/>
      <c r="E103" s="17">
        <f>IF(F3="1",SUMIF(Data!A:A,'23'!$A$2,Data!AM:AM),0)</f>
        <v>0</v>
      </c>
      <c r="F103" s="21" t="str">
        <f t="shared" si="6"/>
        <v/>
      </c>
    </row>
    <row r="104" spans="2:6" ht="15.75" customHeight="1" thickBot="1" x14ac:dyDescent="0.25">
      <c r="B104" s="186" t="s">
        <v>29</v>
      </c>
      <c r="C104" s="187"/>
      <c r="D104" s="37"/>
      <c r="E104" s="24">
        <f>IF(F3="1",SUMIF(Data!A:A,'23'!$A$2,Data!Q:Q),0)</f>
        <v>727420</v>
      </c>
      <c r="F104" s="25">
        <f t="shared" si="6"/>
        <v>0.24</v>
      </c>
    </row>
    <row r="105" spans="2:6" x14ac:dyDescent="0.2">
      <c r="B105" s="30" t="s">
        <v>35</v>
      </c>
      <c r="C105" s="30"/>
      <c r="D105" s="34">
        <f>D95</f>
        <v>3045509</v>
      </c>
      <c r="E105" s="31">
        <f>SUM(E98:E104)</f>
        <v>6746527</v>
      </c>
      <c r="F105" s="32">
        <f>IF($D$105=0,"",ROUND(E105/$D$105,2))</f>
        <v>2.2200000000000002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7636409</v>
      </c>
      <c r="D109" s="15">
        <f>IF(F3="1",SUMIF(Data!$A:$A,$A$2,Data!HJ:HJ),0)</f>
        <v>0</v>
      </c>
      <c r="E109" s="15">
        <f>IF(F3="1",SUMIF(Data!$A:$A,$A$2,Data!IN:IN),0)</f>
        <v>0</v>
      </c>
      <c r="F109" s="47">
        <f>SUM(C109:E109)</f>
        <v>7636409</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727420</v>
      </c>
      <c r="E117" s="52"/>
      <c r="F117" s="49">
        <f>SUM(C117:E117)</f>
        <v>727420</v>
      </c>
    </row>
    <row r="118" spans="1:6" x14ac:dyDescent="0.2">
      <c r="B118" s="13" t="s">
        <v>35</v>
      </c>
      <c r="C118" s="4">
        <f>SUM(C109:C116)</f>
        <v>7636409</v>
      </c>
      <c r="D118" s="4">
        <f>SUM(D109:D116)</f>
        <v>0</v>
      </c>
      <c r="E118" s="4">
        <f>SUM(E109:E116)</f>
        <v>0</v>
      </c>
      <c r="F118" s="4">
        <f>SUM(F109:F116)</f>
        <v>7636409</v>
      </c>
    </row>
    <row r="119" spans="1:6" ht="15" thickBot="1" x14ac:dyDescent="0.25"/>
    <row r="120" spans="1:6" ht="15" thickBot="1" x14ac:dyDescent="0.25">
      <c r="B120" s="55" t="s">
        <v>934</v>
      </c>
      <c r="C120" s="53"/>
      <c r="D120" s="53"/>
      <c r="E120" s="53">
        <f>IF(F3="1",SUMIF(Data!A:A,'23'!$A$2,Data!AM:AM),0)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378</v>
      </c>
      <c r="B2" s="58" t="str">
        <f>VLOOKUP(A2,Data!A:G,7,0)</f>
        <v>Laredo Community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0</v>
      </c>
      <c r="E5" s="15">
        <f>E36+E67+IFERROR($E$105/$D$105*D5,0)</f>
        <v>0</v>
      </c>
      <c r="F5" s="20" t="str">
        <f>IF(OR(D5=0,E5=0),"",ROUND(E5/D5,2))</f>
        <v/>
      </c>
    </row>
    <row r="6" spans="1:6" x14ac:dyDescent="0.2">
      <c r="A6" s="19">
        <v>2</v>
      </c>
      <c r="B6" s="180" t="s">
        <v>1</v>
      </c>
      <c r="C6" s="181"/>
      <c r="D6" s="14">
        <f t="shared" ref="D6:D32" si="0">D37</f>
        <v>0</v>
      </c>
      <c r="E6" s="17">
        <f t="shared" ref="E6:E32" si="1">E37+E68+IFERROR($E$105/$D$105*D6,0)</f>
        <v>0</v>
      </c>
      <c r="F6" s="21" t="str">
        <f t="shared" ref="F6:F33" si="2">IF(OR(D6=0,E6=0),"",ROUND(E6/D6,2))</f>
        <v/>
      </c>
    </row>
    <row r="7" spans="1:6" ht="14.25" customHeight="1" x14ac:dyDescent="0.2">
      <c r="A7" s="19">
        <v>3</v>
      </c>
      <c r="B7" s="180" t="s">
        <v>2</v>
      </c>
      <c r="C7" s="181"/>
      <c r="D7" s="14">
        <f t="shared" si="0"/>
        <v>275504</v>
      </c>
      <c r="E7" s="17">
        <f t="shared" si="1"/>
        <v>1957167.0628215582</v>
      </c>
      <c r="F7" s="21">
        <f t="shared" si="2"/>
        <v>7.1</v>
      </c>
    </row>
    <row r="8" spans="1:6" ht="14.25" customHeight="1" x14ac:dyDescent="0.2">
      <c r="A8" s="19">
        <v>4</v>
      </c>
      <c r="B8" s="180" t="s">
        <v>3</v>
      </c>
      <c r="C8" s="181"/>
      <c r="D8" s="14">
        <f t="shared" si="0"/>
        <v>361136</v>
      </c>
      <c r="E8" s="17">
        <f t="shared" si="1"/>
        <v>2896390.7992883092</v>
      </c>
      <c r="F8" s="21">
        <f t="shared" si="2"/>
        <v>8.02</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133632</v>
      </c>
      <c r="E10" s="17">
        <f t="shared" si="1"/>
        <v>903958.54838757496</v>
      </c>
      <c r="F10" s="21">
        <f t="shared" si="2"/>
        <v>6.76</v>
      </c>
    </row>
    <row r="11" spans="1:6" x14ac:dyDescent="0.2">
      <c r="A11" s="19">
        <v>7</v>
      </c>
      <c r="B11" s="180" t="s">
        <v>6</v>
      </c>
      <c r="C11" s="181"/>
      <c r="D11" s="14">
        <f t="shared" si="0"/>
        <v>236016</v>
      </c>
      <c r="E11" s="17">
        <f t="shared" si="1"/>
        <v>1806053.9362146934</v>
      </c>
      <c r="F11" s="21">
        <f t="shared" si="2"/>
        <v>7.65</v>
      </c>
    </row>
    <row r="12" spans="1:6" x14ac:dyDescent="0.2">
      <c r="A12" s="19">
        <v>8</v>
      </c>
      <c r="B12" s="180" t="s">
        <v>7</v>
      </c>
      <c r="C12" s="181"/>
      <c r="D12" s="14">
        <f t="shared" si="0"/>
        <v>73488</v>
      </c>
      <c r="E12" s="17">
        <f t="shared" si="1"/>
        <v>844312.03505078214</v>
      </c>
      <c r="F12" s="21">
        <f t="shared" si="2"/>
        <v>11.49</v>
      </c>
    </row>
    <row r="13" spans="1:6" x14ac:dyDescent="0.2">
      <c r="A13" s="19">
        <v>9</v>
      </c>
      <c r="B13" s="180" t="s">
        <v>8</v>
      </c>
      <c r="C13" s="181"/>
      <c r="D13" s="14">
        <f t="shared" si="0"/>
        <v>0</v>
      </c>
      <c r="E13" s="17">
        <f t="shared" si="1"/>
        <v>0</v>
      </c>
      <c r="F13" s="21" t="str">
        <f t="shared" si="2"/>
        <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0</v>
      </c>
      <c r="E15" s="17">
        <f t="shared" si="1"/>
        <v>0</v>
      </c>
      <c r="F15" s="21" t="str">
        <f t="shared" si="2"/>
        <v/>
      </c>
    </row>
    <row r="16" spans="1:6" ht="14.25" customHeight="1" x14ac:dyDescent="0.2">
      <c r="A16" s="19">
        <v>12</v>
      </c>
      <c r="B16" s="180" t="s">
        <v>11</v>
      </c>
      <c r="C16" s="181"/>
      <c r="D16" s="14">
        <f t="shared" si="0"/>
        <v>406016</v>
      </c>
      <c r="E16" s="17">
        <f t="shared" si="1"/>
        <v>3207238.4784342796</v>
      </c>
      <c r="F16" s="21">
        <f t="shared" si="2"/>
        <v>7.9</v>
      </c>
    </row>
    <row r="17" spans="1:6" x14ac:dyDescent="0.2">
      <c r="A17" s="19">
        <v>13</v>
      </c>
      <c r="B17" s="180" t="s">
        <v>12</v>
      </c>
      <c r="C17" s="181"/>
      <c r="D17" s="14">
        <f t="shared" si="0"/>
        <v>133376</v>
      </c>
      <c r="E17" s="17">
        <f t="shared" si="1"/>
        <v>991323.10672399728</v>
      </c>
      <c r="F17" s="21">
        <f t="shared" si="2"/>
        <v>7.43</v>
      </c>
    </row>
    <row r="18" spans="1:6" ht="14.25" customHeight="1" x14ac:dyDescent="0.2">
      <c r="A18" s="19">
        <v>14</v>
      </c>
      <c r="B18" s="180" t="s">
        <v>464</v>
      </c>
      <c r="C18" s="181"/>
      <c r="D18" s="14">
        <f t="shared" si="0"/>
        <v>93392</v>
      </c>
      <c r="E18" s="17">
        <f t="shared" si="1"/>
        <v>1191269.3743939507</v>
      </c>
      <c r="F18" s="21">
        <f t="shared" si="2"/>
        <v>12.76</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137520</v>
      </c>
      <c r="E20" s="17">
        <f t="shared" si="1"/>
        <v>1229519.0061531619</v>
      </c>
      <c r="F20" s="21">
        <f t="shared" si="2"/>
        <v>8.94</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37072</v>
      </c>
      <c r="E22" s="17">
        <f t="shared" si="1"/>
        <v>401886.20840685</v>
      </c>
      <c r="F22" s="21">
        <f t="shared" si="2"/>
        <v>10.84</v>
      </c>
    </row>
    <row r="23" spans="1:6" x14ac:dyDescent="0.2">
      <c r="A23" s="19">
        <v>19</v>
      </c>
      <c r="B23" s="180" t="s">
        <v>17</v>
      </c>
      <c r="C23" s="181"/>
      <c r="D23" s="14">
        <f t="shared" si="0"/>
        <v>348592</v>
      </c>
      <c r="E23" s="17">
        <f t="shared" si="1"/>
        <v>2303981.1577730002</v>
      </c>
      <c r="F23" s="21">
        <f t="shared" si="2"/>
        <v>6.61</v>
      </c>
    </row>
    <row r="24" spans="1:6" x14ac:dyDescent="0.2">
      <c r="A24" s="19">
        <v>20</v>
      </c>
      <c r="B24" s="180" t="s">
        <v>18</v>
      </c>
      <c r="C24" s="181"/>
      <c r="D24" s="14">
        <f t="shared" si="0"/>
        <v>35392</v>
      </c>
      <c r="E24" s="17">
        <f t="shared" si="1"/>
        <v>324496.05998962116</v>
      </c>
      <c r="F24" s="21">
        <f t="shared" si="2"/>
        <v>9.17</v>
      </c>
    </row>
    <row r="25" spans="1:6" ht="14.25" customHeight="1" x14ac:dyDescent="0.2">
      <c r="A25" s="19">
        <v>21</v>
      </c>
      <c r="B25" s="180" t="s">
        <v>461</v>
      </c>
      <c r="C25" s="181"/>
      <c r="D25" s="14">
        <f t="shared" si="0"/>
        <v>0</v>
      </c>
      <c r="E25" s="17">
        <f t="shared" si="1"/>
        <v>0</v>
      </c>
      <c r="F25" s="21" t="str">
        <f t="shared" si="2"/>
        <v/>
      </c>
    </row>
    <row r="26" spans="1:6" x14ac:dyDescent="0.2">
      <c r="A26" s="19">
        <v>22</v>
      </c>
      <c r="B26" s="180" t="s">
        <v>19</v>
      </c>
      <c r="C26" s="181"/>
      <c r="D26" s="14">
        <f t="shared" si="0"/>
        <v>54880</v>
      </c>
      <c r="E26" s="17">
        <f t="shared" si="1"/>
        <v>420015.1816294759</v>
      </c>
      <c r="F26" s="21">
        <f t="shared" si="2"/>
        <v>7.65</v>
      </c>
    </row>
    <row r="27" spans="1:6" x14ac:dyDescent="0.2">
      <c r="A27" s="19">
        <v>23</v>
      </c>
      <c r="B27" s="180" t="s">
        <v>20</v>
      </c>
      <c r="C27" s="181"/>
      <c r="D27" s="14">
        <f t="shared" si="0"/>
        <v>113584</v>
      </c>
      <c r="E27" s="17">
        <f t="shared" si="1"/>
        <v>734076.71060864406</v>
      </c>
      <c r="F27" s="21">
        <f t="shared" si="2"/>
        <v>6.46</v>
      </c>
    </row>
    <row r="28" spans="1:6" x14ac:dyDescent="0.2">
      <c r="A28" s="19">
        <v>24</v>
      </c>
      <c r="B28" s="180" t="s">
        <v>21</v>
      </c>
      <c r="C28" s="181"/>
      <c r="D28" s="14">
        <f t="shared" si="0"/>
        <v>143488</v>
      </c>
      <c r="E28" s="17">
        <f t="shared" si="1"/>
        <v>1111268.5524353175</v>
      </c>
      <c r="F28" s="21">
        <f t="shared" si="2"/>
        <v>7.74</v>
      </c>
    </row>
    <row r="29" spans="1:6" x14ac:dyDescent="0.2">
      <c r="A29" s="19">
        <v>25</v>
      </c>
      <c r="B29" s="180" t="s">
        <v>22</v>
      </c>
      <c r="C29" s="181"/>
      <c r="D29" s="14">
        <f t="shared" si="0"/>
        <v>442656</v>
      </c>
      <c r="E29" s="17">
        <f t="shared" si="1"/>
        <v>2747589.1915338421</v>
      </c>
      <c r="F29" s="21">
        <f t="shared" si="2"/>
        <v>6.21</v>
      </c>
    </row>
    <row r="30" spans="1:6" x14ac:dyDescent="0.2">
      <c r="A30" s="19">
        <v>26</v>
      </c>
      <c r="B30" s="180" t="s">
        <v>23</v>
      </c>
      <c r="C30" s="181"/>
      <c r="D30" s="14">
        <f t="shared" si="0"/>
        <v>211616</v>
      </c>
      <c r="E30" s="17">
        <f t="shared" si="1"/>
        <v>1710537.5901549412</v>
      </c>
      <c r="F30" s="21">
        <f t="shared" si="2"/>
        <v>8.08</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3237360</v>
      </c>
      <c r="E33" s="31">
        <f>SUM(E5:E32)</f>
        <v>24781082.999999996</v>
      </c>
      <c r="F33" s="32">
        <f t="shared" si="2"/>
        <v>7.65</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IF(F3="1",SUMIF(Data!A:A,'24'!$A$2,Data!CU:CU),0)</f>
        <v>0</v>
      </c>
      <c r="E36" s="15">
        <f>IF(F3="1",SUMIF(Data!$A:$A,$A$2,Data!IO:IO),0)</f>
        <v>0</v>
      </c>
      <c r="F36" s="20" t="str">
        <f t="shared" ref="F36:F64" si="3">IF(OR(D36=0,E36=0),"",ROUND(E36/D36,2))</f>
        <v/>
      </c>
    </row>
    <row r="37" spans="1:6" x14ac:dyDescent="0.2">
      <c r="A37" s="19">
        <v>2</v>
      </c>
      <c r="B37" s="180" t="s">
        <v>1</v>
      </c>
      <c r="C37" s="181"/>
      <c r="D37" s="14">
        <f>IF(F3="1",SUMIF(Data!A:A,'24'!$A$2,Data!CV:CV),0)</f>
        <v>0</v>
      </c>
      <c r="E37" s="17">
        <f>IF(F3="1",SUMIF(Data!$A:$A,$A$2,Data!IP:IP),0)</f>
        <v>0</v>
      </c>
      <c r="F37" s="21" t="str">
        <f t="shared" si="3"/>
        <v/>
      </c>
    </row>
    <row r="38" spans="1:6" ht="14.25" customHeight="1" x14ac:dyDescent="0.2">
      <c r="A38" s="19">
        <v>3</v>
      </c>
      <c r="B38" s="180" t="s">
        <v>2</v>
      </c>
      <c r="C38" s="181"/>
      <c r="D38" s="14">
        <f>IF(F3="1",SUMIF(Data!A:A,'24'!$A$2,Data!CW:CW),0)</f>
        <v>275504</v>
      </c>
      <c r="E38" s="17">
        <f>IF($F$3="1",SUMIF(Data!$A:$A,$A$2,Data!IQ:IQ),0)</f>
        <v>141224</v>
      </c>
      <c r="F38" s="21">
        <f t="shared" si="3"/>
        <v>0.51</v>
      </c>
    </row>
    <row r="39" spans="1:6" ht="14.25" customHeight="1" x14ac:dyDescent="0.2">
      <c r="A39" s="19">
        <v>4</v>
      </c>
      <c r="B39" s="180" t="s">
        <v>3</v>
      </c>
      <c r="C39" s="181"/>
      <c r="D39" s="14">
        <f>IF(F3="1",SUMIF(Data!A:A,'24'!$A$2,Data!CX:CX),0)</f>
        <v>361136</v>
      </c>
      <c r="E39" s="17">
        <f>IF($F$3="1",SUMIF(Data!$A:$A,$A$2,Data!IR:IR),0)</f>
        <v>243132</v>
      </c>
      <c r="F39" s="21">
        <f t="shared" si="3"/>
        <v>0.67</v>
      </c>
    </row>
    <row r="40" spans="1:6" x14ac:dyDescent="0.2">
      <c r="A40" s="19">
        <v>5</v>
      </c>
      <c r="B40" s="180" t="s">
        <v>4</v>
      </c>
      <c r="C40" s="181"/>
      <c r="D40" s="14">
        <f>IF(F3="1",SUMIF(Data!A:A,'24'!$A$2,Data!CY:CY),0)</f>
        <v>0</v>
      </c>
      <c r="E40" s="17">
        <f>IF($F$3="1",SUMIF(Data!$A:$A,$A$2,Data!IS:IS),0)</f>
        <v>0</v>
      </c>
      <c r="F40" s="21" t="str">
        <f t="shared" si="3"/>
        <v/>
      </c>
    </row>
    <row r="41" spans="1:6" x14ac:dyDescent="0.2">
      <c r="A41" s="19">
        <v>6</v>
      </c>
      <c r="B41" s="180" t="s">
        <v>5</v>
      </c>
      <c r="C41" s="181"/>
      <c r="D41" s="14">
        <f>IF(F3="1",SUMIF(Data!A:A,'24'!$A$2,Data!CZ:CZ),0)</f>
        <v>133632</v>
      </c>
      <c r="E41" s="17">
        <f>IF($F$3="1",SUMIF(Data!$A:$A,$A$2,Data!IT:IT),0)</f>
        <v>26513</v>
      </c>
      <c r="F41" s="21">
        <f t="shared" si="3"/>
        <v>0.2</v>
      </c>
    </row>
    <row r="42" spans="1:6" x14ac:dyDescent="0.2">
      <c r="A42" s="19">
        <v>7</v>
      </c>
      <c r="B42" s="180" t="s">
        <v>6</v>
      </c>
      <c r="C42" s="181"/>
      <c r="D42" s="14">
        <f>IF(F3="1",SUMIF(Data!A:A,'24'!$A$2,Data!DA:DA),0)</f>
        <v>236016</v>
      </c>
      <c r="E42" s="17">
        <f>IF($F$3="1",SUMIF(Data!$A:$A,$A$2,Data!IU:IU),0)</f>
        <v>143413</v>
      </c>
      <c r="F42" s="21">
        <f t="shared" si="3"/>
        <v>0.61</v>
      </c>
    </row>
    <row r="43" spans="1:6" x14ac:dyDescent="0.2">
      <c r="A43" s="19">
        <v>8</v>
      </c>
      <c r="B43" s="180" t="s">
        <v>7</v>
      </c>
      <c r="C43" s="181"/>
      <c r="D43" s="14">
        <f>IF(F3="1",SUMIF(Data!A:A,'24'!$A$2,Data!DB:DB),0)</f>
        <v>73488</v>
      </c>
      <c r="E43" s="17">
        <f>IF($F$3="1",SUMIF(Data!$A:$A,$A$2,Data!IV:IV),0)</f>
        <v>181507</v>
      </c>
      <c r="F43" s="21">
        <f t="shared" si="3"/>
        <v>2.4700000000000002</v>
      </c>
    </row>
    <row r="44" spans="1:6" x14ac:dyDescent="0.2">
      <c r="A44" s="19">
        <v>9</v>
      </c>
      <c r="B44" s="180" t="s">
        <v>8</v>
      </c>
      <c r="C44" s="181"/>
      <c r="D44" s="14">
        <f>IF(F3="1",SUMIF(Data!A:A,'24'!$A$2,Data!DC:DC),0)</f>
        <v>0</v>
      </c>
      <c r="E44" s="17">
        <f>IF($F$3="1",SUMIF(Data!$A:$A,$A$2,Data!IW:IW),0)</f>
        <v>0</v>
      </c>
      <c r="F44" s="21" t="str">
        <f t="shared" si="3"/>
        <v/>
      </c>
    </row>
    <row r="45" spans="1:6" x14ac:dyDescent="0.2">
      <c r="A45" s="19">
        <v>10</v>
      </c>
      <c r="B45" s="180" t="s">
        <v>9</v>
      </c>
      <c r="C45" s="181"/>
      <c r="D45" s="14">
        <f>IF(F3="1",SUMIF(Data!A:A,'24'!$A$2,Data!DD:DD),0)</f>
        <v>0</v>
      </c>
      <c r="E45" s="17">
        <f>IF($F$3="1",SUMIF(Data!$A:$A,$A$2,Data!IX:IX),0)</f>
        <v>0</v>
      </c>
      <c r="F45" s="21" t="str">
        <f t="shared" si="3"/>
        <v/>
      </c>
    </row>
    <row r="46" spans="1:6" x14ac:dyDescent="0.2">
      <c r="A46" s="19">
        <v>11</v>
      </c>
      <c r="B46" s="180" t="s">
        <v>10</v>
      </c>
      <c r="C46" s="181"/>
      <c r="D46" s="14">
        <f>IF(F3="1",SUMIF(Data!A:A,'24'!$A$2,Data!DE:DE),0)</f>
        <v>0</v>
      </c>
      <c r="E46" s="17">
        <f>IF($F$3="1",SUMIF(Data!$A:$A,$A$2,Data!IY:IY),0)</f>
        <v>0</v>
      </c>
      <c r="F46" s="21" t="str">
        <f t="shared" si="3"/>
        <v/>
      </c>
    </row>
    <row r="47" spans="1:6" ht="14.25" customHeight="1" x14ac:dyDescent="0.2">
      <c r="A47" s="19">
        <v>12</v>
      </c>
      <c r="B47" s="180" t="s">
        <v>11</v>
      </c>
      <c r="C47" s="181"/>
      <c r="D47" s="14">
        <f>IF(F3="1",SUMIF(Data!A:A,'24'!$A$2,Data!DF:DF),0)</f>
        <v>406016</v>
      </c>
      <c r="E47" s="17">
        <f>IF($F$3="1",SUMIF(Data!$A:$A,$A$2,Data!IZ:IZ),0)</f>
        <v>107400</v>
      </c>
      <c r="F47" s="21">
        <f t="shared" si="3"/>
        <v>0.26</v>
      </c>
    </row>
    <row r="48" spans="1:6" x14ac:dyDescent="0.2">
      <c r="A48" s="19">
        <v>13</v>
      </c>
      <c r="B48" s="180" t="s">
        <v>12</v>
      </c>
      <c r="C48" s="181"/>
      <c r="D48" s="14">
        <f>IF(F3="1",SUMIF(Data!A:A,'24'!$A$2,Data!DG:DG),0)</f>
        <v>133376</v>
      </c>
      <c r="E48" s="17">
        <f>IF($F$3="1",SUMIF(Data!$A:$A,$A$2,Data!JA:JA),0)</f>
        <v>97348</v>
      </c>
      <c r="F48" s="21">
        <f t="shared" si="3"/>
        <v>0.73</v>
      </c>
    </row>
    <row r="49" spans="1:6" ht="14.25" customHeight="1" x14ac:dyDescent="0.2">
      <c r="A49" s="19">
        <v>14</v>
      </c>
      <c r="B49" s="180" t="s">
        <v>464</v>
      </c>
      <c r="C49" s="181"/>
      <c r="D49" s="14">
        <f>IF(F3="1",SUMIF(Data!A:A,'24'!$A$2,Data!DH:DH),0)</f>
        <v>93392</v>
      </c>
      <c r="E49" s="17">
        <f>IF($F$3="1",SUMIF(Data!$A:$A,$A$2,Data!JB:JB),0)</f>
        <v>44109</v>
      </c>
      <c r="F49" s="21">
        <f t="shared" si="3"/>
        <v>0.47</v>
      </c>
    </row>
    <row r="50" spans="1:6" x14ac:dyDescent="0.2">
      <c r="A50" s="19">
        <v>15</v>
      </c>
      <c r="B50" s="180" t="s">
        <v>13</v>
      </c>
      <c r="C50" s="181"/>
      <c r="D50" s="14">
        <f>IF(F3="1",SUMIF(Data!A:A,'24'!$A$2,Data!DI:DI),0)</f>
        <v>0</v>
      </c>
      <c r="E50" s="17">
        <f>IF($F$3="1",SUMIF(Data!$A:$A,$A$2,Data!JC:JC),0)</f>
        <v>0</v>
      </c>
      <c r="F50" s="21" t="str">
        <f t="shared" si="3"/>
        <v/>
      </c>
    </row>
    <row r="51" spans="1:6" x14ac:dyDescent="0.2">
      <c r="A51" s="19">
        <v>16</v>
      </c>
      <c r="B51" s="180" t="s">
        <v>14</v>
      </c>
      <c r="C51" s="181"/>
      <c r="D51" s="14">
        <f>IF(F3="1",SUMIF(Data!A:A,'24'!$A$2,Data!DJ:DJ),0)</f>
        <v>137520</v>
      </c>
      <c r="E51" s="17">
        <f>IF($F$3="1",SUMIF(Data!$A:$A,$A$2,Data!JD:JD),0)</f>
        <v>43891</v>
      </c>
      <c r="F51" s="21">
        <f t="shared" si="3"/>
        <v>0.32</v>
      </c>
    </row>
    <row r="52" spans="1:6" x14ac:dyDescent="0.2">
      <c r="A52" s="19">
        <v>17</v>
      </c>
      <c r="B52" s="180" t="s">
        <v>15</v>
      </c>
      <c r="C52" s="181"/>
      <c r="D52" s="14">
        <f>IF(F3="1",SUMIF(Data!A:A,'24'!$A$2,Data!DK:DK),0)</f>
        <v>0</v>
      </c>
      <c r="E52" s="17">
        <f>IF($F$3="1",SUMIF(Data!$A:$A,$A$2,Data!JE:JE),0)</f>
        <v>0</v>
      </c>
      <c r="F52" s="21" t="str">
        <f t="shared" si="3"/>
        <v/>
      </c>
    </row>
    <row r="53" spans="1:6" x14ac:dyDescent="0.2">
      <c r="A53" s="19">
        <v>18</v>
      </c>
      <c r="B53" s="180" t="s">
        <v>16</v>
      </c>
      <c r="C53" s="181"/>
      <c r="D53" s="14">
        <f>IF(F3="1",SUMIF(Data!A:A,'24'!$A$2,Data!DL:DL),0)</f>
        <v>37072</v>
      </c>
      <c r="E53" s="17">
        <f>IF($F$3="1",SUMIF(Data!$A:$A,$A$2,Data!JF:JF),0)</f>
        <v>26991</v>
      </c>
      <c r="F53" s="21">
        <f t="shared" si="3"/>
        <v>0.73</v>
      </c>
    </row>
    <row r="54" spans="1:6" x14ac:dyDescent="0.2">
      <c r="A54" s="19">
        <v>19</v>
      </c>
      <c r="B54" s="180" t="s">
        <v>17</v>
      </c>
      <c r="C54" s="181"/>
      <c r="D54" s="14">
        <f>IF(F3="1",SUMIF(Data!A:A,'24'!$A$2,Data!DM:DM),0)</f>
        <v>348592</v>
      </c>
      <c r="E54" s="17">
        <f>IF($F$3="1",SUMIF(Data!$A:$A,$A$2,Data!JG:JG),0)</f>
        <v>48863</v>
      </c>
      <c r="F54" s="21">
        <f t="shared" si="3"/>
        <v>0.14000000000000001</v>
      </c>
    </row>
    <row r="55" spans="1:6" x14ac:dyDescent="0.2">
      <c r="A55" s="19">
        <v>20</v>
      </c>
      <c r="B55" s="180" t="s">
        <v>18</v>
      </c>
      <c r="C55" s="181"/>
      <c r="D55" s="14">
        <f>IF(F3="1",SUMIF(Data!A:A,'24'!$A$2,Data!DN:DN),0)</f>
        <v>35392</v>
      </c>
      <c r="E55" s="17">
        <f>IF($F$3="1",SUMIF(Data!$A:$A,$A$2,Data!JH:JH),0)</f>
        <v>36908</v>
      </c>
      <c r="F55" s="21">
        <f t="shared" si="3"/>
        <v>1.04</v>
      </c>
    </row>
    <row r="56" spans="1:6" ht="14.25" customHeight="1" x14ac:dyDescent="0.2">
      <c r="A56" s="19">
        <v>21</v>
      </c>
      <c r="B56" s="180" t="s">
        <v>461</v>
      </c>
      <c r="C56" s="181"/>
      <c r="D56" s="14">
        <f>IF(F3="1",SUMIF(Data!A:A,'24'!$A$2,Data!DO:DO),0)</f>
        <v>0</v>
      </c>
      <c r="E56" s="17">
        <f>IF($F$3="1",SUMIF(Data!$A:$A,$A$2,Data!JI:JI),0)</f>
        <v>0</v>
      </c>
      <c r="F56" s="21" t="str">
        <f t="shared" si="3"/>
        <v/>
      </c>
    </row>
    <row r="57" spans="1:6" x14ac:dyDescent="0.2">
      <c r="A57" s="19">
        <v>22</v>
      </c>
      <c r="B57" s="180" t="s">
        <v>19</v>
      </c>
      <c r="C57" s="181"/>
      <c r="D57" s="14">
        <f>IF(F3="1",SUMIF(Data!A:A,'24'!$A$2,Data!DP:DP),0)</f>
        <v>54880</v>
      </c>
      <c r="E57" s="17">
        <f>IF($F$3="1",SUMIF(Data!$A:$A,$A$2,Data!JJ:JJ),0)</f>
        <v>33356</v>
      </c>
      <c r="F57" s="21">
        <f t="shared" si="3"/>
        <v>0.61</v>
      </c>
    </row>
    <row r="58" spans="1:6" x14ac:dyDescent="0.2">
      <c r="A58" s="19">
        <v>23</v>
      </c>
      <c r="B58" s="180" t="s">
        <v>20</v>
      </c>
      <c r="C58" s="181"/>
      <c r="D58" s="14">
        <f>IF(F3="1",SUMIF(Data!A:A,'24'!$A$2,Data!DQ:DQ),0)</f>
        <v>113584</v>
      </c>
      <c r="E58" s="17">
        <f>IF($F$3="1",SUMIF(Data!$A:$A,$A$2,Data!JK:JK),0)</f>
        <v>13645</v>
      </c>
      <c r="F58" s="21">
        <f t="shared" si="3"/>
        <v>0.12</v>
      </c>
    </row>
    <row r="59" spans="1:6" x14ac:dyDescent="0.2">
      <c r="A59" s="19">
        <v>24</v>
      </c>
      <c r="B59" s="180" t="s">
        <v>21</v>
      </c>
      <c r="C59" s="181"/>
      <c r="D59" s="14">
        <f>IF(F3="1",SUMIF(Data!A:A,'24'!$A$2,Data!DR:DR),0)</f>
        <v>143488</v>
      </c>
      <c r="E59" s="17">
        <f>IF($F$3="1",SUMIF(Data!$A:$A,$A$2,Data!JL:JL),0)</f>
        <v>63622</v>
      </c>
      <c r="F59" s="21">
        <f t="shared" si="3"/>
        <v>0.44</v>
      </c>
    </row>
    <row r="60" spans="1:6" x14ac:dyDescent="0.2">
      <c r="A60" s="19">
        <v>25</v>
      </c>
      <c r="B60" s="180" t="s">
        <v>22</v>
      </c>
      <c r="C60" s="181"/>
      <c r="D60" s="14">
        <f>IF(F3="1",SUMIF(Data!A:A,'24'!$A$2,Data!DS:DS),0)</f>
        <v>442656</v>
      </c>
      <c r="E60" s="17">
        <f>IF($F$3="1",SUMIF(Data!$A:$A,$A$2,Data!JM:JM),0)</f>
        <v>43228</v>
      </c>
      <c r="F60" s="21">
        <f t="shared" si="3"/>
        <v>0.1</v>
      </c>
    </row>
    <row r="61" spans="1:6" x14ac:dyDescent="0.2">
      <c r="A61" s="19">
        <v>26</v>
      </c>
      <c r="B61" s="180" t="s">
        <v>23</v>
      </c>
      <c r="C61" s="181"/>
      <c r="D61" s="14">
        <f>IF(F3="1",SUMIF(Data!A:A,'24'!$A$2,Data!DT:DT),0)</f>
        <v>211616</v>
      </c>
      <c r="E61" s="17">
        <f>IF($F$3="1",SUMIF(Data!$A:$A,$A$2,Data!JN:JN),0)</f>
        <v>102052</v>
      </c>
      <c r="F61" s="21">
        <f t="shared" si="3"/>
        <v>0.48</v>
      </c>
    </row>
    <row r="62" spans="1:6" x14ac:dyDescent="0.2">
      <c r="A62" s="19">
        <v>28</v>
      </c>
      <c r="B62" s="180" t="s">
        <v>24</v>
      </c>
      <c r="C62" s="181"/>
      <c r="D62" s="14">
        <f>IF(F3="1",SUMIF(Data!A:A,'24'!$A$2,Data!DV:DV),0)</f>
        <v>0</v>
      </c>
      <c r="E62" s="17">
        <f>IF($F$3="1",SUMIF(Data!$A:$A,$A$2,Data!JP:JP),0)</f>
        <v>0</v>
      </c>
      <c r="F62" s="21" t="str">
        <f t="shared" si="3"/>
        <v/>
      </c>
    </row>
    <row r="63" spans="1:6" ht="15.75" customHeight="1" thickBot="1" x14ac:dyDescent="0.25">
      <c r="A63" s="22">
        <v>29</v>
      </c>
      <c r="B63" s="184" t="s">
        <v>25</v>
      </c>
      <c r="C63" s="185"/>
      <c r="D63" s="23">
        <f>IF(F3="1",SUMIF(Data!A:A,'24'!$A$2,Data!DW:DW),0)</f>
        <v>0</v>
      </c>
      <c r="E63" s="24">
        <f>IF($F$3="1",SUMIF(Data!$A:$A,$A$2,Data!JQ:JQ),0)</f>
        <v>0</v>
      </c>
      <c r="F63" s="25" t="str">
        <f t="shared" si="3"/>
        <v/>
      </c>
    </row>
    <row r="64" spans="1:6" x14ac:dyDescent="0.2">
      <c r="B64" s="30" t="s">
        <v>35</v>
      </c>
      <c r="C64" s="30"/>
      <c r="D64" s="59">
        <f>SUM(D36:D63)</f>
        <v>3237360</v>
      </c>
      <c r="E64" s="31">
        <f>SUM(E36:E63)</f>
        <v>1397202</v>
      </c>
      <c r="F64" s="32">
        <f t="shared" si="3"/>
        <v>0.43</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0</v>
      </c>
      <c r="E67" s="15">
        <f>IF(F3="1",SUMIF(Data!A:A,'24'!$A$2,Data!DY:DY),0)</f>
        <v>0</v>
      </c>
      <c r="F67" s="20" t="str">
        <f t="shared" ref="F67:F95" si="4">IF(OR(D67=0,E67=0),"",ROUND(E67/D67,2))</f>
        <v/>
      </c>
    </row>
    <row r="68" spans="1:6" x14ac:dyDescent="0.2">
      <c r="A68" s="19">
        <v>2</v>
      </c>
      <c r="B68" s="180" t="s">
        <v>1</v>
      </c>
      <c r="C68" s="181"/>
      <c r="D68" s="14">
        <f t="shared" ref="D68:D94" si="5">D37</f>
        <v>0</v>
      </c>
      <c r="E68" s="17">
        <f>IF(F3="1",SUMIF(Data!A:A,'24'!$A$2,Data!DZ:DZ),0)</f>
        <v>0</v>
      </c>
      <c r="F68" s="21" t="str">
        <f t="shared" si="4"/>
        <v/>
      </c>
    </row>
    <row r="69" spans="1:6" ht="14.25" customHeight="1" x14ac:dyDescent="0.2">
      <c r="A69" s="19">
        <v>3</v>
      </c>
      <c r="B69" s="180" t="s">
        <v>2</v>
      </c>
      <c r="C69" s="181"/>
      <c r="D69" s="14">
        <f t="shared" si="5"/>
        <v>275504</v>
      </c>
      <c r="E69" s="17">
        <f>IF(F3="1",SUMIF(Data!A:A,'24'!$A$2,Data!EA:EA),0)</f>
        <v>812461</v>
      </c>
      <c r="F69" s="21">
        <f t="shared" si="4"/>
        <v>2.95</v>
      </c>
    </row>
    <row r="70" spans="1:6" ht="14.25" customHeight="1" x14ac:dyDescent="0.2">
      <c r="A70" s="19">
        <v>4</v>
      </c>
      <c r="B70" s="180" t="s">
        <v>3</v>
      </c>
      <c r="C70" s="181"/>
      <c r="D70" s="14">
        <f t="shared" si="5"/>
        <v>361136</v>
      </c>
      <c r="E70" s="17">
        <f>IF(F3="1",SUMIF(Data!A:A,'24'!$A$2,Data!EB:EB),0)</f>
        <v>1337875</v>
      </c>
      <c r="F70" s="21">
        <f t="shared" si="4"/>
        <v>3.7</v>
      </c>
    </row>
    <row r="71" spans="1:6" x14ac:dyDescent="0.2">
      <c r="A71" s="19">
        <v>5</v>
      </c>
      <c r="B71" s="180" t="s">
        <v>4</v>
      </c>
      <c r="C71" s="181"/>
      <c r="D71" s="14">
        <f t="shared" si="5"/>
        <v>0</v>
      </c>
      <c r="E71" s="17">
        <f>IF(F3="1",SUMIF(Data!A:A,'24'!$A$2,Data!EC:EC),0)</f>
        <v>0</v>
      </c>
      <c r="F71" s="21" t="str">
        <f t="shared" si="4"/>
        <v/>
      </c>
    </row>
    <row r="72" spans="1:6" x14ac:dyDescent="0.2">
      <c r="A72" s="19">
        <v>6</v>
      </c>
      <c r="B72" s="180" t="s">
        <v>5</v>
      </c>
      <c r="C72" s="181"/>
      <c r="D72" s="14">
        <f t="shared" si="5"/>
        <v>133632</v>
      </c>
      <c r="E72" s="17">
        <f>IF(F3="1",SUMIF(Data!A:A,'24'!$A$2,Data!ED:ED),0)</f>
        <v>390711</v>
      </c>
      <c r="F72" s="21">
        <f t="shared" si="4"/>
        <v>2.92</v>
      </c>
    </row>
    <row r="73" spans="1:6" x14ac:dyDescent="0.2">
      <c r="A73" s="19">
        <v>7</v>
      </c>
      <c r="B73" s="180" t="s">
        <v>6</v>
      </c>
      <c r="C73" s="181"/>
      <c r="D73" s="14">
        <f t="shared" si="5"/>
        <v>236016</v>
      </c>
      <c r="E73" s="17">
        <f>IF(F3="1",SUMIF(Data!A:A,'24'!$A$2,Data!EE:EE),0)</f>
        <v>802988</v>
      </c>
      <c r="F73" s="21">
        <f t="shared" si="4"/>
        <v>3.4</v>
      </c>
    </row>
    <row r="74" spans="1:6" x14ac:dyDescent="0.2">
      <c r="A74" s="19">
        <v>8</v>
      </c>
      <c r="B74" s="180" t="s">
        <v>7</v>
      </c>
      <c r="C74" s="181"/>
      <c r="D74" s="14">
        <f t="shared" si="5"/>
        <v>73488</v>
      </c>
      <c r="E74" s="17">
        <f>IF(F3="1",SUMIF(Data!A:A,'24'!$A$2,Data!EF:EF),0)</f>
        <v>395136</v>
      </c>
      <c r="F74" s="21">
        <f t="shared" si="4"/>
        <v>5.38</v>
      </c>
    </row>
    <row r="75" spans="1:6" x14ac:dyDescent="0.2">
      <c r="A75" s="19">
        <v>9</v>
      </c>
      <c r="B75" s="180" t="s">
        <v>8</v>
      </c>
      <c r="C75" s="181"/>
      <c r="D75" s="14">
        <f t="shared" si="5"/>
        <v>0</v>
      </c>
      <c r="E75" s="17">
        <f>IF(F3="1",SUMIF(Data!A:A,'24'!$A$2,Data!EG:EG),0)</f>
        <v>0</v>
      </c>
      <c r="F75" s="21" t="str">
        <f t="shared" si="4"/>
        <v/>
      </c>
    </row>
    <row r="76" spans="1:6" x14ac:dyDescent="0.2">
      <c r="A76" s="19">
        <v>10</v>
      </c>
      <c r="B76" s="180" t="s">
        <v>9</v>
      </c>
      <c r="C76" s="181"/>
      <c r="D76" s="14">
        <f t="shared" si="5"/>
        <v>0</v>
      </c>
      <c r="E76" s="17">
        <f>IF(F3="1",SUMIF(Data!A:A,'24'!$A$2,Data!EH:EH),0)</f>
        <v>0</v>
      </c>
      <c r="F76" s="21" t="str">
        <f t="shared" si="4"/>
        <v/>
      </c>
    </row>
    <row r="77" spans="1:6" x14ac:dyDescent="0.2">
      <c r="A77" s="19">
        <v>11</v>
      </c>
      <c r="B77" s="180" t="s">
        <v>10</v>
      </c>
      <c r="C77" s="181"/>
      <c r="D77" s="14">
        <f t="shared" si="5"/>
        <v>0</v>
      </c>
      <c r="E77" s="17">
        <f>IF(F3="1",SUMIF(Data!A:A,'24'!$A$2,Data!EI:EI),0)</f>
        <v>0</v>
      </c>
      <c r="F77" s="21" t="str">
        <f t="shared" si="4"/>
        <v/>
      </c>
    </row>
    <row r="78" spans="1:6" ht="14.25" customHeight="1" x14ac:dyDescent="0.2">
      <c r="A78" s="19">
        <v>12</v>
      </c>
      <c r="B78" s="180" t="s">
        <v>11</v>
      </c>
      <c r="C78" s="181"/>
      <c r="D78" s="14">
        <f t="shared" si="5"/>
        <v>406016</v>
      </c>
      <c r="E78" s="17">
        <f>IF(F3="1",SUMIF(Data!A:A,'24'!$A$2,Data!EJ:EJ),0)</f>
        <v>1620986</v>
      </c>
      <c r="F78" s="21">
        <f t="shared" si="4"/>
        <v>3.99</v>
      </c>
    </row>
    <row r="79" spans="1:6" x14ac:dyDescent="0.2">
      <c r="A79" s="19">
        <v>13</v>
      </c>
      <c r="B79" s="180" t="s">
        <v>12</v>
      </c>
      <c r="C79" s="181"/>
      <c r="D79" s="14">
        <f t="shared" si="5"/>
        <v>133376</v>
      </c>
      <c r="E79" s="17">
        <f>IF(F3="1",SUMIF(Data!A:A,'24'!$A$2,Data!EK:EK),0)</f>
        <v>408173</v>
      </c>
      <c r="F79" s="21">
        <f t="shared" si="4"/>
        <v>3.06</v>
      </c>
    </row>
    <row r="80" spans="1:6" ht="14.25" customHeight="1" x14ac:dyDescent="0.2">
      <c r="A80" s="19">
        <v>14</v>
      </c>
      <c r="B80" s="180" t="s">
        <v>464</v>
      </c>
      <c r="C80" s="181"/>
      <c r="D80" s="14">
        <f t="shared" si="5"/>
        <v>93392</v>
      </c>
      <c r="E80" s="17">
        <f>IF(F3="1",SUMIF(Data!A:A,'24'!$A$2,Data!EL:EL),0)</f>
        <v>806994</v>
      </c>
      <c r="F80" s="21">
        <f t="shared" si="4"/>
        <v>8.64</v>
      </c>
    </row>
    <row r="81" spans="1:6" x14ac:dyDescent="0.2">
      <c r="A81" s="19">
        <v>15</v>
      </c>
      <c r="B81" s="180" t="s">
        <v>13</v>
      </c>
      <c r="C81" s="181"/>
      <c r="D81" s="14">
        <f t="shared" si="5"/>
        <v>0</v>
      </c>
      <c r="E81" s="17">
        <f>IF(F3="1",SUMIF(Data!A:A,'24'!$A$2,Data!EM:EM),0)</f>
        <v>0</v>
      </c>
      <c r="F81" s="21" t="str">
        <f t="shared" si="4"/>
        <v/>
      </c>
    </row>
    <row r="82" spans="1:6" x14ac:dyDescent="0.2">
      <c r="A82" s="19">
        <v>16</v>
      </c>
      <c r="B82" s="180" t="s">
        <v>14</v>
      </c>
      <c r="C82" s="181"/>
      <c r="D82" s="14">
        <f t="shared" si="5"/>
        <v>137520</v>
      </c>
      <c r="E82" s="17">
        <f>IF(F3="1",SUMIF(Data!A:A,'24'!$A$2,Data!EN:EN),0)</f>
        <v>684732</v>
      </c>
      <c r="F82" s="21">
        <f t="shared" si="4"/>
        <v>4.9800000000000004</v>
      </c>
    </row>
    <row r="83" spans="1:6" x14ac:dyDescent="0.2">
      <c r="A83" s="19">
        <v>17</v>
      </c>
      <c r="B83" s="180" t="s">
        <v>15</v>
      </c>
      <c r="C83" s="181"/>
      <c r="D83" s="14">
        <f t="shared" si="5"/>
        <v>0</v>
      </c>
      <c r="E83" s="17">
        <f>IF(F3="1",SUMIF(Data!A:A,'24'!$A$2,Data!EO:EO),0)</f>
        <v>0</v>
      </c>
      <c r="F83" s="21" t="str">
        <f t="shared" si="4"/>
        <v/>
      </c>
    </row>
    <row r="84" spans="1:6" x14ac:dyDescent="0.2">
      <c r="A84" s="19">
        <v>18</v>
      </c>
      <c r="B84" s="180" t="s">
        <v>16</v>
      </c>
      <c r="C84" s="181"/>
      <c r="D84" s="14">
        <f t="shared" si="5"/>
        <v>37072</v>
      </c>
      <c r="E84" s="17">
        <f>IF(F3="1",SUMIF(Data!A:A,'24'!$A$2,Data!EP:EP),0)</f>
        <v>239866</v>
      </c>
      <c r="F84" s="21">
        <f t="shared" si="4"/>
        <v>6.47</v>
      </c>
    </row>
    <row r="85" spans="1:6" x14ac:dyDescent="0.2">
      <c r="A85" s="19">
        <v>19</v>
      </c>
      <c r="B85" s="180" t="s">
        <v>17</v>
      </c>
      <c r="C85" s="181"/>
      <c r="D85" s="14">
        <f t="shared" si="5"/>
        <v>348592</v>
      </c>
      <c r="E85" s="17">
        <f>IF(F3="1",SUMIF(Data!A:A,'24'!$A$2,Data!EQ:EQ),0)</f>
        <v>985424</v>
      </c>
      <c r="F85" s="21">
        <f t="shared" si="4"/>
        <v>2.83</v>
      </c>
    </row>
    <row r="86" spans="1:6" x14ac:dyDescent="0.2">
      <c r="A86" s="19">
        <v>20</v>
      </c>
      <c r="B86" s="180" t="s">
        <v>18</v>
      </c>
      <c r="C86" s="181"/>
      <c r="D86" s="14">
        <f t="shared" si="5"/>
        <v>35392</v>
      </c>
      <c r="E86" s="17">
        <f>IF(F3="1",SUMIF(Data!A:A,'24'!$A$2,Data!ER:ER),0)</f>
        <v>158678</v>
      </c>
      <c r="F86" s="21">
        <f t="shared" si="4"/>
        <v>4.4800000000000004</v>
      </c>
    </row>
    <row r="87" spans="1:6" ht="14.25" customHeight="1" x14ac:dyDescent="0.2">
      <c r="A87" s="19">
        <v>21</v>
      </c>
      <c r="B87" s="180" t="s">
        <v>461</v>
      </c>
      <c r="C87" s="181"/>
      <c r="D87" s="14">
        <f t="shared" si="5"/>
        <v>0</v>
      </c>
      <c r="E87" s="17">
        <f>IF(F3="1",SUMIF(Data!A:A,'24'!$A$2,Data!ES:ES),0)</f>
        <v>0</v>
      </c>
      <c r="F87" s="21" t="str">
        <f t="shared" si="4"/>
        <v/>
      </c>
    </row>
    <row r="88" spans="1:6" x14ac:dyDescent="0.2">
      <c r="A88" s="19">
        <v>22</v>
      </c>
      <c r="B88" s="180" t="s">
        <v>19</v>
      </c>
      <c r="C88" s="181"/>
      <c r="D88" s="14">
        <f t="shared" si="5"/>
        <v>54880</v>
      </c>
      <c r="E88" s="17">
        <f>IF(F3="1",SUMIF(Data!A:A,'24'!$A$2,Data!ET:ET),0)</f>
        <v>186767</v>
      </c>
      <c r="F88" s="21">
        <f t="shared" si="4"/>
        <v>3.4</v>
      </c>
    </row>
    <row r="89" spans="1:6" x14ac:dyDescent="0.2">
      <c r="A89" s="19">
        <v>23</v>
      </c>
      <c r="B89" s="180" t="s">
        <v>20</v>
      </c>
      <c r="C89" s="181"/>
      <c r="D89" s="14">
        <f t="shared" si="5"/>
        <v>113584</v>
      </c>
      <c r="E89" s="17">
        <f>IF(F3="1",SUMIF(Data!A:A,'24'!$A$2,Data!EU:EU),0)</f>
        <v>306719</v>
      </c>
      <c r="F89" s="21">
        <f t="shared" si="4"/>
        <v>2.7</v>
      </c>
    </row>
    <row r="90" spans="1:6" x14ac:dyDescent="0.2">
      <c r="A90" s="19">
        <v>24</v>
      </c>
      <c r="B90" s="180" t="s">
        <v>21</v>
      </c>
      <c r="C90" s="181"/>
      <c r="D90" s="14">
        <f t="shared" si="5"/>
        <v>143488</v>
      </c>
      <c r="E90" s="17">
        <f>IF(F3="1",SUMIF(Data!A:A,'24'!$A$2,Data!EV:EV),0)</f>
        <v>525013</v>
      </c>
      <c r="F90" s="21">
        <f t="shared" si="4"/>
        <v>3.66</v>
      </c>
    </row>
    <row r="91" spans="1:6" x14ac:dyDescent="0.2">
      <c r="A91" s="19">
        <v>25</v>
      </c>
      <c r="B91" s="180" t="s">
        <v>22</v>
      </c>
      <c r="C91" s="181"/>
      <c r="D91" s="14">
        <f t="shared" si="5"/>
        <v>442656</v>
      </c>
      <c r="E91" s="17">
        <f>IF(F3="1",SUMIF(Data!A:A,'24'!$A$2,Data!EW:EW),0)</f>
        <v>1092053</v>
      </c>
      <c r="F91" s="21">
        <f t="shared" si="4"/>
        <v>2.4700000000000002</v>
      </c>
    </row>
    <row r="92" spans="1:6" x14ac:dyDescent="0.2">
      <c r="A92" s="19">
        <v>26</v>
      </c>
      <c r="B92" s="180" t="s">
        <v>23</v>
      </c>
      <c r="C92" s="181"/>
      <c r="D92" s="14">
        <f t="shared" si="5"/>
        <v>211616</v>
      </c>
      <c r="E92" s="17">
        <f>IF(F3="1",SUMIF(Data!A:A,'24'!$A$2,Data!EX:EX),0)</f>
        <v>837706</v>
      </c>
      <c r="F92" s="21">
        <f t="shared" si="4"/>
        <v>3.96</v>
      </c>
    </row>
    <row r="93" spans="1:6" x14ac:dyDescent="0.2">
      <c r="A93" s="19">
        <v>28</v>
      </c>
      <c r="B93" s="180" t="s">
        <v>24</v>
      </c>
      <c r="C93" s="181"/>
      <c r="D93" s="14">
        <f t="shared" si="5"/>
        <v>0</v>
      </c>
      <c r="E93" s="17">
        <f>IF(F3="1",SUMIF(Data!A:A,'24'!$A$2,Data!EZ:EZ),0)</f>
        <v>0</v>
      </c>
      <c r="F93" s="21" t="str">
        <f t="shared" si="4"/>
        <v/>
      </c>
    </row>
    <row r="94" spans="1:6" ht="15.75" customHeight="1" thickBot="1" x14ac:dyDescent="0.25">
      <c r="A94" s="22">
        <v>29</v>
      </c>
      <c r="B94" s="184" t="s">
        <v>25</v>
      </c>
      <c r="C94" s="185"/>
      <c r="D94" s="23">
        <f t="shared" si="5"/>
        <v>0</v>
      </c>
      <c r="E94" s="24">
        <f>IF(F3="1",SUMIF(Data!A:A,'24'!$A$2,Data!FA:FA),0)</f>
        <v>0</v>
      </c>
      <c r="F94" s="25" t="str">
        <f t="shared" si="4"/>
        <v/>
      </c>
    </row>
    <row r="95" spans="1:6" x14ac:dyDescent="0.2">
      <c r="B95" s="30" t="s">
        <v>35</v>
      </c>
      <c r="C95" s="30"/>
      <c r="D95" s="59">
        <f>SUM(D67:D94)</f>
        <v>3237360</v>
      </c>
      <c r="E95" s="31">
        <f>SUM(E67:E94)</f>
        <v>11592282</v>
      </c>
      <c r="F95" s="32">
        <f t="shared" si="4"/>
        <v>3.58</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IF(F3="1",SUMIF(Data!A:A,'24'!$A$2,Data!AH:AH),0)</f>
        <v>4708063</v>
      </c>
      <c r="F98" s="20">
        <f>IF(OR(E98=0,E98=0),"",ROUND(E98/$D$105,2))</f>
        <v>1.45</v>
      </c>
    </row>
    <row r="99" spans="2:6" x14ac:dyDescent="0.2">
      <c r="B99" s="190" t="s">
        <v>31</v>
      </c>
      <c r="C99" s="191"/>
      <c r="D99" s="36"/>
      <c r="E99" s="17">
        <f>IF(F3="1",SUMIF(Data!A:A,'24'!$A$2,Data!AI:AI),0)</f>
        <v>2685023</v>
      </c>
      <c r="F99" s="21">
        <f t="shared" ref="F99:F104" si="6">IF(OR(E99=0,E99=0),"",ROUND(E99/$D$105,2))</f>
        <v>0.83</v>
      </c>
    </row>
    <row r="100" spans="2:6" x14ac:dyDescent="0.2">
      <c r="B100" s="190" t="s">
        <v>1089</v>
      </c>
      <c r="C100" s="191"/>
      <c r="D100" s="36"/>
      <c r="E100" s="17">
        <f>IF(F3="1",SUMIF(Data!A:A,'24'!$A$2,Data!AJ:AJ),0)</f>
        <v>1000714</v>
      </c>
      <c r="F100" s="21">
        <f t="shared" si="6"/>
        <v>0.31</v>
      </c>
    </row>
    <row r="101" spans="2:6" x14ac:dyDescent="0.2">
      <c r="B101" s="190" t="s">
        <v>1090</v>
      </c>
      <c r="C101" s="191"/>
      <c r="D101" s="36"/>
      <c r="E101" s="17">
        <f>IF(F3="1",SUMIF(Data!A:A,'24'!$A$2,Data!AK:AK),0)</f>
        <v>810138</v>
      </c>
      <c r="F101" s="21">
        <f t="shared" si="6"/>
        <v>0.25</v>
      </c>
    </row>
    <row r="102" spans="2:6" x14ac:dyDescent="0.2">
      <c r="B102" s="190" t="s">
        <v>1091</v>
      </c>
      <c r="C102" s="191"/>
      <c r="D102" s="36"/>
      <c r="E102" s="17">
        <f>IF(F3="1",SUMIF(Data!A:A,'24'!$A$2,Data!AL:AL),0)</f>
        <v>0</v>
      </c>
      <c r="F102" s="21" t="str">
        <f t="shared" si="6"/>
        <v/>
      </c>
    </row>
    <row r="103" spans="2:6" x14ac:dyDescent="0.2">
      <c r="B103" s="192" t="s">
        <v>34</v>
      </c>
      <c r="C103" s="193"/>
      <c r="D103" s="36"/>
      <c r="E103" s="17">
        <f>IF(F3="1",SUMIF(Data!A:A,'24'!$A$2,Data!AM:AM),0)</f>
        <v>0</v>
      </c>
      <c r="F103" s="21" t="str">
        <f t="shared" si="6"/>
        <v/>
      </c>
    </row>
    <row r="104" spans="2:6" ht="15.75" customHeight="1" thickBot="1" x14ac:dyDescent="0.25">
      <c r="B104" s="186" t="s">
        <v>29</v>
      </c>
      <c r="C104" s="187"/>
      <c r="D104" s="37"/>
      <c r="E104" s="24">
        <f>IF(F3="1",SUMIF(Data!A:A,'24'!$A$2,Data!Q:Q),0)</f>
        <v>2587661</v>
      </c>
      <c r="F104" s="25">
        <f t="shared" si="6"/>
        <v>0.8</v>
      </c>
    </row>
    <row r="105" spans="2:6" x14ac:dyDescent="0.2">
      <c r="B105" s="30" t="s">
        <v>35</v>
      </c>
      <c r="C105" s="30"/>
      <c r="D105" s="34">
        <f>D95</f>
        <v>3237360</v>
      </c>
      <c r="E105" s="31">
        <f>SUM(E98:E104)</f>
        <v>11791599</v>
      </c>
      <c r="F105" s="32">
        <f>IF($D$105=0,"",ROUND(E105/$D$105,2))</f>
        <v>3.64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11592282</v>
      </c>
      <c r="D109" s="15">
        <f>IF(F3="1",SUMIF(Data!$A:$A,$A$2,Data!HJ:HJ),0)</f>
        <v>0</v>
      </c>
      <c r="E109" s="15">
        <f>IF(F3="1",SUMIF(Data!$A:$A,$A$2,Data!IN:IN),0)</f>
        <v>0</v>
      </c>
      <c r="F109" s="47">
        <f>SUM(C109:E109)</f>
        <v>11592282</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2587661</v>
      </c>
      <c r="E117" s="52"/>
      <c r="F117" s="49">
        <f>SUM(C117:E117)</f>
        <v>2587661</v>
      </c>
    </row>
    <row r="118" spans="1:6" x14ac:dyDescent="0.2">
      <c r="B118" s="13" t="s">
        <v>35</v>
      </c>
      <c r="C118" s="4">
        <f>SUM(C109:C116)</f>
        <v>11592282</v>
      </c>
      <c r="D118" s="4">
        <f>SUM(D109:D116)</f>
        <v>0</v>
      </c>
      <c r="E118" s="4">
        <f>SUM(E109:E116)</f>
        <v>0</v>
      </c>
      <c r="F118" s="4">
        <f>SUM(F109:F116)</f>
        <v>11592282</v>
      </c>
    </row>
    <row r="119" spans="1:6" ht="15" thickBot="1" x14ac:dyDescent="0.25"/>
    <row r="120" spans="1:6" ht="15" thickBot="1" x14ac:dyDescent="0.25">
      <c r="B120" s="55" t="s">
        <v>934</v>
      </c>
      <c r="C120" s="53"/>
      <c r="D120" s="53"/>
      <c r="E120" s="53">
        <f>IF(F3="1",SUMIF(Data!A:A,'24'!$A$2,Data!AM:AM),0)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1406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380</v>
      </c>
      <c r="B2" s="58" t="str">
        <f>VLOOKUP(A2,Data!A:G,7,0)</f>
        <v>Lee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59040</v>
      </c>
      <c r="E5" s="15">
        <f>E36+E67+IFERROR($E$105/$D$105*D5,0)</f>
        <v>344280.45347833075</v>
      </c>
      <c r="F5" s="20">
        <f>IF(OR(D5=0,E5=0),"",ROUND(E5/D5,2))</f>
        <v>5.83</v>
      </c>
    </row>
    <row r="6" spans="1:6" x14ac:dyDescent="0.2">
      <c r="A6" s="19">
        <v>2</v>
      </c>
      <c r="B6" s="180" t="s">
        <v>1</v>
      </c>
      <c r="C6" s="181"/>
      <c r="D6" s="14">
        <f t="shared" ref="D6:D32" si="0">D37</f>
        <v>39984</v>
      </c>
      <c r="E6" s="17">
        <f t="shared" ref="E6:E32" si="1">E37+E68+IFERROR($E$105/$D$105*D6,0)</f>
        <v>912791.27540443046</v>
      </c>
      <c r="F6" s="21">
        <f t="shared" ref="F6:F33" si="2">IF(OR(D6=0,E6=0),"",ROUND(E6/D6,2))</f>
        <v>22.83</v>
      </c>
    </row>
    <row r="7" spans="1:6" ht="14.25" customHeight="1" x14ac:dyDescent="0.2">
      <c r="A7" s="19">
        <v>3</v>
      </c>
      <c r="B7" s="180" t="s">
        <v>2</v>
      </c>
      <c r="C7" s="181"/>
      <c r="D7" s="14">
        <f t="shared" si="0"/>
        <v>265700</v>
      </c>
      <c r="E7" s="17">
        <f t="shared" si="1"/>
        <v>2070957.206456512</v>
      </c>
      <c r="F7" s="21">
        <f t="shared" si="2"/>
        <v>7.79</v>
      </c>
    </row>
    <row r="8" spans="1:6" ht="14.25" customHeight="1" x14ac:dyDescent="0.2">
      <c r="A8" s="19">
        <v>4</v>
      </c>
      <c r="B8" s="180" t="s">
        <v>3</v>
      </c>
      <c r="C8" s="181"/>
      <c r="D8" s="14">
        <f t="shared" si="0"/>
        <v>283408</v>
      </c>
      <c r="E8" s="17">
        <f t="shared" si="1"/>
        <v>2004112.1093392065</v>
      </c>
      <c r="F8" s="21">
        <f t="shared" si="2"/>
        <v>7.07</v>
      </c>
    </row>
    <row r="9" spans="1:6" x14ac:dyDescent="0.2">
      <c r="A9" s="19">
        <v>5</v>
      </c>
      <c r="B9" s="180" t="s">
        <v>4</v>
      </c>
      <c r="C9" s="181"/>
      <c r="D9" s="14">
        <f t="shared" si="0"/>
        <v>13312</v>
      </c>
      <c r="E9" s="17">
        <f t="shared" si="1"/>
        <v>171627.75915825777</v>
      </c>
      <c r="F9" s="21">
        <f t="shared" si="2"/>
        <v>12.89</v>
      </c>
    </row>
    <row r="10" spans="1:6" x14ac:dyDescent="0.2">
      <c r="A10" s="19">
        <v>6</v>
      </c>
      <c r="B10" s="180" t="s">
        <v>5</v>
      </c>
      <c r="C10" s="181"/>
      <c r="D10" s="14">
        <f t="shared" si="0"/>
        <v>69552</v>
      </c>
      <c r="E10" s="17">
        <f t="shared" si="1"/>
        <v>356114.000073253</v>
      </c>
      <c r="F10" s="21">
        <f t="shared" si="2"/>
        <v>5.12</v>
      </c>
    </row>
    <row r="11" spans="1:6" x14ac:dyDescent="0.2">
      <c r="A11" s="19">
        <v>7</v>
      </c>
      <c r="B11" s="180" t="s">
        <v>6</v>
      </c>
      <c r="C11" s="181"/>
      <c r="D11" s="14">
        <f t="shared" si="0"/>
        <v>180917</v>
      </c>
      <c r="E11" s="17">
        <f t="shared" si="1"/>
        <v>1468643.1133289151</v>
      </c>
      <c r="F11" s="21">
        <f t="shared" si="2"/>
        <v>8.1199999999999992</v>
      </c>
    </row>
    <row r="12" spans="1:6" x14ac:dyDescent="0.2">
      <c r="A12" s="19">
        <v>8</v>
      </c>
      <c r="B12" s="180" t="s">
        <v>7</v>
      </c>
      <c r="C12" s="181"/>
      <c r="D12" s="14">
        <f t="shared" si="0"/>
        <v>343010</v>
      </c>
      <c r="E12" s="17">
        <f t="shared" si="1"/>
        <v>1984359.3719106065</v>
      </c>
      <c r="F12" s="21">
        <f t="shared" si="2"/>
        <v>5.79</v>
      </c>
    </row>
    <row r="13" spans="1:6" x14ac:dyDescent="0.2">
      <c r="A13" s="19">
        <v>9</v>
      </c>
      <c r="B13" s="180" t="s">
        <v>8</v>
      </c>
      <c r="C13" s="181"/>
      <c r="D13" s="14">
        <f t="shared" si="0"/>
        <v>69300</v>
      </c>
      <c r="E13" s="17">
        <f t="shared" si="1"/>
        <v>566430.01094255282</v>
      </c>
      <c r="F13" s="21">
        <f t="shared" si="2"/>
        <v>8.17</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0</v>
      </c>
      <c r="E15" s="17">
        <f t="shared" si="1"/>
        <v>0</v>
      </c>
      <c r="F15" s="21" t="str">
        <f t="shared" si="2"/>
        <v/>
      </c>
    </row>
    <row r="16" spans="1:6" ht="14.25" customHeight="1" x14ac:dyDescent="0.2">
      <c r="A16" s="19">
        <v>12</v>
      </c>
      <c r="B16" s="180" t="s">
        <v>11</v>
      </c>
      <c r="C16" s="181"/>
      <c r="D16" s="14">
        <f t="shared" si="0"/>
        <v>284181</v>
      </c>
      <c r="E16" s="17">
        <f t="shared" si="1"/>
        <v>2545239.9926647274</v>
      </c>
      <c r="F16" s="21">
        <f t="shared" si="2"/>
        <v>8.9600000000000009</v>
      </c>
    </row>
    <row r="17" spans="1:6" x14ac:dyDescent="0.2">
      <c r="A17" s="19">
        <v>13</v>
      </c>
      <c r="B17" s="180" t="s">
        <v>12</v>
      </c>
      <c r="C17" s="181"/>
      <c r="D17" s="14">
        <f t="shared" si="0"/>
        <v>45672</v>
      </c>
      <c r="E17" s="17">
        <f t="shared" si="1"/>
        <v>387497.03006880626</v>
      </c>
      <c r="F17" s="21">
        <f t="shared" si="2"/>
        <v>8.48</v>
      </c>
    </row>
    <row r="18" spans="1:6" ht="14.25" customHeight="1" x14ac:dyDescent="0.2">
      <c r="A18" s="19">
        <v>14</v>
      </c>
      <c r="B18" s="180" t="s">
        <v>464</v>
      </c>
      <c r="C18" s="181"/>
      <c r="D18" s="14">
        <f t="shared" si="0"/>
        <v>109840</v>
      </c>
      <c r="E18" s="17">
        <f t="shared" si="1"/>
        <v>1054137.5956988456</v>
      </c>
      <c r="F18" s="21">
        <f t="shared" si="2"/>
        <v>9.6</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77520</v>
      </c>
      <c r="E20" s="17">
        <f t="shared" si="1"/>
        <v>644980.65639634477</v>
      </c>
      <c r="F20" s="21">
        <f t="shared" si="2"/>
        <v>8.32</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45920</v>
      </c>
      <c r="E22" s="17">
        <f t="shared" si="1"/>
        <v>450258.68603870168</v>
      </c>
      <c r="F22" s="21">
        <f t="shared" si="2"/>
        <v>9.81</v>
      </c>
    </row>
    <row r="23" spans="1:6" x14ac:dyDescent="0.2">
      <c r="A23" s="19">
        <v>19</v>
      </c>
      <c r="B23" s="180" t="s">
        <v>17</v>
      </c>
      <c r="C23" s="181"/>
      <c r="D23" s="14">
        <f t="shared" si="0"/>
        <v>212224</v>
      </c>
      <c r="E23" s="17">
        <f t="shared" si="1"/>
        <v>1691849.1796576092</v>
      </c>
      <c r="F23" s="21">
        <f t="shared" si="2"/>
        <v>7.97</v>
      </c>
    </row>
    <row r="24" spans="1:6" x14ac:dyDescent="0.2">
      <c r="A24" s="19">
        <v>20</v>
      </c>
      <c r="B24" s="180" t="s">
        <v>18</v>
      </c>
      <c r="C24" s="181"/>
      <c r="D24" s="14">
        <f t="shared" si="0"/>
        <v>57347</v>
      </c>
      <c r="E24" s="17">
        <f t="shared" si="1"/>
        <v>345758.94316771394</v>
      </c>
      <c r="F24" s="21">
        <f t="shared" si="2"/>
        <v>6.03</v>
      </c>
    </row>
    <row r="25" spans="1:6" ht="14.25" customHeight="1" x14ac:dyDescent="0.2">
      <c r="A25" s="19">
        <v>21</v>
      </c>
      <c r="B25" s="180" t="s">
        <v>461</v>
      </c>
      <c r="C25" s="181"/>
      <c r="D25" s="14">
        <f t="shared" si="0"/>
        <v>73260</v>
      </c>
      <c r="E25" s="17">
        <f t="shared" si="1"/>
        <v>441690.84013927012</v>
      </c>
      <c r="F25" s="21">
        <f t="shared" si="2"/>
        <v>6.03</v>
      </c>
    </row>
    <row r="26" spans="1:6" x14ac:dyDescent="0.2">
      <c r="A26" s="19">
        <v>22</v>
      </c>
      <c r="B26" s="180" t="s">
        <v>19</v>
      </c>
      <c r="C26" s="181"/>
      <c r="D26" s="14">
        <f t="shared" si="0"/>
        <v>121872</v>
      </c>
      <c r="E26" s="17">
        <f t="shared" si="1"/>
        <v>757589.74339957861</v>
      </c>
      <c r="F26" s="21">
        <f t="shared" si="2"/>
        <v>6.22</v>
      </c>
    </row>
    <row r="27" spans="1:6" x14ac:dyDescent="0.2">
      <c r="A27" s="19">
        <v>23</v>
      </c>
      <c r="B27" s="180" t="s">
        <v>20</v>
      </c>
      <c r="C27" s="181"/>
      <c r="D27" s="14">
        <f t="shared" si="0"/>
        <v>128329</v>
      </c>
      <c r="E27" s="17">
        <f t="shared" si="1"/>
        <v>1018948.0482286704</v>
      </c>
      <c r="F27" s="21">
        <f t="shared" si="2"/>
        <v>7.94</v>
      </c>
    </row>
    <row r="28" spans="1:6" x14ac:dyDescent="0.2">
      <c r="A28" s="19">
        <v>24</v>
      </c>
      <c r="B28" s="180" t="s">
        <v>21</v>
      </c>
      <c r="C28" s="181"/>
      <c r="D28" s="14">
        <f t="shared" si="0"/>
        <v>22288</v>
      </c>
      <c r="E28" s="17">
        <f t="shared" si="1"/>
        <v>173121.3720041503</v>
      </c>
      <c r="F28" s="21">
        <f t="shared" si="2"/>
        <v>7.77</v>
      </c>
    </row>
    <row r="29" spans="1:6" x14ac:dyDescent="0.2">
      <c r="A29" s="19">
        <v>25</v>
      </c>
      <c r="B29" s="180" t="s">
        <v>22</v>
      </c>
      <c r="C29" s="181"/>
      <c r="D29" s="14">
        <f t="shared" si="0"/>
        <v>307728</v>
      </c>
      <c r="E29" s="17">
        <f t="shared" si="1"/>
        <v>2172175.7270321772</v>
      </c>
      <c r="F29" s="21">
        <f t="shared" si="2"/>
        <v>7.06</v>
      </c>
    </row>
    <row r="30" spans="1:6" x14ac:dyDescent="0.2">
      <c r="A30" s="19">
        <v>26</v>
      </c>
      <c r="B30" s="180" t="s">
        <v>23</v>
      </c>
      <c r="C30" s="181"/>
      <c r="D30" s="14">
        <f t="shared" si="0"/>
        <v>97327</v>
      </c>
      <c r="E30" s="17">
        <f t="shared" si="1"/>
        <v>877766.88541133958</v>
      </c>
      <c r="F30" s="21">
        <f t="shared" si="2"/>
        <v>9.02</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2907731</v>
      </c>
      <c r="E33" s="31">
        <f>SUM(E5:E32)</f>
        <v>22440330</v>
      </c>
      <c r="F33" s="32">
        <f t="shared" si="2"/>
        <v>7.72</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IF(F3="1",SUMIF(Data!A:A,'25'!$A$2,Data!CU:CU),0)</f>
        <v>59040</v>
      </c>
      <c r="E36" s="15">
        <f>IF(F3="1",SUMIF(Data!$A:$A,$A$2,Data!IO:IO),0)</f>
        <v>10732</v>
      </c>
      <c r="F36" s="20">
        <f t="shared" ref="F36:F64" si="3">IF(OR(D36=0,E36=0),"",ROUND(E36/D36,2))</f>
        <v>0.18</v>
      </c>
    </row>
    <row r="37" spans="1:6" x14ac:dyDescent="0.2">
      <c r="A37" s="19">
        <v>2</v>
      </c>
      <c r="B37" s="180" t="s">
        <v>1</v>
      </c>
      <c r="C37" s="181"/>
      <c r="D37" s="14">
        <f>IF(F3="1",SUMIF(Data!A:A,'25'!$A$2,Data!CV:CV),0)</f>
        <v>39984</v>
      </c>
      <c r="E37" s="17">
        <f>IF(F3="1",SUMIF(Data!$A:$A,$A$2,Data!IP:IP),0)</f>
        <v>111515</v>
      </c>
      <c r="F37" s="21">
        <f t="shared" si="3"/>
        <v>2.79</v>
      </c>
    </row>
    <row r="38" spans="1:6" ht="14.25" customHeight="1" x14ac:dyDescent="0.2">
      <c r="A38" s="19">
        <v>3</v>
      </c>
      <c r="B38" s="180" t="s">
        <v>2</v>
      </c>
      <c r="C38" s="181"/>
      <c r="D38" s="14">
        <f>IF(F3="1",SUMIF(Data!A:A,'25'!$A$2,Data!CW:CW),0)</f>
        <v>265700</v>
      </c>
      <c r="E38" s="17">
        <f>IF($F$3="1",SUMIF(Data!$A:$A,$A$2,Data!IQ:IQ),0)</f>
        <v>225312</v>
      </c>
      <c r="F38" s="21">
        <f t="shared" si="3"/>
        <v>0.85</v>
      </c>
    </row>
    <row r="39" spans="1:6" ht="14.25" customHeight="1" x14ac:dyDescent="0.2">
      <c r="A39" s="19">
        <v>4</v>
      </c>
      <c r="B39" s="180" t="s">
        <v>3</v>
      </c>
      <c r="C39" s="181"/>
      <c r="D39" s="14">
        <f>IF(F3="1",SUMIF(Data!A:A,'25'!$A$2,Data!CX:CX),0)</f>
        <v>283408</v>
      </c>
      <c r="E39" s="17">
        <f>IF($F$3="1",SUMIF(Data!$A:$A,$A$2,Data!IR:IR),0)</f>
        <v>160218</v>
      </c>
      <c r="F39" s="21">
        <f t="shared" si="3"/>
        <v>0.56999999999999995</v>
      </c>
    </row>
    <row r="40" spans="1:6" x14ac:dyDescent="0.2">
      <c r="A40" s="19">
        <v>5</v>
      </c>
      <c r="B40" s="180" t="s">
        <v>4</v>
      </c>
      <c r="C40" s="181"/>
      <c r="D40" s="14">
        <f>IF(F3="1",SUMIF(Data!A:A,'25'!$A$2,Data!CY:CY),0)</f>
        <v>13312</v>
      </c>
      <c r="E40" s="17">
        <f>IF($F$3="1",SUMIF(Data!$A:$A,$A$2,Data!IS:IS),0)</f>
        <v>0</v>
      </c>
      <c r="F40" s="21" t="str">
        <f t="shared" si="3"/>
        <v/>
      </c>
    </row>
    <row r="41" spans="1:6" x14ac:dyDescent="0.2">
      <c r="A41" s="19">
        <v>6</v>
      </c>
      <c r="B41" s="180" t="s">
        <v>5</v>
      </c>
      <c r="C41" s="181"/>
      <c r="D41" s="14">
        <f>IF(F3="1",SUMIF(Data!A:A,'25'!$A$2,Data!CZ:CZ),0)</f>
        <v>69552</v>
      </c>
      <c r="E41" s="17">
        <f>IF($F$3="1",SUMIF(Data!$A:$A,$A$2,Data!IT:IT),0)</f>
        <v>13148</v>
      </c>
      <c r="F41" s="21">
        <f t="shared" si="3"/>
        <v>0.19</v>
      </c>
    </row>
    <row r="42" spans="1:6" x14ac:dyDescent="0.2">
      <c r="A42" s="19">
        <v>7</v>
      </c>
      <c r="B42" s="180" t="s">
        <v>6</v>
      </c>
      <c r="C42" s="181"/>
      <c r="D42" s="14">
        <f>IF(F3="1",SUMIF(Data!A:A,'25'!$A$2,Data!DA:DA),0)</f>
        <v>180917</v>
      </c>
      <c r="E42" s="17">
        <f>IF($F$3="1",SUMIF(Data!$A:$A,$A$2,Data!IU:IU),0)</f>
        <v>142258</v>
      </c>
      <c r="F42" s="21">
        <f t="shared" si="3"/>
        <v>0.79</v>
      </c>
    </row>
    <row r="43" spans="1:6" x14ac:dyDescent="0.2">
      <c r="A43" s="19">
        <v>8</v>
      </c>
      <c r="B43" s="180" t="s">
        <v>7</v>
      </c>
      <c r="C43" s="181"/>
      <c r="D43" s="14">
        <f>IF(F3="1",SUMIF(Data!A:A,'25'!$A$2,Data!DB:DB),0)</f>
        <v>343010</v>
      </c>
      <c r="E43" s="17">
        <f>IF($F$3="1",SUMIF(Data!$A:$A,$A$2,Data!IV:IV),0)</f>
        <v>71426</v>
      </c>
      <c r="F43" s="21">
        <f t="shared" si="3"/>
        <v>0.21</v>
      </c>
    </row>
    <row r="44" spans="1:6" x14ac:dyDescent="0.2">
      <c r="A44" s="19">
        <v>9</v>
      </c>
      <c r="B44" s="180" t="s">
        <v>8</v>
      </c>
      <c r="C44" s="181"/>
      <c r="D44" s="14">
        <f>IF(F3="1",SUMIF(Data!A:A,'25'!$A$2,Data!DC:DC),0)</f>
        <v>69300</v>
      </c>
      <c r="E44" s="17">
        <f>IF($F$3="1",SUMIF(Data!$A:$A,$A$2,Data!IW:IW),0)</f>
        <v>90009</v>
      </c>
      <c r="F44" s="21">
        <f t="shared" si="3"/>
        <v>1.3</v>
      </c>
    </row>
    <row r="45" spans="1:6" x14ac:dyDescent="0.2">
      <c r="A45" s="19">
        <v>10</v>
      </c>
      <c r="B45" s="180" t="s">
        <v>9</v>
      </c>
      <c r="C45" s="181"/>
      <c r="D45" s="14">
        <f>IF(F3="1",SUMIF(Data!A:A,'25'!$A$2,Data!DD:DD),0)</f>
        <v>0</v>
      </c>
      <c r="E45" s="17">
        <f>IF($F$3="1",SUMIF(Data!$A:$A,$A$2,Data!IX:IX),0)</f>
        <v>0</v>
      </c>
      <c r="F45" s="21" t="str">
        <f t="shared" si="3"/>
        <v/>
      </c>
    </row>
    <row r="46" spans="1:6" x14ac:dyDescent="0.2">
      <c r="A46" s="19">
        <v>11</v>
      </c>
      <c r="B46" s="180" t="s">
        <v>10</v>
      </c>
      <c r="C46" s="181"/>
      <c r="D46" s="14">
        <f>IF(F3="1",SUMIF(Data!A:A,'25'!$A$2,Data!DE:DE),0)</f>
        <v>0</v>
      </c>
      <c r="E46" s="17">
        <f>IF($F$3="1",SUMIF(Data!$A:$A,$A$2,Data!IY:IY),0)</f>
        <v>0</v>
      </c>
      <c r="F46" s="21" t="str">
        <f t="shared" si="3"/>
        <v/>
      </c>
    </row>
    <row r="47" spans="1:6" ht="14.25" customHeight="1" x14ac:dyDescent="0.2">
      <c r="A47" s="19">
        <v>12</v>
      </c>
      <c r="B47" s="180" t="s">
        <v>11</v>
      </c>
      <c r="C47" s="181"/>
      <c r="D47" s="14">
        <f>IF(F3="1",SUMIF(Data!A:A,'25'!$A$2,Data!DF:DF),0)</f>
        <v>284181</v>
      </c>
      <c r="E47" s="17">
        <f>IF($F$3="1",SUMIF(Data!$A:$A,$A$2,Data!IZ:IZ),0)</f>
        <v>67362</v>
      </c>
      <c r="F47" s="21">
        <f t="shared" si="3"/>
        <v>0.24</v>
      </c>
    </row>
    <row r="48" spans="1:6" x14ac:dyDescent="0.2">
      <c r="A48" s="19">
        <v>13</v>
      </c>
      <c r="B48" s="180" t="s">
        <v>12</v>
      </c>
      <c r="C48" s="181"/>
      <c r="D48" s="14">
        <f>IF(F3="1",SUMIF(Data!A:A,'25'!$A$2,Data!DG:DG),0)</f>
        <v>45672</v>
      </c>
      <c r="E48" s="17">
        <f>IF($F$3="1",SUMIF(Data!$A:$A,$A$2,Data!JA:JA),0)</f>
        <v>3939</v>
      </c>
      <c r="F48" s="21">
        <f t="shared" si="3"/>
        <v>0.09</v>
      </c>
    </row>
    <row r="49" spans="1:6" ht="14.25" customHeight="1" x14ac:dyDescent="0.2">
      <c r="A49" s="19">
        <v>14</v>
      </c>
      <c r="B49" s="180" t="s">
        <v>464</v>
      </c>
      <c r="C49" s="181"/>
      <c r="D49" s="14">
        <f>IF(F3="1",SUMIF(Data!A:A,'25'!$A$2,Data!DH:DH),0)</f>
        <v>109840</v>
      </c>
      <c r="E49" s="17">
        <f>IF($F$3="1",SUMIF(Data!$A:$A,$A$2,Data!JB:JB),0)</f>
        <v>52976</v>
      </c>
      <c r="F49" s="21">
        <f t="shared" si="3"/>
        <v>0.48</v>
      </c>
    </row>
    <row r="50" spans="1:6" x14ac:dyDescent="0.2">
      <c r="A50" s="19">
        <v>15</v>
      </c>
      <c r="B50" s="180" t="s">
        <v>13</v>
      </c>
      <c r="C50" s="181"/>
      <c r="D50" s="14">
        <f>IF(F3="1",SUMIF(Data!A:A,'25'!$A$2,Data!DI:DI),0)</f>
        <v>0</v>
      </c>
      <c r="E50" s="17">
        <f>IF($F$3="1",SUMIF(Data!$A:$A,$A$2,Data!JC:JC),0)</f>
        <v>0</v>
      </c>
      <c r="F50" s="21" t="str">
        <f t="shared" si="3"/>
        <v/>
      </c>
    </row>
    <row r="51" spans="1:6" x14ac:dyDescent="0.2">
      <c r="A51" s="19">
        <v>16</v>
      </c>
      <c r="B51" s="180" t="s">
        <v>14</v>
      </c>
      <c r="C51" s="181"/>
      <c r="D51" s="14">
        <f>IF(F3="1",SUMIF(Data!A:A,'25'!$A$2,Data!DJ:DJ),0)</f>
        <v>77520</v>
      </c>
      <c r="E51" s="17">
        <f>IF($F$3="1",SUMIF(Data!$A:$A,$A$2,Data!JD:JD),0)</f>
        <v>34664</v>
      </c>
      <c r="F51" s="21">
        <f t="shared" si="3"/>
        <v>0.45</v>
      </c>
    </row>
    <row r="52" spans="1:6" x14ac:dyDescent="0.2">
      <c r="A52" s="19">
        <v>17</v>
      </c>
      <c r="B52" s="180" t="s">
        <v>15</v>
      </c>
      <c r="C52" s="181"/>
      <c r="D52" s="14">
        <f>IF(F3="1",SUMIF(Data!A:A,'25'!$A$2,Data!DK:DK),0)</f>
        <v>0</v>
      </c>
      <c r="E52" s="17">
        <f>IF($F$3="1",SUMIF(Data!$A:$A,$A$2,Data!JE:JE),0)</f>
        <v>0</v>
      </c>
      <c r="F52" s="21" t="str">
        <f t="shared" si="3"/>
        <v/>
      </c>
    </row>
    <row r="53" spans="1:6" x14ac:dyDescent="0.2">
      <c r="A53" s="19">
        <v>18</v>
      </c>
      <c r="B53" s="180" t="s">
        <v>16</v>
      </c>
      <c r="C53" s="181"/>
      <c r="D53" s="14">
        <f>IF(F3="1",SUMIF(Data!A:A,'25'!$A$2,Data!DL:DL),0)</f>
        <v>45920</v>
      </c>
      <c r="E53" s="17">
        <f>IF($F$3="1",SUMIF(Data!$A:$A,$A$2,Data!JF:JF),0)</f>
        <v>10280</v>
      </c>
      <c r="F53" s="21">
        <f t="shared" si="3"/>
        <v>0.22</v>
      </c>
    </row>
    <row r="54" spans="1:6" x14ac:dyDescent="0.2">
      <c r="A54" s="19">
        <v>19</v>
      </c>
      <c r="B54" s="180" t="s">
        <v>17</v>
      </c>
      <c r="C54" s="181"/>
      <c r="D54" s="14">
        <f>IF(F3="1",SUMIF(Data!A:A,'25'!$A$2,Data!DM:DM),0)</f>
        <v>212224</v>
      </c>
      <c r="E54" s="17">
        <f>IF($F$3="1",SUMIF(Data!$A:$A,$A$2,Data!JG:JG),0)</f>
        <v>91897</v>
      </c>
      <c r="F54" s="21">
        <f t="shared" si="3"/>
        <v>0.43</v>
      </c>
    </row>
    <row r="55" spans="1:6" x14ac:dyDescent="0.2">
      <c r="A55" s="19">
        <v>20</v>
      </c>
      <c r="B55" s="180" t="s">
        <v>18</v>
      </c>
      <c r="C55" s="181"/>
      <c r="D55" s="14">
        <f>IF(F3="1",SUMIF(Data!A:A,'25'!$A$2,Data!DN:DN),0)</f>
        <v>57347</v>
      </c>
      <c r="E55" s="17">
        <f>IF($F$3="1",SUMIF(Data!$A:$A,$A$2,Data!JH:JH),0)</f>
        <v>1537</v>
      </c>
      <c r="F55" s="21">
        <f t="shared" si="3"/>
        <v>0.03</v>
      </c>
    </row>
    <row r="56" spans="1:6" ht="14.25" customHeight="1" x14ac:dyDescent="0.2">
      <c r="A56" s="19">
        <v>21</v>
      </c>
      <c r="B56" s="180" t="s">
        <v>461</v>
      </c>
      <c r="C56" s="181"/>
      <c r="D56" s="14">
        <f>IF(F3="1",SUMIF(Data!A:A,'25'!$A$2,Data!DO:DO),0)</f>
        <v>73260</v>
      </c>
      <c r="E56" s="17">
        <f>IF($F$3="1",SUMIF(Data!$A:$A,$A$2,Data!JI:JI),0)</f>
        <v>5383</v>
      </c>
      <c r="F56" s="21">
        <f t="shared" si="3"/>
        <v>7.0000000000000007E-2</v>
      </c>
    </row>
    <row r="57" spans="1:6" x14ac:dyDescent="0.2">
      <c r="A57" s="19">
        <v>22</v>
      </c>
      <c r="B57" s="180" t="s">
        <v>19</v>
      </c>
      <c r="C57" s="181"/>
      <c r="D57" s="14">
        <f>IF(F3="1",SUMIF(Data!A:A,'25'!$A$2,Data!DP:DP),0)</f>
        <v>121872</v>
      </c>
      <c r="E57" s="17">
        <f>IF($F$3="1",SUMIF(Data!$A:$A,$A$2,Data!JJ:JJ),0)</f>
        <v>24600</v>
      </c>
      <c r="F57" s="21">
        <f t="shared" si="3"/>
        <v>0.2</v>
      </c>
    </row>
    <row r="58" spans="1:6" x14ac:dyDescent="0.2">
      <c r="A58" s="19">
        <v>23</v>
      </c>
      <c r="B58" s="180" t="s">
        <v>20</v>
      </c>
      <c r="C58" s="181"/>
      <c r="D58" s="14">
        <f>IF(F3="1",SUMIF(Data!A:A,'25'!$A$2,Data!DQ:DQ),0)</f>
        <v>128329</v>
      </c>
      <c r="E58" s="17">
        <f>IF($F$3="1",SUMIF(Data!$A:$A,$A$2,Data!JK:JK),0)</f>
        <v>142157</v>
      </c>
      <c r="F58" s="21">
        <f t="shared" si="3"/>
        <v>1.1100000000000001</v>
      </c>
    </row>
    <row r="59" spans="1:6" x14ac:dyDescent="0.2">
      <c r="A59" s="19">
        <v>24</v>
      </c>
      <c r="B59" s="180" t="s">
        <v>21</v>
      </c>
      <c r="C59" s="181"/>
      <c r="D59" s="14">
        <f>IF(F3="1",SUMIF(Data!A:A,'25'!$A$2,Data!DR:DR),0)</f>
        <v>22288</v>
      </c>
      <c r="E59" s="17">
        <f>IF($F$3="1",SUMIF(Data!$A:$A,$A$2,Data!JL:JL),0)</f>
        <v>1012</v>
      </c>
      <c r="F59" s="21">
        <f t="shared" si="3"/>
        <v>0.05</v>
      </c>
    </row>
    <row r="60" spans="1:6" x14ac:dyDescent="0.2">
      <c r="A60" s="19">
        <v>25</v>
      </c>
      <c r="B60" s="180" t="s">
        <v>22</v>
      </c>
      <c r="C60" s="181"/>
      <c r="D60" s="14">
        <f>IF(F3="1",SUMIF(Data!A:A,'25'!$A$2,Data!DS:DS),0)</f>
        <v>307728</v>
      </c>
      <c r="E60" s="17">
        <f>IF($F$3="1",SUMIF(Data!$A:$A,$A$2,Data!JM:JM),0)</f>
        <v>39242</v>
      </c>
      <c r="F60" s="21">
        <f t="shared" si="3"/>
        <v>0.13</v>
      </c>
    </row>
    <row r="61" spans="1:6" x14ac:dyDescent="0.2">
      <c r="A61" s="19">
        <v>26</v>
      </c>
      <c r="B61" s="180" t="s">
        <v>23</v>
      </c>
      <c r="C61" s="181"/>
      <c r="D61" s="14">
        <f>IF(F3="1",SUMIF(Data!A:A,'25'!$A$2,Data!DT:DT),0)</f>
        <v>97327</v>
      </c>
      <c r="E61" s="17">
        <f>IF($F$3="1",SUMIF(Data!$A:$A,$A$2,Data!JN:JN),0)</f>
        <v>72524</v>
      </c>
      <c r="F61" s="21">
        <f t="shared" si="3"/>
        <v>0.75</v>
      </c>
    </row>
    <row r="62" spans="1:6" x14ac:dyDescent="0.2">
      <c r="A62" s="19">
        <v>28</v>
      </c>
      <c r="B62" s="180" t="s">
        <v>24</v>
      </c>
      <c r="C62" s="181"/>
      <c r="D62" s="14">
        <f>IF(F3="1",SUMIF(Data!A:A,'25'!$A$2,Data!DV:DV),0)</f>
        <v>0</v>
      </c>
      <c r="E62" s="17">
        <f>IF($F$3="1",SUMIF(Data!$A:$A,$A$2,Data!JP:JP),0)</f>
        <v>0</v>
      </c>
      <c r="F62" s="21" t="str">
        <f t="shared" si="3"/>
        <v/>
      </c>
    </row>
    <row r="63" spans="1:6" ht="15.75" customHeight="1" thickBot="1" x14ac:dyDescent="0.25">
      <c r="A63" s="22">
        <v>29</v>
      </c>
      <c r="B63" s="184" t="s">
        <v>25</v>
      </c>
      <c r="C63" s="185"/>
      <c r="D63" s="23">
        <f>IF(F3="1",SUMIF(Data!A:A,'25'!$A$2,Data!DW:DW),0)</f>
        <v>0</v>
      </c>
      <c r="E63" s="24">
        <f>IF($F$3="1",SUMIF(Data!$A:$A,$A$2,Data!JQ:JQ),0)</f>
        <v>0</v>
      </c>
      <c r="F63" s="25" t="str">
        <f t="shared" si="3"/>
        <v/>
      </c>
    </row>
    <row r="64" spans="1:6" x14ac:dyDescent="0.2">
      <c r="B64" s="30" t="s">
        <v>35</v>
      </c>
      <c r="C64" s="30"/>
      <c r="D64" s="59">
        <f>SUM(D36:D63)</f>
        <v>2907731</v>
      </c>
      <c r="E64" s="31">
        <f>SUM(E36:E63)</f>
        <v>1372191</v>
      </c>
      <c r="F64" s="32">
        <f t="shared" si="3"/>
        <v>0.47</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59040</v>
      </c>
      <c r="E67" s="15">
        <f>IF(F3="1",SUMIF(Data!A:A,'25'!$A$2,Data!DY:DY),0)</f>
        <v>121991</v>
      </c>
      <c r="F67" s="20">
        <f t="shared" ref="F67:F95" si="4">IF(OR(D67=0,E67=0),"",ROUND(E67/D67,2))</f>
        <v>2.0699999999999998</v>
      </c>
    </row>
    <row r="68" spans="1:6" x14ac:dyDescent="0.2">
      <c r="A68" s="19">
        <v>2</v>
      </c>
      <c r="B68" s="180" t="s">
        <v>1</v>
      </c>
      <c r="C68" s="181"/>
      <c r="D68" s="14">
        <f t="shared" ref="D68:D94" si="5">D37</f>
        <v>39984</v>
      </c>
      <c r="E68" s="17">
        <f>IF(F3="1",SUMIF(Data!A:A,'25'!$A$2,Data!DZ:DZ),0)</f>
        <v>658002</v>
      </c>
      <c r="F68" s="21">
        <f t="shared" si="4"/>
        <v>16.46</v>
      </c>
    </row>
    <row r="69" spans="1:6" ht="14.25" customHeight="1" x14ac:dyDescent="0.2">
      <c r="A69" s="19">
        <v>3</v>
      </c>
      <c r="B69" s="180" t="s">
        <v>2</v>
      </c>
      <c r="C69" s="181"/>
      <c r="D69" s="14">
        <f t="shared" si="5"/>
        <v>265700</v>
      </c>
      <c r="E69" s="17">
        <f>IF(F3="1",SUMIF(Data!A:A,'25'!$A$2,Data!EA:EA),0)</f>
        <v>893565</v>
      </c>
      <c r="F69" s="21">
        <f t="shared" si="4"/>
        <v>3.36</v>
      </c>
    </row>
    <row r="70" spans="1:6" ht="14.25" customHeight="1" x14ac:dyDescent="0.2">
      <c r="A70" s="19">
        <v>4</v>
      </c>
      <c r="B70" s="180" t="s">
        <v>3</v>
      </c>
      <c r="C70" s="181"/>
      <c r="D70" s="14">
        <f t="shared" si="5"/>
        <v>283408</v>
      </c>
      <c r="E70" s="17">
        <f>IF(F3="1",SUMIF(Data!A:A,'25'!$A$2,Data!EB:EB),0)</f>
        <v>828361</v>
      </c>
      <c r="F70" s="21">
        <f t="shared" si="4"/>
        <v>2.92</v>
      </c>
    </row>
    <row r="71" spans="1:6" x14ac:dyDescent="0.2">
      <c r="A71" s="19">
        <v>5</v>
      </c>
      <c r="B71" s="180" t="s">
        <v>4</v>
      </c>
      <c r="C71" s="181"/>
      <c r="D71" s="14">
        <f t="shared" si="5"/>
        <v>13312</v>
      </c>
      <c r="E71" s="17">
        <f>IF(F3="1",SUMIF(Data!A:A,'25'!$A$2,Data!EC:EC),0)</f>
        <v>123927</v>
      </c>
      <c r="F71" s="21">
        <f t="shared" si="4"/>
        <v>9.31</v>
      </c>
    </row>
    <row r="72" spans="1:6" x14ac:dyDescent="0.2">
      <c r="A72" s="19">
        <v>6</v>
      </c>
      <c r="B72" s="180" t="s">
        <v>5</v>
      </c>
      <c r="C72" s="181"/>
      <c r="D72" s="14">
        <f t="shared" si="5"/>
        <v>69552</v>
      </c>
      <c r="E72" s="17">
        <f>IF(F3="1",SUMIF(Data!A:A,'25'!$A$2,Data!ED:ED),0)</f>
        <v>93741</v>
      </c>
      <c r="F72" s="21">
        <f t="shared" si="4"/>
        <v>1.35</v>
      </c>
    </row>
    <row r="73" spans="1:6" x14ac:dyDescent="0.2">
      <c r="A73" s="19">
        <v>7</v>
      </c>
      <c r="B73" s="180" t="s">
        <v>6</v>
      </c>
      <c r="C73" s="181"/>
      <c r="D73" s="14">
        <f t="shared" si="5"/>
        <v>180917</v>
      </c>
      <c r="E73" s="17">
        <f>IF(F3="1",SUMIF(Data!A:A,'25'!$A$2,Data!EE:EE),0)</f>
        <v>678107</v>
      </c>
      <c r="F73" s="21">
        <f t="shared" si="4"/>
        <v>3.75</v>
      </c>
    </row>
    <row r="74" spans="1:6" x14ac:dyDescent="0.2">
      <c r="A74" s="19">
        <v>8</v>
      </c>
      <c r="B74" s="180" t="s">
        <v>7</v>
      </c>
      <c r="C74" s="181"/>
      <c r="D74" s="14">
        <f t="shared" si="5"/>
        <v>343010</v>
      </c>
      <c r="E74" s="17">
        <f>IF(F3="1",SUMIF(Data!A:A,'25'!$A$2,Data!EF:EF),0)</f>
        <v>683829</v>
      </c>
      <c r="F74" s="21">
        <f t="shared" si="4"/>
        <v>1.99</v>
      </c>
    </row>
    <row r="75" spans="1:6" x14ac:dyDescent="0.2">
      <c r="A75" s="19">
        <v>9</v>
      </c>
      <c r="B75" s="180" t="s">
        <v>8</v>
      </c>
      <c r="C75" s="181"/>
      <c r="D75" s="14">
        <f t="shared" si="5"/>
        <v>69300</v>
      </c>
      <c r="E75" s="17">
        <f>IF(F3="1",SUMIF(Data!A:A,'25'!$A$2,Data!EG:EG),0)</f>
        <v>228099</v>
      </c>
      <c r="F75" s="21">
        <f t="shared" si="4"/>
        <v>3.29</v>
      </c>
    </row>
    <row r="76" spans="1:6" x14ac:dyDescent="0.2">
      <c r="A76" s="19">
        <v>10</v>
      </c>
      <c r="B76" s="180" t="s">
        <v>9</v>
      </c>
      <c r="C76" s="181"/>
      <c r="D76" s="14">
        <f t="shared" si="5"/>
        <v>0</v>
      </c>
      <c r="E76" s="17">
        <f>IF(F3="1",SUMIF(Data!A:A,'25'!$A$2,Data!EH:EH),0)</f>
        <v>0</v>
      </c>
      <c r="F76" s="21" t="str">
        <f t="shared" si="4"/>
        <v/>
      </c>
    </row>
    <row r="77" spans="1:6" x14ac:dyDescent="0.2">
      <c r="A77" s="19">
        <v>11</v>
      </c>
      <c r="B77" s="180" t="s">
        <v>10</v>
      </c>
      <c r="C77" s="181"/>
      <c r="D77" s="14">
        <f t="shared" si="5"/>
        <v>0</v>
      </c>
      <c r="E77" s="17">
        <f>IF(F3="1",SUMIF(Data!A:A,'25'!$A$2,Data!EI:EI),0)</f>
        <v>0</v>
      </c>
      <c r="F77" s="21" t="str">
        <f t="shared" si="4"/>
        <v/>
      </c>
    </row>
    <row r="78" spans="1:6" ht="14.25" customHeight="1" x14ac:dyDescent="0.2">
      <c r="A78" s="19">
        <v>12</v>
      </c>
      <c r="B78" s="180" t="s">
        <v>11</v>
      </c>
      <c r="C78" s="181"/>
      <c r="D78" s="14">
        <f t="shared" si="5"/>
        <v>284181</v>
      </c>
      <c r="E78" s="17">
        <f>IF(F3="1",SUMIF(Data!A:A,'25'!$A$2,Data!EJ:EJ),0)</f>
        <v>1459575</v>
      </c>
      <c r="F78" s="21">
        <f t="shared" si="4"/>
        <v>5.14</v>
      </c>
    </row>
    <row r="79" spans="1:6" x14ac:dyDescent="0.2">
      <c r="A79" s="19">
        <v>13</v>
      </c>
      <c r="B79" s="180" t="s">
        <v>12</v>
      </c>
      <c r="C79" s="181"/>
      <c r="D79" s="14">
        <f t="shared" si="5"/>
        <v>45672</v>
      </c>
      <c r="E79" s="17">
        <f>IF(F3="1",SUMIF(Data!A:A,'25'!$A$2,Data!EK:EK),0)</f>
        <v>219902</v>
      </c>
      <c r="F79" s="21">
        <f t="shared" si="4"/>
        <v>4.8099999999999996</v>
      </c>
    </row>
    <row r="80" spans="1:6" ht="14.25" customHeight="1" x14ac:dyDescent="0.2">
      <c r="A80" s="19">
        <v>14</v>
      </c>
      <c r="B80" s="180" t="s">
        <v>464</v>
      </c>
      <c r="C80" s="181"/>
      <c r="D80" s="14">
        <f t="shared" si="5"/>
        <v>109840</v>
      </c>
      <c r="E80" s="17">
        <f>IF(F3="1",SUMIF(Data!A:A,'25'!$A$2,Data!EL:EL),0)</f>
        <v>607573</v>
      </c>
      <c r="F80" s="21">
        <f t="shared" si="4"/>
        <v>5.53</v>
      </c>
    </row>
    <row r="81" spans="1:6" x14ac:dyDescent="0.2">
      <c r="A81" s="19">
        <v>15</v>
      </c>
      <c r="B81" s="180" t="s">
        <v>13</v>
      </c>
      <c r="C81" s="181"/>
      <c r="D81" s="14">
        <f t="shared" si="5"/>
        <v>0</v>
      </c>
      <c r="E81" s="17">
        <f>IF(F3="1",SUMIF(Data!A:A,'25'!$A$2,Data!EM:EM),0)</f>
        <v>0</v>
      </c>
      <c r="F81" s="21" t="str">
        <f t="shared" si="4"/>
        <v/>
      </c>
    </row>
    <row r="82" spans="1:6" x14ac:dyDescent="0.2">
      <c r="A82" s="19">
        <v>16</v>
      </c>
      <c r="B82" s="180" t="s">
        <v>14</v>
      </c>
      <c r="C82" s="181"/>
      <c r="D82" s="14">
        <f t="shared" si="5"/>
        <v>77520</v>
      </c>
      <c r="E82" s="17">
        <f>IF(F3="1",SUMIF(Data!A:A,'25'!$A$2,Data!EN:EN),0)</f>
        <v>332540</v>
      </c>
      <c r="F82" s="21">
        <f t="shared" si="4"/>
        <v>4.29</v>
      </c>
    </row>
    <row r="83" spans="1:6" x14ac:dyDescent="0.2">
      <c r="A83" s="19">
        <v>17</v>
      </c>
      <c r="B83" s="180" t="s">
        <v>15</v>
      </c>
      <c r="C83" s="181"/>
      <c r="D83" s="14">
        <f t="shared" si="5"/>
        <v>0</v>
      </c>
      <c r="E83" s="17">
        <f>IF(F3="1",SUMIF(Data!A:A,'25'!$A$2,Data!EO:EO),0)</f>
        <v>0</v>
      </c>
      <c r="F83" s="21" t="str">
        <f t="shared" si="4"/>
        <v/>
      </c>
    </row>
    <row r="84" spans="1:6" x14ac:dyDescent="0.2">
      <c r="A84" s="19">
        <v>18</v>
      </c>
      <c r="B84" s="180" t="s">
        <v>16</v>
      </c>
      <c r="C84" s="181"/>
      <c r="D84" s="14">
        <f t="shared" si="5"/>
        <v>45920</v>
      </c>
      <c r="E84" s="17">
        <f>IF(F3="1",SUMIF(Data!A:A,'25'!$A$2,Data!EP:EP),0)</f>
        <v>275434</v>
      </c>
      <c r="F84" s="21">
        <f t="shared" si="4"/>
        <v>6</v>
      </c>
    </row>
    <row r="85" spans="1:6" x14ac:dyDescent="0.2">
      <c r="A85" s="19">
        <v>19</v>
      </c>
      <c r="B85" s="180" t="s">
        <v>17</v>
      </c>
      <c r="C85" s="181"/>
      <c r="D85" s="14">
        <f t="shared" si="5"/>
        <v>212224</v>
      </c>
      <c r="E85" s="17">
        <f>IF(F3="1",SUMIF(Data!A:A,'25'!$A$2,Data!EQ:EQ),0)</f>
        <v>839492</v>
      </c>
      <c r="F85" s="21">
        <f t="shared" si="4"/>
        <v>3.96</v>
      </c>
    </row>
    <row r="86" spans="1:6" x14ac:dyDescent="0.2">
      <c r="A86" s="19">
        <v>20</v>
      </c>
      <c r="B86" s="180" t="s">
        <v>18</v>
      </c>
      <c r="C86" s="181"/>
      <c r="D86" s="14">
        <f t="shared" si="5"/>
        <v>57347</v>
      </c>
      <c r="E86" s="17">
        <f>IF(F3="1",SUMIF(Data!A:A,'25'!$A$2,Data!ER:ER),0)</f>
        <v>138731</v>
      </c>
      <c r="F86" s="21">
        <f t="shared" si="4"/>
        <v>2.42</v>
      </c>
    </row>
    <row r="87" spans="1:6" ht="14.25" customHeight="1" x14ac:dyDescent="0.2">
      <c r="A87" s="19">
        <v>21</v>
      </c>
      <c r="B87" s="180" t="s">
        <v>461</v>
      </c>
      <c r="C87" s="181"/>
      <c r="D87" s="14">
        <f t="shared" si="5"/>
        <v>73260</v>
      </c>
      <c r="E87" s="17">
        <f>IF(F3="1",SUMIF(Data!A:A,'25'!$A$2,Data!ES:ES),0)</f>
        <v>173796</v>
      </c>
      <c r="F87" s="21">
        <f t="shared" si="4"/>
        <v>2.37</v>
      </c>
    </row>
    <row r="88" spans="1:6" x14ac:dyDescent="0.2">
      <c r="A88" s="19">
        <v>22</v>
      </c>
      <c r="B88" s="180" t="s">
        <v>19</v>
      </c>
      <c r="C88" s="181"/>
      <c r="D88" s="14">
        <f t="shared" si="5"/>
        <v>121872</v>
      </c>
      <c r="E88" s="17">
        <f>IF(F3="1",SUMIF(Data!A:A,'25'!$A$2,Data!ET:ET),0)</f>
        <v>296287</v>
      </c>
      <c r="F88" s="21">
        <f t="shared" si="4"/>
        <v>2.4300000000000002</v>
      </c>
    </row>
    <row r="89" spans="1:6" x14ac:dyDescent="0.2">
      <c r="A89" s="19">
        <v>23</v>
      </c>
      <c r="B89" s="180" t="s">
        <v>20</v>
      </c>
      <c r="C89" s="181"/>
      <c r="D89" s="14">
        <f t="shared" si="5"/>
        <v>128329</v>
      </c>
      <c r="E89" s="17">
        <f>IF(F3="1",SUMIF(Data!A:A,'25'!$A$2,Data!EU:EU),0)</f>
        <v>416951</v>
      </c>
      <c r="F89" s="21">
        <f t="shared" si="4"/>
        <v>3.25</v>
      </c>
    </row>
    <row r="90" spans="1:6" x14ac:dyDescent="0.2">
      <c r="A90" s="19">
        <v>24</v>
      </c>
      <c r="B90" s="180" t="s">
        <v>21</v>
      </c>
      <c r="C90" s="181"/>
      <c r="D90" s="14">
        <f t="shared" si="5"/>
        <v>22288</v>
      </c>
      <c r="E90" s="17">
        <f>IF(F3="1",SUMIF(Data!A:A,'25'!$A$2,Data!EV:EV),0)</f>
        <v>92245</v>
      </c>
      <c r="F90" s="21">
        <f t="shared" si="4"/>
        <v>4.1399999999999997</v>
      </c>
    </row>
    <row r="91" spans="1:6" x14ac:dyDescent="0.2">
      <c r="A91" s="19">
        <v>25</v>
      </c>
      <c r="B91" s="180" t="s">
        <v>22</v>
      </c>
      <c r="C91" s="181"/>
      <c r="D91" s="14">
        <f t="shared" si="5"/>
        <v>307728</v>
      </c>
      <c r="E91" s="17">
        <f>IF(F3="1",SUMIF(Data!A:A,'25'!$A$2,Data!EW:EW),0)</f>
        <v>1030255</v>
      </c>
      <c r="F91" s="21">
        <f t="shared" si="4"/>
        <v>3.35</v>
      </c>
    </row>
    <row r="92" spans="1:6" x14ac:dyDescent="0.2">
      <c r="A92" s="19">
        <v>26</v>
      </c>
      <c r="B92" s="180" t="s">
        <v>23</v>
      </c>
      <c r="C92" s="181"/>
      <c r="D92" s="14">
        <f t="shared" si="5"/>
        <v>97327</v>
      </c>
      <c r="E92" s="17">
        <f>IF(F3="1",SUMIF(Data!A:A,'25'!$A$2,Data!EX:EX),0)</f>
        <v>456492</v>
      </c>
      <c r="F92" s="21">
        <f t="shared" si="4"/>
        <v>4.6900000000000004</v>
      </c>
    </row>
    <row r="93" spans="1:6" x14ac:dyDescent="0.2">
      <c r="A93" s="19">
        <v>28</v>
      </c>
      <c r="B93" s="180" t="s">
        <v>24</v>
      </c>
      <c r="C93" s="181"/>
      <c r="D93" s="14">
        <f t="shared" si="5"/>
        <v>0</v>
      </c>
      <c r="E93" s="17">
        <f>IF(F3="1",SUMIF(Data!A:A,'25'!$A$2,Data!EZ:EZ),0)</f>
        <v>0</v>
      </c>
      <c r="F93" s="21" t="str">
        <f t="shared" si="4"/>
        <v/>
      </c>
    </row>
    <row r="94" spans="1:6" ht="15.75" customHeight="1" thickBot="1" x14ac:dyDescent="0.25">
      <c r="A94" s="22">
        <v>29</v>
      </c>
      <c r="B94" s="184" t="s">
        <v>25</v>
      </c>
      <c r="C94" s="185"/>
      <c r="D94" s="23">
        <f t="shared" si="5"/>
        <v>0</v>
      </c>
      <c r="E94" s="24">
        <f>IF(F3="1",SUMIF(Data!A:A,'25'!$A$2,Data!FA:FA),0)</f>
        <v>0</v>
      </c>
      <c r="F94" s="25" t="str">
        <f t="shared" si="4"/>
        <v/>
      </c>
    </row>
    <row r="95" spans="1:6" x14ac:dyDescent="0.2">
      <c r="B95" s="30" t="s">
        <v>35</v>
      </c>
      <c r="C95" s="30"/>
      <c r="D95" s="59">
        <f>SUM(D67:D94)</f>
        <v>2907731</v>
      </c>
      <c r="E95" s="31">
        <f>SUM(E67:E94)</f>
        <v>10648895</v>
      </c>
      <c r="F95" s="32">
        <f t="shared" si="4"/>
        <v>3.66</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IF(F3="1",SUMIF(Data!A:A,'25'!$A$2,Data!AH:AH),0)</f>
        <v>5105836</v>
      </c>
      <c r="F98" s="20">
        <f>IF(OR(E98=0,E98=0),"",ROUND(E98/$D$105,2))</f>
        <v>1.76</v>
      </c>
    </row>
    <row r="99" spans="2:6" x14ac:dyDescent="0.2">
      <c r="B99" s="190" t="s">
        <v>31</v>
      </c>
      <c r="C99" s="191"/>
      <c r="D99" s="36"/>
      <c r="E99" s="17">
        <f>IF(F3="1",SUMIF(Data!A:A,'25'!$A$2,Data!AI:AI),0)</f>
        <v>1464310</v>
      </c>
      <c r="F99" s="21">
        <f t="shared" ref="F99:F104" si="6">IF(OR(E99=0,E99=0),"",ROUND(E99/$D$105,2))</f>
        <v>0.5</v>
      </c>
    </row>
    <row r="100" spans="2:6" x14ac:dyDescent="0.2">
      <c r="B100" s="190" t="s">
        <v>1089</v>
      </c>
      <c r="C100" s="191"/>
      <c r="D100" s="36"/>
      <c r="E100" s="17">
        <f>IF(F3="1",SUMIF(Data!A:A,'25'!$A$2,Data!AJ:AJ),0)</f>
        <v>680098</v>
      </c>
      <c r="F100" s="21">
        <f t="shared" si="6"/>
        <v>0.23</v>
      </c>
    </row>
    <row r="101" spans="2:6" x14ac:dyDescent="0.2">
      <c r="B101" s="190" t="s">
        <v>1090</v>
      </c>
      <c r="C101" s="191"/>
      <c r="D101" s="36"/>
      <c r="E101" s="17">
        <f>IF(F3="1",SUMIF(Data!A:A,'25'!$A$2,Data!AK:AK),0)</f>
        <v>1206914</v>
      </c>
      <c r="F101" s="21">
        <f t="shared" si="6"/>
        <v>0.42</v>
      </c>
    </row>
    <row r="102" spans="2:6" x14ac:dyDescent="0.2">
      <c r="B102" s="190" t="s">
        <v>1091</v>
      </c>
      <c r="C102" s="191"/>
      <c r="D102" s="36"/>
      <c r="E102" s="17">
        <f>IF(F3="1",SUMIF(Data!A:A,'25'!$A$2,Data!AL:AL),0)</f>
        <v>0</v>
      </c>
      <c r="F102" s="21" t="str">
        <f t="shared" si="6"/>
        <v/>
      </c>
    </row>
    <row r="103" spans="2:6" x14ac:dyDescent="0.2">
      <c r="B103" s="192" t="s">
        <v>34</v>
      </c>
      <c r="C103" s="193"/>
      <c r="D103" s="36"/>
      <c r="E103" s="17">
        <f>IF(F3="1",SUMIF(Data!A:A,'25'!$A$2,Data!AM:AM),0)</f>
        <v>0</v>
      </c>
      <c r="F103" s="21" t="str">
        <f t="shared" si="6"/>
        <v/>
      </c>
    </row>
    <row r="104" spans="2:6" ht="15.75" customHeight="1" thickBot="1" x14ac:dyDescent="0.25">
      <c r="B104" s="186" t="s">
        <v>29</v>
      </c>
      <c r="C104" s="187"/>
      <c r="D104" s="37"/>
      <c r="E104" s="24">
        <f>IF(F3="1",SUMIF(Data!A:A,'25'!$A$2,Data!Q:Q),0)</f>
        <v>1962086</v>
      </c>
      <c r="F104" s="25">
        <f t="shared" si="6"/>
        <v>0.67</v>
      </c>
    </row>
    <row r="105" spans="2:6" x14ac:dyDescent="0.2">
      <c r="B105" s="30" t="s">
        <v>35</v>
      </c>
      <c r="C105" s="30"/>
      <c r="D105" s="34">
        <f>D95</f>
        <v>2907731</v>
      </c>
      <c r="E105" s="31">
        <f>SUM(E98:E104)</f>
        <v>10419244</v>
      </c>
      <c r="F105" s="32">
        <f>IF($D$105=0,"",ROUND(E105/$D$105,2))</f>
        <v>3.58</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10648895</v>
      </c>
      <c r="D109" s="15">
        <f>IF(F3="1",SUMIF(Data!$A:$A,$A$2,Data!HJ:HJ),0)</f>
        <v>0</v>
      </c>
      <c r="E109" s="15">
        <f>IF(F3="1",SUMIF(Data!$A:$A,$A$2,Data!IN:IN),0)</f>
        <v>0</v>
      </c>
      <c r="F109" s="47">
        <f>SUM(C109:E109)</f>
        <v>10648895</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1962086</v>
      </c>
      <c r="E117" s="52"/>
      <c r="F117" s="49">
        <f>SUM(C117:E117)</f>
        <v>1962086</v>
      </c>
    </row>
    <row r="118" spans="1:6" x14ac:dyDescent="0.2">
      <c r="B118" s="13" t="s">
        <v>35</v>
      </c>
      <c r="C118" s="4">
        <f>SUM(C109:C116)</f>
        <v>10648895</v>
      </c>
      <c r="D118" s="4">
        <f>SUM(D109:D116)</f>
        <v>0</v>
      </c>
      <c r="E118" s="4">
        <f>SUM(E109:E116)</f>
        <v>0</v>
      </c>
      <c r="F118" s="4">
        <f>SUM(F109:F116)</f>
        <v>10648895</v>
      </c>
    </row>
    <row r="119" spans="1:6" ht="15" thickBot="1" x14ac:dyDescent="0.25"/>
    <row r="120" spans="1:6" ht="15" thickBot="1" x14ac:dyDescent="0.25">
      <c r="B120" s="55" t="s">
        <v>934</v>
      </c>
      <c r="C120" s="53"/>
      <c r="D120" s="53"/>
      <c r="E120" s="53">
        <f>IF(F3="1",SUMIF(Data!A:A,'25'!$A$2,Data!AM:AM),0)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4.5703125" style="10" bestFit="1" customWidth="1"/>
    <col min="13"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443</v>
      </c>
      <c r="B2" s="58" t="str">
        <f>VLOOKUP(A2,Data!A:G,7,0)</f>
        <v>North Harris Montgomery Community College District</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17856</v>
      </c>
      <c r="E5" s="15">
        <f>E36+E67+IFERROR($E$105/$D$105*D5,0)</f>
        <v>129063.1416126751</v>
      </c>
      <c r="F5" s="20">
        <f>IF(OR(D5=0,E5=0),"",ROUND(E5/D5,2))</f>
        <v>7.23</v>
      </c>
    </row>
    <row r="6" spans="1:6" x14ac:dyDescent="0.2">
      <c r="A6" s="19">
        <v>2</v>
      </c>
      <c r="B6" s="180" t="s">
        <v>1</v>
      </c>
      <c r="C6" s="181"/>
      <c r="D6" s="14">
        <f t="shared" ref="D6:D32" si="0">D37</f>
        <v>225568</v>
      </c>
      <c r="E6" s="17">
        <f t="shared" ref="E6:E32" si="1">E37+E68+IFERROR($E$105/$D$105*D6,0)</f>
        <v>2085841.6616984708</v>
      </c>
      <c r="F6" s="21">
        <f t="shared" ref="F6:F33" si="2">IF(OR(D6=0,E6=0),"",ROUND(E6/D6,2))</f>
        <v>9.25</v>
      </c>
    </row>
    <row r="7" spans="1:6" ht="14.25" customHeight="1" x14ac:dyDescent="0.2">
      <c r="A7" s="19">
        <v>3</v>
      </c>
      <c r="B7" s="180" t="s">
        <v>2</v>
      </c>
      <c r="C7" s="181"/>
      <c r="D7" s="14">
        <f t="shared" si="0"/>
        <v>1495024</v>
      </c>
      <c r="E7" s="17">
        <f t="shared" si="1"/>
        <v>10641703.554790992</v>
      </c>
      <c r="F7" s="21">
        <f t="shared" si="2"/>
        <v>7.12</v>
      </c>
    </row>
    <row r="8" spans="1:6" ht="14.25" customHeight="1" x14ac:dyDescent="0.2">
      <c r="A8" s="19">
        <v>4</v>
      </c>
      <c r="B8" s="180" t="s">
        <v>3</v>
      </c>
      <c r="C8" s="181"/>
      <c r="D8" s="14">
        <f t="shared" si="0"/>
        <v>806055</v>
      </c>
      <c r="E8" s="17">
        <f t="shared" si="1"/>
        <v>7046054.8343752706</v>
      </c>
      <c r="F8" s="21">
        <f t="shared" si="2"/>
        <v>8.74</v>
      </c>
    </row>
    <row r="9" spans="1:6" x14ac:dyDescent="0.2">
      <c r="A9" s="19">
        <v>5</v>
      </c>
      <c r="B9" s="180" t="s">
        <v>4</v>
      </c>
      <c r="C9" s="181"/>
      <c r="D9" s="14">
        <f t="shared" si="0"/>
        <v>240</v>
      </c>
      <c r="E9" s="17">
        <f t="shared" si="1"/>
        <v>2825.2626560843428</v>
      </c>
      <c r="F9" s="21">
        <f t="shared" si="2"/>
        <v>11.77</v>
      </c>
    </row>
    <row r="10" spans="1:6" x14ac:dyDescent="0.2">
      <c r="A10" s="19">
        <v>6</v>
      </c>
      <c r="B10" s="180" t="s">
        <v>5</v>
      </c>
      <c r="C10" s="181"/>
      <c r="D10" s="14">
        <f t="shared" si="0"/>
        <v>79912</v>
      </c>
      <c r="E10" s="17">
        <f t="shared" si="1"/>
        <v>604295.15572088328</v>
      </c>
      <c r="F10" s="21">
        <f t="shared" si="2"/>
        <v>7.56</v>
      </c>
    </row>
    <row r="11" spans="1:6" x14ac:dyDescent="0.2">
      <c r="A11" s="19">
        <v>7</v>
      </c>
      <c r="B11" s="180" t="s">
        <v>6</v>
      </c>
      <c r="C11" s="181"/>
      <c r="D11" s="14">
        <f t="shared" si="0"/>
        <v>823878</v>
      </c>
      <c r="E11" s="17">
        <f t="shared" si="1"/>
        <v>6826717.3273727335</v>
      </c>
      <c r="F11" s="21">
        <f t="shared" si="2"/>
        <v>8.2899999999999991</v>
      </c>
    </row>
    <row r="12" spans="1:6" x14ac:dyDescent="0.2">
      <c r="A12" s="19">
        <v>8</v>
      </c>
      <c r="B12" s="180" t="s">
        <v>7</v>
      </c>
      <c r="C12" s="181"/>
      <c r="D12" s="14">
        <f t="shared" si="0"/>
        <v>8418</v>
      </c>
      <c r="E12" s="17">
        <f t="shared" si="1"/>
        <v>74361.637662158319</v>
      </c>
      <c r="F12" s="21">
        <f t="shared" si="2"/>
        <v>8.83</v>
      </c>
    </row>
    <row r="13" spans="1:6" x14ac:dyDescent="0.2">
      <c r="A13" s="19">
        <v>9</v>
      </c>
      <c r="B13" s="180" t="s">
        <v>8</v>
      </c>
      <c r="C13" s="181"/>
      <c r="D13" s="14">
        <f t="shared" si="0"/>
        <v>292194</v>
      </c>
      <c r="E13" s="17">
        <f t="shared" si="1"/>
        <v>1837073.8022162854</v>
      </c>
      <c r="F13" s="21">
        <f t="shared" si="2"/>
        <v>6.29</v>
      </c>
    </row>
    <row r="14" spans="1:6" x14ac:dyDescent="0.2">
      <c r="A14" s="19">
        <v>10</v>
      </c>
      <c r="B14" s="180" t="s">
        <v>9</v>
      </c>
      <c r="C14" s="181"/>
      <c r="D14" s="14">
        <f t="shared" si="0"/>
        <v>2608</v>
      </c>
      <c r="E14" s="17">
        <f t="shared" si="1"/>
        <v>23038.654196116524</v>
      </c>
      <c r="F14" s="21">
        <f t="shared" si="2"/>
        <v>8.83</v>
      </c>
    </row>
    <row r="15" spans="1:6" x14ac:dyDescent="0.2">
      <c r="A15" s="19">
        <v>11</v>
      </c>
      <c r="B15" s="180" t="s">
        <v>10</v>
      </c>
      <c r="C15" s="181"/>
      <c r="D15" s="14">
        <f t="shared" si="0"/>
        <v>142452</v>
      </c>
      <c r="E15" s="17">
        <f t="shared" si="1"/>
        <v>1258356.3495188616</v>
      </c>
      <c r="F15" s="21">
        <f t="shared" si="2"/>
        <v>8.83</v>
      </c>
    </row>
    <row r="16" spans="1:6" ht="14.25" customHeight="1" x14ac:dyDescent="0.2">
      <c r="A16" s="19">
        <v>12</v>
      </c>
      <c r="B16" s="180" t="s">
        <v>11</v>
      </c>
      <c r="C16" s="181"/>
      <c r="D16" s="14">
        <f t="shared" si="0"/>
        <v>2605922</v>
      </c>
      <c r="E16" s="17">
        <f t="shared" si="1"/>
        <v>18281496.746952593</v>
      </c>
      <c r="F16" s="21">
        <f t="shared" si="2"/>
        <v>7.02</v>
      </c>
    </row>
    <row r="17" spans="1:6" x14ac:dyDescent="0.2">
      <c r="A17" s="19">
        <v>13</v>
      </c>
      <c r="B17" s="180" t="s">
        <v>12</v>
      </c>
      <c r="C17" s="181"/>
      <c r="D17" s="14">
        <f t="shared" si="0"/>
        <v>272620</v>
      </c>
      <c r="E17" s="17">
        <f t="shared" si="1"/>
        <v>1630088.1054238062</v>
      </c>
      <c r="F17" s="21">
        <f t="shared" si="2"/>
        <v>5.98</v>
      </c>
    </row>
    <row r="18" spans="1:6" ht="14.25" customHeight="1" x14ac:dyDescent="0.2">
      <c r="A18" s="19">
        <v>14</v>
      </c>
      <c r="B18" s="180" t="s">
        <v>464</v>
      </c>
      <c r="C18" s="181"/>
      <c r="D18" s="14">
        <f t="shared" si="0"/>
        <v>200802</v>
      </c>
      <c r="E18" s="17">
        <f t="shared" si="1"/>
        <v>2562080.5827793675</v>
      </c>
      <c r="F18" s="21">
        <f t="shared" si="2"/>
        <v>12.76</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429304</v>
      </c>
      <c r="E20" s="17">
        <f t="shared" si="1"/>
        <v>3039087.7304484695</v>
      </c>
      <c r="F20" s="21">
        <f t="shared" si="2"/>
        <v>7.08</v>
      </c>
    </row>
    <row r="21" spans="1:6" x14ac:dyDescent="0.2">
      <c r="A21" s="19">
        <v>17</v>
      </c>
      <c r="B21" s="180" t="s">
        <v>15</v>
      </c>
      <c r="C21" s="181"/>
      <c r="D21" s="14">
        <f t="shared" si="0"/>
        <v>35038</v>
      </c>
      <c r="E21" s="17">
        <f t="shared" si="1"/>
        <v>460066.52059951331</v>
      </c>
      <c r="F21" s="21">
        <f t="shared" si="2"/>
        <v>13.13</v>
      </c>
    </row>
    <row r="22" spans="1:6" x14ac:dyDescent="0.2">
      <c r="A22" s="19">
        <v>18</v>
      </c>
      <c r="B22" s="180" t="s">
        <v>16</v>
      </c>
      <c r="C22" s="181"/>
      <c r="D22" s="14">
        <f t="shared" si="0"/>
        <v>155632</v>
      </c>
      <c r="E22" s="17">
        <f t="shared" si="1"/>
        <v>1221775.5237154935</v>
      </c>
      <c r="F22" s="21">
        <f t="shared" si="2"/>
        <v>7.85</v>
      </c>
    </row>
    <row r="23" spans="1:6" x14ac:dyDescent="0.2">
      <c r="A23" s="19">
        <v>19</v>
      </c>
      <c r="B23" s="180" t="s">
        <v>17</v>
      </c>
      <c r="C23" s="181"/>
      <c r="D23" s="14">
        <f t="shared" si="0"/>
        <v>2026424</v>
      </c>
      <c r="E23" s="17">
        <f t="shared" si="1"/>
        <v>12451147.619137742</v>
      </c>
      <c r="F23" s="21">
        <f t="shared" si="2"/>
        <v>6.14</v>
      </c>
    </row>
    <row r="24" spans="1:6" x14ac:dyDescent="0.2">
      <c r="A24" s="19">
        <v>20</v>
      </c>
      <c r="B24" s="180" t="s">
        <v>18</v>
      </c>
      <c r="C24" s="181"/>
      <c r="D24" s="14">
        <f t="shared" si="0"/>
        <v>43592</v>
      </c>
      <c r="E24" s="17">
        <f t="shared" si="1"/>
        <v>314881.40710011945</v>
      </c>
      <c r="F24" s="21">
        <f t="shared" si="2"/>
        <v>7.22</v>
      </c>
    </row>
    <row r="25" spans="1:6" ht="14.25" customHeight="1" x14ac:dyDescent="0.2">
      <c r="A25" s="19">
        <v>21</v>
      </c>
      <c r="B25" s="180" t="s">
        <v>461</v>
      </c>
      <c r="C25" s="181"/>
      <c r="D25" s="14">
        <f t="shared" si="0"/>
        <v>44568</v>
      </c>
      <c r="E25" s="17">
        <f t="shared" si="1"/>
        <v>538791.07523486251</v>
      </c>
      <c r="F25" s="21">
        <f t="shared" si="2"/>
        <v>12.09</v>
      </c>
    </row>
    <row r="26" spans="1:6" x14ac:dyDescent="0.2">
      <c r="A26" s="19">
        <v>22</v>
      </c>
      <c r="B26" s="180" t="s">
        <v>19</v>
      </c>
      <c r="C26" s="181"/>
      <c r="D26" s="14">
        <f t="shared" si="0"/>
        <v>9020</v>
      </c>
      <c r="E26" s="17">
        <f t="shared" si="1"/>
        <v>106169.62149116988</v>
      </c>
      <c r="F26" s="21">
        <f t="shared" si="2"/>
        <v>11.77</v>
      </c>
    </row>
    <row r="27" spans="1:6" x14ac:dyDescent="0.2">
      <c r="A27" s="19">
        <v>23</v>
      </c>
      <c r="B27" s="180" t="s">
        <v>20</v>
      </c>
      <c r="C27" s="181"/>
      <c r="D27" s="14">
        <f t="shared" si="0"/>
        <v>289968</v>
      </c>
      <c r="E27" s="17">
        <f t="shared" si="1"/>
        <v>2303747.1410811031</v>
      </c>
      <c r="F27" s="21">
        <f t="shared" si="2"/>
        <v>7.94</v>
      </c>
    </row>
    <row r="28" spans="1:6" x14ac:dyDescent="0.2">
      <c r="A28" s="19">
        <v>24</v>
      </c>
      <c r="B28" s="180" t="s">
        <v>21</v>
      </c>
      <c r="C28" s="181"/>
      <c r="D28" s="14">
        <f t="shared" si="0"/>
        <v>195434</v>
      </c>
      <c r="E28" s="17">
        <f t="shared" si="1"/>
        <v>1524128.4080382809</v>
      </c>
      <c r="F28" s="21">
        <f t="shared" si="2"/>
        <v>7.8</v>
      </c>
    </row>
    <row r="29" spans="1:6" x14ac:dyDescent="0.2">
      <c r="A29" s="19">
        <v>25</v>
      </c>
      <c r="B29" s="180" t="s">
        <v>22</v>
      </c>
      <c r="C29" s="181"/>
      <c r="D29" s="14">
        <f t="shared" si="0"/>
        <v>2471712</v>
      </c>
      <c r="E29" s="17">
        <f t="shared" si="1"/>
        <v>15261640.242481429</v>
      </c>
      <c r="F29" s="21">
        <f t="shared" si="2"/>
        <v>6.17</v>
      </c>
    </row>
    <row r="30" spans="1:6" x14ac:dyDescent="0.2">
      <c r="A30" s="19">
        <v>26</v>
      </c>
      <c r="B30" s="180" t="s">
        <v>23</v>
      </c>
      <c r="C30" s="181"/>
      <c r="D30" s="14">
        <f t="shared" si="0"/>
        <v>599592</v>
      </c>
      <c r="E30" s="17">
        <f t="shared" si="1"/>
        <v>4974989.8936955137</v>
      </c>
      <c r="F30" s="21">
        <f t="shared" si="2"/>
        <v>8.3000000000000007</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13273833</v>
      </c>
      <c r="E33" s="31">
        <f>SUM(E5:E32)</f>
        <v>95199422</v>
      </c>
      <c r="F33" s="32">
        <f t="shared" si="2"/>
        <v>7.17</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IF(F3="1",SUMIF(Data!A:A,'26'!$A$2,Data!CU:CU),0)</f>
        <v>17856</v>
      </c>
      <c r="E36" s="15">
        <f>IF(F3="1",SUMIF(Data!$A:$A,$A$2,Data!IO:IO),0)</f>
        <v>16241</v>
      </c>
      <c r="F36" s="20">
        <f t="shared" ref="F36:F64" si="3">IF(OR(D36=0,E36=0),"",ROUND(E36/D36,2))</f>
        <v>0.91</v>
      </c>
    </row>
    <row r="37" spans="1:6" x14ac:dyDescent="0.2">
      <c r="A37" s="19">
        <v>2</v>
      </c>
      <c r="B37" s="180" t="s">
        <v>1</v>
      </c>
      <c r="C37" s="181"/>
      <c r="D37" s="14">
        <f>IF(F3="1",SUMIF(Data!A:A,'26'!$A$2,Data!CV:CV),0)</f>
        <v>225568</v>
      </c>
      <c r="E37" s="17">
        <f>IF(F3="1",SUMIF(Data!$A:$A,$A$2,Data!IP:IP),0)</f>
        <v>204682</v>
      </c>
      <c r="F37" s="21">
        <f t="shared" si="3"/>
        <v>0.91</v>
      </c>
    </row>
    <row r="38" spans="1:6" ht="14.25" customHeight="1" x14ac:dyDescent="0.2">
      <c r="A38" s="19">
        <v>3</v>
      </c>
      <c r="B38" s="180" t="s">
        <v>2</v>
      </c>
      <c r="C38" s="181"/>
      <c r="D38" s="14">
        <f>IF(F3="1",SUMIF(Data!A:A,'26'!$A$2,Data!CW:CW),0)</f>
        <v>1495024</v>
      </c>
      <c r="E38" s="17">
        <f>IF($F$3="1",SUMIF(Data!$A:$A,$A$2,Data!IQ:IQ),0)</f>
        <v>1514293</v>
      </c>
      <c r="F38" s="21">
        <f t="shared" si="3"/>
        <v>1.01</v>
      </c>
    </row>
    <row r="39" spans="1:6" ht="14.25" customHeight="1" x14ac:dyDescent="0.2">
      <c r="A39" s="19">
        <v>4</v>
      </c>
      <c r="B39" s="180" t="s">
        <v>3</v>
      </c>
      <c r="C39" s="181"/>
      <c r="D39" s="14">
        <f>IF(F3="1",SUMIF(Data!A:A,'26'!$A$2,Data!CX:CX),0)</f>
        <v>806055</v>
      </c>
      <c r="E39" s="17">
        <f>IF($F$3="1",SUMIF(Data!$A:$A,$A$2,Data!IR:IR),0)</f>
        <v>1523950</v>
      </c>
      <c r="F39" s="21">
        <f t="shared" si="3"/>
        <v>1.89</v>
      </c>
    </row>
    <row r="40" spans="1:6" x14ac:dyDescent="0.2">
      <c r="A40" s="19">
        <v>5</v>
      </c>
      <c r="B40" s="180" t="s">
        <v>4</v>
      </c>
      <c r="C40" s="181"/>
      <c r="D40" s="14">
        <f>IF(F3="1",SUMIF(Data!A:A,'26'!$A$2,Data!CY:CY),0)</f>
        <v>240</v>
      </c>
      <c r="E40" s="17">
        <f>IF($F$3="1",SUMIF(Data!$A:$A,$A$2,Data!IS:IS),0)</f>
        <v>1476</v>
      </c>
      <c r="F40" s="21">
        <f t="shared" si="3"/>
        <v>6.15</v>
      </c>
    </row>
    <row r="41" spans="1:6" x14ac:dyDescent="0.2">
      <c r="A41" s="19">
        <v>6</v>
      </c>
      <c r="B41" s="180" t="s">
        <v>5</v>
      </c>
      <c r="C41" s="181"/>
      <c r="D41" s="14">
        <f>IF(F3="1",SUMIF(Data!A:A,'26'!$A$2,Data!CZ:CZ),0)</f>
        <v>79912</v>
      </c>
      <c r="E41" s="17">
        <f>IF($F$3="1",SUMIF(Data!$A:$A,$A$2,Data!IT:IT),0)</f>
        <v>111377</v>
      </c>
      <c r="F41" s="21">
        <f t="shared" si="3"/>
        <v>1.39</v>
      </c>
    </row>
    <row r="42" spans="1:6" x14ac:dyDescent="0.2">
      <c r="A42" s="19">
        <v>7</v>
      </c>
      <c r="B42" s="180" t="s">
        <v>6</v>
      </c>
      <c r="C42" s="181"/>
      <c r="D42" s="14">
        <f>IF(F3="1",SUMIF(Data!A:A,'26'!$A$2,Data!DA:DA),0)</f>
        <v>823878</v>
      </c>
      <c r="E42" s="17">
        <f>IF($F$3="1",SUMIF(Data!$A:$A,$A$2,Data!IU:IU),0)</f>
        <v>765001</v>
      </c>
      <c r="F42" s="21">
        <f t="shared" si="3"/>
        <v>0.93</v>
      </c>
    </row>
    <row r="43" spans="1:6" x14ac:dyDescent="0.2">
      <c r="A43" s="19">
        <v>8</v>
      </c>
      <c r="B43" s="180" t="s">
        <v>7</v>
      </c>
      <c r="C43" s="181"/>
      <c r="D43" s="14">
        <f>IF(F3="1",SUMIF(Data!A:A,'26'!$A$2,Data!DB:DB),0)</f>
        <v>8418</v>
      </c>
      <c r="E43" s="17">
        <f>IF($F$3="1",SUMIF(Data!$A:$A,$A$2,Data!IV:IV),0)</f>
        <v>13471</v>
      </c>
      <c r="F43" s="21">
        <f t="shared" si="3"/>
        <v>1.6</v>
      </c>
    </row>
    <row r="44" spans="1:6" x14ac:dyDescent="0.2">
      <c r="A44" s="19">
        <v>9</v>
      </c>
      <c r="B44" s="180" t="s">
        <v>8</v>
      </c>
      <c r="C44" s="181"/>
      <c r="D44" s="14">
        <f>IF(F3="1",SUMIF(Data!A:A,'26'!$A$2,Data!DC:DC),0)</f>
        <v>292194</v>
      </c>
      <c r="E44" s="17">
        <f>IF($F$3="1",SUMIF(Data!$A:$A,$A$2,Data!IW:IW),0)</f>
        <v>146334</v>
      </c>
      <c r="F44" s="21">
        <f t="shared" si="3"/>
        <v>0.5</v>
      </c>
    </row>
    <row r="45" spans="1:6" x14ac:dyDescent="0.2">
      <c r="A45" s="19">
        <v>10</v>
      </c>
      <c r="B45" s="180" t="s">
        <v>9</v>
      </c>
      <c r="C45" s="181"/>
      <c r="D45" s="14">
        <f>IF(F3="1",SUMIF(Data!A:A,'26'!$A$2,Data!DD:DD),0)</f>
        <v>2608</v>
      </c>
      <c r="E45" s="17">
        <f>IF($F$3="1",SUMIF(Data!$A:$A,$A$2,Data!IX:IX),0)</f>
        <v>4174</v>
      </c>
      <c r="F45" s="21">
        <f t="shared" si="3"/>
        <v>1.6</v>
      </c>
    </row>
    <row r="46" spans="1:6" x14ac:dyDescent="0.2">
      <c r="A46" s="19">
        <v>11</v>
      </c>
      <c r="B46" s="180" t="s">
        <v>10</v>
      </c>
      <c r="C46" s="181"/>
      <c r="D46" s="14">
        <f>IF(F3="1",SUMIF(Data!A:A,'26'!$A$2,Data!DE:DE),0)</f>
        <v>142452</v>
      </c>
      <c r="E46" s="17">
        <f>IF($F$3="1",SUMIF(Data!$A:$A,$A$2,Data!IY:IY),0)</f>
        <v>227953</v>
      </c>
      <c r="F46" s="21">
        <f t="shared" si="3"/>
        <v>1.6</v>
      </c>
    </row>
    <row r="47" spans="1:6" ht="14.25" customHeight="1" x14ac:dyDescent="0.2">
      <c r="A47" s="19">
        <v>12</v>
      </c>
      <c r="B47" s="180" t="s">
        <v>11</v>
      </c>
      <c r="C47" s="181"/>
      <c r="D47" s="14">
        <f>IF(F3="1",SUMIF(Data!A:A,'26'!$A$2,Data!DF:DF),0)</f>
        <v>2605922</v>
      </c>
      <c r="E47" s="17">
        <f>IF($F$3="1",SUMIF(Data!$A:$A,$A$2,Data!IZ:IZ),0)</f>
        <v>1839134</v>
      </c>
      <c r="F47" s="21">
        <f t="shared" si="3"/>
        <v>0.71</v>
      </c>
    </row>
    <row r="48" spans="1:6" x14ac:dyDescent="0.2">
      <c r="A48" s="19">
        <v>13</v>
      </c>
      <c r="B48" s="180" t="s">
        <v>12</v>
      </c>
      <c r="C48" s="181"/>
      <c r="D48" s="14">
        <f>IF(F3="1",SUMIF(Data!A:A,'26'!$A$2,Data!DG:DG),0)</f>
        <v>272620</v>
      </c>
      <c r="E48" s="17">
        <f>IF($F$3="1",SUMIF(Data!$A:$A,$A$2,Data!JA:JA),0)</f>
        <v>8887</v>
      </c>
      <c r="F48" s="21">
        <f t="shared" si="3"/>
        <v>0.03</v>
      </c>
    </row>
    <row r="49" spans="1:6" ht="14.25" customHeight="1" x14ac:dyDescent="0.2">
      <c r="A49" s="19">
        <v>14</v>
      </c>
      <c r="B49" s="180" t="s">
        <v>464</v>
      </c>
      <c r="C49" s="181"/>
      <c r="D49" s="14">
        <f>IF(F3="1",SUMIF(Data!A:A,'26'!$A$2,Data!DH:DH),0)</f>
        <v>200802</v>
      </c>
      <c r="E49" s="17">
        <f>IF($F$3="1",SUMIF(Data!$A:$A,$A$2,Data!JB:JB),0)</f>
        <v>353337</v>
      </c>
      <c r="F49" s="21">
        <f t="shared" si="3"/>
        <v>1.76</v>
      </c>
    </row>
    <row r="50" spans="1:6" x14ac:dyDescent="0.2">
      <c r="A50" s="19">
        <v>15</v>
      </c>
      <c r="B50" s="180" t="s">
        <v>13</v>
      </c>
      <c r="C50" s="181"/>
      <c r="D50" s="14">
        <f>IF(F3="1",SUMIF(Data!A:A,'26'!$A$2,Data!DI:DI),0)</f>
        <v>0</v>
      </c>
      <c r="E50" s="17">
        <f>IF($F$3="1",SUMIF(Data!$A:$A,$A$2,Data!JC:JC),0)</f>
        <v>0</v>
      </c>
      <c r="F50" s="21" t="str">
        <f t="shared" si="3"/>
        <v/>
      </c>
    </row>
    <row r="51" spans="1:6" x14ac:dyDescent="0.2">
      <c r="A51" s="19">
        <v>16</v>
      </c>
      <c r="B51" s="180" t="s">
        <v>14</v>
      </c>
      <c r="C51" s="181"/>
      <c r="D51" s="14">
        <f>IF(F3="1",SUMIF(Data!A:A,'26'!$A$2,Data!DJ:DJ),0)</f>
        <v>429304</v>
      </c>
      <c r="E51" s="17">
        <f>IF($F$3="1",SUMIF(Data!$A:$A,$A$2,Data!JD:JD),0)</f>
        <v>371946</v>
      </c>
      <c r="F51" s="21">
        <f t="shared" si="3"/>
        <v>0.87</v>
      </c>
    </row>
    <row r="52" spans="1:6" x14ac:dyDescent="0.2">
      <c r="A52" s="19">
        <v>17</v>
      </c>
      <c r="B52" s="180" t="s">
        <v>15</v>
      </c>
      <c r="C52" s="181"/>
      <c r="D52" s="14">
        <f>IF(F3="1",SUMIF(Data!A:A,'26'!$A$2,Data!DK:DK),0)</f>
        <v>35038</v>
      </c>
      <c r="E52" s="17">
        <f>IF($F$3="1",SUMIF(Data!$A:$A,$A$2,Data!JE:JE),0)</f>
        <v>31799</v>
      </c>
      <c r="F52" s="21">
        <f t="shared" si="3"/>
        <v>0.91</v>
      </c>
    </row>
    <row r="53" spans="1:6" x14ac:dyDescent="0.2">
      <c r="A53" s="19">
        <v>18</v>
      </c>
      <c r="B53" s="180" t="s">
        <v>16</v>
      </c>
      <c r="C53" s="181"/>
      <c r="D53" s="14">
        <f>IF(F3="1",SUMIF(Data!A:A,'26'!$A$2,Data!DL:DL),0)</f>
        <v>155632</v>
      </c>
      <c r="E53" s="17">
        <f>IF($F$3="1",SUMIF(Data!$A:$A,$A$2,Data!JF:JF),0)</f>
        <v>143898</v>
      </c>
      <c r="F53" s="21">
        <f t="shared" si="3"/>
        <v>0.92</v>
      </c>
    </row>
    <row r="54" spans="1:6" x14ac:dyDescent="0.2">
      <c r="A54" s="19">
        <v>19</v>
      </c>
      <c r="B54" s="180" t="s">
        <v>17</v>
      </c>
      <c r="C54" s="181"/>
      <c r="D54" s="14">
        <f>IF(F3="1",SUMIF(Data!A:A,'26'!$A$2,Data!DM:DM),0)</f>
        <v>2026424</v>
      </c>
      <c r="E54" s="17">
        <f>IF($F$3="1",SUMIF(Data!$A:$A,$A$2,Data!JG:JG),0)</f>
        <v>773176</v>
      </c>
      <c r="F54" s="21">
        <f t="shared" si="3"/>
        <v>0.38</v>
      </c>
    </row>
    <row r="55" spans="1:6" x14ac:dyDescent="0.2">
      <c r="A55" s="19">
        <v>20</v>
      </c>
      <c r="B55" s="180" t="s">
        <v>18</v>
      </c>
      <c r="C55" s="181"/>
      <c r="D55" s="14">
        <f>IF(F3="1",SUMIF(Data!A:A,'26'!$A$2,Data!DN:DN),0)</f>
        <v>43592</v>
      </c>
      <c r="E55" s="17">
        <f>IF($F$3="1",SUMIF(Data!$A:$A,$A$2,Data!JH:JH),0)</f>
        <v>31458</v>
      </c>
      <c r="F55" s="21">
        <f t="shared" si="3"/>
        <v>0.72</v>
      </c>
    </row>
    <row r="56" spans="1:6" ht="14.25" customHeight="1" x14ac:dyDescent="0.2">
      <c r="A56" s="19">
        <v>21</v>
      </c>
      <c r="B56" s="180" t="s">
        <v>461</v>
      </c>
      <c r="C56" s="181"/>
      <c r="D56" s="14">
        <f>IF(F3="1",SUMIF(Data!A:A,'26'!$A$2,Data!DO:DO),0)</f>
        <v>44568</v>
      </c>
      <c r="E56" s="17">
        <f>IF($F$3="1",SUMIF(Data!$A:$A,$A$2,Data!JI:JI),0)</f>
        <v>288167</v>
      </c>
      <c r="F56" s="21">
        <f t="shared" si="3"/>
        <v>6.47</v>
      </c>
    </row>
    <row r="57" spans="1:6" x14ac:dyDescent="0.2">
      <c r="A57" s="19">
        <v>22</v>
      </c>
      <c r="B57" s="180" t="s">
        <v>19</v>
      </c>
      <c r="C57" s="181"/>
      <c r="D57" s="14">
        <f>IF(F3="1",SUMIF(Data!A:A,'26'!$A$2,Data!DP:DP),0)</f>
        <v>9020</v>
      </c>
      <c r="E57" s="17">
        <f>IF($F$3="1",SUMIF(Data!$A:$A,$A$2,Data!JJ:JJ),0)</f>
        <v>55447</v>
      </c>
      <c r="F57" s="21">
        <f t="shared" si="3"/>
        <v>6.15</v>
      </c>
    </row>
    <row r="58" spans="1:6" x14ac:dyDescent="0.2">
      <c r="A58" s="19">
        <v>23</v>
      </c>
      <c r="B58" s="180" t="s">
        <v>20</v>
      </c>
      <c r="C58" s="181"/>
      <c r="D58" s="14">
        <f>IF(F3="1",SUMIF(Data!A:A,'26'!$A$2,Data!DQ:DQ),0)</f>
        <v>289968</v>
      </c>
      <c r="E58" s="17">
        <f>IF($F$3="1",SUMIF(Data!$A:$A,$A$2,Data!JK:JK),0)</f>
        <v>292731</v>
      </c>
      <c r="F58" s="21">
        <f t="shared" si="3"/>
        <v>1.01</v>
      </c>
    </row>
    <row r="59" spans="1:6" x14ac:dyDescent="0.2">
      <c r="A59" s="19">
        <v>24</v>
      </c>
      <c r="B59" s="180" t="s">
        <v>21</v>
      </c>
      <c r="C59" s="181"/>
      <c r="D59" s="14">
        <f>IF(F3="1",SUMIF(Data!A:A,'26'!$A$2,Data!DR:DR),0)</f>
        <v>195434</v>
      </c>
      <c r="E59" s="17">
        <f>IF($F$3="1",SUMIF(Data!$A:$A,$A$2,Data!JL:JL),0)</f>
        <v>238420</v>
      </c>
      <c r="F59" s="21">
        <f t="shared" si="3"/>
        <v>1.22</v>
      </c>
    </row>
    <row r="60" spans="1:6" x14ac:dyDescent="0.2">
      <c r="A60" s="19">
        <v>25</v>
      </c>
      <c r="B60" s="180" t="s">
        <v>22</v>
      </c>
      <c r="C60" s="181"/>
      <c r="D60" s="14">
        <f>IF(F3="1",SUMIF(Data!A:A,'26'!$A$2,Data!DS:DS),0)</f>
        <v>2471712</v>
      </c>
      <c r="E60" s="17">
        <f>IF($F$3="1",SUMIF(Data!$A:$A,$A$2,Data!JM:JM),0)</f>
        <v>917967</v>
      </c>
      <c r="F60" s="21">
        <f t="shared" si="3"/>
        <v>0.37</v>
      </c>
    </row>
    <row r="61" spans="1:6" x14ac:dyDescent="0.2">
      <c r="A61" s="19">
        <v>26</v>
      </c>
      <c r="B61" s="180" t="s">
        <v>23</v>
      </c>
      <c r="C61" s="181"/>
      <c r="D61" s="14">
        <f>IF(F3="1",SUMIF(Data!A:A,'26'!$A$2,Data!DT:DT),0)</f>
        <v>599592</v>
      </c>
      <c r="E61" s="17">
        <f>IF($F$3="1",SUMIF(Data!$A:$A,$A$2,Data!JN:JN),0)</f>
        <v>533324</v>
      </c>
      <c r="F61" s="21">
        <f t="shared" si="3"/>
        <v>0.89</v>
      </c>
    </row>
    <row r="62" spans="1:6" x14ac:dyDescent="0.2">
      <c r="A62" s="19">
        <v>28</v>
      </c>
      <c r="B62" s="180" t="s">
        <v>24</v>
      </c>
      <c r="C62" s="181"/>
      <c r="D62" s="14">
        <f>IF(F3="1",SUMIF(Data!A:A,'26'!$A$2,Data!DV:DV),0)</f>
        <v>0</v>
      </c>
      <c r="E62" s="17">
        <f>IF($F$3="1",SUMIF(Data!$A:$A,$A$2,Data!JP:JP),0)</f>
        <v>0</v>
      </c>
      <c r="F62" s="21" t="str">
        <f t="shared" si="3"/>
        <v/>
      </c>
    </row>
    <row r="63" spans="1:6" ht="15.75" customHeight="1" thickBot="1" x14ac:dyDescent="0.25">
      <c r="A63" s="22">
        <v>29</v>
      </c>
      <c r="B63" s="184" t="s">
        <v>25</v>
      </c>
      <c r="C63" s="185"/>
      <c r="D63" s="23">
        <f>IF(F3="1",SUMIF(Data!A:A,'26'!$A$2,Data!DW:DW),0)</f>
        <v>0</v>
      </c>
      <c r="E63" s="24">
        <f>IF($F$3="1",SUMIF(Data!$A:$A,$A$2,Data!JQ:JQ),0)</f>
        <v>0</v>
      </c>
      <c r="F63" s="25" t="str">
        <f t="shared" si="3"/>
        <v/>
      </c>
    </row>
    <row r="64" spans="1:6" x14ac:dyDescent="0.2">
      <c r="B64" s="30" t="s">
        <v>35</v>
      </c>
      <c r="C64" s="30"/>
      <c r="D64" s="59">
        <f>SUM(D36:D63)</f>
        <v>13273833</v>
      </c>
      <c r="E64" s="31">
        <f>SUM(E36:E63)</f>
        <v>10408643</v>
      </c>
      <c r="F64" s="32">
        <f t="shared" si="3"/>
        <v>0.78</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17856</v>
      </c>
      <c r="E67" s="15">
        <f>IF(F3="1",SUMIF(Data!A:A,'26'!$A$2,Data!DY:DY),0)</f>
        <v>51869</v>
      </c>
      <c r="F67" s="20">
        <f t="shared" ref="F67:F95" si="4">IF(OR(D67=0,E67=0),"",ROUND(E67/D67,2))</f>
        <v>2.9</v>
      </c>
    </row>
    <row r="68" spans="1:6" x14ac:dyDescent="0.2">
      <c r="A68" s="19">
        <v>2</v>
      </c>
      <c r="B68" s="180" t="s">
        <v>1</v>
      </c>
      <c r="C68" s="181"/>
      <c r="D68" s="14">
        <f t="shared" ref="D68:D94" si="5">D37</f>
        <v>225568</v>
      </c>
      <c r="E68" s="17">
        <f>IF(F3="1",SUMIF(Data!A:A,'26'!$A$2,Data!DZ:DZ),0)</f>
        <v>1111162</v>
      </c>
      <c r="F68" s="21">
        <f t="shared" si="4"/>
        <v>4.93</v>
      </c>
    </row>
    <row r="69" spans="1:6" ht="14.25" customHeight="1" x14ac:dyDescent="0.2">
      <c r="A69" s="19">
        <v>3</v>
      </c>
      <c r="B69" s="180" t="s">
        <v>2</v>
      </c>
      <c r="C69" s="181"/>
      <c r="D69" s="14">
        <f t="shared" si="5"/>
        <v>1495024</v>
      </c>
      <c r="E69" s="17">
        <f>IF(F3="1",SUMIF(Data!A:A,'26'!$A$2,Data!EA:EA),0)</f>
        <v>4024005</v>
      </c>
      <c r="F69" s="21">
        <f t="shared" si="4"/>
        <v>2.69</v>
      </c>
    </row>
    <row r="70" spans="1:6" ht="14.25" customHeight="1" x14ac:dyDescent="0.2">
      <c r="A70" s="19">
        <v>4</v>
      </c>
      <c r="B70" s="180" t="s">
        <v>3</v>
      </c>
      <c r="C70" s="181"/>
      <c r="D70" s="14">
        <f t="shared" si="5"/>
        <v>806055</v>
      </c>
      <c r="E70" s="17">
        <f>IF(F3="1",SUMIF(Data!A:A,'26'!$A$2,Data!EB:EB),0)</f>
        <v>2770560</v>
      </c>
      <c r="F70" s="21">
        <f t="shared" si="4"/>
        <v>3.44</v>
      </c>
    </row>
    <row r="71" spans="1:6" x14ac:dyDescent="0.2">
      <c r="A71" s="19">
        <v>5</v>
      </c>
      <c r="B71" s="180" t="s">
        <v>4</v>
      </c>
      <c r="C71" s="181"/>
      <c r="D71" s="14">
        <f t="shared" si="5"/>
        <v>240</v>
      </c>
      <c r="E71" s="17">
        <f>IF(F3="1",SUMIF(Data!A:A,'26'!$A$2,Data!EC:EC),0)</f>
        <v>530</v>
      </c>
      <c r="F71" s="21">
        <f t="shared" si="4"/>
        <v>2.21</v>
      </c>
    </row>
    <row r="72" spans="1:6" x14ac:dyDescent="0.2">
      <c r="A72" s="19">
        <v>6</v>
      </c>
      <c r="B72" s="180" t="s">
        <v>5</v>
      </c>
      <c r="C72" s="181"/>
      <c r="D72" s="14">
        <f t="shared" si="5"/>
        <v>79912</v>
      </c>
      <c r="E72" s="17">
        <f>IF(F3="1",SUMIF(Data!A:A,'26'!$A$2,Data!ED:ED),0)</f>
        <v>220131</v>
      </c>
      <c r="F72" s="21">
        <f t="shared" si="4"/>
        <v>2.75</v>
      </c>
    </row>
    <row r="73" spans="1:6" x14ac:dyDescent="0.2">
      <c r="A73" s="19">
        <v>7</v>
      </c>
      <c r="B73" s="180" t="s">
        <v>6</v>
      </c>
      <c r="C73" s="181"/>
      <c r="D73" s="14">
        <f t="shared" si="5"/>
        <v>823878</v>
      </c>
      <c r="E73" s="17">
        <f>IF(F3="1",SUMIF(Data!A:A,'26'!$A$2,Data!EE:EE),0)</f>
        <v>3249331</v>
      </c>
      <c r="F73" s="21">
        <f t="shared" si="4"/>
        <v>3.94</v>
      </c>
    </row>
    <row r="74" spans="1:6" x14ac:dyDescent="0.2">
      <c r="A74" s="19">
        <v>8</v>
      </c>
      <c r="B74" s="180" t="s">
        <v>7</v>
      </c>
      <c r="C74" s="181"/>
      <c r="D74" s="14">
        <f t="shared" si="5"/>
        <v>8418</v>
      </c>
      <c r="E74" s="17">
        <f>IF(F3="1",SUMIF(Data!A:A,'26'!$A$2,Data!EF:EF),0)</f>
        <v>32155</v>
      </c>
      <c r="F74" s="21">
        <f t="shared" si="4"/>
        <v>3.82</v>
      </c>
    </row>
    <row r="75" spans="1:6" x14ac:dyDescent="0.2">
      <c r="A75" s="19">
        <v>9</v>
      </c>
      <c r="B75" s="180" t="s">
        <v>8</v>
      </c>
      <c r="C75" s="181"/>
      <c r="D75" s="14">
        <f t="shared" si="5"/>
        <v>292194</v>
      </c>
      <c r="E75" s="17">
        <f>IF(F3="1",SUMIF(Data!A:A,'26'!$A$2,Data!EG:EG),0)</f>
        <v>693308</v>
      </c>
      <c r="F75" s="21">
        <f t="shared" si="4"/>
        <v>2.37</v>
      </c>
    </row>
    <row r="76" spans="1:6" x14ac:dyDescent="0.2">
      <c r="A76" s="19">
        <v>10</v>
      </c>
      <c r="B76" s="180" t="s">
        <v>9</v>
      </c>
      <c r="C76" s="181"/>
      <c r="D76" s="14">
        <f t="shared" si="5"/>
        <v>2608</v>
      </c>
      <c r="E76" s="17">
        <f>IF(F3="1",SUMIF(Data!A:A,'26'!$A$2,Data!EH:EH),0)</f>
        <v>9962</v>
      </c>
      <c r="F76" s="21">
        <f t="shared" si="4"/>
        <v>3.82</v>
      </c>
    </row>
    <row r="77" spans="1:6" x14ac:dyDescent="0.2">
      <c r="A77" s="19">
        <v>11</v>
      </c>
      <c r="B77" s="180" t="s">
        <v>10</v>
      </c>
      <c r="C77" s="181"/>
      <c r="D77" s="14">
        <f t="shared" si="5"/>
        <v>142452</v>
      </c>
      <c r="E77" s="17">
        <f>IF(F3="1",SUMIF(Data!A:A,'26'!$A$2,Data!EI:EI),0)</f>
        <v>544130</v>
      </c>
      <c r="F77" s="21">
        <f t="shared" si="4"/>
        <v>3.82</v>
      </c>
    </row>
    <row r="78" spans="1:6" ht="14.25" customHeight="1" x14ac:dyDescent="0.2">
      <c r="A78" s="19">
        <v>12</v>
      </c>
      <c r="B78" s="180" t="s">
        <v>11</v>
      </c>
      <c r="C78" s="181"/>
      <c r="D78" s="14">
        <f t="shared" si="5"/>
        <v>2605922</v>
      </c>
      <c r="E78" s="17">
        <f>IF(F3="1",SUMIF(Data!A:A,'26'!$A$2,Data!EJ:EJ),0)</f>
        <v>7546802</v>
      </c>
      <c r="F78" s="21">
        <f t="shared" si="4"/>
        <v>2.9</v>
      </c>
    </row>
    <row r="79" spans="1:6" x14ac:dyDescent="0.2">
      <c r="A79" s="19">
        <v>13</v>
      </c>
      <c r="B79" s="180" t="s">
        <v>12</v>
      </c>
      <c r="C79" s="181"/>
      <c r="D79" s="14">
        <f t="shared" si="5"/>
        <v>272620</v>
      </c>
      <c r="E79" s="17">
        <f>IF(F3="1",SUMIF(Data!A:A,'26'!$A$2,Data!EK:EK),0)</f>
        <v>690587</v>
      </c>
      <c r="F79" s="21">
        <f t="shared" si="4"/>
        <v>2.5299999999999998</v>
      </c>
    </row>
    <row r="80" spans="1:6" ht="14.25" customHeight="1" x14ac:dyDescent="0.2">
      <c r="A80" s="19">
        <v>14</v>
      </c>
      <c r="B80" s="180" t="s">
        <v>464</v>
      </c>
      <c r="C80" s="181"/>
      <c r="D80" s="14">
        <f t="shared" si="5"/>
        <v>200802</v>
      </c>
      <c r="E80" s="17">
        <f>IF(F3="1",SUMIF(Data!A:A,'26'!$A$2,Data!EL:EL),0)</f>
        <v>1523287</v>
      </c>
      <c r="F80" s="21">
        <f t="shared" si="4"/>
        <v>7.59</v>
      </c>
    </row>
    <row r="81" spans="1:6" x14ac:dyDescent="0.2">
      <c r="A81" s="19">
        <v>15</v>
      </c>
      <c r="B81" s="180" t="s">
        <v>13</v>
      </c>
      <c r="C81" s="181"/>
      <c r="D81" s="14">
        <f t="shared" si="5"/>
        <v>0</v>
      </c>
      <c r="E81" s="17">
        <f>IF(F3="1",SUMIF(Data!A:A,'26'!$A$2,Data!EM:EM),0)</f>
        <v>0</v>
      </c>
      <c r="F81" s="21" t="str">
        <f t="shared" si="4"/>
        <v/>
      </c>
    </row>
    <row r="82" spans="1:6" x14ac:dyDescent="0.2">
      <c r="A82" s="19">
        <v>16</v>
      </c>
      <c r="B82" s="180" t="s">
        <v>14</v>
      </c>
      <c r="C82" s="181"/>
      <c r="D82" s="14">
        <f t="shared" si="5"/>
        <v>429304</v>
      </c>
      <c r="E82" s="17">
        <f>IF(F3="1",SUMIF(Data!A:A,'26'!$A$2,Data!EN:EN),0)</f>
        <v>1201672</v>
      </c>
      <c r="F82" s="21">
        <f t="shared" si="4"/>
        <v>2.8</v>
      </c>
    </row>
    <row r="83" spans="1:6" x14ac:dyDescent="0.2">
      <c r="A83" s="19">
        <v>17</v>
      </c>
      <c r="B83" s="180" t="s">
        <v>15</v>
      </c>
      <c r="C83" s="181"/>
      <c r="D83" s="14">
        <f t="shared" si="5"/>
        <v>35038</v>
      </c>
      <c r="E83" s="17">
        <f>IF(F3="1",SUMIF(Data!A:A,'26'!$A$2,Data!EO:EO),0)</f>
        <v>308662</v>
      </c>
      <c r="F83" s="21">
        <f t="shared" si="4"/>
        <v>8.81</v>
      </c>
    </row>
    <row r="84" spans="1:6" x14ac:dyDescent="0.2">
      <c r="A84" s="19">
        <v>18</v>
      </c>
      <c r="B84" s="180" t="s">
        <v>16</v>
      </c>
      <c r="C84" s="181"/>
      <c r="D84" s="14">
        <f t="shared" si="5"/>
        <v>155632</v>
      </c>
      <c r="E84" s="17">
        <f>IF(F3="1",SUMIF(Data!A:A,'26'!$A$2,Data!EP:EP),0)</f>
        <v>546613</v>
      </c>
      <c r="F84" s="21">
        <f t="shared" si="4"/>
        <v>3.51</v>
      </c>
    </row>
    <row r="85" spans="1:6" x14ac:dyDescent="0.2">
      <c r="A85" s="19">
        <v>19</v>
      </c>
      <c r="B85" s="180" t="s">
        <v>17</v>
      </c>
      <c r="C85" s="181"/>
      <c r="D85" s="14">
        <f t="shared" si="5"/>
        <v>2026424</v>
      </c>
      <c r="E85" s="17">
        <f>IF(F3="1",SUMIF(Data!A:A,'26'!$A$2,Data!EQ:EQ),0)</f>
        <v>4760582</v>
      </c>
      <c r="F85" s="21">
        <f t="shared" si="4"/>
        <v>2.35</v>
      </c>
    </row>
    <row r="86" spans="1:6" x14ac:dyDescent="0.2">
      <c r="A86" s="19">
        <v>20</v>
      </c>
      <c r="B86" s="180" t="s">
        <v>18</v>
      </c>
      <c r="C86" s="181"/>
      <c r="D86" s="14">
        <f t="shared" si="5"/>
        <v>43592</v>
      </c>
      <c r="E86" s="17">
        <f>IF(F3="1",SUMIF(Data!A:A,'26'!$A$2,Data!ER:ER),0)</f>
        <v>134618</v>
      </c>
      <c r="F86" s="21">
        <f t="shared" si="4"/>
        <v>3.09</v>
      </c>
    </row>
    <row r="87" spans="1:6" ht="14.25" customHeight="1" x14ac:dyDescent="0.2">
      <c r="A87" s="19">
        <v>21</v>
      </c>
      <c r="B87" s="180" t="s">
        <v>461</v>
      </c>
      <c r="C87" s="181"/>
      <c r="D87" s="14">
        <f t="shared" si="5"/>
        <v>44568</v>
      </c>
      <c r="E87" s="17">
        <f>IF(F3="1",SUMIF(Data!A:A,'26'!$A$2,Data!ES:ES),0)</f>
        <v>98487</v>
      </c>
      <c r="F87" s="21">
        <f t="shared" si="4"/>
        <v>2.21</v>
      </c>
    </row>
    <row r="88" spans="1:6" x14ac:dyDescent="0.2">
      <c r="A88" s="19">
        <v>22</v>
      </c>
      <c r="B88" s="180" t="s">
        <v>19</v>
      </c>
      <c r="C88" s="181"/>
      <c r="D88" s="14">
        <f t="shared" si="5"/>
        <v>9020</v>
      </c>
      <c r="E88" s="17">
        <f>IF(F3="1",SUMIF(Data!A:A,'26'!$A$2,Data!ET:ET),0)</f>
        <v>19932</v>
      </c>
      <c r="F88" s="21">
        <f t="shared" si="4"/>
        <v>2.21</v>
      </c>
    </row>
    <row r="89" spans="1:6" x14ac:dyDescent="0.2">
      <c r="A89" s="19">
        <v>23</v>
      </c>
      <c r="B89" s="180" t="s">
        <v>20</v>
      </c>
      <c r="C89" s="181"/>
      <c r="D89" s="14">
        <f t="shared" si="5"/>
        <v>289968</v>
      </c>
      <c r="E89" s="17">
        <f>IF(F3="1",SUMIF(Data!A:A,'26'!$A$2,Data!EU:EU),0)</f>
        <v>1021183</v>
      </c>
      <c r="F89" s="21">
        <f t="shared" si="4"/>
        <v>3.52</v>
      </c>
    </row>
    <row r="90" spans="1:6" x14ac:dyDescent="0.2">
      <c r="A90" s="19">
        <v>24</v>
      </c>
      <c r="B90" s="180" t="s">
        <v>21</v>
      </c>
      <c r="C90" s="181"/>
      <c r="D90" s="14">
        <f t="shared" si="5"/>
        <v>195434</v>
      </c>
      <c r="E90" s="17">
        <f>IF(F3="1",SUMIF(Data!A:A,'26'!$A$2,Data!EV:EV),0)</f>
        <v>618576</v>
      </c>
      <c r="F90" s="21">
        <f t="shared" si="4"/>
        <v>3.17</v>
      </c>
    </row>
    <row r="91" spans="1:6" x14ac:dyDescent="0.2">
      <c r="A91" s="19">
        <v>25</v>
      </c>
      <c r="B91" s="180" t="s">
        <v>22</v>
      </c>
      <c r="C91" s="181"/>
      <c r="D91" s="14">
        <f t="shared" si="5"/>
        <v>2471712</v>
      </c>
      <c r="E91" s="17">
        <f>IF(F3="1",SUMIF(Data!A:A,'26'!$A$2,Data!EW:EW),0)</f>
        <v>5906251</v>
      </c>
      <c r="F91" s="21">
        <f t="shared" si="4"/>
        <v>2.39</v>
      </c>
    </row>
    <row r="92" spans="1:6" x14ac:dyDescent="0.2">
      <c r="A92" s="19">
        <v>26</v>
      </c>
      <c r="B92" s="180" t="s">
        <v>23</v>
      </c>
      <c r="C92" s="181"/>
      <c r="D92" s="14">
        <f t="shared" si="5"/>
        <v>599592</v>
      </c>
      <c r="E92" s="17">
        <f>IF(F3="1",SUMIF(Data!A:A,'26'!$A$2,Data!EX:EX),0)</f>
        <v>2394902</v>
      </c>
      <c r="F92" s="21">
        <f t="shared" si="4"/>
        <v>3.99</v>
      </c>
    </row>
    <row r="93" spans="1:6" x14ac:dyDescent="0.2">
      <c r="A93" s="19">
        <v>28</v>
      </c>
      <c r="B93" s="180" t="s">
        <v>24</v>
      </c>
      <c r="C93" s="181"/>
      <c r="D93" s="14">
        <f t="shared" si="5"/>
        <v>0</v>
      </c>
      <c r="E93" s="17">
        <f>IF(F3="1",SUMIF(Data!A:A,'26'!$A$2,Data!EZ:EZ),0)</f>
        <v>0</v>
      </c>
      <c r="F93" s="21" t="str">
        <f t="shared" si="4"/>
        <v/>
      </c>
    </row>
    <row r="94" spans="1:6" ht="15.75" customHeight="1" thickBot="1" x14ac:dyDescent="0.25">
      <c r="A94" s="22">
        <v>29</v>
      </c>
      <c r="B94" s="184" t="s">
        <v>25</v>
      </c>
      <c r="C94" s="185"/>
      <c r="D94" s="23">
        <f t="shared" si="5"/>
        <v>0</v>
      </c>
      <c r="E94" s="24">
        <f>IF(F3="1",SUMIF(Data!A:A,'26'!$A$2,Data!FA:FA),0)</f>
        <v>0</v>
      </c>
      <c r="F94" s="25" t="str">
        <f t="shared" si="4"/>
        <v/>
      </c>
    </row>
    <row r="95" spans="1:6" x14ac:dyDescent="0.2">
      <c r="B95" s="30" t="s">
        <v>35</v>
      </c>
      <c r="C95" s="30"/>
      <c r="D95" s="59">
        <f>SUM(D67:D94)</f>
        <v>13273833</v>
      </c>
      <c r="E95" s="31">
        <f>SUM(E67:E94)</f>
        <v>39479297</v>
      </c>
      <c r="F95" s="32">
        <f t="shared" si="4"/>
        <v>2.97</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IF(F3="1",SUMIF(Data!A:A,'26'!$A$2,Data!AH:AH),0)</f>
        <v>15819915</v>
      </c>
      <c r="F98" s="20">
        <f>IF(OR(E98=0,E98=0),"",ROUND(E98/$D$105,2))</f>
        <v>1.19</v>
      </c>
    </row>
    <row r="99" spans="2:6" x14ac:dyDescent="0.2">
      <c r="B99" s="190" t="s">
        <v>31</v>
      </c>
      <c r="C99" s="191"/>
      <c r="D99" s="36"/>
      <c r="E99" s="17">
        <f>IF(F3="1",SUMIF(Data!A:A,'26'!$A$2,Data!AI:AI),0)</f>
        <v>9845274</v>
      </c>
      <c r="F99" s="21">
        <f t="shared" ref="F99:F104" si="6">IF(OR(E99=0,E99=0),"",ROUND(E99/$D$105,2))</f>
        <v>0.74</v>
      </c>
    </row>
    <row r="100" spans="2:6" x14ac:dyDescent="0.2">
      <c r="B100" s="190" t="s">
        <v>1089</v>
      </c>
      <c r="C100" s="191"/>
      <c r="D100" s="36"/>
      <c r="E100" s="17">
        <f>IF(F3="1",SUMIF(Data!A:A,'26'!$A$2,Data!AJ:AJ),0)</f>
        <v>4629394</v>
      </c>
      <c r="F100" s="21">
        <f t="shared" si="6"/>
        <v>0.35</v>
      </c>
    </row>
    <row r="101" spans="2:6" x14ac:dyDescent="0.2">
      <c r="B101" s="190" t="s">
        <v>1090</v>
      </c>
      <c r="C101" s="191"/>
      <c r="D101" s="36"/>
      <c r="E101" s="17">
        <f>IF(F3="1",SUMIF(Data!A:A,'26'!$A$2,Data!AK:AK),0)</f>
        <v>10679432</v>
      </c>
      <c r="F101" s="21">
        <f t="shared" si="6"/>
        <v>0.8</v>
      </c>
    </row>
    <row r="102" spans="2:6" x14ac:dyDescent="0.2">
      <c r="B102" s="190" t="s">
        <v>1091</v>
      </c>
      <c r="C102" s="191"/>
      <c r="D102" s="36"/>
      <c r="E102" s="17">
        <f>IF(F3="1",SUMIF(Data!A:A,'26'!$A$2,Data!AL:AL),0)</f>
        <v>0</v>
      </c>
      <c r="F102" s="21" t="str">
        <f t="shared" si="6"/>
        <v/>
      </c>
    </row>
    <row r="103" spans="2:6" x14ac:dyDescent="0.2">
      <c r="B103" s="192" t="s">
        <v>34</v>
      </c>
      <c r="C103" s="193"/>
      <c r="D103" s="36"/>
      <c r="E103" s="17">
        <f>IF(F3="1",SUMIF(Data!A:A,'26'!$A$2,Data!AM:AM),0)</f>
        <v>0</v>
      </c>
      <c r="F103" s="21" t="str">
        <f t="shared" si="6"/>
        <v/>
      </c>
    </row>
    <row r="104" spans="2:6" ht="15.75" customHeight="1" thickBot="1" x14ac:dyDescent="0.25">
      <c r="B104" s="186" t="s">
        <v>29</v>
      </c>
      <c r="C104" s="187"/>
      <c r="D104" s="37"/>
      <c r="E104" s="24">
        <f>IF(F3="1",SUMIF(Data!A:A,'26'!$A$2,Data!Q:Q),0)</f>
        <v>4337467</v>
      </c>
      <c r="F104" s="25">
        <f t="shared" si="6"/>
        <v>0.33</v>
      </c>
    </row>
    <row r="105" spans="2:6" x14ac:dyDescent="0.2">
      <c r="B105" s="30" t="s">
        <v>35</v>
      </c>
      <c r="C105" s="30"/>
      <c r="D105" s="34">
        <f>D95</f>
        <v>13273833</v>
      </c>
      <c r="E105" s="31">
        <f>SUM(E98:E104)</f>
        <v>45311482</v>
      </c>
      <c r="F105" s="32">
        <f>IF($D$105=0,"",ROUND(E105/$D$105,2))</f>
        <v>3.41</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39479297</v>
      </c>
      <c r="D109" s="15">
        <f>IF(F3="1",SUMIF(Data!$A:$A,$A$2,Data!HJ:HJ),0)</f>
        <v>0</v>
      </c>
      <c r="E109" s="15">
        <f>IF(F3="1",SUMIF(Data!$A:$A,$A$2,Data!IN:IN),0)</f>
        <v>0</v>
      </c>
      <c r="F109" s="47">
        <f>SUM(C109:E109)</f>
        <v>39479297</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4337467</v>
      </c>
      <c r="E117" s="52"/>
      <c r="F117" s="49">
        <f>SUM(C117:E117)</f>
        <v>4337467</v>
      </c>
    </row>
    <row r="118" spans="1:6" x14ac:dyDescent="0.2">
      <c r="B118" s="13" t="s">
        <v>35</v>
      </c>
      <c r="C118" s="4">
        <f>SUM(C109:C116)</f>
        <v>39479297</v>
      </c>
      <c r="D118" s="4">
        <f>SUM(D109:D116)</f>
        <v>0</v>
      </c>
      <c r="E118" s="4">
        <f>SUM(E109:E116)</f>
        <v>0</v>
      </c>
      <c r="F118" s="4">
        <f>SUM(F109:F116)</f>
        <v>39479297</v>
      </c>
    </row>
    <row r="119" spans="1:6" ht="15" thickBot="1" x14ac:dyDescent="0.25"/>
    <row r="120" spans="1:6" ht="15" thickBot="1" x14ac:dyDescent="0.25">
      <c r="B120" s="55" t="s">
        <v>934</v>
      </c>
      <c r="C120" s="53"/>
      <c r="D120" s="53"/>
      <c r="E120" s="53">
        <f>IF(F3="1",SUMIF(Data!A:A,'26'!$A$2,Data!AM:AM),0)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382</v>
      </c>
      <c r="B2" s="58" t="str">
        <f>VLOOKUP(A2,Data!A:G,7,0)</f>
        <v>McLennan Community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0</v>
      </c>
      <c r="E5" s="15">
        <f>E36+E67+IFERROR($E$105/$D$105*D5,0)</f>
        <v>0</v>
      </c>
      <c r="F5" s="20" t="str">
        <f>IF(OR(D5=0,E5=0),"",ROUND(E5/D5,2))</f>
        <v/>
      </c>
    </row>
    <row r="6" spans="1:6" x14ac:dyDescent="0.2">
      <c r="A6" s="19">
        <v>2</v>
      </c>
      <c r="B6" s="180" t="s">
        <v>1</v>
      </c>
      <c r="C6" s="181"/>
      <c r="D6" s="14">
        <f t="shared" ref="D6:D32" si="0">D37</f>
        <v>8243</v>
      </c>
      <c r="E6" s="17">
        <f t="shared" ref="E6:E32" si="1">E37+E68+IFERROR($E$105/$D$105*D6,0)</f>
        <v>490538.1990650458</v>
      </c>
      <c r="F6" s="21">
        <f t="shared" ref="F6:F33" si="2">IF(OR(D6=0,E6=0),"",ROUND(E6/D6,2))</f>
        <v>59.51</v>
      </c>
    </row>
    <row r="7" spans="1:6" ht="14.25" customHeight="1" x14ac:dyDescent="0.2">
      <c r="A7" s="19">
        <v>3</v>
      </c>
      <c r="B7" s="180" t="s">
        <v>2</v>
      </c>
      <c r="C7" s="181"/>
      <c r="D7" s="14">
        <f t="shared" si="0"/>
        <v>260743</v>
      </c>
      <c r="E7" s="17">
        <f t="shared" si="1"/>
        <v>1187334.2434571432</v>
      </c>
      <c r="F7" s="21">
        <f t="shared" si="2"/>
        <v>4.55</v>
      </c>
    </row>
    <row r="8" spans="1:6" ht="14.25" customHeight="1" x14ac:dyDescent="0.2">
      <c r="A8" s="19">
        <v>4</v>
      </c>
      <c r="B8" s="180" t="s">
        <v>3</v>
      </c>
      <c r="C8" s="181"/>
      <c r="D8" s="14">
        <f t="shared" si="0"/>
        <v>351396</v>
      </c>
      <c r="E8" s="17">
        <f t="shared" si="1"/>
        <v>1842036.1392285365</v>
      </c>
      <c r="F8" s="21">
        <f t="shared" si="2"/>
        <v>5.24</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27468</v>
      </c>
      <c r="E10" s="17">
        <f t="shared" si="1"/>
        <v>116574.50284103815</v>
      </c>
      <c r="F10" s="21">
        <f t="shared" si="2"/>
        <v>4.24</v>
      </c>
    </row>
    <row r="11" spans="1:6" x14ac:dyDescent="0.2">
      <c r="A11" s="19">
        <v>7</v>
      </c>
      <c r="B11" s="180" t="s">
        <v>6</v>
      </c>
      <c r="C11" s="181"/>
      <c r="D11" s="14">
        <f t="shared" si="0"/>
        <v>127901</v>
      </c>
      <c r="E11" s="17">
        <f t="shared" si="1"/>
        <v>1454602.137282351</v>
      </c>
      <c r="F11" s="21">
        <f t="shared" si="2"/>
        <v>11.37</v>
      </c>
    </row>
    <row r="12" spans="1:6" x14ac:dyDescent="0.2">
      <c r="A12" s="19">
        <v>8</v>
      </c>
      <c r="B12" s="180" t="s">
        <v>7</v>
      </c>
      <c r="C12" s="181"/>
      <c r="D12" s="14">
        <f t="shared" si="0"/>
        <v>8594</v>
      </c>
      <c r="E12" s="17">
        <f t="shared" si="1"/>
        <v>229291.20778418094</v>
      </c>
      <c r="F12" s="21">
        <f t="shared" si="2"/>
        <v>26.68</v>
      </c>
    </row>
    <row r="13" spans="1:6" x14ac:dyDescent="0.2">
      <c r="A13" s="19">
        <v>9</v>
      </c>
      <c r="B13" s="180" t="s">
        <v>8</v>
      </c>
      <c r="C13" s="181"/>
      <c r="D13" s="14">
        <f t="shared" si="0"/>
        <v>215561</v>
      </c>
      <c r="E13" s="17">
        <f t="shared" si="1"/>
        <v>1657695.4943176433</v>
      </c>
      <c r="F13" s="21">
        <f t="shared" si="2"/>
        <v>7.69</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0</v>
      </c>
      <c r="E15" s="17">
        <f t="shared" si="1"/>
        <v>0</v>
      </c>
      <c r="F15" s="21" t="str">
        <f t="shared" si="2"/>
        <v/>
      </c>
    </row>
    <row r="16" spans="1:6" ht="14.25" customHeight="1" x14ac:dyDescent="0.2">
      <c r="A16" s="19">
        <v>12</v>
      </c>
      <c r="B16" s="180" t="s">
        <v>11</v>
      </c>
      <c r="C16" s="181"/>
      <c r="D16" s="14">
        <f t="shared" si="0"/>
        <v>471336</v>
      </c>
      <c r="E16" s="17">
        <f t="shared" si="1"/>
        <v>2726224.9220577963</v>
      </c>
      <c r="F16" s="21">
        <f t="shared" si="2"/>
        <v>5.78</v>
      </c>
    </row>
    <row r="17" spans="1:6" x14ac:dyDescent="0.2">
      <c r="A17" s="19">
        <v>13</v>
      </c>
      <c r="B17" s="180" t="s">
        <v>12</v>
      </c>
      <c r="C17" s="181"/>
      <c r="D17" s="14">
        <f t="shared" si="0"/>
        <v>57856</v>
      </c>
      <c r="E17" s="17">
        <f t="shared" si="1"/>
        <v>277919.92152217496</v>
      </c>
      <c r="F17" s="21">
        <f t="shared" si="2"/>
        <v>4.8</v>
      </c>
    </row>
    <row r="18" spans="1:6" ht="14.25" customHeight="1" x14ac:dyDescent="0.2">
      <c r="A18" s="19">
        <v>14</v>
      </c>
      <c r="B18" s="180" t="s">
        <v>464</v>
      </c>
      <c r="C18" s="181"/>
      <c r="D18" s="14">
        <f t="shared" si="0"/>
        <v>203621</v>
      </c>
      <c r="E18" s="17">
        <f t="shared" si="1"/>
        <v>1806517.0096838148</v>
      </c>
      <c r="F18" s="21">
        <f t="shared" si="2"/>
        <v>8.8699999999999992</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322606</v>
      </c>
      <c r="E20" s="17">
        <f t="shared" si="1"/>
        <v>2001571.5066818097</v>
      </c>
      <c r="F20" s="21">
        <f t="shared" si="2"/>
        <v>6.2</v>
      </c>
    </row>
    <row r="21" spans="1:6" x14ac:dyDescent="0.2">
      <c r="A21" s="19">
        <v>17</v>
      </c>
      <c r="B21" s="180" t="s">
        <v>15</v>
      </c>
      <c r="C21" s="181"/>
      <c r="D21" s="14">
        <f t="shared" si="0"/>
        <v>25064</v>
      </c>
      <c r="E21" s="17">
        <f t="shared" si="1"/>
        <v>181904.77075898426</v>
      </c>
      <c r="F21" s="21">
        <f t="shared" si="2"/>
        <v>7.26</v>
      </c>
    </row>
    <row r="22" spans="1:6" x14ac:dyDescent="0.2">
      <c r="A22" s="19">
        <v>18</v>
      </c>
      <c r="B22" s="180" t="s">
        <v>16</v>
      </c>
      <c r="C22" s="181"/>
      <c r="D22" s="14">
        <f t="shared" si="0"/>
        <v>129904</v>
      </c>
      <c r="E22" s="17">
        <f t="shared" si="1"/>
        <v>614074.6257849941</v>
      </c>
      <c r="F22" s="21">
        <f t="shared" si="2"/>
        <v>4.7300000000000004</v>
      </c>
    </row>
    <row r="23" spans="1:6" x14ac:dyDescent="0.2">
      <c r="A23" s="19">
        <v>19</v>
      </c>
      <c r="B23" s="180" t="s">
        <v>17</v>
      </c>
      <c r="C23" s="181"/>
      <c r="D23" s="14">
        <f t="shared" si="0"/>
        <v>297127</v>
      </c>
      <c r="E23" s="17">
        <f t="shared" si="1"/>
        <v>1401625.3865825376</v>
      </c>
      <c r="F23" s="21">
        <f t="shared" si="2"/>
        <v>4.72</v>
      </c>
    </row>
    <row r="24" spans="1:6" x14ac:dyDescent="0.2">
      <c r="A24" s="19">
        <v>20</v>
      </c>
      <c r="B24" s="180" t="s">
        <v>18</v>
      </c>
      <c r="C24" s="181"/>
      <c r="D24" s="14">
        <f t="shared" si="0"/>
        <v>0</v>
      </c>
      <c r="E24" s="17">
        <f t="shared" si="1"/>
        <v>0</v>
      </c>
      <c r="F24" s="21" t="str">
        <f t="shared" si="2"/>
        <v/>
      </c>
    </row>
    <row r="25" spans="1:6" ht="14.25" customHeight="1" x14ac:dyDescent="0.2">
      <c r="A25" s="19">
        <v>21</v>
      </c>
      <c r="B25" s="180" t="s">
        <v>461</v>
      </c>
      <c r="C25" s="181"/>
      <c r="D25" s="14">
        <f t="shared" si="0"/>
        <v>75390</v>
      </c>
      <c r="E25" s="17">
        <f t="shared" si="1"/>
        <v>178274.52232364446</v>
      </c>
      <c r="F25" s="21">
        <f t="shared" si="2"/>
        <v>2.36</v>
      </c>
    </row>
    <row r="26" spans="1:6" x14ac:dyDescent="0.2">
      <c r="A26" s="19">
        <v>22</v>
      </c>
      <c r="B26" s="180" t="s">
        <v>19</v>
      </c>
      <c r="C26" s="181"/>
      <c r="D26" s="14">
        <f t="shared" si="0"/>
        <v>0</v>
      </c>
      <c r="E26" s="17">
        <f t="shared" si="1"/>
        <v>0</v>
      </c>
      <c r="F26" s="21" t="str">
        <f t="shared" si="2"/>
        <v/>
      </c>
    </row>
    <row r="27" spans="1:6" x14ac:dyDescent="0.2">
      <c r="A27" s="19">
        <v>23</v>
      </c>
      <c r="B27" s="180" t="s">
        <v>20</v>
      </c>
      <c r="C27" s="181"/>
      <c r="D27" s="14">
        <f t="shared" si="0"/>
        <v>110052</v>
      </c>
      <c r="E27" s="17">
        <f t="shared" si="1"/>
        <v>920286.65686114493</v>
      </c>
      <c r="F27" s="21">
        <f t="shared" si="2"/>
        <v>8.36</v>
      </c>
    </row>
    <row r="28" spans="1:6" x14ac:dyDescent="0.2">
      <c r="A28" s="19">
        <v>24</v>
      </c>
      <c r="B28" s="180" t="s">
        <v>21</v>
      </c>
      <c r="C28" s="181"/>
      <c r="D28" s="14">
        <f t="shared" si="0"/>
        <v>113888</v>
      </c>
      <c r="E28" s="17">
        <f t="shared" si="1"/>
        <v>828610.63534149388</v>
      </c>
      <c r="F28" s="21">
        <f t="shared" si="2"/>
        <v>7.28</v>
      </c>
    </row>
    <row r="29" spans="1:6" x14ac:dyDescent="0.2">
      <c r="A29" s="19">
        <v>25</v>
      </c>
      <c r="B29" s="180" t="s">
        <v>22</v>
      </c>
      <c r="C29" s="181"/>
      <c r="D29" s="14">
        <f t="shared" si="0"/>
        <v>498864</v>
      </c>
      <c r="E29" s="17">
        <f t="shared" si="1"/>
        <v>1968008.3067311656</v>
      </c>
      <c r="F29" s="21">
        <f t="shared" si="2"/>
        <v>3.94</v>
      </c>
    </row>
    <row r="30" spans="1:6" x14ac:dyDescent="0.2">
      <c r="A30" s="19">
        <v>26</v>
      </c>
      <c r="B30" s="180" t="s">
        <v>23</v>
      </c>
      <c r="C30" s="181"/>
      <c r="D30" s="14">
        <f t="shared" si="0"/>
        <v>260336</v>
      </c>
      <c r="E30" s="17">
        <f t="shared" si="1"/>
        <v>1643482.8116944993</v>
      </c>
      <c r="F30" s="21">
        <f t="shared" si="2"/>
        <v>6.31</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3565950</v>
      </c>
      <c r="E33" s="31">
        <f>SUM(E5:E32)</f>
        <v>21526572.999999993</v>
      </c>
      <c r="F33" s="32">
        <f t="shared" si="2"/>
        <v>6.04</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IF(F3="1",SUMIF(Data!A:A,'27'!$A$2,Data!CU:CU),0)</f>
        <v>0</v>
      </c>
      <c r="E36" s="15">
        <f>IF(F3="1",SUMIF(Data!$A:$A,$A$2,Data!IO:IO),0)</f>
        <v>0</v>
      </c>
      <c r="F36" s="20" t="str">
        <f t="shared" ref="F36:F64" si="3">IF(OR(D36=0,E36=0),"",ROUND(E36/D36,2))</f>
        <v/>
      </c>
    </row>
    <row r="37" spans="1:6" x14ac:dyDescent="0.2">
      <c r="A37" s="19">
        <v>2</v>
      </c>
      <c r="B37" s="180" t="s">
        <v>1</v>
      </c>
      <c r="C37" s="181"/>
      <c r="D37" s="14">
        <f>IF(F3="1",SUMIF(Data!A:A,'27'!$A$2,Data!CV:CV),0)</f>
        <v>8243</v>
      </c>
      <c r="E37" s="17">
        <f>IF(F3="1",SUMIF(Data!$A:$A,$A$2,Data!IP:IP),0)</f>
        <v>58921</v>
      </c>
      <c r="F37" s="21">
        <f t="shared" si="3"/>
        <v>7.15</v>
      </c>
    </row>
    <row r="38" spans="1:6" ht="14.25" customHeight="1" x14ac:dyDescent="0.2">
      <c r="A38" s="19">
        <v>3</v>
      </c>
      <c r="B38" s="180" t="s">
        <v>2</v>
      </c>
      <c r="C38" s="181"/>
      <c r="D38" s="14">
        <f>IF(F3="1",SUMIF(Data!A:A,'27'!$A$2,Data!CW:CW),0)</f>
        <v>260743</v>
      </c>
      <c r="E38" s="17">
        <f>IF($F$3="1",SUMIF(Data!$A:$A,$A$2,Data!IQ:IQ),0)</f>
        <v>44990</v>
      </c>
      <c r="F38" s="21">
        <f t="shared" si="3"/>
        <v>0.17</v>
      </c>
    </row>
    <row r="39" spans="1:6" ht="14.25" customHeight="1" x14ac:dyDescent="0.2">
      <c r="A39" s="19">
        <v>4</v>
      </c>
      <c r="B39" s="180" t="s">
        <v>3</v>
      </c>
      <c r="C39" s="181"/>
      <c r="D39" s="14">
        <f>IF(F3="1",SUMIF(Data!A:A,'27'!$A$2,Data!CX:CX),0)</f>
        <v>351396</v>
      </c>
      <c r="E39" s="17">
        <f>IF($F$3="1",SUMIF(Data!$A:$A,$A$2,Data!IR:IR),0)</f>
        <v>231739</v>
      </c>
      <c r="F39" s="21">
        <f t="shared" si="3"/>
        <v>0.66</v>
      </c>
    </row>
    <row r="40" spans="1:6" x14ac:dyDescent="0.2">
      <c r="A40" s="19">
        <v>5</v>
      </c>
      <c r="B40" s="180" t="s">
        <v>4</v>
      </c>
      <c r="C40" s="181"/>
      <c r="D40" s="14">
        <f>IF(F3="1",SUMIF(Data!A:A,'27'!$A$2,Data!CY:CY),0)</f>
        <v>0</v>
      </c>
      <c r="E40" s="17">
        <f>IF($F$3="1",SUMIF(Data!$A:$A,$A$2,Data!IS:IS),0)</f>
        <v>0</v>
      </c>
      <c r="F40" s="21" t="str">
        <f t="shared" si="3"/>
        <v/>
      </c>
    </row>
    <row r="41" spans="1:6" x14ac:dyDescent="0.2">
      <c r="A41" s="19">
        <v>6</v>
      </c>
      <c r="B41" s="180" t="s">
        <v>5</v>
      </c>
      <c r="C41" s="181"/>
      <c r="D41" s="14">
        <f>IF(F3="1",SUMIF(Data!A:A,'27'!$A$2,Data!CZ:CZ),0)</f>
        <v>27468</v>
      </c>
      <c r="E41" s="17">
        <f>IF($F$3="1",SUMIF(Data!$A:$A,$A$2,Data!IT:IT),0)</f>
        <v>6965</v>
      </c>
      <c r="F41" s="21">
        <f t="shared" si="3"/>
        <v>0.25</v>
      </c>
    </row>
    <row r="42" spans="1:6" x14ac:dyDescent="0.2">
      <c r="A42" s="19">
        <v>7</v>
      </c>
      <c r="B42" s="180" t="s">
        <v>6</v>
      </c>
      <c r="C42" s="181"/>
      <c r="D42" s="14">
        <f>IF(F3="1",SUMIF(Data!A:A,'27'!$A$2,Data!DA:DA),0)</f>
        <v>127901</v>
      </c>
      <c r="E42" s="17">
        <f>IF($F$3="1",SUMIF(Data!$A:$A,$A$2,Data!IU:IU),0)</f>
        <v>254954</v>
      </c>
      <c r="F42" s="21">
        <f t="shared" si="3"/>
        <v>1.99</v>
      </c>
    </row>
    <row r="43" spans="1:6" x14ac:dyDescent="0.2">
      <c r="A43" s="19">
        <v>8</v>
      </c>
      <c r="B43" s="180" t="s">
        <v>7</v>
      </c>
      <c r="C43" s="181"/>
      <c r="D43" s="14">
        <f>IF(F3="1",SUMIF(Data!A:A,'27'!$A$2,Data!DB:DB),0)</f>
        <v>8594</v>
      </c>
      <c r="E43" s="17">
        <f>IF($F$3="1",SUMIF(Data!$A:$A,$A$2,Data!IV:IV),0)</f>
        <v>137485</v>
      </c>
      <c r="F43" s="21">
        <f t="shared" si="3"/>
        <v>16</v>
      </c>
    </row>
    <row r="44" spans="1:6" x14ac:dyDescent="0.2">
      <c r="A44" s="19">
        <v>9</v>
      </c>
      <c r="B44" s="180" t="s">
        <v>8</v>
      </c>
      <c r="C44" s="181"/>
      <c r="D44" s="14">
        <f>IF(F3="1",SUMIF(Data!A:A,'27'!$A$2,Data!DC:DC),0)</f>
        <v>215561</v>
      </c>
      <c r="E44" s="17">
        <f>IF($F$3="1",SUMIF(Data!$A:$A,$A$2,Data!IW:IW),0)</f>
        <v>683927</v>
      </c>
      <c r="F44" s="21">
        <f t="shared" si="3"/>
        <v>3.17</v>
      </c>
    </row>
    <row r="45" spans="1:6" x14ac:dyDescent="0.2">
      <c r="A45" s="19">
        <v>10</v>
      </c>
      <c r="B45" s="180" t="s">
        <v>9</v>
      </c>
      <c r="C45" s="181"/>
      <c r="D45" s="14">
        <f>IF(F3="1",SUMIF(Data!A:A,'27'!$A$2,Data!DD:DD),0)</f>
        <v>0</v>
      </c>
      <c r="E45" s="17">
        <f>IF($F$3="1",SUMIF(Data!$A:$A,$A$2,Data!IX:IX),0)</f>
        <v>0</v>
      </c>
      <c r="F45" s="21" t="str">
        <f t="shared" si="3"/>
        <v/>
      </c>
    </row>
    <row r="46" spans="1:6" x14ac:dyDescent="0.2">
      <c r="A46" s="19">
        <v>11</v>
      </c>
      <c r="B46" s="180" t="s">
        <v>10</v>
      </c>
      <c r="C46" s="181"/>
      <c r="D46" s="14">
        <f>IF(F3="1",SUMIF(Data!A:A,'27'!$A$2,Data!DE:DE),0)</f>
        <v>0</v>
      </c>
      <c r="E46" s="17">
        <f>IF($F$3="1",SUMIF(Data!$A:$A,$A$2,Data!IY:IY),0)</f>
        <v>0</v>
      </c>
      <c r="F46" s="21" t="str">
        <f t="shared" si="3"/>
        <v/>
      </c>
    </row>
    <row r="47" spans="1:6" ht="14.25" customHeight="1" x14ac:dyDescent="0.2">
      <c r="A47" s="19">
        <v>12</v>
      </c>
      <c r="B47" s="180" t="s">
        <v>11</v>
      </c>
      <c r="C47" s="181"/>
      <c r="D47" s="14">
        <f>IF(F3="1",SUMIF(Data!A:A,'27'!$A$2,Data!DF:DF),0)</f>
        <v>471336</v>
      </c>
      <c r="E47" s="17">
        <f>IF($F$3="1",SUMIF(Data!$A:$A,$A$2,Data!IZ:IZ),0)</f>
        <v>122391</v>
      </c>
      <c r="F47" s="21">
        <f t="shared" si="3"/>
        <v>0.26</v>
      </c>
    </row>
    <row r="48" spans="1:6" x14ac:dyDescent="0.2">
      <c r="A48" s="19">
        <v>13</v>
      </c>
      <c r="B48" s="180" t="s">
        <v>12</v>
      </c>
      <c r="C48" s="181"/>
      <c r="D48" s="14">
        <f>IF(F3="1",SUMIF(Data!A:A,'27'!$A$2,Data!DG:DG),0)</f>
        <v>57856</v>
      </c>
      <c r="E48" s="17">
        <f>IF($F$3="1",SUMIF(Data!$A:$A,$A$2,Data!JA:JA),0)</f>
        <v>25269</v>
      </c>
      <c r="F48" s="21">
        <f t="shared" si="3"/>
        <v>0.44</v>
      </c>
    </row>
    <row r="49" spans="1:6" ht="14.25" customHeight="1" x14ac:dyDescent="0.2">
      <c r="A49" s="19">
        <v>14</v>
      </c>
      <c r="B49" s="180" t="s">
        <v>464</v>
      </c>
      <c r="C49" s="181"/>
      <c r="D49" s="14">
        <f>IF(F3="1",SUMIF(Data!A:A,'27'!$A$2,Data!DH:DH),0)</f>
        <v>203621</v>
      </c>
      <c r="E49" s="17">
        <f>IF($F$3="1",SUMIF(Data!$A:$A,$A$2,Data!JB:JB),0)</f>
        <v>165900</v>
      </c>
      <c r="F49" s="21">
        <f t="shared" si="3"/>
        <v>0.81</v>
      </c>
    </row>
    <row r="50" spans="1:6" x14ac:dyDescent="0.2">
      <c r="A50" s="19">
        <v>15</v>
      </c>
      <c r="B50" s="180" t="s">
        <v>13</v>
      </c>
      <c r="C50" s="181"/>
      <c r="D50" s="14">
        <f>IF(F3="1",SUMIF(Data!A:A,'27'!$A$2,Data!DI:DI),0)</f>
        <v>0</v>
      </c>
      <c r="E50" s="17">
        <f>IF($F$3="1",SUMIF(Data!$A:$A,$A$2,Data!JC:JC),0)</f>
        <v>0</v>
      </c>
      <c r="F50" s="21" t="str">
        <f t="shared" si="3"/>
        <v/>
      </c>
    </row>
    <row r="51" spans="1:6" x14ac:dyDescent="0.2">
      <c r="A51" s="19">
        <v>16</v>
      </c>
      <c r="B51" s="180" t="s">
        <v>14</v>
      </c>
      <c r="C51" s="181"/>
      <c r="D51" s="14">
        <f>IF(F3="1",SUMIF(Data!A:A,'27'!$A$2,Data!DJ:DJ),0)</f>
        <v>322606</v>
      </c>
      <c r="E51" s="17">
        <f>IF($F$3="1",SUMIF(Data!$A:$A,$A$2,Data!JD:JD),0)</f>
        <v>270066</v>
      </c>
      <c r="F51" s="21">
        <f t="shared" si="3"/>
        <v>0.84</v>
      </c>
    </row>
    <row r="52" spans="1:6" x14ac:dyDescent="0.2">
      <c r="A52" s="19">
        <v>17</v>
      </c>
      <c r="B52" s="180" t="s">
        <v>15</v>
      </c>
      <c r="C52" s="181"/>
      <c r="D52" s="14">
        <f>IF(F3="1",SUMIF(Data!A:A,'27'!$A$2,Data!DK:DK),0)</f>
        <v>25064</v>
      </c>
      <c r="E52" s="17">
        <f>IF($F$3="1",SUMIF(Data!$A:$A,$A$2,Data!JE:JE),0)</f>
        <v>12825</v>
      </c>
      <c r="F52" s="21">
        <f t="shared" si="3"/>
        <v>0.51</v>
      </c>
    </row>
    <row r="53" spans="1:6" x14ac:dyDescent="0.2">
      <c r="A53" s="19">
        <v>18</v>
      </c>
      <c r="B53" s="180" t="s">
        <v>16</v>
      </c>
      <c r="C53" s="181"/>
      <c r="D53" s="14">
        <f>IF(F3="1",SUMIF(Data!A:A,'27'!$A$2,Data!DL:DL),0)</f>
        <v>129904</v>
      </c>
      <c r="E53" s="17">
        <f>IF($F$3="1",SUMIF(Data!$A:$A,$A$2,Data!JF:JF),0)</f>
        <v>16282</v>
      </c>
      <c r="F53" s="21">
        <f t="shared" si="3"/>
        <v>0.13</v>
      </c>
    </row>
    <row r="54" spans="1:6" x14ac:dyDescent="0.2">
      <c r="A54" s="19">
        <v>19</v>
      </c>
      <c r="B54" s="180" t="s">
        <v>17</v>
      </c>
      <c r="C54" s="181"/>
      <c r="D54" s="14">
        <f>IF(F3="1",SUMIF(Data!A:A,'27'!$A$2,Data!DM:DM),0)</f>
        <v>297127</v>
      </c>
      <c r="E54" s="17">
        <f>IF($F$3="1",SUMIF(Data!$A:$A,$A$2,Data!JG:JG),0)</f>
        <v>48925</v>
      </c>
      <c r="F54" s="21">
        <f t="shared" si="3"/>
        <v>0.16</v>
      </c>
    </row>
    <row r="55" spans="1:6" x14ac:dyDescent="0.2">
      <c r="A55" s="19">
        <v>20</v>
      </c>
      <c r="B55" s="180" t="s">
        <v>18</v>
      </c>
      <c r="C55" s="181"/>
      <c r="D55" s="14">
        <f>IF(F3="1",SUMIF(Data!A:A,'27'!$A$2,Data!DN:DN),0)</f>
        <v>0</v>
      </c>
      <c r="E55" s="17">
        <f>IF($F$3="1",SUMIF(Data!$A:$A,$A$2,Data!JH:JH),0)</f>
        <v>0</v>
      </c>
      <c r="F55" s="21" t="str">
        <f t="shared" si="3"/>
        <v/>
      </c>
    </row>
    <row r="56" spans="1:6" ht="14.25" customHeight="1" x14ac:dyDescent="0.2">
      <c r="A56" s="19">
        <v>21</v>
      </c>
      <c r="B56" s="180" t="s">
        <v>461</v>
      </c>
      <c r="C56" s="181"/>
      <c r="D56" s="14">
        <f>IF(F3="1",SUMIF(Data!A:A,'27'!$A$2,Data!DO:DO),0)</f>
        <v>75390</v>
      </c>
      <c r="E56" s="17">
        <f>IF($F$3="1",SUMIF(Data!$A:$A,$A$2,Data!JI:JI),0)</f>
        <v>0</v>
      </c>
      <c r="F56" s="21" t="str">
        <f t="shared" si="3"/>
        <v/>
      </c>
    </row>
    <row r="57" spans="1:6" x14ac:dyDescent="0.2">
      <c r="A57" s="19">
        <v>22</v>
      </c>
      <c r="B57" s="180" t="s">
        <v>19</v>
      </c>
      <c r="C57" s="181"/>
      <c r="D57" s="14">
        <f>IF(F3="1",SUMIF(Data!A:A,'27'!$A$2,Data!DP:DP),0)</f>
        <v>0</v>
      </c>
      <c r="E57" s="17">
        <f>IF($F$3="1",SUMIF(Data!$A:$A,$A$2,Data!JJ:JJ),0)</f>
        <v>0</v>
      </c>
      <c r="F57" s="21" t="str">
        <f t="shared" si="3"/>
        <v/>
      </c>
    </row>
    <row r="58" spans="1:6" x14ac:dyDescent="0.2">
      <c r="A58" s="19">
        <v>23</v>
      </c>
      <c r="B58" s="180" t="s">
        <v>20</v>
      </c>
      <c r="C58" s="181"/>
      <c r="D58" s="14">
        <f>IF(F3="1",SUMIF(Data!A:A,'27'!$A$2,Data!DQ:DQ),0)</f>
        <v>110052</v>
      </c>
      <c r="E58" s="17">
        <f>IF($F$3="1",SUMIF(Data!$A:$A,$A$2,Data!JK:JK),0)</f>
        <v>81839</v>
      </c>
      <c r="F58" s="21">
        <f t="shared" si="3"/>
        <v>0.74</v>
      </c>
    </row>
    <row r="59" spans="1:6" x14ac:dyDescent="0.2">
      <c r="A59" s="19">
        <v>24</v>
      </c>
      <c r="B59" s="180" t="s">
        <v>21</v>
      </c>
      <c r="C59" s="181"/>
      <c r="D59" s="14">
        <f>IF(F3="1",SUMIF(Data!A:A,'27'!$A$2,Data!DR:DR),0)</f>
        <v>113888</v>
      </c>
      <c r="E59" s="17">
        <f>IF($F$3="1",SUMIF(Data!$A:$A,$A$2,Data!JL:JL),0)</f>
        <v>439884</v>
      </c>
      <c r="F59" s="21">
        <f t="shared" si="3"/>
        <v>3.86</v>
      </c>
    </row>
    <row r="60" spans="1:6" x14ac:dyDescent="0.2">
      <c r="A60" s="19">
        <v>25</v>
      </c>
      <c r="B60" s="180" t="s">
        <v>22</v>
      </c>
      <c r="C60" s="181"/>
      <c r="D60" s="14">
        <f>IF(F3="1",SUMIF(Data!A:A,'27'!$A$2,Data!DS:DS),0)</f>
        <v>498864</v>
      </c>
      <c r="E60" s="17">
        <f>IF($F$3="1",SUMIF(Data!$A:$A,$A$2,Data!JM:JM),0)</f>
        <v>52856</v>
      </c>
      <c r="F60" s="21">
        <f t="shared" si="3"/>
        <v>0.11</v>
      </c>
    </row>
    <row r="61" spans="1:6" x14ac:dyDescent="0.2">
      <c r="A61" s="19">
        <v>26</v>
      </c>
      <c r="B61" s="180" t="s">
        <v>23</v>
      </c>
      <c r="C61" s="181"/>
      <c r="D61" s="14">
        <f>IF(F3="1",SUMIF(Data!A:A,'27'!$A$2,Data!DT:DT),0)</f>
        <v>260336</v>
      </c>
      <c r="E61" s="17">
        <f>IF($F$3="1",SUMIF(Data!$A:$A,$A$2,Data!JN:JN),0)</f>
        <v>161534</v>
      </c>
      <c r="F61" s="21">
        <f t="shared" si="3"/>
        <v>0.62</v>
      </c>
    </row>
    <row r="62" spans="1:6" x14ac:dyDescent="0.2">
      <c r="A62" s="19">
        <v>28</v>
      </c>
      <c r="B62" s="180" t="s">
        <v>24</v>
      </c>
      <c r="C62" s="181"/>
      <c r="D62" s="14">
        <f>IF(F3="1",SUMIF(Data!A:A,'27'!$A$2,Data!DV:DV),0)</f>
        <v>0</v>
      </c>
      <c r="E62" s="17">
        <f>IF($F$3="1",SUMIF(Data!$A:$A,$A$2,Data!JP:JP),0)</f>
        <v>0</v>
      </c>
      <c r="F62" s="21" t="str">
        <f t="shared" si="3"/>
        <v/>
      </c>
    </row>
    <row r="63" spans="1:6" ht="15.75" customHeight="1" thickBot="1" x14ac:dyDescent="0.25">
      <c r="A63" s="22">
        <v>29</v>
      </c>
      <c r="B63" s="184" t="s">
        <v>25</v>
      </c>
      <c r="C63" s="185"/>
      <c r="D63" s="23">
        <f>IF(F3="1",SUMIF(Data!A:A,'27'!$A$2,Data!DW:DW),0)</f>
        <v>0</v>
      </c>
      <c r="E63" s="24">
        <f>IF($F$3="1",SUMIF(Data!$A:$A,$A$2,Data!JQ:JQ),0)</f>
        <v>0</v>
      </c>
      <c r="F63" s="25" t="str">
        <f t="shared" si="3"/>
        <v/>
      </c>
    </row>
    <row r="64" spans="1:6" x14ac:dyDescent="0.2">
      <c r="B64" s="30" t="s">
        <v>35</v>
      </c>
      <c r="C64" s="30"/>
      <c r="D64" s="59">
        <f>SUM(D36:D63)</f>
        <v>3565950</v>
      </c>
      <c r="E64" s="31">
        <f>SUM(E36:E63)</f>
        <v>2816752</v>
      </c>
      <c r="F64" s="32">
        <f t="shared" si="3"/>
        <v>0.79</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0</v>
      </c>
      <c r="E67" s="15">
        <f>IF(F3="1",SUMIF(Data!A:A,'27'!$A$2,Data!DY:DY),0)</f>
        <v>0</v>
      </c>
      <c r="F67" s="20" t="str">
        <f t="shared" ref="F67:F95" si="4">IF(OR(D67=0,E67=0),"",ROUND(E67/D67,2))</f>
        <v/>
      </c>
    </row>
    <row r="68" spans="1:6" x14ac:dyDescent="0.2">
      <c r="A68" s="19">
        <v>2</v>
      </c>
      <c r="B68" s="180" t="s">
        <v>1</v>
      </c>
      <c r="C68" s="181"/>
      <c r="D68" s="14">
        <f t="shared" ref="D68:D94" si="5">D37</f>
        <v>8243</v>
      </c>
      <c r="E68" s="17">
        <f>IF(F3="1",SUMIF(Data!A:A,'27'!$A$2,Data!DZ:DZ),0)</f>
        <v>412125</v>
      </c>
      <c r="F68" s="21">
        <f t="shared" si="4"/>
        <v>50</v>
      </c>
    </row>
    <row r="69" spans="1:6" ht="14.25" customHeight="1" x14ac:dyDescent="0.2">
      <c r="A69" s="19">
        <v>3</v>
      </c>
      <c r="B69" s="180" t="s">
        <v>2</v>
      </c>
      <c r="C69" s="181"/>
      <c r="D69" s="14">
        <f t="shared" si="5"/>
        <v>260743</v>
      </c>
      <c r="E69" s="17">
        <f>IF(F3="1",SUMIF(Data!A:A,'27'!$A$2,Data!EA:EA),0)</f>
        <v>525766</v>
      </c>
      <c r="F69" s="21">
        <f t="shared" si="4"/>
        <v>2.02</v>
      </c>
    </row>
    <row r="70" spans="1:6" ht="14.25" customHeight="1" x14ac:dyDescent="0.2">
      <c r="A70" s="19">
        <v>4</v>
      </c>
      <c r="B70" s="180" t="s">
        <v>3</v>
      </c>
      <c r="C70" s="181"/>
      <c r="D70" s="14">
        <f t="shared" si="5"/>
        <v>351396</v>
      </c>
      <c r="E70" s="17">
        <f>IF(F3="1",SUMIF(Data!A:A,'27'!$A$2,Data!EB:EB),0)</f>
        <v>779352</v>
      </c>
      <c r="F70" s="21">
        <f t="shared" si="4"/>
        <v>2.2200000000000002</v>
      </c>
    </row>
    <row r="71" spans="1:6" x14ac:dyDescent="0.2">
      <c r="A71" s="19">
        <v>5</v>
      </c>
      <c r="B71" s="180" t="s">
        <v>4</v>
      </c>
      <c r="C71" s="181"/>
      <c r="D71" s="14">
        <f t="shared" si="5"/>
        <v>0</v>
      </c>
      <c r="E71" s="17">
        <f>IF(F3="1",SUMIF(Data!A:A,'27'!$A$2,Data!EC:EC),0)</f>
        <v>0</v>
      </c>
      <c r="F71" s="21" t="str">
        <f t="shared" si="4"/>
        <v/>
      </c>
    </row>
    <row r="72" spans="1:6" x14ac:dyDescent="0.2">
      <c r="A72" s="19">
        <v>6</v>
      </c>
      <c r="B72" s="180" t="s">
        <v>5</v>
      </c>
      <c r="C72" s="181"/>
      <c r="D72" s="14">
        <f t="shared" si="5"/>
        <v>27468</v>
      </c>
      <c r="E72" s="17">
        <f>IF(F3="1",SUMIF(Data!A:A,'27'!$A$2,Data!ED:ED),0)</f>
        <v>44656</v>
      </c>
      <c r="F72" s="21">
        <f t="shared" si="4"/>
        <v>1.63</v>
      </c>
    </row>
    <row r="73" spans="1:6" x14ac:dyDescent="0.2">
      <c r="A73" s="19">
        <v>7</v>
      </c>
      <c r="B73" s="180" t="s">
        <v>6</v>
      </c>
      <c r="C73" s="181"/>
      <c r="D73" s="14">
        <f t="shared" si="5"/>
        <v>127901</v>
      </c>
      <c r="E73" s="17">
        <f>IF(F3="1",SUMIF(Data!A:A,'27'!$A$2,Data!EE:EE),0)</f>
        <v>897201</v>
      </c>
      <c r="F73" s="21">
        <f t="shared" si="4"/>
        <v>7.01</v>
      </c>
    </row>
    <row r="74" spans="1:6" x14ac:dyDescent="0.2">
      <c r="A74" s="19">
        <v>8</v>
      </c>
      <c r="B74" s="180" t="s">
        <v>7</v>
      </c>
      <c r="C74" s="181"/>
      <c r="D74" s="14">
        <f t="shared" si="5"/>
        <v>8594</v>
      </c>
      <c r="E74" s="17">
        <f>IF(F3="1",SUMIF(Data!A:A,'27'!$A$2,Data!EF:EF),0)</f>
        <v>71484</v>
      </c>
      <c r="F74" s="21">
        <f t="shared" si="4"/>
        <v>8.32</v>
      </c>
    </row>
    <row r="75" spans="1:6" x14ac:dyDescent="0.2">
      <c r="A75" s="19">
        <v>9</v>
      </c>
      <c r="B75" s="180" t="s">
        <v>8</v>
      </c>
      <c r="C75" s="181"/>
      <c r="D75" s="14">
        <f t="shared" si="5"/>
        <v>215561</v>
      </c>
      <c r="E75" s="17">
        <f>IF(F3="1",SUMIF(Data!A:A,'27'!$A$2,Data!EG:EG),0)</f>
        <v>464032</v>
      </c>
      <c r="F75" s="21">
        <f t="shared" si="4"/>
        <v>2.15</v>
      </c>
    </row>
    <row r="76" spans="1:6" x14ac:dyDescent="0.2">
      <c r="A76" s="19">
        <v>10</v>
      </c>
      <c r="B76" s="180" t="s">
        <v>9</v>
      </c>
      <c r="C76" s="181"/>
      <c r="D76" s="14">
        <f t="shared" si="5"/>
        <v>0</v>
      </c>
      <c r="E76" s="17">
        <f>IF(F3="1",SUMIF(Data!A:A,'27'!$A$2,Data!EH:EH),0)</f>
        <v>0</v>
      </c>
      <c r="F76" s="21" t="str">
        <f t="shared" si="4"/>
        <v/>
      </c>
    </row>
    <row r="77" spans="1:6" x14ac:dyDescent="0.2">
      <c r="A77" s="19">
        <v>11</v>
      </c>
      <c r="B77" s="180" t="s">
        <v>10</v>
      </c>
      <c r="C77" s="181"/>
      <c r="D77" s="14">
        <f t="shared" si="5"/>
        <v>0</v>
      </c>
      <c r="E77" s="17">
        <f>IF(F3="1",SUMIF(Data!A:A,'27'!$A$2,Data!EI:EI),0)</f>
        <v>0</v>
      </c>
      <c r="F77" s="21" t="str">
        <f t="shared" si="4"/>
        <v/>
      </c>
    </row>
    <row r="78" spans="1:6" ht="14.25" customHeight="1" x14ac:dyDescent="0.2">
      <c r="A78" s="19">
        <v>12</v>
      </c>
      <c r="B78" s="180" t="s">
        <v>11</v>
      </c>
      <c r="C78" s="181"/>
      <c r="D78" s="14">
        <f t="shared" si="5"/>
        <v>471336</v>
      </c>
      <c r="E78" s="17">
        <f>IF(F3="1",SUMIF(Data!A:A,'27'!$A$2,Data!EJ:EJ),0)</f>
        <v>1489267</v>
      </c>
      <c r="F78" s="21">
        <f t="shared" si="4"/>
        <v>3.16</v>
      </c>
    </row>
    <row r="79" spans="1:6" x14ac:dyDescent="0.2">
      <c r="A79" s="19">
        <v>13</v>
      </c>
      <c r="B79" s="180" t="s">
        <v>12</v>
      </c>
      <c r="C79" s="181"/>
      <c r="D79" s="14">
        <f t="shared" si="5"/>
        <v>57856</v>
      </c>
      <c r="E79" s="17">
        <f>IF(F3="1",SUMIF(Data!A:A,'27'!$A$2,Data!EK:EK),0)</f>
        <v>115839</v>
      </c>
      <c r="F79" s="21">
        <f t="shared" si="4"/>
        <v>2</v>
      </c>
    </row>
    <row r="80" spans="1:6" ht="14.25" customHeight="1" x14ac:dyDescent="0.2">
      <c r="A80" s="19">
        <v>14</v>
      </c>
      <c r="B80" s="180" t="s">
        <v>464</v>
      </c>
      <c r="C80" s="181"/>
      <c r="D80" s="14">
        <f t="shared" si="5"/>
        <v>203621</v>
      </c>
      <c r="E80" s="17">
        <f>IF(F3="1",SUMIF(Data!A:A,'27'!$A$2,Data!EL:EL),0)</f>
        <v>1159115</v>
      </c>
      <c r="F80" s="21">
        <f t="shared" si="4"/>
        <v>5.69</v>
      </c>
    </row>
    <row r="81" spans="1:6" x14ac:dyDescent="0.2">
      <c r="A81" s="19">
        <v>15</v>
      </c>
      <c r="B81" s="180" t="s">
        <v>13</v>
      </c>
      <c r="C81" s="181"/>
      <c r="D81" s="14">
        <f t="shared" si="5"/>
        <v>0</v>
      </c>
      <c r="E81" s="17">
        <f>IF(F3="1",SUMIF(Data!A:A,'27'!$A$2,Data!EM:EM),0)</f>
        <v>0</v>
      </c>
      <c r="F81" s="21" t="str">
        <f t="shared" si="4"/>
        <v/>
      </c>
    </row>
    <row r="82" spans="1:6" x14ac:dyDescent="0.2">
      <c r="A82" s="19">
        <v>16</v>
      </c>
      <c r="B82" s="180" t="s">
        <v>14</v>
      </c>
      <c r="C82" s="181"/>
      <c r="D82" s="14">
        <f t="shared" si="5"/>
        <v>322606</v>
      </c>
      <c r="E82" s="17">
        <f>IF(F3="1",SUMIF(Data!A:A,'27'!$A$2,Data!EN:EN),0)</f>
        <v>968640</v>
      </c>
      <c r="F82" s="21">
        <f t="shared" si="4"/>
        <v>3</v>
      </c>
    </row>
    <row r="83" spans="1:6" x14ac:dyDescent="0.2">
      <c r="A83" s="19">
        <v>17</v>
      </c>
      <c r="B83" s="180" t="s">
        <v>15</v>
      </c>
      <c r="C83" s="181"/>
      <c r="D83" s="14">
        <f t="shared" si="5"/>
        <v>25064</v>
      </c>
      <c r="E83" s="17">
        <f>IF(F3="1",SUMIF(Data!A:A,'27'!$A$2,Data!EO:EO),0)</f>
        <v>109811</v>
      </c>
      <c r="F83" s="21">
        <f t="shared" si="4"/>
        <v>4.38</v>
      </c>
    </row>
    <row r="84" spans="1:6" x14ac:dyDescent="0.2">
      <c r="A84" s="19">
        <v>18</v>
      </c>
      <c r="B84" s="180" t="s">
        <v>16</v>
      </c>
      <c r="C84" s="181"/>
      <c r="D84" s="14">
        <f t="shared" si="5"/>
        <v>129904</v>
      </c>
      <c r="E84" s="17">
        <f>IF(F3="1",SUMIF(Data!A:A,'27'!$A$2,Data!EP:EP),0)</f>
        <v>290609</v>
      </c>
      <c r="F84" s="21">
        <f t="shared" si="4"/>
        <v>2.2400000000000002</v>
      </c>
    </row>
    <row r="85" spans="1:6" x14ac:dyDescent="0.2">
      <c r="A85" s="19">
        <v>19</v>
      </c>
      <c r="B85" s="180" t="s">
        <v>17</v>
      </c>
      <c r="C85" s="181"/>
      <c r="D85" s="14">
        <f t="shared" si="5"/>
        <v>297127</v>
      </c>
      <c r="E85" s="17">
        <f>IF(F3="1",SUMIF(Data!A:A,'27'!$A$2,Data!EQ:EQ),0)</f>
        <v>650085</v>
      </c>
      <c r="F85" s="21">
        <f t="shared" si="4"/>
        <v>2.19</v>
      </c>
    </row>
    <row r="86" spans="1:6" x14ac:dyDescent="0.2">
      <c r="A86" s="19">
        <v>20</v>
      </c>
      <c r="B86" s="180" t="s">
        <v>18</v>
      </c>
      <c r="C86" s="181"/>
      <c r="D86" s="14">
        <f t="shared" si="5"/>
        <v>0</v>
      </c>
      <c r="E86" s="17">
        <f>IF(F3="1",SUMIF(Data!A:A,'27'!$A$2,Data!ER:ER),0)</f>
        <v>0</v>
      </c>
      <c r="F86" s="21" t="str">
        <f t="shared" si="4"/>
        <v/>
      </c>
    </row>
    <row r="87" spans="1:6" ht="14.25" customHeight="1" x14ac:dyDescent="0.2">
      <c r="A87" s="19">
        <v>21</v>
      </c>
      <c r="B87" s="180" t="s">
        <v>461</v>
      </c>
      <c r="C87" s="181"/>
      <c r="D87" s="14">
        <f t="shared" si="5"/>
        <v>75390</v>
      </c>
      <c r="E87" s="17">
        <f>IF(F3="1",SUMIF(Data!A:A,'27'!$A$2,Data!ES:ES),0)</f>
        <v>0</v>
      </c>
      <c r="F87" s="21" t="str">
        <f t="shared" si="4"/>
        <v/>
      </c>
    </row>
    <row r="88" spans="1:6" x14ac:dyDescent="0.2">
      <c r="A88" s="19">
        <v>22</v>
      </c>
      <c r="B88" s="180" t="s">
        <v>19</v>
      </c>
      <c r="C88" s="181"/>
      <c r="D88" s="14">
        <f t="shared" si="5"/>
        <v>0</v>
      </c>
      <c r="E88" s="17">
        <f>IF(F3="1",SUMIF(Data!A:A,'27'!$A$2,Data!ET:ET),0)</f>
        <v>0</v>
      </c>
      <c r="F88" s="21" t="str">
        <f t="shared" si="4"/>
        <v/>
      </c>
    </row>
    <row r="89" spans="1:6" x14ac:dyDescent="0.2">
      <c r="A89" s="19">
        <v>23</v>
      </c>
      <c r="B89" s="180" t="s">
        <v>20</v>
      </c>
      <c r="C89" s="181"/>
      <c r="D89" s="14">
        <f t="shared" si="5"/>
        <v>110052</v>
      </c>
      <c r="E89" s="17">
        <f>IF(F3="1",SUMIF(Data!A:A,'27'!$A$2,Data!EU:EU),0)</f>
        <v>578208</v>
      </c>
      <c r="F89" s="21">
        <f t="shared" si="4"/>
        <v>5.25</v>
      </c>
    </row>
    <row r="90" spans="1:6" x14ac:dyDescent="0.2">
      <c r="A90" s="19">
        <v>24</v>
      </c>
      <c r="B90" s="180" t="s">
        <v>21</v>
      </c>
      <c r="C90" s="181"/>
      <c r="D90" s="14">
        <f t="shared" si="5"/>
        <v>113888</v>
      </c>
      <c r="E90" s="17">
        <f>IF(F3="1",SUMIF(Data!A:A,'27'!$A$2,Data!EV:EV),0)</f>
        <v>119416</v>
      </c>
      <c r="F90" s="21">
        <f t="shared" si="4"/>
        <v>1.05</v>
      </c>
    </row>
    <row r="91" spans="1:6" x14ac:dyDescent="0.2">
      <c r="A91" s="19">
        <v>25</v>
      </c>
      <c r="B91" s="180" t="s">
        <v>22</v>
      </c>
      <c r="C91" s="181"/>
      <c r="D91" s="14">
        <f t="shared" si="5"/>
        <v>498864</v>
      </c>
      <c r="E91" s="17">
        <f>IF(F3="1",SUMIF(Data!A:A,'27'!$A$2,Data!EW:EW),0)</f>
        <v>735490</v>
      </c>
      <c r="F91" s="21">
        <f t="shared" si="4"/>
        <v>1.47</v>
      </c>
    </row>
    <row r="92" spans="1:6" x14ac:dyDescent="0.2">
      <c r="A92" s="19">
        <v>26</v>
      </c>
      <c r="B92" s="180" t="s">
        <v>23</v>
      </c>
      <c r="C92" s="181"/>
      <c r="D92" s="14">
        <f t="shared" si="5"/>
        <v>260336</v>
      </c>
      <c r="E92" s="17">
        <f>IF(F3="1",SUMIF(Data!A:A,'27'!$A$2,Data!EX:EX),0)</f>
        <v>866333</v>
      </c>
      <c r="F92" s="21">
        <f t="shared" si="4"/>
        <v>3.33</v>
      </c>
    </row>
    <row r="93" spans="1:6" x14ac:dyDescent="0.2">
      <c r="A93" s="19">
        <v>28</v>
      </c>
      <c r="B93" s="180" t="s">
        <v>24</v>
      </c>
      <c r="C93" s="181"/>
      <c r="D93" s="14">
        <f t="shared" si="5"/>
        <v>0</v>
      </c>
      <c r="E93" s="17">
        <f>IF(F3="1",SUMIF(Data!A:A,'27'!$A$2,Data!EZ:EZ),0)</f>
        <v>0</v>
      </c>
      <c r="F93" s="21" t="str">
        <f t="shared" si="4"/>
        <v/>
      </c>
    </row>
    <row r="94" spans="1:6" ht="15.75" customHeight="1" thickBot="1" x14ac:dyDescent="0.25">
      <c r="A94" s="22">
        <v>29</v>
      </c>
      <c r="B94" s="184" t="s">
        <v>25</v>
      </c>
      <c r="C94" s="185"/>
      <c r="D94" s="23">
        <f t="shared" si="5"/>
        <v>0</v>
      </c>
      <c r="E94" s="24">
        <f>IF(F3="1",SUMIF(Data!A:A,'27'!$A$2,Data!FA:FA),0)</f>
        <v>0</v>
      </c>
      <c r="F94" s="25" t="str">
        <f t="shared" si="4"/>
        <v/>
      </c>
    </row>
    <row r="95" spans="1:6" x14ac:dyDescent="0.2">
      <c r="B95" s="30" t="s">
        <v>35</v>
      </c>
      <c r="C95" s="30"/>
      <c r="D95" s="59">
        <f>SUM(D67:D94)</f>
        <v>3565950</v>
      </c>
      <c r="E95" s="31">
        <f>SUM(E67:E94)</f>
        <v>10277429</v>
      </c>
      <c r="F95" s="32">
        <f t="shared" si="4"/>
        <v>2.88</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IF(F3="1",SUMIF(Data!A:A,'27'!$A$2,Data!AH:AH),0)</f>
        <v>4562593</v>
      </c>
      <c r="F98" s="20">
        <f>IF(OR(E98=0,E98=0),"",ROUND(E98/$D$105,2))</f>
        <v>1.28</v>
      </c>
    </row>
    <row r="99" spans="2:6" x14ac:dyDescent="0.2">
      <c r="B99" s="190" t="s">
        <v>31</v>
      </c>
      <c r="C99" s="191"/>
      <c r="D99" s="36"/>
      <c r="E99" s="17">
        <f>IF(F3="1",SUMIF(Data!A:A,'27'!$A$2,Data!AI:AI),0)</f>
        <v>1521963</v>
      </c>
      <c r="F99" s="21">
        <f t="shared" ref="F99:F104" si="6">IF(OR(E99=0,E99=0),"",ROUND(E99/$D$105,2))</f>
        <v>0.43</v>
      </c>
    </row>
    <row r="100" spans="2:6" x14ac:dyDescent="0.2">
      <c r="B100" s="190" t="s">
        <v>1089</v>
      </c>
      <c r="C100" s="191"/>
      <c r="D100" s="36"/>
      <c r="E100" s="17">
        <f>IF(F3="1",SUMIF(Data!A:A,'27'!$A$2,Data!AJ:AJ),0)</f>
        <v>1071436</v>
      </c>
      <c r="F100" s="21">
        <f t="shared" si="6"/>
        <v>0.3</v>
      </c>
    </row>
    <row r="101" spans="2:6" x14ac:dyDescent="0.2">
      <c r="B101" s="190" t="s">
        <v>1090</v>
      </c>
      <c r="C101" s="191"/>
      <c r="D101" s="36"/>
      <c r="E101" s="17">
        <f>IF(F3="1",SUMIF(Data!A:A,'27'!$A$2,Data!AK:AK),0)</f>
        <v>499724</v>
      </c>
      <c r="F101" s="21">
        <f t="shared" si="6"/>
        <v>0.14000000000000001</v>
      </c>
    </row>
    <row r="102" spans="2:6" x14ac:dyDescent="0.2">
      <c r="B102" s="190" t="s">
        <v>1091</v>
      </c>
      <c r="C102" s="191"/>
      <c r="D102" s="36"/>
      <c r="E102" s="17">
        <f>IF(F3="1",SUMIF(Data!A:A,'27'!$A$2,Data!AL:AL),0)</f>
        <v>0</v>
      </c>
      <c r="F102" s="21" t="str">
        <f t="shared" si="6"/>
        <v/>
      </c>
    </row>
    <row r="103" spans="2:6" x14ac:dyDescent="0.2">
      <c r="B103" s="192" t="s">
        <v>34</v>
      </c>
      <c r="C103" s="193"/>
      <c r="D103" s="36"/>
      <c r="E103" s="17">
        <f>IF(F3="1",SUMIF(Data!A:A,'27'!$A$2,Data!AM:AM),0)</f>
        <v>0</v>
      </c>
      <c r="F103" s="21" t="str">
        <f t="shared" si="6"/>
        <v/>
      </c>
    </row>
    <row r="104" spans="2:6" ht="15.75" customHeight="1" thickBot="1" x14ac:dyDescent="0.25">
      <c r="B104" s="186" t="s">
        <v>29</v>
      </c>
      <c r="C104" s="187"/>
      <c r="D104" s="37"/>
      <c r="E104" s="24">
        <f>IF(F3="1",SUMIF(Data!A:A,'27'!$A$2,Data!Q:Q),0)</f>
        <v>776676</v>
      </c>
      <c r="F104" s="25">
        <f t="shared" si="6"/>
        <v>0.22</v>
      </c>
    </row>
    <row r="105" spans="2:6" x14ac:dyDescent="0.2">
      <c r="B105" s="30" t="s">
        <v>35</v>
      </c>
      <c r="C105" s="30"/>
      <c r="D105" s="34">
        <f>D95</f>
        <v>3565950</v>
      </c>
      <c r="E105" s="31">
        <f>SUM(E98:E104)</f>
        <v>8432392</v>
      </c>
      <c r="F105" s="32">
        <f>IF($D$105=0,"",ROUND(E105/$D$105,2))</f>
        <v>2.36</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10277429</v>
      </c>
      <c r="D109" s="15">
        <f>IF(F3="1",SUMIF(Data!$A:$A,$A$2,Data!HJ:HJ),0)</f>
        <v>0</v>
      </c>
      <c r="E109" s="15">
        <f>IF(F3="1",SUMIF(Data!$A:$A,$A$2,Data!IN:IN),0)</f>
        <v>0</v>
      </c>
      <c r="F109" s="47">
        <f>SUM(C109:E109)</f>
        <v>10277429</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776676</v>
      </c>
      <c r="E117" s="52"/>
      <c r="F117" s="49">
        <f>SUM(C117:E117)</f>
        <v>776676</v>
      </c>
    </row>
    <row r="118" spans="1:6" x14ac:dyDescent="0.2">
      <c r="B118" s="13" t="s">
        <v>35</v>
      </c>
      <c r="C118" s="4">
        <f>SUM(C109:C116)</f>
        <v>10277429</v>
      </c>
      <c r="D118" s="4">
        <f>SUM(D109:D116)</f>
        <v>0</v>
      </c>
      <c r="E118" s="4">
        <f>SUM(E109:E116)</f>
        <v>0</v>
      </c>
      <c r="F118" s="4">
        <f>SUM(F109:F116)</f>
        <v>10277429</v>
      </c>
    </row>
    <row r="119" spans="1:6" ht="15" thickBot="1" x14ac:dyDescent="0.25"/>
    <row r="120" spans="1:6" ht="15" thickBot="1" x14ac:dyDescent="0.25">
      <c r="B120" s="55" t="s">
        <v>934</v>
      </c>
      <c r="C120" s="53"/>
      <c r="D120" s="53"/>
      <c r="E120" s="53">
        <f>IF(F3="1",SUMIF(Data!A:A,'27'!$A$2,Data!AM:AM),0)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433</v>
      </c>
      <c r="B2" s="58" t="str">
        <f>VLOOKUP(A2,Data!A:G,7,0)</f>
        <v>Midland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9468</v>
      </c>
      <c r="E5" s="15">
        <f>E36+E67+IFERROR($E$105/$D$105*D5,0)</f>
        <v>99760.694080662171</v>
      </c>
      <c r="F5" s="20">
        <f>IF(OR(D5=0,E5=0),"",ROUND(E5/D5,2))</f>
        <v>10.54</v>
      </c>
    </row>
    <row r="6" spans="1:6" x14ac:dyDescent="0.2">
      <c r="A6" s="19">
        <v>2</v>
      </c>
      <c r="B6" s="180" t="s">
        <v>1</v>
      </c>
      <c r="C6" s="181"/>
      <c r="D6" s="14">
        <f t="shared" ref="D6:D32" si="0">D37</f>
        <v>65204</v>
      </c>
      <c r="E6" s="17">
        <f t="shared" ref="E6:E32" si="1">E37+E68+IFERROR($E$105/$D$105*D6,0)</f>
        <v>583042.55986855691</v>
      </c>
      <c r="F6" s="21">
        <f t="shared" ref="F6:F33" si="2">IF(OR(D6=0,E6=0),"",ROUND(E6/D6,2))</f>
        <v>8.94</v>
      </c>
    </row>
    <row r="7" spans="1:6" ht="14.25" customHeight="1" x14ac:dyDescent="0.2">
      <c r="A7" s="19">
        <v>3</v>
      </c>
      <c r="B7" s="180" t="s">
        <v>2</v>
      </c>
      <c r="C7" s="181"/>
      <c r="D7" s="14">
        <f t="shared" si="0"/>
        <v>301920</v>
      </c>
      <c r="E7" s="17">
        <f t="shared" si="1"/>
        <v>1910496.2447014705</v>
      </c>
      <c r="F7" s="21">
        <f t="shared" si="2"/>
        <v>6.33</v>
      </c>
    </row>
    <row r="8" spans="1:6" ht="14.25" customHeight="1" x14ac:dyDescent="0.2">
      <c r="A8" s="19">
        <v>4</v>
      </c>
      <c r="B8" s="180" t="s">
        <v>3</v>
      </c>
      <c r="C8" s="181"/>
      <c r="D8" s="14">
        <f t="shared" si="0"/>
        <v>147320</v>
      </c>
      <c r="E8" s="17">
        <f t="shared" si="1"/>
        <v>1127569.9066289766</v>
      </c>
      <c r="F8" s="21">
        <f t="shared" si="2"/>
        <v>7.65</v>
      </c>
    </row>
    <row r="9" spans="1:6" x14ac:dyDescent="0.2">
      <c r="A9" s="19">
        <v>5</v>
      </c>
      <c r="B9" s="180" t="s">
        <v>4</v>
      </c>
      <c r="C9" s="181"/>
      <c r="D9" s="14">
        <f t="shared" si="0"/>
        <v>22286</v>
      </c>
      <c r="E9" s="17">
        <f t="shared" si="1"/>
        <v>307494.94658656919</v>
      </c>
      <c r="F9" s="21">
        <f t="shared" si="2"/>
        <v>13.8</v>
      </c>
    </row>
    <row r="10" spans="1:6" x14ac:dyDescent="0.2">
      <c r="A10" s="19">
        <v>6</v>
      </c>
      <c r="B10" s="180" t="s">
        <v>5</v>
      </c>
      <c r="C10" s="181"/>
      <c r="D10" s="14">
        <f t="shared" si="0"/>
        <v>13360</v>
      </c>
      <c r="E10" s="17">
        <f t="shared" si="1"/>
        <v>205629.90166008097</v>
      </c>
      <c r="F10" s="21">
        <f t="shared" si="2"/>
        <v>15.39</v>
      </c>
    </row>
    <row r="11" spans="1:6" x14ac:dyDescent="0.2">
      <c r="A11" s="19">
        <v>7</v>
      </c>
      <c r="B11" s="180" t="s">
        <v>6</v>
      </c>
      <c r="C11" s="181"/>
      <c r="D11" s="14">
        <f t="shared" si="0"/>
        <v>99888</v>
      </c>
      <c r="E11" s="17">
        <f t="shared" si="1"/>
        <v>771456.77253159939</v>
      </c>
      <c r="F11" s="21">
        <f t="shared" si="2"/>
        <v>7.72</v>
      </c>
    </row>
    <row r="12" spans="1:6" x14ac:dyDescent="0.2">
      <c r="A12" s="19">
        <v>8</v>
      </c>
      <c r="B12" s="180" t="s">
        <v>7</v>
      </c>
      <c r="C12" s="181"/>
      <c r="D12" s="14">
        <f t="shared" si="0"/>
        <v>0</v>
      </c>
      <c r="E12" s="17">
        <f t="shared" si="1"/>
        <v>0</v>
      </c>
      <c r="F12" s="21" t="str">
        <f t="shared" si="2"/>
        <v/>
      </c>
    </row>
    <row r="13" spans="1:6" x14ac:dyDescent="0.2">
      <c r="A13" s="19">
        <v>9</v>
      </c>
      <c r="B13" s="180" t="s">
        <v>8</v>
      </c>
      <c r="C13" s="181"/>
      <c r="D13" s="14">
        <f t="shared" si="0"/>
        <v>34531</v>
      </c>
      <c r="E13" s="17">
        <f t="shared" si="1"/>
        <v>190464.71760660599</v>
      </c>
      <c r="F13" s="21">
        <f t="shared" si="2"/>
        <v>5.52</v>
      </c>
    </row>
    <row r="14" spans="1:6" x14ac:dyDescent="0.2">
      <c r="A14" s="19">
        <v>10</v>
      </c>
      <c r="B14" s="180" t="s">
        <v>9</v>
      </c>
      <c r="C14" s="181"/>
      <c r="D14" s="14">
        <f t="shared" si="0"/>
        <v>1962</v>
      </c>
      <c r="E14" s="17">
        <f t="shared" si="1"/>
        <v>9143.9366060687771</v>
      </c>
      <c r="F14" s="21">
        <f t="shared" si="2"/>
        <v>4.66</v>
      </c>
    </row>
    <row r="15" spans="1:6" x14ac:dyDescent="0.2">
      <c r="A15" s="19">
        <v>11</v>
      </c>
      <c r="B15" s="180" t="s">
        <v>10</v>
      </c>
      <c r="C15" s="181"/>
      <c r="D15" s="14">
        <f t="shared" si="0"/>
        <v>43360</v>
      </c>
      <c r="E15" s="17">
        <f t="shared" si="1"/>
        <v>479362.93233391549</v>
      </c>
      <c r="F15" s="21">
        <f t="shared" si="2"/>
        <v>11.06</v>
      </c>
    </row>
    <row r="16" spans="1:6" ht="14.25" customHeight="1" x14ac:dyDescent="0.2">
      <c r="A16" s="19">
        <v>12</v>
      </c>
      <c r="B16" s="180" t="s">
        <v>11</v>
      </c>
      <c r="C16" s="181"/>
      <c r="D16" s="14">
        <f t="shared" si="0"/>
        <v>316288</v>
      </c>
      <c r="E16" s="17">
        <f t="shared" si="1"/>
        <v>2388494.1137921922</v>
      </c>
      <c r="F16" s="21">
        <f t="shared" si="2"/>
        <v>7.55</v>
      </c>
    </row>
    <row r="17" spans="1:6" x14ac:dyDescent="0.2">
      <c r="A17" s="19">
        <v>13</v>
      </c>
      <c r="B17" s="180" t="s">
        <v>12</v>
      </c>
      <c r="C17" s="181"/>
      <c r="D17" s="14">
        <f t="shared" si="0"/>
        <v>62784</v>
      </c>
      <c r="E17" s="17">
        <f t="shared" si="1"/>
        <v>407044.97139420087</v>
      </c>
      <c r="F17" s="21">
        <f t="shared" si="2"/>
        <v>6.48</v>
      </c>
    </row>
    <row r="18" spans="1:6" ht="14.25" customHeight="1" x14ac:dyDescent="0.2">
      <c r="A18" s="19">
        <v>14</v>
      </c>
      <c r="B18" s="180" t="s">
        <v>464</v>
      </c>
      <c r="C18" s="181"/>
      <c r="D18" s="14">
        <f t="shared" si="0"/>
        <v>90308</v>
      </c>
      <c r="E18" s="17">
        <f t="shared" si="1"/>
        <v>889896.74873642158</v>
      </c>
      <c r="F18" s="21">
        <f t="shared" si="2"/>
        <v>9.85</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160964</v>
      </c>
      <c r="E20" s="17">
        <f t="shared" si="1"/>
        <v>1369759.4657794368</v>
      </c>
      <c r="F20" s="21">
        <f t="shared" si="2"/>
        <v>8.51</v>
      </c>
    </row>
    <row r="21" spans="1:6" x14ac:dyDescent="0.2">
      <c r="A21" s="19">
        <v>17</v>
      </c>
      <c r="B21" s="180" t="s">
        <v>15</v>
      </c>
      <c r="C21" s="181"/>
      <c r="D21" s="14">
        <f t="shared" si="0"/>
        <v>18597</v>
      </c>
      <c r="E21" s="17">
        <f t="shared" si="1"/>
        <v>204206.89911471002</v>
      </c>
      <c r="F21" s="21">
        <f t="shared" si="2"/>
        <v>10.98</v>
      </c>
    </row>
    <row r="22" spans="1:6" x14ac:dyDescent="0.2">
      <c r="A22" s="19">
        <v>18</v>
      </c>
      <c r="B22" s="180" t="s">
        <v>16</v>
      </c>
      <c r="C22" s="181"/>
      <c r="D22" s="14">
        <f t="shared" si="0"/>
        <v>41411</v>
      </c>
      <c r="E22" s="17">
        <f t="shared" si="1"/>
        <v>453277.82864113874</v>
      </c>
      <c r="F22" s="21">
        <f t="shared" si="2"/>
        <v>10.95</v>
      </c>
    </row>
    <row r="23" spans="1:6" x14ac:dyDescent="0.2">
      <c r="A23" s="19">
        <v>19</v>
      </c>
      <c r="B23" s="180" t="s">
        <v>17</v>
      </c>
      <c r="C23" s="181"/>
      <c r="D23" s="14">
        <f t="shared" si="0"/>
        <v>218640</v>
      </c>
      <c r="E23" s="17">
        <f t="shared" si="1"/>
        <v>1465296.9355509058</v>
      </c>
      <c r="F23" s="21">
        <f t="shared" si="2"/>
        <v>6.7</v>
      </c>
    </row>
    <row r="24" spans="1:6" x14ac:dyDescent="0.2">
      <c r="A24" s="19">
        <v>20</v>
      </c>
      <c r="B24" s="180" t="s">
        <v>18</v>
      </c>
      <c r="C24" s="181"/>
      <c r="D24" s="14">
        <f t="shared" si="0"/>
        <v>50869</v>
      </c>
      <c r="E24" s="17">
        <f t="shared" si="1"/>
        <v>417170.18971157627</v>
      </c>
      <c r="F24" s="21">
        <f t="shared" si="2"/>
        <v>8.1999999999999993</v>
      </c>
    </row>
    <row r="25" spans="1:6" ht="14.25" customHeight="1" x14ac:dyDescent="0.2">
      <c r="A25" s="19">
        <v>21</v>
      </c>
      <c r="B25" s="180" t="s">
        <v>461</v>
      </c>
      <c r="C25" s="181"/>
      <c r="D25" s="14">
        <f t="shared" si="0"/>
        <v>39332</v>
      </c>
      <c r="E25" s="17">
        <f t="shared" si="1"/>
        <v>540725.39581544197</v>
      </c>
      <c r="F25" s="21">
        <f t="shared" si="2"/>
        <v>13.75</v>
      </c>
    </row>
    <row r="26" spans="1:6" x14ac:dyDescent="0.2">
      <c r="A26" s="19">
        <v>22</v>
      </c>
      <c r="B26" s="180" t="s">
        <v>19</v>
      </c>
      <c r="C26" s="181"/>
      <c r="D26" s="14">
        <f t="shared" si="0"/>
        <v>0</v>
      </c>
      <c r="E26" s="17">
        <f t="shared" si="1"/>
        <v>0</v>
      </c>
      <c r="F26" s="21" t="str">
        <f t="shared" si="2"/>
        <v/>
      </c>
    </row>
    <row r="27" spans="1:6" x14ac:dyDescent="0.2">
      <c r="A27" s="19">
        <v>23</v>
      </c>
      <c r="B27" s="180" t="s">
        <v>20</v>
      </c>
      <c r="C27" s="181"/>
      <c r="D27" s="14">
        <f t="shared" si="0"/>
        <v>67392</v>
      </c>
      <c r="E27" s="17">
        <f t="shared" si="1"/>
        <v>760415.8225057018</v>
      </c>
      <c r="F27" s="21">
        <f t="shared" si="2"/>
        <v>11.28</v>
      </c>
    </row>
    <row r="28" spans="1:6" x14ac:dyDescent="0.2">
      <c r="A28" s="19">
        <v>24</v>
      </c>
      <c r="B28" s="180" t="s">
        <v>21</v>
      </c>
      <c r="C28" s="181"/>
      <c r="D28" s="14">
        <f t="shared" si="0"/>
        <v>115811</v>
      </c>
      <c r="E28" s="17">
        <f t="shared" si="1"/>
        <v>785729.42471224826</v>
      </c>
      <c r="F28" s="21">
        <f t="shared" si="2"/>
        <v>6.78</v>
      </c>
    </row>
    <row r="29" spans="1:6" x14ac:dyDescent="0.2">
      <c r="A29" s="19">
        <v>25</v>
      </c>
      <c r="B29" s="180" t="s">
        <v>22</v>
      </c>
      <c r="C29" s="181"/>
      <c r="D29" s="14">
        <f t="shared" si="0"/>
        <v>344626</v>
      </c>
      <c r="E29" s="17">
        <f t="shared" si="1"/>
        <v>2290227.1981666964</v>
      </c>
      <c r="F29" s="21">
        <f t="shared" si="2"/>
        <v>6.65</v>
      </c>
    </row>
    <row r="30" spans="1:6" x14ac:dyDescent="0.2">
      <c r="A30" s="19">
        <v>26</v>
      </c>
      <c r="B30" s="180" t="s">
        <v>23</v>
      </c>
      <c r="C30" s="181"/>
      <c r="D30" s="14">
        <f t="shared" si="0"/>
        <v>121936</v>
      </c>
      <c r="E30" s="17">
        <f t="shared" si="1"/>
        <v>1058007.3934748229</v>
      </c>
      <c r="F30" s="21">
        <f t="shared" si="2"/>
        <v>8.68</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2388257</v>
      </c>
      <c r="E33" s="31">
        <f>SUM(E5:E32)</f>
        <v>18714675</v>
      </c>
      <c r="F33" s="32">
        <f t="shared" si="2"/>
        <v>7.84</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IF(F3="1",SUMIF(Data!A:A,'28'!$A$2,Data!CU:CU),0)</f>
        <v>9468</v>
      </c>
      <c r="E36" s="15">
        <f>IF(F3="1",SUMIF(Data!$A:$A,$A$2,Data!IO:IO),0)</f>
        <v>21820</v>
      </c>
      <c r="F36" s="20">
        <f t="shared" ref="F36:F64" si="3">IF(OR(D36=0,E36=0),"",ROUND(E36/D36,2))</f>
        <v>2.2999999999999998</v>
      </c>
    </row>
    <row r="37" spans="1:6" x14ac:dyDescent="0.2">
      <c r="A37" s="19">
        <v>2</v>
      </c>
      <c r="B37" s="180" t="s">
        <v>1</v>
      </c>
      <c r="C37" s="181"/>
      <c r="D37" s="14">
        <f>IF(F3="1",SUMIF(Data!A:A,'28'!$A$2,Data!CV:CV),0)</f>
        <v>65204</v>
      </c>
      <c r="E37" s="17">
        <f>IF(F3="1",SUMIF(Data!$A:$A,$A$2,Data!IP:IP),0)</f>
        <v>84398</v>
      </c>
      <c r="F37" s="21">
        <f t="shared" si="3"/>
        <v>1.29</v>
      </c>
    </row>
    <row r="38" spans="1:6" ht="14.25" customHeight="1" x14ac:dyDescent="0.2">
      <c r="A38" s="19">
        <v>3</v>
      </c>
      <c r="B38" s="180" t="s">
        <v>2</v>
      </c>
      <c r="C38" s="181"/>
      <c r="D38" s="14">
        <f>IF(F3="1",SUMIF(Data!A:A,'28'!$A$2,Data!CW:CW),0)</f>
        <v>301920</v>
      </c>
      <c r="E38" s="17">
        <f>IF($F$3="1",SUMIF(Data!$A:$A,$A$2,Data!IQ:IQ),0)</f>
        <v>289416</v>
      </c>
      <c r="F38" s="21">
        <f t="shared" si="3"/>
        <v>0.96</v>
      </c>
    </row>
    <row r="39" spans="1:6" ht="14.25" customHeight="1" x14ac:dyDescent="0.2">
      <c r="A39" s="19">
        <v>4</v>
      </c>
      <c r="B39" s="180" t="s">
        <v>3</v>
      </c>
      <c r="C39" s="181"/>
      <c r="D39" s="14">
        <f>IF(F3="1",SUMIF(Data!A:A,'28'!$A$2,Data!CX:CX),0)</f>
        <v>147320</v>
      </c>
      <c r="E39" s="17">
        <f>IF($F$3="1",SUMIF(Data!$A:$A,$A$2,Data!IR:IR),0)</f>
        <v>119262</v>
      </c>
      <c r="F39" s="21">
        <f t="shared" si="3"/>
        <v>0.81</v>
      </c>
    </row>
    <row r="40" spans="1:6" x14ac:dyDescent="0.2">
      <c r="A40" s="19">
        <v>5</v>
      </c>
      <c r="B40" s="180" t="s">
        <v>4</v>
      </c>
      <c r="C40" s="181"/>
      <c r="D40" s="14">
        <f>IF(F3="1",SUMIF(Data!A:A,'28'!$A$2,Data!CY:CY),0)</f>
        <v>22286</v>
      </c>
      <c r="E40" s="17">
        <f>IF($F$3="1",SUMIF(Data!$A:$A,$A$2,Data!IS:IS),0)</f>
        <v>58370</v>
      </c>
      <c r="F40" s="21">
        <f t="shared" si="3"/>
        <v>2.62</v>
      </c>
    </row>
    <row r="41" spans="1:6" x14ac:dyDescent="0.2">
      <c r="A41" s="19">
        <v>6</v>
      </c>
      <c r="B41" s="180" t="s">
        <v>5</v>
      </c>
      <c r="C41" s="181"/>
      <c r="D41" s="14">
        <f>IF(F3="1",SUMIF(Data!A:A,'28'!$A$2,Data!CZ:CZ),0)</f>
        <v>13360</v>
      </c>
      <c r="E41" s="17">
        <f>IF($F$3="1",SUMIF(Data!$A:$A,$A$2,Data!IT:IT),0)</f>
        <v>41714</v>
      </c>
      <c r="F41" s="21">
        <f t="shared" si="3"/>
        <v>3.12</v>
      </c>
    </row>
    <row r="42" spans="1:6" x14ac:dyDescent="0.2">
      <c r="A42" s="19">
        <v>7</v>
      </c>
      <c r="B42" s="180" t="s">
        <v>6</v>
      </c>
      <c r="C42" s="181"/>
      <c r="D42" s="14">
        <f>IF(F3="1",SUMIF(Data!A:A,'28'!$A$2,Data!DA:DA),0)</f>
        <v>99888</v>
      </c>
      <c r="E42" s="17">
        <f>IF($F$3="1",SUMIF(Data!$A:$A,$A$2,Data!IU:IU),0)</f>
        <v>103407</v>
      </c>
      <c r="F42" s="21">
        <f t="shared" si="3"/>
        <v>1.04</v>
      </c>
    </row>
    <row r="43" spans="1:6" x14ac:dyDescent="0.2">
      <c r="A43" s="19">
        <v>8</v>
      </c>
      <c r="B43" s="180" t="s">
        <v>7</v>
      </c>
      <c r="C43" s="181"/>
      <c r="D43" s="14">
        <f>IF(F3="1",SUMIF(Data!A:A,'28'!$A$2,Data!DB:DB),0)</f>
        <v>0</v>
      </c>
      <c r="E43" s="17">
        <f>IF($F$3="1",SUMIF(Data!$A:$A,$A$2,Data!IV:IV),0)</f>
        <v>0</v>
      </c>
      <c r="F43" s="21" t="str">
        <f t="shared" si="3"/>
        <v/>
      </c>
    </row>
    <row r="44" spans="1:6" x14ac:dyDescent="0.2">
      <c r="A44" s="19">
        <v>9</v>
      </c>
      <c r="B44" s="180" t="s">
        <v>8</v>
      </c>
      <c r="C44" s="181"/>
      <c r="D44" s="14">
        <f>IF(F3="1",SUMIF(Data!A:A,'28'!$A$2,Data!DC:DC),0)</f>
        <v>34531</v>
      </c>
      <c r="E44" s="17">
        <f>IF($F$3="1",SUMIF(Data!$A:$A,$A$2,Data!IW:IW),0)</f>
        <v>5859</v>
      </c>
      <c r="F44" s="21">
        <f t="shared" si="3"/>
        <v>0.17</v>
      </c>
    </row>
    <row r="45" spans="1:6" x14ac:dyDescent="0.2">
      <c r="A45" s="19">
        <v>10</v>
      </c>
      <c r="B45" s="180" t="s">
        <v>9</v>
      </c>
      <c r="C45" s="181"/>
      <c r="D45" s="14">
        <f>IF(F3="1",SUMIF(Data!A:A,'28'!$A$2,Data!DD:DD),0)</f>
        <v>1962</v>
      </c>
      <c r="E45" s="17">
        <f>IF($F$3="1",SUMIF(Data!$A:$A,$A$2,Data!IX:IX),0)</f>
        <v>124</v>
      </c>
      <c r="F45" s="21">
        <f t="shared" si="3"/>
        <v>0.06</v>
      </c>
    </row>
    <row r="46" spans="1:6" x14ac:dyDescent="0.2">
      <c r="A46" s="19">
        <v>11</v>
      </c>
      <c r="B46" s="180" t="s">
        <v>10</v>
      </c>
      <c r="C46" s="181"/>
      <c r="D46" s="14">
        <f>IF(F3="1",SUMIF(Data!A:A,'28'!$A$2,Data!DE:DE),0)</f>
        <v>43360</v>
      </c>
      <c r="E46" s="17">
        <f>IF($F$3="1",SUMIF(Data!$A:$A,$A$2,Data!IY:IY),0)</f>
        <v>105659</v>
      </c>
      <c r="F46" s="21">
        <f t="shared" si="3"/>
        <v>2.44</v>
      </c>
    </row>
    <row r="47" spans="1:6" ht="14.25" customHeight="1" x14ac:dyDescent="0.2">
      <c r="A47" s="19">
        <v>12</v>
      </c>
      <c r="B47" s="180" t="s">
        <v>11</v>
      </c>
      <c r="C47" s="181"/>
      <c r="D47" s="14">
        <f>IF(F3="1",SUMIF(Data!A:A,'28'!$A$2,Data!DF:DF),0)</f>
        <v>316288</v>
      </c>
      <c r="E47" s="17">
        <f>IF($F$3="1",SUMIF(Data!$A:$A,$A$2,Data!IZ:IZ),0)</f>
        <v>148457</v>
      </c>
      <c r="F47" s="21">
        <f t="shared" si="3"/>
        <v>0.47</v>
      </c>
    </row>
    <row r="48" spans="1:6" x14ac:dyDescent="0.2">
      <c r="A48" s="19">
        <v>13</v>
      </c>
      <c r="B48" s="180" t="s">
        <v>12</v>
      </c>
      <c r="C48" s="181"/>
      <c r="D48" s="14">
        <f>IF(F3="1",SUMIF(Data!A:A,'28'!$A$2,Data!DG:DG),0)</f>
        <v>62784</v>
      </c>
      <c r="E48" s="17">
        <f>IF($F$3="1",SUMIF(Data!$A:$A,$A$2,Data!JA:JA),0)</f>
        <v>40920</v>
      </c>
      <c r="F48" s="21">
        <f t="shared" si="3"/>
        <v>0.65</v>
      </c>
    </row>
    <row r="49" spans="1:6" ht="14.25" customHeight="1" x14ac:dyDescent="0.2">
      <c r="A49" s="19">
        <v>14</v>
      </c>
      <c r="B49" s="180" t="s">
        <v>464</v>
      </c>
      <c r="C49" s="181"/>
      <c r="D49" s="14">
        <f>IF(F3="1",SUMIF(Data!A:A,'28'!$A$2,Data!DH:DH),0)</f>
        <v>90308</v>
      </c>
      <c r="E49" s="17">
        <f>IF($F$3="1",SUMIF(Data!$A:$A,$A$2,Data!JB:JB),0)</f>
        <v>72663</v>
      </c>
      <c r="F49" s="21">
        <f t="shared" si="3"/>
        <v>0.8</v>
      </c>
    </row>
    <row r="50" spans="1:6" x14ac:dyDescent="0.2">
      <c r="A50" s="19">
        <v>15</v>
      </c>
      <c r="B50" s="180" t="s">
        <v>13</v>
      </c>
      <c r="C50" s="181"/>
      <c r="D50" s="14">
        <f>IF(F3="1",SUMIF(Data!A:A,'28'!$A$2,Data!DI:DI),0)</f>
        <v>0</v>
      </c>
      <c r="E50" s="17">
        <f>IF($F$3="1",SUMIF(Data!$A:$A,$A$2,Data!JC:JC),0)</f>
        <v>0</v>
      </c>
      <c r="F50" s="21" t="str">
        <f t="shared" si="3"/>
        <v/>
      </c>
    </row>
    <row r="51" spans="1:6" x14ac:dyDescent="0.2">
      <c r="A51" s="19">
        <v>16</v>
      </c>
      <c r="B51" s="180" t="s">
        <v>14</v>
      </c>
      <c r="C51" s="181"/>
      <c r="D51" s="14">
        <f>IF(F3="1",SUMIF(Data!A:A,'28'!$A$2,Data!DJ:DJ),0)</f>
        <v>160964</v>
      </c>
      <c r="E51" s="17">
        <f>IF($F$3="1",SUMIF(Data!$A:$A,$A$2,Data!JD:JD),0)</f>
        <v>210787</v>
      </c>
      <c r="F51" s="21">
        <f t="shared" si="3"/>
        <v>1.31</v>
      </c>
    </row>
    <row r="52" spans="1:6" x14ac:dyDescent="0.2">
      <c r="A52" s="19">
        <v>17</v>
      </c>
      <c r="B52" s="180" t="s">
        <v>15</v>
      </c>
      <c r="C52" s="181"/>
      <c r="D52" s="14">
        <f>IF(F3="1",SUMIF(Data!A:A,'28'!$A$2,Data!DK:DK),0)</f>
        <v>18597</v>
      </c>
      <c r="E52" s="17">
        <f>IF($F$3="1",SUMIF(Data!$A:$A,$A$2,Data!JE:JE),0)</f>
        <v>10931</v>
      </c>
      <c r="F52" s="21">
        <f t="shared" si="3"/>
        <v>0.59</v>
      </c>
    </row>
    <row r="53" spans="1:6" x14ac:dyDescent="0.2">
      <c r="A53" s="19">
        <v>18</v>
      </c>
      <c r="B53" s="180" t="s">
        <v>16</v>
      </c>
      <c r="C53" s="181"/>
      <c r="D53" s="14">
        <f>IF(F3="1",SUMIF(Data!A:A,'28'!$A$2,Data!DL:DL),0)</f>
        <v>41411</v>
      </c>
      <c r="E53" s="17">
        <f>IF($F$3="1",SUMIF(Data!$A:$A,$A$2,Data!JF:JF),0)</f>
        <v>24958</v>
      </c>
      <c r="F53" s="21">
        <f t="shared" si="3"/>
        <v>0.6</v>
      </c>
    </row>
    <row r="54" spans="1:6" x14ac:dyDescent="0.2">
      <c r="A54" s="19">
        <v>19</v>
      </c>
      <c r="B54" s="180" t="s">
        <v>17</v>
      </c>
      <c r="C54" s="181"/>
      <c r="D54" s="14">
        <f>IF(F3="1",SUMIF(Data!A:A,'28'!$A$2,Data!DM:DM),0)</f>
        <v>218640</v>
      </c>
      <c r="E54" s="17">
        <f>IF($F$3="1",SUMIF(Data!$A:$A,$A$2,Data!JG:JG),0)</f>
        <v>96424</v>
      </c>
      <c r="F54" s="21">
        <f t="shared" si="3"/>
        <v>0.44</v>
      </c>
    </row>
    <row r="55" spans="1:6" x14ac:dyDescent="0.2">
      <c r="A55" s="19">
        <v>20</v>
      </c>
      <c r="B55" s="180" t="s">
        <v>18</v>
      </c>
      <c r="C55" s="181"/>
      <c r="D55" s="14">
        <f>IF(F3="1",SUMIF(Data!A:A,'28'!$A$2,Data!DN:DN),0)</f>
        <v>50869</v>
      </c>
      <c r="E55" s="17">
        <f>IF($F$3="1",SUMIF(Data!$A:$A,$A$2,Data!JH:JH),0)</f>
        <v>40801</v>
      </c>
      <c r="F55" s="21">
        <f t="shared" si="3"/>
        <v>0.8</v>
      </c>
    </row>
    <row r="56" spans="1:6" ht="14.25" customHeight="1" x14ac:dyDescent="0.2">
      <c r="A56" s="19">
        <v>21</v>
      </c>
      <c r="B56" s="180" t="s">
        <v>461</v>
      </c>
      <c r="C56" s="181"/>
      <c r="D56" s="14">
        <f>IF(F3="1",SUMIF(Data!A:A,'28'!$A$2,Data!DO:DO),0)</f>
        <v>39332</v>
      </c>
      <c r="E56" s="17">
        <f>IF($F$3="1",SUMIF(Data!$A:$A,$A$2,Data!JI:JI),0)</f>
        <v>147052</v>
      </c>
      <c r="F56" s="21">
        <f t="shared" si="3"/>
        <v>3.74</v>
      </c>
    </row>
    <row r="57" spans="1:6" x14ac:dyDescent="0.2">
      <c r="A57" s="19">
        <v>22</v>
      </c>
      <c r="B57" s="180" t="s">
        <v>19</v>
      </c>
      <c r="C57" s="181"/>
      <c r="D57" s="14">
        <f>IF(F3="1",SUMIF(Data!A:A,'28'!$A$2,Data!DP:DP),0)</f>
        <v>0</v>
      </c>
      <c r="E57" s="17">
        <f>IF($F$3="1",SUMIF(Data!$A:$A,$A$2,Data!JJ:JJ),0)</f>
        <v>0</v>
      </c>
      <c r="F57" s="21" t="str">
        <f t="shared" si="3"/>
        <v/>
      </c>
    </row>
    <row r="58" spans="1:6" x14ac:dyDescent="0.2">
      <c r="A58" s="19">
        <v>23</v>
      </c>
      <c r="B58" s="180" t="s">
        <v>20</v>
      </c>
      <c r="C58" s="181"/>
      <c r="D58" s="14">
        <f>IF(F3="1",SUMIF(Data!A:A,'28'!$A$2,Data!DQ:DQ),0)</f>
        <v>67392</v>
      </c>
      <c r="E58" s="17">
        <f>IF($F$3="1",SUMIF(Data!$A:$A,$A$2,Data!JK:JK),0)</f>
        <v>17599</v>
      </c>
      <c r="F58" s="21">
        <f t="shared" si="3"/>
        <v>0.26</v>
      </c>
    </row>
    <row r="59" spans="1:6" x14ac:dyDescent="0.2">
      <c r="A59" s="19">
        <v>24</v>
      </c>
      <c r="B59" s="180" t="s">
        <v>21</v>
      </c>
      <c r="C59" s="181"/>
      <c r="D59" s="14">
        <f>IF(F3="1",SUMIF(Data!A:A,'28'!$A$2,Data!DR:DR),0)</f>
        <v>115811</v>
      </c>
      <c r="E59" s="17">
        <f>IF($F$3="1",SUMIF(Data!$A:$A,$A$2,Data!JL:JL),0)</f>
        <v>55896</v>
      </c>
      <c r="F59" s="21">
        <f t="shared" si="3"/>
        <v>0.48</v>
      </c>
    </row>
    <row r="60" spans="1:6" x14ac:dyDescent="0.2">
      <c r="A60" s="19">
        <v>25</v>
      </c>
      <c r="B60" s="180" t="s">
        <v>22</v>
      </c>
      <c r="C60" s="181"/>
      <c r="D60" s="14">
        <f>IF(F3="1",SUMIF(Data!A:A,'28'!$A$2,Data!DS:DS),0)</f>
        <v>344626</v>
      </c>
      <c r="E60" s="17">
        <f>IF($F$3="1",SUMIF(Data!$A:$A,$A$2,Data!JM:JM),0)</f>
        <v>31144</v>
      </c>
      <c r="F60" s="21">
        <f t="shared" si="3"/>
        <v>0.09</v>
      </c>
    </row>
    <row r="61" spans="1:6" x14ac:dyDescent="0.2">
      <c r="A61" s="19">
        <v>26</v>
      </c>
      <c r="B61" s="180" t="s">
        <v>23</v>
      </c>
      <c r="C61" s="181"/>
      <c r="D61" s="14">
        <f>IF(F3="1",SUMIF(Data!A:A,'28'!$A$2,Data!DT:DT),0)</f>
        <v>121936</v>
      </c>
      <c r="E61" s="17">
        <f>IF($F$3="1",SUMIF(Data!$A:$A,$A$2,Data!JN:JN),0)</f>
        <v>41329</v>
      </c>
      <c r="F61" s="21">
        <f t="shared" si="3"/>
        <v>0.34</v>
      </c>
    </row>
    <row r="62" spans="1:6" x14ac:dyDescent="0.2">
      <c r="A62" s="19">
        <v>28</v>
      </c>
      <c r="B62" s="180" t="s">
        <v>24</v>
      </c>
      <c r="C62" s="181"/>
      <c r="D62" s="14">
        <f>IF(F3="1",SUMIF(Data!A:A,'28'!$A$2,Data!DV:DV),0)</f>
        <v>0</v>
      </c>
      <c r="E62" s="17">
        <f>IF($F$3="1",SUMIF(Data!$A:$A,$A$2,Data!JP:JP),0)</f>
        <v>0</v>
      </c>
      <c r="F62" s="21" t="str">
        <f t="shared" si="3"/>
        <v/>
      </c>
    </row>
    <row r="63" spans="1:6" ht="15.75" customHeight="1" thickBot="1" x14ac:dyDescent="0.25">
      <c r="A63" s="22">
        <v>29</v>
      </c>
      <c r="B63" s="184" t="s">
        <v>25</v>
      </c>
      <c r="C63" s="185"/>
      <c r="D63" s="23">
        <f>IF(F3="1",SUMIF(Data!A:A,'28'!$A$2,Data!DW:DW),0)</f>
        <v>0</v>
      </c>
      <c r="E63" s="24">
        <f>IF($F$3="1",SUMIF(Data!$A:$A,$A$2,Data!JQ:JQ),0)</f>
        <v>0</v>
      </c>
      <c r="F63" s="25" t="str">
        <f t="shared" si="3"/>
        <v/>
      </c>
    </row>
    <row r="64" spans="1:6" x14ac:dyDescent="0.2">
      <c r="B64" s="30" t="s">
        <v>35</v>
      </c>
      <c r="C64" s="30"/>
      <c r="D64" s="59">
        <f>SUM(D36:D63)</f>
        <v>2388257</v>
      </c>
      <c r="E64" s="31">
        <f>SUM(E36:E63)</f>
        <v>1768990</v>
      </c>
      <c r="F64" s="32">
        <f t="shared" si="3"/>
        <v>0.74</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9468</v>
      </c>
      <c r="E67" s="15">
        <f>IF(F3="1",SUMIF(Data!A:A,'28'!$A$2,Data!DY:DY),0)</f>
        <v>41647</v>
      </c>
      <c r="F67" s="20">
        <f t="shared" ref="F67:F95" si="4">IF(OR(D67=0,E67=0),"",ROUND(E67/D67,2))</f>
        <v>4.4000000000000004</v>
      </c>
    </row>
    <row r="68" spans="1:6" x14ac:dyDescent="0.2">
      <c r="A68" s="19">
        <v>2</v>
      </c>
      <c r="B68" s="180" t="s">
        <v>1</v>
      </c>
      <c r="C68" s="181"/>
      <c r="D68" s="14">
        <f t="shared" ref="D68:D94" si="5">D37</f>
        <v>65204</v>
      </c>
      <c r="E68" s="17">
        <f>IF(F3="1",SUMIF(Data!A:A,'28'!$A$2,Data!DZ:DZ),0)</f>
        <v>248698</v>
      </c>
      <c r="F68" s="21">
        <f t="shared" si="4"/>
        <v>3.81</v>
      </c>
    </row>
    <row r="69" spans="1:6" ht="14.25" customHeight="1" x14ac:dyDescent="0.2">
      <c r="A69" s="19">
        <v>3</v>
      </c>
      <c r="B69" s="180" t="s">
        <v>2</v>
      </c>
      <c r="C69" s="181"/>
      <c r="D69" s="14">
        <f t="shared" si="5"/>
        <v>301920</v>
      </c>
      <c r="E69" s="17">
        <f>IF(F3="1",SUMIF(Data!A:A,'28'!$A$2,Data!EA:EA),0)</f>
        <v>463730</v>
      </c>
      <c r="F69" s="21">
        <f t="shared" si="4"/>
        <v>1.54</v>
      </c>
    </row>
    <row r="70" spans="1:6" ht="14.25" customHeight="1" x14ac:dyDescent="0.2">
      <c r="A70" s="19">
        <v>4</v>
      </c>
      <c r="B70" s="180" t="s">
        <v>3</v>
      </c>
      <c r="C70" s="181"/>
      <c r="D70" s="14">
        <f t="shared" si="5"/>
        <v>147320</v>
      </c>
      <c r="E70" s="17">
        <f>IF(F3="1",SUMIF(Data!A:A,'28'!$A$2,Data!EB:EB),0)</f>
        <v>443586</v>
      </c>
      <c r="F70" s="21">
        <f t="shared" si="4"/>
        <v>3.01</v>
      </c>
    </row>
    <row r="71" spans="1:6" x14ac:dyDescent="0.2">
      <c r="A71" s="19">
        <v>5</v>
      </c>
      <c r="B71" s="180" t="s">
        <v>4</v>
      </c>
      <c r="C71" s="181"/>
      <c r="D71" s="14">
        <f t="shared" si="5"/>
        <v>22286</v>
      </c>
      <c r="E71" s="17">
        <f>IF(F3="1",SUMIF(Data!A:A,'28'!$A$2,Data!EC:EC),0)</f>
        <v>163696</v>
      </c>
      <c r="F71" s="21">
        <f t="shared" si="4"/>
        <v>7.35</v>
      </c>
    </row>
    <row r="72" spans="1:6" x14ac:dyDescent="0.2">
      <c r="A72" s="19">
        <v>6</v>
      </c>
      <c r="B72" s="180" t="s">
        <v>5</v>
      </c>
      <c r="C72" s="181"/>
      <c r="D72" s="14">
        <f t="shared" si="5"/>
        <v>13360</v>
      </c>
      <c r="E72" s="17">
        <f>IF(F3="1",SUMIF(Data!A:A,'28'!$A$2,Data!ED:ED),0)</f>
        <v>112703</v>
      </c>
      <c r="F72" s="21">
        <f t="shared" si="4"/>
        <v>8.44</v>
      </c>
    </row>
    <row r="73" spans="1:6" x14ac:dyDescent="0.2">
      <c r="A73" s="19">
        <v>7</v>
      </c>
      <c r="B73" s="180" t="s">
        <v>6</v>
      </c>
      <c r="C73" s="181"/>
      <c r="D73" s="14">
        <f t="shared" si="5"/>
        <v>99888</v>
      </c>
      <c r="E73" s="17">
        <f>IF(F3="1",SUMIF(Data!A:A,'28'!$A$2,Data!EE:EE),0)</f>
        <v>285149</v>
      </c>
      <c r="F73" s="21">
        <f t="shared" si="4"/>
        <v>2.85</v>
      </c>
    </row>
    <row r="74" spans="1:6" x14ac:dyDescent="0.2">
      <c r="A74" s="19">
        <v>8</v>
      </c>
      <c r="B74" s="180" t="s">
        <v>7</v>
      </c>
      <c r="C74" s="181"/>
      <c r="D74" s="14">
        <f t="shared" si="5"/>
        <v>0</v>
      </c>
      <c r="E74" s="17">
        <f>IF(F3="1",SUMIF(Data!A:A,'28'!$A$2,Data!EF:EF),0)</f>
        <v>0</v>
      </c>
      <c r="F74" s="21" t="str">
        <f t="shared" si="4"/>
        <v/>
      </c>
    </row>
    <row r="75" spans="1:6" x14ac:dyDescent="0.2">
      <c r="A75" s="19">
        <v>9</v>
      </c>
      <c r="B75" s="180" t="s">
        <v>8</v>
      </c>
      <c r="C75" s="181"/>
      <c r="D75" s="14">
        <f t="shared" si="5"/>
        <v>34531</v>
      </c>
      <c r="E75" s="17">
        <f>IF(F3="1",SUMIF(Data!A:A,'28'!$A$2,Data!EG:EG),0)</f>
        <v>52238</v>
      </c>
      <c r="F75" s="21">
        <f t="shared" si="4"/>
        <v>1.51</v>
      </c>
    </row>
    <row r="76" spans="1:6" x14ac:dyDescent="0.2">
      <c r="A76" s="19">
        <v>10</v>
      </c>
      <c r="B76" s="180" t="s">
        <v>9</v>
      </c>
      <c r="C76" s="181"/>
      <c r="D76" s="14">
        <f t="shared" si="5"/>
        <v>1962</v>
      </c>
      <c r="E76" s="17">
        <f>IF(F3="1",SUMIF(Data!A:A,'28'!$A$2,Data!EH:EH),0)</f>
        <v>1499</v>
      </c>
      <c r="F76" s="21">
        <f t="shared" si="4"/>
        <v>0.76</v>
      </c>
    </row>
    <row r="77" spans="1:6" x14ac:dyDescent="0.2">
      <c r="A77" s="19">
        <v>11</v>
      </c>
      <c r="B77" s="180" t="s">
        <v>10</v>
      </c>
      <c r="C77" s="181"/>
      <c r="D77" s="14">
        <f t="shared" si="5"/>
        <v>43360</v>
      </c>
      <c r="E77" s="17">
        <f>IF(F3="1",SUMIF(Data!A:A,'28'!$A$2,Data!EI:EI),0)</f>
        <v>207492</v>
      </c>
      <c r="F77" s="21">
        <f t="shared" si="4"/>
        <v>4.79</v>
      </c>
    </row>
    <row r="78" spans="1:6" ht="14.25" customHeight="1" x14ac:dyDescent="0.2">
      <c r="A78" s="19">
        <v>12</v>
      </c>
      <c r="B78" s="180" t="s">
        <v>11</v>
      </c>
      <c r="C78" s="181"/>
      <c r="D78" s="14">
        <f t="shared" si="5"/>
        <v>316288</v>
      </c>
      <c r="E78" s="17">
        <f>IF(F3="1",SUMIF(Data!A:A,'28'!$A$2,Data!EJ:EJ),0)</f>
        <v>1027610</v>
      </c>
      <c r="F78" s="21">
        <f t="shared" si="4"/>
        <v>3.25</v>
      </c>
    </row>
    <row r="79" spans="1:6" x14ac:dyDescent="0.2">
      <c r="A79" s="19">
        <v>13</v>
      </c>
      <c r="B79" s="180" t="s">
        <v>12</v>
      </c>
      <c r="C79" s="181"/>
      <c r="D79" s="14">
        <f t="shared" si="5"/>
        <v>62784</v>
      </c>
      <c r="E79" s="17">
        <f>IF(F3="1",SUMIF(Data!A:A,'28'!$A$2,Data!EK:EK),0)</f>
        <v>125455</v>
      </c>
      <c r="F79" s="21">
        <f t="shared" si="4"/>
        <v>2</v>
      </c>
    </row>
    <row r="80" spans="1:6" ht="14.25" customHeight="1" x14ac:dyDescent="0.2">
      <c r="A80" s="19">
        <v>14</v>
      </c>
      <c r="B80" s="180" t="s">
        <v>464</v>
      </c>
      <c r="C80" s="181"/>
      <c r="D80" s="14">
        <f t="shared" si="5"/>
        <v>90308</v>
      </c>
      <c r="E80" s="17">
        <f>IF(F3="1",SUMIF(Data!A:A,'28'!$A$2,Data!EL:EL),0)</f>
        <v>471056</v>
      </c>
      <c r="F80" s="21">
        <f t="shared" si="4"/>
        <v>5.22</v>
      </c>
    </row>
    <row r="81" spans="1:6" x14ac:dyDescent="0.2">
      <c r="A81" s="19">
        <v>15</v>
      </c>
      <c r="B81" s="180" t="s">
        <v>13</v>
      </c>
      <c r="C81" s="181"/>
      <c r="D81" s="14">
        <f t="shared" si="5"/>
        <v>0</v>
      </c>
      <c r="E81" s="17">
        <f>IF(F3="1",SUMIF(Data!A:A,'28'!$A$2,Data!EM:EM),0)</f>
        <v>0</v>
      </c>
      <c r="F81" s="21" t="str">
        <f t="shared" si="4"/>
        <v/>
      </c>
    </row>
    <row r="82" spans="1:6" x14ac:dyDescent="0.2">
      <c r="A82" s="19">
        <v>16</v>
      </c>
      <c r="B82" s="180" t="s">
        <v>14</v>
      </c>
      <c r="C82" s="181"/>
      <c r="D82" s="14">
        <f t="shared" si="5"/>
        <v>160964</v>
      </c>
      <c r="E82" s="17">
        <f>IF(F3="1",SUMIF(Data!A:A,'28'!$A$2,Data!EN:EN),0)</f>
        <v>541949</v>
      </c>
      <c r="F82" s="21">
        <f t="shared" si="4"/>
        <v>3.37</v>
      </c>
    </row>
    <row r="83" spans="1:6" x14ac:dyDescent="0.2">
      <c r="A83" s="19">
        <v>17</v>
      </c>
      <c r="B83" s="180" t="s">
        <v>15</v>
      </c>
      <c r="C83" s="181"/>
      <c r="D83" s="14">
        <f t="shared" si="5"/>
        <v>18597</v>
      </c>
      <c r="E83" s="17">
        <f>IF(F3="1",SUMIF(Data!A:A,'28'!$A$2,Data!EO:EO),0)</f>
        <v>121988</v>
      </c>
      <c r="F83" s="21">
        <f t="shared" si="4"/>
        <v>6.56</v>
      </c>
    </row>
    <row r="84" spans="1:6" x14ac:dyDescent="0.2">
      <c r="A84" s="19">
        <v>18</v>
      </c>
      <c r="B84" s="180" t="s">
        <v>16</v>
      </c>
      <c r="C84" s="181"/>
      <c r="D84" s="14">
        <f t="shared" si="5"/>
        <v>41411</v>
      </c>
      <c r="E84" s="17">
        <f>IF(F3="1",SUMIF(Data!A:A,'28'!$A$2,Data!EP:EP),0)</f>
        <v>269579</v>
      </c>
      <c r="F84" s="21">
        <f t="shared" si="4"/>
        <v>6.51</v>
      </c>
    </row>
    <row r="85" spans="1:6" x14ac:dyDescent="0.2">
      <c r="A85" s="19">
        <v>19</v>
      </c>
      <c r="B85" s="180" t="s">
        <v>17</v>
      </c>
      <c r="C85" s="181"/>
      <c r="D85" s="14">
        <f t="shared" si="5"/>
        <v>218640</v>
      </c>
      <c r="E85" s="17">
        <f>IF(F3="1",SUMIF(Data!A:A,'28'!$A$2,Data!EQ:EQ),0)</f>
        <v>530760</v>
      </c>
      <c r="F85" s="21">
        <f t="shared" si="4"/>
        <v>2.4300000000000002</v>
      </c>
    </row>
    <row r="86" spans="1:6" x14ac:dyDescent="0.2">
      <c r="A86" s="19">
        <v>20</v>
      </c>
      <c r="B86" s="180" t="s">
        <v>18</v>
      </c>
      <c r="C86" s="181"/>
      <c r="D86" s="14">
        <f t="shared" si="5"/>
        <v>50869</v>
      </c>
      <c r="E86" s="17">
        <f>IF(F3="1",SUMIF(Data!A:A,'28'!$A$2,Data!ER:ER),0)</f>
        <v>181373</v>
      </c>
      <c r="F86" s="21">
        <f t="shared" si="4"/>
        <v>3.57</v>
      </c>
    </row>
    <row r="87" spans="1:6" ht="14.25" customHeight="1" x14ac:dyDescent="0.2">
      <c r="A87" s="19">
        <v>21</v>
      </c>
      <c r="B87" s="180" t="s">
        <v>461</v>
      </c>
      <c r="C87" s="181"/>
      <c r="D87" s="14">
        <f t="shared" si="5"/>
        <v>39332</v>
      </c>
      <c r="E87" s="17">
        <f>IF(F3="1",SUMIF(Data!A:A,'28'!$A$2,Data!ES:ES),0)</f>
        <v>242902</v>
      </c>
      <c r="F87" s="21">
        <f t="shared" si="4"/>
        <v>6.18</v>
      </c>
    </row>
    <row r="88" spans="1:6" x14ac:dyDescent="0.2">
      <c r="A88" s="19">
        <v>22</v>
      </c>
      <c r="B88" s="180" t="s">
        <v>19</v>
      </c>
      <c r="C88" s="181"/>
      <c r="D88" s="14">
        <f t="shared" si="5"/>
        <v>0</v>
      </c>
      <c r="E88" s="17">
        <f>IF(F3="1",SUMIF(Data!A:A,'28'!$A$2,Data!ET:ET),0)</f>
        <v>0</v>
      </c>
      <c r="F88" s="21" t="str">
        <f t="shared" si="4"/>
        <v/>
      </c>
    </row>
    <row r="89" spans="1:6" x14ac:dyDescent="0.2">
      <c r="A89" s="19">
        <v>23</v>
      </c>
      <c r="B89" s="180" t="s">
        <v>20</v>
      </c>
      <c r="C89" s="181"/>
      <c r="D89" s="14">
        <f t="shared" si="5"/>
        <v>67392</v>
      </c>
      <c r="E89" s="17">
        <f>IF(F3="1",SUMIF(Data!A:A,'28'!$A$2,Data!EU:EU),0)</f>
        <v>484483</v>
      </c>
      <c r="F89" s="21">
        <f t="shared" si="4"/>
        <v>7.19</v>
      </c>
    </row>
    <row r="90" spans="1:6" x14ac:dyDescent="0.2">
      <c r="A90" s="19">
        <v>24</v>
      </c>
      <c r="B90" s="180" t="s">
        <v>21</v>
      </c>
      <c r="C90" s="181"/>
      <c r="D90" s="14">
        <f t="shared" si="5"/>
        <v>115811</v>
      </c>
      <c r="E90" s="17">
        <f>IF(F3="1",SUMIF(Data!A:A,'28'!$A$2,Data!EV:EV),0)</f>
        <v>285895</v>
      </c>
      <c r="F90" s="21">
        <f t="shared" si="4"/>
        <v>2.4700000000000002</v>
      </c>
    </row>
    <row r="91" spans="1:6" x14ac:dyDescent="0.2">
      <c r="A91" s="19">
        <v>25</v>
      </c>
      <c r="B91" s="180" t="s">
        <v>22</v>
      </c>
      <c r="C91" s="181"/>
      <c r="D91" s="14">
        <f t="shared" si="5"/>
        <v>344626</v>
      </c>
      <c r="E91" s="17">
        <f>IF(F3="1",SUMIF(Data!A:A,'28'!$A$2,Data!EW:EW),0)</f>
        <v>938028</v>
      </c>
      <c r="F91" s="21">
        <f t="shared" si="4"/>
        <v>2.72</v>
      </c>
    </row>
    <row r="92" spans="1:6" x14ac:dyDescent="0.2">
      <c r="A92" s="19">
        <v>26</v>
      </c>
      <c r="B92" s="180" t="s">
        <v>23</v>
      </c>
      <c r="C92" s="181"/>
      <c r="D92" s="14">
        <f t="shared" si="5"/>
        <v>121936</v>
      </c>
      <c r="E92" s="17">
        <f>IF(F3="1",SUMIF(Data!A:A,'28'!$A$2,Data!EX:EX),0)</f>
        <v>549261</v>
      </c>
      <c r="F92" s="21">
        <f t="shared" si="4"/>
        <v>4.5</v>
      </c>
    </row>
    <row r="93" spans="1:6" x14ac:dyDescent="0.2">
      <c r="A93" s="19">
        <v>28</v>
      </c>
      <c r="B93" s="180" t="s">
        <v>24</v>
      </c>
      <c r="C93" s="181"/>
      <c r="D93" s="14">
        <f t="shared" si="5"/>
        <v>0</v>
      </c>
      <c r="E93" s="17">
        <f>IF(F3="1",SUMIF(Data!A:A,'28'!$A$2,Data!EZ:EZ),0)</f>
        <v>0</v>
      </c>
      <c r="F93" s="21" t="str">
        <f t="shared" si="4"/>
        <v/>
      </c>
    </row>
    <row r="94" spans="1:6" ht="15.75" customHeight="1" thickBot="1" x14ac:dyDescent="0.25">
      <c r="A94" s="22">
        <v>29</v>
      </c>
      <c r="B94" s="184" t="s">
        <v>25</v>
      </c>
      <c r="C94" s="185"/>
      <c r="D94" s="23">
        <f t="shared" si="5"/>
        <v>0</v>
      </c>
      <c r="E94" s="24">
        <f>IF(F3="1",SUMIF(Data!A:A,'28'!$A$2,Data!FA:FA),0)</f>
        <v>0</v>
      </c>
      <c r="F94" s="25" t="str">
        <f t="shared" si="4"/>
        <v/>
      </c>
    </row>
    <row r="95" spans="1:6" x14ac:dyDescent="0.2">
      <c r="B95" s="30" t="s">
        <v>35</v>
      </c>
      <c r="C95" s="30"/>
      <c r="D95" s="59">
        <f>SUM(D67:D94)</f>
        <v>2388257</v>
      </c>
      <c r="E95" s="31">
        <f>SUM(E67:E94)</f>
        <v>7790777</v>
      </c>
      <c r="F95" s="32">
        <f t="shared" si="4"/>
        <v>3.26</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IF(F3="1",SUMIF(Data!A:A,'28'!$A$2,Data!AH:AH),0)</f>
        <v>2666824</v>
      </c>
      <c r="F98" s="20">
        <f>IF(OR(E98=0,E98=0),"",ROUND(E98/$D$105,2))</f>
        <v>1.1200000000000001</v>
      </c>
    </row>
    <row r="99" spans="2:6" x14ac:dyDescent="0.2">
      <c r="B99" s="190" t="s">
        <v>31</v>
      </c>
      <c r="C99" s="191"/>
      <c r="D99" s="36"/>
      <c r="E99" s="17">
        <f>IF(F3="1",SUMIF(Data!A:A,'28'!$A$2,Data!AI:AI),0)</f>
        <v>1440135</v>
      </c>
      <c r="F99" s="21">
        <f t="shared" ref="F99:F104" si="6">IF(OR(E99=0,E99=0),"",ROUND(E99/$D$105,2))</f>
        <v>0.6</v>
      </c>
    </row>
    <row r="100" spans="2:6" x14ac:dyDescent="0.2">
      <c r="B100" s="190" t="s">
        <v>1089</v>
      </c>
      <c r="C100" s="191"/>
      <c r="D100" s="36"/>
      <c r="E100" s="17">
        <f>IF(F3="1",SUMIF(Data!A:A,'28'!$A$2,Data!AJ:AJ),0)</f>
        <v>441920</v>
      </c>
      <c r="F100" s="21">
        <f t="shared" si="6"/>
        <v>0.19</v>
      </c>
    </row>
    <row r="101" spans="2:6" x14ac:dyDescent="0.2">
      <c r="B101" s="190" t="s">
        <v>1090</v>
      </c>
      <c r="C101" s="191"/>
      <c r="D101" s="36"/>
      <c r="E101" s="17">
        <f>IF(F3="1",SUMIF(Data!A:A,'28'!$A$2,Data!AK:AK),0)</f>
        <v>2612531</v>
      </c>
      <c r="F101" s="21">
        <f t="shared" si="6"/>
        <v>1.0900000000000001</v>
      </c>
    </row>
    <row r="102" spans="2:6" x14ac:dyDescent="0.2">
      <c r="B102" s="190" t="s">
        <v>1091</v>
      </c>
      <c r="C102" s="191"/>
      <c r="D102" s="36"/>
      <c r="E102" s="17">
        <f>IF(F3="1",SUMIF(Data!A:A,'28'!$A$2,Data!AL:AL),0)</f>
        <v>281269</v>
      </c>
      <c r="F102" s="21">
        <f t="shared" si="6"/>
        <v>0.12</v>
      </c>
    </row>
    <row r="103" spans="2:6" x14ac:dyDescent="0.2">
      <c r="B103" s="192" t="s">
        <v>34</v>
      </c>
      <c r="C103" s="193"/>
      <c r="D103" s="36"/>
      <c r="E103" s="17">
        <f>IF(F3="1",SUMIF(Data!A:A,'28'!$A$2,Data!AM:AM),0)</f>
        <v>0</v>
      </c>
      <c r="F103" s="21" t="str">
        <f t="shared" si="6"/>
        <v/>
      </c>
    </row>
    <row r="104" spans="2:6" ht="15.75" customHeight="1" thickBot="1" x14ac:dyDescent="0.25">
      <c r="B104" s="186" t="s">
        <v>29</v>
      </c>
      <c r="C104" s="187"/>
      <c r="D104" s="37"/>
      <c r="E104" s="24">
        <f>IF(F3="1",SUMIF(Data!A:A,'28'!$A$2,Data!Q:Q),0)</f>
        <v>1712229</v>
      </c>
      <c r="F104" s="25">
        <f t="shared" si="6"/>
        <v>0.72</v>
      </c>
    </row>
    <row r="105" spans="2:6" x14ac:dyDescent="0.2">
      <c r="B105" s="30" t="s">
        <v>35</v>
      </c>
      <c r="C105" s="30"/>
      <c r="D105" s="34">
        <f>D95</f>
        <v>2388257</v>
      </c>
      <c r="E105" s="31">
        <f>SUM(E98:E104)</f>
        <v>9154908</v>
      </c>
      <c r="F105" s="32">
        <f>IF($D$105=0,"",ROUND(E105/$D$105,2))</f>
        <v>3.83</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7790777</v>
      </c>
      <c r="D109" s="15">
        <f>IF(F3="1",SUMIF(Data!$A:$A,$A$2,Data!HJ:HJ),0)</f>
        <v>0</v>
      </c>
      <c r="E109" s="15">
        <f>IF(F3="1",SUMIF(Data!$A:$A,$A$2,Data!IN:IN),0)</f>
        <v>0</v>
      </c>
      <c r="F109" s="47">
        <f>SUM(C109:E109)</f>
        <v>7790777</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281269</v>
      </c>
      <c r="F116" s="48">
        <f t="shared" si="7"/>
        <v>281269</v>
      </c>
    </row>
    <row r="117" spans="1:6" ht="15" thickBot="1" x14ac:dyDescent="0.25">
      <c r="B117" s="43" t="s">
        <v>933</v>
      </c>
      <c r="C117" s="52"/>
      <c r="D117" s="52">
        <f>IF(F3="1",SUMIF(Data!A:A,$A$2,Data!Q:Q),0)</f>
        <v>1712229</v>
      </c>
      <c r="E117" s="52"/>
      <c r="F117" s="49">
        <f>SUM(C117:E117)</f>
        <v>1712229</v>
      </c>
    </row>
    <row r="118" spans="1:6" x14ac:dyDescent="0.2">
      <c r="B118" s="13" t="s">
        <v>35</v>
      </c>
      <c r="C118" s="4">
        <f>SUM(C109:C116)</f>
        <v>7790777</v>
      </c>
      <c r="D118" s="4">
        <f>SUM(D109:D116)</f>
        <v>0</v>
      </c>
      <c r="E118" s="4">
        <f>SUM(E109:E116)</f>
        <v>281269</v>
      </c>
      <c r="F118" s="4">
        <f>SUM(F109:F116)</f>
        <v>8072046</v>
      </c>
    </row>
    <row r="119" spans="1:6" ht="15" thickBot="1" x14ac:dyDescent="0.25"/>
    <row r="120" spans="1:6" ht="15" thickBot="1" x14ac:dyDescent="0.25">
      <c r="B120" s="55" t="s">
        <v>934</v>
      </c>
      <c r="C120" s="53"/>
      <c r="D120" s="53"/>
      <c r="E120" s="53">
        <f>IF(F3="1",SUMIF(Data!A:A,'28'!$A$2,Data!AM:AM),0)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384</v>
      </c>
      <c r="B2" s="58" t="str">
        <f>VLOOKUP(A2,Data!A:G,7,0)</f>
        <v>Navarro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8752</v>
      </c>
      <c r="E5" s="15">
        <f>E36+E67+IFERROR($E$105/$D$105*D5,0)</f>
        <v>97314.215060344941</v>
      </c>
      <c r="F5" s="20">
        <f>IF(OR(D5=0,E5=0),"",ROUND(E5/D5,2))</f>
        <v>11.12</v>
      </c>
    </row>
    <row r="6" spans="1:6" x14ac:dyDescent="0.2">
      <c r="A6" s="19">
        <v>2</v>
      </c>
      <c r="B6" s="180" t="s">
        <v>1</v>
      </c>
      <c r="C6" s="181"/>
      <c r="D6" s="14">
        <f t="shared" ref="D6:D32" si="0">D37</f>
        <v>20624</v>
      </c>
      <c r="E6" s="17">
        <f t="shared" ref="E6:E32" si="1">E37+E68+IFERROR($E$105/$D$105*D6,0)</f>
        <v>97724.239877119981</v>
      </c>
      <c r="F6" s="21">
        <f t="shared" ref="F6:F33" si="2">IF(OR(D6=0,E6=0),"",ROUND(E6/D6,2))</f>
        <v>4.74</v>
      </c>
    </row>
    <row r="7" spans="1:6" ht="14.25" customHeight="1" x14ac:dyDescent="0.2">
      <c r="A7" s="19">
        <v>3</v>
      </c>
      <c r="B7" s="180" t="s">
        <v>2</v>
      </c>
      <c r="C7" s="181"/>
      <c r="D7" s="14">
        <f t="shared" si="0"/>
        <v>280224</v>
      </c>
      <c r="E7" s="17">
        <f t="shared" si="1"/>
        <v>1190935.3593544448</v>
      </c>
      <c r="F7" s="21">
        <f t="shared" si="2"/>
        <v>4.25</v>
      </c>
    </row>
    <row r="8" spans="1:6" ht="14.25" customHeight="1" x14ac:dyDescent="0.2">
      <c r="A8" s="19">
        <v>4</v>
      </c>
      <c r="B8" s="180" t="s">
        <v>3</v>
      </c>
      <c r="C8" s="181"/>
      <c r="D8" s="14">
        <f t="shared" si="0"/>
        <v>252815</v>
      </c>
      <c r="E8" s="17">
        <f t="shared" si="1"/>
        <v>1163756.4049909855</v>
      </c>
      <c r="F8" s="21">
        <f t="shared" si="2"/>
        <v>4.5999999999999996</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24000</v>
      </c>
      <c r="E10" s="17">
        <f t="shared" si="1"/>
        <v>166752.61351100076</v>
      </c>
      <c r="F10" s="21">
        <f t="shared" si="2"/>
        <v>6.95</v>
      </c>
    </row>
    <row r="11" spans="1:6" x14ac:dyDescent="0.2">
      <c r="A11" s="19">
        <v>7</v>
      </c>
      <c r="B11" s="180" t="s">
        <v>6</v>
      </c>
      <c r="C11" s="181"/>
      <c r="D11" s="14">
        <f t="shared" si="0"/>
        <v>215166</v>
      </c>
      <c r="E11" s="17">
        <f t="shared" si="1"/>
        <v>977513.89552949951</v>
      </c>
      <c r="F11" s="21">
        <f t="shared" si="2"/>
        <v>4.54</v>
      </c>
    </row>
    <row r="12" spans="1:6" x14ac:dyDescent="0.2">
      <c r="A12" s="19">
        <v>8</v>
      </c>
      <c r="B12" s="180" t="s">
        <v>7</v>
      </c>
      <c r="C12" s="181"/>
      <c r="D12" s="14">
        <f t="shared" si="0"/>
        <v>1792</v>
      </c>
      <c r="E12" s="17">
        <f t="shared" si="1"/>
        <v>7319.9471421547223</v>
      </c>
      <c r="F12" s="21">
        <f t="shared" si="2"/>
        <v>4.08</v>
      </c>
    </row>
    <row r="13" spans="1:6" x14ac:dyDescent="0.2">
      <c r="A13" s="19">
        <v>9</v>
      </c>
      <c r="B13" s="180" t="s">
        <v>8</v>
      </c>
      <c r="C13" s="181"/>
      <c r="D13" s="14">
        <f t="shared" si="0"/>
        <v>85088</v>
      </c>
      <c r="E13" s="17">
        <f t="shared" si="1"/>
        <v>373982.29376766796</v>
      </c>
      <c r="F13" s="21">
        <f t="shared" si="2"/>
        <v>4.4000000000000004</v>
      </c>
    </row>
    <row r="14" spans="1:6" x14ac:dyDescent="0.2">
      <c r="A14" s="19">
        <v>10</v>
      </c>
      <c r="B14" s="180" t="s">
        <v>9</v>
      </c>
      <c r="C14" s="181"/>
      <c r="D14" s="14">
        <f t="shared" si="0"/>
        <v>768</v>
      </c>
      <c r="E14" s="17">
        <f t="shared" si="1"/>
        <v>11091.691632352024</v>
      </c>
      <c r="F14" s="21">
        <f t="shared" si="2"/>
        <v>14.44</v>
      </c>
    </row>
    <row r="15" spans="1:6" x14ac:dyDescent="0.2">
      <c r="A15" s="19">
        <v>11</v>
      </c>
      <c r="B15" s="180" t="s">
        <v>10</v>
      </c>
      <c r="C15" s="181"/>
      <c r="D15" s="14">
        <f t="shared" si="0"/>
        <v>3928</v>
      </c>
      <c r="E15" s="17">
        <f t="shared" si="1"/>
        <v>15354.37074463379</v>
      </c>
      <c r="F15" s="21">
        <f t="shared" si="2"/>
        <v>3.91</v>
      </c>
    </row>
    <row r="16" spans="1:6" ht="14.25" customHeight="1" x14ac:dyDescent="0.2">
      <c r="A16" s="19">
        <v>12</v>
      </c>
      <c r="B16" s="180" t="s">
        <v>11</v>
      </c>
      <c r="C16" s="181"/>
      <c r="D16" s="14">
        <f t="shared" si="0"/>
        <v>471632</v>
      </c>
      <c r="E16" s="17">
        <f t="shared" si="1"/>
        <v>2050237.400975846</v>
      </c>
      <c r="F16" s="21">
        <f t="shared" si="2"/>
        <v>4.3499999999999996</v>
      </c>
    </row>
    <row r="17" spans="1:6" x14ac:dyDescent="0.2">
      <c r="A17" s="19">
        <v>13</v>
      </c>
      <c r="B17" s="180" t="s">
        <v>12</v>
      </c>
      <c r="C17" s="181"/>
      <c r="D17" s="14">
        <f t="shared" si="0"/>
        <v>23528</v>
      </c>
      <c r="E17" s="17">
        <f t="shared" si="1"/>
        <v>92124.355111951067</v>
      </c>
      <c r="F17" s="21">
        <f t="shared" si="2"/>
        <v>3.92</v>
      </c>
    </row>
    <row r="18" spans="1:6" ht="14.25" customHeight="1" x14ac:dyDescent="0.2">
      <c r="A18" s="19">
        <v>14</v>
      </c>
      <c r="B18" s="180" t="s">
        <v>464</v>
      </c>
      <c r="C18" s="181"/>
      <c r="D18" s="14">
        <f t="shared" si="0"/>
        <v>84344</v>
      </c>
      <c r="E18" s="17">
        <f t="shared" si="1"/>
        <v>722295.12374882703</v>
      </c>
      <c r="F18" s="21">
        <f t="shared" si="2"/>
        <v>8.56</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101333</v>
      </c>
      <c r="E20" s="17">
        <f t="shared" si="1"/>
        <v>549469.61091292661</v>
      </c>
      <c r="F20" s="21">
        <f t="shared" si="2"/>
        <v>5.42</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110832</v>
      </c>
      <c r="E22" s="17">
        <f t="shared" si="1"/>
        <v>623551.81119380146</v>
      </c>
      <c r="F22" s="21">
        <f t="shared" si="2"/>
        <v>5.63</v>
      </c>
    </row>
    <row r="23" spans="1:6" x14ac:dyDescent="0.2">
      <c r="A23" s="19">
        <v>19</v>
      </c>
      <c r="B23" s="180" t="s">
        <v>17</v>
      </c>
      <c r="C23" s="181"/>
      <c r="D23" s="14">
        <f t="shared" si="0"/>
        <v>296240</v>
      </c>
      <c r="E23" s="17">
        <f t="shared" si="1"/>
        <v>1325924.4494374525</v>
      </c>
      <c r="F23" s="21">
        <f t="shared" si="2"/>
        <v>4.4800000000000004</v>
      </c>
    </row>
    <row r="24" spans="1:6" x14ac:dyDescent="0.2">
      <c r="A24" s="19">
        <v>20</v>
      </c>
      <c r="B24" s="180" t="s">
        <v>18</v>
      </c>
      <c r="C24" s="181"/>
      <c r="D24" s="14">
        <f t="shared" si="0"/>
        <v>0</v>
      </c>
      <c r="E24" s="17">
        <f t="shared" si="1"/>
        <v>0</v>
      </c>
      <c r="F24" s="21" t="str">
        <f t="shared" si="2"/>
        <v/>
      </c>
    </row>
    <row r="25" spans="1:6" ht="14.25" customHeight="1" x14ac:dyDescent="0.2">
      <c r="A25" s="19">
        <v>21</v>
      </c>
      <c r="B25" s="180" t="s">
        <v>461</v>
      </c>
      <c r="C25" s="181"/>
      <c r="D25" s="14">
        <f t="shared" si="0"/>
        <v>35268</v>
      </c>
      <c r="E25" s="17">
        <f t="shared" si="1"/>
        <v>249049.51105441561</v>
      </c>
      <c r="F25" s="21">
        <f t="shared" si="2"/>
        <v>7.06</v>
      </c>
    </row>
    <row r="26" spans="1:6" x14ac:dyDescent="0.2">
      <c r="A26" s="19">
        <v>22</v>
      </c>
      <c r="B26" s="180" t="s">
        <v>19</v>
      </c>
      <c r="C26" s="181"/>
      <c r="D26" s="14">
        <f t="shared" si="0"/>
        <v>0</v>
      </c>
      <c r="E26" s="17">
        <f t="shared" si="1"/>
        <v>0</v>
      </c>
      <c r="F26" s="21" t="str">
        <f t="shared" si="2"/>
        <v/>
      </c>
    </row>
    <row r="27" spans="1:6" x14ac:dyDescent="0.2">
      <c r="A27" s="19">
        <v>23</v>
      </c>
      <c r="B27" s="180" t="s">
        <v>20</v>
      </c>
      <c r="C27" s="181"/>
      <c r="D27" s="14">
        <f t="shared" si="0"/>
        <v>119008</v>
      </c>
      <c r="E27" s="17">
        <f t="shared" si="1"/>
        <v>627273.50752988236</v>
      </c>
      <c r="F27" s="21">
        <f t="shared" si="2"/>
        <v>5.27</v>
      </c>
    </row>
    <row r="28" spans="1:6" x14ac:dyDescent="0.2">
      <c r="A28" s="19">
        <v>24</v>
      </c>
      <c r="B28" s="180" t="s">
        <v>21</v>
      </c>
      <c r="C28" s="181"/>
      <c r="D28" s="14">
        <f t="shared" si="0"/>
        <v>121432</v>
      </c>
      <c r="E28" s="17">
        <f t="shared" si="1"/>
        <v>709276.19049449346</v>
      </c>
      <c r="F28" s="21">
        <f t="shared" si="2"/>
        <v>5.84</v>
      </c>
    </row>
    <row r="29" spans="1:6" x14ac:dyDescent="0.2">
      <c r="A29" s="19">
        <v>25</v>
      </c>
      <c r="B29" s="180" t="s">
        <v>22</v>
      </c>
      <c r="C29" s="181"/>
      <c r="D29" s="14">
        <f t="shared" si="0"/>
        <v>376576</v>
      </c>
      <c r="E29" s="17">
        <f t="shared" si="1"/>
        <v>1630259.4637299425</v>
      </c>
      <c r="F29" s="21">
        <f t="shared" si="2"/>
        <v>4.33</v>
      </c>
    </row>
    <row r="30" spans="1:6" x14ac:dyDescent="0.2">
      <c r="A30" s="19">
        <v>26</v>
      </c>
      <c r="B30" s="180" t="s">
        <v>23</v>
      </c>
      <c r="C30" s="181"/>
      <c r="D30" s="14">
        <f t="shared" si="0"/>
        <v>124462</v>
      </c>
      <c r="E30" s="17">
        <f t="shared" si="1"/>
        <v>750881.5442002574</v>
      </c>
      <c r="F30" s="21">
        <f t="shared" si="2"/>
        <v>6.03</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2757812</v>
      </c>
      <c r="E33" s="31">
        <f>SUM(E5:E32)</f>
        <v>13432087.999999996</v>
      </c>
      <c r="F33" s="32">
        <f t="shared" si="2"/>
        <v>4.87</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IF(F3="1",SUMIF(Data!A:A,'29'!$A$2,Data!CU:CU),0)</f>
        <v>8752</v>
      </c>
      <c r="E36" s="15">
        <f>IF(F3="1",SUMIF(Data!$A:$A,$A$2,Data!IO:IO),0)</f>
        <v>9199</v>
      </c>
      <c r="F36" s="20">
        <f t="shared" ref="F36:F64" si="3">IF(OR(D36=0,E36=0),"",ROUND(E36/D36,2))</f>
        <v>1.05</v>
      </c>
    </row>
    <row r="37" spans="1:6" x14ac:dyDescent="0.2">
      <c r="A37" s="19">
        <v>2</v>
      </c>
      <c r="B37" s="180" t="s">
        <v>1</v>
      </c>
      <c r="C37" s="181"/>
      <c r="D37" s="14">
        <f>IF(F3="1",SUMIF(Data!A:A,'29'!$A$2,Data!CV:CV),0)</f>
        <v>20624</v>
      </c>
      <c r="E37" s="17">
        <f>IF(F3="1",SUMIF(Data!$A:$A,$A$2,Data!IP:IP),0)</f>
        <v>3967</v>
      </c>
      <c r="F37" s="21">
        <f t="shared" si="3"/>
        <v>0.19</v>
      </c>
    </row>
    <row r="38" spans="1:6" ht="14.25" customHeight="1" x14ac:dyDescent="0.2">
      <c r="A38" s="19">
        <v>3</v>
      </c>
      <c r="B38" s="180" t="s">
        <v>2</v>
      </c>
      <c r="C38" s="181"/>
      <c r="D38" s="14">
        <f>IF(F3="1",SUMIF(Data!A:A,'29'!$A$2,Data!CW:CW),0)</f>
        <v>280224</v>
      </c>
      <c r="E38" s="17">
        <f>IF($F$3="1",SUMIF(Data!$A:$A,$A$2,Data!IQ:IQ),0)</f>
        <v>36052</v>
      </c>
      <c r="F38" s="21">
        <f t="shared" si="3"/>
        <v>0.13</v>
      </c>
    </row>
    <row r="39" spans="1:6" ht="14.25" customHeight="1" x14ac:dyDescent="0.2">
      <c r="A39" s="19">
        <v>4</v>
      </c>
      <c r="B39" s="180" t="s">
        <v>3</v>
      </c>
      <c r="C39" s="181"/>
      <c r="D39" s="14">
        <f>IF(F3="1",SUMIF(Data!A:A,'29'!$A$2,Data!CX:CX),0)</f>
        <v>252815</v>
      </c>
      <c r="E39" s="17">
        <f>IF($F$3="1",SUMIF(Data!$A:$A,$A$2,Data!IR:IR),0)</f>
        <v>29912</v>
      </c>
      <c r="F39" s="21">
        <f t="shared" si="3"/>
        <v>0.12</v>
      </c>
    </row>
    <row r="40" spans="1:6" x14ac:dyDescent="0.2">
      <c r="A40" s="19">
        <v>5</v>
      </c>
      <c r="B40" s="180" t="s">
        <v>4</v>
      </c>
      <c r="C40" s="181"/>
      <c r="D40" s="14">
        <f>IF(F3="1",SUMIF(Data!A:A,'29'!$A$2,Data!CY:CY),0)</f>
        <v>0</v>
      </c>
      <c r="E40" s="17">
        <f>IF($F$3="1",SUMIF(Data!$A:$A,$A$2,Data!IS:IS),0)</f>
        <v>0</v>
      </c>
      <c r="F40" s="21" t="str">
        <f t="shared" si="3"/>
        <v/>
      </c>
    </row>
    <row r="41" spans="1:6" x14ac:dyDescent="0.2">
      <c r="A41" s="19">
        <v>6</v>
      </c>
      <c r="B41" s="180" t="s">
        <v>5</v>
      </c>
      <c r="C41" s="181"/>
      <c r="D41" s="14">
        <f>IF(F3="1",SUMIF(Data!A:A,'29'!$A$2,Data!CZ:CZ),0)</f>
        <v>24000</v>
      </c>
      <c r="E41" s="17">
        <f>IF($F$3="1",SUMIF(Data!$A:$A,$A$2,Data!IT:IT),0)</f>
        <v>5838</v>
      </c>
      <c r="F41" s="21">
        <f t="shared" si="3"/>
        <v>0.24</v>
      </c>
    </row>
    <row r="42" spans="1:6" x14ac:dyDescent="0.2">
      <c r="A42" s="19">
        <v>7</v>
      </c>
      <c r="B42" s="180" t="s">
        <v>6</v>
      </c>
      <c r="C42" s="181"/>
      <c r="D42" s="14">
        <f>IF(F3="1",SUMIF(Data!A:A,'29'!$A$2,Data!DA:DA),0)</f>
        <v>215166</v>
      </c>
      <c r="E42" s="17">
        <f>IF($F$3="1",SUMIF(Data!$A:$A,$A$2,Data!IU:IU),0)</f>
        <v>29981</v>
      </c>
      <c r="F42" s="21">
        <f t="shared" si="3"/>
        <v>0.14000000000000001</v>
      </c>
    </row>
    <row r="43" spans="1:6" x14ac:dyDescent="0.2">
      <c r="A43" s="19">
        <v>8</v>
      </c>
      <c r="B43" s="180" t="s">
        <v>7</v>
      </c>
      <c r="C43" s="181"/>
      <c r="D43" s="14">
        <f>IF(F3="1",SUMIF(Data!A:A,'29'!$A$2,Data!DB:DB),0)</f>
        <v>1792</v>
      </c>
      <c r="E43" s="17">
        <f>IF($F$3="1",SUMIF(Data!$A:$A,$A$2,Data!IV:IV),0)</f>
        <v>729</v>
      </c>
      <c r="F43" s="21">
        <f t="shared" si="3"/>
        <v>0.41</v>
      </c>
    </row>
    <row r="44" spans="1:6" x14ac:dyDescent="0.2">
      <c r="A44" s="19">
        <v>9</v>
      </c>
      <c r="B44" s="180" t="s">
        <v>8</v>
      </c>
      <c r="C44" s="181"/>
      <c r="D44" s="14">
        <f>IF(F3="1",SUMIF(Data!A:A,'29'!$A$2,Data!DC:DC),0)</f>
        <v>85088</v>
      </c>
      <c r="E44" s="17">
        <f>IF($F$3="1",SUMIF(Data!$A:$A,$A$2,Data!IW:IW),0)</f>
        <v>5104</v>
      </c>
      <c r="F44" s="21">
        <f t="shared" si="3"/>
        <v>0.06</v>
      </c>
    </row>
    <row r="45" spans="1:6" x14ac:dyDescent="0.2">
      <c r="A45" s="19">
        <v>10</v>
      </c>
      <c r="B45" s="180" t="s">
        <v>9</v>
      </c>
      <c r="C45" s="181"/>
      <c r="D45" s="14">
        <f>IF(F3="1",SUMIF(Data!A:A,'29'!$A$2,Data!DD:DD),0)</f>
        <v>768</v>
      </c>
      <c r="E45" s="17">
        <f>IF($F$3="1",SUMIF(Data!$A:$A,$A$2,Data!IX:IX),0)</f>
        <v>29</v>
      </c>
      <c r="F45" s="21">
        <f t="shared" si="3"/>
        <v>0.04</v>
      </c>
    </row>
    <row r="46" spans="1:6" x14ac:dyDescent="0.2">
      <c r="A46" s="19">
        <v>11</v>
      </c>
      <c r="B46" s="180" t="s">
        <v>10</v>
      </c>
      <c r="C46" s="181"/>
      <c r="D46" s="14">
        <f>IF(F3="1",SUMIF(Data!A:A,'29'!$A$2,Data!DE:DE),0)</f>
        <v>3928</v>
      </c>
      <c r="E46" s="17">
        <f>IF($F$3="1",SUMIF(Data!$A:$A,$A$2,Data!IY:IY),0)</f>
        <v>0</v>
      </c>
      <c r="F46" s="21" t="str">
        <f t="shared" si="3"/>
        <v/>
      </c>
    </row>
    <row r="47" spans="1:6" ht="14.25" customHeight="1" x14ac:dyDescent="0.2">
      <c r="A47" s="19">
        <v>12</v>
      </c>
      <c r="B47" s="180" t="s">
        <v>11</v>
      </c>
      <c r="C47" s="181"/>
      <c r="D47" s="14">
        <f>IF(F3="1",SUMIF(Data!A:A,'29'!$A$2,Data!DF:DF),0)</f>
        <v>471632</v>
      </c>
      <c r="E47" s="17">
        <f>IF($F$3="1",SUMIF(Data!$A:$A,$A$2,Data!IZ:IZ),0)</f>
        <v>38561</v>
      </c>
      <c r="F47" s="21">
        <f t="shared" si="3"/>
        <v>0.08</v>
      </c>
    </row>
    <row r="48" spans="1:6" x14ac:dyDescent="0.2">
      <c r="A48" s="19">
        <v>13</v>
      </c>
      <c r="B48" s="180" t="s">
        <v>12</v>
      </c>
      <c r="C48" s="181"/>
      <c r="D48" s="14">
        <f>IF(F3="1",SUMIF(Data!A:A,'29'!$A$2,Data!DG:DG),0)</f>
        <v>23528</v>
      </c>
      <c r="E48" s="17">
        <f>IF($F$3="1",SUMIF(Data!$A:$A,$A$2,Data!JA:JA),0)</f>
        <v>2619</v>
      </c>
      <c r="F48" s="21">
        <f t="shared" si="3"/>
        <v>0.11</v>
      </c>
    </row>
    <row r="49" spans="1:6" ht="14.25" customHeight="1" x14ac:dyDescent="0.2">
      <c r="A49" s="19">
        <v>14</v>
      </c>
      <c r="B49" s="180" t="s">
        <v>464</v>
      </c>
      <c r="C49" s="181"/>
      <c r="D49" s="14">
        <f>IF(F3="1",SUMIF(Data!A:A,'29'!$A$2,Data!DH:DH),0)</f>
        <v>84344</v>
      </c>
      <c r="E49" s="17">
        <f>IF($F$3="1",SUMIF(Data!$A:$A,$A$2,Data!JB:JB),0)</f>
        <v>36693</v>
      </c>
      <c r="F49" s="21">
        <f t="shared" si="3"/>
        <v>0.44</v>
      </c>
    </row>
    <row r="50" spans="1:6" x14ac:dyDescent="0.2">
      <c r="A50" s="19">
        <v>15</v>
      </c>
      <c r="B50" s="180" t="s">
        <v>13</v>
      </c>
      <c r="C50" s="181"/>
      <c r="D50" s="14">
        <f>IF(F3="1",SUMIF(Data!A:A,'29'!$A$2,Data!DI:DI),0)</f>
        <v>0</v>
      </c>
      <c r="E50" s="17">
        <f>IF($F$3="1",SUMIF(Data!$A:$A,$A$2,Data!JC:JC),0)</f>
        <v>0</v>
      </c>
      <c r="F50" s="21" t="str">
        <f t="shared" si="3"/>
        <v/>
      </c>
    </row>
    <row r="51" spans="1:6" x14ac:dyDescent="0.2">
      <c r="A51" s="19">
        <v>16</v>
      </c>
      <c r="B51" s="180" t="s">
        <v>14</v>
      </c>
      <c r="C51" s="181"/>
      <c r="D51" s="14">
        <f>IF(F3="1",SUMIF(Data!A:A,'29'!$A$2,Data!DJ:DJ),0)</f>
        <v>101333</v>
      </c>
      <c r="E51" s="17">
        <f>IF($F$3="1",SUMIF(Data!$A:$A,$A$2,Data!JD:JD),0)</f>
        <v>20378</v>
      </c>
      <c r="F51" s="21">
        <f t="shared" si="3"/>
        <v>0.2</v>
      </c>
    </row>
    <row r="52" spans="1:6" x14ac:dyDescent="0.2">
      <c r="A52" s="19">
        <v>17</v>
      </c>
      <c r="B52" s="180" t="s">
        <v>15</v>
      </c>
      <c r="C52" s="181"/>
      <c r="D52" s="14">
        <f>IF(F3="1",SUMIF(Data!A:A,'29'!$A$2,Data!DK:DK),0)</f>
        <v>0</v>
      </c>
      <c r="E52" s="17">
        <f>IF($F$3="1",SUMIF(Data!$A:$A,$A$2,Data!JE:JE),0)</f>
        <v>0</v>
      </c>
      <c r="F52" s="21" t="str">
        <f t="shared" si="3"/>
        <v/>
      </c>
    </row>
    <row r="53" spans="1:6" x14ac:dyDescent="0.2">
      <c r="A53" s="19">
        <v>18</v>
      </c>
      <c r="B53" s="180" t="s">
        <v>16</v>
      </c>
      <c r="C53" s="181"/>
      <c r="D53" s="14">
        <f>IF(F3="1",SUMIF(Data!A:A,'29'!$A$2,Data!DL:DL),0)</f>
        <v>110832</v>
      </c>
      <c r="E53" s="17">
        <f>IF($F$3="1",SUMIF(Data!$A:$A,$A$2,Data!JF:JF),0)</f>
        <v>29853</v>
      </c>
      <c r="F53" s="21">
        <f t="shared" si="3"/>
        <v>0.27</v>
      </c>
    </row>
    <row r="54" spans="1:6" x14ac:dyDescent="0.2">
      <c r="A54" s="19">
        <v>19</v>
      </c>
      <c r="B54" s="180" t="s">
        <v>17</v>
      </c>
      <c r="C54" s="181"/>
      <c r="D54" s="14">
        <f>IF(F3="1",SUMIF(Data!A:A,'29'!$A$2,Data!DM:DM),0)</f>
        <v>296240</v>
      </c>
      <c r="E54" s="17">
        <f>IF($F$3="1",SUMIF(Data!$A:$A,$A$2,Data!JG:JG),0)</f>
        <v>15188</v>
      </c>
      <c r="F54" s="21">
        <f t="shared" si="3"/>
        <v>0.05</v>
      </c>
    </row>
    <row r="55" spans="1:6" x14ac:dyDescent="0.2">
      <c r="A55" s="19">
        <v>20</v>
      </c>
      <c r="B55" s="180" t="s">
        <v>18</v>
      </c>
      <c r="C55" s="181"/>
      <c r="D55" s="14">
        <f>IF(F3="1",SUMIF(Data!A:A,'29'!$A$2,Data!DN:DN),0)</f>
        <v>0</v>
      </c>
      <c r="E55" s="17">
        <f>IF($F$3="1",SUMIF(Data!$A:$A,$A$2,Data!JH:JH),0)</f>
        <v>0</v>
      </c>
      <c r="F55" s="21" t="str">
        <f t="shared" si="3"/>
        <v/>
      </c>
    </row>
    <row r="56" spans="1:6" ht="14.25" customHeight="1" x14ac:dyDescent="0.2">
      <c r="A56" s="19">
        <v>21</v>
      </c>
      <c r="B56" s="180" t="s">
        <v>461</v>
      </c>
      <c r="C56" s="181"/>
      <c r="D56" s="14">
        <f>IF(F3="1",SUMIF(Data!A:A,'29'!$A$2,Data!DO:DO),0)</f>
        <v>35268</v>
      </c>
      <c r="E56" s="17">
        <f>IF($F$3="1",SUMIF(Data!$A:$A,$A$2,Data!JI:JI),0)</f>
        <v>25164</v>
      </c>
      <c r="F56" s="21">
        <f t="shared" si="3"/>
        <v>0.71</v>
      </c>
    </row>
    <row r="57" spans="1:6" x14ac:dyDescent="0.2">
      <c r="A57" s="19">
        <v>22</v>
      </c>
      <c r="B57" s="180" t="s">
        <v>19</v>
      </c>
      <c r="C57" s="181"/>
      <c r="D57" s="14">
        <f>IF(F3="1",SUMIF(Data!A:A,'29'!$A$2,Data!DP:DP),0)</f>
        <v>0</v>
      </c>
      <c r="E57" s="17">
        <f>IF($F$3="1",SUMIF(Data!$A:$A,$A$2,Data!JJ:JJ),0)</f>
        <v>0</v>
      </c>
      <c r="F57" s="21" t="str">
        <f t="shared" si="3"/>
        <v/>
      </c>
    </row>
    <row r="58" spans="1:6" x14ac:dyDescent="0.2">
      <c r="A58" s="19">
        <v>23</v>
      </c>
      <c r="B58" s="180" t="s">
        <v>20</v>
      </c>
      <c r="C58" s="181"/>
      <c r="D58" s="14">
        <f>IF(F3="1",SUMIF(Data!A:A,'29'!$A$2,Data!DQ:DQ),0)</f>
        <v>119008</v>
      </c>
      <c r="E58" s="17">
        <f>IF($F$3="1",SUMIF(Data!$A:$A,$A$2,Data!JK:JK),0)</f>
        <v>28134</v>
      </c>
      <c r="F58" s="21">
        <f t="shared" si="3"/>
        <v>0.24</v>
      </c>
    </row>
    <row r="59" spans="1:6" x14ac:dyDescent="0.2">
      <c r="A59" s="19">
        <v>24</v>
      </c>
      <c r="B59" s="180" t="s">
        <v>21</v>
      </c>
      <c r="C59" s="181"/>
      <c r="D59" s="14">
        <f>IF(F3="1",SUMIF(Data!A:A,'29'!$A$2,Data!DR:DR),0)</f>
        <v>121432</v>
      </c>
      <c r="E59" s="17">
        <f>IF($F$3="1",SUMIF(Data!$A:$A,$A$2,Data!JL:JL),0)</f>
        <v>49322</v>
      </c>
      <c r="F59" s="21">
        <f t="shared" si="3"/>
        <v>0.41</v>
      </c>
    </row>
    <row r="60" spans="1:6" x14ac:dyDescent="0.2">
      <c r="A60" s="19">
        <v>25</v>
      </c>
      <c r="B60" s="180" t="s">
        <v>22</v>
      </c>
      <c r="C60" s="181"/>
      <c r="D60" s="14">
        <f>IF(F3="1",SUMIF(Data!A:A,'29'!$A$2,Data!DS:DS),0)</f>
        <v>376576</v>
      </c>
      <c r="E60" s="17">
        <f>IF($F$3="1",SUMIF(Data!$A:$A,$A$2,Data!JM:JM),0)</f>
        <v>114984</v>
      </c>
      <c r="F60" s="21">
        <f t="shared" si="3"/>
        <v>0.31</v>
      </c>
    </row>
    <row r="61" spans="1:6" x14ac:dyDescent="0.2">
      <c r="A61" s="19">
        <v>26</v>
      </c>
      <c r="B61" s="180" t="s">
        <v>23</v>
      </c>
      <c r="C61" s="181"/>
      <c r="D61" s="14">
        <f>IF(F3="1",SUMIF(Data!A:A,'29'!$A$2,Data!DT:DT),0)</f>
        <v>124462</v>
      </c>
      <c r="E61" s="17">
        <f>IF($F$3="1",SUMIF(Data!$A:$A,$A$2,Data!JN:JN),0)</f>
        <v>57754</v>
      </c>
      <c r="F61" s="21">
        <f t="shared" si="3"/>
        <v>0.46</v>
      </c>
    </row>
    <row r="62" spans="1:6" x14ac:dyDescent="0.2">
      <c r="A62" s="19">
        <v>28</v>
      </c>
      <c r="B62" s="180" t="s">
        <v>24</v>
      </c>
      <c r="C62" s="181"/>
      <c r="D62" s="14">
        <f>IF(F3="1",SUMIF(Data!A:A,'29'!$A$2,Data!DV:DV),0)</f>
        <v>0</v>
      </c>
      <c r="E62" s="17">
        <f>IF($F$3="1",SUMIF(Data!$A:$A,$A$2,Data!JP:JP),0)</f>
        <v>0</v>
      </c>
      <c r="F62" s="21" t="str">
        <f t="shared" si="3"/>
        <v/>
      </c>
    </row>
    <row r="63" spans="1:6" ht="15.75" customHeight="1" thickBot="1" x14ac:dyDescent="0.25">
      <c r="A63" s="22">
        <v>29</v>
      </c>
      <c r="B63" s="184" t="s">
        <v>25</v>
      </c>
      <c r="C63" s="185"/>
      <c r="D63" s="23">
        <f>IF(F3="1",SUMIF(Data!A:A,'29'!$A$2,Data!DW:DW),0)</f>
        <v>0</v>
      </c>
      <c r="E63" s="24">
        <f>IF($F$3="1",SUMIF(Data!$A:$A,$A$2,Data!JQ:JQ),0)</f>
        <v>0</v>
      </c>
      <c r="F63" s="25" t="str">
        <f t="shared" si="3"/>
        <v/>
      </c>
    </row>
    <row r="64" spans="1:6" x14ac:dyDescent="0.2">
      <c r="B64" s="30" t="s">
        <v>35</v>
      </c>
      <c r="C64" s="30"/>
      <c r="D64" s="59">
        <f>SUM(D36:D63)</f>
        <v>2757812</v>
      </c>
      <c r="E64" s="31">
        <f>SUM(E36:E63)</f>
        <v>539461</v>
      </c>
      <c r="F64" s="32">
        <f t="shared" si="3"/>
        <v>0.2</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8752</v>
      </c>
      <c r="E67" s="15">
        <f>IF(F3="1",SUMIF(Data!A:A,'29'!$A$2,Data!DY:DY),0)</f>
        <v>68233</v>
      </c>
      <c r="F67" s="20">
        <f t="shared" ref="F67:F95" si="4">IF(OR(D67=0,E67=0),"",ROUND(E67/D67,2))</f>
        <v>7.8</v>
      </c>
    </row>
    <row r="68" spans="1:6" x14ac:dyDescent="0.2">
      <c r="A68" s="19">
        <v>2</v>
      </c>
      <c r="B68" s="180" t="s">
        <v>1</v>
      </c>
      <c r="C68" s="181"/>
      <c r="D68" s="14">
        <f t="shared" ref="D68:D94" si="5">D37</f>
        <v>20624</v>
      </c>
      <c r="E68" s="17">
        <f>IF(F3="1",SUMIF(Data!A:A,'29'!$A$2,Data!DZ:DZ),0)</f>
        <v>46905</v>
      </c>
      <c r="F68" s="21">
        <f t="shared" si="4"/>
        <v>2.27</v>
      </c>
    </row>
    <row r="69" spans="1:6" ht="14.25" customHeight="1" x14ac:dyDescent="0.2">
      <c r="A69" s="19">
        <v>3</v>
      </c>
      <c r="B69" s="180" t="s">
        <v>2</v>
      </c>
      <c r="C69" s="181"/>
      <c r="D69" s="14">
        <f t="shared" si="5"/>
        <v>280224</v>
      </c>
      <c r="E69" s="17">
        <f>IF(F3="1",SUMIF(Data!A:A,'29'!$A$2,Data!EA:EA),0)</f>
        <v>518289</v>
      </c>
      <c r="F69" s="21">
        <f t="shared" si="4"/>
        <v>1.85</v>
      </c>
    </row>
    <row r="70" spans="1:6" ht="14.25" customHeight="1" x14ac:dyDescent="0.2">
      <c r="A70" s="19">
        <v>4</v>
      </c>
      <c r="B70" s="180" t="s">
        <v>3</v>
      </c>
      <c r="C70" s="181"/>
      <c r="D70" s="14">
        <f t="shared" si="5"/>
        <v>252815</v>
      </c>
      <c r="E70" s="17">
        <f>IF(F3="1",SUMIF(Data!A:A,'29'!$A$2,Data!EB:EB),0)</f>
        <v>559516</v>
      </c>
      <c r="F70" s="21">
        <f t="shared" si="4"/>
        <v>2.21</v>
      </c>
    </row>
    <row r="71" spans="1:6" x14ac:dyDescent="0.2">
      <c r="A71" s="19">
        <v>5</v>
      </c>
      <c r="B71" s="180" t="s">
        <v>4</v>
      </c>
      <c r="C71" s="181"/>
      <c r="D71" s="14">
        <f t="shared" si="5"/>
        <v>0</v>
      </c>
      <c r="E71" s="17">
        <f>IF(F3="1",SUMIF(Data!A:A,'29'!$A$2,Data!EC:EC),0)</f>
        <v>0</v>
      </c>
      <c r="F71" s="21" t="str">
        <f t="shared" si="4"/>
        <v/>
      </c>
    </row>
    <row r="72" spans="1:6" x14ac:dyDescent="0.2">
      <c r="A72" s="19">
        <v>6</v>
      </c>
      <c r="B72" s="180" t="s">
        <v>5</v>
      </c>
      <c r="C72" s="181"/>
      <c r="D72" s="14">
        <f t="shared" si="5"/>
        <v>24000</v>
      </c>
      <c r="E72" s="17">
        <f>IF(F3="1",SUMIF(Data!A:A,'29'!$A$2,Data!ED:ED),0)</f>
        <v>106393</v>
      </c>
      <c r="F72" s="21">
        <f t="shared" si="4"/>
        <v>4.43</v>
      </c>
    </row>
    <row r="73" spans="1:6" x14ac:dyDescent="0.2">
      <c r="A73" s="19">
        <v>7</v>
      </c>
      <c r="B73" s="180" t="s">
        <v>6</v>
      </c>
      <c r="C73" s="181"/>
      <c r="D73" s="14">
        <f t="shared" si="5"/>
        <v>215166</v>
      </c>
      <c r="E73" s="17">
        <f>IF(F3="1",SUMIF(Data!A:A,'29'!$A$2,Data!EE:EE),0)</f>
        <v>458733</v>
      </c>
      <c r="F73" s="21">
        <f t="shared" si="4"/>
        <v>2.13</v>
      </c>
    </row>
    <row r="74" spans="1:6" x14ac:dyDescent="0.2">
      <c r="A74" s="19">
        <v>8</v>
      </c>
      <c r="B74" s="180" t="s">
        <v>7</v>
      </c>
      <c r="C74" s="181"/>
      <c r="D74" s="14">
        <f t="shared" si="5"/>
        <v>1792</v>
      </c>
      <c r="E74" s="17">
        <f>IF(F3="1",SUMIF(Data!A:A,'29'!$A$2,Data!EF:EF),0)</f>
        <v>2520</v>
      </c>
      <c r="F74" s="21">
        <f t="shared" si="4"/>
        <v>1.41</v>
      </c>
    </row>
    <row r="75" spans="1:6" x14ac:dyDescent="0.2">
      <c r="A75" s="19">
        <v>9</v>
      </c>
      <c r="B75" s="180" t="s">
        <v>8</v>
      </c>
      <c r="C75" s="181"/>
      <c r="D75" s="14">
        <f t="shared" si="5"/>
        <v>85088</v>
      </c>
      <c r="E75" s="17">
        <f>IF(F3="1",SUMIF(Data!A:A,'29'!$A$2,Data!EG:EG),0)</f>
        <v>175581</v>
      </c>
      <c r="F75" s="21">
        <f t="shared" si="4"/>
        <v>2.06</v>
      </c>
    </row>
    <row r="76" spans="1:6" x14ac:dyDescent="0.2">
      <c r="A76" s="19">
        <v>10</v>
      </c>
      <c r="B76" s="180" t="s">
        <v>9</v>
      </c>
      <c r="C76" s="181"/>
      <c r="D76" s="14">
        <f t="shared" si="5"/>
        <v>768</v>
      </c>
      <c r="E76" s="17">
        <f>IF(F3="1",SUMIF(Data!A:A,'29'!$A$2,Data!EH:EH),0)</f>
        <v>9318</v>
      </c>
      <c r="F76" s="21">
        <f t="shared" si="4"/>
        <v>12.13</v>
      </c>
    </row>
    <row r="77" spans="1:6" x14ac:dyDescent="0.2">
      <c r="A77" s="19">
        <v>11</v>
      </c>
      <c r="B77" s="180" t="s">
        <v>10</v>
      </c>
      <c r="C77" s="181"/>
      <c r="D77" s="14">
        <f t="shared" si="5"/>
        <v>3928</v>
      </c>
      <c r="E77" s="17">
        <f>IF(F3="1",SUMIF(Data!A:A,'29'!$A$2,Data!EI:EI),0)</f>
        <v>6431</v>
      </c>
      <c r="F77" s="21">
        <f t="shared" si="4"/>
        <v>1.64</v>
      </c>
    </row>
    <row r="78" spans="1:6" ht="14.25" customHeight="1" x14ac:dyDescent="0.2">
      <c r="A78" s="19">
        <v>12</v>
      </c>
      <c r="B78" s="180" t="s">
        <v>11</v>
      </c>
      <c r="C78" s="181"/>
      <c r="D78" s="14">
        <f t="shared" si="5"/>
        <v>471632</v>
      </c>
      <c r="E78" s="17">
        <f>IF(F3="1",SUMIF(Data!A:A,'29'!$A$2,Data!EJ:EJ),0)</f>
        <v>940254</v>
      </c>
      <c r="F78" s="21">
        <f t="shared" si="4"/>
        <v>1.99</v>
      </c>
    </row>
    <row r="79" spans="1:6" x14ac:dyDescent="0.2">
      <c r="A79" s="19">
        <v>13</v>
      </c>
      <c r="B79" s="180" t="s">
        <v>12</v>
      </c>
      <c r="C79" s="181"/>
      <c r="D79" s="14">
        <f t="shared" si="5"/>
        <v>23528</v>
      </c>
      <c r="E79" s="17">
        <f>IF(F3="1",SUMIF(Data!A:A,'29'!$A$2,Data!EK:EK),0)</f>
        <v>36056</v>
      </c>
      <c r="F79" s="21">
        <f t="shared" si="4"/>
        <v>1.53</v>
      </c>
    </row>
    <row r="80" spans="1:6" ht="14.25" customHeight="1" x14ac:dyDescent="0.2">
      <c r="A80" s="19">
        <v>14</v>
      </c>
      <c r="B80" s="180" t="s">
        <v>464</v>
      </c>
      <c r="C80" s="181"/>
      <c r="D80" s="14">
        <f t="shared" si="5"/>
        <v>84344</v>
      </c>
      <c r="E80" s="17">
        <f>IF(F3="1",SUMIF(Data!A:A,'29'!$A$2,Data!EL:EL),0)</f>
        <v>493995</v>
      </c>
      <c r="F80" s="21">
        <f t="shared" si="4"/>
        <v>5.86</v>
      </c>
    </row>
    <row r="81" spans="1:6" x14ac:dyDescent="0.2">
      <c r="A81" s="19">
        <v>15</v>
      </c>
      <c r="B81" s="180" t="s">
        <v>13</v>
      </c>
      <c r="C81" s="181"/>
      <c r="D81" s="14">
        <f t="shared" si="5"/>
        <v>0</v>
      </c>
      <c r="E81" s="17">
        <f>IF(F3="1",SUMIF(Data!A:A,'29'!$A$2,Data!EM:EM),0)</f>
        <v>0</v>
      </c>
      <c r="F81" s="21" t="str">
        <f t="shared" si="4"/>
        <v/>
      </c>
    </row>
    <row r="82" spans="1:6" x14ac:dyDescent="0.2">
      <c r="A82" s="19">
        <v>16</v>
      </c>
      <c r="B82" s="180" t="s">
        <v>14</v>
      </c>
      <c r="C82" s="181"/>
      <c r="D82" s="14">
        <f t="shared" si="5"/>
        <v>101333</v>
      </c>
      <c r="E82" s="17">
        <f>IF(F3="1",SUMIF(Data!A:A,'29'!$A$2,Data!EN:EN),0)</f>
        <v>298890</v>
      </c>
      <c r="F82" s="21">
        <f t="shared" si="4"/>
        <v>2.95</v>
      </c>
    </row>
    <row r="83" spans="1:6" x14ac:dyDescent="0.2">
      <c r="A83" s="19">
        <v>17</v>
      </c>
      <c r="B83" s="180" t="s">
        <v>15</v>
      </c>
      <c r="C83" s="181"/>
      <c r="D83" s="14">
        <f t="shared" si="5"/>
        <v>0</v>
      </c>
      <c r="E83" s="17">
        <f>IF(F3="1",SUMIF(Data!A:A,'29'!$A$2,Data!EO:EO),0)</f>
        <v>0</v>
      </c>
      <c r="F83" s="21" t="str">
        <f t="shared" si="4"/>
        <v/>
      </c>
    </row>
    <row r="84" spans="1:6" x14ac:dyDescent="0.2">
      <c r="A84" s="19">
        <v>18</v>
      </c>
      <c r="B84" s="180" t="s">
        <v>16</v>
      </c>
      <c r="C84" s="181"/>
      <c r="D84" s="14">
        <f t="shared" si="5"/>
        <v>110832</v>
      </c>
      <c r="E84" s="17">
        <f>IF(F3="1",SUMIF(Data!A:A,'29'!$A$2,Data!EP:EP),0)</f>
        <v>341918</v>
      </c>
      <c r="F84" s="21">
        <f t="shared" si="4"/>
        <v>3.09</v>
      </c>
    </row>
    <row r="85" spans="1:6" x14ac:dyDescent="0.2">
      <c r="A85" s="19">
        <v>19</v>
      </c>
      <c r="B85" s="180" t="s">
        <v>17</v>
      </c>
      <c r="C85" s="181"/>
      <c r="D85" s="14">
        <f t="shared" si="5"/>
        <v>296240</v>
      </c>
      <c r="E85" s="17">
        <f>IF(F3="1",SUMIF(Data!A:A,'29'!$A$2,Data!EQ:EQ),0)</f>
        <v>637758</v>
      </c>
      <c r="F85" s="21">
        <f t="shared" si="4"/>
        <v>2.15</v>
      </c>
    </row>
    <row r="86" spans="1:6" x14ac:dyDescent="0.2">
      <c r="A86" s="19">
        <v>20</v>
      </c>
      <c r="B86" s="180" t="s">
        <v>18</v>
      </c>
      <c r="C86" s="181"/>
      <c r="D86" s="14">
        <f t="shared" si="5"/>
        <v>0</v>
      </c>
      <c r="E86" s="17">
        <f>IF(F3="1",SUMIF(Data!A:A,'29'!$A$2,Data!ER:ER),0)</f>
        <v>0</v>
      </c>
      <c r="F86" s="21" t="str">
        <f t="shared" si="4"/>
        <v/>
      </c>
    </row>
    <row r="87" spans="1:6" ht="14.25" customHeight="1" x14ac:dyDescent="0.2">
      <c r="A87" s="19">
        <v>21</v>
      </c>
      <c r="B87" s="180" t="s">
        <v>461</v>
      </c>
      <c r="C87" s="181"/>
      <c r="D87" s="14">
        <f t="shared" si="5"/>
        <v>35268</v>
      </c>
      <c r="E87" s="17">
        <f>IF(F3="1",SUMIF(Data!A:A,'29'!$A$2,Data!ES:ES),0)</f>
        <v>143766</v>
      </c>
      <c r="F87" s="21">
        <f t="shared" si="4"/>
        <v>4.08</v>
      </c>
    </row>
    <row r="88" spans="1:6" x14ac:dyDescent="0.2">
      <c r="A88" s="19">
        <v>22</v>
      </c>
      <c r="B88" s="180" t="s">
        <v>19</v>
      </c>
      <c r="C88" s="181"/>
      <c r="D88" s="14">
        <f t="shared" si="5"/>
        <v>0</v>
      </c>
      <c r="E88" s="17">
        <f>IF(F3="1",SUMIF(Data!A:A,'29'!$A$2,Data!ET:ET),0)</f>
        <v>0</v>
      </c>
      <c r="F88" s="21" t="str">
        <f t="shared" si="4"/>
        <v/>
      </c>
    </row>
    <row r="89" spans="1:6" x14ac:dyDescent="0.2">
      <c r="A89" s="19">
        <v>23</v>
      </c>
      <c r="B89" s="180" t="s">
        <v>20</v>
      </c>
      <c r="C89" s="181"/>
      <c r="D89" s="14">
        <f t="shared" si="5"/>
        <v>119008</v>
      </c>
      <c r="E89" s="17">
        <f>IF(F3="1",SUMIF(Data!A:A,'29'!$A$2,Data!EU:EU),0)</f>
        <v>328785</v>
      </c>
      <c r="F89" s="21">
        <f t="shared" si="4"/>
        <v>2.76</v>
      </c>
    </row>
    <row r="90" spans="1:6" x14ac:dyDescent="0.2">
      <c r="A90" s="19">
        <v>24</v>
      </c>
      <c r="B90" s="180" t="s">
        <v>21</v>
      </c>
      <c r="C90" s="181"/>
      <c r="D90" s="14">
        <f t="shared" si="5"/>
        <v>121432</v>
      </c>
      <c r="E90" s="17">
        <f>IF(F3="1",SUMIF(Data!A:A,'29'!$A$2,Data!EV:EV),0)</f>
        <v>384093</v>
      </c>
      <c r="F90" s="21">
        <f t="shared" si="4"/>
        <v>3.16</v>
      </c>
    </row>
    <row r="91" spans="1:6" x14ac:dyDescent="0.2">
      <c r="A91" s="19">
        <v>25</v>
      </c>
      <c r="B91" s="180" t="s">
        <v>22</v>
      </c>
      <c r="C91" s="181"/>
      <c r="D91" s="14">
        <f t="shared" si="5"/>
        <v>376576</v>
      </c>
      <c r="E91" s="17">
        <f>IF(F3="1",SUMIF(Data!A:A,'29'!$A$2,Data!EW:EW),0)</f>
        <v>659795</v>
      </c>
      <c r="F91" s="21">
        <f t="shared" si="4"/>
        <v>1.75</v>
      </c>
    </row>
    <row r="92" spans="1:6" x14ac:dyDescent="0.2">
      <c r="A92" s="19">
        <v>26</v>
      </c>
      <c r="B92" s="180" t="s">
        <v>23</v>
      </c>
      <c r="C92" s="181"/>
      <c r="D92" s="14">
        <f t="shared" si="5"/>
        <v>124462</v>
      </c>
      <c r="E92" s="17">
        <f>IF(F3="1",SUMIF(Data!A:A,'29'!$A$2,Data!EX:EX),0)</f>
        <v>410383</v>
      </c>
      <c r="F92" s="21">
        <f t="shared" si="4"/>
        <v>3.3</v>
      </c>
    </row>
    <row r="93" spans="1:6" x14ac:dyDescent="0.2">
      <c r="A93" s="19">
        <v>28</v>
      </c>
      <c r="B93" s="180" t="s">
        <v>24</v>
      </c>
      <c r="C93" s="181"/>
      <c r="D93" s="14">
        <f t="shared" si="5"/>
        <v>0</v>
      </c>
      <c r="E93" s="17">
        <f>IF(F3="1",SUMIF(Data!A:A,'29'!$A$2,Data!EZ:EZ),0)</f>
        <v>0</v>
      </c>
      <c r="F93" s="21" t="str">
        <f t="shared" si="4"/>
        <v/>
      </c>
    </row>
    <row r="94" spans="1:6" ht="15.75" customHeight="1" thickBot="1" x14ac:dyDescent="0.25">
      <c r="A94" s="22">
        <v>29</v>
      </c>
      <c r="B94" s="184" t="s">
        <v>25</v>
      </c>
      <c r="C94" s="185"/>
      <c r="D94" s="23">
        <f t="shared" si="5"/>
        <v>0</v>
      </c>
      <c r="E94" s="24">
        <f>IF(F3="1",SUMIF(Data!A:A,'29'!$A$2,Data!FA:FA),0)</f>
        <v>0</v>
      </c>
      <c r="F94" s="25" t="str">
        <f t="shared" si="4"/>
        <v/>
      </c>
    </row>
    <row r="95" spans="1:6" x14ac:dyDescent="0.2">
      <c r="B95" s="30" t="s">
        <v>35</v>
      </c>
      <c r="C95" s="30"/>
      <c r="D95" s="59">
        <f>SUM(D67:D94)</f>
        <v>2757812</v>
      </c>
      <c r="E95" s="31">
        <f>SUM(E67:E94)</f>
        <v>6627612</v>
      </c>
      <c r="F95" s="32">
        <f t="shared" si="4"/>
        <v>2.4</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IF(F3="1",SUMIF(Data!A:A,'29'!$A$2,Data!AH:AH),0)</f>
        <v>2154916</v>
      </c>
      <c r="F98" s="20">
        <f>IF(OR(E98=0,E98=0),"",ROUND(E98/$D$105,2))</f>
        <v>0.78</v>
      </c>
    </row>
    <row r="99" spans="2:6" x14ac:dyDescent="0.2">
      <c r="B99" s="190" t="s">
        <v>31</v>
      </c>
      <c r="C99" s="191"/>
      <c r="D99" s="36"/>
      <c r="E99" s="17">
        <f>IF(F3="1",SUMIF(Data!A:A,'29'!$A$2,Data!AI:AI),0)</f>
        <v>1405602</v>
      </c>
      <c r="F99" s="21">
        <f t="shared" ref="F99:F104" si="6">IF(OR(E99=0,E99=0),"",ROUND(E99/$D$105,2))</f>
        <v>0.51</v>
      </c>
    </row>
    <row r="100" spans="2:6" x14ac:dyDescent="0.2">
      <c r="B100" s="190" t="s">
        <v>1089</v>
      </c>
      <c r="C100" s="191"/>
      <c r="D100" s="36"/>
      <c r="E100" s="17">
        <f>IF(F3="1",SUMIF(Data!A:A,'29'!$A$2,Data!AJ:AJ),0)</f>
        <v>418847</v>
      </c>
      <c r="F100" s="21">
        <f t="shared" si="6"/>
        <v>0.15</v>
      </c>
    </row>
    <row r="101" spans="2:6" x14ac:dyDescent="0.2">
      <c r="B101" s="190" t="s">
        <v>1090</v>
      </c>
      <c r="C101" s="191"/>
      <c r="D101" s="36"/>
      <c r="E101" s="17">
        <f>IF(F3="1",SUMIF(Data!A:A,'29'!$A$2,Data!AK:AK),0)</f>
        <v>1088616</v>
      </c>
      <c r="F101" s="21">
        <f t="shared" si="6"/>
        <v>0.39</v>
      </c>
    </row>
    <row r="102" spans="2:6" x14ac:dyDescent="0.2">
      <c r="B102" s="190" t="s">
        <v>1091</v>
      </c>
      <c r="C102" s="191"/>
      <c r="D102" s="36"/>
      <c r="E102" s="17">
        <f>IF(F3="1",SUMIF(Data!A:A,'29'!$A$2,Data!AL:AL),0)</f>
        <v>179359</v>
      </c>
      <c r="F102" s="21">
        <f t="shared" si="6"/>
        <v>7.0000000000000007E-2</v>
      </c>
    </row>
    <row r="103" spans="2:6" x14ac:dyDescent="0.2">
      <c r="B103" s="192" t="s">
        <v>34</v>
      </c>
      <c r="C103" s="193"/>
      <c r="D103" s="36"/>
      <c r="E103" s="17">
        <f>IF(F3="1",SUMIF(Data!A:A,'29'!$A$2,Data!AM:AM),0)</f>
        <v>0</v>
      </c>
      <c r="F103" s="21" t="str">
        <f t="shared" si="6"/>
        <v/>
      </c>
    </row>
    <row r="104" spans="2:6" ht="15.75" customHeight="1" thickBot="1" x14ac:dyDescent="0.25">
      <c r="B104" s="186" t="s">
        <v>29</v>
      </c>
      <c r="C104" s="187"/>
      <c r="D104" s="37"/>
      <c r="E104" s="24">
        <f>IF(F3="1",SUMIF(Data!A:A,'29'!$A$2,Data!Q:Q),0)</f>
        <v>1017675</v>
      </c>
      <c r="F104" s="25">
        <f t="shared" si="6"/>
        <v>0.37</v>
      </c>
    </row>
    <row r="105" spans="2:6" x14ac:dyDescent="0.2">
      <c r="B105" s="30" t="s">
        <v>35</v>
      </c>
      <c r="C105" s="30"/>
      <c r="D105" s="34">
        <f>D95</f>
        <v>2757812</v>
      </c>
      <c r="E105" s="31">
        <f>SUM(E98:E104)</f>
        <v>6265015</v>
      </c>
      <c r="F105" s="32">
        <f>IF($D$105=0,"",ROUND(E105/$D$105,2))</f>
        <v>2.27</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6627612</v>
      </c>
      <c r="D109" s="15">
        <f>IF(F3="1",SUMIF(Data!$A:$A,$A$2,Data!HJ:HJ),0)</f>
        <v>0</v>
      </c>
      <c r="E109" s="15">
        <f>IF(F3="1",SUMIF(Data!$A:$A,$A$2,Data!IN:IN),0)</f>
        <v>0</v>
      </c>
      <c r="F109" s="47">
        <f>SUM(C109:E109)</f>
        <v>6627612</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179359</v>
      </c>
      <c r="F116" s="48">
        <f t="shared" si="7"/>
        <v>179359</v>
      </c>
    </row>
    <row r="117" spans="1:6" ht="15" thickBot="1" x14ac:dyDescent="0.25">
      <c r="B117" s="43" t="s">
        <v>933</v>
      </c>
      <c r="C117" s="52"/>
      <c r="D117" s="52">
        <f>IF(F3="1",SUMIF(Data!A:A,$A$2,Data!Q:Q),0)</f>
        <v>1017675</v>
      </c>
      <c r="E117" s="52"/>
      <c r="F117" s="49">
        <f>SUM(C117:E117)</f>
        <v>1017675</v>
      </c>
    </row>
    <row r="118" spans="1:6" x14ac:dyDescent="0.2">
      <c r="B118" s="13" t="s">
        <v>35</v>
      </c>
      <c r="C118" s="4">
        <f>SUM(C109:C116)</f>
        <v>6627612</v>
      </c>
      <c r="D118" s="4">
        <f>SUM(D109:D116)</f>
        <v>0</v>
      </c>
      <c r="E118" s="4">
        <f>SUM(E109:E116)</f>
        <v>179359</v>
      </c>
      <c r="F118" s="4">
        <f>SUM(F109:F116)</f>
        <v>6806971</v>
      </c>
    </row>
    <row r="119" spans="1:6" ht="15" thickBot="1" x14ac:dyDescent="0.25"/>
    <row r="120" spans="1:6" ht="15" thickBot="1" x14ac:dyDescent="0.25">
      <c r="B120" s="55" t="s">
        <v>934</v>
      </c>
      <c r="C120" s="53"/>
      <c r="D120" s="53"/>
      <c r="E120" s="53">
        <f>IF(F3="1",SUMIF(Data!A:A,'29'!$A$2,Data!AM:AM),0)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362</v>
      </c>
      <c r="B2" s="58" t="str">
        <f>VLOOKUP(A2,Data!A:G,7,0)</f>
        <v>North Central Texas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49984</v>
      </c>
      <c r="E5" s="15">
        <f>E36+E67+IFERROR($E$105/$D$105*D5,0)</f>
        <v>421460.26509153075</v>
      </c>
      <c r="F5" s="20">
        <f>IF(OR(D5=0,E5=0),"",ROUND(E5/D5,2))</f>
        <v>8.43</v>
      </c>
    </row>
    <row r="6" spans="1:6" x14ac:dyDescent="0.2">
      <c r="A6" s="19">
        <v>2</v>
      </c>
      <c r="B6" s="180" t="s">
        <v>1</v>
      </c>
      <c r="C6" s="181"/>
      <c r="D6" s="14">
        <f t="shared" ref="D6:D32" si="0">D37</f>
        <v>16432</v>
      </c>
      <c r="E6" s="17">
        <f t="shared" ref="E6:E32" si="1">E37+E68+IFERROR($E$105/$D$105*D6,0)</f>
        <v>155239.35923463575</v>
      </c>
      <c r="F6" s="21">
        <f t="shared" ref="F6:F33" si="2">IF(OR(D6=0,E6=0),"",ROUND(E6/D6,2))</f>
        <v>9.4499999999999993</v>
      </c>
    </row>
    <row r="7" spans="1:6" ht="14.25" customHeight="1" x14ac:dyDescent="0.2">
      <c r="A7" s="19">
        <v>3</v>
      </c>
      <c r="B7" s="180" t="s">
        <v>2</v>
      </c>
      <c r="C7" s="181"/>
      <c r="D7" s="14">
        <f t="shared" si="0"/>
        <v>222336</v>
      </c>
      <c r="E7" s="17">
        <f t="shared" si="1"/>
        <v>896386.71949805086</v>
      </c>
      <c r="F7" s="21">
        <f t="shared" si="2"/>
        <v>4.03</v>
      </c>
    </row>
    <row r="8" spans="1:6" ht="14.25" customHeight="1" x14ac:dyDescent="0.2">
      <c r="A8" s="19">
        <v>4</v>
      </c>
      <c r="B8" s="180" t="s">
        <v>3</v>
      </c>
      <c r="C8" s="181"/>
      <c r="D8" s="14">
        <f t="shared" si="0"/>
        <v>82130</v>
      </c>
      <c r="E8" s="17">
        <f t="shared" si="1"/>
        <v>347340.61939755559</v>
      </c>
      <c r="F8" s="21">
        <f t="shared" si="2"/>
        <v>4.2300000000000004</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48</v>
      </c>
      <c r="E10" s="17">
        <f t="shared" si="1"/>
        <v>1093.0828409969886</v>
      </c>
      <c r="F10" s="21">
        <f t="shared" si="2"/>
        <v>22.77</v>
      </c>
    </row>
    <row r="11" spans="1:6" x14ac:dyDescent="0.2">
      <c r="A11" s="19">
        <v>7</v>
      </c>
      <c r="B11" s="180" t="s">
        <v>6</v>
      </c>
      <c r="C11" s="181"/>
      <c r="D11" s="14">
        <f t="shared" si="0"/>
        <v>118672</v>
      </c>
      <c r="E11" s="17">
        <f t="shared" si="1"/>
        <v>893498.8105582213</v>
      </c>
      <c r="F11" s="21">
        <f t="shared" si="2"/>
        <v>7.53</v>
      </c>
    </row>
    <row r="12" spans="1:6" x14ac:dyDescent="0.2">
      <c r="A12" s="19">
        <v>8</v>
      </c>
      <c r="B12" s="180" t="s">
        <v>7</v>
      </c>
      <c r="C12" s="181"/>
      <c r="D12" s="14">
        <f t="shared" si="0"/>
        <v>0</v>
      </c>
      <c r="E12" s="17">
        <f t="shared" si="1"/>
        <v>0</v>
      </c>
      <c r="F12" s="21" t="str">
        <f t="shared" si="2"/>
        <v/>
      </c>
    </row>
    <row r="13" spans="1:6" x14ac:dyDescent="0.2">
      <c r="A13" s="19">
        <v>9</v>
      </c>
      <c r="B13" s="180" t="s">
        <v>8</v>
      </c>
      <c r="C13" s="181"/>
      <c r="D13" s="14">
        <f t="shared" si="0"/>
        <v>83893</v>
      </c>
      <c r="E13" s="17">
        <f t="shared" si="1"/>
        <v>276650.47457834083</v>
      </c>
      <c r="F13" s="21">
        <f t="shared" si="2"/>
        <v>3.3</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12192</v>
      </c>
      <c r="E15" s="17">
        <f t="shared" si="1"/>
        <v>42487.041613235095</v>
      </c>
      <c r="F15" s="21">
        <f t="shared" si="2"/>
        <v>3.48</v>
      </c>
    </row>
    <row r="16" spans="1:6" ht="14.25" customHeight="1" x14ac:dyDescent="0.2">
      <c r="A16" s="19">
        <v>12</v>
      </c>
      <c r="B16" s="180" t="s">
        <v>11</v>
      </c>
      <c r="C16" s="181"/>
      <c r="D16" s="14">
        <f t="shared" si="0"/>
        <v>352752</v>
      </c>
      <c r="E16" s="17">
        <f t="shared" si="1"/>
        <v>1601750.7984868689</v>
      </c>
      <c r="F16" s="21">
        <f t="shared" si="2"/>
        <v>4.54</v>
      </c>
    </row>
    <row r="17" spans="1:6" x14ac:dyDescent="0.2">
      <c r="A17" s="19">
        <v>13</v>
      </c>
      <c r="B17" s="180" t="s">
        <v>12</v>
      </c>
      <c r="C17" s="181"/>
      <c r="D17" s="14">
        <f t="shared" si="0"/>
        <v>42822</v>
      </c>
      <c r="E17" s="17">
        <f t="shared" si="1"/>
        <v>239593.5295244384</v>
      </c>
      <c r="F17" s="21">
        <f t="shared" si="2"/>
        <v>5.6</v>
      </c>
    </row>
    <row r="18" spans="1:6" ht="14.25" customHeight="1" x14ac:dyDescent="0.2">
      <c r="A18" s="19">
        <v>14</v>
      </c>
      <c r="B18" s="180" t="s">
        <v>464</v>
      </c>
      <c r="C18" s="181"/>
      <c r="D18" s="14">
        <f t="shared" si="0"/>
        <v>85456</v>
      </c>
      <c r="E18" s="17">
        <f t="shared" si="1"/>
        <v>521657.48458830523</v>
      </c>
      <c r="F18" s="21">
        <f t="shared" si="2"/>
        <v>6.1</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77537</v>
      </c>
      <c r="E20" s="17">
        <f t="shared" si="1"/>
        <v>506700.75504965626</v>
      </c>
      <c r="F20" s="21">
        <f t="shared" si="2"/>
        <v>6.53</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168208</v>
      </c>
      <c r="E22" s="17">
        <f t="shared" si="1"/>
        <v>801615.30246711359</v>
      </c>
      <c r="F22" s="21">
        <f t="shared" si="2"/>
        <v>4.7699999999999996</v>
      </c>
    </row>
    <row r="23" spans="1:6" x14ac:dyDescent="0.2">
      <c r="A23" s="19">
        <v>19</v>
      </c>
      <c r="B23" s="180" t="s">
        <v>17</v>
      </c>
      <c r="C23" s="181"/>
      <c r="D23" s="14">
        <f t="shared" si="0"/>
        <v>308432</v>
      </c>
      <c r="E23" s="17">
        <f t="shared" si="1"/>
        <v>1227477.3086329829</v>
      </c>
      <c r="F23" s="21">
        <f t="shared" si="2"/>
        <v>3.98</v>
      </c>
    </row>
    <row r="24" spans="1:6" x14ac:dyDescent="0.2">
      <c r="A24" s="19">
        <v>20</v>
      </c>
      <c r="B24" s="180" t="s">
        <v>18</v>
      </c>
      <c r="C24" s="181"/>
      <c r="D24" s="14">
        <f t="shared" si="0"/>
        <v>0</v>
      </c>
      <c r="E24" s="17">
        <f t="shared" si="1"/>
        <v>0</v>
      </c>
      <c r="F24" s="21" t="str">
        <f t="shared" si="2"/>
        <v/>
      </c>
    </row>
    <row r="25" spans="1:6" ht="14.25" customHeight="1" x14ac:dyDescent="0.2">
      <c r="A25" s="19">
        <v>21</v>
      </c>
      <c r="B25" s="180" t="s">
        <v>461</v>
      </c>
      <c r="C25" s="181"/>
      <c r="D25" s="14">
        <f t="shared" si="0"/>
        <v>0</v>
      </c>
      <c r="E25" s="17">
        <f t="shared" si="1"/>
        <v>0</v>
      </c>
      <c r="F25" s="21" t="str">
        <f t="shared" si="2"/>
        <v/>
      </c>
    </row>
    <row r="26" spans="1:6" x14ac:dyDescent="0.2">
      <c r="A26" s="19">
        <v>22</v>
      </c>
      <c r="B26" s="180" t="s">
        <v>19</v>
      </c>
      <c r="C26" s="181"/>
      <c r="D26" s="14">
        <f t="shared" si="0"/>
        <v>0</v>
      </c>
      <c r="E26" s="17">
        <f t="shared" si="1"/>
        <v>0</v>
      </c>
      <c r="F26" s="21" t="str">
        <f t="shared" si="2"/>
        <v/>
      </c>
    </row>
    <row r="27" spans="1:6" x14ac:dyDescent="0.2">
      <c r="A27" s="19">
        <v>23</v>
      </c>
      <c r="B27" s="180" t="s">
        <v>20</v>
      </c>
      <c r="C27" s="181"/>
      <c r="D27" s="14">
        <f t="shared" si="0"/>
        <v>69744</v>
      </c>
      <c r="E27" s="17">
        <f t="shared" si="1"/>
        <v>412238.36796862434</v>
      </c>
      <c r="F27" s="21">
        <f t="shared" si="2"/>
        <v>5.91</v>
      </c>
    </row>
    <row r="28" spans="1:6" x14ac:dyDescent="0.2">
      <c r="A28" s="19">
        <v>24</v>
      </c>
      <c r="B28" s="180" t="s">
        <v>21</v>
      </c>
      <c r="C28" s="181"/>
      <c r="D28" s="14">
        <f t="shared" si="0"/>
        <v>25584</v>
      </c>
      <c r="E28" s="17">
        <f t="shared" si="1"/>
        <v>148545.15425139491</v>
      </c>
      <c r="F28" s="21">
        <f t="shared" si="2"/>
        <v>5.81</v>
      </c>
    </row>
    <row r="29" spans="1:6" x14ac:dyDescent="0.2">
      <c r="A29" s="19">
        <v>25</v>
      </c>
      <c r="B29" s="180" t="s">
        <v>22</v>
      </c>
      <c r="C29" s="181"/>
      <c r="D29" s="14">
        <f t="shared" si="0"/>
        <v>539136</v>
      </c>
      <c r="E29" s="17">
        <f t="shared" si="1"/>
        <v>1996312.4700781754</v>
      </c>
      <c r="F29" s="21">
        <f t="shared" si="2"/>
        <v>3.7</v>
      </c>
    </row>
    <row r="30" spans="1:6" x14ac:dyDescent="0.2">
      <c r="A30" s="19">
        <v>26</v>
      </c>
      <c r="B30" s="180" t="s">
        <v>23</v>
      </c>
      <c r="C30" s="181"/>
      <c r="D30" s="14">
        <f t="shared" si="0"/>
        <v>95000</v>
      </c>
      <c r="E30" s="17">
        <f t="shared" si="1"/>
        <v>454754.45613987313</v>
      </c>
      <c r="F30" s="21">
        <f t="shared" si="2"/>
        <v>4.79</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2350358</v>
      </c>
      <c r="E33" s="31">
        <f>SUM(E5:E32)</f>
        <v>10944802.000000002</v>
      </c>
      <c r="F33" s="32">
        <f t="shared" si="2"/>
        <v>4.66</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IF(F3="1",SUMIF(Data!A:A,'30'!$A$2,Data!CU:CU),0)</f>
        <v>49984</v>
      </c>
      <c r="E36" s="15">
        <f>IF(F3="1",SUMIF(Data!$A:$A,$A$2,Data!IO:IO),0)</f>
        <v>130521</v>
      </c>
      <c r="F36" s="20">
        <f t="shared" ref="F36:F64" si="3">IF(OR(D36=0,E36=0),"",ROUND(E36/D36,2))</f>
        <v>2.61</v>
      </c>
    </row>
    <row r="37" spans="1:6" x14ac:dyDescent="0.2">
      <c r="A37" s="19">
        <v>2</v>
      </c>
      <c r="B37" s="180" t="s">
        <v>1</v>
      </c>
      <c r="C37" s="181"/>
      <c r="D37" s="14">
        <f>IF(F3="1",SUMIF(Data!A:A,'30'!$A$2,Data!CV:CV),0)</f>
        <v>16432</v>
      </c>
      <c r="E37" s="17">
        <f>IF(F3="1",SUMIF(Data!$A:$A,$A$2,Data!IP:IP),0)</f>
        <v>21266</v>
      </c>
      <c r="F37" s="21">
        <f t="shared" si="3"/>
        <v>1.29</v>
      </c>
    </row>
    <row r="38" spans="1:6" ht="14.25" customHeight="1" x14ac:dyDescent="0.2">
      <c r="A38" s="19">
        <v>3</v>
      </c>
      <c r="B38" s="180" t="s">
        <v>2</v>
      </c>
      <c r="C38" s="181"/>
      <c r="D38" s="14">
        <f>IF(F3="1",SUMIF(Data!A:A,'30'!$A$2,Data!CW:CW),0)</f>
        <v>222336</v>
      </c>
      <c r="E38" s="17">
        <f>IF($F$3="1",SUMIF(Data!$A:$A,$A$2,Data!IQ:IQ),0)</f>
        <v>70194</v>
      </c>
      <c r="F38" s="21">
        <f t="shared" si="3"/>
        <v>0.32</v>
      </c>
    </row>
    <row r="39" spans="1:6" ht="14.25" customHeight="1" x14ac:dyDescent="0.2">
      <c r="A39" s="19">
        <v>4</v>
      </c>
      <c r="B39" s="180" t="s">
        <v>3</v>
      </c>
      <c r="C39" s="181"/>
      <c r="D39" s="14">
        <f>IF(F3="1",SUMIF(Data!A:A,'30'!$A$2,Data!CX:CX),0)</f>
        <v>82130</v>
      </c>
      <c r="E39" s="17">
        <f>IF($F$3="1",SUMIF(Data!$A:$A,$A$2,Data!IR:IR),0)</f>
        <v>23596</v>
      </c>
      <c r="F39" s="21">
        <f t="shared" si="3"/>
        <v>0.28999999999999998</v>
      </c>
    </row>
    <row r="40" spans="1:6" x14ac:dyDescent="0.2">
      <c r="A40" s="19">
        <v>5</v>
      </c>
      <c r="B40" s="180" t="s">
        <v>4</v>
      </c>
      <c r="C40" s="181"/>
      <c r="D40" s="14">
        <f>IF(F3="1",SUMIF(Data!A:A,'30'!$A$2,Data!CY:CY),0)</f>
        <v>0</v>
      </c>
      <c r="E40" s="17">
        <f>IF($F$3="1",SUMIF(Data!$A:$A,$A$2,Data!IS:IS),0)</f>
        <v>0</v>
      </c>
      <c r="F40" s="21" t="str">
        <f t="shared" si="3"/>
        <v/>
      </c>
    </row>
    <row r="41" spans="1:6" x14ac:dyDescent="0.2">
      <c r="A41" s="19">
        <v>6</v>
      </c>
      <c r="B41" s="180" t="s">
        <v>5</v>
      </c>
      <c r="C41" s="181"/>
      <c r="D41" s="14">
        <f>IF(F3="1",SUMIF(Data!A:A,'30'!$A$2,Data!CZ:CZ),0)</f>
        <v>48</v>
      </c>
      <c r="E41" s="17">
        <f>IF($F$3="1",SUMIF(Data!$A:$A,$A$2,Data!IT:IT),0)</f>
        <v>0</v>
      </c>
      <c r="F41" s="21" t="str">
        <f t="shared" si="3"/>
        <v/>
      </c>
    </row>
    <row r="42" spans="1:6" x14ac:dyDescent="0.2">
      <c r="A42" s="19">
        <v>7</v>
      </c>
      <c r="B42" s="180" t="s">
        <v>6</v>
      </c>
      <c r="C42" s="181"/>
      <c r="D42" s="14">
        <f>IF(F3="1",SUMIF(Data!A:A,'30'!$A$2,Data!DA:DA),0)</f>
        <v>118672</v>
      </c>
      <c r="E42" s="17">
        <f>IF($F$3="1",SUMIF(Data!$A:$A,$A$2,Data!IU:IU),0)</f>
        <v>309287</v>
      </c>
      <c r="F42" s="21">
        <f t="shared" si="3"/>
        <v>2.61</v>
      </c>
    </row>
    <row r="43" spans="1:6" x14ac:dyDescent="0.2">
      <c r="A43" s="19">
        <v>8</v>
      </c>
      <c r="B43" s="180" t="s">
        <v>7</v>
      </c>
      <c r="C43" s="181"/>
      <c r="D43" s="14">
        <f>IF(F3="1",SUMIF(Data!A:A,'30'!$A$2,Data!DB:DB),0)</f>
        <v>0</v>
      </c>
      <c r="E43" s="17">
        <f>IF($F$3="1",SUMIF(Data!$A:$A,$A$2,Data!IV:IV),0)</f>
        <v>0</v>
      </c>
      <c r="F43" s="21" t="str">
        <f t="shared" si="3"/>
        <v/>
      </c>
    </row>
    <row r="44" spans="1:6" x14ac:dyDescent="0.2">
      <c r="A44" s="19">
        <v>9</v>
      </c>
      <c r="B44" s="180" t="s">
        <v>8</v>
      </c>
      <c r="C44" s="181"/>
      <c r="D44" s="14">
        <f>IF(F3="1",SUMIF(Data!A:A,'30'!$A$2,Data!DC:DC),0)</f>
        <v>83893</v>
      </c>
      <c r="E44" s="17">
        <f>IF($F$3="1",SUMIF(Data!$A:$A,$A$2,Data!IW:IW),0)</f>
        <v>31028</v>
      </c>
      <c r="F44" s="21">
        <f t="shared" si="3"/>
        <v>0.37</v>
      </c>
    </row>
    <row r="45" spans="1:6" x14ac:dyDescent="0.2">
      <c r="A45" s="19">
        <v>10</v>
      </c>
      <c r="B45" s="180" t="s">
        <v>9</v>
      </c>
      <c r="C45" s="181"/>
      <c r="D45" s="14">
        <f>IF(F3="1",SUMIF(Data!A:A,'30'!$A$2,Data!DD:DD),0)</f>
        <v>0</v>
      </c>
      <c r="E45" s="17">
        <f>IF($F$3="1",SUMIF(Data!$A:$A,$A$2,Data!IX:IX),0)</f>
        <v>0</v>
      </c>
      <c r="F45" s="21" t="str">
        <f t="shared" si="3"/>
        <v/>
      </c>
    </row>
    <row r="46" spans="1:6" x14ac:dyDescent="0.2">
      <c r="A46" s="19">
        <v>11</v>
      </c>
      <c r="B46" s="180" t="s">
        <v>10</v>
      </c>
      <c r="C46" s="181"/>
      <c r="D46" s="14">
        <f>IF(F3="1",SUMIF(Data!A:A,'30'!$A$2,Data!DE:DE),0)</f>
        <v>12192</v>
      </c>
      <c r="E46" s="17">
        <f>IF($F$3="1",SUMIF(Data!$A:$A,$A$2,Data!IY:IY),0)</f>
        <v>13106</v>
      </c>
      <c r="F46" s="21">
        <f t="shared" si="3"/>
        <v>1.07</v>
      </c>
    </row>
    <row r="47" spans="1:6" ht="14.25" customHeight="1" x14ac:dyDescent="0.2">
      <c r="A47" s="19">
        <v>12</v>
      </c>
      <c r="B47" s="180" t="s">
        <v>11</v>
      </c>
      <c r="C47" s="181"/>
      <c r="D47" s="14">
        <f>IF(F3="1",SUMIF(Data!A:A,'30'!$A$2,Data!DF:DF),0)</f>
        <v>352752</v>
      </c>
      <c r="E47" s="17">
        <f>IF($F$3="1",SUMIF(Data!$A:$A,$A$2,Data!IZ:IZ),0)</f>
        <v>78206</v>
      </c>
      <c r="F47" s="21">
        <f t="shared" si="3"/>
        <v>0.22</v>
      </c>
    </row>
    <row r="48" spans="1:6" x14ac:dyDescent="0.2">
      <c r="A48" s="19">
        <v>13</v>
      </c>
      <c r="B48" s="180" t="s">
        <v>12</v>
      </c>
      <c r="C48" s="181"/>
      <c r="D48" s="14">
        <f>IF(F3="1",SUMIF(Data!A:A,'30'!$A$2,Data!DG:DG),0)</f>
        <v>42822</v>
      </c>
      <c r="E48" s="17">
        <f>IF($F$3="1",SUMIF(Data!$A:$A,$A$2,Data!JA:JA),0)</f>
        <v>35119</v>
      </c>
      <c r="F48" s="21">
        <f t="shared" si="3"/>
        <v>0.82</v>
      </c>
    </row>
    <row r="49" spans="1:6" ht="14.25" customHeight="1" x14ac:dyDescent="0.2">
      <c r="A49" s="19">
        <v>14</v>
      </c>
      <c r="B49" s="180" t="s">
        <v>464</v>
      </c>
      <c r="C49" s="181"/>
      <c r="D49" s="14">
        <f>IF(F3="1",SUMIF(Data!A:A,'30'!$A$2,Data!DH:DH),0)</f>
        <v>85456</v>
      </c>
      <c r="E49" s="17">
        <f>IF($F$3="1",SUMIF(Data!$A:$A,$A$2,Data!JB:JB),0)</f>
        <v>30300</v>
      </c>
      <c r="F49" s="21">
        <f t="shared" si="3"/>
        <v>0.35</v>
      </c>
    </row>
    <row r="50" spans="1:6" x14ac:dyDescent="0.2">
      <c r="A50" s="19">
        <v>15</v>
      </c>
      <c r="B50" s="180" t="s">
        <v>13</v>
      </c>
      <c r="C50" s="181"/>
      <c r="D50" s="14">
        <f>IF(F3="1",SUMIF(Data!A:A,'30'!$A$2,Data!DI:DI),0)</f>
        <v>0</v>
      </c>
      <c r="E50" s="17">
        <f>IF($F$3="1",SUMIF(Data!$A:$A,$A$2,Data!JC:JC),0)</f>
        <v>0</v>
      </c>
      <c r="F50" s="21" t="str">
        <f t="shared" si="3"/>
        <v/>
      </c>
    </row>
    <row r="51" spans="1:6" x14ac:dyDescent="0.2">
      <c r="A51" s="19">
        <v>16</v>
      </c>
      <c r="B51" s="180" t="s">
        <v>14</v>
      </c>
      <c r="C51" s="181"/>
      <c r="D51" s="14">
        <f>IF(F3="1",SUMIF(Data!A:A,'30'!$A$2,Data!DJ:DJ),0)</f>
        <v>77537</v>
      </c>
      <c r="E51" s="17">
        <f>IF($F$3="1",SUMIF(Data!$A:$A,$A$2,Data!JD:JD),0)</f>
        <v>91345</v>
      </c>
      <c r="F51" s="21">
        <f t="shared" si="3"/>
        <v>1.18</v>
      </c>
    </row>
    <row r="52" spans="1:6" x14ac:dyDescent="0.2">
      <c r="A52" s="19">
        <v>17</v>
      </c>
      <c r="B52" s="180" t="s">
        <v>15</v>
      </c>
      <c r="C52" s="181"/>
      <c r="D52" s="14">
        <f>IF(F3="1",SUMIF(Data!A:A,'30'!$A$2,Data!DK:DK),0)</f>
        <v>0</v>
      </c>
      <c r="E52" s="17">
        <f>IF($F$3="1",SUMIF(Data!$A:$A,$A$2,Data!JE:JE),0)</f>
        <v>0</v>
      </c>
      <c r="F52" s="21" t="str">
        <f t="shared" si="3"/>
        <v/>
      </c>
    </row>
    <row r="53" spans="1:6" x14ac:dyDescent="0.2">
      <c r="A53" s="19">
        <v>18</v>
      </c>
      <c r="B53" s="180" t="s">
        <v>16</v>
      </c>
      <c r="C53" s="181"/>
      <c r="D53" s="14">
        <f>IF(F3="1",SUMIF(Data!A:A,'30'!$A$2,Data!DL:DL),0)</f>
        <v>168208</v>
      </c>
      <c r="E53" s="17">
        <f>IF($F$3="1",SUMIF(Data!$A:$A,$A$2,Data!JF:JF),0)</f>
        <v>50372</v>
      </c>
      <c r="F53" s="21">
        <f t="shared" si="3"/>
        <v>0.3</v>
      </c>
    </row>
    <row r="54" spans="1:6" x14ac:dyDescent="0.2">
      <c r="A54" s="19">
        <v>19</v>
      </c>
      <c r="B54" s="180" t="s">
        <v>17</v>
      </c>
      <c r="C54" s="181"/>
      <c r="D54" s="14">
        <f>IF(F3="1",SUMIF(Data!A:A,'30'!$A$2,Data!DM:DM),0)</f>
        <v>308432</v>
      </c>
      <c r="E54" s="17">
        <f>IF($F$3="1",SUMIF(Data!$A:$A,$A$2,Data!JG:JG),0)</f>
        <v>17226</v>
      </c>
      <c r="F54" s="21">
        <f t="shared" si="3"/>
        <v>0.06</v>
      </c>
    </row>
    <row r="55" spans="1:6" x14ac:dyDescent="0.2">
      <c r="A55" s="19">
        <v>20</v>
      </c>
      <c r="B55" s="180" t="s">
        <v>18</v>
      </c>
      <c r="C55" s="181"/>
      <c r="D55" s="14">
        <f>IF(F3="1",SUMIF(Data!A:A,'30'!$A$2,Data!DN:DN),0)</f>
        <v>0</v>
      </c>
      <c r="E55" s="17">
        <f>IF($F$3="1",SUMIF(Data!$A:$A,$A$2,Data!JH:JH),0)</f>
        <v>0</v>
      </c>
      <c r="F55" s="21" t="str">
        <f t="shared" si="3"/>
        <v/>
      </c>
    </row>
    <row r="56" spans="1:6" ht="14.25" customHeight="1" x14ac:dyDescent="0.2">
      <c r="A56" s="19">
        <v>21</v>
      </c>
      <c r="B56" s="180" t="s">
        <v>461</v>
      </c>
      <c r="C56" s="181"/>
      <c r="D56" s="14">
        <f>IF(F3="1",SUMIF(Data!A:A,'30'!$A$2,Data!DO:DO),0)</f>
        <v>0</v>
      </c>
      <c r="E56" s="17">
        <f>IF($F$3="1",SUMIF(Data!$A:$A,$A$2,Data!JI:JI),0)</f>
        <v>0</v>
      </c>
      <c r="F56" s="21" t="str">
        <f t="shared" si="3"/>
        <v/>
      </c>
    </row>
    <row r="57" spans="1:6" x14ac:dyDescent="0.2">
      <c r="A57" s="19">
        <v>22</v>
      </c>
      <c r="B57" s="180" t="s">
        <v>19</v>
      </c>
      <c r="C57" s="181"/>
      <c r="D57" s="14">
        <f>IF(F3="1",SUMIF(Data!A:A,'30'!$A$2,Data!DP:DP),0)</f>
        <v>0</v>
      </c>
      <c r="E57" s="17">
        <f>IF($F$3="1",SUMIF(Data!$A:$A,$A$2,Data!JJ:JJ),0)</f>
        <v>0</v>
      </c>
      <c r="F57" s="21" t="str">
        <f t="shared" si="3"/>
        <v/>
      </c>
    </row>
    <row r="58" spans="1:6" x14ac:dyDescent="0.2">
      <c r="A58" s="19">
        <v>23</v>
      </c>
      <c r="B58" s="180" t="s">
        <v>20</v>
      </c>
      <c r="C58" s="181"/>
      <c r="D58" s="14">
        <f>IF(F3="1",SUMIF(Data!A:A,'30'!$A$2,Data!DQ:DQ),0)</f>
        <v>69744</v>
      </c>
      <c r="E58" s="17">
        <f>IF($F$3="1",SUMIF(Data!$A:$A,$A$2,Data!JK:JK),0)</f>
        <v>33934</v>
      </c>
      <c r="F58" s="21">
        <f t="shared" si="3"/>
        <v>0.49</v>
      </c>
    </row>
    <row r="59" spans="1:6" x14ac:dyDescent="0.2">
      <c r="A59" s="19">
        <v>24</v>
      </c>
      <c r="B59" s="180" t="s">
        <v>21</v>
      </c>
      <c r="C59" s="181"/>
      <c r="D59" s="14">
        <f>IF(F3="1",SUMIF(Data!A:A,'30'!$A$2,Data!DR:DR),0)</f>
        <v>25584</v>
      </c>
      <c r="E59" s="17">
        <f>IF($F$3="1",SUMIF(Data!$A:$A,$A$2,Data!JL:JL),0)</f>
        <v>4655</v>
      </c>
      <c r="F59" s="21">
        <f t="shared" si="3"/>
        <v>0.18</v>
      </c>
    </row>
    <row r="60" spans="1:6" x14ac:dyDescent="0.2">
      <c r="A60" s="19">
        <v>25</v>
      </c>
      <c r="B60" s="180" t="s">
        <v>22</v>
      </c>
      <c r="C60" s="181"/>
      <c r="D60" s="14">
        <f>IF(F3="1",SUMIF(Data!A:A,'30'!$A$2,Data!DS:DS),0)</f>
        <v>539136</v>
      </c>
      <c r="E60" s="17">
        <f>IF($F$3="1",SUMIF(Data!$A:$A,$A$2,Data!JM:JM),0)</f>
        <v>57051</v>
      </c>
      <c r="F60" s="21">
        <f t="shared" si="3"/>
        <v>0.11</v>
      </c>
    </row>
    <row r="61" spans="1:6" x14ac:dyDescent="0.2">
      <c r="A61" s="19">
        <v>26</v>
      </c>
      <c r="B61" s="180" t="s">
        <v>23</v>
      </c>
      <c r="C61" s="181"/>
      <c r="D61" s="14">
        <f>IF(F3="1",SUMIF(Data!A:A,'30'!$A$2,Data!DT:DT),0)</f>
        <v>95000</v>
      </c>
      <c r="E61" s="17">
        <f>IF($F$3="1",SUMIF(Data!$A:$A,$A$2,Data!JN:JN),0)</f>
        <v>47223</v>
      </c>
      <c r="F61" s="21">
        <f t="shared" si="3"/>
        <v>0.5</v>
      </c>
    </row>
    <row r="62" spans="1:6" x14ac:dyDescent="0.2">
      <c r="A62" s="19">
        <v>28</v>
      </c>
      <c r="B62" s="180" t="s">
        <v>24</v>
      </c>
      <c r="C62" s="181"/>
      <c r="D62" s="14">
        <f>IF(F3="1",SUMIF(Data!A:A,'30'!$A$2,Data!DV:DV),0)</f>
        <v>0</v>
      </c>
      <c r="E62" s="17">
        <f>IF($F$3="1",SUMIF(Data!$A:$A,$A$2,Data!JP:JP),0)</f>
        <v>0</v>
      </c>
      <c r="F62" s="21" t="str">
        <f t="shared" si="3"/>
        <v/>
      </c>
    </row>
    <row r="63" spans="1:6" ht="15.75" customHeight="1" thickBot="1" x14ac:dyDescent="0.25">
      <c r="A63" s="22">
        <v>29</v>
      </c>
      <c r="B63" s="184" t="s">
        <v>25</v>
      </c>
      <c r="C63" s="185"/>
      <c r="D63" s="23">
        <f>IF(F3="1",SUMIF(Data!A:A,'30'!$A$2,Data!DW:DW),0)</f>
        <v>0</v>
      </c>
      <c r="E63" s="24">
        <f>IF($F$3="1",SUMIF(Data!$A:$A,$A$2,Data!JQ:JQ),0)</f>
        <v>0</v>
      </c>
      <c r="F63" s="25" t="str">
        <f t="shared" si="3"/>
        <v/>
      </c>
    </row>
    <row r="64" spans="1:6" x14ac:dyDescent="0.2">
      <c r="B64" s="30" t="s">
        <v>35</v>
      </c>
      <c r="C64" s="30"/>
      <c r="D64" s="59">
        <f>SUM(D36:D63)</f>
        <v>2350358</v>
      </c>
      <c r="E64" s="31">
        <f>SUM(E36:E63)</f>
        <v>1044429</v>
      </c>
      <c r="F64" s="32">
        <f t="shared" si="3"/>
        <v>0.44</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49984</v>
      </c>
      <c r="E67" s="15">
        <f>IF(F3="1",SUMIF(Data!A:A,'30'!$A$2,Data!DY:DY),0)</f>
        <v>194009</v>
      </c>
      <c r="F67" s="20">
        <f t="shared" ref="F67:F95" si="4">IF(OR(D67=0,E67=0),"",ROUND(E67/D67,2))</f>
        <v>3.88</v>
      </c>
    </row>
    <row r="68" spans="1:6" x14ac:dyDescent="0.2">
      <c r="A68" s="19">
        <v>2</v>
      </c>
      <c r="B68" s="180" t="s">
        <v>1</v>
      </c>
      <c r="C68" s="181"/>
      <c r="D68" s="14">
        <f t="shared" ref="D68:D94" si="5">D37</f>
        <v>16432</v>
      </c>
      <c r="E68" s="17">
        <f>IF(F3="1",SUMIF(Data!A:A,'30'!$A$2,Data!DZ:DZ),0)</f>
        <v>102108</v>
      </c>
      <c r="F68" s="21">
        <f t="shared" si="4"/>
        <v>6.21</v>
      </c>
    </row>
    <row r="69" spans="1:6" ht="14.25" customHeight="1" x14ac:dyDescent="0.2">
      <c r="A69" s="19">
        <v>3</v>
      </c>
      <c r="B69" s="180" t="s">
        <v>2</v>
      </c>
      <c r="C69" s="181"/>
      <c r="D69" s="14">
        <f t="shared" si="5"/>
        <v>222336</v>
      </c>
      <c r="E69" s="17">
        <f>IF(F3="1",SUMIF(Data!A:A,'30'!$A$2,Data!EA:EA),0)</f>
        <v>395033</v>
      </c>
      <c r="F69" s="21">
        <f t="shared" si="4"/>
        <v>1.78</v>
      </c>
    </row>
    <row r="70" spans="1:6" ht="14.25" customHeight="1" x14ac:dyDescent="0.2">
      <c r="A70" s="19">
        <v>4</v>
      </c>
      <c r="B70" s="180" t="s">
        <v>3</v>
      </c>
      <c r="C70" s="181"/>
      <c r="D70" s="14">
        <f t="shared" si="5"/>
        <v>82130</v>
      </c>
      <c r="E70" s="17">
        <f>IF(F3="1",SUMIF(Data!A:A,'30'!$A$2,Data!EB:EB),0)</f>
        <v>164476</v>
      </c>
      <c r="F70" s="21">
        <f t="shared" si="4"/>
        <v>2</v>
      </c>
    </row>
    <row r="71" spans="1:6" x14ac:dyDescent="0.2">
      <c r="A71" s="19">
        <v>5</v>
      </c>
      <c r="B71" s="180" t="s">
        <v>4</v>
      </c>
      <c r="C71" s="181"/>
      <c r="D71" s="14">
        <f t="shared" si="5"/>
        <v>0</v>
      </c>
      <c r="E71" s="17">
        <f>IF(F3="1",SUMIF(Data!A:A,'30'!$A$2,Data!EC:EC),0)</f>
        <v>0</v>
      </c>
      <c r="F71" s="21" t="str">
        <f t="shared" si="4"/>
        <v/>
      </c>
    </row>
    <row r="72" spans="1:6" x14ac:dyDescent="0.2">
      <c r="A72" s="19">
        <v>6</v>
      </c>
      <c r="B72" s="180" t="s">
        <v>5</v>
      </c>
      <c r="C72" s="181"/>
      <c r="D72" s="14">
        <f t="shared" si="5"/>
        <v>48</v>
      </c>
      <c r="E72" s="17">
        <f>IF(F3="1",SUMIF(Data!A:A,'30'!$A$2,Data!ED:ED),0)</f>
        <v>1000</v>
      </c>
      <c r="F72" s="21">
        <f t="shared" si="4"/>
        <v>20.83</v>
      </c>
    </row>
    <row r="73" spans="1:6" x14ac:dyDescent="0.2">
      <c r="A73" s="19">
        <v>7</v>
      </c>
      <c r="B73" s="180" t="s">
        <v>6</v>
      </c>
      <c r="C73" s="181"/>
      <c r="D73" s="14">
        <f t="shared" si="5"/>
        <v>118672</v>
      </c>
      <c r="E73" s="17">
        <f>IF(F3="1",SUMIF(Data!A:A,'30'!$A$2,Data!EE:EE),0)</f>
        <v>354080</v>
      </c>
      <c r="F73" s="21">
        <f t="shared" si="4"/>
        <v>2.98</v>
      </c>
    </row>
    <row r="74" spans="1:6" x14ac:dyDescent="0.2">
      <c r="A74" s="19">
        <v>8</v>
      </c>
      <c r="B74" s="180" t="s">
        <v>7</v>
      </c>
      <c r="C74" s="181"/>
      <c r="D74" s="14">
        <f t="shared" si="5"/>
        <v>0</v>
      </c>
      <c r="E74" s="17">
        <f>IF(F3="1",SUMIF(Data!A:A,'30'!$A$2,Data!EF:EF),0)</f>
        <v>0</v>
      </c>
      <c r="F74" s="21" t="str">
        <f t="shared" si="4"/>
        <v/>
      </c>
    </row>
    <row r="75" spans="1:6" x14ac:dyDescent="0.2">
      <c r="A75" s="19">
        <v>9</v>
      </c>
      <c r="B75" s="180" t="s">
        <v>8</v>
      </c>
      <c r="C75" s="181"/>
      <c r="D75" s="14">
        <f t="shared" si="5"/>
        <v>83893</v>
      </c>
      <c r="E75" s="17">
        <f>IF(F3="1",SUMIF(Data!A:A,'30'!$A$2,Data!EG:EG),0)</f>
        <v>82935</v>
      </c>
      <c r="F75" s="21">
        <f t="shared" si="4"/>
        <v>0.99</v>
      </c>
    </row>
    <row r="76" spans="1:6" x14ac:dyDescent="0.2">
      <c r="A76" s="19">
        <v>10</v>
      </c>
      <c r="B76" s="180" t="s">
        <v>9</v>
      </c>
      <c r="C76" s="181"/>
      <c r="D76" s="14">
        <f t="shared" si="5"/>
        <v>0</v>
      </c>
      <c r="E76" s="17">
        <f>IF(F3="1",SUMIF(Data!A:A,'30'!$A$2,Data!EH:EH),0)</f>
        <v>0</v>
      </c>
      <c r="F76" s="21" t="str">
        <f t="shared" si="4"/>
        <v/>
      </c>
    </row>
    <row r="77" spans="1:6" x14ac:dyDescent="0.2">
      <c r="A77" s="19">
        <v>11</v>
      </c>
      <c r="B77" s="180" t="s">
        <v>10</v>
      </c>
      <c r="C77" s="181"/>
      <c r="D77" s="14">
        <f t="shared" si="5"/>
        <v>12192</v>
      </c>
      <c r="E77" s="17">
        <f>IF(F3="1",SUMIF(Data!A:A,'30'!$A$2,Data!EI:EI),0)</f>
        <v>5738</v>
      </c>
      <c r="F77" s="21">
        <f t="shared" si="4"/>
        <v>0.47</v>
      </c>
    </row>
    <row r="78" spans="1:6" ht="14.25" customHeight="1" x14ac:dyDescent="0.2">
      <c r="A78" s="19">
        <v>12</v>
      </c>
      <c r="B78" s="180" t="s">
        <v>11</v>
      </c>
      <c r="C78" s="181"/>
      <c r="D78" s="14">
        <f t="shared" si="5"/>
        <v>352752</v>
      </c>
      <c r="E78" s="17">
        <f>IF(F3="1",SUMIF(Data!A:A,'30'!$A$2,Data!EJ:EJ),0)</f>
        <v>839479</v>
      </c>
      <c r="F78" s="21">
        <f t="shared" si="4"/>
        <v>2.38</v>
      </c>
    </row>
    <row r="79" spans="1:6" x14ac:dyDescent="0.2">
      <c r="A79" s="19">
        <v>13</v>
      </c>
      <c r="B79" s="180" t="s">
        <v>12</v>
      </c>
      <c r="C79" s="181"/>
      <c r="D79" s="14">
        <f t="shared" si="5"/>
        <v>42822</v>
      </c>
      <c r="E79" s="17">
        <f>IF(F3="1",SUMIF(Data!A:A,'30'!$A$2,Data!EK:EK),0)</f>
        <v>121433</v>
      </c>
      <c r="F79" s="21">
        <f t="shared" si="4"/>
        <v>2.84</v>
      </c>
    </row>
    <row r="80" spans="1:6" ht="14.25" customHeight="1" x14ac:dyDescent="0.2">
      <c r="A80" s="19">
        <v>14</v>
      </c>
      <c r="B80" s="180" t="s">
        <v>464</v>
      </c>
      <c r="C80" s="181"/>
      <c r="D80" s="14">
        <f t="shared" si="5"/>
        <v>85456</v>
      </c>
      <c r="E80" s="17">
        <f>IF(F3="1",SUMIF(Data!A:A,'30'!$A$2,Data!EL:EL),0)</f>
        <v>325639</v>
      </c>
      <c r="F80" s="21">
        <f t="shared" si="4"/>
        <v>3.81</v>
      </c>
    </row>
    <row r="81" spans="1:6" x14ac:dyDescent="0.2">
      <c r="A81" s="19">
        <v>15</v>
      </c>
      <c r="B81" s="180" t="s">
        <v>13</v>
      </c>
      <c r="C81" s="181"/>
      <c r="D81" s="14">
        <f t="shared" si="5"/>
        <v>0</v>
      </c>
      <c r="E81" s="17">
        <f>IF(F3="1",SUMIF(Data!A:A,'30'!$A$2,Data!EM:EM),0)</f>
        <v>0</v>
      </c>
      <c r="F81" s="21" t="str">
        <f t="shared" si="4"/>
        <v/>
      </c>
    </row>
    <row r="82" spans="1:6" x14ac:dyDescent="0.2">
      <c r="A82" s="19">
        <v>16</v>
      </c>
      <c r="B82" s="180" t="s">
        <v>14</v>
      </c>
      <c r="C82" s="181"/>
      <c r="D82" s="14">
        <f t="shared" si="5"/>
        <v>77537</v>
      </c>
      <c r="E82" s="17">
        <f>IF(F3="1",SUMIF(Data!A:A,'30'!$A$2,Data!EN:EN),0)</f>
        <v>264994</v>
      </c>
      <c r="F82" s="21">
        <f t="shared" si="4"/>
        <v>3.42</v>
      </c>
    </row>
    <row r="83" spans="1:6" x14ac:dyDescent="0.2">
      <c r="A83" s="19">
        <v>17</v>
      </c>
      <c r="B83" s="180" t="s">
        <v>15</v>
      </c>
      <c r="C83" s="181"/>
      <c r="D83" s="14">
        <f t="shared" si="5"/>
        <v>0</v>
      </c>
      <c r="E83" s="17">
        <f>IF(F3="1",SUMIF(Data!A:A,'30'!$A$2,Data!EO:EO),0)</f>
        <v>0</v>
      </c>
      <c r="F83" s="21" t="str">
        <f t="shared" si="4"/>
        <v/>
      </c>
    </row>
    <row r="84" spans="1:6" x14ac:dyDescent="0.2">
      <c r="A84" s="19">
        <v>18</v>
      </c>
      <c r="B84" s="180" t="s">
        <v>16</v>
      </c>
      <c r="C84" s="181"/>
      <c r="D84" s="14">
        <f t="shared" si="5"/>
        <v>168208</v>
      </c>
      <c r="E84" s="17">
        <f>IF(F3="1",SUMIF(Data!A:A,'30'!$A$2,Data!EP:EP),0)</f>
        <v>425050</v>
      </c>
      <c r="F84" s="21">
        <f t="shared" si="4"/>
        <v>2.5299999999999998</v>
      </c>
    </row>
    <row r="85" spans="1:6" x14ac:dyDescent="0.2">
      <c r="A85" s="19">
        <v>19</v>
      </c>
      <c r="B85" s="180" t="s">
        <v>17</v>
      </c>
      <c r="C85" s="181"/>
      <c r="D85" s="14">
        <f t="shared" si="5"/>
        <v>308432</v>
      </c>
      <c r="E85" s="17">
        <f>IF(F3="1",SUMIF(Data!A:A,'30'!$A$2,Data!EQ:EQ),0)</f>
        <v>612132</v>
      </c>
      <c r="F85" s="21">
        <f t="shared" si="4"/>
        <v>1.98</v>
      </c>
    </row>
    <row r="86" spans="1:6" x14ac:dyDescent="0.2">
      <c r="A86" s="19">
        <v>20</v>
      </c>
      <c r="B86" s="180" t="s">
        <v>18</v>
      </c>
      <c r="C86" s="181"/>
      <c r="D86" s="14">
        <f t="shared" si="5"/>
        <v>0</v>
      </c>
      <c r="E86" s="17">
        <f>IF(F3="1",SUMIF(Data!A:A,'30'!$A$2,Data!ER:ER),0)</f>
        <v>0</v>
      </c>
      <c r="F86" s="21" t="str">
        <f t="shared" si="4"/>
        <v/>
      </c>
    </row>
    <row r="87" spans="1:6" ht="14.25" customHeight="1" x14ac:dyDescent="0.2">
      <c r="A87" s="19">
        <v>21</v>
      </c>
      <c r="B87" s="180" t="s">
        <v>461</v>
      </c>
      <c r="C87" s="181"/>
      <c r="D87" s="14">
        <f t="shared" si="5"/>
        <v>0</v>
      </c>
      <c r="E87" s="17">
        <f>IF(F3="1",SUMIF(Data!A:A,'30'!$A$2,Data!ES:ES),0)</f>
        <v>0</v>
      </c>
      <c r="F87" s="21" t="str">
        <f t="shared" si="4"/>
        <v/>
      </c>
    </row>
    <row r="88" spans="1:6" x14ac:dyDescent="0.2">
      <c r="A88" s="19">
        <v>22</v>
      </c>
      <c r="B88" s="180" t="s">
        <v>19</v>
      </c>
      <c r="C88" s="181"/>
      <c r="D88" s="14">
        <f t="shared" si="5"/>
        <v>0</v>
      </c>
      <c r="E88" s="17">
        <f>IF(F3="1",SUMIF(Data!A:A,'30'!$A$2,Data!ET:ET),0)</f>
        <v>0</v>
      </c>
      <c r="F88" s="21" t="str">
        <f t="shared" si="4"/>
        <v/>
      </c>
    </row>
    <row r="89" spans="1:6" x14ac:dyDescent="0.2">
      <c r="A89" s="19">
        <v>23</v>
      </c>
      <c r="B89" s="180" t="s">
        <v>20</v>
      </c>
      <c r="C89" s="181"/>
      <c r="D89" s="14">
        <f t="shared" si="5"/>
        <v>69744</v>
      </c>
      <c r="E89" s="17">
        <f>IF(F3="1",SUMIF(Data!A:A,'30'!$A$2,Data!EU:EU),0)</f>
        <v>243055</v>
      </c>
      <c r="F89" s="21">
        <f t="shared" si="4"/>
        <v>3.48</v>
      </c>
    </row>
    <row r="90" spans="1:6" x14ac:dyDescent="0.2">
      <c r="A90" s="19">
        <v>24</v>
      </c>
      <c r="B90" s="180" t="s">
        <v>21</v>
      </c>
      <c r="C90" s="181"/>
      <c r="D90" s="14">
        <f t="shared" si="5"/>
        <v>25584</v>
      </c>
      <c r="E90" s="17">
        <f>IF(F3="1",SUMIF(Data!A:A,'30'!$A$2,Data!EV:EV),0)</f>
        <v>94277</v>
      </c>
      <c r="F90" s="21">
        <f t="shared" si="4"/>
        <v>3.68</v>
      </c>
    </row>
    <row r="91" spans="1:6" x14ac:dyDescent="0.2">
      <c r="A91" s="19">
        <v>25</v>
      </c>
      <c r="B91" s="180" t="s">
        <v>22</v>
      </c>
      <c r="C91" s="181"/>
      <c r="D91" s="14">
        <f t="shared" si="5"/>
        <v>539136</v>
      </c>
      <c r="E91" s="17">
        <f>IF(F3="1",SUMIF(Data!A:A,'30'!$A$2,Data!EW:EW),0)</f>
        <v>893755</v>
      </c>
      <c r="F91" s="21">
        <f t="shared" si="4"/>
        <v>1.66</v>
      </c>
    </row>
    <row r="92" spans="1:6" x14ac:dyDescent="0.2">
      <c r="A92" s="19">
        <v>26</v>
      </c>
      <c r="B92" s="180" t="s">
        <v>23</v>
      </c>
      <c r="C92" s="181"/>
      <c r="D92" s="14">
        <f t="shared" si="5"/>
        <v>95000</v>
      </c>
      <c r="E92" s="17">
        <f>IF(F3="1",SUMIF(Data!A:A,'30'!$A$2,Data!EX:EX),0)</f>
        <v>223305</v>
      </c>
      <c r="F92" s="21">
        <f t="shared" si="4"/>
        <v>2.35</v>
      </c>
    </row>
    <row r="93" spans="1:6" x14ac:dyDescent="0.2">
      <c r="A93" s="19">
        <v>28</v>
      </c>
      <c r="B93" s="180" t="s">
        <v>24</v>
      </c>
      <c r="C93" s="181"/>
      <c r="D93" s="14">
        <f t="shared" si="5"/>
        <v>0</v>
      </c>
      <c r="E93" s="17">
        <f>IF(F3="1",SUMIF(Data!A:A,'30'!$A$2,Data!EZ:EZ),0)</f>
        <v>0</v>
      </c>
      <c r="F93" s="21" t="str">
        <f t="shared" si="4"/>
        <v/>
      </c>
    </row>
    <row r="94" spans="1:6" ht="15.75" customHeight="1" thickBot="1" x14ac:dyDescent="0.25">
      <c r="A94" s="22">
        <v>29</v>
      </c>
      <c r="B94" s="184" t="s">
        <v>25</v>
      </c>
      <c r="C94" s="185"/>
      <c r="D94" s="23">
        <f t="shared" si="5"/>
        <v>0</v>
      </c>
      <c r="E94" s="24">
        <f>IF(F3="1",SUMIF(Data!A:A,'30'!$A$2,Data!FA:FA),0)</f>
        <v>0</v>
      </c>
      <c r="F94" s="25" t="str">
        <f t="shared" si="4"/>
        <v/>
      </c>
    </row>
    <row r="95" spans="1:6" x14ac:dyDescent="0.2">
      <c r="B95" s="30" t="s">
        <v>35</v>
      </c>
      <c r="C95" s="30"/>
      <c r="D95" s="59">
        <f>SUM(D67:D94)</f>
        <v>2350358</v>
      </c>
      <c r="E95" s="31">
        <f>SUM(E67:E94)</f>
        <v>5342498</v>
      </c>
      <c r="F95" s="32">
        <f t="shared" si="4"/>
        <v>2.27</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IF(F3="1",SUMIF(Data!A:A,'30'!$A$2,Data!AH:AH),0)</f>
        <v>1718527</v>
      </c>
      <c r="F98" s="20">
        <f>IF(OR(E98=0,E98=0),"",ROUND(E98/$D$105,2))</f>
        <v>0.73</v>
      </c>
    </row>
    <row r="99" spans="2:6" x14ac:dyDescent="0.2">
      <c r="B99" s="190" t="s">
        <v>31</v>
      </c>
      <c r="C99" s="191"/>
      <c r="D99" s="36"/>
      <c r="E99" s="17">
        <f>IF(F3="1",SUMIF(Data!A:A,'30'!$A$2,Data!AI:AI),0)</f>
        <v>873613</v>
      </c>
      <c r="F99" s="21">
        <f t="shared" ref="F99:F104" si="6">IF(OR(E99=0,E99=0),"",ROUND(E99/$D$105,2))</f>
        <v>0.37</v>
      </c>
    </row>
    <row r="100" spans="2:6" x14ac:dyDescent="0.2">
      <c r="B100" s="190" t="s">
        <v>1089</v>
      </c>
      <c r="C100" s="191"/>
      <c r="D100" s="36"/>
      <c r="E100" s="17">
        <f>IF(F3="1",SUMIF(Data!A:A,'30'!$A$2,Data!AJ:AJ),0)</f>
        <v>391347</v>
      </c>
      <c r="F100" s="21">
        <f t="shared" si="6"/>
        <v>0.17</v>
      </c>
    </row>
    <row r="101" spans="2:6" x14ac:dyDescent="0.2">
      <c r="B101" s="190" t="s">
        <v>1090</v>
      </c>
      <c r="C101" s="191"/>
      <c r="D101" s="36"/>
      <c r="E101" s="17">
        <f>IF(F3="1",SUMIF(Data!A:A,'30'!$A$2,Data!AK:AK),0)</f>
        <v>1041003</v>
      </c>
      <c r="F101" s="21">
        <f t="shared" si="6"/>
        <v>0.44</v>
      </c>
    </row>
    <row r="102" spans="2:6" x14ac:dyDescent="0.2">
      <c r="B102" s="190" t="s">
        <v>1091</v>
      </c>
      <c r="C102" s="191"/>
      <c r="D102" s="36"/>
      <c r="E102" s="17">
        <f>IF(F3="1",SUMIF(Data!A:A,'30'!$A$2,Data!AL:AL),0)</f>
        <v>0</v>
      </c>
      <c r="F102" s="21" t="str">
        <f t="shared" si="6"/>
        <v/>
      </c>
    </row>
    <row r="103" spans="2:6" x14ac:dyDescent="0.2">
      <c r="B103" s="192" t="s">
        <v>34</v>
      </c>
      <c r="C103" s="193"/>
      <c r="D103" s="36"/>
      <c r="E103" s="17">
        <f>IF(F3="1",SUMIF(Data!A:A,'30'!$A$2,Data!AM:AM),0)</f>
        <v>0</v>
      </c>
      <c r="F103" s="21" t="str">
        <f t="shared" si="6"/>
        <v/>
      </c>
    </row>
    <row r="104" spans="2:6" ht="15.75" customHeight="1" thickBot="1" x14ac:dyDescent="0.25">
      <c r="B104" s="186" t="s">
        <v>29</v>
      </c>
      <c r="C104" s="187"/>
      <c r="D104" s="37"/>
      <c r="E104" s="24">
        <f>IF(F3="1",SUMIF(Data!A:A,'30'!$A$2,Data!Q:Q),0)</f>
        <v>533385</v>
      </c>
      <c r="F104" s="25">
        <f t="shared" si="6"/>
        <v>0.23</v>
      </c>
    </row>
    <row r="105" spans="2:6" x14ac:dyDescent="0.2">
      <c r="B105" s="30" t="s">
        <v>35</v>
      </c>
      <c r="C105" s="30"/>
      <c r="D105" s="34">
        <f>D95</f>
        <v>2350358</v>
      </c>
      <c r="E105" s="31">
        <f>SUM(E98:E104)</f>
        <v>4557875</v>
      </c>
      <c r="F105" s="32">
        <f>IF($D$105=0,"",ROUND(E105/$D$105,2))</f>
        <v>1.94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5342498</v>
      </c>
      <c r="D109" s="15">
        <f>IF(F3="1",SUMIF(Data!$A:$A,$A$2,Data!HJ:HJ),0)</f>
        <v>0</v>
      </c>
      <c r="E109" s="15">
        <f>IF(F3="1",SUMIF(Data!$A:$A,$A$2,Data!IN:IN),0)</f>
        <v>0</v>
      </c>
      <c r="F109" s="47">
        <f>SUM(C109:E109)</f>
        <v>5342498</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533385</v>
      </c>
      <c r="E117" s="52"/>
      <c r="F117" s="49">
        <f>SUM(C117:E117)</f>
        <v>533385</v>
      </c>
    </row>
    <row r="118" spans="1:6" x14ac:dyDescent="0.2">
      <c r="B118" s="13" t="s">
        <v>35</v>
      </c>
      <c r="C118" s="4">
        <f>SUM(C109:C116)</f>
        <v>5342498</v>
      </c>
      <c r="D118" s="4">
        <f>SUM(D109:D116)</f>
        <v>0</v>
      </c>
      <c r="E118" s="4">
        <f>SUM(E109:E116)</f>
        <v>0</v>
      </c>
      <c r="F118" s="4">
        <f>SUM(F109:F116)</f>
        <v>5342498</v>
      </c>
    </row>
    <row r="119" spans="1:6" ht="15" thickBot="1" x14ac:dyDescent="0.25"/>
    <row r="120" spans="1:6" ht="15" thickBot="1" x14ac:dyDescent="0.25">
      <c r="B120" s="55" t="s">
        <v>934</v>
      </c>
      <c r="C120" s="53"/>
      <c r="D120" s="53"/>
      <c r="E120" s="53">
        <f>IF(F3="1",SUMIF(Data!A:A,'30'!$A$2,Data!AM:AM),0)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446</v>
      </c>
      <c r="B2" s="58" t="str">
        <f>VLOOKUP(A2,Data!A:G,7,0)</f>
        <v>Northeast Texas Community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18668</v>
      </c>
      <c r="E5" s="15">
        <f>E36+E67+IFERROR($E$105/$D$105*D5,0)</f>
        <v>110119.05113143122</v>
      </c>
      <c r="F5" s="20">
        <f>IF(OR(D5=0,E5=0),"",ROUND(E5/D5,2))</f>
        <v>5.9</v>
      </c>
    </row>
    <row r="6" spans="1:6" x14ac:dyDescent="0.2">
      <c r="A6" s="19">
        <v>2</v>
      </c>
      <c r="B6" s="180" t="s">
        <v>1</v>
      </c>
      <c r="C6" s="181"/>
      <c r="D6" s="14">
        <f t="shared" ref="D6:D32" si="0">D37</f>
        <v>13488</v>
      </c>
      <c r="E6" s="17">
        <f t="shared" ref="E6:E32" si="1">E37+E68+IFERROR($E$105/$D$105*D6,0)</f>
        <v>447234.12286590657</v>
      </c>
      <c r="F6" s="21">
        <f t="shared" ref="F6:F33" si="2">IF(OR(D6=0,E6=0),"",ROUND(E6/D6,2))</f>
        <v>33.159999999999997</v>
      </c>
    </row>
    <row r="7" spans="1:6" ht="14.25" customHeight="1" x14ac:dyDescent="0.2">
      <c r="A7" s="19">
        <v>3</v>
      </c>
      <c r="B7" s="180" t="s">
        <v>2</v>
      </c>
      <c r="C7" s="181"/>
      <c r="D7" s="14">
        <f t="shared" si="0"/>
        <v>136264</v>
      </c>
      <c r="E7" s="17">
        <f t="shared" si="1"/>
        <v>428554.27744661149</v>
      </c>
      <c r="F7" s="21">
        <f t="shared" si="2"/>
        <v>3.15</v>
      </c>
    </row>
    <row r="8" spans="1:6" ht="14.25" customHeight="1" x14ac:dyDescent="0.2">
      <c r="A8" s="19">
        <v>4</v>
      </c>
      <c r="B8" s="180" t="s">
        <v>3</v>
      </c>
      <c r="C8" s="181"/>
      <c r="D8" s="14">
        <f t="shared" si="0"/>
        <v>75990</v>
      </c>
      <c r="E8" s="17">
        <f t="shared" si="1"/>
        <v>473159.37237398</v>
      </c>
      <c r="F8" s="21">
        <f t="shared" si="2"/>
        <v>6.23</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3608</v>
      </c>
      <c r="E10" s="17">
        <f t="shared" si="1"/>
        <v>45327.491347878924</v>
      </c>
      <c r="F10" s="21">
        <f t="shared" si="2"/>
        <v>12.56</v>
      </c>
    </row>
    <row r="11" spans="1:6" x14ac:dyDescent="0.2">
      <c r="A11" s="19">
        <v>7</v>
      </c>
      <c r="B11" s="180" t="s">
        <v>6</v>
      </c>
      <c r="C11" s="181"/>
      <c r="D11" s="14">
        <f t="shared" si="0"/>
        <v>57067</v>
      </c>
      <c r="E11" s="17">
        <f t="shared" si="1"/>
        <v>431120.32670438103</v>
      </c>
      <c r="F11" s="21">
        <f t="shared" si="2"/>
        <v>7.55</v>
      </c>
    </row>
    <row r="12" spans="1:6" x14ac:dyDescent="0.2">
      <c r="A12" s="19">
        <v>8</v>
      </c>
      <c r="B12" s="180" t="s">
        <v>7</v>
      </c>
      <c r="C12" s="181"/>
      <c r="D12" s="14">
        <f t="shared" si="0"/>
        <v>3456</v>
      </c>
      <c r="E12" s="17">
        <f t="shared" si="1"/>
        <v>388225.2200937554</v>
      </c>
      <c r="F12" s="21">
        <f t="shared" si="2"/>
        <v>112.33</v>
      </c>
    </row>
    <row r="13" spans="1:6" x14ac:dyDescent="0.2">
      <c r="A13" s="19">
        <v>9</v>
      </c>
      <c r="B13" s="180" t="s">
        <v>8</v>
      </c>
      <c r="C13" s="181"/>
      <c r="D13" s="14">
        <f t="shared" si="0"/>
        <v>54465</v>
      </c>
      <c r="E13" s="17">
        <f t="shared" si="1"/>
        <v>215002.65694629319</v>
      </c>
      <c r="F13" s="21">
        <f t="shared" si="2"/>
        <v>3.95</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0</v>
      </c>
      <c r="E15" s="17">
        <f t="shared" si="1"/>
        <v>0</v>
      </c>
      <c r="F15" s="21" t="str">
        <f t="shared" si="2"/>
        <v/>
      </c>
    </row>
    <row r="16" spans="1:6" ht="14.25" customHeight="1" x14ac:dyDescent="0.2">
      <c r="A16" s="19">
        <v>12</v>
      </c>
      <c r="B16" s="180" t="s">
        <v>11</v>
      </c>
      <c r="C16" s="181"/>
      <c r="D16" s="14">
        <f t="shared" si="0"/>
        <v>153917</v>
      </c>
      <c r="E16" s="17">
        <f t="shared" si="1"/>
        <v>820421.9777692575</v>
      </c>
      <c r="F16" s="21">
        <f t="shared" si="2"/>
        <v>5.33</v>
      </c>
    </row>
    <row r="17" spans="1:6" x14ac:dyDescent="0.2">
      <c r="A17" s="19">
        <v>13</v>
      </c>
      <c r="B17" s="180" t="s">
        <v>12</v>
      </c>
      <c r="C17" s="181"/>
      <c r="D17" s="14">
        <f t="shared" si="0"/>
        <v>13288</v>
      </c>
      <c r="E17" s="17">
        <f t="shared" si="1"/>
        <v>91478.029110480929</v>
      </c>
      <c r="F17" s="21">
        <f t="shared" si="2"/>
        <v>6.88</v>
      </c>
    </row>
    <row r="18" spans="1:6" ht="14.25" customHeight="1" x14ac:dyDescent="0.2">
      <c r="A18" s="19">
        <v>14</v>
      </c>
      <c r="B18" s="180" t="s">
        <v>464</v>
      </c>
      <c r="C18" s="181"/>
      <c r="D18" s="14">
        <f t="shared" si="0"/>
        <v>34695</v>
      </c>
      <c r="E18" s="17">
        <f t="shared" si="1"/>
        <v>315073.13922246656</v>
      </c>
      <c r="F18" s="21">
        <f t="shared" si="2"/>
        <v>9.08</v>
      </c>
    </row>
    <row r="19" spans="1:6" x14ac:dyDescent="0.2">
      <c r="A19" s="19">
        <v>15</v>
      </c>
      <c r="B19" s="180" t="s">
        <v>13</v>
      </c>
      <c r="C19" s="181"/>
      <c r="D19" s="14">
        <f t="shared" si="0"/>
        <v>0</v>
      </c>
      <c r="E19" s="17">
        <f t="shared" si="1"/>
        <v>62706</v>
      </c>
      <c r="F19" s="21" t="str">
        <f t="shared" si="2"/>
        <v/>
      </c>
    </row>
    <row r="20" spans="1:6" x14ac:dyDescent="0.2">
      <c r="A20" s="19">
        <v>16</v>
      </c>
      <c r="B20" s="180" t="s">
        <v>14</v>
      </c>
      <c r="C20" s="181"/>
      <c r="D20" s="14">
        <f t="shared" si="0"/>
        <v>54415</v>
      </c>
      <c r="E20" s="17">
        <f t="shared" si="1"/>
        <v>224344.38350743678</v>
      </c>
      <c r="F20" s="21">
        <f t="shared" si="2"/>
        <v>4.12</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36704</v>
      </c>
      <c r="E22" s="17">
        <f t="shared" si="1"/>
        <v>256986.60599571734</v>
      </c>
      <c r="F22" s="21">
        <f t="shared" si="2"/>
        <v>7</v>
      </c>
    </row>
    <row r="23" spans="1:6" x14ac:dyDescent="0.2">
      <c r="A23" s="19">
        <v>19</v>
      </c>
      <c r="B23" s="180" t="s">
        <v>17</v>
      </c>
      <c r="C23" s="181"/>
      <c r="D23" s="14">
        <f t="shared" si="0"/>
        <v>97861</v>
      </c>
      <c r="E23" s="17">
        <f t="shared" si="1"/>
        <v>558464.09999855317</v>
      </c>
      <c r="F23" s="21">
        <f t="shared" si="2"/>
        <v>5.71</v>
      </c>
    </row>
    <row r="24" spans="1:6" x14ac:dyDescent="0.2">
      <c r="A24" s="19">
        <v>20</v>
      </c>
      <c r="B24" s="180" t="s">
        <v>18</v>
      </c>
      <c r="C24" s="181"/>
      <c r="D24" s="14">
        <f t="shared" si="0"/>
        <v>15984</v>
      </c>
      <c r="E24" s="17">
        <f t="shared" si="1"/>
        <v>145619.89293361886</v>
      </c>
      <c r="F24" s="21">
        <f t="shared" si="2"/>
        <v>9.11</v>
      </c>
    </row>
    <row r="25" spans="1:6" ht="14.25" customHeight="1" x14ac:dyDescent="0.2">
      <c r="A25" s="19">
        <v>21</v>
      </c>
      <c r="B25" s="180" t="s">
        <v>461</v>
      </c>
      <c r="C25" s="181"/>
      <c r="D25" s="14">
        <f t="shared" si="0"/>
        <v>14223</v>
      </c>
      <c r="E25" s="17">
        <f t="shared" si="1"/>
        <v>129630.3424170959</v>
      </c>
      <c r="F25" s="21">
        <f t="shared" si="2"/>
        <v>9.11</v>
      </c>
    </row>
    <row r="26" spans="1:6" x14ac:dyDescent="0.2">
      <c r="A26" s="19">
        <v>22</v>
      </c>
      <c r="B26" s="180" t="s">
        <v>19</v>
      </c>
      <c r="C26" s="181"/>
      <c r="D26" s="14">
        <f t="shared" si="0"/>
        <v>120</v>
      </c>
      <c r="E26" s="17">
        <f t="shared" si="1"/>
        <v>1012.0562532553968</v>
      </c>
      <c r="F26" s="21">
        <f t="shared" si="2"/>
        <v>8.43</v>
      </c>
    </row>
    <row r="27" spans="1:6" x14ac:dyDescent="0.2">
      <c r="A27" s="19">
        <v>23</v>
      </c>
      <c r="B27" s="180" t="s">
        <v>20</v>
      </c>
      <c r="C27" s="181"/>
      <c r="D27" s="14">
        <f t="shared" si="0"/>
        <v>39321</v>
      </c>
      <c r="E27" s="17">
        <f t="shared" si="1"/>
        <v>227711.1577854621</v>
      </c>
      <c r="F27" s="21">
        <f t="shared" si="2"/>
        <v>5.79</v>
      </c>
    </row>
    <row r="28" spans="1:6" x14ac:dyDescent="0.2">
      <c r="A28" s="19">
        <v>24</v>
      </c>
      <c r="B28" s="180" t="s">
        <v>21</v>
      </c>
      <c r="C28" s="181"/>
      <c r="D28" s="14">
        <f t="shared" si="0"/>
        <v>46949</v>
      </c>
      <c r="E28" s="17">
        <f t="shared" si="1"/>
        <v>343194.03361739684</v>
      </c>
      <c r="F28" s="21">
        <f t="shared" si="2"/>
        <v>7.31</v>
      </c>
    </row>
    <row r="29" spans="1:6" x14ac:dyDescent="0.2">
      <c r="A29" s="19">
        <v>25</v>
      </c>
      <c r="B29" s="180" t="s">
        <v>22</v>
      </c>
      <c r="C29" s="181"/>
      <c r="D29" s="14">
        <f t="shared" si="0"/>
        <v>193889</v>
      </c>
      <c r="E29" s="17">
        <f t="shared" si="1"/>
        <v>943768.41572863015</v>
      </c>
      <c r="F29" s="21">
        <f t="shared" si="2"/>
        <v>4.87</v>
      </c>
    </row>
    <row r="30" spans="1:6" x14ac:dyDescent="0.2">
      <c r="A30" s="19">
        <v>26</v>
      </c>
      <c r="B30" s="180" t="s">
        <v>23</v>
      </c>
      <c r="C30" s="181"/>
      <c r="D30" s="14">
        <f t="shared" si="0"/>
        <v>41484</v>
      </c>
      <c r="E30" s="17">
        <f t="shared" si="1"/>
        <v>385132.34675039066</v>
      </c>
      <c r="F30" s="21">
        <f t="shared" si="2"/>
        <v>9.2799999999999994</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1105856</v>
      </c>
      <c r="E33" s="31">
        <f>SUM(E5:E32)</f>
        <v>7044285</v>
      </c>
      <c r="F33" s="32">
        <f t="shared" si="2"/>
        <v>6.37</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IF(F3="1",SUMIF(Data!A:A,'31'!$A$2,Data!CU:CU),0)</f>
        <v>18668</v>
      </c>
      <c r="E36" s="15">
        <f>IF(F3="1",SUMIF(Data!$A:$A,$A$2,Data!IO:IO),0)</f>
        <v>5114</v>
      </c>
      <c r="F36" s="20">
        <f t="shared" ref="F36:F64" si="3">IF(OR(D36=0,E36=0),"",ROUND(E36/D36,2))</f>
        <v>0.27</v>
      </c>
    </row>
    <row r="37" spans="1:6" x14ac:dyDescent="0.2">
      <c r="A37" s="19">
        <v>2</v>
      </c>
      <c r="B37" s="180" t="s">
        <v>1</v>
      </c>
      <c r="C37" s="181"/>
      <c r="D37" s="14">
        <f>IF(F3="1",SUMIF(Data!A:A,'31'!$A$2,Data!CV:CV),0)</f>
        <v>13488</v>
      </c>
      <c r="E37" s="17">
        <f>IF(F3="1",SUMIF(Data!$A:$A,$A$2,Data!IP:IP),0)</f>
        <v>49129</v>
      </c>
      <c r="F37" s="21">
        <f t="shared" si="3"/>
        <v>3.64</v>
      </c>
    </row>
    <row r="38" spans="1:6" ht="14.25" customHeight="1" x14ac:dyDescent="0.2">
      <c r="A38" s="19">
        <v>3</v>
      </c>
      <c r="B38" s="180" t="s">
        <v>2</v>
      </c>
      <c r="C38" s="181"/>
      <c r="D38" s="14">
        <f>IF(F3="1",SUMIF(Data!A:A,'31'!$A$2,Data!CW:CW),0)</f>
        <v>136264</v>
      </c>
      <c r="E38" s="17">
        <f>IF($F$3="1",SUMIF(Data!$A:$A,$A$2,Data!IQ:IQ),0)</f>
        <v>5433</v>
      </c>
      <c r="F38" s="21">
        <f t="shared" si="3"/>
        <v>0.04</v>
      </c>
    </row>
    <row r="39" spans="1:6" ht="14.25" customHeight="1" x14ac:dyDescent="0.2">
      <c r="A39" s="19">
        <v>4</v>
      </c>
      <c r="B39" s="180" t="s">
        <v>3</v>
      </c>
      <c r="C39" s="181"/>
      <c r="D39" s="14">
        <f>IF(F3="1",SUMIF(Data!A:A,'31'!$A$2,Data!CX:CX),0)</f>
        <v>75990</v>
      </c>
      <c r="E39" s="17">
        <f>IF($F$3="1",SUMIF(Data!$A:$A,$A$2,Data!IR:IR),0)</f>
        <v>7430</v>
      </c>
      <c r="F39" s="21">
        <f t="shared" si="3"/>
        <v>0.1</v>
      </c>
    </row>
    <row r="40" spans="1:6" x14ac:dyDescent="0.2">
      <c r="A40" s="19">
        <v>5</v>
      </c>
      <c r="B40" s="180" t="s">
        <v>4</v>
      </c>
      <c r="C40" s="181"/>
      <c r="D40" s="14">
        <f>IF(F3="1",SUMIF(Data!A:A,'31'!$A$2,Data!CY:CY),0)</f>
        <v>0</v>
      </c>
      <c r="E40" s="17">
        <f>IF($F$3="1",SUMIF(Data!$A:$A,$A$2,Data!IS:IS),0)</f>
        <v>0</v>
      </c>
      <c r="F40" s="21" t="str">
        <f t="shared" si="3"/>
        <v/>
      </c>
    </row>
    <row r="41" spans="1:6" x14ac:dyDescent="0.2">
      <c r="A41" s="19">
        <v>6</v>
      </c>
      <c r="B41" s="180" t="s">
        <v>5</v>
      </c>
      <c r="C41" s="181"/>
      <c r="D41" s="14">
        <f>IF(F3="1",SUMIF(Data!A:A,'31'!$A$2,Data!CZ:CZ),0)</f>
        <v>3608</v>
      </c>
      <c r="E41" s="17">
        <f>IF($F$3="1",SUMIF(Data!$A:$A,$A$2,Data!IT:IT),0)</f>
        <v>289</v>
      </c>
      <c r="F41" s="21">
        <f t="shared" si="3"/>
        <v>0.08</v>
      </c>
    </row>
    <row r="42" spans="1:6" x14ac:dyDescent="0.2">
      <c r="A42" s="19">
        <v>7</v>
      </c>
      <c r="B42" s="180" t="s">
        <v>6</v>
      </c>
      <c r="C42" s="181"/>
      <c r="D42" s="14">
        <f>IF(F3="1",SUMIF(Data!A:A,'31'!$A$2,Data!DA:DA),0)</f>
        <v>57067</v>
      </c>
      <c r="E42" s="17">
        <f>IF($F$3="1",SUMIF(Data!$A:$A,$A$2,Data!IU:IU),0)</f>
        <v>57687</v>
      </c>
      <c r="F42" s="21">
        <f t="shared" si="3"/>
        <v>1.01</v>
      </c>
    </row>
    <row r="43" spans="1:6" x14ac:dyDescent="0.2">
      <c r="A43" s="19">
        <v>8</v>
      </c>
      <c r="B43" s="180" t="s">
        <v>7</v>
      </c>
      <c r="C43" s="181"/>
      <c r="D43" s="14">
        <f>IF(F3="1",SUMIF(Data!A:A,'31'!$A$2,Data!DB:DB),0)</f>
        <v>3456</v>
      </c>
      <c r="E43" s="17">
        <f>IF($F$3="1",SUMIF(Data!$A:$A,$A$2,Data!IV:IV),0)</f>
        <v>94609</v>
      </c>
      <c r="F43" s="21">
        <f t="shared" si="3"/>
        <v>27.38</v>
      </c>
    </row>
    <row r="44" spans="1:6" x14ac:dyDescent="0.2">
      <c r="A44" s="19">
        <v>9</v>
      </c>
      <c r="B44" s="180" t="s">
        <v>8</v>
      </c>
      <c r="C44" s="181"/>
      <c r="D44" s="14">
        <f>IF(F3="1",SUMIF(Data!A:A,'31'!$A$2,Data!DC:DC),0)</f>
        <v>54465</v>
      </c>
      <c r="E44" s="17">
        <f>IF($F$3="1",SUMIF(Data!$A:$A,$A$2,Data!IW:IW),0)</f>
        <v>7837</v>
      </c>
      <c r="F44" s="21">
        <f t="shared" si="3"/>
        <v>0.14000000000000001</v>
      </c>
    </row>
    <row r="45" spans="1:6" x14ac:dyDescent="0.2">
      <c r="A45" s="19">
        <v>10</v>
      </c>
      <c r="B45" s="180" t="s">
        <v>9</v>
      </c>
      <c r="C45" s="181"/>
      <c r="D45" s="14">
        <f>IF(F3="1",SUMIF(Data!A:A,'31'!$A$2,Data!DD:DD),0)</f>
        <v>0</v>
      </c>
      <c r="E45" s="17">
        <f>IF($F$3="1",SUMIF(Data!$A:$A,$A$2,Data!IX:IX),0)</f>
        <v>0</v>
      </c>
      <c r="F45" s="21" t="str">
        <f t="shared" si="3"/>
        <v/>
      </c>
    </row>
    <row r="46" spans="1:6" x14ac:dyDescent="0.2">
      <c r="A46" s="19">
        <v>11</v>
      </c>
      <c r="B46" s="180" t="s">
        <v>10</v>
      </c>
      <c r="C46" s="181"/>
      <c r="D46" s="14">
        <f>IF(F3="1",SUMIF(Data!A:A,'31'!$A$2,Data!DE:DE),0)</f>
        <v>0</v>
      </c>
      <c r="E46" s="17">
        <f>IF($F$3="1",SUMIF(Data!$A:$A,$A$2,Data!IY:IY),0)</f>
        <v>0</v>
      </c>
      <c r="F46" s="21" t="str">
        <f t="shared" si="3"/>
        <v/>
      </c>
    </row>
    <row r="47" spans="1:6" ht="14.25" customHeight="1" x14ac:dyDescent="0.2">
      <c r="A47" s="19">
        <v>12</v>
      </c>
      <c r="B47" s="180" t="s">
        <v>11</v>
      </c>
      <c r="C47" s="181"/>
      <c r="D47" s="14">
        <f>IF(F3="1",SUMIF(Data!A:A,'31'!$A$2,Data!DF:DF),0)</f>
        <v>153917</v>
      </c>
      <c r="E47" s="17">
        <f>IF($F$3="1",SUMIF(Data!$A:$A,$A$2,Data!IZ:IZ),0)</f>
        <v>11030</v>
      </c>
      <c r="F47" s="21">
        <f t="shared" si="3"/>
        <v>7.0000000000000007E-2</v>
      </c>
    </row>
    <row r="48" spans="1:6" x14ac:dyDescent="0.2">
      <c r="A48" s="19">
        <v>13</v>
      </c>
      <c r="B48" s="180" t="s">
        <v>12</v>
      </c>
      <c r="C48" s="181"/>
      <c r="D48" s="14">
        <f>IF(F3="1",SUMIF(Data!A:A,'31'!$A$2,Data!DG:DG),0)</f>
        <v>13288</v>
      </c>
      <c r="E48" s="17">
        <f>IF($F$3="1",SUMIF(Data!$A:$A,$A$2,Data!JA:JA),0)</f>
        <v>2658</v>
      </c>
      <c r="F48" s="21">
        <f t="shared" si="3"/>
        <v>0.2</v>
      </c>
    </row>
    <row r="49" spans="1:6" ht="14.25" customHeight="1" x14ac:dyDescent="0.2">
      <c r="A49" s="19">
        <v>14</v>
      </c>
      <c r="B49" s="180" t="s">
        <v>464</v>
      </c>
      <c r="C49" s="181"/>
      <c r="D49" s="14">
        <f>IF(F3="1",SUMIF(Data!A:A,'31'!$A$2,Data!DH:DH),0)</f>
        <v>34695</v>
      </c>
      <c r="E49" s="17">
        <f>IF($F$3="1",SUMIF(Data!$A:$A,$A$2,Data!JB:JB),0)</f>
        <v>14591</v>
      </c>
      <c r="F49" s="21">
        <f t="shared" si="3"/>
        <v>0.42</v>
      </c>
    </row>
    <row r="50" spans="1:6" x14ac:dyDescent="0.2">
      <c r="A50" s="19">
        <v>15</v>
      </c>
      <c r="B50" s="180" t="s">
        <v>13</v>
      </c>
      <c r="C50" s="181"/>
      <c r="D50" s="14">
        <f>IF(F3="1",SUMIF(Data!A:A,'31'!$A$2,Data!DI:DI),0)</f>
        <v>0</v>
      </c>
      <c r="E50" s="17">
        <f>IF($F$3="1",SUMIF(Data!$A:$A,$A$2,Data!JC:JC),0)</f>
        <v>12721</v>
      </c>
      <c r="F50" s="21" t="str">
        <f t="shared" si="3"/>
        <v/>
      </c>
    </row>
    <row r="51" spans="1:6" x14ac:dyDescent="0.2">
      <c r="A51" s="19">
        <v>16</v>
      </c>
      <c r="B51" s="180" t="s">
        <v>14</v>
      </c>
      <c r="C51" s="181"/>
      <c r="D51" s="14">
        <f>IF(F3="1",SUMIF(Data!A:A,'31'!$A$2,Data!DJ:DJ),0)</f>
        <v>54415</v>
      </c>
      <c r="E51" s="17">
        <f>IF($F$3="1",SUMIF(Data!$A:$A,$A$2,Data!JD:JD),0)</f>
        <v>9757</v>
      </c>
      <c r="F51" s="21">
        <f t="shared" si="3"/>
        <v>0.18</v>
      </c>
    </row>
    <row r="52" spans="1:6" x14ac:dyDescent="0.2">
      <c r="A52" s="19">
        <v>17</v>
      </c>
      <c r="B52" s="180" t="s">
        <v>15</v>
      </c>
      <c r="C52" s="181"/>
      <c r="D52" s="14">
        <f>IF(F3="1",SUMIF(Data!A:A,'31'!$A$2,Data!DK:DK),0)</f>
        <v>0</v>
      </c>
      <c r="E52" s="17">
        <f>IF($F$3="1",SUMIF(Data!$A:$A,$A$2,Data!JE:JE),0)</f>
        <v>0</v>
      </c>
      <c r="F52" s="21" t="str">
        <f t="shared" si="3"/>
        <v/>
      </c>
    </row>
    <row r="53" spans="1:6" x14ac:dyDescent="0.2">
      <c r="A53" s="19">
        <v>18</v>
      </c>
      <c r="B53" s="180" t="s">
        <v>16</v>
      </c>
      <c r="C53" s="181"/>
      <c r="D53" s="14">
        <f>IF(F3="1",SUMIF(Data!A:A,'31'!$A$2,Data!DL:DL),0)</f>
        <v>36704</v>
      </c>
      <c r="E53" s="17">
        <f>IF($F$3="1",SUMIF(Data!$A:$A,$A$2,Data!JF:JF),0)</f>
        <v>9432</v>
      </c>
      <c r="F53" s="21">
        <f t="shared" si="3"/>
        <v>0.26</v>
      </c>
    </row>
    <row r="54" spans="1:6" x14ac:dyDescent="0.2">
      <c r="A54" s="19">
        <v>19</v>
      </c>
      <c r="B54" s="180" t="s">
        <v>17</v>
      </c>
      <c r="C54" s="181"/>
      <c r="D54" s="14">
        <f>IF(F3="1",SUMIF(Data!A:A,'31'!$A$2,Data!DM:DM),0)</f>
        <v>97861</v>
      </c>
      <c r="E54" s="17">
        <f>IF($F$3="1",SUMIF(Data!$A:$A,$A$2,Data!JG:JG),0)</f>
        <v>13614</v>
      </c>
      <c r="F54" s="21">
        <f t="shared" si="3"/>
        <v>0.14000000000000001</v>
      </c>
    </row>
    <row r="55" spans="1:6" x14ac:dyDescent="0.2">
      <c r="A55" s="19">
        <v>20</v>
      </c>
      <c r="B55" s="180" t="s">
        <v>18</v>
      </c>
      <c r="C55" s="181"/>
      <c r="D55" s="14">
        <f>IF(F3="1",SUMIF(Data!A:A,'31'!$A$2,Data!DN:DN),0)</f>
        <v>15984</v>
      </c>
      <c r="E55" s="17">
        <f>IF($F$3="1",SUMIF(Data!$A:$A,$A$2,Data!JH:JH),0)</f>
        <v>17047</v>
      </c>
      <c r="F55" s="21">
        <f t="shared" si="3"/>
        <v>1.07</v>
      </c>
    </row>
    <row r="56" spans="1:6" ht="14.25" customHeight="1" x14ac:dyDescent="0.2">
      <c r="A56" s="19">
        <v>21</v>
      </c>
      <c r="B56" s="180" t="s">
        <v>461</v>
      </c>
      <c r="C56" s="181"/>
      <c r="D56" s="14">
        <f>IF(F3="1",SUMIF(Data!A:A,'31'!$A$2,Data!DO:DO),0)</f>
        <v>14223</v>
      </c>
      <c r="E56" s="17">
        <f>IF($F$3="1",SUMIF(Data!$A:$A,$A$2,Data!JI:JI),0)</f>
        <v>15170</v>
      </c>
      <c r="F56" s="21">
        <f t="shared" si="3"/>
        <v>1.07</v>
      </c>
    </row>
    <row r="57" spans="1:6" x14ac:dyDescent="0.2">
      <c r="A57" s="19">
        <v>22</v>
      </c>
      <c r="B57" s="180" t="s">
        <v>19</v>
      </c>
      <c r="C57" s="181"/>
      <c r="D57" s="14">
        <f>IF(F3="1",SUMIF(Data!A:A,'31'!$A$2,Data!DP:DP),0)</f>
        <v>120</v>
      </c>
      <c r="E57" s="17">
        <f>IF($F$3="1",SUMIF(Data!$A:$A,$A$2,Data!JJ:JJ),0)</f>
        <v>100</v>
      </c>
      <c r="F57" s="21">
        <f t="shared" si="3"/>
        <v>0.83</v>
      </c>
    </row>
    <row r="58" spans="1:6" x14ac:dyDescent="0.2">
      <c r="A58" s="19">
        <v>23</v>
      </c>
      <c r="B58" s="180" t="s">
        <v>20</v>
      </c>
      <c r="C58" s="181"/>
      <c r="D58" s="14">
        <f>IF(F3="1",SUMIF(Data!A:A,'31'!$A$2,Data!DQ:DQ),0)</f>
        <v>39321</v>
      </c>
      <c r="E58" s="17">
        <f>IF($F$3="1",SUMIF(Data!$A:$A,$A$2,Data!JK:JK),0)</f>
        <v>1877</v>
      </c>
      <c r="F58" s="21">
        <f t="shared" si="3"/>
        <v>0.05</v>
      </c>
    </row>
    <row r="59" spans="1:6" x14ac:dyDescent="0.2">
      <c r="A59" s="19">
        <v>24</v>
      </c>
      <c r="B59" s="180" t="s">
        <v>21</v>
      </c>
      <c r="C59" s="181"/>
      <c r="D59" s="14">
        <f>IF(F3="1",SUMIF(Data!A:A,'31'!$A$2,Data!DR:DR),0)</f>
        <v>46949</v>
      </c>
      <c r="E59" s="17">
        <f>IF($F$3="1",SUMIF(Data!$A:$A,$A$2,Data!JL:JL),0)</f>
        <v>22229</v>
      </c>
      <c r="F59" s="21">
        <f t="shared" si="3"/>
        <v>0.47</v>
      </c>
    </row>
    <row r="60" spans="1:6" x14ac:dyDescent="0.2">
      <c r="A60" s="19">
        <v>25</v>
      </c>
      <c r="B60" s="180" t="s">
        <v>22</v>
      </c>
      <c r="C60" s="181"/>
      <c r="D60" s="14">
        <f>IF(F3="1",SUMIF(Data!A:A,'31'!$A$2,Data!DS:DS),0)</f>
        <v>193889</v>
      </c>
      <c r="E60" s="17">
        <f>IF($F$3="1",SUMIF(Data!$A:$A,$A$2,Data!JM:JM),0)</f>
        <v>13936</v>
      </c>
      <c r="F60" s="21">
        <f t="shared" si="3"/>
        <v>7.0000000000000007E-2</v>
      </c>
    </row>
    <row r="61" spans="1:6" x14ac:dyDescent="0.2">
      <c r="A61" s="19">
        <v>26</v>
      </c>
      <c r="B61" s="180" t="s">
        <v>23</v>
      </c>
      <c r="C61" s="181"/>
      <c r="D61" s="14">
        <f>IF(F3="1",SUMIF(Data!A:A,'31'!$A$2,Data!DT:DT),0)</f>
        <v>41484</v>
      </c>
      <c r="E61" s="17">
        <f>IF($F$3="1",SUMIF(Data!$A:$A,$A$2,Data!JN:JN),0)</f>
        <v>15614</v>
      </c>
      <c r="F61" s="21">
        <f t="shared" si="3"/>
        <v>0.38</v>
      </c>
    </row>
    <row r="62" spans="1:6" x14ac:dyDescent="0.2">
      <c r="A62" s="19">
        <v>28</v>
      </c>
      <c r="B62" s="180" t="s">
        <v>24</v>
      </c>
      <c r="C62" s="181"/>
      <c r="D62" s="14">
        <f>IF(F3="1",SUMIF(Data!A:A,'31'!$A$2,Data!DV:DV),0)</f>
        <v>0</v>
      </c>
      <c r="E62" s="17">
        <f>IF($F$3="1",SUMIF(Data!$A:$A,$A$2,Data!JP:JP),0)</f>
        <v>0</v>
      </c>
      <c r="F62" s="21" t="str">
        <f t="shared" si="3"/>
        <v/>
      </c>
    </row>
    <row r="63" spans="1:6" ht="15.75" customHeight="1" thickBot="1" x14ac:dyDescent="0.25">
      <c r="A63" s="22">
        <v>29</v>
      </c>
      <c r="B63" s="184" t="s">
        <v>25</v>
      </c>
      <c r="C63" s="185"/>
      <c r="D63" s="23">
        <f>IF(F3="1",SUMIF(Data!A:A,'31'!$A$2,Data!DW:DW),0)</f>
        <v>0</v>
      </c>
      <c r="E63" s="24">
        <f>IF($F$3="1",SUMIF(Data!$A:$A,$A$2,Data!JQ:JQ),0)</f>
        <v>0</v>
      </c>
      <c r="F63" s="25" t="str">
        <f t="shared" si="3"/>
        <v/>
      </c>
    </row>
    <row r="64" spans="1:6" x14ac:dyDescent="0.2">
      <c r="B64" s="30" t="s">
        <v>35</v>
      </c>
      <c r="C64" s="30"/>
      <c r="D64" s="59">
        <f>SUM(D36:D63)</f>
        <v>1105856</v>
      </c>
      <c r="E64" s="31">
        <f>SUM(E36:E63)</f>
        <v>387304</v>
      </c>
      <c r="F64" s="32">
        <f t="shared" si="3"/>
        <v>0.35</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18668</v>
      </c>
      <c r="E67" s="15">
        <f>IF(F3="1",SUMIF(Data!A:A,'31'!$A$2,Data!DY:DY),0)</f>
        <v>54126</v>
      </c>
      <c r="F67" s="20">
        <f t="shared" ref="F67:F95" si="4">IF(OR(D67=0,E67=0),"",ROUND(E67/D67,2))</f>
        <v>2.9</v>
      </c>
    </row>
    <row r="68" spans="1:6" x14ac:dyDescent="0.2">
      <c r="A68" s="19">
        <v>2</v>
      </c>
      <c r="B68" s="180" t="s">
        <v>1</v>
      </c>
      <c r="C68" s="181"/>
      <c r="D68" s="14">
        <f t="shared" ref="D68:D94" si="5">D37</f>
        <v>13488</v>
      </c>
      <c r="E68" s="17">
        <f>IF(F3="1",SUMIF(Data!A:A,'31'!$A$2,Data!DZ:DZ),0)</f>
        <v>361344</v>
      </c>
      <c r="F68" s="21">
        <f t="shared" si="4"/>
        <v>26.79</v>
      </c>
    </row>
    <row r="69" spans="1:6" ht="14.25" customHeight="1" x14ac:dyDescent="0.2">
      <c r="A69" s="19">
        <v>3</v>
      </c>
      <c r="B69" s="180" t="s">
        <v>2</v>
      </c>
      <c r="C69" s="181"/>
      <c r="D69" s="14">
        <f t="shared" si="5"/>
        <v>136264</v>
      </c>
      <c r="E69" s="17">
        <f>IF(F3="1",SUMIF(Data!A:A,'31'!$A$2,Data!EA:EA),0)</f>
        <v>51738</v>
      </c>
      <c r="F69" s="21">
        <f t="shared" si="4"/>
        <v>0.38</v>
      </c>
    </row>
    <row r="70" spans="1:6" ht="14.25" customHeight="1" x14ac:dyDescent="0.2">
      <c r="A70" s="19">
        <v>4</v>
      </c>
      <c r="B70" s="180" t="s">
        <v>3</v>
      </c>
      <c r="C70" s="181"/>
      <c r="D70" s="14">
        <f t="shared" si="5"/>
        <v>75990</v>
      </c>
      <c r="E70" s="17">
        <f>IF(F3="1",SUMIF(Data!A:A,'31'!$A$2,Data!EB:EB),0)</f>
        <v>258621</v>
      </c>
      <c r="F70" s="21">
        <f t="shared" si="4"/>
        <v>3.4</v>
      </c>
    </row>
    <row r="71" spans="1:6" x14ac:dyDescent="0.2">
      <c r="A71" s="19">
        <v>5</v>
      </c>
      <c r="B71" s="180" t="s">
        <v>4</v>
      </c>
      <c r="C71" s="181"/>
      <c r="D71" s="14">
        <f t="shared" si="5"/>
        <v>0</v>
      </c>
      <c r="E71" s="17">
        <f>IF(F3="1",SUMIF(Data!A:A,'31'!$A$2,Data!EC:EC),0)</f>
        <v>0</v>
      </c>
      <c r="F71" s="21" t="str">
        <f t="shared" si="4"/>
        <v/>
      </c>
    </row>
    <row r="72" spans="1:6" x14ac:dyDescent="0.2">
      <c r="A72" s="19">
        <v>6</v>
      </c>
      <c r="B72" s="180" t="s">
        <v>5</v>
      </c>
      <c r="C72" s="181"/>
      <c r="D72" s="14">
        <f t="shared" si="5"/>
        <v>3608</v>
      </c>
      <c r="E72" s="17">
        <f>IF(F3="1",SUMIF(Data!A:A,'31'!$A$2,Data!ED:ED),0)</f>
        <v>35205</v>
      </c>
      <c r="F72" s="21">
        <f t="shared" si="4"/>
        <v>9.76</v>
      </c>
    </row>
    <row r="73" spans="1:6" x14ac:dyDescent="0.2">
      <c r="A73" s="19">
        <v>7</v>
      </c>
      <c r="B73" s="180" t="s">
        <v>6</v>
      </c>
      <c r="C73" s="181"/>
      <c r="D73" s="14">
        <f t="shared" si="5"/>
        <v>57067</v>
      </c>
      <c r="E73" s="17">
        <f>IF(F3="1",SUMIF(Data!A:A,'31'!$A$2,Data!EE:EE),0)</f>
        <v>217899</v>
      </c>
      <c r="F73" s="21">
        <f t="shared" si="4"/>
        <v>3.82</v>
      </c>
    </row>
    <row r="74" spans="1:6" x14ac:dyDescent="0.2">
      <c r="A74" s="19">
        <v>8</v>
      </c>
      <c r="B74" s="180" t="s">
        <v>7</v>
      </c>
      <c r="C74" s="181"/>
      <c r="D74" s="14">
        <f t="shared" si="5"/>
        <v>3456</v>
      </c>
      <c r="E74" s="17">
        <f>IF(F3="1",SUMIF(Data!A:A,'31'!$A$2,Data!EF:EF),0)</f>
        <v>284197</v>
      </c>
      <c r="F74" s="21">
        <f t="shared" si="4"/>
        <v>82.23</v>
      </c>
    </row>
    <row r="75" spans="1:6" x14ac:dyDescent="0.2">
      <c r="A75" s="19">
        <v>9</v>
      </c>
      <c r="B75" s="180" t="s">
        <v>8</v>
      </c>
      <c r="C75" s="181"/>
      <c r="D75" s="14">
        <f t="shared" si="5"/>
        <v>54465</v>
      </c>
      <c r="E75" s="17">
        <f>IF(F3="1",SUMIF(Data!A:A,'31'!$A$2,Data!EG:EG),0)</f>
        <v>58723</v>
      </c>
      <c r="F75" s="21">
        <f t="shared" si="4"/>
        <v>1.08</v>
      </c>
    </row>
    <row r="76" spans="1:6" x14ac:dyDescent="0.2">
      <c r="A76" s="19">
        <v>10</v>
      </c>
      <c r="B76" s="180" t="s">
        <v>9</v>
      </c>
      <c r="C76" s="181"/>
      <c r="D76" s="14">
        <f t="shared" si="5"/>
        <v>0</v>
      </c>
      <c r="E76" s="17">
        <f>IF(F3="1",SUMIF(Data!A:A,'31'!$A$2,Data!EH:EH),0)</f>
        <v>0</v>
      </c>
      <c r="F76" s="21" t="str">
        <f t="shared" si="4"/>
        <v/>
      </c>
    </row>
    <row r="77" spans="1:6" x14ac:dyDescent="0.2">
      <c r="A77" s="19">
        <v>11</v>
      </c>
      <c r="B77" s="180" t="s">
        <v>10</v>
      </c>
      <c r="C77" s="181"/>
      <c r="D77" s="14">
        <f t="shared" si="5"/>
        <v>0</v>
      </c>
      <c r="E77" s="17">
        <f>IF(F3="1",SUMIF(Data!A:A,'31'!$A$2,Data!EI:EI),0)</f>
        <v>0</v>
      </c>
      <c r="F77" s="21" t="str">
        <f t="shared" si="4"/>
        <v/>
      </c>
    </row>
    <row r="78" spans="1:6" ht="14.25" customHeight="1" x14ac:dyDescent="0.2">
      <c r="A78" s="19">
        <v>12</v>
      </c>
      <c r="B78" s="180" t="s">
        <v>11</v>
      </c>
      <c r="C78" s="181"/>
      <c r="D78" s="14">
        <f t="shared" si="5"/>
        <v>153917</v>
      </c>
      <c r="E78" s="17">
        <f>IF(F3="1",SUMIF(Data!A:A,'31'!$A$2,Data!EJ:EJ),0)</f>
        <v>389896</v>
      </c>
      <c r="F78" s="21">
        <f t="shared" si="4"/>
        <v>2.5299999999999998</v>
      </c>
    </row>
    <row r="79" spans="1:6" x14ac:dyDescent="0.2">
      <c r="A79" s="19">
        <v>13</v>
      </c>
      <c r="B79" s="180" t="s">
        <v>12</v>
      </c>
      <c r="C79" s="181"/>
      <c r="D79" s="14">
        <f t="shared" si="5"/>
        <v>13288</v>
      </c>
      <c r="E79" s="17">
        <f>IF(F3="1",SUMIF(Data!A:A,'31'!$A$2,Data!EK:EK),0)</f>
        <v>52604</v>
      </c>
      <c r="F79" s="21">
        <f t="shared" si="4"/>
        <v>3.96</v>
      </c>
    </row>
    <row r="80" spans="1:6" ht="14.25" customHeight="1" x14ac:dyDescent="0.2">
      <c r="A80" s="19">
        <v>14</v>
      </c>
      <c r="B80" s="180" t="s">
        <v>464</v>
      </c>
      <c r="C80" s="181"/>
      <c r="D80" s="14">
        <f t="shared" si="5"/>
        <v>34695</v>
      </c>
      <c r="E80" s="17">
        <f>IF(F3="1",SUMIF(Data!A:A,'31'!$A$2,Data!EL:EL),0)</f>
        <v>205922</v>
      </c>
      <c r="F80" s="21">
        <f t="shared" si="4"/>
        <v>5.94</v>
      </c>
    </row>
    <row r="81" spans="1:6" x14ac:dyDescent="0.2">
      <c r="A81" s="19">
        <v>15</v>
      </c>
      <c r="B81" s="180" t="s">
        <v>13</v>
      </c>
      <c r="C81" s="181"/>
      <c r="D81" s="14">
        <f t="shared" si="5"/>
        <v>0</v>
      </c>
      <c r="E81" s="17">
        <f>IF(F3="1",SUMIF(Data!A:A,'31'!$A$2,Data!EM:EM),0)</f>
        <v>49985</v>
      </c>
      <c r="F81" s="21" t="str">
        <f t="shared" si="4"/>
        <v/>
      </c>
    </row>
    <row r="82" spans="1:6" x14ac:dyDescent="0.2">
      <c r="A82" s="19">
        <v>16</v>
      </c>
      <c r="B82" s="180" t="s">
        <v>14</v>
      </c>
      <c r="C82" s="181"/>
      <c r="D82" s="14">
        <f t="shared" si="5"/>
        <v>54415</v>
      </c>
      <c r="E82" s="17">
        <f>IF(F3="1",SUMIF(Data!A:A,'31'!$A$2,Data!EN:EN),0)</f>
        <v>66281</v>
      </c>
      <c r="F82" s="21">
        <f t="shared" si="4"/>
        <v>1.22</v>
      </c>
    </row>
    <row r="83" spans="1:6" x14ac:dyDescent="0.2">
      <c r="A83" s="19">
        <v>17</v>
      </c>
      <c r="B83" s="180" t="s">
        <v>15</v>
      </c>
      <c r="C83" s="181"/>
      <c r="D83" s="14">
        <f t="shared" si="5"/>
        <v>0</v>
      </c>
      <c r="E83" s="17">
        <f>IF(F3="1",SUMIF(Data!A:A,'31'!$A$2,Data!EO:EO),0)</f>
        <v>0</v>
      </c>
      <c r="F83" s="21" t="str">
        <f t="shared" si="4"/>
        <v/>
      </c>
    </row>
    <row r="84" spans="1:6" x14ac:dyDescent="0.2">
      <c r="A84" s="19">
        <v>18</v>
      </c>
      <c r="B84" s="180" t="s">
        <v>16</v>
      </c>
      <c r="C84" s="181"/>
      <c r="D84" s="14">
        <f t="shared" si="5"/>
        <v>36704</v>
      </c>
      <c r="E84" s="17">
        <f>IF(F3="1",SUMIF(Data!A:A,'31'!$A$2,Data!EP:EP),0)</f>
        <v>147519</v>
      </c>
      <c r="F84" s="21">
        <f t="shared" si="4"/>
        <v>4.0199999999999996</v>
      </c>
    </row>
    <row r="85" spans="1:6" x14ac:dyDescent="0.2">
      <c r="A85" s="19">
        <v>19</v>
      </c>
      <c r="B85" s="180" t="s">
        <v>17</v>
      </c>
      <c r="C85" s="181"/>
      <c r="D85" s="14">
        <f t="shared" si="5"/>
        <v>97861</v>
      </c>
      <c r="E85" s="17">
        <f>IF(F3="1",SUMIF(Data!A:A,'31'!$A$2,Data!EQ:EQ),0)</f>
        <v>278133</v>
      </c>
      <c r="F85" s="21">
        <f t="shared" si="4"/>
        <v>2.84</v>
      </c>
    </row>
    <row r="86" spans="1:6" x14ac:dyDescent="0.2">
      <c r="A86" s="19">
        <v>20</v>
      </c>
      <c r="B86" s="180" t="s">
        <v>18</v>
      </c>
      <c r="C86" s="181"/>
      <c r="D86" s="14">
        <f t="shared" si="5"/>
        <v>15984</v>
      </c>
      <c r="E86" s="17">
        <f>IF(F3="1",SUMIF(Data!A:A,'31'!$A$2,Data!ER:ER),0)</f>
        <v>85009</v>
      </c>
      <c r="F86" s="21">
        <f t="shared" si="4"/>
        <v>5.32</v>
      </c>
    </row>
    <row r="87" spans="1:6" ht="14.25" customHeight="1" x14ac:dyDescent="0.2">
      <c r="A87" s="19">
        <v>21</v>
      </c>
      <c r="B87" s="180" t="s">
        <v>461</v>
      </c>
      <c r="C87" s="181"/>
      <c r="D87" s="14">
        <f t="shared" si="5"/>
        <v>14223</v>
      </c>
      <c r="E87" s="17">
        <f>IF(F3="1",SUMIF(Data!A:A,'31'!$A$2,Data!ES:ES),0)</f>
        <v>75696</v>
      </c>
      <c r="F87" s="21">
        <f t="shared" si="4"/>
        <v>5.32</v>
      </c>
    </row>
    <row r="88" spans="1:6" x14ac:dyDescent="0.2">
      <c r="A88" s="19">
        <v>22</v>
      </c>
      <c r="B88" s="180" t="s">
        <v>19</v>
      </c>
      <c r="C88" s="181"/>
      <c r="D88" s="14">
        <f t="shared" si="5"/>
        <v>120</v>
      </c>
      <c r="E88" s="17">
        <f>IF(F3="1",SUMIF(Data!A:A,'31'!$A$2,Data!ET:ET),0)</f>
        <v>585</v>
      </c>
      <c r="F88" s="21">
        <f t="shared" si="4"/>
        <v>4.88</v>
      </c>
    </row>
    <row r="89" spans="1:6" x14ac:dyDescent="0.2">
      <c r="A89" s="19">
        <v>23</v>
      </c>
      <c r="B89" s="180" t="s">
        <v>20</v>
      </c>
      <c r="C89" s="181"/>
      <c r="D89" s="14">
        <f t="shared" si="5"/>
        <v>39321</v>
      </c>
      <c r="E89" s="17">
        <f>IF(F3="1",SUMIF(Data!A:A,'31'!$A$2,Data!EU:EU),0)</f>
        <v>118666</v>
      </c>
      <c r="F89" s="21">
        <f t="shared" si="4"/>
        <v>3.02</v>
      </c>
    </row>
    <row r="90" spans="1:6" x14ac:dyDescent="0.2">
      <c r="A90" s="19">
        <v>24</v>
      </c>
      <c r="B90" s="180" t="s">
        <v>21</v>
      </c>
      <c r="C90" s="181"/>
      <c r="D90" s="14">
        <f t="shared" si="5"/>
        <v>46949</v>
      </c>
      <c r="E90" s="17">
        <f>IF(F3="1",SUMIF(Data!A:A,'31'!$A$2,Data!EV:EV),0)</f>
        <v>193007</v>
      </c>
      <c r="F90" s="21">
        <f t="shared" si="4"/>
        <v>4.1100000000000003</v>
      </c>
    </row>
    <row r="91" spans="1:6" x14ac:dyDescent="0.2">
      <c r="A91" s="19">
        <v>25</v>
      </c>
      <c r="B91" s="180" t="s">
        <v>22</v>
      </c>
      <c r="C91" s="181"/>
      <c r="D91" s="14">
        <f t="shared" si="5"/>
        <v>193889</v>
      </c>
      <c r="E91" s="17">
        <f>IF(F3="1",SUMIF(Data!A:A,'31'!$A$2,Data!EW:EW),0)</f>
        <v>401394</v>
      </c>
      <c r="F91" s="21">
        <f t="shared" si="4"/>
        <v>2.0699999999999998</v>
      </c>
    </row>
    <row r="92" spans="1:6" x14ac:dyDescent="0.2">
      <c r="A92" s="19">
        <v>26</v>
      </c>
      <c r="B92" s="180" t="s">
        <v>23</v>
      </c>
      <c r="C92" s="181"/>
      <c r="D92" s="14">
        <f t="shared" si="5"/>
        <v>41484</v>
      </c>
      <c r="E92" s="17">
        <f>IF(F3="1",SUMIF(Data!A:A,'31'!$A$2,Data!EX:EX),0)</f>
        <v>256455</v>
      </c>
      <c r="F92" s="21">
        <f t="shared" si="4"/>
        <v>6.18</v>
      </c>
    </row>
    <row r="93" spans="1:6" x14ac:dyDescent="0.2">
      <c r="A93" s="19">
        <v>28</v>
      </c>
      <c r="B93" s="180" t="s">
        <v>24</v>
      </c>
      <c r="C93" s="181"/>
      <c r="D93" s="14">
        <f t="shared" si="5"/>
        <v>0</v>
      </c>
      <c r="E93" s="17">
        <f>IF(F3="1",SUMIF(Data!A:A,'31'!$A$2,Data!EZ:EZ),0)</f>
        <v>0</v>
      </c>
      <c r="F93" s="21" t="str">
        <f t="shared" si="4"/>
        <v/>
      </c>
    </row>
    <row r="94" spans="1:6" ht="15.75" customHeight="1" thickBot="1" x14ac:dyDescent="0.25">
      <c r="A94" s="22">
        <v>29</v>
      </c>
      <c r="B94" s="184" t="s">
        <v>25</v>
      </c>
      <c r="C94" s="185"/>
      <c r="D94" s="23">
        <f t="shared" si="5"/>
        <v>0</v>
      </c>
      <c r="E94" s="24">
        <f>IF(F3="1",SUMIF(Data!A:A,'31'!$A$2,Data!FA:FA),0)</f>
        <v>0</v>
      </c>
      <c r="F94" s="25" t="str">
        <f t="shared" si="4"/>
        <v/>
      </c>
    </row>
    <row r="95" spans="1:6" x14ac:dyDescent="0.2">
      <c r="B95" s="30" t="s">
        <v>35</v>
      </c>
      <c r="C95" s="30"/>
      <c r="D95" s="59">
        <f>SUM(D67:D94)</f>
        <v>1105856</v>
      </c>
      <c r="E95" s="31">
        <f>SUM(E67:E94)</f>
        <v>3643005</v>
      </c>
      <c r="F95" s="32">
        <f t="shared" si="4"/>
        <v>3.29</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IF(F3="1",SUMIF(Data!A:A,'31'!$A$2,Data!AH:AH),0)</f>
        <v>1702586</v>
      </c>
      <c r="F98" s="20">
        <f>IF(OR(E98=0,E98=0),"",ROUND(E98/$D$105,2))</f>
        <v>1.54</v>
      </c>
    </row>
    <row r="99" spans="2:6" x14ac:dyDescent="0.2">
      <c r="B99" s="190" t="s">
        <v>31</v>
      </c>
      <c r="C99" s="191"/>
      <c r="D99" s="36"/>
      <c r="E99" s="17">
        <f>IF(F3="1",SUMIF(Data!A:A,'31'!$A$2,Data!AI:AI),0)</f>
        <v>486466</v>
      </c>
      <c r="F99" s="21">
        <f t="shared" ref="F99:F104" si="6">IF(OR(E99=0,E99=0),"",ROUND(E99/$D$105,2))</f>
        <v>0.44</v>
      </c>
    </row>
    <row r="100" spans="2:6" x14ac:dyDescent="0.2">
      <c r="B100" s="190" t="s">
        <v>1089</v>
      </c>
      <c r="C100" s="191"/>
      <c r="D100" s="36"/>
      <c r="E100" s="17">
        <f>IF(F3="1",SUMIF(Data!A:A,'31'!$A$2,Data!AJ:AJ),0)</f>
        <v>257156</v>
      </c>
      <c r="F100" s="21">
        <f t="shared" si="6"/>
        <v>0.23</v>
      </c>
    </row>
    <row r="101" spans="2:6" x14ac:dyDescent="0.2">
      <c r="B101" s="190" t="s">
        <v>1090</v>
      </c>
      <c r="C101" s="191"/>
      <c r="D101" s="36"/>
      <c r="E101" s="17">
        <f>IF(F3="1",SUMIF(Data!A:A,'31'!$A$2,Data!AK:AK),0)</f>
        <v>207030</v>
      </c>
      <c r="F101" s="21">
        <f t="shared" si="6"/>
        <v>0.19</v>
      </c>
    </row>
    <row r="102" spans="2:6" x14ac:dyDescent="0.2">
      <c r="B102" s="190" t="s">
        <v>1091</v>
      </c>
      <c r="C102" s="191"/>
      <c r="D102" s="36"/>
      <c r="E102" s="17">
        <f>IF(F3="1",SUMIF(Data!A:A,'31'!$A$2,Data!AL:AL),0)</f>
        <v>71541</v>
      </c>
      <c r="F102" s="21">
        <f t="shared" si="6"/>
        <v>0.06</v>
      </c>
    </row>
    <row r="103" spans="2:6" x14ac:dyDescent="0.2">
      <c r="B103" s="192" t="s">
        <v>34</v>
      </c>
      <c r="C103" s="193"/>
      <c r="D103" s="36"/>
      <c r="E103" s="17">
        <f>IF(F3="1",SUMIF(Data!A:A,'31'!$A$2,Data!AM:AM),0)</f>
        <v>0</v>
      </c>
      <c r="F103" s="21" t="str">
        <f t="shared" si="6"/>
        <v/>
      </c>
    </row>
    <row r="104" spans="2:6" ht="15.75" customHeight="1" thickBot="1" x14ac:dyDescent="0.25">
      <c r="B104" s="186" t="s">
        <v>29</v>
      </c>
      <c r="C104" s="187"/>
      <c r="D104" s="37"/>
      <c r="E104" s="24">
        <f>IF(F3="1",SUMIF(Data!A:A,'31'!$A$2,Data!Q:Q),0)</f>
        <v>289197</v>
      </c>
      <c r="F104" s="25">
        <f t="shared" si="6"/>
        <v>0.26</v>
      </c>
    </row>
    <row r="105" spans="2:6" x14ac:dyDescent="0.2">
      <c r="B105" s="30" t="s">
        <v>35</v>
      </c>
      <c r="C105" s="30"/>
      <c r="D105" s="34">
        <f>D95</f>
        <v>1105856</v>
      </c>
      <c r="E105" s="31">
        <f>SUM(E98:E104)</f>
        <v>3013976</v>
      </c>
      <c r="F105" s="32">
        <f>IF($D$105=0,"",ROUND(E105/$D$105,2))</f>
        <v>2.73</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3643005</v>
      </c>
      <c r="D109" s="15">
        <f>IF(F3="1",SUMIF(Data!$A:$A,$A$2,Data!HJ:HJ),0)</f>
        <v>0</v>
      </c>
      <c r="E109" s="15">
        <f>IF(F3="1",SUMIF(Data!$A:$A,$A$2,Data!IN:IN),0)</f>
        <v>0</v>
      </c>
      <c r="F109" s="47">
        <f>SUM(C109:E109)</f>
        <v>3643005</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71541</v>
      </c>
      <c r="F116" s="48">
        <f t="shared" si="7"/>
        <v>71541</v>
      </c>
    </row>
    <row r="117" spans="1:6" ht="15" thickBot="1" x14ac:dyDescent="0.25">
      <c r="B117" s="43" t="s">
        <v>933</v>
      </c>
      <c r="C117" s="52"/>
      <c r="D117" s="52">
        <f>IF(F3="1",SUMIF(Data!A:A,$A$2,Data!Q:Q),0)</f>
        <v>289197</v>
      </c>
      <c r="E117" s="52"/>
      <c r="F117" s="49">
        <f>SUM(C117:E117)</f>
        <v>289197</v>
      </c>
    </row>
    <row r="118" spans="1:6" x14ac:dyDescent="0.2">
      <c r="B118" s="13" t="s">
        <v>35</v>
      </c>
      <c r="C118" s="4">
        <f>SUM(C109:C116)</f>
        <v>3643005</v>
      </c>
      <c r="D118" s="4">
        <f>SUM(D109:D116)</f>
        <v>0</v>
      </c>
      <c r="E118" s="4">
        <f>SUM(E109:E116)</f>
        <v>71541</v>
      </c>
      <c r="F118" s="4">
        <f>SUM(F109:F116)</f>
        <v>3714546</v>
      </c>
    </row>
    <row r="119" spans="1:6" ht="15" thickBot="1" x14ac:dyDescent="0.25"/>
    <row r="120" spans="1:6" ht="15" thickBot="1" x14ac:dyDescent="0.25">
      <c r="B120" s="55" t="s">
        <v>934</v>
      </c>
      <c r="C120" s="53"/>
      <c r="D120" s="53"/>
      <c r="E120" s="53">
        <f>IF(F3="1",SUMIF(Data!A:A,'31'!$A$2,Data!AM:AM),0)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386</v>
      </c>
      <c r="B2" s="58" t="str">
        <f>VLOOKUP(A2,Data!A:G,7,0)</f>
        <v>Odessa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12455</v>
      </c>
      <c r="E5" s="15">
        <f>E36+E67+IFERROR($E$105/$D$105*D5,0)</f>
        <v>87534.141045126176</v>
      </c>
      <c r="F5" s="20">
        <f>IF(OR(D5=0,E5=0),"",ROUND(E5/D5,2))</f>
        <v>7.03</v>
      </c>
    </row>
    <row r="6" spans="1:6" x14ac:dyDescent="0.2">
      <c r="A6" s="19">
        <v>2</v>
      </c>
      <c r="B6" s="180" t="s">
        <v>1</v>
      </c>
      <c r="C6" s="181"/>
      <c r="D6" s="14">
        <f t="shared" ref="D6:D32" si="0">D37</f>
        <v>42256</v>
      </c>
      <c r="E6" s="17">
        <f t="shared" ref="E6:E32" si="1">E37+E68+IFERROR($E$105/$D$105*D6,0)</f>
        <v>315933.82673647947</v>
      </c>
      <c r="F6" s="21">
        <f t="shared" ref="F6:F33" si="2">IF(OR(D6=0,E6=0),"",ROUND(E6/D6,2))</f>
        <v>7.48</v>
      </c>
    </row>
    <row r="7" spans="1:6" ht="14.25" customHeight="1" x14ac:dyDescent="0.2">
      <c r="A7" s="19">
        <v>3</v>
      </c>
      <c r="B7" s="180" t="s">
        <v>2</v>
      </c>
      <c r="C7" s="181"/>
      <c r="D7" s="14">
        <f t="shared" si="0"/>
        <v>194848</v>
      </c>
      <c r="E7" s="17">
        <f t="shared" si="1"/>
        <v>991913.08216465241</v>
      </c>
      <c r="F7" s="21">
        <f t="shared" si="2"/>
        <v>5.09</v>
      </c>
    </row>
    <row r="8" spans="1:6" ht="14.25" customHeight="1" x14ac:dyDescent="0.2">
      <c r="A8" s="19">
        <v>4</v>
      </c>
      <c r="B8" s="180" t="s">
        <v>3</v>
      </c>
      <c r="C8" s="181"/>
      <c r="D8" s="14">
        <f t="shared" si="0"/>
        <v>137870</v>
      </c>
      <c r="E8" s="17">
        <f t="shared" si="1"/>
        <v>853513.72387728188</v>
      </c>
      <c r="F8" s="21">
        <f t="shared" si="2"/>
        <v>6.19</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1520</v>
      </c>
      <c r="E10" s="17">
        <f t="shared" si="1"/>
        <v>10347.684414981275</v>
      </c>
      <c r="F10" s="21">
        <f t="shared" si="2"/>
        <v>6.81</v>
      </c>
    </row>
    <row r="11" spans="1:6" x14ac:dyDescent="0.2">
      <c r="A11" s="19">
        <v>7</v>
      </c>
      <c r="B11" s="180" t="s">
        <v>6</v>
      </c>
      <c r="C11" s="181"/>
      <c r="D11" s="14">
        <f t="shared" si="0"/>
        <v>115591</v>
      </c>
      <c r="E11" s="17">
        <f t="shared" si="1"/>
        <v>678474.64356059255</v>
      </c>
      <c r="F11" s="21">
        <f t="shared" si="2"/>
        <v>5.87</v>
      </c>
    </row>
    <row r="12" spans="1:6" x14ac:dyDescent="0.2">
      <c r="A12" s="19">
        <v>8</v>
      </c>
      <c r="B12" s="180" t="s">
        <v>7</v>
      </c>
      <c r="C12" s="181"/>
      <c r="D12" s="14">
        <f t="shared" si="0"/>
        <v>22238</v>
      </c>
      <c r="E12" s="17">
        <f t="shared" si="1"/>
        <v>139945.68948707473</v>
      </c>
      <c r="F12" s="21">
        <f t="shared" si="2"/>
        <v>6.29</v>
      </c>
    </row>
    <row r="13" spans="1:6" x14ac:dyDescent="0.2">
      <c r="A13" s="19">
        <v>9</v>
      </c>
      <c r="B13" s="180" t="s">
        <v>8</v>
      </c>
      <c r="C13" s="181"/>
      <c r="D13" s="14">
        <f t="shared" si="0"/>
        <v>188603</v>
      </c>
      <c r="E13" s="17">
        <f t="shared" si="1"/>
        <v>1077151.0399465221</v>
      </c>
      <c r="F13" s="21">
        <f t="shared" si="2"/>
        <v>5.71</v>
      </c>
    </row>
    <row r="14" spans="1:6" x14ac:dyDescent="0.2">
      <c r="A14" s="19">
        <v>10</v>
      </c>
      <c r="B14" s="180" t="s">
        <v>9</v>
      </c>
      <c r="C14" s="181"/>
      <c r="D14" s="14">
        <f t="shared" si="0"/>
        <v>224</v>
      </c>
      <c r="E14" s="17">
        <f t="shared" si="1"/>
        <v>1571.0377032603985</v>
      </c>
      <c r="F14" s="21">
        <f t="shared" si="2"/>
        <v>7.01</v>
      </c>
    </row>
    <row r="15" spans="1:6" x14ac:dyDescent="0.2">
      <c r="A15" s="19">
        <v>11</v>
      </c>
      <c r="B15" s="180" t="s">
        <v>10</v>
      </c>
      <c r="C15" s="181"/>
      <c r="D15" s="14">
        <f t="shared" si="0"/>
        <v>71186</v>
      </c>
      <c r="E15" s="17">
        <f t="shared" si="1"/>
        <v>483458.89260845864</v>
      </c>
      <c r="F15" s="21">
        <f t="shared" si="2"/>
        <v>6.79</v>
      </c>
    </row>
    <row r="16" spans="1:6" ht="14.25" customHeight="1" x14ac:dyDescent="0.2">
      <c r="A16" s="19">
        <v>12</v>
      </c>
      <c r="B16" s="180" t="s">
        <v>11</v>
      </c>
      <c r="C16" s="181"/>
      <c r="D16" s="14">
        <f t="shared" si="0"/>
        <v>410476</v>
      </c>
      <c r="E16" s="17">
        <f t="shared" si="1"/>
        <v>2151183.1262656935</v>
      </c>
      <c r="F16" s="21">
        <f t="shared" si="2"/>
        <v>5.24</v>
      </c>
    </row>
    <row r="17" spans="1:6" x14ac:dyDescent="0.2">
      <c r="A17" s="19">
        <v>13</v>
      </c>
      <c r="B17" s="180" t="s">
        <v>12</v>
      </c>
      <c r="C17" s="181"/>
      <c r="D17" s="14">
        <f t="shared" si="0"/>
        <v>19081</v>
      </c>
      <c r="E17" s="17">
        <f t="shared" si="1"/>
        <v>109412.59560674851</v>
      </c>
      <c r="F17" s="21">
        <f t="shared" si="2"/>
        <v>5.73</v>
      </c>
    </row>
    <row r="18" spans="1:6" ht="14.25" customHeight="1" x14ac:dyDescent="0.2">
      <c r="A18" s="19">
        <v>14</v>
      </c>
      <c r="B18" s="180" t="s">
        <v>464</v>
      </c>
      <c r="C18" s="181"/>
      <c r="D18" s="14">
        <f t="shared" si="0"/>
        <v>123378</v>
      </c>
      <c r="E18" s="17">
        <f t="shared" si="1"/>
        <v>1138130.6774681315</v>
      </c>
      <c r="F18" s="21">
        <f t="shared" si="2"/>
        <v>9.2200000000000006</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207444</v>
      </c>
      <c r="E20" s="17">
        <f t="shared" si="1"/>
        <v>1430560.7380140631</v>
      </c>
      <c r="F20" s="21">
        <f t="shared" si="2"/>
        <v>6.9</v>
      </c>
    </row>
    <row r="21" spans="1:6" x14ac:dyDescent="0.2">
      <c r="A21" s="19">
        <v>17</v>
      </c>
      <c r="B21" s="180" t="s">
        <v>15</v>
      </c>
      <c r="C21" s="181"/>
      <c r="D21" s="14">
        <f t="shared" si="0"/>
        <v>10848</v>
      </c>
      <c r="E21" s="17">
        <f t="shared" si="1"/>
        <v>117263.96877218215</v>
      </c>
      <c r="F21" s="21">
        <f t="shared" si="2"/>
        <v>10.81</v>
      </c>
    </row>
    <row r="22" spans="1:6" x14ac:dyDescent="0.2">
      <c r="A22" s="19">
        <v>18</v>
      </c>
      <c r="B22" s="180" t="s">
        <v>16</v>
      </c>
      <c r="C22" s="181"/>
      <c r="D22" s="14">
        <f t="shared" si="0"/>
        <v>81834</v>
      </c>
      <c r="E22" s="17">
        <f t="shared" si="1"/>
        <v>472587.61343130114</v>
      </c>
      <c r="F22" s="21">
        <f t="shared" si="2"/>
        <v>5.77</v>
      </c>
    </row>
    <row r="23" spans="1:6" x14ac:dyDescent="0.2">
      <c r="A23" s="19">
        <v>19</v>
      </c>
      <c r="B23" s="180" t="s">
        <v>17</v>
      </c>
      <c r="C23" s="181"/>
      <c r="D23" s="14">
        <f t="shared" si="0"/>
        <v>214704</v>
      </c>
      <c r="E23" s="17">
        <f t="shared" si="1"/>
        <v>1179899.138575092</v>
      </c>
      <c r="F23" s="21">
        <f t="shared" si="2"/>
        <v>5.5</v>
      </c>
    </row>
    <row r="24" spans="1:6" x14ac:dyDescent="0.2">
      <c r="A24" s="19">
        <v>20</v>
      </c>
      <c r="B24" s="180" t="s">
        <v>18</v>
      </c>
      <c r="C24" s="181"/>
      <c r="D24" s="14">
        <f t="shared" si="0"/>
        <v>32128</v>
      </c>
      <c r="E24" s="17">
        <f t="shared" si="1"/>
        <v>245340.55058192002</v>
      </c>
      <c r="F24" s="21">
        <f t="shared" si="2"/>
        <v>7.64</v>
      </c>
    </row>
    <row r="25" spans="1:6" ht="14.25" customHeight="1" x14ac:dyDescent="0.2">
      <c r="A25" s="19">
        <v>21</v>
      </c>
      <c r="B25" s="180" t="s">
        <v>461</v>
      </c>
      <c r="C25" s="181"/>
      <c r="D25" s="14">
        <f t="shared" si="0"/>
        <v>34016</v>
      </c>
      <c r="E25" s="17">
        <f t="shared" si="1"/>
        <v>255621.01122368622</v>
      </c>
      <c r="F25" s="21">
        <f t="shared" si="2"/>
        <v>7.51</v>
      </c>
    </row>
    <row r="26" spans="1:6" x14ac:dyDescent="0.2">
      <c r="A26" s="19">
        <v>22</v>
      </c>
      <c r="B26" s="180" t="s">
        <v>19</v>
      </c>
      <c r="C26" s="181"/>
      <c r="D26" s="14">
        <f t="shared" si="0"/>
        <v>6112</v>
      </c>
      <c r="E26" s="17">
        <f t="shared" si="1"/>
        <v>47227.457331819445</v>
      </c>
      <c r="F26" s="21">
        <f t="shared" si="2"/>
        <v>7.73</v>
      </c>
    </row>
    <row r="27" spans="1:6" x14ac:dyDescent="0.2">
      <c r="A27" s="19">
        <v>23</v>
      </c>
      <c r="B27" s="180" t="s">
        <v>20</v>
      </c>
      <c r="C27" s="181"/>
      <c r="D27" s="14">
        <f t="shared" si="0"/>
        <v>122668</v>
      </c>
      <c r="E27" s="17">
        <f t="shared" si="1"/>
        <v>655977.39724797569</v>
      </c>
      <c r="F27" s="21">
        <f t="shared" si="2"/>
        <v>5.35</v>
      </c>
    </row>
    <row r="28" spans="1:6" x14ac:dyDescent="0.2">
      <c r="A28" s="19">
        <v>24</v>
      </c>
      <c r="B28" s="180" t="s">
        <v>21</v>
      </c>
      <c r="C28" s="181"/>
      <c r="D28" s="14">
        <f t="shared" si="0"/>
        <v>173543</v>
      </c>
      <c r="E28" s="17">
        <f t="shared" si="1"/>
        <v>974942.96936124703</v>
      </c>
      <c r="F28" s="21">
        <f t="shared" si="2"/>
        <v>5.62</v>
      </c>
    </row>
    <row r="29" spans="1:6" x14ac:dyDescent="0.2">
      <c r="A29" s="19">
        <v>25</v>
      </c>
      <c r="B29" s="180" t="s">
        <v>22</v>
      </c>
      <c r="C29" s="181"/>
      <c r="D29" s="14">
        <f t="shared" si="0"/>
        <v>269507</v>
      </c>
      <c r="E29" s="17">
        <f t="shared" si="1"/>
        <v>1472172.3004133939</v>
      </c>
      <c r="F29" s="21">
        <f t="shared" si="2"/>
        <v>5.46</v>
      </c>
    </row>
    <row r="30" spans="1:6" x14ac:dyDescent="0.2">
      <c r="A30" s="19">
        <v>26</v>
      </c>
      <c r="B30" s="180" t="s">
        <v>23</v>
      </c>
      <c r="C30" s="181"/>
      <c r="D30" s="14">
        <f t="shared" si="0"/>
        <v>82738</v>
      </c>
      <c r="E30" s="17">
        <f t="shared" si="1"/>
        <v>748334.69416231639</v>
      </c>
      <c r="F30" s="21">
        <f t="shared" si="2"/>
        <v>9.0399999999999991</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2575268</v>
      </c>
      <c r="E33" s="31">
        <f>SUM(E5:E32)</f>
        <v>15638498.000000002</v>
      </c>
      <c r="F33" s="32">
        <f t="shared" si="2"/>
        <v>6.07</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IF(F3="1",SUMIF(Data!A:A,'32'!$A$2,Data!CU:CU),0)</f>
        <v>12455</v>
      </c>
      <c r="E36" s="15">
        <f>IF(F3="1",SUMIF(Data!$A:$A,$A$2,Data!IO:IO),0)</f>
        <v>6443</v>
      </c>
      <c r="F36" s="20">
        <f t="shared" ref="F36:F64" si="3">IF(OR(D36=0,E36=0),"",ROUND(E36/D36,2))</f>
        <v>0.52</v>
      </c>
    </row>
    <row r="37" spans="1:6" x14ac:dyDescent="0.2">
      <c r="A37" s="19">
        <v>2</v>
      </c>
      <c r="B37" s="180" t="s">
        <v>1</v>
      </c>
      <c r="C37" s="181"/>
      <c r="D37" s="14">
        <f>IF(F3="1",SUMIF(Data!A:A,'32'!$A$2,Data!CV:CV),0)</f>
        <v>42256</v>
      </c>
      <c r="E37" s="17">
        <f>IF(F3="1",SUMIF(Data!$A:$A,$A$2,Data!IP:IP),0)</f>
        <v>60915</v>
      </c>
      <c r="F37" s="21">
        <f t="shared" si="3"/>
        <v>1.44</v>
      </c>
    </row>
    <row r="38" spans="1:6" ht="14.25" customHeight="1" x14ac:dyDescent="0.2">
      <c r="A38" s="19">
        <v>3</v>
      </c>
      <c r="B38" s="180" t="s">
        <v>2</v>
      </c>
      <c r="C38" s="181"/>
      <c r="D38" s="14">
        <f>IF(F3="1",SUMIF(Data!A:A,'32'!$A$2,Data!CW:CW),0)</f>
        <v>194848</v>
      </c>
      <c r="E38" s="17">
        <f>IF($F$3="1",SUMIF(Data!$A:$A,$A$2,Data!IQ:IQ),0)</f>
        <v>66559</v>
      </c>
      <c r="F38" s="21">
        <f t="shared" si="3"/>
        <v>0.34</v>
      </c>
    </row>
    <row r="39" spans="1:6" ht="14.25" customHeight="1" x14ac:dyDescent="0.2">
      <c r="A39" s="19">
        <v>4</v>
      </c>
      <c r="B39" s="180" t="s">
        <v>3</v>
      </c>
      <c r="C39" s="181"/>
      <c r="D39" s="14">
        <f>IF(F3="1",SUMIF(Data!A:A,'32'!$A$2,Data!CX:CX),0)</f>
        <v>137870</v>
      </c>
      <c r="E39" s="17">
        <f>IF($F$3="1",SUMIF(Data!$A:$A,$A$2,Data!IR:IR),0)</f>
        <v>27754</v>
      </c>
      <c r="F39" s="21">
        <f t="shared" si="3"/>
        <v>0.2</v>
      </c>
    </row>
    <row r="40" spans="1:6" x14ac:dyDescent="0.2">
      <c r="A40" s="19">
        <v>5</v>
      </c>
      <c r="B40" s="180" t="s">
        <v>4</v>
      </c>
      <c r="C40" s="181"/>
      <c r="D40" s="14">
        <f>IF(F3="1",SUMIF(Data!A:A,'32'!$A$2,Data!CY:CY),0)</f>
        <v>0</v>
      </c>
      <c r="E40" s="17">
        <f>IF($F$3="1",SUMIF(Data!$A:$A,$A$2,Data!IS:IS),0)</f>
        <v>0</v>
      </c>
      <c r="F40" s="21" t="str">
        <f t="shared" si="3"/>
        <v/>
      </c>
    </row>
    <row r="41" spans="1:6" x14ac:dyDescent="0.2">
      <c r="A41" s="19">
        <v>6</v>
      </c>
      <c r="B41" s="180" t="s">
        <v>5</v>
      </c>
      <c r="C41" s="181"/>
      <c r="D41" s="14">
        <f>IF(F3="1",SUMIF(Data!A:A,'32'!$A$2,Data!CZ:CZ),0)</f>
        <v>1520</v>
      </c>
      <c r="E41" s="17">
        <f>IF($F$3="1",SUMIF(Data!$A:$A,$A$2,Data!IT:IT),0)</f>
        <v>681</v>
      </c>
      <c r="F41" s="21">
        <f t="shared" si="3"/>
        <v>0.45</v>
      </c>
    </row>
    <row r="42" spans="1:6" x14ac:dyDescent="0.2">
      <c r="A42" s="19">
        <v>7</v>
      </c>
      <c r="B42" s="180" t="s">
        <v>6</v>
      </c>
      <c r="C42" s="181"/>
      <c r="D42" s="14">
        <f>IF(F3="1",SUMIF(Data!A:A,'32'!$A$2,Data!DA:DA),0)</f>
        <v>115591</v>
      </c>
      <c r="E42" s="17">
        <f>IF($F$3="1",SUMIF(Data!$A:$A,$A$2,Data!IU:IU),0)</f>
        <v>77677</v>
      </c>
      <c r="F42" s="21">
        <f t="shared" si="3"/>
        <v>0.67</v>
      </c>
    </row>
    <row r="43" spans="1:6" x14ac:dyDescent="0.2">
      <c r="A43" s="19">
        <v>8</v>
      </c>
      <c r="B43" s="180" t="s">
        <v>7</v>
      </c>
      <c r="C43" s="181"/>
      <c r="D43" s="14">
        <f>IF(F3="1",SUMIF(Data!A:A,'32'!$A$2,Data!DB:DB),0)</f>
        <v>22238</v>
      </c>
      <c r="E43" s="17">
        <f>IF($F$3="1",SUMIF(Data!$A:$A,$A$2,Data!IV:IV),0)</f>
        <v>2248</v>
      </c>
      <c r="F43" s="21">
        <f t="shared" si="3"/>
        <v>0.1</v>
      </c>
    </row>
    <row r="44" spans="1:6" x14ac:dyDescent="0.2">
      <c r="A44" s="19">
        <v>9</v>
      </c>
      <c r="B44" s="180" t="s">
        <v>8</v>
      </c>
      <c r="C44" s="181"/>
      <c r="D44" s="14">
        <f>IF(F3="1",SUMIF(Data!A:A,'32'!$A$2,Data!DC:DC),0)</f>
        <v>188603</v>
      </c>
      <c r="E44" s="17">
        <f>IF($F$3="1",SUMIF(Data!$A:$A,$A$2,Data!IW:IW),0)</f>
        <v>75234</v>
      </c>
      <c r="F44" s="21">
        <f t="shared" si="3"/>
        <v>0.4</v>
      </c>
    </row>
    <row r="45" spans="1:6" x14ac:dyDescent="0.2">
      <c r="A45" s="19">
        <v>10</v>
      </c>
      <c r="B45" s="180" t="s">
        <v>9</v>
      </c>
      <c r="C45" s="181"/>
      <c r="D45" s="14">
        <f>IF(F3="1",SUMIF(Data!A:A,'32'!$A$2,Data!DD:DD),0)</f>
        <v>224</v>
      </c>
      <c r="E45" s="17">
        <f>IF($F$3="1",SUMIF(Data!$A:$A,$A$2,Data!IX:IX),0)</f>
        <v>144</v>
      </c>
      <c r="F45" s="21">
        <f t="shared" si="3"/>
        <v>0.64</v>
      </c>
    </row>
    <row r="46" spans="1:6" x14ac:dyDescent="0.2">
      <c r="A46" s="19">
        <v>11</v>
      </c>
      <c r="B46" s="180" t="s">
        <v>10</v>
      </c>
      <c r="C46" s="181"/>
      <c r="D46" s="14">
        <f>IF(F3="1",SUMIF(Data!A:A,'32'!$A$2,Data!DE:DE),0)</f>
        <v>71186</v>
      </c>
      <c r="E46" s="17">
        <f>IF($F$3="1",SUMIF(Data!$A:$A,$A$2,Data!IY:IY),0)</f>
        <v>41384</v>
      </c>
      <c r="F46" s="21">
        <f t="shared" si="3"/>
        <v>0.57999999999999996</v>
      </c>
    </row>
    <row r="47" spans="1:6" ht="14.25" customHeight="1" x14ac:dyDescent="0.2">
      <c r="A47" s="19">
        <v>12</v>
      </c>
      <c r="B47" s="180" t="s">
        <v>11</v>
      </c>
      <c r="C47" s="181"/>
      <c r="D47" s="14">
        <f>IF(F3="1",SUMIF(Data!A:A,'32'!$A$2,Data!DF:DF),0)</f>
        <v>410476</v>
      </c>
      <c r="E47" s="17">
        <f>IF($F$3="1",SUMIF(Data!$A:$A,$A$2,Data!IZ:IZ),0)</f>
        <v>114945</v>
      </c>
      <c r="F47" s="21">
        <f t="shared" si="3"/>
        <v>0.28000000000000003</v>
      </c>
    </row>
    <row r="48" spans="1:6" x14ac:dyDescent="0.2">
      <c r="A48" s="19">
        <v>13</v>
      </c>
      <c r="B48" s="180" t="s">
        <v>12</v>
      </c>
      <c r="C48" s="181"/>
      <c r="D48" s="14">
        <f>IF(F3="1",SUMIF(Data!A:A,'32'!$A$2,Data!DG:DG),0)</f>
        <v>19081</v>
      </c>
      <c r="E48" s="17">
        <f>IF($F$3="1",SUMIF(Data!$A:$A,$A$2,Data!JA:JA),0)</f>
        <v>6466</v>
      </c>
      <c r="F48" s="21">
        <f t="shared" si="3"/>
        <v>0.34</v>
      </c>
    </row>
    <row r="49" spans="1:6" ht="14.25" customHeight="1" x14ac:dyDescent="0.2">
      <c r="A49" s="19">
        <v>14</v>
      </c>
      <c r="B49" s="180" t="s">
        <v>464</v>
      </c>
      <c r="C49" s="181"/>
      <c r="D49" s="14">
        <f>IF(F3="1",SUMIF(Data!A:A,'32'!$A$2,Data!DH:DH),0)</f>
        <v>123378</v>
      </c>
      <c r="E49" s="17">
        <f>IF($F$3="1",SUMIF(Data!$A:$A,$A$2,Data!JB:JB),0)</f>
        <v>139527</v>
      </c>
      <c r="F49" s="21">
        <f t="shared" si="3"/>
        <v>1.1299999999999999</v>
      </c>
    </row>
    <row r="50" spans="1:6" x14ac:dyDescent="0.2">
      <c r="A50" s="19">
        <v>15</v>
      </c>
      <c r="B50" s="180" t="s">
        <v>13</v>
      </c>
      <c r="C50" s="181"/>
      <c r="D50" s="14">
        <f>IF(F3="1",SUMIF(Data!A:A,'32'!$A$2,Data!DI:DI),0)</f>
        <v>0</v>
      </c>
      <c r="E50" s="17">
        <f>IF($F$3="1",SUMIF(Data!$A:$A,$A$2,Data!JC:JC),0)</f>
        <v>0</v>
      </c>
      <c r="F50" s="21" t="str">
        <f t="shared" si="3"/>
        <v/>
      </c>
    </row>
    <row r="51" spans="1:6" x14ac:dyDescent="0.2">
      <c r="A51" s="19">
        <v>16</v>
      </c>
      <c r="B51" s="180" t="s">
        <v>14</v>
      </c>
      <c r="C51" s="181"/>
      <c r="D51" s="14">
        <f>IF(F3="1",SUMIF(Data!A:A,'32'!$A$2,Data!DJ:DJ),0)</f>
        <v>207444</v>
      </c>
      <c r="E51" s="17">
        <f>IF($F$3="1",SUMIF(Data!$A:$A,$A$2,Data!JD:JD),0)</f>
        <v>108423</v>
      </c>
      <c r="F51" s="21">
        <f t="shared" si="3"/>
        <v>0.52</v>
      </c>
    </row>
    <row r="52" spans="1:6" x14ac:dyDescent="0.2">
      <c r="A52" s="19">
        <v>17</v>
      </c>
      <c r="B52" s="180" t="s">
        <v>15</v>
      </c>
      <c r="C52" s="181"/>
      <c r="D52" s="14">
        <f>IF(F3="1",SUMIF(Data!A:A,'32'!$A$2,Data!DK:DK),0)</f>
        <v>10848</v>
      </c>
      <c r="E52" s="17">
        <f>IF($F$3="1",SUMIF(Data!$A:$A,$A$2,Data!JE:JE),0)</f>
        <v>5387</v>
      </c>
      <c r="F52" s="21">
        <f t="shared" si="3"/>
        <v>0.5</v>
      </c>
    </row>
    <row r="53" spans="1:6" x14ac:dyDescent="0.2">
      <c r="A53" s="19">
        <v>18</v>
      </c>
      <c r="B53" s="180" t="s">
        <v>16</v>
      </c>
      <c r="C53" s="181"/>
      <c r="D53" s="14">
        <f>IF(F3="1",SUMIF(Data!A:A,'32'!$A$2,Data!DL:DL),0)</f>
        <v>81834</v>
      </c>
      <c r="E53" s="17">
        <f>IF($F$3="1",SUMIF(Data!$A:$A,$A$2,Data!JF:JF),0)</f>
        <v>32970</v>
      </c>
      <c r="F53" s="21">
        <f t="shared" si="3"/>
        <v>0.4</v>
      </c>
    </row>
    <row r="54" spans="1:6" x14ac:dyDescent="0.2">
      <c r="A54" s="19">
        <v>19</v>
      </c>
      <c r="B54" s="180" t="s">
        <v>17</v>
      </c>
      <c r="C54" s="181"/>
      <c r="D54" s="14">
        <f>IF(F3="1",SUMIF(Data!A:A,'32'!$A$2,Data!DM:DM),0)</f>
        <v>214704</v>
      </c>
      <c r="E54" s="17">
        <f>IF($F$3="1",SUMIF(Data!$A:$A,$A$2,Data!JG:JG),0)</f>
        <v>71158</v>
      </c>
      <c r="F54" s="21">
        <f t="shared" si="3"/>
        <v>0.33</v>
      </c>
    </row>
    <row r="55" spans="1:6" x14ac:dyDescent="0.2">
      <c r="A55" s="19">
        <v>20</v>
      </c>
      <c r="B55" s="180" t="s">
        <v>18</v>
      </c>
      <c r="C55" s="181"/>
      <c r="D55" s="14">
        <f>IF(F3="1",SUMIF(Data!A:A,'32'!$A$2,Data!DN:DN),0)</f>
        <v>32128</v>
      </c>
      <c r="E55" s="17">
        <f>IF($F$3="1",SUMIF(Data!$A:$A,$A$2,Data!JH:JH),0)</f>
        <v>119723</v>
      </c>
      <c r="F55" s="21">
        <f t="shared" si="3"/>
        <v>3.73</v>
      </c>
    </row>
    <row r="56" spans="1:6" ht="14.25" customHeight="1" x14ac:dyDescent="0.2">
      <c r="A56" s="19">
        <v>21</v>
      </c>
      <c r="B56" s="180" t="s">
        <v>461</v>
      </c>
      <c r="C56" s="181"/>
      <c r="D56" s="14">
        <f>IF(F3="1",SUMIF(Data!A:A,'32'!$A$2,Data!DO:DO),0)</f>
        <v>34016</v>
      </c>
      <c r="E56" s="17">
        <f>IF($F$3="1",SUMIF(Data!$A:$A,$A$2,Data!JI:JI),0)</f>
        <v>96400</v>
      </c>
      <c r="F56" s="21">
        <f t="shared" si="3"/>
        <v>2.83</v>
      </c>
    </row>
    <row r="57" spans="1:6" x14ac:dyDescent="0.2">
      <c r="A57" s="19">
        <v>22</v>
      </c>
      <c r="B57" s="180" t="s">
        <v>19</v>
      </c>
      <c r="C57" s="181"/>
      <c r="D57" s="14">
        <f>IF(F3="1",SUMIF(Data!A:A,'32'!$A$2,Data!DP:DP),0)</f>
        <v>6112</v>
      </c>
      <c r="E57" s="17">
        <f>IF($F$3="1",SUMIF(Data!$A:$A,$A$2,Data!JJ:JJ),0)</f>
        <v>14951</v>
      </c>
      <c r="F57" s="21">
        <f t="shared" si="3"/>
        <v>2.4500000000000002</v>
      </c>
    </row>
    <row r="58" spans="1:6" x14ac:dyDescent="0.2">
      <c r="A58" s="19">
        <v>23</v>
      </c>
      <c r="B58" s="180" t="s">
        <v>20</v>
      </c>
      <c r="C58" s="181"/>
      <c r="D58" s="14">
        <f>IF(F3="1",SUMIF(Data!A:A,'32'!$A$2,Data!DQ:DQ),0)</f>
        <v>122668</v>
      </c>
      <c r="E58" s="17">
        <f>IF($F$3="1",SUMIF(Data!$A:$A,$A$2,Data!JK:JK),0)</f>
        <v>48440</v>
      </c>
      <c r="F58" s="21">
        <f t="shared" si="3"/>
        <v>0.39</v>
      </c>
    </row>
    <row r="59" spans="1:6" x14ac:dyDescent="0.2">
      <c r="A59" s="19">
        <v>24</v>
      </c>
      <c r="B59" s="180" t="s">
        <v>21</v>
      </c>
      <c r="C59" s="181"/>
      <c r="D59" s="14">
        <f>IF(F3="1",SUMIF(Data!A:A,'32'!$A$2,Data!DR:DR),0)</f>
        <v>173543</v>
      </c>
      <c r="E59" s="17">
        <f>IF($F$3="1",SUMIF(Data!$A:$A,$A$2,Data!JL:JL),0)</f>
        <v>117850</v>
      </c>
      <c r="F59" s="21">
        <f t="shared" si="3"/>
        <v>0.68</v>
      </c>
    </row>
    <row r="60" spans="1:6" x14ac:dyDescent="0.2">
      <c r="A60" s="19">
        <v>25</v>
      </c>
      <c r="B60" s="180" t="s">
        <v>22</v>
      </c>
      <c r="C60" s="181"/>
      <c r="D60" s="14">
        <f>IF(F3="1",SUMIF(Data!A:A,'32'!$A$2,Data!DS:DS),0)</f>
        <v>269507</v>
      </c>
      <c r="E60" s="17">
        <f>IF($F$3="1",SUMIF(Data!$A:$A,$A$2,Data!JM:JM),0)</f>
        <v>43636</v>
      </c>
      <c r="F60" s="21">
        <f t="shared" si="3"/>
        <v>0.16</v>
      </c>
    </row>
    <row r="61" spans="1:6" x14ac:dyDescent="0.2">
      <c r="A61" s="19">
        <v>26</v>
      </c>
      <c r="B61" s="180" t="s">
        <v>23</v>
      </c>
      <c r="C61" s="181"/>
      <c r="D61" s="14">
        <f>IF(F3="1",SUMIF(Data!A:A,'32'!$A$2,Data!DT:DT),0)</f>
        <v>82738</v>
      </c>
      <c r="E61" s="17">
        <f>IF($F$3="1",SUMIF(Data!$A:$A,$A$2,Data!JN:JN),0)</f>
        <v>69708</v>
      </c>
      <c r="F61" s="21">
        <f t="shared" si="3"/>
        <v>0.84</v>
      </c>
    </row>
    <row r="62" spans="1:6" x14ac:dyDescent="0.2">
      <c r="A62" s="19">
        <v>28</v>
      </c>
      <c r="B62" s="180" t="s">
        <v>24</v>
      </c>
      <c r="C62" s="181"/>
      <c r="D62" s="14">
        <f>IF(F3="1",SUMIF(Data!A:A,'32'!$A$2,Data!DV:DV),0)</f>
        <v>0</v>
      </c>
      <c r="E62" s="17">
        <f>IF($F$3="1",SUMIF(Data!$A:$A,$A$2,Data!JP:JP),0)</f>
        <v>0</v>
      </c>
      <c r="F62" s="21" t="str">
        <f t="shared" si="3"/>
        <v/>
      </c>
    </row>
    <row r="63" spans="1:6" ht="15.75" customHeight="1" thickBot="1" x14ac:dyDescent="0.25">
      <c r="A63" s="22">
        <v>29</v>
      </c>
      <c r="B63" s="184" t="s">
        <v>25</v>
      </c>
      <c r="C63" s="185"/>
      <c r="D63" s="23">
        <f>IF(F3="1",SUMIF(Data!A:A,'32'!$A$2,Data!DW:DW),0)</f>
        <v>0</v>
      </c>
      <c r="E63" s="24">
        <f>IF($F$3="1",SUMIF(Data!$A:$A,$A$2,Data!JQ:JQ),0)</f>
        <v>0</v>
      </c>
      <c r="F63" s="25" t="str">
        <f t="shared" si="3"/>
        <v/>
      </c>
    </row>
    <row r="64" spans="1:6" x14ac:dyDescent="0.2">
      <c r="B64" s="30" t="s">
        <v>35</v>
      </c>
      <c r="C64" s="30"/>
      <c r="D64" s="59">
        <f>SUM(D36:D63)</f>
        <v>2575268</v>
      </c>
      <c r="E64" s="31">
        <f>SUM(E36:E63)</f>
        <v>1348623</v>
      </c>
      <c r="F64" s="32">
        <f t="shared" si="3"/>
        <v>0.52</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12455</v>
      </c>
      <c r="E67" s="15">
        <f>IF(F3="1",SUMIF(Data!A:A,'32'!$A$2,Data!DY:DY),0)</f>
        <v>46949</v>
      </c>
      <c r="F67" s="20">
        <f t="shared" ref="F67:F95" si="4">IF(OR(D67=0,E67=0),"",ROUND(E67/D67,2))</f>
        <v>3.77</v>
      </c>
    </row>
    <row r="68" spans="1:6" x14ac:dyDescent="0.2">
      <c r="A68" s="19">
        <v>2</v>
      </c>
      <c r="B68" s="180" t="s">
        <v>1</v>
      </c>
      <c r="C68" s="181"/>
      <c r="D68" s="14">
        <f t="shared" ref="D68:D94" si="5">D37</f>
        <v>42256</v>
      </c>
      <c r="E68" s="17">
        <f>IF(F3="1",SUMIF(Data!A:A,'32'!$A$2,Data!DZ:DZ),0)</f>
        <v>139185</v>
      </c>
      <c r="F68" s="21">
        <f t="shared" si="4"/>
        <v>3.29</v>
      </c>
    </row>
    <row r="69" spans="1:6" ht="14.25" customHeight="1" x14ac:dyDescent="0.2">
      <c r="A69" s="19">
        <v>3</v>
      </c>
      <c r="B69" s="180" t="s">
        <v>2</v>
      </c>
      <c r="C69" s="181"/>
      <c r="D69" s="14">
        <f t="shared" si="5"/>
        <v>194848</v>
      </c>
      <c r="E69" s="17">
        <f>IF(F3="1",SUMIF(Data!A:A,'32'!$A$2,Data!EA:EA),0)</f>
        <v>391229</v>
      </c>
      <c r="F69" s="21">
        <f t="shared" si="4"/>
        <v>2.0099999999999998</v>
      </c>
    </row>
    <row r="70" spans="1:6" ht="14.25" customHeight="1" x14ac:dyDescent="0.2">
      <c r="A70" s="19">
        <v>4</v>
      </c>
      <c r="B70" s="180" t="s">
        <v>3</v>
      </c>
      <c r="C70" s="181"/>
      <c r="D70" s="14">
        <f t="shared" si="5"/>
        <v>137870</v>
      </c>
      <c r="E70" s="17">
        <f>IF(F3="1",SUMIF(Data!A:A,'32'!$A$2,Data!EB:EB),0)</f>
        <v>447825</v>
      </c>
      <c r="F70" s="21">
        <f t="shared" si="4"/>
        <v>3.25</v>
      </c>
    </row>
    <row r="71" spans="1:6" x14ac:dyDescent="0.2">
      <c r="A71" s="19">
        <v>5</v>
      </c>
      <c r="B71" s="180" t="s">
        <v>4</v>
      </c>
      <c r="C71" s="181"/>
      <c r="D71" s="14">
        <f t="shared" si="5"/>
        <v>0</v>
      </c>
      <c r="E71" s="17">
        <f>IF(F3="1",SUMIF(Data!A:A,'32'!$A$2,Data!EC:EC),0)</f>
        <v>0</v>
      </c>
      <c r="F71" s="21" t="str">
        <f t="shared" si="4"/>
        <v/>
      </c>
    </row>
    <row r="72" spans="1:6" x14ac:dyDescent="0.2">
      <c r="A72" s="19">
        <v>6</v>
      </c>
      <c r="B72" s="180" t="s">
        <v>5</v>
      </c>
      <c r="C72" s="181"/>
      <c r="D72" s="14">
        <f t="shared" si="5"/>
        <v>1520</v>
      </c>
      <c r="E72" s="17">
        <f>IF(F3="1",SUMIF(Data!A:A,'32'!$A$2,Data!ED:ED),0)</f>
        <v>5500</v>
      </c>
      <c r="F72" s="21">
        <f t="shared" si="4"/>
        <v>3.62</v>
      </c>
    </row>
    <row r="73" spans="1:6" x14ac:dyDescent="0.2">
      <c r="A73" s="19">
        <v>7</v>
      </c>
      <c r="B73" s="180" t="s">
        <v>6</v>
      </c>
      <c r="C73" s="181"/>
      <c r="D73" s="14">
        <f t="shared" si="5"/>
        <v>115591</v>
      </c>
      <c r="E73" s="17">
        <f>IF(F3="1",SUMIF(Data!A:A,'32'!$A$2,Data!EE:EE),0)</f>
        <v>283935</v>
      </c>
      <c r="F73" s="21">
        <f t="shared" si="4"/>
        <v>2.46</v>
      </c>
    </row>
    <row r="74" spans="1:6" x14ac:dyDescent="0.2">
      <c r="A74" s="19">
        <v>8</v>
      </c>
      <c r="B74" s="180" t="s">
        <v>7</v>
      </c>
      <c r="C74" s="181"/>
      <c r="D74" s="14">
        <f t="shared" si="5"/>
        <v>22238</v>
      </c>
      <c r="E74" s="17">
        <f>IF(F3="1",SUMIF(Data!A:A,'32'!$A$2,Data!EF:EF),0)</f>
        <v>76738</v>
      </c>
      <c r="F74" s="21">
        <f t="shared" si="4"/>
        <v>3.45</v>
      </c>
    </row>
    <row r="75" spans="1:6" x14ac:dyDescent="0.2">
      <c r="A75" s="19">
        <v>9</v>
      </c>
      <c r="B75" s="180" t="s">
        <v>8</v>
      </c>
      <c r="C75" s="181"/>
      <c r="D75" s="14">
        <f t="shared" si="5"/>
        <v>188603</v>
      </c>
      <c r="E75" s="17">
        <f>IF(F3="1",SUMIF(Data!A:A,'32'!$A$2,Data!EG:EG),0)</f>
        <v>484911</v>
      </c>
      <c r="F75" s="21">
        <f t="shared" si="4"/>
        <v>2.57</v>
      </c>
    </row>
    <row r="76" spans="1:6" x14ac:dyDescent="0.2">
      <c r="A76" s="19">
        <v>10</v>
      </c>
      <c r="B76" s="180" t="s">
        <v>9</v>
      </c>
      <c r="C76" s="181"/>
      <c r="D76" s="14">
        <f t="shared" si="5"/>
        <v>224</v>
      </c>
      <c r="E76" s="17">
        <f>IF(F3="1",SUMIF(Data!A:A,'32'!$A$2,Data!EH:EH),0)</f>
        <v>813</v>
      </c>
      <c r="F76" s="21">
        <f t="shared" si="4"/>
        <v>3.63</v>
      </c>
    </row>
    <row r="77" spans="1:6" x14ac:dyDescent="0.2">
      <c r="A77" s="19">
        <v>11</v>
      </c>
      <c r="B77" s="180" t="s">
        <v>10</v>
      </c>
      <c r="C77" s="181"/>
      <c r="D77" s="14">
        <f t="shared" si="5"/>
        <v>71186</v>
      </c>
      <c r="E77" s="17">
        <f>IF(F3="1",SUMIF(Data!A:A,'32'!$A$2,Data!EI:EI),0)</f>
        <v>246937</v>
      </c>
      <c r="F77" s="21">
        <f t="shared" si="4"/>
        <v>3.47</v>
      </c>
    </row>
    <row r="78" spans="1:6" ht="14.25" customHeight="1" x14ac:dyDescent="0.2">
      <c r="A78" s="19">
        <v>12</v>
      </c>
      <c r="B78" s="180" t="s">
        <v>11</v>
      </c>
      <c r="C78" s="181"/>
      <c r="D78" s="14">
        <f t="shared" si="5"/>
        <v>410476</v>
      </c>
      <c r="E78" s="17">
        <f>IF(F3="1",SUMIF(Data!A:A,'32'!$A$2,Data!EJ:EJ),0)</f>
        <v>911025</v>
      </c>
      <c r="F78" s="21">
        <f t="shared" si="4"/>
        <v>2.2200000000000002</v>
      </c>
    </row>
    <row r="79" spans="1:6" x14ac:dyDescent="0.2">
      <c r="A79" s="19">
        <v>13</v>
      </c>
      <c r="B79" s="180" t="s">
        <v>12</v>
      </c>
      <c r="C79" s="181"/>
      <c r="D79" s="14">
        <f t="shared" si="5"/>
        <v>19081</v>
      </c>
      <c r="E79" s="17">
        <f>IF(F3="1",SUMIF(Data!A:A,'32'!$A$2,Data!EK:EK),0)</f>
        <v>50641</v>
      </c>
      <c r="F79" s="21">
        <f t="shared" si="4"/>
        <v>2.65</v>
      </c>
    </row>
    <row r="80" spans="1:6" ht="14.25" customHeight="1" x14ac:dyDescent="0.2">
      <c r="A80" s="19">
        <v>14</v>
      </c>
      <c r="B80" s="180" t="s">
        <v>464</v>
      </c>
      <c r="C80" s="181"/>
      <c r="D80" s="14">
        <f t="shared" si="5"/>
        <v>123378</v>
      </c>
      <c r="E80" s="17">
        <f>IF(F3="1",SUMIF(Data!A:A,'32'!$A$2,Data!EL:EL),0)</f>
        <v>660395</v>
      </c>
      <c r="F80" s="21">
        <f t="shared" si="4"/>
        <v>5.35</v>
      </c>
    </row>
    <row r="81" spans="1:6" x14ac:dyDescent="0.2">
      <c r="A81" s="19">
        <v>15</v>
      </c>
      <c r="B81" s="180" t="s">
        <v>13</v>
      </c>
      <c r="C81" s="181"/>
      <c r="D81" s="14">
        <f t="shared" si="5"/>
        <v>0</v>
      </c>
      <c r="E81" s="17">
        <f>IF(F3="1",SUMIF(Data!A:A,'32'!$A$2,Data!EM:EM),0)</f>
        <v>0</v>
      </c>
      <c r="F81" s="21" t="str">
        <f t="shared" si="4"/>
        <v/>
      </c>
    </row>
    <row r="82" spans="1:6" x14ac:dyDescent="0.2">
      <c r="A82" s="19">
        <v>16</v>
      </c>
      <c r="B82" s="180" t="s">
        <v>14</v>
      </c>
      <c r="C82" s="181"/>
      <c r="D82" s="14">
        <f t="shared" si="5"/>
        <v>207444</v>
      </c>
      <c r="E82" s="17">
        <f>IF(F3="1",SUMIF(Data!A:A,'32'!$A$2,Data!EN:EN),0)</f>
        <v>753484</v>
      </c>
      <c r="F82" s="21">
        <f t="shared" si="4"/>
        <v>3.63</v>
      </c>
    </row>
    <row r="83" spans="1:6" x14ac:dyDescent="0.2">
      <c r="A83" s="19">
        <v>17</v>
      </c>
      <c r="B83" s="180" t="s">
        <v>15</v>
      </c>
      <c r="C83" s="181"/>
      <c r="D83" s="14">
        <f t="shared" si="5"/>
        <v>10848</v>
      </c>
      <c r="E83" s="17">
        <f>IF(F3="1",SUMIF(Data!A:A,'32'!$A$2,Data!EO:EO),0)</f>
        <v>82140</v>
      </c>
      <c r="F83" s="21">
        <f t="shared" si="4"/>
        <v>7.57</v>
      </c>
    </row>
    <row r="84" spans="1:6" x14ac:dyDescent="0.2">
      <c r="A84" s="19">
        <v>18</v>
      </c>
      <c r="B84" s="180" t="s">
        <v>16</v>
      </c>
      <c r="C84" s="181"/>
      <c r="D84" s="14">
        <f t="shared" si="5"/>
        <v>81834</v>
      </c>
      <c r="E84" s="17">
        <f>IF(F3="1",SUMIF(Data!A:A,'32'!$A$2,Data!EP:EP),0)</f>
        <v>215291</v>
      </c>
      <c r="F84" s="21">
        <f t="shared" si="4"/>
        <v>2.63</v>
      </c>
    </row>
    <row r="85" spans="1:6" x14ac:dyDescent="0.2">
      <c r="A85" s="19">
        <v>19</v>
      </c>
      <c r="B85" s="180" t="s">
        <v>17</v>
      </c>
      <c r="C85" s="181"/>
      <c r="D85" s="14">
        <f t="shared" si="5"/>
        <v>214704</v>
      </c>
      <c r="E85" s="17">
        <f>IF(F3="1",SUMIF(Data!A:A,'32'!$A$2,Data!EQ:EQ),0)</f>
        <v>520186</v>
      </c>
      <c r="F85" s="21">
        <f t="shared" si="4"/>
        <v>2.42</v>
      </c>
    </row>
    <row r="86" spans="1:6" x14ac:dyDescent="0.2">
      <c r="A86" s="19">
        <v>20</v>
      </c>
      <c r="B86" s="180" t="s">
        <v>18</v>
      </c>
      <c r="C86" s="181"/>
      <c r="D86" s="14">
        <f t="shared" si="5"/>
        <v>32128</v>
      </c>
      <c r="E86" s="17">
        <f>IF(F3="1",SUMIF(Data!A:A,'32'!$A$2,Data!ER:ER),0)</f>
        <v>37547</v>
      </c>
      <c r="F86" s="21">
        <f t="shared" si="4"/>
        <v>1.17</v>
      </c>
    </row>
    <row r="87" spans="1:6" ht="14.25" customHeight="1" x14ac:dyDescent="0.2">
      <c r="A87" s="19">
        <v>21</v>
      </c>
      <c r="B87" s="180" t="s">
        <v>461</v>
      </c>
      <c r="C87" s="181"/>
      <c r="D87" s="14">
        <f t="shared" si="5"/>
        <v>34016</v>
      </c>
      <c r="E87" s="17">
        <f>IF(F3="1",SUMIF(Data!A:A,'32'!$A$2,Data!ES:ES),0)</f>
        <v>65975</v>
      </c>
      <c r="F87" s="21">
        <f t="shared" si="4"/>
        <v>1.94</v>
      </c>
    </row>
    <row r="88" spans="1:6" x14ac:dyDescent="0.2">
      <c r="A88" s="19">
        <v>22</v>
      </c>
      <c r="B88" s="180" t="s">
        <v>19</v>
      </c>
      <c r="C88" s="181"/>
      <c r="D88" s="14">
        <f t="shared" si="5"/>
        <v>6112</v>
      </c>
      <c r="E88" s="17">
        <f>IF(F3="1",SUMIF(Data!A:A,'32'!$A$2,Data!ET:ET),0)</f>
        <v>15522</v>
      </c>
      <c r="F88" s="21">
        <f t="shared" si="4"/>
        <v>2.54</v>
      </c>
    </row>
    <row r="89" spans="1:6" x14ac:dyDescent="0.2">
      <c r="A89" s="19">
        <v>23</v>
      </c>
      <c r="B89" s="180" t="s">
        <v>20</v>
      </c>
      <c r="C89" s="181"/>
      <c r="D89" s="14">
        <f t="shared" si="5"/>
        <v>122668</v>
      </c>
      <c r="E89" s="17">
        <f>IF(F3="1",SUMIF(Data!A:A,'32'!$A$2,Data!EU:EU),0)</f>
        <v>271275</v>
      </c>
      <c r="F89" s="21">
        <f t="shared" si="4"/>
        <v>2.21</v>
      </c>
    </row>
    <row r="90" spans="1:6" x14ac:dyDescent="0.2">
      <c r="A90" s="19">
        <v>24</v>
      </c>
      <c r="B90" s="180" t="s">
        <v>21</v>
      </c>
      <c r="C90" s="181"/>
      <c r="D90" s="14">
        <f t="shared" si="5"/>
        <v>173543</v>
      </c>
      <c r="E90" s="17">
        <f>IF(F3="1",SUMIF(Data!A:A,'32'!$A$2,Data!EV:EV),0)</f>
        <v>381370</v>
      </c>
      <c r="F90" s="21">
        <f t="shared" si="4"/>
        <v>2.2000000000000002</v>
      </c>
    </row>
    <row r="91" spans="1:6" x14ac:dyDescent="0.2">
      <c r="A91" s="19">
        <v>25</v>
      </c>
      <c r="B91" s="180" t="s">
        <v>22</v>
      </c>
      <c r="C91" s="181"/>
      <c r="D91" s="14">
        <f t="shared" si="5"/>
        <v>269507</v>
      </c>
      <c r="E91" s="17">
        <f>IF(F3="1",SUMIF(Data!A:A,'32'!$A$2,Data!EW:EW),0)</f>
        <v>689753</v>
      </c>
      <c r="F91" s="21">
        <f t="shared" si="4"/>
        <v>2.56</v>
      </c>
    </row>
    <row r="92" spans="1:6" x14ac:dyDescent="0.2">
      <c r="A92" s="19">
        <v>26</v>
      </c>
      <c r="B92" s="180" t="s">
        <v>23</v>
      </c>
      <c r="C92" s="181"/>
      <c r="D92" s="14">
        <f t="shared" si="5"/>
        <v>82738</v>
      </c>
      <c r="E92" s="17">
        <f>IF(F3="1",SUMIF(Data!A:A,'32'!$A$2,Data!EX:EX),0)</f>
        <v>451822</v>
      </c>
      <c r="F92" s="21">
        <f t="shared" si="4"/>
        <v>5.46</v>
      </c>
    </row>
    <row r="93" spans="1:6" x14ac:dyDescent="0.2">
      <c r="A93" s="19">
        <v>28</v>
      </c>
      <c r="B93" s="180" t="s">
        <v>24</v>
      </c>
      <c r="C93" s="181"/>
      <c r="D93" s="14">
        <f t="shared" si="5"/>
        <v>0</v>
      </c>
      <c r="E93" s="17">
        <f>IF(F3="1",SUMIF(Data!A:A,'32'!$A$2,Data!EZ:EZ),0)</f>
        <v>0</v>
      </c>
      <c r="F93" s="21" t="str">
        <f t="shared" si="4"/>
        <v/>
      </c>
    </row>
    <row r="94" spans="1:6" ht="15.75" customHeight="1" thickBot="1" x14ac:dyDescent="0.25">
      <c r="A94" s="22">
        <v>29</v>
      </c>
      <c r="B94" s="184" t="s">
        <v>25</v>
      </c>
      <c r="C94" s="185"/>
      <c r="D94" s="23">
        <f t="shared" si="5"/>
        <v>0</v>
      </c>
      <c r="E94" s="24">
        <f>IF(F3="1",SUMIF(Data!A:A,'32'!$A$2,Data!FA:FA),0)</f>
        <v>0</v>
      </c>
      <c r="F94" s="25" t="str">
        <f t="shared" si="4"/>
        <v/>
      </c>
    </row>
    <row r="95" spans="1:6" x14ac:dyDescent="0.2">
      <c r="B95" s="30" t="s">
        <v>35</v>
      </c>
      <c r="C95" s="30"/>
      <c r="D95" s="59">
        <f>SUM(D67:D94)</f>
        <v>2575268</v>
      </c>
      <c r="E95" s="31">
        <f>SUM(E67:E94)</f>
        <v>7230448</v>
      </c>
      <c r="F95" s="32">
        <f t="shared" si="4"/>
        <v>2.81</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IF(F3="1",SUMIF(Data!A:A,'32'!$A$2,Data!AH:AH),0)</f>
        <v>2471749</v>
      </c>
      <c r="F98" s="20">
        <f>IF(OR(E98=0,E98=0),"",ROUND(E98/$D$105,2))</f>
        <v>0.96</v>
      </c>
    </row>
    <row r="99" spans="2:6" x14ac:dyDescent="0.2">
      <c r="B99" s="190" t="s">
        <v>31</v>
      </c>
      <c r="C99" s="191"/>
      <c r="D99" s="36"/>
      <c r="E99" s="17">
        <f>IF(F3="1",SUMIF(Data!A:A,'32'!$A$2,Data!AI:AI),0)</f>
        <v>1315162</v>
      </c>
      <c r="F99" s="21">
        <f t="shared" ref="F99:F104" si="6">IF(OR(E99=0,E99=0),"",ROUND(E99/$D$105,2))</f>
        <v>0.51</v>
      </c>
    </row>
    <row r="100" spans="2:6" x14ac:dyDescent="0.2">
      <c r="B100" s="190" t="s">
        <v>1089</v>
      </c>
      <c r="C100" s="191"/>
      <c r="D100" s="36"/>
      <c r="E100" s="17">
        <f>IF(F3="1",SUMIF(Data!A:A,'32'!$A$2,Data!AJ:AJ),0)</f>
        <v>498486</v>
      </c>
      <c r="F100" s="21">
        <f t="shared" si="6"/>
        <v>0.19</v>
      </c>
    </row>
    <row r="101" spans="2:6" x14ac:dyDescent="0.2">
      <c r="B101" s="190" t="s">
        <v>1090</v>
      </c>
      <c r="C101" s="191"/>
      <c r="D101" s="36"/>
      <c r="E101" s="17">
        <f>IF(F3="1",SUMIF(Data!A:A,'32'!$A$2,Data!AK:AK),0)</f>
        <v>1207286</v>
      </c>
      <c r="F101" s="21">
        <f t="shared" si="6"/>
        <v>0.47</v>
      </c>
    </row>
    <row r="102" spans="2:6" x14ac:dyDescent="0.2">
      <c r="B102" s="190" t="s">
        <v>1091</v>
      </c>
      <c r="C102" s="191"/>
      <c r="D102" s="36"/>
      <c r="E102" s="17">
        <f>IF(F3="1",SUMIF(Data!A:A,'32'!$A$2,Data!AL:AL),0)</f>
        <v>334499</v>
      </c>
      <c r="F102" s="21">
        <f t="shared" si="6"/>
        <v>0.13</v>
      </c>
    </row>
    <row r="103" spans="2:6" x14ac:dyDescent="0.2">
      <c r="B103" s="192" t="s">
        <v>34</v>
      </c>
      <c r="C103" s="193"/>
      <c r="D103" s="36"/>
      <c r="E103" s="17">
        <f>IF(F3="1",SUMIF(Data!A:A,'32'!$A$2,Data!AM:AM),0)</f>
        <v>0</v>
      </c>
      <c r="F103" s="21" t="str">
        <f t="shared" si="6"/>
        <v/>
      </c>
    </row>
    <row r="104" spans="2:6" ht="15.75" customHeight="1" thickBot="1" x14ac:dyDescent="0.25">
      <c r="B104" s="186" t="s">
        <v>29</v>
      </c>
      <c r="C104" s="187"/>
      <c r="D104" s="37"/>
      <c r="E104" s="24">
        <f>IF(F3="1",SUMIF(Data!A:A,'32'!$A$2,Data!Q:Q),0)</f>
        <v>1232245</v>
      </c>
      <c r="F104" s="25">
        <f t="shared" si="6"/>
        <v>0.48</v>
      </c>
    </row>
    <row r="105" spans="2:6" x14ac:dyDescent="0.2">
      <c r="B105" s="30" t="s">
        <v>35</v>
      </c>
      <c r="C105" s="30"/>
      <c r="D105" s="34">
        <f>D95</f>
        <v>2575268</v>
      </c>
      <c r="E105" s="31">
        <f>SUM(E98:E104)</f>
        <v>7059427</v>
      </c>
      <c r="F105" s="32">
        <f>IF($D$105=0,"",ROUND(E105/$D$105,2))</f>
        <v>2.74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7230448</v>
      </c>
      <c r="D109" s="15">
        <f>IF(F3="1",SUMIF(Data!$A:$A,$A$2,Data!HJ:HJ),0)</f>
        <v>0</v>
      </c>
      <c r="E109" s="15">
        <f>IF(F3="1",SUMIF(Data!$A:$A,$A$2,Data!IN:IN),0)</f>
        <v>0</v>
      </c>
      <c r="F109" s="47">
        <f>SUM(C109:E109)</f>
        <v>7230448</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334499</v>
      </c>
      <c r="F116" s="48">
        <f t="shared" si="7"/>
        <v>334499</v>
      </c>
    </row>
    <row r="117" spans="1:6" ht="15" thickBot="1" x14ac:dyDescent="0.25">
      <c r="B117" s="43" t="s">
        <v>933</v>
      </c>
      <c r="C117" s="52"/>
      <c r="D117" s="52">
        <f>IF(F3="1",SUMIF(Data!A:A,$A$2,Data!Q:Q),0)</f>
        <v>1232245</v>
      </c>
      <c r="E117" s="52"/>
      <c r="F117" s="49">
        <f>SUM(C117:E117)</f>
        <v>1232245</v>
      </c>
    </row>
    <row r="118" spans="1:6" x14ac:dyDescent="0.2">
      <c r="B118" s="13" t="s">
        <v>35</v>
      </c>
      <c r="C118" s="4">
        <f>SUM(C109:C116)</f>
        <v>7230448</v>
      </c>
      <c r="D118" s="4">
        <f>SUM(D109:D116)</f>
        <v>0</v>
      </c>
      <c r="E118" s="4">
        <f>SUM(E109:E116)</f>
        <v>334499</v>
      </c>
      <c r="F118" s="4">
        <f>SUM(F109:F116)</f>
        <v>7564947</v>
      </c>
    </row>
    <row r="119" spans="1:6" ht="15" thickBot="1" x14ac:dyDescent="0.25"/>
    <row r="120" spans="1:6" ht="15" thickBot="1" x14ac:dyDescent="0.25">
      <c r="B120" s="55" t="s">
        <v>934</v>
      </c>
      <c r="C120" s="53"/>
      <c r="D120" s="53"/>
      <c r="E120" s="53">
        <f>IF(F3="1",SUMIF(Data!A:A,'32'!$A$2,Data!AM:AM),0)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388</v>
      </c>
      <c r="B2" s="58" t="str">
        <f>VLOOKUP(A2,Data!A:G,7,0)</f>
        <v>Panola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17473</v>
      </c>
      <c r="E5" s="15">
        <f>E36+E67+IFERROR($E$105/$D$105*D5,0)</f>
        <v>198359.35339802774</v>
      </c>
      <c r="F5" s="20">
        <f>IF(OR(D5=0,E5=0),"",ROUND(E5/D5,2))</f>
        <v>11.35</v>
      </c>
    </row>
    <row r="6" spans="1:6" x14ac:dyDescent="0.2">
      <c r="A6" s="19">
        <v>2</v>
      </c>
      <c r="B6" s="180" t="s">
        <v>1</v>
      </c>
      <c r="C6" s="181"/>
      <c r="D6" s="14">
        <f t="shared" ref="D6:D32" si="0">D37</f>
        <v>23714</v>
      </c>
      <c r="E6" s="17">
        <f t="shared" ref="E6:E32" si="1">E37+E68+IFERROR($E$105/$D$105*D6,0)</f>
        <v>259462.75381908257</v>
      </c>
      <c r="F6" s="21">
        <f t="shared" ref="F6:F33" si="2">IF(OR(D6=0,E6=0),"",ROUND(E6/D6,2))</f>
        <v>10.94</v>
      </c>
    </row>
    <row r="7" spans="1:6" ht="14.25" customHeight="1" x14ac:dyDescent="0.2">
      <c r="A7" s="19">
        <v>3</v>
      </c>
      <c r="B7" s="180" t="s">
        <v>2</v>
      </c>
      <c r="C7" s="181"/>
      <c r="D7" s="14">
        <f t="shared" si="0"/>
        <v>108912</v>
      </c>
      <c r="E7" s="17">
        <f t="shared" si="1"/>
        <v>710691.8645502202</v>
      </c>
      <c r="F7" s="21">
        <f t="shared" si="2"/>
        <v>6.53</v>
      </c>
    </row>
    <row r="8" spans="1:6" ht="14.25" customHeight="1" x14ac:dyDescent="0.2">
      <c r="A8" s="19">
        <v>4</v>
      </c>
      <c r="B8" s="180" t="s">
        <v>3</v>
      </c>
      <c r="C8" s="181"/>
      <c r="D8" s="14">
        <f t="shared" si="0"/>
        <v>44732</v>
      </c>
      <c r="E8" s="17">
        <f t="shared" si="1"/>
        <v>451961.87576263817</v>
      </c>
      <c r="F8" s="21">
        <f t="shared" si="2"/>
        <v>10.1</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5328</v>
      </c>
      <c r="E10" s="17">
        <f t="shared" si="1"/>
        <v>69391.63154035894</v>
      </c>
      <c r="F10" s="21">
        <f t="shared" si="2"/>
        <v>13.02</v>
      </c>
    </row>
    <row r="11" spans="1:6" x14ac:dyDescent="0.2">
      <c r="A11" s="19">
        <v>7</v>
      </c>
      <c r="B11" s="180" t="s">
        <v>6</v>
      </c>
      <c r="C11" s="181"/>
      <c r="D11" s="14">
        <f t="shared" si="0"/>
        <v>35536</v>
      </c>
      <c r="E11" s="17">
        <f t="shared" si="1"/>
        <v>323653.03498840006</v>
      </c>
      <c r="F11" s="21">
        <f t="shared" si="2"/>
        <v>9.11</v>
      </c>
    </row>
    <row r="12" spans="1:6" x14ac:dyDescent="0.2">
      <c r="A12" s="19">
        <v>8</v>
      </c>
      <c r="B12" s="180" t="s">
        <v>7</v>
      </c>
      <c r="C12" s="181"/>
      <c r="D12" s="14">
        <f t="shared" si="0"/>
        <v>1137</v>
      </c>
      <c r="E12" s="17">
        <f t="shared" si="1"/>
        <v>7744.9816181284004</v>
      </c>
      <c r="F12" s="21">
        <f t="shared" si="2"/>
        <v>6.81</v>
      </c>
    </row>
    <row r="13" spans="1:6" x14ac:dyDescent="0.2">
      <c r="A13" s="19">
        <v>9</v>
      </c>
      <c r="B13" s="180" t="s">
        <v>8</v>
      </c>
      <c r="C13" s="181"/>
      <c r="D13" s="14">
        <f t="shared" si="0"/>
        <v>58408</v>
      </c>
      <c r="E13" s="17">
        <f t="shared" si="1"/>
        <v>410064.97128552652</v>
      </c>
      <c r="F13" s="21">
        <f t="shared" si="2"/>
        <v>7.02</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3886</v>
      </c>
      <c r="E15" s="17">
        <f t="shared" si="1"/>
        <v>112614.88704313718</v>
      </c>
      <c r="F15" s="21">
        <f t="shared" si="2"/>
        <v>28.98</v>
      </c>
    </row>
    <row r="16" spans="1:6" ht="14.25" customHeight="1" x14ac:dyDescent="0.2">
      <c r="A16" s="19">
        <v>12</v>
      </c>
      <c r="B16" s="180" t="s">
        <v>11</v>
      </c>
      <c r="C16" s="181"/>
      <c r="D16" s="14">
        <f t="shared" si="0"/>
        <v>113407</v>
      </c>
      <c r="E16" s="17">
        <f t="shared" si="1"/>
        <v>758404.51747325202</v>
      </c>
      <c r="F16" s="21">
        <f t="shared" si="2"/>
        <v>6.69</v>
      </c>
    </row>
    <row r="17" spans="1:6" x14ac:dyDescent="0.2">
      <c r="A17" s="19">
        <v>13</v>
      </c>
      <c r="B17" s="180" t="s">
        <v>12</v>
      </c>
      <c r="C17" s="181"/>
      <c r="D17" s="14">
        <f t="shared" si="0"/>
        <v>10251</v>
      </c>
      <c r="E17" s="17">
        <f t="shared" si="1"/>
        <v>83272.512372413577</v>
      </c>
      <c r="F17" s="21">
        <f t="shared" si="2"/>
        <v>8.1199999999999992</v>
      </c>
    </row>
    <row r="18" spans="1:6" ht="14.25" customHeight="1" x14ac:dyDescent="0.2">
      <c r="A18" s="19">
        <v>14</v>
      </c>
      <c r="B18" s="180" t="s">
        <v>464</v>
      </c>
      <c r="C18" s="181"/>
      <c r="D18" s="14">
        <f t="shared" si="0"/>
        <v>60896</v>
      </c>
      <c r="E18" s="17">
        <f t="shared" si="1"/>
        <v>686678.54847629473</v>
      </c>
      <c r="F18" s="21">
        <f t="shared" si="2"/>
        <v>11.28</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69323</v>
      </c>
      <c r="E20" s="17">
        <f t="shared" si="1"/>
        <v>592959.04284390074</v>
      </c>
      <c r="F20" s="21">
        <f t="shared" si="2"/>
        <v>8.5500000000000007</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101012</v>
      </c>
      <c r="E22" s="17">
        <f t="shared" si="1"/>
        <v>734749.82604255585</v>
      </c>
      <c r="F22" s="21">
        <f t="shared" si="2"/>
        <v>7.27</v>
      </c>
    </row>
    <row r="23" spans="1:6" x14ac:dyDescent="0.2">
      <c r="A23" s="19">
        <v>19</v>
      </c>
      <c r="B23" s="180" t="s">
        <v>17</v>
      </c>
      <c r="C23" s="181"/>
      <c r="D23" s="14">
        <f t="shared" si="0"/>
        <v>76608</v>
      </c>
      <c r="E23" s="17">
        <f t="shared" si="1"/>
        <v>569824.75620191777</v>
      </c>
      <c r="F23" s="21">
        <f t="shared" si="2"/>
        <v>7.44</v>
      </c>
    </row>
    <row r="24" spans="1:6" x14ac:dyDescent="0.2">
      <c r="A24" s="19">
        <v>20</v>
      </c>
      <c r="B24" s="180" t="s">
        <v>18</v>
      </c>
      <c r="C24" s="181"/>
      <c r="D24" s="14">
        <f t="shared" si="0"/>
        <v>0</v>
      </c>
      <c r="E24" s="17">
        <f t="shared" si="1"/>
        <v>0</v>
      </c>
      <c r="F24" s="21" t="str">
        <f t="shared" si="2"/>
        <v/>
      </c>
    </row>
    <row r="25" spans="1:6" ht="14.25" customHeight="1" x14ac:dyDescent="0.2">
      <c r="A25" s="19">
        <v>21</v>
      </c>
      <c r="B25" s="180" t="s">
        <v>461</v>
      </c>
      <c r="C25" s="181"/>
      <c r="D25" s="14">
        <f t="shared" si="0"/>
        <v>0</v>
      </c>
      <c r="E25" s="17">
        <f t="shared" si="1"/>
        <v>0</v>
      </c>
      <c r="F25" s="21" t="str">
        <f t="shared" si="2"/>
        <v/>
      </c>
    </row>
    <row r="26" spans="1:6" x14ac:dyDescent="0.2">
      <c r="A26" s="19">
        <v>22</v>
      </c>
      <c r="B26" s="180" t="s">
        <v>19</v>
      </c>
      <c r="C26" s="181"/>
      <c r="D26" s="14">
        <f t="shared" si="0"/>
        <v>1152</v>
      </c>
      <c r="E26" s="17">
        <f t="shared" si="1"/>
        <v>41626.379792510044</v>
      </c>
      <c r="F26" s="21">
        <f t="shared" si="2"/>
        <v>36.130000000000003</v>
      </c>
    </row>
    <row r="27" spans="1:6" x14ac:dyDescent="0.2">
      <c r="A27" s="19">
        <v>23</v>
      </c>
      <c r="B27" s="180" t="s">
        <v>20</v>
      </c>
      <c r="C27" s="181"/>
      <c r="D27" s="14">
        <f t="shared" si="0"/>
        <v>40080</v>
      </c>
      <c r="E27" s="17">
        <f t="shared" si="1"/>
        <v>298422.9219477452</v>
      </c>
      <c r="F27" s="21">
        <f t="shared" si="2"/>
        <v>7.45</v>
      </c>
    </row>
    <row r="28" spans="1:6" x14ac:dyDescent="0.2">
      <c r="A28" s="19">
        <v>24</v>
      </c>
      <c r="B28" s="180" t="s">
        <v>21</v>
      </c>
      <c r="C28" s="181"/>
      <c r="D28" s="14">
        <f t="shared" si="0"/>
        <v>48</v>
      </c>
      <c r="E28" s="17">
        <f t="shared" si="1"/>
        <v>363.47415802125175</v>
      </c>
      <c r="F28" s="21">
        <f t="shared" si="2"/>
        <v>7.57</v>
      </c>
    </row>
    <row r="29" spans="1:6" x14ac:dyDescent="0.2">
      <c r="A29" s="19">
        <v>25</v>
      </c>
      <c r="B29" s="180" t="s">
        <v>22</v>
      </c>
      <c r="C29" s="181"/>
      <c r="D29" s="14">
        <f t="shared" si="0"/>
        <v>126224</v>
      </c>
      <c r="E29" s="17">
        <f t="shared" si="1"/>
        <v>820532.87754321832</v>
      </c>
      <c r="F29" s="21">
        <f t="shared" si="2"/>
        <v>6.5</v>
      </c>
    </row>
    <row r="30" spans="1:6" x14ac:dyDescent="0.2">
      <c r="A30" s="19">
        <v>26</v>
      </c>
      <c r="B30" s="180" t="s">
        <v>23</v>
      </c>
      <c r="C30" s="181"/>
      <c r="D30" s="14">
        <f t="shared" si="0"/>
        <v>56618</v>
      </c>
      <c r="E30" s="17">
        <f t="shared" si="1"/>
        <v>517922.78914265067</v>
      </c>
      <c r="F30" s="21">
        <f t="shared" si="2"/>
        <v>9.15</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954745</v>
      </c>
      <c r="E33" s="31">
        <f>SUM(E5:E32)</f>
        <v>7648703</v>
      </c>
      <c r="F33" s="32">
        <f t="shared" si="2"/>
        <v>8.01</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IF(F3="1",SUMIF(Data!A:A,'33'!$A$2,Data!CU:CU),0)</f>
        <v>17473</v>
      </c>
      <c r="E36" s="15">
        <f>IF(F3="1",SUMIF(Data!$A:$A,$A$2,Data!IO:IO),0)</f>
        <v>5848</v>
      </c>
      <c r="F36" s="20">
        <f t="shared" ref="F36:F64" si="3">IF(OR(D36=0,E36=0),"",ROUND(E36/D36,2))</f>
        <v>0.33</v>
      </c>
    </row>
    <row r="37" spans="1:6" x14ac:dyDescent="0.2">
      <c r="A37" s="19">
        <v>2</v>
      </c>
      <c r="B37" s="180" t="s">
        <v>1</v>
      </c>
      <c r="C37" s="181"/>
      <c r="D37" s="14">
        <f>IF(F3="1",SUMIF(Data!A:A,'33'!$A$2,Data!CV:CV),0)</f>
        <v>23714</v>
      </c>
      <c r="E37" s="17">
        <f>IF(F3="1",SUMIF(Data!$A:$A,$A$2,Data!IP:IP),0)</f>
        <v>88762</v>
      </c>
      <c r="F37" s="21">
        <f t="shared" si="3"/>
        <v>3.74</v>
      </c>
    </row>
    <row r="38" spans="1:6" ht="14.25" customHeight="1" x14ac:dyDescent="0.2">
      <c r="A38" s="19">
        <v>3</v>
      </c>
      <c r="B38" s="180" t="s">
        <v>2</v>
      </c>
      <c r="C38" s="181"/>
      <c r="D38" s="14">
        <f>IF(F3="1",SUMIF(Data!A:A,'33'!$A$2,Data!CW:CW),0)</f>
        <v>108912</v>
      </c>
      <c r="E38" s="17">
        <f>IF($F$3="1",SUMIF(Data!$A:$A,$A$2,Data!IQ:IQ),0)</f>
        <v>51973</v>
      </c>
      <c r="F38" s="21">
        <f t="shared" si="3"/>
        <v>0.48</v>
      </c>
    </row>
    <row r="39" spans="1:6" ht="14.25" customHeight="1" x14ac:dyDescent="0.2">
      <c r="A39" s="19">
        <v>4</v>
      </c>
      <c r="B39" s="180" t="s">
        <v>3</v>
      </c>
      <c r="C39" s="181"/>
      <c r="D39" s="14">
        <f>IF(F3="1",SUMIF(Data!A:A,'33'!$A$2,Data!CX:CX),0)</f>
        <v>44732</v>
      </c>
      <c r="E39" s="17">
        <f>IF($F$3="1",SUMIF(Data!$A:$A,$A$2,Data!IR:IR),0)</f>
        <v>40589</v>
      </c>
      <c r="F39" s="21">
        <f t="shared" si="3"/>
        <v>0.91</v>
      </c>
    </row>
    <row r="40" spans="1:6" x14ac:dyDescent="0.2">
      <c r="A40" s="19">
        <v>5</v>
      </c>
      <c r="B40" s="180" t="s">
        <v>4</v>
      </c>
      <c r="C40" s="181"/>
      <c r="D40" s="14">
        <f>IF(F3="1",SUMIF(Data!A:A,'33'!$A$2,Data!CY:CY),0)</f>
        <v>0</v>
      </c>
      <c r="E40" s="17">
        <f>IF($F$3="1",SUMIF(Data!$A:$A,$A$2,Data!IS:IS),0)</f>
        <v>0</v>
      </c>
      <c r="F40" s="21" t="str">
        <f t="shared" si="3"/>
        <v/>
      </c>
    </row>
    <row r="41" spans="1:6" x14ac:dyDescent="0.2">
      <c r="A41" s="19">
        <v>6</v>
      </c>
      <c r="B41" s="180" t="s">
        <v>5</v>
      </c>
      <c r="C41" s="181"/>
      <c r="D41" s="14">
        <f>IF(F3="1",SUMIF(Data!A:A,'33'!$A$2,Data!CZ:CZ),0)</f>
        <v>5328</v>
      </c>
      <c r="E41" s="17">
        <f>IF($F$3="1",SUMIF(Data!$A:$A,$A$2,Data!IT:IT),0)</f>
        <v>5310</v>
      </c>
      <c r="F41" s="21">
        <f t="shared" si="3"/>
        <v>1</v>
      </c>
    </row>
    <row r="42" spans="1:6" x14ac:dyDescent="0.2">
      <c r="A42" s="19">
        <v>7</v>
      </c>
      <c r="B42" s="180" t="s">
        <v>6</v>
      </c>
      <c r="C42" s="181"/>
      <c r="D42" s="14">
        <f>IF(F3="1",SUMIF(Data!A:A,'33'!$A$2,Data!DA:DA),0)</f>
        <v>35536</v>
      </c>
      <c r="E42" s="17">
        <f>IF($F$3="1",SUMIF(Data!$A:$A,$A$2,Data!IU:IU),0)</f>
        <v>30533</v>
      </c>
      <c r="F42" s="21">
        <f t="shared" si="3"/>
        <v>0.86</v>
      </c>
    </row>
    <row r="43" spans="1:6" x14ac:dyDescent="0.2">
      <c r="A43" s="19">
        <v>8</v>
      </c>
      <c r="B43" s="180" t="s">
        <v>7</v>
      </c>
      <c r="C43" s="181"/>
      <c r="D43" s="14">
        <f>IF(F3="1",SUMIF(Data!A:A,'33'!$A$2,Data!DB:DB),0)</f>
        <v>1137</v>
      </c>
      <c r="E43" s="17">
        <f>IF($F$3="1",SUMIF(Data!$A:$A,$A$2,Data!IV:IV),0)</f>
        <v>1823</v>
      </c>
      <c r="F43" s="21">
        <f t="shared" si="3"/>
        <v>1.6</v>
      </c>
    </row>
    <row r="44" spans="1:6" x14ac:dyDescent="0.2">
      <c r="A44" s="19">
        <v>9</v>
      </c>
      <c r="B44" s="180" t="s">
        <v>8</v>
      </c>
      <c r="C44" s="181"/>
      <c r="D44" s="14">
        <f>IF(F3="1",SUMIF(Data!A:A,'33'!$A$2,Data!DC:DC),0)</f>
        <v>58408</v>
      </c>
      <c r="E44" s="17">
        <f>IF($F$3="1",SUMIF(Data!$A:$A,$A$2,Data!IW:IW),0)</f>
        <v>44645</v>
      </c>
      <c r="F44" s="21">
        <f t="shared" si="3"/>
        <v>0.76</v>
      </c>
    </row>
    <row r="45" spans="1:6" x14ac:dyDescent="0.2">
      <c r="A45" s="19">
        <v>10</v>
      </c>
      <c r="B45" s="180" t="s">
        <v>9</v>
      </c>
      <c r="C45" s="181"/>
      <c r="D45" s="14">
        <f>IF(F3="1",SUMIF(Data!A:A,'33'!$A$2,Data!DD:DD),0)</f>
        <v>0</v>
      </c>
      <c r="E45" s="17">
        <f>IF($F$3="1",SUMIF(Data!$A:$A,$A$2,Data!IX:IX),0)</f>
        <v>0</v>
      </c>
      <c r="F45" s="21" t="str">
        <f t="shared" si="3"/>
        <v/>
      </c>
    </row>
    <row r="46" spans="1:6" x14ac:dyDescent="0.2">
      <c r="A46" s="19">
        <v>11</v>
      </c>
      <c r="B46" s="180" t="s">
        <v>10</v>
      </c>
      <c r="C46" s="181"/>
      <c r="D46" s="14">
        <f>IF(F3="1",SUMIF(Data!A:A,'33'!$A$2,Data!DE:DE),0)</f>
        <v>3886</v>
      </c>
      <c r="E46" s="17">
        <f>IF($F$3="1",SUMIF(Data!$A:$A,$A$2,Data!IY:IY),0)</f>
        <v>68307</v>
      </c>
      <c r="F46" s="21">
        <f t="shared" si="3"/>
        <v>17.579999999999998</v>
      </c>
    </row>
    <row r="47" spans="1:6" ht="14.25" customHeight="1" x14ac:dyDescent="0.2">
      <c r="A47" s="19">
        <v>12</v>
      </c>
      <c r="B47" s="180" t="s">
        <v>11</v>
      </c>
      <c r="C47" s="181"/>
      <c r="D47" s="14">
        <f>IF(F3="1",SUMIF(Data!A:A,'33'!$A$2,Data!DF:DF),0)</f>
        <v>113407</v>
      </c>
      <c r="E47" s="17">
        <f>IF($F$3="1",SUMIF(Data!$A:$A,$A$2,Data!IZ:IZ),0)</f>
        <v>25023</v>
      </c>
      <c r="F47" s="21">
        <f t="shared" si="3"/>
        <v>0.22</v>
      </c>
    </row>
    <row r="48" spans="1:6" x14ac:dyDescent="0.2">
      <c r="A48" s="19">
        <v>13</v>
      </c>
      <c r="B48" s="180" t="s">
        <v>12</v>
      </c>
      <c r="C48" s="181"/>
      <c r="D48" s="14">
        <f>IF(F3="1",SUMIF(Data!A:A,'33'!$A$2,Data!DG:DG),0)</f>
        <v>10251</v>
      </c>
      <c r="E48" s="17">
        <f>IF($F$3="1",SUMIF(Data!$A:$A,$A$2,Data!JA:JA),0)</f>
        <v>7073</v>
      </c>
      <c r="F48" s="21">
        <f t="shared" si="3"/>
        <v>0.69</v>
      </c>
    </row>
    <row r="49" spans="1:6" ht="14.25" customHeight="1" x14ac:dyDescent="0.2">
      <c r="A49" s="19">
        <v>14</v>
      </c>
      <c r="B49" s="180" t="s">
        <v>464</v>
      </c>
      <c r="C49" s="181"/>
      <c r="D49" s="14">
        <f>IF(F3="1",SUMIF(Data!A:A,'33'!$A$2,Data!DH:DH),0)</f>
        <v>60896</v>
      </c>
      <c r="E49" s="17">
        <f>IF($F$3="1",SUMIF(Data!$A:$A,$A$2,Data!JB:JB),0)</f>
        <v>121942</v>
      </c>
      <c r="F49" s="21">
        <f t="shared" si="3"/>
        <v>2</v>
      </c>
    </row>
    <row r="50" spans="1:6" x14ac:dyDescent="0.2">
      <c r="A50" s="19">
        <v>15</v>
      </c>
      <c r="B50" s="180" t="s">
        <v>13</v>
      </c>
      <c r="C50" s="181"/>
      <c r="D50" s="14">
        <f>IF(F3="1",SUMIF(Data!A:A,'33'!$A$2,Data!DI:DI),0)</f>
        <v>0</v>
      </c>
      <c r="E50" s="17">
        <f>IF($F$3="1",SUMIF(Data!$A:$A,$A$2,Data!JC:JC),0)</f>
        <v>0</v>
      </c>
      <c r="F50" s="21" t="str">
        <f t="shared" si="3"/>
        <v/>
      </c>
    </row>
    <row r="51" spans="1:6" x14ac:dyDescent="0.2">
      <c r="A51" s="19">
        <v>16</v>
      </c>
      <c r="B51" s="180" t="s">
        <v>14</v>
      </c>
      <c r="C51" s="181"/>
      <c r="D51" s="14">
        <f>IF(F3="1",SUMIF(Data!A:A,'33'!$A$2,Data!DJ:DJ),0)</f>
        <v>69323</v>
      </c>
      <c r="E51" s="17">
        <f>IF($F$3="1",SUMIF(Data!$A:$A,$A$2,Data!JD:JD),0)</f>
        <v>162091</v>
      </c>
      <c r="F51" s="21">
        <f t="shared" si="3"/>
        <v>2.34</v>
      </c>
    </row>
    <row r="52" spans="1:6" x14ac:dyDescent="0.2">
      <c r="A52" s="19">
        <v>17</v>
      </c>
      <c r="B52" s="180" t="s">
        <v>15</v>
      </c>
      <c r="C52" s="181"/>
      <c r="D52" s="14">
        <f>IF(F3="1",SUMIF(Data!A:A,'33'!$A$2,Data!DK:DK),0)</f>
        <v>0</v>
      </c>
      <c r="E52" s="17">
        <f>IF($F$3="1",SUMIF(Data!$A:$A,$A$2,Data!JE:JE),0)</f>
        <v>0</v>
      </c>
      <c r="F52" s="21" t="str">
        <f t="shared" si="3"/>
        <v/>
      </c>
    </row>
    <row r="53" spans="1:6" x14ac:dyDescent="0.2">
      <c r="A53" s="19">
        <v>18</v>
      </c>
      <c r="B53" s="180" t="s">
        <v>16</v>
      </c>
      <c r="C53" s="181"/>
      <c r="D53" s="14">
        <f>IF(F3="1",SUMIF(Data!A:A,'33'!$A$2,Data!DL:DL),0)</f>
        <v>101012</v>
      </c>
      <c r="E53" s="17">
        <f>IF($F$3="1",SUMIF(Data!$A:$A,$A$2,Data!JF:JF),0)</f>
        <v>54001</v>
      </c>
      <c r="F53" s="21">
        <f t="shared" si="3"/>
        <v>0.53</v>
      </c>
    </row>
    <row r="54" spans="1:6" x14ac:dyDescent="0.2">
      <c r="A54" s="19">
        <v>19</v>
      </c>
      <c r="B54" s="180" t="s">
        <v>17</v>
      </c>
      <c r="C54" s="181"/>
      <c r="D54" s="14">
        <f>IF(F3="1",SUMIF(Data!A:A,'33'!$A$2,Data!DM:DM),0)</f>
        <v>76608</v>
      </c>
      <c r="E54" s="17">
        <f>IF($F$3="1",SUMIF(Data!$A:$A,$A$2,Data!JG:JG),0)</f>
        <v>16419</v>
      </c>
      <c r="F54" s="21">
        <f t="shared" si="3"/>
        <v>0.21</v>
      </c>
    </row>
    <row r="55" spans="1:6" x14ac:dyDescent="0.2">
      <c r="A55" s="19">
        <v>20</v>
      </c>
      <c r="B55" s="180" t="s">
        <v>18</v>
      </c>
      <c r="C55" s="181"/>
      <c r="D55" s="14">
        <f>IF(F3="1",SUMIF(Data!A:A,'33'!$A$2,Data!DN:DN),0)</f>
        <v>0</v>
      </c>
      <c r="E55" s="17">
        <f>IF($F$3="1",SUMIF(Data!$A:$A,$A$2,Data!JH:JH),0)</f>
        <v>0</v>
      </c>
      <c r="F55" s="21" t="str">
        <f t="shared" si="3"/>
        <v/>
      </c>
    </row>
    <row r="56" spans="1:6" ht="14.25" customHeight="1" x14ac:dyDescent="0.2">
      <c r="A56" s="19">
        <v>21</v>
      </c>
      <c r="B56" s="180" t="s">
        <v>461</v>
      </c>
      <c r="C56" s="181"/>
      <c r="D56" s="14">
        <f>IF(F3="1",SUMIF(Data!A:A,'33'!$A$2,Data!DO:DO),0)</f>
        <v>0</v>
      </c>
      <c r="E56" s="17">
        <f>IF($F$3="1",SUMIF(Data!$A:$A,$A$2,Data!JI:JI),0)</f>
        <v>0</v>
      </c>
      <c r="F56" s="21" t="str">
        <f t="shared" si="3"/>
        <v/>
      </c>
    </row>
    <row r="57" spans="1:6" x14ac:dyDescent="0.2">
      <c r="A57" s="19">
        <v>22</v>
      </c>
      <c r="B57" s="180" t="s">
        <v>19</v>
      </c>
      <c r="C57" s="181"/>
      <c r="D57" s="14">
        <f>IF(F3="1",SUMIF(Data!A:A,'33'!$A$2,Data!DP:DP),0)</f>
        <v>1152</v>
      </c>
      <c r="E57" s="17">
        <f>IF($F$3="1",SUMIF(Data!$A:$A,$A$2,Data!JJ:JJ),0)</f>
        <v>25807</v>
      </c>
      <c r="F57" s="21">
        <f t="shared" si="3"/>
        <v>22.4</v>
      </c>
    </row>
    <row r="58" spans="1:6" x14ac:dyDescent="0.2">
      <c r="A58" s="19">
        <v>23</v>
      </c>
      <c r="B58" s="180" t="s">
        <v>20</v>
      </c>
      <c r="C58" s="181"/>
      <c r="D58" s="14">
        <f>IF(F3="1",SUMIF(Data!A:A,'33'!$A$2,Data!DQ:DQ),0)</f>
        <v>40080</v>
      </c>
      <c r="E58" s="17">
        <f>IF($F$3="1",SUMIF(Data!$A:$A,$A$2,Data!JK:JK),0)</f>
        <v>19018</v>
      </c>
      <c r="F58" s="21">
        <f t="shared" si="3"/>
        <v>0.47</v>
      </c>
    </row>
    <row r="59" spans="1:6" x14ac:dyDescent="0.2">
      <c r="A59" s="19">
        <v>24</v>
      </c>
      <c r="B59" s="180" t="s">
        <v>21</v>
      </c>
      <c r="C59" s="181"/>
      <c r="D59" s="14">
        <f>IF(F3="1",SUMIF(Data!A:A,'33'!$A$2,Data!DR:DR),0)</f>
        <v>48</v>
      </c>
      <c r="E59" s="17">
        <f>IF($F$3="1",SUMIF(Data!$A:$A,$A$2,Data!JL:JL),0)</f>
        <v>151</v>
      </c>
      <c r="F59" s="21">
        <f t="shared" si="3"/>
        <v>3.15</v>
      </c>
    </row>
    <row r="60" spans="1:6" x14ac:dyDescent="0.2">
      <c r="A60" s="19">
        <v>25</v>
      </c>
      <c r="B60" s="180" t="s">
        <v>22</v>
      </c>
      <c r="C60" s="181"/>
      <c r="D60" s="14">
        <f>IF(F3="1",SUMIF(Data!A:A,'33'!$A$2,Data!DS:DS),0)</f>
        <v>126224</v>
      </c>
      <c r="E60" s="17">
        <f>IF($F$3="1",SUMIF(Data!$A:$A,$A$2,Data!JM:JM),0)</f>
        <v>26857</v>
      </c>
      <c r="F60" s="21">
        <f t="shared" si="3"/>
        <v>0.21</v>
      </c>
    </row>
    <row r="61" spans="1:6" x14ac:dyDescent="0.2">
      <c r="A61" s="19">
        <v>26</v>
      </c>
      <c r="B61" s="180" t="s">
        <v>23</v>
      </c>
      <c r="C61" s="181"/>
      <c r="D61" s="14">
        <f>IF(F3="1",SUMIF(Data!A:A,'33'!$A$2,Data!DT:DT),0)</f>
        <v>56618</v>
      </c>
      <c r="E61" s="17">
        <f>IF($F$3="1",SUMIF(Data!$A:$A,$A$2,Data!JN:JN),0)</f>
        <v>51219</v>
      </c>
      <c r="F61" s="21">
        <f t="shared" si="3"/>
        <v>0.9</v>
      </c>
    </row>
    <row r="62" spans="1:6" x14ac:dyDescent="0.2">
      <c r="A62" s="19">
        <v>28</v>
      </c>
      <c r="B62" s="180" t="s">
        <v>24</v>
      </c>
      <c r="C62" s="181"/>
      <c r="D62" s="14">
        <f>IF(F3="1",SUMIF(Data!A:A,'33'!$A$2,Data!DV:DV),0)</f>
        <v>0</v>
      </c>
      <c r="E62" s="17">
        <f>IF($F$3="1",SUMIF(Data!$A:$A,$A$2,Data!JP:JP),0)</f>
        <v>0</v>
      </c>
      <c r="F62" s="21" t="str">
        <f t="shared" si="3"/>
        <v/>
      </c>
    </row>
    <row r="63" spans="1:6" ht="15.75" customHeight="1" thickBot="1" x14ac:dyDescent="0.25">
      <c r="A63" s="22">
        <v>29</v>
      </c>
      <c r="B63" s="184" t="s">
        <v>25</v>
      </c>
      <c r="C63" s="185"/>
      <c r="D63" s="23">
        <f>IF(F3="1",SUMIF(Data!A:A,'33'!$A$2,Data!DW:DW),0)</f>
        <v>0</v>
      </c>
      <c r="E63" s="24">
        <f>IF($F$3="1",SUMIF(Data!$A:$A,$A$2,Data!JQ:JQ),0)</f>
        <v>0</v>
      </c>
      <c r="F63" s="25" t="str">
        <f t="shared" si="3"/>
        <v/>
      </c>
    </row>
    <row r="64" spans="1:6" x14ac:dyDescent="0.2">
      <c r="B64" s="30" t="s">
        <v>35</v>
      </c>
      <c r="C64" s="30"/>
      <c r="D64" s="59">
        <f>SUM(D36:D63)</f>
        <v>954745</v>
      </c>
      <c r="E64" s="31">
        <f>SUM(E36:E63)</f>
        <v>847391</v>
      </c>
      <c r="F64" s="32">
        <f t="shared" si="3"/>
        <v>0.89</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17473</v>
      </c>
      <c r="E67" s="15">
        <f>IF(F3="1",SUMIF(Data!A:A,'33'!$A$2,Data!DY:DY),0)</f>
        <v>126815</v>
      </c>
      <c r="F67" s="20">
        <f t="shared" ref="F67:F95" si="4">IF(OR(D67=0,E67=0),"",ROUND(E67/D67,2))</f>
        <v>7.26</v>
      </c>
    </row>
    <row r="68" spans="1:6" x14ac:dyDescent="0.2">
      <c r="A68" s="19">
        <v>2</v>
      </c>
      <c r="B68" s="180" t="s">
        <v>1</v>
      </c>
      <c r="C68" s="181"/>
      <c r="D68" s="14">
        <f t="shared" ref="D68:D94" si="5">D37</f>
        <v>23714</v>
      </c>
      <c r="E68" s="17">
        <f>IF(F3="1",SUMIF(Data!A:A,'33'!$A$2,Data!DZ:DZ),0)</f>
        <v>81539</v>
      </c>
      <c r="F68" s="21">
        <f t="shared" si="4"/>
        <v>3.44</v>
      </c>
    </row>
    <row r="69" spans="1:6" ht="14.25" customHeight="1" x14ac:dyDescent="0.2">
      <c r="A69" s="19">
        <v>3</v>
      </c>
      <c r="B69" s="180" t="s">
        <v>2</v>
      </c>
      <c r="C69" s="181"/>
      <c r="D69" s="14">
        <f t="shared" si="5"/>
        <v>108912</v>
      </c>
      <c r="E69" s="17">
        <f>IF(F3="1",SUMIF(Data!A:A,'33'!$A$2,Data!EA:EA),0)</f>
        <v>249223</v>
      </c>
      <c r="F69" s="21">
        <f t="shared" si="4"/>
        <v>2.29</v>
      </c>
    </row>
    <row r="70" spans="1:6" ht="14.25" customHeight="1" x14ac:dyDescent="0.2">
      <c r="A70" s="19">
        <v>4</v>
      </c>
      <c r="B70" s="180" t="s">
        <v>3</v>
      </c>
      <c r="C70" s="181"/>
      <c r="D70" s="14">
        <f t="shared" si="5"/>
        <v>44732</v>
      </c>
      <c r="E70" s="17">
        <f>IF(F3="1",SUMIF(Data!A:A,'33'!$A$2,Data!EB:EB),0)</f>
        <v>243186</v>
      </c>
      <c r="F70" s="21">
        <f t="shared" si="4"/>
        <v>5.44</v>
      </c>
    </row>
    <row r="71" spans="1:6" x14ac:dyDescent="0.2">
      <c r="A71" s="19">
        <v>5</v>
      </c>
      <c r="B71" s="180" t="s">
        <v>4</v>
      </c>
      <c r="C71" s="181"/>
      <c r="D71" s="14">
        <f t="shared" si="5"/>
        <v>0</v>
      </c>
      <c r="E71" s="17">
        <f>IF(F3="1",SUMIF(Data!A:A,'33'!$A$2,Data!EC:EC),0)</f>
        <v>0</v>
      </c>
      <c r="F71" s="21" t="str">
        <f t="shared" si="4"/>
        <v/>
      </c>
    </row>
    <row r="72" spans="1:6" x14ac:dyDescent="0.2">
      <c r="A72" s="19">
        <v>6</v>
      </c>
      <c r="B72" s="180" t="s">
        <v>5</v>
      </c>
      <c r="C72" s="181"/>
      <c r="D72" s="14">
        <f t="shared" si="5"/>
        <v>5328</v>
      </c>
      <c r="E72" s="17">
        <f>IF(F3="1",SUMIF(Data!A:A,'33'!$A$2,Data!ED:ED),0)</f>
        <v>44049</v>
      </c>
      <c r="F72" s="21">
        <f t="shared" si="4"/>
        <v>8.27</v>
      </c>
    </row>
    <row r="73" spans="1:6" x14ac:dyDescent="0.2">
      <c r="A73" s="19">
        <v>7</v>
      </c>
      <c r="B73" s="180" t="s">
        <v>6</v>
      </c>
      <c r="C73" s="181"/>
      <c r="D73" s="14">
        <f t="shared" si="5"/>
        <v>35536</v>
      </c>
      <c r="E73" s="17">
        <f>IF(F3="1",SUMIF(Data!A:A,'33'!$A$2,Data!EE:EE),0)</f>
        <v>159509</v>
      </c>
      <c r="F73" s="21">
        <f t="shared" si="4"/>
        <v>4.49</v>
      </c>
    </row>
    <row r="74" spans="1:6" x14ac:dyDescent="0.2">
      <c r="A74" s="19">
        <v>8</v>
      </c>
      <c r="B74" s="180" t="s">
        <v>7</v>
      </c>
      <c r="C74" s="181"/>
      <c r="D74" s="14">
        <f t="shared" si="5"/>
        <v>1137</v>
      </c>
      <c r="E74" s="17">
        <f>IF(F3="1",SUMIF(Data!A:A,'33'!$A$2,Data!EF:EF),0)</f>
        <v>1647</v>
      </c>
      <c r="F74" s="21">
        <f t="shared" si="4"/>
        <v>1.45</v>
      </c>
    </row>
    <row r="75" spans="1:6" x14ac:dyDescent="0.2">
      <c r="A75" s="19">
        <v>9</v>
      </c>
      <c r="B75" s="180" t="s">
        <v>8</v>
      </c>
      <c r="C75" s="181"/>
      <c r="D75" s="14">
        <f t="shared" si="5"/>
        <v>58408</v>
      </c>
      <c r="E75" s="17">
        <f>IF(F3="1",SUMIF(Data!A:A,'33'!$A$2,Data!EG:EG),0)</f>
        <v>145813</v>
      </c>
      <c r="F75" s="21">
        <f t="shared" si="4"/>
        <v>2.5</v>
      </c>
    </row>
    <row r="76" spans="1:6" x14ac:dyDescent="0.2">
      <c r="A76" s="19">
        <v>10</v>
      </c>
      <c r="B76" s="180" t="s">
        <v>9</v>
      </c>
      <c r="C76" s="181"/>
      <c r="D76" s="14">
        <f t="shared" si="5"/>
        <v>0</v>
      </c>
      <c r="E76" s="17">
        <f>IF(F3="1",SUMIF(Data!A:A,'33'!$A$2,Data!EH:EH),0)</f>
        <v>0</v>
      </c>
      <c r="F76" s="21" t="str">
        <f t="shared" si="4"/>
        <v/>
      </c>
    </row>
    <row r="77" spans="1:6" x14ac:dyDescent="0.2">
      <c r="A77" s="19">
        <v>11</v>
      </c>
      <c r="B77" s="180" t="s">
        <v>10</v>
      </c>
      <c r="C77" s="181"/>
      <c r="D77" s="14">
        <f t="shared" si="5"/>
        <v>3886</v>
      </c>
      <c r="E77" s="17">
        <f>IF(F3="1",SUMIF(Data!A:A,'33'!$A$2,Data!EI:EI),0)</f>
        <v>29697</v>
      </c>
      <c r="F77" s="21">
        <f t="shared" si="4"/>
        <v>7.64</v>
      </c>
    </row>
    <row r="78" spans="1:6" ht="14.25" customHeight="1" x14ac:dyDescent="0.2">
      <c r="A78" s="19">
        <v>12</v>
      </c>
      <c r="B78" s="180" t="s">
        <v>11</v>
      </c>
      <c r="C78" s="181"/>
      <c r="D78" s="14">
        <f t="shared" si="5"/>
        <v>113407</v>
      </c>
      <c r="E78" s="17">
        <f>IF(F3="1",SUMIF(Data!A:A,'33'!$A$2,Data!EJ:EJ),0)</f>
        <v>306985</v>
      </c>
      <c r="F78" s="21">
        <f t="shared" si="4"/>
        <v>2.71</v>
      </c>
    </row>
    <row r="79" spans="1:6" x14ac:dyDescent="0.2">
      <c r="A79" s="19">
        <v>13</v>
      </c>
      <c r="B79" s="180" t="s">
        <v>12</v>
      </c>
      <c r="C79" s="181"/>
      <c r="D79" s="14">
        <f t="shared" si="5"/>
        <v>10251</v>
      </c>
      <c r="E79" s="17">
        <f>IF(F3="1",SUMIF(Data!A:A,'33'!$A$2,Data!EK:EK),0)</f>
        <v>37657</v>
      </c>
      <c r="F79" s="21">
        <f t="shared" si="4"/>
        <v>3.67</v>
      </c>
    </row>
    <row r="80" spans="1:6" ht="14.25" customHeight="1" x14ac:dyDescent="0.2">
      <c r="A80" s="19">
        <v>14</v>
      </c>
      <c r="B80" s="180" t="s">
        <v>464</v>
      </c>
      <c r="C80" s="181"/>
      <c r="D80" s="14">
        <f t="shared" si="5"/>
        <v>60896</v>
      </c>
      <c r="E80" s="17">
        <f>IF(F3="1",SUMIF(Data!A:A,'33'!$A$2,Data!EL:EL),0)</f>
        <v>335775</v>
      </c>
      <c r="F80" s="21">
        <f t="shared" si="4"/>
        <v>5.51</v>
      </c>
    </row>
    <row r="81" spans="1:6" x14ac:dyDescent="0.2">
      <c r="A81" s="19">
        <v>15</v>
      </c>
      <c r="B81" s="180" t="s">
        <v>13</v>
      </c>
      <c r="C81" s="181"/>
      <c r="D81" s="14">
        <f t="shared" si="5"/>
        <v>0</v>
      </c>
      <c r="E81" s="17">
        <f>IF(F3="1",SUMIF(Data!A:A,'33'!$A$2,Data!EM:EM),0)</f>
        <v>0</v>
      </c>
      <c r="F81" s="21" t="str">
        <f t="shared" si="4"/>
        <v/>
      </c>
    </row>
    <row r="82" spans="1:6" x14ac:dyDescent="0.2">
      <c r="A82" s="19">
        <v>16</v>
      </c>
      <c r="B82" s="180" t="s">
        <v>14</v>
      </c>
      <c r="C82" s="181"/>
      <c r="D82" s="14">
        <f t="shared" si="5"/>
        <v>69323</v>
      </c>
      <c r="E82" s="17">
        <f>IF(F3="1",SUMIF(Data!A:A,'33'!$A$2,Data!EN:EN),0)</f>
        <v>170222</v>
      </c>
      <c r="F82" s="21">
        <f t="shared" si="4"/>
        <v>2.46</v>
      </c>
    </row>
    <row r="83" spans="1:6" x14ac:dyDescent="0.2">
      <c r="A83" s="19">
        <v>17</v>
      </c>
      <c r="B83" s="180" t="s">
        <v>15</v>
      </c>
      <c r="C83" s="181"/>
      <c r="D83" s="14">
        <f t="shared" si="5"/>
        <v>0</v>
      </c>
      <c r="E83" s="17">
        <f>IF(F3="1",SUMIF(Data!A:A,'33'!$A$2,Data!EO:EO),0)</f>
        <v>0</v>
      </c>
      <c r="F83" s="21" t="str">
        <f t="shared" si="4"/>
        <v/>
      </c>
    </row>
    <row r="84" spans="1:6" x14ac:dyDescent="0.2">
      <c r="A84" s="19">
        <v>18</v>
      </c>
      <c r="B84" s="180" t="s">
        <v>16</v>
      </c>
      <c r="C84" s="181"/>
      <c r="D84" s="14">
        <f t="shared" si="5"/>
        <v>101012</v>
      </c>
      <c r="E84" s="17">
        <f>IF(F3="1",SUMIF(Data!A:A,'33'!$A$2,Data!EP:EP),0)</f>
        <v>300956</v>
      </c>
      <c r="F84" s="21">
        <f t="shared" si="4"/>
        <v>2.98</v>
      </c>
    </row>
    <row r="85" spans="1:6" x14ac:dyDescent="0.2">
      <c r="A85" s="19">
        <v>19</v>
      </c>
      <c r="B85" s="180" t="s">
        <v>17</v>
      </c>
      <c r="C85" s="181"/>
      <c r="D85" s="14">
        <f t="shared" si="5"/>
        <v>76608</v>
      </c>
      <c r="E85" s="17">
        <f>IF(F3="1",SUMIF(Data!A:A,'33'!$A$2,Data!EQ:EQ),0)</f>
        <v>265369</v>
      </c>
      <c r="F85" s="21">
        <f t="shared" si="4"/>
        <v>3.46</v>
      </c>
    </row>
    <row r="86" spans="1:6" x14ac:dyDescent="0.2">
      <c r="A86" s="19">
        <v>20</v>
      </c>
      <c r="B86" s="180" t="s">
        <v>18</v>
      </c>
      <c r="C86" s="181"/>
      <c r="D86" s="14">
        <f t="shared" si="5"/>
        <v>0</v>
      </c>
      <c r="E86" s="17">
        <f>IF(F3="1",SUMIF(Data!A:A,'33'!$A$2,Data!ER:ER),0)</f>
        <v>0</v>
      </c>
      <c r="F86" s="21" t="str">
        <f t="shared" si="4"/>
        <v/>
      </c>
    </row>
    <row r="87" spans="1:6" ht="14.25" customHeight="1" x14ac:dyDescent="0.2">
      <c r="A87" s="19">
        <v>21</v>
      </c>
      <c r="B87" s="180" t="s">
        <v>461</v>
      </c>
      <c r="C87" s="181"/>
      <c r="D87" s="14">
        <f t="shared" si="5"/>
        <v>0</v>
      </c>
      <c r="E87" s="17">
        <f>IF(F3="1",SUMIF(Data!A:A,'33'!$A$2,Data!ES:ES),0)</f>
        <v>0</v>
      </c>
      <c r="F87" s="21" t="str">
        <f t="shared" si="4"/>
        <v/>
      </c>
    </row>
    <row r="88" spans="1:6" x14ac:dyDescent="0.2">
      <c r="A88" s="19">
        <v>22</v>
      </c>
      <c r="B88" s="180" t="s">
        <v>19</v>
      </c>
      <c r="C88" s="181"/>
      <c r="D88" s="14">
        <f t="shared" si="5"/>
        <v>1152</v>
      </c>
      <c r="E88" s="17">
        <f>IF(F3="1",SUMIF(Data!A:A,'33'!$A$2,Data!ET:ET),0)</f>
        <v>11488</v>
      </c>
      <c r="F88" s="21">
        <f t="shared" si="4"/>
        <v>9.9700000000000006</v>
      </c>
    </row>
    <row r="89" spans="1:6" x14ac:dyDescent="0.2">
      <c r="A89" s="19">
        <v>23</v>
      </c>
      <c r="B89" s="180" t="s">
        <v>20</v>
      </c>
      <c r="C89" s="181"/>
      <c r="D89" s="14">
        <f t="shared" si="5"/>
        <v>40080</v>
      </c>
      <c r="E89" s="17">
        <f>IF(F3="1",SUMIF(Data!A:A,'33'!$A$2,Data!EU:EU),0)</f>
        <v>128709</v>
      </c>
      <c r="F89" s="21">
        <f t="shared" si="4"/>
        <v>3.21</v>
      </c>
    </row>
    <row r="90" spans="1:6" x14ac:dyDescent="0.2">
      <c r="A90" s="19">
        <v>24</v>
      </c>
      <c r="B90" s="180" t="s">
        <v>21</v>
      </c>
      <c r="C90" s="181"/>
      <c r="D90" s="14">
        <f t="shared" si="5"/>
        <v>48</v>
      </c>
      <c r="E90" s="17">
        <f>IF(F3="1",SUMIF(Data!A:A,'33'!$A$2,Data!EV:EV),0)</f>
        <v>32</v>
      </c>
      <c r="F90" s="21">
        <f t="shared" si="4"/>
        <v>0.67</v>
      </c>
    </row>
    <row r="91" spans="1:6" x14ac:dyDescent="0.2">
      <c r="A91" s="19">
        <v>25</v>
      </c>
      <c r="B91" s="180" t="s">
        <v>22</v>
      </c>
      <c r="C91" s="181"/>
      <c r="D91" s="14">
        <f t="shared" si="5"/>
        <v>126224</v>
      </c>
      <c r="E91" s="17">
        <f>IF(F3="1",SUMIF(Data!A:A,'33'!$A$2,Data!EW:EW),0)</f>
        <v>319089</v>
      </c>
      <c r="F91" s="21">
        <f t="shared" si="4"/>
        <v>2.5299999999999998</v>
      </c>
    </row>
    <row r="92" spans="1:6" x14ac:dyDescent="0.2">
      <c r="A92" s="19">
        <v>26</v>
      </c>
      <c r="B92" s="180" t="s">
        <v>23</v>
      </c>
      <c r="C92" s="181"/>
      <c r="D92" s="14">
        <f t="shared" si="5"/>
        <v>56618</v>
      </c>
      <c r="E92" s="17">
        <f>IF(F3="1",SUMIF(Data!A:A,'33'!$A$2,Data!EX:EX),0)</f>
        <v>253827</v>
      </c>
      <c r="F92" s="21">
        <f t="shared" si="4"/>
        <v>4.4800000000000004</v>
      </c>
    </row>
    <row r="93" spans="1:6" x14ac:dyDescent="0.2">
      <c r="A93" s="19">
        <v>28</v>
      </c>
      <c r="B93" s="180" t="s">
        <v>24</v>
      </c>
      <c r="C93" s="181"/>
      <c r="D93" s="14">
        <f t="shared" si="5"/>
        <v>0</v>
      </c>
      <c r="E93" s="17">
        <f>IF(F3="1",SUMIF(Data!A:A,'33'!$A$2,Data!EZ:EZ),0)</f>
        <v>0</v>
      </c>
      <c r="F93" s="21" t="str">
        <f t="shared" si="4"/>
        <v/>
      </c>
    </row>
    <row r="94" spans="1:6" ht="15.75" customHeight="1" thickBot="1" x14ac:dyDescent="0.25">
      <c r="A94" s="22">
        <v>29</v>
      </c>
      <c r="B94" s="184" t="s">
        <v>25</v>
      </c>
      <c r="C94" s="185"/>
      <c r="D94" s="23">
        <f t="shared" si="5"/>
        <v>0</v>
      </c>
      <c r="E94" s="24">
        <f>IF(F3="1",SUMIF(Data!A:A,'33'!$A$2,Data!FA:FA),0)</f>
        <v>0</v>
      </c>
      <c r="F94" s="25" t="str">
        <f t="shared" si="4"/>
        <v/>
      </c>
    </row>
    <row r="95" spans="1:6" x14ac:dyDescent="0.2">
      <c r="B95" s="30" t="s">
        <v>35</v>
      </c>
      <c r="C95" s="30"/>
      <c r="D95" s="59">
        <f>SUM(D67:D94)</f>
        <v>954745</v>
      </c>
      <c r="E95" s="31">
        <f>SUM(E67:E94)</f>
        <v>3211587</v>
      </c>
      <c r="F95" s="32">
        <f t="shared" si="4"/>
        <v>3.36</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IF(F3="1",SUMIF(Data!A:A,'33'!$A$2,Data!AH:AH),0)</f>
        <v>1380195</v>
      </c>
      <c r="F98" s="20">
        <f>IF(OR(E98=0,E98=0),"",ROUND(E98/$D$105,2))</f>
        <v>1.45</v>
      </c>
    </row>
    <row r="99" spans="2:6" x14ac:dyDescent="0.2">
      <c r="B99" s="190" t="s">
        <v>31</v>
      </c>
      <c r="C99" s="191"/>
      <c r="D99" s="36"/>
      <c r="E99" s="17">
        <f>IF(F3="1",SUMIF(Data!A:A,'33'!$A$2,Data!AI:AI),0)</f>
        <v>552562</v>
      </c>
      <c r="F99" s="21">
        <f t="shared" ref="F99:F104" si="6">IF(OR(E99=0,E99=0),"",ROUND(E99/$D$105,2))</f>
        <v>0.57999999999999996</v>
      </c>
    </row>
    <row r="100" spans="2:6" x14ac:dyDescent="0.2">
      <c r="B100" s="190" t="s">
        <v>1089</v>
      </c>
      <c r="C100" s="191"/>
      <c r="D100" s="36"/>
      <c r="E100" s="17">
        <f>IF(F3="1",SUMIF(Data!A:A,'33'!$A$2,Data!AJ:AJ),0)</f>
        <v>328367</v>
      </c>
      <c r="F100" s="21">
        <f t="shared" si="6"/>
        <v>0.34</v>
      </c>
    </row>
    <row r="101" spans="2:6" x14ac:dyDescent="0.2">
      <c r="B101" s="190" t="s">
        <v>1090</v>
      </c>
      <c r="C101" s="191"/>
      <c r="D101" s="36"/>
      <c r="E101" s="17">
        <f>IF(F3="1",SUMIF(Data!A:A,'33'!$A$2,Data!AK:AK),0)</f>
        <v>694942</v>
      </c>
      <c r="F101" s="21">
        <f t="shared" si="6"/>
        <v>0.73</v>
      </c>
    </row>
    <row r="102" spans="2:6" x14ac:dyDescent="0.2">
      <c r="B102" s="190" t="s">
        <v>1091</v>
      </c>
      <c r="C102" s="191"/>
      <c r="D102" s="36"/>
      <c r="E102" s="17">
        <f>IF(F3="1",SUMIF(Data!A:A,'33'!$A$2,Data!AL:AL),0)</f>
        <v>0</v>
      </c>
      <c r="F102" s="21" t="str">
        <f t="shared" si="6"/>
        <v/>
      </c>
    </row>
    <row r="103" spans="2:6" x14ac:dyDescent="0.2">
      <c r="B103" s="192" t="s">
        <v>34</v>
      </c>
      <c r="C103" s="193"/>
      <c r="D103" s="36"/>
      <c r="E103" s="17">
        <f>IF(F3="1",SUMIF(Data!A:A,'33'!$A$2,Data!AM:AM),0)</f>
        <v>0</v>
      </c>
      <c r="F103" s="21" t="str">
        <f t="shared" si="6"/>
        <v/>
      </c>
    </row>
    <row r="104" spans="2:6" ht="15.75" customHeight="1" thickBot="1" x14ac:dyDescent="0.25">
      <c r="B104" s="186" t="s">
        <v>29</v>
      </c>
      <c r="C104" s="187"/>
      <c r="D104" s="37"/>
      <c r="E104" s="24">
        <f>IF(F3="1",SUMIF(Data!A:A,'33'!$A$2,Data!Q:Q),0)</f>
        <v>633659</v>
      </c>
      <c r="F104" s="25">
        <f t="shared" si="6"/>
        <v>0.66</v>
      </c>
    </row>
    <row r="105" spans="2:6" x14ac:dyDescent="0.2">
      <c r="B105" s="30" t="s">
        <v>35</v>
      </c>
      <c r="C105" s="30"/>
      <c r="D105" s="34">
        <f>D95</f>
        <v>954745</v>
      </c>
      <c r="E105" s="31">
        <f>SUM(E98:E104)</f>
        <v>3589725</v>
      </c>
      <c r="F105" s="32">
        <f>IF($D$105=0,"",ROUND(E105/$D$105,2))</f>
        <v>3.76</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3211587</v>
      </c>
      <c r="D109" s="15">
        <f>IF(F3="1",SUMIF(Data!$A:$A,$A$2,Data!HJ:HJ),0)</f>
        <v>0</v>
      </c>
      <c r="E109" s="15">
        <f>IF(F3="1",SUMIF(Data!$A:$A,$A$2,Data!IN:IN),0)</f>
        <v>0</v>
      </c>
      <c r="F109" s="47">
        <f>SUM(C109:E109)</f>
        <v>3211587</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633659</v>
      </c>
      <c r="E117" s="52"/>
      <c r="F117" s="49">
        <f>SUM(C117:E117)</f>
        <v>633659</v>
      </c>
    </row>
    <row r="118" spans="1:6" x14ac:dyDescent="0.2">
      <c r="B118" s="13" t="s">
        <v>35</v>
      </c>
      <c r="C118" s="4">
        <f>SUM(C109:C116)</f>
        <v>3211587</v>
      </c>
      <c r="D118" s="4">
        <f>SUM(D109:D116)</f>
        <v>0</v>
      </c>
      <c r="E118" s="4">
        <f>SUM(E109:E116)</f>
        <v>0</v>
      </c>
      <c r="F118" s="4">
        <f>SUM(F109:F116)</f>
        <v>3211587</v>
      </c>
    </row>
    <row r="119" spans="1:6" ht="15" thickBot="1" x14ac:dyDescent="0.25"/>
    <row r="120" spans="1:6" ht="15" thickBot="1" x14ac:dyDescent="0.25">
      <c r="B120" s="55" t="s">
        <v>934</v>
      </c>
      <c r="C120" s="53"/>
      <c r="D120" s="53"/>
      <c r="E120" s="53">
        <f>IF(F3="1",SUMIF(Data!A:A,'33'!$A$2,Data!AM:AM),0)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390</v>
      </c>
      <c r="B2" s="58" t="str">
        <f>VLOOKUP(A2,Data!A:G,7,0)</f>
        <v>Paris Junior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6640</v>
      </c>
      <c r="E5" s="15">
        <f>E36+E67+IFERROR($E$105/$D$105*D5,0)</f>
        <v>74032.000879908999</v>
      </c>
      <c r="F5" s="20">
        <f>IF(OR(D5=0,E5=0),"",ROUND(E5/D5,2))</f>
        <v>11.15</v>
      </c>
    </row>
    <row r="6" spans="1:6" x14ac:dyDescent="0.2">
      <c r="A6" s="19">
        <v>2</v>
      </c>
      <c r="B6" s="180" t="s">
        <v>1</v>
      </c>
      <c r="C6" s="181"/>
      <c r="D6" s="14">
        <f t="shared" ref="D6:D32" si="0">D37</f>
        <v>183078</v>
      </c>
      <c r="E6" s="17">
        <f t="shared" ref="E6:E32" si="1">E37+E68+IFERROR($E$105/$D$105*D6,0)</f>
        <v>1414580.111610238</v>
      </c>
      <c r="F6" s="21">
        <f t="shared" ref="F6:F33" si="2">IF(OR(D6=0,E6=0),"",ROUND(E6/D6,2))</f>
        <v>7.73</v>
      </c>
    </row>
    <row r="7" spans="1:6" ht="14.25" customHeight="1" x14ac:dyDescent="0.2">
      <c r="A7" s="19">
        <v>3</v>
      </c>
      <c r="B7" s="180" t="s">
        <v>2</v>
      </c>
      <c r="C7" s="181"/>
      <c r="D7" s="14">
        <f t="shared" si="0"/>
        <v>265232</v>
      </c>
      <c r="E7" s="17">
        <f t="shared" si="1"/>
        <v>1372532.8423765097</v>
      </c>
      <c r="F7" s="21">
        <f t="shared" si="2"/>
        <v>5.17</v>
      </c>
    </row>
    <row r="8" spans="1:6" ht="14.25" customHeight="1" x14ac:dyDescent="0.2">
      <c r="A8" s="19">
        <v>4</v>
      </c>
      <c r="B8" s="180" t="s">
        <v>3</v>
      </c>
      <c r="C8" s="181"/>
      <c r="D8" s="14">
        <f t="shared" si="0"/>
        <v>138279</v>
      </c>
      <c r="E8" s="17">
        <f t="shared" si="1"/>
        <v>774235.1764567676</v>
      </c>
      <c r="F8" s="21">
        <f t="shared" si="2"/>
        <v>5.6</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5872</v>
      </c>
      <c r="E10" s="17">
        <f t="shared" si="1"/>
        <v>169357.55499500385</v>
      </c>
      <c r="F10" s="21">
        <f t="shared" si="2"/>
        <v>28.84</v>
      </c>
    </row>
    <row r="11" spans="1:6" x14ac:dyDescent="0.2">
      <c r="A11" s="19">
        <v>7</v>
      </c>
      <c r="B11" s="180" t="s">
        <v>6</v>
      </c>
      <c r="C11" s="181"/>
      <c r="D11" s="14">
        <f t="shared" si="0"/>
        <v>95099</v>
      </c>
      <c r="E11" s="17">
        <f t="shared" si="1"/>
        <v>504336.00808410638</v>
      </c>
      <c r="F11" s="21">
        <f t="shared" si="2"/>
        <v>5.3</v>
      </c>
    </row>
    <row r="12" spans="1:6" x14ac:dyDescent="0.2">
      <c r="A12" s="19">
        <v>8</v>
      </c>
      <c r="B12" s="180" t="s">
        <v>7</v>
      </c>
      <c r="C12" s="181"/>
      <c r="D12" s="14">
        <f t="shared" si="0"/>
        <v>0</v>
      </c>
      <c r="E12" s="17">
        <f t="shared" si="1"/>
        <v>0</v>
      </c>
      <c r="F12" s="21" t="str">
        <f t="shared" si="2"/>
        <v/>
      </c>
    </row>
    <row r="13" spans="1:6" x14ac:dyDescent="0.2">
      <c r="A13" s="19">
        <v>9</v>
      </c>
      <c r="B13" s="180" t="s">
        <v>8</v>
      </c>
      <c r="C13" s="181"/>
      <c r="D13" s="14">
        <f t="shared" si="0"/>
        <v>52114</v>
      </c>
      <c r="E13" s="17">
        <f t="shared" si="1"/>
        <v>398182.4255806593</v>
      </c>
      <c r="F13" s="21">
        <f t="shared" si="2"/>
        <v>7.64</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86672</v>
      </c>
      <c r="E15" s="17">
        <f t="shared" si="1"/>
        <v>508881.67413606524</v>
      </c>
      <c r="F15" s="21">
        <f t="shared" si="2"/>
        <v>5.87</v>
      </c>
    </row>
    <row r="16" spans="1:6" ht="14.25" customHeight="1" x14ac:dyDescent="0.2">
      <c r="A16" s="19">
        <v>12</v>
      </c>
      <c r="B16" s="180" t="s">
        <v>11</v>
      </c>
      <c r="C16" s="181"/>
      <c r="D16" s="14">
        <f t="shared" si="0"/>
        <v>305756</v>
      </c>
      <c r="E16" s="17">
        <f t="shared" si="1"/>
        <v>1811709.0103972075</v>
      </c>
      <c r="F16" s="21">
        <f t="shared" si="2"/>
        <v>5.93</v>
      </c>
    </row>
    <row r="17" spans="1:6" x14ac:dyDescent="0.2">
      <c r="A17" s="19">
        <v>13</v>
      </c>
      <c r="B17" s="180" t="s">
        <v>12</v>
      </c>
      <c r="C17" s="181"/>
      <c r="D17" s="14">
        <f t="shared" si="0"/>
        <v>29270</v>
      </c>
      <c r="E17" s="17">
        <f t="shared" si="1"/>
        <v>162266.043035382</v>
      </c>
      <c r="F17" s="21">
        <f t="shared" si="2"/>
        <v>5.54</v>
      </c>
    </row>
    <row r="18" spans="1:6" ht="14.25" customHeight="1" x14ac:dyDescent="0.2">
      <c r="A18" s="19">
        <v>14</v>
      </c>
      <c r="B18" s="180" t="s">
        <v>464</v>
      </c>
      <c r="C18" s="181"/>
      <c r="D18" s="14">
        <f t="shared" si="0"/>
        <v>46200</v>
      </c>
      <c r="E18" s="17">
        <f t="shared" si="1"/>
        <v>594957.72901382472</v>
      </c>
      <c r="F18" s="21">
        <f t="shared" si="2"/>
        <v>12.88</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60511</v>
      </c>
      <c r="E20" s="17">
        <f t="shared" si="1"/>
        <v>293275.51554882136</v>
      </c>
      <c r="F20" s="21">
        <f t="shared" si="2"/>
        <v>4.8499999999999996</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87807</v>
      </c>
      <c r="E22" s="17">
        <f t="shared" si="1"/>
        <v>784742.90470815822</v>
      </c>
      <c r="F22" s="21">
        <f t="shared" si="2"/>
        <v>8.94</v>
      </c>
    </row>
    <row r="23" spans="1:6" x14ac:dyDescent="0.2">
      <c r="A23" s="19">
        <v>19</v>
      </c>
      <c r="B23" s="180" t="s">
        <v>17</v>
      </c>
      <c r="C23" s="181"/>
      <c r="D23" s="14">
        <f t="shared" si="0"/>
        <v>364698</v>
      </c>
      <c r="E23" s="17">
        <f t="shared" si="1"/>
        <v>1808229.1657983516</v>
      </c>
      <c r="F23" s="21">
        <f t="shared" si="2"/>
        <v>4.96</v>
      </c>
    </row>
    <row r="24" spans="1:6" x14ac:dyDescent="0.2">
      <c r="A24" s="19">
        <v>20</v>
      </c>
      <c r="B24" s="180" t="s">
        <v>18</v>
      </c>
      <c r="C24" s="181"/>
      <c r="D24" s="14">
        <f t="shared" si="0"/>
        <v>0</v>
      </c>
      <c r="E24" s="17">
        <f t="shared" si="1"/>
        <v>0</v>
      </c>
      <c r="F24" s="21" t="str">
        <f t="shared" si="2"/>
        <v/>
      </c>
    </row>
    <row r="25" spans="1:6" ht="14.25" customHeight="1" x14ac:dyDescent="0.2">
      <c r="A25" s="19">
        <v>21</v>
      </c>
      <c r="B25" s="180" t="s">
        <v>461</v>
      </c>
      <c r="C25" s="181"/>
      <c r="D25" s="14">
        <f t="shared" si="0"/>
        <v>8378</v>
      </c>
      <c r="E25" s="17">
        <f t="shared" si="1"/>
        <v>158614.33544757194</v>
      </c>
      <c r="F25" s="21">
        <f t="shared" si="2"/>
        <v>18.93</v>
      </c>
    </row>
    <row r="26" spans="1:6" x14ac:dyDescent="0.2">
      <c r="A26" s="19">
        <v>22</v>
      </c>
      <c r="B26" s="180" t="s">
        <v>19</v>
      </c>
      <c r="C26" s="181"/>
      <c r="D26" s="14">
        <f t="shared" si="0"/>
        <v>32</v>
      </c>
      <c r="E26" s="17">
        <f t="shared" si="1"/>
        <v>239.06024520438075</v>
      </c>
      <c r="F26" s="21">
        <f t="shared" si="2"/>
        <v>7.47</v>
      </c>
    </row>
    <row r="27" spans="1:6" x14ac:dyDescent="0.2">
      <c r="A27" s="19">
        <v>23</v>
      </c>
      <c r="B27" s="180" t="s">
        <v>20</v>
      </c>
      <c r="C27" s="181"/>
      <c r="D27" s="14">
        <f t="shared" si="0"/>
        <v>78048</v>
      </c>
      <c r="E27" s="17">
        <f t="shared" si="1"/>
        <v>469190.93805348466</v>
      </c>
      <c r="F27" s="21">
        <f t="shared" si="2"/>
        <v>6.01</v>
      </c>
    </row>
    <row r="28" spans="1:6" x14ac:dyDescent="0.2">
      <c r="A28" s="19">
        <v>24</v>
      </c>
      <c r="B28" s="180" t="s">
        <v>21</v>
      </c>
      <c r="C28" s="181"/>
      <c r="D28" s="14">
        <f t="shared" si="0"/>
        <v>8856</v>
      </c>
      <c r="E28" s="17">
        <f t="shared" si="1"/>
        <v>33440.422860312377</v>
      </c>
      <c r="F28" s="21">
        <f t="shared" si="2"/>
        <v>3.78</v>
      </c>
    </row>
    <row r="29" spans="1:6" x14ac:dyDescent="0.2">
      <c r="A29" s="19">
        <v>25</v>
      </c>
      <c r="B29" s="180" t="s">
        <v>22</v>
      </c>
      <c r="C29" s="181"/>
      <c r="D29" s="14">
        <f t="shared" si="0"/>
        <v>245805</v>
      </c>
      <c r="E29" s="17">
        <f t="shared" si="1"/>
        <v>1314518.0491394629</v>
      </c>
      <c r="F29" s="21">
        <f t="shared" si="2"/>
        <v>5.35</v>
      </c>
    </row>
    <row r="30" spans="1:6" x14ac:dyDescent="0.2">
      <c r="A30" s="19">
        <v>26</v>
      </c>
      <c r="B30" s="180" t="s">
        <v>23</v>
      </c>
      <c r="C30" s="181"/>
      <c r="D30" s="14">
        <f t="shared" si="0"/>
        <v>102332</v>
      </c>
      <c r="E30" s="17">
        <f t="shared" si="1"/>
        <v>730600.03163295914</v>
      </c>
      <c r="F30" s="21">
        <f t="shared" si="2"/>
        <v>7.14</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2170679</v>
      </c>
      <c r="E33" s="31">
        <f>SUM(E5:E32)</f>
        <v>13377921.000000002</v>
      </c>
      <c r="F33" s="32">
        <f t="shared" si="2"/>
        <v>6.16</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IF(F3="1",SUMIF(Data!A:A,'34'!$A$2,Data!CU:CU),0)</f>
        <v>6640</v>
      </c>
      <c r="E36" s="15">
        <f>IF(F3="1",SUMIF(Data!$A:$A,$A$2,Data!IO:IO),0)</f>
        <v>9142</v>
      </c>
      <c r="F36" s="20">
        <f t="shared" ref="F36:F64" si="3">IF(OR(D36=0,E36=0),"",ROUND(E36/D36,2))</f>
        <v>1.38</v>
      </c>
    </row>
    <row r="37" spans="1:6" x14ac:dyDescent="0.2">
      <c r="A37" s="19">
        <v>2</v>
      </c>
      <c r="B37" s="180" t="s">
        <v>1</v>
      </c>
      <c r="C37" s="181"/>
      <c r="D37" s="14">
        <f>IF(F3="1",SUMIF(Data!A:A,'34'!$A$2,Data!CV:CV),0)</f>
        <v>183078</v>
      </c>
      <c r="E37" s="17">
        <f>IF(F3="1",SUMIF(Data!$A:$A,$A$2,Data!IP:IP),0)</f>
        <v>198693</v>
      </c>
      <c r="F37" s="21">
        <f t="shared" si="3"/>
        <v>1.0900000000000001</v>
      </c>
    </row>
    <row r="38" spans="1:6" ht="14.25" customHeight="1" x14ac:dyDescent="0.2">
      <c r="A38" s="19">
        <v>3</v>
      </c>
      <c r="B38" s="180" t="s">
        <v>2</v>
      </c>
      <c r="C38" s="181"/>
      <c r="D38" s="14">
        <f>IF(F3="1",SUMIF(Data!A:A,'34'!$A$2,Data!CW:CW),0)</f>
        <v>265232</v>
      </c>
      <c r="E38" s="17">
        <f>IF($F$3="1",SUMIF(Data!$A:$A,$A$2,Data!IQ:IQ),0)</f>
        <v>171970</v>
      </c>
      <c r="F38" s="21">
        <f t="shared" si="3"/>
        <v>0.65</v>
      </c>
    </row>
    <row r="39" spans="1:6" ht="14.25" customHeight="1" x14ac:dyDescent="0.2">
      <c r="A39" s="19">
        <v>4</v>
      </c>
      <c r="B39" s="180" t="s">
        <v>3</v>
      </c>
      <c r="C39" s="181"/>
      <c r="D39" s="14">
        <f>IF(F3="1",SUMIF(Data!A:A,'34'!$A$2,Data!CX:CX),0)</f>
        <v>138279</v>
      </c>
      <c r="E39" s="17">
        <f>IF($F$3="1",SUMIF(Data!$A:$A,$A$2,Data!IR:IR),0)</f>
        <v>112725</v>
      </c>
      <c r="F39" s="21">
        <f t="shared" si="3"/>
        <v>0.82</v>
      </c>
    </row>
    <row r="40" spans="1:6" x14ac:dyDescent="0.2">
      <c r="A40" s="19">
        <v>5</v>
      </c>
      <c r="B40" s="180" t="s">
        <v>4</v>
      </c>
      <c r="C40" s="181"/>
      <c r="D40" s="14">
        <f>IF(F3="1",SUMIF(Data!A:A,'34'!$A$2,Data!CY:CY),0)</f>
        <v>0</v>
      </c>
      <c r="E40" s="17">
        <f>IF($F$3="1",SUMIF(Data!$A:$A,$A$2,Data!IS:IS),0)</f>
        <v>0</v>
      </c>
      <c r="F40" s="21" t="str">
        <f t="shared" si="3"/>
        <v/>
      </c>
    </row>
    <row r="41" spans="1:6" x14ac:dyDescent="0.2">
      <c r="A41" s="19">
        <v>6</v>
      </c>
      <c r="B41" s="180" t="s">
        <v>5</v>
      </c>
      <c r="C41" s="181"/>
      <c r="D41" s="14">
        <f>IF(F3="1",SUMIF(Data!A:A,'34'!$A$2,Data!CZ:CZ),0)</f>
        <v>5872</v>
      </c>
      <c r="E41" s="17">
        <f>IF($F$3="1",SUMIF(Data!$A:$A,$A$2,Data!IT:IT),0)</f>
        <v>71192</v>
      </c>
      <c r="F41" s="21">
        <f t="shared" si="3"/>
        <v>12.12</v>
      </c>
    </row>
    <row r="42" spans="1:6" x14ac:dyDescent="0.2">
      <c r="A42" s="19">
        <v>7</v>
      </c>
      <c r="B42" s="180" t="s">
        <v>6</v>
      </c>
      <c r="C42" s="181"/>
      <c r="D42" s="14">
        <f>IF(F3="1",SUMIF(Data!A:A,'34'!$A$2,Data!DA:DA),0)</f>
        <v>95099</v>
      </c>
      <c r="E42" s="17">
        <f>IF($F$3="1",SUMIF(Data!$A:$A,$A$2,Data!IU:IU),0)</f>
        <v>42841</v>
      </c>
      <c r="F42" s="21">
        <f t="shared" si="3"/>
        <v>0.45</v>
      </c>
    </row>
    <row r="43" spans="1:6" x14ac:dyDescent="0.2">
      <c r="A43" s="19">
        <v>8</v>
      </c>
      <c r="B43" s="180" t="s">
        <v>7</v>
      </c>
      <c r="C43" s="181"/>
      <c r="D43" s="14">
        <f>IF(F3="1",SUMIF(Data!A:A,'34'!$A$2,Data!DB:DB),0)</f>
        <v>0</v>
      </c>
      <c r="E43" s="17">
        <f>IF($F$3="1",SUMIF(Data!$A:$A,$A$2,Data!IV:IV),0)</f>
        <v>0</v>
      </c>
      <c r="F43" s="21" t="str">
        <f t="shared" si="3"/>
        <v/>
      </c>
    </row>
    <row r="44" spans="1:6" x14ac:dyDescent="0.2">
      <c r="A44" s="19">
        <v>9</v>
      </c>
      <c r="B44" s="180" t="s">
        <v>8</v>
      </c>
      <c r="C44" s="181"/>
      <c r="D44" s="14">
        <f>IF(F3="1",SUMIF(Data!A:A,'34'!$A$2,Data!DC:DC),0)</f>
        <v>52114</v>
      </c>
      <c r="E44" s="17">
        <f>IF($F$3="1",SUMIF(Data!$A:$A,$A$2,Data!IW:IW),0)</f>
        <v>131872</v>
      </c>
      <c r="F44" s="21">
        <f t="shared" si="3"/>
        <v>2.5299999999999998</v>
      </c>
    </row>
    <row r="45" spans="1:6" x14ac:dyDescent="0.2">
      <c r="A45" s="19">
        <v>10</v>
      </c>
      <c r="B45" s="180" t="s">
        <v>9</v>
      </c>
      <c r="C45" s="181"/>
      <c r="D45" s="14">
        <f>IF(F3="1",SUMIF(Data!A:A,'34'!$A$2,Data!DD:DD),0)</f>
        <v>0</v>
      </c>
      <c r="E45" s="17">
        <f>IF($F$3="1",SUMIF(Data!$A:$A,$A$2,Data!IX:IX),0)</f>
        <v>0</v>
      </c>
      <c r="F45" s="21" t="str">
        <f t="shared" si="3"/>
        <v/>
      </c>
    </row>
    <row r="46" spans="1:6" x14ac:dyDescent="0.2">
      <c r="A46" s="19">
        <v>11</v>
      </c>
      <c r="B46" s="180" t="s">
        <v>10</v>
      </c>
      <c r="C46" s="181"/>
      <c r="D46" s="14">
        <f>IF(F3="1",SUMIF(Data!A:A,'34'!$A$2,Data!DE:DE),0)</f>
        <v>86672</v>
      </c>
      <c r="E46" s="17">
        <f>IF($F$3="1",SUMIF(Data!$A:$A,$A$2,Data!IY:IY),0)</f>
        <v>61679</v>
      </c>
      <c r="F46" s="21">
        <f t="shared" si="3"/>
        <v>0.71</v>
      </c>
    </row>
    <row r="47" spans="1:6" ht="14.25" customHeight="1" x14ac:dyDescent="0.2">
      <c r="A47" s="19">
        <v>12</v>
      </c>
      <c r="B47" s="180" t="s">
        <v>11</v>
      </c>
      <c r="C47" s="181"/>
      <c r="D47" s="14">
        <f>IF(F3="1",SUMIF(Data!A:A,'34'!$A$2,Data!DF:DF),0)</f>
        <v>305756</v>
      </c>
      <c r="E47" s="17">
        <f>IF($F$3="1",SUMIF(Data!$A:$A,$A$2,Data!IZ:IZ),0)</f>
        <v>211655</v>
      </c>
      <c r="F47" s="21">
        <f t="shared" si="3"/>
        <v>0.69</v>
      </c>
    </row>
    <row r="48" spans="1:6" x14ac:dyDescent="0.2">
      <c r="A48" s="19">
        <v>13</v>
      </c>
      <c r="B48" s="180" t="s">
        <v>12</v>
      </c>
      <c r="C48" s="181"/>
      <c r="D48" s="14">
        <f>IF(F3="1",SUMIF(Data!A:A,'34'!$A$2,Data!DG:DG),0)</f>
        <v>29270</v>
      </c>
      <c r="E48" s="17">
        <f>IF($F$3="1",SUMIF(Data!$A:$A,$A$2,Data!JA:JA),0)</f>
        <v>29818</v>
      </c>
      <c r="F48" s="21">
        <f t="shared" si="3"/>
        <v>1.02</v>
      </c>
    </row>
    <row r="49" spans="1:6" ht="14.25" customHeight="1" x14ac:dyDescent="0.2">
      <c r="A49" s="19">
        <v>14</v>
      </c>
      <c r="B49" s="180" t="s">
        <v>464</v>
      </c>
      <c r="C49" s="181"/>
      <c r="D49" s="14">
        <f>IF(F3="1",SUMIF(Data!A:A,'34'!$A$2,Data!DH:DH),0)</f>
        <v>46200</v>
      </c>
      <c r="E49" s="17">
        <f>IF($F$3="1",SUMIF(Data!$A:$A,$A$2,Data!JB:JB),0)</f>
        <v>205866</v>
      </c>
      <c r="F49" s="21">
        <f t="shared" si="3"/>
        <v>4.46</v>
      </c>
    </row>
    <row r="50" spans="1:6" x14ac:dyDescent="0.2">
      <c r="A50" s="19">
        <v>15</v>
      </c>
      <c r="B50" s="180" t="s">
        <v>13</v>
      </c>
      <c r="C50" s="181"/>
      <c r="D50" s="14">
        <f>IF(F3="1",SUMIF(Data!A:A,'34'!$A$2,Data!DI:DI),0)</f>
        <v>0</v>
      </c>
      <c r="E50" s="17">
        <f>IF($F$3="1",SUMIF(Data!$A:$A,$A$2,Data!JC:JC),0)</f>
        <v>0</v>
      </c>
      <c r="F50" s="21" t="str">
        <f t="shared" si="3"/>
        <v/>
      </c>
    </row>
    <row r="51" spans="1:6" x14ac:dyDescent="0.2">
      <c r="A51" s="19">
        <v>16</v>
      </c>
      <c r="B51" s="180" t="s">
        <v>14</v>
      </c>
      <c r="C51" s="181"/>
      <c r="D51" s="14">
        <f>IF(F3="1",SUMIF(Data!A:A,'34'!$A$2,Data!DJ:DJ),0)</f>
        <v>60511</v>
      </c>
      <c r="E51" s="17">
        <f>IF($F$3="1",SUMIF(Data!$A:$A,$A$2,Data!JD:JD),0)</f>
        <v>57000</v>
      </c>
      <c r="F51" s="21">
        <f t="shared" si="3"/>
        <v>0.94</v>
      </c>
    </row>
    <row r="52" spans="1:6" x14ac:dyDescent="0.2">
      <c r="A52" s="19">
        <v>17</v>
      </c>
      <c r="B52" s="180" t="s">
        <v>15</v>
      </c>
      <c r="C52" s="181"/>
      <c r="D52" s="14">
        <f>IF(F3="1",SUMIF(Data!A:A,'34'!$A$2,Data!DK:DK),0)</f>
        <v>0</v>
      </c>
      <c r="E52" s="17">
        <f>IF($F$3="1",SUMIF(Data!$A:$A,$A$2,Data!JE:JE),0)</f>
        <v>0</v>
      </c>
      <c r="F52" s="21" t="str">
        <f t="shared" si="3"/>
        <v/>
      </c>
    </row>
    <row r="53" spans="1:6" x14ac:dyDescent="0.2">
      <c r="A53" s="19">
        <v>18</v>
      </c>
      <c r="B53" s="180" t="s">
        <v>16</v>
      </c>
      <c r="C53" s="181"/>
      <c r="D53" s="14">
        <f>IF(F3="1",SUMIF(Data!A:A,'34'!$A$2,Data!DL:DL),0)</f>
        <v>87807</v>
      </c>
      <c r="E53" s="17">
        <f>IF($F$3="1",SUMIF(Data!$A:$A,$A$2,Data!JF:JF),0)</f>
        <v>85906</v>
      </c>
      <c r="F53" s="21">
        <f t="shared" si="3"/>
        <v>0.98</v>
      </c>
    </row>
    <row r="54" spans="1:6" x14ac:dyDescent="0.2">
      <c r="A54" s="19">
        <v>19</v>
      </c>
      <c r="B54" s="180" t="s">
        <v>17</v>
      </c>
      <c r="C54" s="181"/>
      <c r="D54" s="14">
        <f>IF(F3="1",SUMIF(Data!A:A,'34'!$A$2,Data!DM:DM),0)</f>
        <v>364698</v>
      </c>
      <c r="E54" s="17">
        <f>IF($F$3="1",SUMIF(Data!$A:$A,$A$2,Data!JG:JG),0)</f>
        <v>247376</v>
      </c>
      <c r="F54" s="21">
        <f t="shared" si="3"/>
        <v>0.68</v>
      </c>
    </row>
    <row r="55" spans="1:6" x14ac:dyDescent="0.2">
      <c r="A55" s="19">
        <v>20</v>
      </c>
      <c r="B55" s="180" t="s">
        <v>18</v>
      </c>
      <c r="C55" s="181"/>
      <c r="D55" s="14">
        <f>IF(F3="1",SUMIF(Data!A:A,'34'!$A$2,Data!DN:DN),0)</f>
        <v>0</v>
      </c>
      <c r="E55" s="17">
        <f>IF($F$3="1",SUMIF(Data!$A:$A,$A$2,Data!JH:JH),0)</f>
        <v>0</v>
      </c>
      <c r="F55" s="21" t="str">
        <f t="shared" si="3"/>
        <v/>
      </c>
    </row>
    <row r="56" spans="1:6" ht="14.25" customHeight="1" x14ac:dyDescent="0.2">
      <c r="A56" s="19">
        <v>21</v>
      </c>
      <c r="B56" s="180" t="s">
        <v>461</v>
      </c>
      <c r="C56" s="181"/>
      <c r="D56" s="14">
        <f>IF(F3="1",SUMIF(Data!A:A,'34'!$A$2,Data!DO:DO),0)</f>
        <v>8378</v>
      </c>
      <c r="E56" s="17">
        <f>IF($F$3="1",SUMIF(Data!$A:$A,$A$2,Data!JI:JI),0)</f>
        <v>130061</v>
      </c>
      <c r="F56" s="21">
        <f t="shared" si="3"/>
        <v>15.52</v>
      </c>
    </row>
    <row r="57" spans="1:6" x14ac:dyDescent="0.2">
      <c r="A57" s="19">
        <v>22</v>
      </c>
      <c r="B57" s="180" t="s">
        <v>19</v>
      </c>
      <c r="C57" s="181"/>
      <c r="D57" s="14">
        <f>IF(F3="1",SUMIF(Data!A:A,'34'!$A$2,Data!DP:DP),0)</f>
        <v>32</v>
      </c>
      <c r="E57" s="17">
        <f>IF($F$3="1",SUMIF(Data!$A:$A,$A$2,Data!JJ:JJ),0)</f>
        <v>95</v>
      </c>
      <c r="F57" s="21">
        <f t="shared" si="3"/>
        <v>2.97</v>
      </c>
    </row>
    <row r="58" spans="1:6" x14ac:dyDescent="0.2">
      <c r="A58" s="19">
        <v>23</v>
      </c>
      <c r="B58" s="180" t="s">
        <v>20</v>
      </c>
      <c r="C58" s="181"/>
      <c r="D58" s="14">
        <f>IF(F3="1",SUMIF(Data!A:A,'34'!$A$2,Data!DQ:DQ),0)</f>
        <v>78048</v>
      </c>
      <c r="E58" s="17">
        <f>IF($F$3="1",SUMIF(Data!$A:$A,$A$2,Data!JK:JK),0)</f>
        <v>45214</v>
      </c>
      <c r="F58" s="21">
        <f t="shared" si="3"/>
        <v>0.57999999999999996</v>
      </c>
    </row>
    <row r="59" spans="1:6" x14ac:dyDescent="0.2">
      <c r="A59" s="19">
        <v>24</v>
      </c>
      <c r="B59" s="180" t="s">
        <v>21</v>
      </c>
      <c r="C59" s="181"/>
      <c r="D59" s="14">
        <f>IF(F3="1",SUMIF(Data!A:A,'34'!$A$2,Data!DR:DR),0)</f>
        <v>8856</v>
      </c>
      <c r="E59" s="17">
        <f>IF($F$3="1",SUMIF(Data!$A:$A,$A$2,Data!JL:JL),0)</f>
        <v>2376</v>
      </c>
      <c r="F59" s="21">
        <f t="shared" si="3"/>
        <v>0.27</v>
      </c>
    </row>
    <row r="60" spans="1:6" x14ac:dyDescent="0.2">
      <c r="A60" s="19">
        <v>25</v>
      </c>
      <c r="B60" s="180" t="s">
        <v>22</v>
      </c>
      <c r="C60" s="181"/>
      <c r="D60" s="14">
        <f>IF(F3="1",SUMIF(Data!A:A,'34'!$A$2,Data!DS:DS),0)</f>
        <v>245805</v>
      </c>
      <c r="E60" s="17">
        <f>IF($F$3="1",SUMIF(Data!$A:$A,$A$2,Data!JM:JM),0)</f>
        <v>143361</v>
      </c>
      <c r="F60" s="21">
        <f t="shared" si="3"/>
        <v>0.57999999999999996</v>
      </c>
    </row>
    <row r="61" spans="1:6" x14ac:dyDescent="0.2">
      <c r="A61" s="19">
        <v>26</v>
      </c>
      <c r="B61" s="180" t="s">
        <v>23</v>
      </c>
      <c r="C61" s="181"/>
      <c r="D61" s="14">
        <f>IF(F3="1",SUMIF(Data!A:A,'34'!$A$2,Data!DT:DT),0)</f>
        <v>102332</v>
      </c>
      <c r="E61" s="17">
        <f>IF($F$3="1",SUMIF(Data!$A:$A,$A$2,Data!JN:JN),0)</f>
        <v>179839</v>
      </c>
      <c r="F61" s="21">
        <f t="shared" si="3"/>
        <v>1.76</v>
      </c>
    </row>
    <row r="62" spans="1:6" x14ac:dyDescent="0.2">
      <c r="A62" s="19">
        <v>28</v>
      </c>
      <c r="B62" s="180" t="s">
        <v>24</v>
      </c>
      <c r="C62" s="181"/>
      <c r="D62" s="14">
        <f>IF(F3="1",SUMIF(Data!A:A,'34'!$A$2,Data!DV:DV),0)</f>
        <v>0</v>
      </c>
      <c r="E62" s="17">
        <f>IF($F$3="1",SUMIF(Data!$A:$A,$A$2,Data!JP:JP),0)</f>
        <v>0</v>
      </c>
      <c r="F62" s="21" t="str">
        <f t="shared" si="3"/>
        <v/>
      </c>
    </row>
    <row r="63" spans="1:6" ht="15.75" customHeight="1" thickBot="1" x14ac:dyDescent="0.25">
      <c r="A63" s="22">
        <v>29</v>
      </c>
      <c r="B63" s="184" t="s">
        <v>25</v>
      </c>
      <c r="C63" s="185"/>
      <c r="D63" s="23">
        <f>IF(F3="1",SUMIF(Data!A:A,'34'!$A$2,Data!DW:DW),0)</f>
        <v>0</v>
      </c>
      <c r="E63" s="24">
        <f>IF($F$3="1",SUMIF(Data!$A:$A,$A$2,Data!JQ:JQ),0)</f>
        <v>0</v>
      </c>
      <c r="F63" s="25" t="str">
        <f t="shared" si="3"/>
        <v/>
      </c>
    </row>
    <row r="64" spans="1:6" x14ac:dyDescent="0.2">
      <c r="B64" s="30" t="s">
        <v>35</v>
      </c>
      <c r="C64" s="30"/>
      <c r="D64" s="59">
        <f>SUM(D36:D63)</f>
        <v>2170679</v>
      </c>
      <c r="E64" s="31">
        <f>SUM(E36:E63)</f>
        <v>2138681</v>
      </c>
      <c r="F64" s="32">
        <f t="shared" si="3"/>
        <v>0.99</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6640</v>
      </c>
      <c r="E67" s="15">
        <f>IF(F3="1",SUMIF(Data!A:A,'34'!$A$2,Data!DY:DY),0)</f>
        <v>42260</v>
      </c>
      <c r="F67" s="20">
        <f t="shared" ref="F67:F95" si="4">IF(OR(D67=0,E67=0),"",ROUND(E67/D67,2))</f>
        <v>6.36</v>
      </c>
    </row>
    <row r="68" spans="1:6" x14ac:dyDescent="0.2">
      <c r="A68" s="19">
        <v>2</v>
      </c>
      <c r="B68" s="180" t="s">
        <v>1</v>
      </c>
      <c r="C68" s="181"/>
      <c r="D68" s="14">
        <f t="shared" ref="D68:D94" si="5">D37</f>
        <v>183078</v>
      </c>
      <c r="E68" s="17">
        <f>IF(F3="1",SUMIF(Data!A:A,'34'!$A$2,Data!DZ:DZ),0)</f>
        <v>591933</v>
      </c>
      <c r="F68" s="21">
        <f t="shared" si="4"/>
        <v>3.23</v>
      </c>
    </row>
    <row r="69" spans="1:6" ht="14.25" customHeight="1" x14ac:dyDescent="0.2">
      <c r="A69" s="19">
        <v>3</v>
      </c>
      <c r="B69" s="180" t="s">
        <v>2</v>
      </c>
      <c r="C69" s="181"/>
      <c r="D69" s="14">
        <f t="shared" si="5"/>
        <v>265232</v>
      </c>
      <c r="E69" s="17">
        <f>IF(F3="1",SUMIF(Data!A:A,'34'!$A$2,Data!EA:EA),0)</f>
        <v>296617</v>
      </c>
      <c r="F69" s="21">
        <f t="shared" si="4"/>
        <v>1.1200000000000001</v>
      </c>
    </row>
    <row r="70" spans="1:6" ht="14.25" customHeight="1" x14ac:dyDescent="0.2">
      <c r="A70" s="19">
        <v>4</v>
      </c>
      <c r="B70" s="180" t="s">
        <v>3</v>
      </c>
      <c r="C70" s="181"/>
      <c r="D70" s="14">
        <f t="shared" si="5"/>
        <v>138279</v>
      </c>
      <c r="E70" s="17">
        <f>IF(F3="1",SUMIF(Data!A:A,'34'!$A$2,Data!EB:EB),0)</f>
        <v>190237</v>
      </c>
      <c r="F70" s="21">
        <f t="shared" si="4"/>
        <v>1.38</v>
      </c>
    </row>
    <row r="71" spans="1:6" x14ac:dyDescent="0.2">
      <c r="A71" s="19">
        <v>5</v>
      </c>
      <c r="B71" s="180" t="s">
        <v>4</v>
      </c>
      <c r="C71" s="181"/>
      <c r="D71" s="14">
        <f t="shared" si="5"/>
        <v>0</v>
      </c>
      <c r="E71" s="17">
        <f>IF(F3="1",SUMIF(Data!A:A,'34'!$A$2,Data!EC:EC),0)</f>
        <v>0</v>
      </c>
      <c r="F71" s="21" t="str">
        <f t="shared" si="4"/>
        <v/>
      </c>
    </row>
    <row r="72" spans="1:6" x14ac:dyDescent="0.2">
      <c r="A72" s="19">
        <v>6</v>
      </c>
      <c r="B72" s="180" t="s">
        <v>5</v>
      </c>
      <c r="C72" s="181"/>
      <c r="D72" s="14">
        <f t="shared" si="5"/>
        <v>5872</v>
      </c>
      <c r="E72" s="17">
        <f>IF(F3="1",SUMIF(Data!A:A,'34'!$A$2,Data!ED:ED),0)</f>
        <v>78153</v>
      </c>
      <c r="F72" s="21">
        <f t="shared" si="4"/>
        <v>13.31</v>
      </c>
    </row>
    <row r="73" spans="1:6" x14ac:dyDescent="0.2">
      <c r="A73" s="19">
        <v>7</v>
      </c>
      <c r="B73" s="180" t="s">
        <v>6</v>
      </c>
      <c r="C73" s="181"/>
      <c r="D73" s="14">
        <f t="shared" si="5"/>
        <v>95099</v>
      </c>
      <c r="E73" s="17">
        <f>IF(F3="1",SUMIF(Data!A:A,'34'!$A$2,Data!EE:EE),0)</f>
        <v>137385</v>
      </c>
      <c r="F73" s="21">
        <f t="shared" si="4"/>
        <v>1.44</v>
      </c>
    </row>
    <row r="74" spans="1:6" x14ac:dyDescent="0.2">
      <c r="A74" s="19">
        <v>8</v>
      </c>
      <c r="B74" s="180" t="s">
        <v>7</v>
      </c>
      <c r="C74" s="181"/>
      <c r="D74" s="14">
        <f t="shared" si="5"/>
        <v>0</v>
      </c>
      <c r="E74" s="17">
        <f>IF(F3="1",SUMIF(Data!A:A,'34'!$A$2,Data!EF:EF),0)</f>
        <v>0</v>
      </c>
      <c r="F74" s="21" t="str">
        <f t="shared" si="4"/>
        <v/>
      </c>
    </row>
    <row r="75" spans="1:6" x14ac:dyDescent="0.2">
      <c r="A75" s="19">
        <v>9</v>
      </c>
      <c r="B75" s="180" t="s">
        <v>8</v>
      </c>
      <c r="C75" s="181"/>
      <c r="D75" s="14">
        <f t="shared" si="5"/>
        <v>52114</v>
      </c>
      <c r="E75" s="17">
        <f>IF(F3="1",SUMIF(Data!A:A,'34'!$A$2,Data!EG:EG),0)</f>
        <v>88699</v>
      </c>
      <c r="F75" s="21">
        <f t="shared" si="4"/>
        <v>1.7</v>
      </c>
    </row>
    <row r="76" spans="1:6" x14ac:dyDescent="0.2">
      <c r="A76" s="19">
        <v>10</v>
      </c>
      <c r="B76" s="180" t="s">
        <v>9</v>
      </c>
      <c r="C76" s="181"/>
      <c r="D76" s="14">
        <f t="shared" si="5"/>
        <v>0</v>
      </c>
      <c r="E76" s="17">
        <f>IF(F3="1",SUMIF(Data!A:A,'34'!$A$2,Data!EH:EH),0)</f>
        <v>0</v>
      </c>
      <c r="F76" s="21" t="str">
        <f t="shared" si="4"/>
        <v/>
      </c>
    </row>
    <row r="77" spans="1:6" x14ac:dyDescent="0.2">
      <c r="A77" s="19">
        <v>11</v>
      </c>
      <c r="B77" s="180" t="s">
        <v>10</v>
      </c>
      <c r="C77" s="181"/>
      <c r="D77" s="14">
        <f t="shared" si="5"/>
        <v>86672</v>
      </c>
      <c r="E77" s="17">
        <f>IF(F3="1",SUMIF(Data!A:A,'34'!$A$2,Data!EI:EI),0)</f>
        <v>151813</v>
      </c>
      <c r="F77" s="21">
        <f t="shared" si="4"/>
        <v>1.75</v>
      </c>
    </row>
    <row r="78" spans="1:6" ht="14.25" customHeight="1" x14ac:dyDescent="0.2">
      <c r="A78" s="19">
        <v>12</v>
      </c>
      <c r="B78" s="180" t="s">
        <v>11</v>
      </c>
      <c r="C78" s="181"/>
      <c r="D78" s="14">
        <f t="shared" si="5"/>
        <v>305756</v>
      </c>
      <c r="E78" s="17">
        <f>IF(F3="1",SUMIF(Data!A:A,'34'!$A$2,Data!EJ:EJ),0)</f>
        <v>557997</v>
      </c>
      <c r="F78" s="21">
        <f t="shared" si="4"/>
        <v>1.82</v>
      </c>
    </row>
    <row r="79" spans="1:6" x14ac:dyDescent="0.2">
      <c r="A79" s="19">
        <v>13</v>
      </c>
      <c r="B79" s="180" t="s">
        <v>12</v>
      </c>
      <c r="C79" s="181"/>
      <c r="D79" s="14">
        <f t="shared" si="5"/>
        <v>29270</v>
      </c>
      <c r="E79" s="17">
        <f>IF(F3="1",SUMIF(Data!A:A,'34'!$A$2,Data!EK:EK),0)</f>
        <v>32692</v>
      </c>
      <c r="F79" s="21">
        <f t="shared" si="4"/>
        <v>1.1200000000000001</v>
      </c>
    </row>
    <row r="80" spans="1:6" ht="14.25" customHeight="1" x14ac:dyDescent="0.2">
      <c r="A80" s="19">
        <v>14</v>
      </c>
      <c r="B80" s="180" t="s">
        <v>464</v>
      </c>
      <c r="C80" s="181"/>
      <c r="D80" s="14">
        <f t="shared" si="5"/>
        <v>46200</v>
      </c>
      <c r="E80" s="17">
        <f>IF(F3="1",SUMIF(Data!A:A,'34'!$A$2,Data!EL:EL),0)</f>
        <v>231636</v>
      </c>
      <c r="F80" s="21">
        <f t="shared" si="4"/>
        <v>5.01</v>
      </c>
    </row>
    <row r="81" spans="1:6" x14ac:dyDescent="0.2">
      <c r="A81" s="19">
        <v>15</v>
      </c>
      <c r="B81" s="180" t="s">
        <v>13</v>
      </c>
      <c r="C81" s="181"/>
      <c r="D81" s="14">
        <f t="shared" si="5"/>
        <v>0</v>
      </c>
      <c r="E81" s="17">
        <f>IF(F3="1",SUMIF(Data!A:A,'34'!$A$2,Data!EM:EM),0)</f>
        <v>0</v>
      </c>
      <c r="F81" s="21" t="str">
        <f t="shared" si="4"/>
        <v/>
      </c>
    </row>
    <row r="82" spans="1:6" x14ac:dyDescent="0.2">
      <c r="A82" s="19">
        <v>16</v>
      </c>
      <c r="B82" s="180" t="s">
        <v>14</v>
      </c>
      <c r="C82" s="181"/>
      <c r="D82" s="14">
        <f t="shared" si="5"/>
        <v>60511</v>
      </c>
      <c r="E82" s="17">
        <f>IF(F3="1",SUMIF(Data!A:A,'34'!$A$2,Data!EN:EN),0)</f>
        <v>30046</v>
      </c>
      <c r="F82" s="21">
        <f t="shared" si="4"/>
        <v>0.5</v>
      </c>
    </row>
    <row r="83" spans="1:6" x14ac:dyDescent="0.2">
      <c r="A83" s="19">
        <v>17</v>
      </c>
      <c r="B83" s="180" t="s">
        <v>15</v>
      </c>
      <c r="C83" s="181"/>
      <c r="D83" s="14">
        <f t="shared" si="5"/>
        <v>0</v>
      </c>
      <c r="E83" s="17">
        <f>IF(F3="1",SUMIF(Data!A:A,'34'!$A$2,Data!EO:EO),0)</f>
        <v>0</v>
      </c>
      <c r="F83" s="21" t="str">
        <f t="shared" si="4"/>
        <v/>
      </c>
    </row>
    <row r="84" spans="1:6" x14ac:dyDescent="0.2">
      <c r="A84" s="19">
        <v>18</v>
      </c>
      <c r="B84" s="180" t="s">
        <v>16</v>
      </c>
      <c r="C84" s="181"/>
      <c r="D84" s="14">
        <f t="shared" si="5"/>
        <v>87807</v>
      </c>
      <c r="E84" s="17">
        <f>IF(F3="1",SUMIF(Data!A:A,'34'!$A$2,Data!EP:EP),0)</f>
        <v>399579</v>
      </c>
      <c r="F84" s="21">
        <f t="shared" si="4"/>
        <v>4.55</v>
      </c>
    </row>
    <row r="85" spans="1:6" x14ac:dyDescent="0.2">
      <c r="A85" s="19">
        <v>19</v>
      </c>
      <c r="B85" s="180" t="s">
        <v>17</v>
      </c>
      <c r="C85" s="181"/>
      <c r="D85" s="14">
        <f t="shared" si="5"/>
        <v>364698</v>
      </c>
      <c r="E85" s="17">
        <f>IF(F3="1",SUMIF(Data!A:A,'34'!$A$2,Data!EQ:EQ),0)</f>
        <v>317914</v>
      </c>
      <c r="F85" s="21">
        <f t="shared" si="4"/>
        <v>0.87</v>
      </c>
    </row>
    <row r="86" spans="1:6" x14ac:dyDescent="0.2">
      <c r="A86" s="19">
        <v>20</v>
      </c>
      <c r="B86" s="180" t="s">
        <v>18</v>
      </c>
      <c r="C86" s="181"/>
      <c r="D86" s="14">
        <f t="shared" si="5"/>
        <v>0</v>
      </c>
      <c r="E86" s="17">
        <f>IF(F3="1",SUMIF(Data!A:A,'34'!$A$2,Data!ER:ER),0)</f>
        <v>0</v>
      </c>
      <c r="F86" s="21" t="str">
        <f t="shared" si="4"/>
        <v/>
      </c>
    </row>
    <row r="87" spans="1:6" ht="14.25" customHeight="1" x14ac:dyDescent="0.2">
      <c r="A87" s="19">
        <v>21</v>
      </c>
      <c r="B87" s="180" t="s">
        <v>461</v>
      </c>
      <c r="C87" s="181"/>
      <c r="D87" s="14">
        <f t="shared" si="5"/>
        <v>8378</v>
      </c>
      <c r="E87" s="17">
        <f>IF(F3="1",SUMIF(Data!A:A,'34'!$A$2,Data!ES:ES),0)</f>
        <v>0</v>
      </c>
      <c r="F87" s="21" t="str">
        <f t="shared" si="4"/>
        <v/>
      </c>
    </row>
    <row r="88" spans="1:6" x14ac:dyDescent="0.2">
      <c r="A88" s="19">
        <v>22</v>
      </c>
      <c r="B88" s="180" t="s">
        <v>19</v>
      </c>
      <c r="C88" s="181"/>
      <c r="D88" s="14">
        <f t="shared" si="5"/>
        <v>32</v>
      </c>
      <c r="E88" s="17">
        <f>IF(F3="1",SUMIF(Data!A:A,'34'!$A$2,Data!ET:ET),0)</f>
        <v>35</v>
      </c>
      <c r="F88" s="21">
        <f t="shared" si="4"/>
        <v>1.0900000000000001</v>
      </c>
    </row>
    <row r="89" spans="1:6" x14ac:dyDescent="0.2">
      <c r="A89" s="19">
        <v>23</v>
      </c>
      <c r="B89" s="180" t="s">
        <v>20</v>
      </c>
      <c r="C89" s="181"/>
      <c r="D89" s="14">
        <f t="shared" si="5"/>
        <v>78048</v>
      </c>
      <c r="E89" s="17">
        <f>IF(F3="1",SUMIF(Data!A:A,'34'!$A$2,Data!EU:EU),0)</f>
        <v>157979</v>
      </c>
      <c r="F89" s="21">
        <f t="shared" si="4"/>
        <v>2.02</v>
      </c>
    </row>
    <row r="90" spans="1:6" x14ac:dyDescent="0.2">
      <c r="A90" s="19">
        <v>24</v>
      </c>
      <c r="B90" s="180" t="s">
        <v>21</v>
      </c>
      <c r="C90" s="181"/>
      <c r="D90" s="14">
        <f t="shared" si="5"/>
        <v>8856</v>
      </c>
      <c r="E90" s="17">
        <f>IF(F3="1",SUMIF(Data!A:A,'34'!$A$2,Data!EV:EV),0)</f>
        <v>882</v>
      </c>
      <c r="F90" s="21">
        <f t="shared" si="4"/>
        <v>0.1</v>
      </c>
    </row>
    <row r="91" spans="1:6" x14ac:dyDescent="0.2">
      <c r="A91" s="19">
        <v>25</v>
      </c>
      <c r="B91" s="180" t="s">
        <v>22</v>
      </c>
      <c r="C91" s="181"/>
      <c r="D91" s="14">
        <f t="shared" si="5"/>
        <v>245805</v>
      </c>
      <c r="E91" s="17">
        <f>IF(F3="1",SUMIF(Data!A:A,'34'!$A$2,Data!EW:EW),0)</f>
        <v>333421</v>
      </c>
      <c r="F91" s="21">
        <f t="shared" si="4"/>
        <v>1.36</v>
      </c>
    </row>
    <row r="92" spans="1:6" x14ac:dyDescent="0.2">
      <c r="A92" s="19">
        <v>26</v>
      </c>
      <c r="B92" s="180" t="s">
        <v>23</v>
      </c>
      <c r="C92" s="181"/>
      <c r="D92" s="14">
        <f t="shared" si="5"/>
        <v>102332</v>
      </c>
      <c r="E92" s="17">
        <f>IF(F3="1",SUMIF(Data!A:A,'34'!$A$2,Data!EX:EX),0)</f>
        <v>202000</v>
      </c>
      <c r="F92" s="21">
        <f t="shared" si="4"/>
        <v>1.97</v>
      </c>
    </row>
    <row r="93" spans="1:6" x14ac:dyDescent="0.2">
      <c r="A93" s="19">
        <v>28</v>
      </c>
      <c r="B93" s="180" t="s">
        <v>24</v>
      </c>
      <c r="C93" s="181"/>
      <c r="D93" s="14">
        <f t="shared" si="5"/>
        <v>0</v>
      </c>
      <c r="E93" s="17">
        <f>IF(F3="1",SUMIF(Data!A:A,'34'!$A$2,Data!EZ:EZ),0)</f>
        <v>0</v>
      </c>
      <c r="F93" s="21" t="str">
        <f t="shared" si="4"/>
        <v/>
      </c>
    </row>
    <row r="94" spans="1:6" ht="15.75" customHeight="1" thickBot="1" x14ac:dyDescent="0.25">
      <c r="A94" s="22">
        <v>29</v>
      </c>
      <c r="B94" s="184" t="s">
        <v>25</v>
      </c>
      <c r="C94" s="185"/>
      <c r="D94" s="23">
        <f t="shared" si="5"/>
        <v>0</v>
      </c>
      <c r="E94" s="24">
        <f>IF(F3="1",SUMIF(Data!A:A,'34'!$A$2,Data!FA:FA),0)</f>
        <v>0</v>
      </c>
      <c r="F94" s="25" t="str">
        <f t="shared" si="4"/>
        <v/>
      </c>
    </row>
    <row r="95" spans="1:6" x14ac:dyDescent="0.2">
      <c r="B95" s="30" t="s">
        <v>35</v>
      </c>
      <c r="C95" s="30"/>
      <c r="D95" s="59">
        <f>SUM(D67:D94)</f>
        <v>2170679</v>
      </c>
      <c r="E95" s="31">
        <f>SUM(E67:E94)</f>
        <v>3841278</v>
      </c>
      <c r="F95" s="32">
        <f t="shared" si="4"/>
        <v>1.77</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IF(F3="1",SUMIF(Data!A:A,'34'!$A$2,Data!AH:AH),0)</f>
        <v>4853460</v>
      </c>
      <c r="F98" s="20">
        <f>IF(OR(E98=0,E98=0),"",ROUND(E98/$D$105,2))</f>
        <v>2.2400000000000002</v>
      </c>
    </row>
    <row r="99" spans="2:6" x14ac:dyDescent="0.2">
      <c r="B99" s="190" t="s">
        <v>31</v>
      </c>
      <c r="C99" s="191"/>
      <c r="D99" s="36"/>
      <c r="E99" s="17">
        <f>IF(F3="1",SUMIF(Data!A:A,'34'!$A$2,Data!AI:AI),0)</f>
        <v>677385</v>
      </c>
      <c r="F99" s="21">
        <f t="shared" ref="F99:F104" si="6">IF(OR(E99=0,E99=0),"",ROUND(E99/$D$105,2))</f>
        <v>0.31</v>
      </c>
    </row>
    <row r="100" spans="2:6" x14ac:dyDescent="0.2">
      <c r="B100" s="190" t="s">
        <v>1089</v>
      </c>
      <c r="C100" s="191"/>
      <c r="D100" s="36"/>
      <c r="E100" s="17">
        <f>IF(F3="1",SUMIF(Data!A:A,'34'!$A$2,Data!AJ:AJ),0)</f>
        <v>410169</v>
      </c>
      <c r="F100" s="21">
        <f t="shared" si="6"/>
        <v>0.19</v>
      </c>
    </row>
    <row r="101" spans="2:6" x14ac:dyDescent="0.2">
      <c r="B101" s="190" t="s">
        <v>1090</v>
      </c>
      <c r="C101" s="191"/>
      <c r="D101" s="36"/>
      <c r="E101" s="17">
        <f>IF(F3="1",SUMIF(Data!A:A,'34'!$A$2,Data!AK:AK),0)</f>
        <v>529215</v>
      </c>
      <c r="F101" s="21">
        <f t="shared" si="6"/>
        <v>0.24</v>
      </c>
    </row>
    <row r="102" spans="2:6" x14ac:dyDescent="0.2">
      <c r="B102" s="190" t="s">
        <v>1091</v>
      </c>
      <c r="C102" s="191"/>
      <c r="D102" s="36"/>
      <c r="E102" s="17">
        <f>IF(F3="1",SUMIF(Data!A:A,'34'!$A$2,Data!AL:AL),0)</f>
        <v>31570</v>
      </c>
      <c r="F102" s="21">
        <f t="shared" si="6"/>
        <v>0.01</v>
      </c>
    </row>
    <row r="103" spans="2:6" x14ac:dyDescent="0.2">
      <c r="B103" s="192" t="s">
        <v>34</v>
      </c>
      <c r="C103" s="193"/>
      <c r="D103" s="36"/>
      <c r="E103" s="17">
        <f>IF(F3="1",SUMIF(Data!A:A,'34'!$A$2,Data!AM:AM),0)</f>
        <v>0</v>
      </c>
      <c r="F103" s="21" t="str">
        <f t="shared" si="6"/>
        <v/>
      </c>
    </row>
    <row r="104" spans="2:6" ht="15.75" customHeight="1" thickBot="1" x14ac:dyDescent="0.25">
      <c r="B104" s="186" t="s">
        <v>29</v>
      </c>
      <c r="C104" s="187"/>
      <c r="D104" s="37"/>
      <c r="E104" s="24">
        <f>IF(F3="1",SUMIF(Data!A:A,'34'!$A$2,Data!Q:Q),0)</f>
        <v>896163</v>
      </c>
      <c r="F104" s="25">
        <f t="shared" si="6"/>
        <v>0.41</v>
      </c>
    </row>
    <row r="105" spans="2:6" x14ac:dyDescent="0.2">
      <c r="B105" s="30" t="s">
        <v>35</v>
      </c>
      <c r="C105" s="30"/>
      <c r="D105" s="34">
        <f>D95</f>
        <v>2170679</v>
      </c>
      <c r="E105" s="31">
        <f>SUM(E98:E104)</f>
        <v>7397962</v>
      </c>
      <c r="F105" s="32">
        <f>IF($D$105=0,"",ROUND(E105/$D$105,2))</f>
        <v>3.41</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3841278</v>
      </c>
      <c r="D109" s="15">
        <f>IF(F3="1",SUMIF(Data!$A:$A,$A$2,Data!HJ:HJ),0)</f>
        <v>0</v>
      </c>
      <c r="E109" s="15">
        <f>IF(F3="1",SUMIF(Data!$A:$A,$A$2,Data!IN:IN),0)</f>
        <v>0</v>
      </c>
      <c r="F109" s="47">
        <f>SUM(C109:E109)</f>
        <v>3841278</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31570</v>
      </c>
      <c r="F116" s="48">
        <f t="shared" si="7"/>
        <v>31570</v>
      </c>
    </row>
    <row r="117" spans="1:6" ht="15" thickBot="1" x14ac:dyDescent="0.25">
      <c r="B117" s="43" t="s">
        <v>933</v>
      </c>
      <c r="C117" s="52"/>
      <c r="D117" s="52">
        <f>IF(F3="1",SUMIF(Data!A:A,$A$2,Data!Q:Q),0)</f>
        <v>896163</v>
      </c>
      <c r="E117" s="52"/>
      <c r="F117" s="49">
        <f>SUM(C117:E117)</f>
        <v>896163</v>
      </c>
    </row>
    <row r="118" spans="1:6" x14ac:dyDescent="0.2">
      <c r="B118" s="13" t="s">
        <v>35</v>
      </c>
      <c r="C118" s="4">
        <f>SUM(C109:C116)</f>
        <v>3841278</v>
      </c>
      <c r="D118" s="4">
        <f>SUM(D109:D116)</f>
        <v>0</v>
      </c>
      <c r="E118" s="4">
        <f>SUM(E109:E116)</f>
        <v>31570</v>
      </c>
      <c r="F118" s="4">
        <f>SUM(F109:F116)</f>
        <v>3872848</v>
      </c>
    </row>
    <row r="119" spans="1:6" ht="15" thickBot="1" x14ac:dyDescent="0.25"/>
    <row r="120" spans="1:6" ht="15" thickBot="1" x14ac:dyDescent="0.25">
      <c r="B120" s="55" t="s">
        <v>934</v>
      </c>
      <c r="C120" s="53"/>
      <c r="D120" s="53"/>
      <c r="E120" s="53">
        <f>IF(F3="1",SUMIF(Data!A:A,'34'!$A$2,Data!AM:AM),0)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140625" style="10"/>
    <col min="12" max="14" width="6"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392</v>
      </c>
      <c r="B2" s="58" t="str">
        <f>VLOOKUP(A2,Data!A:G,7,0)</f>
        <v>Ranger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0</v>
      </c>
      <c r="E5" s="15">
        <f>E36+E67+IFERROR($E$105/$D$105*D5,0)</f>
        <v>0</v>
      </c>
      <c r="F5" s="20" t="str">
        <f>IF(OR(D5=0,E5=0),"",ROUND(E5/D5,2))</f>
        <v/>
      </c>
    </row>
    <row r="6" spans="1:6" x14ac:dyDescent="0.2">
      <c r="A6" s="19">
        <v>2</v>
      </c>
      <c r="B6" s="180" t="s">
        <v>1</v>
      </c>
      <c r="C6" s="181"/>
      <c r="D6" s="14">
        <f t="shared" ref="D6:D32" si="0">D37</f>
        <v>12000</v>
      </c>
      <c r="E6" s="17">
        <f t="shared" ref="E6:E32" si="1">E37+E68+IFERROR($E$105/$D$105*D6,0)</f>
        <v>80935.909330172726</v>
      </c>
      <c r="F6" s="21">
        <f t="shared" ref="F6:F33" si="2">IF(OR(D6=0,E6=0),"",ROUND(E6/D6,2))</f>
        <v>6.74</v>
      </c>
    </row>
    <row r="7" spans="1:6" ht="14.25" customHeight="1" x14ac:dyDescent="0.2">
      <c r="A7" s="19">
        <v>3</v>
      </c>
      <c r="B7" s="180" t="s">
        <v>2</v>
      </c>
      <c r="C7" s="181"/>
      <c r="D7" s="14">
        <f t="shared" si="0"/>
        <v>31312</v>
      </c>
      <c r="E7" s="17">
        <f t="shared" si="1"/>
        <v>146503.38741219736</v>
      </c>
      <c r="F7" s="21">
        <f t="shared" si="2"/>
        <v>4.68</v>
      </c>
    </row>
    <row r="8" spans="1:6" ht="14.25" customHeight="1" x14ac:dyDescent="0.2">
      <c r="A8" s="19">
        <v>4</v>
      </c>
      <c r="B8" s="180" t="s">
        <v>3</v>
      </c>
      <c r="C8" s="181"/>
      <c r="D8" s="14">
        <f t="shared" si="0"/>
        <v>12688</v>
      </c>
      <c r="E8" s="17">
        <f t="shared" si="1"/>
        <v>86750.280131769308</v>
      </c>
      <c r="F8" s="21">
        <f t="shared" si="2"/>
        <v>6.84</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2800</v>
      </c>
      <c r="E10" s="17">
        <f t="shared" si="1"/>
        <v>9803.5788437069714</v>
      </c>
      <c r="F10" s="21">
        <f t="shared" si="2"/>
        <v>3.5</v>
      </c>
    </row>
    <row r="11" spans="1:6" x14ac:dyDescent="0.2">
      <c r="A11" s="19">
        <v>7</v>
      </c>
      <c r="B11" s="180" t="s">
        <v>6</v>
      </c>
      <c r="C11" s="181"/>
      <c r="D11" s="14">
        <f t="shared" si="0"/>
        <v>25054</v>
      </c>
      <c r="E11" s="17">
        <f t="shared" si="1"/>
        <v>145807.29369651229</v>
      </c>
      <c r="F11" s="21">
        <f t="shared" si="2"/>
        <v>5.82</v>
      </c>
    </row>
    <row r="12" spans="1:6" x14ac:dyDescent="0.2">
      <c r="A12" s="19">
        <v>8</v>
      </c>
      <c r="B12" s="180" t="s">
        <v>7</v>
      </c>
      <c r="C12" s="181"/>
      <c r="D12" s="14">
        <f t="shared" si="0"/>
        <v>0</v>
      </c>
      <c r="E12" s="17">
        <f t="shared" si="1"/>
        <v>0</v>
      </c>
      <c r="F12" s="21" t="str">
        <f t="shared" si="2"/>
        <v/>
      </c>
    </row>
    <row r="13" spans="1:6" x14ac:dyDescent="0.2">
      <c r="A13" s="19">
        <v>9</v>
      </c>
      <c r="B13" s="180" t="s">
        <v>8</v>
      </c>
      <c r="C13" s="181"/>
      <c r="D13" s="14">
        <f t="shared" si="0"/>
        <v>40240</v>
      </c>
      <c r="E13" s="17">
        <f t="shared" si="1"/>
        <v>214844.1759538459</v>
      </c>
      <c r="F13" s="21">
        <f t="shared" si="2"/>
        <v>5.34</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0</v>
      </c>
      <c r="E15" s="17">
        <f t="shared" si="1"/>
        <v>0</v>
      </c>
      <c r="F15" s="21" t="str">
        <f t="shared" si="2"/>
        <v/>
      </c>
    </row>
    <row r="16" spans="1:6" ht="14.25" customHeight="1" x14ac:dyDescent="0.2">
      <c r="A16" s="19">
        <v>12</v>
      </c>
      <c r="B16" s="180" t="s">
        <v>11</v>
      </c>
      <c r="C16" s="181"/>
      <c r="D16" s="14">
        <f t="shared" si="0"/>
        <v>88704</v>
      </c>
      <c r="E16" s="17">
        <f t="shared" si="1"/>
        <v>456130.73776863678</v>
      </c>
      <c r="F16" s="21">
        <f t="shared" si="2"/>
        <v>5.14</v>
      </c>
    </row>
    <row r="17" spans="1:6" x14ac:dyDescent="0.2">
      <c r="A17" s="19">
        <v>13</v>
      </c>
      <c r="B17" s="180" t="s">
        <v>12</v>
      </c>
      <c r="C17" s="181"/>
      <c r="D17" s="14">
        <f t="shared" si="0"/>
        <v>80</v>
      </c>
      <c r="E17" s="17">
        <f t="shared" si="1"/>
        <v>1577.1593955344849</v>
      </c>
      <c r="F17" s="21">
        <f t="shared" si="2"/>
        <v>19.71</v>
      </c>
    </row>
    <row r="18" spans="1:6" ht="14.25" customHeight="1" x14ac:dyDescent="0.2">
      <c r="A18" s="19">
        <v>14</v>
      </c>
      <c r="B18" s="180" t="s">
        <v>464</v>
      </c>
      <c r="C18" s="181"/>
      <c r="D18" s="14">
        <f t="shared" si="0"/>
        <v>0</v>
      </c>
      <c r="E18" s="17">
        <f t="shared" si="1"/>
        <v>0</v>
      </c>
      <c r="F18" s="21" t="str">
        <f t="shared" si="2"/>
        <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10822</v>
      </c>
      <c r="E20" s="17">
        <f t="shared" si="1"/>
        <v>54163.43723092744</v>
      </c>
      <c r="F20" s="21">
        <f t="shared" si="2"/>
        <v>5</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84640</v>
      </c>
      <c r="E22" s="17">
        <f t="shared" si="1"/>
        <v>416249.64047548501</v>
      </c>
      <c r="F22" s="21">
        <f t="shared" si="2"/>
        <v>4.92</v>
      </c>
    </row>
    <row r="23" spans="1:6" x14ac:dyDescent="0.2">
      <c r="A23" s="19">
        <v>19</v>
      </c>
      <c r="B23" s="180" t="s">
        <v>17</v>
      </c>
      <c r="C23" s="181"/>
      <c r="D23" s="14">
        <f t="shared" si="0"/>
        <v>29952</v>
      </c>
      <c r="E23" s="17">
        <f t="shared" si="1"/>
        <v>165423.67768811114</v>
      </c>
      <c r="F23" s="21">
        <f t="shared" si="2"/>
        <v>5.52</v>
      </c>
    </row>
    <row r="24" spans="1:6" x14ac:dyDescent="0.2">
      <c r="A24" s="19">
        <v>20</v>
      </c>
      <c r="B24" s="180" t="s">
        <v>18</v>
      </c>
      <c r="C24" s="181"/>
      <c r="D24" s="14">
        <f t="shared" si="0"/>
        <v>5136</v>
      </c>
      <c r="E24" s="17">
        <f t="shared" si="1"/>
        <v>50802.233193313928</v>
      </c>
      <c r="F24" s="21">
        <f t="shared" si="2"/>
        <v>9.89</v>
      </c>
    </row>
    <row r="25" spans="1:6" ht="14.25" customHeight="1" x14ac:dyDescent="0.2">
      <c r="A25" s="19">
        <v>21</v>
      </c>
      <c r="B25" s="180" t="s">
        <v>461</v>
      </c>
      <c r="C25" s="181"/>
      <c r="D25" s="14">
        <f t="shared" si="0"/>
        <v>0</v>
      </c>
      <c r="E25" s="17">
        <f t="shared" si="1"/>
        <v>0</v>
      </c>
      <c r="F25" s="21" t="str">
        <f t="shared" si="2"/>
        <v/>
      </c>
    </row>
    <row r="26" spans="1:6" x14ac:dyDescent="0.2">
      <c r="A26" s="19">
        <v>22</v>
      </c>
      <c r="B26" s="180" t="s">
        <v>19</v>
      </c>
      <c r="C26" s="181"/>
      <c r="D26" s="14">
        <f t="shared" si="0"/>
        <v>0</v>
      </c>
      <c r="E26" s="17">
        <f t="shared" si="1"/>
        <v>0</v>
      </c>
      <c r="F26" s="21" t="str">
        <f t="shared" si="2"/>
        <v/>
      </c>
    </row>
    <row r="27" spans="1:6" x14ac:dyDescent="0.2">
      <c r="A27" s="19">
        <v>23</v>
      </c>
      <c r="B27" s="180" t="s">
        <v>20</v>
      </c>
      <c r="C27" s="181"/>
      <c r="D27" s="14">
        <f t="shared" si="0"/>
        <v>37936</v>
      </c>
      <c r="E27" s="17">
        <f t="shared" si="1"/>
        <v>490421.58536245272</v>
      </c>
      <c r="F27" s="21">
        <f t="shared" si="2"/>
        <v>12.93</v>
      </c>
    </row>
    <row r="28" spans="1:6" x14ac:dyDescent="0.2">
      <c r="A28" s="19">
        <v>24</v>
      </c>
      <c r="B28" s="180" t="s">
        <v>21</v>
      </c>
      <c r="C28" s="181"/>
      <c r="D28" s="14">
        <f t="shared" si="0"/>
        <v>0</v>
      </c>
      <c r="E28" s="17">
        <f t="shared" si="1"/>
        <v>0</v>
      </c>
      <c r="F28" s="21" t="str">
        <f t="shared" si="2"/>
        <v/>
      </c>
    </row>
    <row r="29" spans="1:6" x14ac:dyDescent="0.2">
      <c r="A29" s="19">
        <v>25</v>
      </c>
      <c r="B29" s="180" t="s">
        <v>22</v>
      </c>
      <c r="C29" s="181"/>
      <c r="D29" s="14">
        <f t="shared" si="0"/>
        <v>53328</v>
      </c>
      <c r="E29" s="17">
        <f t="shared" si="1"/>
        <v>225658.25306328762</v>
      </c>
      <c r="F29" s="21">
        <f t="shared" si="2"/>
        <v>4.2300000000000004</v>
      </c>
    </row>
    <row r="30" spans="1:6" x14ac:dyDescent="0.2">
      <c r="A30" s="19">
        <v>26</v>
      </c>
      <c r="B30" s="180" t="s">
        <v>23</v>
      </c>
      <c r="C30" s="181"/>
      <c r="D30" s="14">
        <f t="shared" si="0"/>
        <v>24292</v>
      </c>
      <c r="E30" s="17">
        <f t="shared" si="1"/>
        <v>153276.65045404632</v>
      </c>
      <c r="F30" s="21">
        <f t="shared" si="2"/>
        <v>6.31</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458984</v>
      </c>
      <c r="E33" s="31">
        <f>SUM(E5:E32)</f>
        <v>2698348</v>
      </c>
      <c r="F33" s="32">
        <f t="shared" si="2"/>
        <v>5.88</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IF(F3="1",SUMIF(Data!A:A,'35'!$A$2,Data!CU:CU),0)</f>
        <v>0</v>
      </c>
      <c r="E36" s="15">
        <f>IF(F3="1",SUMIF(Data!$A:$A,$A$2,Data!IO:IO),0)</f>
        <v>0</v>
      </c>
      <c r="F36" s="20" t="str">
        <f t="shared" ref="F36:F64" si="3">IF(OR(D36=0,E36=0),"",ROUND(E36/D36,2))</f>
        <v/>
      </c>
    </row>
    <row r="37" spans="1:6" x14ac:dyDescent="0.2">
      <c r="A37" s="19">
        <v>2</v>
      </c>
      <c r="B37" s="180" t="s">
        <v>1</v>
      </c>
      <c r="C37" s="181"/>
      <c r="D37" s="14">
        <f>IF(F3="1",SUMIF(Data!A:A,'35'!$A$2,Data!CV:CV),0)</f>
        <v>12000</v>
      </c>
      <c r="E37" s="17">
        <f>IF(F3="1",SUMIF(Data!$A:$A,$A$2,Data!IP:IP),0)</f>
        <v>9677</v>
      </c>
      <c r="F37" s="21">
        <f t="shared" si="3"/>
        <v>0.81</v>
      </c>
    </row>
    <row r="38" spans="1:6" ht="14.25" customHeight="1" x14ac:dyDescent="0.2">
      <c r="A38" s="19">
        <v>3</v>
      </c>
      <c r="B38" s="180" t="s">
        <v>2</v>
      </c>
      <c r="C38" s="181"/>
      <c r="D38" s="14">
        <f>IF(F3="1",SUMIF(Data!A:A,'35'!$A$2,Data!CW:CW),0)</f>
        <v>31312</v>
      </c>
      <c r="E38" s="17">
        <f>IF($F$3="1",SUMIF(Data!$A:$A,$A$2,Data!IQ:IQ),0)</f>
        <v>2588</v>
      </c>
      <c r="F38" s="21">
        <f t="shared" si="3"/>
        <v>0.08</v>
      </c>
    </row>
    <row r="39" spans="1:6" ht="14.25" customHeight="1" x14ac:dyDescent="0.2">
      <c r="A39" s="19">
        <v>4</v>
      </c>
      <c r="B39" s="180" t="s">
        <v>3</v>
      </c>
      <c r="C39" s="181"/>
      <c r="D39" s="14">
        <f>IF(F3="1",SUMIF(Data!A:A,'35'!$A$2,Data!CX:CX),0)</f>
        <v>12688</v>
      </c>
      <c r="E39" s="17">
        <f>IF($F$3="1",SUMIF(Data!$A:$A,$A$2,Data!IR:IR),0)</f>
        <v>5162</v>
      </c>
      <c r="F39" s="21">
        <f t="shared" si="3"/>
        <v>0.41</v>
      </c>
    </row>
    <row r="40" spans="1:6" x14ac:dyDescent="0.2">
      <c r="A40" s="19">
        <v>5</v>
      </c>
      <c r="B40" s="180" t="s">
        <v>4</v>
      </c>
      <c r="C40" s="181"/>
      <c r="D40" s="14">
        <f>IF(F3="1",SUMIF(Data!A:A,'35'!$A$2,Data!CY:CY),0)</f>
        <v>0</v>
      </c>
      <c r="E40" s="17">
        <f>IF($F$3="1",SUMIF(Data!$A:$A,$A$2,Data!IS:IS),0)</f>
        <v>0</v>
      </c>
      <c r="F40" s="21" t="str">
        <f t="shared" si="3"/>
        <v/>
      </c>
    </row>
    <row r="41" spans="1:6" x14ac:dyDescent="0.2">
      <c r="A41" s="19">
        <v>6</v>
      </c>
      <c r="B41" s="180" t="s">
        <v>5</v>
      </c>
      <c r="C41" s="181"/>
      <c r="D41" s="14">
        <f>IF(F3="1",SUMIF(Data!A:A,'35'!$A$2,Data!CZ:CZ),0)</f>
        <v>2800</v>
      </c>
      <c r="E41" s="17">
        <f>IF($F$3="1",SUMIF(Data!$A:$A,$A$2,Data!IT:IT),0)</f>
        <v>73</v>
      </c>
      <c r="F41" s="21">
        <f t="shared" si="3"/>
        <v>0.03</v>
      </c>
    </row>
    <row r="42" spans="1:6" x14ac:dyDescent="0.2">
      <c r="A42" s="19">
        <v>7</v>
      </c>
      <c r="B42" s="180" t="s">
        <v>6</v>
      </c>
      <c r="C42" s="181"/>
      <c r="D42" s="14">
        <f>IF(F3="1",SUMIF(Data!A:A,'35'!$A$2,Data!DA:DA),0)</f>
        <v>25054</v>
      </c>
      <c r="E42" s="17">
        <f>IF($F$3="1",SUMIF(Data!$A:$A,$A$2,Data!IU:IU),0)</f>
        <v>7760</v>
      </c>
      <c r="F42" s="21">
        <f t="shared" si="3"/>
        <v>0.31</v>
      </c>
    </row>
    <row r="43" spans="1:6" x14ac:dyDescent="0.2">
      <c r="A43" s="19">
        <v>8</v>
      </c>
      <c r="B43" s="180" t="s">
        <v>7</v>
      </c>
      <c r="C43" s="181"/>
      <c r="D43" s="14">
        <f>IF(F3="1",SUMIF(Data!A:A,'35'!$A$2,Data!DB:DB),0)</f>
        <v>0</v>
      </c>
      <c r="E43" s="17">
        <f>IF($F$3="1",SUMIF(Data!$A:$A,$A$2,Data!IV:IV),0)</f>
        <v>0</v>
      </c>
      <c r="F43" s="21" t="str">
        <f t="shared" si="3"/>
        <v/>
      </c>
    </row>
    <row r="44" spans="1:6" x14ac:dyDescent="0.2">
      <c r="A44" s="19">
        <v>9</v>
      </c>
      <c r="B44" s="180" t="s">
        <v>8</v>
      </c>
      <c r="C44" s="181"/>
      <c r="D44" s="14">
        <f>IF(F3="1",SUMIF(Data!A:A,'35'!$A$2,Data!DC:DC),0)</f>
        <v>40240</v>
      </c>
      <c r="E44" s="17">
        <f>IF($F$3="1",SUMIF(Data!$A:$A,$A$2,Data!IW:IW),0)</f>
        <v>46298</v>
      </c>
      <c r="F44" s="21">
        <f t="shared" si="3"/>
        <v>1.1499999999999999</v>
      </c>
    </row>
    <row r="45" spans="1:6" x14ac:dyDescent="0.2">
      <c r="A45" s="19">
        <v>10</v>
      </c>
      <c r="B45" s="180" t="s">
        <v>9</v>
      </c>
      <c r="C45" s="181"/>
      <c r="D45" s="14">
        <f>IF(F3="1",SUMIF(Data!A:A,'35'!$A$2,Data!DD:DD),0)</f>
        <v>0</v>
      </c>
      <c r="E45" s="17">
        <f>IF($F$3="1",SUMIF(Data!$A:$A,$A$2,Data!IX:IX),0)</f>
        <v>0</v>
      </c>
      <c r="F45" s="21" t="str">
        <f t="shared" si="3"/>
        <v/>
      </c>
    </row>
    <row r="46" spans="1:6" x14ac:dyDescent="0.2">
      <c r="A46" s="19">
        <v>11</v>
      </c>
      <c r="B46" s="180" t="s">
        <v>10</v>
      </c>
      <c r="C46" s="181"/>
      <c r="D46" s="14">
        <f>IF(F3="1",SUMIF(Data!A:A,'35'!$A$2,Data!DE:DE),0)</f>
        <v>0</v>
      </c>
      <c r="E46" s="17">
        <f>IF($F$3="1",SUMIF(Data!$A:$A,$A$2,Data!IY:IY),0)</f>
        <v>0</v>
      </c>
      <c r="F46" s="21" t="str">
        <f t="shared" si="3"/>
        <v/>
      </c>
    </row>
    <row r="47" spans="1:6" ht="14.25" customHeight="1" x14ac:dyDescent="0.2">
      <c r="A47" s="19">
        <v>12</v>
      </c>
      <c r="B47" s="180" t="s">
        <v>11</v>
      </c>
      <c r="C47" s="181"/>
      <c r="D47" s="14">
        <f>IF(F3="1",SUMIF(Data!A:A,'35'!$A$2,Data!DF:DF),0)</f>
        <v>88704</v>
      </c>
      <c r="E47" s="17">
        <f>IF($F$3="1",SUMIF(Data!$A:$A,$A$2,Data!IZ:IZ),0)</f>
        <v>12743</v>
      </c>
      <c r="F47" s="21">
        <f t="shared" si="3"/>
        <v>0.14000000000000001</v>
      </c>
    </row>
    <row r="48" spans="1:6" x14ac:dyDescent="0.2">
      <c r="A48" s="19">
        <v>13</v>
      </c>
      <c r="B48" s="180" t="s">
        <v>12</v>
      </c>
      <c r="C48" s="181"/>
      <c r="D48" s="14">
        <f>IF(F3="1",SUMIF(Data!A:A,'35'!$A$2,Data!DG:DG),0)</f>
        <v>80</v>
      </c>
      <c r="E48" s="17">
        <f>IF($F$3="1",SUMIF(Data!$A:$A,$A$2,Data!JA:JA),0)</f>
        <v>152</v>
      </c>
      <c r="F48" s="21">
        <f t="shared" si="3"/>
        <v>1.9</v>
      </c>
    </row>
    <row r="49" spans="1:6" ht="14.25" customHeight="1" x14ac:dyDescent="0.2">
      <c r="A49" s="19">
        <v>14</v>
      </c>
      <c r="B49" s="180" t="s">
        <v>464</v>
      </c>
      <c r="C49" s="181"/>
      <c r="D49" s="14">
        <f>IF(F3="1",SUMIF(Data!A:A,'35'!$A$2,Data!DH:DH),0)</f>
        <v>0</v>
      </c>
      <c r="E49" s="17">
        <f>IF($F$3="1",SUMIF(Data!$A:$A,$A$2,Data!JB:JB),0)</f>
        <v>0</v>
      </c>
      <c r="F49" s="21" t="str">
        <f t="shared" si="3"/>
        <v/>
      </c>
    </row>
    <row r="50" spans="1:6" x14ac:dyDescent="0.2">
      <c r="A50" s="19">
        <v>15</v>
      </c>
      <c r="B50" s="180" t="s">
        <v>13</v>
      </c>
      <c r="C50" s="181"/>
      <c r="D50" s="14">
        <f>IF(F3="1",SUMIF(Data!A:A,'35'!$A$2,Data!DI:DI),0)</f>
        <v>0</v>
      </c>
      <c r="E50" s="17">
        <f>IF($F$3="1",SUMIF(Data!$A:$A,$A$2,Data!JC:JC),0)</f>
        <v>0</v>
      </c>
      <c r="F50" s="21" t="str">
        <f t="shared" si="3"/>
        <v/>
      </c>
    </row>
    <row r="51" spans="1:6" x14ac:dyDescent="0.2">
      <c r="A51" s="19">
        <v>16</v>
      </c>
      <c r="B51" s="180" t="s">
        <v>14</v>
      </c>
      <c r="C51" s="181"/>
      <c r="D51" s="14">
        <f>IF(F3="1",SUMIF(Data!A:A,'35'!$A$2,Data!DJ:DJ),0)</f>
        <v>10822</v>
      </c>
      <c r="E51" s="17">
        <f>IF($F$3="1",SUMIF(Data!$A:$A,$A$2,Data!JD:JD),0)</f>
        <v>3285</v>
      </c>
      <c r="F51" s="21">
        <f t="shared" si="3"/>
        <v>0.3</v>
      </c>
    </row>
    <row r="52" spans="1:6" x14ac:dyDescent="0.2">
      <c r="A52" s="19">
        <v>17</v>
      </c>
      <c r="B52" s="180" t="s">
        <v>15</v>
      </c>
      <c r="C52" s="181"/>
      <c r="D52" s="14">
        <f>IF(F3="1",SUMIF(Data!A:A,'35'!$A$2,Data!DK:DK),0)</f>
        <v>0</v>
      </c>
      <c r="E52" s="17">
        <f>IF($F$3="1",SUMIF(Data!$A:$A,$A$2,Data!JE:JE),0)</f>
        <v>0</v>
      </c>
      <c r="F52" s="21" t="str">
        <f t="shared" si="3"/>
        <v/>
      </c>
    </row>
    <row r="53" spans="1:6" x14ac:dyDescent="0.2">
      <c r="A53" s="19">
        <v>18</v>
      </c>
      <c r="B53" s="180" t="s">
        <v>16</v>
      </c>
      <c r="C53" s="181"/>
      <c r="D53" s="14">
        <f>IF(F3="1",SUMIF(Data!A:A,'35'!$A$2,Data!DL:DL),0)</f>
        <v>84640</v>
      </c>
      <c r="E53" s="17">
        <f>IF($F$3="1",SUMIF(Data!$A:$A,$A$2,Data!JF:JF),0)</f>
        <v>9577</v>
      </c>
      <c r="F53" s="21">
        <f t="shared" si="3"/>
        <v>0.11</v>
      </c>
    </row>
    <row r="54" spans="1:6" x14ac:dyDescent="0.2">
      <c r="A54" s="19">
        <v>19</v>
      </c>
      <c r="B54" s="180" t="s">
        <v>17</v>
      </c>
      <c r="C54" s="181"/>
      <c r="D54" s="14">
        <f>IF(F3="1",SUMIF(Data!A:A,'35'!$A$2,Data!DM:DM),0)</f>
        <v>29952</v>
      </c>
      <c r="E54" s="17">
        <f>IF($F$3="1",SUMIF(Data!$A:$A,$A$2,Data!JG:JG),0)</f>
        <v>2009</v>
      </c>
      <c r="F54" s="21">
        <f t="shared" si="3"/>
        <v>7.0000000000000007E-2</v>
      </c>
    </row>
    <row r="55" spans="1:6" x14ac:dyDescent="0.2">
      <c r="A55" s="19">
        <v>20</v>
      </c>
      <c r="B55" s="180" t="s">
        <v>18</v>
      </c>
      <c r="C55" s="181"/>
      <c r="D55" s="14">
        <f>IF(F3="1",SUMIF(Data!A:A,'35'!$A$2,Data!DN:DN),0)</f>
        <v>5136</v>
      </c>
      <c r="E55" s="17">
        <f>IF($F$3="1",SUMIF(Data!$A:$A,$A$2,Data!JH:JH),0)</f>
        <v>1616</v>
      </c>
      <c r="F55" s="21">
        <f t="shared" si="3"/>
        <v>0.31</v>
      </c>
    </row>
    <row r="56" spans="1:6" ht="14.25" customHeight="1" x14ac:dyDescent="0.2">
      <c r="A56" s="19">
        <v>21</v>
      </c>
      <c r="B56" s="180" t="s">
        <v>461</v>
      </c>
      <c r="C56" s="181"/>
      <c r="D56" s="14">
        <f>IF(F3="1",SUMIF(Data!A:A,'35'!$A$2,Data!DO:DO),0)</f>
        <v>0</v>
      </c>
      <c r="E56" s="17">
        <f>IF($F$3="1",SUMIF(Data!$A:$A,$A$2,Data!JI:JI),0)</f>
        <v>0</v>
      </c>
      <c r="F56" s="21" t="str">
        <f t="shared" si="3"/>
        <v/>
      </c>
    </row>
    <row r="57" spans="1:6" x14ac:dyDescent="0.2">
      <c r="A57" s="19">
        <v>22</v>
      </c>
      <c r="B57" s="180" t="s">
        <v>19</v>
      </c>
      <c r="C57" s="181"/>
      <c r="D57" s="14">
        <f>IF(F3="1",SUMIF(Data!A:A,'35'!$A$2,Data!DP:DP),0)</f>
        <v>0</v>
      </c>
      <c r="E57" s="17">
        <f>IF($F$3="1",SUMIF(Data!$A:$A,$A$2,Data!JJ:JJ),0)</f>
        <v>0</v>
      </c>
      <c r="F57" s="21" t="str">
        <f t="shared" si="3"/>
        <v/>
      </c>
    </row>
    <row r="58" spans="1:6" x14ac:dyDescent="0.2">
      <c r="A58" s="19">
        <v>23</v>
      </c>
      <c r="B58" s="180" t="s">
        <v>20</v>
      </c>
      <c r="C58" s="181"/>
      <c r="D58" s="14">
        <f>IF(F3="1",SUMIF(Data!A:A,'35'!$A$2,Data!DQ:DQ),0)</f>
        <v>37936</v>
      </c>
      <c r="E58" s="17">
        <f>IF($F$3="1",SUMIF(Data!$A:$A,$A$2,Data!JK:JK),0)</f>
        <v>20262</v>
      </c>
      <c r="F58" s="21">
        <f t="shared" si="3"/>
        <v>0.53</v>
      </c>
    </row>
    <row r="59" spans="1:6" x14ac:dyDescent="0.2">
      <c r="A59" s="19">
        <v>24</v>
      </c>
      <c r="B59" s="180" t="s">
        <v>21</v>
      </c>
      <c r="C59" s="181"/>
      <c r="D59" s="14">
        <f>IF(F3="1",SUMIF(Data!A:A,'35'!$A$2,Data!DR:DR),0)</f>
        <v>0</v>
      </c>
      <c r="E59" s="17">
        <f>IF($F$3="1",SUMIF(Data!$A:$A,$A$2,Data!JL:JL),0)</f>
        <v>0</v>
      </c>
      <c r="F59" s="21" t="str">
        <f t="shared" si="3"/>
        <v/>
      </c>
    </row>
    <row r="60" spans="1:6" x14ac:dyDescent="0.2">
      <c r="A60" s="19">
        <v>25</v>
      </c>
      <c r="B60" s="180" t="s">
        <v>22</v>
      </c>
      <c r="C60" s="181"/>
      <c r="D60" s="14">
        <f>IF(F3="1",SUMIF(Data!A:A,'35'!$A$2,Data!DS:DS),0)</f>
        <v>53328</v>
      </c>
      <c r="E60" s="17">
        <f>IF($F$3="1",SUMIF(Data!$A:$A,$A$2,Data!JM:JM),0)</f>
        <v>6681</v>
      </c>
      <c r="F60" s="21">
        <f t="shared" si="3"/>
        <v>0.13</v>
      </c>
    </row>
    <row r="61" spans="1:6" x14ac:dyDescent="0.2">
      <c r="A61" s="19">
        <v>26</v>
      </c>
      <c r="B61" s="180" t="s">
        <v>23</v>
      </c>
      <c r="C61" s="181"/>
      <c r="D61" s="14">
        <f>IF(F3="1",SUMIF(Data!A:A,'35'!$A$2,Data!DT:DT),0)</f>
        <v>24292</v>
      </c>
      <c r="E61" s="17">
        <f>IF($F$3="1",SUMIF(Data!$A:$A,$A$2,Data!JN:JN),0)</f>
        <v>10065</v>
      </c>
      <c r="F61" s="21">
        <f t="shared" si="3"/>
        <v>0.41</v>
      </c>
    </row>
    <row r="62" spans="1:6" x14ac:dyDescent="0.2">
      <c r="A62" s="19">
        <v>28</v>
      </c>
      <c r="B62" s="180" t="s">
        <v>24</v>
      </c>
      <c r="C62" s="181"/>
      <c r="D62" s="14">
        <f>IF(F3="1",SUMIF(Data!A:A,'35'!$A$2,Data!DV:DV),0)</f>
        <v>0</v>
      </c>
      <c r="E62" s="17">
        <f>IF($F$3="1",SUMIF(Data!$A:$A,$A$2,Data!JP:JP),0)</f>
        <v>0</v>
      </c>
      <c r="F62" s="21" t="str">
        <f t="shared" si="3"/>
        <v/>
      </c>
    </row>
    <row r="63" spans="1:6" ht="15.75" customHeight="1" thickBot="1" x14ac:dyDescent="0.25">
      <c r="A63" s="22">
        <v>29</v>
      </c>
      <c r="B63" s="184" t="s">
        <v>25</v>
      </c>
      <c r="C63" s="185"/>
      <c r="D63" s="23">
        <f>IF(F3="1",SUMIF(Data!A:A,'35'!$A$2,Data!DW:DW),0)</f>
        <v>0</v>
      </c>
      <c r="E63" s="24">
        <f>IF($F$3="1",SUMIF(Data!$A:$A,$A$2,Data!JQ:JQ),0)</f>
        <v>0</v>
      </c>
      <c r="F63" s="25" t="str">
        <f t="shared" si="3"/>
        <v/>
      </c>
    </row>
    <row r="64" spans="1:6" x14ac:dyDescent="0.2">
      <c r="B64" s="30" t="s">
        <v>35</v>
      </c>
      <c r="C64" s="30"/>
      <c r="D64" s="59">
        <f>SUM(D36:D63)</f>
        <v>458984</v>
      </c>
      <c r="E64" s="31">
        <f>SUM(E36:E63)</f>
        <v>137948</v>
      </c>
      <c r="F64" s="32">
        <f t="shared" si="3"/>
        <v>0.3</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0</v>
      </c>
      <c r="E67" s="15">
        <f>IF(F3="1",SUMIF(Data!A:A,'35'!$A$2,Data!DY:DY),0)</f>
        <v>0</v>
      </c>
      <c r="F67" s="20" t="str">
        <f t="shared" ref="F67:F95" si="4">IF(OR(D67=0,E67=0),"",ROUND(E67/D67,2))</f>
        <v/>
      </c>
    </row>
    <row r="68" spans="1:6" x14ac:dyDescent="0.2">
      <c r="A68" s="19">
        <v>2</v>
      </c>
      <c r="B68" s="180" t="s">
        <v>1</v>
      </c>
      <c r="C68" s="181"/>
      <c r="D68" s="14">
        <f t="shared" ref="D68:D94" si="5">D37</f>
        <v>12000</v>
      </c>
      <c r="E68" s="17">
        <f>IF(F3="1",SUMIF(Data!A:A,'35'!$A$2,Data!DZ:DZ),0)</f>
        <v>37485</v>
      </c>
      <c r="F68" s="21">
        <f t="shared" si="4"/>
        <v>3.12</v>
      </c>
    </row>
    <row r="69" spans="1:6" ht="14.25" customHeight="1" x14ac:dyDescent="0.2">
      <c r="A69" s="19">
        <v>3</v>
      </c>
      <c r="B69" s="180" t="s">
        <v>2</v>
      </c>
      <c r="C69" s="181"/>
      <c r="D69" s="14">
        <f t="shared" si="5"/>
        <v>31312</v>
      </c>
      <c r="E69" s="17">
        <f>IF(F3="1",SUMIF(Data!A:A,'35'!$A$2,Data!EA:EA),0)</f>
        <v>55788</v>
      </c>
      <c r="F69" s="21">
        <f t="shared" si="4"/>
        <v>1.78</v>
      </c>
    </row>
    <row r="70" spans="1:6" ht="14.25" customHeight="1" x14ac:dyDescent="0.2">
      <c r="A70" s="19">
        <v>4</v>
      </c>
      <c r="B70" s="180" t="s">
        <v>3</v>
      </c>
      <c r="C70" s="181"/>
      <c r="D70" s="14">
        <f t="shared" si="5"/>
        <v>12688</v>
      </c>
      <c r="E70" s="17">
        <f>IF(F3="1",SUMIF(Data!A:A,'35'!$A$2,Data!EB:EB),0)</f>
        <v>45878</v>
      </c>
      <c r="F70" s="21">
        <f t="shared" si="4"/>
        <v>3.62</v>
      </c>
    </row>
    <row r="71" spans="1:6" x14ac:dyDescent="0.2">
      <c r="A71" s="19">
        <v>5</v>
      </c>
      <c r="B71" s="180" t="s">
        <v>4</v>
      </c>
      <c r="C71" s="181"/>
      <c r="D71" s="14">
        <f t="shared" si="5"/>
        <v>0</v>
      </c>
      <c r="E71" s="17">
        <f>IF(F3="1",SUMIF(Data!A:A,'35'!$A$2,Data!EC:EC),0)</f>
        <v>0</v>
      </c>
      <c r="F71" s="21" t="str">
        <f t="shared" si="4"/>
        <v/>
      </c>
    </row>
    <row r="72" spans="1:6" x14ac:dyDescent="0.2">
      <c r="A72" s="19">
        <v>6</v>
      </c>
      <c r="B72" s="180" t="s">
        <v>5</v>
      </c>
      <c r="C72" s="181"/>
      <c r="D72" s="14">
        <f t="shared" si="5"/>
        <v>2800</v>
      </c>
      <c r="E72" s="17">
        <f>IF(F3="1",SUMIF(Data!A:A,'35'!$A$2,Data!ED:ED),0)</f>
        <v>1850</v>
      </c>
      <c r="F72" s="21">
        <f t="shared" si="4"/>
        <v>0.66</v>
      </c>
    </row>
    <row r="73" spans="1:6" x14ac:dyDescent="0.2">
      <c r="A73" s="19">
        <v>7</v>
      </c>
      <c r="B73" s="180" t="s">
        <v>6</v>
      </c>
      <c r="C73" s="181"/>
      <c r="D73" s="14">
        <f t="shared" si="5"/>
        <v>25054</v>
      </c>
      <c r="E73" s="17">
        <f>IF(F3="1",SUMIF(Data!A:A,'35'!$A$2,Data!EE:EE),0)</f>
        <v>67533</v>
      </c>
      <c r="F73" s="21">
        <f t="shared" si="4"/>
        <v>2.7</v>
      </c>
    </row>
    <row r="74" spans="1:6" x14ac:dyDescent="0.2">
      <c r="A74" s="19">
        <v>8</v>
      </c>
      <c r="B74" s="180" t="s">
        <v>7</v>
      </c>
      <c r="C74" s="181"/>
      <c r="D74" s="14">
        <f t="shared" si="5"/>
        <v>0</v>
      </c>
      <c r="E74" s="17">
        <f>IF(F3="1",SUMIF(Data!A:A,'35'!$A$2,Data!EF:EF),0)</f>
        <v>0</v>
      </c>
      <c r="F74" s="21" t="str">
        <f t="shared" si="4"/>
        <v/>
      </c>
    </row>
    <row r="75" spans="1:6" x14ac:dyDescent="0.2">
      <c r="A75" s="19">
        <v>9</v>
      </c>
      <c r="B75" s="180" t="s">
        <v>8</v>
      </c>
      <c r="C75" s="181"/>
      <c r="D75" s="14">
        <f t="shared" si="5"/>
        <v>40240</v>
      </c>
      <c r="E75" s="17">
        <f>IF(F3="1",SUMIF(Data!A:A,'35'!$A$2,Data!EG:EG),0)</f>
        <v>55291</v>
      </c>
      <c r="F75" s="21">
        <f t="shared" si="4"/>
        <v>1.37</v>
      </c>
    </row>
    <row r="76" spans="1:6" x14ac:dyDescent="0.2">
      <c r="A76" s="19">
        <v>10</v>
      </c>
      <c r="B76" s="180" t="s">
        <v>9</v>
      </c>
      <c r="C76" s="181"/>
      <c r="D76" s="14">
        <f t="shared" si="5"/>
        <v>0</v>
      </c>
      <c r="E76" s="17">
        <f>IF(F3="1",SUMIF(Data!A:A,'35'!$A$2,Data!EH:EH),0)</f>
        <v>0</v>
      </c>
      <c r="F76" s="21" t="str">
        <f t="shared" si="4"/>
        <v/>
      </c>
    </row>
    <row r="77" spans="1:6" x14ac:dyDescent="0.2">
      <c r="A77" s="19">
        <v>11</v>
      </c>
      <c r="B77" s="180" t="s">
        <v>10</v>
      </c>
      <c r="C77" s="181"/>
      <c r="D77" s="14">
        <f t="shared" si="5"/>
        <v>0</v>
      </c>
      <c r="E77" s="17">
        <f>IF(F3="1",SUMIF(Data!A:A,'35'!$A$2,Data!EI:EI),0)</f>
        <v>0</v>
      </c>
      <c r="F77" s="21" t="str">
        <f t="shared" si="4"/>
        <v/>
      </c>
    </row>
    <row r="78" spans="1:6" ht="14.25" customHeight="1" x14ac:dyDescent="0.2">
      <c r="A78" s="19">
        <v>12</v>
      </c>
      <c r="B78" s="180" t="s">
        <v>11</v>
      </c>
      <c r="C78" s="181"/>
      <c r="D78" s="14">
        <f t="shared" si="5"/>
        <v>88704</v>
      </c>
      <c r="E78" s="17">
        <f>IF(F3="1",SUMIF(Data!A:A,'35'!$A$2,Data!EJ:EJ),0)</f>
        <v>193731</v>
      </c>
      <c r="F78" s="21">
        <f t="shared" si="4"/>
        <v>2.1800000000000002</v>
      </c>
    </row>
    <row r="79" spans="1:6" x14ac:dyDescent="0.2">
      <c r="A79" s="19">
        <v>13</v>
      </c>
      <c r="B79" s="180" t="s">
        <v>12</v>
      </c>
      <c r="C79" s="181"/>
      <c r="D79" s="14">
        <f t="shared" si="5"/>
        <v>80</v>
      </c>
      <c r="E79" s="17">
        <f>IF(F3="1",SUMIF(Data!A:A,'35'!$A$2,Data!EK:EK),0)</f>
        <v>1200</v>
      </c>
      <c r="F79" s="21">
        <f t="shared" si="4"/>
        <v>15</v>
      </c>
    </row>
    <row r="80" spans="1:6" ht="14.25" customHeight="1" x14ac:dyDescent="0.2">
      <c r="A80" s="19">
        <v>14</v>
      </c>
      <c r="B80" s="180" t="s">
        <v>464</v>
      </c>
      <c r="C80" s="181"/>
      <c r="D80" s="14">
        <f t="shared" si="5"/>
        <v>0</v>
      </c>
      <c r="E80" s="17">
        <f>IF(F3="1",SUMIF(Data!A:A,'35'!$A$2,Data!EL:EL),0)</f>
        <v>0</v>
      </c>
      <c r="F80" s="21" t="str">
        <f t="shared" si="4"/>
        <v/>
      </c>
    </row>
    <row r="81" spans="1:6" x14ac:dyDescent="0.2">
      <c r="A81" s="19">
        <v>15</v>
      </c>
      <c r="B81" s="180" t="s">
        <v>13</v>
      </c>
      <c r="C81" s="181"/>
      <c r="D81" s="14">
        <f t="shared" si="5"/>
        <v>0</v>
      </c>
      <c r="E81" s="17">
        <f>IF(F3="1",SUMIF(Data!A:A,'35'!$A$2,Data!EM:EM),0)</f>
        <v>0</v>
      </c>
      <c r="F81" s="21" t="str">
        <f t="shared" si="4"/>
        <v/>
      </c>
    </row>
    <row r="82" spans="1:6" x14ac:dyDescent="0.2">
      <c r="A82" s="19">
        <v>16</v>
      </c>
      <c r="B82" s="180" t="s">
        <v>14</v>
      </c>
      <c r="C82" s="181"/>
      <c r="D82" s="14">
        <f t="shared" si="5"/>
        <v>10822</v>
      </c>
      <c r="E82" s="17">
        <f>IF(F3="1",SUMIF(Data!A:A,'35'!$A$2,Data!EN:EN),0)</f>
        <v>20420</v>
      </c>
      <c r="F82" s="21">
        <f t="shared" si="4"/>
        <v>1.89</v>
      </c>
    </row>
    <row r="83" spans="1:6" x14ac:dyDescent="0.2">
      <c r="A83" s="19">
        <v>17</v>
      </c>
      <c r="B83" s="180" t="s">
        <v>15</v>
      </c>
      <c r="C83" s="181"/>
      <c r="D83" s="14">
        <f t="shared" si="5"/>
        <v>0</v>
      </c>
      <c r="E83" s="17">
        <f>IF(F3="1",SUMIF(Data!A:A,'35'!$A$2,Data!EO:EO),0)</f>
        <v>0</v>
      </c>
      <c r="F83" s="21" t="str">
        <f t="shared" si="4"/>
        <v/>
      </c>
    </row>
    <row r="84" spans="1:6" x14ac:dyDescent="0.2">
      <c r="A84" s="19">
        <v>18</v>
      </c>
      <c r="B84" s="180" t="s">
        <v>16</v>
      </c>
      <c r="C84" s="181"/>
      <c r="D84" s="14">
        <f t="shared" si="5"/>
        <v>84640</v>
      </c>
      <c r="E84" s="17">
        <f>IF(F3="1",SUMIF(Data!A:A,'35'!$A$2,Data!EP:EP),0)</f>
        <v>168454</v>
      </c>
      <c r="F84" s="21">
        <f t="shared" si="4"/>
        <v>1.99</v>
      </c>
    </row>
    <row r="85" spans="1:6" x14ac:dyDescent="0.2">
      <c r="A85" s="19">
        <v>19</v>
      </c>
      <c r="B85" s="180" t="s">
        <v>17</v>
      </c>
      <c r="C85" s="181"/>
      <c r="D85" s="14">
        <f t="shared" si="5"/>
        <v>29952</v>
      </c>
      <c r="E85" s="17">
        <f>IF(F3="1",SUMIF(Data!A:A,'35'!$A$2,Data!EQ:EQ),0)</f>
        <v>79115</v>
      </c>
      <c r="F85" s="21">
        <f t="shared" si="4"/>
        <v>2.64</v>
      </c>
    </row>
    <row r="86" spans="1:6" x14ac:dyDescent="0.2">
      <c r="A86" s="19">
        <v>20</v>
      </c>
      <c r="B86" s="180" t="s">
        <v>18</v>
      </c>
      <c r="C86" s="181"/>
      <c r="D86" s="14">
        <f t="shared" si="5"/>
        <v>5136</v>
      </c>
      <c r="E86" s="17">
        <f>IF(F3="1",SUMIF(Data!A:A,'35'!$A$2,Data!ER:ER),0)</f>
        <v>34731</v>
      </c>
      <c r="F86" s="21">
        <f t="shared" si="4"/>
        <v>6.76</v>
      </c>
    </row>
    <row r="87" spans="1:6" ht="14.25" customHeight="1" x14ac:dyDescent="0.2">
      <c r="A87" s="19">
        <v>21</v>
      </c>
      <c r="B87" s="180" t="s">
        <v>461</v>
      </c>
      <c r="C87" s="181"/>
      <c r="D87" s="14">
        <f t="shared" si="5"/>
        <v>0</v>
      </c>
      <c r="E87" s="17">
        <f>IF(F3="1",SUMIF(Data!A:A,'35'!$A$2,Data!ES:ES),0)</f>
        <v>0</v>
      </c>
      <c r="F87" s="21" t="str">
        <f t="shared" si="4"/>
        <v/>
      </c>
    </row>
    <row r="88" spans="1:6" x14ac:dyDescent="0.2">
      <c r="A88" s="19">
        <v>22</v>
      </c>
      <c r="B88" s="180" t="s">
        <v>19</v>
      </c>
      <c r="C88" s="181"/>
      <c r="D88" s="14">
        <f t="shared" si="5"/>
        <v>0</v>
      </c>
      <c r="E88" s="17">
        <f>IF(F3="1",SUMIF(Data!A:A,'35'!$A$2,Data!ET:ET),0)</f>
        <v>0</v>
      </c>
      <c r="F88" s="21" t="str">
        <f t="shared" si="4"/>
        <v/>
      </c>
    </row>
    <row r="89" spans="1:6" x14ac:dyDescent="0.2">
      <c r="A89" s="19">
        <v>23</v>
      </c>
      <c r="B89" s="180" t="s">
        <v>20</v>
      </c>
      <c r="C89" s="181"/>
      <c r="D89" s="14">
        <f t="shared" si="5"/>
        <v>37936</v>
      </c>
      <c r="E89" s="17">
        <f>IF(F3="1",SUMIF(Data!A:A,'35'!$A$2,Data!EU:EU),0)</f>
        <v>363389</v>
      </c>
      <c r="F89" s="21">
        <f t="shared" si="4"/>
        <v>9.58</v>
      </c>
    </row>
    <row r="90" spans="1:6" x14ac:dyDescent="0.2">
      <c r="A90" s="19">
        <v>24</v>
      </c>
      <c r="B90" s="180" t="s">
        <v>21</v>
      </c>
      <c r="C90" s="181"/>
      <c r="D90" s="14">
        <f t="shared" si="5"/>
        <v>0</v>
      </c>
      <c r="E90" s="17">
        <f>IF(F3="1",SUMIF(Data!A:A,'35'!$A$2,Data!EV:EV),0)</f>
        <v>0</v>
      </c>
      <c r="F90" s="21" t="str">
        <f t="shared" si="4"/>
        <v/>
      </c>
    </row>
    <row r="91" spans="1:6" x14ac:dyDescent="0.2">
      <c r="A91" s="19">
        <v>25</v>
      </c>
      <c r="B91" s="180" t="s">
        <v>22</v>
      </c>
      <c r="C91" s="181"/>
      <c r="D91" s="14">
        <f t="shared" si="5"/>
        <v>53328</v>
      </c>
      <c r="E91" s="17">
        <f>IF(F3="1",SUMIF(Data!A:A,'35'!$A$2,Data!EW:EW),0)</f>
        <v>68886</v>
      </c>
      <c r="F91" s="21">
        <f t="shared" si="4"/>
        <v>1.29</v>
      </c>
    </row>
    <row r="92" spans="1:6" x14ac:dyDescent="0.2">
      <c r="A92" s="19">
        <v>26</v>
      </c>
      <c r="B92" s="180" t="s">
        <v>23</v>
      </c>
      <c r="C92" s="181"/>
      <c r="D92" s="14">
        <f t="shared" si="5"/>
        <v>24292</v>
      </c>
      <c r="E92" s="17">
        <f>IF(F3="1",SUMIF(Data!A:A,'35'!$A$2,Data!EX:EX),0)</f>
        <v>74842</v>
      </c>
      <c r="F92" s="21">
        <f t="shared" si="4"/>
        <v>3.08</v>
      </c>
    </row>
    <row r="93" spans="1:6" x14ac:dyDescent="0.2">
      <c r="A93" s="19">
        <v>28</v>
      </c>
      <c r="B93" s="180" t="s">
        <v>24</v>
      </c>
      <c r="C93" s="181"/>
      <c r="D93" s="14">
        <f t="shared" si="5"/>
        <v>0</v>
      </c>
      <c r="E93" s="17">
        <f>IF(F3="1",SUMIF(Data!A:A,'35'!$A$2,Data!EZ:EZ),0)</f>
        <v>0</v>
      </c>
      <c r="F93" s="21" t="str">
        <f t="shared" si="4"/>
        <v/>
      </c>
    </row>
    <row r="94" spans="1:6" ht="15.75" customHeight="1" thickBot="1" x14ac:dyDescent="0.25">
      <c r="A94" s="22">
        <v>29</v>
      </c>
      <c r="B94" s="184" t="s">
        <v>25</v>
      </c>
      <c r="C94" s="185"/>
      <c r="D94" s="23">
        <f t="shared" si="5"/>
        <v>0</v>
      </c>
      <c r="E94" s="24">
        <f>IF(F3="1",SUMIF(Data!A:A,'35'!$A$2,Data!FA:FA),0)</f>
        <v>0</v>
      </c>
      <c r="F94" s="25" t="str">
        <f t="shared" si="4"/>
        <v/>
      </c>
    </row>
    <row r="95" spans="1:6" x14ac:dyDescent="0.2">
      <c r="B95" s="30" t="s">
        <v>35</v>
      </c>
      <c r="C95" s="30"/>
      <c r="D95" s="59">
        <f>SUM(D67:D94)</f>
        <v>458984</v>
      </c>
      <c r="E95" s="31">
        <f>SUM(E67:E94)</f>
        <v>1268593</v>
      </c>
      <c r="F95" s="32">
        <f t="shared" si="4"/>
        <v>2.76</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IF(F3="1",SUMIF(Data!A:A,'35'!$A$2,Data!AH:AH),0)</f>
        <v>801324</v>
      </c>
      <c r="F98" s="20">
        <f>IF(OR(E98=0,E98=0),"",ROUND(E98/$D$105,2))</f>
        <v>1.75</v>
      </c>
    </row>
    <row r="99" spans="2:6" x14ac:dyDescent="0.2">
      <c r="B99" s="190" t="s">
        <v>31</v>
      </c>
      <c r="C99" s="191"/>
      <c r="D99" s="36"/>
      <c r="E99" s="17">
        <f>IF(F3="1",SUMIF(Data!A:A,'35'!$A$2,Data!AI:AI),0)</f>
        <v>267594</v>
      </c>
      <c r="F99" s="21">
        <f t="shared" ref="F99:F104" si="6">IF(OR(E99=0,E99=0),"",ROUND(E99/$D$105,2))</f>
        <v>0.57999999999999996</v>
      </c>
    </row>
    <row r="100" spans="2:6" x14ac:dyDescent="0.2">
      <c r="B100" s="190" t="s">
        <v>1089</v>
      </c>
      <c r="C100" s="191"/>
      <c r="D100" s="36"/>
      <c r="E100" s="17">
        <f>IF(F3="1",SUMIF(Data!A:A,'35'!$A$2,Data!AJ:AJ),0)</f>
        <v>90764</v>
      </c>
      <c r="F100" s="21">
        <f t="shared" si="6"/>
        <v>0.2</v>
      </c>
    </row>
    <row r="101" spans="2:6" x14ac:dyDescent="0.2">
      <c r="B101" s="190" t="s">
        <v>1090</v>
      </c>
      <c r="C101" s="191"/>
      <c r="D101" s="36"/>
      <c r="E101" s="17">
        <f>IF(F3="1",SUMIF(Data!A:A,'35'!$A$2,Data!AK:AK),0)</f>
        <v>132125</v>
      </c>
      <c r="F101" s="21">
        <f t="shared" si="6"/>
        <v>0.28999999999999998</v>
      </c>
    </row>
    <row r="102" spans="2:6" x14ac:dyDescent="0.2">
      <c r="B102" s="190" t="s">
        <v>1091</v>
      </c>
      <c r="C102" s="191"/>
      <c r="D102" s="36"/>
      <c r="E102" s="17">
        <f>IF(F3="1",SUMIF(Data!A:A,'35'!$A$2,Data!AL:AL),0)</f>
        <v>0</v>
      </c>
      <c r="F102" s="21" t="str">
        <f t="shared" si="6"/>
        <v/>
      </c>
    </row>
    <row r="103" spans="2:6" x14ac:dyDescent="0.2">
      <c r="B103" s="192" t="s">
        <v>34</v>
      </c>
      <c r="C103" s="193"/>
      <c r="D103" s="36"/>
      <c r="E103" s="17">
        <f>IF(F3="1",SUMIF(Data!A:A,'35'!$A$2,Data!AM:AM),0)</f>
        <v>0</v>
      </c>
      <c r="F103" s="21" t="str">
        <f t="shared" si="6"/>
        <v/>
      </c>
    </row>
    <row r="104" spans="2:6" ht="15.75" customHeight="1" thickBot="1" x14ac:dyDescent="0.25">
      <c r="B104" s="186" t="s">
        <v>29</v>
      </c>
      <c r="C104" s="187"/>
      <c r="D104" s="37"/>
      <c r="E104" s="24">
        <f>IF(F3="1",SUMIF(Data!A:A,'35'!$A$2,Data!Q:Q),0)</f>
        <v>0</v>
      </c>
      <c r="F104" s="25" t="str">
        <f t="shared" si="6"/>
        <v/>
      </c>
    </row>
    <row r="105" spans="2:6" x14ac:dyDescent="0.2">
      <c r="B105" s="30" t="s">
        <v>35</v>
      </c>
      <c r="C105" s="30"/>
      <c r="D105" s="34">
        <f>D95</f>
        <v>458984</v>
      </c>
      <c r="E105" s="31">
        <f>SUM(E98:E104)</f>
        <v>1291807</v>
      </c>
      <c r="F105" s="32">
        <f>IF($D$105=0,"",ROUND(E105/$D$105,2))</f>
        <v>2.81</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1268593</v>
      </c>
      <c r="D109" s="15">
        <f>IF(F3="1",SUMIF(Data!$A:$A,$A$2,Data!HJ:HJ),0)</f>
        <v>0</v>
      </c>
      <c r="E109" s="15">
        <f>IF(F3="1",SUMIF(Data!$A:$A,$A$2,Data!IN:IN),0)</f>
        <v>0</v>
      </c>
      <c r="F109" s="47">
        <f>SUM(C109:E109)</f>
        <v>1268593</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0</v>
      </c>
      <c r="E117" s="52"/>
      <c r="F117" s="49">
        <f>SUM(C117:E117)</f>
        <v>0</v>
      </c>
    </row>
    <row r="118" spans="1:6" x14ac:dyDescent="0.2">
      <c r="B118" s="13" t="s">
        <v>35</v>
      </c>
      <c r="C118" s="4">
        <f>SUM(C109:C116)</f>
        <v>1268593</v>
      </c>
      <c r="D118" s="4">
        <f>SUM(D109:D116)</f>
        <v>0</v>
      </c>
      <c r="E118" s="4">
        <f>SUM(E109:E116)</f>
        <v>0</v>
      </c>
      <c r="F118" s="4">
        <f>SUM(F109:F116)</f>
        <v>1268593</v>
      </c>
    </row>
    <row r="119" spans="1:6" ht="15" thickBot="1" x14ac:dyDescent="0.25"/>
    <row r="120" spans="1:6" ht="15" thickBot="1" x14ac:dyDescent="0.25">
      <c r="B120" s="55" t="s">
        <v>934</v>
      </c>
      <c r="C120" s="53"/>
      <c r="D120" s="53"/>
      <c r="E120" s="53">
        <f>IF(F3="1",SUMIF(Data!A:A,'35'!$A$2,Data!AM:AM),0)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5703125" style="10" bestFit="1" customWidth="1"/>
    <col min="13" max="13" width="13.42578125" style="10" bestFit="1" customWidth="1"/>
    <col min="14" max="14" width="13.5703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396</v>
      </c>
      <c r="B2" s="58" t="str">
        <f>VLOOKUP(A2,Data!A:G,7,0)</f>
        <v>San Jacinto College District</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4896</v>
      </c>
      <c r="E5" s="15">
        <f>E36+E67+IFERROR($E$105/$D$105*D5,0)</f>
        <v>61046.709011599931</v>
      </c>
      <c r="F5" s="20">
        <f>IF(OR(D5=0,E5=0),"",ROUND(E5/D5,2))</f>
        <v>12.47</v>
      </c>
    </row>
    <row r="6" spans="1:6" x14ac:dyDescent="0.2">
      <c r="A6" s="19">
        <v>2</v>
      </c>
      <c r="B6" s="180" t="s">
        <v>1</v>
      </c>
      <c r="C6" s="181"/>
      <c r="D6" s="14">
        <f t="shared" ref="D6:D32" si="0">D37</f>
        <v>244468</v>
      </c>
      <c r="E6" s="17">
        <f t="shared" ref="E6:E32" si="1">E37+E68+IFERROR($E$105/$D$105*D6,0)</f>
        <v>1226513.7717826413</v>
      </c>
      <c r="F6" s="21">
        <f t="shared" ref="F6:F33" si="2">IF(OR(D6=0,E6=0),"",ROUND(E6/D6,2))</f>
        <v>5.0199999999999996</v>
      </c>
    </row>
    <row r="7" spans="1:6" ht="14.25" customHeight="1" x14ac:dyDescent="0.2">
      <c r="A7" s="19">
        <v>3</v>
      </c>
      <c r="B7" s="180" t="s">
        <v>2</v>
      </c>
      <c r="C7" s="181"/>
      <c r="D7" s="14">
        <f t="shared" si="0"/>
        <v>1124793</v>
      </c>
      <c r="E7" s="17">
        <f t="shared" si="1"/>
        <v>6646563.5407035379</v>
      </c>
      <c r="F7" s="21">
        <f t="shared" si="2"/>
        <v>5.91</v>
      </c>
    </row>
    <row r="8" spans="1:6" ht="14.25" customHeight="1" x14ac:dyDescent="0.2">
      <c r="A8" s="19">
        <v>4</v>
      </c>
      <c r="B8" s="180" t="s">
        <v>3</v>
      </c>
      <c r="C8" s="181"/>
      <c r="D8" s="14">
        <f t="shared" si="0"/>
        <v>555996</v>
      </c>
      <c r="E8" s="17">
        <f t="shared" si="1"/>
        <v>3808867.4476334797</v>
      </c>
      <c r="F8" s="21">
        <f t="shared" si="2"/>
        <v>6.85</v>
      </c>
    </row>
    <row r="9" spans="1:6" x14ac:dyDescent="0.2">
      <c r="A9" s="19">
        <v>5</v>
      </c>
      <c r="B9" s="180" t="s">
        <v>4</v>
      </c>
      <c r="C9" s="181"/>
      <c r="D9" s="14">
        <f t="shared" si="0"/>
        <v>47360</v>
      </c>
      <c r="E9" s="17">
        <f t="shared" si="1"/>
        <v>900588.89109260065</v>
      </c>
      <c r="F9" s="21">
        <f t="shared" si="2"/>
        <v>19.02</v>
      </c>
    </row>
    <row r="10" spans="1:6" x14ac:dyDescent="0.2">
      <c r="A10" s="19">
        <v>6</v>
      </c>
      <c r="B10" s="180" t="s">
        <v>5</v>
      </c>
      <c r="C10" s="181"/>
      <c r="D10" s="14">
        <f t="shared" si="0"/>
        <v>49727</v>
      </c>
      <c r="E10" s="17">
        <f t="shared" si="1"/>
        <v>468810.93239784101</v>
      </c>
      <c r="F10" s="21">
        <f t="shared" si="2"/>
        <v>9.43</v>
      </c>
    </row>
    <row r="11" spans="1:6" x14ac:dyDescent="0.2">
      <c r="A11" s="19">
        <v>7</v>
      </c>
      <c r="B11" s="180" t="s">
        <v>6</v>
      </c>
      <c r="C11" s="181"/>
      <c r="D11" s="14">
        <f t="shared" si="0"/>
        <v>372852</v>
      </c>
      <c r="E11" s="17">
        <f t="shared" si="1"/>
        <v>2955414.1414201506</v>
      </c>
      <c r="F11" s="21">
        <f t="shared" si="2"/>
        <v>7.93</v>
      </c>
    </row>
    <row r="12" spans="1:6" x14ac:dyDescent="0.2">
      <c r="A12" s="19">
        <v>8</v>
      </c>
      <c r="B12" s="180" t="s">
        <v>7</v>
      </c>
      <c r="C12" s="181"/>
      <c r="D12" s="14">
        <f t="shared" si="0"/>
        <v>93316</v>
      </c>
      <c r="E12" s="17">
        <f t="shared" si="1"/>
        <v>459650.02004216897</v>
      </c>
      <c r="F12" s="21">
        <f t="shared" si="2"/>
        <v>4.93</v>
      </c>
    </row>
    <row r="13" spans="1:6" x14ac:dyDescent="0.2">
      <c r="A13" s="19">
        <v>9</v>
      </c>
      <c r="B13" s="180" t="s">
        <v>8</v>
      </c>
      <c r="C13" s="181"/>
      <c r="D13" s="14">
        <f t="shared" si="0"/>
        <v>565669</v>
      </c>
      <c r="E13" s="17">
        <f t="shared" si="1"/>
        <v>3928514.528979314</v>
      </c>
      <c r="F13" s="21">
        <f t="shared" si="2"/>
        <v>6.94</v>
      </c>
    </row>
    <row r="14" spans="1:6" x14ac:dyDescent="0.2">
      <c r="A14" s="19">
        <v>10</v>
      </c>
      <c r="B14" s="180" t="s">
        <v>9</v>
      </c>
      <c r="C14" s="181"/>
      <c r="D14" s="14">
        <f t="shared" si="0"/>
        <v>78847</v>
      </c>
      <c r="E14" s="17">
        <f t="shared" si="1"/>
        <v>925786.55462369684</v>
      </c>
      <c r="F14" s="21">
        <f t="shared" si="2"/>
        <v>11.74</v>
      </c>
    </row>
    <row r="15" spans="1:6" x14ac:dyDescent="0.2">
      <c r="A15" s="19">
        <v>11</v>
      </c>
      <c r="B15" s="180" t="s">
        <v>10</v>
      </c>
      <c r="C15" s="181"/>
      <c r="D15" s="14">
        <f t="shared" si="0"/>
        <v>118317</v>
      </c>
      <c r="E15" s="17">
        <f t="shared" si="1"/>
        <v>1288507.3080321627</v>
      </c>
      <c r="F15" s="21">
        <f t="shared" si="2"/>
        <v>10.89</v>
      </c>
    </row>
    <row r="16" spans="1:6" ht="14.25" customHeight="1" x14ac:dyDescent="0.2">
      <c r="A16" s="19">
        <v>12</v>
      </c>
      <c r="B16" s="180" t="s">
        <v>11</v>
      </c>
      <c r="C16" s="181"/>
      <c r="D16" s="14">
        <f t="shared" si="0"/>
        <v>1354903</v>
      </c>
      <c r="E16" s="17">
        <f t="shared" si="1"/>
        <v>8743498.7577499561</v>
      </c>
      <c r="F16" s="21">
        <f t="shared" si="2"/>
        <v>6.45</v>
      </c>
    </row>
    <row r="17" spans="1:6" x14ac:dyDescent="0.2">
      <c r="A17" s="19">
        <v>13</v>
      </c>
      <c r="B17" s="180" t="s">
        <v>12</v>
      </c>
      <c r="C17" s="181"/>
      <c r="D17" s="14">
        <f t="shared" si="0"/>
        <v>100736</v>
      </c>
      <c r="E17" s="17">
        <f t="shared" si="1"/>
        <v>617536.13051318028</v>
      </c>
      <c r="F17" s="21">
        <f t="shared" si="2"/>
        <v>6.13</v>
      </c>
    </row>
    <row r="18" spans="1:6" ht="14.25" customHeight="1" x14ac:dyDescent="0.2">
      <c r="A18" s="19">
        <v>14</v>
      </c>
      <c r="B18" s="180" t="s">
        <v>464</v>
      </c>
      <c r="C18" s="181"/>
      <c r="D18" s="14">
        <f t="shared" si="0"/>
        <v>332728</v>
      </c>
      <c r="E18" s="17">
        <f t="shared" si="1"/>
        <v>2915098.5629108706</v>
      </c>
      <c r="F18" s="21">
        <f t="shared" si="2"/>
        <v>8.76</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600719</v>
      </c>
      <c r="E20" s="17">
        <f t="shared" si="1"/>
        <v>4806652.9200856406</v>
      </c>
      <c r="F20" s="21">
        <f t="shared" si="2"/>
        <v>8</v>
      </c>
    </row>
    <row r="21" spans="1:6" x14ac:dyDescent="0.2">
      <c r="A21" s="19">
        <v>17</v>
      </c>
      <c r="B21" s="180" t="s">
        <v>15</v>
      </c>
      <c r="C21" s="181"/>
      <c r="D21" s="14">
        <f t="shared" si="0"/>
        <v>24416</v>
      </c>
      <c r="E21" s="17">
        <f t="shared" si="1"/>
        <v>237306.13709706371</v>
      </c>
      <c r="F21" s="21">
        <f t="shared" si="2"/>
        <v>9.7200000000000006</v>
      </c>
    </row>
    <row r="22" spans="1:6" x14ac:dyDescent="0.2">
      <c r="A22" s="19">
        <v>18</v>
      </c>
      <c r="B22" s="180" t="s">
        <v>16</v>
      </c>
      <c r="C22" s="181"/>
      <c r="D22" s="14">
        <f t="shared" si="0"/>
        <v>336840</v>
      </c>
      <c r="E22" s="17">
        <f t="shared" si="1"/>
        <v>2278643.5244010054</v>
      </c>
      <c r="F22" s="21">
        <f t="shared" si="2"/>
        <v>6.76</v>
      </c>
    </row>
    <row r="23" spans="1:6" x14ac:dyDescent="0.2">
      <c r="A23" s="19">
        <v>19</v>
      </c>
      <c r="B23" s="180" t="s">
        <v>17</v>
      </c>
      <c r="C23" s="181"/>
      <c r="D23" s="14">
        <f t="shared" si="0"/>
        <v>1167518</v>
      </c>
      <c r="E23" s="17">
        <f t="shared" si="1"/>
        <v>7311318.6208752301</v>
      </c>
      <c r="F23" s="21">
        <f t="shared" si="2"/>
        <v>6.26</v>
      </c>
    </row>
    <row r="24" spans="1:6" x14ac:dyDescent="0.2">
      <c r="A24" s="19">
        <v>20</v>
      </c>
      <c r="B24" s="180" t="s">
        <v>18</v>
      </c>
      <c r="C24" s="181"/>
      <c r="D24" s="14">
        <f t="shared" si="0"/>
        <v>233888</v>
      </c>
      <c r="E24" s="17">
        <f t="shared" si="1"/>
        <v>2000019.3932404178</v>
      </c>
      <c r="F24" s="21">
        <f t="shared" si="2"/>
        <v>8.5500000000000007</v>
      </c>
    </row>
    <row r="25" spans="1:6" ht="14.25" customHeight="1" x14ac:dyDescent="0.2">
      <c r="A25" s="19">
        <v>21</v>
      </c>
      <c r="B25" s="180" t="s">
        <v>461</v>
      </c>
      <c r="C25" s="181"/>
      <c r="D25" s="14">
        <f t="shared" si="0"/>
        <v>54080</v>
      </c>
      <c r="E25" s="17">
        <f t="shared" si="1"/>
        <v>602041.72699087509</v>
      </c>
      <c r="F25" s="21">
        <f t="shared" si="2"/>
        <v>11.13</v>
      </c>
    </row>
    <row r="26" spans="1:6" x14ac:dyDescent="0.2">
      <c r="A26" s="19">
        <v>22</v>
      </c>
      <c r="B26" s="180" t="s">
        <v>19</v>
      </c>
      <c r="C26" s="181"/>
      <c r="D26" s="14">
        <f t="shared" si="0"/>
        <v>15872</v>
      </c>
      <c r="E26" s="17">
        <f t="shared" si="1"/>
        <v>62540.17431211481</v>
      </c>
      <c r="F26" s="21">
        <f t="shared" si="2"/>
        <v>3.94</v>
      </c>
    </row>
    <row r="27" spans="1:6" x14ac:dyDescent="0.2">
      <c r="A27" s="19">
        <v>23</v>
      </c>
      <c r="B27" s="180" t="s">
        <v>20</v>
      </c>
      <c r="C27" s="181"/>
      <c r="D27" s="14">
        <f t="shared" si="0"/>
        <v>402048</v>
      </c>
      <c r="E27" s="17">
        <f t="shared" si="1"/>
        <v>3025953.8105996177</v>
      </c>
      <c r="F27" s="21">
        <f t="shared" si="2"/>
        <v>7.53</v>
      </c>
    </row>
    <row r="28" spans="1:6" x14ac:dyDescent="0.2">
      <c r="A28" s="19">
        <v>24</v>
      </c>
      <c r="B28" s="180" t="s">
        <v>21</v>
      </c>
      <c r="C28" s="181"/>
      <c r="D28" s="14">
        <f t="shared" si="0"/>
        <v>179072</v>
      </c>
      <c r="E28" s="17">
        <f t="shared" si="1"/>
        <v>1302396.4746987792</v>
      </c>
      <c r="F28" s="21">
        <f t="shared" si="2"/>
        <v>7.27</v>
      </c>
    </row>
    <row r="29" spans="1:6" x14ac:dyDescent="0.2">
      <c r="A29" s="19">
        <v>25</v>
      </c>
      <c r="B29" s="180" t="s">
        <v>22</v>
      </c>
      <c r="C29" s="181"/>
      <c r="D29" s="14">
        <f t="shared" si="0"/>
        <v>1372977</v>
      </c>
      <c r="E29" s="17">
        <f t="shared" si="1"/>
        <v>8067246.1872180225</v>
      </c>
      <c r="F29" s="21">
        <f t="shared" si="2"/>
        <v>5.88</v>
      </c>
    </row>
    <row r="30" spans="1:6" x14ac:dyDescent="0.2">
      <c r="A30" s="19">
        <v>26</v>
      </c>
      <c r="B30" s="180" t="s">
        <v>23</v>
      </c>
      <c r="C30" s="181"/>
      <c r="D30" s="14">
        <f t="shared" si="0"/>
        <v>512245</v>
      </c>
      <c r="E30" s="17">
        <f t="shared" si="1"/>
        <v>3848425.7335880324</v>
      </c>
      <c r="F30" s="21">
        <f t="shared" si="2"/>
        <v>7.51</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9944283</v>
      </c>
      <c r="E33" s="31">
        <f>SUM(E5:E32)</f>
        <v>68488942</v>
      </c>
      <c r="F33" s="32">
        <f t="shared" si="2"/>
        <v>6.89</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IF(F3="1",SUMIF(Data!A:A,'36'!$A$2,Data!CU:CU),0)</f>
        <v>4896</v>
      </c>
      <c r="E36" s="15">
        <f>IF(F3="1",SUMIF(Data!$A:$A,$A$2,Data!IO:IO),0)</f>
        <v>41223</v>
      </c>
      <c r="F36" s="20">
        <f t="shared" ref="F36:F64" si="3">IF(OR(D36=0,E36=0),"",ROUND(E36/D36,2))</f>
        <v>8.42</v>
      </c>
    </row>
    <row r="37" spans="1:6" x14ac:dyDescent="0.2">
      <c r="A37" s="19">
        <v>2</v>
      </c>
      <c r="B37" s="180" t="s">
        <v>1</v>
      </c>
      <c r="C37" s="181"/>
      <c r="D37" s="14">
        <f>IF(F3="1",SUMIF(Data!A:A,'36'!$A$2,Data!CV:CV),0)</f>
        <v>244468</v>
      </c>
      <c r="E37" s="17">
        <f>IF(F3="1",SUMIF(Data!$A:$A,$A$2,Data!IP:IP),0)</f>
        <v>172484</v>
      </c>
      <c r="F37" s="21">
        <f t="shared" si="3"/>
        <v>0.71</v>
      </c>
    </row>
    <row r="38" spans="1:6" ht="14.25" customHeight="1" x14ac:dyDescent="0.2">
      <c r="A38" s="19">
        <v>3</v>
      </c>
      <c r="B38" s="180" t="s">
        <v>2</v>
      </c>
      <c r="C38" s="181"/>
      <c r="D38" s="14">
        <f>IF(F3="1",SUMIF(Data!A:A,'36'!$A$2,Data!CW:CW),0)</f>
        <v>1124793</v>
      </c>
      <c r="E38" s="17">
        <f>IF($F$3="1",SUMIF(Data!$A:$A,$A$2,Data!IQ:IQ),0)</f>
        <v>504536</v>
      </c>
      <c r="F38" s="21">
        <f t="shared" si="3"/>
        <v>0.45</v>
      </c>
    </row>
    <row r="39" spans="1:6" ht="14.25" customHeight="1" x14ac:dyDescent="0.2">
      <c r="A39" s="19">
        <v>4</v>
      </c>
      <c r="B39" s="180" t="s">
        <v>3</v>
      </c>
      <c r="C39" s="181"/>
      <c r="D39" s="14">
        <f>IF(F3="1",SUMIF(Data!A:A,'36'!$A$2,Data!CX:CX),0)</f>
        <v>555996</v>
      </c>
      <c r="E39" s="17">
        <f>IF($F$3="1",SUMIF(Data!$A:$A,$A$2,Data!IR:IR),0)</f>
        <v>582267</v>
      </c>
      <c r="F39" s="21">
        <f t="shared" si="3"/>
        <v>1.05</v>
      </c>
    </row>
    <row r="40" spans="1:6" x14ac:dyDescent="0.2">
      <c r="A40" s="19">
        <v>5</v>
      </c>
      <c r="B40" s="180" t="s">
        <v>4</v>
      </c>
      <c r="C40" s="181"/>
      <c r="D40" s="14">
        <f>IF(F3="1",SUMIF(Data!A:A,'36'!$A$2,Data!CY:CY),0)</f>
        <v>47360</v>
      </c>
      <c r="E40" s="17">
        <f>IF($F$3="1",SUMIF(Data!$A:$A,$A$2,Data!IS:IS),0)</f>
        <v>492751</v>
      </c>
      <c r="F40" s="21">
        <f t="shared" si="3"/>
        <v>10.4</v>
      </c>
    </row>
    <row r="41" spans="1:6" x14ac:dyDescent="0.2">
      <c r="A41" s="19">
        <v>6</v>
      </c>
      <c r="B41" s="180" t="s">
        <v>5</v>
      </c>
      <c r="C41" s="181"/>
      <c r="D41" s="14">
        <f>IF(F3="1",SUMIF(Data!A:A,'36'!$A$2,Data!CZ:CZ),0)</f>
        <v>49727</v>
      </c>
      <c r="E41" s="17">
        <f>IF($F$3="1",SUMIF(Data!$A:$A,$A$2,Data!IT:IT),0)</f>
        <v>88846</v>
      </c>
      <c r="F41" s="21">
        <f t="shared" si="3"/>
        <v>1.79</v>
      </c>
    </row>
    <row r="42" spans="1:6" x14ac:dyDescent="0.2">
      <c r="A42" s="19">
        <v>7</v>
      </c>
      <c r="B42" s="180" t="s">
        <v>6</v>
      </c>
      <c r="C42" s="181"/>
      <c r="D42" s="14">
        <f>IF(F3="1",SUMIF(Data!A:A,'36'!$A$2,Data!DA:DA),0)</f>
        <v>372852</v>
      </c>
      <c r="E42" s="17">
        <f>IF($F$3="1",SUMIF(Data!$A:$A,$A$2,Data!IU:IU),0)</f>
        <v>389484</v>
      </c>
      <c r="F42" s="21">
        <f t="shared" si="3"/>
        <v>1.04</v>
      </c>
    </row>
    <row r="43" spans="1:6" x14ac:dyDescent="0.2">
      <c r="A43" s="19">
        <v>8</v>
      </c>
      <c r="B43" s="180" t="s">
        <v>7</v>
      </c>
      <c r="C43" s="181"/>
      <c r="D43" s="14">
        <f>IF(F3="1",SUMIF(Data!A:A,'36'!$A$2,Data!DB:DB),0)</f>
        <v>93316</v>
      </c>
      <c r="E43" s="17">
        <f>IF($F$3="1",SUMIF(Data!$A:$A,$A$2,Data!IV:IV),0)</f>
        <v>10109</v>
      </c>
      <c r="F43" s="21">
        <f t="shared" si="3"/>
        <v>0.11</v>
      </c>
    </row>
    <row r="44" spans="1:6" x14ac:dyDescent="0.2">
      <c r="A44" s="19">
        <v>9</v>
      </c>
      <c r="B44" s="180" t="s">
        <v>8</v>
      </c>
      <c r="C44" s="181"/>
      <c r="D44" s="14">
        <f>IF(F3="1",SUMIF(Data!A:A,'36'!$A$2,Data!DC:DC),0)</f>
        <v>565669</v>
      </c>
      <c r="E44" s="17">
        <f>IF($F$3="1",SUMIF(Data!$A:$A,$A$2,Data!IW:IW),0)</f>
        <v>488065</v>
      </c>
      <c r="F44" s="21">
        <f t="shared" si="3"/>
        <v>0.86</v>
      </c>
    </row>
    <row r="45" spans="1:6" x14ac:dyDescent="0.2">
      <c r="A45" s="19">
        <v>10</v>
      </c>
      <c r="B45" s="180" t="s">
        <v>9</v>
      </c>
      <c r="C45" s="181"/>
      <c r="D45" s="14">
        <f>IF(F3="1",SUMIF(Data!A:A,'36'!$A$2,Data!DD:DD),0)</f>
        <v>78847</v>
      </c>
      <c r="E45" s="17">
        <f>IF($F$3="1",SUMIF(Data!$A:$A,$A$2,Data!IX:IX),0)</f>
        <v>186832</v>
      </c>
      <c r="F45" s="21">
        <f t="shared" si="3"/>
        <v>2.37</v>
      </c>
    </row>
    <row r="46" spans="1:6" x14ac:dyDescent="0.2">
      <c r="A46" s="19">
        <v>11</v>
      </c>
      <c r="B46" s="180" t="s">
        <v>10</v>
      </c>
      <c r="C46" s="181"/>
      <c r="D46" s="14">
        <f>IF(F3="1",SUMIF(Data!A:A,'36'!$A$2,Data!DE:DE),0)</f>
        <v>118317</v>
      </c>
      <c r="E46" s="17">
        <f>IF($F$3="1",SUMIF(Data!$A:$A,$A$2,Data!IY:IY),0)</f>
        <v>179632</v>
      </c>
      <c r="F46" s="21">
        <f t="shared" si="3"/>
        <v>1.52</v>
      </c>
    </row>
    <row r="47" spans="1:6" ht="14.25" customHeight="1" x14ac:dyDescent="0.2">
      <c r="A47" s="19">
        <v>12</v>
      </c>
      <c r="B47" s="180" t="s">
        <v>11</v>
      </c>
      <c r="C47" s="181"/>
      <c r="D47" s="14">
        <f>IF(F3="1",SUMIF(Data!A:A,'36'!$A$2,Data!DF:DF),0)</f>
        <v>1354903</v>
      </c>
      <c r="E47" s="17">
        <f>IF($F$3="1",SUMIF(Data!$A:$A,$A$2,Data!IZ:IZ),0)</f>
        <v>472885</v>
      </c>
      <c r="F47" s="21">
        <f t="shared" si="3"/>
        <v>0.35</v>
      </c>
    </row>
    <row r="48" spans="1:6" x14ac:dyDescent="0.2">
      <c r="A48" s="19">
        <v>13</v>
      </c>
      <c r="B48" s="180" t="s">
        <v>12</v>
      </c>
      <c r="C48" s="181"/>
      <c r="D48" s="14">
        <f>IF(F3="1",SUMIF(Data!A:A,'36'!$A$2,Data!DG:DG),0)</f>
        <v>100736</v>
      </c>
      <c r="E48" s="17">
        <f>IF($F$3="1",SUMIF(Data!$A:$A,$A$2,Data!JA:JA),0)</f>
        <v>37272</v>
      </c>
      <c r="F48" s="21">
        <f t="shared" si="3"/>
        <v>0.37</v>
      </c>
    </row>
    <row r="49" spans="1:6" ht="14.25" customHeight="1" x14ac:dyDescent="0.2">
      <c r="A49" s="19">
        <v>14</v>
      </c>
      <c r="B49" s="180" t="s">
        <v>464</v>
      </c>
      <c r="C49" s="181"/>
      <c r="D49" s="14">
        <f>IF(F3="1",SUMIF(Data!A:A,'36'!$A$2,Data!DH:DH),0)</f>
        <v>332728</v>
      </c>
      <c r="E49" s="17">
        <f>IF($F$3="1",SUMIF(Data!$A:$A,$A$2,Data!JB:JB),0)</f>
        <v>385963</v>
      </c>
      <c r="F49" s="21">
        <f t="shared" si="3"/>
        <v>1.1599999999999999</v>
      </c>
    </row>
    <row r="50" spans="1:6" x14ac:dyDescent="0.2">
      <c r="A50" s="19">
        <v>15</v>
      </c>
      <c r="B50" s="180" t="s">
        <v>13</v>
      </c>
      <c r="C50" s="181"/>
      <c r="D50" s="14">
        <f>IF(F3="1",SUMIF(Data!A:A,'36'!$A$2,Data!DI:DI),0)</f>
        <v>0</v>
      </c>
      <c r="E50" s="17">
        <f>IF($F$3="1",SUMIF(Data!$A:$A,$A$2,Data!JC:JC),0)</f>
        <v>0</v>
      </c>
      <c r="F50" s="21" t="str">
        <f t="shared" si="3"/>
        <v/>
      </c>
    </row>
    <row r="51" spans="1:6" x14ac:dyDescent="0.2">
      <c r="A51" s="19">
        <v>16</v>
      </c>
      <c r="B51" s="180" t="s">
        <v>14</v>
      </c>
      <c r="C51" s="181"/>
      <c r="D51" s="14">
        <f>IF(F3="1",SUMIF(Data!A:A,'36'!$A$2,Data!DJ:DJ),0)</f>
        <v>600719</v>
      </c>
      <c r="E51" s="17">
        <f>IF($F$3="1",SUMIF(Data!$A:$A,$A$2,Data!JD:JD),0)</f>
        <v>496170</v>
      </c>
      <c r="F51" s="21">
        <f t="shared" si="3"/>
        <v>0.83</v>
      </c>
    </row>
    <row r="52" spans="1:6" x14ac:dyDescent="0.2">
      <c r="A52" s="19">
        <v>17</v>
      </c>
      <c r="B52" s="180" t="s">
        <v>15</v>
      </c>
      <c r="C52" s="181"/>
      <c r="D52" s="14">
        <f>IF(F3="1",SUMIF(Data!A:A,'36'!$A$2,Data!DK:DK),0)</f>
        <v>24416</v>
      </c>
      <c r="E52" s="17">
        <f>IF($F$3="1",SUMIF(Data!$A:$A,$A$2,Data!JE:JE),0)</f>
        <v>24282</v>
      </c>
      <c r="F52" s="21">
        <f t="shared" si="3"/>
        <v>0.99</v>
      </c>
    </row>
    <row r="53" spans="1:6" x14ac:dyDescent="0.2">
      <c r="A53" s="19">
        <v>18</v>
      </c>
      <c r="B53" s="180" t="s">
        <v>16</v>
      </c>
      <c r="C53" s="181"/>
      <c r="D53" s="14">
        <f>IF(F3="1",SUMIF(Data!A:A,'36'!$A$2,Data!DL:DL),0)</f>
        <v>336840</v>
      </c>
      <c r="E53" s="17">
        <f>IF($F$3="1",SUMIF(Data!$A:$A,$A$2,Data!JF:JF),0)</f>
        <v>208211</v>
      </c>
      <c r="F53" s="21">
        <f t="shared" si="3"/>
        <v>0.62</v>
      </c>
    </row>
    <row r="54" spans="1:6" x14ac:dyDescent="0.2">
      <c r="A54" s="19">
        <v>19</v>
      </c>
      <c r="B54" s="180" t="s">
        <v>17</v>
      </c>
      <c r="C54" s="181"/>
      <c r="D54" s="14">
        <f>IF(F3="1",SUMIF(Data!A:A,'36'!$A$2,Data!DM:DM),0)</f>
        <v>1167518</v>
      </c>
      <c r="E54" s="17">
        <f>IF($F$3="1",SUMIF(Data!$A:$A,$A$2,Data!JG:JG),0)</f>
        <v>455238</v>
      </c>
      <c r="F54" s="21">
        <f t="shared" si="3"/>
        <v>0.39</v>
      </c>
    </row>
    <row r="55" spans="1:6" x14ac:dyDescent="0.2">
      <c r="A55" s="19">
        <v>20</v>
      </c>
      <c r="B55" s="180" t="s">
        <v>18</v>
      </c>
      <c r="C55" s="181"/>
      <c r="D55" s="14">
        <f>IF(F3="1",SUMIF(Data!A:A,'36'!$A$2,Data!DN:DN),0)</f>
        <v>233888</v>
      </c>
      <c r="E55" s="17">
        <f>IF($F$3="1",SUMIF(Data!$A:$A,$A$2,Data!JH:JH),0)</f>
        <v>350786</v>
      </c>
      <c r="F55" s="21">
        <f t="shared" si="3"/>
        <v>1.5</v>
      </c>
    </row>
    <row r="56" spans="1:6" ht="14.25" customHeight="1" x14ac:dyDescent="0.2">
      <c r="A56" s="19">
        <v>21</v>
      </c>
      <c r="B56" s="180" t="s">
        <v>461</v>
      </c>
      <c r="C56" s="181"/>
      <c r="D56" s="14">
        <f>IF(F3="1",SUMIF(Data!A:A,'36'!$A$2,Data!DO:DO),0)</f>
        <v>54080</v>
      </c>
      <c r="E56" s="17">
        <f>IF($F$3="1",SUMIF(Data!$A:$A,$A$2,Data!JI:JI),0)</f>
        <v>165242</v>
      </c>
      <c r="F56" s="21">
        <f t="shared" si="3"/>
        <v>3.06</v>
      </c>
    </row>
    <row r="57" spans="1:6" x14ac:dyDescent="0.2">
      <c r="A57" s="19">
        <v>22</v>
      </c>
      <c r="B57" s="180" t="s">
        <v>19</v>
      </c>
      <c r="C57" s="181"/>
      <c r="D57" s="14">
        <f>IF(F3="1",SUMIF(Data!A:A,'36'!$A$2,Data!DP:DP),0)</f>
        <v>15872</v>
      </c>
      <c r="E57" s="17">
        <f>IF($F$3="1",SUMIF(Data!$A:$A,$A$2,Data!JJ:JJ),0)</f>
        <v>350</v>
      </c>
      <c r="F57" s="21">
        <f t="shared" si="3"/>
        <v>0.02</v>
      </c>
    </row>
    <row r="58" spans="1:6" x14ac:dyDescent="0.2">
      <c r="A58" s="19">
        <v>23</v>
      </c>
      <c r="B58" s="180" t="s">
        <v>20</v>
      </c>
      <c r="C58" s="181"/>
      <c r="D58" s="14">
        <f>IF(F3="1",SUMIF(Data!A:A,'36'!$A$2,Data!DQ:DQ),0)</f>
        <v>402048</v>
      </c>
      <c r="E58" s="17">
        <f>IF($F$3="1",SUMIF(Data!$A:$A,$A$2,Data!JK:JK),0)</f>
        <v>303145</v>
      </c>
      <c r="F58" s="21">
        <f t="shared" si="3"/>
        <v>0.75</v>
      </c>
    </row>
    <row r="59" spans="1:6" x14ac:dyDescent="0.2">
      <c r="A59" s="19">
        <v>24</v>
      </c>
      <c r="B59" s="180" t="s">
        <v>21</v>
      </c>
      <c r="C59" s="181"/>
      <c r="D59" s="14">
        <f>IF(F3="1",SUMIF(Data!A:A,'36'!$A$2,Data!DR:DR),0)</f>
        <v>179072</v>
      </c>
      <c r="E59" s="17">
        <f>IF($F$3="1",SUMIF(Data!$A:$A,$A$2,Data!JL:JL),0)</f>
        <v>172957</v>
      </c>
      <c r="F59" s="21">
        <f t="shared" si="3"/>
        <v>0.97</v>
      </c>
    </row>
    <row r="60" spans="1:6" x14ac:dyDescent="0.2">
      <c r="A60" s="19">
        <v>25</v>
      </c>
      <c r="B60" s="180" t="s">
        <v>22</v>
      </c>
      <c r="C60" s="181"/>
      <c r="D60" s="14">
        <f>IF(F3="1",SUMIF(Data!A:A,'36'!$A$2,Data!DS:DS),0)</f>
        <v>1372977</v>
      </c>
      <c r="E60" s="17">
        <f>IF($F$3="1",SUMIF(Data!$A:$A,$A$2,Data!JM:JM),0)</f>
        <v>360735</v>
      </c>
      <c r="F60" s="21">
        <f t="shared" si="3"/>
        <v>0.26</v>
      </c>
    </row>
    <row r="61" spans="1:6" x14ac:dyDescent="0.2">
      <c r="A61" s="19">
        <v>26</v>
      </c>
      <c r="B61" s="180" t="s">
        <v>23</v>
      </c>
      <c r="C61" s="181"/>
      <c r="D61" s="14">
        <f>IF(F3="1",SUMIF(Data!A:A,'36'!$A$2,Data!DT:DT),0)</f>
        <v>512245</v>
      </c>
      <c r="E61" s="17">
        <f>IF($F$3="1",SUMIF(Data!$A:$A,$A$2,Data!JN:JN),0)</f>
        <v>446921</v>
      </c>
      <c r="F61" s="21">
        <f t="shared" si="3"/>
        <v>0.87</v>
      </c>
    </row>
    <row r="62" spans="1:6" x14ac:dyDescent="0.2">
      <c r="A62" s="19">
        <v>28</v>
      </c>
      <c r="B62" s="180" t="s">
        <v>24</v>
      </c>
      <c r="C62" s="181"/>
      <c r="D62" s="14">
        <f>IF(F3="1",SUMIF(Data!A:A,'36'!$A$2,Data!DV:DV),0)</f>
        <v>0</v>
      </c>
      <c r="E62" s="17">
        <f>IF($F$3="1",SUMIF(Data!$A:$A,$A$2,Data!JP:JP),0)</f>
        <v>0</v>
      </c>
      <c r="F62" s="21" t="str">
        <f t="shared" si="3"/>
        <v/>
      </c>
    </row>
    <row r="63" spans="1:6" ht="15.75" customHeight="1" thickBot="1" x14ac:dyDescent="0.25">
      <c r="A63" s="22">
        <v>29</v>
      </c>
      <c r="B63" s="184" t="s">
        <v>25</v>
      </c>
      <c r="C63" s="185"/>
      <c r="D63" s="23">
        <f>IF(F3="1",SUMIF(Data!A:A,'36'!$A$2,Data!DW:DW),0)</f>
        <v>0</v>
      </c>
      <c r="E63" s="24">
        <f>IF($F$3="1",SUMIF(Data!$A:$A,$A$2,Data!JQ:JQ),0)</f>
        <v>0</v>
      </c>
      <c r="F63" s="25" t="str">
        <f t="shared" si="3"/>
        <v/>
      </c>
    </row>
    <row r="64" spans="1:6" x14ac:dyDescent="0.2">
      <c r="B64" s="30" t="s">
        <v>35</v>
      </c>
      <c r="C64" s="30"/>
      <c r="D64" s="59">
        <f>SUM(D36:D63)</f>
        <v>9944283</v>
      </c>
      <c r="E64" s="31">
        <f>SUM(E36:E63)</f>
        <v>7016386</v>
      </c>
      <c r="F64" s="32">
        <f t="shared" si="3"/>
        <v>0.71</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4896</v>
      </c>
      <c r="E67" s="15">
        <f>IF(F3="1",SUMIF(Data!A:A,'36'!$A$2,Data!DY:DY),0)</f>
        <v>4875</v>
      </c>
      <c r="F67" s="20">
        <f t="shared" ref="F67:F95" si="4">IF(OR(D67=0,E67=0),"",ROUND(E67/D67,2))</f>
        <v>1</v>
      </c>
    </row>
    <row r="68" spans="1:6" x14ac:dyDescent="0.2">
      <c r="A68" s="19">
        <v>2</v>
      </c>
      <c r="B68" s="180" t="s">
        <v>1</v>
      </c>
      <c r="C68" s="181"/>
      <c r="D68" s="14">
        <f t="shared" ref="D68:D94" si="5">D37</f>
        <v>244468</v>
      </c>
      <c r="E68" s="17">
        <f>IF(F3="1",SUMIF(Data!A:A,'36'!$A$2,Data!DZ:DZ),0)</f>
        <v>307608</v>
      </c>
      <c r="F68" s="21">
        <f t="shared" si="4"/>
        <v>1.26</v>
      </c>
    </row>
    <row r="69" spans="1:6" ht="14.25" customHeight="1" x14ac:dyDescent="0.2">
      <c r="A69" s="19">
        <v>3</v>
      </c>
      <c r="B69" s="180" t="s">
        <v>2</v>
      </c>
      <c r="C69" s="181"/>
      <c r="D69" s="14">
        <f t="shared" si="5"/>
        <v>1124793</v>
      </c>
      <c r="E69" s="17">
        <f>IF(F3="1",SUMIF(Data!A:A,'36'!$A$2,Data!EA:EA),0)</f>
        <v>2707754</v>
      </c>
      <c r="F69" s="21">
        <f t="shared" si="4"/>
        <v>2.41</v>
      </c>
    </row>
    <row r="70" spans="1:6" ht="14.25" customHeight="1" x14ac:dyDescent="0.2">
      <c r="A70" s="19">
        <v>4</v>
      </c>
      <c r="B70" s="180" t="s">
        <v>3</v>
      </c>
      <c r="C70" s="181"/>
      <c r="D70" s="14">
        <f t="shared" si="5"/>
        <v>555996</v>
      </c>
      <c r="E70" s="17">
        <f>IF(F3="1",SUMIF(Data!A:A,'36'!$A$2,Data!EB:EB),0)</f>
        <v>1529006</v>
      </c>
      <c r="F70" s="21">
        <f t="shared" si="4"/>
        <v>2.75</v>
      </c>
    </row>
    <row r="71" spans="1:6" x14ac:dyDescent="0.2">
      <c r="A71" s="19">
        <v>5</v>
      </c>
      <c r="B71" s="180" t="s">
        <v>4</v>
      </c>
      <c r="C71" s="181"/>
      <c r="D71" s="14">
        <f t="shared" si="5"/>
        <v>47360</v>
      </c>
      <c r="E71" s="17">
        <f>IF(F3="1",SUMIF(Data!A:A,'36'!$A$2,Data!EC:EC),0)</f>
        <v>263236</v>
      </c>
      <c r="F71" s="21">
        <f t="shared" si="4"/>
        <v>5.56</v>
      </c>
    </row>
    <row r="72" spans="1:6" x14ac:dyDescent="0.2">
      <c r="A72" s="19">
        <v>6</v>
      </c>
      <c r="B72" s="180" t="s">
        <v>5</v>
      </c>
      <c r="C72" s="181"/>
      <c r="D72" s="14">
        <f t="shared" si="5"/>
        <v>49727</v>
      </c>
      <c r="E72" s="17">
        <f>IF(F3="1",SUMIF(Data!A:A,'36'!$A$2,Data!ED:ED),0)</f>
        <v>228136</v>
      </c>
      <c r="F72" s="21">
        <f t="shared" si="4"/>
        <v>4.59</v>
      </c>
    </row>
    <row r="73" spans="1:6" x14ac:dyDescent="0.2">
      <c r="A73" s="19">
        <v>7</v>
      </c>
      <c r="B73" s="180" t="s">
        <v>6</v>
      </c>
      <c r="C73" s="181"/>
      <c r="D73" s="14">
        <f t="shared" si="5"/>
        <v>372852</v>
      </c>
      <c r="E73" s="17">
        <f>IF(F3="1",SUMIF(Data!A:A,'36'!$A$2,Data!EE:EE),0)</f>
        <v>1427520</v>
      </c>
      <c r="F73" s="21">
        <f t="shared" si="4"/>
        <v>3.83</v>
      </c>
    </row>
    <row r="74" spans="1:6" x14ac:dyDescent="0.2">
      <c r="A74" s="19">
        <v>8</v>
      </c>
      <c r="B74" s="180" t="s">
        <v>7</v>
      </c>
      <c r="C74" s="181"/>
      <c r="D74" s="14">
        <f t="shared" si="5"/>
        <v>93316</v>
      </c>
      <c r="E74" s="17">
        <f>IF(F3="1",SUMIF(Data!A:A,'36'!$A$2,Data!EF:EF),0)</f>
        <v>164624</v>
      </c>
      <c r="F74" s="21">
        <f t="shared" si="4"/>
        <v>1.76</v>
      </c>
    </row>
    <row r="75" spans="1:6" x14ac:dyDescent="0.2">
      <c r="A75" s="19">
        <v>9</v>
      </c>
      <c r="B75" s="180" t="s">
        <v>8</v>
      </c>
      <c r="C75" s="181"/>
      <c r="D75" s="14">
        <f t="shared" si="5"/>
        <v>565669</v>
      </c>
      <c r="E75" s="17">
        <f>IF(F3="1",SUMIF(Data!A:A,'36'!$A$2,Data!EG:EG),0)</f>
        <v>1713321</v>
      </c>
      <c r="F75" s="21">
        <f t="shared" si="4"/>
        <v>3.03</v>
      </c>
    </row>
    <row r="76" spans="1:6" x14ac:dyDescent="0.2">
      <c r="A76" s="19">
        <v>10</v>
      </c>
      <c r="B76" s="180" t="s">
        <v>9</v>
      </c>
      <c r="C76" s="181"/>
      <c r="D76" s="14">
        <f t="shared" si="5"/>
        <v>78847</v>
      </c>
      <c r="E76" s="17">
        <f>IF(F3="1",SUMIF(Data!A:A,'36'!$A$2,Data!EH:EH),0)</f>
        <v>498215</v>
      </c>
      <c r="F76" s="21">
        <f t="shared" si="4"/>
        <v>6.32</v>
      </c>
    </row>
    <row r="77" spans="1:6" x14ac:dyDescent="0.2">
      <c r="A77" s="19">
        <v>11</v>
      </c>
      <c r="B77" s="180" t="s">
        <v>10</v>
      </c>
      <c r="C77" s="181"/>
      <c r="D77" s="14">
        <f t="shared" si="5"/>
        <v>118317</v>
      </c>
      <c r="E77" s="17">
        <f>IF(F3="1",SUMIF(Data!A:A,'36'!$A$2,Data!EI:EI),0)</f>
        <v>747624</v>
      </c>
      <c r="F77" s="21">
        <f t="shared" si="4"/>
        <v>6.32</v>
      </c>
    </row>
    <row r="78" spans="1:6" ht="14.25" customHeight="1" x14ac:dyDescent="0.2">
      <c r="A78" s="19">
        <v>12</v>
      </c>
      <c r="B78" s="180" t="s">
        <v>11</v>
      </c>
      <c r="C78" s="181"/>
      <c r="D78" s="14">
        <f t="shared" si="5"/>
        <v>1354903</v>
      </c>
      <c r="E78" s="17">
        <f>IF(F3="1",SUMIF(Data!A:A,'36'!$A$2,Data!EJ:EJ),0)</f>
        <v>4133757</v>
      </c>
      <c r="F78" s="21">
        <f t="shared" si="4"/>
        <v>3.05</v>
      </c>
    </row>
    <row r="79" spans="1:6" x14ac:dyDescent="0.2">
      <c r="A79" s="19">
        <v>13</v>
      </c>
      <c r="B79" s="180" t="s">
        <v>12</v>
      </c>
      <c r="C79" s="181"/>
      <c r="D79" s="14">
        <f t="shared" si="5"/>
        <v>100736</v>
      </c>
      <c r="E79" s="17">
        <f>IF(F3="1",SUMIF(Data!A:A,'36'!$A$2,Data!EK:EK),0)</f>
        <v>272692</v>
      </c>
      <c r="F79" s="21">
        <f t="shared" si="4"/>
        <v>2.71</v>
      </c>
    </row>
    <row r="80" spans="1:6" ht="14.25" customHeight="1" x14ac:dyDescent="0.2">
      <c r="A80" s="19">
        <v>14</v>
      </c>
      <c r="B80" s="180" t="s">
        <v>464</v>
      </c>
      <c r="C80" s="181"/>
      <c r="D80" s="14">
        <f t="shared" si="5"/>
        <v>332728</v>
      </c>
      <c r="E80" s="17">
        <f>IF(F3="1",SUMIF(Data!A:A,'36'!$A$2,Data!EL:EL),0)</f>
        <v>1513234</v>
      </c>
      <c r="F80" s="21">
        <f t="shared" si="4"/>
        <v>4.55</v>
      </c>
    </row>
    <row r="81" spans="1:6" x14ac:dyDescent="0.2">
      <c r="A81" s="19">
        <v>15</v>
      </c>
      <c r="B81" s="180" t="s">
        <v>13</v>
      </c>
      <c r="C81" s="181"/>
      <c r="D81" s="14">
        <f t="shared" si="5"/>
        <v>0</v>
      </c>
      <c r="E81" s="17">
        <f>IF(F3="1",SUMIF(Data!A:A,'36'!$A$2,Data!EM:EM),0)</f>
        <v>0</v>
      </c>
      <c r="F81" s="21" t="str">
        <f t="shared" si="4"/>
        <v/>
      </c>
    </row>
    <row r="82" spans="1:6" x14ac:dyDescent="0.2">
      <c r="A82" s="19">
        <v>16</v>
      </c>
      <c r="B82" s="180" t="s">
        <v>14</v>
      </c>
      <c r="C82" s="181"/>
      <c r="D82" s="14">
        <f t="shared" si="5"/>
        <v>600719</v>
      </c>
      <c r="E82" s="17">
        <f>IF(F3="1",SUMIF(Data!A:A,'36'!$A$2,Data!EN:EN),0)</f>
        <v>2476338</v>
      </c>
      <c r="F82" s="21">
        <f t="shared" si="4"/>
        <v>4.12</v>
      </c>
    </row>
    <row r="83" spans="1:6" x14ac:dyDescent="0.2">
      <c r="A83" s="19">
        <v>17</v>
      </c>
      <c r="B83" s="180" t="s">
        <v>15</v>
      </c>
      <c r="C83" s="181"/>
      <c r="D83" s="14">
        <f t="shared" si="5"/>
        <v>24416</v>
      </c>
      <c r="E83" s="17">
        <f>IF(F3="1",SUMIF(Data!A:A,'36'!$A$2,Data!EO:EO),0)</f>
        <v>138476</v>
      </c>
      <c r="F83" s="21">
        <f t="shared" si="4"/>
        <v>5.67</v>
      </c>
    </row>
    <row r="84" spans="1:6" x14ac:dyDescent="0.2">
      <c r="A84" s="19">
        <v>18</v>
      </c>
      <c r="B84" s="180" t="s">
        <v>16</v>
      </c>
      <c r="C84" s="181"/>
      <c r="D84" s="14">
        <f t="shared" si="5"/>
        <v>336840</v>
      </c>
      <c r="E84" s="17">
        <f>IF(F3="1",SUMIF(Data!A:A,'36'!$A$2,Data!EP:EP),0)</f>
        <v>1041976</v>
      </c>
      <c r="F84" s="21">
        <f t="shared" si="4"/>
        <v>3.09</v>
      </c>
    </row>
    <row r="85" spans="1:6" x14ac:dyDescent="0.2">
      <c r="A85" s="19">
        <v>19</v>
      </c>
      <c r="B85" s="180" t="s">
        <v>17</v>
      </c>
      <c r="C85" s="181"/>
      <c r="D85" s="14">
        <f t="shared" si="5"/>
        <v>1167518</v>
      </c>
      <c r="E85" s="17">
        <f>IF(F3="1",SUMIF(Data!A:A,'36'!$A$2,Data!EQ:EQ),0)</f>
        <v>3291357</v>
      </c>
      <c r="F85" s="21">
        <f t="shared" si="4"/>
        <v>2.82</v>
      </c>
    </row>
    <row r="86" spans="1:6" x14ac:dyDescent="0.2">
      <c r="A86" s="19">
        <v>20</v>
      </c>
      <c r="B86" s="180" t="s">
        <v>18</v>
      </c>
      <c r="C86" s="181"/>
      <c r="D86" s="14">
        <f t="shared" si="5"/>
        <v>233888</v>
      </c>
      <c r="E86" s="17">
        <f>IF(F3="1",SUMIF(Data!A:A,'36'!$A$2,Data!ER:ER),0)</f>
        <v>935115</v>
      </c>
      <c r="F86" s="21">
        <f t="shared" si="4"/>
        <v>4</v>
      </c>
    </row>
    <row r="87" spans="1:6" ht="14.25" customHeight="1" x14ac:dyDescent="0.2">
      <c r="A87" s="19">
        <v>21</v>
      </c>
      <c r="B87" s="180" t="s">
        <v>461</v>
      </c>
      <c r="C87" s="181"/>
      <c r="D87" s="14">
        <f t="shared" si="5"/>
        <v>54080</v>
      </c>
      <c r="E87" s="17">
        <f>IF(F3="1",SUMIF(Data!A:A,'36'!$A$2,Data!ES:ES),0)</f>
        <v>271680</v>
      </c>
      <c r="F87" s="21">
        <f t="shared" si="4"/>
        <v>5.0199999999999996</v>
      </c>
    </row>
    <row r="88" spans="1:6" x14ac:dyDescent="0.2">
      <c r="A88" s="19">
        <v>22</v>
      </c>
      <c r="B88" s="180" t="s">
        <v>19</v>
      </c>
      <c r="C88" s="181"/>
      <c r="D88" s="14">
        <f t="shared" si="5"/>
        <v>15872</v>
      </c>
      <c r="E88" s="17">
        <f>IF(F3="1",SUMIF(Data!A:A,'36'!$A$2,Data!ET:ET),0)</f>
        <v>13729</v>
      </c>
      <c r="F88" s="21">
        <f t="shared" si="4"/>
        <v>0.86</v>
      </c>
    </row>
    <row r="89" spans="1:6" x14ac:dyDescent="0.2">
      <c r="A89" s="19">
        <v>23</v>
      </c>
      <c r="B89" s="180" t="s">
        <v>20</v>
      </c>
      <c r="C89" s="181"/>
      <c r="D89" s="14">
        <f t="shared" si="5"/>
        <v>402048</v>
      </c>
      <c r="E89" s="17">
        <f>IF(F3="1",SUMIF(Data!A:A,'36'!$A$2,Data!EU:EU),0)</f>
        <v>1495256</v>
      </c>
      <c r="F89" s="21">
        <f t="shared" si="4"/>
        <v>3.72</v>
      </c>
    </row>
    <row r="90" spans="1:6" x14ac:dyDescent="0.2">
      <c r="A90" s="19">
        <v>24</v>
      </c>
      <c r="B90" s="180" t="s">
        <v>21</v>
      </c>
      <c r="C90" s="181"/>
      <c r="D90" s="14">
        <f t="shared" si="5"/>
        <v>179072</v>
      </c>
      <c r="E90" s="17">
        <f>IF(F3="1",SUMIF(Data!A:A,'36'!$A$2,Data!EV:EV),0)</f>
        <v>582688</v>
      </c>
      <c r="F90" s="21">
        <f t="shared" si="4"/>
        <v>3.25</v>
      </c>
    </row>
    <row r="91" spans="1:6" x14ac:dyDescent="0.2">
      <c r="A91" s="19">
        <v>25</v>
      </c>
      <c r="B91" s="180" t="s">
        <v>22</v>
      </c>
      <c r="C91" s="181"/>
      <c r="D91" s="14">
        <f t="shared" si="5"/>
        <v>1372977</v>
      </c>
      <c r="E91" s="17">
        <f>IF(F3="1",SUMIF(Data!A:A,'36'!$A$2,Data!EW:EW),0)</f>
        <v>3514470</v>
      </c>
      <c r="F91" s="21">
        <f t="shared" si="4"/>
        <v>2.56</v>
      </c>
    </row>
    <row r="92" spans="1:6" x14ac:dyDescent="0.2">
      <c r="A92" s="19">
        <v>26</v>
      </c>
      <c r="B92" s="180" t="s">
        <v>23</v>
      </c>
      <c r="C92" s="181"/>
      <c r="D92" s="14">
        <f t="shared" si="5"/>
        <v>512245</v>
      </c>
      <c r="E92" s="17">
        <f>IF(F3="1",SUMIF(Data!A:A,'36'!$A$2,Data!EX:EX),0)</f>
        <v>1837493</v>
      </c>
      <c r="F92" s="21">
        <f t="shared" si="4"/>
        <v>3.59</v>
      </c>
    </row>
    <row r="93" spans="1:6" x14ac:dyDescent="0.2">
      <c r="A93" s="19">
        <v>28</v>
      </c>
      <c r="B93" s="180" t="s">
        <v>24</v>
      </c>
      <c r="C93" s="181"/>
      <c r="D93" s="14">
        <f t="shared" si="5"/>
        <v>0</v>
      </c>
      <c r="E93" s="17">
        <f>IF(F3="1",SUMIF(Data!A:A,'36'!$A$2,Data!EZ:EZ),0)</f>
        <v>0</v>
      </c>
      <c r="F93" s="21" t="str">
        <f t="shared" si="4"/>
        <v/>
      </c>
    </row>
    <row r="94" spans="1:6" ht="15.75" customHeight="1" thickBot="1" x14ac:dyDescent="0.25">
      <c r="A94" s="22">
        <v>29</v>
      </c>
      <c r="B94" s="184" t="s">
        <v>25</v>
      </c>
      <c r="C94" s="185"/>
      <c r="D94" s="23">
        <f t="shared" si="5"/>
        <v>0</v>
      </c>
      <c r="E94" s="24">
        <f>IF(F3="1",SUMIF(Data!A:A,'36'!$A$2,Data!FA:FA),0)</f>
        <v>0</v>
      </c>
      <c r="F94" s="25" t="str">
        <f t="shared" si="4"/>
        <v/>
      </c>
    </row>
    <row r="95" spans="1:6" x14ac:dyDescent="0.2">
      <c r="B95" s="30" t="s">
        <v>35</v>
      </c>
      <c r="C95" s="30"/>
      <c r="D95" s="59">
        <f>SUM(D67:D94)</f>
        <v>9944283</v>
      </c>
      <c r="E95" s="31">
        <f>SUM(E67:E94)</f>
        <v>31110180</v>
      </c>
      <c r="F95" s="32">
        <f t="shared" si="4"/>
        <v>3.13</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IF(F3="1",SUMIF(Data!A:A,'36'!$A$2,Data!AH:AH),0)</f>
        <v>12518531</v>
      </c>
      <c r="F98" s="20">
        <f>IF(OR(E98=0,E98=0),"",ROUND(E98/$D$105,2))</f>
        <v>1.26</v>
      </c>
    </row>
    <row r="99" spans="2:6" x14ac:dyDescent="0.2">
      <c r="B99" s="190" t="s">
        <v>31</v>
      </c>
      <c r="C99" s="191"/>
      <c r="D99" s="36"/>
      <c r="E99" s="17">
        <f>IF(F3="1",SUMIF(Data!A:A,'36'!$A$2,Data!AI:AI),0)</f>
        <v>6964710</v>
      </c>
      <c r="F99" s="21">
        <f t="shared" ref="F99:F104" si="6">IF(OR(E99=0,E99=0),"",ROUND(E99/$D$105,2))</f>
        <v>0.7</v>
      </c>
    </row>
    <row r="100" spans="2:6" x14ac:dyDescent="0.2">
      <c r="B100" s="190" t="s">
        <v>1089</v>
      </c>
      <c r="C100" s="191"/>
      <c r="D100" s="36"/>
      <c r="E100" s="17">
        <f>IF(F3="1",SUMIF(Data!A:A,'36'!$A$2,Data!AJ:AJ),0)</f>
        <v>1947311</v>
      </c>
      <c r="F100" s="21">
        <f t="shared" si="6"/>
        <v>0.2</v>
      </c>
    </row>
    <row r="101" spans="2:6" x14ac:dyDescent="0.2">
      <c r="B101" s="190" t="s">
        <v>1090</v>
      </c>
      <c r="C101" s="191"/>
      <c r="D101" s="36"/>
      <c r="E101" s="17">
        <f>IF(F3="1",SUMIF(Data!A:A,'36'!$A$2,Data!AK:AK),0)</f>
        <v>4141209</v>
      </c>
      <c r="F101" s="21">
        <f t="shared" si="6"/>
        <v>0.42</v>
      </c>
    </row>
    <row r="102" spans="2:6" x14ac:dyDescent="0.2">
      <c r="B102" s="190" t="s">
        <v>1091</v>
      </c>
      <c r="C102" s="191"/>
      <c r="D102" s="36"/>
      <c r="E102" s="17">
        <f>IF(F3="1",SUMIF(Data!A:A,'36'!$A$2,Data!AL:AL),0)</f>
        <v>0</v>
      </c>
      <c r="F102" s="21" t="str">
        <f t="shared" si="6"/>
        <v/>
      </c>
    </row>
    <row r="103" spans="2:6" x14ac:dyDescent="0.2">
      <c r="B103" s="192" t="s">
        <v>34</v>
      </c>
      <c r="C103" s="193"/>
      <c r="D103" s="36"/>
      <c r="E103" s="17">
        <f>IF(F3="1",SUMIF(Data!A:A,'36'!$A$2,Data!AM:AM),0)</f>
        <v>0</v>
      </c>
      <c r="F103" s="21" t="str">
        <f t="shared" si="6"/>
        <v/>
      </c>
    </row>
    <row r="104" spans="2:6" ht="15.75" customHeight="1" thickBot="1" x14ac:dyDescent="0.25">
      <c r="B104" s="186" t="s">
        <v>29</v>
      </c>
      <c r="C104" s="187"/>
      <c r="D104" s="37"/>
      <c r="E104" s="24">
        <f>IF(F3="1",SUMIF(Data!A:A,'36'!$A$2,Data!Q:Q),0)</f>
        <v>4790615</v>
      </c>
      <c r="F104" s="25">
        <f t="shared" si="6"/>
        <v>0.48</v>
      </c>
    </row>
    <row r="105" spans="2:6" x14ac:dyDescent="0.2">
      <c r="B105" s="30" t="s">
        <v>35</v>
      </c>
      <c r="C105" s="30"/>
      <c r="D105" s="34">
        <f>D95</f>
        <v>9944283</v>
      </c>
      <c r="E105" s="31">
        <f>SUM(E98:E104)</f>
        <v>30362376</v>
      </c>
      <c r="F105" s="32">
        <f>IF($D$105=0,"",ROUND(E105/$D$105,2))</f>
        <v>3.05</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31110180</v>
      </c>
      <c r="D109" s="15">
        <f>IF(F3="1",SUMIF(Data!$A:$A,$A$2,Data!HJ:HJ),0)</f>
        <v>0</v>
      </c>
      <c r="E109" s="15">
        <f>IF(F3="1",SUMIF(Data!$A:$A,$A$2,Data!IN:IN),0)</f>
        <v>0</v>
      </c>
      <c r="F109" s="47">
        <f>SUM(C109:E109)</f>
        <v>31110180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4790615</v>
      </c>
      <c r="E117" s="52"/>
      <c r="F117" s="49">
        <f>SUM(C117:E117)</f>
        <v>4790615</v>
      </c>
    </row>
    <row r="118" spans="1:6" x14ac:dyDescent="0.2">
      <c r="B118" s="13" t="s">
        <v>35</v>
      </c>
      <c r="C118" s="4">
        <f>SUM(C109:C116)</f>
        <v>31110180</v>
      </c>
      <c r="D118" s="4">
        <f>SUM(D109:D116)</f>
        <v>0</v>
      </c>
      <c r="E118" s="4">
        <f>SUM(E109:E116)</f>
        <v>0</v>
      </c>
      <c r="F118" s="4">
        <f>SUM(F109:F116)</f>
        <v>31110180</v>
      </c>
    </row>
    <row r="119" spans="1:6" ht="15" thickBot="1" x14ac:dyDescent="0.25"/>
    <row r="120" spans="1:6" ht="15" thickBot="1" x14ac:dyDescent="0.25">
      <c r="B120" s="55" t="s">
        <v>934</v>
      </c>
      <c r="C120" s="53"/>
      <c r="D120" s="53"/>
      <c r="E120" s="53">
        <f>IF(F3="1",SUMIF(Data!A:A,'36'!$A$2,Data!AM:AM),0)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1406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398</v>
      </c>
      <c r="B2" s="58" t="str">
        <f>VLOOKUP(A2,Data!A:G,7,0)</f>
        <v>South Plains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28384</v>
      </c>
      <c r="E5" s="15">
        <f>E36+E67+IFERROR($E$105/$D$105*D5,0)</f>
        <v>281486.94993461313</v>
      </c>
      <c r="F5" s="20">
        <f>IF(OR(D5=0,E5=0),"",ROUND(E5/D5,2))</f>
        <v>9.92</v>
      </c>
    </row>
    <row r="6" spans="1:6" x14ac:dyDescent="0.2">
      <c r="A6" s="19">
        <v>2</v>
      </c>
      <c r="B6" s="180" t="s">
        <v>1</v>
      </c>
      <c r="C6" s="181"/>
      <c r="D6" s="14">
        <f t="shared" ref="D6:D32" si="0">D37</f>
        <v>49424</v>
      </c>
      <c r="E6" s="17">
        <f t="shared" ref="E6:E32" si="1">E37+E68+IFERROR($E$105/$D$105*D6,0)</f>
        <v>408582.27358963923</v>
      </c>
      <c r="F6" s="21">
        <f t="shared" ref="F6:F33" si="2">IF(OR(D6=0,E6=0),"",ROUND(E6/D6,2))</f>
        <v>8.27</v>
      </c>
    </row>
    <row r="7" spans="1:6" ht="14.25" customHeight="1" x14ac:dyDescent="0.2">
      <c r="A7" s="19">
        <v>3</v>
      </c>
      <c r="B7" s="180" t="s">
        <v>2</v>
      </c>
      <c r="C7" s="181"/>
      <c r="D7" s="14">
        <f t="shared" si="0"/>
        <v>443920</v>
      </c>
      <c r="E7" s="17">
        <f t="shared" si="1"/>
        <v>2209469.4447214445</v>
      </c>
      <c r="F7" s="21">
        <f t="shared" si="2"/>
        <v>4.9800000000000004</v>
      </c>
    </row>
    <row r="8" spans="1:6" ht="14.25" customHeight="1" x14ac:dyDescent="0.2">
      <c r="A8" s="19">
        <v>4</v>
      </c>
      <c r="B8" s="180" t="s">
        <v>3</v>
      </c>
      <c r="C8" s="181"/>
      <c r="D8" s="14">
        <f t="shared" si="0"/>
        <v>163104</v>
      </c>
      <c r="E8" s="17">
        <f t="shared" si="1"/>
        <v>1144293.379725731</v>
      </c>
      <c r="F8" s="21">
        <f t="shared" si="2"/>
        <v>7.02</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94640</v>
      </c>
      <c r="E10" s="17">
        <f t="shared" si="1"/>
        <v>637802.48244827334</v>
      </c>
      <c r="F10" s="21">
        <f t="shared" si="2"/>
        <v>6.74</v>
      </c>
    </row>
    <row r="11" spans="1:6" x14ac:dyDescent="0.2">
      <c r="A11" s="19">
        <v>7</v>
      </c>
      <c r="B11" s="180" t="s">
        <v>6</v>
      </c>
      <c r="C11" s="181"/>
      <c r="D11" s="14">
        <f t="shared" si="0"/>
        <v>214368</v>
      </c>
      <c r="E11" s="17">
        <f t="shared" si="1"/>
        <v>1023746.4572852013</v>
      </c>
      <c r="F11" s="21">
        <f t="shared" si="2"/>
        <v>4.78</v>
      </c>
    </row>
    <row r="12" spans="1:6" x14ac:dyDescent="0.2">
      <c r="A12" s="19">
        <v>8</v>
      </c>
      <c r="B12" s="180" t="s">
        <v>7</v>
      </c>
      <c r="C12" s="181"/>
      <c r="D12" s="14">
        <f t="shared" si="0"/>
        <v>19392</v>
      </c>
      <c r="E12" s="17">
        <f t="shared" si="1"/>
        <v>113934.59488204686</v>
      </c>
      <c r="F12" s="21">
        <f t="shared" si="2"/>
        <v>5.88</v>
      </c>
    </row>
    <row r="13" spans="1:6" x14ac:dyDescent="0.2">
      <c r="A13" s="19">
        <v>9</v>
      </c>
      <c r="B13" s="180" t="s">
        <v>8</v>
      </c>
      <c r="C13" s="181"/>
      <c r="D13" s="14">
        <f t="shared" si="0"/>
        <v>138832</v>
      </c>
      <c r="E13" s="17">
        <f t="shared" si="1"/>
        <v>684722.95692369691</v>
      </c>
      <c r="F13" s="21">
        <f t="shared" si="2"/>
        <v>4.93</v>
      </c>
    </row>
    <row r="14" spans="1:6" x14ac:dyDescent="0.2">
      <c r="A14" s="19">
        <v>10</v>
      </c>
      <c r="B14" s="180" t="s">
        <v>9</v>
      </c>
      <c r="C14" s="181"/>
      <c r="D14" s="14">
        <f t="shared" si="0"/>
        <v>640</v>
      </c>
      <c r="E14" s="17">
        <f t="shared" si="1"/>
        <v>7459.5839895064973</v>
      </c>
      <c r="F14" s="21">
        <f t="shared" si="2"/>
        <v>11.66</v>
      </c>
    </row>
    <row r="15" spans="1:6" x14ac:dyDescent="0.2">
      <c r="A15" s="19">
        <v>11</v>
      </c>
      <c r="B15" s="180" t="s">
        <v>10</v>
      </c>
      <c r="C15" s="181"/>
      <c r="D15" s="14">
        <f t="shared" si="0"/>
        <v>49744</v>
      </c>
      <c r="E15" s="17">
        <f t="shared" si="1"/>
        <v>413211.06558439252</v>
      </c>
      <c r="F15" s="21">
        <f t="shared" si="2"/>
        <v>8.31</v>
      </c>
    </row>
    <row r="16" spans="1:6" ht="14.25" customHeight="1" x14ac:dyDescent="0.2">
      <c r="A16" s="19">
        <v>12</v>
      </c>
      <c r="B16" s="180" t="s">
        <v>11</v>
      </c>
      <c r="C16" s="181"/>
      <c r="D16" s="14">
        <f t="shared" si="0"/>
        <v>763376</v>
      </c>
      <c r="E16" s="17">
        <f t="shared" si="1"/>
        <v>3848233.3930836124</v>
      </c>
      <c r="F16" s="21">
        <f t="shared" si="2"/>
        <v>5.04</v>
      </c>
    </row>
    <row r="17" spans="1:6" x14ac:dyDescent="0.2">
      <c r="A17" s="19">
        <v>13</v>
      </c>
      <c r="B17" s="180" t="s">
        <v>12</v>
      </c>
      <c r="C17" s="181"/>
      <c r="D17" s="14">
        <f t="shared" si="0"/>
        <v>89920</v>
      </c>
      <c r="E17" s="17">
        <f t="shared" si="1"/>
        <v>442638.55052566284</v>
      </c>
      <c r="F17" s="21">
        <f t="shared" si="2"/>
        <v>4.92</v>
      </c>
    </row>
    <row r="18" spans="1:6" ht="14.25" customHeight="1" x14ac:dyDescent="0.2">
      <c r="A18" s="19">
        <v>14</v>
      </c>
      <c r="B18" s="180" t="s">
        <v>464</v>
      </c>
      <c r="C18" s="181"/>
      <c r="D18" s="14">
        <f t="shared" si="0"/>
        <v>93872</v>
      </c>
      <c r="E18" s="17">
        <f t="shared" si="1"/>
        <v>635174.18166086543</v>
      </c>
      <c r="F18" s="21">
        <f t="shared" si="2"/>
        <v>6.77</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198480</v>
      </c>
      <c r="E20" s="17">
        <f t="shared" si="1"/>
        <v>1210935.9847457025</v>
      </c>
      <c r="F20" s="21">
        <f t="shared" si="2"/>
        <v>6.1</v>
      </c>
    </row>
    <row r="21" spans="1:6" x14ac:dyDescent="0.2">
      <c r="A21" s="19">
        <v>17</v>
      </c>
      <c r="B21" s="180" t="s">
        <v>15</v>
      </c>
      <c r="C21" s="181"/>
      <c r="D21" s="14">
        <f t="shared" si="0"/>
        <v>26128</v>
      </c>
      <c r="E21" s="17">
        <f t="shared" si="1"/>
        <v>167854.81637160276</v>
      </c>
      <c r="F21" s="21">
        <f t="shared" si="2"/>
        <v>6.42</v>
      </c>
    </row>
    <row r="22" spans="1:6" x14ac:dyDescent="0.2">
      <c r="A22" s="19">
        <v>18</v>
      </c>
      <c r="B22" s="180" t="s">
        <v>16</v>
      </c>
      <c r="C22" s="181"/>
      <c r="D22" s="14">
        <f t="shared" si="0"/>
        <v>177168</v>
      </c>
      <c r="E22" s="17">
        <f t="shared" si="1"/>
        <v>953955.63789513614</v>
      </c>
      <c r="F22" s="21">
        <f t="shared" si="2"/>
        <v>5.38</v>
      </c>
    </row>
    <row r="23" spans="1:6" x14ac:dyDescent="0.2">
      <c r="A23" s="19">
        <v>19</v>
      </c>
      <c r="B23" s="180" t="s">
        <v>17</v>
      </c>
      <c r="C23" s="181"/>
      <c r="D23" s="14">
        <f t="shared" si="0"/>
        <v>278688</v>
      </c>
      <c r="E23" s="17">
        <f t="shared" si="1"/>
        <v>1558364.6482306044</v>
      </c>
      <c r="F23" s="21">
        <f t="shared" si="2"/>
        <v>5.59</v>
      </c>
    </row>
    <row r="24" spans="1:6" x14ac:dyDescent="0.2">
      <c r="A24" s="19">
        <v>20</v>
      </c>
      <c r="B24" s="180" t="s">
        <v>18</v>
      </c>
      <c r="C24" s="181"/>
      <c r="D24" s="14">
        <f t="shared" si="0"/>
        <v>64128</v>
      </c>
      <c r="E24" s="17">
        <f t="shared" si="1"/>
        <v>319032.11574855103</v>
      </c>
      <c r="F24" s="21">
        <f t="shared" si="2"/>
        <v>4.97</v>
      </c>
    </row>
    <row r="25" spans="1:6" ht="14.25" customHeight="1" x14ac:dyDescent="0.2">
      <c r="A25" s="19">
        <v>21</v>
      </c>
      <c r="B25" s="180" t="s">
        <v>461</v>
      </c>
      <c r="C25" s="181"/>
      <c r="D25" s="14">
        <f t="shared" si="0"/>
        <v>13648</v>
      </c>
      <c r="E25" s="17">
        <f t="shared" si="1"/>
        <v>278238.92857622606</v>
      </c>
      <c r="F25" s="21">
        <f t="shared" si="2"/>
        <v>20.39</v>
      </c>
    </row>
    <row r="26" spans="1:6" x14ac:dyDescent="0.2">
      <c r="A26" s="19">
        <v>22</v>
      </c>
      <c r="B26" s="180" t="s">
        <v>19</v>
      </c>
      <c r="C26" s="181"/>
      <c r="D26" s="14">
        <f t="shared" si="0"/>
        <v>4944</v>
      </c>
      <c r="E26" s="17">
        <f t="shared" si="1"/>
        <v>130723.18631893769</v>
      </c>
      <c r="F26" s="21">
        <f t="shared" si="2"/>
        <v>26.44</v>
      </c>
    </row>
    <row r="27" spans="1:6" x14ac:dyDescent="0.2">
      <c r="A27" s="19">
        <v>23</v>
      </c>
      <c r="B27" s="180" t="s">
        <v>20</v>
      </c>
      <c r="C27" s="181"/>
      <c r="D27" s="14">
        <f t="shared" si="0"/>
        <v>117216</v>
      </c>
      <c r="E27" s="17">
        <f t="shared" si="1"/>
        <v>910423.40767811495</v>
      </c>
      <c r="F27" s="21">
        <f t="shared" si="2"/>
        <v>7.77</v>
      </c>
    </row>
    <row r="28" spans="1:6" x14ac:dyDescent="0.2">
      <c r="A28" s="19">
        <v>24</v>
      </c>
      <c r="B28" s="180" t="s">
        <v>21</v>
      </c>
      <c r="C28" s="181"/>
      <c r="D28" s="14">
        <f t="shared" si="0"/>
        <v>77968</v>
      </c>
      <c r="E28" s="17">
        <f t="shared" si="1"/>
        <v>543178.11952162907</v>
      </c>
      <c r="F28" s="21">
        <f t="shared" si="2"/>
        <v>6.97</v>
      </c>
    </row>
    <row r="29" spans="1:6" x14ac:dyDescent="0.2">
      <c r="A29" s="19">
        <v>25</v>
      </c>
      <c r="B29" s="180" t="s">
        <v>22</v>
      </c>
      <c r="C29" s="181"/>
      <c r="D29" s="14">
        <f t="shared" si="0"/>
        <v>668752</v>
      </c>
      <c r="E29" s="17">
        <f t="shared" si="1"/>
        <v>3291588.500235077</v>
      </c>
      <c r="F29" s="21">
        <f t="shared" si="2"/>
        <v>4.92</v>
      </c>
    </row>
    <row r="30" spans="1:6" x14ac:dyDescent="0.2">
      <c r="A30" s="19">
        <v>26</v>
      </c>
      <c r="B30" s="180" t="s">
        <v>23</v>
      </c>
      <c r="C30" s="181"/>
      <c r="D30" s="14">
        <f t="shared" si="0"/>
        <v>273008</v>
      </c>
      <c r="E30" s="17">
        <f t="shared" si="1"/>
        <v>2172259.3403237341</v>
      </c>
      <c r="F30" s="21">
        <f t="shared" si="2"/>
        <v>7.96</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4049744</v>
      </c>
      <c r="E33" s="31">
        <f>SUM(E5:E32)</f>
        <v>23387310.000000004</v>
      </c>
      <c r="F33" s="32">
        <f t="shared" si="2"/>
        <v>5.78</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IF(F3="1",SUMIF(Data!A:A,'37'!$A$2,Data!CU:CU),0)</f>
        <v>28384</v>
      </c>
      <c r="E36" s="15">
        <f>IF(F3="1",SUMIF(Data!$A:$A,$A$2,Data!IO:IO),0)</f>
        <v>62097</v>
      </c>
      <c r="F36" s="20">
        <f t="shared" ref="F36:F64" si="3">IF(OR(D36=0,E36=0),"",ROUND(E36/D36,2))</f>
        <v>2.19</v>
      </c>
    </row>
    <row r="37" spans="1:6" x14ac:dyDescent="0.2">
      <c r="A37" s="19">
        <v>2</v>
      </c>
      <c r="B37" s="180" t="s">
        <v>1</v>
      </c>
      <c r="C37" s="181"/>
      <c r="D37" s="14">
        <f>IF(F3="1",SUMIF(Data!A:A,'37'!$A$2,Data!CV:CV),0)</f>
        <v>49424</v>
      </c>
      <c r="E37" s="17">
        <f>IF(F3="1",SUMIF(Data!$A:$A,$A$2,Data!IP:IP),0)</f>
        <v>19622</v>
      </c>
      <c r="F37" s="21">
        <f t="shared" si="3"/>
        <v>0.4</v>
      </c>
    </row>
    <row r="38" spans="1:6" ht="14.25" customHeight="1" x14ac:dyDescent="0.2">
      <c r="A38" s="19">
        <v>3</v>
      </c>
      <c r="B38" s="180" t="s">
        <v>2</v>
      </c>
      <c r="C38" s="181"/>
      <c r="D38" s="14">
        <f>IF(F3="1",SUMIF(Data!A:A,'37'!$A$2,Data!CW:CW),0)</f>
        <v>443920</v>
      </c>
      <c r="E38" s="17">
        <f>IF($F$3="1",SUMIF(Data!$A:$A,$A$2,Data!IQ:IQ),0)</f>
        <v>139750</v>
      </c>
      <c r="F38" s="21">
        <f t="shared" si="3"/>
        <v>0.31</v>
      </c>
    </row>
    <row r="39" spans="1:6" ht="14.25" customHeight="1" x14ac:dyDescent="0.2">
      <c r="A39" s="19">
        <v>4</v>
      </c>
      <c r="B39" s="180" t="s">
        <v>3</v>
      </c>
      <c r="C39" s="181"/>
      <c r="D39" s="14">
        <f>IF(F3="1",SUMIF(Data!A:A,'37'!$A$2,Data!CX:CX),0)</f>
        <v>163104</v>
      </c>
      <c r="E39" s="17">
        <f>IF($F$3="1",SUMIF(Data!$A:$A,$A$2,Data!IR:IR),0)</f>
        <v>51247</v>
      </c>
      <c r="F39" s="21">
        <f t="shared" si="3"/>
        <v>0.31</v>
      </c>
    </row>
    <row r="40" spans="1:6" x14ac:dyDescent="0.2">
      <c r="A40" s="19">
        <v>5</v>
      </c>
      <c r="B40" s="180" t="s">
        <v>4</v>
      </c>
      <c r="C40" s="181"/>
      <c r="D40" s="14">
        <f>IF(F3="1",SUMIF(Data!A:A,'37'!$A$2,Data!CY:CY),0)</f>
        <v>0</v>
      </c>
      <c r="E40" s="17">
        <f>IF($F$3="1",SUMIF(Data!$A:$A,$A$2,Data!IS:IS),0)</f>
        <v>0</v>
      </c>
      <c r="F40" s="21" t="str">
        <f t="shared" si="3"/>
        <v/>
      </c>
    </row>
    <row r="41" spans="1:6" x14ac:dyDescent="0.2">
      <c r="A41" s="19">
        <v>6</v>
      </c>
      <c r="B41" s="180" t="s">
        <v>5</v>
      </c>
      <c r="C41" s="181"/>
      <c r="D41" s="14">
        <f>IF(F3="1",SUMIF(Data!A:A,'37'!$A$2,Data!CZ:CZ),0)</f>
        <v>94640</v>
      </c>
      <c r="E41" s="17">
        <f>IF($F$3="1",SUMIF(Data!$A:$A,$A$2,Data!IT:IT),0)</f>
        <v>153857</v>
      </c>
      <c r="F41" s="21">
        <f t="shared" si="3"/>
        <v>1.63</v>
      </c>
    </row>
    <row r="42" spans="1:6" x14ac:dyDescent="0.2">
      <c r="A42" s="19">
        <v>7</v>
      </c>
      <c r="B42" s="180" t="s">
        <v>6</v>
      </c>
      <c r="C42" s="181"/>
      <c r="D42" s="14">
        <f>IF(F3="1",SUMIF(Data!A:A,'37'!$A$2,Data!DA:DA),0)</f>
        <v>214368</v>
      </c>
      <c r="E42" s="17">
        <f>IF($F$3="1",SUMIF(Data!$A:$A,$A$2,Data!IU:IU),0)</f>
        <v>84799</v>
      </c>
      <c r="F42" s="21">
        <f t="shared" si="3"/>
        <v>0.4</v>
      </c>
    </row>
    <row r="43" spans="1:6" x14ac:dyDescent="0.2">
      <c r="A43" s="19">
        <v>8</v>
      </c>
      <c r="B43" s="180" t="s">
        <v>7</v>
      </c>
      <c r="C43" s="181"/>
      <c r="D43" s="14">
        <f>IF(F3="1",SUMIF(Data!A:A,'37'!$A$2,Data!DB:DB),0)</f>
        <v>19392</v>
      </c>
      <c r="E43" s="17">
        <f>IF($F$3="1",SUMIF(Data!$A:$A,$A$2,Data!IV:IV),0)</f>
        <v>1582</v>
      </c>
      <c r="F43" s="21">
        <f t="shared" si="3"/>
        <v>0.08</v>
      </c>
    </row>
    <row r="44" spans="1:6" x14ac:dyDescent="0.2">
      <c r="A44" s="19">
        <v>9</v>
      </c>
      <c r="B44" s="180" t="s">
        <v>8</v>
      </c>
      <c r="C44" s="181"/>
      <c r="D44" s="14">
        <f>IF(F3="1",SUMIF(Data!A:A,'37'!$A$2,Data!DC:DC),0)</f>
        <v>138832</v>
      </c>
      <c r="E44" s="17">
        <f>IF($F$3="1",SUMIF(Data!$A:$A,$A$2,Data!IW:IW),0)</f>
        <v>62493</v>
      </c>
      <c r="F44" s="21">
        <f t="shared" si="3"/>
        <v>0.45</v>
      </c>
    </row>
    <row r="45" spans="1:6" x14ac:dyDescent="0.2">
      <c r="A45" s="19">
        <v>10</v>
      </c>
      <c r="B45" s="180" t="s">
        <v>9</v>
      </c>
      <c r="C45" s="181"/>
      <c r="D45" s="14">
        <f>IF(F3="1",SUMIF(Data!A:A,'37'!$A$2,Data!DD:DD),0)</f>
        <v>640</v>
      </c>
      <c r="E45" s="17">
        <f>IF($F$3="1",SUMIF(Data!$A:$A,$A$2,Data!IX:IX),0)</f>
        <v>3014</v>
      </c>
      <c r="F45" s="21">
        <f t="shared" si="3"/>
        <v>4.71</v>
      </c>
    </row>
    <row r="46" spans="1:6" x14ac:dyDescent="0.2">
      <c r="A46" s="19">
        <v>11</v>
      </c>
      <c r="B46" s="180" t="s">
        <v>10</v>
      </c>
      <c r="C46" s="181"/>
      <c r="D46" s="14">
        <f>IF(F3="1",SUMIF(Data!A:A,'37'!$A$2,Data!DE:DE),0)</f>
        <v>49744</v>
      </c>
      <c r="E46" s="17">
        <f>IF($F$3="1",SUMIF(Data!$A:$A,$A$2,Data!IY:IY),0)</f>
        <v>27548</v>
      </c>
      <c r="F46" s="21">
        <f t="shared" si="3"/>
        <v>0.55000000000000004</v>
      </c>
    </row>
    <row r="47" spans="1:6" ht="14.25" customHeight="1" x14ac:dyDescent="0.2">
      <c r="A47" s="19">
        <v>12</v>
      </c>
      <c r="B47" s="180" t="s">
        <v>11</v>
      </c>
      <c r="C47" s="181"/>
      <c r="D47" s="14">
        <f>IF(F3="1",SUMIF(Data!A:A,'37'!$A$2,Data!DF:DF),0)</f>
        <v>763376</v>
      </c>
      <c r="E47" s="17">
        <f>IF($F$3="1",SUMIF(Data!$A:$A,$A$2,Data!IZ:IZ),0)</f>
        <v>62601</v>
      </c>
      <c r="F47" s="21">
        <f t="shared" si="3"/>
        <v>0.08</v>
      </c>
    </row>
    <row r="48" spans="1:6" x14ac:dyDescent="0.2">
      <c r="A48" s="19">
        <v>13</v>
      </c>
      <c r="B48" s="180" t="s">
        <v>12</v>
      </c>
      <c r="C48" s="181"/>
      <c r="D48" s="14">
        <f>IF(F3="1",SUMIF(Data!A:A,'37'!$A$2,Data!DG:DG),0)</f>
        <v>89920</v>
      </c>
      <c r="E48" s="17">
        <f>IF($F$3="1",SUMIF(Data!$A:$A,$A$2,Data!JA:JA),0)</f>
        <v>6385</v>
      </c>
      <c r="F48" s="21">
        <f t="shared" si="3"/>
        <v>7.0000000000000007E-2</v>
      </c>
    </row>
    <row r="49" spans="1:6" ht="14.25" customHeight="1" x14ac:dyDescent="0.2">
      <c r="A49" s="19">
        <v>14</v>
      </c>
      <c r="B49" s="180" t="s">
        <v>464</v>
      </c>
      <c r="C49" s="181"/>
      <c r="D49" s="14">
        <f>IF(F3="1",SUMIF(Data!A:A,'37'!$A$2,Data!DH:DH),0)</f>
        <v>93872</v>
      </c>
      <c r="E49" s="17">
        <f>IF($F$3="1",SUMIF(Data!$A:$A,$A$2,Data!JB:JB),0)</f>
        <v>61969</v>
      </c>
      <c r="F49" s="21">
        <f t="shared" si="3"/>
        <v>0.66</v>
      </c>
    </row>
    <row r="50" spans="1:6" x14ac:dyDescent="0.2">
      <c r="A50" s="19">
        <v>15</v>
      </c>
      <c r="B50" s="180" t="s">
        <v>13</v>
      </c>
      <c r="C50" s="181"/>
      <c r="D50" s="14">
        <f>IF(F3="1",SUMIF(Data!A:A,'37'!$A$2,Data!DI:DI),0)</f>
        <v>0</v>
      </c>
      <c r="E50" s="17">
        <f>IF($F$3="1",SUMIF(Data!$A:$A,$A$2,Data!JC:JC),0)</f>
        <v>0</v>
      </c>
      <c r="F50" s="21" t="str">
        <f t="shared" si="3"/>
        <v/>
      </c>
    </row>
    <row r="51" spans="1:6" x14ac:dyDescent="0.2">
      <c r="A51" s="19">
        <v>16</v>
      </c>
      <c r="B51" s="180" t="s">
        <v>14</v>
      </c>
      <c r="C51" s="181"/>
      <c r="D51" s="14">
        <f>IF(F3="1",SUMIF(Data!A:A,'37'!$A$2,Data!DJ:DJ),0)</f>
        <v>198480</v>
      </c>
      <c r="E51" s="17">
        <f>IF($F$3="1",SUMIF(Data!$A:$A,$A$2,Data!JD:JD),0)</f>
        <v>347837</v>
      </c>
      <c r="F51" s="21">
        <f t="shared" si="3"/>
        <v>1.75</v>
      </c>
    </row>
    <row r="52" spans="1:6" x14ac:dyDescent="0.2">
      <c r="A52" s="19">
        <v>17</v>
      </c>
      <c r="B52" s="180" t="s">
        <v>15</v>
      </c>
      <c r="C52" s="181"/>
      <c r="D52" s="14">
        <f>IF(F3="1",SUMIF(Data!A:A,'37'!$A$2,Data!DK:DK),0)</f>
        <v>26128</v>
      </c>
      <c r="E52" s="17">
        <f>IF($F$3="1",SUMIF(Data!$A:$A,$A$2,Data!JE:JE),0)</f>
        <v>20420</v>
      </c>
      <c r="F52" s="21">
        <f t="shared" si="3"/>
        <v>0.78</v>
      </c>
    </row>
    <row r="53" spans="1:6" x14ac:dyDescent="0.2">
      <c r="A53" s="19">
        <v>18</v>
      </c>
      <c r="B53" s="180" t="s">
        <v>16</v>
      </c>
      <c r="C53" s="181"/>
      <c r="D53" s="14">
        <f>IF(F3="1",SUMIF(Data!A:A,'37'!$A$2,Data!DL:DL),0)</f>
        <v>177168</v>
      </c>
      <c r="E53" s="17">
        <f>IF($F$3="1",SUMIF(Data!$A:$A,$A$2,Data!JF:JF),0)</f>
        <v>57410</v>
      </c>
      <c r="F53" s="21">
        <f t="shared" si="3"/>
        <v>0.32</v>
      </c>
    </row>
    <row r="54" spans="1:6" x14ac:dyDescent="0.2">
      <c r="A54" s="19">
        <v>19</v>
      </c>
      <c r="B54" s="180" t="s">
        <v>17</v>
      </c>
      <c r="C54" s="181"/>
      <c r="D54" s="14">
        <f>IF(F3="1",SUMIF(Data!A:A,'37'!$A$2,Data!DM:DM),0)</f>
        <v>278688</v>
      </c>
      <c r="E54" s="17">
        <f>IF($F$3="1",SUMIF(Data!$A:$A,$A$2,Data!JG:JG),0)</f>
        <v>42465</v>
      </c>
      <c r="F54" s="21">
        <f t="shared" si="3"/>
        <v>0.15</v>
      </c>
    </row>
    <row r="55" spans="1:6" x14ac:dyDescent="0.2">
      <c r="A55" s="19">
        <v>20</v>
      </c>
      <c r="B55" s="180" t="s">
        <v>18</v>
      </c>
      <c r="C55" s="181"/>
      <c r="D55" s="14">
        <f>IF(F3="1",SUMIF(Data!A:A,'37'!$A$2,Data!DN:DN),0)</f>
        <v>64128</v>
      </c>
      <c r="E55" s="17">
        <f>IF($F$3="1",SUMIF(Data!$A:$A,$A$2,Data!JH:JH),0)</f>
        <v>34826</v>
      </c>
      <c r="F55" s="21">
        <f t="shared" si="3"/>
        <v>0.54</v>
      </c>
    </row>
    <row r="56" spans="1:6" ht="14.25" customHeight="1" x14ac:dyDescent="0.2">
      <c r="A56" s="19">
        <v>21</v>
      </c>
      <c r="B56" s="180" t="s">
        <v>461</v>
      </c>
      <c r="C56" s="181"/>
      <c r="D56" s="14">
        <f>IF(F3="1",SUMIF(Data!A:A,'37'!$A$2,Data!DO:DO),0)</f>
        <v>13648</v>
      </c>
      <c r="E56" s="17">
        <f>IF($F$3="1",SUMIF(Data!$A:$A,$A$2,Data!JI:JI),0)</f>
        <v>175495</v>
      </c>
      <c r="F56" s="21">
        <f t="shared" si="3"/>
        <v>12.86</v>
      </c>
    </row>
    <row r="57" spans="1:6" x14ac:dyDescent="0.2">
      <c r="A57" s="19">
        <v>22</v>
      </c>
      <c r="B57" s="180" t="s">
        <v>19</v>
      </c>
      <c r="C57" s="181"/>
      <c r="D57" s="14">
        <f>IF(F3="1",SUMIF(Data!A:A,'37'!$A$2,Data!DP:DP),0)</f>
        <v>4944</v>
      </c>
      <c r="E57" s="17">
        <f>IF($F$3="1",SUMIF(Data!$A:$A,$A$2,Data!JJ:JJ),0)</f>
        <v>16974</v>
      </c>
      <c r="F57" s="21">
        <f t="shared" si="3"/>
        <v>3.43</v>
      </c>
    </row>
    <row r="58" spans="1:6" x14ac:dyDescent="0.2">
      <c r="A58" s="19">
        <v>23</v>
      </c>
      <c r="B58" s="180" t="s">
        <v>20</v>
      </c>
      <c r="C58" s="181"/>
      <c r="D58" s="14">
        <f>IF(F3="1",SUMIF(Data!A:A,'37'!$A$2,Data!DQ:DQ),0)</f>
        <v>117216</v>
      </c>
      <c r="E58" s="17">
        <f>IF($F$3="1",SUMIF(Data!$A:$A,$A$2,Data!JK:JK),0)</f>
        <v>88296</v>
      </c>
      <c r="F58" s="21">
        <f t="shared" si="3"/>
        <v>0.75</v>
      </c>
    </row>
    <row r="59" spans="1:6" x14ac:dyDescent="0.2">
      <c r="A59" s="19">
        <v>24</v>
      </c>
      <c r="B59" s="180" t="s">
        <v>21</v>
      </c>
      <c r="C59" s="181"/>
      <c r="D59" s="14">
        <f>IF(F3="1",SUMIF(Data!A:A,'37'!$A$2,Data!DR:DR),0)</f>
        <v>77968</v>
      </c>
      <c r="E59" s="17">
        <f>IF($F$3="1",SUMIF(Data!$A:$A,$A$2,Data!JL:JL),0)</f>
        <v>52413</v>
      </c>
      <c r="F59" s="21">
        <f t="shared" si="3"/>
        <v>0.67</v>
      </c>
    </row>
    <row r="60" spans="1:6" x14ac:dyDescent="0.2">
      <c r="A60" s="19">
        <v>25</v>
      </c>
      <c r="B60" s="180" t="s">
        <v>22</v>
      </c>
      <c r="C60" s="181"/>
      <c r="D60" s="14">
        <f>IF(F3="1",SUMIF(Data!A:A,'37'!$A$2,Data!DS:DS),0)</f>
        <v>668752</v>
      </c>
      <c r="E60" s="17">
        <f>IF($F$3="1",SUMIF(Data!$A:$A,$A$2,Data!JM:JM),0)</f>
        <v>69147</v>
      </c>
      <c r="F60" s="21">
        <f t="shared" si="3"/>
        <v>0.1</v>
      </c>
    </row>
    <row r="61" spans="1:6" x14ac:dyDescent="0.2">
      <c r="A61" s="19">
        <v>26</v>
      </c>
      <c r="B61" s="180" t="s">
        <v>23</v>
      </c>
      <c r="C61" s="181"/>
      <c r="D61" s="14">
        <f>IF(F3="1",SUMIF(Data!A:A,'37'!$A$2,Data!DT:DT),0)</f>
        <v>273008</v>
      </c>
      <c r="E61" s="17">
        <f>IF($F$3="1",SUMIF(Data!$A:$A,$A$2,Data!JN:JN),0)</f>
        <v>94354</v>
      </c>
      <c r="F61" s="21">
        <f t="shared" si="3"/>
        <v>0.35</v>
      </c>
    </row>
    <row r="62" spans="1:6" x14ac:dyDescent="0.2">
      <c r="A62" s="19">
        <v>28</v>
      </c>
      <c r="B62" s="180" t="s">
        <v>24</v>
      </c>
      <c r="C62" s="181"/>
      <c r="D62" s="14">
        <f>IF(F3="1",SUMIF(Data!A:A,'37'!$A$2,Data!DV:DV),0)</f>
        <v>0</v>
      </c>
      <c r="E62" s="17">
        <f>IF($F$3="1",SUMIF(Data!$A:$A,$A$2,Data!JP:JP),0)</f>
        <v>0</v>
      </c>
      <c r="F62" s="21" t="str">
        <f t="shared" si="3"/>
        <v/>
      </c>
    </row>
    <row r="63" spans="1:6" ht="15.75" customHeight="1" thickBot="1" x14ac:dyDescent="0.25">
      <c r="A63" s="22">
        <v>29</v>
      </c>
      <c r="B63" s="184" t="s">
        <v>25</v>
      </c>
      <c r="C63" s="185"/>
      <c r="D63" s="23">
        <f>IF(F3="1",SUMIF(Data!A:A,'37'!$A$2,Data!DW:DW),0)</f>
        <v>0</v>
      </c>
      <c r="E63" s="24">
        <f>IF($F$3="1",SUMIF(Data!$A:$A,$A$2,Data!JQ:JQ),0)</f>
        <v>0</v>
      </c>
      <c r="F63" s="25" t="str">
        <f t="shared" si="3"/>
        <v/>
      </c>
    </row>
    <row r="64" spans="1:6" x14ac:dyDescent="0.2">
      <c r="B64" s="30" t="s">
        <v>35</v>
      </c>
      <c r="C64" s="30"/>
      <c r="D64" s="59">
        <f>SUM(D36:D63)</f>
        <v>4049744</v>
      </c>
      <c r="E64" s="31">
        <f>SUM(E36:E63)</f>
        <v>1736601</v>
      </c>
      <c r="F64" s="32">
        <f t="shared" si="3"/>
        <v>0.43</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28384</v>
      </c>
      <c r="E67" s="15">
        <f>IF(F3="1",SUMIF(Data!A:A,'37'!$A$2,Data!DY:DY),0)</f>
        <v>150932</v>
      </c>
      <c r="F67" s="20">
        <f t="shared" ref="F67:F95" si="4">IF(OR(D67=0,E67=0),"",ROUND(E67/D67,2))</f>
        <v>5.32</v>
      </c>
    </row>
    <row r="68" spans="1:6" x14ac:dyDescent="0.2">
      <c r="A68" s="19">
        <v>2</v>
      </c>
      <c r="B68" s="180" t="s">
        <v>1</v>
      </c>
      <c r="C68" s="181"/>
      <c r="D68" s="14">
        <f t="shared" ref="D68:D94" si="5">D37</f>
        <v>49424</v>
      </c>
      <c r="E68" s="17">
        <f>IF(F3="1",SUMIF(Data!A:A,'37'!$A$2,Data!DZ:DZ),0)</f>
        <v>269757</v>
      </c>
      <c r="F68" s="21">
        <f t="shared" si="4"/>
        <v>5.46</v>
      </c>
    </row>
    <row r="69" spans="1:6" ht="14.25" customHeight="1" x14ac:dyDescent="0.2">
      <c r="A69" s="19">
        <v>3</v>
      </c>
      <c r="B69" s="180" t="s">
        <v>2</v>
      </c>
      <c r="C69" s="181"/>
      <c r="D69" s="14">
        <f t="shared" si="5"/>
        <v>443920</v>
      </c>
      <c r="E69" s="17">
        <f>IF(F3="1",SUMIF(Data!A:A,'37'!$A$2,Data!EA:EA),0)</f>
        <v>999051</v>
      </c>
      <c r="F69" s="21">
        <f t="shared" si="4"/>
        <v>2.25</v>
      </c>
    </row>
    <row r="70" spans="1:6" ht="14.25" customHeight="1" x14ac:dyDescent="0.2">
      <c r="A70" s="19">
        <v>4</v>
      </c>
      <c r="B70" s="180" t="s">
        <v>3</v>
      </c>
      <c r="C70" s="181"/>
      <c r="D70" s="14">
        <f t="shared" si="5"/>
        <v>163104</v>
      </c>
      <c r="E70" s="17">
        <f>IF(F3="1",SUMIF(Data!A:A,'37'!$A$2,Data!EB:EB),0)</f>
        <v>699664</v>
      </c>
      <c r="F70" s="21">
        <f t="shared" si="4"/>
        <v>4.29</v>
      </c>
    </row>
    <row r="71" spans="1:6" x14ac:dyDescent="0.2">
      <c r="A71" s="19">
        <v>5</v>
      </c>
      <c r="B71" s="180" t="s">
        <v>4</v>
      </c>
      <c r="C71" s="181"/>
      <c r="D71" s="14">
        <f t="shared" si="5"/>
        <v>0</v>
      </c>
      <c r="E71" s="17">
        <f>IF(F3="1",SUMIF(Data!A:A,'37'!$A$2,Data!EC:EC),0)</f>
        <v>0</v>
      </c>
      <c r="F71" s="21" t="str">
        <f t="shared" si="4"/>
        <v/>
      </c>
    </row>
    <row r="72" spans="1:6" x14ac:dyDescent="0.2">
      <c r="A72" s="19">
        <v>6</v>
      </c>
      <c r="B72" s="180" t="s">
        <v>5</v>
      </c>
      <c r="C72" s="181"/>
      <c r="D72" s="14">
        <f t="shared" si="5"/>
        <v>94640</v>
      </c>
      <c r="E72" s="17">
        <f>IF(F3="1",SUMIF(Data!A:A,'37'!$A$2,Data!ED:ED),0)</f>
        <v>255688</v>
      </c>
      <c r="F72" s="21">
        <f t="shared" si="4"/>
        <v>2.7</v>
      </c>
    </row>
    <row r="73" spans="1:6" x14ac:dyDescent="0.2">
      <c r="A73" s="19">
        <v>7</v>
      </c>
      <c r="B73" s="180" t="s">
        <v>6</v>
      </c>
      <c r="C73" s="181"/>
      <c r="D73" s="14">
        <f t="shared" si="5"/>
        <v>214368</v>
      </c>
      <c r="E73" s="17">
        <f>IF(F3="1",SUMIF(Data!A:A,'37'!$A$2,Data!EE:EE),0)</f>
        <v>421924</v>
      </c>
      <c r="F73" s="21">
        <f t="shared" si="4"/>
        <v>1.97</v>
      </c>
    </row>
    <row r="74" spans="1:6" x14ac:dyDescent="0.2">
      <c r="A74" s="19">
        <v>8</v>
      </c>
      <c r="B74" s="180" t="s">
        <v>7</v>
      </c>
      <c r="C74" s="181"/>
      <c r="D74" s="14">
        <f t="shared" si="5"/>
        <v>19392</v>
      </c>
      <c r="E74" s="17">
        <f>IF(F3="1",SUMIF(Data!A:A,'37'!$A$2,Data!EF:EF),0)</f>
        <v>65582</v>
      </c>
      <c r="F74" s="21">
        <f t="shared" si="4"/>
        <v>3.38</v>
      </c>
    </row>
    <row r="75" spans="1:6" x14ac:dyDescent="0.2">
      <c r="A75" s="19">
        <v>9</v>
      </c>
      <c r="B75" s="180" t="s">
        <v>8</v>
      </c>
      <c r="C75" s="181"/>
      <c r="D75" s="14">
        <f t="shared" si="5"/>
        <v>138832</v>
      </c>
      <c r="E75" s="17">
        <f>IF(F3="1",SUMIF(Data!A:A,'37'!$A$2,Data!EG:EG),0)</f>
        <v>287388</v>
      </c>
      <c r="F75" s="21">
        <f t="shared" si="4"/>
        <v>2.0699999999999998</v>
      </c>
    </row>
    <row r="76" spans="1:6" x14ac:dyDescent="0.2">
      <c r="A76" s="19">
        <v>10</v>
      </c>
      <c r="B76" s="180" t="s">
        <v>9</v>
      </c>
      <c r="C76" s="181"/>
      <c r="D76" s="14">
        <f t="shared" si="5"/>
        <v>640</v>
      </c>
      <c r="E76" s="17">
        <f>IF(F3="1",SUMIF(Data!A:A,'37'!$A$2,Data!EH:EH),0)</f>
        <v>2902</v>
      </c>
      <c r="F76" s="21">
        <f t="shared" si="4"/>
        <v>4.53</v>
      </c>
    </row>
    <row r="77" spans="1:6" x14ac:dyDescent="0.2">
      <c r="A77" s="19">
        <v>11</v>
      </c>
      <c r="B77" s="180" t="s">
        <v>10</v>
      </c>
      <c r="C77" s="181"/>
      <c r="D77" s="14">
        <f t="shared" si="5"/>
        <v>49744</v>
      </c>
      <c r="E77" s="17">
        <f>IF(F3="1",SUMIF(Data!A:A,'37'!$A$2,Data!EI:EI),0)</f>
        <v>265688</v>
      </c>
      <c r="F77" s="21">
        <f t="shared" si="4"/>
        <v>5.34</v>
      </c>
    </row>
    <row r="78" spans="1:6" ht="14.25" customHeight="1" x14ac:dyDescent="0.2">
      <c r="A78" s="19">
        <v>12</v>
      </c>
      <c r="B78" s="180" t="s">
        <v>11</v>
      </c>
      <c r="C78" s="181"/>
      <c r="D78" s="14">
        <f t="shared" si="5"/>
        <v>763376</v>
      </c>
      <c r="E78" s="17">
        <f>IF(F3="1",SUMIF(Data!A:A,'37'!$A$2,Data!EJ:EJ),0)</f>
        <v>1944484</v>
      </c>
      <c r="F78" s="21">
        <f t="shared" si="4"/>
        <v>2.5499999999999998</v>
      </c>
    </row>
    <row r="79" spans="1:6" x14ac:dyDescent="0.2">
      <c r="A79" s="19">
        <v>13</v>
      </c>
      <c r="B79" s="180" t="s">
        <v>12</v>
      </c>
      <c r="C79" s="181"/>
      <c r="D79" s="14">
        <f t="shared" si="5"/>
        <v>89920</v>
      </c>
      <c r="E79" s="17">
        <f>IF(F3="1",SUMIF(Data!A:A,'37'!$A$2,Data!EK:EK),0)</f>
        <v>219380</v>
      </c>
      <c r="F79" s="21">
        <f t="shared" si="4"/>
        <v>2.44</v>
      </c>
    </row>
    <row r="80" spans="1:6" ht="14.25" customHeight="1" x14ac:dyDescent="0.2">
      <c r="A80" s="19">
        <v>14</v>
      </c>
      <c r="B80" s="180" t="s">
        <v>464</v>
      </c>
      <c r="C80" s="181"/>
      <c r="D80" s="14">
        <f t="shared" si="5"/>
        <v>93872</v>
      </c>
      <c r="E80" s="17">
        <f>IF(F3="1",SUMIF(Data!A:A,'37'!$A$2,Data!EL:EL),0)</f>
        <v>346800</v>
      </c>
      <c r="F80" s="21">
        <f t="shared" si="4"/>
        <v>3.69</v>
      </c>
    </row>
    <row r="81" spans="1:6" x14ac:dyDescent="0.2">
      <c r="A81" s="19">
        <v>15</v>
      </c>
      <c r="B81" s="180" t="s">
        <v>13</v>
      </c>
      <c r="C81" s="181"/>
      <c r="D81" s="14">
        <f t="shared" si="5"/>
        <v>0</v>
      </c>
      <c r="E81" s="17">
        <f>IF(F3="1",SUMIF(Data!A:A,'37'!$A$2,Data!EM:EM),0)</f>
        <v>0</v>
      </c>
      <c r="F81" s="21" t="str">
        <f t="shared" si="4"/>
        <v/>
      </c>
    </row>
    <row r="82" spans="1:6" x14ac:dyDescent="0.2">
      <c r="A82" s="19">
        <v>16</v>
      </c>
      <c r="B82" s="180" t="s">
        <v>14</v>
      </c>
      <c r="C82" s="181"/>
      <c r="D82" s="14">
        <f t="shared" si="5"/>
        <v>198480</v>
      </c>
      <c r="E82" s="17">
        <f>IF(F3="1",SUMIF(Data!A:A,'37'!$A$2,Data!EN:EN),0)</f>
        <v>384395</v>
      </c>
      <c r="F82" s="21">
        <f t="shared" si="4"/>
        <v>1.94</v>
      </c>
    </row>
    <row r="83" spans="1:6" x14ac:dyDescent="0.2">
      <c r="A83" s="19">
        <v>17</v>
      </c>
      <c r="B83" s="180" t="s">
        <v>15</v>
      </c>
      <c r="C83" s="181"/>
      <c r="D83" s="14">
        <f t="shared" si="5"/>
        <v>26128</v>
      </c>
      <c r="E83" s="17">
        <f>IF(F3="1",SUMIF(Data!A:A,'37'!$A$2,Data!EO:EO),0)</f>
        <v>84418</v>
      </c>
      <c r="F83" s="21">
        <f t="shared" si="4"/>
        <v>3.23</v>
      </c>
    </row>
    <row r="84" spans="1:6" x14ac:dyDescent="0.2">
      <c r="A84" s="19">
        <v>18</v>
      </c>
      <c r="B84" s="180" t="s">
        <v>16</v>
      </c>
      <c r="C84" s="181"/>
      <c r="D84" s="14">
        <f t="shared" si="5"/>
        <v>177168</v>
      </c>
      <c r="E84" s="17">
        <f>IF(F3="1",SUMIF(Data!A:A,'37'!$A$2,Data!EP:EP),0)</f>
        <v>469243</v>
      </c>
      <c r="F84" s="21">
        <f t="shared" si="4"/>
        <v>2.65</v>
      </c>
    </row>
    <row r="85" spans="1:6" x14ac:dyDescent="0.2">
      <c r="A85" s="19">
        <v>19</v>
      </c>
      <c r="B85" s="180" t="s">
        <v>17</v>
      </c>
      <c r="C85" s="181"/>
      <c r="D85" s="14">
        <f t="shared" si="5"/>
        <v>278688</v>
      </c>
      <c r="E85" s="17">
        <f>IF(F3="1",SUMIF(Data!A:A,'37'!$A$2,Data!EQ:EQ),0)</f>
        <v>843746</v>
      </c>
      <c r="F85" s="21">
        <f t="shared" si="4"/>
        <v>3.03</v>
      </c>
    </row>
    <row r="86" spans="1:6" x14ac:dyDescent="0.2">
      <c r="A86" s="19">
        <v>20</v>
      </c>
      <c r="B86" s="180" t="s">
        <v>18</v>
      </c>
      <c r="C86" s="181"/>
      <c r="D86" s="14">
        <f t="shared" si="5"/>
        <v>64128</v>
      </c>
      <c r="E86" s="17">
        <f>IF(F3="1",SUMIF(Data!A:A,'37'!$A$2,Data!ER:ER),0)</f>
        <v>129539</v>
      </c>
      <c r="F86" s="21">
        <f t="shared" si="4"/>
        <v>2.02</v>
      </c>
    </row>
    <row r="87" spans="1:6" ht="14.25" customHeight="1" x14ac:dyDescent="0.2">
      <c r="A87" s="19">
        <v>21</v>
      </c>
      <c r="B87" s="180" t="s">
        <v>461</v>
      </c>
      <c r="C87" s="181"/>
      <c r="D87" s="14">
        <f t="shared" si="5"/>
        <v>13648</v>
      </c>
      <c r="E87" s="17">
        <f>IF(F3="1",SUMIF(Data!A:A,'37'!$A$2,Data!ES:ES),0)</f>
        <v>69827</v>
      </c>
      <c r="F87" s="21">
        <f t="shared" si="4"/>
        <v>5.12</v>
      </c>
    </row>
    <row r="88" spans="1:6" x14ac:dyDescent="0.2">
      <c r="A88" s="19">
        <v>22</v>
      </c>
      <c r="B88" s="180" t="s">
        <v>19</v>
      </c>
      <c r="C88" s="181"/>
      <c r="D88" s="14">
        <f t="shared" si="5"/>
        <v>4944</v>
      </c>
      <c r="E88" s="17">
        <f>IF(F3="1",SUMIF(Data!A:A,'37'!$A$2,Data!ET:ET),0)</f>
        <v>101825</v>
      </c>
      <c r="F88" s="21">
        <f t="shared" si="4"/>
        <v>20.6</v>
      </c>
    </row>
    <row r="89" spans="1:6" x14ac:dyDescent="0.2">
      <c r="A89" s="19">
        <v>23</v>
      </c>
      <c r="B89" s="180" t="s">
        <v>20</v>
      </c>
      <c r="C89" s="181"/>
      <c r="D89" s="14">
        <f t="shared" si="5"/>
        <v>117216</v>
      </c>
      <c r="E89" s="17">
        <f>IF(F3="1",SUMIF(Data!A:A,'37'!$A$2,Data!EU:EU),0)</f>
        <v>539420</v>
      </c>
      <c r="F89" s="21">
        <f t="shared" si="4"/>
        <v>4.5999999999999996</v>
      </c>
    </row>
    <row r="90" spans="1:6" x14ac:dyDescent="0.2">
      <c r="A90" s="19">
        <v>24</v>
      </c>
      <c r="B90" s="180" t="s">
        <v>21</v>
      </c>
      <c r="C90" s="181"/>
      <c r="D90" s="14">
        <f t="shared" si="5"/>
        <v>77968</v>
      </c>
      <c r="E90" s="17">
        <f>IF(F3="1",SUMIF(Data!A:A,'37'!$A$2,Data!EV:EV),0)</f>
        <v>302718</v>
      </c>
      <c r="F90" s="21">
        <f t="shared" si="4"/>
        <v>3.88</v>
      </c>
    </row>
    <row r="91" spans="1:6" x14ac:dyDescent="0.2">
      <c r="A91" s="19">
        <v>25</v>
      </c>
      <c r="B91" s="180" t="s">
        <v>22</v>
      </c>
      <c r="C91" s="181"/>
      <c r="D91" s="14">
        <f t="shared" si="5"/>
        <v>668752</v>
      </c>
      <c r="E91" s="17">
        <f>IF(F3="1",SUMIF(Data!A:A,'37'!$A$2,Data!EW:EW),0)</f>
        <v>1609512</v>
      </c>
      <c r="F91" s="21">
        <f t="shared" si="4"/>
        <v>2.41</v>
      </c>
    </row>
    <row r="92" spans="1:6" x14ac:dyDescent="0.2">
      <c r="A92" s="19">
        <v>26</v>
      </c>
      <c r="B92" s="180" t="s">
        <v>23</v>
      </c>
      <c r="C92" s="181"/>
      <c r="D92" s="14">
        <f t="shared" si="5"/>
        <v>273008</v>
      </c>
      <c r="E92" s="17">
        <f>IF(F3="1",SUMIF(Data!A:A,'37'!$A$2,Data!EX:EX),0)</f>
        <v>1419451</v>
      </c>
      <c r="F92" s="21">
        <f t="shared" si="4"/>
        <v>5.2</v>
      </c>
    </row>
    <row r="93" spans="1:6" x14ac:dyDescent="0.2">
      <c r="A93" s="19">
        <v>28</v>
      </c>
      <c r="B93" s="180" t="s">
        <v>24</v>
      </c>
      <c r="C93" s="181"/>
      <c r="D93" s="14">
        <f t="shared" si="5"/>
        <v>0</v>
      </c>
      <c r="E93" s="17">
        <f>IF(F3="1",SUMIF(Data!A:A,'37'!$A$2,Data!EZ:EZ),0)</f>
        <v>0</v>
      </c>
      <c r="F93" s="21" t="str">
        <f t="shared" si="4"/>
        <v/>
      </c>
    </row>
    <row r="94" spans="1:6" ht="15.75" customHeight="1" thickBot="1" x14ac:dyDescent="0.25">
      <c r="A94" s="22">
        <v>29</v>
      </c>
      <c r="B94" s="184" t="s">
        <v>25</v>
      </c>
      <c r="C94" s="185"/>
      <c r="D94" s="23">
        <f t="shared" si="5"/>
        <v>0</v>
      </c>
      <c r="E94" s="24">
        <f>IF(F3="1",SUMIF(Data!A:A,'37'!$A$2,Data!FA:FA),0)</f>
        <v>0</v>
      </c>
      <c r="F94" s="25" t="str">
        <f t="shared" si="4"/>
        <v/>
      </c>
    </row>
    <row r="95" spans="1:6" x14ac:dyDescent="0.2">
      <c r="B95" s="30" t="s">
        <v>35</v>
      </c>
      <c r="C95" s="30"/>
      <c r="D95" s="59">
        <f>SUM(D67:D94)</f>
        <v>4049744</v>
      </c>
      <c r="E95" s="31">
        <f>SUM(E67:E94)</f>
        <v>11883334</v>
      </c>
      <c r="F95" s="32">
        <f t="shared" si="4"/>
        <v>2.93</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IF(F3="1",SUMIF(Data!A:A,'37'!$A$2,Data!AH:AH),0)</f>
        <v>2674495</v>
      </c>
      <c r="F98" s="20">
        <f>IF(OR(E98=0,E98=0),"",ROUND(E98/$D$105,2))</f>
        <v>0.66</v>
      </c>
    </row>
    <row r="99" spans="2:6" x14ac:dyDescent="0.2">
      <c r="B99" s="190" t="s">
        <v>31</v>
      </c>
      <c r="C99" s="191"/>
      <c r="D99" s="36"/>
      <c r="E99" s="17">
        <f>IF(F3="1",SUMIF(Data!A:A,'37'!$A$2,Data!AI:AI),0)</f>
        <v>2549414</v>
      </c>
      <c r="F99" s="21">
        <f t="shared" ref="F99:F104" si="6">IF(OR(E99=0,E99=0),"",ROUND(E99/$D$105,2))</f>
        <v>0.63</v>
      </c>
    </row>
    <row r="100" spans="2:6" x14ac:dyDescent="0.2">
      <c r="B100" s="190" t="s">
        <v>1089</v>
      </c>
      <c r="C100" s="191"/>
      <c r="D100" s="36"/>
      <c r="E100" s="17">
        <f>IF(F3="1",SUMIF(Data!A:A,'37'!$A$2,Data!AJ:AJ),0)</f>
        <v>486937</v>
      </c>
      <c r="F100" s="21">
        <f t="shared" si="6"/>
        <v>0.12</v>
      </c>
    </row>
    <row r="101" spans="2:6" x14ac:dyDescent="0.2">
      <c r="B101" s="190" t="s">
        <v>1090</v>
      </c>
      <c r="C101" s="191"/>
      <c r="D101" s="36"/>
      <c r="E101" s="17">
        <f>IF(F3="1",SUMIF(Data!A:A,'37'!$A$2,Data!AK:AK),0)</f>
        <v>906111</v>
      </c>
      <c r="F101" s="21">
        <f t="shared" si="6"/>
        <v>0.22</v>
      </c>
    </row>
    <row r="102" spans="2:6" x14ac:dyDescent="0.2">
      <c r="B102" s="190" t="s">
        <v>1091</v>
      </c>
      <c r="C102" s="191"/>
      <c r="D102" s="36"/>
      <c r="E102" s="17">
        <f>IF(F3="1",SUMIF(Data!A:A,'37'!$A$2,Data!AL:AL),0)</f>
        <v>299550</v>
      </c>
      <c r="F102" s="21">
        <f t="shared" si="6"/>
        <v>7.0000000000000007E-2</v>
      </c>
    </row>
    <row r="103" spans="2:6" x14ac:dyDescent="0.2">
      <c r="B103" s="192" t="s">
        <v>34</v>
      </c>
      <c r="C103" s="193"/>
      <c r="D103" s="36"/>
      <c r="E103" s="17">
        <f>IF(F3="1",SUMIF(Data!A:A,'37'!$A$2,Data!AM:AM),0)</f>
        <v>0</v>
      </c>
      <c r="F103" s="21" t="str">
        <f t="shared" si="6"/>
        <v/>
      </c>
    </row>
    <row r="104" spans="2:6" ht="15.75" customHeight="1" thickBot="1" x14ac:dyDescent="0.25">
      <c r="B104" s="186" t="s">
        <v>29</v>
      </c>
      <c r="C104" s="187"/>
      <c r="D104" s="37"/>
      <c r="E104" s="24">
        <f>IF(F3="1",SUMIF(Data!A:A,'37'!$A$2,Data!Q:Q),0)</f>
        <v>2850868</v>
      </c>
      <c r="F104" s="25">
        <f t="shared" si="6"/>
        <v>0.7</v>
      </c>
    </row>
    <row r="105" spans="2:6" x14ac:dyDescent="0.2">
      <c r="B105" s="30" t="s">
        <v>35</v>
      </c>
      <c r="C105" s="30"/>
      <c r="D105" s="34">
        <f>D95</f>
        <v>4049744</v>
      </c>
      <c r="E105" s="31">
        <f>SUM(E98:E104)</f>
        <v>9767375</v>
      </c>
      <c r="F105" s="32">
        <f>IF($D$105=0,"",ROUND(E105/$D$105,2))</f>
        <v>2.41</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11883334</v>
      </c>
      <c r="D109" s="15">
        <f>IF(F3="1",SUMIF(Data!$A:$A,$A$2,Data!HJ:HJ),0)</f>
        <v>0</v>
      </c>
      <c r="E109" s="15">
        <f>IF(F3="1",SUMIF(Data!$A:$A,$A$2,Data!IN:IN),0)</f>
        <v>0</v>
      </c>
      <c r="F109" s="47">
        <f>SUM(C109:E109)</f>
        <v>11883334</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299550</v>
      </c>
      <c r="F116" s="48">
        <f t="shared" si="7"/>
        <v>299550</v>
      </c>
    </row>
    <row r="117" spans="1:6" ht="15" thickBot="1" x14ac:dyDescent="0.25">
      <c r="B117" s="43" t="s">
        <v>933</v>
      </c>
      <c r="C117" s="52"/>
      <c r="D117" s="52">
        <f>IF(F3="1",SUMIF(Data!A:A,$A$2,Data!Q:Q),0)</f>
        <v>2850868</v>
      </c>
      <c r="E117" s="52"/>
      <c r="F117" s="49">
        <f>SUM(C117:E117)</f>
        <v>2850868</v>
      </c>
    </row>
    <row r="118" spans="1:6" x14ac:dyDescent="0.2">
      <c r="B118" s="13" t="s">
        <v>35</v>
      </c>
      <c r="C118" s="4">
        <f>SUM(C109:C116)</f>
        <v>11883334</v>
      </c>
      <c r="D118" s="4">
        <f>SUM(D109:D116)</f>
        <v>0</v>
      </c>
      <c r="E118" s="4">
        <f>SUM(E109:E116)</f>
        <v>299550</v>
      </c>
      <c r="F118" s="4">
        <f>SUM(F109:F116)</f>
        <v>12182884</v>
      </c>
    </row>
    <row r="119" spans="1:6" ht="15" thickBot="1" x14ac:dyDescent="0.25"/>
    <row r="120" spans="1:6" ht="15" thickBot="1" x14ac:dyDescent="0.25">
      <c r="B120" s="55" t="s">
        <v>934</v>
      </c>
      <c r="C120" s="53"/>
      <c r="D120" s="53"/>
      <c r="E120" s="53">
        <f>IF(F3="1",SUMIF(Data!A:A,'37'!$A$2,Data!AM:AM),0)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5703125" style="10" bestFit="1" customWidth="1"/>
    <col min="13" max="13" width="13.42578125" style="10" bestFit="1" customWidth="1"/>
    <col min="14" max="14" width="13.5703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1081</v>
      </c>
      <c r="B2" s="58" t="str">
        <f>VLOOKUP(A2,Data!A:G,7,0)</f>
        <v>South Texas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4864</v>
      </c>
      <c r="E5" s="15">
        <f>E36+E67+IFERROR($E$105/$D$105*D5,0)</f>
        <v>31172.210567629776</v>
      </c>
      <c r="F5" s="20">
        <f>IF(OR(D5=0,E5=0),"",ROUND(E5/D5,2))</f>
        <v>6.41</v>
      </c>
    </row>
    <row r="6" spans="1:6" x14ac:dyDescent="0.2">
      <c r="A6" s="19">
        <v>2</v>
      </c>
      <c r="B6" s="180" t="s">
        <v>1</v>
      </c>
      <c r="C6" s="181"/>
      <c r="D6" s="14">
        <f t="shared" ref="D6:D32" si="0">D37</f>
        <v>90992</v>
      </c>
      <c r="E6" s="17">
        <f t="shared" ref="E6:E32" si="1">E37+E68+IFERROR($E$105/$D$105*D6,0)</f>
        <v>894896.83716483728</v>
      </c>
      <c r="F6" s="21">
        <f t="shared" ref="F6:F33" si="2">IF(OR(D6=0,E6=0),"",ROUND(E6/D6,2))</f>
        <v>9.83</v>
      </c>
    </row>
    <row r="7" spans="1:6" ht="14.25" customHeight="1" x14ac:dyDescent="0.2">
      <c r="A7" s="19">
        <v>3</v>
      </c>
      <c r="B7" s="180" t="s">
        <v>2</v>
      </c>
      <c r="C7" s="181"/>
      <c r="D7" s="14">
        <f t="shared" si="0"/>
        <v>666528</v>
      </c>
      <c r="E7" s="17">
        <f t="shared" si="1"/>
        <v>4287688.6639023721</v>
      </c>
      <c r="F7" s="21">
        <f t="shared" si="2"/>
        <v>6.43</v>
      </c>
    </row>
    <row r="8" spans="1:6" ht="14.25" customHeight="1" x14ac:dyDescent="0.2">
      <c r="A8" s="19">
        <v>4</v>
      </c>
      <c r="B8" s="180" t="s">
        <v>3</v>
      </c>
      <c r="C8" s="181"/>
      <c r="D8" s="14">
        <f t="shared" si="0"/>
        <v>279072</v>
      </c>
      <c r="E8" s="17">
        <f t="shared" si="1"/>
        <v>2698760.7063177582</v>
      </c>
      <c r="F8" s="21">
        <f t="shared" si="2"/>
        <v>9.67</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0</v>
      </c>
      <c r="E10" s="17">
        <f t="shared" si="1"/>
        <v>0</v>
      </c>
      <c r="F10" s="21" t="str">
        <f t="shared" si="2"/>
        <v/>
      </c>
    </row>
    <row r="11" spans="1:6" x14ac:dyDescent="0.2">
      <c r="A11" s="19">
        <v>7</v>
      </c>
      <c r="B11" s="180" t="s">
        <v>6</v>
      </c>
      <c r="C11" s="181"/>
      <c r="D11" s="14">
        <f t="shared" si="0"/>
        <v>460960</v>
      </c>
      <c r="E11" s="17">
        <f t="shared" si="1"/>
        <v>3528824.2909651771</v>
      </c>
      <c r="F11" s="21">
        <f t="shared" si="2"/>
        <v>7.66</v>
      </c>
    </row>
    <row r="12" spans="1:6" x14ac:dyDescent="0.2">
      <c r="A12" s="19">
        <v>8</v>
      </c>
      <c r="B12" s="180" t="s">
        <v>7</v>
      </c>
      <c r="C12" s="181"/>
      <c r="D12" s="14">
        <f t="shared" si="0"/>
        <v>0</v>
      </c>
      <c r="E12" s="17">
        <f t="shared" si="1"/>
        <v>0</v>
      </c>
      <c r="F12" s="21" t="str">
        <f t="shared" si="2"/>
        <v/>
      </c>
    </row>
    <row r="13" spans="1:6" x14ac:dyDescent="0.2">
      <c r="A13" s="19">
        <v>9</v>
      </c>
      <c r="B13" s="180" t="s">
        <v>8</v>
      </c>
      <c r="C13" s="181"/>
      <c r="D13" s="14">
        <f t="shared" si="0"/>
        <v>234752</v>
      </c>
      <c r="E13" s="17">
        <f t="shared" si="1"/>
        <v>1965883.6363429739</v>
      </c>
      <c r="F13" s="21">
        <f t="shared" si="2"/>
        <v>8.3699999999999992</v>
      </c>
    </row>
    <row r="14" spans="1:6" x14ac:dyDescent="0.2">
      <c r="A14" s="19">
        <v>10</v>
      </c>
      <c r="B14" s="180" t="s">
        <v>9</v>
      </c>
      <c r="C14" s="181"/>
      <c r="D14" s="14">
        <f t="shared" si="0"/>
        <v>3312</v>
      </c>
      <c r="E14" s="17">
        <f t="shared" si="1"/>
        <v>27815.594037826853</v>
      </c>
      <c r="F14" s="21">
        <f t="shared" si="2"/>
        <v>8.4</v>
      </c>
    </row>
    <row r="15" spans="1:6" x14ac:dyDescent="0.2">
      <c r="A15" s="19">
        <v>11</v>
      </c>
      <c r="B15" s="180" t="s">
        <v>10</v>
      </c>
      <c r="C15" s="181"/>
      <c r="D15" s="14">
        <f t="shared" si="0"/>
        <v>158768</v>
      </c>
      <c r="E15" s="17">
        <f t="shared" si="1"/>
        <v>884924.15283746796</v>
      </c>
      <c r="F15" s="21">
        <f t="shared" si="2"/>
        <v>5.57</v>
      </c>
    </row>
    <row r="16" spans="1:6" ht="14.25" customHeight="1" x14ac:dyDescent="0.2">
      <c r="A16" s="19">
        <v>12</v>
      </c>
      <c r="B16" s="180" t="s">
        <v>11</v>
      </c>
      <c r="C16" s="181"/>
      <c r="D16" s="14">
        <f t="shared" si="0"/>
        <v>1219872</v>
      </c>
      <c r="E16" s="17">
        <f t="shared" si="1"/>
        <v>7457719.5924250968</v>
      </c>
      <c r="F16" s="21">
        <f t="shared" si="2"/>
        <v>6.11</v>
      </c>
    </row>
    <row r="17" spans="1:6" x14ac:dyDescent="0.2">
      <c r="A17" s="19">
        <v>13</v>
      </c>
      <c r="B17" s="180" t="s">
        <v>12</v>
      </c>
      <c r="C17" s="181"/>
      <c r="D17" s="14">
        <f t="shared" si="0"/>
        <v>194240</v>
      </c>
      <c r="E17" s="17">
        <f t="shared" si="1"/>
        <v>1272836.7904310049</v>
      </c>
      <c r="F17" s="21">
        <f t="shared" si="2"/>
        <v>6.55</v>
      </c>
    </row>
    <row r="18" spans="1:6" ht="14.25" customHeight="1" x14ac:dyDescent="0.2">
      <c r="A18" s="19">
        <v>14</v>
      </c>
      <c r="B18" s="180" t="s">
        <v>464</v>
      </c>
      <c r="C18" s="181"/>
      <c r="D18" s="14">
        <f t="shared" si="0"/>
        <v>170734</v>
      </c>
      <c r="E18" s="17">
        <f t="shared" si="1"/>
        <v>1481009.6021903171</v>
      </c>
      <c r="F18" s="21">
        <f t="shared" si="2"/>
        <v>8.67</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346728</v>
      </c>
      <c r="E20" s="17">
        <f t="shared" si="1"/>
        <v>2737894.159887569</v>
      </c>
      <c r="F20" s="21">
        <f t="shared" si="2"/>
        <v>7.9</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139808</v>
      </c>
      <c r="E22" s="17">
        <f t="shared" si="1"/>
        <v>1125803.9405919374</v>
      </c>
      <c r="F22" s="21">
        <f t="shared" si="2"/>
        <v>8.0500000000000007</v>
      </c>
    </row>
    <row r="23" spans="1:6" x14ac:dyDescent="0.2">
      <c r="A23" s="19">
        <v>19</v>
      </c>
      <c r="B23" s="180" t="s">
        <v>17</v>
      </c>
      <c r="C23" s="181"/>
      <c r="D23" s="14">
        <f t="shared" si="0"/>
        <v>903984</v>
      </c>
      <c r="E23" s="17">
        <f t="shared" si="1"/>
        <v>5136070.9929622188</v>
      </c>
      <c r="F23" s="21">
        <f t="shared" si="2"/>
        <v>5.68</v>
      </c>
    </row>
    <row r="24" spans="1:6" x14ac:dyDescent="0.2">
      <c r="A24" s="19">
        <v>20</v>
      </c>
      <c r="B24" s="180" t="s">
        <v>18</v>
      </c>
      <c r="C24" s="181"/>
      <c r="D24" s="14">
        <f t="shared" si="0"/>
        <v>101552</v>
      </c>
      <c r="E24" s="17">
        <f t="shared" si="1"/>
        <v>862003.70221298095</v>
      </c>
      <c r="F24" s="21">
        <f t="shared" si="2"/>
        <v>8.49</v>
      </c>
    </row>
    <row r="25" spans="1:6" ht="14.25" customHeight="1" x14ac:dyDescent="0.2">
      <c r="A25" s="19">
        <v>21</v>
      </c>
      <c r="B25" s="180" t="s">
        <v>461</v>
      </c>
      <c r="C25" s="181"/>
      <c r="D25" s="14">
        <f t="shared" si="0"/>
        <v>16480</v>
      </c>
      <c r="E25" s="17">
        <f t="shared" si="1"/>
        <v>176918.06212058774</v>
      </c>
      <c r="F25" s="21">
        <f t="shared" si="2"/>
        <v>10.74</v>
      </c>
    </row>
    <row r="26" spans="1:6" x14ac:dyDescent="0.2">
      <c r="A26" s="19">
        <v>22</v>
      </c>
      <c r="B26" s="180" t="s">
        <v>19</v>
      </c>
      <c r="C26" s="181"/>
      <c r="D26" s="14">
        <f t="shared" si="0"/>
        <v>16448</v>
      </c>
      <c r="E26" s="17">
        <f t="shared" si="1"/>
        <v>644631.69889316906</v>
      </c>
      <c r="F26" s="21">
        <f t="shared" si="2"/>
        <v>39.19</v>
      </c>
    </row>
    <row r="27" spans="1:6" x14ac:dyDescent="0.2">
      <c r="A27" s="19">
        <v>23</v>
      </c>
      <c r="B27" s="180" t="s">
        <v>20</v>
      </c>
      <c r="C27" s="181"/>
      <c r="D27" s="14">
        <f t="shared" si="0"/>
        <v>58272</v>
      </c>
      <c r="E27" s="17">
        <f t="shared" si="1"/>
        <v>602849.43712930148</v>
      </c>
      <c r="F27" s="21">
        <f t="shared" si="2"/>
        <v>10.35</v>
      </c>
    </row>
    <row r="28" spans="1:6" x14ac:dyDescent="0.2">
      <c r="A28" s="19">
        <v>24</v>
      </c>
      <c r="B28" s="180" t="s">
        <v>21</v>
      </c>
      <c r="C28" s="181"/>
      <c r="D28" s="14">
        <f t="shared" si="0"/>
        <v>108560</v>
      </c>
      <c r="E28" s="17">
        <f t="shared" si="1"/>
        <v>794866.24901765794</v>
      </c>
      <c r="F28" s="21">
        <f t="shared" si="2"/>
        <v>7.32</v>
      </c>
    </row>
    <row r="29" spans="1:6" x14ac:dyDescent="0.2">
      <c r="A29" s="19">
        <v>25</v>
      </c>
      <c r="B29" s="180" t="s">
        <v>22</v>
      </c>
      <c r="C29" s="181"/>
      <c r="D29" s="14">
        <f t="shared" si="0"/>
        <v>815472</v>
      </c>
      <c r="E29" s="17">
        <f t="shared" si="1"/>
        <v>4712038.3059223248</v>
      </c>
      <c r="F29" s="21">
        <f t="shared" si="2"/>
        <v>5.78</v>
      </c>
    </row>
    <row r="30" spans="1:6" x14ac:dyDescent="0.2">
      <c r="A30" s="19">
        <v>26</v>
      </c>
      <c r="B30" s="180" t="s">
        <v>23</v>
      </c>
      <c r="C30" s="181"/>
      <c r="D30" s="14">
        <f t="shared" si="0"/>
        <v>177024</v>
      </c>
      <c r="E30" s="17">
        <f t="shared" si="1"/>
        <v>1111486.374079789</v>
      </c>
      <c r="F30" s="21">
        <f t="shared" si="2"/>
        <v>6.28</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6168422</v>
      </c>
      <c r="E33" s="31">
        <f>SUM(E5:E32)</f>
        <v>42436094.999999993</v>
      </c>
      <c r="F33" s="32">
        <f t="shared" si="2"/>
        <v>6.88</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IF(F3="1",SUMIF(Data!A:A,'38'!$A$2,Data!CU:CU),0)</f>
        <v>4864</v>
      </c>
      <c r="E36" s="15">
        <f>IF(F3="1",SUMIF(Data!$A:$A,$A$2,Data!IO:IO),0)</f>
        <v>2776</v>
      </c>
      <c r="F36" s="20">
        <f t="shared" ref="F36:F64" si="3">IF(OR(D36=0,E36=0),"",ROUND(E36/D36,2))</f>
        <v>0.56999999999999995</v>
      </c>
    </row>
    <row r="37" spans="1:6" x14ac:dyDescent="0.2">
      <c r="A37" s="19">
        <v>2</v>
      </c>
      <c r="B37" s="180" t="s">
        <v>1</v>
      </c>
      <c r="C37" s="181"/>
      <c r="D37" s="14">
        <f>IF(F3="1",SUMIF(Data!A:A,'38'!$A$2,Data!CV:CV),0)</f>
        <v>90992</v>
      </c>
      <c r="E37" s="17">
        <f>IF(F3="1",SUMIF(Data!$A:$A,$A$2,Data!IP:IP),0)</f>
        <v>237911</v>
      </c>
      <c r="F37" s="21">
        <f t="shared" si="3"/>
        <v>2.61</v>
      </c>
    </row>
    <row r="38" spans="1:6" ht="14.25" customHeight="1" x14ac:dyDescent="0.2">
      <c r="A38" s="19">
        <v>3</v>
      </c>
      <c r="B38" s="180" t="s">
        <v>2</v>
      </c>
      <c r="C38" s="181"/>
      <c r="D38" s="14">
        <f>IF(F3="1",SUMIF(Data!A:A,'38'!$A$2,Data!CW:CW),0)</f>
        <v>666528</v>
      </c>
      <c r="E38" s="17">
        <f>IF($F$3="1",SUMIF(Data!$A:$A,$A$2,Data!IQ:IQ),0)</f>
        <v>396429</v>
      </c>
      <c r="F38" s="21">
        <f t="shared" si="3"/>
        <v>0.59</v>
      </c>
    </row>
    <row r="39" spans="1:6" ht="14.25" customHeight="1" x14ac:dyDescent="0.2">
      <c r="A39" s="19">
        <v>4</v>
      </c>
      <c r="B39" s="180" t="s">
        <v>3</v>
      </c>
      <c r="C39" s="181"/>
      <c r="D39" s="14">
        <f>IF(F3="1",SUMIF(Data!A:A,'38'!$A$2,Data!CX:CX),0)</f>
        <v>279072</v>
      </c>
      <c r="E39" s="17">
        <f>IF($F$3="1",SUMIF(Data!$A:$A,$A$2,Data!IR:IR),0)</f>
        <v>829754</v>
      </c>
      <c r="F39" s="21">
        <f t="shared" si="3"/>
        <v>2.97</v>
      </c>
    </row>
    <row r="40" spans="1:6" x14ac:dyDescent="0.2">
      <c r="A40" s="19">
        <v>5</v>
      </c>
      <c r="B40" s="180" t="s">
        <v>4</v>
      </c>
      <c r="C40" s="181"/>
      <c r="D40" s="14">
        <f>IF(F3="1",SUMIF(Data!A:A,'38'!$A$2,Data!CY:CY),0)</f>
        <v>0</v>
      </c>
      <c r="E40" s="17">
        <f>IF($F$3="1",SUMIF(Data!$A:$A,$A$2,Data!IS:IS),0)</f>
        <v>0</v>
      </c>
      <c r="F40" s="21" t="str">
        <f t="shared" si="3"/>
        <v/>
      </c>
    </row>
    <row r="41" spans="1:6" x14ac:dyDescent="0.2">
      <c r="A41" s="19">
        <v>6</v>
      </c>
      <c r="B41" s="180" t="s">
        <v>5</v>
      </c>
      <c r="C41" s="181"/>
      <c r="D41" s="14">
        <f>IF(F3="1",SUMIF(Data!A:A,'38'!$A$2,Data!CZ:CZ),0)</f>
        <v>0</v>
      </c>
      <c r="E41" s="17">
        <f>IF($F$3="1",SUMIF(Data!$A:$A,$A$2,Data!IT:IT),0)</f>
        <v>0</v>
      </c>
      <c r="F41" s="21" t="str">
        <f t="shared" si="3"/>
        <v/>
      </c>
    </row>
    <row r="42" spans="1:6" x14ac:dyDescent="0.2">
      <c r="A42" s="19">
        <v>7</v>
      </c>
      <c r="B42" s="180" t="s">
        <v>6</v>
      </c>
      <c r="C42" s="181"/>
      <c r="D42" s="14">
        <f>IF(F3="1",SUMIF(Data!A:A,'38'!$A$2,Data!DA:DA),0)</f>
        <v>460960</v>
      </c>
      <c r="E42" s="17">
        <f>IF($F$3="1",SUMIF(Data!$A:$A,$A$2,Data!IU:IU),0)</f>
        <v>574752</v>
      </c>
      <c r="F42" s="21">
        <f t="shared" si="3"/>
        <v>1.25</v>
      </c>
    </row>
    <row r="43" spans="1:6" x14ac:dyDescent="0.2">
      <c r="A43" s="19">
        <v>8</v>
      </c>
      <c r="B43" s="180" t="s">
        <v>7</v>
      </c>
      <c r="C43" s="181"/>
      <c r="D43" s="14">
        <f>IF(F3="1",SUMIF(Data!A:A,'38'!$A$2,Data!DB:DB),0)</f>
        <v>0</v>
      </c>
      <c r="E43" s="17">
        <f>IF($F$3="1",SUMIF(Data!$A:$A,$A$2,Data!IV:IV),0)</f>
        <v>0</v>
      </c>
      <c r="F43" s="21" t="str">
        <f t="shared" si="3"/>
        <v/>
      </c>
    </row>
    <row r="44" spans="1:6" x14ac:dyDescent="0.2">
      <c r="A44" s="19">
        <v>9</v>
      </c>
      <c r="B44" s="180" t="s">
        <v>8</v>
      </c>
      <c r="C44" s="181"/>
      <c r="D44" s="14">
        <f>IF(F3="1",SUMIF(Data!A:A,'38'!$A$2,Data!DC:DC),0)</f>
        <v>234752</v>
      </c>
      <c r="E44" s="17">
        <f>IF($F$3="1",SUMIF(Data!$A:$A,$A$2,Data!IW:IW),0)</f>
        <v>151238</v>
      </c>
      <c r="F44" s="21">
        <f t="shared" si="3"/>
        <v>0.64</v>
      </c>
    </row>
    <row r="45" spans="1:6" x14ac:dyDescent="0.2">
      <c r="A45" s="19">
        <v>10</v>
      </c>
      <c r="B45" s="180" t="s">
        <v>9</v>
      </c>
      <c r="C45" s="181"/>
      <c r="D45" s="14">
        <f>IF(F3="1",SUMIF(Data!A:A,'38'!$A$2,Data!DD:DD),0)</f>
        <v>3312</v>
      </c>
      <c r="E45" s="17">
        <f>IF($F$3="1",SUMIF(Data!$A:$A,$A$2,Data!IX:IX),0)</f>
        <v>2221</v>
      </c>
      <c r="F45" s="21">
        <f t="shared" si="3"/>
        <v>0.67</v>
      </c>
    </row>
    <row r="46" spans="1:6" x14ac:dyDescent="0.2">
      <c r="A46" s="19">
        <v>11</v>
      </c>
      <c r="B46" s="180" t="s">
        <v>10</v>
      </c>
      <c r="C46" s="181"/>
      <c r="D46" s="14">
        <f>IF(F3="1",SUMIF(Data!A:A,'38'!$A$2,Data!DE:DE),0)</f>
        <v>158768</v>
      </c>
      <c r="E46" s="17">
        <f>IF($F$3="1",SUMIF(Data!$A:$A,$A$2,Data!IY:IY),0)</f>
        <v>105131</v>
      </c>
      <c r="F46" s="21">
        <f t="shared" si="3"/>
        <v>0.66</v>
      </c>
    </row>
    <row r="47" spans="1:6" ht="14.25" customHeight="1" x14ac:dyDescent="0.2">
      <c r="A47" s="19">
        <v>12</v>
      </c>
      <c r="B47" s="180" t="s">
        <v>11</v>
      </c>
      <c r="C47" s="181"/>
      <c r="D47" s="14">
        <f>IF(F3="1",SUMIF(Data!A:A,'38'!$A$2,Data!DF:DF),0)</f>
        <v>1219872</v>
      </c>
      <c r="E47" s="17">
        <f>IF($F$3="1",SUMIF(Data!$A:$A,$A$2,Data!IZ:IZ),0)</f>
        <v>611704</v>
      </c>
      <c r="F47" s="21">
        <f t="shared" si="3"/>
        <v>0.5</v>
      </c>
    </row>
    <row r="48" spans="1:6" x14ac:dyDescent="0.2">
      <c r="A48" s="19">
        <v>13</v>
      </c>
      <c r="B48" s="180" t="s">
        <v>12</v>
      </c>
      <c r="C48" s="181"/>
      <c r="D48" s="14">
        <f>IF(F3="1",SUMIF(Data!A:A,'38'!$A$2,Data!DG:DG),0)</f>
        <v>194240</v>
      </c>
      <c r="E48" s="17">
        <f>IF($F$3="1",SUMIF(Data!$A:$A,$A$2,Data!JA:JA),0)</f>
        <v>27905</v>
      </c>
      <c r="F48" s="21">
        <f t="shared" si="3"/>
        <v>0.14000000000000001</v>
      </c>
    </row>
    <row r="49" spans="1:6" ht="14.25" customHeight="1" x14ac:dyDescent="0.2">
      <c r="A49" s="19">
        <v>14</v>
      </c>
      <c r="B49" s="180" t="s">
        <v>464</v>
      </c>
      <c r="C49" s="181"/>
      <c r="D49" s="14">
        <f>IF(F3="1",SUMIF(Data!A:A,'38'!$A$2,Data!DH:DH),0)</f>
        <v>170734</v>
      </c>
      <c r="E49" s="17">
        <f>IF($F$3="1",SUMIF(Data!$A:$A,$A$2,Data!JB:JB),0)</f>
        <v>101586</v>
      </c>
      <c r="F49" s="21">
        <f t="shared" si="3"/>
        <v>0.59</v>
      </c>
    </row>
    <row r="50" spans="1:6" x14ac:dyDescent="0.2">
      <c r="A50" s="19">
        <v>15</v>
      </c>
      <c r="B50" s="180" t="s">
        <v>13</v>
      </c>
      <c r="C50" s="181"/>
      <c r="D50" s="14">
        <f>IF(F3="1",SUMIF(Data!A:A,'38'!$A$2,Data!DI:DI),0)</f>
        <v>0</v>
      </c>
      <c r="E50" s="17">
        <f>IF($F$3="1",SUMIF(Data!$A:$A,$A$2,Data!JC:JC),0)</f>
        <v>0</v>
      </c>
      <c r="F50" s="21" t="str">
        <f t="shared" si="3"/>
        <v/>
      </c>
    </row>
    <row r="51" spans="1:6" x14ac:dyDescent="0.2">
      <c r="A51" s="19">
        <v>16</v>
      </c>
      <c r="B51" s="180" t="s">
        <v>14</v>
      </c>
      <c r="C51" s="181"/>
      <c r="D51" s="14">
        <f>IF(F3="1",SUMIF(Data!A:A,'38'!$A$2,Data!DJ:DJ),0)</f>
        <v>346728</v>
      </c>
      <c r="E51" s="17">
        <f>IF($F$3="1",SUMIF(Data!$A:$A,$A$2,Data!JD:JD),0)</f>
        <v>291248</v>
      </c>
      <c r="F51" s="21">
        <f t="shared" si="3"/>
        <v>0.84</v>
      </c>
    </row>
    <row r="52" spans="1:6" x14ac:dyDescent="0.2">
      <c r="A52" s="19">
        <v>17</v>
      </c>
      <c r="B52" s="180" t="s">
        <v>15</v>
      </c>
      <c r="C52" s="181"/>
      <c r="D52" s="14">
        <f>IF(F3="1",SUMIF(Data!A:A,'38'!$A$2,Data!DK:DK),0)</f>
        <v>0</v>
      </c>
      <c r="E52" s="17">
        <f>IF($F$3="1",SUMIF(Data!$A:$A,$A$2,Data!JE:JE),0)</f>
        <v>0</v>
      </c>
      <c r="F52" s="21" t="str">
        <f t="shared" si="3"/>
        <v/>
      </c>
    </row>
    <row r="53" spans="1:6" x14ac:dyDescent="0.2">
      <c r="A53" s="19">
        <v>18</v>
      </c>
      <c r="B53" s="180" t="s">
        <v>16</v>
      </c>
      <c r="C53" s="181"/>
      <c r="D53" s="14">
        <f>IF(F3="1",SUMIF(Data!A:A,'38'!$A$2,Data!DL:DL),0)</f>
        <v>139808</v>
      </c>
      <c r="E53" s="17">
        <f>IF($F$3="1",SUMIF(Data!$A:$A,$A$2,Data!JF:JF),0)</f>
        <v>118828</v>
      </c>
      <c r="F53" s="21">
        <f t="shared" si="3"/>
        <v>0.85</v>
      </c>
    </row>
    <row r="54" spans="1:6" x14ac:dyDescent="0.2">
      <c r="A54" s="19">
        <v>19</v>
      </c>
      <c r="B54" s="180" t="s">
        <v>17</v>
      </c>
      <c r="C54" s="181"/>
      <c r="D54" s="14">
        <f>IF(F3="1",SUMIF(Data!A:A,'38'!$A$2,Data!DM:DM),0)</f>
        <v>903984</v>
      </c>
      <c r="E54" s="17">
        <f>IF($F$3="1",SUMIF(Data!$A:$A,$A$2,Data!JG:JG),0)</f>
        <v>105217</v>
      </c>
      <c r="F54" s="21">
        <f t="shared" si="3"/>
        <v>0.12</v>
      </c>
    </row>
    <row r="55" spans="1:6" x14ac:dyDescent="0.2">
      <c r="A55" s="19">
        <v>20</v>
      </c>
      <c r="B55" s="180" t="s">
        <v>18</v>
      </c>
      <c r="C55" s="181"/>
      <c r="D55" s="14">
        <f>IF(F3="1",SUMIF(Data!A:A,'38'!$A$2,Data!DN:DN),0)</f>
        <v>101552</v>
      </c>
      <c r="E55" s="17">
        <f>IF($F$3="1",SUMIF(Data!$A:$A,$A$2,Data!JH:JH),0)</f>
        <v>162793</v>
      </c>
      <c r="F55" s="21">
        <f t="shared" si="3"/>
        <v>1.6</v>
      </c>
    </row>
    <row r="56" spans="1:6" ht="14.25" customHeight="1" x14ac:dyDescent="0.2">
      <c r="A56" s="19">
        <v>21</v>
      </c>
      <c r="B56" s="180" t="s">
        <v>461</v>
      </c>
      <c r="C56" s="181"/>
      <c r="D56" s="14">
        <f>IF(F3="1",SUMIF(Data!A:A,'38'!$A$2,Data!DO:DO),0)</f>
        <v>16480</v>
      </c>
      <c r="E56" s="17">
        <f>IF($F$3="1",SUMIF(Data!$A:$A,$A$2,Data!JI:JI),0)</f>
        <v>26419</v>
      </c>
      <c r="F56" s="21">
        <f t="shared" si="3"/>
        <v>1.6</v>
      </c>
    </row>
    <row r="57" spans="1:6" x14ac:dyDescent="0.2">
      <c r="A57" s="19">
        <v>22</v>
      </c>
      <c r="B57" s="180" t="s">
        <v>19</v>
      </c>
      <c r="C57" s="181"/>
      <c r="D57" s="14">
        <f>IF(F3="1",SUMIF(Data!A:A,'38'!$A$2,Data!DP:DP),0)</f>
        <v>16448</v>
      </c>
      <c r="E57" s="17">
        <f>IF($F$3="1",SUMIF(Data!$A:$A,$A$2,Data!JJ:JJ),0)</f>
        <v>147317</v>
      </c>
      <c r="F57" s="21">
        <f t="shared" si="3"/>
        <v>8.9600000000000009</v>
      </c>
    </row>
    <row r="58" spans="1:6" x14ac:dyDescent="0.2">
      <c r="A58" s="19">
        <v>23</v>
      </c>
      <c r="B58" s="180" t="s">
        <v>20</v>
      </c>
      <c r="C58" s="181"/>
      <c r="D58" s="14">
        <f>IF(F3="1",SUMIF(Data!A:A,'38'!$A$2,Data!DQ:DQ),0)</f>
        <v>58272</v>
      </c>
      <c r="E58" s="17">
        <f>IF($F$3="1",SUMIF(Data!$A:$A,$A$2,Data!JK:JK),0)</f>
        <v>143309</v>
      </c>
      <c r="F58" s="21">
        <f t="shared" si="3"/>
        <v>2.46</v>
      </c>
    </row>
    <row r="59" spans="1:6" x14ac:dyDescent="0.2">
      <c r="A59" s="19">
        <v>24</v>
      </c>
      <c r="B59" s="180" t="s">
        <v>21</v>
      </c>
      <c r="C59" s="181"/>
      <c r="D59" s="14">
        <f>IF(F3="1",SUMIF(Data!A:A,'38'!$A$2,Data!DR:DR),0)</f>
        <v>108560</v>
      </c>
      <c r="E59" s="17">
        <f>IF($F$3="1",SUMIF(Data!$A:$A,$A$2,Data!JL:JL),0)</f>
        <v>36371</v>
      </c>
      <c r="F59" s="21">
        <f t="shared" si="3"/>
        <v>0.34</v>
      </c>
    </row>
    <row r="60" spans="1:6" x14ac:dyDescent="0.2">
      <c r="A60" s="19">
        <v>25</v>
      </c>
      <c r="B60" s="180" t="s">
        <v>22</v>
      </c>
      <c r="C60" s="181"/>
      <c r="D60" s="14">
        <f>IF(F3="1",SUMIF(Data!A:A,'38'!$A$2,Data!DS:DS),0)</f>
        <v>815472</v>
      </c>
      <c r="E60" s="17">
        <f>IF($F$3="1",SUMIF(Data!$A:$A,$A$2,Data!JM:JM),0)</f>
        <v>94816</v>
      </c>
      <c r="F60" s="21">
        <f t="shared" si="3"/>
        <v>0.12</v>
      </c>
    </row>
    <row r="61" spans="1:6" x14ac:dyDescent="0.2">
      <c r="A61" s="19">
        <v>26</v>
      </c>
      <c r="B61" s="180" t="s">
        <v>23</v>
      </c>
      <c r="C61" s="181"/>
      <c r="D61" s="14">
        <f>IF(F3="1",SUMIF(Data!A:A,'38'!$A$2,Data!DT:DT),0)</f>
        <v>177024</v>
      </c>
      <c r="E61" s="17">
        <f>IF($F$3="1",SUMIF(Data!$A:$A,$A$2,Data!JN:JN),0)</f>
        <v>41233</v>
      </c>
      <c r="F61" s="21">
        <f t="shared" si="3"/>
        <v>0.23</v>
      </c>
    </row>
    <row r="62" spans="1:6" x14ac:dyDescent="0.2">
      <c r="A62" s="19">
        <v>28</v>
      </c>
      <c r="B62" s="180" t="s">
        <v>24</v>
      </c>
      <c r="C62" s="181"/>
      <c r="D62" s="14">
        <f>IF(F3="1",SUMIF(Data!A:A,'38'!$A$2,Data!DV:DV),0)</f>
        <v>0</v>
      </c>
      <c r="E62" s="17">
        <f>IF($F$3="1",SUMIF(Data!$A:$A,$A$2,Data!JP:JP),0)</f>
        <v>0</v>
      </c>
      <c r="F62" s="21" t="str">
        <f t="shared" si="3"/>
        <v/>
      </c>
    </row>
    <row r="63" spans="1:6" ht="15.75" customHeight="1" thickBot="1" x14ac:dyDescent="0.25">
      <c r="A63" s="22">
        <v>29</v>
      </c>
      <c r="B63" s="184" t="s">
        <v>25</v>
      </c>
      <c r="C63" s="185"/>
      <c r="D63" s="23">
        <f>IF(F3="1",SUMIF(Data!A:A,'38'!$A$2,Data!DW:DW),0)</f>
        <v>0</v>
      </c>
      <c r="E63" s="24">
        <f>IF($F$3="1",SUMIF(Data!$A:$A,$A$2,Data!JQ:JQ),0)</f>
        <v>0</v>
      </c>
      <c r="F63" s="25" t="str">
        <f t="shared" si="3"/>
        <v/>
      </c>
    </row>
    <row r="64" spans="1:6" x14ac:dyDescent="0.2">
      <c r="B64" s="30" t="s">
        <v>35</v>
      </c>
      <c r="C64" s="30"/>
      <c r="D64" s="59">
        <f>SUM(D36:D63)</f>
        <v>6168422</v>
      </c>
      <c r="E64" s="31">
        <f>SUM(E36:E63)</f>
        <v>4208958</v>
      </c>
      <c r="F64" s="32">
        <f t="shared" si="3"/>
        <v>0.68</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4864</v>
      </c>
      <c r="E67" s="15">
        <f>IF(F3="1",SUMIF(Data!A:A,'38'!$A$2,Data!DY:DY),0)</f>
        <v>12837</v>
      </c>
      <c r="F67" s="20">
        <f t="shared" ref="F67:F95" si="4">IF(OR(D67=0,E67=0),"",ROUND(E67/D67,2))</f>
        <v>2.64</v>
      </c>
    </row>
    <row r="68" spans="1:6" x14ac:dyDescent="0.2">
      <c r="A68" s="19">
        <v>2</v>
      </c>
      <c r="B68" s="180" t="s">
        <v>1</v>
      </c>
      <c r="C68" s="181"/>
      <c r="D68" s="14">
        <f t="shared" ref="D68:D94" si="5">D37</f>
        <v>90992</v>
      </c>
      <c r="E68" s="17">
        <f>IF(F3="1",SUMIF(Data!A:A,'38'!$A$2,Data!DZ:DZ),0)</f>
        <v>365916</v>
      </c>
      <c r="F68" s="21">
        <f t="shared" si="4"/>
        <v>4.0199999999999996</v>
      </c>
    </row>
    <row r="69" spans="1:6" ht="14.25" customHeight="1" x14ac:dyDescent="0.2">
      <c r="A69" s="19">
        <v>3</v>
      </c>
      <c r="B69" s="180" t="s">
        <v>2</v>
      </c>
      <c r="C69" s="181"/>
      <c r="D69" s="14">
        <f t="shared" si="5"/>
        <v>666528</v>
      </c>
      <c r="E69" s="17">
        <f>IF(F3="1",SUMIF(Data!A:A,'38'!$A$2,Data!EA:EA),0)</f>
        <v>1759136</v>
      </c>
      <c r="F69" s="21">
        <f t="shared" si="4"/>
        <v>2.64</v>
      </c>
    </row>
    <row r="70" spans="1:6" ht="14.25" customHeight="1" x14ac:dyDescent="0.2">
      <c r="A70" s="19">
        <v>4</v>
      </c>
      <c r="B70" s="180" t="s">
        <v>3</v>
      </c>
      <c r="C70" s="181"/>
      <c r="D70" s="14">
        <f t="shared" si="5"/>
        <v>279072</v>
      </c>
      <c r="E70" s="17">
        <f>IF(F3="1",SUMIF(Data!A:A,'38'!$A$2,Data!EB:EB),0)</f>
        <v>976297</v>
      </c>
      <c r="F70" s="21">
        <f t="shared" si="4"/>
        <v>3.5</v>
      </c>
    </row>
    <row r="71" spans="1:6" x14ac:dyDescent="0.2">
      <c r="A71" s="19">
        <v>5</v>
      </c>
      <c r="B71" s="180" t="s">
        <v>4</v>
      </c>
      <c r="C71" s="181"/>
      <c r="D71" s="14">
        <f t="shared" si="5"/>
        <v>0</v>
      </c>
      <c r="E71" s="17">
        <f>IF(F3="1",SUMIF(Data!A:A,'38'!$A$2,Data!EC:EC),0)</f>
        <v>0</v>
      </c>
      <c r="F71" s="21" t="str">
        <f t="shared" si="4"/>
        <v/>
      </c>
    </row>
    <row r="72" spans="1:6" x14ac:dyDescent="0.2">
      <c r="A72" s="19">
        <v>6</v>
      </c>
      <c r="B72" s="180" t="s">
        <v>5</v>
      </c>
      <c r="C72" s="181"/>
      <c r="D72" s="14">
        <f t="shared" si="5"/>
        <v>0</v>
      </c>
      <c r="E72" s="17">
        <f>IF(F3="1",SUMIF(Data!A:A,'38'!$A$2,Data!ED:ED),0)</f>
        <v>0</v>
      </c>
      <c r="F72" s="21" t="str">
        <f t="shared" si="4"/>
        <v/>
      </c>
    </row>
    <row r="73" spans="1:6" x14ac:dyDescent="0.2">
      <c r="A73" s="19">
        <v>7</v>
      </c>
      <c r="B73" s="180" t="s">
        <v>6</v>
      </c>
      <c r="C73" s="181"/>
      <c r="D73" s="14">
        <f t="shared" si="5"/>
        <v>460960</v>
      </c>
      <c r="E73" s="17">
        <f>IF(F3="1",SUMIF(Data!A:A,'38'!$A$2,Data!EE:EE),0)</f>
        <v>1479530</v>
      </c>
      <c r="F73" s="21">
        <f t="shared" si="4"/>
        <v>3.21</v>
      </c>
    </row>
    <row r="74" spans="1:6" x14ac:dyDescent="0.2">
      <c r="A74" s="19">
        <v>8</v>
      </c>
      <c r="B74" s="180" t="s">
        <v>7</v>
      </c>
      <c r="C74" s="181"/>
      <c r="D74" s="14">
        <f t="shared" si="5"/>
        <v>0</v>
      </c>
      <c r="E74" s="17">
        <f>IF(F3="1",SUMIF(Data!A:A,'38'!$A$2,Data!EF:EF),0)</f>
        <v>0</v>
      </c>
      <c r="F74" s="21" t="str">
        <f t="shared" si="4"/>
        <v/>
      </c>
    </row>
    <row r="75" spans="1:6" x14ac:dyDescent="0.2">
      <c r="A75" s="19">
        <v>9</v>
      </c>
      <c r="B75" s="180" t="s">
        <v>8</v>
      </c>
      <c r="C75" s="181"/>
      <c r="D75" s="14">
        <f t="shared" si="5"/>
        <v>234752</v>
      </c>
      <c r="E75" s="17">
        <f>IF(F3="1",SUMIF(Data!A:A,'38'!$A$2,Data!EG:EG),0)</f>
        <v>1063709</v>
      </c>
      <c r="F75" s="21">
        <f t="shared" si="4"/>
        <v>4.53</v>
      </c>
    </row>
    <row r="76" spans="1:6" x14ac:dyDescent="0.2">
      <c r="A76" s="19">
        <v>10</v>
      </c>
      <c r="B76" s="180" t="s">
        <v>9</v>
      </c>
      <c r="C76" s="181"/>
      <c r="D76" s="14">
        <f t="shared" si="5"/>
        <v>3312</v>
      </c>
      <c r="E76" s="17">
        <f>IF(F3="1",SUMIF(Data!A:A,'38'!$A$2,Data!EH:EH),0)</f>
        <v>15000</v>
      </c>
      <c r="F76" s="21">
        <f t="shared" si="4"/>
        <v>4.53</v>
      </c>
    </row>
    <row r="77" spans="1:6" x14ac:dyDescent="0.2">
      <c r="A77" s="19">
        <v>11</v>
      </c>
      <c r="B77" s="180" t="s">
        <v>10</v>
      </c>
      <c r="C77" s="181"/>
      <c r="D77" s="14">
        <f t="shared" si="5"/>
        <v>158768</v>
      </c>
      <c r="E77" s="17">
        <f>IF(F3="1",SUMIF(Data!A:A,'38'!$A$2,Data!EI:EI),0)</f>
        <v>271918</v>
      </c>
      <c r="F77" s="21">
        <f t="shared" si="4"/>
        <v>1.71</v>
      </c>
    </row>
    <row r="78" spans="1:6" ht="14.25" customHeight="1" x14ac:dyDescent="0.2">
      <c r="A78" s="19">
        <v>12</v>
      </c>
      <c r="B78" s="180" t="s">
        <v>11</v>
      </c>
      <c r="C78" s="181"/>
      <c r="D78" s="14">
        <f t="shared" si="5"/>
        <v>1219872</v>
      </c>
      <c r="E78" s="17">
        <f>IF(F3="1",SUMIF(Data!A:A,'38'!$A$2,Data!EJ:EJ),0)</f>
        <v>2943827</v>
      </c>
      <c r="F78" s="21">
        <f t="shared" si="4"/>
        <v>2.41</v>
      </c>
    </row>
    <row r="79" spans="1:6" x14ac:dyDescent="0.2">
      <c r="A79" s="19">
        <v>13</v>
      </c>
      <c r="B79" s="180" t="s">
        <v>12</v>
      </c>
      <c r="C79" s="181"/>
      <c r="D79" s="14">
        <f t="shared" si="5"/>
        <v>194240</v>
      </c>
      <c r="E79" s="17">
        <f>IF(F3="1",SUMIF(Data!A:A,'38'!$A$2,Data!EK:EK),0)</f>
        <v>623587</v>
      </c>
      <c r="F79" s="21">
        <f t="shared" si="4"/>
        <v>3.21</v>
      </c>
    </row>
    <row r="80" spans="1:6" ht="14.25" customHeight="1" x14ac:dyDescent="0.2">
      <c r="A80" s="19">
        <v>14</v>
      </c>
      <c r="B80" s="180" t="s">
        <v>464</v>
      </c>
      <c r="C80" s="181"/>
      <c r="D80" s="14">
        <f t="shared" si="5"/>
        <v>170734</v>
      </c>
      <c r="E80" s="17">
        <f>IF(F3="1",SUMIF(Data!A:A,'38'!$A$2,Data!EL:EL),0)</f>
        <v>833271</v>
      </c>
      <c r="F80" s="21">
        <f t="shared" si="4"/>
        <v>4.88</v>
      </c>
    </row>
    <row r="81" spans="1:6" x14ac:dyDescent="0.2">
      <c r="A81" s="19">
        <v>15</v>
      </c>
      <c r="B81" s="180" t="s">
        <v>13</v>
      </c>
      <c r="C81" s="181"/>
      <c r="D81" s="14">
        <f t="shared" si="5"/>
        <v>0</v>
      </c>
      <c r="E81" s="17">
        <f>IF(F3="1",SUMIF(Data!A:A,'38'!$A$2,Data!EM:EM),0)</f>
        <v>0</v>
      </c>
      <c r="F81" s="21" t="str">
        <f t="shared" si="4"/>
        <v/>
      </c>
    </row>
    <row r="82" spans="1:6" x14ac:dyDescent="0.2">
      <c r="A82" s="19">
        <v>16</v>
      </c>
      <c r="B82" s="180" t="s">
        <v>14</v>
      </c>
      <c r="C82" s="181"/>
      <c r="D82" s="14">
        <f t="shared" si="5"/>
        <v>346728</v>
      </c>
      <c r="E82" s="17">
        <f>IF(F3="1",SUMIF(Data!A:A,'38'!$A$2,Data!EN:EN),0)</f>
        <v>1337515</v>
      </c>
      <c r="F82" s="21">
        <f t="shared" si="4"/>
        <v>3.86</v>
      </c>
    </row>
    <row r="83" spans="1:6" x14ac:dyDescent="0.2">
      <c r="A83" s="19">
        <v>17</v>
      </c>
      <c r="B83" s="180" t="s">
        <v>15</v>
      </c>
      <c r="C83" s="181"/>
      <c r="D83" s="14">
        <f t="shared" si="5"/>
        <v>0</v>
      </c>
      <c r="E83" s="17">
        <f>IF(F3="1",SUMIF(Data!A:A,'38'!$A$2,Data!EO:EO),0)</f>
        <v>0</v>
      </c>
      <c r="F83" s="21" t="str">
        <f t="shared" si="4"/>
        <v/>
      </c>
    </row>
    <row r="84" spans="1:6" x14ac:dyDescent="0.2">
      <c r="A84" s="19">
        <v>18</v>
      </c>
      <c r="B84" s="180" t="s">
        <v>16</v>
      </c>
      <c r="C84" s="181"/>
      <c r="D84" s="14">
        <f t="shared" si="5"/>
        <v>139808</v>
      </c>
      <c r="E84" s="17">
        <f>IF(F3="1",SUMIF(Data!A:A,'38'!$A$2,Data!EP:EP),0)</f>
        <v>559751</v>
      </c>
      <c r="F84" s="21">
        <f t="shared" si="4"/>
        <v>4</v>
      </c>
    </row>
    <row r="85" spans="1:6" x14ac:dyDescent="0.2">
      <c r="A85" s="19">
        <v>19</v>
      </c>
      <c r="B85" s="180" t="s">
        <v>17</v>
      </c>
      <c r="C85" s="181"/>
      <c r="D85" s="14">
        <f t="shared" si="5"/>
        <v>903984</v>
      </c>
      <c r="E85" s="17">
        <f>IF(F3="1",SUMIF(Data!A:A,'38'!$A$2,Data!EQ:EQ),0)</f>
        <v>2139144</v>
      </c>
      <c r="F85" s="21">
        <f t="shared" si="4"/>
        <v>2.37</v>
      </c>
    </row>
    <row r="86" spans="1:6" x14ac:dyDescent="0.2">
      <c r="A86" s="19">
        <v>20</v>
      </c>
      <c r="B86" s="180" t="s">
        <v>18</v>
      </c>
      <c r="C86" s="181"/>
      <c r="D86" s="14">
        <f t="shared" si="5"/>
        <v>101552</v>
      </c>
      <c r="E86" s="17">
        <f>IF(F3="1",SUMIF(Data!A:A,'38'!$A$2,Data!ER:ER),0)</f>
        <v>374361</v>
      </c>
      <c r="F86" s="21">
        <f t="shared" si="4"/>
        <v>3.69</v>
      </c>
    </row>
    <row r="87" spans="1:6" ht="14.25" customHeight="1" x14ac:dyDescent="0.2">
      <c r="A87" s="19">
        <v>21</v>
      </c>
      <c r="B87" s="180" t="s">
        <v>461</v>
      </c>
      <c r="C87" s="181"/>
      <c r="D87" s="14">
        <f t="shared" si="5"/>
        <v>16480</v>
      </c>
      <c r="E87" s="17">
        <f>IF(F3="1",SUMIF(Data!A:A,'38'!$A$2,Data!ES:ES),0)</f>
        <v>97782</v>
      </c>
      <c r="F87" s="21">
        <f t="shared" si="4"/>
        <v>5.93</v>
      </c>
    </row>
    <row r="88" spans="1:6" x14ac:dyDescent="0.2">
      <c r="A88" s="19">
        <v>22</v>
      </c>
      <c r="B88" s="180" t="s">
        <v>19</v>
      </c>
      <c r="C88" s="181"/>
      <c r="D88" s="14">
        <f t="shared" si="5"/>
        <v>16448</v>
      </c>
      <c r="E88" s="17">
        <f>IF(F3="1",SUMIF(Data!A:A,'38'!$A$2,Data!ET:ET),0)</f>
        <v>444700</v>
      </c>
      <c r="F88" s="21">
        <f t="shared" si="4"/>
        <v>27.04</v>
      </c>
    </row>
    <row r="89" spans="1:6" x14ac:dyDescent="0.2">
      <c r="A89" s="19">
        <v>23</v>
      </c>
      <c r="B89" s="180" t="s">
        <v>20</v>
      </c>
      <c r="C89" s="181"/>
      <c r="D89" s="14">
        <f t="shared" si="5"/>
        <v>58272</v>
      </c>
      <c r="E89" s="17">
        <f>IF(F3="1",SUMIF(Data!A:A,'38'!$A$2,Data!EU:EU),0)</f>
        <v>273137</v>
      </c>
      <c r="F89" s="21">
        <f t="shared" si="4"/>
        <v>4.6900000000000004</v>
      </c>
    </row>
    <row r="90" spans="1:6" x14ac:dyDescent="0.2">
      <c r="A90" s="19">
        <v>24</v>
      </c>
      <c r="B90" s="180" t="s">
        <v>21</v>
      </c>
      <c r="C90" s="181"/>
      <c r="D90" s="14">
        <f t="shared" si="5"/>
        <v>108560</v>
      </c>
      <c r="E90" s="17">
        <f>IF(F3="1",SUMIF(Data!A:A,'38'!$A$2,Data!EV:EV),0)</f>
        <v>411228</v>
      </c>
      <c r="F90" s="21">
        <f t="shared" si="4"/>
        <v>3.79</v>
      </c>
    </row>
    <row r="91" spans="1:6" x14ac:dyDescent="0.2">
      <c r="A91" s="19">
        <v>25</v>
      </c>
      <c r="B91" s="180" t="s">
        <v>22</v>
      </c>
      <c r="C91" s="181"/>
      <c r="D91" s="14">
        <f t="shared" si="5"/>
        <v>815472</v>
      </c>
      <c r="E91" s="17">
        <f>IF(F3="1",SUMIF(Data!A:A,'38'!$A$2,Data!EW:EW),0)</f>
        <v>2008649</v>
      </c>
      <c r="F91" s="21">
        <f t="shared" si="4"/>
        <v>2.46</v>
      </c>
    </row>
    <row r="92" spans="1:6" x14ac:dyDescent="0.2">
      <c r="A92" s="19">
        <v>26</v>
      </c>
      <c r="B92" s="180" t="s">
        <v>23</v>
      </c>
      <c r="C92" s="181"/>
      <c r="D92" s="14">
        <f t="shared" si="5"/>
        <v>177024</v>
      </c>
      <c r="E92" s="17">
        <f>IF(F3="1",SUMIF(Data!A:A,'38'!$A$2,Data!EX:EX),0)</f>
        <v>503980</v>
      </c>
      <c r="F92" s="21">
        <f t="shared" si="4"/>
        <v>2.85</v>
      </c>
    </row>
    <row r="93" spans="1:6" x14ac:dyDescent="0.2">
      <c r="A93" s="19">
        <v>28</v>
      </c>
      <c r="B93" s="180" t="s">
        <v>24</v>
      </c>
      <c r="C93" s="181"/>
      <c r="D93" s="14">
        <f t="shared" si="5"/>
        <v>0</v>
      </c>
      <c r="E93" s="17">
        <f>IF(F3="1",SUMIF(Data!A:A,'38'!$A$2,Data!EZ:EZ),0)</f>
        <v>0</v>
      </c>
      <c r="F93" s="21" t="str">
        <f t="shared" si="4"/>
        <v/>
      </c>
    </row>
    <row r="94" spans="1:6" ht="15.75" customHeight="1" thickBot="1" x14ac:dyDescent="0.25">
      <c r="A94" s="22">
        <v>29</v>
      </c>
      <c r="B94" s="184" t="s">
        <v>25</v>
      </c>
      <c r="C94" s="185"/>
      <c r="D94" s="23">
        <f t="shared" si="5"/>
        <v>0</v>
      </c>
      <c r="E94" s="24">
        <f>IF(F3="1",SUMIF(Data!A:A,'38'!$A$2,Data!FA:FA),0)</f>
        <v>0</v>
      </c>
      <c r="F94" s="25" t="str">
        <f t="shared" si="4"/>
        <v/>
      </c>
    </row>
    <row r="95" spans="1:6" x14ac:dyDescent="0.2">
      <c r="B95" s="30" t="s">
        <v>35</v>
      </c>
      <c r="C95" s="30"/>
      <c r="D95" s="59">
        <f>SUM(D67:D94)</f>
        <v>6168422</v>
      </c>
      <c r="E95" s="31">
        <f>SUM(E67:E94)</f>
        <v>18495275</v>
      </c>
      <c r="F95" s="32">
        <f t="shared" si="4"/>
        <v>3</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IF(F3="1",SUMIF(Data!A:A,'38'!$A$2,Data!AH:AH),0)</f>
        <v>9205085</v>
      </c>
      <c r="F98" s="20">
        <f>IF(OR(E98=0,E98=0),"",ROUND(E98/$D$105,2))</f>
        <v>1.49</v>
      </c>
    </row>
    <row r="99" spans="2:6" x14ac:dyDescent="0.2">
      <c r="B99" s="190" t="s">
        <v>31</v>
      </c>
      <c r="C99" s="191"/>
      <c r="D99" s="36"/>
      <c r="E99" s="17">
        <f>IF(F3="1",SUMIF(Data!A:A,'38'!$A$2,Data!AI:AI),0)</f>
        <v>3632271</v>
      </c>
      <c r="F99" s="21">
        <f t="shared" ref="F99:F104" si="6">IF(OR(E99=0,E99=0),"",ROUND(E99/$D$105,2))</f>
        <v>0.59</v>
      </c>
    </row>
    <row r="100" spans="2:6" x14ac:dyDescent="0.2">
      <c r="B100" s="190" t="s">
        <v>1089</v>
      </c>
      <c r="C100" s="191"/>
      <c r="D100" s="36"/>
      <c r="E100" s="17">
        <f>IF(F3="1",SUMIF(Data!A:A,'38'!$A$2,Data!AJ:AJ),0)</f>
        <v>1089808</v>
      </c>
      <c r="F100" s="21">
        <f t="shared" si="6"/>
        <v>0.18</v>
      </c>
    </row>
    <row r="101" spans="2:6" x14ac:dyDescent="0.2">
      <c r="B101" s="190" t="s">
        <v>1090</v>
      </c>
      <c r="C101" s="191"/>
      <c r="D101" s="36"/>
      <c r="E101" s="17">
        <f>IF(F3="1",SUMIF(Data!A:A,'38'!$A$2,Data!AK:AK),0)</f>
        <v>1882602</v>
      </c>
      <c r="F101" s="21">
        <f t="shared" si="6"/>
        <v>0.31</v>
      </c>
    </row>
    <row r="102" spans="2:6" x14ac:dyDescent="0.2">
      <c r="B102" s="190" t="s">
        <v>1091</v>
      </c>
      <c r="C102" s="191"/>
      <c r="D102" s="36"/>
      <c r="E102" s="17">
        <f>IF(F3="1",SUMIF(Data!A:A,'38'!$A$2,Data!AL:AL),0)</f>
        <v>0</v>
      </c>
      <c r="F102" s="21" t="str">
        <f t="shared" si="6"/>
        <v/>
      </c>
    </row>
    <row r="103" spans="2:6" x14ac:dyDescent="0.2">
      <c r="B103" s="192" t="s">
        <v>34</v>
      </c>
      <c r="C103" s="193"/>
      <c r="D103" s="36"/>
      <c r="E103" s="17">
        <f>IF(F3="1",SUMIF(Data!A:A,'38'!$A$2,Data!AM:AM),0)</f>
        <v>0</v>
      </c>
      <c r="F103" s="21" t="str">
        <f t="shared" si="6"/>
        <v/>
      </c>
    </row>
    <row r="104" spans="2:6" ht="15.75" customHeight="1" thickBot="1" x14ac:dyDescent="0.25">
      <c r="B104" s="186" t="s">
        <v>29</v>
      </c>
      <c r="C104" s="187"/>
      <c r="D104" s="37"/>
      <c r="E104" s="24">
        <f>IF(F3="1",SUMIF(Data!A:A,'38'!$A$2,Data!Q:Q),0)</f>
        <v>3922096</v>
      </c>
      <c r="F104" s="25">
        <f t="shared" si="6"/>
        <v>0.64</v>
      </c>
    </row>
    <row r="105" spans="2:6" x14ac:dyDescent="0.2">
      <c r="B105" s="30" t="s">
        <v>35</v>
      </c>
      <c r="C105" s="30"/>
      <c r="D105" s="34">
        <f>D95</f>
        <v>6168422</v>
      </c>
      <c r="E105" s="31">
        <f>SUM(E98:E104)</f>
        <v>19731862</v>
      </c>
      <c r="F105" s="32">
        <f>IF($D$105=0,"",ROUND(E105/$D$105,2))</f>
        <v>3.2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18495275</v>
      </c>
      <c r="D109" s="15">
        <f>IF(F3="1",SUMIF(Data!$A:$A,$A$2,Data!HJ:HJ),0)</f>
        <v>0</v>
      </c>
      <c r="E109" s="15">
        <f>IF(F3="1",SUMIF(Data!$A:$A,$A$2,Data!IN:IN),0)</f>
        <v>0</v>
      </c>
      <c r="F109" s="47">
        <f>SUM(C109:E109)</f>
        <v>18495275</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3922096</v>
      </c>
      <c r="E117" s="52"/>
      <c r="F117" s="49">
        <f>SUM(C117:E117)</f>
        <v>3922096</v>
      </c>
    </row>
    <row r="118" spans="1:6" x14ac:dyDescent="0.2">
      <c r="B118" s="13" t="s">
        <v>35</v>
      </c>
      <c r="C118" s="4">
        <f>SUM(C109:C116)</f>
        <v>18495275</v>
      </c>
      <c r="D118" s="4">
        <f>SUM(D109:D116)</f>
        <v>0</v>
      </c>
      <c r="E118" s="4">
        <f>SUM(E109:E116)</f>
        <v>0</v>
      </c>
      <c r="F118" s="4">
        <f>SUM(F109:F116)</f>
        <v>18495275</v>
      </c>
    </row>
    <row r="119" spans="1:6" ht="15" thickBot="1" x14ac:dyDescent="0.25"/>
    <row r="120" spans="1:6" ht="15" thickBot="1" x14ac:dyDescent="0.25">
      <c r="B120" s="55" t="s">
        <v>934</v>
      </c>
      <c r="C120" s="53"/>
      <c r="D120" s="53"/>
      <c r="E120" s="53">
        <f>IF(F3="1",SUMIF(Data!A:A,'38'!$A$2,Data!AM:AM),0)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42578125" style="10" bestFit="1" customWidth="1"/>
    <col min="13"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400</v>
      </c>
      <c r="B2" s="58" t="str">
        <f>VLOOKUP(A2,Data!A:G,7,0)</f>
        <v>Southwest Texas Junior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10512</v>
      </c>
      <c r="E5" s="15">
        <f>E36+E67+IFERROR($E$105/$D$105*D5,0)</f>
        <v>131113.11523104014</v>
      </c>
      <c r="F5" s="20">
        <f>IF(OR(D5=0,E5=0),"",ROUND(E5/D5,2))</f>
        <v>12.47</v>
      </c>
    </row>
    <row r="6" spans="1:6" x14ac:dyDescent="0.2">
      <c r="A6" s="19">
        <v>2</v>
      </c>
      <c r="B6" s="180" t="s">
        <v>1</v>
      </c>
      <c r="C6" s="181"/>
      <c r="D6" s="14">
        <f t="shared" ref="D6:D32" si="0">D37</f>
        <v>2016</v>
      </c>
      <c r="E6" s="17">
        <f t="shared" ref="E6:E32" si="1">E37+E68+IFERROR($E$105/$D$105*D6,0)</f>
        <v>59192.200181295368</v>
      </c>
      <c r="F6" s="21">
        <f t="shared" ref="F6:F33" si="2">IF(OR(D6=0,E6=0),"",ROUND(E6/D6,2))</f>
        <v>29.36</v>
      </c>
    </row>
    <row r="7" spans="1:6" ht="14.25" customHeight="1" x14ac:dyDescent="0.2">
      <c r="A7" s="19">
        <v>3</v>
      </c>
      <c r="B7" s="180" t="s">
        <v>2</v>
      </c>
      <c r="C7" s="181"/>
      <c r="D7" s="14">
        <f t="shared" si="0"/>
        <v>170128</v>
      </c>
      <c r="E7" s="17">
        <f t="shared" si="1"/>
        <v>906006.39307709271</v>
      </c>
      <c r="F7" s="21">
        <f t="shared" si="2"/>
        <v>5.33</v>
      </c>
    </row>
    <row r="8" spans="1:6" ht="14.25" customHeight="1" x14ac:dyDescent="0.2">
      <c r="A8" s="19">
        <v>4</v>
      </c>
      <c r="B8" s="180" t="s">
        <v>3</v>
      </c>
      <c r="C8" s="181"/>
      <c r="D8" s="14">
        <f t="shared" si="0"/>
        <v>185138</v>
      </c>
      <c r="E8" s="17">
        <f t="shared" si="1"/>
        <v>1348045.499585646</v>
      </c>
      <c r="F8" s="21">
        <f t="shared" si="2"/>
        <v>7.28</v>
      </c>
    </row>
    <row r="9" spans="1:6" x14ac:dyDescent="0.2">
      <c r="A9" s="19">
        <v>5</v>
      </c>
      <c r="B9" s="180" t="s">
        <v>4</v>
      </c>
      <c r="C9" s="181"/>
      <c r="D9" s="14">
        <f t="shared" si="0"/>
        <v>6048</v>
      </c>
      <c r="E9" s="17">
        <f t="shared" si="1"/>
        <v>75300.600543886103</v>
      </c>
      <c r="F9" s="21">
        <f t="shared" si="2"/>
        <v>12.45</v>
      </c>
    </row>
    <row r="10" spans="1:6" x14ac:dyDescent="0.2">
      <c r="A10" s="19">
        <v>6</v>
      </c>
      <c r="B10" s="180" t="s">
        <v>5</v>
      </c>
      <c r="C10" s="181"/>
      <c r="D10" s="14">
        <f t="shared" si="0"/>
        <v>12356</v>
      </c>
      <c r="E10" s="17">
        <f t="shared" si="1"/>
        <v>92730.316190518643</v>
      </c>
      <c r="F10" s="21">
        <f t="shared" si="2"/>
        <v>7.5</v>
      </c>
    </row>
    <row r="11" spans="1:6" x14ac:dyDescent="0.2">
      <c r="A11" s="19">
        <v>7</v>
      </c>
      <c r="B11" s="180" t="s">
        <v>6</v>
      </c>
      <c r="C11" s="181"/>
      <c r="D11" s="14">
        <f t="shared" si="0"/>
        <v>111757</v>
      </c>
      <c r="E11" s="17">
        <f t="shared" si="1"/>
        <v>475537.74437550927</v>
      </c>
      <c r="F11" s="21">
        <f t="shared" si="2"/>
        <v>4.26</v>
      </c>
    </row>
    <row r="12" spans="1:6" x14ac:dyDescent="0.2">
      <c r="A12" s="19">
        <v>8</v>
      </c>
      <c r="B12" s="180" t="s">
        <v>7</v>
      </c>
      <c r="C12" s="181"/>
      <c r="D12" s="14">
        <f t="shared" si="0"/>
        <v>5055</v>
      </c>
      <c r="E12" s="17">
        <f t="shared" si="1"/>
        <v>50122.122478396872</v>
      </c>
      <c r="F12" s="21">
        <f t="shared" si="2"/>
        <v>9.92</v>
      </c>
    </row>
    <row r="13" spans="1:6" x14ac:dyDescent="0.2">
      <c r="A13" s="19">
        <v>9</v>
      </c>
      <c r="B13" s="180" t="s">
        <v>8</v>
      </c>
      <c r="C13" s="181"/>
      <c r="D13" s="14">
        <f t="shared" si="0"/>
        <v>131909</v>
      </c>
      <c r="E13" s="17">
        <f t="shared" si="1"/>
        <v>799330.28110837843</v>
      </c>
      <c r="F13" s="21">
        <f t="shared" si="2"/>
        <v>6.06</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25254</v>
      </c>
      <c r="E15" s="17">
        <f t="shared" si="1"/>
        <v>268662.64155676251</v>
      </c>
      <c r="F15" s="21">
        <f t="shared" si="2"/>
        <v>10.64</v>
      </c>
    </row>
    <row r="16" spans="1:6" ht="14.25" customHeight="1" x14ac:dyDescent="0.2">
      <c r="A16" s="19">
        <v>12</v>
      </c>
      <c r="B16" s="180" t="s">
        <v>11</v>
      </c>
      <c r="C16" s="181"/>
      <c r="D16" s="14">
        <f t="shared" si="0"/>
        <v>353280</v>
      </c>
      <c r="E16" s="17">
        <f t="shared" si="1"/>
        <v>2036436.9365317603</v>
      </c>
      <c r="F16" s="21">
        <f t="shared" si="2"/>
        <v>5.76</v>
      </c>
    </row>
    <row r="17" spans="1:6" x14ac:dyDescent="0.2">
      <c r="A17" s="19">
        <v>13</v>
      </c>
      <c r="B17" s="180" t="s">
        <v>12</v>
      </c>
      <c r="C17" s="181"/>
      <c r="D17" s="14">
        <f t="shared" si="0"/>
        <v>18556</v>
      </c>
      <c r="E17" s="17">
        <f t="shared" si="1"/>
        <v>125849.75325601036</v>
      </c>
      <c r="F17" s="21">
        <f t="shared" si="2"/>
        <v>6.78</v>
      </c>
    </row>
    <row r="18" spans="1:6" ht="14.25" customHeight="1" x14ac:dyDescent="0.2">
      <c r="A18" s="19">
        <v>14</v>
      </c>
      <c r="B18" s="180" t="s">
        <v>464</v>
      </c>
      <c r="C18" s="181"/>
      <c r="D18" s="14">
        <f t="shared" si="0"/>
        <v>0</v>
      </c>
      <c r="E18" s="17">
        <f t="shared" si="1"/>
        <v>0</v>
      </c>
      <c r="F18" s="21" t="str">
        <f t="shared" si="2"/>
        <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6960</v>
      </c>
      <c r="E20" s="17">
        <f t="shared" si="1"/>
        <v>67709.61967351973</v>
      </c>
      <c r="F20" s="21">
        <f t="shared" si="2"/>
        <v>9.73</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72560</v>
      </c>
      <c r="E22" s="17">
        <f t="shared" si="1"/>
        <v>543787.27636646433</v>
      </c>
      <c r="F22" s="21">
        <f t="shared" si="2"/>
        <v>7.49</v>
      </c>
    </row>
    <row r="23" spans="1:6" x14ac:dyDescent="0.2">
      <c r="A23" s="19">
        <v>19</v>
      </c>
      <c r="B23" s="180" t="s">
        <v>17</v>
      </c>
      <c r="C23" s="181"/>
      <c r="D23" s="14">
        <f t="shared" si="0"/>
        <v>230672</v>
      </c>
      <c r="E23" s="17">
        <f t="shared" si="1"/>
        <v>1158936.1191566298</v>
      </c>
      <c r="F23" s="21">
        <f t="shared" si="2"/>
        <v>5.0199999999999996</v>
      </c>
    </row>
    <row r="24" spans="1:6" x14ac:dyDescent="0.2">
      <c r="A24" s="19">
        <v>20</v>
      </c>
      <c r="B24" s="180" t="s">
        <v>18</v>
      </c>
      <c r="C24" s="181"/>
      <c r="D24" s="14">
        <f t="shared" si="0"/>
        <v>34176</v>
      </c>
      <c r="E24" s="17">
        <f t="shared" si="1"/>
        <v>231037.82212100725</v>
      </c>
      <c r="F24" s="21">
        <f t="shared" si="2"/>
        <v>6.76</v>
      </c>
    </row>
    <row r="25" spans="1:6" ht="14.25" customHeight="1" x14ac:dyDescent="0.2">
      <c r="A25" s="19">
        <v>21</v>
      </c>
      <c r="B25" s="180" t="s">
        <v>461</v>
      </c>
      <c r="C25" s="181"/>
      <c r="D25" s="14">
        <f t="shared" si="0"/>
        <v>27536</v>
      </c>
      <c r="E25" s="17">
        <f t="shared" si="1"/>
        <v>561705.80565086775</v>
      </c>
      <c r="F25" s="21">
        <f t="shared" si="2"/>
        <v>20.399999999999999</v>
      </c>
    </row>
    <row r="26" spans="1:6" x14ac:dyDescent="0.2">
      <c r="A26" s="19">
        <v>22</v>
      </c>
      <c r="B26" s="180" t="s">
        <v>19</v>
      </c>
      <c r="C26" s="181"/>
      <c r="D26" s="14">
        <f t="shared" si="0"/>
        <v>3256</v>
      </c>
      <c r="E26" s="17">
        <f t="shared" si="1"/>
        <v>45639.287594393711</v>
      </c>
      <c r="F26" s="21">
        <f t="shared" si="2"/>
        <v>14.02</v>
      </c>
    </row>
    <row r="27" spans="1:6" x14ac:dyDescent="0.2">
      <c r="A27" s="19">
        <v>23</v>
      </c>
      <c r="B27" s="180" t="s">
        <v>20</v>
      </c>
      <c r="C27" s="181"/>
      <c r="D27" s="14">
        <f t="shared" si="0"/>
        <v>72002</v>
      </c>
      <c r="E27" s="17">
        <f t="shared" si="1"/>
        <v>478755.33703057002</v>
      </c>
      <c r="F27" s="21">
        <f t="shared" si="2"/>
        <v>6.65</v>
      </c>
    </row>
    <row r="28" spans="1:6" x14ac:dyDescent="0.2">
      <c r="A28" s="19">
        <v>24</v>
      </c>
      <c r="B28" s="180" t="s">
        <v>21</v>
      </c>
      <c r="C28" s="181"/>
      <c r="D28" s="14">
        <f t="shared" si="0"/>
        <v>97314</v>
      </c>
      <c r="E28" s="17">
        <f t="shared" si="1"/>
        <v>769646.8504179453</v>
      </c>
      <c r="F28" s="21">
        <f t="shared" si="2"/>
        <v>7.91</v>
      </c>
    </row>
    <row r="29" spans="1:6" x14ac:dyDescent="0.2">
      <c r="A29" s="19">
        <v>25</v>
      </c>
      <c r="B29" s="180" t="s">
        <v>22</v>
      </c>
      <c r="C29" s="181"/>
      <c r="D29" s="14">
        <f t="shared" si="0"/>
        <v>371520</v>
      </c>
      <c r="E29" s="17">
        <f t="shared" si="1"/>
        <v>1931626.3191244325</v>
      </c>
      <c r="F29" s="21">
        <f t="shared" si="2"/>
        <v>5.2</v>
      </c>
    </row>
    <row r="30" spans="1:6" x14ac:dyDescent="0.2">
      <c r="A30" s="19">
        <v>26</v>
      </c>
      <c r="B30" s="180" t="s">
        <v>23</v>
      </c>
      <c r="C30" s="181"/>
      <c r="D30" s="14">
        <f t="shared" si="0"/>
        <v>70800</v>
      </c>
      <c r="E30" s="17">
        <f t="shared" si="1"/>
        <v>403339.95874787308</v>
      </c>
      <c r="F30" s="21">
        <f t="shared" si="2"/>
        <v>5.7</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2018805</v>
      </c>
      <c r="E33" s="31">
        <f>SUM(E5:E32)</f>
        <v>12560512</v>
      </c>
      <c r="F33" s="32">
        <f t="shared" si="2"/>
        <v>6.22</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IF(F3="1",SUMIF(Data!A:A,'39'!$A$2,Data!CU:CU),0)</f>
        <v>10512</v>
      </c>
      <c r="E36" s="15">
        <f>IF(F3="1",SUMIF(Data!$A:$A,$A$2,Data!IO:IO),0)</f>
        <v>12366</v>
      </c>
      <c r="F36" s="20">
        <f t="shared" ref="F36:F64" si="3">IF(OR(D36=0,E36=0),"",ROUND(E36/D36,2))</f>
        <v>1.18</v>
      </c>
    </row>
    <row r="37" spans="1:6" x14ac:dyDescent="0.2">
      <c r="A37" s="19">
        <v>2</v>
      </c>
      <c r="B37" s="180" t="s">
        <v>1</v>
      </c>
      <c r="C37" s="181"/>
      <c r="D37" s="14">
        <f>IF(F3="1",SUMIF(Data!A:A,'39'!$A$2,Data!CV:CV),0)</f>
        <v>2016</v>
      </c>
      <c r="E37" s="17">
        <f>IF(F3="1",SUMIF(Data!$A:$A,$A$2,Data!IP:IP),0)</f>
        <v>14252</v>
      </c>
      <c r="F37" s="21">
        <f t="shared" si="3"/>
        <v>7.07</v>
      </c>
    </row>
    <row r="38" spans="1:6" ht="14.25" customHeight="1" x14ac:dyDescent="0.2">
      <c r="A38" s="19">
        <v>3</v>
      </c>
      <c r="B38" s="180" t="s">
        <v>2</v>
      </c>
      <c r="C38" s="181"/>
      <c r="D38" s="14">
        <f>IF(F3="1",SUMIF(Data!A:A,'39'!$A$2,Data!CW:CW),0)</f>
        <v>170128</v>
      </c>
      <c r="E38" s="17">
        <f>IF($F$3="1",SUMIF(Data!$A:$A,$A$2,Data!IQ:IQ),0)</f>
        <v>-50496</v>
      </c>
      <c r="F38" s="21">
        <f t="shared" si="3"/>
        <v>-0.3</v>
      </c>
    </row>
    <row r="39" spans="1:6" ht="14.25" customHeight="1" x14ac:dyDescent="0.2">
      <c r="A39" s="19">
        <v>4</v>
      </c>
      <c r="B39" s="180" t="s">
        <v>3</v>
      </c>
      <c r="C39" s="181"/>
      <c r="D39" s="14">
        <f>IF(F3="1",SUMIF(Data!A:A,'39'!$A$2,Data!CX:CX),0)</f>
        <v>185138</v>
      </c>
      <c r="E39" s="17">
        <f>IF($F$3="1",SUMIF(Data!$A:$A,$A$2,Data!IR:IR),0)</f>
        <v>157490</v>
      </c>
      <c r="F39" s="21">
        <f t="shared" si="3"/>
        <v>0.85</v>
      </c>
    </row>
    <row r="40" spans="1:6" x14ac:dyDescent="0.2">
      <c r="A40" s="19">
        <v>5</v>
      </c>
      <c r="B40" s="180" t="s">
        <v>4</v>
      </c>
      <c r="C40" s="181"/>
      <c r="D40" s="14">
        <f>IF(F3="1",SUMIF(Data!A:A,'39'!$A$2,Data!CY:CY),0)</f>
        <v>6048</v>
      </c>
      <c r="E40" s="17">
        <f>IF($F$3="1",SUMIF(Data!$A:$A,$A$2,Data!IS:IS),0)</f>
        <v>14436</v>
      </c>
      <c r="F40" s="21">
        <f t="shared" si="3"/>
        <v>2.39</v>
      </c>
    </row>
    <row r="41" spans="1:6" x14ac:dyDescent="0.2">
      <c r="A41" s="19">
        <v>6</v>
      </c>
      <c r="B41" s="180" t="s">
        <v>5</v>
      </c>
      <c r="C41" s="181"/>
      <c r="D41" s="14">
        <f>IF(F3="1",SUMIF(Data!A:A,'39'!$A$2,Data!CZ:CZ),0)</f>
        <v>12356</v>
      </c>
      <c r="E41" s="17">
        <f>IF($F$3="1",SUMIF(Data!$A:$A,$A$2,Data!IT:IT),0)</f>
        <v>19026</v>
      </c>
      <c r="F41" s="21">
        <f t="shared" si="3"/>
        <v>1.54</v>
      </c>
    </row>
    <row r="42" spans="1:6" x14ac:dyDescent="0.2">
      <c r="A42" s="19">
        <v>7</v>
      </c>
      <c r="B42" s="180" t="s">
        <v>6</v>
      </c>
      <c r="C42" s="181"/>
      <c r="D42" s="14">
        <f>IF(F3="1",SUMIF(Data!A:A,'39'!$A$2,Data!DA:DA),0)</f>
        <v>111757</v>
      </c>
      <c r="E42" s="17">
        <f>IF($F$3="1",SUMIF(Data!$A:$A,$A$2,Data!IU:IU),0)</f>
        <v>29576</v>
      </c>
      <c r="F42" s="21">
        <f t="shared" si="3"/>
        <v>0.26</v>
      </c>
    </row>
    <row r="43" spans="1:6" x14ac:dyDescent="0.2">
      <c r="A43" s="19">
        <v>8</v>
      </c>
      <c r="B43" s="180" t="s">
        <v>7</v>
      </c>
      <c r="C43" s="181"/>
      <c r="D43" s="14">
        <f>IF(F3="1",SUMIF(Data!A:A,'39'!$A$2,Data!DB:DB),0)</f>
        <v>5055</v>
      </c>
      <c r="E43" s="17">
        <f>IF($F$3="1",SUMIF(Data!$A:$A,$A$2,Data!IV:IV),0)</f>
        <v>3427</v>
      </c>
      <c r="F43" s="21">
        <f t="shared" si="3"/>
        <v>0.68</v>
      </c>
    </row>
    <row r="44" spans="1:6" x14ac:dyDescent="0.2">
      <c r="A44" s="19">
        <v>9</v>
      </c>
      <c r="B44" s="180" t="s">
        <v>8</v>
      </c>
      <c r="C44" s="181"/>
      <c r="D44" s="14">
        <f>IF(F3="1",SUMIF(Data!A:A,'39'!$A$2,Data!DC:DC),0)</f>
        <v>131909</v>
      </c>
      <c r="E44" s="17">
        <f>IF($F$3="1",SUMIF(Data!$A:$A,$A$2,Data!IW:IW),0)</f>
        <v>177212</v>
      </c>
      <c r="F44" s="21">
        <f t="shared" si="3"/>
        <v>1.34</v>
      </c>
    </row>
    <row r="45" spans="1:6" x14ac:dyDescent="0.2">
      <c r="A45" s="19">
        <v>10</v>
      </c>
      <c r="B45" s="180" t="s">
        <v>9</v>
      </c>
      <c r="C45" s="181"/>
      <c r="D45" s="14">
        <f>IF(F3="1",SUMIF(Data!A:A,'39'!$A$2,Data!DD:DD),0)</f>
        <v>0</v>
      </c>
      <c r="E45" s="17">
        <f>IF($F$3="1",SUMIF(Data!$A:$A,$A$2,Data!IX:IX),0)</f>
        <v>0</v>
      </c>
      <c r="F45" s="21" t="str">
        <f t="shared" si="3"/>
        <v/>
      </c>
    </row>
    <row r="46" spans="1:6" x14ac:dyDescent="0.2">
      <c r="A46" s="19">
        <v>11</v>
      </c>
      <c r="B46" s="180" t="s">
        <v>10</v>
      </c>
      <c r="C46" s="181"/>
      <c r="D46" s="14">
        <f>IF(F3="1",SUMIF(Data!A:A,'39'!$A$2,Data!DE:DE),0)</f>
        <v>25254</v>
      </c>
      <c r="E46" s="17">
        <f>IF($F$3="1",SUMIF(Data!$A:$A,$A$2,Data!IY:IY),0)</f>
        <v>106151</v>
      </c>
      <c r="F46" s="21">
        <f t="shared" si="3"/>
        <v>4.2</v>
      </c>
    </row>
    <row r="47" spans="1:6" ht="14.25" customHeight="1" x14ac:dyDescent="0.2">
      <c r="A47" s="19">
        <v>12</v>
      </c>
      <c r="B47" s="180" t="s">
        <v>11</v>
      </c>
      <c r="C47" s="181"/>
      <c r="D47" s="14">
        <f>IF(F3="1",SUMIF(Data!A:A,'39'!$A$2,Data!DF:DF),0)</f>
        <v>353280</v>
      </c>
      <c r="E47" s="17">
        <f>IF($F$3="1",SUMIF(Data!$A:$A,$A$2,Data!IZ:IZ),0)</f>
        <v>115171</v>
      </c>
      <c r="F47" s="21">
        <f t="shared" si="3"/>
        <v>0.33</v>
      </c>
    </row>
    <row r="48" spans="1:6" x14ac:dyDescent="0.2">
      <c r="A48" s="19">
        <v>13</v>
      </c>
      <c r="B48" s="180" t="s">
        <v>12</v>
      </c>
      <c r="C48" s="181"/>
      <c r="D48" s="14">
        <f>IF(F3="1",SUMIF(Data!A:A,'39'!$A$2,Data!DG:DG),0)</f>
        <v>18556</v>
      </c>
      <c r="E48" s="17">
        <f>IF($F$3="1",SUMIF(Data!$A:$A,$A$2,Data!JA:JA),0)</f>
        <v>16478</v>
      </c>
      <c r="F48" s="21">
        <f t="shared" si="3"/>
        <v>0.89</v>
      </c>
    </row>
    <row r="49" spans="1:6" ht="14.25" customHeight="1" x14ac:dyDescent="0.2">
      <c r="A49" s="19">
        <v>14</v>
      </c>
      <c r="B49" s="180" t="s">
        <v>464</v>
      </c>
      <c r="C49" s="181"/>
      <c r="D49" s="14">
        <f>IF(F3="1",SUMIF(Data!A:A,'39'!$A$2,Data!DH:DH),0)</f>
        <v>0</v>
      </c>
      <c r="E49" s="17">
        <f>IF($F$3="1",SUMIF(Data!$A:$A,$A$2,Data!JB:JB),0)</f>
        <v>0</v>
      </c>
      <c r="F49" s="21" t="str">
        <f t="shared" si="3"/>
        <v/>
      </c>
    </row>
    <row r="50" spans="1:6" x14ac:dyDescent="0.2">
      <c r="A50" s="19">
        <v>15</v>
      </c>
      <c r="B50" s="180" t="s">
        <v>13</v>
      </c>
      <c r="C50" s="181"/>
      <c r="D50" s="14">
        <f>IF(F3="1",SUMIF(Data!A:A,'39'!$A$2,Data!DI:DI),0)</f>
        <v>0</v>
      </c>
      <c r="E50" s="17">
        <f>IF($F$3="1",SUMIF(Data!$A:$A,$A$2,Data!JC:JC),0)</f>
        <v>0</v>
      </c>
      <c r="F50" s="21" t="str">
        <f t="shared" si="3"/>
        <v/>
      </c>
    </row>
    <row r="51" spans="1:6" x14ac:dyDescent="0.2">
      <c r="A51" s="19">
        <v>16</v>
      </c>
      <c r="B51" s="180" t="s">
        <v>14</v>
      </c>
      <c r="C51" s="181"/>
      <c r="D51" s="14">
        <f>IF(F3="1",SUMIF(Data!A:A,'39'!$A$2,Data!DJ:DJ),0)</f>
        <v>6960</v>
      </c>
      <c r="E51" s="17">
        <f>IF($F$3="1",SUMIF(Data!$A:$A,$A$2,Data!JD:JD),0)</f>
        <v>18877</v>
      </c>
      <c r="F51" s="21">
        <f t="shared" si="3"/>
        <v>2.71</v>
      </c>
    </row>
    <row r="52" spans="1:6" x14ac:dyDescent="0.2">
      <c r="A52" s="19">
        <v>17</v>
      </c>
      <c r="B52" s="180" t="s">
        <v>15</v>
      </c>
      <c r="C52" s="181"/>
      <c r="D52" s="14">
        <f>IF(F3="1",SUMIF(Data!A:A,'39'!$A$2,Data!DK:DK),0)</f>
        <v>0</v>
      </c>
      <c r="E52" s="17">
        <f>IF($F$3="1",SUMIF(Data!$A:$A,$A$2,Data!JE:JE),0)</f>
        <v>0</v>
      </c>
      <c r="F52" s="21" t="str">
        <f t="shared" si="3"/>
        <v/>
      </c>
    </row>
    <row r="53" spans="1:6" x14ac:dyDescent="0.2">
      <c r="A53" s="19">
        <v>18</v>
      </c>
      <c r="B53" s="180" t="s">
        <v>16</v>
      </c>
      <c r="C53" s="181"/>
      <c r="D53" s="14">
        <f>IF(F3="1",SUMIF(Data!A:A,'39'!$A$2,Data!DL:DL),0)</f>
        <v>72560</v>
      </c>
      <c r="E53" s="17">
        <f>IF($F$3="1",SUMIF(Data!$A:$A,$A$2,Data!JF:JF),0)</f>
        <v>64401</v>
      </c>
      <c r="F53" s="21">
        <f t="shared" si="3"/>
        <v>0.89</v>
      </c>
    </row>
    <row r="54" spans="1:6" x14ac:dyDescent="0.2">
      <c r="A54" s="19">
        <v>19</v>
      </c>
      <c r="B54" s="180" t="s">
        <v>17</v>
      </c>
      <c r="C54" s="181"/>
      <c r="D54" s="14">
        <f>IF(F3="1",SUMIF(Data!A:A,'39'!$A$2,Data!DM:DM),0)</f>
        <v>230672</v>
      </c>
      <c r="E54" s="17">
        <f>IF($F$3="1",SUMIF(Data!$A:$A,$A$2,Data!JG:JG),0)</f>
        <v>105853</v>
      </c>
      <c r="F54" s="21">
        <f t="shared" si="3"/>
        <v>0.46</v>
      </c>
    </row>
    <row r="55" spans="1:6" x14ac:dyDescent="0.2">
      <c r="A55" s="19">
        <v>20</v>
      </c>
      <c r="B55" s="180" t="s">
        <v>18</v>
      </c>
      <c r="C55" s="181"/>
      <c r="D55" s="14">
        <f>IF(F3="1",SUMIF(Data!A:A,'39'!$A$2,Data!DN:DN),0)</f>
        <v>34176</v>
      </c>
      <c r="E55" s="17">
        <f>IF($F$3="1",SUMIF(Data!$A:$A,$A$2,Data!JH:JH),0)</f>
        <v>18644</v>
      </c>
      <c r="F55" s="21">
        <f t="shared" si="3"/>
        <v>0.55000000000000004</v>
      </c>
    </row>
    <row r="56" spans="1:6" ht="14.25" customHeight="1" x14ac:dyDescent="0.2">
      <c r="A56" s="19">
        <v>21</v>
      </c>
      <c r="B56" s="180" t="s">
        <v>461</v>
      </c>
      <c r="C56" s="181"/>
      <c r="D56" s="14">
        <f>IF(F3="1",SUMIF(Data!A:A,'39'!$A$2,Data!DO:DO),0)</f>
        <v>27536</v>
      </c>
      <c r="E56" s="17">
        <f>IF($F$3="1",SUMIF(Data!$A:$A,$A$2,Data!JI:JI),0)</f>
        <v>273943</v>
      </c>
      <c r="F56" s="21">
        <f t="shared" si="3"/>
        <v>9.9499999999999993</v>
      </c>
    </row>
    <row r="57" spans="1:6" x14ac:dyDescent="0.2">
      <c r="A57" s="19">
        <v>22</v>
      </c>
      <c r="B57" s="180" t="s">
        <v>19</v>
      </c>
      <c r="C57" s="181"/>
      <c r="D57" s="14">
        <f>IF(F3="1",SUMIF(Data!A:A,'39'!$A$2,Data!DP:DP),0)</f>
        <v>3256</v>
      </c>
      <c r="E57" s="17">
        <f>IF($F$3="1",SUMIF(Data!$A:$A,$A$2,Data!JJ:JJ),0)</f>
        <v>3426</v>
      </c>
      <c r="F57" s="21">
        <f t="shared" si="3"/>
        <v>1.05</v>
      </c>
    </row>
    <row r="58" spans="1:6" x14ac:dyDescent="0.2">
      <c r="A58" s="19">
        <v>23</v>
      </c>
      <c r="B58" s="180" t="s">
        <v>20</v>
      </c>
      <c r="C58" s="181"/>
      <c r="D58" s="14">
        <f>IF(F3="1",SUMIF(Data!A:A,'39'!$A$2,Data!DQ:DQ),0)</f>
        <v>72002</v>
      </c>
      <c r="E58" s="17">
        <f>IF($F$3="1",SUMIF(Data!$A:$A,$A$2,Data!JK:JK),0)</f>
        <v>94753</v>
      </c>
      <c r="F58" s="21">
        <f t="shared" si="3"/>
        <v>1.32</v>
      </c>
    </row>
    <row r="59" spans="1:6" x14ac:dyDescent="0.2">
      <c r="A59" s="19">
        <v>24</v>
      </c>
      <c r="B59" s="180" t="s">
        <v>21</v>
      </c>
      <c r="C59" s="181"/>
      <c r="D59" s="14">
        <f>IF(F3="1",SUMIF(Data!A:A,'39'!$A$2,Data!DR:DR),0)</f>
        <v>97314</v>
      </c>
      <c r="E59" s="17">
        <f>IF($F$3="1",SUMIF(Data!$A:$A,$A$2,Data!JL:JL),0)</f>
        <v>186519</v>
      </c>
      <c r="F59" s="21">
        <f t="shared" si="3"/>
        <v>1.92</v>
      </c>
    </row>
    <row r="60" spans="1:6" x14ac:dyDescent="0.2">
      <c r="A60" s="19">
        <v>25</v>
      </c>
      <c r="B60" s="180" t="s">
        <v>22</v>
      </c>
      <c r="C60" s="181"/>
      <c r="D60" s="14">
        <f>IF(F3="1",SUMIF(Data!A:A,'39'!$A$2,Data!DS:DS),0)</f>
        <v>371520</v>
      </c>
      <c r="E60" s="17">
        <f>IF($F$3="1",SUMIF(Data!$A:$A,$A$2,Data!JM:JM),0)</f>
        <v>38461</v>
      </c>
      <c r="F60" s="21">
        <f t="shared" si="3"/>
        <v>0.1</v>
      </c>
    </row>
    <row r="61" spans="1:6" x14ac:dyDescent="0.2">
      <c r="A61" s="19">
        <v>26</v>
      </c>
      <c r="B61" s="180" t="s">
        <v>23</v>
      </c>
      <c r="C61" s="181"/>
      <c r="D61" s="14">
        <f>IF(F3="1",SUMIF(Data!A:A,'39'!$A$2,Data!DT:DT),0)</f>
        <v>70800</v>
      </c>
      <c r="E61" s="17">
        <f>IF($F$3="1",SUMIF(Data!$A:$A,$A$2,Data!JN:JN),0)</f>
        <v>53934</v>
      </c>
      <c r="F61" s="21">
        <f t="shared" si="3"/>
        <v>0.76</v>
      </c>
    </row>
    <row r="62" spans="1:6" x14ac:dyDescent="0.2">
      <c r="A62" s="19">
        <v>28</v>
      </c>
      <c r="B62" s="180" t="s">
        <v>24</v>
      </c>
      <c r="C62" s="181"/>
      <c r="D62" s="14">
        <f>IF(F3="1",SUMIF(Data!A:A,'39'!$A$2,Data!DV:DV),0)</f>
        <v>0</v>
      </c>
      <c r="E62" s="17">
        <f>IF($F$3="1",SUMIF(Data!$A:$A,$A$2,Data!JP:JP),0)</f>
        <v>0</v>
      </c>
      <c r="F62" s="21" t="str">
        <f t="shared" si="3"/>
        <v/>
      </c>
    </row>
    <row r="63" spans="1:6" ht="15.75" customHeight="1" thickBot="1" x14ac:dyDescent="0.25">
      <c r="A63" s="22">
        <v>29</v>
      </c>
      <c r="B63" s="184" t="s">
        <v>25</v>
      </c>
      <c r="C63" s="185"/>
      <c r="D63" s="23">
        <f>IF(F3="1",SUMIF(Data!A:A,'39'!$A$2,Data!DW:DW),0)</f>
        <v>0</v>
      </c>
      <c r="E63" s="24">
        <f>IF($F$3="1",SUMIF(Data!$A:$A,$A$2,Data!JQ:JQ),0)</f>
        <v>0</v>
      </c>
      <c r="F63" s="25" t="str">
        <f t="shared" si="3"/>
        <v/>
      </c>
    </row>
    <row r="64" spans="1:6" x14ac:dyDescent="0.2">
      <c r="B64" s="30" t="s">
        <v>35</v>
      </c>
      <c r="C64" s="30"/>
      <c r="D64" s="59">
        <f>SUM(D36:D63)</f>
        <v>2018805</v>
      </c>
      <c r="E64" s="31">
        <f>SUM(E36:E63)</f>
        <v>1473900</v>
      </c>
      <c r="F64" s="32">
        <f t="shared" si="3"/>
        <v>0.73</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10512</v>
      </c>
      <c r="E67" s="15">
        <f>IF(F3="1",SUMIF(Data!A:A,'39'!$A$2,Data!DY:DY),0)</f>
        <v>89228</v>
      </c>
      <c r="F67" s="20">
        <f t="shared" ref="F67:F95" si="4">IF(OR(D67=0,E67=0),"",ROUND(E67/D67,2))</f>
        <v>8.49</v>
      </c>
    </row>
    <row r="68" spans="1:6" x14ac:dyDescent="0.2">
      <c r="A68" s="19">
        <v>2</v>
      </c>
      <c r="B68" s="180" t="s">
        <v>1</v>
      </c>
      <c r="C68" s="181"/>
      <c r="D68" s="14">
        <f t="shared" ref="D68:D94" si="5">D37</f>
        <v>2016</v>
      </c>
      <c r="E68" s="17">
        <f>IF(F3="1",SUMIF(Data!A:A,'39'!$A$2,Data!DZ:DZ),0)</f>
        <v>39279</v>
      </c>
      <c r="F68" s="21">
        <f t="shared" si="4"/>
        <v>19.48</v>
      </c>
    </row>
    <row r="69" spans="1:6" ht="14.25" customHeight="1" x14ac:dyDescent="0.2">
      <c r="A69" s="19">
        <v>3</v>
      </c>
      <c r="B69" s="180" t="s">
        <v>2</v>
      </c>
      <c r="C69" s="181"/>
      <c r="D69" s="14">
        <f t="shared" si="5"/>
        <v>170128</v>
      </c>
      <c r="E69" s="17">
        <f>IF(F3="1",SUMIF(Data!A:A,'39'!$A$2,Data!EA:EA),0)</f>
        <v>478760</v>
      </c>
      <c r="F69" s="21">
        <f t="shared" si="4"/>
        <v>2.81</v>
      </c>
    </row>
    <row r="70" spans="1:6" ht="14.25" customHeight="1" x14ac:dyDescent="0.2">
      <c r="A70" s="19">
        <v>4</v>
      </c>
      <c r="B70" s="180" t="s">
        <v>3</v>
      </c>
      <c r="C70" s="181"/>
      <c r="D70" s="14">
        <f t="shared" si="5"/>
        <v>185138</v>
      </c>
      <c r="E70" s="17">
        <f>IF(F3="1",SUMIF(Data!A:A,'39'!$A$2,Data!EB:EB),0)</f>
        <v>670663</v>
      </c>
      <c r="F70" s="21">
        <f t="shared" si="4"/>
        <v>3.62</v>
      </c>
    </row>
    <row r="71" spans="1:6" x14ac:dyDescent="0.2">
      <c r="A71" s="19">
        <v>5</v>
      </c>
      <c r="B71" s="180" t="s">
        <v>4</v>
      </c>
      <c r="C71" s="181"/>
      <c r="D71" s="14">
        <f t="shared" si="5"/>
        <v>6048</v>
      </c>
      <c r="E71" s="17">
        <f>IF(F3="1",SUMIF(Data!A:A,'39'!$A$2,Data!EC:EC),0)</f>
        <v>43881</v>
      </c>
      <c r="F71" s="21">
        <f t="shared" si="4"/>
        <v>7.26</v>
      </c>
    </row>
    <row r="72" spans="1:6" x14ac:dyDescent="0.2">
      <c r="A72" s="19">
        <v>6</v>
      </c>
      <c r="B72" s="180" t="s">
        <v>5</v>
      </c>
      <c r="C72" s="181"/>
      <c r="D72" s="14">
        <f t="shared" si="5"/>
        <v>12356</v>
      </c>
      <c r="E72" s="17">
        <f>IF(F3="1",SUMIF(Data!A:A,'39'!$A$2,Data!ED:ED),0)</f>
        <v>39007</v>
      </c>
      <c r="F72" s="21">
        <f t="shared" si="4"/>
        <v>3.16</v>
      </c>
    </row>
    <row r="73" spans="1:6" x14ac:dyDescent="0.2">
      <c r="A73" s="19">
        <v>7</v>
      </c>
      <c r="B73" s="180" t="s">
        <v>6</v>
      </c>
      <c r="C73" s="181"/>
      <c r="D73" s="14">
        <f t="shared" si="5"/>
        <v>111757</v>
      </c>
      <c r="E73" s="17">
        <f>IF(F3="1",SUMIF(Data!A:A,'39'!$A$2,Data!EE:EE),0)</f>
        <v>132133</v>
      </c>
      <c r="F73" s="21">
        <f t="shared" si="4"/>
        <v>1.18</v>
      </c>
    </row>
    <row r="74" spans="1:6" x14ac:dyDescent="0.2">
      <c r="A74" s="19">
        <v>8</v>
      </c>
      <c r="B74" s="180" t="s">
        <v>7</v>
      </c>
      <c r="C74" s="181"/>
      <c r="D74" s="14">
        <f t="shared" si="5"/>
        <v>5055</v>
      </c>
      <c r="E74" s="17">
        <f>IF(F3="1",SUMIF(Data!A:A,'39'!$A$2,Data!EF:EF),0)</f>
        <v>32500</v>
      </c>
      <c r="F74" s="21">
        <f t="shared" si="4"/>
        <v>6.43</v>
      </c>
    </row>
    <row r="75" spans="1:6" x14ac:dyDescent="0.2">
      <c r="A75" s="19">
        <v>9</v>
      </c>
      <c r="B75" s="180" t="s">
        <v>8</v>
      </c>
      <c r="C75" s="181"/>
      <c r="D75" s="14">
        <f t="shared" si="5"/>
        <v>131909</v>
      </c>
      <c r="E75" s="17">
        <f>IF(F3="1",SUMIF(Data!A:A,'39'!$A$2,Data!EG:EG),0)</f>
        <v>251700</v>
      </c>
      <c r="F75" s="21">
        <f t="shared" si="4"/>
        <v>1.91</v>
      </c>
    </row>
    <row r="76" spans="1:6" x14ac:dyDescent="0.2">
      <c r="A76" s="19">
        <v>10</v>
      </c>
      <c r="B76" s="180" t="s">
        <v>9</v>
      </c>
      <c r="C76" s="181"/>
      <c r="D76" s="14">
        <f t="shared" si="5"/>
        <v>0</v>
      </c>
      <c r="E76" s="17">
        <f>IF(F3="1",SUMIF(Data!A:A,'39'!$A$2,Data!EH:EH),0)</f>
        <v>0</v>
      </c>
      <c r="F76" s="21" t="str">
        <f t="shared" si="4"/>
        <v/>
      </c>
    </row>
    <row r="77" spans="1:6" x14ac:dyDescent="0.2">
      <c r="A77" s="19">
        <v>11</v>
      </c>
      <c r="B77" s="180" t="s">
        <v>10</v>
      </c>
      <c r="C77" s="181"/>
      <c r="D77" s="14">
        <f t="shared" si="5"/>
        <v>25254</v>
      </c>
      <c r="E77" s="17">
        <f>IF(F3="1",SUMIF(Data!A:A,'39'!$A$2,Data!EI:EI),0)</f>
        <v>91595</v>
      </c>
      <c r="F77" s="21">
        <f t="shared" si="4"/>
        <v>3.63</v>
      </c>
    </row>
    <row r="78" spans="1:6" ht="14.25" customHeight="1" x14ac:dyDescent="0.2">
      <c r="A78" s="19">
        <v>12</v>
      </c>
      <c r="B78" s="180" t="s">
        <v>11</v>
      </c>
      <c r="C78" s="181"/>
      <c r="D78" s="14">
        <f t="shared" si="5"/>
        <v>353280</v>
      </c>
      <c r="E78" s="17">
        <f>IF(F3="1",SUMIF(Data!A:A,'39'!$A$2,Data!EJ:EJ),0)</f>
        <v>929208</v>
      </c>
      <c r="F78" s="21">
        <f t="shared" si="4"/>
        <v>2.63</v>
      </c>
    </row>
    <row r="79" spans="1:6" x14ac:dyDescent="0.2">
      <c r="A79" s="19">
        <v>13</v>
      </c>
      <c r="B79" s="180" t="s">
        <v>12</v>
      </c>
      <c r="C79" s="181"/>
      <c r="D79" s="14">
        <f t="shared" si="5"/>
        <v>18556</v>
      </c>
      <c r="E79" s="17">
        <f>IF(F3="1",SUMIF(Data!A:A,'39'!$A$2,Data!EK:EK),0)</f>
        <v>57264</v>
      </c>
      <c r="F79" s="21">
        <f t="shared" si="4"/>
        <v>3.09</v>
      </c>
    </row>
    <row r="80" spans="1:6" ht="14.25" customHeight="1" x14ac:dyDescent="0.2">
      <c r="A80" s="19">
        <v>14</v>
      </c>
      <c r="B80" s="180" t="s">
        <v>464</v>
      </c>
      <c r="C80" s="181"/>
      <c r="D80" s="14">
        <f t="shared" si="5"/>
        <v>0</v>
      </c>
      <c r="E80" s="17">
        <f>IF(F3="1",SUMIF(Data!A:A,'39'!$A$2,Data!EL:EL),0)</f>
        <v>0</v>
      </c>
      <c r="F80" s="21" t="str">
        <f t="shared" si="4"/>
        <v/>
      </c>
    </row>
    <row r="81" spans="1:6" x14ac:dyDescent="0.2">
      <c r="A81" s="19">
        <v>15</v>
      </c>
      <c r="B81" s="180" t="s">
        <v>13</v>
      </c>
      <c r="C81" s="181"/>
      <c r="D81" s="14">
        <f t="shared" si="5"/>
        <v>0</v>
      </c>
      <c r="E81" s="17">
        <f>IF(F3="1",SUMIF(Data!A:A,'39'!$A$2,Data!EM:EM),0)</f>
        <v>0</v>
      </c>
      <c r="F81" s="21" t="str">
        <f t="shared" si="4"/>
        <v/>
      </c>
    </row>
    <row r="82" spans="1:6" x14ac:dyDescent="0.2">
      <c r="A82" s="19">
        <v>16</v>
      </c>
      <c r="B82" s="180" t="s">
        <v>14</v>
      </c>
      <c r="C82" s="181"/>
      <c r="D82" s="14">
        <f t="shared" si="5"/>
        <v>6960</v>
      </c>
      <c r="E82" s="17">
        <f>IF(F3="1",SUMIF(Data!A:A,'39'!$A$2,Data!EN:EN),0)</f>
        <v>29288</v>
      </c>
      <c r="F82" s="21">
        <f t="shared" si="4"/>
        <v>4.21</v>
      </c>
    </row>
    <row r="83" spans="1:6" x14ac:dyDescent="0.2">
      <c r="A83" s="19">
        <v>17</v>
      </c>
      <c r="B83" s="180" t="s">
        <v>15</v>
      </c>
      <c r="C83" s="181"/>
      <c r="D83" s="14">
        <f t="shared" si="5"/>
        <v>0</v>
      </c>
      <c r="E83" s="17">
        <f>IF(F3="1",SUMIF(Data!A:A,'39'!$A$2,Data!EO:EO),0)</f>
        <v>0</v>
      </c>
      <c r="F83" s="21" t="str">
        <f t="shared" si="4"/>
        <v/>
      </c>
    </row>
    <row r="84" spans="1:6" x14ac:dyDescent="0.2">
      <c r="A84" s="19">
        <v>18</v>
      </c>
      <c r="B84" s="180" t="s">
        <v>16</v>
      </c>
      <c r="C84" s="181"/>
      <c r="D84" s="14">
        <f t="shared" si="5"/>
        <v>72560</v>
      </c>
      <c r="E84" s="17">
        <f>IF(F3="1",SUMIF(Data!A:A,'39'!$A$2,Data!EP:EP),0)</f>
        <v>275628</v>
      </c>
      <c r="F84" s="21">
        <f t="shared" si="4"/>
        <v>3.8</v>
      </c>
    </row>
    <row r="85" spans="1:6" x14ac:dyDescent="0.2">
      <c r="A85" s="19">
        <v>19</v>
      </c>
      <c r="B85" s="180" t="s">
        <v>17</v>
      </c>
      <c r="C85" s="181"/>
      <c r="D85" s="14">
        <f t="shared" si="5"/>
        <v>230672</v>
      </c>
      <c r="E85" s="17">
        <f>IF(F3="1",SUMIF(Data!A:A,'39'!$A$2,Data!EQ:EQ),0)</f>
        <v>405325</v>
      </c>
      <c r="F85" s="21">
        <f t="shared" si="4"/>
        <v>1.76</v>
      </c>
    </row>
    <row r="86" spans="1:6" x14ac:dyDescent="0.2">
      <c r="A86" s="19">
        <v>20</v>
      </c>
      <c r="B86" s="180" t="s">
        <v>18</v>
      </c>
      <c r="C86" s="181"/>
      <c r="D86" s="14">
        <f t="shared" si="5"/>
        <v>34176</v>
      </c>
      <c r="E86" s="17">
        <f>IF(F3="1",SUMIF(Data!A:A,'39'!$A$2,Data!ER:ER),0)</f>
        <v>116423</v>
      </c>
      <c r="F86" s="21">
        <f t="shared" si="4"/>
        <v>3.41</v>
      </c>
    </row>
    <row r="87" spans="1:6" ht="14.25" customHeight="1" x14ac:dyDescent="0.2">
      <c r="A87" s="19">
        <v>21</v>
      </c>
      <c r="B87" s="180" t="s">
        <v>461</v>
      </c>
      <c r="C87" s="181"/>
      <c r="D87" s="14">
        <f t="shared" si="5"/>
        <v>27536</v>
      </c>
      <c r="E87" s="17">
        <f>IF(F3="1",SUMIF(Data!A:A,'39'!$A$2,Data!ES:ES),0)</f>
        <v>210438</v>
      </c>
      <c r="F87" s="21">
        <f t="shared" si="4"/>
        <v>7.64</v>
      </c>
    </row>
    <row r="88" spans="1:6" x14ac:dyDescent="0.2">
      <c r="A88" s="19">
        <v>22</v>
      </c>
      <c r="B88" s="180" t="s">
        <v>19</v>
      </c>
      <c r="C88" s="181"/>
      <c r="D88" s="14">
        <f t="shared" si="5"/>
        <v>3256</v>
      </c>
      <c r="E88" s="17">
        <f>IF(F3="1",SUMIF(Data!A:A,'39'!$A$2,Data!ET:ET),0)</f>
        <v>33070</v>
      </c>
      <c r="F88" s="21">
        <f t="shared" si="4"/>
        <v>10.16</v>
      </c>
    </row>
    <row r="89" spans="1:6" x14ac:dyDescent="0.2">
      <c r="A89" s="19">
        <v>23</v>
      </c>
      <c r="B89" s="180" t="s">
        <v>20</v>
      </c>
      <c r="C89" s="181"/>
      <c r="D89" s="14">
        <f t="shared" si="5"/>
        <v>72002</v>
      </c>
      <c r="E89" s="17">
        <f>IF(F3="1",SUMIF(Data!A:A,'39'!$A$2,Data!EU:EU),0)</f>
        <v>181811</v>
      </c>
      <c r="F89" s="21">
        <f t="shared" si="4"/>
        <v>2.5299999999999998</v>
      </c>
    </row>
    <row r="90" spans="1:6" x14ac:dyDescent="0.2">
      <c r="A90" s="19">
        <v>24</v>
      </c>
      <c r="B90" s="180" t="s">
        <v>21</v>
      </c>
      <c r="C90" s="181"/>
      <c r="D90" s="14">
        <f t="shared" si="5"/>
        <v>97314</v>
      </c>
      <c r="E90" s="17">
        <f>IF(F3="1",SUMIF(Data!A:A,'39'!$A$2,Data!EV:EV),0)</f>
        <v>309857</v>
      </c>
      <c r="F90" s="21">
        <f t="shared" si="4"/>
        <v>3.18</v>
      </c>
    </row>
    <row r="91" spans="1:6" x14ac:dyDescent="0.2">
      <c r="A91" s="19">
        <v>25</v>
      </c>
      <c r="B91" s="180" t="s">
        <v>22</v>
      </c>
      <c r="C91" s="181"/>
      <c r="D91" s="14">
        <f t="shared" si="5"/>
        <v>371520</v>
      </c>
      <c r="E91" s="17">
        <f>IF(F3="1",SUMIF(Data!A:A,'39'!$A$2,Data!EW:EW),0)</f>
        <v>849887</v>
      </c>
      <c r="F91" s="21">
        <f t="shared" si="4"/>
        <v>2.29</v>
      </c>
    </row>
    <row r="92" spans="1:6" x14ac:dyDescent="0.2">
      <c r="A92" s="19">
        <v>26</v>
      </c>
      <c r="B92" s="180" t="s">
        <v>23</v>
      </c>
      <c r="C92" s="181"/>
      <c r="D92" s="14">
        <f t="shared" si="5"/>
        <v>70800</v>
      </c>
      <c r="E92" s="17">
        <f>IF(F3="1",SUMIF(Data!A:A,'39'!$A$2,Data!EX:EX),0)</f>
        <v>150590</v>
      </c>
      <c r="F92" s="21">
        <f t="shared" si="4"/>
        <v>2.13</v>
      </c>
    </row>
    <row r="93" spans="1:6" x14ac:dyDescent="0.2">
      <c r="A93" s="19">
        <v>28</v>
      </c>
      <c r="B93" s="180" t="s">
        <v>24</v>
      </c>
      <c r="C93" s="181"/>
      <c r="D93" s="14">
        <f t="shared" si="5"/>
        <v>0</v>
      </c>
      <c r="E93" s="17">
        <f>IF(F3="1",SUMIF(Data!A:A,'39'!$A$2,Data!EZ:EZ),0)</f>
        <v>0</v>
      </c>
      <c r="F93" s="21" t="str">
        <f t="shared" si="4"/>
        <v/>
      </c>
    </row>
    <row r="94" spans="1:6" ht="15.75" customHeight="1" thickBot="1" x14ac:dyDescent="0.25">
      <c r="A94" s="22">
        <v>29</v>
      </c>
      <c r="B94" s="184" t="s">
        <v>25</v>
      </c>
      <c r="C94" s="185"/>
      <c r="D94" s="23">
        <f t="shared" si="5"/>
        <v>0</v>
      </c>
      <c r="E94" s="24">
        <f>IF(F3="1",SUMIF(Data!A:A,'39'!$A$2,Data!FA:FA),0)</f>
        <v>0</v>
      </c>
      <c r="F94" s="25" t="str">
        <f t="shared" si="4"/>
        <v/>
      </c>
    </row>
    <row r="95" spans="1:6" x14ac:dyDescent="0.2">
      <c r="B95" s="30" t="s">
        <v>35</v>
      </c>
      <c r="C95" s="30"/>
      <c r="D95" s="59">
        <f>SUM(D67:D94)</f>
        <v>2018805</v>
      </c>
      <c r="E95" s="31">
        <f>SUM(E67:E94)</f>
        <v>5417535</v>
      </c>
      <c r="F95" s="32">
        <f t="shared" si="4"/>
        <v>2.68</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IF(F3="1",SUMIF(Data!A:A,'39'!$A$2,Data!AH:AH),0)</f>
        <v>2859353</v>
      </c>
      <c r="F98" s="20">
        <f>IF(OR(E98=0,E98=0),"",ROUND(E98/$D$105,2))</f>
        <v>1.42</v>
      </c>
    </row>
    <row r="99" spans="2:6" x14ac:dyDescent="0.2">
      <c r="B99" s="190" t="s">
        <v>31</v>
      </c>
      <c r="C99" s="191"/>
      <c r="D99" s="36"/>
      <c r="E99" s="17">
        <f>IF(F3="1",SUMIF(Data!A:A,'39'!$A$2,Data!AI:AI),0)</f>
        <v>843511</v>
      </c>
      <c r="F99" s="21">
        <f t="shared" ref="F99:F104" si="6">IF(OR(E99=0,E99=0),"",ROUND(E99/$D$105,2))</f>
        <v>0.42</v>
      </c>
    </row>
    <row r="100" spans="2:6" x14ac:dyDescent="0.2">
      <c r="B100" s="190" t="s">
        <v>1089</v>
      </c>
      <c r="C100" s="191"/>
      <c r="D100" s="36"/>
      <c r="E100" s="17">
        <f>IF(F3="1",SUMIF(Data!A:A,'39'!$A$2,Data!AJ:AJ),0)</f>
        <v>510482</v>
      </c>
      <c r="F100" s="21">
        <f t="shared" si="6"/>
        <v>0.25</v>
      </c>
    </row>
    <row r="101" spans="2:6" x14ac:dyDescent="0.2">
      <c r="B101" s="190" t="s">
        <v>1090</v>
      </c>
      <c r="C101" s="191"/>
      <c r="D101" s="36"/>
      <c r="E101" s="17">
        <f>IF(F3="1",SUMIF(Data!A:A,'39'!$A$2,Data!AK:AK),0)</f>
        <v>1078621</v>
      </c>
      <c r="F101" s="21">
        <f t="shared" si="6"/>
        <v>0.53</v>
      </c>
    </row>
    <row r="102" spans="2:6" x14ac:dyDescent="0.2">
      <c r="B102" s="190" t="s">
        <v>1091</v>
      </c>
      <c r="C102" s="191"/>
      <c r="D102" s="36"/>
      <c r="E102" s="17">
        <f>IF(F3="1",SUMIF(Data!A:A,'39'!$A$2,Data!AL:AL),0)</f>
        <v>0</v>
      </c>
      <c r="F102" s="21" t="str">
        <f t="shared" si="6"/>
        <v/>
      </c>
    </row>
    <row r="103" spans="2:6" x14ac:dyDescent="0.2">
      <c r="B103" s="192" t="s">
        <v>34</v>
      </c>
      <c r="C103" s="193"/>
      <c r="D103" s="36"/>
      <c r="E103" s="17">
        <f>IF(F3="1",SUMIF(Data!A:A,'39'!$A$2,Data!AM:AM),0)</f>
        <v>0</v>
      </c>
      <c r="F103" s="21" t="str">
        <f t="shared" si="6"/>
        <v/>
      </c>
    </row>
    <row r="104" spans="2:6" ht="15.75" customHeight="1" thickBot="1" x14ac:dyDescent="0.25">
      <c r="B104" s="186" t="s">
        <v>29</v>
      </c>
      <c r="C104" s="187"/>
      <c r="D104" s="37"/>
      <c r="E104" s="24">
        <f>IF(F3="1",SUMIF(Data!A:A,'39'!$A$2,Data!Q:Q),0)</f>
        <v>377110</v>
      </c>
      <c r="F104" s="25">
        <f t="shared" si="6"/>
        <v>0.19</v>
      </c>
    </row>
    <row r="105" spans="2:6" x14ac:dyDescent="0.2">
      <c r="B105" s="30" t="s">
        <v>35</v>
      </c>
      <c r="C105" s="30"/>
      <c r="D105" s="34">
        <f>D95</f>
        <v>2018805</v>
      </c>
      <c r="E105" s="31">
        <f>SUM(E98:E104)</f>
        <v>5669077</v>
      </c>
      <c r="F105" s="32">
        <f>IF($D$105=0,"",ROUND(E105/$D$105,2))</f>
        <v>2.81</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5417535</v>
      </c>
      <c r="D109" s="15">
        <f>IF(F3="1",SUMIF(Data!$A:$A,$A$2,Data!HJ:HJ),0)</f>
        <v>0</v>
      </c>
      <c r="E109" s="15">
        <f>IF(F3="1",SUMIF(Data!$A:$A,$A$2,Data!IN:IN),0)</f>
        <v>0</v>
      </c>
      <c r="F109" s="47">
        <f>SUM(C109:E109)</f>
        <v>5417535</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377110</v>
      </c>
      <c r="E117" s="52"/>
      <c r="F117" s="49">
        <f>SUM(C117:E117)</f>
        <v>377110</v>
      </c>
    </row>
    <row r="118" spans="1:6" x14ac:dyDescent="0.2">
      <c r="B118" s="13" t="s">
        <v>35</v>
      </c>
      <c r="C118" s="4">
        <f>SUM(C109:C116)</f>
        <v>5417535</v>
      </c>
      <c r="D118" s="4">
        <f>SUM(D109:D116)</f>
        <v>0</v>
      </c>
      <c r="E118" s="4">
        <f>SUM(E109:E116)</f>
        <v>0</v>
      </c>
      <c r="F118" s="4">
        <f>SUM(F109:F116)</f>
        <v>5417535</v>
      </c>
    </row>
    <row r="119" spans="1:6" ht="15" thickBot="1" x14ac:dyDescent="0.25"/>
    <row r="120" spans="1:6" ht="15" thickBot="1" x14ac:dyDescent="0.25">
      <c r="B120" s="55" t="s">
        <v>934</v>
      </c>
      <c r="C120" s="53"/>
      <c r="D120" s="53"/>
      <c r="E120" s="53">
        <f>IF(F3="1",SUMIF(Data!A:A,'39'!$A$2,Data!AM:AM),0)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2" width="13.42578125" style="10" bestFit="1" customWidth="1"/>
    <col min="13" max="13" width="13.5703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1079</v>
      </c>
      <c r="B2" s="58" t="str">
        <f>VLOOKUP(A2,Data!A:G,7,0)</f>
        <v>Tarrant County College District</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17434</v>
      </c>
      <c r="E5" s="15">
        <f>E36+E67+IFERROR($E$105/$D$105*D5,0)</f>
        <v>199428.31564138606</v>
      </c>
      <c r="F5" s="20">
        <f>IF(OR(D5=0,E5=0),"",ROUND(E5/D5,2))</f>
        <v>11.44</v>
      </c>
    </row>
    <row r="6" spans="1:6" x14ac:dyDescent="0.2">
      <c r="A6" s="19">
        <v>2</v>
      </c>
      <c r="B6" s="180" t="s">
        <v>1</v>
      </c>
      <c r="C6" s="181"/>
      <c r="D6" s="14">
        <f t="shared" ref="D6:D32" si="0">D37</f>
        <v>139472</v>
      </c>
      <c r="E6" s="17">
        <f t="shared" ref="E6:E32" si="1">E37+E68+IFERROR($E$105/$D$105*D6,0)</f>
        <v>885383.52513108845</v>
      </c>
      <c r="F6" s="21">
        <f t="shared" ref="F6:F33" si="2">IF(OR(D6=0,E6=0),"",ROUND(E6/D6,2))</f>
        <v>6.35</v>
      </c>
    </row>
    <row r="7" spans="1:6" ht="14.25" customHeight="1" x14ac:dyDescent="0.2">
      <c r="A7" s="19">
        <v>3</v>
      </c>
      <c r="B7" s="180" t="s">
        <v>2</v>
      </c>
      <c r="C7" s="181"/>
      <c r="D7" s="14">
        <f t="shared" si="0"/>
        <v>1712271</v>
      </c>
      <c r="E7" s="17">
        <f t="shared" si="1"/>
        <v>11216856.722472854</v>
      </c>
      <c r="F7" s="21">
        <f t="shared" si="2"/>
        <v>6.55</v>
      </c>
    </row>
    <row r="8" spans="1:6" ht="14.25" customHeight="1" x14ac:dyDescent="0.2">
      <c r="A8" s="19">
        <v>4</v>
      </c>
      <c r="B8" s="180" t="s">
        <v>3</v>
      </c>
      <c r="C8" s="181"/>
      <c r="D8" s="14">
        <f t="shared" si="0"/>
        <v>789256</v>
      </c>
      <c r="E8" s="17">
        <f t="shared" si="1"/>
        <v>5648321.3187941834</v>
      </c>
      <c r="F8" s="21">
        <f t="shared" si="2"/>
        <v>7.16</v>
      </c>
    </row>
    <row r="9" spans="1:6" x14ac:dyDescent="0.2">
      <c r="A9" s="19">
        <v>5</v>
      </c>
      <c r="B9" s="180" t="s">
        <v>4</v>
      </c>
      <c r="C9" s="181"/>
      <c r="D9" s="14">
        <f t="shared" si="0"/>
        <v>144</v>
      </c>
      <c r="E9" s="17">
        <f t="shared" si="1"/>
        <v>2771.7161553492938</v>
      </c>
      <c r="F9" s="21">
        <f t="shared" si="2"/>
        <v>19.25</v>
      </c>
    </row>
    <row r="10" spans="1:6" x14ac:dyDescent="0.2">
      <c r="A10" s="19">
        <v>6</v>
      </c>
      <c r="B10" s="180" t="s">
        <v>5</v>
      </c>
      <c r="C10" s="181"/>
      <c r="D10" s="14">
        <f t="shared" si="0"/>
        <v>40320</v>
      </c>
      <c r="E10" s="17">
        <f t="shared" si="1"/>
        <v>519282.52349780232</v>
      </c>
      <c r="F10" s="21">
        <f t="shared" si="2"/>
        <v>12.88</v>
      </c>
    </row>
    <row r="11" spans="1:6" x14ac:dyDescent="0.2">
      <c r="A11" s="19">
        <v>7</v>
      </c>
      <c r="B11" s="180" t="s">
        <v>6</v>
      </c>
      <c r="C11" s="181"/>
      <c r="D11" s="14">
        <f t="shared" si="0"/>
        <v>635020</v>
      </c>
      <c r="E11" s="17">
        <f t="shared" si="1"/>
        <v>4694469.9234021436</v>
      </c>
      <c r="F11" s="21">
        <f t="shared" si="2"/>
        <v>7.39</v>
      </c>
    </row>
    <row r="12" spans="1:6" x14ac:dyDescent="0.2">
      <c r="A12" s="19">
        <v>8</v>
      </c>
      <c r="B12" s="180" t="s">
        <v>7</v>
      </c>
      <c r="C12" s="181"/>
      <c r="D12" s="14">
        <f t="shared" si="0"/>
        <v>4560</v>
      </c>
      <c r="E12" s="17">
        <f t="shared" si="1"/>
        <v>21853.344919394309</v>
      </c>
      <c r="F12" s="21">
        <f t="shared" si="2"/>
        <v>4.79</v>
      </c>
    </row>
    <row r="13" spans="1:6" x14ac:dyDescent="0.2">
      <c r="A13" s="19">
        <v>9</v>
      </c>
      <c r="B13" s="180" t="s">
        <v>8</v>
      </c>
      <c r="C13" s="181"/>
      <c r="D13" s="14">
        <f t="shared" si="0"/>
        <v>146876</v>
      </c>
      <c r="E13" s="17">
        <f t="shared" si="1"/>
        <v>988689.01411863125</v>
      </c>
      <c r="F13" s="21">
        <f t="shared" si="2"/>
        <v>6.73</v>
      </c>
    </row>
    <row r="14" spans="1:6" x14ac:dyDescent="0.2">
      <c r="A14" s="19">
        <v>10</v>
      </c>
      <c r="B14" s="180" t="s">
        <v>9</v>
      </c>
      <c r="C14" s="181"/>
      <c r="D14" s="14">
        <f t="shared" si="0"/>
        <v>2816</v>
      </c>
      <c r="E14" s="17">
        <f t="shared" si="1"/>
        <v>84965.893704608417</v>
      </c>
      <c r="F14" s="21">
        <f t="shared" si="2"/>
        <v>30.17</v>
      </c>
    </row>
    <row r="15" spans="1:6" x14ac:dyDescent="0.2">
      <c r="A15" s="19">
        <v>11</v>
      </c>
      <c r="B15" s="180" t="s">
        <v>10</v>
      </c>
      <c r="C15" s="181"/>
      <c r="D15" s="14">
        <f t="shared" si="0"/>
        <v>207159</v>
      </c>
      <c r="E15" s="17">
        <f t="shared" si="1"/>
        <v>1988593.6807361417</v>
      </c>
      <c r="F15" s="21">
        <f t="shared" si="2"/>
        <v>9.6</v>
      </c>
    </row>
    <row r="16" spans="1:6" ht="14.25" customHeight="1" x14ac:dyDescent="0.2">
      <c r="A16" s="19">
        <v>12</v>
      </c>
      <c r="B16" s="180" t="s">
        <v>11</v>
      </c>
      <c r="C16" s="181"/>
      <c r="D16" s="14">
        <f t="shared" si="0"/>
        <v>2177052</v>
      </c>
      <c r="E16" s="17">
        <f t="shared" si="1"/>
        <v>14342851.801635355</v>
      </c>
      <c r="F16" s="21">
        <f t="shared" si="2"/>
        <v>6.59</v>
      </c>
    </row>
    <row r="17" spans="1:6" x14ac:dyDescent="0.2">
      <c r="A17" s="19">
        <v>13</v>
      </c>
      <c r="B17" s="180" t="s">
        <v>12</v>
      </c>
      <c r="C17" s="181"/>
      <c r="D17" s="14">
        <f t="shared" si="0"/>
        <v>377552</v>
      </c>
      <c r="E17" s="17">
        <f t="shared" si="1"/>
        <v>2570955.9019752545</v>
      </c>
      <c r="F17" s="21">
        <f t="shared" si="2"/>
        <v>6.81</v>
      </c>
    </row>
    <row r="18" spans="1:6" ht="14.25" customHeight="1" x14ac:dyDescent="0.2">
      <c r="A18" s="19">
        <v>14</v>
      </c>
      <c r="B18" s="180" t="s">
        <v>464</v>
      </c>
      <c r="C18" s="181"/>
      <c r="D18" s="14">
        <f t="shared" si="0"/>
        <v>202376</v>
      </c>
      <c r="E18" s="17">
        <f t="shared" si="1"/>
        <v>2509651.6989928382</v>
      </c>
      <c r="F18" s="21">
        <f t="shared" si="2"/>
        <v>12.4</v>
      </c>
    </row>
    <row r="19" spans="1:6" x14ac:dyDescent="0.2">
      <c r="A19" s="19">
        <v>15</v>
      </c>
      <c r="B19" s="180" t="s">
        <v>13</v>
      </c>
      <c r="C19" s="181"/>
      <c r="D19" s="14">
        <f t="shared" si="0"/>
        <v>37628</v>
      </c>
      <c r="E19" s="17">
        <f t="shared" si="1"/>
        <v>597337.02426030021</v>
      </c>
      <c r="F19" s="21">
        <f t="shared" si="2"/>
        <v>15.87</v>
      </c>
    </row>
    <row r="20" spans="1:6" x14ac:dyDescent="0.2">
      <c r="A20" s="19">
        <v>16</v>
      </c>
      <c r="B20" s="180" t="s">
        <v>14</v>
      </c>
      <c r="C20" s="181"/>
      <c r="D20" s="14">
        <f t="shared" si="0"/>
        <v>366702</v>
      </c>
      <c r="E20" s="17">
        <f t="shared" si="1"/>
        <v>2633521.8861034503</v>
      </c>
      <c r="F20" s="21">
        <f t="shared" si="2"/>
        <v>7.18</v>
      </c>
    </row>
    <row r="21" spans="1:6" x14ac:dyDescent="0.2">
      <c r="A21" s="19">
        <v>17</v>
      </c>
      <c r="B21" s="180" t="s">
        <v>15</v>
      </c>
      <c r="C21" s="181"/>
      <c r="D21" s="14">
        <f t="shared" si="0"/>
        <v>25312</v>
      </c>
      <c r="E21" s="17">
        <f t="shared" si="1"/>
        <v>408136.32864028699</v>
      </c>
      <c r="F21" s="21">
        <f t="shared" si="2"/>
        <v>16.12</v>
      </c>
    </row>
    <row r="22" spans="1:6" x14ac:dyDescent="0.2">
      <c r="A22" s="19">
        <v>18</v>
      </c>
      <c r="B22" s="180" t="s">
        <v>16</v>
      </c>
      <c r="C22" s="181"/>
      <c r="D22" s="14">
        <f t="shared" si="0"/>
        <v>0</v>
      </c>
      <c r="E22" s="17">
        <f t="shared" si="1"/>
        <v>0</v>
      </c>
      <c r="F22" s="21" t="str">
        <f t="shared" si="2"/>
        <v/>
      </c>
    </row>
    <row r="23" spans="1:6" x14ac:dyDescent="0.2">
      <c r="A23" s="19">
        <v>19</v>
      </c>
      <c r="B23" s="180" t="s">
        <v>17</v>
      </c>
      <c r="C23" s="181"/>
      <c r="D23" s="14">
        <f t="shared" si="0"/>
        <v>1490113</v>
      </c>
      <c r="E23" s="17">
        <f t="shared" si="1"/>
        <v>9686648.1416389048</v>
      </c>
      <c r="F23" s="21">
        <f t="shared" si="2"/>
        <v>6.5</v>
      </c>
    </row>
    <row r="24" spans="1:6" x14ac:dyDescent="0.2">
      <c r="A24" s="19">
        <v>20</v>
      </c>
      <c r="B24" s="180" t="s">
        <v>18</v>
      </c>
      <c r="C24" s="181"/>
      <c r="D24" s="14">
        <f t="shared" si="0"/>
        <v>115592</v>
      </c>
      <c r="E24" s="17">
        <f t="shared" si="1"/>
        <v>918472.42936899723</v>
      </c>
      <c r="F24" s="21">
        <f t="shared" si="2"/>
        <v>7.95</v>
      </c>
    </row>
    <row r="25" spans="1:6" ht="14.25" customHeight="1" x14ac:dyDescent="0.2">
      <c r="A25" s="19">
        <v>21</v>
      </c>
      <c r="B25" s="180" t="s">
        <v>461</v>
      </c>
      <c r="C25" s="181"/>
      <c r="D25" s="14">
        <f t="shared" si="0"/>
        <v>362744</v>
      </c>
      <c r="E25" s="17">
        <f t="shared" si="1"/>
        <v>2152903.9240001687</v>
      </c>
      <c r="F25" s="21">
        <f t="shared" si="2"/>
        <v>5.94</v>
      </c>
    </row>
    <row r="26" spans="1:6" x14ac:dyDescent="0.2">
      <c r="A26" s="19">
        <v>22</v>
      </c>
      <c r="B26" s="180" t="s">
        <v>19</v>
      </c>
      <c r="C26" s="181"/>
      <c r="D26" s="14">
        <f t="shared" si="0"/>
        <v>6384</v>
      </c>
      <c r="E26" s="17">
        <f t="shared" si="1"/>
        <v>25040.082887152032</v>
      </c>
      <c r="F26" s="21">
        <f t="shared" si="2"/>
        <v>3.92</v>
      </c>
    </row>
    <row r="27" spans="1:6" x14ac:dyDescent="0.2">
      <c r="A27" s="19">
        <v>23</v>
      </c>
      <c r="B27" s="180" t="s">
        <v>20</v>
      </c>
      <c r="C27" s="181"/>
      <c r="D27" s="14">
        <f t="shared" si="0"/>
        <v>373328</v>
      </c>
      <c r="E27" s="17">
        <f t="shared" si="1"/>
        <v>2846990.5614183415</v>
      </c>
      <c r="F27" s="21">
        <f t="shared" si="2"/>
        <v>7.63</v>
      </c>
    </row>
    <row r="28" spans="1:6" x14ac:dyDescent="0.2">
      <c r="A28" s="19">
        <v>24</v>
      </c>
      <c r="B28" s="180" t="s">
        <v>21</v>
      </c>
      <c r="C28" s="181"/>
      <c r="D28" s="14">
        <f t="shared" si="0"/>
        <v>306785</v>
      </c>
      <c r="E28" s="17">
        <f t="shared" si="1"/>
        <v>3095876.2063807859</v>
      </c>
      <c r="F28" s="21">
        <f t="shared" si="2"/>
        <v>10.09</v>
      </c>
    </row>
    <row r="29" spans="1:6" x14ac:dyDescent="0.2">
      <c r="A29" s="19">
        <v>25</v>
      </c>
      <c r="B29" s="180" t="s">
        <v>22</v>
      </c>
      <c r="C29" s="181"/>
      <c r="D29" s="14">
        <f t="shared" si="0"/>
        <v>2500178</v>
      </c>
      <c r="E29" s="17">
        <f t="shared" si="1"/>
        <v>14960771.193395048</v>
      </c>
      <c r="F29" s="21">
        <f t="shared" si="2"/>
        <v>5.98</v>
      </c>
    </row>
    <row r="30" spans="1:6" x14ac:dyDescent="0.2">
      <c r="A30" s="19">
        <v>26</v>
      </c>
      <c r="B30" s="180" t="s">
        <v>23</v>
      </c>
      <c r="C30" s="181"/>
      <c r="D30" s="14">
        <f t="shared" si="0"/>
        <v>724928</v>
      </c>
      <c r="E30" s="17">
        <f t="shared" si="1"/>
        <v>5881896.8407295346</v>
      </c>
      <c r="F30" s="21">
        <f t="shared" si="2"/>
        <v>8.11</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12762002</v>
      </c>
      <c r="E33" s="31">
        <f>SUM(E5:E32)</f>
        <v>88881669.999999985</v>
      </c>
      <c r="F33" s="32">
        <f t="shared" si="2"/>
        <v>6.96</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IF(F3="1",SUMIF(Data!A:A,'40'!$A$2,Data!CU:CU),0)</f>
        <v>17434</v>
      </c>
      <c r="E36" s="15">
        <f>IF(F3="1",SUMIF(Data!$A:$A,$A$2,Data!IO:IO),0)</f>
        <v>45334</v>
      </c>
      <c r="F36" s="20">
        <f t="shared" ref="F36:F64" si="3">IF(OR(D36=0,E36=0),"",ROUND(E36/D36,2))</f>
        <v>2.6</v>
      </c>
    </row>
    <row r="37" spans="1:6" x14ac:dyDescent="0.2">
      <c r="A37" s="19">
        <v>2</v>
      </c>
      <c r="B37" s="180" t="s">
        <v>1</v>
      </c>
      <c r="C37" s="181"/>
      <c r="D37" s="14">
        <f>IF(F3="1",SUMIF(Data!A:A,'40'!$A$2,Data!CV:CV),0)</f>
        <v>139472</v>
      </c>
      <c r="E37" s="17">
        <f>IF(F3="1",SUMIF(Data!$A:$A,$A$2,Data!IP:IP),0)</f>
        <v>121079</v>
      </c>
      <c r="F37" s="21">
        <f t="shared" si="3"/>
        <v>0.87</v>
      </c>
    </row>
    <row r="38" spans="1:6" ht="14.25" customHeight="1" x14ac:dyDescent="0.2">
      <c r="A38" s="19">
        <v>3</v>
      </c>
      <c r="B38" s="180" t="s">
        <v>2</v>
      </c>
      <c r="C38" s="181"/>
      <c r="D38" s="14">
        <f>IF(F3="1",SUMIF(Data!A:A,'40'!$A$2,Data!CW:CW),0)</f>
        <v>1712271</v>
      </c>
      <c r="E38" s="17">
        <f>IF($F$3="1",SUMIF(Data!$A:$A,$A$2,Data!IQ:IQ),0)</f>
        <v>1445920</v>
      </c>
      <c r="F38" s="21">
        <f t="shared" si="3"/>
        <v>0.84</v>
      </c>
    </row>
    <row r="39" spans="1:6" ht="14.25" customHeight="1" x14ac:dyDescent="0.2">
      <c r="A39" s="19">
        <v>4</v>
      </c>
      <c r="B39" s="180" t="s">
        <v>3</v>
      </c>
      <c r="C39" s="181"/>
      <c r="D39" s="14">
        <f>IF(F3="1",SUMIF(Data!A:A,'40'!$A$2,Data!CX:CX),0)</f>
        <v>789256</v>
      </c>
      <c r="E39" s="17">
        <f>IF($F$3="1",SUMIF(Data!$A:$A,$A$2,Data!IR:IR),0)</f>
        <v>629302</v>
      </c>
      <c r="F39" s="21">
        <f t="shared" si="3"/>
        <v>0.8</v>
      </c>
    </row>
    <row r="40" spans="1:6" x14ac:dyDescent="0.2">
      <c r="A40" s="19">
        <v>5</v>
      </c>
      <c r="B40" s="180" t="s">
        <v>4</v>
      </c>
      <c r="C40" s="181"/>
      <c r="D40" s="14">
        <f>IF(F3="1",SUMIF(Data!A:A,'40'!$A$2,Data!CY:CY),0)</f>
        <v>144</v>
      </c>
      <c r="E40" s="17">
        <f>IF($F$3="1",SUMIF(Data!$A:$A,$A$2,Data!IS:IS),0)</f>
        <v>19</v>
      </c>
      <c r="F40" s="21">
        <f t="shared" si="3"/>
        <v>0.13</v>
      </c>
    </row>
    <row r="41" spans="1:6" x14ac:dyDescent="0.2">
      <c r="A41" s="19">
        <v>6</v>
      </c>
      <c r="B41" s="180" t="s">
        <v>5</v>
      </c>
      <c r="C41" s="181"/>
      <c r="D41" s="14">
        <f>IF(F3="1",SUMIF(Data!A:A,'40'!$A$2,Data!CZ:CZ),0)</f>
        <v>40320</v>
      </c>
      <c r="E41" s="17">
        <f>IF($F$3="1",SUMIF(Data!$A:$A,$A$2,Data!IT:IT),0)</f>
        <v>144170</v>
      </c>
      <c r="F41" s="21">
        <f t="shared" si="3"/>
        <v>3.58</v>
      </c>
    </row>
    <row r="42" spans="1:6" x14ac:dyDescent="0.2">
      <c r="A42" s="19">
        <v>7</v>
      </c>
      <c r="B42" s="180" t="s">
        <v>6</v>
      </c>
      <c r="C42" s="181"/>
      <c r="D42" s="14">
        <f>IF(F3="1",SUMIF(Data!A:A,'40'!$A$2,Data!DA:DA),0)</f>
        <v>635020</v>
      </c>
      <c r="E42" s="17">
        <f>IF($F$3="1",SUMIF(Data!$A:$A,$A$2,Data!IU:IU),0)</f>
        <v>550948</v>
      </c>
      <c r="F42" s="21">
        <f t="shared" si="3"/>
        <v>0.87</v>
      </c>
    </row>
    <row r="43" spans="1:6" x14ac:dyDescent="0.2">
      <c r="A43" s="19">
        <v>8</v>
      </c>
      <c r="B43" s="180" t="s">
        <v>7</v>
      </c>
      <c r="C43" s="181"/>
      <c r="D43" s="14">
        <f>IF(F3="1",SUMIF(Data!A:A,'40'!$A$2,Data!DB:DB),0)</f>
        <v>4560</v>
      </c>
      <c r="E43" s="17">
        <f>IF($F$3="1",SUMIF(Data!$A:$A,$A$2,Data!IV:IV),0)</f>
        <v>53</v>
      </c>
      <c r="F43" s="21">
        <f t="shared" si="3"/>
        <v>0.01</v>
      </c>
    </row>
    <row r="44" spans="1:6" x14ac:dyDescent="0.2">
      <c r="A44" s="19">
        <v>9</v>
      </c>
      <c r="B44" s="180" t="s">
        <v>8</v>
      </c>
      <c r="C44" s="181"/>
      <c r="D44" s="14">
        <f>IF(F3="1",SUMIF(Data!A:A,'40'!$A$2,Data!DC:DC),0)</f>
        <v>146876</v>
      </c>
      <c r="E44" s="17">
        <f>IF($F$3="1",SUMIF(Data!$A:$A,$A$2,Data!IW:IW),0)</f>
        <v>128392</v>
      </c>
      <c r="F44" s="21">
        <f t="shared" si="3"/>
        <v>0.87</v>
      </c>
    </row>
    <row r="45" spans="1:6" x14ac:dyDescent="0.2">
      <c r="A45" s="19">
        <v>10</v>
      </c>
      <c r="B45" s="180" t="s">
        <v>9</v>
      </c>
      <c r="C45" s="181"/>
      <c r="D45" s="14">
        <f>IF(F3="1",SUMIF(Data!A:A,'40'!$A$2,Data!DD:DD),0)</f>
        <v>2816</v>
      </c>
      <c r="E45" s="17">
        <f>IF($F$3="1",SUMIF(Data!$A:$A,$A$2,Data!IX:IX),0)</f>
        <v>9017</v>
      </c>
      <c r="F45" s="21">
        <f t="shared" si="3"/>
        <v>3.2</v>
      </c>
    </row>
    <row r="46" spans="1:6" x14ac:dyDescent="0.2">
      <c r="A46" s="19">
        <v>11</v>
      </c>
      <c r="B46" s="180" t="s">
        <v>10</v>
      </c>
      <c r="C46" s="181"/>
      <c r="D46" s="14">
        <f>IF(F3="1",SUMIF(Data!A:A,'40'!$A$2,Data!DE:DE),0)</f>
        <v>207159</v>
      </c>
      <c r="E46" s="17">
        <f>IF($F$3="1",SUMIF(Data!$A:$A,$A$2,Data!IY:IY),0)</f>
        <v>332807</v>
      </c>
      <c r="F46" s="21">
        <f t="shared" si="3"/>
        <v>1.61</v>
      </c>
    </row>
    <row r="47" spans="1:6" ht="14.25" customHeight="1" x14ac:dyDescent="0.2">
      <c r="A47" s="19">
        <v>12</v>
      </c>
      <c r="B47" s="180" t="s">
        <v>11</v>
      </c>
      <c r="C47" s="181"/>
      <c r="D47" s="14">
        <f>IF(F3="1",SUMIF(Data!A:A,'40'!$A$2,Data!DF:DF),0)</f>
        <v>2177052</v>
      </c>
      <c r="E47" s="17">
        <f>IF($F$3="1",SUMIF(Data!$A:$A,$A$2,Data!IZ:IZ),0)</f>
        <v>1436591</v>
      </c>
      <c r="F47" s="21">
        <f t="shared" si="3"/>
        <v>0.66</v>
      </c>
    </row>
    <row r="48" spans="1:6" x14ac:dyDescent="0.2">
      <c r="A48" s="19">
        <v>13</v>
      </c>
      <c r="B48" s="180" t="s">
        <v>12</v>
      </c>
      <c r="C48" s="181"/>
      <c r="D48" s="14">
        <f>IF(F3="1",SUMIF(Data!A:A,'40'!$A$2,Data!DG:DG),0)</f>
        <v>377552</v>
      </c>
      <c r="E48" s="17">
        <f>IF($F$3="1",SUMIF(Data!$A:$A,$A$2,Data!JA:JA),0)</f>
        <v>277222</v>
      </c>
      <c r="F48" s="21">
        <f t="shared" si="3"/>
        <v>0.73</v>
      </c>
    </row>
    <row r="49" spans="1:6" ht="14.25" customHeight="1" x14ac:dyDescent="0.2">
      <c r="A49" s="19">
        <v>14</v>
      </c>
      <c r="B49" s="180" t="s">
        <v>464</v>
      </c>
      <c r="C49" s="181"/>
      <c r="D49" s="14">
        <f>IF(F3="1",SUMIF(Data!A:A,'40'!$A$2,Data!DH:DH),0)</f>
        <v>202376</v>
      </c>
      <c r="E49" s="17">
        <f>IF($F$3="1",SUMIF(Data!$A:$A,$A$2,Data!JB:JB),0)</f>
        <v>393723</v>
      </c>
      <c r="F49" s="21">
        <f t="shared" si="3"/>
        <v>1.95</v>
      </c>
    </row>
    <row r="50" spans="1:6" x14ac:dyDescent="0.2">
      <c r="A50" s="19">
        <v>15</v>
      </c>
      <c r="B50" s="180" t="s">
        <v>13</v>
      </c>
      <c r="C50" s="181"/>
      <c r="D50" s="14">
        <f>IF(F3="1",SUMIF(Data!A:A,'40'!$A$2,Data!DI:DI),0)</f>
        <v>37628</v>
      </c>
      <c r="E50" s="17">
        <f>IF($F$3="1",SUMIF(Data!$A:$A,$A$2,Data!JC:JC),0)</f>
        <v>75378</v>
      </c>
      <c r="F50" s="21">
        <f t="shared" si="3"/>
        <v>2</v>
      </c>
    </row>
    <row r="51" spans="1:6" x14ac:dyDescent="0.2">
      <c r="A51" s="19">
        <v>16</v>
      </c>
      <c r="B51" s="180" t="s">
        <v>14</v>
      </c>
      <c r="C51" s="181"/>
      <c r="D51" s="14">
        <f>IF(F3="1",SUMIF(Data!A:A,'40'!$A$2,Data!DJ:DJ),0)</f>
        <v>366702</v>
      </c>
      <c r="E51" s="17">
        <f>IF($F$3="1",SUMIF(Data!$A:$A,$A$2,Data!JD:JD),0)</f>
        <v>286431</v>
      </c>
      <c r="F51" s="21">
        <f t="shared" si="3"/>
        <v>0.78</v>
      </c>
    </row>
    <row r="52" spans="1:6" x14ac:dyDescent="0.2">
      <c r="A52" s="19">
        <v>17</v>
      </c>
      <c r="B52" s="180" t="s">
        <v>15</v>
      </c>
      <c r="C52" s="181"/>
      <c r="D52" s="14">
        <f>IF(F3="1",SUMIF(Data!A:A,'40'!$A$2,Data!DK:DK),0)</f>
        <v>25312</v>
      </c>
      <c r="E52" s="17">
        <f>IF($F$3="1",SUMIF(Data!$A:$A,$A$2,Data!JE:JE),0)</f>
        <v>38022</v>
      </c>
      <c r="F52" s="21">
        <f t="shared" si="3"/>
        <v>1.5</v>
      </c>
    </row>
    <row r="53" spans="1:6" x14ac:dyDescent="0.2">
      <c r="A53" s="19">
        <v>18</v>
      </c>
      <c r="B53" s="180" t="s">
        <v>16</v>
      </c>
      <c r="C53" s="181"/>
      <c r="D53" s="14">
        <f>IF(F3="1",SUMIF(Data!A:A,'40'!$A$2,Data!DL:DL),0)</f>
        <v>0</v>
      </c>
      <c r="E53" s="17">
        <f>IF($F$3="1",SUMIF(Data!$A:$A,$A$2,Data!JF:JF),0)</f>
        <v>0</v>
      </c>
      <c r="F53" s="21" t="str">
        <f t="shared" si="3"/>
        <v/>
      </c>
    </row>
    <row r="54" spans="1:6" x14ac:dyDescent="0.2">
      <c r="A54" s="19">
        <v>19</v>
      </c>
      <c r="B54" s="180" t="s">
        <v>17</v>
      </c>
      <c r="C54" s="181"/>
      <c r="D54" s="14">
        <f>IF(F3="1",SUMIF(Data!A:A,'40'!$A$2,Data!DM:DM),0)</f>
        <v>1490113</v>
      </c>
      <c r="E54" s="17">
        <f>IF($F$3="1",SUMIF(Data!$A:$A,$A$2,Data!JG:JG),0)</f>
        <v>1067857</v>
      </c>
      <c r="F54" s="21">
        <f t="shared" si="3"/>
        <v>0.72</v>
      </c>
    </row>
    <row r="55" spans="1:6" x14ac:dyDescent="0.2">
      <c r="A55" s="19">
        <v>20</v>
      </c>
      <c r="B55" s="180" t="s">
        <v>18</v>
      </c>
      <c r="C55" s="181"/>
      <c r="D55" s="14">
        <f>IF(F3="1",SUMIF(Data!A:A,'40'!$A$2,Data!DN:DN),0)</f>
        <v>115592</v>
      </c>
      <c r="E55" s="17">
        <f>IF($F$3="1",SUMIF(Data!$A:$A,$A$2,Data!JH:JH),0)</f>
        <v>124598</v>
      </c>
      <c r="F55" s="21">
        <f t="shared" si="3"/>
        <v>1.08</v>
      </c>
    </row>
    <row r="56" spans="1:6" ht="14.25" customHeight="1" x14ac:dyDescent="0.2">
      <c r="A56" s="19">
        <v>21</v>
      </c>
      <c r="B56" s="180" t="s">
        <v>461</v>
      </c>
      <c r="C56" s="181"/>
      <c r="D56" s="14">
        <f>IF(F3="1",SUMIF(Data!A:A,'40'!$A$2,Data!DO:DO),0)</f>
        <v>362744</v>
      </c>
      <c r="E56" s="17">
        <f>IF($F$3="1",SUMIF(Data!$A:$A,$A$2,Data!JI:JI),0)</f>
        <v>341196</v>
      </c>
      <c r="F56" s="21">
        <f t="shared" si="3"/>
        <v>0.94</v>
      </c>
    </row>
    <row r="57" spans="1:6" x14ac:dyDescent="0.2">
      <c r="A57" s="19">
        <v>22</v>
      </c>
      <c r="B57" s="180" t="s">
        <v>19</v>
      </c>
      <c r="C57" s="181"/>
      <c r="D57" s="14">
        <f>IF(F3="1",SUMIF(Data!A:A,'40'!$A$2,Data!DP:DP),0)</f>
        <v>6384</v>
      </c>
      <c r="E57" s="17">
        <f>IF($F$3="1",SUMIF(Data!$A:$A,$A$2,Data!JJ:JJ),0)</f>
        <v>3445</v>
      </c>
      <c r="F57" s="21">
        <f t="shared" si="3"/>
        <v>0.54</v>
      </c>
    </row>
    <row r="58" spans="1:6" x14ac:dyDescent="0.2">
      <c r="A58" s="19">
        <v>23</v>
      </c>
      <c r="B58" s="180" t="s">
        <v>20</v>
      </c>
      <c r="C58" s="181"/>
      <c r="D58" s="14">
        <f>IF(F3="1",SUMIF(Data!A:A,'40'!$A$2,Data!DQ:DQ),0)</f>
        <v>373328</v>
      </c>
      <c r="E58" s="17">
        <f>IF($F$3="1",SUMIF(Data!$A:$A,$A$2,Data!JK:JK),0)</f>
        <v>346769</v>
      </c>
      <c r="F58" s="21">
        <f t="shared" si="3"/>
        <v>0.93</v>
      </c>
    </row>
    <row r="59" spans="1:6" x14ac:dyDescent="0.2">
      <c r="A59" s="19">
        <v>24</v>
      </c>
      <c r="B59" s="180" t="s">
        <v>21</v>
      </c>
      <c r="C59" s="181"/>
      <c r="D59" s="14">
        <f>IF(F3="1",SUMIF(Data!A:A,'40'!$A$2,Data!DR:DR),0)</f>
        <v>306785</v>
      </c>
      <c r="E59" s="17">
        <f>IF($F$3="1",SUMIF(Data!$A:$A,$A$2,Data!JL:JL),0)</f>
        <v>1346995</v>
      </c>
      <c r="F59" s="21">
        <f t="shared" si="3"/>
        <v>4.3899999999999997</v>
      </c>
    </row>
    <row r="60" spans="1:6" x14ac:dyDescent="0.2">
      <c r="A60" s="19">
        <v>25</v>
      </c>
      <c r="B60" s="180" t="s">
        <v>22</v>
      </c>
      <c r="C60" s="181"/>
      <c r="D60" s="14">
        <f>IF(F3="1",SUMIF(Data!A:A,'40'!$A$2,Data!DS:DS),0)</f>
        <v>2500178</v>
      </c>
      <c r="E60" s="17">
        <f>IF($F$3="1",SUMIF(Data!$A:$A,$A$2,Data!JM:JM),0)</f>
        <v>1580722</v>
      </c>
      <c r="F60" s="21">
        <f t="shared" si="3"/>
        <v>0.63</v>
      </c>
    </row>
    <row r="61" spans="1:6" x14ac:dyDescent="0.2">
      <c r="A61" s="19">
        <v>26</v>
      </c>
      <c r="B61" s="180" t="s">
        <v>23</v>
      </c>
      <c r="C61" s="181"/>
      <c r="D61" s="14">
        <f>IF(F3="1",SUMIF(Data!A:A,'40'!$A$2,Data!DT:DT),0)</f>
        <v>724928</v>
      </c>
      <c r="E61" s="17">
        <f>IF($F$3="1",SUMIF(Data!$A:$A,$A$2,Data!JN:JN),0)</f>
        <v>763994</v>
      </c>
      <c r="F61" s="21">
        <f t="shared" si="3"/>
        <v>1.05</v>
      </c>
    </row>
    <row r="62" spans="1:6" x14ac:dyDescent="0.2">
      <c r="A62" s="19">
        <v>28</v>
      </c>
      <c r="B62" s="180" t="s">
        <v>24</v>
      </c>
      <c r="C62" s="181"/>
      <c r="D62" s="14">
        <f>IF(F3="1",SUMIF(Data!A:A,'40'!$A$2,Data!DV:DV),0)</f>
        <v>0</v>
      </c>
      <c r="E62" s="17">
        <f>IF($F$3="1",SUMIF(Data!$A:$A,$A$2,Data!JP:JP),0)</f>
        <v>0</v>
      </c>
      <c r="F62" s="21" t="str">
        <f t="shared" si="3"/>
        <v/>
      </c>
    </row>
    <row r="63" spans="1:6" ht="15.75" customHeight="1" thickBot="1" x14ac:dyDescent="0.25">
      <c r="A63" s="22">
        <v>29</v>
      </c>
      <c r="B63" s="184" t="s">
        <v>25</v>
      </c>
      <c r="C63" s="185"/>
      <c r="D63" s="23">
        <f>IF(F3="1",SUMIF(Data!A:A,'40'!$A$2,Data!DW:DW),0)</f>
        <v>0</v>
      </c>
      <c r="E63" s="24">
        <f>IF($F$3="1",SUMIF(Data!$A:$A,$A$2,Data!JQ:JQ),0)</f>
        <v>0</v>
      </c>
      <c r="F63" s="25" t="str">
        <f t="shared" si="3"/>
        <v/>
      </c>
    </row>
    <row r="64" spans="1:6" x14ac:dyDescent="0.2">
      <c r="B64" s="30" t="s">
        <v>35</v>
      </c>
      <c r="C64" s="30"/>
      <c r="D64" s="59">
        <f>SUM(D36:D63)</f>
        <v>12762002</v>
      </c>
      <c r="E64" s="31">
        <f>SUM(E36:E63)</f>
        <v>11489984</v>
      </c>
      <c r="F64" s="32">
        <f t="shared" si="3"/>
        <v>0.9</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17434</v>
      </c>
      <c r="E67" s="15">
        <f>IF(F3="1",SUMIF(Data!A:A,'40'!$A$2,Data!DY:DY),0)</f>
        <v>95410</v>
      </c>
      <c r="F67" s="20">
        <f t="shared" ref="F67:F95" si="4">IF(OR(D67=0,E67=0),"",ROUND(E67/D67,2))</f>
        <v>5.47</v>
      </c>
    </row>
    <row r="68" spans="1:6" x14ac:dyDescent="0.2">
      <c r="A68" s="19">
        <v>2</v>
      </c>
      <c r="B68" s="180" t="s">
        <v>1</v>
      </c>
      <c r="C68" s="181"/>
      <c r="D68" s="14">
        <f t="shared" ref="D68:D94" si="5">D37</f>
        <v>139472</v>
      </c>
      <c r="E68" s="17">
        <f>IF(F3="1",SUMIF(Data!A:A,'40'!$A$2,Data!DZ:DZ),0)</f>
        <v>294830</v>
      </c>
      <c r="F68" s="21">
        <f t="shared" si="4"/>
        <v>2.11</v>
      </c>
    </row>
    <row r="69" spans="1:6" ht="14.25" customHeight="1" x14ac:dyDescent="0.2">
      <c r="A69" s="19">
        <v>3</v>
      </c>
      <c r="B69" s="180" t="s">
        <v>2</v>
      </c>
      <c r="C69" s="181"/>
      <c r="D69" s="14">
        <f t="shared" si="5"/>
        <v>1712271</v>
      </c>
      <c r="E69" s="17">
        <f>IF(F3="1",SUMIF(Data!A:A,'40'!$A$2,Data!EA:EA),0)</f>
        <v>4007288</v>
      </c>
      <c r="F69" s="21">
        <f t="shared" si="4"/>
        <v>2.34</v>
      </c>
    </row>
    <row r="70" spans="1:6" ht="14.25" customHeight="1" x14ac:dyDescent="0.2">
      <c r="A70" s="19">
        <v>4</v>
      </c>
      <c r="B70" s="180" t="s">
        <v>3</v>
      </c>
      <c r="C70" s="181"/>
      <c r="D70" s="14">
        <f t="shared" si="5"/>
        <v>789256</v>
      </c>
      <c r="E70" s="17">
        <f>IF(F3="1",SUMIF(Data!A:A,'40'!$A$2,Data!EB:EB),0)</f>
        <v>2362317</v>
      </c>
      <c r="F70" s="21">
        <f t="shared" si="4"/>
        <v>2.99</v>
      </c>
    </row>
    <row r="71" spans="1:6" x14ac:dyDescent="0.2">
      <c r="A71" s="19">
        <v>5</v>
      </c>
      <c r="B71" s="180" t="s">
        <v>4</v>
      </c>
      <c r="C71" s="181"/>
      <c r="D71" s="14">
        <f t="shared" si="5"/>
        <v>144</v>
      </c>
      <c r="E71" s="17">
        <f>IF(F3="1",SUMIF(Data!A:A,'40'!$A$2,Data!EC:EC),0)</f>
        <v>2268</v>
      </c>
      <c r="F71" s="21">
        <f t="shared" si="4"/>
        <v>15.75</v>
      </c>
    </row>
    <row r="72" spans="1:6" x14ac:dyDescent="0.2">
      <c r="A72" s="19">
        <v>6</v>
      </c>
      <c r="B72" s="180" t="s">
        <v>5</v>
      </c>
      <c r="C72" s="181"/>
      <c r="D72" s="14">
        <f t="shared" si="5"/>
        <v>40320</v>
      </c>
      <c r="E72" s="17">
        <f>IF(F3="1",SUMIF(Data!A:A,'40'!$A$2,Data!ED:ED),0)</f>
        <v>239392</v>
      </c>
      <c r="F72" s="21">
        <f t="shared" si="4"/>
        <v>5.94</v>
      </c>
    </row>
    <row r="73" spans="1:6" x14ac:dyDescent="0.2">
      <c r="A73" s="19">
        <v>7</v>
      </c>
      <c r="B73" s="180" t="s">
        <v>6</v>
      </c>
      <c r="C73" s="181"/>
      <c r="D73" s="14">
        <f t="shared" si="5"/>
        <v>635020</v>
      </c>
      <c r="E73" s="17">
        <f>IF(F3="1",SUMIF(Data!A:A,'40'!$A$2,Data!EE:EE),0)</f>
        <v>2005991</v>
      </c>
      <c r="F73" s="21">
        <f t="shared" si="4"/>
        <v>3.16</v>
      </c>
    </row>
    <row r="74" spans="1:6" x14ac:dyDescent="0.2">
      <c r="A74" s="19">
        <v>8</v>
      </c>
      <c r="B74" s="180" t="s">
        <v>7</v>
      </c>
      <c r="C74" s="181"/>
      <c r="D74" s="14">
        <f t="shared" si="5"/>
        <v>4560</v>
      </c>
      <c r="E74" s="17">
        <f>IF(F3="1",SUMIF(Data!A:A,'40'!$A$2,Data!EF:EF),0)</f>
        <v>6451</v>
      </c>
      <c r="F74" s="21">
        <f t="shared" si="4"/>
        <v>1.41</v>
      </c>
    </row>
    <row r="75" spans="1:6" x14ac:dyDescent="0.2">
      <c r="A75" s="19">
        <v>9</v>
      </c>
      <c r="B75" s="180" t="s">
        <v>8</v>
      </c>
      <c r="C75" s="181"/>
      <c r="D75" s="14">
        <f t="shared" si="5"/>
        <v>146876</v>
      </c>
      <c r="E75" s="17">
        <f>IF(F3="1",SUMIF(Data!A:A,'40'!$A$2,Data!EG:EG),0)</f>
        <v>365900</v>
      </c>
      <c r="F75" s="21">
        <f t="shared" si="4"/>
        <v>2.4900000000000002</v>
      </c>
    </row>
    <row r="76" spans="1:6" x14ac:dyDescent="0.2">
      <c r="A76" s="19">
        <v>10</v>
      </c>
      <c r="B76" s="180" t="s">
        <v>9</v>
      </c>
      <c r="C76" s="181"/>
      <c r="D76" s="14">
        <f t="shared" si="5"/>
        <v>2816</v>
      </c>
      <c r="E76" s="17">
        <f>IF(F3="1",SUMIF(Data!A:A,'40'!$A$2,Data!EH:EH),0)</f>
        <v>66470</v>
      </c>
      <c r="F76" s="21">
        <f t="shared" si="4"/>
        <v>23.6</v>
      </c>
    </row>
    <row r="77" spans="1:6" x14ac:dyDescent="0.2">
      <c r="A77" s="19">
        <v>11</v>
      </c>
      <c r="B77" s="180" t="s">
        <v>10</v>
      </c>
      <c r="C77" s="181"/>
      <c r="D77" s="14">
        <f t="shared" si="5"/>
        <v>207159</v>
      </c>
      <c r="E77" s="17">
        <f>IF(F3="1",SUMIF(Data!A:A,'40'!$A$2,Data!EI:EI),0)</f>
        <v>958472</v>
      </c>
      <c r="F77" s="21">
        <f t="shared" si="4"/>
        <v>4.63</v>
      </c>
    </row>
    <row r="78" spans="1:6" ht="14.25" customHeight="1" x14ac:dyDescent="0.2">
      <c r="A78" s="19">
        <v>12</v>
      </c>
      <c r="B78" s="180" t="s">
        <v>11</v>
      </c>
      <c r="C78" s="181"/>
      <c r="D78" s="14">
        <f t="shared" si="5"/>
        <v>2177052</v>
      </c>
      <c r="E78" s="17">
        <f>IF(F3="1",SUMIF(Data!A:A,'40'!$A$2,Data!EJ:EJ),0)</f>
        <v>5578120</v>
      </c>
      <c r="F78" s="21">
        <f t="shared" si="4"/>
        <v>2.56</v>
      </c>
    </row>
    <row r="79" spans="1:6" x14ac:dyDescent="0.2">
      <c r="A79" s="19">
        <v>13</v>
      </c>
      <c r="B79" s="180" t="s">
        <v>12</v>
      </c>
      <c r="C79" s="181"/>
      <c r="D79" s="14">
        <f t="shared" si="5"/>
        <v>377552</v>
      </c>
      <c r="E79" s="17">
        <f>IF(F3="1",SUMIF(Data!A:A,'40'!$A$2,Data!EK:EK),0)</f>
        <v>1022862</v>
      </c>
      <c r="F79" s="21">
        <f t="shared" si="4"/>
        <v>2.71</v>
      </c>
    </row>
    <row r="80" spans="1:6" ht="14.25" customHeight="1" x14ac:dyDescent="0.2">
      <c r="A80" s="19">
        <v>14</v>
      </c>
      <c r="B80" s="180" t="s">
        <v>464</v>
      </c>
      <c r="C80" s="181"/>
      <c r="D80" s="14">
        <f t="shared" si="5"/>
        <v>202376</v>
      </c>
      <c r="E80" s="17">
        <f>IF(F3="1",SUMIF(Data!A:A,'40'!$A$2,Data!EL:EL),0)</f>
        <v>1434714</v>
      </c>
      <c r="F80" s="21">
        <f t="shared" si="4"/>
        <v>7.09</v>
      </c>
    </row>
    <row r="81" spans="1:6" x14ac:dyDescent="0.2">
      <c r="A81" s="19">
        <v>15</v>
      </c>
      <c r="B81" s="180" t="s">
        <v>13</v>
      </c>
      <c r="C81" s="181"/>
      <c r="D81" s="14">
        <f t="shared" si="5"/>
        <v>37628</v>
      </c>
      <c r="E81" s="17">
        <f>IF(F3="1",SUMIF(Data!A:A,'40'!$A$2,Data!EM:EM),0)</f>
        <v>395300</v>
      </c>
      <c r="F81" s="21">
        <f t="shared" si="4"/>
        <v>10.51</v>
      </c>
    </row>
    <row r="82" spans="1:6" x14ac:dyDescent="0.2">
      <c r="A82" s="19">
        <v>16</v>
      </c>
      <c r="B82" s="180" t="s">
        <v>14</v>
      </c>
      <c r="C82" s="181"/>
      <c r="D82" s="14">
        <f t="shared" si="5"/>
        <v>366702</v>
      </c>
      <c r="E82" s="17">
        <f>IF(F3="1",SUMIF(Data!A:A,'40'!$A$2,Data!EN:EN),0)</f>
        <v>1112741</v>
      </c>
      <c r="F82" s="21">
        <f t="shared" si="4"/>
        <v>3.03</v>
      </c>
    </row>
    <row r="83" spans="1:6" x14ac:dyDescent="0.2">
      <c r="A83" s="19">
        <v>17</v>
      </c>
      <c r="B83" s="180" t="s">
        <v>15</v>
      </c>
      <c r="C83" s="181"/>
      <c r="D83" s="14">
        <f t="shared" si="5"/>
        <v>25312</v>
      </c>
      <c r="E83" s="17">
        <f>IF(F3="1",SUMIF(Data!A:A,'40'!$A$2,Data!EO:EO),0)</f>
        <v>284912</v>
      </c>
      <c r="F83" s="21">
        <f t="shared" si="4"/>
        <v>11.26</v>
      </c>
    </row>
    <row r="84" spans="1:6" x14ac:dyDescent="0.2">
      <c r="A84" s="19">
        <v>18</v>
      </c>
      <c r="B84" s="180" t="s">
        <v>16</v>
      </c>
      <c r="C84" s="181"/>
      <c r="D84" s="14">
        <f t="shared" si="5"/>
        <v>0</v>
      </c>
      <c r="E84" s="17">
        <f>IF(F3="1",SUMIF(Data!A:A,'40'!$A$2,Data!EP:EP),0)</f>
        <v>0</v>
      </c>
      <c r="F84" s="21" t="str">
        <f t="shared" si="4"/>
        <v/>
      </c>
    </row>
    <row r="85" spans="1:6" x14ac:dyDescent="0.2">
      <c r="A85" s="19">
        <v>19</v>
      </c>
      <c r="B85" s="180" t="s">
        <v>17</v>
      </c>
      <c r="C85" s="181"/>
      <c r="D85" s="14">
        <f t="shared" si="5"/>
        <v>1490113</v>
      </c>
      <c r="E85" s="17">
        <f>IF(F3="1",SUMIF(Data!A:A,'40'!$A$2,Data!EQ:EQ),0)</f>
        <v>3602945</v>
      </c>
      <c r="F85" s="21">
        <f t="shared" si="4"/>
        <v>2.42</v>
      </c>
    </row>
    <row r="86" spans="1:6" x14ac:dyDescent="0.2">
      <c r="A86" s="19">
        <v>20</v>
      </c>
      <c r="B86" s="180" t="s">
        <v>18</v>
      </c>
      <c r="C86" s="181"/>
      <c r="D86" s="14">
        <f t="shared" si="5"/>
        <v>115592</v>
      </c>
      <c r="E86" s="17">
        <f>IF(F3="1",SUMIF(Data!A:A,'40'!$A$2,Data!ER:ER),0)</f>
        <v>404782</v>
      </c>
      <c r="F86" s="21">
        <f t="shared" si="4"/>
        <v>3.5</v>
      </c>
    </row>
    <row r="87" spans="1:6" ht="14.25" customHeight="1" x14ac:dyDescent="0.2">
      <c r="A87" s="19">
        <v>21</v>
      </c>
      <c r="B87" s="180" t="s">
        <v>461</v>
      </c>
      <c r="C87" s="181"/>
      <c r="D87" s="14">
        <f t="shared" si="5"/>
        <v>362744</v>
      </c>
      <c r="E87" s="17">
        <f>IF(F3="1",SUMIF(Data!A:A,'40'!$A$2,Data!ES:ES),0)</f>
        <v>590681</v>
      </c>
      <c r="F87" s="21">
        <f t="shared" si="4"/>
        <v>1.63</v>
      </c>
    </row>
    <row r="88" spans="1:6" x14ac:dyDescent="0.2">
      <c r="A88" s="19">
        <v>22</v>
      </c>
      <c r="B88" s="180" t="s">
        <v>19</v>
      </c>
      <c r="C88" s="181"/>
      <c r="D88" s="14">
        <f t="shared" si="5"/>
        <v>6384</v>
      </c>
      <c r="E88" s="17">
        <f>IF(F3="1",SUMIF(Data!A:A,'40'!$A$2,Data!ET:ET),0)</f>
        <v>106</v>
      </c>
      <c r="F88" s="21">
        <f t="shared" si="4"/>
        <v>0.02</v>
      </c>
    </row>
    <row r="89" spans="1:6" x14ac:dyDescent="0.2">
      <c r="A89" s="19">
        <v>23</v>
      </c>
      <c r="B89" s="180" t="s">
        <v>20</v>
      </c>
      <c r="C89" s="181"/>
      <c r="D89" s="14">
        <f t="shared" si="5"/>
        <v>373328</v>
      </c>
      <c r="E89" s="17">
        <f>IF(F3="1",SUMIF(Data!A:A,'40'!$A$2,Data!EU:EU),0)</f>
        <v>1243568</v>
      </c>
      <c r="F89" s="21">
        <f t="shared" si="4"/>
        <v>3.33</v>
      </c>
    </row>
    <row r="90" spans="1:6" x14ac:dyDescent="0.2">
      <c r="A90" s="19">
        <v>24</v>
      </c>
      <c r="B90" s="180" t="s">
        <v>21</v>
      </c>
      <c r="C90" s="181"/>
      <c r="D90" s="14">
        <f t="shared" si="5"/>
        <v>306785</v>
      </c>
      <c r="E90" s="17">
        <f>IF(F3="1",SUMIF(Data!A:A,'40'!$A$2,Data!EV:EV),0)</f>
        <v>716217</v>
      </c>
      <c r="F90" s="21">
        <f t="shared" si="4"/>
        <v>2.33</v>
      </c>
    </row>
    <row r="91" spans="1:6" x14ac:dyDescent="0.2">
      <c r="A91" s="19">
        <v>25</v>
      </c>
      <c r="B91" s="180" t="s">
        <v>22</v>
      </c>
      <c r="C91" s="181"/>
      <c r="D91" s="14">
        <f t="shared" si="5"/>
        <v>2500178</v>
      </c>
      <c r="E91" s="17">
        <f>IF(F3="1",SUMIF(Data!A:A,'40'!$A$2,Data!EW:EW),0)</f>
        <v>4964239</v>
      </c>
      <c r="F91" s="21">
        <f t="shared" si="4"/>
        <v>1.99</v>
      </c>
    </row>
    <row r="92" spans="1:6" x14ac:dyDescent="0.2">
      <c r="A92" s="19">
        <v>26</v>
      </c>
      <c r="B92" s="180" t="s">
        <v>23</v>
      </c>
      <c r="C92" s="181"/>
      <c r="D92" s="14">
        <f t="shared" si="5"/>
        <v>724928</v>
      </c>
      <c r="E92" s="17">
        <f>IF(F3="1",SUMIF(Data!A:A,'40'!$A$2,Data!EX:EX),0)</f>
        <v>2677734</v>
      </c>
      <c r="F92" s="21">
        <f t="shared" si="4"/>
        <v>3.69</v>
      </c>
    </row>
    <row r="93" spans="1:6" x14ac:dyDescent="0.2">
      <c r="A93" s="19">
        <v>28</v>
      </c>
      <c r="B93" s="180" t="s">
        <v>24</v>
      </c>
      <c r="C93" s="181"/>
      <c r="D93" s="14">
        <f t="shared" si="5"/>
        <v>0</v>
      </c>
      <c r="E93" s="17">
        <f>IF(F3="1",SUMIF(Data!A:A,'40'!$A$2,Data!EZ:EZ),0)</f>
        <v>0</v>
      </c>
      <c r="F93" s="21" t="str">
        <f t="shared" si="4"/>
        <v/>
      </c>
    </row>
    <row r="94" spans="1:6" ht="15.75" customHeight="1" thickBot="1" x14ac:dyDescent="0.25">
      <c r="A94" s="22">
        <v>29</v>
      </c>
      <c r="B94" s="184" t="s">
        <v>25</v>
      </c>
      <c r="C94" s="185"/>
      <c r="D94" s="23">
        <f t="shared" si="5"/>
        <v>0</v>
      </c>
      <c r="E94" s="24">
        <f>IF(F3="1",SUMIF(Data!A:A,'40'!$A$2,Data!FA:FA),0)</f>
        <v>0</v>
      </c>
      <c r="F94" s="25" t="str">
        <f t="shared" si="4"/>
        <v/>
      </c>
    </row>
    <row r="95" spans="1:6" x14ac:dyDescent="0.2">
      <c r="B95" s="30" t="s">
        <v>35</v>
      </c>
      <c r="C95" s="30"/>
      <c r="D95" s="59">
        <f>SUM(D67:D94)</f>
        <v>12762002</v>
      </c>
      <c r="E95" s="31">
        <f>SUM(E67:E94)</f>
        <v>34433710</v>
      </c>
      <c r="F95" s="32">
        <f t="shared" si="4"/>
        <v>2.7</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IF(F3="1",SUMIF(Data!A:A,'40'!$A$2,Data!AH:AH),0)</f>
        <v>15015316</v>
      </c>
      <c r="F98" s="20">
        <f>IF(OR(E98=0,E98=0),"",ROUND(E98/$D$105,2))</f>
        <v>1.18</v>
      </c>
    </row>
    <row r="99" spans="2:6" x14ac:dyDescent="0.2">
      <c r="B99" s="190" t="s">
        <v>31</v>
      </c>
      <c r="C99" s="191"/>
      <c r="D99" s="36"/>
      <c r="E99" s="17">
        <f>IF(F3="1",SUMIF(Data!A:A,'40'!$A$2,Data!AI:AI),0)</f>
        <v>9355459</v>
      </c>
      <c r="F99" s="21">
        <f t="shared" ref="F99:F104" si="6">IF(OR(E99=0,E99=0),"",ROUND(E99/$D$105,2))</f>
        <v>0.73</v>
      </c>
    </row>
    <row r="100" spans="2:6" x14ac:dyDescent="0.2">
      <c r="B100" s="190" t="s">
        <v>1089</v>
      </c>
      <c r="C100" s="191"/>
      <c r="D100" s="36"/>
      <c r="E100" s="17">
        <f>IF(F3="1",SUMIF(Data!A:A,'40'!$A$2,Data!AJ:AJ),0)</f>
        <v>5046573</v>
      </c>
      <c r="F100" s="21">
        <f t="shared" si="6"/>
        <v>0.4</v>
      </c>
    </row>
    <row r="101" spans="2:6" x14ac:dyDescent="0.2">
      <c r="B101" s="190" t="s">
        <v>1090</v>
      </c>
      <c r="C101" s="191"/>
      <c r="D101" s="36"/>
      <c r="E101" s="17">
        <f>IF(F3="1",SUMIF(Data!A:A,'40'!$A$2,Data!AK:AK),0)</f>
        <v>3751239</v>
      </c>
      <c r="F101" s="21">
        <f t="shared" si="6"/>
        <v>0.28999999999999998</v>
      </c>
    </row>
    <row r="102" spans="2:6" x14ac:dyDescent="0.2">
      <c r="B102" s="190" t="s">
        <v>1091</v>
      </c>
      <c r="C102" s="191"/>
      <c r="D102" s="36"/>
      <c r="E102" s="17">
        <f>IF(F3="1",SUMIF(Data!A:A,'40'!$A$2,Data!AL:AL),0)</f>
        <v>0</v>
      </c>
      <c r="F102" s="21" t="str">
        <f t="shared" si="6"/>
        <v/>
      </c>
    </row>
    <row r="103" spans="2:6" x14ac:dyDescent="0.2">
      <c r="B103" s="192" t="s">
        <v>34</v>
      </c>
      <c r="C103" s="193"/>
      <c r="D103" s="36"/>
      <c r="E103" s="17">
        <f>IF(F3="1",SUMIF(Data!A:A,'40'!$A$2,Data!AM:AM),0)</f>
        <v>0</v>
      </c>
      <c r="F103" s="21" t="str">
        <f t="shared" si="6"/>
        <v/>
      </c>
    </row>
    <row r="104" spans="2:6" ht="15.75" customHeight="1" thickBot="1" x14ac:dyDescent="0.25">
      <c r="B104" s="186" t="s">
        <v>29</v>
      </c>
      <c r="C104" s="187"/>
      <c r="D104" s="37"/>
      <c r="E104" s="24">
        <f>IF(F3="1",SUMIF(Data!A:A,'40'!$A$2,Data!Q:Q),0)</f>
        <v>9789389</v>
      </c>
      <c r="F104" s="25">
        <f t="shared" si="6"/>
        <v>0.77</v>
      </c>
    </row>
    <row r="105" spans="2:6" x14ac:dyDescent="0.2">
      <c r="B105" s="30" t="s">
        <v>35</v>
      </c>
      <c r="C105" s="30"/>
      <c r="D105" s="34">
        <f>D95</f>
        <v>12762002</v>
      </c>
      <c r="E105" s="31">
        <f>SUM(E98:E104)</f>
        <v>42957976</v>
      </c>
      <c r="F105" s="32">
        <f>IF($D$105=0,"",ROUND(E105/$D$105,2))</f>
        <v>3.37</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34433710</v>
      </c>
      <c r="D109" s="15">
        <f>IF(F3="1",SUMIF(Data!$A:$A,$A$2,Data!HJ:HJ),0)</f>
        <v>0</v>
      </c>
      <c r="E109" s="15">
        <f>IF(F3="1",SUMIF(Data!$A:$A,$A$2,Data!IN:IN),0)</f>
        <v>0</v>
      </c>
      <c r="F109" s="47">
        <f>SUM(C109:E109)</f>
        <v>34433710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9789389</v>
      </c>
      <c r="E117" s="52"/>
      <c r="F117" s="49">
        <f>SUM(C117:E117)</f>
        <v>9789389</v>
      </c>
    </row>
    <row r="118" spans="1:6" x14ac:dyDescent="0.2">
      <c r="B118" s="13" t="s">
        <v>35</v>
      </c>
      <c r="C118" s="4">
        <f>SUM(C109:C116)</f>
        <v>34433710</v>
      </c>
      <c r="D118" s="4">
        <f>SUM(D109:D116)</f>
        <v>0</v>
      </c>
      <c r="E118" s="4">
        <f>SUM(E109:E116)</f>
        <v>0</v>
      </c>
      <c r="F118" s="4">
        <f>SUM(F109:F116)</f>
        <v>34433710</v>
      </c>
    </row>
    <row r="119" spans="1:6" ht="15" thickBot="1" x14ac:dyDescent="0.25"/>
    <row r="120" spans="1:6" ht="15" thickBot="1" x14ac:dyDescent="0.25">
      <c r="B120" s="55" t="s">
        <v>934</v>
      </c>
      <c r="C120" s="53"/>
      <c r="D120" s="53"/>
      <c r="E120" s="53">
        <f>IF(F3="1",SUMIF(Data!A:A,'40'!$A$2,Data!AM:AM),0)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42578125" style="10" bestFit="1" customWidth="1"/>
    <col min="13"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403</v>
      </c>
      <c r="B2" s="58" t="str">
        <f>VLOOKUP(A2,Data!A:G,7,0)</f>
        <v>Temple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17560</v>
      </c>
      <c r="E5" s="15">
        <f>E36+E67+IFERROR($E$105/$D$105*D5,0)</f>
        <v>90934.617831383657</v>
      </c>
      <c r="F5" s="20">
        <f>IF(OR(D5=0,E5=0),"",ROUND(E5/D5,2))</f>
        <v>5.18</v>
      </c>
    </row>
    <row r="6" spans="1:6" x14ac:dyDescent="0.2">
      <c r="A6" s="19">
        <v>2</v>
      </c>
      <c r="B6" s="180" t="s">
        <v>1</v>
      </c>
      <c r="C6" s="181"/>
      <c r="D6" s="14">
        <f t="shared" ref="D6:D32" si="0">D37</f>
        <v>26087</v>
      </c>
      <c r="E6" s="17">
        <f t="shared" ref="E6:E32" si="1">E37+E68+IFERROR($E$105/$D$105*D6,0)</f>
        <v>273324.67792524514</v>
      </c>
      <c r="F6" s="21">
        <f t="shared" ref="F6:F33" si="2">IF(OR(D6=0,E6=0),"",ROUND(E6/D6,2))</f>
        <v>10.48</v>
      </c>
    </row>
    <row r="7" spans="1:6" ht="14.25" customHeight="1" x14ac:dyDescent="0.2">
      <c r="A7" s="19">
        <v>3</v>
      </c>
      <c r="B7" s="180" t="s">
        <v>2</v>
      </c>
      <c r="C7" s="181"/>
      <c r="D7" s="14">
        <f t="shared" si="0"/>
        <v>157680</v>
      </c>
      <c r="E7" s="17">
        <f t="shared" si="1"/>
        <v>877044.64121028315</v>
      </c>
      <c r="F7" s="21">
        <f t="shared" si="2"/>
        <v>5.56</v>
      </c>
    </row>
    <row r="8" spans="1:6" ht="14.25" customHeight="1" x14ac:dyDescent="0.2">
      <c r="A8" s="19">
        <v>4</v>
      </c>
      <c r="B8" s="180" t="s">
        <v>3</v>
      </c>
      <c r="C8" s="181"/>
      <c r="D8" s="14">
        <f t="shared" si="0"/>
        <v>162189</v>
      </c>
      <c r="E8" s="17">
        <f t="shared" si="1"/>
        <v>861983.88009420736</v>
      </c>
      <c r="F8" s="21">
        <f t="shared" si="2"/>
        <v>5.31</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2469</v>
      </c>
      <c r="E10" s="17">
        <f t="shared" si="1"/>
        <v>10338.363008296481</v>
      </c>
      <c r="F10" s="21">
        <f t="shared" si="2"/>
        <v>4.1900000000000004</v>
      </c>
    </row>
    <row r="11" spans="1:6" x14ac:dyDescent="0.2">
      <c r="A11" s="19">
        <v>7</v>
      </c>
      <c r="B11" s="180" t="s">
        <v>6</v>
      </c>
      <c r="C11" s="181"/>
      <c r="D11" s="14">
        <f t="shared" si="0"/>
        <v>101062</v>
      </c>
      <c r="E11" s="17">
        <f t="shared" si="1"/>
        <v>642582.39301112154</v>
      </c>
      <c r="F11" s="21">
        <f t="shared" si="2"/>
        <v>6.36</v>
      </c>
    </row>
    <row r="12" spans="1:6" x14ac:dyDescent="0.2">
      <c r="A12" s="19">
        <v>8</v>
      </c>
      <c r="B12" s="180" t="s">
        <v>7</v>
      </c>
      <c r="C12" s="181"/>
      <c r="D12" s="14">
        <f t="shared" si="0"/>
        <v>630</v>
      </c>
      <c r="E12" s="17">
        <f t="shared" si="1"/>
        <v>5179.358726296794</v>
      </c>
      <c r="F12" s="21">
        <f t="shared" si="2"/>
        <v>8.2200000000000006</v>
      </c>
    </row>
    <row r="13" spans="1:6" x14ac:dyDescent="0.2">
      <c r="A13" s="19">
        <v>9</v>
      </c>
      <c r="B13" s="180" t="s">
        <v>8</v>
      </c>
      <c r="C13" s="181"/>
      <c r="D13" s="14">
        <f t="shared" si="0"/>
        <v>37790</v>
      </c>
      <c r="E13" s="17">
        <f t="shared" si="1"/>
        <v>208836.4702646918</v>
      </c>
      <c r="F13" s="21">
        <f t="shared" si="2"/>
        <v>5.53</v>
      </c>
    </row>
    <row r="14" spans="1:6" x14ac:dyDescent="0.2">
      <c r="A14" s="19">
        <v>10</v>
      </c>
      <c r="B14" s="180" t="s">
        <v>9</v>
      </c>
      <c r="C14" s="181"/>
      <c r="D14" s="14">
        <f t="shared" si="0"/>
        <v>160</v>
      </c>
      <c r="E14" s="17">
        <f t="shared" si="1"/>
        <v>2608.8530098531537</v>
      </c>
      <c r="F14" s="21">
        <f t="shared" si="2"/>
        <v>16.309999999999999</v>
      </c>
    </row>
    <row r="15" spans="1:6" x14ac:dyDescent="0.2">
      <c r="A15" s="19">
        <v>11</v>
      </c>
      <c r="B15" s="180" t="s">
        <v>10</v>
      </c>
      <c r="C15" s="181"/>
      <c r="D15" s="14">
        <f t="shared" si="0"/>
        <v>18692</v>
      </c>
      <c r="E15" s="17">
        <f t="shared" si="1"/>
        <v>113326.25287609472</v>
      </c>
      <c r="F15" s="21">
        <f t="shared" si="2"/>
        <v>6.06</v>
      </c>
    </row>
    <row r="16" spans="1:6" ht="14.25" customHeight="1" x14ac:dyDescent="0.2">
      <c r="A16" s="19">
        <v>12</v>
      </c>
      <c r="B16" s="180" t="s">
        <v>11</v>
      </c>
      <c r="C16" s="181"/>
      <c r="D16" s="14">
        <f t="shared" si="0"/>
        <v>233704</v>
      </c>
      <c r="E16" s="17">
        <f t="shared" si="1"/>
        <v>1285169.1488420093</v>
      </c>
      <c r="F16" s="21">
        <f t="shared" si="2"/>
        <v>5.5</v>
      </c>
    </row>
    <row r="17" spans="1:6" x14ac:dyDescent="0.2">
      <c r="A17" s="19">
        <v>13</v>
      </c>
      <c r="B17" s="180" t="s">
        <v>12</v>
      </c>
      <c r="C17" s="181"/>
      <c r="D17" s="14">
        <f t="shared" si="0"/>
        <v>21528</v>
      </c>
      <c r="E17" s="17">
        <f t="shared" si="1"/>
        <v>141806.17247574186</v>
      </c>
      <c r="F17" s="21">
        <f t="shared" si="2"/>
        <v>6.59</v>
      </c>
    </row>
    <row r="18" spans="1:6" ht="14.25" customHeight="1" x14ac:dyDescent="0.2">
      <c r="A18" s="19">
        <v>14</v>
      </c>
      <c r="B18" s="180" t="s">
        <v>464</v>
      </c>
      <c r="C18" s="181"/>
      <c r="D18" s="14">
        <f t="shared" si="0"/>
        <v>80653</v>
      </c>
      <c r="E18" s="17">
        <f t="shared" si="1"/>
        <v>755986.3862730402</v>
      </c>
      <c r="F18" s="21">
        <f t="shared" si="2"/>
        <v>9.3699999999999992</v>
      </c>
    </row>
    <row r="19" spans="1:6" x14ac:dyDescent="0.2">
      <c r="A19" s="19">
        <v>15</v>
      </c>
      <c r="B19" s="180" t="s">
        <v>13</v>
      </c>
      <c r="C19" s="181"/>
      <c r="D19" s="14">
        <f t="shared" si="0"/>
        <v>19296</v>
      </c>
      <c r="E19" s="17">
        <f t="shared" si="1"/>
        <v>359158.67298829037</v>
      </c>
      <c r="F19" s="21">
        <f t="shared" si="2"/>
        <v>18.61</v>
      </c>
    </row>
    <row r="20" spans="1:6" x14ac:dyDescent="0.2">
      <c r="A20" s="19">
        <v>16</v>
      </c>
      <c r="B20" s="180" t="s">
        <v>14</v>
      </c>
      <c r="C20" s="181"/>
      <c r="D20" s="14">
        <f t="shared" si="0"/>
        <v>126587</v>
      </c>
      <c r="E20" s="17">
        <f t="shared" si="1"/>
        <v>980071.47473925748</v>
      </c>
      <c r="F20" s="21">
        <f t="shared" si="2"/>
        <v>7.74</v>
      </c>
    </row>
    <row r="21" spans="1:6" x14ac:dyDescent="0.2">
      <c r="A21" s="19">
        <v>17</v>
      </c>
      <c r="B21" s="180" t="s">
        <v>15</v>
      </c>
      <c r="C21" s="181"/>
      <c r="D21" s="14">
        <f t="shared" si="0"/>
        <v>16548</v>
      </c>
      <c r="E21" s="17">
        <f t="shared" si="1"/>
        <v>226098.62254406244</v>
      </c>
      <c r="F21" s="21">
        <f t="shared" si="2"/>
        <v>13.66</v>
      </c>
    </row>
    <row r="22" spans="1:6" x14ac:dyDescent="0.2">
      <c r="A22" s="19">
        <v>18</v>
      </c>
      <c r="B22" s="180" t="s">
        <v>16</v>
      </c>
      <c r="C22" s="181"/>
      <c r="D22" s="14">
        <f t="shared" si="0"/>
        <v>93952</v>
      </c>
      <c r="E22" s="17">
        <f t="shared" si="1"/>
        <v>683508.48738577194</v>
      </c>
      <c r="F22" s="21">
        <f t="shared" si="2"/>
        <v>7.28</v>
      </c>
    </row>
    <row r="23" spans="1:6" x14ac:dyDescent="0.2">
      <c r="A23" s="19">
        <v>19</v>
      </c>
      <c r="B23" s="180" t="s">
        <v>17</v>
      </c>
      <c r="C23" s="181"/>
      <c r="D23" s="14">
        <f t="shared" si="0"/>
        <v>135995</v>
      </c>
      <c r="E23" s="17">
        <f t="shared" si="1"/>
        <v>896076.03171862289</v>
      </c>
      <c r="F23" s="21">
        <f t="shared" si="2"/>
        <v>6.59</v>
      </c>
    </row>
    <row r="24" spans="1:6" x14ac:dyDescent="0.2">
      <c r="A24" s="19">
        <v>20</v>
      </c>
      <c r="B24" s="180" t="s">
        <v>18</v>
      </c>
      <c r="C24" s="181"/>
      <c r="D24" s="14">
        <f t="shared" si="0"/>
        <v>15696</v>
      </c>
      <c r="E24" s="17">
        <f t="shared" si="1"/>
        <v>127404.4802665944</v>
      </c>
      <c r="F24" s="21">
        <f t="shared" si="2"/>
        <v>8.1199999999999992</v>
      </c>
    </row>
    <row r="25" spans="1:6" ht="14.25" customHeight="1" x14ac:dyDescent="0.2">
      <c r="A25" s="19">
        <v>21</v>
      </c>
      <c r="B25" s="180" t="s">
        <v>461</v>
      </c>
      <c r="C25" s="181"/>
      <c r="D25" s="14">
        <f t="shared" si="0"/>
        <v>0</v>
      </c>
      <c r="E25" s="17">
        <f t="shared" si="1"/>
        <v>0</v>
      </c>
      <c r="F25" s="21" t="str">
        <f t="shared" si="2"/>
        <v/>
      </c>
    </row>
    <row r="26" spans="1:6" x14ac:dyDescent="0.2">
      <c r="A26" s="19">
        <v>22</v>
      </c>
      <c r="B26" s="180" t="s">
        <v>19</v>
      </c>
      <c r="C26" s="181"/>
      <c r="D26" s="14">
        <f t="shared" si="0"/>
        <v>0</v>
      </c>
      <c r="E26" s="17">
        <f t="shared" si="1"/>
        <v>0</v>
      </c>
      <c r="F26" s="21" t="str">
        <f t="shared" si="2"/>
        <v/>
      </c>
    </row>
    <row r="27" spans="1:6" x14ac:dyDescent="0.2">
      <c r="A27" s="19">
        <v>23</v>
      </c>
      <c r="B27" s="180" t="s">
        <v>20</v>
      </c>
      <c r="C27" s="181"/>
      <c r="D27" s="14">
        <f t="shared" si="0"/>
        <v>71616</v>
      </c>
      <c r="E27" s="17">
        <f t="shared" si="1"/>
        <v>417556.6072102717</v>
      </c>
      <c r="F27" s="21">
        <f t="shared" si="2"/>
        <v>5.83</v>
      </c>
    </row>
    <row r="28" spans="1:6" x14ac:dyDescent="0.2">
      <c r="A28" s="19">
        <v>24</v>
      </c>
      <c r="B28" s="180" t="s">
        <v>21</v>
      </c>
      <c r="C28" s="181"/>
      <c r="D28" s="14">
        <f t="shared" si="0"/>
        <v>58768</v>
      </c>
      <c r="E28" s="17">
        <f t="shared" si="1"/>
        <v>302584.71051906346</v>
      </c>
      <c r="F28" s="21">
        <f t="shared" si="2"/>
        <v>5.15</v>
      </c>
    </row>
    <row r="29" spans="1:6" x14ac:dyDescent="0.2">
      <c r="A29" s="19">
        <v>25</v>
      </c>
      <c r="B29" s="180" t="s">
        <v>22</v>
      </c>
      <c r="C29" s="181"/>
      <c r="D29" s="14">
        <f t="shared" si="0"/>
        <v>232192</v>
      </c>
      <c r="E29" s="17">
        <f t="shared" si="1"/>
        <v>1253705.4878988969</v>
      </c>
      <c r="F29" s="21">
        <f t="shared" si="2"/>
        <v>5.4</v>
      </c>
    </row>
    <row r="30" spans="1:6" x14ac:dyDescent="0.2">
      <c r="A30" s="19">
        <v>26</v>
      </c>
      <c r="B30" s="180" t="s">
        <v>23</v>
      </c>
      <c r="C30" s="181"/>
      <c r="D30" s="14">
        <f t="shared" si="0"/>
        <v>103616</v>
      </c>
      <c r="E30" s="17">
        <f t="shared" si="1"/>
        <v>990572.20918090246</v>
      </c>
      <c r="F30" s="21">
        <f t="shared" si="2"/>
        <v>9.56</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1734470</v>
      </c>
      <c r="E33" s="31">
        <f>SUM(E5:E32)</f>
        <v>11505858</v>
      </c>
      <c r="F33" s="32">
        <f t="shared" si="2"/>
        <v>6.63</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IF(F3="1",SUMIF(Data!A:A,'41'!$A$2,Data!CU:CU),0)</f>
        <v>17560</v>
      </c>
      <c r="E36" s="15">
        <f>IF(F3="1",SUMIF(Data!$A:$A,$A$2,Data!IO:IO),0)</f>
        <v>1465</v>
      </c>
      <c r="F36" s="20">
        <f t="shared" ref="F36:F64" si="3">IF(OR(D36=0,E36=0),"",ROUND(E36/D36,2))</f>
        <v>0.08</v>
      </c>
    </row>
    <row r="37" spans="1:6" x14ac:dyDescent="0.2">
      <c r="A37" s="19">
        <v>2</v>
      </c>
      <c r="B37" s="180" t="s">
        <v>1</v>
      </c>
      <c r="C37" s="181"/>
      <c r="D37" s="14">
        <f>IF(F3="1",SUMIF(Data!A:A,'41'!$A$2,Data!CV:CV),0)</f>
        <v>26087</v>
      </c>
      <c r="E37" s="17">
        <f>IF(F3="1",SUMIF(Data!$A:$A,$A$2,Data!IP:IP),0)</f>
        <v>99263</v>
      </c>
      <c r="F37" s="21">
        <f t="shared" si="3"/>
        <v>3.81</v>
      </c>
    </row>
    <row r="38" spans="1:6" ht="14.25" customHeight="1" x14ac:dyDescent="0.2">
      <c r="A38" s="19">
        <v>3</v>
      </c>
      <c r="B38" s="180" t="s">
        <v>2</v>
      </c>
      <c r="C38" s="181"/>
      <c r="D38" s="14">
        <f>IF(F3="1",SUMIF(Data!A:A,'41'!$A$2,Data!CW:CW),0)</f>
        <v>157680</v>
      </c>
      <c r="E38" s="17">
        <f>IF($F$3="1",SUMIF(Data!$A:$A,$A$2,Data!IQ:IQ),0)</f>
        <v>38827</v>
      </c>
      <c r="F38" s="21">
        <f t="shared" si="3"/>
        <v>0.25</v>
      </c>
    </row>
    <row r="39" spans="1:6" ht="14.25" customHeight="1" x14ac:dyDescent="0.2">
      <c r="A39" s="19">
        <v>4</v>
      </c>
      <c r="B39" s="180" t="s">
        <v>3</v>
      </c>
      <c r="C39" s="181"/>
      <c r="D39" s="14">
        <f>IF(F3="1",SUMIF(Data!A:A,'41'!$A$2,Data!CX:CX),0)</f>
        <v>162189</v>
      </c>
      <c r="E39" s="17">
        <f>IF($F$3="1",SUMIF(Data!$A:$A,$A$2,Data!IR:IR),0)</f>
        <v>57995</v>
      </c>
      <c r="F39" s="21">
        <f t="shared" si="3"/>
        <v>0.36</v>
      </c>
    </row>
    <row r="40" spans="1:6" x14ac:dyDescent="0.2">
      <c r="A40" s="19">
        <v>5</v>
      </c>
      <c r="B40" s="180" t="s">
        <v>4</v>
      </c>
      <c r="C40" s="181"/>
      <c r="D40" s="14">
        <f>IF(F3="1",SUMIF(Data!A:A,'41'!$A$2,Data!CY:CY),0)</f>
        <v>0</v>
      </c>
      <c r="E40" s="17">
        <f>IF($F$3="1",SUMIF(Data!$A:$A,$A$2,Data!IS:IS),0)</f>
        <v>0</v>
      </c>
      <c r="F40" s="21" t="str">
        <f t="shared" si="3"/>
        <v/>
      </c>
    </row>
    <row r="41" spans="1:6" x14ac:dyDescent="0.2">
      <c r="A41" s="19">
        <v>6</v>
      </c>
      <c r="B41" s="180" t="s">
        <v>5</v>
      </c>
      <c r="C41" s="181"/>
      <c r="D41" s="14">
        <f>IF(F3="1",SUMIF(Data!A:A,'41'!$A$2,Data!CZ:CZ),0)</f>
        <v>2469</v>
      </c>
      <c r="E41" s="17">
        <f>IF($F$3="1",SUMIF(Data!$A:$A,$A$2,Data!IT:IT),0)</f>
        <v>2614</v>
      </c>
      <c r="F41" s="21">
        <f t="shared" si="3"/>
        <v>1.06</v>
      </c>
    </row>
    <row r="42" spans="1:6" x14ac:dyDescent="0.2">
      <c r="A42" s="19">
        <v>7</v>
      </c>
      <c r="B42" s="180" t="s">
        <v>6</v>
      </c>
      <c r="C42" s="181"/>
      <c r="D42" s="14">
        <f>IF(F3="1",SUMIF(Data!A:A,'41'!$A$2,Data!DA:DA),0)</f>
        <v>101062</v>
      </c>
      <c r="E42" s="17">
        <f>IF($F$3="1",SUMIF(Data!$A:$A,$A$2,Data!IU:IU),0)</f>
        <v>56018</v>
      </c>
      <c r="F42" s="21">
        <f t="shared" si="3"/>
        <v>0.55000000000000004</v>
      </c>
    </row>
    <row r="43" spans="1:6" x14ac:dyDescent="0.2">
      <c r="A43" s="19">
        <v>8</v>
      </c>
      <c r="B43" s="180" t="s">
        <v>7</v>
      </c>
      <c r="C43" s="181"/>
      <c r="D43" s="14">
        <f>IF(F3="1",SUMIF(Data!A:A,'41'!$A$2,Data!DB:DB),0)</f>
        <v>630</v>
      </c>
      <c r="E43" s="17">
        <f>IF($F$3="1",SUMIF(Data!$A:$A,$A$2,Data!IV:IV),0)</f>
        <v>2614</v>
      </c>
      <c r="F43" s="21">
        <f t="shared" si="3"/>
        <v>4.1500000000000004</v>
      </c>
    </row>
    <row r="44" spans="1:6" x14ac:dyDescent="0.2">
      <c r="A44" s="19">
        <v>9</v>
      </c>
      <c r="B44" s="180" t="s">
        <v>8</v>
      </c>
      <c r="C44" s="181"/>
      <c r="D44" s="14">
        <f>IF(F3="1",SUMIF(Data!A:A,'41'!$A$2,Data!DC:DC),0)</f>
        <v>37790</v>
      </c>
      <c r="E44" s="17">
        <f>IF($F$3="1",SUMIF(Data!$A:$A,$A$2,Data!IW:IW),0)</f>
        <v>32120</v>
      </c>
      <c r="F44" s="21">
        <f t="shared" si="3"/>
        <v>0.85</v>
      </c>
    </row>
    <row r="45" spans="1:6" x14ac:dyDescent="0.2">
      <c r="A45" s="19">
        <v>10</v>
      </c>
      <c r="B45" s="180" t="s">
        <v>9</v>
      </c>
      <c r="C45" s="181"/>
      <c r="D45" s="14">
        <f>IF(F3="1",SUMIF(Data!A:A,'41'!$A$2,Data!DD:DD),0)</f>
        <v>160</v>
      </c>
      <c r="E45" s="17">
        <f>IF($F$3="1",SUMIF(Data!$A:$A,$A$2,Data!IX:IX),0)</f>
        <v>1476</v>
      </c>
      <c r="F45" s="21">
        <f t="shared" si="3"/>
        <v>9.23</v>
      </c>
    </row>
    <row r="46" spans="1:6" x14ac:dyDescent="0.2">
      <c r="A46" s="19">
        <v>11</v>
      </c>
      <c r="B46" s="180" t="s">
        <v>10</v>
      </c>
      <c r="C46" s="181"/>
      <c r="D46" s="14">
        <f>IF(F3="1",SUMIF(Data!A:A,'41'!$A$2,Data!DE:DE),0)</f>
        <v>18692</v>
      </c>
      <c r="E46" s="17">
        <f>IF($F$3="1",SUMIF(Data!$A:$A,$A$2,Data!IY:IY),0)</f>
        <v>19687</v>
      </c>
      <c r="F46" s="21">
        <f t="shared" si="3"/>
        <v>1.05</v>
      </c>
    </row>
    <row r="47" spans="1:6" ht="14.25" customHeight="1" x14ac:dyDescent="0.2">
      <c r="A47" s="19">
        <v>12</v>
      </c>
      <c r="B47" s="180" t="s">
        <v>11</v>
      </c>
      <c r="C47" s="181"/>
      <c r="D47" s="14">
        <f>IF(F3="1",SUMIF(Data!A:A,'41'!$A$2,Data!DF:DF),0)</f>
        <v>233704</v>
      </c>
      <c r="E47" s="17">
        <f>IF($F$3="1",SUMIF(Data!$A:$A,$A$2,Data!IZ:IZ),0)</f>
        <v>96110</v>
      </c>
      <c r="F47" s="21">
        <f t="shared" si="3"/>
        <v>0.41</v>
      </c>
    </row>
    <row r="48" spans="1:6" x14ac:dyDescent="0.2">
      <c r="A48" s="19">
        <v>13</v>
      </c>
      <c r="B48" s="180" t="s">
        <v>12</v>
      </c>
      <c r="C48" s="181"/>
      <c r="D48" s="14">
        <f>IF(F3="1",SUMIF(Data!A:A,'41'!$A$2,Data!DG:DG),0)</f>
        <v>21528</v>
      </c>
      <c r="E48" s="17">
        <f>IF($F$3="1",SUMIF(Data!$A:$A,$A$2,Data!JA:JA),0)</f>
        <v>13408</v>
      </c>
      <c r="F48" s="21">
        <f t="shared" si="3"/>
        <v>0.62</v>
      </c>
    </row>
    <row r="49" spans="1:6" ht="14.25" customHeight="1" x14ac:dyDescent="0.2">
      <c r="A49" s="19">
        <v>14</v>
      </c>
      <c r="B49" s="180" t="s">
        <v>464</v>
      </c>
      <c r="C49" s="181"/>
      <c r="D49" s="14">
        <f>IF(F3="1",SUMIF(Data!A:A,'41'!$A$2,Data!DH:DH),0)</f>
        <v>80653</v>
      </c>
      <c r="E49" s="17">
        <f>IF($F$3="1",SUMIF(Data!$A:$A,$A$2,Data!JB:JB),0)</f>
        <v>82514</v>
      </c>
      <c r="F49" s="21">
        <f t="shared" si="3"/>
        <v>1.02</v>
      </c>
    </row>
    <row r="50" spans="1:6" x14ac:dyDescent="0.2">
      <c r="A50" s="19">
        <v>15</v>
      </c>
      <c r="B50" s="180" t="s">
        <v>13</v>
      </c>
      <c r="C50" s="181"/>
      <c r="D50" s="14">
        <f>IF(F3="1",SUMIF(Data!A:A,'41'!$A$2,Data!DI:DI),0)</f>
        <v>19296</v>
      </c>
      <c r="E50" s="17">
        <f>IF($F$3="1",SUMIF(Data!$A:$A,$A$2,Data!JC:JC),0)</f>
        <v>112885</v>
      </c>
      <c r="F50" s="21">
        <f t="shared" si="3"/>
        <v>5.85</v>
      </c>
    </row>
    <row r="51" spans="1:6" x14ac:dyDescent="0.2">
      <c r="A51" s="19">
        <v>16</v>
      </c>
      <c r="B51" s="180" t="s">
        <v>14</v>
      </c>
      <c r="C51" s="181"/>
      <c r="D51" s="14">
        <f>IF(F3="1",SUMIF(Data!A:A,'41'!$A$2,Data!DJ:DJ),0)</f>
        <v>126587</v>
      </c>
      <c r="E51" s="17">
        <f>IF($F$3="1",SUMIF(Data!$A:$A,$A$2,Data!JD:JD),0)</f>
        <v>155565</v>
      </c>
      <c r="F51" s="21">
        <f t="shared" si="3"/>
        <v>1.23</v>
      </c>
    </row>
    <row r="52" spans="1:6" x14ac:dyDescent="0.2">
      <c r="A52" s="19">
        <v>17</v>
      </c>
      <c r="B52" s="180" t="s">
        <v>15</v>
      </c>
      <c r="C52" s="181"/>
      <c r="D52" s="14">
        <f>IF(F3="1",SUMIF(Data!A:A,'41'!$A$2,Data!DK:DK),0)</f>
        <v>16548</v>
      </c>
      <c r="E52" s="17">
        <f>IF($F$3="1",SUMIF(Data!$A:$A,$A$2,Data!JE:JE),0)</f>
        <v>19558</v>
      </c>
      <c r="F52" s="21">
        <f t="shared" si="3"/>
        <v>1.18</v>
      </c>
    </row>
    <row r="53" spans="1:6" x14ac:dyDescent="0.2">
      <c r="A53" s="19">
        <v>18</v>
      </c>
      <c r="B53" s="180" t="s">
        <v>16</v>
      </c>
      <c r="C53" s="181"/>
      <c r="D53" s="14">
        <f>IF(F3="1",SUMIF(Data!A:A,'41'!$A$2,Data!DL:DL),0)</f>
        <v>93952</v>
      </c>
      <c r="E53" s="17">
        <f>IF($F$3="1",SUMIF(Data!$A:$A,$A$2,Data!JF:JF),0)</f>
        <v>98682</v>
      </c>
      <c r="F53" s="21">
        <f t="shared" si="3"/>
        <v>1.05</v>
      </c>
    </row>
    <row r="54" spans="1:6" x14ac:dyDescent="0.2">
      <c r="A54" s="19">
        <v>19</v>
      </c>
      <c r="B54" s="180" t="s">
        <v>17</v>
      </c>
      <c r="C54" s="181"/>
      <c r="D54" s="14">
        <f>IF(F3="1",SUMIF(Data!A:A,'41'!$A$2,Data!DM:DM),0)</f>
        <v>135995</v>
      </c>
      <c r="E54" s="17">
        <f>IF($F$3="1",SUMIF(Data!$A:$A,$A$2,Data!JG:JG),0)</f>
        <v>167441</v>
      </c>
      <c r="F54" s="21">
        <f t="shared" si="3"/>
        <v>1.23</v>
      </c>
    </row>
    <row r="55" spans="1:6" x14ac:dyDescent="0.2">
      <c r="A55" s="19">
        <v>20</v>
      </c>
      <c r="B55" s="180" t="s">
        <v>18</v>
      </c>
      <c r="C55" s="181"/>
      <c r="D55" s="14">
        <f>IF(F3="1",SUMIF(Data!A:A,'41'!$A$2,Data!DN:DN),0)</f>
        <v>15696</v>
      </c>
      <c r="E55" s="17">
        <f>IF($F$3="1",SUMIF(Data!$A:$A,$A$2,Data!JH:JH),0)</f>
        <v>11865</v>
      </c>
      <c r="F55" s="21">
        <f t="shared" si="3"/>
        <v>0.76</v>
      </c>
    </row>
    <row r="56" spans="1:6" ht="14.25" customHeight="1" x14ac:dyDescent="0.2">
      <c r="A56" s="19">
        <v>21</v>
      </c>
      <c r="B56" s="180" t="s">
        <v>461</v>
      </c>
      <c r="C56" s="181"/>
      <c r="D56" s="14">
        <f>IF(F3="1",SUMIF(Data!A:A,'41'!$A$2,Data!DO:DO),0)</f>
        <v>0</v>
      </c>
      <c r="E56" s="17">
        <f>IF($F$3="1",SUMIF(Data!$A:$A,$A$2,Data!JI:JI),0)</f>
        <v>0</v>
      </c>
      <c r="F56" s="21" t="str">
        <f t="shared" si="3"/>
        <v/>
      </c>
    </row>
    <row r="57" spans="1:6" x14ac:dyDescent="0.2">
      <c r="A57" s="19">
        <v>22</v>
      </c>
      <c r="B57" s="180" t="s">
        <v>19</v>
      </c>
      <c r="C57" s="181"/>
      <c r="D57" s="14">
        <f>IF(F3="1",SUMIF(Data!A:A,'41'!$A$2,Data!DP:DP),0)</f>
        <v>0</v>
      </c>
      <c r="E57" s="17">
        <f>IF($F$3="1",SUMIF(Data!$A:$A,$A$2,Data!JJ:JJ),0)</f>
        <v>0</v>
      </c>
      <c r="F57" s="21" t="str">
        <f t="shared" si="3"/>
        <v/>
      </c>
    </row>
    <row r="58" spans="1:6" x14ac:dyDescent="0.2">
      <c r="A58" s="19">
        <v>23</v>
      </c>
      <c r="B58" s="180" t="s">
        <v>20</v>
      </c>
      <c r="C58" s="181"/>
      <c r="D58" s="14">
        <f>IF(F3="1",SUMIF(Data!A:A,'41'!$A$2,Data!DQ:DQ),0)</f>
        <v>71616</v>
      </c>
      <c r="E58" s="17">
        <f>IF($F$3="1",SUMIF(Data!$A:$A,$A$2,Data!JK:JK),0)</f>
        <v>13775</v>
      </c>
      <c r="F58" s="21">
        <f t="shared" si="3"/>
        <v>0.19</v>
      </c>
    </row>
    <row r="59" spans="1:6" x14ac:dyDescent="0.2">
      <c r="A59" s="19">
        <v>24</v>
      </c>
      <c r="B59" s="180" t="s">
        <v>21</v>
      </c>
      <c r="C59" s="181"/>
      <c r="D59" s="14">
        <f>IF(F3="1",SUMIF(Data!A:A,'41'!$A$2,Data!DR:DR),0)</f>
        <v>58768</v>
      </c>
      <c r="E59" s="17">
        <f>IF($F$3="1",SUMIF(Data!$A:$A,$A$2,Data!JL:JL),0)</f>
        <v>53664</v>
      </c>
      <c r="F59" s="21">
        <f t="shared" si="3"/>
        <v>0.91</v>
      </c>
    </row>
    <row r="60" spans="1:6" x14ac:dyDescent="0.2">
      <c r="A60" s="19">
        <v>25</v>
      </c>
      <c r="B60" s="180" t="s">
        <v>22</v>
      </c>
      <c r="C60" s="181"/>
      <c r="D60" s="14">
        <f>IF(F3="1",SUMIF(Data!A:A,'41'!$A$2,Data!DS:DS),0)</f>
        <v>232192</v>
      </c>
      <c r="E60" s="17">
        <f>IF($F$3="1",SUMIF(Data!$A:$A,$A$2,Data!JM:JM),0)</f>
        <v>13922</v>
      </c>
      <c r="F60" s="21">
        <f t="shared" si="3"/>
        <v>0.06</v>
      </c>
    </row>
    <row r="61" spans="1:6" x14ac:dyDescent="0.2">
      <c r="A61" s="19">
        <v>26</v>
      </c>
      <c r="B61" s="180" t="s">
        <v>23</v>
      </c>
      <c r="C61" s="181"/>
      <c r="D61" s="14">
        <f>IF(F3="1",SUMIF(Data!A:A,'41'!$A$2,Data!DT:DT),0)</f>
        <v>103616</v>
      </c>
      <c r="E61" s="17">
        <f>IF($F$3="1",SUMIF(Data!$A:$A,$A$2,Data!JN:JN),0)</f>
        <v>183360</v>
      </c>
      <c r="F61" s="21">
        <f t="shared" si="3"/>
        <v>1.77</v>
      </c>
    </row>
    <row r="62" spans="1:6" x14ac:dyDescent="0.2">
      <c r="A62" s="19">
        <v>28</v>
      </c>
      <c r="B62" s="180" t="s">
        <v>24</v>
      </c>
      <c r="C62" s="181"/>
      <c r="D62" s="14">
        <f>IF(F3="1",SUMIF(Data!A:A,'41'!$A$2,Data!DV:DV),0)</f>
        <v>0</v>
      </c>
      <c r="E62" s="17">
        <f>IF($F$3="1",SUMIF(Data!$A:$A,$A$2,Data!JP:JP),0)</f>
        <v>0</v>
      </c>
      <c r="F62" s="21" t="str">
        <f t="shared" si="3"/>
        <v/>
      </c>
    </row>
    <row r="63" spans="1:6" ht="15.75" customHeight="1" thickBot="1" x14ac:dyDescent="0.25">
      <c r="A63" s="22">
        <v>29</v>
      </c>
      <c r="B63" s="184" t="s">
        <v>25</v>
      </c>
      <c r="C63" s="185"/>
      <c r="D63" s="23">
        <f>IF(F3="1",SUMIF(Data!A:A,'41'!$A$2,Data!DW:DW),0)</f>
        <v>0</v>
      </c>
      <c r="E63" s="24">
        <f>IF($F$3="1",SUMIF(Data!$A:$A,$A$2,Data!JQ:JQ),0)</f>
        <v>0</v>
      </c>
      <c r="F63" s="25" t="str">
        <f t="shared" si="3"/>
        <v/>
      </c>
    </row>
    <row r="64" spans="1:6" x14ac:dyDescent="0.2">
      <c r="B64" s="30" t="s">
        <v>35</v>
      </c>
      <c r="C64" s="30"/>
      <c r="D64" s="59">
        <f>SUM(D36:D63)</f>
        <v>1734470</v>
      </c>
      <c r="E64" s="31">
        <f>SUM(E36:E63)</f>
        <v>1334828</v>
      </c>
      <c r="F64" s="32">
        <f t="shared" si="3"/>
        <v>0.77</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17560</v>
      </c>
      <c r="E67" s="15">
        <f>IF(F3="1",SUMIF(Data!A:A,'41'!$A$2,Data!DY:DY),0)</f>
        <v>40208</v>
      </c>
      <c r="F67" s="20">
        <f t="shared" ref="F67:F95" si="4">IF(OR(D67=0,E67=0),"",ROUND(E67/D67,2))</f>
        <v>2.29</v>
      </c>
    </row>
    <row r="68" spans="1:6" x14ac:dyDescent="0.2">
      <c r="A68" s="19">
        <v>2</v>
      </c>
      <c r="B68" s="180" t="s">
        <v>1</v>
      </c>
      <c r="C68" s="181"/>
      <c r="D68" s="14">
        <f t="shared" ref="D68:D94" si="5">D37</f>
        <v>26087</v>
      </c>
      <c r="E68" s="17">
        <f>IF(F3="1",SUMIF(Data!A:A,'41'!$A$2,Data!DZ:DZ),0)</f>
        <v>100879</v>
      </c>
      <c r="F68" s="21">
        <f t="shared" si="4"/>
        <v>3.87</v>
      </c>
    </row>
    <row r="69" spans="1:6" ht="14.25" customHeight="1" x14ac:dyDescent="0.2">
      <c r="A69" s="19">
        <v>3</v>
      </c>
      <c r="B69" s="180" t="s">
        <v>2</v>
      </c>
      <c r="C69" s="181"/>
      <c r="D69" s="14">
        <f t="shared" si="5"/>
        <v>157680</v>
      </c>
      <c r="E69" s="17">
        <f>IF(F3="1",SUMIF(Data!A:A,'41'!$A$2,Data!EA:EA),0)</f>
        <v>395873</v>
      </c>
      <c r="F69" s="21">
        <f t="shared" si="4"/>
        <v>2.5099999999999998</v>
      </c>
    </row>
    <row r="70" spans="1:6" ht="14.25" customHeight="1" x14ac:dyDescent="0.2">
      <c r="A70" s="19">
        <v>4</v>
      </c>
      <c r="B70" s="180" t="s">
        <v>3</v>
      </c>
      <c r="C70" s="181"/>
      <c r="D70" s="14">
        <f t="shared" si="5"/>
        <v>162189</v>
      </c>
      <c r="E70" s="17">
        <f>IF(F3="1",SUMIF(Data!A:A,'41'!$A$2,Data!EB:EB),0)</f>
        <v>348995</v>
      </c>
      <c r="F70" s="21">
        <f t="shared" si="4"/>
        <v>2.15</v>
      </c>
    </row>
    <row r="71" spans="1:6" x14ac:dyDescent="0.2">
      <c r="A71" s="19">
        <v>5</v>
      </c>
      <c r="B71" s="180" t="s">
        <v>4</v>
      </c>
      <c r="C71" s="181"/>
      <c r="D71" s="14">
        <f t="shared" si="5"/>
        <v>0</v>
      </c>
      <c r="E71" s="17">
        <f>IF(F3="1",SUMIF(Data!A:A,'41'!$A$2,Data!EC:EC),0)</f>
        <v>0</v>
      </c>
      <c r="F71" s="21" t="str">
        <f t="shared" si="4"/>
        <v/>
      </c>
    </row>
    <row r="72" spans="1:6" x14ac:dyDescent="0.2">
      <c r="A72" s="19">
        <v>6</v>
      </c>
      <c r="B72" s="180" t="s">
        <v>5</v>
      </c>
      <c r="C72" s="181"/>
      <c r="D72" s="14">
        <f t="shared" si="5"/>
        <v>2469</v>
      </c>
      <c r="E72" s="17">
        <f>IF(F3="1",SUMIF(Data!A:A,'41'!$A$2,Data!ED:ED),0)</f>
        <v>798</v>
      </c>
      <c r="F72" s="21">
        <f t="shared" si="4"/>
        <v>0.32</v>
      </c>
    </row>
    <row r="73" spans="1:6" x14ac:dyDescent="0.2">
      <c r="A73" s="19">
        <v>7</v>
      </c>
      <c r="B73" s="180" t="s">
        <v>6</v>
      </c>
      <c r="C73" s="181"/>
      <c r="D73" s="14">
        <f t="shared" si="5"/>
        <v>101062</v>
      </c>
      <c r="E73" s="17">
        <f>IF(F3="1",SUMIF(Data!A:A,'41'!$A$2,Data!EE:EE),0)</f>
        <v>303052</v>
      </c>
      <c r="F73" s="21">
        <f t="shared" si="4"/>
        <v>3</v>
      </c>
    </row>
    <row r="74" spans="1:6" x14ac:dyDescent="0.2">
      <c r="A74" s="19">
        <v>8</v>
      </c>
      <c r="B74" s="180" t="s">
        <v>7</v>
      </c>
      <c r="C74" s="181"/>
      <c r="D74" s="14">
        <f t="shared" si="5"/>
        <v>630</v>
      </c>
      <c r="E74" s="17">
        <f>IF(F3="1",SUMIF(Data!A:A,'41'!$A$2,Data!EF:EF),0)</f>
        <v>798</v>
      </c>
      <c r="F74" s="21">
        <f t="shared" si="4"/>
        <v>1.27</v>
      </c>
    </row>
    <row r="75" spans="1:6" x14ac:dyDescent="0.2">
      <c r="A75" s="19">
        <v>9</v>
      </c>
      <c r="B75" s="180" t="s">
        <v>8</v>
      </c>
      <c r="C75" s="181"/>
      <c r="D75" s="14">
        <f t="shared" si="5"/>
        <v>37790</v>
      </c>
      <c r="E75" s="17">
        <f>IF(F3="1",SUMIF(Data!A:A,'41'!$A$2,Data!EG:EG),0)</f>
        <v>70703</v>
      </c>
      <c r="F75" s="21">
        <f t="shared" si="4"/>
        <v>1.87</v>
      </c>
    </row>
    <row r="76" spans="1:6" x14ac:dyDescent="0.2">
      <c r="A76" s="19">
        <v>10</v>
      </c>
      <c r="B76" s="180" t="s">
        <v>9</v>
      </c>
      <c r="C76" s="181"/>
      <c r="D76" s="14">
        <f t="shared" si="5"/>
        <v>160</v>
      </c>
      <c r="E76" s="17">
        <f>IF(F3="1",SUMIF(Data!A:A,'41'!$A$2,Data!EH:EH),0)</f>
        <v>684</v>
      </c>
      <c r="F76" s="21">
        <f t="shared" si="4"/>
        <v>4.28</v>
      </c>
    </row>
    <row r="77" spans="1:6" x14ac:dyDescent="0.2">
      <c r="A77" s="19">
        <v>11</v>
      </c>
      <c r="B77" s="180" t="s">
        <v>10</v>
      </c>
      <c r="C77" s="181"/>
      <c r="D77" s="14">
        <f t="shared" si="5"/>
        <v>18692</v>
      </c>
      <c r="E77" s="17">
        <f>IF(F3="1",SUMIF(Data!A:A,'41'!$A$2,Data!EI:EI),0)</f>
        <v>41202</v>
      </c>
      <c r="F77" s="21">
        <f t="shared" si="4"/>
        <v>2.2000000000000002</v>
      </c>
    </row>
    <row r="78" spans="1:6" ht="14.25" customHeight="1" x14ac:dyDescent="0.2">
      <c r="A78" s="19">
        <v>12</v>
      </c>
      <c r="B78" s="180" t="s">
        <v>11</v>
      </c>
      <c r="C78" s="181"/>
      <c r="D78" s="14">
        <f t="shared" si="5"/>
        <v>233704</v>
      </c>
      <c r="E78" s="17">
        <f>IF(F3="1",SUMIF(Data!A:A,'41'!$A$2,Data!EJ:EJ),0)</f>
        <v>533442</v>
      </c>
      <c r="F78" s="21">
        <f t="shared" si="4"/>
        <v>2.2799999999999998</v>
      </c>
    </row>
    <row r="79" spans="1:6" x14ac:dyDescent="0.2">
      <c r="A79" s="19">
        <v>13</v>
      </c>
      <c r="B79" s="180" t="s">
        <v>12</v>
      </c>
      <c r="C79" s="181"/>
      <c r="D79" s="14">
        <f t="shared" si="5"/>
        <v>21528</v>
      </c>
      <c r="E79" s="17">
        <f>IF(F3="1",SUMIF(Data!A:A,'41'!$A$2,Data!EK:EK),0)</f>
        <v>68005</v>
      </c>
      <c r="F79" s="21">
        <f t="shared" si="4"/>
        <v>3.16</v>
      </c>
    </row>
    <row r="80" spans="1:6" ht="14.25" customHeight="1" x14ac:dyDescent="0.2">
      <c r="A80" s="19">
        <v>14</v>
      </c>
      <c r="B80" s="180" t="s">
        <v>464</v>
      </c>
      <c r="C80" s="181"/>
      <c r="D80" s="14">
        <f t="shared" si="5"/>
        <v>80653</v>
      </c>
      <c r="E80" s="17">
        <f>IF(F3="1",SUMIF(Data!A:A,'41'!$A$2,Data!EL:EL),0)</f>
        <v>447214</v>
      </c>
      <c r="F80" s="21">
        <f t="shared" si="4"/>
        <v>5.54</v>
      </c>
    </row>
    <row r="81" spans="1:6" x14ac:dyDescent="0.2">
      <c r="A81" s="19">
        <v>15</v>
      </c>
      <c r="B81" s="180" t="s">
        <v>13</v>
      </c>
      <c r="C81" s="181"/>
      <c r="D81" s="14">
        <f t="shared" si="5"/>
        <v>19296</v>
      </c>
      <c r="E81" s="17">
        <f>IF(F3="1",SUMIF(Data!A:A,'41'!$A$2,Data!EM:EM),0)</f>
        <v>192142</v>
      </c>
      <c r="F81" s="21">
        <f t="shared" si="4"/>
        <v>9.9600000000000009</v>
      </c>
    </row>
    <row r="82" spans="1:6" x14ac:dyDescent="0.2">
      <c r="A82" s="19">
        <v>16</v>
      </c>
      <c r="B82" s="180" t="s">
        <v>14</v>
      </c>
      <c r="C82" s="181"/>
      <c r="D82" s="14">
        <f t="shared" si="5"/>
        <v>126587</v>
      </c>
      <c r="E82" s="17">
        <f>IF(F3="1",SUMIF(Data!A:A,'41'!$A$2,Data!EN:EN),0)</f>
        <v>469388</v>
      </c>
      <c r="F82" s="21">
        <f t="shared" si="4"/>
        <v>3.71</v>
      </c>
    </row>
    <row r="83" spans="1:6" x14ac:dyDescent="0.2">
      <c r="A83" s="19">
        <v>17</v>
      </c>
      <c r="B83" s="180" t="s">
        <v>15</v>
      </c>
      <c r="C83" s="181"/>
      <c r="D83" s="14">
        <f t="shared" si="5"/>
        <v>16548</v>
      </c>
      <c r="E83" s="17">
        <f>IF(F3="1",SUMIF(Data!A:A,'41'!$A$2,Data!EO:EO),0)</f>
        <v>160118</v>
      </c>
      <c r="F83" s="21">
        <f t="shared" si="4"/>
        <v>9.68</v>
      </c>
    </row>
    <row r="84" spans="1:6" x14ac:dyDescent="0.2">
      <c r="A84" s="19">
        <v>18</v>
      </c>
      <c r="B84" s="180" t="s">
        <v>16</v>
      </c>
      <c r="C84" s="181"/>
      <c r="D84" s="14">
        <f t="shared" si="5"/>
        <v>93952</v>
      </c>
      <c r="E84" s="17">
        <f>IF(F3="1",SUMIF(Data!A:A,'41'!$A$2,Data!EP:EP),0)</f>
        <v>321260</v>
      </c>
      <c r="F84" s="21">
        <f t="shared" si="4"/>
        <v>3.42</v>
      </c>
    </row>
    <row r="85" spans="1:6" x14ac:dyDescent="0.2">
      <c r="A85" s="19">
        <v>19</v>
      </c>
      <c r="B85" s="180" t="s">
        <v>17</v>
      </c>
      <c r="C85" s="181"/>
      <c r="D85" s="14">
        <f t="shared" si="5"/>
        <v>135995</v>
      </c>
      <c r="E85" s="17">
        <f>IF(F3="1",SUMIF(Data!A:A,'41'!$A$2,Data!EQ:EQ),0)</f>
        <v>347124</v>
      </c>
      <c r="F85" s="21">
        <f t="shared" si="4"/>
        <v>2.5499999999999998</v>
      </c>
    </row>
    <row r="86" spans="1:6" x14ac:dyDescent="0.2">
      <c r="A86" s="19">
        <v>20</v>
      </c>
      <c r="B86" s="180" t="s">
        <v>18</v>
      </c>
      <c r="C86" s="181"/>
      <c r="D86" s="14">
        <f t="shared" si="5"/>
        <v>15696</v>
      </c>
      <c r="E86" s="17">
        <f>IF(F3="1",SUMIF(Data!A:A,'41'!$A$2,Data!ER:ER),0)</f>
        <v>71507</v>
      </c>
      <c r="F86" s="21">
        <f t="shared" si="4"/>
        <v>4.5599999999999996</v>
      </c>
    </row>
    <row r="87" spans="1:6" ht="14.25" customHeight="1" x14ac:dyDescent="0.2">
      <c r="A87" s="19">
        <v>21</v>
      </c>
      <c r="B87" s="180" t="s">
        <v>461</v>
      </c>
      <c r="C87" s="181"/>
      <c r="D87" s="14">
        <f t="shared" si="5"/>
        <v>0</v>
      </c>
      <c r="E87" s="17">
        <f>IF(F3="1",SUMIF(Data!A:A,'41'!$A$2,Data!ES:ES),0)</f>
        <v>0</v>
      </c>
      <c r="F87" s="21" t="str">
        <f t="shared" si="4"/>
        <v/>
      </c>
    </row>
    <row r="88" spans="1:6" x14ac:dyDescent="0.2">
      <c r="A88" s="19">
        <v>22</v>
      </c>
      <c r="B88" s="180" t="s">
        <v>19</v>
      </c>
      <c r="C88" s="181"/>
      <c r="D88" s="14">
        <f t="shared" si="5"/>
        <v>0</v>
      </c>
      <c r="E88" s="17">
        <f>IF(F3="1",SUMIF(Data!A:A,'41'!$A$2,Data!ET:ET),0)</f>
        <v>0</v>
      </c>
      <c r="F88" s="21" t="str">
        <f t="shared" si="4"/>
        <v/>
      </c>
    </row>
    <row r="89" spans="1:6" x14ac:dyDescent="0.2">
      <c r="A89" s="19">
        <v>23</v>
      </c>
      <c r="B89" s="180" t="s">
        <v>20</v>
      </c>
      <c r="C89" s="181"/>
      <c r="D89" s="14">
        <f t="shared" si="5"/>
        <v>71616</v>
      </c>
      <c r="E89" s="17">
        <f>IF(F3="1",SUMIF(Data!A:A,'41'!$A$2,Data!EU:EU),0)</f>
        <v>202875</v>
      </c>
      <c r="F89" s="21">
        <f t="shared" si="4"/>
        <v>2.83</v>
      </c>
    </row>
    <row r="90" spans="1:6" x14ac:dyDescent="0.2">
      <c r="A90" s="19">
        <v>24</v>
      </c>
      <c r="B90" s="180" t="s">
        <v>21</v>
      </c>
      <c r="C90" s="181"/>
      <c r="D90" s="14">
        <f t="shared" si="5"/>
        <v>58768</v>
      </c>
      <c r="E90" s="17">
        <f>IF(F3="1",SUMIF(Data!A:A,'41'!$A$2,Data!EV:EV),0)</f>
        <v>84057</v>
      </c>
      <c r="F90" s="21">
        <f t="shared" si="4"/>
        <v>1.43</v>
      </c>
    </row>
    <row r="91" spans="1:6" x14ac:dyDescent="0.2">
      <c r="A91" s="19">
        <v>25</v>
      </c>
      <c r="B91" s="180" t="s">
        <v>22</v>
      </c>
      <c r="C91" s="181"/>
      <c r="D91" s="14">
        <f t="shared" si="5"/>
        <v>232192</v>
      </c>
      <c r="E91" s="17">
        <f>IF(F3="1",SUMIF(Data!A:A,'41'!$A$2,Data!EW:EW),0)</f>
        <v>588408</v>
      </c>
      <c r="F91" s="21">
        <f t="shared" si="4"/>
        <v>2.5299999999999998</v>
      </c>
    </row>
    <row r="92" spans="1:6" x14ac:dyDescent="0.2">
      <c r="A92" s="19">
        <v>26</v>
      </c>
      <c r="B92" s="180" t="s">
        <v>23</v>
      </c>
      <c r="C92" s="181"/>
      <c r="D92" s="14">
        <f t="shared" si="5"/>
        <v>103616</v>
      </c>
      <c r="E92" s="17">
        <f>IF(F3="1",SUMIF(Data!A:A,'41'!$A$2,Data!EX:EX),0)</f>
        <v>516535</v>
      </c>
      <c r="F92" s="21">
        <f t="shared" si="4"/>
        <v>4.99</v>
      </c>
    </row>
    <row r="93" spans="1:6" x14ac:dyDescent="0.2">
      <c r="A93" s="19">
        <v>28</v>
      </c>
      <c r="B93" s="180" t="s">
        <v>24</v>
      </c>
      <c r="C93" s="181"/>
      <c r="D93" s="14">
        <f t="shared" si="5"/>
        <v>0</v>
      </c>
      <c r="E93" s="17">
        <f>IF(F3="1",SUMIF(Data!A:A,'41'!$A$2,Data!EZ:EZ),0)</f>
        <v>0</v>
      </c>
      <c r="F93" s="21" t="str">
        <f t="shared" si="4"/>
        <v/>
      </c>
    </row>
    <row r="94" spans="1:6" ht="15.75" customHeight="1" thickBot="1" x14ac:dyDescent="0.25">
      <c r="A94" s="22">
        <v>29</v>
      </c>
      <c r="B94" s="184" t="s">
        <v>25</v>
      </c>
      <c r="C94" s="185"/>
      <c r="D94" s="23">
        <f t="shared" si="5"/>
        <v>0</v>
      </c>
      <c r="E94" s="24">
        <f>IF(F3="1",SUMIF(Data!A:A,'41'!$A$2,Data!FA:FA),0)</f>
        <v>0</v>
      </c>
      <c r="F94" s="25" t="str">
        <f t="shared" si="4"/>
        <v/>
      </c>
    </row>
    <row r="95" spans="1:6" x14ac:dyDescent="0.2">
      <c r="B95" s="30" t="s">
        <v>35</v>
      </c>
      <c r="C95" s="30"/>
      <c r="D95" s="59">
        <f>SUM(D67:D94)</f>
        <v>1734470</v>
      </c>
      <c r="E95" s="31">
        <f>SUM(E67:E94)</f>
        <v>5305267</v>
      </c>
      <c r="F95" s="32">
        <f t="shared" si="4"/>
        <v>3.06</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IF(F3="1",SUMIF(Data!A:A,'41'!$A$2,Data!AH:AH),0)</f>
        <v>2742112</v>
      </c>
      <c r="F98" s="20">
        <f>IF(OR(E98=0,E98=0),"",ROUND(E98/$D$105,2))</f>
        <v>1.58</v>
      </c>
    </row>
    <row r="99" spans="2:6" x14ac:dyDescent="0.2">
      <c r="B99" s="190" t="s">
        <v>31</v>
      </c>
      <c r="C99" s="191"/>
      <c r="D99" s="36"/>
      <c r="E99" s="17">
        <f>IF(F3="1",SUMIF(Data!A:A,'41'!$A$2,Data!AI:AI),0)</f>
        <v>693187</v>
      </c>
      <c r="F99" s="21">
        <f t="shared" ref="F99:F104" si="6">IF(OR(E99=0,E99=0),"",ROUND(E99/$D$105,2))</f>
        <v>0.4</v>
      </c>
    </row>
    <row r="100" spans="2:6" x14ac:dyDescent="0.2">
      <c r="B100" s="190" t="s">
        <v>1089</v>
      </c>
      <c r="C100" s="191"/>
      <c r="D100" s="36"/>
      <c r="E100" s="17">
        <f>IF(F3="1",SUMIF(Data!A:A,'41'!$A$2,Data!AJ:AJ),0)</f>
        <v>326253</v>
      </c>
      <c r="F100" s="21">
        <f t="shared" si="6"/>
        <v>0.19</v>
      </c>
    </row>
    <row r="101" spans="2:6" x14ac:dyDescent="0.2">
      <c r="B101" s="190" t="s">
        <v>1090</v>
      </c>
      <c r="C101" s="191"/>
      <c r="D101" s="36"/>
      <c r="E101" s="17">
        <f>IF(F3="1",SUMIF(Data!A:A,'41'!$A$2,Data!AK:AK),0)</f>
        <v>343128</v>
      </c>
      <c r="F101" s="21">
        <f t="shared" si="6"/>
        <v>0.2</v>
      </c>
    </row>
    <row r="102" spans="2:6" x14ac:dyDescent="0.2">
      <c r="B102" s="190" t="s">
        <v>1091</v>
      </c>
      <c r="C102" s="191"/>
      <c r="D102" s="36"/>
      <c r="E102" s="17">
        <f>IF(F3="1",SUMIF(Data!A:A,'41'!$A$2,Data!AL:AL),0)</f>
        <v>0</v>
      </c>
      <c r="F102" s="21" t="str">
        <f t="shared" si="6"/>
        <v/>
      </c>
    </row>
    <row r="103" spans="2:6" x14ac:dyDescent="0.2">
      <c r="B103" s="192" t="s">
        <v>34</v>
      </c>
      <c r="C103" s="193"/>
      <c r="D103" s="36"/>
      <c r="E103" s="17">
        <f>IF(F3="1",SUMIF(Data!A:A,'41'!$A$2,Data!AM:AM),0)</f>
        <v>0</v>
      </c>
      <c r="F103" s="21" t="str">
        <f t="shared" si="6"/>
        <v/>
      </c>
    </row>
    <row r="104" spans="2:6" ht="15.75" customHeight="1" thickBot="1" x14ac:dyDescent="0.25">
      <c r="B104" s="186" t="s">
        <v>29</v>
      </c>
      <c r="C104" s="187"/>
      <c r="D104" s="37"/>
      <c r="E104" s="24">
        <f>IF(F3="1",SUMIF(Data!A:A,'41'!$A$2,Data!Q:Q),0)</f>
        <v>761083</v>
      </c>
      <c r="F104" s="25">
        <f t="shared" si="6"/>
        <v>0.44</v>
      </c>
    </row>
    <row r="105" spans="2:6" x14ac:dyDescent="0.2">
      <c r="B105" s="30" t="s">
        <v>35</v>
      </c>
      <c r="C105" s="30"/>
      <c r="D105" s="34">
        <f>D95</f>
        <v>1734470</v>
      </c>
      <c r="E105" s="31">
        <f>SUM(E98:E104)</f>
        <v>4865763</v>
      </c>
      <c r="F105" s="32">
        <f>IF($D$105=0,"",ROUND(E105/$D$105,2))</f>
        <v>2.81</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5305267</v>
      </c>
      <c r="D109" s="15">
        <f>IF(F3="1",SUMIF(Data!$A:$A,$A$2,Data!HJ:HJ),0)</f>
        <v>0</v>
      </c>
      <c r="E109" s="15">
        <f>IF(F3="1",SUMIF(Data!$A:$A,$A$2,Data!IN:IN),0)</f>
        <v>0</v>
      </c>
      <c r="F109" s="47">
        <f>SUM(C109:E109)</f>
        <v>5305267</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761083</v>
      </c>
      <c r="E117" s="52"/>
      <c r="F117" s="49">
        <f>SUM(C117:E117)</f>
        <v>761083</v>
      </c>
    </row>
    <row r="118" spans="1:6" x14ac:dyDescent="0.2">
      <c r="B118" s="13" t="s">
        <v>35</v>
      </c>
      <c r="C118" s="4">
        <f>SUM(C109:C116)</f>
        <v>5305267</v>
      </c>
      <c r="D118" s="4">
        <f>SUM(D109:D116)</f>
        <v>0</v>
      </c>
      <c r="E118" s="4">
        <f>SUM(E109:E116)</f>
        <v>0</v>
      </c>
      <c r="F118" s="4">
        <f>SUM(F109:F116)</f>
        <v>5305267</v>
      </c>
    </row>
    <row r="119" spans="1:6" ht="15" thickBot="1" x14ac:dyDescent="0.25"/>
    <row r="120" spans="1:6" ht="15" thickBot="1" x14ac:dyDescent="0.25">
      <c r="B120" s="55" t="s">
        <v>934</v>
      </c>
      <c r="C120" s="53"/>
      <c r="D120" s="53"/>
      <c r="E120" s="53">
        <f>IF(F3="1",SUMIF(Data!A:A,'41'!$A$2,Data!AM:AM),0)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140625" style="10"/>
    <col min="12" max="14" width="6"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405</v>
      </c>
      <c r="B2" s="58" t="str">
        <f>VLOOKUP(A2,Data!A:G,7,0)</f>
        <v>Texarkana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28308</v>
      </c>
      <c r="E5" s="15">
        <f>E36+E67+IFERROR($E$105/$D$105*D5,0)</f>
        <v>267175.0810638176</v>
      </c>
      <c r="F5" s="20">
        <f>IF(OR(D5=0,E5=0),"",ROUND(E5/D5,2))</f>
        <v>9.44</v>
      </c>
    </row>
    <row r="6" spans="1:6" x14ac:dyDescent="0.2">
      <c r="A6" s="19">
        <v>2</v>
      </c>
      <c r="B6" s="180" t="s">
        <v>1</v>
      </c>
      <c r="C6" s="181"/>
      <c r="D6" s="14">
        <f t="shared" ref="D6:D32" si="0">D37</f>
        <v>166125</v>
      </c>
      <c r="E6" s="17">
        <f t="shared" ref="E6:E32" si="1">E37+E68+IFERROR($E$105/$D$105*D6,0)</f>
        <v>797539.97413193085</v>
      </c>
      <c r="F6" s="21">
        <f t="shared" ref="F6:F33" si="2">IF(OR(D6=0,E6=0),"",ROUND(E6/D6,2))</f>
        <v>4.8</v>
      </c>
    </row>
    <row r="7" spans="1:6" ht="14.25" customHeight="1" x14ac:dyDescent="0.2">
      <c r="A7" s="19">
        <v>3</v>
      </c>
      <c r="B7" s="180" t="s">
        <v>2</v>
      </c>
      <c r="C7" s="181"/>
      <c r="D7" s="14">
        <f t="shared" si="0"/>
        <v>225648</v>
      </c>
      <c r="E7" s="17">
        <f t="shared" si="1"/>
        <v>1197718.0293870396</v>
      </c>
      <c r="F7" s="21">
        <f t="shared" si="2"/>
        <v>5.31</v>
      </c>
    </row>
    <row r="8" spans="1:6" ht="14.25" customHeight="1" x14ac:dyDescent="0.2">
      <c r="A8" s="19">
        <v>4</v>
      </c>
      <c r="B8" s="180" t="s">
        <v>3</v>
      </c>
      <c r="C8" s="181"/>
      <c r="D8" s="14">
        <f t="shared" si="0"/>
        <v>221319</v>
      </c>
      <c r="E8" s="17">
        <f t="shared" si="1"/>
        <v>1377425.8882281703</v>
      </c>
      <c r="F8" s="21">
        <f t="shared" si="2"/>
        <v>6.22</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7920</v>
      </c>
      <c r="E10" s="17">
        <f t="shared" si="1"/>
        <v>50078.77384574803</v>
      </c>
      <c r="F10" s="21">
        <f t="shared" si="2"/>
        <v>6.32</v>
      </c>
    </row>
    <row r="11" spans="1:6" x14ac:dyDescent="0.2">
      <c r="A11" s="19">
        <v>7</v>
      </c>
      <c r="B11" s="180" t="s">
        <v>6</v>
      </c>
      <c r="C11" s="181"/>
      <c r="D11" s="14">
        <f t="shared" si="0"/>
        <v>35736</v>
      </c>
      <c r="E11" s="17">
        <f t="shared" si="1"/>
        <v>221087.84926157218</v>
      </c>
      <c r="F11" s="21">
        <f t="shared" si="2"/>
        <v>6.19</v>
      </c>
    </row>
    <row r="12" spans="1:6" x14ac:dyDescent="0.2">
      <c r="A12" s="19">
        <v>8</v>
      </c>
      <c r="B12" s="180" t="s">
        <v>7</v>
      </c>
      <c r="C12" s="181"/>
      <c r="D12" s="14">
        <f t="shared" si="0"/>
        <v>108864</v>
      </c>
      <c r="E12" s="17">
        <f t="shared" si="1"/>
        <v>602946.12777064578</v>
      </c>
      <c r="F12" s="21">
        <f t="shared" si="2"/>
        <v>5.54</v>
      </c>
    </row>
    <row r="13" spans="1:6" x14ac:dyDescent="0.2">
      <c r="A13" s="19">
        <v>9</v>
      </c>
      <c r="B13" s="180" t="s">
        <v>8</v>
      </c>
      <c r="C13" s="181"/>
      <c r="D13" s="14">
        <f t="shared" si="0"/>
        <v>124737</v>
      </c>
      <c r="E13" s="17">
        <f t="shared" si="1"/>
        <v>611844.64535316569</v>
      </c>
      <c r="F13" s="21">
        <f t="shared" si="2"/>
        <v>4.91</v>
      </c>
    </row>
    <row r="14" spans="1:6" x14ac:dyDescent="0.2">
      <c r="A14" s="19">
        <v>10</v>
      </c>
      <c r="B14" s="180" t="s">
        <v>9</v>
      </c>
      <c r="C14" s="181"/>
      <c r="D14" s="14">
        <f t="shared" si="0"/>
        <v>1040</v>
      </c>
      <c r="E14" s="17">
        <f t="shared" si="1"/>
        <v>5614.8086868153987</v>
      </c>
      <c r="F14" s="21">
        <f t="shared" si="2"/>
        <v>5.4</v>
      </c>
    </row>
    <row r="15" spans="1:6" x14ac:dyDescent="0.2">
      <c r="A15" s="19">
        <v>11</v>
      </c>
      <c r="B15" s="180" t="s">
        <v>10</v>
      </c>
      <c r="C15" s="181"/>
      <c r="D15" s="14">
        <f t="shared" si="0"/>
        <v>181094</v>
      </c>
      <c r="E15" s="17">
        <f t="shared" si="1"/>
        <v>890087.61954821902</v>
      </c>
      <c r="F15" s="21">
        <f t="shared" si="2"/>
        <v>4.92</v>
      </c>
    </row>
    <row r="16" spans="1:6" ht="14.25" customHeight="1" x14ac:dyDescent="0.2">
      <c r="A16" s="19">
        <v>12</v>
      </c>
      <c r="B16" s="180" t="s">
        <v>11</v>
      </c>
      <c r="C16" s="181"/>
      <c r="D16" s="14">
        <f t="shared" si="0"/>
        <v>223424</v>
      </c>
      <c r="E16" s="17">
        <f t="shared" si="1"/>
        <v>1219622.3615798496</v>
      </c>
      <c r="F16" s="21">
        <f t="shared" si="2"/>
        <v>5.46</v>
      </c>
    </row>
    <row r="17" spans="1:6" x14ac:dyDescent="0.2">
      <c r="A17" s="19">
        <v>13</v>
      </c>
      <c r="B17" s="180" t="s">
        <v>12</v>
      </c>
      <c r="C17" s="181"/>
      <c r="D17" s="14">
        <f t="shared" si="0"/>
        <v>24992</v>
      </c>
      <c r="E17" s="17">
        <f t="shared" si="1"/>
        <v>135742.86413547158</v>
      </c>
      <c r="F17" s="21">
        <f t="shared" si="2"/>
        <v>5.43</v>
      </c>
    </row>
    <row r="18" spans="1:6" ht="14.25" customHeight="1" x14ac:dyDescent="0.2">
      <c r="A18" s="19">
        <v>14</v>
      </c>
      <c r="B18" s="180" t="s">
        <v>464</v>
      </c>
      <c r="C18" s="181"/>
      <c r="D18" s="14">
        <f t="shared" si="0"/>
        <v>116129</v>
      </c>
      <c r="E18" s="17">
        <f t="shared" si="1"/>
        <v>862170.07499152445</v>
      </c>
      <c r="F18" s="21">
        <f t="shared" si="2"/>
        <v>7.42</v>
      </c>
    </row>
    <row r="19" spans="1:6" x14ac:dyDescent="0.2">
      <c r="A19" s="19">
        <v>15</v>
      </c>
      <c r="B19" s="180" t="s">
        <v>13</v>
      </c>
      <c r="C19" s="181"/>
      <c r="D19" s="14">
        <f t="shared" si="0"/>
        <v>5619</v>
      </c>
      <c r="E19" s="17">
        <f t="shared" si="1"/>
        <v>29227.509626168965</v>
      </c>
      <c r="F19" s="21">
        <f t="shared" si="2"/>
        <v>5.2</v>
      </c>
    </row>
    <row r="20" spans="1:6" x14ac:dyDescent="0.2">
      <c r="A20" s="19">
        <v>16</v>
      </c>
      <c r="B20" s="180" t="s">
        <v>14</v>
      </c>
      <c r="C20" s="181"/>
      <c r="D20" s="14">
        <f t="shared" si="0"/>
        <v>78396</v>
      </c>
      <c r="E20" s="17">
        <f t="shared" si="1"/>
        <v>581380.29020344233</v>
      </c>
      <c r="F20" s="21">
        <f t="shared" si="2"/>
        <v>7.42</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143560</v>
      </c>
      <c r="E22" s="17">
        <f t="shared" si="1"/>
        <v>702102.16834540246</v>
      </c>
      <c r="F22" s="21">
        <f t="shared" si="2"/>
        <v>4.8899999999999997</v>
      </c>
    </row>
    <row r="23" spans="1:6" x14ac:dyDescent="0.2">
      <c r="A23" s="19">
        <v>19</v>
      </c>
      <c r="B23" s="180" t="s">
        <v>17</v>
      </c>
      <c r="C23" s="181"/>
      <c r="D23" s="14">
        <f t="shared" si="0"/>
        <v>171904</v>
      </c>
      <c r="E23" s="17">
        <f t="shared" si="1"/>
        <v>821060.7620176099</v>
      </c>
      <c r="F23" s="21">
        <f t="shared" si="2"/>
        <v>4.78</v>
      </c>
    </row>
    <row r="24" spans="1:6" x14ac:dyDescent="0.2">
      <c r="A24" s="19">
        <v>20</v>
      </c>
      <c r="B24" s="180" t="s">
        <v>18</v>
      </c>
      <c r="C24" s="181"/>
      <c r="D24" s="14">
        <f t="shared" si="0"/>
        <v>101106</v>
      </c>
      <c r="E24" s="17">
        <f t="shared" si="1"/>
        <v>521825.66066265164</v>
      </c>
      <c r="F24" s="21">
        <f t="shared" si="2"/>
        <v>5.16</v>
      </c>
    </row>
    <row r="25" spans="1:6" ht="14.25" customHeight="1" x14ac:dyDescent="0.2">
      <c r="A25" s="19">
        <v>21</v>
      </c>
      <c r="B25" s="180" t="s">
        <v>461</v>
      </c>
      <c r="C25" s="181"/>
      <c r="D25" s="14">
        <f t="shared" si="0"/>
        <v>14472</v>
      </c>
      <c r="E25" s="17">
        <f t="shared" si="1"/>
        <v>95756.06857268505</v>
      </c>
      <c r="F25" s="21">
        <f t="shared" si="2"/>
        <v>6.62</v>
      </c>
    </row>
    <row r="26" spans="1:6" x14ac:dyDescent="0.2">
      <c r="A26" s="19">
        <v>22</v>
      </c>
      <c r="B26" s="180" t="s">
        <v>19</v>
      </c>
      <c r="C26" s="181"/>
      <c r="D26" s="14">
        <f t="shared" si="0"/>
        <v>10496</v>
      </c>
      <c r="E26" s="17">
        <f t="shared" si="1"/>
        <v>48389.453823860022</v>
      </c>
      <c r="F26" s="21">
        <f t="shared" si="2"/>
        <v>4.6100000000000003</v>
      </c>
    </row>
    <row r="27" spans="1:6" x14ac:dyDescent="0.2">
      <c r="A27" s="19">
        <v>23</v>
      </c>
      <c r="B27" s="180" t="s">
        <v>20</v>
      </c>
      <c r="C27" s="181"/>
      <c r="D27" s="14">
        <f t="shared" si="0"/>
        <v>21296</v>
      </c>
      <c r="E27" s="17">
        <f t="shared" si="1"/>
        <v>85168.236340789153</v>
      </c>
      <c r="F27" s="21">
        <f t="shared" si="2"/>
        <v>4</v>
      </c>
    </row>
    <row r="28" spans="1:6" x14ac:dyDescent="0.2">
      <c r="A28" s="19">
        <v>24</v>
      </c>
      <c r="B28" s="180" t="s">
        <v>21</v>
      </c>
      <c r="C28" s="181"/>
      <c r="D28" s="14">
        <f t="shared" si="0"/>
        <v>42696</v>
      </c>
      <c r="E28" s="17">
        <f t="shared" si="1"/>
        <v>276686.95355025987</v>
      </c>
      <c r="F28" s="21">
        <f t="shared" si="2"/>
        <v>6.48</v>
      </c>
    </row>
    <row r="29" spans="1:6" x14ac:dyDescent="0.2">
      <c r="A29" s="19">
        <v>25</v>
      </c>
      <c r="B29" s="180" t="s">
        <v>22</v>
      </c>
      <c r="C29" s="181"/>
      <c r="D29" s="14">
        <f t="shared" si="0"/>
        <v>258720</v>
      </c>
      <c r="E29" s="17">
        <f t="shared" si="1"/>
        <v>1306157.945627769</v>
      </c>
      <c r="F29" s="21">
        <f t="shared" si="2"/>
        <v>5.05</v>
      </c>
    </row>
    <row r="30" spans="1:6" x14ac:dyDescent="0.2">
      <c r="A30" s="19">
        <v>26</v>
      </c>
      <c r="B30" s="180" t="s">
        <v>23</v>
      </c>
      <c r="C30" s="181"/>
      <c r="D30" s="14">
        <f t="shared" si="0"/>
        <v>78576</v>
      </c>
      <c r="E30" s="17">
        <f t="shared" si="1"/>
        <v>364759.8532453911</v>
      </c>
      <c r="F30" s="21">
        <f t="shared" si="2"/>
        <v>4.6399999999999997</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2392177</v>
      </c>
      <c r="E33" s="31">
        <f>SUM(E5:E32)</f>
        <v>13071569</v>
      </c>
      <c r="F33" s="32">
        <f t="shared" si="2"/>
        <v>5.46</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IF(F3="1",SUMIF(Data!A:A,'42'!$A$2,Data!CU:CU),0)</f>
        <v>28308</v>
      </c>
      <c r="E36" s="15">
        <f>IF(F3="1",SUMIF(Data!$A:$A,$A$2,Data!IO:IO),0)</f>
        <v>41611</v>
      </c>
      <c r="F36" s="20">
        <f t="shared" ref="F36:F64" si="3">IF(OR(D36=0,E36=0),"",ROUND(E36/D36,2))</f>
        <v>1.47</v>
      </c>
    </row>
    <row r="37" spans="1:6" x14ac:dyDescent="0.2">
      <c r="A37" s="19">
        <v>2</v>
      </c>
      <c r="B37" s="180" t="s">
        <v>1</v>
      </c>
      <c r="C37" s="181"/>
      <c r="D37" s="14">
        <f>IF(F3="1",SUMIF(Data!A:A,'42'!$A$2,Data!CV:CV),0)</f>
        <v>166125</v>
      </c>
      <c r="E37" s="17">
        <f>IF(F3="1",SUMIF(Data!$A:$A,$A$2,Data!IP:IP),0)</f>
        <v>34954</v>
      </c>
      <c r="F37" s="21">
        <f t="shared" si="3"/>
        <v>0.21</v>
      </c>
    </row>
    <row r="38" spans="1:6" ht="14.25" customHeight="1" x14ac:dyDescent="0.2">
      <c r="A38" s="19">
        <v>3</v>
      </c>
      <c r="B38" s="180" t="s">
        <v>2</v>
      </c>
      <c r="C38" s="181"/>
      <c r="D38" s="14">
        <f>IF(F3="1",SUMIF(Data!A:A,'42'!$A$2,Data!CW:CW),0)</f>
        <v>225648</v>
      </c>
      <c r="E38" s="17">
        <f>IF($F$3="1",SUMIF(Data!$A:$A,$A$2,Data!IQ:IQ),0)</f>
        <v>51813</v>
      </c>
      <c r="F38" s="21">
        <f t="shared" si="3"/>
        <v>0.23</v>
      </c>
    </row>
    <row r="39" spans="1:6" ht="14.25" customHeight="1" x14ac:dyDescent="0.2">
      <c r="A39" s="19">
        <v>4</v>
      </c>
      <c r="B39" s="180" t="s">
        <v>3</v>
      </c>
      <c r="C39" s="181"/>
      <c r="D39" s="14">
        <f>IF(F3="1",SUMIF(Data!A:A,'42'!$A$2,Data!CX:CX),0)</f>
        <v>221319</v>
      </c>
      <c r="E39" s="17">
        <f>IF($F$3="1",SUMIF(Data!$A:$A,$A$2,Data!IR:IR),0)</f>
        <v>29237</v>
      </c>
      <c r="F39" s="21">
        <f t="shared" si="3"/>
        <v>0.13</v>
      </c>
    </row>
    <row r="40" spans="1:6" x14ac:dyDescent="0.2">
      <c r="A40" s="19">
        <v>5</v>
      </c>
      <c r="B40" s="180" t="s">
        <v>4</v>
      </c>
      <c r="C40" s="181"/>
      <c r="D40" s="14">
        <f>IF(F3="1",SUMIF(Data!A:A,'42'!$A$2,Data!CY:CY),0)</f>
        <v>0</v>
      </c>
      <c r="E40" s="17">
        <f>IF($F$3="1",SUMIF(Data!$A:$A,$A$2,Data!IS:IS),0)</f>
        <v>0</v>
      </c>
      <c r="F40" s="21" t="str">
        <f t="shared" si="3"/>
        <v/>
      </c>
    </row>
    <row r="41" spans="1:6" x14ac:dyDescent="0.2">
      <c r="A41" s="19">
        <v>6</v>
      </c>
      <c r="B41" s="180" t="s">
        <v>5</v>
      </c>
      <c r="C41" s="181"/>
      <c r="D41" s="14">
        <f>IF(F3="1",SUMIF(Data!A:A,'42'!$A$2,Data!CZ:CZ),0)</f>
        <v>7920</v>
      </c>
      <c r="E41" s="17">
        <f>IF($F$3="1",SUMIF(Data!$A:$A,$A$2,Data!IT:IT),0)</f>
        <v>11646</v>
      </c>
      <c r="F41" s="21">
        <f t="shared" si="3"/>
        <v>1.47</v>
      </c>
    </row>
    <row r="42" spans="1:6" x14ac:dyDescent="0.2">
      <c r="A42" s="19">
        <v>7</v>
      </c>
      <c r="B42" s="180" t="s">
        <v>6</v>
      </c>
      <c r="C42" s="181"/>
      <c r="D42" s="14">
        <f>IF(F3="1",SUMIF(Data!A:A,'42'!$A$2,Data!DA:DA),0)</f>
        <v>35736</v>
      </c>
      <c r="E42" s="17">
        <f>IF($F$3="1",SUMIF(Data!$A:$A,$A$2,Data!IU:IU),0)</f>
        <v>31028</v>
      </c>
      <c r="F42" s="21">
        <f t="shared" si="3"/>
        <v>0.87</v>
      </c>
    </row>
    <row r="43" spans="1:6" x14ac:dyDescent="0.2">
      <c r="A43" s="19">
        <v>8</v>
      </c>
      <c r="B43" s="180" t="s">
        <v>7</v>
      </c>
      <c r="C43" s="181"/>
      <c r="D43" s="14">
        <f>IF(F3="1",SUMIF(Data!A:A,'42'!$A$2,Data!DB:DB),0)</f>
        <v>108864</v>
      </c>
      <c r="E43" s="17">
        <f>IF($F$3="1",SUMIF(Data!$A:$A,$A$2,Data!IV:IV),0)</f>
        <v>50323</v>
      </c>
      <c r="F43" s="21">
        <f t="shared" si="3"/>
        <v>0.46</v>
      </c>
    </row>
    <row r="44" spans="1:6" x14ac:dyDescent="0.2">
      <c r="A44" s="19">
        <v>9</v>
      </c>
      <c r="B44" s="180" t="s">
        <v>8</v>
      </c>
      <c r="C44" s="181"/>
      <c r="D44" s="14">
        <f>IF(F3="1",SUMIF(Data!A:A,'42'!$A$2,Data!DC:DC),0)</f>
        <v>124737</v>
      </c>
      <c r="E44" s="17">
        <f>IF($F$3="1",SUMIF(Data!$A:$A,$A$2,Data!IW:IW),0)</f>
        <v>54156</v>
      </c>
      <c r="F44" s="21">
        <f t="shared" si="3"/>
        <v>0.43</v>
      </c>
    </row>
    <row r="45" spans="1:6" x14ac:dyDescent="0.2">
      <c r="A45" s="19">
        <v>10</v>
      </c>
      <c r="B45" s="180" t="s">
        <v>9</v>
      </c>
      <c r="C45" s="181"/>
      <c r="D45" s="14">
        <f>IF(F3="1",SUMIF(Data!A:A,'42'!$A$2,Data!DD:DD),0)</f>
        <v>1040</v>
      </c>
      <c r="E45" s="17">
        <f>IF($F$3="1",SUMIF(Data!$A:$A,$A$2,Data!IX:IX),0)</f>
        <v>0</v>
      </c>
      <c r="F45" s="21" t="str">
        <f t="shared" si="3"/>
        <v/>
      </c>
    </row>
    <row r="46" spans="1:6" x14ac:dyDescent="0.2">
      <c r="A46" s="19">
        <v>11</v>
      </c>
      <c r="B46" s="180" t="s">
        <v>10</v>
      </c>
      <c r="C46" s="181"/>
      <c r="D46" s="14">
        <f>IF(F3="1",SUMIF(Data!A:A,'42'!$A$2,Data!DE:DE),0)</f>
        <v>181094</v>
      </c>
      <c r="E46" s="17">
        <f>IF($F$3="1",SUMIF(Data!$A:$A,$A$2,Data!IY:IY),0)</f>
        <v>70828</v>
      </c>
      <c r="F46" s="21">
        <f t="shared" si="3"/>
        <v>0.39</v>
      </c>
    </row>
    <row r="47" spans="1:6" ht="14.25" customHeight="1" x14ac:dyDescent="0.2">
      <c r="A47" s="19">
        <v>12</v>
      </c>
      <c r="B47" s="180" t="s">
        <v>11</v>
      </c>
      <c r="C47" s="181"/>
      <c r="D47" s="14">
        <f>IF(F3="1",SUMIF(Data!A:A,'42'!$A$2,Data!DF:DF),0)</f>
        <v>223424</v>
      </c>
      <c r="E47" s="17">
        <f>IF($F$3="1",SUMIF(Data!$A:$A,$A$2,Data!IZ:IZ),0)</f>
        <v>123999</v>
      </c>
      <c r="F47" s="21">
        <f t="shared" si="3"/>
        <v>0.55000000000000004</v>
      </c>
    </row>
    <row r="48" spans="1:6" x14ac:dyDescent="0.2">
      <c r="A48" s="19">
        <v>13</v>
      </c>
      <c r="B48" s="180" t="s">
        <v>12</v>
      </c>
      <c r="C48" s="181"/>
      <c r="D48" s="14">
        <f>IF(F3="1",SUMIF(Data!A:A,'42'!$A$2,Data!DG:DG),0)</f>
        <v>24992</v>
      </c>
      <c r="E48" s="17">
        <f>IF($F$3="1",SUMIF(Data!$A:$A,$A$2,Data!JA:JA),0)</f>
        <v>356</v>
      </c>
      <c r="F48" s="21">
        <f t="shared" si="3"/>
        <v>0.01</v>
      </c>
    </row>
    <row r="49" spans="1:6" ht="14.25" customHeight="1" x14ac:dyDescent="0.2">
      <c r="A49" s="19">
        <v>14</v>
      </c>
      <c r="B49" s="180" t="s">
        <v>464</v>
      </c>
      <c r="C49" s="181"/>
      <c r="D49" s="14">
        <f>IF(F3="1",SUMIF(Data!A:A,'42'!$A$2,Data!DH:DH),0)</f>
        <v>116129</v>
      </c>
      <c r="E49" s="17">
        <f>IF($F$3="1",SUMIF(Data!$A:$A,$A$2,Data!JB:JB),0)</f>
        <v>18857</v>
      </c>
      <c r="F49" s="21">
        <f t="shared" si="3"/>
        <v>0.16</v>
      </c>
    </row>
    <row r="50" spans="1:6" x14ac:dyDescent="0.2">
      <c r="A50" s="19">
        <v>15</v>
      </c>
      <c r="B50" s="180" t="s">
        <v>13</v>
      </c>
      <c r="C50" s="181"/>
      <c r="D50" s="14">
        <f>IF(F3="1",SUMIF(Data!A:A,'42'!$A$2,Data!DI:DI),0)</f>
        <v>5619</v>
      </c>
      <c r="E50" s="17">
        <f>IF($F$3="1",SUMIF(Data!$A:$A,$A$2,Data!JC:JC),0)</f>
        <v>0</v>
      </c>
      <c r="F50" s="21" t="str">
        <f t="shared" si="3"/>
        <v/>
      </c>
    </row>
    <row r="51" spans="1:6" x14ac:dyDescent="0.2">
      <c r="A51" s="19">
        <v>16</v>
      </c>
      <c r="B51" s="180" t="s">
        <v>14</v>
      </c>
      <c r="C51" s="181"/>
      <c r="D51" s="14">
        <f>IF(F3="1",SUMIF(Data!A:A,'42'!$A$2,Data!DJ:DJ),0)</f>
        <v>78396</v>
      </c>
      <c r="E51" s="17">
        <f>IF($F$3="1",SUMIF(Data!$A:$A,$A$2,Data!JD:JD),0)</f>
        <v>107283</v>
      </c>
      <c r="F51" s="21">
        <f t="shared" si="3"/>
        <v>1.37</v>
      </c>
    </row>
    <row r="52" spans="1:6" x14ac:dyDescent="0.2">
      <c r="A52" s="19">
        <v>17</v>
      </c>
      <c r="B52" s="180" t="s">
        <v>15</v>
      </c>
      <c r="C52" s="181"/>
      <c r="D52" s="14">
        <f>IF(F3="1",SUMIF(Data!A:A,'42'!$A$2,Data!DK:DK),0)</f>
        <v>0</v>
      </c>
      <c r="E52" s="17">
        <f>IF($F$3="1",SUMIF(Data!$A:$A,$A$2,Data!JE:JE),0)</f>
        <v>0</v>
      </c>
      <c r="F52" s="21" t="str">
        <f t="shared" si="3"/>
        <v/>
      </c>
    </row>
    <row r="53" spans="1:6" x14ac:dyDescent="0.2">
      <c r="A53" s="19">
        <v>18</v>
      </c>
      <c r="B53" s="180" t="s">
        <v>16</v>
      </c>
      <c r="C53" s="181"/>
      <c r="D53" s="14">
        <f>IF(F3="1",SUMIF(Data!A:A,'42'!$A$2,Data!DL:DL),0)</f>
        <v>143560</v>
      </c>
      <c r="E53" s="17">
        <f>IF($F$3="1",SUMIF(Data!$A:$A,$A$2,Data!JF:JF),0)</f>
        <v>2649</v>
      </c>
      <c r="F53" s="21">
        <f t="shared" si="3"/>
        <v>0.02</v>
      </c>
    </row>
    <row r="54" spans="1:6" x14ac:dyDescent="0.2">
      <c r="A54" s="19">
        <v>19</v>
      </c>
      <c r="B54" s="180" t="s">
        <v>17</v>
      </c>
      <c r="C54" s="181"/>
      <c r="D54" s="14">
        <f>IF(F3="1",SUMIF(Data!A:A,'42'!$A$2,Data!DM:DM),0)</f>
        <v>171904</v>
      </c>
      <c r="E54" s="17">
        <f>IF($F$3="1",SUMIF(Data!$A:$A,$A$2,Data!JG:JG),0)</f>
        <v>14386</v>
      </c>
      <c r="F54" s="21">
        <f t="shared" si="3"/>
        <v>0.08</v>
      </c>
    </row>
    <row r="55" spans="1:6" x14ac:dyDescent="0.2">
      <c r="A55" s="19">
        <v>20</v>
      </c>
      <c r="B55" s="180" t="s">
        <v>18</v>
      </c>
      <c r="C55" s="181"/>
      <c r="D55" s="14">
        <f>IF(F3="1",SUMIF(Data!A:A,'42'!$A$2,Data!DN:DN),0)</f>
        <v>101106</v>
      </c>
      <c r="E55" s="17">
        <f>IF($F$3="1",SUMIF(Data!$A:$A,$A$2,Data!JH:JH),0)</f>
        <v>62167</v>
      </c>
      <c r="F55" s="21">
        <f t="shared" si="3"/>
        <v>0.61</v>
      </c>
    </row>
    <row r="56" spans="1:6" ht="14.25" customHeight="1" x14ac:dyDescent="0.2">
      <c r="A56" s="19">
        <v>21</v>
      </c>
      <c r="B56" s="180" t="s">
        <v>461</v>
      </c>
      <c r="C56" s="181"/>
      <c r="D56" s="14">
        <f>IF(F3="1",SUMIF(Data!A:A,'42'!$A$2,Data!DO:DO),0)</f>
        <v>14472</v>
      </c>
      <c r="E56" s="17">
        <f>IF($F$3="1",SUMIF(Data!$A:$A,$A$2,Data!JI:JI),0)</f>
        <v>6338</v>
      </c>
      <c r="F56" s="21">
        <f t="shared" si="3"/>
        <v>0.44</v>
      </c>
    </row>
    <row r="57" spans="1:6" x14ac:dyDescent="0.2">
      <c r="A57" s="19">
        <v>22</v>
      </c>
      <c r="B57" s="180" t="s">
        <v>19</v>
      </c>
      <c r="C57" s="181"/>
      <c r="D57" s="14">
        <f>IF(F3="1",SUMIF(Data!A:A,'42'!$A$2,Data!DP:DP),0)</f>
        <v>10496</v>
      </c>
      <c r="E57" s="17">
        <f>IF($F$3="1",SUMIF(Data!$A:$A,$A$2,Data!JJ:JJ),0)</f>
        <v>0</v>
      </c>
      <c r="F57" s="21" t="str">
        <f t="shared" si="3"/>
        <v/>
      </c>
    </row>
    <row r="58" spans="1:6" x14ac:dyDescent="0.2">
      <c r="A58" s="19">
        <v>23</v>
      </c>
      <c r="B58" s="180" t="s">
        <v>20</v>
      </c>
      <c r="C58" s="181"/>
      <c r="D58" s="14">
        <f>IF(F3="1",SUMIF(Data!A:A,'42'!$A$2,Data!DQ:DQ),0)</f>
        <v>21296</v>
      </c>
      <c r="E58" s="17">
        <f>IF($F$3="1",SUMIF(Data!$A:$A,$A$2,Data!JK:JK),0)</f>
        <v>12725</v>
      </c>
      <c r="F58" s="21">
        <f t="shared" si="3"/>
        <v>0.6</v>
      </c>
    </row>
    <row r="59" spans="1:6" x14ac:dyDescent="0.2">
      <c r="A59" s="19">
        <v>24</v>
      </c>
      <c r="B59" s="180" t="s">
        <v>21</v>
      </c>
      <c r="C59" s="181"/>
      <c r="D59" s="14">
        <f>IF(F3="1",SUMIF(Data!A:A,'42'!$A$2,Data!DR:DR),0)</f>
        <v>42696</v>
      </c>
      <c r="E59" s="17">
        <f>IF($F$3="1",SUMIF(Data!$A:$A,$A$2,Data!JL:JL),0)</f>
        <v>39195</v>
      </c>
      <c r="F59" s="21">
        <f t="shared" si="3"/>
        <v>0.92</v>
      </c>
    </row>
    <row r="60" spans="1:6" x14ac:dyDescent="0.2">
      <c r="A60" s="19">
        <v>25</v>
      </c>
      <c r="B60" s="180" t="s">
        <v>22</v>
      </c>
      <c r="C60" s="181"/>
      <c r="D60" s="14">
        <f>IF(F3="1",SUMIF(Data!A:A,'42'!$A$2,Data!DS:DS),0)</f>
        <v>258720</v>
      </c>
      <c r="E60" s="17">
        <f>IF($F$3="1",SUMIF(Data!$A:$A,$A$2,Data!JM:JM),0)</f>
        <v>17831</v>
      </c>
      <c r="F60" s="21">
        <f t="shared" si="3"/>
        <v>7.0000000000000007E-2</v>
      </c>
    </row>
    <row r="61" spans="1:6" x14ac:dyDescent="0.2">
      <c r="A61" s="19">
        <v>26</v>
      </c>
      <c r="B61" s="180" t="s">
        <v>23</v>
      </c>
      <c r="C61" s="181"/>
      <c r="D61" s="14">
        <f>IF(F3="1",SUMIF(Data!A:A,'42'!$A$2,Data!DT:DT),0)</f>
        <v>78576</v>
      </c>
      <c r="E61" s="17">
        <f>IF($F$3="1",SUMIF(Data!$A:$A,$A$2,Data!JN:JN),0)</f>
        <v>26668</v>
      </c>
      <c r="F61" s="21">
        <f t="shared" si="3"/>
        <v>0.34</v>
      </c>
    </row>
    <row r="62" spans="1:6" x14ac:dyDescent="0.2">
      <c r="A62" s="19">
        <v>28</v>
      </c>
      <c r="B62" s="180" t="s">
        <v>24</v>
      </c>
      <c r="C62" s="181"/>
      <c r="D62" s="14">
        <f>IF(F3="1",SUMIF(Data!A:A,'42'!$A$2,Data!DV:DV),0)</f>
        <v>0</v>
      </c>
      <c r="E62" s="17">
        <f>IF($F$3="1",SUMIF(Data!$A:$A,$A$2,Data!JP:JP),0)</f>
        <v>0</v>
      </c>
      <c r="F62" s="21" t="str">
        <f t="shared" si="3"/>
        <v/>
      </c>
    </row>
    <row r="63" spans="1:6" ht="15.75" customHeight="1" thickBot="1" x14ac:dyDescent="0.25">
      <c r="A63" s="22">
        <v>29</v>
      </c>
      <c r="B63" s="184" t="s">
        <v>25</v>
      </c>
      <c r="C63" s="185"/>
      <c r="D63" s="23">
        <f>IF(F3="1",SUMIF(Data!A:A,'42'!$A$2,Data!DW:DW),0)</f>
        <v>0</v>
      </c>
      <c r="E63" s="24">
        <f>IF($F$3="1",SUMIF(Data!$A:$A,$A$2,Data!JQ:JQ),0)</f>
        <v>0</v>
      </c>
      <c r="F63" s="25" t="str">
        <f t="shared" si="3"/>
        <v/>
      </c>
    </row>
    <row r="64" spans="1:6" x14ac:dyDescent="0.2">
      <c r="B64" s="30" t="s">
        <v>35</v>
      </c>
      <c r="C64" s="30"/>
      <c r="D64" s="59">
        <f>SUM(D36:D63)</f>
        <v>2392177</v>
      </c>
      <c r="E64" s="31">
        <f>SUM(E36:E63)</f>
        <v>808050</v>
      </c>
      <c r="F64" s="32">
        <f t="shared" si="3"/>
        <v>0.34</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28308</v>
      </c>
      <c r="E67" s="15">
        <f>IF(F3="1",SUMIF(Data!A:A,'42'!$A$2,Data!DY:DY),0)</f>
        <v>154391</v>
      </c>
      <c r="F67" s="20">
        <f t="shared" ref="F67:F95" si="4">IF(OR(D67=0,E67=0),"",ROUND(E67/D67,2))</f>
        <v>5.45</v>
      </c>
    </row>
    <row r="68" spans="1:6" x14ac:dyDescent="0.2">
      <c r="A68" s="19">
        <v>2</v>
      </c>
      <c r="B68" s="180" t="s">
        <v>1</v>
      </c>
      <c r="C68" s="181"/>
      <c r="D68" s="14">
        <f t="shared" ref="D68:D94" si="5">D37</f>
        <v>166125</v>
      </c>
      <c r="E68" s="17">
        <f>IF(F3="1",SUMIF(Data!A:A,'42'!$A$2,Data!DZ:DZ),0)</f>
        <v>344908</v>
      </c>
      <c r="F68" s="21">
        <f t="shared" si="4"/>
        <v>2.08</v>
      </c>
    </row>
    <row r="69" spans="1:6" ht="14.25" customHeight="1" x14ac:dyDescent="0.2">
      <c r="A69" s="19">
        <v>3</v>
      </c>
      <c r="B69" s="180" t="s">
        <v>2</v>
      </c>
      <c r="C69" s="181"/>
      <c r="D69" s="14">
        <f t="shared" si="5"/>
        <v>225648</v>
      </c>
      <c r="E69" s="17">
        <f>IF(F3="1",SUMIF(Data!A:A,'42'!$A$2,Data!EA:EA),0)</f>
        <v>578572</v>
      </c>
      <c r="F69" s="21">
        <f t="shared" si="4"/>
        <v>2.56</v>
      </c>
    </row>
    <row r="70" spans="1:6" ht="14.25" customHeight="1" x14ac:dyDescent="0.2">
      <c r="A70" s="19">
        <v>4</v>
      </c>
      <c r="B70" s="180" t="s">
        <v>3</v>
      </c>
      <c r="C70" s="181"/>
      <c r="D70" s="14">
        <f t="shared" si="5"/>
        <v>221319</v>
      </c>
      <c r="E70" s="17">
        <f>IF(F3="1",SUMIF(Data!A:A,'42'!$A$2,Data!EB:EB),0)</f>
        <v>791740</v>
      </c>
      <c r="F70" s="21">
        <f t="shared" si="4"/>
        <v>3.58</v>
      </c>
    </row>
    <row r="71" spans="1:6" x14ac:dyDescent="0.2">
      <c r="A71" s="19">
        <v>5</v>
      </c>
      <c r="B71" s="180" t="s">
        <v>4</v>
      </c>
      <c r="C71" s="181"/>
      <c r="D71" s="14">
        <f t="shared" si="5"/>
        <v>0</v>
      </c>
      <c r="E71" s="17">
        <f>IF(F3="1",SUMIF(Data!A:A,'42'!$A$2,Data!EC:EC),0)</f>
        <v>0</v>
      </c>
      <c r="F71" s="21" t="str">
        <f t="shared" si="4"/>
        <v/>
      </c>
    </row>
    <row r="72" spans="1:6" x14ac:dyDescent="0.2">
      <c r="A72" s="19">
        <v>6</v>
      </c>
      <c r="B72" s="180" t="s">
        <v>5</v>
      </c>
      <c r="C72" s="181"/>
      <c r="D72" s="14">
        <f t="shared" si="5"/>
        <v>7920</v>
      </c>
      <c r="E72" s="17">
        <f>IF(F3="1",SUMIF(Data!A:A,'42'!$A$2,Data!ED:ED),0)</f>
        <v>18520</v>
      </c>
      <c r="F72" s="21">
        <f t="shared" si="4"/>
        <v>2.34</v>
      </c>
    </row>
    <row r="73" spans="1:6" x14ac:dyDescent="0.2">
      <c r="A73" s="19">
        <v>7</v>
      </c>
      <c r="B73" s="180" t="s">
        <v>6</v>
      </c>
      <c r="C73" s="181"/>
      <c r="D73" s="14">
        <f t="shared" si="5"/>
        <v>35736</v>
      </c>
      <c r="E73" s="17">
        <f>IF(F3="1",SUMIF(Data!A:A,'42'!$A$2,Data!EE:EE),0)</f>
        <v>100211</v>
      </c>
      <c r="F73" s="21">
        <f t="shared" si="4"/>
        <v>2.8</v>
      </c>
    </row>
    <row r="74" spans="1:6" x14ac:dyDescent="0.2">
      <c r="A74" s="19">
        <v>8</v>
      </c>
      <c r="B74" s="180" t="s">
        <v>7</v>
      </c>
      <c r="C74" s="181"/>
      <c r="D74" s="14">
        <f t="shared" si="5"/>
        <v>108864</v>
      </c>
      <c r="E74" s="17">
        <f>IF(F3="1",SUMIF(Data!A:A,'42'!$A$2,Data!EF:EF),0)</f>
        <v>278913</v>
      </c>
      <c r="F74" s="21">
        <f t="shared" si="4"/>
        <v>2.56</v>
      </c>
    </row>
    <row r="75" spans="1:6" x14ac:dyDescent="0.2">
      <c r="A75" s="19">
        <v>9</v>
      </c>
      <c r="B75" s="180" t="s">
        <v>8</v>
      </c>
      <c r="C75" s="181"/>
      <c r="D75" s="14">
        <f t="shared" si="5"/>
        <v>124737</v>
      </c>
      <c r="E75" s="17">
        <f>IF(F3="1",SUMIF(Data!A:A,'42'!$A$2,Data!EG:EG),0)</f>
        <v>244070</v>
      </c>
      <c r="F75" s="21">
        <f t="shared" si="4"/>
        <v>1.96</v>
      </c>
    </row>
    <row r="76" spans="1:6" x14ac:dyDescent="0.2">
      <c r="A76" s="19">
        <v>10</v>
      </c>
      <c r="B76" s="180" t="s">
        <v>9</v>
      </c>
      <c r="C76" s="181"/>
      <c r="D76" s="14">
        <f t="shared" si="5"/>
        <v>1040</v>
      </c>
      <c r="E76" s="17">
        <f>IF(F3="1",SUMIF(Data!A:A,'42'!$A$2,Data!EH:EH),0)</f>
        <v>3000</v>
      </c>
      <c r="F76" s="21">
        <f t="shared" si="4"/>
        <v>2.88</v>
      </c>
    </row>
    <row r="77" spans="1:6" x14ac:dyDescent="0.2">
      <c r="A77" s="19">
        <v>11</v>
      </c>
      <c r="B77" s="180" t="s">
        <v>10</v>
      </c>
      <c r="C77" s="181"/>
      <c r="D77" s="14">
        <f t="shared" si="5"/>
        <v>181094</v>
      </c>
      <c r="E77" s="17">
        <f>IF(F3="1",SUMIF(Data!A:A,'42'!$A$2,Data!EI:EI),0)</f>
        <v>363946</v>
      </c>
      <c r="F77" s="21">
        <f t="shared" si="4"/>
        <v>2.0099999999999998</v>
      </c>
    </row>
    <row r="78" spans="1:6" ht="14.25" customHeight="1" x14ac:dyDescent="0.2">
      <c r="A78" s="19">
        <v>12</v>
      </c>
      <c r="B78" s="180" t="s">
        <v>11</v>
      </c>
      <c r="C78" s="181"/>
      <c r="D78" s="14">
        <f t="shared" si="5"/>
        <v>223424</v>
      </c>
      <c r="E78" s="17">
        <f>IF(F3="1",SUMIF(Data!A:A,'42'!$A$2,Data!EJ:EJ),0)</f>
        <v>533882</v>
      </c>
      <c r="F78" s="21">
        <f t="shared" si="4"/>
        <v>2.39</v>
      </c>
    </row>
    <row r="79" spans="1:6" x14ac:dyDescent="0.2">
      <c r="A79" s="19">
        <v>13</v>
      </c>
      <c r="B79" s="180" t="s">
        <v>12</v>
      </c>
      <c r="C79" s="181"/>
      <c r="D79" s="14">
        <f t="shared" si="5"/>
        <v>24992</v>
      </c>
      <c r="E79" s="17">
        <f>IF(F3="1",SUMIF(Data!A:A,'42'!$A$2,Data!EK:EK),0)</f>
        <v>72551</v>
      </c>
      <c r="F79" s="21">
        <f t="shared" si="4"/>
        <v>2.9</v>
      </c>
    </row>
    <row r="80" spans="1:6" ht="14.25" customHeight="1" x14ac:dyDescent="0.2">
      <c r="A80" s="19">
        <v>14</v>
      </c>
      <c r="B80" s="180" t="s">
        <v>464</v>
      </c>
      <c r="C80" s="181"/>
      <c r="D80" s="14">
        <f t="shared" si="5"/>
        <v>116129</v>
      </c>
      <c r="E80" s="17">
        <f>IF(F3="1",SUMIF(Data!A:A,'42'!$A$2,Data!EL:EL),0)</f>
        <v>551337</v>
      </c>
      <c r="F80" s="21">
        <f t="shared" si="4"/>
        <v>4.75</v>
      </c>
    </row>
    <row r="81" spans="1:6" x14ac:dyDescent="0.2">
      <c r="A81" s="19">
        <v>15</v>
      </c>
      <c r="B81" s="180" t="s">
        <v>13</v>
      </c>
      <c r="C81" s="181"/>
      <c r="D81" s="14">
        <f t="shared" si="5"/>
        <v>5619</v>
      </c>
      <c r="E81" s="17">
        <f>IF(F3="1",SUMIF(Data!A:A,'42'!$A$2,Data!EM:EM),0)</f>
        <v>15100</v>
      </c>
      <c r="F81" s="21">
        <f t="shared" si="4"/>
        <v>2.69</v>
      </c>
    </row>
    <row r="82" spans="1:6" x14ac:dyDescent="0.2">
      <c r="A82" s="19">
        <v>16</v>
      </c>
      <c r="B82" s="180" t="s">
        <v>14</v>
      </c>
      <c r="C82" s="181"/>
      <c r="D82" s="14">
        <f t="shared" si="5"/>
        <v>78396</v>
      </c>
      <c r="E82" s="17">
        <f>IF(F3="1",SUMIF(Data!A:A,'42'!$A$2,Data!EN:EN),0)</f>
        <v>276991</v>
      </c>
      <c r="F82" s="21">
        <f t="shared" si="4"/>
        <v>3.53</v>
      </c>
    </row>
    <row r="83" spans="1:6" x14ac:dyDescent="0.2">
      <c r="A83" s="19">
        <v>17</v>
      </c>
      <c r="B83" s="180" t="s">
        <v>15</v>
      </c>
      <c r="C83" s="181"/>
      <c r="D83" s="14">
        <f t="shared" si="5"/>
        <v>0</v>
      </c>
      <c r="E83" s="17">
        <f>IF(F3="1",SUMIF(Data!A:A,'42'!$A$2,Data!EO:EO),0)</f>
        <v>0</v>
      </c>
      <c r="F83" s="21" t="str">
        <f t="shared" si="4"/>
        <v/>
      </c>
    </row>
    <row r="84" spans="1:6" x14ac:dyDescent="0.2">
      <c r="A84" s="19">
        <v>18</v>
      </c>
      <c r="B84" s="180" t="s">
        <v>16</v>
      </c>
      <c r="C84" s="181"/>
      <c r="D84" s="14">
        <f t="shared" si="5"/>
        <v>143560</v>
      </c>
      <c r="E84" s="17">
        <f>IF(F3="1",SUMIF(Data!A:A,'42'!$A$2,Data!EP:EP),0)</f>
        <v>338509</v>
      </c>
      <c r="F84" s="21">
        <f t="shared" si="4"/>
        <v>2.36</v>
      </c>
    </row>
    <row r="85" spans="1:6" x14ac:dyDescent="0.2">
      <c r="A85" s="19">
        <v>19</v>
      </c>
      <c r="B85" s="180" t="s">
        <v>17</v>
      </c>
      <c r="C85" s="181"/>
      <c r="D85" s="14">
        <f t="shared" si="5"/>
        <v>171904</v>
      </c>
      <c r="E85" s="17">
        <f>IF(F3="1",SUMIF(Data!A:A,'42'!$A$2,Data!EQ:EQ),0)</f>
        <v>374467</v>
      </c>
      <c r="F85" s="21">
        <f t="shared" si="4"/>
        <v>2.1800000000000002</v>
      </c>
    </row>
    <row r="86" spans="1:6" x14ac:dyDescent="0.2">
      <c r="A86" s="19">
        <v>20</v>
      </c>
      <c r="B86" s="180" t="s">
        <v>18</v>
      </c>
      <c r="C86" s="181"/>
      <c r="D86" s="14">
        <f t="shared" si="5"/>
        <v>101106</v>
      </c>
      <c r="E86" s="17">
        <f>IF(F3="1",SUMIF(Data!A:A,'42'!$A$2,Data!ER:ER),0)</f>
        <v>205454</v>
      </c>
      <c r="F86" s="21">
        <f t="shared" si="4"/>
        <v>2.0299999999999998</v>
      </c>
    </row>
    <row r="87" spans="1:6" ht="14.25" customHeight="1" x14ac:dyDescent="0.2">
      <c r="A87" s="19">
        <v>21</v>
      </c>
      <c r="B87" s="180" t="s">
        <v>461</v>
      </c>
      <c r="C87" s="181"/>
      <c r="D87" s="14">
        <f t="shared" si="5"/>
        <v>14472</v>
      </c>
      <c r="E87" s="17">
        <f>IF(F3="1",SUMIF(Data!A:A,'42'!$A$2,Data!ES:ES),0)</f>
        <v>53032</v>
      </c>
      <c r="F87" s="21">
        <f t="shared" si="4"/>
        <v>3.66</v>
      </c>
    </row>
    <row r="88" spans="1:6" x14ac:dyDescent="0.2">
      <c r="A88" s="19">
        <v>22</v>
      </c>
      <c r="B88" s="180" t="s">
        <v>19</v>
      </c>
      <c r="C88" s="181"/>
      <c r="D88" s="14">
        <f t="shared" si="5"/>
        <v>10496</v>
      </c>
      <c r="E88" s="17">
        <f>IF(F3="1",SUMIF(Data!A:A,'42'!$A$2,Data!ET:ET),0)</f>
        <v>22000</v>
      </c>
      <c r="F88" s="21">
        <f t="shared" si="4"/>
        <v>2.1</v>
      </c>
    </row>
    <row r="89" spans="1:6" x14ac:dyDescent="0.2">
      <c r="A89" s="19">
        <v>23</v>
      </c>
      <c r="B89" s="180" t="s">
        <v>20</v>
      </c>
      <c r="C89" s="181"/>
      <c r="D89" s="14">
        <f t="shared" si="5"/>
        <v>21296</v>
      </c>
      <c r="E89" s="17">
        <f>IF(F3="1",SUMIF(Data!A:A,'42'!$A$2,Data!EU:EU),0)</f>
        <v>18900</v>
      </c>
      <c r="F89" s="21">
        <f t="shared" si="4"/>
        <v>0.89</v>
      </c>
    </row>
    <row r="90" spans="1:6" x14ac:dyDescent="0.2">
      <c r="A90" s="19">
        <v>24</v>
      </c>
      <c r="B90" s="180" t="s">
        <v>21</v>
      </c>
      <c r="C90" s="181"/>
      <c r="D90" s="14">
        <f t="shared" si="5"/>
        <v>42696</v>
      </c>
      <c r="E90" s="17">
        <f>IF(F3="1",SUMIF(Data!A:A,'42'!$A$2,Data!EV:EV),0)</f>
        <v>130144</v>
      </c>
      <c r="F90" s="21">
        <f t="shared" si="4"/>
        <v>3.05</v>
      </c>
    </row>
    <row r="91" spans="1:6" x14ac:dyDescent="0.2">
      <c r="A91" s="19">
        <v>25</v>
      </c>
      <c r="B91" s="180" t="s">
        <v>22</v>
      </c>
      <c r="C91" s="181"/>
      <c r="D91" s="14">
        <f t="shared" si="5"/>
        <v>258720</v>
      </c>
      <c r="E91" s="17">
        <f>IF(F3="1",SUMIF(Data!A:A,'42'!$A$2,Data!EW:EW),0)</f>
        <v>637843</v>
      </c>
      <c r="F91" s="21">
        <f t="shared" si="4"/>
        <v>2.4700000000000002</v>
      </c>
    </row>
    <row r="92" spans="1:6" x14ac:dyDescent="0.2">
      <c r="A92" s="19">
        <v>26</v>
      </c>
      <c r="B92" s="180" t="s">
        <v>23</v>
      </c>
      <c r="C92" s="181"/>
      <c r="D92" s="14">
        <f t="shared" si="5"/>
        <v>78576</v>
      </c>
      <c r="E92" s="17">
        <f>IF(F3="1",SUMIF(Data!A:A,'42'!$A$2,Data!EX:EX),0)</f>
        <v>140533</v>
      </c>
      <c r="F92" s="21">
        <f t="shared" si="4"/>
        <v>1.79</v>
      </c>
    </row>
    <row r="93" spans="1:6" x14ac:dyDescent="0.2">
      <c r="A93" s="19">
        <v>28</v>
      </c>
      <c r="B93" s="180" t="s">
        <v>24</v>
      </c>
      <c r="C93" s="181"/>
      <c r="D93" s="14">
        <f t="shared" si="5"/>
        <v>0</v>
      </c>
      <c r="E93" s="17">
        <f>IF(F3="1",SUMIF(Data!A:A,'42'!$A$2,Data!EZ:EZ),0)</f>
        <v>0</v>
      </c>
      <c r="F93" s="21" t="str">
        <f t="shared" si="4"/>
        <v/>
      </c>
    </row>
    <row r="94" spans="1:6" ht="15.75" customHeight="1" thickBot="1" x14ac:dyDescent="0.25">
      <c r="A94" s="22">
        <v>29</v>
      </c>
      <c r="B94" s="184" t="s">
        <v>25</v>
      </c>
      <c r="C94" s="185"/>
      <c r="D94" s="23">
        <f t="shared" si="5"/>
        <v>0</v>
      </c>
      <c r="E94" s="24">
        <f>IF(F3="1",SUMIF(Data!A:A,'42'!$A$2,Data!FA:FA),0)</f>
        <v>0</v>
      </c>
      <c r="F94" s="25" t="str">
        <f t="shared" si="4"/>
        <v/>
      </c>
    </row>
    <row r="95" spans="1:6" x14ac:dyDescent="0.2">
      <c r="B95" s="30" t="s">
        <v>35</v>
      </c>
      <c r="C95" s="30"/>
      <c r="D95" s="59">
        <f>SUM(D67:D94)</f>
        <v>2392177</v>
      </c>
      <c r="E95" s="31">
        <f>SUM(E67:E94)</f>
        <v>6249014</v>
      </c>
      <c r="F95" s="32">
        <f t="shared" si="4"/>
        <v>2.61</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IF(F3="1",SUMIF(Data!A:A,'42'!$A$2,Data!AH:AH),0)</f>
        <v>3173310</v>
      </c>
      <c r="F98" s="20">
        <f>IF(OR(E98=0,E98=0),"",ROUND(E98/$D$105,2))</f>
        <v>1.33</v>
      </c>
    </row>
    <row r="99" spans="2:6" x14ac:dyDescent="0.2">
      <c r="B99" s="190" t="s">
        <v>31</v>
      </c>
      <c r="C99" s="191"/>
      <c r="D99" s="36"/>
      <c r="E99" s="17">
        <f>IF(F3="1",SUMIF(Data!A:A,'42'!$A$2,Data!AI:AI),0)</f>
        <v>621926</v>
      </c>
      <c r="F99" s="21">
        <f t="shared" ref="F99:F104" si="6">IF(OR(E99=0,E99=0),"",ROUND(E99/$D$105,2))</f>
        <v>0.26</v>
      </c>
    </row>
    <row r="100" spans="2:6" x14ac:dyDescent="0.2">
      <c r="B100" s="190" t="s">
        <v>1089</v>
      </c>
      <c r="C100" s="191"/>
      <c r="D100" s="36"/>
      <c r="E100" s="17">
        <f>IF(F3="1",SUMIF(Data!A:A,'42'!$A$2,Data!AJ:AJ),0)</f>
        <v>408807</v>
      </c>
      <c r="F100" s="21">
        <f t="shared" si="6"/>
        <v>0.17</v>
      </c>
    </row>
    <row r="101" spans="2:6" x14ac:dyDescent="0.2">
      <c r="B101" s="190" t="s">
        <v>1090</v>
      </c>
      <c r="C101" s="191"/>
      <c r="D101" s="36"/>
      <c r="E101" s="17">
        <f>IF(F3="1",SUMIF(Data!A:A,'42'!$A$2,Data!AK:AK),0)</f>
        <v>764158</v>
      </c>
      <c r="F101" s="21">
        <f t="shared" si="6"/>
        <v>0.32</v>
      </c>
    </row>
    <row r="102" spans="2:6" x14ac:dyDescent="0.2">
      <c r="B102" s="190" t="s">
        <v>1091</v>
      </c>
      <c r="C102" s="191"/>
      <c r="D102" s="36"/>
      <c r="E102" s="17">
        <f>IF(F3="1",SUMIF(Data!A:A,'42'!$A$2,Data!AL:AL),0)</f>
        <v>0</v>
      </c>
      <c r="F102" s="21" t="str">
        <f t="shared" si="6"/>
        <v/>
      </c>
    </row>
    <row r="103" spans="2:6" x14ac:dyDescent="0.2">
      <c r="B103" s="192" t="s">
        <v>34</v>
      </c>
      <c r="C103" s="193"/>
      <c r="D103" s="36"/>
      <c r="E103" s="17">
        <f>IF(F3="1",SUMIF(Data!A:A,'42'!$A$2,Data!AM:AM),0)</f>
        <v>0</v>
      </c>
      <c r="F103" s="21" t="str">
        <f t="shared" si="6"/>
        <v/>
      </c>
    </row>
    <row r="104" spans="2:6" ht="15.75" customHeight="1" thickBot="1" x14ac:dyDescent="0.25">
      <c r="B104" s="186" t="s">
        <v>29</v>
      </c>
      <c r="C104" s="187"/>
      <c r="D104" s="37"/>
      <c r="E104" s="24">
        <f>IF(F3="1",SUMIF(Data!A:A,'42'!$A$2,Data!Q:Q),0)</f>
        <v>1046304</v>
      </c>
      <c r="F104" s="25">
        <f t="shared" si="6"/>
        <v>0.44</v>
      </c>
    </row>
    <row r="105" spans="2:6" x14ac:dyDescent="0.2">
      <c r="B105" s="30" t="s">
        <v>35</v>
      </c>
      <c r="C105" s="30"/>
      <c r="D105" s="34">
        <f>D95</f>
        <v>2392177</v>
      </c>
      <c r="E105" s="31">
        <f>SUM(E98:E104)</f>
        <v>6014505</v>
      </c>
      <c r="F105" s="32">
        <f>IF($D$105=0,"",ROUND(E105/$D$105,2))</f>
        <v>2.5099999999999998</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6249014</v>
      </c>
      <c r="D109" s="15">
        <f>IF(F3="1",SUMIF(Data!$A:$A,$A$2,Data!HJ:HJ),0)</f>
        <v>0</v>
      </c>
      <c r="E109" s="15">
        <f>IF(F3="1",SUMIF(Data!$A:$A,$A$2,Data!IN:IN),0)</f>
        <v>0</v>
      </c>
      <c r="F109" s="47">
        <f>SUM(C109:E109)</f>
        <v>6249014</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1046304</v>
      </c>
      <c r="E117" s="52"/>
      <c r="F117" s="49">
        <f>SUM(C117:E117)</f>
        <v>1046304</v>
      </c>
    </row>
    <row r="118" spans="1:6" x14ac:dyDescent="0.2">
      <c r="B118" s="13" t="s">
        <v>35</v>
      </c>
      <c r="C118" s="4">
        <f>SUM(C109:C116)</f>
        <v>6249014</v>
      </c>
      <c r="D118" s="4">
        <f>SUM(D109:D116)</f>
        <v>0</v>
      </c>
      <c r="E118" s="4">
        <f>SUM(E109:E116)</f>
        <v>0</v>
      </c>
      <c r="F118" s="4">
        <f>SUM(F109:F116)</f>
        <v>6249014</v>
      </c>
    </row>
    <row r="119" spans="1:6" ht="15" thickBot="1" x14ac:dyDescent="0.25"/>
    <row r="120" spans="1:6" ht="15" thickBot="1" x14ac:dyDescent="0.25">
      <c r="B120" s="55" t="s">
        <v>934</v>
      </c>
      <c r="C120" s="53"/>
      <c r="D120" s="53"/>
      <c r="E120" s="53">
        <f>IF(F3="1",SUMIF(Data!A:A,'42'!$A$2,Data!AM:AM),0)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140625" style="10"/>
    <col min="12" max="14" width="6"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409</v>
      </c>
      <c r="B2" s="58" t="str">
        <f>VLOOKUP(A2,Data!A:G,7,0)</f>
        <v>Texas Southmost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0</v>
      </c>
      <c r="E5" s="15">
        <f>E36+E67+IFERROR($E$105/$D$105*D5,0)</f>
        <v>0</v>
      </c>
      <c r="F5" s="20" t="str">
        <f>IF(OR(D5=0,E5=0),"",ROUND(E5/D5,2))</f>
        <v/>
      </c>
    </row>
    <row r="6" spans="1:6" x14ac:dyDescent="0.2">
      <c r="A6" s="19">
        <v>2</v>
      </c>
      <c r="B6" s="180" t="s">
        <v>1</v>
      </c>
      <c r="C6" s="181"/>
      <c r="D6" s="14">
        <f t="shared" ref="D6:D32" si="0">D37</f>
        <v>41525</v>
      </c>
      <c r="E6" s="17">
        <f t="shared" ref="E6:E32" si="1">E37+E68+IFERROR($E$105/$D$105*D6,0)</f>
        <v>398805.37471796188</v>
      </c>
      <c r="F6" s="21">
        <f t="shared" ref="F6:F33" si="2">IF(OR(D6=0,E6=0),"",ROUND(E6/D6,2))</f>
        <v>9.6</v>
      </c>
    </row>
    <row r="7" spans="1:6" ht="14.25" customHeight="1" x14ac:dyDescent="0.2">
      <c r="A7" s="19">
        <v>3</v>
      </c>
      <c r="B7" s="180" t="s">
        <v>2</v>
      </c>
      <c r="C7" s="181"/>
      <c r="D7" s="14">
        <f t="shared" si="0"/>
        <v>306592</v>
      </c>
      <c r="E7" s="17">
        <f t="shared" si="1"/>
        <v>1889136.4299706051</v>
      </c>
      <c r="F7" s="21">
        <f t="shared" si="2"/>
        <v>6.16</v>
      </c>
    </row>
    <row r="8" spans="1:6" ht="14.25" customHeight="1" x14ac:dyDescent="0.2">
      <c r="A8" s="19">
        <v>4</v>
      </c>
      <c r="B8" s="180" t="s">
        <v>3</v>
      </c>
      <c r="C8" s="181"/>
      <c r="D8" s="14">
        <f t="shared" si="0"/>
        <v>177514</v>
      </c>
      <c r="E8" s="17">
        <f t="shared" si="1"/>
        <v>1263578.3640140709</v>
      </c>
      <c r="F8" s="21">
        <f t="shared" si="2"/>
        <v>7.12</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0</v>
      </c>
      <c r="E10" s="17">
        <f t="shared" si="1"/>
        <v>0</v>
      </c>
      <c r="F10" s="21" t="str">
        <f t="shared" si="2"/>
        <v/>
      </c>
    </row>
    <row r="11" spans="1:6" x14ac:dyDescent="0.2">
      <c r="A11" s="19">
        <v>7</v>
      </c>
      <c r="B11" s="180" t="s">
        <v>6</v>
      </c>
      <c r="C11" s="181"/>
      <c r="D11" s="14">
        <f t="shared" si="0"/>
        <v>117660</v>
      </c>
      <c r="E11" s="17">
        <f t="shared" si="1"/>
        <v>728716.56795461522</v>
      </c>
      <c r="F11" s="21">
        <f t="shared" si="2"/>
        <v>6.19</v>
      </c>
    </row>
    <row r="12" spans="1:6" x14ac:dyDescent="0.2">
      <c r="A12" s="19">
        <v>8</v>
      </c>
      <c r="B12" s="180" t="s">
        <v>7</v>
      </c>
      <c r="C12" s="181"/>
      <c r="D12" s="14">
        <f t="shared" si="0"/>
        <v>43792</v>
      </c>
      <c r="E12" s="17">
        <f t="shared" si="1"/>
        <v>259022.54795060778</v>
      </c>
      <c r="F12" s="21">
        <f t="shared" si="2"/>
        <v>5.91</v>
      </c>
    </row>
    <row r="13" spans="1:6" x14ac:dyDescent="0.2">
      <c r="A13" s="19">
        <v>9</v>
      </c>
      <c r="B13" s="180" t="s">
        <v>8</v>
      </c>
      <c r="C13" s="181"/>
      <c r="D13" s="14">
        <f t="shared" si="0"/>
        <v>95840</v>
      </c>
      <c r="E13" s="17">
        <f t="shared" si="1"/>
        <v>447631.31831353327</v>
      </c>
      <c r="F13" s="21">
        <f t="shared" si="2"/>
        <v>4.67</v>
      </c>
    </row>
    <row r="14" spans="1:6" x14ac:dyDescent="0.2">
      <c r="A14" s="19">
        <v>10</v>
      </c>
      <c r="B14" s="180" t="s">
        <v>9</v>
      </c>
      <c r="C14" s="181"/>
      <c r="D14" s="14">
        <f t="shared" si="0"/>
        <v>1008</v>
      </c>
      <c r="E14" s="17">
        <f t="shared" si="1"/>
        <v>49660.480643364375</v>
      </c>
      <c r="F14" s="21">
        <f t="shared" si="2"/>
        <v>49.27</v>
      </c>
    </row>
    <row r="15" spans="1:6" x14ac:dyDescent="0.2">
      <c r="A15" s="19">
        <v>11</v>
      </c>
      <c r="B15" s="180" t="s">
        <v>10</v>
      </c>
      <c r="C15" s="181"/>
      <c r="D15" s="14">
        <f t="shared" si="0"/>
        <v>124720</v>
      </c>
      <c r="E15" s="17">
        <f t="shared" si="1"/>
        <v>1120343.5653178617</v>
      </c>
      <c r="F15" s="21">
        <f t="shared" si="2"/>
        <v>8.98</v>
      </c>
    </row>
    <row r="16" spans="1:6" ht="14.25" customHeight="1" x14ac:dyDescent="0.2">
      <c r="A16" s="19">
        <v>12</v>
      </c>
      <c r="B16" s="180" t="s">
        <v>11</v>
      </c>
      <c r="C16" s="181"/>
      <c r="D16" s="14">
        <f t="shared" si="0"/>
        <v>587704</v>
      </c>
      <c r="E16" s="17">
        <f t="shared" si="1"/>
        <v>7504159.543678388</v>
      </c>
      <c r="F16" s="21">
        <f t="shared" si="2"/>
        <v>12.77</v>
      </c>
    </row>
    <row r="17" spans="1:6" x14ac:dyDescent="0.2">
      <c r="A17" s="19">
        <v>13</v>
      </c>
      <c r="B17" s="180" t="s">
        <v>12</v>
      </c>
      <c r="C17" s="181"/>
      <c r="D17" s="14">
        <f t="shared" si="0"/>
        <v>133392</v>
      </c>
      <c r="E17" s="17">
        <f t="shared" si="1"/>
        <v>621699.60513855214</v>
      </c>
      <c r="F17" s="21">
        <f t="shared" si="2"/>
        <v>4.66</v>
      </c>
    </row>
    <row r="18" spans="1:6" ht="14.25" customHeight="1" x14ac:dyDescent="0.2">
      <c r="A18" s="19">
        <v>14</v>
      </c>
      <c r="B18" s="180" t="s">
        <v>464</v>
      </c>
      <c r="C18" s="181"/>
      <c r="D18" s="14">
        <f t="shared" si="0"/>
        <v>113008</v>
      </c>
      <c r="E18" s="17">
        <f t="shared" si="1"/>
        <v>843771.55212829472</v>
      </c>
      <c r="F18" s="21">
        <f t="shared" si="2"/>
        <v>7.47</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158747</v>
      </c>
      <c r="E20" s="17">
        <f t="shared" si="1"/>
        <v>2292863.6445358773</v>
      </c>
      <c r="F20" s="21">
        <f t="shared" si="2"/>
        <v>14.44</v>
      </c>
    </row>
    <row r="21" spans="1:6" x14ac:dyDescent="0.2">
      <c r="A21" s="19">
        <v>17</v>
      </c>
      <c r="B21" s="180" t="s">
        <v>15</v>
      </c>
      <c r="C21" s="181"/>
      <c r="D21" s="14">
        <f t="shared" si="0"/>
        <v>21712</v>
      </c>
      <c r="E21" s="17">
        <f t="shared" si="1"/>
        <v>298055.16242929292</v>
      </c>
      <c r="F21" s="21">
        <f t="shared" si="2"/>
        <v>13.73</v>
      </c>
    </row>
    <row r="22" spans="1:6" x14ac:dyDescent="0.2">
      <c r="A22" s="19">
        <v>18</v>
      </c>
      <c r="B22" s="180" t="s">
        <v>16</v>
      </c>
      <c r="C22" s="181"/>
      <c r="D22" s="14">
        <f t="shared" si="0"/>
        <v>88448</v>
      </c>
      <c r="E22" s="17">
        <f t="shared" si="1"/>
        <v>442308.79359552788</v>
      </c>
      <c r="F22" s="21">
        <f t="shared" si="2"/>
        <v>5</v>
      </c>
    </row>
    <row r="23" spans="1:6" x14ac:dyDescent="0.2">
      <c r="A23" s="19">
        <v>19</v>
      </c>
      <c r="B23" s="180" t="s">
        <v>17</v>
      </c>
      <c r="C23" s="181"/>
      <c r="D23" s="14">
        <f t="shared" si="0"/>
        <v>407145</v>
      </c>
      <c r="E23" s="17">
        <f t="shared" si="1"/>
        <v>1974714.9152208213</v>
      </c>
      <c r="F23" s="21">
        <f t="shared" si="2"/>
        <v>4.8499999999999996</v>
      </c>
    </row>
    <row r="24" spans="1:6" x14ac:dyDescent="0.2">
      <c r="A24" s="19">
        <v>20</v>
      </c>
      <c r="B24" s="180" t="s">
        <v>18</v>
      </c>
      <c r="C24" s="181"/>
      <c r="D24" s="14">
        <f t="shared" si="0"/>
        <v>93568</v>
      </c>
      <c r="E24" s="17">
        <f t="shared" si="1"/>
        <v>632393.85400626762</v>
      </c>
      <c r="F24" s="21">
        <f t="shared" si="2"/>
        <v>6.76</v>
      </c>
    </row>
    <row r="25" spans="1:6" ht="14.25" customHeight="1" x14ac:dyDescent="0.2">
      <c r="A25" s="19">
        <v>21</v>
      </c>
      <c r="B25" s="180" t="s">
        <v>461</v>
      </c>
      <c r="C25" s="181"/>
      <c r="D25" s="14">
        <f t="shared" si="0"/>
        <v>17664</v>
      </c>
      <c r="E25" s="17">
        <f t="shared" si="1"/>
        <v>121589.70841705188</v>
      </c>
      <c r="F25" s="21">
        <f t="shared" si="2"/>
        <v>6.88</v>
      </c>
    </row>
    <row r="26" spans="1:6" x14ac:dyDescent="0.2">
      <c r="A26" s="19">
        <v>22</v>
      </c>
      <c r="B26" s="180" t="s">
        <v>19</v>
      </c>
      <c r="C26" s="181"/>
      <c r="D26" s="14">
        <f t="shared" si="0"/>
        <v>0</v>
      </c>
      <c r="E26" s="17">
        <f t="shared" si="1"/>
        <v>0</v>
      </c>
      <c r="F26" s="21" t="str">
        <f t="shared" si="2"/>
        <v/>
      </c>
    </row>
    <row r="27" spans="1:6" x14ac:dyDescent="0.2">
      <c r="A27" s="19">
        <v>23</v>
      </c>
      <c r="B27" s="180" t="s">
        <v>20</v>
      </c>
      <c r="C27" s="181"/>
      <c r="D27" s="14">
        <f t="shared" si="0"/>
        <v>63968</v>
      </c>
      <c r="E27" s="17">
        <f t="shared" si="1"/>
        <v>469748.69225667883</v>
      </c>
      <c r="F27" s="21">
        <f t="shared" si="2"/>
        <v>7.34</v>
      </c>
    </row>
    <row r="28" spans="1:6" x14ac:dyDescent="0.2">
      <c r="A28" s="19">
        <v>24</v>
      </c>
      <c r="B28" s="180" t="s">
        <v>21</v>
      </c>
      <c r="C28" s="181"/>
      <c r="D28" s="14">
        <f t="shared" si="0"/>
        <v>114328</v>
      </c>
      <c r="E28" s="17">
        <f t="shared" si="1"/>
        <v>1193627.3958279386</v>
      </c>
      <c r="F28" s="21">
        <f t="shared" si="2"/>
        <v>10.44</v>
      </c>
    </row>
    <row r="29" spans="1:6" x14ac:dyDescent="0.2">
      <c r="A29" s="19">
        <v>25</v>
      </c>
      <c r="B29" s="180" t="s">
        <v>22</v>
      </c>
      <c r="C29" s="181"/>
      <c r="D29" s="14">
        <f t="shared" si="0"/>
        <v>538848</v>
      </c>
      <c r="E29" s="17">
        <f t="shared" si="1"/>
        <v>2594491.7953527835</v>
      </c>
      <c r="F29" s="21">
        <f t="shared" si="2"/>
        <v>4.8099999999999996</v>
      </c>
    </row>
    <row r="30" spans="1:6" x14ac:dyDescent="0.2">
      <c r="A30" s="19">
        <v>26</v>
      </c>
      <c r="B30" s="180" t="s">
        <v>23</v>
      </c>
      <c r="C30" s="181"/>
      <c r="D30" s="14">
        <f t="shared" si="0"/>
        <v>201376</v>
      </c>
      <c r="E30" s="17">
        <f t="shared" si="1"/>
        <v>1664057.6885299049</v>
      </c>
      <c r="F30" s="21">
        <f t="shared" si="2"/>
        <v>8.26</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3448559</v>
      </c>
      <c r="E33" s="31">
        <f>SUM(E5:E32)</f>
        <v>26810376.999999993</v>
      </c>
      <c r="F33" s="32">
        <f t="shared" si="2"/>
        <v>7.77</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IF(F3="1",SUMIF(Data!A:A,'43'!$A$2,Data!CU:CU),0)</f>
        <v>0</v>
      </c>
      <c r="E36" s="15">
        <f>IF(F3="1",SUMIF(Data!$A:$A,$A$2,Data!IO:IO),0)</f>
        <v>0</v>
      </c>
      <c r="F36" s="20" t="str">
        <f t="shared" ref="F36:F64" si="3">IF(OR(D36=0,E36=0),"",ROUND(E36/D36,2))</f>
        <v/>
      </c>
    </row>
    <row r="37" spans="1:6" x14ac:dyDescent="0.2">
      <c r="A37" s="19">
        <v>2</v>
      </c>
      <c r="B37" s="180" t="s">
        <v>1</v>
      </c>
      <c r="C37" s="181"/>
      <c r="D37" s="14">
        <f>IF(F3="1",SUMIF(Data!A:A,'43'!$A$2,Data!CV:CV),0)</f>
        <v>41525</v>
      </c>
      <c r="E37" s="17">
        <f>IF(F3="1",SUMIF(Data!$A:$A,$A$2,Data!IP:IP),0)</f>
        <v>72606</v>
      </c>
      <c r="F37" s="21">
        <f t="shared" si="3"/>
        <v>1.75</v>
      </c>
    </row>
    <row r="38" spans="1:6" ht="14.25" customHeight="1" x14ac:dyDescent="0.2">
      <c r="A38" s="19">
        <v>3</v>
      </c>
      <c r="B38" s="180" t="s">
        <v>2</v>
      </c>
      <c r="C38" s="181"/>
      <c r="D38" s="14">
        <f>IF(F3="1",SUMIF(Data!A:A,'43'!$A$2,Data!CW:CW),0)</f>
        <v>306592</v>
      </c>
      <c r="E38" s="17">
        <f>IF($F$3="1",SUMIF(Data!$A:$A,$A$2,Data!IQ:IQ),0)</f>
        <v>96700</v>
      </c>
      <c r="F38" s="21">
        <f t="shared" si="3"/>
        <v>0.32</v>
      </c>
    </row>
    <row r="39" spans="1:6" ht="14.25" customHeight="1" x14ac:dyDescent="0.2">
      <c r="A39" s="19">
        <v>4</v>
      </c>
      <c r="B39" s="180" t="s">
        <v>3</v>
      </c>
      <c r="C39" s="181"/>
      <c r="D39" s="14">
        <f>IF(F3="1",SUMIF(Data!A:A,'43'!$A$2,Data!CX:CX),0)</f>
        <v>177514</v>
      </c>
      <c r="E39" s="17">
        <f>IF($F$3="1",SUMIF(Data!$A:$A,$A$2,Data!IR:IR),0)</f>
        <v>93891</v>
      </c>
      <c r="F39" s="21">
        <f t="shared" si="3"/>
        <v>0.53</v>
      </c>
    </row>
    <row r="40" spans="1:6" x14ac:dyDescent="0.2">
      <c r="A40" s="19">
        <v>5</v>
      </c>
      <c r="B40" s="180" t="s">
        <v>4</v>
      </c>
      <c r="C40" s="181"/>
      <c r="D40" s="14">
        <f>IF(F3="1",SUMIF(Data!A:A,'43'!$A$2,Data!CY:CY),0)</f>
        <v>0</v>
      </c>
      <c r="E40" s="17">
        <f>IF($F$3="1",SUMIF(Data!$A:$A,$A$2,Data!IS:IS),0)</f>
        <v>0</v>
      </c>
      <c r="F40" s="21" t="str">
        <f t="shared" si="3"/>
        <v/>
      </c>
    </row>
    <row r="41" spans="1:6" x14ac:dyDescent="0.2">
      <c r="A41" s="19">
        <v>6</v>
      </c>
      <c r="B41" s="180" t="s">
        <v>5</v>
      </c>
      <c r="C41" s="181"/>
      <c r="D41" s="14">
        <f>IF(F3="1",SUMIF(Data!A:A,'43'!$A$2,Data!CZ:CZ),0)</f>
        <v>0</v>
      </c>
      <c r="E41" s="17">
        <f>IF($F$3="1",SUMIF(Data!$A:$A,$A$2,Data!IT:IT),0)</f>
        <v>0</v>
      </c>
      <c r="F41" s="21" t="str">
        <f t="shared" si="3"/>
        <v/>
      </c>
    </row>
    <row r="42" spans="1:6" x14ac:dyDescent="0.2">
      <c r="A42" s="19">
        <v>7</v>
      </c>
      <c r="B42" s="180" t="s">
        <v>6</v>
      </c>
      <c r="C42" s="181"/>
      <c r="D42" s="14">
        <f>IF(F3="1",SUMIF(Data!A:A,'43'!$A$2,Data!DA:DA),0)</f>
        <v>117660</v>
      </c>
      <c r="E42" s="17">
        <f>IF($F$3="1",SUMIF(Data!$A:$A,$A$2,Data!IU:IU),0)</f>
        <v>73245</v>
      </c>
      <c r="F42" s="21">
        <f t="shared" si="3"/>
        <v>0.62</v>
      </c>
    </row>
    <row r="43" spans="1:6" x14ac:dyDescent="0.2">
      <c r="A43" s="19">
        <v>8</v>
      </c>
      <c r="B43" s="180" t="s">
        <v>7</v>
      </c>
      <c r="C43" s="181"/>
      <c r="D43" s="14">
        <f>IF(F3="1",SUMIF(Data!A:A,'43'!$A$2,Data!DB:DB),0)</f>
        <v>43792</v>
      </c>
      <c r="E43" s="17">
        <f>IF($F$3="1",SUMIF(Data!$A:$A,$A$2,Data!IV:IV),0)</f>
        <v>8157</v>
      </c>
      <c r="F43" s="21">
        <f t="shared" si="3"/>
        <v>0.19</v>
      </c>
    </row>
    <row r="44" spans="1:6" x14ac:dyDescent="0.2">
      <c r="A44" s="19">
        <v>9</v>
      </c>
      <c r="B44" s="180" t="s">
        <v>8</v>
      </c>
      <c r="C44" s="181"/>
      <c r="D44" s="14">
        <f>IF(F3="1",SUMIF(Data!A:A,'43'!$A$2,Data!DC:DC),0)</f>
        <v>95840</v>
      </c>
      <c r="E44" s="17">
        <f>IF($F$3="1",SUMIF(Data!$A:$A,$A$2,Data!IW:IW),0)</f>
        <v>1188</v>
      </c>
      <c r="F44" s="21">
        <f t="shared" si="3"/>
        <v>0.01</v>
      </c>
    </row>
    <row r="45" spans="1:6" x14ac:dyDescent="0.2">
      <c r="A45" s="19">
        <v>10</v>
      </c>
      <c r="B45" s="180" t="s">
        <v>9</v>
      </c>
      <c r="C45" s="181"/>
      <c r="D45" s="14">
        <f>IF(F3="1",SUMIF(Data!A:A,'43'!$A$2,Data!DD:DD),0)</f>
        <v>1008</v>
      </c>
      <c r="E45" s="17">
        <f>IF($F$3="1",SUMIF(Data!$A:$A,$A$2,Data!IX:IX),0)</f>
        <v>8545</v>
      </c>
      <c r="F45" s="21">
        <f t="shared" si="3"/>
        <v>8.48</v>
      </c>
    </row>
    <row r="46" spans="1:6" x14ac:dyDescent="0.2">
      <c r="A46" s="19">
        <v>11</v>
      </c>
      <c r="B46" s="180" t="s">
        <v>10</v>
      </c>
      <c r="C46" s="181"/>
      <c r="D46" s="14">
        <f>IF(F3="1",SUMIF(Data!A:A,'43'!$A$2,Data!DE:DE),0)</f>
        <v>124720</v>
      </c>
      <c r="E46" s="17">
        <f>IF($F$3="1",SUMIF(Data!$A:$A,$A$2,Data!IY:IY),0)</f>
        <v>86392</v>
      </c>
      <c r="F46" s="21">
        <f t="shared" si="3"/>
        <v>0.69</v>
      </c>
    </row>
    <row r="47" spans="1:6" ht="14.25" customHeight="1" x14ac:dyDescent="0.2">
      <c r="A47" s="19">
        <v>12</v>
      </c>
      <c r="B47" s="180" t="s">
        <v>11</v>
      </c>
      <c r="C47" s="181"/>
      <c r="D47" s="14">
        <f>IF(F3="1",SUMIF(Data!A:A,'43'!$A$2,Data!DF:DF),0)</f>
        <v>587704</v>
      </c>
      <c r="E47" s="17">
        <f>IF($F$3="1",SUMIF(Data!$A:$A,$A$2,Data!IZ:IZ),0)</f>
        <v>982908</v>
      </c>
      <c r="F47" s="21">
        <f t="shared" si="3"/>
        <v>1.67</v>
      </c>
    </row>
    <row r="48" spans="1:6" x14ac:dyDescent="0.2">
      <c r="A48" s="19">
        <v>13</v>
      </c>
      <c r="B48" s="180" t="s">
        <v>12</v>
      </c>
      <c r="C48" s="181"/>
      <c r="D48" s="14">
        <f>IF(F3="1",SUMIF(Data!A:A,'43'!$A$2,Data!DG:DG),0)</f>
        <v>133392</v>
      </c>
      <c r="E48" s="17">
        <f>IF($F$3="1",SUMIF(Data!$A:$A,$A$2,Data!JA:JA),0)</f>
        <v>331</v>
      </c>
      <c r="F48" s="21">
        <f t="shared" si="3"/>
        <v>0</v>
      </c>
    </row>
    <row r="49" spans="1:6" ht="14.25" customHeight="1" x14ac:dyDescent="0.2">
      <c r="A49" s="19">
        <v>14</v>
      </c>
      <c r="B49" s="180" t="s">
        <v>464</v>
      </c>
      <c r="C49" s="181"/>
      <c r="D49" s="14">
        <f>IF(F3="1",SUMIF(Data!A:A,'43'!$A$2,Data!DH:DH),0)</f>
        <v>113008</v>
      </c>
      <c r="E49" s="17">
        <f>IF($F$3="1",SUMIF(Data!$A:$A,$A$2,Data!JB:JB),0)</f>
        <v>100298</v>
      </c>
      <c r="F49" s="21">
        <f t="shared" si="3"/>
        <v>0.89</v>
      </c>
    </row>
    <row r="50" spans="1:6" x14ac:dyDescent="0.2">
      <c r="A50" s="19">
        <v>15</v>
      </c>
      <c r="B50" s="180" t="s">
        <v>13</v>
      </c>
      <c r="C50" s="181"/>
      <c r="D50" s="14">
        <f>IF(F3="1",SUMIF(Data!A:A,'43'!$A$2,Data!DI:DI),0)</f>
        <v>0</v>
      </c>
      <c r="E50" s="17">
        <f>IF($F$3="1",SUMIF(Data!$A:$A,$A$2,Data!JC:JC),0)</f>
        <v>0</v>
      </c>
      <c r="F50" s="21" t="str">
        <f t="shared" si="3"/>
        <v/>
      </c>
    </row>
    <row r="51" spans="1:6" x14ac:dyDescent="0.2">
      <c r="A51" s="19">
        <v>16</v>
      </c>
      <c r="B51" s="180" t="s">
        <v>14</v>
      </c>
      <c r="C51" s="181"/>
      <c r="D51" s="14">
        <f>IF(F3="1",SUMIF(Data!A:A,'43'!$A$2,Data!DJ:DJ),0)</f>
        <v>158747</v>
      </c>
      <c r="E51" s="17">
        <f>IF($F$3="1",SUMIF(Data!$A:$A,$A$2,Data!JD:JD),0)</f>
        <v>545449</v>
      </c>
      <c r="F51" s="21">
        <f t="shared" si="3"/>
        <v>3.44</v>
      </c>
    </row>
    <row r="52" spans="1:6" x14ac:dyDescent="0.2">
      <c r="A52" s="19">
        <v>17</v>
      </c>
      <c r="B52" s="180" t="s">
        <v>15</v>
      </c>
      <c r="C52" s="181"/>
      <c r="D52" s="14">
        <f>IF(F3="1",SUMIF(Data!A:A,'43'!$A$2,Data!DK:DK),0)</f>
        <v>21712</v>
      </c>
      <c r="E52" s="17">
        <f>IF($F$3="1",SUMIF(Data!$A:$A,$A$2,Data!JE:JE),0)</f>
        <v>40487</v>
      </c>
      <c r="F52" s="21">
        <f t="shared" si="3"/>
        <v>1.86</v>
      </c>
    </row>
    <row r="53" spans="1:6" x14ac:dyDescent="0.2">
      <c r="A53" s="19">
        <v>18</v>
      </c>
      <c r="B53" s="180" t="s">
        <v>16</v>
      </c>
      <c r="C53" s="181"/>
      <c r="D53" s="14">
        <f>IF(F3="1",SUMIF(Data!A:A,'43'!$A$2,Data!DL:DL),0)</f>
        <v>88448</v>
      </c>
      <c r="E53" s="17">
        <f>IF($F$3="1",SUMIF(Data!$A:$A,$A$2,Data!JF:JF),0)</f>
        <v>437</v>
      </c>
      <c r="F53" s="21">
        <f t="shared" si="3"/>
        <v>0</v>
      </c>
    </row>
    <row r="54" spans="1:6" x14ac:dyDescent="0.2">
      <c r="A54" s="19">
        <v>19</v>
      </c>
      <c r="B54" s="180" t="s">
        <v>17</v>
      </c>
      <c r="C54" s="181"/>
      <c r="D54" s="14">
        <f>IF(F3="1",SUMIF(Data!A:A,'43'!$A$2,Data!DM:DM),0)</f>
        <v>407145</v>
      </c>
      <c r="E54" s="17">
        <f>IF($F$3="1",SUMIF(Data!$A:$A,$A$2,Data!JG:JG),0)</f>
        <v>18314</v>
      </c>
      <c r="F54" s="21">
        <f t="shared" si="3"/>
        <v>0.04</v>
      </c>
    </row>
    <row r="55" spans="1:6" x14ac:dyDescent="0.2">
      <c r="A55" s="19">
        <v>20</v>
      </c>
      <c r="B55" s="180" t="s">
        <v>18</v>
      </c>
      <c r="C55" s="181"/>
      <c r="D55" s="14">
        <f>IF(F3="1",SUMIF(Data!A:A,'43'!$A$2,Data!DN:DN),0)</f>
        <v>93568</v>
      </c>
      <c r="E55" s="17">
        <f>IF($F$3="1",SUMIF(Data!$A:$A,$A$2,Data!JH:JH),0)</f>
        <v>29130</v>
      </c>
      <c r="F55" s="21">
        <f t="shared" si="3"/>
        <v>0.31</v>
      </c>
    </row>
    <row r="56" spans="1:6" ht="14.25" customHeight="1" x14ac:dyDescent="0.2">
      <c r="A56" s="19">
        <v>21</v>
      </c>
      <c r="B56" s="180" t="s">
        <v>461</v>
      </c>
      <c r="C56" s="181"/>
      <c r="D56" s="14">
        <f>IF(F3="1",SUMIF(Data!A:A,'43'!$A$2,Data!DO:DO),0)</f>
        <v>17664</v>
      </c>
      <c r="E56" s="17">
        <f>IF($F$3="1",SUMIF(Data!$A:$A,$A$2,Data!JI:JI),0)</f>
        <v>5826</v>
      </c>
      <c r="F56" s="21">
        <f t="shared" si="3"/>
        <v>0.33</v>
      </c>
    </row>
    <row r="57" spans="1:6" x14ac:dyDescent="0.2">
      <c r="A57" s="19">
        <v>22</v>
      </c>
      <c r="B57" s="180" t="s">
        <v>19</v>
      </c>
      <c r="C57" s="181"/>
      <c r="D57" s="14">
        <f>IF(F3="1",SUMIF(Data!A:A,'43'!$A$2,Data!DP:DP),0)</f>
        <v>0</v>
      </c>
      <c r="E57" s="17">
        <f>IF($F$3="1",SUMIF(Data!$A:$A,$A$2,Data!JJ:JJ),0)</f>
        <v>0</v>
      </c>
      <c r="F57" s="21" t="str">
        <f t="shared" si="3"/>
        <v/>
      </c>
    </row>
    <row r="58" spans="1:6" x14ac:dyDescent="0.2">
      <c r="A58" s="19">
        <v>23</v>
      </c>
      <c r="B58" s="180" t="s">
        <v>20</v>
      </c>
      <c r="C58" s="181"/>
      <c r="D58" s="14">
        <f>IF(F3="1",SUMIF(Data!A:A,'43'!$A$2,Data!DQ:DQ),0)</f>
        <v>63968</v>
      </c>
      <c r="E58" s="17">
        <f>IF($F$3="1",SUMIF(Data!$A:$A,$A$2,Data!JK:JK),0)</f>
        <v>45511</v>
      </c>
      <c r="F58" s="21">
        <f t="shared" si="3"/>
        <v>0.71</v>
      </c>
    </row>
    <row r="59" spans="1:6" x14ac:dyDescent="0.2">
      <c r="A59" s="19">
        <v>24</v>
      </c>
      <c r="B59" s="180" t="s">
        <v>21</v>
      </c>
      <c r="C59" s="181"/>
      <c r="D59" s="14">
        <f>IF(F3="1",SUMIF(Data!A:A,'43'!$A$2,Data!DR:DR),0)</f>
        <v>114328</v>
      </c>
      <c r="E59" s="17">
        <f>IF($F$3="1",SUMIF(Data!$A:$A,$A$2,Data!JL:JL),0)</f>
        <v>343628</v>
      </c>
      <c r="F59" s="21">
        <f t="shared" si="3"/>
        <v>3.01</v>
      </c>
    </row>
    <row r="60" spans="1:6" x14ac:dyDescent="0.2">
      <c r="A60" s="19">
        <v>25</v>
      </c>
      <c r="B60" s="180" t="s">
        <v>22</v>
      </c>
      <c r="C60" s="181"/>
      <c r="D60" s="14">
        <f>IF(F3="1",SUMIF(Data!A:A,'43'!$A$2,Data!DS:DS),0)</f>
        <v>538848</v>
      </c>
      <c r="E60" s="17">
        <f>IF($F$3="1",SUMIF(Data!$A:$A,$A$2,Data!JM:JM),0)</f>
        <v>32088</v>
      </c>
      <c r="F60" s="21">
        <f t="shared" si="3"/>
        <v>0.06</v>
      </c>
    </row>
    <row r="61" spans="1:6" x14ac:dyDescent="0.2">
      <c r="A61" s="19">
        <v>26</v>
      </c>
      <c r="B61" s="180" t="s">
        <v>23</v>
      </c>
      <c r="C61" s="181"/>
      <c r="D61" s="14">
        <f>IF(F3="1",SUMIF(Data!A:A,'43'!$A$2,Data!DT:DT),0)</f>
        <v>201376</v>
      </c>
      <c r="E61" s="17">
        <f>IF($F$3="1",SUMIF(Data!$A:$A,$A$2,Data!JN:JN),0)</f>
        <v>68043</v>
      </c>
      <c r="F61" s="21">
        <f t="shared" si="3"/>
        <v>0.34</v>
      </c>
    </row>
    <row r="62" spans="1:6" x14ac:dyDescent="0.2">
      <c r="A62" s="19">
        <v>28</v>
      </c>
      <c r="B62" s="180" t="s">
        <v>24</v>
      </c>
      <c r="C62" s="181"/>
      <c r="D62" s="14">
        <f>IF(F3="1",SUMIF(Data!A:A,'43'!$A$2,Data!DV:DV),0)</f>
        <v>0</v>
      </c>
      <c r="E62" s="17">
        <f>IF($F$3="1",SUMIF(Data!$A:$A,$A$2,Data!JP:JP),0)</f>
        <v>0</v>
      </c>
      <c r="F62" s="21" t="str">
        <f t="shared" si="3"/>
        <v/>
      </c>
    </row>
    <row r="63" spans="1:6" ht="15.75" customHeight="1" thickBot="1" x14ac:dyDescent="0.25">
      <c r="A63" s="22">
        <v>29</v>
      </c>
      <c r="B63" s="184" t="s">
        <v>25</v>
      </c>
      <c r="C63" s="185"/>
      <c r="D63" s="23">
        <f>IF(F3="1",SUMIF(Data!A:A,'43'!$A$2,Data!DW:DW),0)</f>
        <v>0</v>
      </c>
      <c r="E63" s="24">
        <f>IF($F$3="1",SUMIF(Data!$A:$A,$A$2,Data!JQ:JQ),0)</f>
        <v>0</v>
      </c>
      <c r="F63" s="25" t="str">
        <f t="shared" si="3"/>
        <v/>
      </c>
    </row>
    <row r="64" spans="1:6" x14ac:dyDescent="0.2">
      <c r="B64" s="30" t="s">
        <v>35</v>
      </c>
      <c r="C64" s="30"/>
      <c r="D64" s="59">
        <f>SUM(D36:D63)</f>
        <v>3448559</v>
      </c>
      <c r="E64" s="31">
        <f>SUM(E36:E63)</f>
        <v>2653174</v>
      </c>
      <c r="F64" s="32">
        <f t="shared" si="3"/>
        <v>0.77</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0</v>
      </c>
      <c r="E67" s="15">
        <f>IF(F3="1",SUMIF(Data!A:A,'43'!$A$2,Data!DY:DY),0)</f>
        <v>0</v>
      </c>
      <c r="F67" s="20" t="str">
        <f t="shared" ref="F67:F95" si="4">IF(OR(D67=0,E67=0),"",ROUND(E67/D67,2))</f>
        <v/>
      </c>
    </row>
    <row r="68" spans="1:6" x14ac:dyDescent="0.2">
      <c r="A68" s="19">
        <v>2</v>
      </c>
      <c r="B68" s="180" t="s">
        <v>1</v>
      </c>
      <c r="C68" s="181"/>
      <c r="D68" s="14">
        <f t="shared" ref="D68:D94" si="5">D37</f>
        <v>41525</v>
      </c>
      <c r="E68" s="17">
        <f>IF(F3="1",SUMIF(Data!A:A,'43'!$A$2,Data!DZ:DZ),0)</f>
        <v>132767</v>
      </c>
      <c r="F68" s="21">
        <f t="shared" si="4"/>
        <v>3.2</v>
      </c>
    </row>
    <row r="69" spans="1:6" ht="14.25" customHeight="1" x14ac:dyDescent="0.2">
      <c r="A69" s="19">
        <v>3</v>
      </c>
      <c r="B69" s="180" t="s">
        <v>2</v>
      </c>
      <c r="C69" s="181"/>
      <c r="D69" s="14">
        <f t="shared" si="5"/>
        <v>306592</v>
      </c>
      <c r="E69" s="17">
        <f>IF(F3="1",SUMIF(Data!A:A,'43'!$A$2,Data!EA:EA),0)</f>
        <v>364265</v>
      </c>
      <c r="F69" s="21">
        <f t="shared" si="4"/>
        <v>1.19</v>
      </c>
    </row>
    <row r="70" spans="1:6" ht="14.25" customHeight="1" x14ac:dyDescent="0.2">
      <c r="A70" s="19">
        <v>4</v>
      </c>
      <c r="B70" s="180" t="s">
        <v>3</v>
      </c>
      <c r="C70" s="181"/>
      <c r="D70" s="14">
        <f t="shared" si="5"/>
        <v>177514</v>
      </c>
      <c r="E70" s="17">
        <f>IF(F3="1",SUMIF(Data!A:A,'43'!$A$2,Data!EB:EB),0)</f>
        <v>342789</v>
      </c>
      <c r="F70" s="21">
        <f t="shared" si="4"/>
        <v>1.93</v>
      </c>
    </row>
    <row r="71" spans="1:6" x14ac:dyDescent="0.2">
      <c r="A71" s="19">
        <v>5</v>
      </c>
      <c r="B71" s="180" t="s">
        <v>4</v>
      </c>
      <c r="C71" s="181"/>
      <c r="D71" s="14">
        <f t="shared" si="5"/>
        <v>0</v>
      </c>
      <c r="E71" s="17">
        <f>IF(F3="1",SUMIF(Data!A:A,'43'!$A$2,Data!EC:EC),0)</f>
        <v>0</v>
      </c>
      <c r="F71" s="21" t="str">
        <f t="shared" si="4"/>
        <v/>
      </c>
    </row>
    <row r="72" spans="1:6" x14ac:dyDescent="0.2">
      <c r="A72" s="19">
        <v>6</v>
      </c>
      <c r="B72" s="180" t="s">
        <v>5</v>
      </c>
      <c r="C72" s="181"/>
      <c r="D72" s="14">
        <f t="shared" si="5"/>
        <v>0</v>
      </c>
      <c r="E72" s="17">
        <f>IF(F3="1",SUMIF(Data!A:A,'43'!$A$2,Data!ED:ED),0)</f>
        <v>0</v>
      </c>
      <c r="F72" s="21" t="str">
        <f t="shared" si="4"/>
        <v/>
      </c>
    </row>
    <row r="73" spans="1:6" x14ac:dyDescent="0.2">
      <c r="A73" s="19">
        <v>7</v>
      </c>
      <c r="B73" s="180" t="s">
        <v>6</v>
      </c>
      <c r="C73" s="181"/>
      <c r="D73" s="14">
        <f t="shared" si="5"/>
        <v>117660</v>
      </c>
      <c r="E73" s="17">
        <f>IF(F3="1",SUMIF(Data!A:A,'43'!$A$2,Data!EE:EE),0)</f>
        <v>107386</v>
      </c>
      <c r="F73" s="21">
        <f t="shared" si="4"/>
        <v>0.91</v>
      </c>
    </row>
    <row r="74" spans="1:6" x14ac:dyDescent="0.2">
      <c r="A74" s="19">
        <v>8</v>
      </c>
      <c r="B74" s="180" t="s">
        <v>7</v>
      </c>
      <c r="C74" s="181"/>
      <c r="D74" s="14">
        <f t="shared" si="5"/>
        <v>43792</v>
      </c>
      <c r="E74" s="17">
        <f>IF(F3="1",SUMIF(Data!A:A,'43'!$A$2,Data!EF:EF),0)</f>
        <v>46873</v>
      </c>
      <c r="F74" s="21">
        <f t="shared" si="4"/>
        <v>1.07</v>
      </c>
    </row>
    <row r="75" spans="1:6" x14ac:dyDescent="0.2">
      <c r="A75" s="19">
        <v>9</v>
      </c>
      <c r="B75" s="180" t="s">
        <v>8</v>
      </c>
      <c r="C75" s="181"/>
      <c r="D75" s="14">
        <f t="shared" si="5"/>
        <v>95840</v>
      </c>
      <c r="E75" s="17">
        <f>IF(F3="1",SUMIF(Data!A:A,'43'!$A$2,Data!EG:EG),0)</f>
        <v>0</v>
      </c>
      <c r="F75" s="21" t="str">
        <f t="shared" si="4"/>
        <v/>
      </c>
    </row>
    <row r="76" spans="1:6" x14ac:dyDescent="0.2">
      <c r="A76" s="19">
        <v>10</v>
      </c>
      <c r="B76" s="180" t="s">
        <v>9</v>
      </c>
      <c r="C76" s="181"/>
      <c r="D76" s="14">
        <f t="shared" si="5"/>
        <v>1008</v>
      </c>
      <c r="E76" s="17">
        <f>IF(F3="1",SUMIF(Data!A:A,'43'!$A$2,Data!EH:EH),0)</f>
        <v>36420</v>
      </c>
      <c r="F76" s="21">
        <f t="shared" si="4"/>
        <v>36.130000000000003</v>
      </c>
    </row>
    <row r="77" spans="1:6" x14ac:dyDescent="0.2">
      <c r="A77" s="19">
        <v>11</v>
      </c>
      <c r="B77" s="180" t="s">
        <v>10</v>
      </c>
      <c r="C77" s="181"/>
      <c r="D77" s="14">
        <f t="shared" si="5"/>
        <v>124720</v>
      </c>
      <c r="E77" s="17">
        <f>IF(F3="1",SUMIF(Data!A:A,'43'!$A$2,Data!EI:EI),0)</f>
        <v>452979</v>
      </c>
      <c r="F77" s="21">
        <f t="shared" si="4"/>
        <v>3.63</v>
      </c>
    </row>
    <row r="78" spans="1:6" ht="14.25" customHeight="1" x14ac:dyDescent="0.2">
      <c r="A78" s="19">
        <v>12</v>
      </c>
      <c r="B78" s="180" t="s">
        <v>11</v>
      </c>
      <c r="C78" s="181"/>
      <c r="D78" s="14">
        <f t="shared" si="5"/>
        <v>587704</v>
      </c>
      <c r="E78" s="17">
        <f>IF(F3="1",SUMIF(Data!A:A,'43'!$A$2,Data!EJ:EJ),0)</f>
        <v>3783600</v>
      </c>
      <c r="F78" s="21">
        <f t="shared" si="4"/>
        <v>6.44</v>
      </c>
    </row>
    <row r="79" spans="1:6" x14ac:dyDescent="0.2">
      <c r="A79" s="19">
        <v>13</v>
      </c>
      <c r="B79" s="180" t="s">
        <v>12</v>
      </c>
      <c r="C79" s="181"/>
      <c r="D79" s="14">
        <f t="shared" si="5"/>
        <v>133392</v>
      </c>
      <c r="E79" s="17">
        <f>IF(F3="1",SUMIF(Data!A:A,'43'!$A$2,Data!EK:EK),0)</f>
        <v>0</v>
      </c>
      <c r="F79" s="21" t="str">
        <f t="shared" si="4"/>
        <v/>
      </c>
    </row>
    <row r="80" spans="1:6" ht="14.25" customHeight="1" x14ac:dyDescent="0.2">
      <c r="A80" s="19">
        <v>14</v>
      </c>
      <c r="B80" s="180" t="s">
        <v>464</v>
      </c>
      <c r="C80" s="181"/>
      <c r="D80" s="14">
        <f t="shared" si="5"/>
        <v>113008</v>
      </c>
      <c r="E80" s="17">
        <f>IF(F3="1",SUMIF(Data!A:A,'43'!$A$2,Data!EL:EL),0)</f>
        <v>217058</v>
      </c>
      <c r="F80" s="21">
        <f t="shared" si="4"/>
        <v>1.92</v>
      </c>
    </row>
    <row r="81" spans="1:6" x14ac:dyDescent="0.2">
      <c r="A81" s="19">
        <v>15</v>
      </c>
      <c r="B81" s="180" t="s">
        <v>13</v>
      </c>
      <c r="C81" s="181"/>
      <c r="D81" s="14">
        <f t="shared" si="5"/>
        <v>0</v>
      </c>
      <c r="E81" s="17">
        <f>IF(F3="1",SUMIF(Data!A:A,'43'!$A$2,Data!EM:EM),0)</f>
        <v>0</v>
      </c>
      <c r="F81" s="21" t="str">
        <f t="shared" si="4"/>
        <v/>
      </c>
    </row>
    <row r="82" spans="1:6" x14ac:dyDescent="0.2">
      <c r="A82" s="19">
        <v>16</v>
      </c>
      <c r="B82" s="180" t="s">
        <v>14</v>
      </c>
      <c r="C82" s="181"/>
      <c r="D82" s="14">
        <f t="shared" si="5"/>
        <v>158747</v>
      </c>
      <c r="E82" s="17">
        <f>IF(F3="1",SUMIF(Data!A:A,'43'!$A$2,Data!EN:EN),0)</f>
        <v>1007937</v>
      </c>
      <c r="F82" s="21">
        <f t="shared" si="4"/>
        <v>6.35</v>
      </c>
    </row>
    <row r="83" spans="1:6" x14ac:dyDescent="0.2">
      <c r="A83" s="19">
        <v>17</v>
      </c>
      <c r="B83" s="180" t="s">
        <v>15</v>
      </c>
      <c r="C83" s="181"/>
      <c r="D83" s="14">
        <f t="shared" si="5"/>
        <v>21712</v>
      </c>
      <c r="E83" s="17">
        <f>IF(F3="1",SUMIF(Data!A:A,'43'!$A$2,Data!EO:EO),0)</f>
        <v>156429</v>
      </c>
      <c r="F83" s="21">
        <f t="shared" si="4"/>
        <v>7.2</v>
      </c>
    </row>
    <row r="84" spans="1:6" x14ac:dyDescent="0.2">
      <c r="A84" s="19">
        <v>18</v>
      </c>
      <c r="B84" s="180" t="s">
        <v>16</v>
      </c>
      <c r="C84" s="181"/>
      <c r="D84" s="14">
        <f t="shared" si="5"/>
        <v>88448</v>
      </c>
      <c r="E84" s="17">
        <f>IF(F3="1",SUMIF(Data!A:A,'43'!$A$2,Data!EP:EP),0)</f>
        <v>29862</v>
      </c>
      <c r="F84" s="21">
        <f t="shared" si="4"/>
        <v>0.34</v>
      </c>
    </row>
    <row r="85" spans="1:6" x14ac:dyDescent="0.2">
      <c r="A85" s="19">
        <v>19</v>
      </c>
      <c r="B85" s="180" t="s">
        <v>17</v>
      </c>
      <c r="C85" s="181"/>
      <c r="D85" s="14">
        <f t="shared" si="5"/>
        <v>407145</v>
      </c>
      <c r="E85" s="17">
        <f>IF(F3="1",SUMIF(Data!A:A,'43'!$A$2,Data!EQ:EQ),0)</f>
        <v>59832</v>
      </c>
      <c r="F85" s="21">
        <f t="shared" si="4"/>
        <v>0.15</v>
      </c>
    </row>
    <row r="86" spans="1:6" x14ac:dyDescent="0.2">
      <c r="A86" s="19">
        <v>20</v>
      </c>
      <c r="B86" s="180" t="s">
        <v>18</v>
      </c>
      <c r="C86" s="181"/>
      <c r="D86" s="14">
        <f t="shared" si="5"/>
        <v>93568</v>
      </c>
      <c r="E86" s="17">
        <f>IF(F3="1",SUMIF(Data!A:A,'43'!$A$2,Data!ER:ER),0)</f>
        <v>167404</v>
      </c>
      <c r="F86" s="21">
        <f t="shared" si="4"/>
        <v>1.79</v>
      </c>
    </row>
    <row r="87" spans="1:6" ht="14.25" customHeight="1" x14ac:dyDescent="0.2">
      <c r="A87" s="19">
        <v>21</v>
      </c>
      <c r="B87" s="180" t="s">
        <v>461</v>
      </c>
      <c r="C87" s="181"/>
      <c r="D87" s="14">
        <f t="shared" si="5"/>
        <v>17664</v>
      </c>
      <c r="E87" s="17">
        <f>IF(F3="1",SUMIF(Data!A:A,'43'!$A$2,Data!ES:ES),0)</f>
        <v>33481</v>
      </c>
      <c r="F87" s="21">
        <f t="shared" si="4"/>
        <v>1.9</v>
      </c>
    </row>
    <row r="88" spans="1:6" x14ac:dyDescent="0.2">
      <c r="A88" s="19">
        <v>22</v>
      </c>
      <c r="B88" s="180" t="s">
        <v>19</v>
      </c>
      <c r="C88" s="181"/>
      <c r="D88" s="14">
        <f t="shared" si="5"/>
        <v>0</v>
      </c>
      <c r="E88" s="17">
        <f>IF(F3="1",SUMIF(Data!A:A,'43'!$A$2,Data!ET:ET),0)</f>
        <v>0</v>
      </c>
      <c r="F88" s="21" t="str">
        <f t="shared" si="4"/>
        <v/>
      </c>
    </row>
    <row r="89" spans="1:6" x14ac:dyDescent="0.2">
      <c r="A89" s="19">
        <v>23</v>
      </c>
      <c r="B89" s="180" t="s">
        <v>20</v>
      </c>
      <c r="C89" s="181"/>
      <c r="D89" s="14">
        <f t="shared" si="5"/>
        <v>63968</v>
      </c>
      <c r="E89" s="17">
        <f>IF(F3="1",SUMIF(Data!A:A,'43'!$A$2,Data!EU:EU),0)</f>
        <v>126261</v>
      </c>
      <c r="F89" s="21">
        <f t="shared" si="4"/>
        <v>1.97</v>
      </c>
    </row>
    <row r="90" spans="1:6" x14ac:dyDescent="0.2">
      <c r="A90" s="19">
        <v>24</v>
      </c>
      <c r="B90" s="180" t="s">
        <v>21</v>
      </c>
      <c r="C90" s="181"/>
      <c r="D90" s="14">
        <f t="shared" si="5"/>
        <v>114328</v>
      </c>
      <c r="E90" s="17">
        <f>IF(F3="1",SUMIF(Data!A:A,'43'!$A$2,Data!EV:EV),0)</f>
        <v>317435</v>
      </c>
      <c r="F90" s="21">
        <f t="shared" si="4"/>
        <v>2.78</v>
      </c>
    </row>
    <row r="91" spans="1:6" x14ac:dyDescent="0.2">
      <c r="A91" s="19">
        <v>25</v>
      </c>
      <c r="B91" s="180" t="s">
        <v>22</v>
      </c>
      <c r="C91" s="181"/>
      <c r="D91" s="14">
        <f t="shared" si="5"/>
        <v>538848</v>
      </c>
      <c r="E91" s="17">
        <f>IF(F3="1",SUMIF(Data!A:A,'43'!$A$2,Data!EW:EW),0)</f>
        <v>52334</v>
      </c>
      <c r="F91" s="21">
        <f t="shared" si="4"/>
        <v>0.1</v>
      </c>
    </row>
    <row r="92" spans="1:6" x14ac:dyDescent="0.2">
      <c r="A92" s="19">
        <v>26</v>
      </c>
      <c r="B92" s="180" t="s">
        <v>23</v>
      </c>
      <c r="C92" s="181"/>
      <c r="D92" s="14">
        <f t="shared" si="5"/>
        <v>201376</v>
      </c>
      <c r="E92" s="17">
        <f>IF(F3="1",SUMIF(Data!A:A,'43'!$A$2,Data!EX:EX),0)</f>
        <v>657962</v>
      </c>
      <c r="F92" s="21">
        <f t="shared" si="4"/>
        <v>3.27</v>
      </c>
    </row>
    <row r="93" spans="1:6" x14ac:dyDescent="0.2">
      <c r="A93" s="19">
        <v>28</v>
      </c>
      <c r="B93" s="180" t="s">
        <v>24</v>
      </c>
      <c r="C93" s="181"/>
      <c r="D93" s="14">
        <f t="shared" si="5"/>
        <v>0</v>
      </c>
      <c r="E93" s="17">
        <f>IF(F3="1",SUMIF(Data!A:A,'43'!$A$2,Data!EZ:EZ),0)</f>
        <v>0</v>
      </c>
      <c r="F93" s="21" t="str">
        <f t="shared" si="4"/>
        <v/>
      </c>
    </row>
    <row r="94" spans="1:6" ht="15.75" customHeight="1" thickBot="1" x14ac:dyDescent="0.25">
      <c r="A94" s="22">
        <v>29</v>
      </c>
      <c r="B94" s="184" t="s">
        <v>25</v>
      </c>
      <c r="C94" s="185"/>
      <c r="D94" s="23">
        <f t="shared" si="5"/>
        <v>0</v>
      </c>
      <c r="E94" s="24">
        <f>IF(F3="1",SUMIF(Data!A:A,'43'!$A$2,Data!FA:FA),0)</f>
        <v>0</v>
      </c>
      <c r="F94" s="25" t="str">
        <f t="shared" si="4"/>
        <v/>
      </c>
    </row>
    <row r="95" spans="1:6" x14ac:dyDescent="0.2">
      <c r="B95" s="30" t="s">
        <v>35</v>
      </c>
      <c r="C95" s="30"/>
      <c r="D95" s="59">
        <f>SUM(D67:D94)</f>
        <v>3448559</v>
      </c>
      <c r="E95" s="31">
        <f>SUM(E67:E94)</f>
        <v>8093074</v>
      </c>
      <c r="F95" s="32">
        <f t="shared" si="4"/>
        <v>2.35</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IF(F3="1",SUMIF(Data!A:A,'43'!$A$2,Data!AH:AH),0)</f>
        <v>5722370</v>
      </c>
      <c r="F98" s="20">
        <f>IF(OR(E98=0,E98=0),"",ROUND(E98/$D$105,2))</f>
        <v>1.66</v>
      </c>
    </row>
    <row r="99" spans="2:6" x14ac:dyDescent="0.2">
      <c r="B99" s="190" t="s">
        <v>31</v>
      </c>
      <c r="C99" s="191"/>
      <c r="D99" s="36"/>
      <c r="E99" s="17">
        <f>IF(F3="1",SUMIF(Data!A:A,'43'!$A$2,Data!AI:AI),0)</f>
        <v>3532988</v>
      </c>
      <c r="F99" s="21">
        <f t="shared" ref="F99:F104" si="6">IF(OR(E99=0,E99=0),"",ROUND(E99/$D$105,2))</f>
        <v>1.02</v>
      </c>
    </row>
    <row r="100" spans="2:6" x14ac:dyDescent="0.2">
      <c r="B100" s="190" t="s">
        <v>1089</v>
      </c>
      <c r="C100" s="191"/>
      <c r="D100" s="36"/>
      <c r="E100" s="17">
        <f>IF(F3="1",SUMIF(Data!A:A,'43'!$A$2,Data!AJ:AJ),0)</f>
        <v>633416</v>
      </c>
      <c r="F100" s="21">
        <f t="shared" si="6"/>
        <v>0.18</v>
      </c>
    </row>
    <row r="101" spans="2:6" x14ac:dyDescent="0.2">
      <c r="B101" s="190" t="s">
        <v>1090</v>
      </c>
      <c r="C101" s="191"/>
      <c r="D101" s="36"/>
      <c r="E101" s="17">
        <f>IF(F3="1",SUMIF(Data!A:A,'43'!$A$2,Data!AK:AK),0)</f>
        <v>2941362</v>
      </c>
      <c r="F101" s="21">
        <f t="shared" si="6"/>
        <v>0.85</v>
      </c>
    </row>
    <row r="102" spans="2:6" x14ac:dyDescent="0.2">
      <c r="B102" s="190" t="s">
        <v>1091</v>
      </c>
      <c r="C102" s="191"/>
      <c r="D102" s="36"/>
      <c r="E102" s="17">
        <f>IF(F3="1",SUMIF(Data!A:A,'43'!$A$2,Data!AL:AL),0)</f>
        <v>0</v>
      </c>
      <c r="F102" s="21" t="str">
        <f t="shared" si="6"/>
        <v/>
      </c>
    </row>
    <row r="103" spans="2:6" x14ac:dyDescent="0.2">
      <c r="B103" s="192" t="s">
        <v>34</v>
      </c>
      <c r="C103" s="193"/>
      <c r="D103" s="36"/>
      <c r="E103" s="17">
        <f>IF(F3="1",SUMIF(Data!A:A,'43'!$A$2,Data!AM:AM),0)</f>
        <v>0</v>
      </c>
      <c r="F103" s="21" t="str">
        <f t="shared" si="6"/>
        <v/>
      </c>
    </row>
    <row r="104" spans="2:6" ht="15.75" customHeight="1" thickBot="1" x14ac:dyDescent="0.25">
      <c r="B104" s="186" t="s">
        <v>29</v>
      </c>
      <c r="C104" s="187"/>
      <c r="D104" s="37"/>
      <c r="E104" s="24">
        <f>IF(F3="1",SUMIF(Data!A:A,'43'!$A$2,Data!Q:Q),0)</f>
        <v>3233993</v>
      </c>
      <c r="F104" s="25">
        <f t="shared" si="6"/>
        <v>0.94</v>
      </c>
    </row>
    <row r="105" spans="2:6" x14ac:dyDescent="0.2">
      <c r="B105" s="30" t="s">
        <v>35</v>
      </c>
      <c r="C105" s="30"/>
      <c r="D105" s="34">
        <f>D95</f>
        <v>3448559</v>
      </c>
      <c r="E105" s="31">
        <f>SUM(E98:E104)</f>
        <v>16064129</v>
      </c>
      <c r="F105" s="32">
        <f>IF($D$105=0,"",ROUND(E105/$D$105,2))</f>
        <v>4.66</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8093074</v>
      </c>
      <c r="D109" s="15">
        <f>IF(F3="1",SUMIF(Data!$A:$A,$A$2,Data!HJ:HJ),0)</f>
        <v>0</v>
      </c>
      <c r="E109" s="15">
        <f>IF(F3="1",SUMIF(Data!$A:$A,$A$2,Data!IN:IN),0)</f>
        <v>0</v>
      </c>
      <c r="F109" s="47">
        <f>SUM(C109:E109)</f>
        <v>8093074</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3233993</v>
      </c>
      <c r="E117" s="52"/>
      <c r="F117" s="49">
        <f>SUM(C117:E117)</f>
        <v>3233993</v>
      </c>
    </row>
    <row r="118" spans="1:6" x14ac:dyDescent="0.2">
      <c r="B118" s="13" t="s">
        <v>35</v>
      </c>
      <c r="C118" s="4">
        <f>SUM(C109:C116)</f>
        <v>8093074</v>
      </c>
      <c r="D118" s="4">
        <f>SUM(D109:D116)</f>
        <v>0</v>
      </c>
      <c r="E118" s="4">
        <f>SUM(E109:E116)</f>
        <v>0</v>
      </c>
      <c r="F118" s="4">
        <f>SUM(F109:F116)</f>
        <v>8093074</v>
      </c>
    </row>
    <row r="119" spans="1:6" ht="15" thickBot="1" x14ac:dyDescent="0.25"/>
    <row r="120" spans="1:6" ht="15" thickBot="1" x14ac:dyDescent="0.25">
      <c r="B120" s="55" t="s">
        <v>934</v>
      </c>
      <c r="C120" s="53"/>
      <c r="D120" s="53"/>
      <c r="E120" s="53">
        <f>IF(F3="1",SUMIF(Data!A:A,'43'!$A$2,Data!AM:AM),0)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3" width="12.425781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370</v>
      </c>
      <c r="B2" s="58" t="str">
        <f>VLOOKUP(A2,Data!A:G,7,0)</f>
        <v>Trinity Valley Community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86724</v>
      </c>
      <c r="E5" s="15">
        <f>E36+E67+IFERROR($E$105/$D$105*D5,0)</f>
        <v>439049.30477570964</v>
      </c>
      <c r="F5" s="20">
        <f>IF(OR(D5=0,E5=0),"",ROUND(E5/D5,2))</f>
        <v>5.0599999999999996</v>
      </c>
    </row>
    <row r="6" spans="1:6" x14ac:dyDescent="0.2">
      <c r="A6" s="19">
        <v>2</v>
      </c>
      <c r="B6" s="180" t="s">
        <v>1</v>
      </c>
      <c r="C6" s="181"/>
      <c r="D6" s="14">
        <f t="shared" ref="D6:D32" si="0">D37</f>
        <v>192540</v>
      </c>
      <c r="E6" s="17">
        <f t="shared" ref="E6:E32" si="1">E37+E68+IFERROR($E$105/$D$105*D6,0)</f>
        <v>944724.58698301658</v>
      </c>
      <c r="F6" s="21">
        <f t="shared" ref="F6:F33" si="2">IF(OR(D6=0,E6=0),"",ROUND(E6/D6,2))</f>
        <v>4.91</v>
      </c>
    </row>
    <row r="7" spans="1:6" ht="14.25" customHeight="1" x14ac:dyDescent="0.2">
      <c r="A7" s="19">
        <v>3</v>
      </c>
      <c r="B7" s="180" t="s">
        <v>2</v>
      </c>
      <c r="C7" s="181"/>
      <c r="D7" s="14">
        <f t="shared" si="0"/>
        <v>266704</v>
      </c>
      <c r="E7" s="17">
        <f t="shared" si="1"/>
        <v>1294235.5910809101</v>
      </c>
      <c r="F7" s="21">
        <f t="shared" si="2"/>
        <v>4.8499999999999996</v>
      </c>
    </row>
    <row r="8" spans="1:6" ht="14.25" customHeight="1" x14ac:dyDescent="0.2">
      <c r="A8" s="19">
        <v>4</v>
      </c>
      <c r="B8" s="180" t="s">
        <v>3</v>
      </c>
      <c r="C8" s="181"/>
      <c r="D8" s="14">
        <f t="shared" si="0"/>
        <v>173639</v>
      </c>
      <c r="E8" s="17">
        <f t="shared" si="1"/>
        <v>1116697.9053658668</v>
      </c>
      <c r="F8" s="21">
        <f t="shared" si="2"/>
        <v>6.43</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12064</v>
      </c>
      <c r="E10" s="17">
        <f t="shared" si="1"/>
        <v>76797.851861239804</v>
      </c>
      <c r="F10" s="21">
        <f t="shared" si="2"/>
        <v>6.37</v>
      </c>
    </row>
    <row r="11" spans="1:6" x14ac:dyDescent="0.2">
      <c r="A11" s="19">
        <v>7</v>
      </c>
      <c r="B11" s="180" t="s">
        <v>6</v>
      </c>
      <c r="C11" s="181"/>
      <c r="D11" s="14">
        <f t="shared" si="0"/>
        <v>296114</v>
      </c>
      <c r="E11" s="17">
        <f t="shared" si="1"/>
        <v>1108656.3444992676</v>
      </c>
      <c r="F11" s="21">
        <f t="shared" si="2"/>
        <v>3.74</v>
      </c>
    </row>
    <row r="12" spans="1:6" x14ac:dyDescent="0.2">
      <c r="A12" s="19">
        <v>8</v>
      </c>
      <c r="B12" s="180" t="s">
        <v>7</v>
      </c>
      <c r="C12" s="181"/>
      <c r="D12" s="14">
        <f t="shared" si="0"/>
        <v>51416</v>
      </c>
      <c r="E12" s="17">
        <f t="shared" si="1"/>
        <v>182061.99264733968</v>
      </c>
      <c r="F12" s="21">
        <f t="shared" si="2"/>
        <v>3.54</v>
      </c>
    </row>
    <row r="13" spans="1:6" x14ac:dyDescent="0.2">
      <c r="A13" s="19">
        <v>9</v>
      </c>
      <c r="B13" s="180" t="s">
        <v>8</v>
      </c>
      <c r="C13" s="181"/>
      <c r="D13" s="14">
        <f t="shared" si="0"/>
        <v>230395</v>
      </c>
      <c r="E13" s="17">
        <f t="shared" si="1"/>
        <v>932753.57680457109</v>
      </c>
      <c r="F13" s="21">
        <f t="shared" si="2"/>
        <v>4.05</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120512</v>
      </c>
      <c r="E15" s="17">
        <f t="shared" si="1"/>
        <v>445300.85440166871</v>
      </c>
      <c r="F15" s="21">
        <f t="shared" si="2"/>
        <v>3.7</v>
      </c>
    </row>
    <row r="16" spans="1:6" ht="14.25" customHeight="1" x14ac:dyDescent="0.2">
      <c r="A16" s="19">
        <v>12</v>
      </c>
      <c r="B16" s="180" t="s">
        <v>11</v>
      </c>
      <c r="C16" s="181"/>
      <c r="D16" s="14">
        <f t="shared" si="0"/>
        <v>383194</v>
      </c>
      <c r="E16" s="17">
        <f t="shared" si="1"/>
        <v>1831103.027861068</v>
      </c>
      <c r="F16" s="21">
        <f t="shared" si="2"/>
        <v>4.78</v>
      </c>
    </row>
    <row r="17" spans="1:6" x14ac:dyDescent="0.2">
      <c r="A17" s="19">
        <v>13</v>
      </c>
      <c r="B17" s="180" t="s">
        <v>12</v>
      </c>
      <c r="C17" s="181"/>
      <c r="D17" s="14">
        <f t="shared" si="0"/>
        <v>29496</v>
      </c>
      <c r="E17" s="17">
        <f t="shared" si="1"/>
        <v>145149.99655994109</v>
      </c>
      <c r="F17" s="21">
        <f t="shared" si="2"/>
        <v>4.92</v>
      </c>
    </row>
    <row r="18" spans="1:6" ht="14.25" customHeight="1" x14ac:dyDescent="0.2">
      <c r="A18" s="19">
        <v>14</v>
      </c>
      <c r="B18" s="180" t="s">
        <v>464</v>
      </c>
      <c r="C18" s="181"/>
      <c r="D18" s="14">
        <f t="shared" si="0"/>
        <v>152793</v>
      </c>
      <c r="E18" s="17">
        <f t="shared" si="1"/>
        <v>951058.24804661912</v>
      </c>
      <c r="F18" s="21">
        <f t="shared" si="2"/>
        <v>6.22</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125542</v>
      </c>
      <c r="E20" s="17">
        <f t="shared" si="1"/>
        <v>527832.37768267305</v>
      </c>
      <c r="F20" s="21">
        <f t="shared" si="2"/>
        <v>4.2</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75056</v>
      </c>
      <c r="E22" s="17">
        <f t="shared" si="1"/>
        <v>390455.85156641365</v>
      </c>
      <c r="F22" s="21">
        <f t="shared" si="2"/>
        <v>5.2</v>
      </c>
    </row>
    <row r="23" spans="1:6" x14ac:dyDescent="0.2">
      <c r="A23" s="19">
        <v>19</v>
      </c>
      <c r="B23" s="180" t="s">
        <v>17</v>
      </c>
      <c r="C23" s="181"/>
      <c r="D23" s="14">
        <f t="shared" si="0"/>
        <v>254246</v>
      </c>
      <c r="E23" s="17">
        <f t="shared" si="1"/>
        <v>1201750.7415710192</v>
      </c>
      <c r="F23" s="21">
        <f t="shared" si="2"/>
        <v>4.7300000000000004</v>
      </c>
    </row>
    <row r="24" spans="1:6" x14ac:dyDescent="0.2">
      <c r="A24" s="19">
        <v>20</v>
      </c>
      <c r="B24" s="180" t="s">
        <v>18</v>
      </c>
      <c r="C24" s="181"/>
      <c r="D24" s="14">
        <f t="shared" si="0"/>
        <v>84192</v>
      </c>
      <c r="E24" s="17">
        <f t="shared" si="1"/>
        <v>364520.63460721995</v>
      </c>
      <c r="F24" s="21">
        <f t="shared" si="2"/>
        <v>4.33</v>
      </c>
    </row>
    <row r="25" spans="1:6" ht="14.25" customHeight="1" x14ac:dyDescent="0.2">
      <c r="A25" s="19">
        <v>21</v>
      </c>
      <c r="B25" s="180" t="s">
        <v>461</v>
      </c>
      <c r="C25" s="181"/>
      <c r="D25" s="14">
        <f t="shared" si="0"/>
        <v>0</v>
      </c>
      <c r="E25" s="17">
        <f t="shared" si="1"/>
        <v>0</v>
      </c>
      <c r="F25" s="21" t="str">
        <f t="shared" si="2"/>
        <v/>
      </c>
    </row>
    <row r="26" spans="1:6" x14ac:dyDescent="0.2">
      <c r="A26" s="19">
        <v>22</v>
      </c>
      <c r="B26" s="180" t="s">
        <v>19</v>
      </c>
      <c r="C26" s="181"/>
      <c r="D26" s="14">
        <f t="shared" si="0"/>
        <v>0</v>
      </c>
      <c r="E26" s="17">
        <f t="shared" si="1"/>
        <v>0</v>
      </c>
      <c r="F26" s="21" t="str">
        <f t="shared" si="2"/>
        <v/>
      </c>
    </row>
    <row r="27" spans="1:6" x14ac:dyDescent="0.2">
      <c r="A27" s="19">
        <v>23</v>
      </c>
      <c r="B27" s="180" t="s">
        <v>20</v>
      </c>
      <c r="C27" s="181"/>
      <c r="D27" s="14">
        <f t="shared" si="0"/>
        <v>61872</v>
      </c>
      <c r="E27" s="17">
        <f t="shared" si="1"/>
        <v>345110.43786129222</v>
      </c>
      <c r="F27" s="21">
        <f t="shared" si="2"/>
        <v>5.58</v>
      </c>
    </row>
    <row r="28" spans="1:6" x14ac:dyDescent="0.2">
      <c r="A28" s="19">
        <v>24</v>
      </c>
      <c r="B28" s="180" t="s">
        <v>21</v>
      </c>
      <c r="C28" s="181"/>
      <c r="D28" s="14">
        <f t="shared" si="0"/>
        <v>85376</v>
      </c>
      <c r="E28" s="17">
        <f t="shared" si="1"/>
        <v>332163.02855646634</v>
      </c>
      <c r="F28" s="21">
        <f t="shared" si="2"/>
        <v>3.89</v>
      </c>
    </row>
    <row r="29" spans="1:6" x14ac:dyDescent="0.2">
      <c r="A29" s="19">
        <v>25</v>
      </c>
      <c r="B29" s="180" t="s">
        <v>22</v>
      </c>
      <c r="C29" s="181"/>
      <c r="D29" s="14">
        <f t="shared" si="0"/>
        <v>372432</v>
      </c>
      <c r="E29" s="17">
        <f t="shared" si="1"/>
        <v>1699884.2291433406</v>
      </c>
      <c r="F29" s="21">
        <f t="shared" si="2"/>
        <v>4.5599999999999996</v>
      </c>
    </row>
    <row r="30" spans="1:6" x14ac:dyDescent="0.2">
      <c r="A30" s="19">
        <v>26</v>
      </c>
      <c r="B30" s="180" t="s">
        <v>23</v>
      </c>
      <c r="C30" s="181"/>
      <c r="D30" s="14">
        <f t="shared" si="0"/>
        <v>113662</v>
      </c>
      <c r="E30" s="17">
        <f t="shared" si="1"/>
        <v>659503.41812435666</v>
      </c>
      <c r="F30" s="21">
        <f t="shared" si="2"/>
        <v>5.8</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3167969</v>
      </c>
      <c r="E33" s="31">
        <f>SUM(E5:E32)</f>
        <v>14988809.999999998</v>
      </c>
      <c r="F33" s="32">
        <f t="shared" si="2"/>
        <v>4.7300000000000004</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IF(F3="1",SUMIF(Data!A:A,'44'!$A$2,Data!CU:CU),0)</f>
        <v>86724</v>
      </c>
      <c r="E36" s="15">
        <f>IF(F3="1",SUMIF(Data!$A:$A,$A$2,Data!IO:IO),0)</f>
        <v>52551</v>
      </c>
      <c r="F36" s="20">
        <f t="shared" ref="F36:F64" si="3">IF(OR(D36=0,E36=0),"",ROUND(E36/D36,2))</f>
        <v>0.61</v>
      </c>
    </row>
    <row r="37" spans="1:6" x14ac:dyDescent="0.2">
      <c r="A37" s="19">
        <v>2</v>
      </c>
      <c r="B37" s="180" t="s">
        <v>1</v>
      </c>
      <c r="C37" s="181"/>
      <c r="D37" s="14">
        <f>IF(F3="1",SUMIF(Data!A:A,'44'!$A$2,Data!CV:CV),0)</f>
        <v>192540</v>
      </c>
      <c r="E37" s="17">
        <f>IF(F3="1",SUMIF(Data!$A:$A,$A$2,Data!IP:IP),0)</f>
        <v>62070</v>
      </c>
      <c r="F37" s="21">
        <f t="shared" si="3"/>
        <v>0.32</v>
      </c>
    </row>
    <row r="38" spans="1:6" ht="14.25" customHeight="1" x14ac:dyDescent="0.2">
      <c r="A38" s="19">
        <v>3</v>
      </c>
      <c r="B38" s="180" t="s">
        <v>2</v>
      </c>
      <c r="C38" s="181"/>
      <c r="D38" s="14">
        <f>IF(F3="1",SUMIF(Data!A:A,'44'!$A$2,Data!CW:CW),0)</f>
        <v>266704</v>
      </c>
      <c r="E38" s="17">
        <f>IF($F$3="1",SUMIF(Data!$A:$A,$A$2,Data!IQ:IQ),0)</f>
        <v>43784</v>
      </c>
      <c r="F38" s="21">
        <f t="shared" si="3"/>
        <v>0.16</v>
      </c>
    </row>
    <row r="39" spans="1:6" ht="14.25" customHeight="1" x14ac:dyDescent="0.2">
      <c r="A39" s="19">
        <v>4</v>
      </c>
      <c r="B39" s="180" t="s">
        <v>3</v>
      </c>
      <c r="C39" s="181"/>
      <c r="D39" s="14">
        <f>IF(F3="1",SUMIF(Data!A:A,'44'!$A$2,Data!CX:CX),0)</f>
        <v>173639</v>
      </c>
      <c r="E39" s="17">
        <f>IF($F$3="1",SUMIF(Data!$A:$A,$A$2,Data!IR:IR),0)</f>
        <v>87189</v>
      </c>
      <c r="F39" s="21">
        <f t="shared" si="3"/>
        <v>0.5</v>
      </c>
    </row>
    <row r="40" spans="1:6" x14ac:dyDescent="0.2">
      <c r="A40" s="19">
        <v>5</v>
      </c>
      <c r="B40" s="180" t="s">
        <v>4</v>
      </c>
      <c r="C40" s="181"/>
      <c r="D40" s="14">
        <f>IF(F3="1",SUMIF(Data!A:A,'44'!$A$2,Data!CY:CY),0)</f>
        <v>0</v>
      </c>
      <c r="E40" s="17">
        <f>IF($F$3="1",SUMIF(Data!$A:$A,$A$2,Data!IS:IS),0)</f>
        <v>0</v>
      </c>
      <c r="F40" s="21" t="str">
        <f t="shared" si="3"/>
        <v/>
      </c>
    </row>
    <row r="41" spans="1:6" x14ac:dyDescent="0.2">
      <c r="A41" s="19">
        <v>6</v>
      </c>
      <c r="B41" s="180" t="s">
        <v>5</v>
      </c>
      <c r="C41" s="181"/>
      <c r="D41" s="14">
        <f>IF(F3="1",SUMIF(Data!A:A,'44'!$A$2,Data!CZ:CZ),0)</f>
        <v>12064</v>
      </c>
      <c r="E41" s="17">
        <f>IF($F$3="1",SUMIF(Data!$A:$A,$A$2,Data!IT:IT),0)</f>
        <v>14194</v>
      </c>
      <c r="F41" s="21">
        <f t="shared" si="3"/>
        <v>1.18</v>
      </c>
    </row>
    <row r="42" spans="1:6" x14ac:dyDescent="0.2">
      <c r="A42" s="19">
        <v>7</v>
      </c>
      <c r="B42" s="180" t="s">
        <v>6</v>
      </c>
      <c r="C42" s="181"/>
      <c r="D42" s="14">
        <f>IF(F3="1",SUMIF(Data!A:A,'44'!$A$2,Data!DA:DA),0)</f>
        <v>296114</v>
      </c>
      <c r="E42" s="17">
        <f>IF($F$3="1",SUMIF(Data!$A:$A,$A$2,Data!IU:IU),0)</f>
        <v>75286</v>
      </c>
      <c r="F42" s="21">
        <f t="shared" si="3"/>
        <v>0.25</v>
      </c>
    </row>
    <row r="43" spans="1:6" x14ac:dyDescent="0.2">
      <c r="A43" s="19">
        <v>8</v>
      </c>
      <c r="B43" s="180" t="s">
        <v>7</v>
      </c>
      <c r="C43" s="181"/>
      <c r="D43" s="14">
        <f>IF(F3="1",SUMIF(Data!A:A,'44'!$A$2,Data!DB:DB),0)</f>
        <v>51416</v>
      </c>
      <c r="E43" s="17">
        <f>IF($F$3="1",SUMIF(Data!$A:$A,$A$2,Data!IV:IV),0)</f>
        <v>11830</v>
      </c>
      <c r="F43" s="21">
        <f t="shared" si="3"/>
        <v>0.23</v>
      </c>
    </row>
    <row r="44" spans="1:6" x14ac:dyDescent="0.2">
      <c r="A44" s="19">
        <v>9</v>
      </c>
      <c r="B44" s="180" t="s">
        <v>8</v>
      </c>
      <c r="C44" s="181"/>
      <c r="D44" s="14">
        <f>IF(F3="1",SUMIF(Data!A:A,'44'!$A$2,Data!DC:DC),0)</f>
        <v>230395</v>
      </c>
      <c r="E44" s="17">
        <f>IF($F$3="1",SUMIF(Data!$A:$A,$A$2,Data!IW:IW),0)</f>
        <v>77713</v>
      </c>
      <c r="F44" s="21">
        <f t="shared" si="3"/>
        <v>0.34</v>
      </c>
    </row>
    <row r="45" spans="1:6" x14ac:dyDescent="0.2">
      <c r="A45" s="19">
        <v>10</v>
      </c>
      <c r="B45" s="180" t="s">
        <v>9</v>
      </c>
      <c r="C45" s="181"/>
      <c r="D45" s="14">
        <f>IF(F3="1",SUMIF(Data!A:A,'44'!$A$2,Data!DD:DD),0)</f>
        <v>0</v>
      </c>
      <c r="E45" s="17">
        <f>IF($F$3="1",SUMIF(Data!$A:$A,$A$2,Data!IX:IX),0)</f>
        <v>0</v>
      </c>
      <c r="F45" s="21" t="str">
        <f t="shared" si="3"/>
        <v/>
      </c>
    </row>
    <row r="46" spans="1:6" x14ac:dyDescent="0.2">
      <c r="A46" s="19">
        <v>11</v>
      </c>
      <c r="B46" s="180" t="s">
        <v>10</v>
      </c>
      <c r="C46" s="181"/>
      <c r="D46" s="14">
        <f>IF(F3="1",SUMIF(Data!A:A,'44'!$A$2,Data!DE:DE),0)</f>
        <v>120512</v>
      </c>
      <c r="E46" s="17">
        <f>IF($F$3="1",SUMIF(Data!$A:$A,$A$2,Data!IY:IY),0)</f>
        <v>21210</v>
      </c>
      <c r="F46" s="21">
        <f t="shared" si="3"/>
        <v>0.18</v>
      </c>
    </row>
    <row r="47" spans="1:6" ht="14.25" customHeight="1" x14ac:dyDescent="0.2">
      <c r="A47" s="19">
        <v>12</v>
      </c>
      <c r="B47" s="180" t="s">
        <v>11</v>
      </c>
      <c r="C47" s="181"/>
      <c r="D47" s="14">
        <f>IF(F3="1",SUMIF(Data!A:A,'44'!$A$2,Data!DF:DF),0)</f>
        <v>383194</v>
      </c>
      <c r="E47" s="17">
        <f>IF($F$3="1",SUMIF(Data!$A:$A,$A$2,Data!IZ:IZ),0)</f>
        <v>63143</v>
      </c>
      <c r="F47" s="21">
        <f t="shared" si="3"/>
        <v>0.16</v>
      </c>
    </row>
    <row r="48" spans="1:6" x14ac:dyDescent="0.2">
      <c r="A48" s="19">
        <v>13</v>
      </c>
      <c r="B48" s="180" t="s">
        <v>12</v>
      </c>
      <c r="C48" s="181"/>
      <c r="D48" s="14">
        <f>IF(F3="1",SUMIF(Data!A:A,'44'!$A$2,Data!DG:DG),0)</f>
        <v>29496</v>
      </c>
      <c r="E48" s="17">
        <f>IF($F$3="1",SUMIF(Data!$A:$A,$A$2,Data!JA:JA),0)</f>
        <v>6588</v>
      </c>
      <c r="F48" s="21">
        <f t="shared" si="3"/>
        <v>0.22</v>
      </c>
    </row>
    <row r="49" spans="1:6" ht="14.25" customHeight="1" x14ac:dyDescent="0.2">
      <c r="A49" s="19">
        <v>14</v>
      </c>
      <c r="B49" s="180" t="s">
        <v>464</v>
      </c>
      <c r="C49" s="181"/>
      <c r="D49" s="14">
        <f>IF(F3="1",SUMIF(Data!A:A,'44'!$A$2,Data!DH:DH),0)</f>
        <v>152793</v>
      </c>
      <c r="E49" s="17">
        <f>IF($F$3="1",SUMIF(Data!$A:$A,$A$2,Data!JB:JB),0)</f>
        <v>40453</v>
      </c>
      <c r="F49" s="21">
        <f t="shared" si="3"/>
        <v>0.26</v>
      </c>
    </row>
    <row r="50" spans="1:6" x14ac:dyDescent="0.2">
      <c r="A50" s="19">
        <v>15</v>
      </c>
      <c r="B50" s="180" t="s">
        <v>13</v>
      </c>
      <c r="C50" s="181"/>
      <c r="D50" s="14">
        <f>IF(F3="1",SUMIF(Data!A:A,'44'!$A$2,Data!DI:DI),0)</f>
        <v>0</v>
      </c>
      <c r="E50" s="17">
        <f>IF($F$3="1",SUMIF(Data!$A:$A,$A$2,Data!JC:JC),0)</f>
        <v>0</v>
      </c>
      <c r="F50" s="21" t="str">
        <f t="shared" si="3"/>
        <v/>
      </c>
    </row>
    <row r="51" spans="1:6" x14ac:dyDescent="0.2">
      <c r="A51" s="19">
        <v>16</v>
      </c>
      <c r="B51" s="180" t="s">
        <v>14</v>
      </c>
      <c r="C51" s="181"/>
      <c r="D51" s="14">
        <f>IF(F3="1",SUMIF(Data!A:A,'44'!$A$2,Data!DJ:DJ),0)</f>
        <v>125542</v>
      </c>
      <c r="E51" s="17">
        <f>IF($F$3="1",SUMIF(Data!$A:$A,$A$2,Data!JD:JD),0)</f>
        <v>40670</v>
      </c>
      <c r="F51" s="21">
        <f t="shared" si="3"/>
        <v>0.32</v>
      </c>
    </row>
    <row r="52" spans="1:6" x14ac:dyDescent="0.2">
      <c r="A52" s="19">
        <v>17</v>
      </c>
      <c r="B52" s="180" t="s">
        <v>15</v>
      </c>
      <c r="C52" s="181"/>
      <c r="D52" s="14">
        <f>IF(F3="1",SUMIF(Data!A:A,'44'!$A$2,Data!DK:DK),0)</f>
        <v>0</v>
      </c>
      <c r="E52" s="17">
        <f>IF($F$3="1",SUMIF(Data!$A:$A,$A$2,Data!JE:JE),0)</f>
        <v>0</v>
      </c>
      <c r="F52" s="21" t="str">
        <f t="shared" si="3"/>
        <v/>
      </c>
    </row>
    <row r="53" spans="1:6" x14ac:dyDescent="0.2">
      <c r="A53" s="19">
        <v>18</v>
      </c>
      <c r="B53" s="180" t="s">
        <v>16</v>
      </c>
      <c r="C53" s="181"/>
      <c r="D53" s="14">
        <f>IF(F3="1",SUMIF(Data!A:A,'44'!$A$2,Data!DL:DL),0)</f>
        <v>75056</v>
      </c>
      <c r="E53" s="17">
        <f>IF($F$3="1",SUMIF(Data!$A:$A,$A$2,Data!JF:JF),0)</f>
        <v>19376</v>
      </c>
      <c r="F53" s="21">
        <f t="shared" si="3"/>
        <v>0.26</v>
      </c>
    </row>
    <row r="54" spans="1:6" x14ac:dyDescent="0.2">
      <c r="A54" s="19">
        <v>19</v>
      </c>
      <c r="B54" s="180" t="s">
        <v>17</v>
      </c>
      <c r="C54" s="181"/>
      <c r="D54" s="14">
        <f>IF(F3="1",SUMIF(Data!A:A,'44'!$A$2,Data!DM:DM),0)</f>
        <v>254246</v>
      </c>
      <c r="E54" s="17">
        <f>IF($F$3="1",SUMIF(Data!$A:$A,$A$2,Data!JG:JG),0)</f>
        <v>31889</v>
      </c>
      <c r="F54" s="21">
        <f t="shared" si="3"/>
        <v>0.13</v>
      </c>
    </row>
    <row r="55" spans="1:6" x14ac:dyDescent="0.2">
      <c r="A55" s="19">
        <v>20</v>
      </c>
      <c r="B55" s="180" t="s">
        <v>18</v>
      </c>
      <c r="C55" s="181"/>
      <c r="D55" s="14">
        <f>IF(F3="1",SUMIF(Data!A:A,'44'!$A$2,Data!DN:DN),0)</f>
        <v>84192</v>
      </c>
      <c r="E55" s="17">
        <f>IF($F$3="1",SUMIF(Data!$A:$A,$A$2,Data!JH:JH),0)</f>
        <v>15703</v>
      </c>
      <c r="F55" s="21">
        <f t="shared" si="3"/>
        <v>0.19</v>
      </c>
    </row>
    <row r="56" spans="1:6" ht="14.25" customHeight="1" x14ac:dyDescent="0.2">
      <c r="A56" s="19">
        <v>21</v>
      </c>
      <c r="B56" s="180" t="s">
        <v>461</v>
      </c>
      <c r="C56" s="181"/>
      <c r="D56" s="14">
        <f>IF(F3="1",SUMIF(Data!A:A,'44'!$A$2,Data!DO:DO),0)</f>
        <v>0</v>
      </c>
      <c r="E56" s="17">
        <f>IF($F$3="1",SUMIF(Data!$A:$A,$A$2,Data!JI:JI),0)</f>
        <v>0</v>
      </c>
      <c r="F56" s="21" t="str">
        <f t="shared" si="3"/>
        <v/>
      </c>
    </row>
    <row r="57" spans="1:6" x14ac:dyDescent="0.2">
      <c r="A57" s="19">
        <v>22</v>
      </c>
      <c r="B57" s="180" t="s">
        <v>19</v>
      </c>
      <c r="C57" s="181"/>
      <c r="D57" s="14">
        <f>IF(F3="1",SUMIF(Data!A:A,'44'!$A$2,Data!DP:DP),0)</f>
        <v>0</v>
      </c>
      <c r="E57" s="17">
        <f>IF($F$3="1",SUMIF(Data!$A:$A,$A$2,Data!JJ:JJ),0)</f>
        <v>0</v>
      </c>
      <c r="F57" s="21" t="str">
        <f t="shared" si="3"/>
        <v/>
      </c>
    </row>
    <row r="58" spans="1:6" x14ac:dyDescent="0.2">
      <c r="A58" s="19">
        <v>23</v>
      </c>
      <c r="B58" s="180" t="s">
        <v>20</v>
      </c>
      <c r="C58" s="181"/>
      <c r="D58" s="14">
        <f>IF(F3="1",SUMIF(Data!A:A,'44'!$A$2,Data!DQ:DQ),0)</f>
        <v>61872</v>
      </c>
      <c r="E58" s="17">
        <f>IF($F$3="1",SUMIF(Data!$A:$A,$A$2,Data!JK:JK),0)</f>
        <v>15859</v>
      </c>
      <c r="F58" s="21">
        <f t="shared" si="3"/>
        <v>0.26</v>
      </c>
    </row>
    <row r="59" spans="1:6" x14ac:dyDescent="0.2">
      <c r="A59" s="19">
        <v>24</v>
      </c>
      <c r="B59" s="180" t="s">
        <v>21</v>
      </c>
      <c r="C59" s="181"/>
      <c r="D59" s="14">
        <f>IF(F3="1",SUMIF(Data!A:A,'44'!$A$2,Data!DR:DR),0)</f>
        <v>85376</v>
      </c>
      <c r="E59" s="17">
        <f>IF($F$3="1",SUMIF(Data!$A:$A,$A$2,Data!JL:JL),0)</f>
        <v>3254</v>
      </c>
      <c r="F59" s="21">
        <f t="shared" si="3"/>
        <v>0.04</v>
      </c>
    </row>
    <row r="60" spans="1:6" x14ac:dyDescent="0.2">
      <c r="A60" s="19">
        <v>25</v>
      </c>
      <c r="B60" s="180" t="s">
        <v>22</v>
      </c>
      <c r="C60" s="181"/>
      <c r="D60" s="14">
        <f>IF(F3="1",SUMIF(Data!A:A,'44'!$A$2,Data!DS:DS),0)</f>
        <v>372432</v>
      </c>
      <c r="E60" s="17">
        <f>IF($F$3="1",SUMIF(Data!$A:$A,$A$2,Data!JM:JM),0)</f>
        <v>71449</v>
      </c>
      <c r="F60" s="21">
        <f t="shared" si="3"/>
        <v>0.19</v>
      </c>
    </row>
    <row r="61" spans="1:6" x14ac:dyDescent="0.2">
      <c r="A61" s="19">
        <v>26</v>
      </c>
      <c r="B61" s="180" t="s">
        <v>23</v>
      </c>
      <c r="C61" s="181"/>
      <c r="D61" s="14">
        <f>IF(F3="1",SUMIF(Data!A:A,'44'!$A$2,Data!DT:DT),0)</f>
        <v>113662</v>
      </c>
      <c r="E61" s="17">
        <f>IF($F$3="1",SUMIF(Data!$A:$A,$A$2,Data!JN:JN),0)</f>
        <v>50873</v>
      </c>
      <c r="F61" s="21">
        <f t="shared" si="3"/>
        <v>0.45</v>
      </c>
    </row>
    <row r="62" spans="1:6" x14ac:dyDescent="0.2">
      <c r="A62" s="19">
        <v>28</v>
      </c>
      <c r="B62" s="180" t="s">
        <v>24</v>
      </c>
      <c r="C62" s="181"/>
      <c r="D62" s="14">
        <f>IF(F3="1",SUMIF(Data!A:A,'44'!$A$2,Data!DV:DV),0)</f>
        <v>0</v>
      </c>
      <c r="E62" s="17">
        <f>IF($F$3="1",SUMIF(Data!$A:$A,$A$2,Data!JP:JP),0)</f>
        <v>0</v>
      </c>
      <c r="F62" s="21" t="str">
        <f t="shared" si="3"/>
        <v/>
      </c>
    </row>
    <row r="63" spans="1:6" ht="15.75" customHeight="1" thickBot="1" x14ac:dyDescent="0.25">
      <c r="A63" s="22">
        <v>29</v>
      </c>
      <c r="B63" s="184" t="s">
        <v>25</v>
      </c>
      <c r="C63" s="185"/>
      <c r="D63" s="23">
        <f>IF(F3="1",SUMIF(Data!A:A,'44'!$A$2,Data!DW:DW),0)</f>
        <v>0</v>
      </c>
      <c r="E63" s="24">
        <f>IF($F$3="1",SUMIF(Data!$A:$A,$A$2,Data!JQ:JQ),0)</f>
        <v>0</v>
      </c>
      <c r="F63" s="25" t="str">
        <f t="shared" si="3"/>
        <v/>
      </c>
    </row>
    <row r="64" spans="1:6" x14ac:dyDescent="0.2">
      <c r="B64" s="30" t="s">
        <v>35</v>
      </c>
      <c r="C64" s="30"/>
      <c r="D64" s="59">
        <f>SUM(D36:D63)</f>
        <v>3167969</v>
      </c>
      <c r="E64" s="31">
        <f>SUM(E36:E63)</f>
        <v>805084</v>
      </c>
      <c r="F64" s="32">
        <f t="shared" si="3"/>
        <v>0.25</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86724</v>
      </c>
      <c r="E67" s="15">
        <f>IF(F3="1",SUMIF(Data!A:A,'44'!$A$2,Data!DY:DY),0)</f>
        <v>195662</v>
      </c>
      <c r="F67" s="20">
        <f t="shared" ref="F67:F95" si="4">IF(OR(D67=0,E67=0),"",ROUND(E67/D67,2))</f>
        <v>2.2599999999999998</v>
      </c>
    </row>
    <row r="68" spans="1:6" x14ac:dyDescent="0.2">
      <c r="A68" s="19">
        <v>2</v>
      </c>
      <c r="B68" s="180" t="s">
        <v>1</v>
      </c>
      <c r="C68" s="181"/>
      <c r="D68" s="14">
        <f t="shared" ref="D68:D94" si="5">D37</f>
        <v>192540</v>
      </c>
      <c r="E68" s="17">
        <f>IF(F3="1",SUMIF(Data!A:A,'44'!$A$2,Data!DZ:DZ),0)</f>
        <v>458970</v>
      </c>
      <c r="F68" s="21">
        <f t="shared" si="4"/>
        <v>2.38</v>
      </c>
    </row>
    <row r="69" spans="1:6" ht="14.25" customHeight="1" x14ac:dyDescent="0.2">
      <c r="A69" s="19">
        <v>3</v>
      </c>
      <c r="B69" s="180" t="s">
        <v>2</v>
      </c>
      <c r="C69" s="181"/>
      <c r="D69" s="14">
        <f t="shared" si="5"/>
        <v>266704</v>
      </c>
      <c r="E69" s="17">
        <f>IF(F3="1",SUMIF(Data!A:A,'44'!$A$2,Data!EA:EA),0)</f>
        <v>663569</v>
      </c>
      <c r="F69" s="21">
        <f t="shared" si="4"/>
        <v>2.4900000000000002</v>
      </c>
    </row>
    <row r="70" spans="1:6" ht="14.25" customHeight="1" x14ac:dyDescent="0.2">
      <c r="A70" s="19">
        <v>4</v>
      </c>
      <c r="B70" s="180" t="s">
        <v>3</v>
      </c>
      <c r="C70" s="181"/>
      <c r="D70" s="14">
        <f t="shared" si="5"/>
        <v>173639</v>
      </c>
      <c r="E70" s="17">
        <f>IF(F3="1",SUMIF(Data!A:A,'44'!$A$2,Data!EB:EB),0)</f>
        <v>647416</v>
      </c>
      <c r="F70" s="21">
        <f t="shared" si="4"/>
        <v>3.73</v>
      </c>
    </row>
    <row r="71" spans="1:6" x14ac:dyDescent="0.2">
      <c r="A71" s="19">
        <v>5</v>
      </c>
      <c r="B71" s="180" t="s">
        <v>4</v>
      </c>
      <c r="C71" s="181"/>
      <c r="D71" s="14">
        <f t="shared" si="5"/>
        <v>0</v>
      </c>
      <c r="E71" s="17">
        <f>IF(F3="1",SUMIF(Data!A:A,'44'!$A$2,Data!EC:EC),0)</f>
        <v>0</v>
      </c>
      <c r="F71" s="21" t="str">
        <f t="shared" si="4"/>
        <v/>
      </c>
    </row>
    <row r="72" spans="1:6" x14ac:dyDescent="0.2">
      <c r="A72" s="19">
        <v>6</v>
      </c>
      <c r="B72" s="180" t="s">
        <v>5</v>
      </c>
      <c r="C72" s="181"/>
      <c r="D72" s="14">
        <f t="shared" si="5"/>
        <v>12064</v>
      </c>
      <c r="E72" s="17">
        <f>IF(F3="1",SUMIF(Data!A:A,'44'!$A$2,Data!ED:ED),0)</f>
        <v>36057</v>
      </c>
      <c r="F72" s="21">
        <f t="shared" si="4"/>
        <v>2.99</v>
      </c>
    </row>
    <row r="73" spans="1:6" x14ac:dyDescent="0.2">
      <c r="A73" s="19">
        <v>7</v>
      </c>
      <c r="B73" s="180" t="s">
        <v>6</v>
      </c>
      <c r="C73" s="181"/>
      <c r="D73" s="14">
        <f t="shared" si="5"/>
        <v>296114</v>
      </c>
      <c r="E73" s="17">
        <f>IF(F3="1",SUMIF(Data!A:A,'44'!$A$2,Data!EE:EE),0)</f>
        <v>381771</v>
      </c>
      <c r="F73" s="21">
        <f t="shared" si="4"/>
        <v>1.29</v>
      </c>
    </row>
    <row r="74" spans="1:6" x14ac:dyDescent="0.2">
      <c r="A74" s="19">
        <v>8</v>
      </c>
      <c r="B74" s="180" t="s">
        <v>7</v>
      </c>
      <c r="C74" s="181"/>
      <c r="D74" s="14">
        <f t="shared" si="5"/>
        <v>51416</v>
      </c>
      <c r="E74" s="17">
        <f>IF(F3="1",SUMIF(Data!A:A,'44'!$A$2,Data!EF:EF),0)</f>
        <v>57091</v>
      </c>
      <c r="F74" s="21">
        <f t="shared" si="4"/>
        <v>1.1100000000000001</v>
      </c>
    </row>
    <row r="75" spans="1:6" x14ac:dyDescent="0.2">
      <c r="A75" s="19">
        <v>9</v>
      </c>
      <c r="B75" s="180" t="s">
        <v>8</v>
      </c>
      <c r="C75" s="181"/>
      <c r="D75" s="14">
        <f t="shared" si="5"/>
        <v>230395</v>
      </c>
      <c r="E75" s="17">
        <f>IF(F3="1",SUMIF(Data!A:A,'44'!$A$2,Data!EG:EG),0)</f>
        <v>348056</v>
      </c>
      <c r="F75" s="21">
        <f t="shared" si="4"/>
        <v>1.51</v>
      </c>
    </row>
    <row r="76" spans="1:6" x14ac:dyDescent="0.2">
      <c r="A76" s="19">
        <v>10</v>
      </c>
      <c r="B76" s="180" t="s">
        <v>9</v>
      </c>
      <c r="C76" s="181"/>
      <c r="D76" s="14">
        <f t="shared" si="5"/>
        <v>0</v>
      </c>
      <c r="E76" s="17">
        <f>IF(F3="1",SUMIF(Data!A:A,'44'!$A$2,Data!EH:EH),0)</f>
        <v>0</v>
      </c>
      <c r="F76" s="21" t="str">
        <f t="shared" si="4"/>
        <v/>
      </c>
    </row>
    <row r="77" spans="1:6" x14ac:dyDescent="0.2">
      <c r="A77" s="19">
        <v>11</v>
      </c>
      <c r="B77" s="180" t="s">
        <v>10</v>
      </c>
      <c r="C77" s="181"/>
      <c r="D77" s="14">
        <f t="shared" si="5"/>
        <v>120512</v>
      </c>
      <c r="E77" s="17">
        <f>IF(F3="1",SUMIF(Data!A:A,'44'!$A$2,Data!EI:EI),0)</f>
        <v>158904</v>
      </c>
      <c r="F77" s="21">
        <f t="shared" si="4"/>
        <v>1.32</v>
      </c>
    </row>
    <row r="78" spans="1:6" ht="14.25" customHeight="1" x14ac:dyDescent="0.2">
      <c r="A78" s="19">
        <v>12</v>
      </c>
      <c r="B78" s="180" t="s">
        <v>11</v>
      </c>
      <c r="C78" s="181"/>
      <c r="D78" s="14">
        <f t="shared" si="5"/>
        <v>383194</v>
      </c>
      <c r="E78" s="17">
        <f>IF(F3="1",SUMIF(Data!A:A,'44'!$A$2,Data!EJ:EJ),0)</f>
        <v>924741</v>
      </c>
      <c r="F78" s="21">
        <f t="shared" si="4"/>
        <v>2.41</v>
      </c>
    </row>
    <row r="79" spans="1:6" x14ac:dyDescent="0.2">
      <c r="A79" s="19">
        <v>13</v>
      </c>
      <c r="B79" s="180" t="s">
        <v>12</v>
      </c>
      <c r="C79" s="181"/>
      <c r="D79" s="14">
        <f t="shared" si="5"/>
        <v>29496</v>
      </c>
      <c r="E79" s="17">
        <f>IF(F3="1",SUMIF(Data!A:A,'44'!$A$2,Data!EK:EK),0)</f>
        <v>73656</v>
      </c>
      <c r="F79" s="21">
        <f t="shared" si="4"/>
        <v>2.5</v>
      </c>
    </row>
    <row r="80" spans="1:6" ht="14.25" customHeight="1" x14ac:dyDescent="0.2">
      <c r="A80" s="19">
        <v>14</v>
      </c>
      <c r="B80" s="180" t="s">
        <v>464</v>
      </c>
      <c r="C80" s="181"/>
      <c r="D80" s="14">
        <f t="shared" si="5"/>
        <v>152793</v>
      </c>
      <c r="E80" s="17">
        <f>IF(F3="1",SUMIF(Data!A:A,'44'!$A$2,Data!EL:EL),0)</f>
        <v>574384</v>
      </c>
      <c r="F80" s="21">
        <f t="shared" si="4"/>
        <v>3.76</v>
      </c>
    </row>
    <row r="81" spans="1:6" x14ac:dyDescent="0.2">
      <c r="A81" s="19">
        <v>15</v>
      </c>
      <c r="B81" s="180" t="s">
        <v>13</v>
      </c>
      <c r="C81" s="181"/>
      <c r="D81" s="14">
        <f t="shared" si="5"/>
        <v>0</v>
      </c>
      <c r="E81" s="17">
        <f>IF(F3="1",SUMIF(Data!A:A,'44'!$A$2,Data!EM:EM),0)</f>
        <v>0</v>
      </c>
      <c r="F81" s="21" t="str">
        <f t="shared" si="4"/>
        <v/>
      </c>
    </row>
    <row r="82" spans="1:6" x14ac:dyDescent="0.2">
      <c r="A82" s="19">
        <v>16</v>
      </c>
      <c r="B82" s="180" t="s">
        <v>14</v>
      </c>
      <c r="C82" s="181"/>
      <c r="D82" s="14">
        <f t="shared" si="5"/>
        <v>125542</v>
      </c>
      <c r="E82" s="17">
        <f>IF(F3="1",SUMIF(Data!A:A,'44'!$A$2,Data!EN:EN),0)</f>
        <v>210907</v>
      </c>
      <c r="F82" s="21">
        <f t="shared" si="4"/>
        <v>1.68</v>
      </c>
    </row>
    <row r="83" spans="1:6" x14ac:dyDescent="0.2">
      <c r="A83" s="19">
        <v>17</v>
      </c>
      <c r="B83" s="180" t="s">
        <v>15</v>
      </c>
      <c r="C83" s="181"/>
      <c r="D83" s="14">
        <f t="shared" si="5"/>
        <v>0</v>
      </c>
      <c r="E83" s="17">
        <f>IF(F3="1",SUMIF(Data!A:A,'44'!$A$2,Data!EO:EO),0)</f>
        <v>0</v>
      </c>
      <c r="F83" s="21" t="str">
        <f t="shared" si="4"/>
        <v/>
      </c>
    </row>
    <row r="84" spans="1:6" x14ac:dyDescent="0.2">
      <c r="A84" s="19">
        <v>18</v>
      </c>
      <c r="B84" s="180" t="s">
        <v>16</v>
      </c>
      <c r="C84" s="181"/>
      <c r="D84" s="14">
        <f t="shared" si="5"/>
        <v>75056</v>
      </c>
      <c r="E84" s="17">
        <f>IF(F3="1",SUMIF(Data!A:A,'44'!$A$2,Data!EP:EP),0)</f>
        <v>205919</v>
      </c>
      <c r="F84" s="21">
        <f t="shared" si="4"/>
        <v>2.74</v>
      </c>
    </row>
    <row r="85" spans="1:6" x14ac:dyDescent="0.2">
      <c r="A85" s="19">
        <v>19</v>
      </c>
      <c r="B85" s="180" t="s">
        <v>17</v>
      </c>
      <c r="C85" s="181"/>
      <c r="D85" s="14">
        <f t="shared" si="5"/>
        <v>254246</v>
      </c>
      <c r="E85" s="17">
        <f>IF(F3="1",SUMIF(Data!A:A,'44'!$A$2,Data!EQ:EQ),0)</f>
        <v>610393</v>
      </c>
      <c r="F85" s="21">
        <f t="shared" si="4"/>
        <v>2.4</v>
      </c>
    </row>
    <row r="86" spans="1:6" x14ac:dyDescent="0.2">
      <c r="A86" s="19">
        <v>20</v>
      </c>
      <c r="B86" s="180" t="s">
        <v>18</v>
      </c>
      <c r="C86" s="181"/>
      <c r="D86" s="14">
        <f t="shared" si="5"/>
        <v>84192</v>
      </c>
      <c r="E86" s="17">
        <f>IF(F3="1",SUMIF(Data!A:A,'44'!$A$2,Data!ER:ER),0)</f>
        <v>163553</v>
      </c>
      <c r="F86" s="21">
        <f t="shared" si="4"/>
        <v>1.94</v>
      </c>
    </row>
    <row r="87" spans="1:6" ht="14.25" customHeight="1" x14ac:dyDescent="0.2">
      <c r="A87" s="19">
        <v>21</v>
      </c>
      <c r="B87" s="180" t="s">
        <v>461</v>
      </c>
      <c r="C87" s="181"/>
      <c r="D87" s="14">
        <f t="shared" si="5"/>
        <v>0</v>
      </c>
      <c r="E87" s="17">
        <f>IF(F3="1",SUMIF(Data!A:A,'44'!$A$2,Data!ES:ES),0)</f>
        <v>0</v>
      </c>
      <c r="F87" s="21" t="str">
        <f t="shared" si="4"/>
        <v/>
      </c>
    </row>
    <row r="88" spans="1:6" x14ac:dyDescent="0.2">
      <c r="A88" s="19">
        <v>22</v>
      </c>
      <c r="B88" s="180" t="s">
        <v>19</v>
      </c>
      <c r="C88" s="181"/>
      <c r="D88" s="14">
        <f t="shared" si="5"/>
        <v>0</v>
      </c>
      <c r="E88" s="17">
        <f>IF(F3="1",SUMIF(Data!A:A,'44'!$A$2,Data!ET:ET),0)</f>
        <v>0</v>
      </c>
      <c r="F88" s="21" t="str">
        <f t="shared" si="4"/>
        <v/>
      </c>
    </row>
    <row r="89" spans="1:6" x14ac:dyDescent="0.2">
      <c r="A89" s="19">
        <v>23</v>
      </c>
      <c r="B89" s="180" t="s">
        <v>20</v>
      </c>
      <c r="C89" s="181"/>
      <c r="D89" s="14">
        <f t="shared" si="5"/>
        <v>61872</v>
      </c>
      <c r="E89" s="17">
        <f>IF(F3="1",SUMIF(Data!A:A,'44'!$A$2,Data!EU:EU),0)</f>
        <v>193102</v>
      </c>
      <c r="F89" s="21">
        <f t="shared" si="4"/>
        <v>3.12</v>
      </c>
    </row>
    <row r="90" spans="1:6" x14ac:dyDescent="0.2">
      <c r="A90" s="19">
        <v>24</v>
      </c>
      <c r="B90" s="180" t="s">
        <v>21</v>
      </c>
      <c r="C90" s="181"/>
      <c r="D90" s="14">
        <f t="shared" si="5"/>
        <v>85376</v>
      </c>
      <c r="E90" s="17">
        <f>IF(F3="1",SUMIF(Data!A:A,'44'!$A$2,Data!EV:EV),0)</f>
        <v>141039</v>
      </c>
      <c r="F90" s="21">
        <f t="shared" si="4"/>
        <v>1.65</v>
      </c>
    </row>
    <row r="91" spans="1:6" x14ac:dyDescent="0.2">
      <c r="A91" s="19">
        <v>25</v>
      </c>
      <c r="B91" s="180" t="s">
        <v>22</v>
      </c>
      <c r="C91" s="181"/>
      <c r="D91" s="14">
        <f t="shared" si="5"/>
        <v>372432</v>
      </c>
      <c r="E91" s="17">
        <f>IF(F3="1",SUMIF(Data!A:A,'44'!$A$2,Data!EW:EW),0)</f>
        <v>808898</v>
      </c>
      <c r="F91" s="21">
        <f t="shared" si="4"/>
        <v>2.17</v>
      </c>
    </row>
    <row r="92" spans="1:6" x14ac:dyDescent="0.2">
      <c r="A92" s="19">
        <v>26</v>
      </c>
      <c r="B92" s="180" t="s">
        <v>23</v>
      </c>
      <c r="C92" s="181"/>
      <c r="D92" s="14">
        <f t="shared" si="5"/>
        <v>113662</v>
      </c>
      <c r="E92" s="17">
        <f>IF(F3="1",SUMIF(Data!A:A,'44'!$A$2,Data!EX:EX),0)</f>
        <v>358517</v>
      </c>
      <c r="F92" s="21">
        <f t="shared" si="4"/>
        <v>3.15</v>
      </c>
    </row>
    <row r="93" spans="1:6" x14ac:dyDescent="0.2">
      <c r="A93" s="19">
        <v>28</v>
      </c>
      <c r="B93" s="180" t="s">
        <v>24</v>
      </c>
      <c r="C93" s="181"/>
      <c r="D93" s="14">
        <f t="shared" si="5"/>
        <v>0</v>
      </c>
      <c r="E93" s="17">
        <f>IF(F3="1",SUMIF(Data!A:A,'44'!$A$2,Data!EZ:EZ),0)</f>
        <v>0</v>
      </c>
      <c r="F93" s="21" t="str">
        <f t="shared" si="4"/>
        <v/>
      </c>
    </row>
    <row r="94" spans="1:6" ht="15.75" customHeight="1" thickBot="1" x14ac:dyDescent="0.25">
      <c r="A94" s="22">
        <v>29</v>
      </c>
      <c r="B94" s="184" t="s">
        <v>25</v>
      </c>
      <c r="C94" s="185"/>
      <c r="D94" s="23">
        <f t="shared" si="5"/>
        <v>0</v>
      </c>
      <c r="E94" s="24">
        <f>IF(F3="1",SUMIF(Data!A:A,'44'!$A$2,Data!FA:FA),0)</f>
        <v>0</v>
      </c>
      <c r="F94" s="25" t="str">
        <f t="shared" si="4"/>
        <v/>
      </c>
    </row>
    <row r="95" spans="1:6" x14ac:dyDescent="0.2">
      <c r="B95" s="30" t="s">
        <v>35</v>
      </c>
      <c r="C95" s="30"/>
      <c r="D95" s="59">
        <f>SUM(D67:D94)</f>
        <v>3167969</v>
      </c>
      <c r="E95" s="31">
        <f>SUM(E67:E94)</f>
        <v>7212605</v>
      </c>
      <c r="F95" s="32">
        <f t="shared" si="4"/>
        <v>2.2799999999999998</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IF(F3="1",SUMIF(Data!A:A,'44'!$A$2,Data!AH:AH),0)</f>
        <v>2296055</v>
      </c>
      <c r="F98" s="20">
        <f>IF(OR(E98=0,E98=0),"",ROUND(E98/$D$105,2))</f>
        <v>0.72</v>
      </c>
    </row>
    <row r="99" spans="2:6" x14ac:dyDescent="0.2">
      <c r="B99" s="190" t="s">
        <v>31</v>
      </c>
      <c r="C99" s="191"/>
      <c r="D99" s="36"/>
      <c r="E99" s="17">
        <f>IF(F3="1",SUMIF(Data!A:A,'44'!$A$2,Data!AI:AI),0)</f>
        <v>1317393</v>
      </c>
      <c r="F99" s="21">
        <f t="shared" ref="F99:F104" si="6">IF(OR(E99=0,E99=0),"",ROUND(E99/$D$105,2))</f>
        <v>0.42</v>
      </c>
    </row>
    <row r="100" spans="2:6" x14ac:dyDescent="0.2">
      <c r="B100" s="190" t="s">
        <v>1089</v>
      </c>
      <c r="C100" s="191"/>
      <c r="D100" s="36"/>
      <c r="E100" s="17">
        <f>IF(F3="1",SUMIF(Data!A:A,'44'!$A$2,Data!AJ:AJ),0)</f>
        <v>616249</v>
      </c>
      <c r="F100" s="21">
        <f t="shared" si="6"/>
        <v>0.19</v>
      </c>
    </row>
    <row r="101" spans="2:6" x14ac:dyDescent="0.2">
      <c r="B101" s="190" t="s">
        <v>1090</v>
      </c>
      <c r="C101" s="191"/>
      <c r="D101" s="36"/>
      <c r="E101" s="17">
        <f>IF(F3="1",SUMIF(Data!A:A,'44'!$A$2,Data!AK:AK),0)</f>
        <v>914514</v>
      </c>
      <c r="F101" s="21">
        <f t="shared" si="6"/>
        <v>0.28999999999999998</v>
      </c>
    </row>
    <row r="102" spans="2:6" x14ac:dyDescent="0.2">
      <c r="B102" s="190" t="s">
        <v>1091</v>
      </c>
      <c r="C102" s="191"/>
      <c r="D102" s="36"/>
      <c r="E102" s="17">
        <f>IF(F3="1",SUMIF(Data!A:A,'44'!$A$2,Data!AL:AL),0)</f>
        <v>242698</v>
      </c>
      <c r="F102" s="21">
        <f t="shared" si="6"/>
        <v>0.08</v>
      </c>
    </row>
    <row r="103" spans="2:6" x14ac:dyDescent="0.2">
      <c r="B103" s="192" t="s">
        <v>34</v>
      </c>
      <c r="C103" s="193"/>
      <c r="D103" s="36"/>
      <c r="E103" s="17">
        <f>IF(F3="1",SUMIF(Data!A:A,'44'!$A$2,Data!AM:AM),0)</f>
        <v>0</v>
      </c>
      <c r="F103" s="21" t="str">
        <f t="shared" si="6"/>
        <v/>
      </c>
    </row>
    <row r="104" spans="2:6" ht="15.75" customHeight="1" thickBot="1" x14ac:dyDescent="0.25">
      <c r="B104" s="186" t="s">
        <v>29</v>
      </c>
      <c r="C104" s="187"/>
      <c r="D104" s="37"/>
      <c r="E104" s="24">
        <f>IF(F3="1",SUMIF(Data!A:A,'44'!$A$2,Data!Q:Q),0)</f>
        <v>1584212</v>
      </c>
      <c r="F104" s="25">
        <f t="shared" si="6"/>
        <v>0.5</v>
      </c>
    </row>
    <row r="105" spans="2:6" x14ac:dyDescent="0.2">
      <c r="B105" s="30" t="s">
        <v>35</v>
      </c>
      <c r="C105" s="30"/>
      <c r="D105" s="34">
        <f>D95</f>
        <v>3167969</v>
      </c>
      <c r="E105" s="31">
        <f>SUM(E98:E104)</f>
        <v>6971121</v>
      </c>
      <c r="F105" s="32">
        <f>IF($D$105=0,"",ROUND(E105/$D$105,2))</f>
        <v>2.2000000000000002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7212605</v>
      </c>
      <c r="D109" s="15">
        <f>IF(F3="1",SUMIF(Data!$A:$A,$A$2,Data!HJ:HJ),0)</f>
        <v>0</v>
      </c>
      <c r="E109" s="15">
        <f>IF(F3="1",SUMIF(Data!$A:$A,$A$2,Data!IN:IN),0)</f>
        <v>0</v>
      </c>
      <c r="F109" s="47">
        <f>SUM(C109:E109)</f>
        <v>7212605</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242698</v>
      </c>
      <c r="F116" s="48">
        <f t="shared" si="7"/>
        <v>242698</v>
      </c>
    </row>
    <row r="117" spans="1:6" ht="15" thickBot="1" x14ac:dyDescent="0.25">
      <c r="B117" s="43" t="s">
        <v>933</v>
      </c>
      <c r="C117" s="52"/>
      <c r="D117" s="52">
        <f>IF(F3="1",SUMIF(Data!A:A,$A$2,Data!Q:Q),0)</f>
        <v>1584212</v>
      </c>
      <c r="E117" s="52"/>
      <c r="F117" s="49">
        <f>SUM(C117:E117)</f>
        <v>1584212</v>
      </c>
    </row>
    <row r="118" spans="1:6" x14ac:dyDescent="0.2">
      <c r="B118" s="13" t="s">
        <v>35</v>
      </c>
      <c r="C118" s="4">
        <f>SUM(C109:C116)</f>
        <v>7212605</v>
      </c>
      <c r="D118" s="4">
        <f>SUM(D109:D116)</f>
        <v>0</v>
      </c>
      <c r="E118" s="4">
        <f>SUM(E109:E116)</f>
        <v>242698</v>
      </c>
      <c r="F118" s="4">
        <f>SUM(F109:F116)</f>
        <v>7455303</v>
      </c>
    </row>
    <row r="119" spans="1:6" ht="15" thickBot="1" x14ac:dyDescent="0.25"/>
    <row r="120" spans="1:6" ht="15" thickBot="1" x14ac:dyDescent="0.25">
      <c r="B120" s="55" t="s">
        <v>934</v>
      </c>
      <c r="C120" s="53"/>
      <c r="D120" s="53"/>
      <c r="E120" s="53">
        <f>IF(F3="1",SUMIF(Data!A:A,'44'!$A$2,Data!AM:AM),0)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2.140625" style="10" bestFit="1" customWidth="1"/>
    <col min="12" max="12" width="13.42578125" style="10" bestFit="1" customWidth="1"/>
    <col min="13" max="13" width="12.1406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411</v>
      </c>
      <c r="B2" s="58" t="str">
        <f>VLOOKUP(A2,Data!A:G,7,0)</f>
        <v>Tyler Junior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39408</v>
      </c>
      <c r="E5" s="15">
        <f>E36+E67+IFERROR($E$105/$D$105*D5,0)</f>
        <v>147894.91062332544</v>
      </c>
      <c r="F5" s="20">
        <f>IF(OR(D5=0,E5=0),"",ROUND(E5/D5,2))</f>
        <v>3.75</v>
      </c>
    </row>
    <row r="6" spans="1:6" x14ac:dyDescent="0.2">
      <c r="A6" s="19">
        <v>2</v>
      </c>
      <c r="B6" s="180" t="s">
        <v>1</v>
      </c>
      <c r="C6" s="181"/>
      <c r="D6" s="14">
        <f t="shared" ref="D6:D32" si="0">D37</f>
        <v>77540</v>
      </c>
      <c r="E6" s="17">
        <f t="shared" ref="E6:E32" si="1">E37+E68+IFERROR($E$105/$D$105*D6,0)</f>
        <v>760285.85915886762</v>
      </c>
      <c r="F6" s="21">
        <f t="shared" ref="F6:F33" si="2">IF(OR(D6=0,E6=0),"",ROUND(E6/D6,2))</f>
        <v>9.81</v>
      </c>
    </row>
    <row r="7" spans="1:6" ht="14.25" customHeight="1" x14ac:dyDescent="0.2">
      <c r="A7" s="19">
        <v>3</v>
      </c>
      <c r="B7" s="180" t="s">
        <v>2</v>
      </c>
      <c r="C7" s="181"/>
      <c r="D7" s="14">
        <f t="shared" si="0"/>
        <v>591857</v>
      </c>
      <c r="E7" s="17">
        <f t="shared" si="1"/>
        <v>2968073.1977971354</v>
      </c>
      <c r="F7" s="21">
        <f t="shared" si="2"/>
        <v>5.01</v>
      </c>
    </row>
    <row r="8" spans="1:6" ht="14.25" customHeight="1" x14ac:dyDescent="0.2">
      <c r="A8" s="19">
        <v>4</v>
      </c>
      <c r="B8" s="180" t="s">
        <v>3</v>
      </c>
      <c r="C8" s="181"/>
      <c r="D8" s="14">
        <f t="shared" si="0"/>
        <v>456772</v>
      </c>
      <c r="E8" s="17">
        <f t="shared" si="1"/>
        <v>1849902.0429160984</v>
      </c>
      <c r="F8" s="21">
        <f t="shared" si="2"/>
        <v>4.05</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17412</v>
      </c>
      <c r="E10" s="17">
        <f t="shared" si="1"/>
        <v>127530.97482169465</v>
      </c>
      <c r="F10" s="21">
        <f t="shared" si="2"/>
        <v>7.32</v>
      </c>
    </row>
    <row r="11" spans="1:6" x14ac:dyDescent="0.2">
      <c r="A11" s="19">
        <v>7</v>
      </c>
      <c r="B11" s="180" t="s">
        <v>6</v>
      </c>
      <c r="C11" s="181"/>
      <c r="D11" s="14">
        <f t="shared" si="0"/>
        <v>98401</v>
      </c>
      <c r="E11" s="17">
        <f t="shared" si="1"/>
        <v>1112459.3388714436</v>
      </c>
      <c r="F11" s="21">
        <f t="shared" si="2"/>
        <v>11.31</v>
      </c>
    </row>
    <row r="12" spans="1:6" x14ac:dyDescent="0.2">
      <c r="A12" s="19">
        <v>8</v>
      </c>
      <c r="B12" s="180" t="s">
        <v>7</v>
      </c>
      <c r="C12" s="181"/>
      <c r="D12" s="14">
        <f t="shared" si="0"/>
        <v>0</v>
      </c>
      <c r="E12" s="17">
        <f t="shared" si="1"/>
        <v>0</v>
      </c>
      <c r="F12" s="21" t="str">
        <f t="shared" si="2"/>
        <v/>
      </c>
    </row>
    <row r="13" spans="1:6" x14ac:dyDescent="0.2">
      <c r="A13" s="19">
        <v>9</v>
      </c>
      <c r="B13" s="180" t="s">
        <v>8</v>
      </c>
      <c r="C13" s="181"/>
      <c r="D13" s="14">
        <f t="shared" si="0"/>
        <v>77670</v>
      </c>
      <c r="E13" s="17">
        <f t="shared" si="1"/>
        <v>326957.58100166684</v>
      </c>
      <c r="F13" s="21">
        <f t="shared" si="2"/>
        <v>4.21</v>
      </c>
    </row>
    <row r="14" spans="1:6" x14ac:dyDescent="0.2">
      <c r="A14" s="19">
        <v>10</v>
      </c>
      <c r="B14" s="180" t="s">
        <v>9</v>
      </c>
      <c r="C14" s="181"/>
      <c r="D14" s="14">
        <f t="shared" si="0"/>
        <v>1984</v>
      </c>
      <c r="E14" s="17">
        <f t="shared" si="1"/>
        <v>5047.5241239514226</v>
      </c>
      <c r="F14" s="21">
        <f t="shared" si="2"/>
        <v>2.54</v>
      </c>
    </row>
    <row r="15" spans="1:6" x14ac:dyDescent="0.2">
      <c r="A15" s="19">
        <v>11</v>
      </c>
      <c r="B15" s="180" t="s">
        <v>10</v>
      </c>
      <c r="C15" s="181"/>
      <c r="D15" s="14">
        <f t="shared" si="0"/>
        <v>116735</v>
      </c>
      <c r="E15" s="17">
        <f t="shared" si="1"/>
        <v>483968.49476283736</v>
      </c>
      <c r="F15" s="21">
        <f t="shared" si="2"/>
        <v>4.1500000000000004</v>
      </c>
    </row>
    <row r="16" spans="1:6" ht="14.25" customHeight="1" x14ac:dyDescent="0.2">
      <c r="A16" s="19">
        <v>12</v>
      </c>
      <c r="B16" s="180" t="s">
        <v>11</v>
      </c>
      <c r="C16" s="181"/>
      <c r="D16" s="14">
        <f t="shared" si="0"/>
        <v>619432</v>
      </c>
      <c r="E16" s="17">
        <f t="shared" si="1"/>
        <v>2987006.3886832045</v>
      </c>
      <c r="F16" s="21">
        <f t="shared" si="2"/>
        <v>4.82</v>
      </c>
    </row>
    <row r="17" spans="1:6" x14ac:dyDescent="0.2">
      <c r="A17" s="19">
        <v>13</v>
      </c>
      <c r="B17" s="180" t="s">
        <v>12</v>
      </c>
      <c r="C17" s="181"/>
      <c r="D17" s="14">
        <f t="shared" si="0"/>
        <v>34044</v>
      </c>
      <c r="E17" s="17">
        <f t="shared" si="1"/>
        <v>205438.61858659389</v>
      </c>
      <c r="F17" s="21">
        <f t="shared" si="2"/>
        <v>6.03</v>
      </c>
    </row>
    <row r="18" spans="1:6" ht="14.25" customHeight="1" x14ac:dyDescent="0.2">
      <c r="A18" s="19">
        <v>14</v>
      </c>
      <c r="B18" s="180" t="s">
        <v>464</v>
      </c>
      <c r="C18" s="181"/>
      <c r="D18" s="14">
        <f t="shared" si="0"/>
        <v>161340</v>
      </c>
      <c r="E18" s="17">
        <f t="shared" si="1"/>
        <v>1264502.247055606</v>
      </c>
      <c r="F18" s="21">
        <f t="shared" si="2"/>
        <v>7.84</v>
      </c>
    </row>
    <row r="19" spans="1:6" x14ac:dyDescent="0.2">
      <c r="A19" s="19">
        <v>15</v>
      </c>
      <c r="B19" s="180" t="s">
        <v>13</v>
      </c>
      <c r="C19" s="181"/>
      <c r="D19" s="14">
        <f t="shared" si="0"/>
        <v>39708</v>
      </c>
      <c r="E19" s="17">
        <f t="shared" si="1"/>
        <v>485417.11487593909</v>
      </c>
      <c r="F19" s="21">
        <f t="shared" si="2"/>
        <v>12.22</v>
      </c>
    </row>
    <row r="20" spans="1:6" x14ac:dyDescent="0.2">
      <c r="A20" s="19">
        <v>16</v>
      </c>
      <c r="B20" s="180" t="s">
        <v>14</v>
      </c>
      <c r="C20" s="181"/>
      <c r="D20" s="14">
        <f t="shared" si="0"/>
        <v>354316</v>
      </c>
      <c r="E20" s="17">
        <f t="shared" si="1"/>
        <v>1910074.7265634942</v>
      </c>
      <c r="F20" s="21">
        <f t="shared" si="2"/>
        <v>5.39</v>
      </c>
    </row>
    <row r="21" spans="1:6" x14ac:dyDescent="0.2">
      <c r="A21" s="19">
        <v>17</v>
      </c>
      <c r="B21" s="180" t="s">
        <v>15</v>
      </c>
      <c r="C21" s="181"/>
      <c r="D21" s="14">
        <f t="shared" si="0"/>
        <v>49344</v>
      </c>
      <c r="E21" s="17">
        <f t="shared" si="1"/>
        <v>360968.03546988859</v>
      </c>
      <c r="F21" s="21">
        <f t="shared" si="2"/>
        <v>7.32</v>
      </c>
    </row>
    <row r="22" spans="1:6" x14ac:dyDescent="0.2">
      <c r="A22" s="19">
        <v>18</v>
      </c>
      <c r="B22" s="180" t="s">
        <v>16</v>
      </c>
      <c r="C22" s="181"/>
      <c r="D22" s="14">
        <f t="shared" si="0"/>
        <v>190368</v>
      </c>
      <c r="E22" s="17">
        <f t="shared" si="1"/>
        <v>1076891.2905385003</v>
      </c>
      <c r="F22" s="21">
        <f t="shared" si="2"/>
        <v>5.66</v>
      </c>
    </row>
    <row r="23" spans="1:6" x14ac:dyDescent="0.2">
      <c r="A23" s="19">
        <v>19</v>
      </c>
      <c r="B23" s="180" t="s">
        <v>17</v>
      </c>
      <c r="C23" s="181"/>
      <c r="D23" s="14">
        <f t="shared" si="0"/>
        <v>581812</v>
      </c>
      <c r="E23" s="17">
        <f t="shared" si="1"/>
        <v>2889797.5754054561</v>
      </c>
      <c r="F23" s="21">
        <f t="shared" si="2"/>
        <v>4.97</v>
      </c>
    </row>
    <row r="24" spans="1:6" x14ac:dyDescent="0.2">
      <c r="A24" s="19">
        <v>20</v>
      </c>
      <c r="B24" s="180" t="s">
        <v>18</v>
      </c>
      <c r="C24" s="181"/>
      <c r="D24" s="14">
        <f t="shared" si="0"/>
        <v>75881</v>
      </c>
      <c r="E24" s="17">
        <f t="shared" si="1"/>
        <v>569053.13964191428</v>
      </c>
      <c r="F24" s="21">
        <f t="shared" si="2"/>
        <v>7.5</v>
      </c>
    </row>
    <row r="25" spans="1:6" ht="14.25" customHeight="1" x14ac:dyDescent="0.2">
      <c r="A25" s="19">
        <v>21</v>
      </c>
      <c r="B25" s="180" t="s">
        <v>461</v>
      </c>
      <c r="C25" s="181"/>
      <c r="D25" s="14">
        <f t="shared" si="0"/>
        <v>24000</v>
      </c>
      <c r="E25" s="17">
        <f t="shared" si="1"/>
        <v>861730.3402090898</v>
      </c>
      <c r="F25" s="21">
        <f t="shared" si="2"/>
        <v>35.909999999999997</v>
      </c>
    </row>
    <row r="26" spans="1:6" x14ac:dyDescent="0.2">
      <c r="A26" s="19">
        <v>22</v>
      </c>
      <c r="B26" s="180" t="s">
        <v>19</v>
      </c>
      <c r="C26" s="181"/>
      <c r="D26" s="14">
        <f t="shared" si="0"/>
        <v>3184</v>
      </c>
      <c r="E26" s="17">
        <f t="shared" si="1"/>
        <v>8324.3411344059132</v>
      </c>
      <c r="F26" s="21">
        <f t="shared" si="2"/>
        <v>2.61</v>
      </c>
    </row>
    <row r="27" spans="1:6" x14ac:dyDescent="0.2">
      <c r="A27" s="19">
        <v>23</v>
      </c>
      <c r="B27" s="180" t="s">
        <v>20</v>
      </c>
      <c r="C27" s="181"/>
      <c r="D27" s="14">
        <f t="shared" si="0"/>
        <v>114393</v>
      </c>
      <c r="E27" s="17">
        <f t="shared" si="1"/>
        <v>987643.8135641003</v>
      </c>
      <c r="F27" s="21">
        <f t="shared" si="2"/>
        <v>8.6300000000000008</v>
      </c>
    </row>
    <row r="28" spans="1:6" x14ac:dyDescent="0.2">
      <c r="A28" s="19">
        <v>24</v>
      </c>
      <c r="B28" s="180" t="s">
        <v>21</v>
      </c>
      <c r="C28" s="181"/>
      <c r="D28" s="14">
        <f t="shared" si="0"/>
        <v>95808</v>
      </c>
      <c r="E28" s="17">
        <f t="shared" si="1"/>
        <v>401149.31011468649</v>
      </c>
      <c r="F28" s="21">
        <f t="shared" si="2"/>
        <v>4.1900000000000004</v>
      </c>
    </row>
    <row r="29" spans="1:6" x14ac:dyDescent="0.2">
      <c r="A29" s="19">
        <v>25</v>
      </c>
      <c r="B29" s="180" t="s">
        <v>22</v>
      </c>
      <c r="C29" s="181"/>
      <c r="D29" s="14">
        <f t="shared" si="0"/>
        <v>666288</v>
      </c>
      <c r="E29" s="17">
        <f t="shared" si="1"/>
        <v>3207388.5168847507</v>
      </c>
      <c r="F29" s="21">
        <f t="shared" si="2"/>
        <v>4.8099999999999996</v>
      </c>
    </row>
    <row r="30" spans="1:6" x14ac:dyDescent="0.2">
      <c r="A30" s="19">
        <v>26</v>
      </c>
      <c r="B30" s="180" t="s">
        <v>23</v>
      </c>
      <c r="C30" s="181"/>
      <c r="D30" s="14">
        <f t="shared" si="0"/>
        <v>251224</v>
      </c>
      <c r="E30" s="17">
        <f t="shared" si="1"/>
        <v>1891389.617195349</v>
      </c>
      <c r="F30" s="21">
        <f t="shared" si="2"/>
        <v>7.53</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4738921</v>
      </c>
      <c r="E33" s="31">
        <f>SUM(E5:E32)</f>
        <v>26888894.999999996</v>
      </c>
      <c r="F33" s="32">
        <f t="shared" si="2"/>
        <v>5.67</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IF(F3="1",SUMIF(Data!A:A,'45'!$A$2,Data!CU:CU),0)</f>
        <v>39408</v>
      </c>
      <c r="E36" s="15">
        <f>IF(F3="1",SUMIF(Data!$A:$A,$A$2,Data!IO:IO),0)</f>
        <v>13766</v>
      </c>
      <c r="F36" s="20">
        <f t="shared" ref="F36:F64" si="3">IF(OR(D36=0,E36=0),"",ROUND(E36/D36,2))</f>
        <v>0.35</v>
      </c>
    </row>
    <row r="37" spans="1:6" x14ac:dyDescent="0.2">
      <c r="A37" s="19">
        <v>2</v>
      </c>
      <c r="B37" s="180" t="s">
        <v>1</v>
      </c>
      <c r="C37" s="181"/>
      <c r="D37" s="14">
        <f>IF(F3="1",SUMIF(Data!A:A,'45'!$A$2,Data!CV:CV),0)</f>
        <v>77540</v>
      </c>
      <c r="E37" s="17">
        <f>IF(F3="1",SUMIF(Data!$A:$A,$A$2,Data!IP:IP),0)</f>
        <v>160419</v>
      </c>
      <c r="F37" s="21">
        <f t="shared" si="3"/>
        <v>2.0699999999999998</v>
      </c>
    </row>
    <row r="38" spans="1:6" ht="14.25" customHeight="1" x14ac:dyDescent="0.2">
      <c r="A38" s="19">
        <v>3</v>
      </c>
      <c r="B38" s="180" t="s">
        <v>2</v>
      </c>
      <c r="C38" s="181"/>
      <c r="D38" s="14">
        <f>IF(F3="1",SUMIF(Data!A:A,'45'!$A$2,Data!CW:CW),0)</f>
        <v>591857</v>
      </c>
      <c r="E38" s="17">
        <f>IF($F$3="1",SUMIF(Data!$A:$A,$A$2,Data!IQ:IQ),0)</f>
        <v>439520</v>
      </c>
      <c r="F38" s="21">
        <f t="shared" si="3"/>
        <v>0.74</v>
      </c>
    </row>
    <row r="39" spans="1:6" ht="14.25" customHeight="1" x14ac:dyDescent="0.2">
      <c r="A39" s="19">
        <v>4</v>
      </c>
      <c r="B39" s="180" t="s">
        <v>3</v>
      </c>
      <c r="C39" s="181"/>
      <c r="D39" s="14">
        <f>IF(F3="1",SUMIF(Data!A:A,'45'!$A$2,Data!CX:CX),0)</f>
        <v>456772</v>
      </c>
      <c r="E39" s="17">
        <f>IF($F$3="1",SUMIF(Data!$A:$A,$A$2,Data!IR:IR),0)</f>
        <v>120071</v>
      </c>
      <c r="F39" s="21">
        <f t="shared" si="3"/>
        <v>0.26</v>
      </c>
    </row>
    <row r="40" spans="1:6" x14ac:dyDescent="0.2">
      <c r="A40" s="19">
        <v>5</v>
      </c>
      <c r="B40" s="180" t="s">
        <v>4</v>
      </c>
      <c r="C40" s="181"/>
      <c r="D40" s="14">
        <f>IF(F3="1",SUMIF(Data!A:A,'45'!$A$2,Data!CY:CY),0)</f>
        <v>0</v>
      </c>
      <c r="E40" s="17">
        <f>IF($F$3="1",SUMIF(Data!$A:$A,$A$2,Data!IS:IS),0)</f>
        <v>0</v>
      </c>
      <c r="F40" s="21" t="str">
        <f t="shared" si="3"/>
        <v/>
      </c>
    </row>
    <row r="41" spans="1:6" x14ac:dyDescent="0.2">
      <c r="A41" s="19">
        <v>6</v>
      </c>
      <c r="B41" s="180" t="s">
        <v>5</v>
      </c>
      <c r="C41" s="181"/>
      <c r="D41" s="14">
        <f>IF(F3="1",SUMIF(Data!A:A,'45'!$A$2,Data!CZ:CZ),0)</f>
        <v>17412</v>
      </c>
      <c r="E41" s="17">
        <f>IF($F$3="1",SUMIF(Data!$A:$A,$A$2,Data!IT:IT),0)</f>
        <v>13585</v>
      </c>
      <c r="F41" s="21">
        <f t="shared" si="3"/>
        <v>0.78</v>
      </c>
    </row>
    <row r="42" spans="1:6" x14ac:dyDescent="0.2">
      <c r="A42" s="19">
        <v>7</v>
      </c>
      <c r="B42" s="180" t="s">
        <v>6</v>
      </c>
      <c r="C42" s="181"/>
      <c r="D42" s="14">
        <f>IF(F3="1",SUMIF(Data!A:A,'45'!$A$2,Data!DA:DA),0)</f>
        <v>98401</v>
      </c>
      <c r="E42" s="17">
        <f>IF($F$3="1",SUMIF(Data!$A:$A,$A$2,Data!IU:IU),0)</f>
        <v>59412</v>
      </c>
      <c r="F42" s="21">
        <f t="shared" si="3"/>
        <v>0.6</v>
      </c>
    </row>
    <row r="43" spans="1:6" x14ac:dyDescent="0.2">
      <c r="A43" s="19">
        <v>8</v>
      </c>
      <c r="B43" s="180" t="s">
        <v>7</v>
      </c>
      <c r="C43" s="181"/>
      <c r="D43" s="14">
        <f>IF(F3="1",SUMIF(Data!A:A,'45'!$A$2,Data!DB:DB),0)</f>
        <v>0</v>
      </c>
      <c r="E43" s="17">
        <f>IF($F$3="1",SUMIF(Data!$A:$A,$A$2,Data!IV:IV),0)</f>
        <v>0</v>
      </c>
      <c r="F43" s="21" t="str">
        <f t="shared" si="3"/>
        <v/>
      </c>
    </row>
    <row r="44" spans="1:6" x14ac:dyDescent="0.2">
      <c r="A44" s="19">
        <v>9</v>
      </c>
      <c r="B44" s="180" t="s">
        <v>8</v>
      </c>
      <c r="C44" s="181"/>
      <c r="D44" s="14">
        <f>IF(F3="1",SUMIF(Data!A:A,'45'!$A$2,Data!DC:DC),0)</f>
        <v>77670</v>
      </c>
      <c r="E44" s="17">
        <f>IF($F$3="1",SUMIF(Data!$A:$A,$A$2,Data!IW:IW),0)</f>
        <v>34796</v>
      </c>
      <c r="F44" s="21">
        <f t="shared" si="3"/>
        <v>0.45</v>
      </c>
    </row>
    <row r="45" spans="1:6" x14ac:dyDescent="0.2">
      <c r="A45" s="19">
        <v>10</v>
      </c>
      <c r="B45" s="180" t="s">
        <v>9</v>
      </c>
      <c r="C45" s="181"/>
      <c r="D45" s="14">
        <f>IF(F3="1",SUMIF(Data!A:A,'45'!$A$2,Data!DD:DD),0)</f>
        <v>1984</v>
      </c>
      <c r="E45" s="17">
        <f>IF($F$3="1",SUMIF(Data!$A:$A,$A$2,Data!IX:IX),0)</f>
        <v>397</v>
      </c>
      <c r="F45" s="21">
        <f t="shared" si="3"/>
        <v>0.2</v>
      </c>
    </row>
    <row r="46" spans="1:6" x14ac:dyDescent="0.2">
      <c r="A46" s="19">
        <v>11</v>
      </c>
      <c r="B46" s="180" t="s">
        <v>10</v>
      </c>
      <c r="C46" s="181"/>
      <c r="D46" s="14">
        <f>IF(F3="1",SUMIF(Data!A:A,'45'!$A$2,Data!DE:DE),0)</f>
        <v>116735</v>
      </c>
      <c r="E46" s="17">
        <f>IF($F$3="1",SUMIF(Data!$A:$A,$A$2,Data!IY:IY),0)</f>
        <v>49039</v>
      </c>
      <c r="F46" s="21">
        <f t="shared" si="3"/>
        <v>0.42</v>
      </c>
    </row>
    <row r="47" spans="1:6" ht="14.25" customHeight="1" x14ac:dyDescent="0.2">
      <c r="A47" s="19">
        <v>12</v>
      </c>
      <c r="B47" s="180" t="s">
        <v>11</v>
      </c>
      <c r="C47" s="181"/>
      <c r="D47" s="14">
        <f>IF(F3="1",SUMIF(Data!A:A,'45'!$A$2,Data!DF:DF),0)</f>
        <v>619432</v>
      </c>
      <c r="E47" s="17">
        <f>IF($F$3="1",SUMIF(Data!$A:$A,$A$2,Data!IZ:IZ),0)</f>
        <v>227055</v>
      </c>
      <c r="F47" s="21">
        <f t="shared" si="3"/>
        <v>0.37</v>
      </c>
    </row>
    <row r="48" spans="1:6" x14ac:dyDescent="0.2">
      <c r="A48" s="19">
        <v>13</v>
      </c>
      <c r="B48" s="180" t="s">
        <v>12</v>
      </c>
      <c r="C48" s="181"/>
      <c r="D48" s="14">
        <f>IF(F3="1",SUMIF(Data!A:A,'45'!$A$2,Data!DG:DG),0)</f>
        <v>34044</v>
      </c>
      <c r="E48" s="17">
        <f>IF($F$3="1",SUMIF(Data!$A:$A,$A$2,Data!JA:JA),0)</f>
        <v>11946</v>
      </c>
      <c r="F48" s="21">
        <f t="shared" si="3"/>
        <v>0.35</v>
      </c>
    </row>
    <row r="49" spans="1:6" ht="14.25" customHeight="1" x14ac:dyDescent="0.2">
      <c r="A49" s="19">
        <v>14</v>
      </c>
      <c r="B49" s="180" t="s">
        <v>464</v>
      </c>
      <c r="C49" s="181"/>
      <c r="D49" s="14">
        <f>IF(F3="1",SUMIF(Data!A:A,'45'!$A$2,Data!DH:DH),0)</f>
        <v>161340</v>
      </c>
      <c r="E49" s="17">
        <f>IF($F$3="1",SUMIF(Data!$A:$A,$A$2,Data!JB:JB),0)</f>
        <v>121304</v>
      </c>
      <c r="F49" s="21">
        <f t="shared" si="3"/>
        <v>0.75</v>
      </c>
    </row>
    <row r="50" spans="1:6" x14ac:dyDescent="0.2">
      <c r="A50" s="19">
        <v>15</v>
      </c>
      <c r="B50" s="180" t="s">
        <v>13</v>
      </c>
      <c r="C50" s="181"/>
      <c r="D50" s="14">
        <f>IF(F3="1",SUMIF(Data!A:A,'45'!$A$2,Data!DI:DI),0)</f>
        <v>39708</v>
      </c>
      <c r="E50" s="17">
        <f>IF($F$3="1",SUMIF(Data!$A:$A,$A$2,Data!JC:JC),0)</f>
        <v>89389</v>
      </c>
      <c r="F50" s="21">
        <f t="shared" si="3"/>
        <v>2.25</v>
      </c>
    </row>
    <row r="51" spans="1:6" x14ac:dyDescent="0.2">
      <c r="A51" s="19">
        <v>16</v>
      </c>
      <c r="B51" s="180" t="s">
        <v>14</v>
      </c>
      <c r="C51" s="181"/>
      <c r="D51" s="14">
        <f>IF(F3="1",SUMIF(Data!A:A,'45'!$A$2,Data!DJ:DJ),0)</f>
        <v>354316</v>
      </c>
      <c r="E51" s="17">
        <f>IF($F$3="1",SUMIF(Data!$A:$A,$A$2,Data!JD:JD),0)</f>
        <v>187424</v>
      </c>
      <c r="F51" s="21">
        <f t="shared" si="3"/>
        <v>0.53</v>
      </c>
    </row>
    <row r="52" spans="1:6" x14ac:dyDescent="0.2">
      <c r="A52" s="19">
        <v>17</v>
      </c>
      <c r="B52" s="180" t="s">
        <v>15</v>
      </c>
      <c r="C52" s="181"/>
      <c r="D52" s="14">
        <f>IF(F3="1",SUMIF(Data!A:A,'45'!$A$2,Data!DK:DK),0)</f>
        <v>49344</v>
      </c>
      <c r="E52" s="17">
        <f>IF($F$3="1",SUMIF(Data!$A:$A,$A$2,Data!JE:JE),0)</f>
        <v>30412</v>
      </c>
      <c r="F52" s="21">
        <f t="shared" si="3"/>
        <v>0.62</v>
      </c>
    </row>
    <row r="53" spans="1:6" x14ac:dyDescent="0.2">
      <c r="A53" s="19">
        <v>18</v>
      </c>
      <c r="B53" s="180" t="s">
        <v>16</v>
      </c>
      <c r="C53" s="181"/>
      <c r="D53" s="14">
        <f>IF(F3="1",SUMIF(Data!A:A,'45'!$A$2,Data!DL:DL),0)</f>
        <v>190368</v>
      </c>
      <c r="E53" s="17">
        <f>IF($F$3="1",SUMIF(Data!$A:$A,$A$2,Data!JF:JF),0)</f>
        <v>77940</v>
      </c>
      <c r="F53" s="21">
        <f t="shared" si="3"/>
        <v>0.41</v>
      </c>
    </row>
    <row r="54" spans="1:6" x14ac:dyDescent="0.2">
      <c r="A54" s="19">
        <v>19</v>
      </c>
      <c r="B54" s="180" t="s">
        <v>17</v>
      </c>
      <c r="C54" s="181"/>
      <c r="D54" s="14">
        <f>IF(F3="1",SUMIF(Data!A:A,'45'!$A$2,Data!DM:DM),0)</f>
        <v>581812</v>
      </c>
      <c r="E54" s="17">
        <f>IF($F$3="1",SUMIF(Data!$A:$A,$A$2,Data!JG:JG),0)</f>
        <v>271291</v>
      </c>
      <c r="F54" s="21">
        <f t="shared" si="3"/>
        <v>0.47</v>
      </c>
    </row>
    <row r="55" spans="1:6" x14ac:dyDescent="0.2">
      <c r="A55" s="19">
        <v>20</v>
      </c>
      <c r="B55" s="180" t="s">
        <v>18</v>
      </c>
      <c r="C55" s="181"/>
      <c r="D55" s="14">
        <f>IF(F3="1",SUMIF(Data!A:A,'45'!$A$2,Data!DN:DN),0)</f>
        <v>75881</v>
      </c>
      <c r="E55" s="17">
        <f>IF($F$3="1",SUMIF(Data!$A:$A,$A$2,Data!JH:JH),0)</f>
        <v>60295</v>
      </c>
      <c r="F55" s="21">
        <f t="shared" si="3"/>
        <v>0.79</v>
      </c>
    </row>
    <row r="56" spans="1:6" ht="14.25" customHeight="1" x14ac:dyDescent="0.2">
      <c r="A56" s="19">
        <v>21</v>
      </c>
      <c r="B56" s="180" t="s">
        <v>461</v>
      </c>
      <c r="C56" s="181"/>
      <c r="D56" s="14">
        <f>IF(F3="1",SUMIF(Data!A:A,'45'!$A$2,Data!DO:DO),0)</f>
        <v>24000</v>
      </c>
      <c r="E56" s="17">
        <f>IF($F$3="1",SUMIF(Data!$A:$A,$A$2,Data!JI:JI),0)</f>
        <v>786844</v>
      </c>
      <c r="F56" s="21">
        <f t="shared" si="3"/>
        <v>32.79</v>
      </c>
    </row>
    <row r="57" spans="1:6" x14ac:dyDescent="0.2">
      <c r="A57" s="19">
        <v>22</v>
      </c>
      <c r="B57" s="180" t="s">
        <v>19</v>
      </c>
      <c r="C57" s="181"/>
      <c r="D57" s="14">
        <f>IF(F3="1",SUMIF(Data!A:A,'45'!$A$2,Data!DP:DP),0)</f>
        <v>3184</v>
      </c>
      <c r="E57" s="17">
        <f>IF($F$3="1",SUMIF(Data!$A:$A,$A$2,Data!JJ:JJ),0)</f>
        <v>675</v>
      </c>
      <c r="F57" s="21">
        <f t="shared" si="3"/>
        <v>0.21</v>
      </c>
    </row>
    <row r="58" spans="1:6" x14ac:dyDescent="0.2">
      <c r="A58" s="19">
        <v>23</v>
      </c>
      <c r="B58" s="180" t="s">
        <v>20</v>
      </c>
      <c r="C58" s="181"/>
      <c r="D58" s="14">
        <f>IF(F3="1",SUMIF(Data!A:A,'45'!$A$2,Data!DQ:DQ),0)</f>
        <v>114393</v>
      </c>
      <c r="E58" s="17">
        <f>IF($F$3="1",SUMIF(Data!$A:$A,$A$2,Data!JK:JK),0)</f>
        <v>51138</v>
      </c>
      <c r="F58" s="21">
        <f t="shared" si="3"/>
        <v>0.45</v>
      </c>
    </row>
    <row r="59" spans="1:6" x14ac:dyDescent="0.2">
      <c r="A59" s="19">
        <v>24</v>
      </c>
      <c r="B59" s="180" t="s">
        <v>21</v>
      </c>
      <c r="C59" s="181"/>
      <c r="D59" s="14">
        <f>IF(F3="1",SUMIF(Data!A:A,'45'!$A$2,Data!DR:DR),0)</f>
        <v>95808</v>
      </c>
      <c r="E59" s="17">
        <f>IF($F$3="1",SUMIF(Data!$A:$A,$A$2,Data!JL:JL),0)</f>
        <v>37162</v>
      </c>
      <c r="F59" s="21">
        <f t="shared" si="3"/>
        <v>0.39</v>
      </c>
    </row>
    <row r="60" spans="1:6" x14ac:dyDescent="0.2">
      <c r="A60" s="19">
        <v>25</v>
      </c>
      <c r="B60" s="180" t="s">
        <v>22</v>
      </c>
      <c r="C60" s="181"/>
      <c r="D60" s="14">
        <f>IF(F3="1",SUMIF(Data!A:A,'45'!$A$2,Data!DS:DS),0)</f>
        <v>666288</v>
      </c>
      <c r="E60" s="17">
        <f>IF($F$3="1",SUMIF(Data!$A:$A,$A$2,Data!JM:JM),0)</f>
        <v>188049</v>
      </c>
      <c r="F60" s="21">
        <f t="shared" si="3"/>
        <v>0.28000000000000003</v>
      </c>
    </row>
    <row r="61" spans="1:6" x14ac:dyDescent="0.2">
      <c r="A61" s="19">
        <v>26</v>
      </c>
      <c r="B61" s="180" t="s">
        <v>23</v>
      </c>
      <c r="C61" s="181"/>
      <c r="D61" s="14">
        <f>IF(F3="1",SUMIF(Data!A:A,'45'!$A$2,Data!DT:DT),0)</f>
        <v>251224</v>
      </c>
      <c r="E61" s="17">
        <f>IF($F$3="1",SUMIF(Data!$A:$A,$A$2,Data!JN:JN),0)</f>
        <v>323497</v>
      </c>
      <c r="F61" s="21">
        <f t="shared" si="3"/>
        <v>1.29</v>
      </c>
    </row>
    <row r="62" spans="1:6" x14ac:dyDescent="0.2">
      <c r="A62" s="19">
        <v>28</v>
      </c>
      <c r="B62" s="180" t="s">
        <v>24</v>
      </c>
      <c r="C62" s="181"/>
      <c r="D62" s="14">
        <f>IF(F3="1",SUMIF(Data!A:A,'45'!$A$2,Data!DV:DV),0)</f>
        <v>0</v>
      </c>
      <c r="E62" s="17">
        <f>IF($F$3="1",SUMIF(Data!$A:$A,$A$2,Data!JP:JP),0)</f>
        <v>0</v>
      </c>
      <c r="F62" s="21" t="str">
        <f t="shared" si="3"/>
        <v/>
      </c>
    </row>
    <row r="63" spans="1:6" ht="15.75" customHeight="1" thickBot="1" x14ac:dyDescent="0.25">
      <c r="A63" s="22">
        <v>29</v>
      </c>
      <c r="B63" s="184" t="s">
        <v>25</v>
      </c>
      <c r="C63" s="185"/>
      <c r="D63" s="23">
        <f>IF(F3="1",SUMIF(Data!A:A,'45'!$A$2,Data!DW:DW),0)</f>
        <v>0</v>
      </c>
      <c r="E63" s="24">
        <f>IF($F$3="1",SUMIF(Data!$A:$A,$A$2,Data!JQ:JQ),0)</f>
        <v>0</v>
      </c>
      <c r="F63" s="25" t="str">
        <f t="shared" si="3"/>
        <v/>
      </c>
    </row>
    <row r="64" spans="1:6" x14ac:dyDescent="0.2">
      <c r="B64" s="30" t="s">
        <v>35</v>
      </c>
      <c r="C64" s="30"/>
      <c r="D64" s="59">
        <f>SUM(D36:D63)</f>
        <v>4738921</v>
      </c>
      <c r="E64" s="31">
        <f>SUM(E36:E63)</f>
        <v>3355426</v>
      </c>
      <c r="F64" s="32">
        <f t="shared" si="3"/>
        <v>0.71</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39408</v>
      </c>
      <c r="E67" s="15">
        <f>IF(F3="1",SUMIF(Data!A:A,'45'!$A$2,Data!DY:DY),0)</f>
        <v>41756</v>
      </c>
      <c r="F67" s="20">
        <f t="shared" ref="F67:F95" si="4">IF(OR(D67=0,E67=0),"",ROUND(E67/D67,2))</f>
        <v>1.06</v>
      </c>
    </row>
    <row r="68" spans="1:6" x14ac:dyDescent="0.2">
      <c r="A68" s="19">
        <v>2</v>
      </c>
      <c r="B68" s="180" t="s">
        <v>1</v>
      </c>
      <c r="C68" s="181"/>
      <c r="D68" s="14">
        <f t="shared" ref="D68:D94" si="5">D37</f>
        <v>77540</v>
      </c>
      <c r="E68" s="17">
        <f>IF(F3="1",SUMIF(Data!A:A,'45'!$A$2,Data!DZ:DZ),0)</f>
        <v>418112</v>
      </c>
      <c r="F68" s="21">
        <f t="shared" si="4"/>
        <v>5.39</v>
      </c>
    </row>
    <row r="69" spans="1:6" ht="14.25" customHeight="1" x14ac:dyDescent="0.2">
      <c r="A69" s="19">
        <v>3</v>
      </c>
      <c r="B69" s="180" t="s">
        <v>2</v>
      </c>
      <c r="C69" s="181"/>
      <c r="D69" s="14">
        <f t="shared" si="5"/>
        <v>591857</v>
      </c>
      <c r="E69" s="17">
        <f>IF(F3="1",SUMIF(Data!A:A,'45'!$A$2,Data!EA:EA),0)</f>
        <v>1141232</v>
      </c>
      <c r="F69" s="21">
        <f t="shared" si="4"/>
        <v>1.93</v>
      </c>
    </row>
    <row r="70" spans="1:6" ht="14.25" customHeight="1" x14ac:dyDescent="0.2">
      <c r="A70" s="19">
        <v>4</v>
      </c>
      <c r="B70" s="180" t="s">
        <v>3</v>
      </c>
      <c r="C70" s="181"/>
      <c r="D70" s="14">
        <f t="shared" si="5"/>
        <v>456772</v>
      </c>
      <c r="E70" s="17">
        <f>IF(F3="1",SUMIF(Data!A:A,'45'!$A$2,Data!EB:EB),0)</f>
        <v>659151</v>
      </c>
      <c r="F70" s="21">
        <f t="shared" si="4"/>
        <v>1.44</v>
      </c>
    </row>
    <row r="71" spans="1:6" x14ac:dyDescent="0.2">
      <c r="A71" s="19">
        <v>5</v>
      </c>
      <c r="B71" s="180" t="s">
        <v>4</v>
      </c>
      <c r="C71" s="181"/>
      <c r="D71" s="14">
        <f t="shared" si="5"/>
        <v>0</v>
      </c>
      <c r="E71" s="17">
        <f>IF(F3="1",SUMIF(Data!A:A,'45'!$A$2,Data!EC:EC),0)</f>
        <v>0</v>
      </c>
      <c r="F71" s="21" t="str">
        <f t="shared" si="4"/>
        <v/>
      </c>
    </row>
    <row r="72" spans="1:6" x14ac:dyDescent="0.2">
      <c r="A72" s="19">
        <v>6</v>
      </c>
      <c r="B72" s="180" t="s">
        <v>5</v>
      </c>
      <c r="C72" s="181"/>
      <c r="D72" s="14">
        <f t="shared" si="5"/>
        <v>17412</v>
      </c>
      <c r="E72" s="17">
        <f>IF(F3="1",SUMIF(Data!A:A,'45'!$A$2,Data!ED:ED),0)</f>
        <v>73132</v>
      </c>
      <c r="F72" s="21">
        <f t="shared" si="4"/>
        <v>4.2</v>
      </c>
    </row>
    <row r="73" spans="1:6" x14ac:dyDescent="0.2">
      <c r="A73" s="19">
        <v>7</v>
      </c>
      <c r="B73" s="180" t="s">
        <v>6</v>
      </c>
      <c r="C73" s="181"/>
      <c r="D73" s="14">
        <f t="shared" si="5"/>
        <v>98401</v>
      </c>
      <c r="E73" s="17">
        <f>IF(F3="1",SUMIF(Data!A:A,'45'!$A$2,Data!EE:EE),0)</f>
        <v>822394</v>
      </c>
      <c r="F73" s="21">
        <f t="shared" si="4"/>
        <v>8.36</v>
      </c>
    </row>
    <row r="74" spans="1:6" x14ac:dyDescent="0.2">
      <c r="A74" s="19">
        <v>8</v>
      </c>
      <c r="B74" s="180" t="s">
        <v>7</v>
      </c>
      <c r="C74" s="181"/>
      <c r="D74" s="14">
        <f t="shared" si="5"/>
        <v>0</v>
      </c>
      <c r="E74" s="17">
        <f>IF(F3="1",SUMIF(Data!A:A,'45'!$A$2,Data!EF:EF),0)</f>
        <v>0</v>
      </c>
      <c r="F74" s="21" t="str">
        <f t="shared" si="4"/>
        <v/>
      </c>
    </row>
    <row r="75" spans="1:6" x14ac:dyDescent="0.2">
      <c r="A75" s="19">
        <v>9</v>
      </c>
      <c r="B75" s="180" t="s">
        <v>8</v>
      </c>
      <c r="C75" s="181"/>
      <c r="D75" s="14">
        <f t="shared" si="5"/>
        <v>77670</v>
      </c>
      <c r="E75" s="17">
        <f>IF(F3="1",SUMIF(Data!A:A,'45'!$A$2,Data!EG:EG),0)</f>
        <v>110102</v>
      </c>
      <c r="F75" s="21">
        <f t="shared" si="4"/>
        <v>1.42</v>
      </c>
    </row>
    <row r="76" spans="1:6" x14ac:dyDescent="0.2">
      <c r="A76" s="19">
        <v>10</v>
      </c>
      <c r="B76" s="180" t="s">
        <v>9</v>
      </c>
      <c r="C76" s="181"/>
      <c r="D76" s="14">
        <f t="shared" si="5"/>
        <v>1984</v>
      </c>
      <c r="E76" s="17">
        <f>IF(F3="1",SUMIF(Data!A:A,'45'!$A$2,Data!EH:EH),0)</f>
        <v>0</v>
      </c>
      <c r="F76" s="21" t="str">
        <f t="shared" si="4"/>
        <v/>
      </c>
    </row>
    <row r="77" spans="1:6" x14ac:dyDescent="0.2">
      <c r="A77" s="19">
        <v>11</v>
      </c>
      <c r="B77" s="180" t="s">
        <v>10</v>
      </c>
      <c r="C77" s="181"/>
      <c r="D77" s="14">
        <f t="shared" si="5"/>
        <v>116735</v>
      </c>
      <c r="E77" s="17">
        <f>IF(F3="1",SUMIF(Data!A:A,'45'!$A$2,Data!EI:EI),0)</f>
        <v>161301</v>
      </c>
      <c r="F77" s="21">
        <f t="shared" si="4"/>
        <v>1.38</v>
      </c>
    </row>
    <row r="78" spans="1:6" ht="14.25" customHeight="1" x14ac:dyDescent="0.2">
      <c r="A78" s="19">
        <v>12</v>
      </c>
      <c r="B78" s="180" t="s">
        <v>11</v>
      </c>
      <c r="C78" s="181"/>
      <c r="D78" s="14">
        <f t="shared" si="5"/>
        <v>619432</v>
      </c>
      <c r="E78" s="17">
        <f>IF(F3="1",SUMIF(Data!A:A,'45'!$A$2,Data!EJ:EJ),0)</f>
        <v>1307994</v>
      </c>
      <c r="F78" s="21">
        <f t="shared" si="4"/>
        <v>2.11</v>
      </c>
    </row>
    <row r="79" spans="1:6" x14ac:dyDescent="0.2">
      <c r="A79" s="19">
        <v>13</v>
      </c>
      <c r="B79" s="180" t="s">
        <v>12</v>
      </c>
      <c r="C79" s="181"/>
      <c r="D79" s="14">
        <f t="shared" si="5"/>
        <v>34044</v>
      </c>
      <c r="E79" s="17">
        <f>IF(F3="1",SUMIF(Data!A:A,'45'!$A$2,Data!EK:EK),0)</f>
        <v>113693</v>
      </c>
      <c r="F79" s="21">
        <f t="shared" si="4"/>
        <v>3.34</v>
      </c>
    </row>
    <row r="80" spans="1:6" ht="14.25" customHeight="1" x14ac:dyDescent="0.2">
      <c r="A80" s="19">
        <v>14</v>
      </c>
      <c r="B80" s="180" t="s">
        <v>464</v>
      </c>
      <c r="C80" s="181"/>
      <c r="D80" s="14">
        <f t="shared" si="5"/>
        <v>161340</v>
      </c>
      <c r="E80" s="17">
        <f>IF(F3="1",SUMIF(Data!A:A,'45'!$A$2,Data!EL:EL),0)</f>
        <v>765015</v>
      </c>
      <c r="F80" s="21">
        <f t="shared" si="4"/>
        <v>4.74</v>
      </c>
    </row>
    <row r="81" spans="1:6" x14ac:dyDescent="0.2">
      <c r="A81" s="19">
        <v>15</v>
      </c>
      <c r="B81" s="180" t="s">
        <v>13</v>
      </c>
      <c r="C81" s="181"/>
      <c r="D81" s="14">
        <f t="shared" si="5"/>
        <v>39708</v>
      </c>
      <c r="E81" s="17">
        <f>IF(F3="1",SUMIF(Data!A:A,'45'!$A$2,Data!EM:EM),0)</f>
        <v>302952</v>
      </c>
      <c r="F81" s="21">
        <f t="shared" si="4"/>
        <v>7.63</v>
      </c>
    </row>
    <row r="82" spans="1:6" x14ac:dyDescent="0.2">
      <c r="A82" s="19">
        <v>16</v>
      </c>
      <c r="B82" s="180" t="s">
        <v>14</v>
      </c>
      <c r="C82" s="181"/>
      <c r="D82" s="14">
        <f t="shared" si="5"/>
        <v>354316</v>
      </c>
      <c r="E82" s="17">
        <f>IF(F3="1",SUMIF(Data!A:A,'45'!$A$2,Data!EN:EN),0)</f>
        <v>892129</v>
      </c>
      <c r="F82" s="21">
        <f t="shared" si="4"/>
        <v>2.52</v>
      </c>
    </row>
    <row r="83" spans="1:6" x14ac:dyDescent="0.2">
      <c r="A83" s="19">
        <v>17</v>
      </c>
      <c r="B83" s="180" t="s">
        <v>15</v>
      </c>
      <c r="C83" s="181"/>
      <c r="D83" s="14">
        <f t="shared" si="5"/>
        <v>49344</v>
      </c>
      <c r="E83" s="17">
        <f>IF(F3="1",SUMIF(Data!A:A,'45'!$A$2,Data!EO:EO),0)</f>
        <v>214893</v>
      </c>
      <c r="F83" s="21">
        <f t="shared" si="4"/>
        <v>4.3499999999999996</v>
      </c>
    </row>
    <row r="84" spans="1:6" x14ac:dyDescent="0.2">
      <c r="A84" s="19">
        <v>18</v>
      </c>
      <c r="B84" s="180" t="s">
        <v>16</v>
      </c>
      <c r="C84" s="181"/>
      <c r="D84" s="14">
        <f t="shared" si="5"/>
        <v>190368</v>
      </c>
      <c r="E84" s="17">
        <f>IF(F3="1",SUMIF(Data!A:A,'45'!$A$2,Data!EP:EP),0)</f>
        <v>552726</v>
      </c>
      <c r="F84" s="21">
        <f t="shared" si="4"/>
        <v>2.9</v>
      </c>
    </row>
    <row r="85" spans="1:6" x14ac:dyDescent="0.2">
      <c r="A85" s="19">
        <v>19</v>
      </c>
      <c r="B85" s="180" t="s">
        <v>17</v>
      </c>
      <c r="C85" s="181"/>
      <c r="D85" s="14">
        <f t="shared" si="5"/>
        <v>581812</v>
      </c>
      <c r="E85" s="17">
        <f>IF(F3="1",SUMIF(Data!A:A,'45'!$A$2,Data!EQ:EQ),0)</f>
        <v>1254731</v>
      </c>
      <c r="F85" s="21">
        <f t="shared" si="4"/>
        <v>2.16</v>
      </c>
    </row>
    <row r="86" spans="1:6" x14ac:dyDescent="0.2">
      <c r="A86" s="19">
        <v>20</v>
      </c>
      <c r="B86" s="180" t="s">
        <v>18</v>
      </c>
      <c r="C86" s="181"/>
      <c r="D86" s="14">
        <f t="shared" si="5"/>
        <v>75881</v>
      </c>
      <c r="E86" s="17">
        <f>IF(F3="1",SUMIF(Data!A:A,'45'!$A$2,Data!ER:ER),0)</f>
        <v>330892</v>
      </c>
      <c r="F86" s="21">
        <f t="shared" si="4"/>
        <v>4.3600000000000003</v>
      </c>
    </row>
    <row r="87" spans="1:6" ht="14.25" customHeight="1" x14ac:dyDescent="0.2">
      <c r="A87" s="19">
        <v>21</v>
      </c>
      <c r="B87" s="180" t="s">
        <v>461</v>
      </c>
      <c r="C87" s="181"/>
      <c r="D87" s="14">
        <f t="shared" si="5"/>
        <v>24000</v>
      </c>
      <c r="E87" s="17">
        <f>IF(F3="1",SUMIF(Data!A:A,'45'!$A$2,Data!ES:ES),0)</f>
        <v>18630</v>
      </c>
      <c r="F87" s="21">
        <f t="shared" si="4"/>
        <v>0.78</v>
      </c>
    </row>
    <row r="88" spans="1:6" x14ac:dyDescent="0.2">
      <c r="A88" s="19">
        <v>22</v>
      </c>
      <c r="B88" s="180" t="s">
        <v>19</v>
      </c>
      <c r="C88" s="181"/>
      <c r="D88" s="14">
        <f t="shared" si="5"/>
        <v>3184</v>
      </c>
      <c r="E88" s="17">
        <f>IF(F3="1",SUMIF(Data!A:A,'45'!$A$2,Data!ET:ET),0)</f>
        <v>186</v>
      </c>
      <c r="F88" s="21">
        <f t="shared" si="4"/>
        <v>0.06</v>
      </c>
    </row>
    <row r="89" spans="1:6" x14ac:dyDescent="0.2">
      <c r="A89" s="19">
        <v>23</v>
      </c>
      <c r="B89" s="180" t="s">
        <v>20</v>
      </c>
      <c r="C89" s="181"/>
      <c r="D89" s="14">
        <f t="shared" si="5"/>
        <v>114393</v>
      </c>
      <c r="E89" s="17">
        <f>IF(F3="1",SUMIF(Data!A:A,'45'!$A$2,Data!EU:EU),0)</f>
        <v>668367</v>
      </c>
      <c r="F89" s="21">
        <f t="shared" si="4"/>
        <v>5.84</v>
      </c>
    </row>
    <row r="90" spans="1:6" x14ac:dyDescent="0.2">
      <c r="A90" s="19">
        <v>24</v>
      </c>
      <c r="B90" s="180" t="s">
        <v>21</v>
      </c>
      <c r="C90" s="181"/>
      <c r="D90" s="14">
        <f t="shared" si="5"/>
        <v>95808</v>
      </c>
      <c r="E90" s="17">
        <f>IF(F3="1",SUMIF(Data!A:A,'45'!$A$2,Data!EV:EV),0)</f>
        <v>139412</v>
      </c>
      <c r="F90" s="21">
        <f t="shared" si="4"/>
        <v>1.46</v>
      </c>
    </row>
    <row r="91" spans="1:6" x14ac:dyDescent="0.2">
      <c r="A91" s="19">
        <v>25</v>
      </c>
      <c r="B91" s="180" t="s">
        <v>22</v>
      </c>
      <c r="C91" s="181"/>
      <c r="D91" s="14">
        <f t="shared" si="5"/>
        <v>666288</v>
      </c>
      <c r="E91" s="17">
        <f>IF(F3="1",SUMIF(Data!A:A,'45'!$A$2,Data!EW:EW),0)</f>
        <v>1457551</v>
      </c>
      <c r="F91" s="21">
        <f t="shared" si="4"/>
        <v>2.19</v>
      </c>
    </row>
    <row r="92" spans="1:6" x14ac:dyDescent="0.2">
      <c r="A92" s="19">
        <v>26</v>
      </c>
      <c r="B92" s="180" t="s">
        <v>23</v>
      </c>
      <c r="C92" s="181"/>
      <c r="D92" s="14">
        <f t="shared" si="5"/>
        <v>251224</v>
      </c>
      <c r="E92" s="17">
        <f>IF(F3="1",SUMIF(Data!A:A,'45'!$A$2,Data!EX:EX),0)</f>
        <v>979020</v>
      </c>
      <c r="F92" s="21">
        <f t="shared" si="4"/>
        <v>3.9</v>
      </c>
    </row>
    <row r="93" spans="1:6" x14ac:dyDescent="0.2">
      <c r="A93" s="19">
        <v>28</v>
      </c>
      <c r="B93" s="180" t="s">
        <v>24</v>
      </c>
      <c r="C93" s="181"/>
      <c r="D93" s="14">
        <f t="shared" si="5"/>
        <v>0</v>
      </c>
      <c r="E93" s="17">
        <f>IF(F3="1",SUMIF(Data!A:A,'45'!$A$2,Data!EZ:EZ),0)</f>
        <v>0</v>
      </c>
      <c r="F93" s="21" t="str">
        <f t="shared" si="4"/>
        <v/>
      </c>
    </row>
    <row r="94" spans="1:6" ht="15.75" customHeight="1" thickBot="1" x14ac:dyDescent="0.25">
      <c r="A94" s="22">
        <v>29</v>
      </c>
      <c r="B94" s="184" t="s">
        <v>25</v>
      </c>
      <c r="C94" s="185"/>
      <c r="D94" s="23">
        <f t="shared" si="5"/>
        <v>0</v>
      </c>
      <c r="E94" s="24">
        <f>IF(F3="1",SUMIF(Data!A:A,'45'!$A$2,Data!FA:FA),0)</f>
        <v>0</v>
      </c>
      <c r="F94" s="25" t="str">
        <f t="shared" si="4"/>
        <v/>
      </c>
    </row>
    <row r="95" spans="1:6" x14ac:dyDescent="0.2">
      <c r="B95" s="30" t="s">
        <v>35</v>
      </c>
      <c r="C95" s="30"/>
      <c r="D95" s="59">
        <f>SUM(D67:D94)</f>
        <v>4738921</v>
      </c>
      <c r="E95" s="31">
        <f>SUM(E67:E94)</f>
        <v>12425371</v>
      </c>
      <c r="F95" s="32">
        <f t="shared" si="4"/>
        <v>2.62</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IF(F3="1",SUMIF(Data!A:A,'45'!$A$2,Data!AH:AH),0)</f>
        <v>4443377</v>
      </c>
      <c r="F98" s="20">
        <f>IF(OR(E98=0,E98=0),"",ROUND(E98/$D$105,2))</f>
        <v>0.94</v>
      </c>
    </row>
    <row r="99" spans="2:6" x14ac:dyDescent="0.2">
      <c r="B99" s="190" t="s">
        <v>31</v>
      </c>
      <c r="C99" s="191"/>
      <c r="D99" s="36"/>
      <c r="E99" s="17">
        <f>IF(F3="1",SUMIF(Data!A:A,'45'!$A$2,Data!AI:AI),0)</f>
        <v>3229110</v>
      </c>
      <c r="F99" s="21">
        <f t="shared" ref="F99:F104" si="6">IF(OR(E99=0,E99=0),"",ROUND(E99/$D$105,2))</f>
        <v>0.68</v>
      </c>
    </row>
    <row r="100" spans="2:6" x14ac:dyDescent="0.2">
      <c r="B100" s="190" t="s">
        <v>1089</v>
      </c>
      <c r="C100" s="191"/>
      <c r="D100" s="36"/>
      <c r="E100" s="17">
        <f>IF(F3="1",SUMIF(Data!A:A,'45'!$A$2,Data!AJ:AJ),0)</f>
        <v>846256</v>
      </c>
      <c r="F100" s="21">
        <f t="shared" si="6"/>
        <v>0.18</v>
      </c>
    </row>
    <row r="101" spans="2:6" x14ac:dyDescent="0.2">
      <c r="B101" s="190" t="s">
        <v>1090</v>
      </c>
      <c r="C101" s="191"/>
      <c r="D101" s="36"/>
      <c r="E101" s="17">
        <f>IF(F3="1",SUMIF(Data!A:A,'45'!$A$2,Data!AK:AK),0)</f>
        <v>1187563</v>
      </c>
      <c r="F101" s="21">
        <f t="shared" si="6"/>
        <v>0.25</v>
      </c>
    </row>
    <row r="102" spans="2:6" x14ac:dyDescent="0.2">
      <c r="B102" s="190" t="s">
        <v>1091</v>
      </c>
      <c r="C102" s="191"/>
      <c r="D102" s="36"/>
      <c r="E102" s="17">
        <f>IF(F3="1",SUMIF(Data!A:A,'45'!$A$2,Data!AL:AL),0)</f>
        <v>0</v>
      </c>
      <c r="F102" s="21" t="str">
        <f t="shared" si="6"/>
        <v/>
      </c>
    </row>
    <row r="103" spans="2:6" x14ac:dyDescent="0.2">
      <c r="B103" s="192" t="s">
        <v>34</v>
      </c>
      <c r="C103" s="193"/>
      <c r="D103" s="36"/>
      <c r="E103" s="17">
        <f>IF(F3="1",SUMIF(Data!A:A,'45'!$A$2,Data!AM:AM),0)</f>
        <v>0</v>
      </c>
      <c r="F103" s="21" t="str">
        <f t="shared" si="6"/>
        <v/>
      </c>
    </row>
    <row r="104" spans="2:6" ht="15.75" customHeight="1" thickBot="1" x14ac:dyDescent="0.25">
      <c r="B104" s="186" t="s">
        <v>29</v>
      </c>
      <c r="C104" s="187"/>
      <c r="D104" s="37"/>
      <c r="E104" s="24">
        <f>IF(F3="1",SUMIF(Data!A:A,'45'!$A$2,Data!Q:Q),0)</f>
        <v>1401792</v>
      </c>
      <c r="F104" s="25">
        <f t="shared" si="6"/>
        <v>0.3</v>
      </c>
    </row>
    <row r="105" spans="2:6" x14ac:dyDescent="0.2">
      <c r="B105" s="30" t="s">
        <v>35</v>
      </c>
      <c r="C105" s="30"/>
      <c r="D105" s="34">
        <f>D95</f>
        <v>4738921</v>
      </c>
      <c r="E105" s="31">
        <f>SUM(E98:E104)</f>
        <v>11108098</v>
      </c>
      <c r="F105" s="32">
        <f>IF($D$105=0,"",ROUND(E105/$D$105,2))</f>
        <v>2.34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12425371</v>
      </c>
      <c r="D109" s="15">
        <f>IF(F3="1",SUMIF(Data!$A:$A,$A$2,Data!HJ:HJ),0)</f>
        <v>0</v>
      </c>
      <c r="E109" s="15">
        <f>IF(F3="1",SUMIF(Data!$A:$A,$A$2,Data!IN:IN),0)</f>
        <v>0</v>
      </c>
      <c r="F109" s="47">
        <f>SUM(C109:E109)</f>
        <v>12425371</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1401792</v>
      </c>
      <c r="E117" s="52"/>
      <c r="F117" s="49">
        <f>SUM(C117:E117)</f>
        <v>1401792</v>
      </c>
    </row>
    <row r="118" spans="1:6" x14ac:dyDescent="0.2">
      <c r="B118" s="13" t="s">
        <v>35</v>
      </c>
      <c r="C118" s="4">
        <f>SUM(C109:C116)</f>
        <v>12425371</v>
      </c>
      <c r="D118" s="4">
        <f>SUM(D109:D116)</f>
        <v>0</v>
      </c>
      <c r="E118" s="4">
        <f>SUM(E109:E116)</f>
        <v>0</v>
      </c>
      <c r="F118" s="4">
        <f>SUM(F109:F116)</f>
        <v>12425371</v>
      </c>
    </row>
    <row r="119" spans="1:6" ht="15" thickBot="1" x14ac:dyDescent="0.25"/>
    <row r="120" spans="1:6" ht="15" thickBot="1" x14ac:dyDescent="0.25">
      <c r="B120" s="55" t="s">
        <v>934</v>
      </c>
      <c r="C120" s="53"/>
      <c r="D120" s="53"/>
      <c r="E120" s="53">
        <f>IF(F3="1",SUMIF(Data!A:A,'45'!$A$2,Data!AM:AM),0)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140625" style="10" bestFit="1" customWidth="1"/>
    <col min="13" max="13" width="10.5703125" style="10" bestFit="1" customWidth="1"/>
    <col min="14"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437</v>
      </c>
      <c r="B2" s="58" t="str">
        <f>VLOOKUP(A2,Data!A:G,7,0)</f>
        <v>Vernon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15760</v>
      </c>
      <c r="E5" s="15">
        <f>E36+E67+IFERROR($E$105/$D$105*D5,0)</f>
        <v>94358.274024026439</v>
      </c>
      <c r="F5" s="20">
        <f>IF(OR(D5=0,E5=0),"",ROUND(E5/D5,2))</f>
        <v>5.99</v>
      </c>
    </row>
    <row r="6" spans="1:6" x14ac:dyDescent="0.2">
      <c r="A6" s="19">
        <v>2</v>
      </c>
      <c r="B6" s="180" t="s">
        <v>1</v>
      </c>
      <c r="C6" s="181"/>
      <c r="D6" s="14">
        <f t="shared" ref="D6:D32" si="0">D37</f>
        <v>42064</v>
      </c>
      <c r="E6" s="17">
        <f t="shared" ref="E6:E32" si="1">E37+E68+IFERROR($E$105/$D$105*D6,0)</f>
        <v>390729.96488240152</v>
      </c>
      <c r="F6" s="21">
        <f t="shared" ref="F6:F33" si="2">IF(OR(D6=0,E6=0),"",ROUND(E6/D6,2))</f>
        <v>9.2899999999999991</v>
      </c>
    </row>
    <row r="7" spans="1:6" ht="14.25" customHeight="1" x14ac:dyDescent="0.2">
      <c r="A7" s="19">
        <v>3</v>
      </c>
      <c r="B7" s="180" t="s">
        <v>2</v>
      </c>
      <c r="C7" s="181"/>
      <c r="D7" s="14">
        <f t="shared" si="0"/>
        <v>87168</v>
      </c>
      <c r="E7" s="17">
        <f t="shared" si="1"/>
        <v>411108.28211461531</v>
      </c>
      <c r="F7" s="21">
        <f t="shared" si="2"/>
        <v>4.72</v>
      </c>
    </row>
    <row r="8" spans="1:6" ht="14.25" customHeight="1" x14ac:dyDescent="0.2">
      <c r="A8" s="19">
        <v>4</v>
      </c>
      <c r="B8" s="180" t="s">
        <v>3</v>
      </c>
      <c r="C8" s="181"/>
      <c r="D8" s="14">
        <f t="shared" si="0"/>
        <v>112309</v>
      </c>
      <c r="E8" s="17">
        <f t="shared" si="1"/>
        <v>563903.78587337467</v>
      </c>
      <c r="F8" s="21">
        <f t="shared" si="2"/>
        <v>5.0199999999999996</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0</v>
      </c>
      <c r="E10" s="17">
        <f t="shared" si="1"/>
        <v>0</v>
      </c>
      <c r="F10" s="21" t="str">
        <f t="shared" si="2"/>
        <v/>
      </c>
    </row>
    <row r="11" spans="1:6" x14ac:dyDescent="0.2">
      <c r="A11" s="19">
        <v>7</v>
      </c>
      <c r="B11" s="180" t="s">
        <v>6</v>
      </c>
      <c r="C11" s="181"/>
      <c r="D11" s="14">
        <f t="shared" si="0"/>
        <v>103110</v>
      </c>
      <c r="E11" s="17">
        <f t="shared" si="1"/>
        <v>498453.19762800552</v>
      </c>
      <c r="F11" s="21">
        <f t="shared" si="2"/>
        <v>4.83</v>
      </c>
    </row>
    <row r="12" spans="1:6" x14ac:dyDescent="0.2">
      <c r="A12" s="19">
        <v>8</v>
      </c>
      <c r="B12" s="180" t="s">
        <v>7</v>
      </c>
      <c r="C12" s="181"/>
      <c r="D12" s="14">
        <f t="shared" si="0"/>
        <v>0</v>
      </c>
      <c r="E12" s="17">
        <f t="shared" si="1"/>
        <v>0</v>
      </c>
      <c r="F12" s="21" t="str">
        <f t="shared" si="2"/>
        <v/>
      </c>
    </row>
    <row r="13" spans="1:6" x14ac:dyDescent="0.2">
      <c r="A13" s="19">
        <v>9</v>
      </c>
      <c r="B13" s="180" t="s">
        <v>8</v>
      </c>
      <c r="C13" s="181"/>
      <c r="D13" s="14">
        <f t="shared" si="0"/>
        <v>121453</v>
      </c>
      <c r="E13" s="17">
        <f t="shared" si="1"/>
        <v>501973.42202030984</v>
      </c>
      <c r="F13" s="21">
        <f t="shared" si="2"/>
        <v>4.13</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42983</v>
      </c>
      <c r="E15" s="17">
        <f t="shared" si="1"/>
        <v>182689.76449078228</v>
      </c>
      <c r="F15" s="21">
        <f t="shared" si="2"/>
        <v>4.25</v>
      </c>
    </row>
    <row r="16" spans="1:6" ht="14.25" customHeight="1" x14ac:dyDescent="0.2">
      <c r="A16" s="19">
        <v>12</v>
      </c>
      <c r="B16" s="180" t="s">
        <v>11</v>
      </c>
      <c r="C16" s="181"/>
      <c r="D16" s="14">
        <f t="shared" si="0"/>
        <v>146192</v>
      </c>
      <c r="E16" s="17">
        <f t="shared" si="1"/>
        <v>749027.4758959692</v>
      </c>
      <c r="F16" s="21">
        <f t="shared" si="2"/>
        <v>5.12</v>
      </c>
    </row>
    <row r="17" spans="1:6" x14ac:dyDescent="0.2">
      <c r="A17" s="19">
        <v>13</v>
      </c>
      <c r="B17" s="180" t="s">
        <v>12</v>
      </c>
      <c r="C17" s="181"/>
      <c r="D17" s="14">
        <f t="shared" si="0"/>
        <v>21008</v>
      </c>
      <c r="E17" s="17">
        <f t="shared" si="1"/>
        <v>100246.90334370226</v>
      </c>
      <c r="F17" s="21">
        <f t="shared" si="2"/>
        <v>4.7699999999999996</v>
      </c>
    </row>
    <row r="18" spans="1:6" ht="14.25" customHeight="1" x14ac:dyDescent="0.2">
      <c r="A18" s="19">
        <v>14</v>
      </c>
      <c r="B18" s="180" t="s">
        <v>464</v>
      </c>
      <c r="C18" s="181"/>
      <c r="D18" s="14">
        <f t="shared" si="0"/>
        <v>92742</v>
      </c>
      <c r="E18" s="17">
        <f t="shared" si="1"/>
        <v>598438.02750864602</v>
      </c>
      <c r="F18" s="21">
        <f t="shared" si="2"/>
        <v>6.45</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124751</v>
      </c>
      <c r="E20" s="17">
        <f t="shared" si="1"/>
        <v>491898.74966823112</v>
      </c>
      <c r="F20" s="21">
        <f t="shared" si="2"/>
        <v>3.94</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220848</v>
      </c>
      <c r="E22" s="17">
        <f t="shared" si="1"/>
        <v>1159210.8551813574</v>
      </c>
      <c r="F22" s="21">
        <f t="shared" si="2"/>
        <v>5.25</v>
      </c>
    </row>
    <row r="23" spans="1:6" x14ac:dyDescent="0.2">
      <c r="A23" s="19">
        <v>19</v>
      </c>
      <c r="B23" s="180" t="s">
        <v>17</v>
      </c>
      <c r="C23" s="181"/>
      <c r="D23" s="14">
        <f t="shared" si="0"/>
        <v>89152</v>
      </c>
      <c r="E23" s="17">
        <f t="shared" si="1"/>
        <v>436388.15417449269</v>
      </c>
      <c r="F23" s="21">
        <f t="shared" si="2"/>
        <v>4.8899999999999997</v>
      </c>
    </row>
    <row r="24" spans="1:6" x14ac:dyDescent="0.2">
      <c r="A24" s="19">
        <v>20</v>
      </c>
      <c r="B24" s="180" t="s">
        <v>18</v>
      </c>
      <c r="C24" s="181"/>
      <c r="D24" s="14">
        <f t="shared" si="0"/>
        <v>14880</v>
      </c>
      <c r="E24" s="17">
        <f t="shared" si="1"/>
        <v>105811.0404490808</v>
      </c>
      <c r="F24" s="21">
        <f t="shared" si="2"/>
        <v>7.11</v>
      </c>
    </row>
    <row r="25" spans="1:6" ht="14.25" customHeight="1" x14ac:dyDescent="0.2">
      <c r="A25" s="19">
        <v>21</v>
      </c>
      <c r="B25" s="180" t="s">
        <v>461</v>
      </c>
      <c r="C25" s="181"/>
      <c r="D25" s="14">
        <f t="shared" si="0"/>
        <v>14336</v>
      </c>
      <c r="E25" s="17">
        <f t="shared" si="1"/>
        <v>99415.914239114412</v>
      </c>
      <c r="F25" s="21">
        <f t="shared" si="2"/>
        <v>6.93</v>
      </c>
    </row>
    <row r="26" spans="1:6" x14ac:dyDescent="0.2">
      <c r="A26" s="19">
        <v>22</v>
      </c>
      <c r="B26" s="180" t="s">
        <v>19</v>
      </c>
      <c r="C26" s="181"/>
      <c r="D26" s="14">
        <f t="shared" si="0"/>
        <v>4464</v>
      </c>
      <c r="E26" s="17">
        <f t="shared" si="1"/>
        <v>19262.712134724243</v>
      </c>
      <c r="F26" s="21">
        <f t="shared" si="2"/>
        <v>4.32</v>
      </c>
    </row>
    <row r="27" spans="1:6" x14ac:dyDescent="0.2">
      <c r="A27" s="19">
        <v>23</v>
      </c>
      <c r="B27" s="180" t="s">
        <v>20</v>
      </c>
      <c r="C27" s="181"/>
      <c r="D27" s="14">
        <f t="shared" si="0"/>
        <v>22944</v>
      </c>
      <c r="E27" s="17">
        <f t="shared" si="1"/>
        <v>119197.61720858265</v>
      </c>
      <c r="F27" s="21">
        <f t="shared" si="2"/>
        <v>5.2</v>
      </c>
    </row>
    <row r="28" spans="1:6" x14ac:dyDescent="0.2">
      <c r="A28" s="19">
        <v>24</v>
      </c>
      <c r="B28" s="180" t="s">
        <v>21</v>
      </c>
      <c r="C28" s="181"/>
      <c r="D28" s="14">
        <f t="shared" si="0"/>
        <v>106314</v>
      </c>
      <c r="E28" s="17">
        <f t="shared" si="1"/>
        <v>528304.00714405754</v>
      </c>
      <c r="F28" s="21">
        <f t="shared" si="2"/>
        <v>4.97</v>
      </c>
    </row>
    <row r="29" spans="1:6" x14ac:dyDescent="0.2">
      <c r="A29" s="19">
        <v>25</v>
      </c>
      <c r="B29" s="180" t="s">
        <v>22</v>
      </c>
      <c r="C29" s="181"/>
      <c r="D29" s="14">
        <f t="shared" si="0"/>
        <v>142272</v>
      </c>
      <c r="E29" s="17">
        <f t="shared" si="1"/>
        <v>634503.88997121132</v>
      </c>
      <c r="F29" s="21">
        <f t="shared" si="2"/>
        <v>4.46</v>
      </c>
    </row>
    <row r="30" spans="1:6" x14ac:dyDescent="0.2">
      <c r="A30" s="19">
        <v>26</v>
      </c>
      <c r="B30" s="180" t="s">
        <v>23</v>
      </c>
      <c r="C30" s="181"/>
      <c r="D30" s="14">
        <f t="shared" si="0"/>
        <v>28289</v>
      </c>
      <c r="E30" s="17">
        <f t="shared" si="1"/>
        <v>146376.96204731497</v>
      </c>
      <c r="F30" s="21">
        <f t="shared" si="2"/>
        <v>5.17</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1553039</v>
      </c>
      <c r="E33" s="31">
        <f>SUM(E5:E32)</f>
        <v>7831299</v>
      </c>
      <c r="F33" s="32">
        <f t="shared" si="2"/>
        <v>5.04</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IF(F3="1",SUMIF(Data!A:A,'46'!$A$2,Data!CU:CU),0)</f>
        <v>15760</v>
      </c>
      <c r="E36" s="15">
        <f>IF(F3="1",SUMIF(Data!$A:$A,$A$2,Data!IO:IO),0)</f>
        <v>7417</v>
      </c>
      <c r="F36" s="20">
        <f t="shared" ref="F36:F64" si="3">IF(OR(D36=0,E36=0),"",ROUND(E36/D36,2))</f>
        <v>0.47</v>
      </c>
    </row>
    <row r="37" spans="1:6" x14ac:dyDescent="0.2">
      <c r="A37" s="19">
        <v>2</v>
      </c>
      <c r="B37" s="180" t="s">
        <v>1</v>
      </c>
      <c r="C37" s="181"/>
      <c r="D37" s="14">
        <f>IF(F3="1",SUMIF(Data!A:A,'46'!$A$2,Data!CV:CV),0)</f>
        <v>42064</v>
      </c>
      <c r="E37" s="17">
        <f>IF(F3="1",SUMIF(Data!$A:$A,$A$2,Data!IP:IP),0)</f>
        <v>55106</v>
      </c>
      <c r="F37" s="21">
        <f t="shared" si="3"/>
        <v>1.31</v>
      </c>
    </row>
    <row r="38" spans="1:6" ht="14.25" customHeight="1" x14ac:dyDescent="0.2">
      <c r="A38" s="19">
        <v>3</v>
      </c>
      <c r="B38" s="180" t="s">
        <v>2</v>
      </c>
      <c r="C38" s="181"/>
      <c r="D38" s="14">
        <f>IF(F3="1",SUMIF(Data!A:A,'46'!$A$2,Data!CW:CW),0)</f>
        <v>87168</v>
      </c>
      <c r="E38" s="17">
        <f>IF($F$3="1",SUMIF(Data!$A:$A,$A$2,Data!IQ:IQ),0)</f>
        <v>27790</v>
      </c>
      <c r="F38" s="21">
        <f t="shared" si="3"/>
        <v>0.32</v>
      </c>
    </row>
    <row r="39" spans="1:6" ht="14.25" customHeight="1" x14ac:dyDescent="0.2">
      <c r="A39" s="19">
        <v>4</v>
      </c>
      <c r="B39" s="180" t="s">
        <v>3</v>
      </c>
      <c r="C39" s="181"/>
      <c r="D39" s="14">
        <f>IF(F3="1",SUMIF(Data!A:A,'46'!$A$2,Data!CX:CX),0)</f>
        <v>112309</v>
      </c>
      <c r="E39" s="17">
        <f>IF($F$3="1",SUMIF(Data!$A:$A,$A$2,Data!IR:IR),0)</f>
        <v>28512</v>
      </c>
      <c r="F39" s="21">
        <f t="shared" si="3"/>
        <v>0.25</v>
      </c>
    </row>
    <row r="40" spans="1:6" x14ac:dyDescent="0.2">
      <c r="A40" s="19">
        <v>5</v>
      </c>
      <c r="B40" s="180" t="s">
        <v>4</v>
      </c>
      <c r="C40" s="181"/>
      <c r="D40" s="14">
        <f>IF(F3="1",SUMIF(Data!A:A,'46'!$A$2,Data!CY:CY),0)</f>
        <v>0</v>
      </c>
      <c r="E40" s="17">
        <f>IF($F$3="1",SUMIF(Data!$A:$A,$A$2,Data!IS:IS),0)</f>
        <v>0</v>
      </c>
      <c r="F40" s="21" t="str">
        <f t="shared" si="3"/>
        <v/>
      </c>
    </row>
    <row r="41" spans="1:6" x14ac:dyDescent="0.2">
      <c r="A41" s="19">
        <v>6</v>
      </c>
      <c r="B41" s="180" t="s">
        <v>5</v>
      </c>
      <c r="C41" s="181"/>
      <c r="D41" s="14">
        <f>IF(F3="1",SUMIF(Data!A:A,'46'!$A$2,Data!CZ:CZ),0)</f>
        <v>0</v>
      </c>
      <c r="E41" s="17">
        <f>IF($F$3="1",SUMIF(Data!$A:$A,$A$2,Data!IT:IT),0)</f>
        <v>0</v>
      </c>
      <c r="F41" s="21" t="str">
        <f t="shared" si="3"/>
        <v/>
      </c>
    </row>
    <row r="42" spans="1:6" x14ac:dyDescent="0.2">
      <c r="A42" s="19">
        <v>7</v>
      </c>
      <c r="B42" s="180" t="s">
        <v>6</v>
      </c>
      <c r="C42" s="181"/>
      <c r="D42" s="14">
        <f>IF(F3="1",SUMIF(Data!A:A,'46'!$A$2,Data!DA:DA),0)</f>
        <v>103110</v>
      </c>
      <c r="E42" s="17">
        <f>IF($F$3="1",SUMIF(Data!$A:$A,$A$2,Data!IU:IU),0)</f>
        <v>41919</v>
      </c>
      <c r="F42" s="21">
        <f t="shared" si="3"/>
        <v>0.41</v>
      </c>
    </row>
    <row r="43" spans="1:6" x14ac:dyDescent="0.2">
      <c r="A43" s="19">
        <v>8</v>
      </c>
      <c r="B43" s="180" t="s">
        <v>7</v>
      </c>
      <c r="C43" s="181"/>
      <c r="D43" s="14">
        <f>IF(F3="1",SUMIF(Data!A:A,'46'!$A$2,Data!DB:DB),0)</f>
        <v>0</v>
      </c>
      <c r="E43" s="17">
        <f>IF($F$3="1",SUMIF(Data!$A:$A,$A$2,Data!IV:IV),0)</f>
        <v>0</v>
      </c>
      <c r="F43" s="21" t="str">
        <f t="shared" si="3"/>
        <v/>
      </c>
    </row>
    <row r="44" spans="1:6" x14ac:dyDescent="0.2">
      <c r="A44" s="19">
        <v>9</v>
      </c>
      <c r="B44" s="180" t="s">
        <v>8</v>
      </c>
      <c r="C44" s="181"/>
      <c r="D44" s="14">
        <f>IF(F3="1",SUMIF(Data!A:A,'46'!$A$2,Data!DC:DC),0)</f>
        <v>121453</v>
      </c>
      <c r="E44" s="17">
        <f>IF($F$3="1",SUMIF(Data!$A:$A,$A$2,Data!IW:IW),0)</f>
        <v>34379</v>
      </c>
      <c r="F44" s="21">
        <f t="shared" si="3"/>
        <v>0.28000000000000003</v>
      </c>
    </row>
    <row r="45" spans="1:6" x14ac:dyDescent="0.2">
      <c r="A45" s="19">
        <v>10</v>
      </c>
      <c r="B45" s="180" t="s">
        <v>9</v>
      </c>
      <c r="C45" s="181"/>
      <c r="D45" s="14">
        <f>IF(F3="1",SUMIF(Data!A:A,'46'!$A$2,Data!DD:DD),0)</f>
        <v>0</v>
      </c>
      <c r="E45" s="17">
        <f>IF($F$3="1",SUMIF(Data!$A:$A,$A$2,Data!IX:IX),0)</f>
        <v>0</v>
      </c>
      <c r="F45" s="21" t="str">
        <f t="shared" si="3"/>
        <v/>
      </c>
    </row>
    <row r="46" spans="1:6" x14ac:dyDescent="0.2">
      <c r="A46" s="19">
        <v>11</v>
      </c>
      <c r="B46" s="180" t="s">
        <v>10</v>
      </c>
      <c r="C46" s="181"/>
      <c r="D46" s="14">
        <f>IF(F3="1",SUMIF(Data!A:A,'46'!$A$2,Data!DE:DE),0)</f>
        <v>42983</v>
      </c>
      <c r="E46" s="17">
        <f>IF($F$3="1",SUMIF(Data!$A:$A,$A$2,Data!IY:IY),0)</f>
        <v>12872</v>
      </c>
      <c r="F46" s="21">
        <f t="shared" si="3"/>
        <v>0.3</v>
      </c>
    </row>
    <row r="47" spans="1:6" ht="14.25" customHeight="1" x14ac:dyDescent="0.2">
      <c r="A47" s="19">
        <v>12</v>
      </c>
      <c r="B47" s="180" t="s">
        <v>11</v>
      </c>
      <c r="C47" s="181"/>
      <c r="D47" s="14">
        <f>IF(F3="1",SUMIF(Data!A:A,'46'!$A$2,Data!DF:DF),0)</f>
        <v>146192</v>
      </c>
      <c r="E47" s="17">
        <f>IF($F$3="1",SUMIF(Data!$A:$A,$A$2,Data!IZ:IZ),0)</f>
        <v>35447</v>
      </c>
      <c r="F47" s="21">
        <f t="shared" si="3"/>
        <v>0.24</v>
      </c>
    </row>
    <row r="48" spans="1:6" x14ac:dyDescent="0.2">
      <c r="A48" s="19">
        <v>13</v>
      </c>
      <c r="B48" s="180" t="s">
        <v>12</v>
      </c>
      <c r="C48" s="181"/>
      <c r="D48" s="14">
        <f>IF(F3="1",SUMIF(Data!A:A,'46'!$A$2,Data!DG:DG),0)</f>
        <v>21008</v>
      </c>
      <c r="E48" s="17">
        <f>IF($F$3="1",SUMIF(Data!$A:$A,$A$2,Data!JA:JA),0)</f>
        <v>2777</v>
      </c>
      <c r="F48" s="21">
        <f t="shared" si="3"/>
        <v>0.13</v>
      </c>
    </row>
    <row r="49" spans="1:6" ht="14.25" customHeight="1" x14ac:dyDescent="0.2">
      <c r="A49" s="19">
        <v>14</v>
      </c>
      <c r="B49" s="180" t="s">
        <v>464</v>
      </c>
      <c r="C49" s="181"/>
      <c r="D49" s="14">
        <f>IF(F3="1",SUMIF(Data!A:A,'46'!$A$2,Data!DH:DH),0)</f>
        <v>92742</v>
      </c>
      <c r="E49" s="17">
        <f>IF($F$3="1",SUMIF(Data!$A:$A,$A$2,Data!JB:JB),0)</f>
        <v>40544</v>
      </c>
      <c r="F49" s="21">
        <f t="shared" si="3"/>
        <v>0.44</v>
      </c>
    </row>
    <row r="50" spans="1:6" x14ac:dyDescent="0.2">
      <c r="A50" s="19">
        <v>15</v>
      </c>
      <c r="B50" s="180" t="s">
        <v>13</v>
      </c>
      <c r="C50" s="181"/>
      <c r="D50" s="14">
        <f>IF(F3="1",SUMIF(Data!A:A,'46'!$A$2,Data!DI:DI),0)</f>
        <v>0</v>
      </c>
      <c r="E50" s="17">
        <f>IF($F$3="1",SUMIF(Data!$A:$A,$A$2,Data!JC:JC),0)</f>
        <v>0</v>
      </c>
      <c r="F50" s="21" t="str">
        <f t="shared" si="3"/>
        <v/>
      </c>
    </row>
    <row r="51" spans="1:6" x14ac:dyDescent="0.2">
      <c r="A51" s="19">
        <v>16</v>
      </c>
      <c r="B51" s="180" t="s">
        <v>14</v>
      </c>
      <c r="C51" s="181"/>
      <c r="D51" s="14">
        <f>IF(F3="1",SUMIF(Data!A:A,'46'!$A$2,Data!DJ:DJ),0)</f>
        <v>124751</v>
      </c>
      <c r="E51" s="17">
        <f>IF($F$3="1",SUMIF(Data!$A:$A,$A$2,Data!JD:JD),0)</f>
        <v>22399</v>
      </c>
      <c r="F51" s="21">
        <f t="shared" si="3"/>
        <v>0.18</v>
      </c>
    </row>
    <row r="52" spans="1:6" x14ac:dyDescent="0.2">
      <c r="A52" s="19">
        <v>17</v>
      </c>
      <c r="B52" s="180" t="s">
        <v>15</v>
      </c>
      <c r="C52" s="181"/>
      <c r="D52" s="14">
        <f>IF(F3="1",SUMIF(Data!A:A,'46'!$A$2,Data!DK:DK),0)</f>
        <v>0</v>
      </c>
      <c r="E52" s="17">
        <f>IF($F$3="1",SUMIF(Data!$A:$A,$A$2,Data!JE:JE),0)</f>
        <v>0</v>
      </c>
      <c r="F52" s="21" t="str">
        <f t="shared" si="3"/>
        <v/>
      </c>
    </row>
    <row r="53" spans="1:6" x14ac:dyDescent="0.2">
      <c r="A53" s="19">
        <v>18</v>
      </c>
      <c r="B53" s="180" t="s">
        <v>16</v>
      </c>
      <c r="C53" s="181"/>
      <c r="D53" s="14">
        <f>IF(F3="1",SUMIF(Data!A:A,'46'!$A$2,Data!DL:DL),0)</f>
        <v>220848</v>
      </c>
      <c r="E53" s="17">
        <f>IF($F$3="1",SUMIF(Data!$A:$A,$A$2,Data!JF:JF),0)</f>
        <v>51782</v>
      </c>
      <c r="F53" s="21">
        <f t="shared" si="3"/>
        <v>0.23</v>
      </c>
    </row>
    <row r="54" spans="1:6" x14ac:dyDescent="0.2">
      <c r="A54" s="19">
        <v>19</v>
      </c>
      <c r="B54" s="180" t="s">
        <v>17</v>
      </c>
      <c r="C54" s="181"/>
      <c r="D54" s="14">
        <f>IF(F3="1",SUMIF(Data!A:A,'46'!$A$2,Data!DM:DM),0)</f>
        <v>89152</v>
      </c>
      <c r="E54" s="17">
        <f>IF($F$3="1",SUMIF(Data!$A:$A,$A$2,Data!JG:JG),0)</f>
        <v>19462</v>
      </c>
      <c r="F54" s="21">
        <f t="shared" si="3"/>
        <v>0.22</v>
      </c>
    </row>
    <row r="55" spans="1:6" x14ac:dyDescent="0.2">
      <c r="A55" s="19">
        <v>20</v>
      </c>
      <c r="B55" s="180" t="s">
        <v>18</v>
      </c>
      <c r="C55" s="181"/>
      <c r="D55" s="14">
        <f>IF(F3="1",SUMIF(Data!A:A,'46'!$A$2,Data!DN:DN),0)</f>
        <v>14880</v>
      </c>
      <c r="E55" s="17">
        <f>IF($F$3="1",SUMIF(Data!$A:$A,$A$2,Data!JH:JH),0)</f>
        <v>14948</v>
      </c>
      <c r="F55" s="21">
        <f t="shared" si="3"/>
        <v>1</v>
      </c>
    </row>
    <row r="56" spans="1:6" ht="14.25" customHeight="1" x14ac:dyDescent="0.2">
      <c r="A56" s="19">
        <v>21</v>
      </c>
      <c r="B56" s="180" t="s">
        <v>461</v>
      </c>
      <c r="C56" s="181"/>
      <c r="D56" s="14">
        <f>IF(F3="1",SUMIF(Data!A:A,'46'!$A$2,Data!DO:DO),0)</f>
        <v>14336</v>
      </c>
      <c r="E56" s="17">
        <f>IF($F$3="1",SUMIF(Data!$A:$A,$A$2,Data!JI:JI),0)</f>
        <v>51027</v>
      </c>
      <c r="F56" s="21">
        <f t="shared" si="3"/>
        <v>3.56</v>
      </c>
    </row>
    <row r="57" spans="1:6" x14ac:dyDescent="0.2">
      <c r="A57" s="19">
        <v>22</v>
      </c>
      <c r="B57" s="180" t="s">
        <v>19</v>
      </c>
      <c r="C57" s="181"/>
      <c r="D57" s="14">
        <f>IF(F3="1",SUMIF(Data!A:A,'46'!$A$2,Data!DP:DP),0)</f>
        <v>4464</v>
      </c>
      <c r="E57" s="17">
        <f>IF($F$3="1",SUMIF(Data!$A:$A,$A$2,Data!JJ:JJ),0)</f>
        <v>1113</v>
      </c>
      <c r="F57" s="21">
        <f t="shared" si="3"/>
        <v>0.25</v>
      </c>
    </row>
    <row r="58" spans="1:6" x14ac:dyDescent="0.2">
      <c r="A58" s="19">
        <v>23</v>
      </c>
      <c r="B58" s="180" t="s">
        <v>20</v>
      </c>
      <c r="C58" s="181"/>
      <c r="D58" s="14">
        <f>IF(F3="1",SUMIF(Data!A:A,'46'!$A$2,Data!DQ:DQ),0)</f>
        <v>22944</v>
      </c>
      <c r="E58" s="17">
        <f>IF($F$3="1",SUMIF(Data!$A:$A,$A$2,Data!JK:JK),0)</f>
        <v>5411</v>
      </c>
      <c r="F58" s="21">
        <f t="shared" si="3"/>
        <v>0.24</v>
      </c>
    </row>
    <row r="59" spans="1:6" x14ac:dyDescent="0.2">
      <c r="A59" s="19">
        <v>24</v>
      </c>
      <c r="B59" s="180" t="s">
        <v>21</v>
      </c>
      <c r="C59" s="181"/>
      <c r="D59" s="14">
        <f>IF(F3="1",SUMIF(Data!A:A,'46'!$A$2,Data!DR:DR),0)</f>
        <v>106314</v>
      </c>
      <c r="E59" s="17">
        <f>IF($F$3="1",SUMIF(Data!$A:$A,$A$2,Data!JL:JL),0)</f>
        <v>42219</v>
      </c>
      <c r="F59" s="21">
        <f t="shared" si="3"/>
        <v>0.4</v>
      </c>
    </row>
    <row r="60" spans="1:6" x14ac:dyDescent="0.2">
      <c r="A60" s="19">
        <v>25</v>
      </c>
      <c r="B60" s="180" t="s">
        <v>22</v>
      </c>
      <c r="C60" s="181"/>
      <c r="D60" s="14">
        <f>IF(F3="1",SUMIF(Data!A:A,'46'!$A$2,Data!DS:DS),0)</f>
        <v>142272</v>
      </c>
      <c r="E60" s="17">
        <f>IF($F$3="1",SUMIF(Data!$A:$A,$A$2,Data!JM:JM),0)</f>
        <v>23047</v>
      </c>
      <c r="F60" s="21">
        <f t="shared" si="3"/>
        <v>0.16</v>
      </c>
    </row>
    <row r="61" spans="1:6" x14ac:dyDescent="0.2">
      <c r="A61" s="19">
        <v>26</v>
      </c>
      <c r="B61" s="180" t="s">
        <v>23</v>
      </c>
      <c r="C61" s="181"/>
      <c r="D61" s="14">
        <f>IF(F3="1",SUMIF(Data!A:A,'46'!$A$2,Data!DT:DT),0)</f>
        <v>28289</v>
      </c>
      <c r="E61" s="17">
        <f>IF($F$3="1",SUMIF(Data!$A:$A,$A$2,Data!JN:JN),0)</f>
        <v>8441</v>
      </c>
      <c r="F61" s="21">
        <f t="shared" si="3"/>
        <v>0.3</v>
      </c>
    </row>
    <row r="62" spans="1:6" x14ac:dyDescent="0.2">
      <c r="A62" s="19">
        <v>28</v>
      </c>
      <c r="B62" s="180" t="s">
        <v>24</v>
      </c>
      <c r="C62" s="181"/>
      <c r="D62" s="14">
        <f>IF(F3="1",SUMIF(Data!A:A,'46'!$A$2,Data!DV:DV),0)</f>
        <v>0</v>
      </c>
      <c r="E62" s="17">
        <f>IF($F$3="1",SUMIF(Data!$A:$A,$A$2,Data!JP:JP),0)</f>
        <v>0</v>
      </c>
      <c r="F62" s="21" t="str">
        <f t="shared" si="3"/>
        <v/>
      </c>
    </row>
    <row r="63" spans="1:6" ht="15.75" customHeight="1" thickBot="1" x14ac:dyDescent="0.25">
      <c r="A63" s="22">
        <v>29</v>
      </c>
      <c r="B63" s="184" t="s">
        <v>25</v>
      </c>
      <c r="C63" s="185"/>
      <c r="D63" s="23">
        <f>IF(F3="1",SUMIF(Data!A:A,'46'!$A$2,Data!DW:DW),0)</f>
        <v>0</v>
      </c>
      <c r="E63" s="24">
        <f>IF($F$3="1",SUMIF(Data!$A:$A,$A$2,Data!JQ:JQ),0)</f>
        <v>0</v>
      </c>
      <c r="F63" s="25" t="str">
        <f t="shared" si="3"/>
        <v/>
      </c>
    </row>
    <row r="64" spans="1:6" x14ac:dyDescent="0.2">
      <c r="B64" s="30" t="s">
        <v>35</v>
      </c>
      <c r="C64" s="30"/>
      <c r="D64" s="59">
        <f>SUM(D36:D63)</f>
        <v>1553039</v>
      </c>
      <c r="E64" s="31">
        <f>SUM(E36:E63)</f>
        <v>526612</v>
      </c>
      <c r="F64" s="32">
        <f t="shared" si="3"/>
        <v>0.34</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15760</v>
      </c>
      <c r="E67" s="15">
        <f>IF(F3="1",SUMIF(Data!A:A,'46'!$A$2,Data!DY:DY),0)</f>
        <v>49131</v>
      </c>
      <c r="F67" s="20">
        <f t="shared" ref="F67:F95" si="4">IF(OR(D67=0,E67=0),"",ROUND(E67/D67,2))</f>
        <v>3.12</v>
      </c>
    </row>
    <row r="68" spans="1:6" x14ac:dyDescent="0.2">
      <c r="A68" s="19">
        <v>2</v>
      </c>
      <c r="B68" s="180" t="s">
        <v>1</v>
      </c>
      <c r="C68" s="181"/>
      <c r="D68" s="14">
        <f t="shared" ref="D68:D94" si="5">D37</f>
        <v>42064</v>
      </c>
      <c r="E68" s="17">
        <f>IF(F3="1",SUMIF(Data!A:A,'46'!$A$2,Data!DZ:DZ),0)</f>
        <v>234707</v>
      </c>
      <c r="F68" s="21">
        <f t="shared" si="4"/>
        <v>5.58</v>
      </c>
    </row>
    <row r="69" spans="1:6" ht="14.25" customHeight="1" x14ac:dyDescent="0.2">
      <c r="A69" s="19">
        <v>3</v>
      </c>
      <c r="B69" s="180" t="s">
        <v>2</v>
      </c>
      <c r="C69" s="181"/>
      <c r="D69" s="14">
        <f t="shared" si="5"/>
        <v>87168</v>
      </c>
      <c r="E69" s="17">
        <f>IF(F3="1",SUMIF(Data!A:A,'46'!$A$2,Data!EA:EA),0)</f>
        <v>174191</v>
      </c>
      <c r="F69" s="21">
        <f t="shared" si="4"/>
        <v>2</v>
      </c>
    </row>
    <row r="70" spans="1:6" ht="14.25" customHeight="1" x14ac:dyDescent="0.2">
      <c r="A70" s="19">
        <v>4</v>
      </c>
      <c r="B70" s="180" t="s">
        <v>3</v>
      </c>
      <c r="C70" s="181"/>
      <c r="D70" s="14">
        <f t="shared" si="5"/>
        <v>112309</v>
      </c>
      <c r="E70" s="17">
        <f>IF(F3="1",SUMIF(Data!A:A,'46'!$A$2,Data!EB:EB),0)</f>
        <v>265948</v>
      </c>
      <c r="F70" s="21">
        <f t="shared" si="4"/>
        <v>2.37</v>
      </c>
    </row>
    <row r="71" spans="1:6" x14ac:dyDescent="0.2">
      <c r="A71" s="19">
        <v>5</v>
      </c>
      <c r="B71" s="180" t="s">
        <v>4</v>
      </c>
      <c r="C71" s="181"/>
      <c r="D71" s="14">
        <f t="shared" si="5"/>
        <v>0</v>
      </c>
      <c r="E71" s="17">
        <f>IF(F3="1",SUMIF(Data!A:A,'46'!$A$2,Data!EC:EC),0)</f>
        <v>0</v>
      </c>
      <c r="F71" s="21" t="str">
        <f t="shared" si="4"/>
        <v/>
      </c>
    </row>
    <row r="72" spans="1:6" x14ac:dyDescent="0.2">
      <c r="A72" s="19">
        <v>6</v>
      </c>
      <c r="B72" s="180" t="s">
        <v>5</v>
      </c>
      <c r="C72" s="181"/>
      <c r="D72" s="14">
        <f t="shared" si="5"/>
        <v>0</v>
      </c>
      <c r="E72" s="17">
        <f>IF(F3="1",SUMIF(Data!A:A,'46'!$A$2,Data!ED:ED),0)</f>
        <v>0</v>
      </c>
      <c r="F72" s="21" t="str">
        <f t="shared" si="4"/>
        <v/>
      </c>
    </row>
    <row r="73" spans="1:6" x14ac:dyDescent="0.2">
      <c r="A73" s="19">
        <v>7</v>
      </c>
      <c r="B73" s="180" t="s">
        <v>6</v>
      </c>
      <c r="C73" s="181"/>
      <c r="D73" s="14">
        <f t="shared" si="5"/>
        <v>103110</v>
      </c>
      <c r="E73" s="17">
        <f>IF(F3="1",SUMIF(Data!A:A,'46'!$A$2,Data!EE:EE),0)</f>
        <v>209160</v>
      </c>
      <c r="F73" s="21">
        <f t="shared" si="4"/>
        <v>2.0299999999999998</v>
      </c>
    </row>
    <row r="74" spans="1:6" x14ac:dyDescent="0.2">
      <c r="A74" s="19">
        <v>8</v>
      </c>
      <c r="B74" s="180" t="s">
        <v>7</v>
      </c>
      <c r="C74" s="181"/>
      <c r="D74" s="14">
        <f t="shared" si="5"/>
        <v>0</v>
      </c>
      <c r="E74" s="17">
        <f>IF(F3="1",SUMIF(Data!A:A,'46'!$A$2,Data!EF:EF),0)</f>
        <v>0</v>
      </c>
      <c r="F74" s="21" t="str">
        <f t="shared" si="4"/>
        <v/>
      </c>
    </row>
    <row r="75" spans="1:6" x14ac:dyDescent="0.2">
      <c r="A75" s="19">
        <v>9</v>
      </c>
      <c r="B75" s="180" t="s">
        <v>8</v>
      </c>
      <c r="C75" s="181"/>
      <c r="D75" s="14">
        <f t="shared" si="5"/>
        <v>121453</v>
      </c>
      <c r="E75" s="17">
        <f>IF(F3="1",SUMIF(Data!A:A,'46'!$A$2,Data!EG:EG),0)</f>
        <v>176213</v>
      </c>
      <c r="F75" s="21">
        <f t="shared" si="4"/>
        <v>1.45</v>
      </c>
    </row>
    <row r="76" spans="1:6" x14ac:dyDescent="0.2">
      <c r="A76" s="19">
        <v>10</v>
      </c>
      <c r="B76" s="180" t="s">
        <v>9</v>
      </c>
      <c r="C76" s="181"/>
      <c r="D76" s="14">
        <f t="shared" si="5"/>
        <v>0</v>
      </c>
      <c r="E76" s="17">
        <f>IF(F3="1",SUMIF(Data!A:A,'46'!$A$2,Data!EH:EH),0)</f>
        <v>0</v>
      </c>
      <c r="F76" s="21" t="str">
        <f t="shared" si="4"/>
        <v/>
      </c>
    </row>
    <row r="77" spans="1:6" x14ac:dyDescent="0.2">
      <c r="A77" s="19">
        <v>11</v>
      </c>
      <c r="B77" s="180" t="s">
        <v>10</v>
      </c>
      <c r="C77" s="181"/>
      <c r="D77" s="14">
        <f t="shared" si="5"/>
        <v>42983</v>
      </c>
      <c r="E77" s="17">
        <f>IF(F3="1",SUMIF(Data!A:A,'46'!$A$2,Data!EI:EI),0)</f>
        <v>66696</v>
      </c>
      <c r="F77" s="21">
        <f t="shared" si="4"/>
        <v>1.55</v>
      </c>
    </row>
    <row r="78" spans="1:6" ht="14.25" customHeight="1" x14ac:dyDescent="0.2">
      <c r="A78" s="19">
        <v>12</v>
      </c>
      <c r="B78" s="180" t="s">
        <v>11</v>
      </c>
      <c r="C78" s="181"/>
      <c r="D78" s="14">
        <f t="shared" si="5"/>
        <v>146192</v>
      </c>
      <c r="E78" s="17">
        <f>IF(F3="1",SUMIF(Data!A:A,'46'!$A$2,Data!EJ:EJ),0)</f>
        <v>362847</v>
      </c>
      <c r="F78" s="21">
        <f t="shared" si="4"/>
        <v>2.48</v>
      </c>
    </row>
    <row r="79" spans="1:6" x14ac:dyDescent="0.2">
      <c r="A79" s="19">
        <v>13</v>
      </c>
      <c r="B79" s="180" t="s">
        <v>12</v>
      </c>
      <c r="C79" s="181"/>
      <c r="D79" s="14">
        <f t="shared" si="5"/>
        <v>21008</v>
      </c>
      <c r="E79" s="17">
        <f>IF(F3="1",SUMIF(Data!A:A,'46'!$A$2,Data!EK:EK),0)</f>
        <v>47069</v>
      </c>
      <c r="F79" s="21">
        <f t="shared" si="4"/>
        <v>2.2400000000000002</v>
      </c>
    </row>
    <row r="80" spans="1:6" ht="14.25" customHeight="1" x14ac:dyDescent="0.2">
      <c r="A80" s="19">
        <v>14</v>
      </c>
      <c r="B80" s="180" t="s">
        <v>464</v>
      </c>
      <c r="C80" s="181"/>
      <c r="D80" s="14">
        <f t="shared" si="5"/>
        <v>92742</v>
      </c>
      <c r="E80" s="17">
        <f>IF(F3="1",SUMIF(Data!A:A,'46'!$A$2,Data!EL:EL),0)</f>
        <v>335394</v>
      </c>
      <c r="F80" s="21">
        <f t="shared" si="4"/>
        <v>3.62</v>
      </c>
    </row>
    <row r="81" spans="1:6" x14ac:dyDescent="0.2">
      <c r="A81" s="19">
        <v>15</v>
      </c>
      <c r="B81" s="180" t="s">
        <v>13</v>
      </c>
      <c r="C81" s="181"/>
      <c r="D81" s="14">
        <f t="shared" si="5"/>
        <v>0</v>
      </c>
      <c r="E81" s="17">
        <f>IF(F3="1",SUMIF(Data!A:A,'46'!$A$2,Data!EM:EM),0)</f>
        <v>0</v>
      </c>
      <c r="F81" s="21" t="str">
        <f t="shared" si="4"/>
        <v/>
      </c>
    </row>
    <row r="82" spans="1:6" x14ac:dyDescent="0.2">
      <c r="A82" s="19">
        <v>16</v>
      </c>
      <c r="B82" s="180" t="s">
        <v>14</v>
      </c>
      <c r="C82" s="181"/>
      <c r="D82" s="14">
        <f t="shared" si="5"/>
        <v>124751</v>
      </c>
      <c r="E82" s="17">
        <f>IF(F3="1",SUMIF(Data!A:A,'46'!$A$2,Data!EN:EN),0)</f>
        <v>170206</v>
      </c>
      <c r="F82" s="21">
        <f t="shared" si="4"/>
        <v>1.36</v>
      </c>
    </row>
    <row r="83" spans="1:6" x14ac:dyDescent="0.2">
      <c r="A83" s="19">
        <v>17</v>
      </c>
      <c r="B83" s="180" t="s">
        <v>15</v>
      </c>
      <c r="C83" s="181"/>
      <c r="D83" s="14">
        <f t="shared" si="5"/>
        <v>0</v>
      </c>
      <c r="E83" s="17">
        <f>IF(F3="1",SUMIF(Data!A:A,'46'!$A$2,Data!EO:EO),0)</f>
        <v>0</v>
      </c>
      <c r="F83" s="21" t="str">
        <f t="shared" si="4"/>
        <v/>
      </c>
    </row>
    <row r="84" spans="1:6" x14ac:dyDescent="0.2">
      <c r="A84" s="19">
        <v>18</v>
      </c>
      <c r="B84" s="180" t="s">
        <v>16</v>
      </c>
      <c r="C84" s="181"/>
      <c r="D84" s="14">
        <f t="shared" si="5"/>
        <v>220848</v>
      </c>
      <c r="E84" s="17">
        <f>IF(F3="1",SUMIF(Data!A:A,'46'!$A$2,Data!EP:EP),0)</f>
        <v>577586</v>
      </c>
      <c r="F84" s="21">
        <f t="shared" si="4"/>
        <v>2.62</v>
      </c>
    </row>
    <row r="85" spans="1:6" x14ac:dyDescent="0.2">
      <c r="A85" s="19">
        <v>19</v>
      </c>
      <c r="B85" s="180" t="s">
        <v>17</v>
      </c>
      <c r="C85" s="181"/>
      <c r="D85" s="14">
        <f t="shared" si="5"/>
        <v>89152</v>
      </c>
      <c r="E85" s="17">
        <f>IF(F3="1",SUMIF(Data!A:A,'46'!$A$2,Data!EQ:EQ),0)</f>
        <v>203039</v>
      </c>
      <c r="F85" s="21">
        <f t="shared" si="4"/>
        <v>2.2799999999999998</v>
      </c>
    </row>
    <row r="86" spans="1:6" x14ac:dyDescent="0.2">
      <c r="A86" s="19">
        <v>20</v>
      </c>
      <c r="B86" s="180" t="s">
        <v>18</v>
      </c>
      <c r="C86" s="181"/>
      <c r="D86" s="14">
        <f t="shared" si="5"/>
        <v>14880</v>
      </c>
      <c r="E86" s="17">
        <f>IF(F3="1",SUMIF(Data!A:A,'46'!$A$2,Data!ER:ER),0)</f>
        <v>55164</v>
      </c>
      <c r="F86" s="21">
        <f t="shared" si="4"/>
        <v>3.71</v>
      </c>
    </row>
    <row r="87" spans="1:6" ht="14.25" customHeight="1" x14ac:dyDescent="0.2">
      <c r="A87" s="19">
        <v>21</v>
      </c>
      <c r="B87" s="180" t="s">
        <v>461</v>
      </c>
      <c r="C87" s="181"/>
      <c r="D87" s="14">
        <f t="shared" si="5"/>
        <v>14336</v>
      </c>
      <c r="E87" s="17">
        <f>IF(F3="1",SUMIF(Data!A:A,'46'!$A$2,Data!ES:ES),0)</f>
        <v>13995</v>
      </c>
      <c r="F87" s="21">
        <f t="shared" si="4"/>
        <v>0.98</v>
      </c>
    </row>
    <row r="88" spans="1:6" x14ac:dyDescent="0.2">
      <c r="A88" s="19">
        <v>22</v>
      </c>
      <c r="B88" s="180" t="s">
        <v>19</v>
      </c>
      <c r="C88" s="181"/>
      <c r="D88" s="14">
        <f t="shared" si="5"/>
        <v>4464</v>
      </c>
      <c r="E88" s="17">
        <f>IF(F3="1",SUMIF(Data!A:A,'46'!$A$2,Data!ET:ET),0)</f>
        <v>7440</v>
      </c>
      <c r="F88" s="21">
        <f t="shared" si="4"/>
        <v>1.67</v>
      </c>
    </row>
    <row r="89" spans="1:6" x14ac:dyDescent="0.2">
      <c r="A89" s="19">
        <v>23</v>
      </c>
      <c r="B89" s="180" t="s">
        <v>20</v>
      </c>
      <c r="C89" s="181"/>
      <c r="D89" s="14">
        <f t="shared" si="5"/>
        <v>22944</v>
      </c>
      <c r="E89" s="17">
        <f>IF(F3="1",SUMIF(Data!A:A,'46'!$A$2,Data!EU:EU),0)</f>
        <v>58741</v>
      </c>
      <c r="F89" s="21">
        <f t="shared" si="4"/>
        <v>2.56</v>
      </c>
    </row>
    <row r="90" spans="1:6" x14ac:dyDescent="0.2">
      <c r="A90" s="19">
        <v>24</v>
      </c>
      <c r="B90" s="180" t="s">
        <v>21</v>
      </c>
      <c r="C90" s="181"/>
      <c r="D90" s="14">
        <f t="shared" si="5"/>
        <v>106314</v>
      </c>
      <c r="E90" s="17">
        <f>IF(F3="1",SUMIF(Data!A:A,'46'!$A$2,Data!EV:EV),0)</f>
        <v>231024</v>
      </c>
      <c r="F90" s="21">
        <f t="shared" si="4"/>
        <v>2.17</v>
      </c>
    </row>
    <row r="91" spans="1:6" x14ac:dyDescent="0.2">
      <c r="A91" s="19">
        <v>25</v>
      </c>
      <c r="B91" s="180" t="s">
        <v>22</v>
      </c>
      <c r="C91" s="181"/>
      <c r="D91" s="14">
        <f t="shared" si="5"/>
        <v>142272</v>
      </c>
      <c r="E91" s="17">
        <f>IF(F3="1",SUMIF(Data!A:A,'46'!$A$2,Data!EW:EW),0)</f>
        <v>270128</v>
      </c>
      <c r="F91" s="21">
        <f t="shared" si="4"/>
        <v>1.9</v>
      </c>
    </row>
    <row r="92" spans="1:6" x14ac:dyDescent="0.2">
      <c r="A92" s="19">
        <v>26</v>
      </c>
      <c r="B92" s="180" t="s">
        <v>23</v>
      </c>
      <c r="C92" s="181"/>
      <c r="D92" s="14">
        <f t="shared" si="5"/>
        <v>28289</v>
      </c>
      <c r="E92" s="17">
        <f>IF(F3="1",SUMIF(Data!A:A,'46'!$A$2,Data!EX:EX),0)</f>
        <v>70067</v>
      </c>
      <c r="F92" s="21">
        <f t="shared" si="4"/>
        <v>2.48</v>
      </c>
    </row>
    <row r="93" spans="1:6" x14ac:dyDescent="0.2">
      <c r="A93" s="19">
        <v>28</v>
      </c>
      <c r="B93" s="180" t="s">
        <v>24</v>
      </c>
      <c r="C93" s="181"/>
      <c r="D93" s="14">
        <f t="shared" si="5"/>
        <v>0</v>
      </c>
      <c r="E93" s="17">
        <f>IF(F3="1",SUMIF(Data!A:A,'46'!$A$2,Data!EZ:EZ),0)</f>
        <v>0</v>
      </c>
      <c r="F93" s="21" t="str">
        <f t="shared" si="4"/>
        <v/>
      </c>
    </row>
    <row r="94" spans="1:6" ht="15.75" customHeight="1" thickBot="1" x14ac:dyDescent="0.25">
      <c r="A94" s="22">
        <v>29</v>
      </c>
      <c r="B94" s="184" t="s">
        <v>25</v>
      </c>
      <c r="C94" s="185"/>
      <c r="D94" s="23">
        <f t="shared" si="5"/>
        <v>0</v>
      </c>
      <c r="E94" s="24">
        <f>IF(F3="1",SUMIF(Data!A:A,'46'!$A$2,Data!FA:FA),0)</f>
        <v>0</v>
      </c>
      <c r="F94" s="25" t="str">
        <f t="shared" si="4"/>
        <v/>
      </c>
    </row>
    <row r="95" spans="1:6" x14ac:dyDescent="0.2">
      <c r="B95" s="30" t="s">
        <v>35</v>
      </c>
      <c r="C95" s="30"/>
      <c r="D95" s="59">
        <f>SUM(D67:D94)</f>
        <v>1553039</v>
      </c>
      <c r="E95" s="31">
        <f>SUM(E67:E94)</f>
        <v>3578746</v>
      </c>
      <c r="F95" s="32">
        <f t="shared" si="4"/>
        <v>2.2999999999999998</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IF(F3="1",SUMIF(Data!A:A,'46'!$A$2,Data!AH:AH),0)</f>
        <v>1384615</v>
      </c>
      <c r="F98" s="20">
        <f>IF(OR(E98=0,E98=0),"",ROUND(E98/$D$105,2))</f>
        <v>0.89</v>
      </c>
    </row>
    <row r="99" spans="2:6" x14ac:dyDescent="0.2">
      <c r="B99" s="190" t="s">
        <v>31</v>
      </c>
      <c r="C99" s="191"/>
      <c r="D99" s="36"/>
      <c r="E99" s="17">
        <f>IF(F3="1",SUMIF(Data!A:A,'46'!$A$2,Data!AI:AI),0)</f>
        <v>809657</v>
      </c>
      <c r="F99" s="21">
        <f t="shared" ref="F99:F104" si="6">IF(OR(E99=0,E99=0),"",ROUND(E99/$D$105,2))</f>
        <v>0.52</v>
      </c>
    </row>
    <row r="100" spans="2:6" x14ac:dyDescent="0.2">
      <c r="B100" s="190" t="s">
        <v>1089</v>
      </c>
      <c r="C100" s="191"/>
      <c r="D100" s="36"/>
      <c r="E100" s="17">
        <f>IF(F3="1",SUMIF(Data!A:A,'46'!$A$2,Data!AJ:AJ),0)</f>
        <v>325456</v>
      </c>
      <c r="F100" s="21">
        <f t="shared" si="6"/>
        <v>0.21</v>
      </c>
    </row>
    <row r="101" spans="2:6" x14ac:dyDescent="0.2">
      <c r="B101" s="190" t="s">
        <v>1090</v>
      </c>
      <c r="C101" s="191"/>
      <c r="D101" s="36"/>
      <c r="E101" s="17">
        <f>IF(F3="1",SUMIF(Data!A:A,'46'!$A$2,Data!AK:AK),0)</f>
        <v>1186906</v>
      </c>
      <c r="F101" s="21">
        <f t="shared" si="6"/>
        <v>0.76</v>
      </c>
    </row>
    <row r="102" spans="2:6" x14ac:dyDescent="0.2">
      <c r="B102" s="190" t="s">
        <v>1091</v>
      </c>
      <c r="C102" s="191"/>
      <c r="D102" s="36"/>
      <c r="E102" s="17">
        <f>IF(F3="1",SUMIF(Data!A:A,'46'!$A$2,Data!AL:AL),0)</f>
        <v>19307</v>
      </c>
      <c r="F102" s="21">
        <f t="shared" si="6"/>
        <v>0.01</v>
      </c>
    </row>
    <row r="103" spans="2:6" x14ac:dyDescent="0.2">
      <c r="B103" s="192" t="s">
        <v>34</v>
      </c>
      <c r="C103" s="193"/>
      <c r="D103" s="36"/>
      <c r="E103" s="17">
        <f>IF(F3="1",SUMIF(Data!A:A,'46'!$A$2,Data!AM:AM),0)</f>
        <v>0</v>
      </c>
      <c r="F103" s="21" t="str">
        <f t="shared" si="6"/>
        <v/>
      </c>
    </row>
    <row r="104" spans="2:6" ht="15.75" customHeight="1" thickBot="1" x14ac:dyDescent="0.25">
      <c r="B104" s="186" t="s">
        <v>29</v>
      </c>
      <c r="C104" s="187"/>
      <c r="D104" s="37"/>
      <c r="E104" s="24">
        <f>IF(F3="1",SUMIF(Data!A:A,'46'!$A$2,Data!Q:Q),0)</f>
        <v>0</v>
      </c>
      <c r="F104" s="25" t="str">
        <f t="shared" si="6"/>
        <v/>
      </c>
    </row>
    <row r="105" spans="2:6" x14ac:dyDescent="0.2">
      <c r="B105" s="30" t="s">
        <v>35</v>
      </c>
      <c r="C105" s="30"/>
      <c r="D105" s="34">
        <f>D95</f>
        <v>1553039</v>
      </c>
      <c r="E105" s="31">
        <f>SUM(E98:E104)</f>
        <v>3725941</v>
      </c>
      <c r="F105" s="32">
        <f>IF($D$105=0,"",ROUND(E105/$D$105,2))</f>
        <v>2.4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3578746</v>
      </c>
      <c r="D109" s="15">
        <f>IF(F3="1",SUMIF(Data!$A:$A,$A$2,Data!HJ:HJ),0)</f>
        <v>0</v>
      </c>
      <c r="E109" s="15">
        <f>IF(F3="1",SUMIF(Data!$A:$A,$A$2,Data!IN:IN),0)</f>
        <v>0</v>
      </c>
      <c r="F109" s="47">
        <f>SUM(C109:E109)</f>
        <v>3578746</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19307</v>
      </c>
      <c r="F116" s="48">
        <f t="shared" si="7"/>
        <v>19307</v>
      </c>
    </row>
    <row r="117" spans="1:6" ht="15" thickBot="1" x14ac:dyDescent="0.25">
      <c r="B117" s="43" t="s">
        <v>933</v>
      </c>
      <c r="C117" s="52"/>
      <c r="D117" s="52">
        <f>IF(F3="1",SUMIF(Data!A:A,$A$2,Data!Q:Q),0)</f>
        <v>0</v>
      </c>
      <c r="E117" s="52"/>
      <c r="F117" s="49">
        <f>SUM(C117:E117)</f>
        <v>0</v>
      </c>
    </row>
    <row r="118" spans="1:6" x14ac:dyDescent="0.2">
      <c r="B118" s="13" t="s">
        <v>35</v>
      </c>
      <c r="C118" s="4">
        <f>SUM(C109:C116)</f>
        <v>3578746</v>
      </c>
      <c r="D118" s="4">
        <f>SUM(D109:D116)</f>
        <v>0</v>
      </c>
      <c r="E118" s="4">
        <f>SUM(E109:E116)</f>
        <v>19307</v>
      </c>
      <c r="F118" s="4">
        <f>SUM(F109:F116)</f>
        <v>3598053</v>
      </c>
    </row>
    <row r="119" spans="1:6" ht="15" thickBot="1" x14ac:dyDescent="0.25"/>
    <row r="120" spans="1:6" ht="15" thickBot="1" x14ac:dyDescent="0.25">
      <c r="B120" s="55" t="s">
        <v>934</v>
      </c>
      <c r="C120" s="53"/>
      <c r="D120" s="53"/>
      <c r="E120" s="53">
        <f>IF(F3="1",SUMIF(Data!A:A,'46'!$A$2,Data!AM:AM),0)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3" width="12.42578125" style="10" bestFit="1" customWidth="1"/>
    <col min="14"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413</v>
      </c>
      <c r="B2" s="58" t="str">
        <f>VLOOKUP(A2,Data!A:G,7,0)</f>
        <v>Victoria College, The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3978</v>
      </c>
      <c r="E5" s="15">
        <f>E36+E67+IFERROR($E$105/$D$105*D5,0)</f>
        <v>26760.354707410799</v>
      </c>
      <c r="F5" s="20">
        <f>IF(OR(D5=0,E5=0),"",ROUND(E5/D5,2))</f>
        <v>6.73</v>
      </c>
    </row>
    <row r="6" spans="1:6" x14ac:dyDescent="0.2">
      <c r="A6" s="19">
        <v>2</v>
      </c>
      <c r="B6" s="180" t="s">
        <v>1</v>
      </c>
      <c r="C6" s="181"/>
      <c r="D6" s="14">
        <f t="shared" ref="D6:D32" si="0">D37</f>
        <v>46936</v>
      </c>
      <c r="E6" s="17">
        <f t="shared" ref="E6:E32" si="1">E37+E68+IFERROR($E$105/$D$105*D6,0)</f>
        <v>325493.45966491534</v>
      </c>
      <c r="F6" s="21">
        <f t="shared" ref="F6:F33" si="2">IF(OR(D6=0,E6=0),"",ROUND(E6/D6,2))</f>
        <v>6.93</v>
      </c>
    </row>
    <row r="7" spans="1:6" ht="14.25" customHeight="1" x14ac:dyDescent="0.2">
      <c r="A7" s="19">
        <v>3</v>
      </c>
      <c r="B7" s="180" t="s">
        <v>2</v>
      </c>
      <c r="C7" s="181"/>
      <c r="D7" s="14">
        <f t="shared" si="0"/>
        <v>203952</v>
      </c>
      <c r="E7" s="17">
        <f t="shared" si="1"/>
        <v>1372010.3623141898</v>
      </c>
      <c r="F7" s="21">
        <f t="shared" si="2"/>
        <v>6.73</v>
      </c>
    </row>
    <row r="8" spans="1:6" ht="14.25" customHeight="1" x14ac:dyDescent="0.2">
      <c r="A8" s="19">
        <v>4</v>
      </c>
      <c r="B8" s="180" t="s">
        <v>3</v>
      </c>
      <c r="C8" s="181"/>
      <c r="D8" s="14">
        <f t="shared" si="0"/>
        <v>99240</v>
      </c>
      <c r="E8" s="17">
        <f t="shared" si="1"/>
        <v>671138.49601896619</v>
      </c>
      <c r="F8" s="21">
        <f t="shared" si="2"/>
        <v>6.76</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5504</v>
      </c>
      <c r="E10" s="17">
        <f t="shared" si="1"/>
        <v>44320.922149217957</v>
      </c>
      <c r="F10" s="21">
        <f t="shared" si="2"/>
        <v>8.0500000000000007</v>
      </c>
    </row>
    <row r="11" spans="1:6" x14ac:dyDescent="0.2">
      <c r="A11" s="19">
        <v>7</v>
      </c>
      <c r="B11" s="180" t="s">
        <v>6</v>
      </c>
      <c r="C11" s="181"/>
      <c r="D11" s="14">
        <f t="shared" si="0"/>
        <v>96456</v>
      </c>
      <c r="E11" s="17">
        <f t="shared" si="1"/>
        <v>776708.48307139659</v>
      </c>
      <c r="F11" s="21">
        <f t="shared" si="2"/>
        <v>8.0500000000000007</v>
      </c>
    </row>
    <row r="12" spans="1:6" x14ac:dyDescent="0.2">
      <c r="A12" s="19">
        <v>8</v>
      </c>
      <c r="B12" s="180" t="s">
        <v>7</v>
      </c>
      <c r="C12" s="181"/>
      <c r="D12" s="14">
        <f t="shared" si="0"/>
        <v>2784</v>
      </c>
      <c r="E12" s="17">
        <f t="shared" si="1"/>
        <v>59108.01294756955</v>
      </c>
      <c r="F12" s="21">
        <f t="shared" si="2"/>
        <v>21.23</v>
      </c>
    </row>
    <row r="13" spans="1:6" x14ac:dyDescent="0.2">
      <c r="A13" s="19">
        <v>9</v>
      </c>
      <c r="B13" s="180" t="s">
        <v>8</v>
      </c>
      <c r="C13" s="181"/>
      <c r="D13" s="14">
        <f t="shared" si="0"/>
        <v>52359</v>
      </c>
      <c r="E13" s="17">
        <f t="shared" si="1"/>
        <v>201123.10988570185</v>
      </c>
      <c r="F13" s="21">
        <f t="shared" si="2"/>
        <v>3.84</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33684</v>
      </c>
      <c r="E15" s="17">
        <f t="shared" si="1"/>
        <v>179058.41527511948</v>
      </c>
      <c r="F15" s="21">
        <f t="shared" si="2"/>
        <v>5.32</v>
      </c>
    </row>
    <row r="16" spans="1:6" ht="14.25" customHeight="1" x14ac:dyDescent="0.2">
      <c r="A16" s="19">
        <v>12</v>
      </c>
      <c r="B16" s="180" t="s">
        <v>11</v>
      </c>
      <c r="C16" s="181"/>
      <c r="D16" s="14">
        <f t="shared" si="0"/>
        <v>201276</v>
      </c>
      <c r="E16" s="17">
        <f t="shared" si="1"/>
        <v>1316196.711937862</v>
      </c>
      <c r="F16" s="21">
        <f t="shared" si="2"/>
        <v>6.54</v>
      </c>
    </row>
    <row r="17" spans="1:6" x14ac:dyDescent="0.2">
      <c r="A17" s="19">
        <v>13</v>
      </c>
      <c r="B17" s="180" t="s">
        <v>12</v>
      </c>
      <c r="C17" s="181"/>
      <c r="D17" s="14">
        <f t="shared" si="0"/>
        <v>13630</v>
      </c>
      <c r="E17" s="17">
        <f t="shared" si="1"/>
        <v>93765.313389142568</v>
      </c>
      <c r="F17" s="21">
        <f t="shared" si="2"/>
        <v>6.88</v>
      </c>
    </row>
    <row r="18" spans="1:6" ht="14.25" customHeight="1" x14ac:dyDescent="0.2">
      <c r="A18" s="19">
        <v>14</v>
      </c>
      <c r="B18" s="180" t="s">
        <v>464</v>
      </c>
      <c r="C18" s="181"/>
      <c r="D18" s="14">
        <f t="shared" si="0"/>
        <v>93546</v>
      </c>
      <c r="E18" s="17">
        <f t="shared" si="1"/>
        <v>1145934.047124045</v>
      </c>
      <c r="F18" s="21">
        <f t="shared" si="2"/>
        <v>12.25</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128627</v>
      </c>
      <c r="E20" s="17">
        <f t="shared" si="1"/>
        <v>677182.93010309921</v>
      </c>
      <c r="F20" s="21">
        <f t="shared" si="2"/>
        <v>5.26</v>
      </c>
    </row>
    <row r="21" spans="1:6" x14ac:dyDescent="0.2">
      <c r="A21" s="19">
        <v>17</v>
      </c>
      <c r="B21" s="180" t="s">
        <v>15</v>
      </c>
      <c r="C21" s="181"/>
      <c r="D21" s="14">
        <f t="shared" si="0"/>
        <v>28048</v>
      </c>
      <c r="E21" s="17">
        <f t="shared" si="1"/>
        <v>254785.71664993919</v>
      </c>
      <c r="F21" s="21">
        <f t="shared" si="2"/>
        <v>9.08</v>
      </c>
    </row>
    <row r="22" spans="1:6" x14ac:dyDescent="0.2">
      <c r="A22" s="19">
        <v>18</v>
      </c>
      <c r="B22" s="180" t="s">
        <v>16</v>
      </c>
      <c r="C22" s="181"/>
      <c r="D22" s="14">
        <f t="shared" si="0"/>
        <v>237984</v>
      </c>
      <c r="E22" s="17">
        <f t="shared" si="1"/>
        <v>1569656.2792077553</v>
      </c>
      <c r="F22" s="21">
        <f t="shared" si="2"/>
        <v>6.6</v>
      </c>
    </row>
    <row r="23" spans="1:6" x14ac:dyDescent="0.2">
      <c r="A23" s="19">
        <v>19</v>
      </c>
      <c r="B23" s="180" t="s">
        <v>17</v>
      </c>
      <c r="C23" s="181"/>
      <c r="D23" s="14">
        <f t="shared" si="0"/>
        <v>143616</v>
      </c>
      <c r="E23" s="17">
        <f t="shared" si="1"/>
        <v>954961.80584703595</v>
      </c>
      <c r="F23" s="21">
        <f t="shared" si="2"/>
        <v>6.65</v>
      </c>
    </row>
    <row r="24" spans="1:6" x14ac:dyDescent="0.2">
      <c r="A24" s="19">
        <v>20</v>
      </c>
      <c r="B24" s="180" t="s">
        <v>18</v>
      </c>
      <c r="C24" s="181"/>
      <c r="D24" s="14">
        <f t="shared" si="0"/>
        <v>0</v>
      </c>
      <c r="E24" s="17">
        <f t="shared" si="1"/>
        <v>0</v>
      </c>
      <c r="F24" s="21" t="str">
        <f t="shared" si="2"/>
        <v/>
      </c>
    </row>
    <row r="25" spans="1:6" ht="14.25" customHeight="1" x14ac:dyDescent="0.2">
      <c r="A25" s="19">
        <v>21</v>
      </c>
      <c r="B25" s="180" t="s">
        <v>461</v>
      </c>
      <c r="C25" s="181"/>
      <c r="D25" s="14">
        <f t="shared" si="0"/>
        <v>1344</v>
      </c>
      <c r="E25" s="17">
        <f t="shared" si="1"/>
        <v>22142.178664343919</v>
      </c>
      <c r="F25" s="21">
        <f t="shared" si="2"/>
        <v>16.47</v>
      </c>
    </row>
    <row r="26" spans="1:6" x14ac:dyDescent="0.2">
      <c r="A26" s="19">
        <v>22</v>
      </c>
      <c r="B26" s="180" t="s">
        <v>19</v>
      </c>
      <c r="C26" s="181"/>
      <c r="D26" s="14">
        <f t="shared" si="0"/>
        <v>0</v>
      </c>
      <c r="E26" s="17">
        <f t="shared" si="1"/>
        <v>0</v>
      </c>
      <c r="F26" s="21" t="str">
        <f t="shared" si="2"/>
        <v/>
      </c>
    </row>
    <row r="27" spans="1:6" x14ac:dyDescent="0.2">
      <c r="A27" s="19">
        <v>23</v>
      </c>
      <c r="B27" s="180" t="s">
        <v>20</v>
      </c>
      <c r="C27" s="181"/>
      <c r="D27" s="14">
        <f t="shared" si="0"/>
        <v>51936</v>
      </c>
      <c r="E27" s="17">
        <f t="shared" si="1"/>
        <v>400396.68981500436</v>
      </c>
      <c r="F27" s="21">
        <f t="shared" si="2"/>
        <v>7.71</v>
      </c>
    </row>
    <row r="28" spans="1:6" x14ac:dyDescent="0.2">
      <c r="A28" s="19">
        <v>24</v>
      </c>
      <c r="B28" s="180" t="s">
        <v>21</v>
      </c>
      <c r="C28" s="181"/>
      <c r="D28" s="14">
        <f t="shared" si="0"/>
        <v>62517</v>
      </c>
      <c r="E28" s="17">
        <f t="shared" si="1"/>
        <v>433955.54505862261</v>
      </c>
      <c r="F28" s="21">
        <f t="shared" si="2"/>
        <v>6.94</v>
      </c>
    </row>
    <row r="29" spans="1:6" x14ac:dyDescent="0.2">
      <c r="A29" s="19">
        <v>25</v>
      </c>
      <c r="B29" s="180" t="s">
        <v>22</v>
      </c>
      <c r="C29" s="181"/>
      <c r="D29" s="14">
        <f t="shared" si="0"/>
        <v>263712</v>
      </c>
      <c r="E29" s="17">
        <f t="shared" si="1"/>
        <v>1524634.9850680535</v>
      </c>
      <c r="F29" s="21">
        <f t="shared" si="2"/>
        <v>5.78</v>
      </c>
    </row>
    <row r="30" spans="1:6" x14ac:dyDescent="0.2">
      <c r="A30" s="19">
        <v>26</v>
      </c>
      <c r="B30" s="180" t="s">
        <v>23</v>
      </c>
      <c r="C30" s="181"/>
      <c r="D30" s="14">
        <f t="shared" si="0"/>
        <v>61184</v>
      </c>
      <c r="E30" s="17">
        <f t="shared" si="1"/>
        <v>555881.1811006089</v>
      </c>
      <c r="F30" s="21">
        <f t="shared" si="2"/>
        <v>9.09</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1832313</v>
      </c>
      <c r="E33" s="31">
        <f>SUM(E5:E32)</f>
        <v>12605215.000000002</v>
      </c>
      <c r="F33" s="32">
        <f t="shared" si="2"/>
        <v>6.88</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IF(F3="1",SUMIF(Data!A:A,'47'!$A$2,Data!CU:CU),0)</f>
        <v>3978</v>
      </c>
      <c r="E36" s="15">
        <f>IF(F3="1",SUMIF(Data!$A:$A,$A$2,Data!IO:IO),0)</f>
        <v>0</v>
      </c>
      <c r="F36" s="20" t="str">
        <f t="shared" ref="F36:F64" si="3">IF(OR(D36=0,E36=0),"",ROUND(E36/D36,2))</f>
        <v/>
      </c>
    </row>
    <row r="37" spans="1:6" x14ac:dyDescent="0.2">
      <c r="A37" s="19">
        <v>2</v>
      </c>
      <c r="B37" s="180" t="s">
        <v>1</v>
      </c>
      <c r="C37" s="181"/>
      <c r="D37" s="14">
        <f>IF(F3="1",SUMIF(Data!A:A,'47'!$A$2,Data!CV:CV),0)</f>
        <v>46936</v>
      </c>
      <c r="E37" s="17">
        <f>IF(F3="1",SUMIF(Data!$A:$A,$A$2,Data!IP:IP),0)</f>
        <v>47905</v>
      </c>
      <c r="F37" s="21">
        <f t="shared" si="3"/>
        <v>1.02</v>
      </c>
    </row>
    <row r="38" spans="1:6" ht="14.25" customHeight="1" x14ac:dyDescent="0.2">
      <c r="A38" s="19">
        <v>3</v>
      </c>
      <c r="B38" s="180" t="s">
        <v>2</v>
      </c>
      <c r="C38" s="181"/>
      <c r="D38" s="14">
        <f>IF(F3="1",SUMIF(Data!A:A,'47'!$A$2,Data!CW:CW),0)</f>
        <v>203952</v>
      </c>
      <c r="E38" s="17">
        <f>IF($F$3="1",SUMIF(Data!$A:$A,$A$2,Data!IQ:IQ),0)</f>
        <v>87837</v>
      </c>
      <c r="F38" s="21">
        <f t="shared" si="3"/>
        <v>0.43</v>
      </c>
    </row>
    <row r="39" spans="1:6" ht="14.25" customHeight="1" x14ac:dyDescent="0.2">
      <c r="A39" s="19">
        <v>4</v>
      </c>
      <c r="B39" s="180" t="s">
        <v>3</v>
      </c>
      <c r="C39" s="181"/>
      <c r="D39" s="14">
        <f>IF(F3="1",SUMIF(Data!A:A,'47'!$A$2,Data!CX:CX),0)</f>
        <v>99240</v>
      </c>
      <c r="E39" s="17">
        <f>IF($F$3="1",SUMIF(Data!$A:$A,$A$2,Data!IR:IR),0)</f>
        <v>66459</v>
      </c>
      <c r="F39" s="21">
        <f t="shared" si="3"/>
        <v>0.67</v>
      </c>
    </row>
    <row r="40" spans="1:6" x14ac:dyDescent="0.2">
      <c r="A40" s="19">
        <v>5</v>
      </c>
      <c r="B40" s="180" t="s">
        <v>4</v>
      </c>
      <c r="C40" s="181"/>
      <c r="D40" s="14">
        <f>IF(F3="1",SUMIF(Data!A:A,'47'!$A$2,Data!CY:CY),0)</f>
        <v>0</v>
      </c>
      <c r="E40" s="17">
        <f>IF($F$3="1",SUMIF(Data!$A:$A,$A$2,Data!IS:IS),0)</f>
        <v>0</v>
      </c>
      <c r="F40" s="21" t="str">
        <f t="shared" si="3"/>
        <v/>
      </c>
    </row>
    <row r="41" spans="1:6" x14ac:dyDescent="0.2">
      <c r="A41" s="19">
        <v>6</v>
      </c>
      <c r="B41" s="180" t="s">
        <v>5</v>
      </c>
      <c r="C41" s="181"/>
      <c r="D41" s="14">
        <f>IF(F3="1",SUMIF(Data!A:A,'47'!$A$2,Data!CZ:CZ),0)</f>
        <v>5504</v>
      </c>
      <c r="E41" s="17">
        <f>IF($F$3="1",SUMIF(Data!$A:$A,$A$2,Data!IT:IT),0)</f>
        <v>0</v>
      </c>
      <c r="F41" s="21" t="str">
        <f t="shared" si="3"/>
        <v/>
      </c>
    </row>
    <row r="42" spans="1:6" x14ac:dyDescent="0.2">
      <c r="A42" s="19">
        <v>7</v>
      </c>
      <c r="B42" s="180" t="s">
        <v>6</v>
      </c>
      <c r="C42" s="181"/>
      <c r="D42" s="14">
        <f>IF(F3="1",SUMIF(Data!A:A,'47'!$A$2,Data!DA:DA),0)</f>
        <v>96456</v>
      </c>
      <c r="E42" s="17">
        <f>IF($F$3="1",SUMIF(Data!$A:$A,$A$2,Data!IU:IU),0)</f>
        <v>173773</v>
      </c>
      <c r="F42" s="21">
        <f t="shared" si="3"/>
        <v>1.8</v>
      </c>
    </row>
    <row r="43" spans="1:6" x14ac:dyDescent="0.2">
      <c r="A43" s="19">
        <v>8</v>
      </c>
      <c r="B43" s="180" t="s">
        <v>7</v>
      </c>
      <c r="C43" s="181"/>
      <c r="D43" s="14">
        <f>IF(F3="1",SUMIF(Data!A:A,'47'!$A$2,Data!DB:DB),0)</f>
        <v>2784</v>
      </c>
      <c r="E43" s="17">
        <f>IF($F$3="1",SUMIF(Data!$A:$A,$A$2,Data!IV:IV),0)</f>
        <v>32</v>
      </c>
      <c r="F43" s="21">
        <f t="shared" si="3"/>
        <v>0.01</v>
      </c>
    </row>
    <row r="44" spans="1:6" x14ac:dyDescent="0.2">
      <c r="A44" s="19">
        <v>9</v>
      </c>
      <c r="B44" s="180" t="s">
        <v>8</v>
      </c>
      <c r="C44" s="181"/>
      <c r="D44" s="14">
        <f>IF(F3="1",SUMIF(Data!A:A,'47'!$A$2,Data!DC:DC),0)</f>
        <v>52359</v>
      </c>
      <c r="E44" s="17">
        <f>IF($F$3="1",SUMIF(Data!$A:$A,$A$2,Data!IW:IW),0)</f>
        <v>8478</v>
      </c>
      <c r="F44" s="21">
        <f t="shared" si="3"/>
        <v>0.16</v>
      </c>
    </row>
    <row r="45" spans="1:6" x14ac:dyDescent="0.2">
      <c r="A45" s="19">
        <v>10</v>
      </c>
      <c r="B45" s="180" t="s">
        <v>9</v>
      </c>
      <c r="C45" s="181"/>
      <c r="D45" s="14">
        <f>IF(F3="1",SUMIF(Data!A:A,'47'!$A$2,Data!DD:DD),0)</f>
        <v>0</v>
      </c>
      <c r="E45" s="17">
        <f>IF($F$3="1",SUMIF(Data!$A:$A,$A$2,Data!IX:IX),0)</f>
        <v>0</v>
      </c>
      <c r="F45" s="21" t="str">
        <f t="shared" si="3"/>
        <v/>
      </c>
    </row>
    <row r="46" spans="1:6" x14ac:dyDescent="0.2">
      <c r="A46" s="19">
        <v>11</v>
      </c>
      <c r="B46" s="180" t="s">
        <v>10</v>
      </c>
      <c r="C46" s="181"/>
      <c r="D46" s="14">
        <f>IF(F3="1",SUMIF(Data!A:A,'47'!$A$2,Data!DE:DE),0)</f>
        <v>33684</v>
      </c>
      <c r="E46" s="17">
        <f>IF($F$3="1",SUMIF(Data!$A:$A,$A$2,Data!IY:IY),0)</f>
        <v>10581</v>
      </c>
      <c r="F46" s="21">
        <f t="shared" si="3"/>
        <v>0.31</v>
      </c>
    </row>
    <row r="47" spans="1:6" ht="14.25" customHeight="1" x14ac:dyDescent="0.2">
      <c r="A47" s="19">
        <v>12</v>
      </c>
      <c r="B47" s="180" t="s">
        <v>11</v>
      </c>
      <c r="C47" s="181"/>
      <c r="D47" s="14">
        <f>IF(F3="1",SUMIF(Data!A:A,'47'!$A$2,Data!DF:DF),0)</f>
        <v>201276</v>
      </c>
      <c r="E47" s="17">
        <f>IF($F$3="1",SUMIF(Data!$A:$A,$A$2,Data!IZ:IZ),0)</f>
        <v>52259</v>
      </c>
      <c r="F47" s="21">
        <f t="shared" si="3"/>
        <v>0.26</v>
      </c>
    </row>
    <row r="48" spans="1:6" x14ac:dyDescent="0.2">
      <c r="A48" s="19">
        <v>13</v>
      </c>
      <c r="B48" s="180" t="s">
        <v>12</v>
      </c>
      <c r="C48" s="181"/>
      <c r="D48" s="14">
        <f>IF(F3="1",SUMIF(Data!A:A,'47'!$A$2,Data!DG:DG),0)</f>
        <v>13630</v>
      </c>
      <c r="E48" s="17">
        <f>IF($F$3="1",SUMIF(Data!$A:$A,$A$2,Data!JA:JA),0)</f>
        <v>8510</v>
      </c>
      <c r="F48" s="21">
        <f t="shared" si="3"/>
        <v>0.62</v>
      </c>
    </row>
    <row r="49" spans="1:6" ht="14.25" customHeight="1" x14ac:dyDescent="0.2">
      <c r="A49" s="19">
        <v>14</v>
      </c>
      <c r="B49" s="180" t="s">
        <v>464</v>
      </c>
      <c r="C49" s="181"/>
      <c r="D49" s="14">
        <f>IF(F3="1",SUMIF(Data!A:A,'47'!$A$2,Data!DH:DH),0)</f>
        <v>93546</v>
      </c>
      <c r="E49" s="17">
        <f>IF($F$3="1",SUMIF(Data!$A:$A,$A$2,Data!JB:JB),0)</f>
        <v>106202</v>
      </c>
      <c r="F49" s="21">
        <f t="shared" si="3"/>
        <v>1.1399999999999999</v>
      </c>
    </row>
    <row r="50" spans="1:6" x14ac:dyDescent="0.2">
      <c r="A50" s="19">
        <v>15</v>
      </c>
      <c r="B50" s="180" t="s">
        <v>13</v>
      </c>
      <c r="C50" s="181"/>
      <c r="D50" s="14">
        <f>IF(F3="1",SUMIF(Data!A:A,'47'!$A$2,Data!DI:DI),0)</f>
        <v>0</v>
      </c>
      <c r="E50" s="17">
        <f>IF($F$3="1",SUMIF(Data!$A:$A,$A$2,Data!JC:JC),0)</f>
        <v>0</v>
      </c>
      <c r="F50" s="21" t="str">
        <f t="shared" si="3"/>
        <v/>
      </c>
    </row>
    <row r="51" spans="1:6" x14ac:dyDescent="0.2">
      <c r="A51" s="19">
        <v>16</v>
      </c>
      <c r="B51" s="180" t="s">
        <v>14</v>
      </c>
      <c r="C51" s="181"/>
      <c r="D51" s="14">
        <f>IF(F3="1",SUMIF(Data!A:A,'47'!$A$2,Data!DJ:DJ),0)</f>
        <v>128627</v>
      </c>
      <c r="E51" s="17">
        <f>IF($F$3="1",SUMIF(Data!$A:$A,$A$2,Data!JD:JD),0)</f>
        <v>64625</v>
      </c>
      <c r="F51" s="21">
        <f t="shared" si="3"/>
        <v>0.5</v>
      </c>
    </row>
    <row r="52" spans="1:6" x14ac:dyDescent="0.2">
      <c r="A52" s="19">
        <v>17</v>
      </c>
      <c r="B52" s="180" t="s">
        <v>15</v>
      </c>
      <c r="C52" s="181"/>
      <c r="D52" s="14">
        <f>IF(F3="1",SUMIF(Data!A:A,'47'!$A$2,Data!DK:DK),0)</f>
        <v>28048</v>
      </c>
      <c r="E52" s="17">
        <f>IF($F$3="1",SUMIF(Data!$A:$A,$A$2,Data!JE:JE),0)</f>
        <v>20051</v>
      </c>
      <c r="F52" s="21">
        <f t="shared" si="3"/>
        <v>0.71</v>
      </c>
    </row>
    <row r="53" spans="1:6" x14ac:dyDescent="0.2">
      <c r="A53" s="19">
        <v>18</v>
      </c>
      <c r="B53" s="180" t="s">
        <v>16</v>
      </c>
      <c r="C53" s="181"/>
      <c r="D53" s="14">
        <f>IF(F3="1",SUMIF(Data!A:A,'47'!$A$2,Data!DL:DL),0)</f>
        <v>237984</v>
      </c>
      <c r="E53" s="17">
        <f>IF($F$3="1",SUMIF(Data!$A:$A,$A$2,Data!JF:JF),0)</f>
        <v>130987</v>
      </c>
      <c r="F53" s="21">
        <f t="shared" si="3"/>
        <v>0.55000000000000004</v>
      </c>
    </row>
    <row r="54" spans="1:6" x14ac:dyDescent="0.2">
      <c r="A54" s="19">
        <v>19</v>
      </c>
      <c r="B54" s="180" t="s">
        <v>17</v>
      </c>
      <c r="C54" s="181"/>
      <c r="D54" s="14">
        <f>IF(F3="1",SUMIF(Data!A:A,'47'!$A$2,Data!DM:DM),0)</f>
        <v>143616</v>
      </c>
      <c r="E54" s="17">
        <f>IF($F$3="1",SUMIF(Data!$A:$A,$A$2,Data!JG:JG),0)</f>
        <v>154218</v>
      </c>
      <c r="F54" s="21">
        <f t="shared" si="3"/>
        <v>1.07</v>
      </c>
    </row>
    <row r="55" spans="1:6" x14ac:dyDescent="0.2">
      <c r="A55" s="19">
        <v>20</v>
      </c>
      <c r="B55" s="180" t="s">
        <v>18</v>
      </c>
      <c r="C55" s="181"/>
      <c r="D55" s="14">
        <f>IF(F3="1",SUMIF(Data!A:A,'47'!$A$2,Data!DN:DN),0)</f>
        <v>0</v>
      </c>
      <c r="E55" s="17">
        <f>IF($F$3="1",SUMIF(Data!$A:$A,$A$2,Data!JH:JH),0)</f>
        <v>0</v>
      </c>
      <c r="F55" s="21" t="str">
        <f t="shared" si="3"/>
        <v/>
      </c>
    </row>
    <row r="56" spans="1:6" ht="14.25" customHeight="1" x14ac:dyDescent="0.2">
      <c r="A56" s="19">
        <v>21</v>
      </c>
      <c r="B56" s="180" t="s">
        <v>461</v>
      </c>
      <c r="C56" s="181"/>
      <c r="D56" s="14">
        <f>IF(F3="1",SUMIF(Data!A:A,'47'!$A$2,Data!DO:DO),0)</f>
        <v>1344</v>
      </c>
      <c r="E56" s="17">
        <f>IF($F$3="1",SUMIF(Data!$A:$A,$A$2,Data!JI:JI),0)</f>
        <v>2851</v>
      </c>
      <c r="F56" s="21">
        <f t="shared" si="3"/>
        <v>2.12</v>
      </c>
    </row>
    <row r="57" spans="1:6" x14ac:dyDescent="0.2">
      <c r="A57" s="19">
        <v>22</v>
      </c>
      <c r="B57" s="180" t="s">
        <v>19</v>
      </c>
      <c r="C57" s="181"/>
      <c r="D57" s="14">
        <f>IF(F3="1",SUMIF(Data!A:A,'47'!$A$2,Data!DP:DP),0)</f>
        <v>0</v>
      </c>
      <c r="E57" s="17">
        <f>IF($F$3="1",SUMIF(Data!$A:$A,$A$2,Data!JJ:JJ),0)</f>
        <v>0</v>
      </c>
      <c r="F57" s="21" t="str">
        <f t="shared" si="3"/>
        <v/>
      </c>
    </row>
    <row r="58" spans="1:6" x14ac:dyDescent="0.2">
      <c r="A58" s="19">
        <v>23</v>
      </c>
      <c r="B58" s="180" t="s">
        <v>20</v>
      </c>
      <c r="C58" s="181"/>
      <c r="D58" s="14">
        <f>IF(F3="1",SUMIF(Data!A:A,'47'!$A$2,Data!DQ:DQ),0)</f>
        <v>51936</v>
      </c>
      <c r="E58" s="17">
        <f>IF($F$3="1",SUMIF(Data!$A:$A,$A$2,Data!JK:JK),0)</f>
        <v>30549</v>
      </c>
      <c r="F58" s="21">
        <f t="shared" si="3"/>
        <v>0.59</v>
      </c>
    </row>
    <row r="59" spans="1:6" x14ac:dyDescent="0.2">
      <c r="A59" s="19">
        <v>24</v>
      </c>
      <c r="B59" s="180" t="s">
        <v>21</v>
      </c>
      <c r="C59" s="181"/>
      <c r="D59" s="14">
        <f>IF(F3="1",SUMIF(Data!A:A,'47'!$A$2,Data!DR:DR),0)</f>
        <v>62517</v>
      </c>
      <c r="E59" s="17">
        <f>IF($F$3="1",SUMIF(Data!$A:$A,$A$2,Data!JL:JL),0)</f>
        <v>44732</v>
      </c>
      <c r="F59" s="21">
        <f t="shared" si="3"/>
        <v>0.72</v>
      </c>
    </row>
    <row r="60" spans="1:6" x14ac:dyDescent="0.2">
      <c r="A60" s="19">
        <v>25</v>
      </c>
      <c r="B60" s="180" t="s">
        <v>22</v>
      </c>
      <c r="C60" s="181"/>
      <c r="D60" s="14">
        <f>IF(F3="1",SUMIF(Data!A:A,'47'!$A$2,Data!DS:DS),0)</f>
        <v>263712</v>
      </c>
      <c r="E60" s="17">
        <f>IF($F$3="1",SUMIF(Data!$A:$A,$A$2,Data!JM:JM),0)</f>
        <v>50168</v>
      </c>
      <c r="F60" s="21">
        <f t="shared" si="3"/>
        <v>0.19</v>
      </c>
    </row>
    <row r="61" spans="1:6" x14ac:dyDescent="0.2">
      <c r="A61" s="19">
        <v>26</v>
      </c>
      <c r="B61" s="180" t="s">
        <v>23</v>
      </c>
      <c r="C61" s="181"/>
      <c r="D61" s="14">
        <f>IF(F3="1",SUMIF(Data!A:A,'47'!$A$2,Data!DT:DT),0)</f>
        <v>61184</v>
      </c>
      <c r="E61" s="17">
        <f>IF($F$3="1",SUMIF(Data!$A:$A,$A$2,Data!JN:JN),0)</f>
        <v>67608</v>
      </c>
      <c r="F61" s="21">
        <f t="shared" si="3"/>
        <v>1.1000000000000001</v>
      </c>
    </row>
    <row r="62" spans="1:6" x14ac:dyDescent="0.2">
      <c r="A62" s="19">
        <v>28</v>
      </c>
      <c r="B62" s="180" t="s">
        <v>24</v>
      </c>
      <c r="C62" s="181"/>
      <c r="D62" s="14">
        <f>IF(F3="1",SUMIF(Data!A:A,'47'!$A$2,Data!DV:DV),0)</f>
        <v>0</v>
      </c>
      <c r="E62" s="17">
        <f>IF($F$3="1",SUMIF(Data!$A:$A,$A$2,Data!JP:JP),0)</f>
        <v>0</v>
      </c>
      <c r="F62" s="21" t="str">
        <f t="shared" si="3"/>
        <v/>
      </c>
    </row>
    <row r="63" spans="1:6" ht="15.75" customHeight="1" thickBot="1" x14ac:dyDescent="0.25">
      <c r="A63" s="22">
        <v>29</v>
      </c>
      <c r="B63" s="184" t="s">
        <v>25</v>
      </c>
      <c r="C63" s="185"/>
      <c r="D63" s="23">
        <f>IF(F3="1",SUMIF(Data!A:A,'47'!$A$2,Data!DW:DW),0)</f>
        <v>0</v>
      </c>
      <c r="E63" s="24">
        <f>IF($F$3="1",SUMIF(Data!$A:$A,$A$2,Data!JQ:JQ),0)</f>
        <v>0</v>
      </c>
      <c r="F63" s="25" t="str">
        <f t="shared" si="3"/>
        <v/>
      </c>
    </row>
    <row r="64" spans="1:6" x14ac:dyDescent="0.2">
      <c r="B64" s="30" t="s">
        <v>35</v>
      </c>
      <c r="C64" s="30"/>
      <c r="D64" s="59">
        <f>SUM(D36:D63)</f>
        <v>1832313</v>
      </c>
      <c r="E64" s="31">
        <f>SUM(E36:E63)</f>
        <v>1127825</v>
      </c>
      <c r="F64" s="32">
        <f t="shared" si="3"/>
        <v>0.62</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3978</v>
      </c>
      <c r="E67" s="15">
        <f>IF(F3="1",SUMIF(Data!A:A,'47'!$A$2,Data!DY:DY),0)</f>
        <v>15255</v>
      </c>
      <c r="F67" s="20">
        <f t="shared" ref="F67:F95" si="4">IF(OR(D67=0,E67=0),"",ROUND(E67/D67,2))</f>
        <v>3.83</v>
      </c>
    </row>
    <row r="68" spans="1:6" x14ac:dyDescent="0.2">
      <c r="A68" s="19">
        <v>2</v>
      </c>
      <c r="B68" s="180" t="s">
        <v>1</v>
      </c>
      <c r="C68" s="181"/>
      <c r="D68" s="14">
        <f t="shared" ref="D68:D94" si="5">D37</f>
        <v>46936</v>
      </c>
      <c r="E68" s="17">
        <f>IF(F3="1",SUMIF(Data!A:A,'47'!$A$2,Data!DZ:DZ),0)</f>
        <v>141838</v>
      </c>
      <c r="F68" s="21">
        <f t="shared" si="4"/>
        <v>3.02</v>
      </c>
    </row>
    <row r="69" spans="1:6" ht="14.25" customHeight="1" x14ac:dyDescent="0.2">
      <c r="A69" s="19">
        <v>3</v>
      </c>
      <c r="B69" s="180" t="s">
        <v>2</v>
      </c>
      <c r="C69" s="181"/>
      <c r="D69" s="14">
        <f t="shared" si="5"/>
        <v>203952</v>
      </c>
      <c r="E69" s="17">
        <f>IF(F3="1",SUMIF(Data!A:A,'47'!$A$2,Data!EA:EA),0)</f>
        <v>694294</v>
      </c>
      <c r="F69" s="21">
        <f t="shared" si="4"/>
        <v>3.4</v>
      </c>
    </row>
    <row r="70" spans="1:6" ht="14.25" customHeight="1" x14ac:dyDescent="0.2">
      <c r="A70" s="19">
        <v>4</v>
      </c>
      <c r="B70" s="180" t="s">
        <v>3</v>
      </c>
      <c r="C70" s="181"/>
      <c r="D70" s="14">
        <f t="shared" si="5"/>
        <v>99240</v>
      </c>
      <c r="E70" s="17">
        <f>IF(F3="1",SUMIF(Data!A:A,'47'!$A$2,Data!EB:EB),0)</f>
        <v>317653</v>
      </c>
      <c r="F70" s="21">
        <f t="shared" si="4"/>
        <v>3.2</v>
      </c>
    </row>
    <row r="71" spans="1:6" x14ac:dyDescent="0.2">
      <c r="A71" s="19">
        <v>5</v>
      </c>
      <c r="B71" s="180" t="s">
        <v>4</v>
      </c>
      <c r="C71" s="181"/>
      <c r="D71" s="14">
        <f t="shared" si="5"/>
        <v>0</v>
      </c>
      <c r="E71" s="17">
        <f>IF(F3="1",SUMIF(Data!A:A,'47'!$A$2,Data!EC:EC),0)</f>
        <v>0</v>
      </c>
      <c r="F71" s="21" t="str">
        <f t="shared" si="4"/>
        <v/>
      </c>
    </row>
    <row r="72" spans="1:6" x14ac:dyDescent="0.2">
      <c r="A72" s="19">
        <v>6</v>
      </c>
      <c r="B72" s="180" t="s">
        <v>5</v>
      </c>
      <c r="C72" s="181"/>
      <c r="D72" s="14">
        <f t="shared" si="5"/>
        <v>5504</v>
      </c>
      <c r="E72" s="17">
        <f>IF(F3="1",SUMIF(Data!A:A,'47'!$A$2,Data!ED:ED),0)</f>
        <v>28402</v>
      </c>
      <c r="F72" s="21">
        <f t="shared" si="4"/>
        <v>5.16</v>
      </c>
    </row>
    <row r="73" spans="1:6" x14ac:dyDescent="0.2">
      <c r="A73" s="19">
        <v>7</v>
      </c>
      <c r="B73" s="180" t="s">
        <v>6</v>
      </c>
      <c r="C73" s="181"/>
      <c r="D73" s="14">
        <f t="shared" si="5"/>
        <v>96456</v>
      </c>
      <c r="E73" s="17">
        <f>IF(F3="1",SUMIF(Data!A:A,'47'!$A$2,Data!EE:EE),0)</f>
        <v>323961</v>
      </c>
      <c r="F73" s="21">
        <f t="shared" si="4"/>
        <v>3.36</v>
      </c>
    </row>
    <row r="74" spans="1:6" x14ac:dyDescent="0.2">
      <c r="A74" s="19">
        <v>8</v>
      </c>
      <c r="B74" s="180" t="s">
        <v>7</v>
      </c>
      <c r="C74" s="181"/>
      <c r="D74" s="14">
        <f t="shared" si="5"/>
        <v>2784</v>
      </c>
      <c r="E74" s="17">
        <f>IF(F3="1",SUMIF(Data!A:A,'47'!$A$2,Data!EF:EF),0)</f>
        <v>51024</v>
      </c>
      <c r="F74" s="21">
        <f t="shared" si="4"/>
        <v>18.329999999999998</v>
      </c>
    </row>
    <row r="75" spans="1:6" x14ac:dyDescent="0.2">
      <c r="A75" s="19">
        <v>9</v>
      </c>
      <c r="B75" s="180" t="s">
        <v>8</v>
      </c>
      <c r="C75" s="181"/>
      <c r="D75" s="14">
        <f t="shared" si="5"/>
        <v>52359</v>
      </c>
      <c r="E75" s="17">
        <f>IF(F3="1",SUMIF(Data!A:A,'47'!$A$2,Data!EG:EG),0)</f>
        <v>41210</v>
      </c>
      <c r="F75" s="21">
        <f t="shared" si="4"/>
        <v>0.79</v>
      </c>
    </row>
    <row r="76" spans="1:6" x14ac:dyDescent="0.2">
      <c r="A76" s="19">
        <v>10</v>
      </c>
      <c r="B76" s="180" t="s">
        <v>9</v>
      </c>
      <c r="C76" s="181"/>
      <c r="D76" s="14">
        <f t="shared" si="5"/>
        <v>0</v>
      </c>
      <c r="E76" s="17">
        <f>IF(F3="1",SUMIF(Data!A:A,'47'!$A$2,Data!EH:EH),0)</f>
        <v>0</v>
      </c>
      <c r="F76" s="21" t="str">
        <f t="shared" si="4"/>
        <v/>
      </c>
    </row>
    <row r="77" spans="1:6" x14ac:dyDescent="0.2">
      <c r="A77" s="19">
        <v>11</v>
      </c>
      <c r="B77" s="180" t="s">
        <v>10</v>
      </c>
      <c r="C77" s="181"/>
      <c r="D77" s="14">
        <f t="shared" si="5"/>
        <v>33684</v>
      </c>
      <c r="E77" s="17">
        <f>IF(F3="1",SUMIF(Data!A:A,'47'!$A$2,Data!EI:EI),0)</f>
        <v>71055</v>
      </c>
      <c r="F77" s="21">
        <f t="shared" si="4"/>
        <v>2.11</v>
      </c>
    </row>
    <row r="78" spans="1:6" ht="14.25" customHeight="1" x14ac:dyDescent="0.2">
      <c r="A78" s="19">
        <v>12</v>
      </c>
      <c r="B78" s="180" t="s">
        <v>11</v>
      </c>
      <c r="C78" s="181"/>
      <c r="D78" s="14">
        <f t="shared" si="5"/>
        <v>201276</v>
      </c>
      <c r="E78" s="17">
        <f>IF(F3="1",SUMIF(Data!A:A,'47'!$A$2,Data!EJ:EJ),0)</f>
        <v>681798</v>
      </c>
      <c r="F78" s="21">
        <f t="shared" si="4"/>
        <v>3.39</v>
      </c>
    </row>
    <row r="79" spans="1:6" x14ac:dyDescent="0.2">
      <c r="A79" s="19">
        <v>13</v>
      </c>
      <c r="B79" s="180" t="s">
        <v>12</v>
      </c>
      <c r="C79" s="181"/>
      <c r="D79" s="14">
        <f t="shared" si="5"/>
        <v>13630</v>
      </c>
      <c r="E79" s="17">
        <f>IF(F3="1",SUMIF(Data!A:A,'47'!$A$2,Data!EK:EK),0)</f>
        <v>45834</v>
      </c>
      <c r="F79" s="21">
        <f t="shared" si="4"/>
        <v>3.36</v>
      </c>
    </row>
    <row r="80" spans="1:6" ht="14.25" customHeight="1" x14ac:dyDescent="0.2">
      <c r="A80" s="19">
        <v>14</v>
      </c>
      <c r="B80" s="180" t="s">
        <v>464</v>
      </c>
      <c r="C80" s="181"/>
      <c r="D80" s="14">
        <f t="shared" si="5"/>
        <v>93546</v>
      </c>
      <c r="E80" s="17">
        <f>IF(F3="1",SUMIF(Data!A:A,'47'!$A$2,Data!EL:EL),0)</f>
        <v>769174</v>
      </c>
      <c r="F80" s="21">
        <f t="shared" si="4"/>
        <v>8.2200000000000006</v>
      </c>
    </row>
    <row r="81" spans="1:6" x14ac:dyDescent="0.2">
      <c r="A81" s="19">
        <v>15</v>
      </c>
      <c r="B81" s="180" t="s">
        <v>13</v>
      </c>
      <c r="C81" s="181"/>
      <c r="D81" s="14">
        <f t="shared" si="5"/>
        <v>0</v>
      </c>
      <c r="E81" s="17">
        <f>IF(F3="1",SUMIF(Data!A:A,'47'!$A$2,Data!EM:EM),0)</f>
        <v>0</v>
      </c>
      <c r="F81" s="21" t="str">
        <f t="shared" si="4"/>
        <v/>
      </c>
    </row>
    <row r="82" spans="1:6" x14ac:dyDescent="0.2">
      <c r="A82" s="19">
        <v>16</v>
      </c>
      <c r="B82" s="180" t="s">
        <v>14</v>
      </c>
      <c r="C82" s="181"/>
      <c r="D82" s="14">
        <f t="shared" si="5"/>
        <v>128627</v>
      </c>
      <c r="E82" s="17">
        <f>IF(F3="1",SUMIF(Data!A:A,'47'!$A$2,Data!EN:EN),0)</f>
        <v>240537</v>
      </c>
      <c r="F82" s="21">
        <f t="shared" si="4"/>
        <v>1.87</v>
      </c>
    </row>
    <row r="83" spans="1:6" x14ac:dyDescent="0.2">
      <c r="A83" s="19">
        <v>17</v>
      </c>
      <c r="B83" s="180" t="s">
        <v>15</v>
      </c>
      <c r="C83" s="181"/>
      <c r="D83" s="14">
        <f t="shared" si="5"/>
        <v>28048</v>
      </c>
      <c r="E83" s="17">
        <f>IF(F3="1",SUMIF(Data!A:A,'47'!$A$2,Data!EO:EO),0)</f>
        <v>153613</v>
      </c>
      <c r="F83" s="21">
        <f t="shared" si="4"/>
        <v>5.48</v>
      </c>
    </row>
    <row r="84" spans="1:6" x14ac:dyDescent="0.2">
      <c r="A84" s="19">
        <v>18</v>
      </c>
      <c r="B84" s="180" t="s">
        <v>16</v>
      </c>
      <c r="C84" s="181"/>
      <c r="D84" s="14">
        <f t="shared" si="5"/>
        <v>237984</v>
      </c>
      <c r="E84" s="17">
        <f>IF(F3="1",SUMIF(Data!A:A,'47'!$A$2,Data!EP:EP),0)</f>
        <v>750361</v>
      </c>
      <c r="F84" s="21">
        <f t="shared" si="4"/>
        <v>3.15</v>
      </c>
    </row>
    <row r="85" spans="1:6" x14ac:dyDescent="0.2">
      <c r="A85" s="19">
        <v>19</v>
      </c>
      <c r="B85" s="180" t="s">
        <v>17</v>
      </c>
      <c r="C85" s="181"/>
      <c r="D85" s="14">
        <f t="shared" si="5"/>
        <v>143616</v>
      </c>
      <c r="E85" s="17">
        <f>IF(F3="1",SUMIF(Data!A:A,'47'!$A$2,Data!EQ:EQ),0)</f>
        <v>385371</v>
      </c>
      <c r="F85" s="21">
        <f t="shared" si="4"/>
        <v>2.68</v>
      </c>
    </row>
    <row r="86" spans="1:6" x14ac:dyDescent="0.2">
      <c r="A86" s="19">
        <v>20</v>
      </c>
      <c r="B86" s="180" t="s">
        <v>18</v>
      </c>
      <c r="C86" s="181"/>
      <c r="D86" s="14">
        <f t="shared" si="5"/>
        <v>0</v>
      </c>
      <c r="E86" s="17">
        <f>IF(F3="1",SUMIF(Data!A:A,'47'!$A$2,Data!ER:ER),0)</f>
        <v>0</v>
      </c>
      <c r="F86" s="21" t="str">
        <f t="shared" si="4"/>
        <v/>
      </c>
    </row>
    <row r="87" spans="1:6" ht="14.25" customHeight="1" x14ac:dyDescent="0.2">
      <c r="A87" s="19">
        <v>21</v>
      </c>
      <c r="B87" s="180" t="s">
        <v>461</v>
      </c>
      <c r="C87" s="181"/>
      <c r="D87" s="14">
        <f t="shared" si="5"/>
        <v>1344</v>
      </c>
      <c r="E87" s="17">
        <f>IF(F3="1",SUMIF(Data!A:A,'47'!$A$2,Data!ES:ES),0)</f>
        <v>15404</v>
      </c>
      <c r="F87" s="21">
        <f t="shared" si="4"/>
        <v>11.46</v>
      </c>
    </row>
    <row r="88" spans="1:6" x14ac:dyDescent="0.2">
      <c r="A88" s="19">
        <v>22</v>
      </c>
      <c r="B88" s="180" t="s">
        <v>19</v>
      </c>
      <c r="C88" s="181"/>
      <c r="D88" s="14">
        <f t="shared" si="5"/>
        <v>0</v>
      </c>
      <c r="E88" s="17">
        <f>IF(F3="1",SUMIF(Data!A:A,'47'!$A$2,Data!ET:ET),0)</f>
        <v>0</v>
      </c>
      <c r="F88" s="21" t="str">
        <f t="shared" si="4"/>
        <v/>
      </c>
    </row>
    <row r="89" spans="1:6" x14ac:dyDescent="0.2">
      <c r="A89" s="19">
        <v>23</v>
      </c>
      <c r="B89" s="180" t="s">
        <v>20</v>
      </c>
      <c r="C89" s="181"/>
      <c r="D89" s="14">
        <f t="shared" si="5"/>
        <v>51936</v>
      </c>
      <c r="E89" s="17">
        <f>IF(F3="1",SUMIF(Data!A:A,'47'!$A$2,Data!EU:EU),0)</f>
        <v>219636</v>
      </c>
      <c r="F89" s="21">
        <f t="shared" si="4"/>
        <v>4.2300000000000004</v>
      </c>
    </row>
    <row r="90" spans="1:6" x14ac:dyDescent="0.2">
      <c r="A90" s="19">
        <v>24</v>
      </c>
      <c r="B90" s="180" t="s">
        <v>21</v>
      </c>
      <c r="C90" s="181"/>
      <c r="D90" s="14">
        <f t="shared" si="5"/>
        <v>62517</v>
      </c>
      <c r="E90" s="17">
        <f>IF(F3="1",SUMIF(Data!A:A,'47'!$A$2,Data!EV:EV),0)</f>
        <v>208409</v>
      </c>
      <c r="F90" s="21">
        <f t="shared" si="4"/>
        <v>3.33</v>
      </c>
    </row>
    <row r="91" spans="1:6" x14ac:dyDescent="0.2">
      <c r="A91" s="19">
        <v>25</v>
      </c>
      <c r="B91" s="180" t="s">
        <v>22</v>
      </c>
      <c r="C91" s="181"/>
      <c r="D91" s="14">
        <f t="shared" si="5"/>
        <v>263712</v>
      </c>
      <c r="E91" s="17">
        <f>IF(F3="1",SUMIF(Data!A:A,'47'!$A$2,Data!EW:EW),0)</f>
        <v>711747</v>
      </c>
      <c r="F91" s="21">
        <f t="shared" si="4"/>
        <v>2.7</v>
      </c>
    </row>
    <row r="92" spans="1:6" x14ac:dyDescent="0.2">
      <c r="A92" s="19">
        <v>26</v>
      </c>
      <c r="B92" s="180" t="s">
        <v>23</v>
      </c>
      <c r="C92" s="181"/>
      <c r="D92" s="14">
        <f t="shared" si="5"/>
        <v>61184</v>
      </c>
      <c r="E92" s="17">
        <f>IF(F3="1",SUMIF(Data!A:A,'47'!$A$2,Data!EX:EX),0)</f>
        <v>311314</v>
      </c>
      <c r="F92" s="21">
        <f t="shared" si="4"/>
        <v>5.09</v>
      </c>
    </row>
    <row r="93" spans="1:6" x14ac:dyDescent="0.2">
      <c r="A93" s="19">
        <v>28</v>
      </c>
      <c r="B93" s="180" t="s">
        <v>24</v>
      </c>
      <c r="C93" s="181"/>
      <c r="D93" s="14">
        <f t="shared" si="5"/>
        <v>0</v>
      </c>
      <c r="E93" s="17">
        <f>IF(F3="1",SUMIF(Data!A:A,'47'!$A$2,Data!EZ:EZ),0)</f>
        <v>0</v>
      </c>
      <c r="F93" s="21" t="str">
        <f t="shared" si="4"/>
        <v/>
      </c>
    </row>
    <row r="94" spans="1:6" ht="15.75" customHeight="1" thickBot="1" x14ac:dyDescent="0.25">
      <c r="A94" s="22">
        <v>29</v>
      </c>
      <c r="B94" s="184" t="s">
        <v>25</v>
      </c>
      <c r="C94" s="185"/>
      <c r="D94" s="23">
        <f t="shared" si="5"/>
        <v>0</v>
      </c>
      <c r="E94" s="24">
        <f>IF(F3="1",SUMIF(Data!A:A,'47'!$A$2,Data!FA:FA),0)</f>
        <v>0</v>
      </c>
      <c r="F94" s="25" t="str">
        <f t="shared" si="4"/>
        <v/>
      </c>
    </row>
    <row r="95" spans="1:6" x14ac:dyDescent="0.2">
      <c r="B95" s="30" t="s">
        <v>35</v>
      </c>
      <c r="C95" s="30"/>
      <c r="D95" s="59">
        <f>SUM(D67:D94)</f>
        <v>1832313</v>
      </c>
      <c r="E95" s="31">
        <f>SUM(E67:E94)</f>
        <v>6177890</v>
      </c>
      <c r="F95" s="32">
        <f t="shared" si="4"/>
        <v>3.37</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IF(F3="1",SUMIF(Data!A:A,'47'!$A$2,Data!AH:AH),0)</f>
        <v>2099410</v>
      </c>
      <c r="F98" s="20">
        <f>IF(OR(E98=0,E98=0),"",ROUND(E98/$D$105,2))</f>
        <v>1.1499999999999999</v>
      </c>
    </row>
    <row r="99" spans="2:6" x14ac:dyDescent="0.2">
      <c r="B99" s="190" t="s">
        <v>31</v>
      </c>
      <c r="C99" s="191"/>
      <c r="D99" s="36"/>
      <c r="E99" s="17">
        <f>IF(F3="1",SUMIF(Data!A:A,'47'!$A$2,Data!AI:AI),0)</f>
        <v>1029014</v>
      </c>
      <c r="F99" s="21">
        <f t="shared" ref="F99:F104" si="6">IF(OR(E99=0,E99=0),"",ROUND(E99/$D$105,2))</f>
        <v>0.56000000000000005</v>
      </c>
    </row>
    <row r="100" spans="2:6" x14ac:dyDescent="0.2">
      <c r="B100" s="190" t="s">
        <v>1089</v>
      </c>
      <c r="C100" s="191"/>
      <c r="D100" s="36"/>
      <c r="E100" s="17">
        <f>IF(F3="1",SUMIF(Data!A:A,'47'!$A$2,Data!AJ:AJ),0)</f>
        <v>599327</v>
      </c>
      <c r="F100" s="21">
        <f t="shared" si="6"/>
        <v>0.33</v>
      </c>
    </row>
    <row r="101" spans="2:6" x14ac:dyDescent="0.2">
      <c r="B101" s="190" t="s">
        <v>1090</v>
      </c>
      <c r="C101" s="191"/>
      <c r="D101" s="36"/>
      <c r="E101" s="17">
        <f>IF(F3="1",SUMIF(Data!A:A,'47'!$A$2,Data!AK:AK),0)</f>
        <v>483314</v>
      </c>
      <c r="F101" s="21">
        <f t="shared" si="6"/>
        <v>0.26</v>
      </c>
    </row>
    <row r="102" spans="2:6" x14ac:dyDescent="0.2">
      <c r="B102" s="190" t="s">
        <v>1091</v>
      </c>
      <c r="C102" s="191"/>
      <c r="D102" s="36"/>
      <c r="E102" s="17">
        <f>IF(F3="1",SUMIF(Data!A:A,'47'!$A$2,Data!AL:AL),0)</f>
        <v>0</v>
      </c>
      <c r="F102" s="21" t="str">
        <f t="shared" si="6"/>
        <v/>
      </c>
    </row>
    <row r="103" spans="2:6" x14ac:dyDescent="0.2">
      <c r="B103" s="192" t="s">
        <v>34</v>
      </c>
      <c r="C103" s="193"/>
      <c r="D103" s="36"/>
      <c r="E103" s="17">
        <f>IF(F3="1",SUMIF(Data!A:A,'47'!$A$2,Data!AM:AM),0)</f>
        <v>0</v>
      </c>
      <c r="F103" s="21" t="str">
        <f t="shared" si="6"/>
        <v/>
      </c>
    </row>
    <row r="104" spans="2:6" ht="15.75" customHeight="1" thickBot="1" x14ac:dyDescent="0.25">
      <c r="B104" s="186" t="s">
        <v>29</v>
      </c>
      <c r="C104" s="187"/>
      <c r="D104" s="37"/>
      <c r="E104" s="24">
        <f>IF(F3="1",SUMIF(Data!A:A,'47'!$A$2,Data!Q:Q),0)</f>
        <v>1088435</v>
      </c>
      <c r="F104" s="25">
        <f t="shared" si="6"/>
        <v>0.59</v>
      </c>
    </row>
    <row r="105" spans="2:6" x14ac:dyDescent="0.2">
      <c r="B105" s="30" t="s">
        <v>35</v>
      </c>
      <c r="C105" s="30"/>
      <c r="D105" s="34">
        <f>D95</f>
        <v>1832313</v>
      </c>
      <c r="E105" s="31">
        <f>SUM(E98:E104)</f>
        <v>5299500</v>
      </c>
      <c r="F105" s="32">
        <f>IF($D$105=0,"",ROUND(E105/$D$105,2))</f>
        <v>2.89</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6177890</v>
      </c>
      <c r="D109" s="15">
        <f>IF(F3="1",SUMIF(Data!$A:$A,$A$2,Data!HJ:HJ),0)</f>
        <v>0</v>
      </c>
      <c r="E109" s="15">
        <f>IF(F3="1",SUMIF(Data!$A:$A,$A$2,Data!IN:IN),0)</f>
        <v>0</v>
      </c>
      <c r="F109" s="47">
        <f>SUM(C109:E109)</f>
        <v>6177890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1088435</v>
      </c>
      <c r="E117" s="52"/>
      <c r="F117" s="49">
        <f>SUM(C117:E117)</f>
        <v>1088435</v>
      </c>
    </row>
    <row r="118" spans="1:6" x14ac:dyDescent="0.2">
      <c r="B118" s="13" t="s">
        <v>35</v>
      </c>
      <c r="C118" s="4">
        <f>SUM(C109:C116)</f>
        <v>6177890</v>
      </c>
      <c r="D118" s="4">
        <f>SUM(D109:D116)</f>
        <v>0</v>
      </c>
      <c r="E118" s="4">
        <f>SUM(E109:E116)</f>
        <v>0</v>
      </c>
      <c r="F118" s="4">
        <f>SUM(F109:F116)</f>
        <v>6177890</v>
      </c>
    </row>
    <row r="119" spans="1:6" ht="15" thickBot="1" x14ac:dyDescent="0.25"/>
    <row r="120" spans="1:6" ht="15" thickBot="1" x14ac:dyDescent="0.25">
      <c r="B120" s="55" t="s">
        <v>934</v>
      </c>
      <c r="C120" s="53"/>
      <c r="D120" s="53"/>
      <c r="E120" s="53">
        <f>IF(F3="1",SUMIF(Data!A:A,'47'!$A$2,Data!AM:AM),0)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140625" style="10" bestFit="1" customWidth="1"/>
    <col min="13"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415</v>
      </c>
      <c r="B2" s="58" t="str">
        <f>VLOOKUP(A2,Data!A:G,7,0)</f>
        <v>Weatherford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48912</v>
      </c>
      <c r="E5" s="15">
        <f>E36+E67+IFERROR($E$105/$D$105*D5,0)</f>
        <v>308307.37187326822</v>
      </c>
      <c r="F5" s="20">
        <f>IF(OR(D5=0,E5=0),"",ROUND(E5/D5,2))</f>
        <v>6.3</v>
      </c>
    </row>
    <row r="6" spans="1:6" x14ac:dyDescent="0.2">
      <c r="A6" s="19">
        <v>2</v>
      </c>
      <c r="B6" s="180" t="s">
        <v>1</v>
      </c>
      <c r="C6" s="181"/>
      <c r="D6" s="14">
        <f t="shared" ref="D6:D32" si="0">D37</f>
        <v>2256</v>
      </c>
      <c r="E6" s="17">
        <f t="shared" ref="E6:E32" si="1">E37+E68+IFERROR($E$105/$D$105*D6,0)</f>
        <v>8263.3822159407318</v>
      </c>
      <c r="F6" s="21">
        <f t="shared" ref="F6:F33" si="2">IF(OR(D6=0,E6=0),"",ROUND(E6/D6,2))</f>
        <v>3.66</v>
      </c>
    </row>
    <row r="7" spans="1:6" ht="14.25" customHeight="1" x14ac:dyDescent="0.2">
      <c r="A7" s="19">
        <v>3</v>
      </c>
      <c r="B7" s="180" t="s">
        <v>2</v>
      </c>
      <c r="C7" s="181"/>
      <c r="D7" s="14">
        <f t="shared" si="0"/>
        <v>185024</v>
      </c>
      <c r="E7" s="17">
        <f t="shared" si="1"/>
        <v>802271.76556835906</v>
      </c>
      <c r="F7" s="21">
        <f t="shared" si="2"/>
        <v>4.34</v>
      </c>
    </row>
    <row r="8" spans="1:6" ht="14.25" customHeight="1" x14ac:dyDescent="0.2">
      <c r="A8" s="19">
        <v>4</v>
      </c>
      <c r="B8" s="180" t="s">
        <v>3</v>
      </c>
      <c r="C8" s="181"/>
      <c r="D8" s="14">
        <f t="shared" si="0"/>
        <v>86616</v>
      </c>
      <c r="E8" s="17">
        <f t="shared" si="1"/>
        <v>517777.03635457554</v>
      </c>
      <c r="F8" s="21">
        <f t="shared" si="2"/>
        <v>5.98</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4608</v>
      </c>
      <c r="E10" s="17">
        <f t="shared" si="1"/>
        <v>31268.036015538517</v>
      </c>
      <c r="F10" s="21">
        <f t="shared" si="2"/>
        <v>6.79</v>
      </c>
    </row>
    <row r="11" spans="1:6" x14ac:dyDescent="0.2">
      <c r="A11" s="19">
        <v>7</v>
      </c>
      <c r="B11" s="180" t="s">
        <v>6</v>
      </c>
      <c r="C11" s="181"/>
      <c r="D11" s="14">
        <f t="shared" si="0"/>
        <v>153204</v>
      </c>
      <c r="E11" s="17">
        <f t="shared" si="1"/>
        <v>724448.91356869857</v>
      </c>
      <c r="F11" s="21">
        <f t="shared" si="2"/>
        <v>4.7300000000000004</v>
      </c>
    </row>
    <row r="12" spans="1:6" x14ac:dyDescent="0.2">
      <c r="A12" s="19">
        <v>8</v>
      </c>
      <c r="B12" s="180" t="s">
        <v>7</v>
      </c>
      <c r="C12" s="181"/>
      <c r="D12" s="14">
        <f t="shared" si="0"/>
        <v>93424</v>
      </c>
      <c r="E12" s="17">
        <f t="shared" si="1"/>
        <v>342216.9628289215</v>
      </c>
      <c r="F12" s="21">
        <f t="shared" si="2"/>
        <v>3.66</v>
      </c>
    </row>
    <row r="13" spans="1:6" x14ac:dyDescent="0.2">
      <c r="A13" s="19">
        <v>9</v>
      </c>
      <c r="B13" s="180" t="s">
        <v>8</v>
      </c>
      <c r="C13" s="181"/>
      <c r="D13" s="14">
        <f t="shared" si="0"/>
        <v>151200</v>
      </c>
      <c r="E13" s="17">
        <f t="shared" si="1"/>
        <v>731286.74425985757</v>
      </c>
      <c r="F13" s="21">
        <f t="shared" si="2"/>
        <v>4.84</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70520</v>
      </c>
      <c r="E15" s="17">
        <f t="shared" si="1"/>
        <v>413069.83416140976</v>
      </c>
      <c r="F15" s="21">
        <f t="shared" si="2"/>
        <v>5.86</v>
      </c>
    </row>
    <row r="16" spans="1:6" ht="14.25" customHeight="1" x14ac:dyDescent="0.2">
      <c r="A16" s="19">
        <v>12</v>
      </c>
      <c r="B16" s="180" t="s">
        <v>11</v>
      </c>
      <c r="C16" s="181"/>
      <c r="D16" s="14">
        <f t="shared" si="0"/>
        <v>222960</v>
      </c>
      <c r="E16" s="17">
        <f t="shared" si="1"/>
        <v>1144232.7530435044</v>
      </c>
      <c r="F16" s="21">
        <f t="shared" si="2"/>
        <v>5.13</v>
      </c>
    </row>
    <row r="17" spans="1:6" x14ac:dyDescent="0.2">
      <c r="A17" s="19">
        <v>13</v>
      </c>
      <c r="B17" s="180" t="s">
        <v>12</v>
      </c>
      <c r="C17" s="181"/>
      <c r="D17" s="14">
        <f t="shared" si="0"/>
        <v>12594</v>
      </c>
      <c r="E17" s="17">
        <f t="shared" si="1"/>
        <v>62249.878381009563</v>
      </c>
      <c r="F17" s="21">
        <f t="shared" si="2"/>
        <v>4.9400000000000004</v>
      </c>
    </row>
    <row r="18" spans="1:6" ht="14.25" customHeight="1" x14ac:dyDescent="0.2">
      <c r="A18" s="19">
        <v>14</v>
      </c>
      <c r="B18" s="180" t="s">
        <v>464</v>
      </c>
      <c r="C18" s="181"/>
      <c r="D18" s="14">
        <f t="shared" si="0"/>
        <v>64360</v>
      </c>
      <c r="E18" s="17">
        <f t="shared" si="1"/>
        <v>608397.74087674893</v>
      </c>
      <c r="F18" s="21">
        <f t="shared" si="2"/>
        <v>9.4499999999999993</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164852</v>
      </c>
      <c r="E20" s="17">
        <f t="shared" si="1"/>
        <v>811631.19905242091</v>
      </c>
      <c r="F20" s="21">
        <f t="shared" si="2"/>
        <v>4.92</v>
      </c>
    </row>
    <row r="21" spans="1:6" x14ac:dyDescent="0.2">
      <c r="A21" s="19">
        <v>17</v>
      </c>
      <c r="B21" s="180" t="s">
        <v>15</v>
      </c>
      <c r="C21" s="181"/>
      <c r="D21" s="14">
        <f t="shared" si="0"/>
        <v>33872</v>
      </c>
      <c r="E21" s="17">
        <f t="shared" si="1"/>
        <v>242092.15710032999</v>
      </c>
      <c r="F21" s="21">
        <f t="shared" si="2"/>
        <v>7.15</v>
      </c>
    </row>
    <row r="22" spans="1:6" x14ac:dyDescent="0.2">
      <c r="A22" s="19">
        <v>18</v>
      </c>
      <c r="B22" s="180" t="s">
        <v>16</v>
      </c>
      <c r="C22" s="181"/>
      <c r="D22" s="14">
        <f t="shared" si="0"/>
        <v>87216</v>
      </c>
      <c r="E22" s="17">
        <f t="shared" si="1"/>
        <v>507531.73375243216</v>
      </c>
      <c r="F22" s="21">
        <f t="shared" si="2"/>
        <v>5.82</v>
      </c>
    </row>
    <row r="23" spans="1:6" x14ac:dyDescent="0.2">
      <c r="A23" s="19">
        <v>19</v>
      </c>
      <c r="B23" s="180" t="s">
        <v>17</v>
      </c>
      <c r="C23" s="181"/>
      <c r="D23" s="14">
        <f t="shared" si="0"/>
        <v>182624</v>
      </c>
      <c r="E23" s="17">
        <f t="shared" si="1"/>
        <v>1009887.9759769328</v>
      </c>
      <c r="F23" s="21">
        <f t="shared" si="2"/>
        <v>5.53</v>
      </c>
    </row>
    <row r="24" spans="1:6" x14ac:dyDescent="0.2">
      <c r="A24" s="19">
        <v>20</v>
      </c>
      <c r="B24" s="180" t="s">
        <v>18</v>
      </c>
      <c r="C24" s="181"/>
      <c r="D24" s="14">
        <f t="shared" si="0"/>
        <v>0</v>
      </c>
      <c r="E24" s="17">
        <f t="shared" si="1"/>
        <v>0</v>
      </c>
      <c r="F24" s="21" t="str">
        <f t="shared" si="2"/>
        <v/>
      </c>
    </row>
    <row r="25" spans="1:6" ht="14.25" customHeight="1" x14ac:dyDescent="0.2">
      <c r="A25" s="19">
        <v>21</v>
      </c>
      <c r="B25" s="180" t="s">
        <v>461</v>
      </c>
      <c r="C25" s="181"/>
      <c r="D25" s="14">
        <f t="shared" si="0"/>
        <v>63440</v>
      </c>
      <c r="E25" s="17">
        <f t="shared" si="1"/>
        <v>529300.80486670218</v>
      </c>
      <c r="F25" s="21">
        <f t="shared" si="2"/>
        <v>8.34</v>
      </c>
    </row>
    <row r="26" spans="1:6" x14ac:dyDescent="0.2">
      <c r="A26" s="19">
        <v>22</v>
      </c>
      <c r="B26" s="180" t="s">
        <v>19</v>
      </c>
      <c r="C26" s="181"/>
      <c r="D26" s="14">
        <f t="shared" si="0"/>
        <v>0</v>
      </c>
      <c r="E26" s="17">
        <f t="shared" si="1"/>
        <v>0</v>
      </c>
      <c r="F26" s="21" t="str">
        <f t="shared" si="2"/>
        <v/>
      </c>
    </row>
    <row r="27" spans="1:6" x14ac:dyDescent="0.2">
      <c r="A27" s="19">
        <v>23</v>
      </c>
      <c r="B27" s="180" t="s">
        <v>20</v>
      </c>
      <c r="C27" s="181"/>
      <c r="D27" s="14">
        <f t="shared" si="0"/>
        <v>77088</v>
      </c>
      <c r="E27" s="17">
        <f t="shared" si="1"/>
        <v>482039.08167661307</v>
      </c>
      <c r="F27" s="21">
        <f t="shared" si="2"/>
        <v>6.25</v>
      </c>
    </row>
    <row r="28" spans="1:6" x14ac:dyDescent="0.2">
      <c r="A28" s="19">
        <v>24</v>
      </c>
      <c r="B28" s="180" t="s">
        <v>21</v>
      </c>
      <c r="C28" s="181"/>
      <c r="D28" s="14">
        <f t="shared" si="0"/>
        <v>128097</v>
      </c>
      <c r="E28" s="17">
        <f t="shared" si="1"/>
        <v>760199.01095539005</v>
      </c>
      <c r="F28" s="21">
        <f t="shared" si="2"/>
        <v>5.93</v>
      </c>
    </row>
    <row r="29" spans="1:6" x14ac:dyDescent="0.2">
      <c r="A29" s="19">
        <v>25</v>
      </c>
      <c r="B29" s="180" t="s">
        <v>22</v>
      </c>
      <c r="C29" s="181"/>
      <c r="D29" s="14">
        <f t="shared" si="0"/>
        <v>304240</v>
      </c>
      <c r="E29" s="17">
        <f t="shared" si="1"/>
        <v>1421649.3605398089</v>
      </c>
      <c r="F29" s="21">
        <f t="shared" si="2"/>
        <v>4.67</v>
      </c>
    </row>
    <row r="30" spans="1:6" x14ac:dyDescent="0.2">
      <c r="A30" s="19">
        <v>26</v>
      </c>
      <c r="B30" s="180" t="s">
        <v>23</v>
      </c>
      <c r="C30" s="181"/>
      <c r="D30" s="14">
        <f t="shared" si="0"/>
        <v>66192</v>
      </c>
      <c r="E30" s="17">
        <f t="shared" si="1"/>
        <v>476315.25693153765</v>
      </c>
      <c r="F30" s="21">
        <f t="shared" si="2"/>
        <v>7.2</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2203299</v>
      </c>
      <c r="E33" s="31">
        <f>SUM(E5:E32)</f>
        <v>11934437</v>
      </c>
      <c r="F33" s="32">
        <f t="shared" si="2"/>
        <v>5.42</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IF(F3="1",SUMIF(Data!A:A,'48'!$A$2,Data!CU:CU),0)</f>
        <v>48912</v>
      </c>
      <c r="E36" s="15">
        <f>IF(F3="1",SUMIF(Data!$A:$A,$A$2,Data!IO:IO),0)</f>
        <v>116873</v>
      </c>
      <c r="F36" s="20">
        <f t="shared" ref="F36:F64" si="3">IF(OR(D36=0,E36=0),"",ROUND(E36/D36,2))</f>
        <v>2.39</v>
      </c>
    </row>
    <row r="37" spans="1:6" x14ac:dyDescent="0.2">
      <c r="A37" s="19">
        <v>2</v>
      </c>
      <c r="B37" s="180" t="s">
        <v>1</v>
      </c>
      <c r="C37" s="181"/>
      <c r="D37" s="14">
        <f>IF(F3="1",SUMIF(Data!A:A,'48'!$A$2,Data!CV:CV),0)</f>
        <v>2256</v>
      </c>
      <c r="E37" s="17">
        <f>IF(F3="1",SUMIF(Data!$A:$A,$A$2,Data!IP:IP),0)</f>
        <v>2487</v>
      </c>
      <c r="F37" s="21">
        <f t="shared" si="3"/>
        <v>1.1000000000000001</v>
      </c>
    </row>
    <row r="38" spans="1:6" ht="14.25" customHeight="1" x14ac:dyDescent="0.2">
      <c r="A38" s="19">
        <v>3</v>
      </c>
      <c r="B38" s="180" t="s">
        <v>2</v>
      </c>
      <c r="C38" s="181"/>
      <c r="D38" s="14">
        <f>IF(F3="1",SUMIF(Data!A:A,'48'!$A$2,Data!CW:CW),0)</f>
        <v>185024</v>
      </c>
      <c r="E38" s="17">
        <f>IF($F$3="1",SUMIF(Data!$A:$A,$A$2,Data!IQ:IQ),0)</f>
        <v>67077</v>
      </c>
      <c r="F38" s="21">
        <f t="shared" si="3"/>
        <v>0.36</v>
      </c>
    </row>
    <row r="39" spans="1:6" ht="14.25" customHeight="1" x14ac:dyDescent="0.2">
      <c r="A39" s="19">
        <v>4</v>
      </c>
      <c r="B39" s="180" t="s">
        <v>3</v>
      </c>
      <c r="C39" s="181"/>
      <c r="D39" s="14">
        <f>IF(F3="1",SUMIF(Data!A:A,'48'!$A$2,Data!CX:CX),0)</f>
        <v>86616</v>
      </c>
      <c r="E39" s="17">
        <f>IF($F$3="1",SUMIF(Data!$A:$A,$A$2,Data!IR:IR),0)</f>
        <v>29810</v>
      </c>
      <c r="F39" s="21">
        <f t="shared" si="3"/>
        <v>0.34</v>
      </c>
    </row>
    <row r="40" spans="1:6" x14ac:dyDescent="0.2">
      <c r="A40" s="19">
        <v>5</v>
      </c>
      <c r="B40" s="180" t="s">
        <v>4</v>
      </c>
      <c r="C40" s="181"/>
      <c r="D40" s="14">
        <f>IF(F3="1",SUMIF(Data!A:A,'48'!$A$2,Data!CY:CY),0)</f>
        <v>0</v>
      </c>
      <c r="E40" s="17">
        <f>IF($F$3="1",SUMIF(Data!$A:$A,$A$2,Data!IS:IS),0)</f>
        <v>0</v>
      </c>
      <c r="F40" s="21" t="str">
        <f t="shared" si="3"/>
        <v/>
      </c>
    </row>
    <row r="41" spans="1:6" x14ac:dyDescent="0.2">
      <c r="A41" s="19">
        <v>6</v>
      </c>
      <c r="B41" s="180" t="s">
        <v>5</v>
      </c>
      <c r="C41" s="181"/>
      <c r="D41" s="14">
        <f>IF(F3="1",SUMIF(Data!A:A,'48'!$A$2,Data!CZ:CZ),0)</f>
        <v>4608</v>
      </c>
      <c r="E41" s="17">
        <f>IF($F$3="1",SUMIF(Data!$A:$A,$A$2,Data!IT:IT),0)</f>
        <v>255</v>
      </c>
      <c r="F41" s="21">
        <f t="shared" si="3"/>
        <v>0.06</v>
      </c>
    </row>
    <row r="42" spans="1:6" x14ac:dyDescent="0.2">
      <c r="A42" s="19">
        <v>7</v>
      </c>
      <c r="B42" s="180" t="s">
        <v>6</v>
      </c>
      <c r="C42" s="181"/>
      <c r="D42" s="14">
        <f>IF(F3="1",SUMIF(Data!A:A,'48'!$A$2,Data!DA:DA),0)</f>
        <v>153204</v>
      </c>
      <c r="E42" s="17">
        <f>IF($F$3="1",SUMIF(Data!$A:$A,$A$2,Data!IU:IU),0)</f>
        <v>122382</v>
      </c>
      <c r="F42" s="21">
        <f t="shared" si="3"/>
        <v>0.8</v>
      </c>
    </row>
    <row r="43" spans="1:6" x14ac:dyDescent="0.2">
      <c r="A43" s="19">
        <v>8</v>
      </c>
      <c r="B43" s="180" t="s">
        <v>7</v>
      </c>
      <c r="C43" s="181"/>
      <c r="D43" s="14">
        <f>IF(F3="1",SUMIF(Data!A:A,'48'!$A$2,Data!DB:DB),0)</f>
        <v>93424</v>
      </c>
      <c r="E43" s="17">
        <f>IF($F$3="1",SUMIF(Data!$A:$A,$A$2,Data!IV:IV),0)</f>
        <v>103010</v>
      </c>
      <c r="F43" s="21">
        <f t="shared" si="3"/>
        <v>1.1000000000000001</v>
      </c>
    </row>
    <row r="44" spans="1:6" x14ac:dyDescent="0.2">
      <c r="A44" s="19">
        <v>9</v>
      </c>
      <c r="B44" s="180" t="s">
        <v>8</v>
      </c>
      <c r="C44" s="181"/>
      <c r="D44" s="14">
        <f>IF(F3="1",SUMIF(Data!A:A,'48'!$A$2,Data!DC:DC),0)</f>
        <v>151200</v>
      </c>
      <c r="E44" s="17">
        <f>IF($F$3="1",SUMIF(Data!$A:$A,$A$2,Data!IW:IW),0)</f>
        <v>221575</v>
      </c>
      <c r="F44" s="21">
        <f t="shared" si="3"/>
        <v>1.47</v>
      </c>
    </row>
    <row r="45" spans="1:6" x14ac:dyDescent="0.2">
      <c r="A45" s="19">
        <v>10</v>
      </c>
      <c r="B45" s="180" t="s">
        <v>9</v>
      </c>
      <c r="C45" s="181"/>
      <c r="D45" s="14">
        <f>IF(F3="1",SUMIF(Data!A:A,'48'!$A$2,Data!DD:DD),0)</f>
        <v>0</v>
      </c>
      <c r="E45" s="17">
        <f>IF($F$3="1",SUMIF(Data!$A:$A,$A$2,Data!IX:IX),0)</f>
        <v>0</v>
      </c>
      <c r="F45" s="21" t="str">
        <f t="shared" si="3"/>
        <v/>
      </c>
    </row>
    <row r="46" spans="1:6" x14ac:dyDescent="0.2">
      <c r="A46" s="19">
        <v>11</v>
      </c>
      <c r="B46" s="180" t="s">
        <v>10</v>
      </c>
      <c r="C46" s="181"/>
      <c r="D46" s="14">
        <f>IF(F3="1",SUMIF(Data!A:A,'48'!$A$2,Data!DE:DE),0)</f>
        <v>70520</v>
      </c>
      <c r="E46" s="17">
        <f>IF($F$3="1",SUMIF(Data!$A:$A,$A$2,Data!IY:IY),0)</f>
        <v>75875</v>
      </c>
      <c r="F46" s="21">
        <f t="shared" si="3"/>
        <v>1.08</v>
      </c>
    </row>
    <row r="47" spans="1:6" ht="14.25" customHeight="1" x14ac:dyDescent="0.2">
      <c r="A47" s="19">
        <v>12</v>
      </c>
      <c r="B47" s="180" t="s">
        <v>11</v>
      </c>
      <c r="C47" s="181"/>
      <c r="D47" s="14">
        <f>IF(F3="1",SUMIF(Data!A:A,'48'!$A$2,Data!DF:DF),0)</f>
        <v>222960</v>
      </c>
      <c r="E47" s="17">
        <f>IF($F$3="1",SUMIF(Data!$A:$A,$A$2,Data!IZ:IZ),0)</f>
        <v>86820</v>
      </c>
      <c r="F47" s="21">
        <f t="shared" si="3"/>
        <v>0.39</v>
      </c>
    </row>
    <row r="48" spans="1:6" x14ac:dyDescent="0.2">
      <c r="A48" s="19">
        <v>13</v>
      </c>
      <c r="B48" s="180" t="s">
        <v>12</v>
      </c>
      <c r="C48" s="181"/>
      <c r="D48" s="14">
        <f>IF(F3="1",SUMIF(Data!A:A,'48'!$A$2,Data!DG:DG),0)</f>
        <v>12594</v>
      </c>
      <c r="E48" s="17">
        <f>IF($F$3="1",SUMIF(Data!$A:$A,$A$2,Data!JA:JA),0)</f>
        <v>3155</v>
      </c>
      <c r="F48" s="21">
        <f t="shared" si="3"/>
        <v>0.25</v>
      </c>
    </row>
    <row r="49" spans="1:6" ht="14.25" customHeight="1" x14ac:dyDescent="0.2">
      <c r="A49" s="19">
        <v>14</v>
      </c>
      <c r="B49" s="180" t="s">
        <v>464</v>
      </c>
      <c r="C49" s="181"/>
      <c r="D49" s="14">
        <f>IF(F3="1",SUMIF(Data!A:A,'48'!$A$2,Data!DH:DH),0)</f>
        <v>64360</v>
      </c>
      <c r="E49" s="17">
        <f>IF($F$3="1",SUMIF(Data!$A:$A,$A$2,Data!JB:JB),0)</f>
        <v>71761</v>
      </c>
      <c r="F49" s="21">
        <f t="shared" si="3"/>
        <v>1.1100000000000001</v>
      </c>
    </row>
    <row r="50" spans="1:6" x14ac:dyDescent="0.2">
      <c r="A50" s="19">
        <v>15</v>
      </c>
      <c r="B50" s="180" t="s">
        <v>13</v>
      </c>
      <c r="C50" s="181"/>
      <c r="D50" s="14">
        <f>IF(F3="1",SUMIF(Data!A:A,'48'!$A$2,Data!DI:DI),0)</f>
        <v>0</v>
      </c>
      <c r="E50" s="17">
        <f>IF($F$3="1",SUMIF(Data!$A:$A,$A$2,Data!JC:JC),0)</f>
        <v>0</v>
      </c>
      <c r="F50" s="21" t="str">
        <f t="shared" si="3"/>
        <v/>
      </c>
    </row>
    <row r="51" spans="1:6" x14ac:dyDescent="0.2">
      <c r="A51" s="19">
        <v>16</v>
      </c>
      <c r="B51" s="180" t="s">
        <v>14</v>
      </c>
      <c r="C51" s="181"/>
      <c r="D51" s="14">
        <f>IF(F3="1",SUMIF(Data!A:A,'48'!$A$2,Data!DJ:DJ),0)</f>
        <v>164852</v>
      </c>
      <c r="E51" s="17">
        <f>IF($F$3="1",SUMIF(Data!$A:$A,$A$2,Data!JD:JD),0)</f>
        <v>90100</v>
      </c>
      <c r="F51" s="21">
        <f t="shared" si="3"/>
        <v>0.55000000000000004</v>
      </c>
    </row>
    <row r="52" spans="1:6" x14ac:dyDescent="0.2">
      <c r="A52" s="19">
        <v>17</v>
      </c>
      <c r="B52" s="180" t="s">
        <v>15</v>
      </c>
      <c r="C52" s="181"/>
      <c r="D52" s="14">
        <f>IF(F3="1",SUMIF(Data!A:A,'48'!$A$2,Data!DK:DK),0)</f>
        <v>33872</v>
      </c>
      <c r="E52" s="17">
        <f>IF($F$3="1",SUMIF(Data!$A:$A,$A$2,Data!JE:JE),0)</f>
        <v>15905</v>
      </c>
      <c r="F52" s="21">
        <f t="shared" si="3"/>
        <v>0.47</v>
      </c>
    </row>
    <row r="53" spans="1:6" x14ac:dyDescent="0.2">
      <c r="A53" s="19">
        <v>18</v>
      </c>
      <c r="B53" s="180" t="s">
        <v>16</v>
      </c>
      <c r="C53" s="181"/>
      <c r="D53" s="14">
        <f>IF(F3="1",SUMIF(Data!A:A,'48'!$A$2,Data!DL:DL),0)</f>
        <v>87216</v>
      </c>
      <c r="E53" s="17">
        <f>IF($F$3="1",SUMIF(Data!$A:$A,$A$2,Data!JF:JF),0)</f>
        <v>51778</v>
      </c>
      <c r="F53" s="21">
        <f t="shared" si="3"/>
        <v>0.59</v>
      </c>
    </row>
    <row r="54" spans="1:6" x14ac:dyDescent="0.2">
      <c r="A54" s="19">
        <v>19</v>
      </c>
      <c r="B54" s="180" t="s">
        <v>17</v>
      </c>
      <c r="C54" s="181"/>
      <c r="D54" s="14">
        <f>IF(F3="1",SUMIF(Data!A:A,'48'!$A$2,Data!DM:DM),0)</f>
        <v>182624</v>
      </c>
      <c r="E54" s="17">
        <f>IF($F$3="1",SUMIF(Data!$A:$A,$A$2,Data!JG:JG),0)</f>
        <v>76752</v>
      </c>
      <c r="F54" s="21">
        <f t="shared" si="3"/>
        <v>0.42</v>
      </c>
    </row>
    <row r="55" spans="1:6" x14ac:dyDescent="0.2">
      <c r="A55" s="19">
        <v>20</v>
      </c>
      <c r="B55" s="180" t="s">
        <v>18</v>
      </c>
      <c r="C55" s="181"/>
      <c r="D55" s="14">
        <f>IF(F3="1",SUMIF(Data!A:A,'48'!$A$2,Data!DN:DN),0)</f>
        <v>0</v>
      </c>
      <c r="E55" s="17">
        <f>IF($F$3="1",SUMIF(Data!$A:$A,$A$2,Data!JH:JH),0)</f>
        <v>0</v>
      </c>
      <c r="F55" s="21" t="str">
        <f t="shared" si="3"/>
        <v/>
      </c>
    </row>
    <row r="56" spans="1:6" ht="14.25" customHeight="1" x14ac:dyDescent="0.2">
      <c r="A56" s="19">
        <v>21</v>
      </c>
      <c r="B56" s="180" t="s">
        <v>461</v>
      </c>
      <c r="C56" s="181"/>
      <c r="D56" s="14">
        <f>IF(F3="1",SUMIF(Data!A:A,'48'!$A$2,Data!DO:DO),0)</f>
        <v>63440</v>
      </c>
      <c r="E56" s="17">
        <f>IF($F$3="1",SUMIF(Data!$A:$A,$A$2,Data!JI:JI),0)</f>
        <v>124139</v>
      </c>
      <c r="F56" s="21">
        <f t="shared" si="3"/>
        <v>1.96</v>
      </c>
    </row>
    <row r="57" spans="1:6" x14ac:dyDescent="0.2">
      <c r="A57" s="19">
        <v>22</v>
      </c>
      <c r="B57" s="180" t="s">
        <v>19</v>
      </c>
      <c r="C57" s="181"/>
      <c r="D57" s="14">
        <f>IF(F3="1",SUMIF(Data!A:A,'48'!$A$2,Data!DP:DP),0)</f>
        <v>0</v>
      </c>
      <c r="E57" s="17">
        <f>IF($F$3="1",SUMIF(Data!$A:$A,$A$2,Data!JJ:JJ),0)</f>
        <v>0</v>
      </c>
      <c r="F57" s="21" t="str">
        <f t="shared" si="3"/>
        <v/>
      </c>
    </row>
    <row r="58" spans="1:6" x14ac:dyDescent="0.2">
      <c r="A58" s="19">
        <v>23</v>
      </c>
      <c r="B58" s="180" t="s">
        <v>20</v>
      </c>
      <c r="C58" s="181"/>
      <c r="D58" s="14">
        <f>IF(F3="1",SUMIF(Data!A:A,'48'!$A$2,Data!DQ:DQ),0)</f>
        <v>77088</v>
      </c>
      <c r="E58" s="17">
        <f>IF($F$3="1",SUMIF(Data!$A:$A,$A$2,Data!JK:JK),0)</f>
        <v>47771</v>
      </c>
      <c r="F58" s="21">
        <f t="shared" si="3"/>
        <v>0.62</v>
      </c>
    </row>
    <row r="59" spans="1:6" x14ac:dyDescent="0.2">
      <c r="A59" s="19">
        <v>24</v>
      </c>
      <c r="B59" s="180" t="s">
        <v>21</v>
      </c>
      <c r="C59" s="181"/>
      <c r="D59" s="14">
        <f>IF(F3="1",SUMIF(Data!A:A,'48'!$A$2,Data!DR:DR),0)</f>
        <v>128097</v>
      </c>
      <c r="E59" s="17">
        <f>IF($F$3="1",SUMIF(Data!$A:$A,$A$2,Data!JL:JL),0)</f>
        <v>82390</v>
      </c>
      <c r="F59" s="21">
        <f t="shared" si="3"/>
        <v>0.64</v>
      </c>
    </row>
    <row r="60" spans="1:6" x14ac:dyDescent="0.2">
      <c r="A60" s="19">
        <v>25</v>
      </c>
      <c r="B60" s="180" t="s">
        <v>22</v>
      </c>
      <c r="C60" s="181"/>
      <c r="D60" s="14">
        <f>IF(F3="1",SUMIF(Data!A:A,'48'!$A$2,Data!DS:DS),0)</f>
        <v>304240</v>
      </c>
      <c r="E60" s="17">
        <f>IF($F$3="1",SUMIF(Data!$A:$A,$A$2,Data!JM:JM),0)</f>
        <v>95322</v>
      </c>
      <c r="F60" s="21">
        <f t="shared" si="3"/>
        <v>0.31</v>
      </c>
    </row>
    <row r="61" spans="1:6" x14ac:dyDescent="0.2">
      <c r="A61" s="19">
        <v>26</v>
      </c>
      <c r="B61" s="180" t="s">
        <v>23</v>
      </c>
      <c r="C61" s="181"/>
      <c r="D61" s="14">
        <f>IF(F3="1",SUMIF(Data!A:A,'48'!$A$2,Data!DT:DT),0)</f>
        <v>66192</v>
      </c>
      <c r="E61" s="17">
        <f>IF($F$3="1",SUMIF(Data!$A:$A,$A$2,Data!JN:JN),0)</f>
        <v>63455</v>
      </c>
      <c r="F61" s="21">
        <f t="shared" si="3"/>
        <v>0.96</v>
      </c>
    </row>
    <row r="62" spans="1:6" x14ac:dyDescent="0.2">
      <c r="A62" s="19">
        <v>28</v>
      </c>
      <c r="B62" s="180" t="s">
        <v>24</v>
      </c>
      <c r="C62" s="181"/>
      <c r="D62" s="14">
        <f>IF(F3="1",SUMIF(Data!A:A,'48'!$A$2,Data!DV:DV),0)</f>
        <v>0</v>
      </c>
      <c r="E62" s="17">
        <f>IF($F$3="1",SUMIF(Data!$A:$A,$A$2,Data!JP:JP),0)</f>
        <v>0</v>
      </c>
      <c r="F62" s="21" t="str">
        <f t="shared" si="3"/>
        <v/>
      </c>
    </row>
    <row r="63" spans="1:6" ht="15.75" customHeight="1" thickBot="1" x14ac:dyDescent="0.25">
      <c r="A63" s="22">
        <v>29</v>
      </c>
      <c r="B63" s="184" t="s">
        <v>25</v>
      </c>
      <c r="C63" s="185"/>
      <c r="D63" s="23">
        <f>IF(F3="1",SUMIF(Data!A:A,'48'!$A$2,Data!DW:DW),0)</f>
        <v>0</v>
      </c>
      <c r="E63" s="24">
        <f>IF($F$3="1",SUMIF(Data!$A:$A,$A$2,Data!JQ:JQ),0)</f>
        <v>0</v>
      </c>
      <c r="F63" s="25" t="str">
        <f t="shared" si="3"/>
        <v/>
      </c>
    </row>
    <row r="64" spans="1:6" x14ac:dyDescent="0.2">
      <c r="B64" s="30" t="s">
        <v>35</v>
      </c>
      <c r="C64" s="30"/>
      <c r="D64" s="59">
        <f>SUM(D36:D63)</f>
        <v>2203299</v>
      </c>
      <c r="E64" s="31">
        <f>SUM(E36:E63)</f>
        <v>1548692</v>
      </c>
      <c r="F64" s="32">
        <f t="shared" si="3"/>
        <v>0.7</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48912</v>
      </c>
      <c r="E67" s="15">
        <f>IF(F3="1",SUMIF(Data!A:A,'48'!$A$2,Data!DY:DY),0)</f>
        <v>79206</v>
      </c>
      <c r="F67" s="20">
        <f t="shared" ref="F67:F95" si="4">IF(OR(D67=0,E67=0),"",ROUND(E67/D67,2))</f>
        <v>1.62</v>
      </c>
    </row>
    <row r="68" spans="1:6" x14ac:dyDescent="0.2">
      <c r="A68" s="19">
        <v>2</v>
      </c>
      <c r="B68" s="180" t="s">
        <v>1</v>
      </c>
      <c r="C68" s="181"/>
      <c r="D68" s="14">
        <f t="shared" ref="D68:D94" si="5">D37</f>
        <v>2256</v>
      </c>
      <c r="E68" s="17">
        <f>IF(F3="1",SUMIF(Data!A:A,'48'!$A$2,Data!DZ:DZ),0)</f>
        <v>600</v>
      </c>
      <c r="F68" s="21">
        <f t="shared" si="4"/>
        <v>0.27</v>
      </c>
    </row>
    <row r="69" spans="1:6" ht="14.25" customHeight="1" x14ac:dyDescent="0.2">
      <c r="A69" s="19">
        <v>3</v>
      </c>
      <c r="B69" s="180" t="s">
        <v>2</v>
      </c>
      <c r="C69" s="181"/>
      <c r="D69" s="14">
        <f t="shared" si="5"/>
        <v>185024</v>
      </c>
      <c r="E69" s="17">
        <f>IF(F3="1",SUMIF(Data!A:A,'48'!$A$2,Data!EA:EA),0)</f>
        <v>310658</v>
      </c>
      <c r="F69" s="21">
        <f t="shared" si="4"/>
        <v>1.68</v>
      </c>
    </row>
    <row r="70" spans="1:6" ht="14.25" customHeight="1" x14ac:dyDescent="0.2">
      <c r="A70" s="19">
        <v>4</v>
      </c>
      <c r="B70" s="180" t="s">
        <v>3</v>
      </c>
      <c r="C70" s="181"/>
      <c r="D70" s="14">
        <f t="shared" si="5"/>
        <v>86616</v>
      </c>
      <c r="E70" s="17">
        <f>IF(F3="1",SUMIF(Data!A:A,'48'!$A$2,Data!EB:EB),0)</f>
        <v>289227</v>
      </c>
      <c r="F70" s="21">
        <f t="shared" si="4"/>
        <v>3.34</v>
      </c>
    </row>
    <row r="71" spans="1:6" x14ac:dyDescent="0.2">
      <c r="A71" s="19">
        <v>5</v>
      </c>
      <c r="B71" s="180" t="s">
        <v>4</v>
      </c>
      <c r="C71" s="181"/>
      <c r="D71" s="14">
        <f t="shared" si="5"/>
        <v>0</v>
      </c>
      <c r="E71" s="17">
        <f>IF(F3="1",SUMIF(Data!A:A,'48'!$A$2,Data!EC:EC),0)</f>
        <v>0</v>
      </c>
      <c r="F71" s="21" t="str">
        <f t="shared" si="4"/>
        <v/>
      </c>
    </row>
    <row r="72" spans="1:6" x14ac:dyDescent="0.2">
      <c r="A72" s="19">
        <v>6</v>
      </c>
      <c r="B72" s="180" t="s">
        <v>5</v>
      </c>
      <c r="C72" s="181"/>
      <c r="D72" s="14">
        <f t="shared" si="5"/>
        <v>4608</v>
      </c>
      <c r="E72" s="17">
        <f>IF(F3="1",SUMIF(Data!A:A,'48'!$A$2,Data!ED:ED),0)</f>
        <v>20440</v>
      </c>
      <c r="F72" s="21">
        <f t="shared" si="4"/>
        <v>4.4400000000000004</v>
      </c>
    </row>
    <row r="73" spans="1:6" x14ac:dyDescent="0.2">
      <c r="A73" s="19">
        <v>7</v>
      </c>
      <c r="B73" s="180" t="s">
        <v>6</v>
      </c>
      <c r="C73" s="181"/>
      <c r="D73" s="14">
        <f t="shared" si="5"/>
        <v>153204</v>
      </c>
      <c r="E73" s="17">
        <f>IF(F3="1",SUMIF(Data!A:A,'48'!$A$2,Data!EE:EE),0)</f>
        <v>250541</v>
      </c>
      <c r="F73" s="21">
        <f t="shared" si="4"/>
        <v>1.64</v>
      </c>
    </row>
    <row r="74" spans="1:6" x14ac:dyDescent="0.2">
      <c r="A74" s="19">
        <v>8</v>
      </c>
      <c r="B74" s="180" t="s">
        <v>7</v>
      </c>
      <c r="C74" s="181"/>
      <c r="D74" s="14">
        <f t="shared" si="5"/>
        <v>93424</v>
      </c>
      <c r="E74" s="17">
        <f>IF(F3="1",SUMIF(Data!A:A,'48'!$A$2,Data!EF:EF),0)</f>
        <v>24846</v>
      </c>
      <c r="F74" s="21">
        <f t="shared" si="4"/>
        <v>0.27</v>
      </c>
    </row>
    <row r="75" spans="1:6" x14ac:dyDescent="0.2">
      <c r="A75" s="19">
        <v>9</v>
      </c>
      <c r="B75" s="180" t="s">
        <v>8</v>
      </c>
      <c r="C75" s="181"/>
      <c r="D75" s="14">
        <f t="shared" si="5"/>
        <v>151200</v>
      </c>
      <c r="E75" s="17">
        <f>IF(F3="1",SUMIF(Data!A:A,'48'!$A$2,Data!EG:EG),0)</f>
        <v>162784</v>
      </c>
      <c r="F75" s="21">
        <f t="shared" si="4"/>
        <v>1.08</v>
      </c>
    </row>
    <row r="76" spans="1:6" x14ac:dyDescent="0.2">
      <c r="A76" s="19">
        <v>10</v>
      </c>
      <c r="B76" s="180" t="s">
        <v>9</v>
      </c>
      <c r="C76" s="181"/>
      <c r="D76" s="14">
        <f t="shared" si="5"/>
        <v>0</v>
      </c>
      <c r="E76" s="17">
        <f>IF(F3="1",SUMIF(Data!A:A,'48'!$A$2,Data!EH:EH),0)</f>
        <v>0</v>
      </c>
      <c r="F76" s="21" t="str">
        <f t="shared" si="4"/>
        <v/>
      </c>
    </row>
    <row r="77" spans="1:6" x14ac:dyDescent="0.2">
      <c r="A77" s="19">
        <v>11</v>
      </c>
      <c r="B77" s="180" t="s">
        <v>10</v>
      </c>
      <c r="C77" s="181"/>
      <c r="D77" s="14">
        <f t="shared" si="5"/>
        <v>70520</v>
      </c>
      <c r="E77" s="17">
        <f>IF(F3="1",SUMIF(Data!A:A,'48'!$A$2,Data!EI:EI),0)</f>
        <v>175387</v>
      </c>
      <c r="F77" s="21">
        <f t="shared" si="4"/>
        <v>2.4900000000000002</v>
      </c>
    </row>
    <row r="78" spans="1:6" ht="14.25" customHeight="1" x14ac:dyDescent="0.2">
      <c r="A78" s="19">
        <v>12</v>
      </c>
      <c r="B78" s="180" t="s">
        <v>11</v>
      </c>
      <c r="C78" s="181"/>
      <c r="D78" s="14">
        <f t="shared" si="5"/>
        <v>222960</v>
      </c>
      <c r="E78" s="17">
        <f>IF(F3="1",SUMIF(Data!A:A,'48'!$A$2,Data!EJ:EJ),0)</f>
        <v>545832</v>
      </c>
      <c r="F78" s="21">
        <f t="shared" si="4"/>
        <v>2.4500000000000002</v>
      </c>
    </row>
    <row r="79" spans="1:6" x14ac:dyDescent="0.2">
      <c r="A79" s="19">
        <v>13</v>
      </c>
      <c r="B79" s="180" t="s">
        <v>12</v>
      </c>
      <c r="C79" s="181"/>
      <c r="D79" s="14">
        <f t="shared" si="5"/>
        <v>12594</v>
      </c>
      <c r="E79" s="17">
        <f>IF(F3="1",SUMIF(Data!A:A,'48'!$A$2,Data!EK:EK),0)</f>
        <v>30198</v>
      </c>
      <c r="F79" s="21">
        <f t="shared" si="4"/>
        <v>2.4</v>
      </c>
    </row>
    <row r="80" spans="1:6" ht="14.25" customHeight="1" x14ac:dyDescent="0.2">
      <c r="A80" s="19">
        <v>14</v>
      </c>
      <c r="B80" s="180" t="s">
        <v>464</v>
      </c>
      <c r="C80" s="181"/>
      <c r="D80" s="14">
        <f t="shared" si="5"/>
        <v>64360</v>
      </c>
      <c r="E80" s="17">
        <f>IF(F3="1",SUMIF(Data!A:A,'48'!$A$2,Data!EL:EL),0)</f>
        <v>388963</v>
      </c>
      <c r="F80" s="21">
        <f t="shared" si="4"/>
        <v>6.04</v>
      </c>
    </row>
    <row r="81" spans="1:6" x14ac:dyDescent="0.2">
      <c r="A81" s="19">
        <v>15</v>
      </c>
      <c r="B81" s="180" t="s">
        <v>13</v>
      </c>
      <c r="C81" s="181"/>
      <c r="D81" s="14">
        <f t="shared" si="5"/>
        <v>0</v>
      </c>
      <c r="E81" s="17">
        <f>IF(F3="1",SUMIF(Data!A:A,'48'!$A$2,Data!EM:EM),0)</f>
        <v>0</v>
      </c>
      <c r="F81" s="21" t="str">
        <f t="shared" si="4"/>
        <v/>
      </c>
    </row>
    <row r="82" spans="1:6" x14ac:dyDescent="0.2">
      <c r="A82" s="19">
        <v>16</v>
      </c>
      <c r="B82" s="180" t="s">
        <v>14</v>
      </c>
      <c r="C82" s="181"/>
      <c r="D82" s="14">
        <f t="shared" si="5"/>
        <v>164852</v>
      </c>
      <c r="E82" s="17">
        <f>IF(F3="1",SUMIF(Data!A:A,'48'!$A$2,Data!EN:EN),0)</f>
        <v>343279</v>
      </c>
      <c r="F82" s="21">
        <f t="shared" si="4"/>
        <v>2.08</v>
      </c>
    </row>
    <row r="83" spans="1:6" x14ac:dyDescent="0.2">
      <c r="A83" s="19">
        <v>17</v>
      </c>
      <c r="B83" s="180" t="s">
        <v>15</v>
      </c>
      <c r="C83" s="181"/>
      <c r="D83" s="14">
        <f t="shared" si="5"/>
        <v>33872</v>
      </c>
      <c r="E83" s="17">
        <f>IF(F3="1",SUMIF(Data!A:A,'48'!$A$2,Data!EO:EO),0)</f>
        <v>148468</v>
      </c>
      <c r="F83" s="21">
        <f t="shared" si="4"/>
        <v>4.38</v>
      </c>
    </row>
    <row r="84" spans="1:6" x14ac:dyDescent="0.2">
      <c r="A84" s="19">
        <v>18</v>
      </c>
      <c r="B84" s="180" t="s">
        <v>16</v>
      </c>
      <c r="C84" s="181"/>
      <c r="D84" s="14">
        <f t="shared" si="5"/>
        <v>87216</v>
      </c>
      <c r="E84" s="17">
        <f>IF(F3="1",SUMIF(Data!A:A,'48'!$A$2,Data!EP:EP),0)</f>
        <v>255637</v>
      </c>
      <c r="F84" s="21">
        <f t="shared" si="4"/>
        <v>2.93</v>
      </c>
    </row>
    <row r="85" spans="1:6" x14ac:dyDescent="0.2">
      <c r="A85" s="19">
        <v>19</v>
      </c>
      <c r="B85" s="180" t="s">
        <v>17</v>
      </c>
      <c r="C85" s="181"/>
      <c r="D85" s="14">
        <f t="shared" si="5"/>
        <v>182624</v>
      </c>
      <c r="E85" s="17">
        <f>IF(F3="1",SUMIF(Data!A:A,'48'!$A$2,Data!EQ:EQ),0)</f>
        <v>514106</v>
      </c>
      <c r="F85" s="21">
        <f t="shared" si="4"/>
        <v>2.82</v>
      </c>
    </row>
    <row r="86" spans="1:6" x14ac:dyDescent="0.2">
      <c r="A86" s="19">
        <v>20</v>
      </c>
      <c r="B86" s="180" t="s">
        <v>18</v>
      </c>
      <c r="C86" s="181"/>
      <c r="D86" s="14">
        <f t="shared" si="5"/>
        <v>0</v>
      </c>
      <c r="E86" s="17">
        <f>IF(F3="1",SUMIF(Data!A:A,'48'!$A$2,Data!ER:ER),0)</f>
        <v>0</v>
      </c>
      <c r="F86" s="21" t="str">
        <f t="shared" si="4"/>
        <v/>
      </c>
    </row>
    <row r="87" spans="1:6" ht="14.25" customHeight="1" x14ac:dyDescent="0.2">
      <c r="A87" s="19">
        <v>21</v>
      </c>
      <c r="B87" s="180" t="s">
        <v>461</v>
      </c>
      <c r="C87" s="181"/>
      <c r="D87" s="14">
        <f t="shared" si="5"/>
        <v>63440</v>
      </c>
      <c r="E87" s="17">
        <f>IF(F3="1",SUMIF(Data!A:A,'48'!$A$2,Data!ES:ES),0)</f>
        <v>259599</v>
      </c>
      <c r="F87" s="21">
        <f t="shared" si="4"/>
        <v>4.09</v>
      </c>
    </row>
    <row r="88" spans="1:6" x14ac:dyDescent="0.2">
      <c r="A88" s="19">
        <v>22</v>
      </c>
      <c r="B88" s="180" t="s">
        <v>19</v>
      </c>
      <c r="C88" s="181"/>
      <c r="D88" s="14">
        <f t="shared" si="5"/>
        <v>0</v>
      </c>
      <c r="E88" s="17">
        <f>IF(F3="1",SUMIF(Data!A:A,'48'!$A$2,Data!ET:ET),0)</f>
        <v>0</v>
      </c>
      <c r="F88" s="21" t="str">
        <f t="shared" si="4"/>
        <v/>
      </c>
    </row>
    <row r="89" spans="1:6" x14ac:dyDescent="0.2">
      <c r="A89" s="19">
        <v>23</v>
      </c>
      <c r="B89" s="180" t="s">
        <v>20</v>
      </c>
      <c r="C89" s="181"/>
      <c r="D89" s="14">
        <f t="shared" si="5"/>
        <v>77088</v>
      </c>
      <c r="E89" s="17">
        <f>IF(F3="1",SUMIF(Data!A:A,'48'!$A$2,Data!EU:EU),0)</f>
        <v>257390</v>
      </c>
      <c r="F89" s="21">
        <f t="shared" si="4"/>
        <v>3.34</v>
      </c>
    </row>
    <row r="90" spans="1:6" x14ac:dyDescent="0.2">
      <c r="A90" s="19">
        <v>24</v>
      </c>
      <c r="B90" s="180" t="s">
        <v>21</v>
      </c>
      <c r="C90" s="181"/>
      <c r="D90" s="14">
        <f t="shared" si="5"/>
        <v>128097</v>
      </c>
      <c r="E90" s="17">
        <f>IF(F3="1",SUMIF(Data!A:A,'48'!$A$2,Data!EV:EV),0)</f>
        <v>383891</v>
      </c>
      <c r="F90" s="21">
        <f t="shared" si="4"/>
        <v>3</v>
      </c>
    </row>
    <row r="91" spans="1:6" x14ac:dyDescent="0.2">
      <c r="A91" s="19">
        <v>25</v>
      </c>
      <c r="B91" s="180" t="s">
        <v>22</v>
      </c>
      <c r="C91" s="181"/>
      <c r="D91" s="14">
        <f t="shared" si="5"/>
        <v>304240</v>
      </c>
      <c r="E91" s="17">
        <f>IF(F3="1",SUMIF(Data!A:A,'48'!$A$2,Data!EW:EW),0)</f>
        <v>628250</v>
      </c>
      <c r="F91" s="21">
        <f t="shared" si="4"/>
        <v>2.06</v>
      </c>
    </row>
    <row r="92" spans="1:6" x14ac:dyDescent="0.2">
      <c r="A92" s="19">
        <v>26</v>
      </c>
      <c r="B92" s="180" t="s">
        <v>23</v>
      </c>
      <c r="C92" s="181"/>
      <c r="D92" s="14">
        <f t="shared" si="5"/>
        <v>66192</v>
      </c>
      <c r="E92" s="17">
        <f>IF(F3="1",SUMIF(Data!A:A,'48'!$A$2,Data!EX:EX),0)</f>
        <v>260983</v>
      </c>
      <c r="F92" s="21">
        <f t="shared" si="4"/>
        <v>3.94</v>
      </c>
    </row>
    <row r="93" spans="1:6" x14ac:dyDescent="0.2">
      <c r="A93" s="19">
        <v>28</v>
      </c>
      <c r="B93" s="180" t="s">
        <v>24</v>
      </c>
      <c r="C93" s="181"/>
      <c r="D93" s="14">
        <f t="shared" si="5"/>
        <v>0</v>
      </c>
      <c r="E93" s="17">
        <f>IF(F3="1",SUMIF(Data!A:A,'48'!$A$2,Data!EZ:EZ),0)</f>
        <v>0</v>
      </c>
      <c r="F93" s="21" t="str">
        <f t="shared" si="4"/>
        <v/>
      </c>
    </row>
    <row r="94" spans="1:6" ht="15.75" customHeight="1" thickBot="1" x14ac:dyDescent="0.25">
      <c r="A94" s="22">
        <v>29</v>
      </c>
      <c r="B94" s="184" t="s">
        <v>25</v>
      </c>
      <c r="C94" s="185"/>
      <c r="D94" s="23">
        <f t="shared" si="5"/>
        <v>0</v>
      </c>
      <c r="E94" s="24">
        <f>IF(F3="1",SUMIF(Data!A:A,'48'!$A$2,Data!FA:FA),0)</f>
        <v>0</v>
      </c>
      <c r="F94" s="25" t="str">
        <f t="shared" si="4"/>
        <v/>
      </c>
    </row>
    <row r="95" spans="1:6" x14ac:dyDescent="0.2">
      <c r="B95" s="30" t="s">
        <v>35</v>
      </c>
      <c r="C95" s="30"/>
      <c r="D95" s="59">
        <f>SUM(D67:D94)</f>
        <v>2203299</v>
      </c>
      <c r="E95" s="31">
        <f>SUM(E67:E94)</f>
        <v>5330285</v>
      </c>
      <c r="F95" s="32">
        <f t="shared" si="4"/>
        <v>2.42</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IF(F3="1",SUMIF(Data!A:A,'48'!$A$2,Data!AH:AH),0)</f>
        <v>3120275</v>
      </c>
      <c r="F98" s="20">
        <f>IF(OR(E98=0,E98=0),"",ROUND(E98/$D$105,2))</f>
        <v>1.42</v>
      </c>
    </row>
    <row r="99" spans="2:6" x14ac:dyDescent="0.2">
      <c r="B99" s="190" t="s">
        <v>31</v>
      </c>
      <c r="C99" s="191"/>
      <c r="D99" s="36"/>
      <c r="E99" s="17">
        <f>IF(F3="1",SUMIF(Data!A:A,'48'!$A$2,Data!AI:AI),0)</f>
        <v>949076</v>
      </c>
      <c r="F99" s="21">
        <f t="shared" ref="F99:F104" si="6">IF(OR(E99=0,E99=0),"",ROUND(E99/$D$105,2))</f>
        <v>0.43</v>
      </c>
    </row>
    <row r="100" spans="2:6" x14ac:dyDescent="0.2">
      <c r="B100" s="190" t="s">
        <v>1089</v>
      </c>
      <c r="C100" s="191"/>
      <c r="D100" s="36"/>
      <c r="E100" s="17">
        <f>IF(F3="1",SUMIF(Data!A:A,'48'!$A$2,Data!AJ:AJ),0)</f>
        <v>423973</v>
      </c>
      <c r="F100" s="21">
        <f t="shared" si="6"/>
        <v>0.19</v>
      </c>
    </row>
    <row r="101" spans="2:6" x14ac:dyDescent="0.2">
      <c r="B101" s="190" t="s">
        <v>1090</v>
      </c>
      <c r="C101" s="191"/>
      <c r="D101" s="36"/>
      <c r="E101" s="17">
        <f>IF(F3="1",SUMIF(Data!A:A,'48'!$A$2,Data!AK:AK),0)</f>
        <v>435774</v>
      </c>
      <c r="F101" s="21">
        <f t="shared" si="6"/>
        <v>0.2</v>
      </c>
    </row>
    <row r="102" spans="2:6" x14ac:dyDescent="0.2">
      <c r="B102" s="190" t="s">
        <v>1091</v>
      </c>
      <c r="C102" s="191"/>
      <c r="D102" s="36"/>
      <c r="E102" s="17">
        <f>IF(F3="1",SUMIF(Data!A:A,'48'!$A$2,Data!AL:AL),0)</f>
        <v>0</v>
      </c>
      <c r="F102" s="21" t="str">
        <f t="shared" si="6"/>
        <v/>
      </c>
    </row>
    <row r="103" spans="2:6" x14ac:dyDescent="0.2">
      <c r="B103" s="192" t="s">
        <v>34</v>
      </c>
      <c r="C103" s="193"/>
      <c r="D103" s="36"/>
      <c r="E103" s="17">
        <f>IF(F3="1",SUMIF(Data!A:A,'48'!$A$2,Data!AM:AM),0)</f>
        <v>0</v>
      </c>
      <c r="F103" s="21" t="str">
        <f t="shared" si="6"/>
        <v/>
      </c>
    </row>
    <row r="104" spans="2:6" ht="15.75" customHeight="1" thickBot="1" x14ac:dyDescent="0.25">
      <c r="B104" s="186" t="s">
        <v>29</v>
      </c>
      <c r="C104" s="187"/>
      <c r="D104" s="37"/>
      <c r="E104" s="24">
        <f>IF(F3="1",SUMIF(Data!A:A,'48'!$A$2,Data!Q:Q),0)</f>
        <v>126362</v>
      </c>
      <c r="F104" s="25">
        <f t="shared" si="6"/>
        <v>0.06</v>
      </c>
    </row>
    <row r="105" spans="2:6" x14ac:dyDescent="0.2">
      <c r="B105" s="30" t="s">
        <v>35</v>
      </c>
      <c r="C105" s="30"/>
      <c r="D105" s="34">
        <f>D95</f>
        <v>2203299</v>
      </c>
      <c r="E105" s="31">
        <f>SUM(E98:E104)</f>
        <v>5055460</v>
      </c>
      <c r="F105" s="32">
        <f>IF($D$105=0,"",ROUND(E105/$D$105,2))</f>
        <v>2.29</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5330285</v>
      </c>
      <c r="D109" s="15">
        <f>IF(F3="1",SUMIF(Data!$A:$A,$A$2,Data!HJ:HJ),0)</f>
        <v>0</v>
      </c>
      <c r="E109" s="15">
        <f>IF(F3="1",SUMIF(Data!$A:$A,$A$2,Data!IN:IN),0)</f>
        <v>0</v>
      </c>
      <c r="F109" s="47">
        <f>SUM(C109:E109)</f>
        <v>5330285</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126362</v>
      </c>
      <c r="E117" s="52"/>
      <c r="F117" s="49">
        <f>SUM(C117:E117)</f>
        <v>126362</v>
      </c>
    </row>
    <row r="118" spans="1:6" x14ac:dyDescent="0.2">
      <c r="B118" s="13" t="s">
        <v>35</v>
      </c>
      <c r="C118" s="4">
        <f>SUM(C109:C116)</f>
        <v>5330285</v>
      </c>
      <c r="D118" s="4">
        <f>SUM(D109:D116)</f>
        <v>0</v>
      </c>
      <c r="E118" s="4">
        <f>SUM(E109:E116)</f>
        <v>0</v>
      </c>
      <c r="F118" s="4">
        <f>SUM(F109:F116)</f>
        <v>5330285</v>
      </c>
    </row>
    <row r="119" spans="1:6" ht="15" thickBot="1" x14ac:dyDescent="0.25"/>
    <row r="120" spans="1:6" ht="15" thickBot="1" x14ac:dyDescent="0.25">
      <c r="B120" s="55" t="s">
        <v>934</v>
      </c>
      <c r="C120" s="53"/>
      <c r="D120" s="53"/>
      <c r="E120" s="53">
        <f>IF(F3="1",SUMIF(Data!A:A,'48'!$A$2,Data!AM:AM),0)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2" width="12.140625" style="10" bestFit="1" customWidth="1"/>
    <col min="13" max="13" width="10.5703125" style="10" bestFit="1" customWidth="1"/>
    <col min="14"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431</v>
      </c>
      <c r="B2" s="58" t="str">
        <f>VLOOKUP(A2,Data!A:G,7,0)</f>
        <v>Western Texas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71792</v>
      </c>
      <c r="E5" s="15">
        <f>E36+E67+IFERROR($E$105/$D$105*D5,0)</f>
        <v>590046.07348055951</v>
      </c>
      <c r="F5" s="20">
        <f>IF(OR(D5=0,E5=0),"",ROUND(E5/D5,2))</f>
        <v>8.2200000000000006</v>
      </c>
    </row>
    <row r="6" spans="1:6" x14ac:dyDescent="0.2">
      <c r="A6" s="19">
        <v>2</v>
      </c>
      <c r="B6" s="180" t="s">
        <v>1</v>
      </c>
      <c r="C6" s="181"/>
      <c r="D6" s="14">
        <f t="shared" ref="D6:D32" si="0">D37</f>
        <v>17216</v>
      </c>
      <c r="E6" s="17">
        <f t="shared" ref="E6:E32" si="1">E37+E68+IFERROR($E$105/$D$105*D6,0)</f>
        <v>138119.30444953914</v>
      </c>
      <c r="F6" s="21">
        <f t="shared" ref="F6:F33" si="2">IF(OR(D6=0,E6=0),"",ROUND(E6/D6,2))</f>
        <v>8.02</v>
      </c>
    </row>
    <row r="7" spans="1:6" ht="14.25" customHeight="1" x14ac:dyDescent="0.2">
      <c r="A7" s="19">
        <v>3</v>
      </c>
      <c r="B7" s="180" t="s">
        <v>2</v>
      </c>
      <c r="C7" s="181"/>
      <c r="D7" s="14">
        <f t="shared" si="0"/>
        <v>35936</v>
      </c>
      <c r="E7" s="17">
        <f t="shared" si="1"/>
        <v>292777.97192719788</v>
      </c>
      <c r="F7" s="21">
        <f t="shared" si="2"/>
        <v>8.15</v>
      </c>
    </row>
    <row r="8" spans="1:6" ht="14.25" customHeight="1" x14ac:dyDescent="0.2">
      <c r="A8" s="19">
        <v>4</v>
      </c>
      <c r="B8" s="180" t="s">
        <v>3</v>
      </c>
      <c r="C8" s="181"/>
      <c r="D8" s="14">
        <f t="shared" si="0"/>
        <v>29760</v>
      </c>
      <c r="E8" s="17">
        <f t="shared" si="1"/>
        <v>226593.77906704723</v>
      </c>
      <c r="F8" s="21">
        <f t="shared" si="2"/>
        <v>7.61</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6256</v>
      </c>
      <c r="E10" s="17">
        <f t="shared" si="1"/>
        <v>75761.063233986803</v>
      </c>
      <c r="F10" s="21">
        <f t="shared" si="2"/>
        <v>12.11</v>
      </c>
    </row>
    <row r="11" spans="1:6" x14ac:dyDescent="0.2">
      <c r="A11" s="19">
        <v>7</v>
      </c>
      <c r="B11" s="180" t="s">
        <v>6</v>
      </c>
      <c r="C11" s="181"/>
      <c r="D11" s="14">
        <f t="shared" si="0"/>
        <v>17904</v>
      </c>
      <c r="E11" s="17">
        <f t="shared" si="1"/>
        <v>170563.78966453002</v>
      </c>
      <c r="F11" s="21">
        <f t="shared" si="2"/>
        <v>9.5299999999999994</v>
      </c>
    </row>
    <row r="12" spans="1:6" x14ac:dyDescent="0.2">
      <c r="A12" s="19">
        <v>8</v>
      </c>
      <c r="B12" s="180" t="s">
        <v>7</v>
      </c>
      <c r="C12" s="181"/>
      <c r="D12" s="14">
        <f t="shared" si="0"/>
        <v>0</v>
      </c>
      <c r="E12" s="17">
        <f t="shared" si="1"/>
        <v>0</v>
      </c>
      <c r="F12" s="21" t="str">
        <f t="shared" si="2"/>
        <v/>
      </c>
    </row>
    <row r="13" spans="1:6" x14ac:dyDescent="0.2">
      <c r="A13" s="19">
        <v>9</v>
      </c>
      <c r="B13" s="180" t="s">
        <v>8</v>
      </c>
      <c r="C13" s="181"/>
      <c r="D13" s="14">
        <f t="shared" si="0"/>
        <v>29984</v>
      </c>
      <c r="E13" s="17">
        <f t="shared" si="1"/>
        <v>181579.21611378842</v>
      </c>
      <c r="F13" s="21">
        <f t="shared" si="2"/>
        <v>6.06</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27232</v>
      </c>
      <c r="E15" s="17">
        <f t="shared" si="1"/>
        <v>169033.27525382492</v>
      </c>
      <c r="F15" s="21">
        <f t="shared" si="2"/>
        <v>6.21</v>
      </c>
    </row>
    <row r="16" spans="1:6" ht="14.25" customHeight="1" x14ac:dyDescent="0.2">
      <c r="A16" s="19">
        <v>12</v>
      </c>
      <c r="B16" s="180" t="s">
        <v>11</v>
      </c>
      <c r="C16" s="181"/>
      <c r="D16" s="14">
        <f t="shared" si="0"/>
        <v>126256</v>
      </c>
      <c r="E16" s="17">
        <f t="shared" si="1"/>
        <v>832415.62398820941</v>
      </c>
      <c r="F16" s="21">
        <f t="shared" si="2"/>
        <v>6.59</v>
      </c>
    </row>
    <row r="17" spans="1:6" x14ac:dyDescent="0.2">
      <c r="A17" s="19">
        <v>13</v>
      </c>
      <c r="B17" s="180" t="s">
        <v>12</v>
      </c>
      <c r="C17" s="181"/>
      <c r="D17" s="14">
        <f t="shared" si="0"/>
        <v>3264</v>
      </c>
      <c r="E17" s="17">
        <f t="shared" si="1"/>
        <v>26425.511252514858</v>
      </c>
      <c r="F17" s="21">
        <f t="shared" si="2"/>
        <v>8.1</v>
      </c>
    </row>
    <row r="18" spans="1:6" ht="14.25" customHeight="1" x14ac:dyDescent="0.2">
      <c r="A18" s="19">
        <v>14</v>
      </c>
      <c r="B18" s="180" t="s">
        <v>464</v>
      </c>
      <c r="C18" s="181"/>
      <c r="D18" s="14">
        <f t="shared" si="0"/>
        <v>0</v>
      </c>
      <c r="E18" s="17">
        <f t="shared" si="1"/>
        <v>0</v>
      </c>
      <c r="F18" s="21" t="str">
        <f t="shared" si="2"/>
        <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10080</v>
      </c>
      <c r="E20" s="17">
        <f t="shared" si="1"/>
        <v>147443.6671033547</v>
      </c>
      <c r="F20" s="21">
        <f t="shared" si="2"/>
        <v>14.63</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32416</v>
      </c>
      <c r="E22" s="17">
        <f t="shared" si="1"/>
        <v>235707.67547840733</v>
      </c>
      <c r="F22" s="21">
        <f t="shared" si="2"/>
        <v>7.27</v>
      </c>
    </row>
    <row r="23" spans="1:6" x14ac:dyDescent="0.2">
      <c r="A23" s="19">
        <v>19</v>
      </c>
      <c r="B23" s="180" t="s">
        <v>17</v>
      </c>
      <c r="C23" s="181"/>
      <c r="D23" s="14">
        <f t="shared" si="0"/>
        <v>75360</v>
      </c>
      <c r="E23" s="17">
        <f t="shared" si="1"/>
        <v>519276.8921536518</v>
      </c>
      <c r="F23" s="21">
        <f t="shared" si="2"/>
        <v>6.89</v>
      </c>
    </row>
    <row r="24" spans="1:6" x14ac:dyDescent="0.2">
      <c r="A24" s="19">
        <v>20</v>
      </c>
      <c r="B24" s="180" t="s">
        <v>18</v>
      </c>
      <c r="C24" s="181"/>
      <c r="D24" s="14">
        <f t="shared" si="0"/>
        <v>2240</v>
      </c>
      <c r="E24" s="17">
        <f t="shared" si="1"/>
        <v>13260.370467412156</v>
      </c>
      <c r="F24" s="21">
        <f t="shared" si="2"/>
        <v>5.92</v>
      </c>
    </row>
    <row r="25" spans="1:6" ht="14.25" customHeight="1" x14ac:dyDescent="0.2">
      <c r="A25" s="19">
        <v>21</v>
      </c>
      <c r="B25" s="180" t="s">
        <v>461</v>
      </c>
      <c r="C25" s="181"/>
      <c r="D25" s="14">
        <f t="shared" si="0"/>
        <v>0</v>
      </c>
      <c r="E25" s="17">
        <f t="shared" si="1"/>
        <v>0</v>
      </c>
      <c r="F25" s="21" t="str">
        <f t="shared" si="2"/>
        <v/>
      </c>
    </row>
    <row r="26" spans="1:6" x14ac:dyDescent="0.2">
      <c r="A26" s="19">
        <v>22</v>
      </c>
      <c r="B26" s="180" t="s">
        <v>19</v>
      </c>
      <c r="C26" s="181"/>
      <c r="D26" s="14">
        <f t="shared" si="0"/>
        <v>0</v>
      </c>
      <c r="E26" s="17">
        <f t="shared" si="1"/>
        <v>0</v>
      </c>
      <c r="F26" s="21" t="str">
        <f t="shared" si="2"/>
        <v/>
      </c>
    </row>
    <row r="27" spans="1:6" x14ac:dyDescent="0.2">
      <c r="A27" s="19">
        <v>23</v>
      </c>
      <c r="B27" s="180" t="s">
        <v>20</v>
      </c>
      <c r="C27" s="181"/>
      <c r="D27" s="14">
        <f t="shared" si="0"/>
        <v>26976</v>
      </c>
      <c r="E27" s="17">
        <f t="shared" si="1"/>
        <v>247578.49005754926</v>
      </c>
      <c r="F27" s="21">
        <f t="shared" si="2"/>
        <v>9.18</v>
      </c>
    </row>
    <row r="28" spans="1:6" x14ac:dyDescent="0.2">
      <c r="A28" s="19">
        <v>24</v>
      </c>
      <c r="B28" s="180" t="s">
        <v>21</v>
      </c>
      <c r="C28" s="181"/>
      <c r="D28" s="14">
        <f t="shared" si="0"/>
        <v>11376</v>
      </c>
      <c r="E28" s="17">
        <f t="shared" si="1"/>
        <v>216511.7671595003</v>
      </c>
      <c r="F28" s="21">
        <f t="shared" si="2"/>
        <v>19.03</v>
      </c>
    </row>
    <row r="29" spans="1:6" x14ac:dyDescent="0.2">
      <c r="A29" s="19">
        <v>25</v>
      </c>
      <c r="B29" s="180" t="s">
        <v>22</v>
      </c>
      <c r="C29" s="181"/>
      <c r="D29" s="14">
        <f t="shared" si="0"/>
        <v>124800</v>
      </c>
      <c r="E29" s="17">
        <f t="shared" si="1"/>
        <v>804363.78318439156</v>
      </c>
      <c r="F29" s="21">
        <f t="shared" si="2"/>
        <v>6.45</v>
      </c>
    </row>
    <row r="30" spans="1:6" x14ac:dyDescent="0.2">
      <c r="A30" s="19">
        <v>26</v>
      </c>
      <c r="B30" s="180" t="s">
        <v>23</v>
      </c>
      <c r="C30" s="181"/>
      <c r="D30" s="14">
        <f t="shared" si="0"/>
        <v>35088</v>
      </c>
      <c r="E30" s="17">
        <f t="shared" si="1"/>
        <v>301987.7459645347</v>
      </c>
      <c r="F30" s="21">
        <f t="shared" si="2"/>
        <v>8.61</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683936</v>
      </c>
      <c r="E33" s="31">
        <f>SUM(E5:E32)</f>
        <v>5189446</v>
      </c>
      <c r="F33" s="32">
        <f t="shared" si="2"/>
        <v>7.59</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IF(F3="1",SUMIF(Data!A:A,'49'!$A$2,Data!CU:CU),0)</f>
        <v>71792</v>
      </c>
      <c r="E36" s="15">
        <f>IF(F3="1",SUMIF(Data!$A:$A,$A$2,Data!IO:IO),0)</f>
        <v>58259</v>
      </c>
      <c r="F36" s="20">
        <f t="shared" ref="F36:F64" si="3">IF(OR(D36=0,E36=0),"",ROUND(E36/D36,2))</f>
        <v>0.81</v>
      </c>
    </row>
    <row r="37" spans="1:6" x14ac:dyDescent="0.2">
      <c r="A37" s="19">
        <v>2</v>
      </c>
      <c r="B37" s="180" t="s">
        <v>1</v>
      </c>
      <c r="C37" s="181"/>
      <c r="D37" s="14">
        <f>IF(F3="1",SUMIF(Data!A:A,'49'!$A$2,Data!CV:CV),0)</f>
        <v>17216</v>
      </c>
      <c r="E37" s="17">
        <f>IF(F3="1",SUMIF(Data!$A:$A,$A$2,Data!IP:IP),0)</f>
        <v>11916</v>
      </c>
      <c r="F37" s="21">
        <f t="shared" si="3"/>
        <v>0.69</v>
      </c>
    </row>
    <row r="38" spans="1:6" ht="14.25" customHeight="1" x14ac:dyDescent="0.2">
      <c r="A38" s="19">
        <v>3</v>
      </c>
      <c r="B38" s="180" t="s">
        <v>2</v>
      </c>
      <c r="C38" s="181"/>
      <c r="D38" s="14">
        <f>IF(F3="1",SUMIF(Data!A:A,'49'!$A$2,Data!CW:CW),0)</f>
        <v>35936</v>
      </c>
      <c r="E38" s="17">
        <f>IF($F$3="1",SUMIF(Data!$A:$A,$A$2,Data!IQ:IQ),0)</f>
        <v>10389</v>
      </c>
      <c r="F38" s="21">
        <f t="shared" si="3"/>
        <v>0.28999999999999998</v>
      </c>
    </row>
    <row r="39" spans="1:6" ht="14.25" customHeight="1" x14ac:dyDescent="0.2">
      <c r="A39" s="19">
        <v>4</v>
      </c>
      <c r="B39" s="180" t="s">
        <v>3</v>
      </c>
      <c r="C39" s="181"/>
      <c r="D39" s="14">
        <f>IF(F3="1",SUMIF(Data!A:A,'49'!$A$2,Data!CX:CX),0)</f>
        <v>29760</v>
      </c>
      <c r="E39" s="17">
        <f>IF($F$3="1",SUMIF(Data!$A:$A,$A$2,Data!IR:IR),0)</f>
        <v>11294</v>
      </c>
      <c r="F39" s="21">
        <f t="shared" si="3"/>
        <v>0.38</v>
      </c>
    </row>
    <row r="40" spans="1:6" x14ac:dyDescent="0.2">
      <c r="A40" s="19">
        <v>5</v>
      </c>
      <c r="B40" s="180" t="s">
        <v>4</v>
      </c>
      <c r="C40" s="181"/>
      <c r="D40" s="14">
        <f>IF(F3="1",SUMIF(Data!A:A,'49'!$A$2,Data!CY:CY),0)</f>
        <v>0</v>
      </c>
      <c r="E40" s="17">
        <f>IF($F$3="1",SUMIF(Data!$A:$A,$A$2,Data!IS:IS),0)</f>
        <v>0</v>
      </c>
      <c r="F40" s="21" t="str">
        <f t="shared" si="3"/>
        <v/>
      </c>
    </row>
    <row r="41" spans="1:6" x14ac:dyDescent="0.2">
      <c r="A41" s="19">
        <v>6</v>
      </c>
      <c r="B41" s="180" t="s">
        <v>5</v>
      </c>
      <c r="C41" s="181"/>
      <c r="D41" s="14">
        <f>IF(F3="1",SUMIF(Data!A:A,'49'!$A$2,Data!CZ:CZ),0)</f>
        <v>6256</v>
      </c>
      <c r="E41" s="17">
        <f>IF($F$3="1",SUMIF(Data!$A:$A,$A$2,Data!IT:IT),0)</f>
        <v>6470</v>
      </c>
      <c r="F41" s="21">
        <f t="shared" si="3"/>
        <v>1.03</v>
      </c>
    </row>
    <row r="42" spans="1:6" x14ac:dyDescent="0.2">
      <c r="A42" s="19">
        <v>7</v>
      </c>
      <c r="B42" s="180" t="s">
        <v>6</v>
      </c>
      <c r="C42" s="181"/>
      <c r="D42" s="14">
        <f>IF(F3="1",SUMIF(Data!A:A,'49'!$A$2,Data!DA:DA),0)</f>
        <v>17904</v>
      </c>
      <c r="E42" s="17">
        <f>IF($F$3="1",SUMIF(Data!$A:$A,$A$2,Data!IU:IU),0)</f>
        <v>12807</v>
      </c>
      <c r="F42" s="21">
        <f t="shared" si="3"/>
        <v>0.72</v>
      </c>
    </row>
    <row r="43" spans="1:6" x14ac:dyDescent="0.2">
      <c r="A43" s="19">
        <v>8</v>
      </c>
      <c r="B43" s="180" t="s">
        <v>7</v>
      </c>
      <c r="C43" s="181"/>
      <c r="D43" s="14">
        <f>IF(F3="1",SUMIF(Data!A:A,'49'!$A$2,Data!DB:DB),0)</f>
        <v>0</v>
      </c>
      <c r="E43" s="17">
        <f>IF($F$3="1",SUMIF(Data!$A:$A,$A$2,Data!IV:IV),0)</f>
        <v>0</v>
      </c>
      <c r="F43" s="21" t="str">
        <f t="shared" si="3"/>
        <v/>
      </c>
    </row>
    <row r="44" spans="1:6" x14ac:dyDescent="0.2">
      <c r="A44" s="19">
        <v>9</v>
      </c>
      <c r="B44" s="180" t="s">
        <v>8</v>
      </c>
      <c r="C44" s="181"/>
      <c r="D44" s="14">
        <f>IF(F3="1",SUMIF(Data!A:A,'49'!$A$2,Data!DC:DC),0)</f>
        <v>29984</v>
      </c>
      <c r="E44" s="17">
        <f>IF($F$3="1",SUMIF(Data!$A:$A,$A$2,Data!IW:IW),0)</f>
        <v>2768</v>
      </c>
      <c r="F44" s="21">
        <f t="shared" si="3"/>
        <v>0.09</v>
      </c>
    </row>
    <row r="45" spans="1:6" x14ac:dyDescent="0.2">
      <c r="A45" s="19">
        <v>10</v>
      </c>
      <c r="B45" s="180" t="s">
        <v>9</v>
      </c>
      <c r="C45" s="181"/>
      <c r="D45" s="14">
        <f>IF(F3="1",SUMIF(Data!A:A,'49'!$A$2,Data!DD:DD),0)</f>
        <v>0</v>
      </c>
      <c r="E45" s="17">
        <f>IF($F$3="1",SUMIF(Data!$A:$A,$A$2,Data!IX:IX),0)</f>
        <v>0</v>
      </c>
      <c r="F45" s="21" t="str">
        <f t="shared" si="3"/>
        <v/>
      </c>
    </row>
    <row r="46" spans="1:6" x14ac:dyDescent="0.2">
      <c r="A46" s="19">
        <v>11</v>
      </c>
      <c r="B46" s="180" t="s">
        <v>10</v>
      </c>
      <c r="C46" s="181"/>
      <c r="D46" s="14">
        <f>IF(F3="1",SUMIF(Data!A:A,'49'!$A$2,Data!DE:DE),0)</f>
        <v>27232</v>
      </c>
      <c r="E46" s="17">
        <f>IF($F$3="1",SUMIF(Data!$A:$A,$A$2,Data!IY:IY),0)</f>
        <v>6135</v>
      </c>
      <c r="F46" s="21">
        <f t="shared" si="3"/>
        <v>0.23</v>
      </c>
    </row>
    <row r="47" spans="1:6" ht="14.25" customHeight="1" x14ac:dyDescent="0.2">
      <c r="A47" s="19">
        <v>12</v>
      </c>
      <c r="B47" s="180" t="s">
        <v>11</v>
      </c>
      <c r="C47" s="181"/>
      <c r="D47" s="14">
        <f>IF(F3="1",SUMIF(Data!A:A,'49'!$A$2,Data!DF:DF),0)</f>
        <v>126256</v>
      </c>
      <c r="E47" s="17">
        <f>IF($F$3="1",SUMIF(Data!$A:$A,$A$2,Data!IZ:IZ),0)</f>
        <v>2831</v>
      </c>
      <c r="F47" s="21">
        <f t="shared" si="3"/>
        <v>0.02</v>
      </c>
    </row>
    <row r="48" spans="1:6" x14ac:dyDescent="0.2">
      <c r="A48" s="19">
        <v>13</v>
      </c>
      <c r="B48" s="180" t="s">
        <v>12</v>
      </c>
      <c r="C48" s="181"/>
      <c r="D48" s="14">
        <f>IF(F3="1",SUMIF(Data!A:A,'49'!$A$2,Data!DG:DG),0)</f>
        <v>3264</v>
      </c>
      <c r="E48" s="17">
        <f>IF($F$3="1",SUMIF(Data!$A:$A,$A$2,Data!JA:JA),0)</f>
        <v>479</v>
      </c>
      <c r="F48" s="21">
        <f t="shared" si="3"/>
        <v>0.15</v>
      </c>
    </row>
    <row r="49" spans="1:6" ht="14.25" customHeight="1" x14ac:dyDescent="0.2">
      <c r="A49" s="19">
        <v>14</v>
      </c>
      <c r="B49" s="180" t="s">
        <v>464</v>
      </c>
      <c r="C49" s="181"/>
      <c r="D49" s="14">
        <f>IF(F3="1",SUMIF(Data!A:A,'49'!$A$2,Data!DH:DH),0)</f>
        <v>0</v>
      </c>
      <c r="E49" s="17">
        <f>IF($F$3="1",SUMIF(Data!$A:$A,$A$2,Data!JB:JB),0)</f>
        <v>0</v>
      </c>
      <c r="F49" s="21" t="str">
        <f t="shared" si="3"/>
        <v/>
      </c>
    </row>
    <row r="50" spans="1:6" x14ac:dyDescent="0.2">
      <c r="A50" s="19">
        <v>15</v>
      </c>
      <c r="B50" s="180" t="s">
        <v>13</v>
      </c>
      <c r="C50" s="181"/>
      <c r="D50" s="14">
        <f>IF(F3="1",SUMIF(Data!A:A,'49'!$A$2,Data!DI:DI),0)</f>
        <v>0</v>
      </c>
      <c r="E50" s="17">
        <f>IF($F$3="1",SUMIF(Data!$A:$A,$A$2,Data!JC:JC),0)</f>
        <v>0</v>
      </c>
      <c r="F50" s="21" t="str">
        <f t="shared" si="3"/>
        <v/>
      </c>
    </row>
    <row r="51" spans="1:6" x14ac:dyDescent="0.2">
      <c r="A51" s="19">
        <v>16</v>
      </c>
      <c r="B51" s="180" t="s">
        <v>14</v>
      </c>
      <c r="C51" s="181"/>
      <c r="D51" s="14">
        <f>IF(F3="1",SUMIF(Data!A:A,'49'!$A$2,Data!DJ:DJ),0)</f>
        <v>10080</v>
      </c>
      <c r="E51" s="17">
        <f>IF($F$3="1",SUMIF(Data!$A:$A,$A$2,Data!JD:JD),0)</f>
        <v>24547</v>
      </c>
      <c r="F51" s="21">
        <f t="shared" si="3"/>
        <v>2.44</v>
      </c>
    </row>
    <row r="52" spans="1:6" x14ac:dyDescent="0.2">
      <c r="A52" s="19">
        <v>17</v>
      </c>
      <c r="B52" s="180" t="s">
        <v>15</v>
      </c>
      <c r="C52" s="181"/>
      <c r="D52" s="14">
        <f>IF(F3="1",SUMIF(Data!A:A,'49'!$A$2,Data!DK:DK),0)</f>
        <v>0</v>
      </c>
      <c r="E52" s="17">
        <f>IF($F$3="1",SUMIF(Data!$A:$A,$A$2,Data!JE:JE),0)</f>
        <v>0</v>
      </c>
      <c r="F52" s="21" t="str">
        <f t="shared" si="3"/>
        <v/>
      </c>
    </row>
    <row r="53" spans="1:6" x14ac:dyDescent="0.2">
      <c r="A53" s="19">
        <v>18</v>
      </c>
      <c r="B53" s="180" t="s">
        <v>16</v>
      </c>
      <c r="C53" s="181"/>
      <c r="D53" s="14">
        <f>IF(F3="1",SUMIF(Data!A:A,'49'!$A$2,Data!DL:DL),0)</f>
        <v>32416</v>
      </c>
      <c r="E53" s="17">
        <f>IF($F$3="1",SUMIF(Data!$A:$A,$A$2,Data!JF:JF),0)</f>
        <v>6473</v>
      </c>
      <c r="F53" s="21">
        <f t="shared" si="3"/>
        <v>0.2</v>
      </c>
    </row>
    <row r="54" spans="1:6" x14ac:dyDescent="0.2">
      <c r="A54" s="19">
        <v>19</v>
      </c>
      <c r="B54" s="180" t="s">
        <v>17</v>
      </c>
      <c r="C54" s="181"/>
      <c r="D54" s="14">
        <f>IF(F3="1",SUMIF(Data!A:A,'49'!$A$2,Data!DM:DM),0)</f>
        <v>75360</v>
      </c>
      <c r="E54" s="17">
        <f>IF($F$3="1",SUMIF(Data!$A:$A,$A$2,Data!JG:JG),0)</f>
        <v>13195</v>
      </c>
      <c r="F54" s="21">
        <f t="shared" si="3"/>
        <v>0.18</v>
      </c>
    </row>
    <row r="55" spans="1:6" x14ac:dyDescent="0.2">
      <c r="A55" s="19">
        <v>20</v>
      </c>
      <c r="B55" s="180" t="s">
        <v>18</v>
      </c>
      <c r="C55" s="181"/>
      <c r="D55" s="14">
        <f>IF(F3="1",SUMIF(Data!A:A,'49'!$A$2,Data!DN:DN),0)</f>
        <v>2240</v>
      </c>
      <c r="E55" s="17">
        <f>IF($F$3="1",SUMIF(Data!$A:$A,$A$2,Data!JH:JH),0)</f>
        <v>163</v>
      </c>
      <c r="F55" s="21">
        <f t="shared" si="3"/>
        <v>7.0000000000000007E-2</v>
      </c>
    </row>
    <row r="56" spans="1:6" ht="14.25" customHeight="1" x14ac:dyDescent="0.2">
      <c r="A56" s="19">
        <v>21</v>
      </c>
      <c r="B56" s="180" t="s">
        <v>461</v>
      </c>
      <c r="C56" s="181"/>
      <c r="D56" s="14">
        <f>IF(F3="1",SUMIF(Data!A:A,'49'!$A$2,Data!DO:DO),0)</f>
        <v>0</v>
      </c>
      <c r="E56" s="17">
        <f>IF($F$3="1",SUMIF(Data!$A:$A,$A$2,Data!JI:JI),0)</f>
        <v>0</v>
      </c>
      <c r="F56" s="21" t="str">
        <f t="shared" si="3"/>
        <v/>
      </c>
    </row>
    <row r="57" spans="1:6" x14ac:dyDescent="0.2">
      <c r="A57" s="19">
        <v>22</v>
      </c>
      <c r="B57" s="180" t="s">
        <v>19</v>
      </c>
      <c r="C57" s="181"/>
      <c r="D57" s="14">
        <f>IF(F3="1",SUMIF(Data!A:A,'49'!$A$2,Data!DP:DP),0)</f>
        <v>0</v>
      </c>
      <c r="E57" s="17">
        <f>IF($F$3="1",SUMIF(Data!$A:$A,$A$2,Data!JJ:JJ),0)</f>
        <v>0</v>
      </c>
      <c r="F57" s="21" t="str">
        <f t="shared" si="3"/>
        <v/>
      </c>
    </row>
    <row r="58" spans="1:6" x14ac:dyDescent="0.2">
      <c r="A58" s="19">
        <v>23</v>
      </c>
      <c r="B58" s="180" t="s">
        <v>20</v>
      </c>
      <c r="C58" s="181"/>
      <c r="D58" s="14">
        <f>IF(F3="1",SUMIF(Data!A:A,'49'!$A$2,Data!DQ:DQ),0)</f>
        <v>26976</v>
      </c>
      <c r="E58" s="17">
        <f>IF($F$3="1",SUMIF(Data!$A:$A,$A$2,Data!JK:JK),0)</f>
        <v>73862</v>
      </c>
      <c r="F58" s="21">
        <f t="shared" si="3"/>
        <v>2.74</v>
      </c>
    </row>
    <row r="59" spans="1:6" x14ac:dyDescent="0.2">
      <c r="A59" s="19">
        <v>24</v>
      </c>
      <c r="B59" s="180" t="s">
        <v>21</v>
      </c>
      <c r="C59" s="181"/>
      <c r="D59" s="14">
        <f>IF(F3="1",SUMIF(Data!A:A,'49'!$A$2,Data!DR:DR),0)</f>
        <v>11376</v>
      </c>
      <c r="E59" s="17">
        <f>IF($F$3="1",SUMIF(Data!$A:$A,$A$2,Data!JL:JL),0)</f>
        <v>41029</v>
      </c>
      <c r="F59" s="21">
        <f t="shared" si="3"/>
        <v>3.61</v>
      </c>
    </row>
    <row r="60" spans="1:6" x14ac:dyDescent="0.2">
      <c r="A60" s="19">
        <v>25</v>
      </c>
      <c r="B60" s="180" t="s">
        <v>22</v>
      </c>
      <c r="C60" s="181"/>
      <c r="D60" s="14">
        <f>IF(F3="1",SUMIF(Data!A:A,'49'!$A$2,Data!DS:DS),0)</f>
        <v>124800</v>
      </c>
      <c r="E60" s="17">
        <f>IF($F$3="1",SUMIF(Data!$A:$A,$A$2,Data!JM:JM),0)</f>
        <v>11976</v>
      </c>
      <c r="F60" s="21">
        <f t="shared" si="3"/>
        <v>0.1</v>
      </c>
    </row>
    <row r="61" spans="1:6" x14ac:dyDescent="0.2">
      <c r="A61" s="19">
        <v>26</v>
      </c>
      <c r="B61" s="180" t="s">
        <v>23</v>
      </c>
      <c r="C61" s="181"/>
      <c r="D61" s="14">
        <f>IF(F3="1",SUMIF(Data!A:A,'49'!$A$2,Data!DT:DT),0)</f>
        <v>35088</v>
      </c>
      <c r="E61" s="17">
        <f>IF($F$3="1",SUMIF(Data!$A:$A,$A$2,Data!JN:JN),0)</f>
        <v>31654</v>
      </c>
      <c r="F61" s="21">
        <f t="shared" si="3"/>
        <v>0.9</v>
      </c>
    </row>
    <row r="62" spans="1:6" x14ac:dyDescent="0.2">
      <c r="A62" s="19">
        <v>28</v>
      </c>
      <c r="B62" s="180" t="s">
        <v>24</v>
      </c>
      <c r="C62" s="181"/>
      <c r="D62" s="14">
        <f>IF(F3="1",SUMIF(Data!A:A,'49'!$A$2,Data!DV:DV),0)</f>
        <v>0</v>
      </c>
      <c r="E62" s="17">
        <f>IF($F$3="1",SUMIF(Data!$A:$A,$A$2,Data!JP:JP),0)</f>
        <v>0</v>
      </c>
      <c r="F62" s="21" t="str">
        <f t="shared" si="3"/>
        <v/>
      </c>
    </row>
    <row r="63" spans="1:6" ht="15.75" customHeight="1" thickBot="1" x14ac:dyDescent="0.25">
      <c r="A63" s="22">
        <v>29</v>
      </c>
      <c r="B63" s="184" t="s">
        <v>25</v>
      </c>
      <c r="C63" s="185"/>
      <c r="D63" s="23">
        <f>IF(F3="1",SUMIF(Data!A:A,'49'!$A$2,Data!DW:DW),0)</f>
        <v>0</v>
      </c>
      <c r="E63" s="24">
        <f>IF($F$3="1",SUMIF(Data!$A:$A,$A$2,Data!JQ:JQ),0)</f>
        <v>0</v>
      </c>
      <c r="F63" s="25" t="str">
        <f t="shared" si="3"/>
        <v/>
      </c>
    </row>
    <row r="64" spans="1:6" x14ac:dyDescent="0.2">
      <c r="B64" s="30" t="s">
        <v>35</v>
      </c>
      <c r="C64" s="30"/>
      <c r="D64" s="59">
        <f>SUM(D36:D63)</f>
        <v>683936</v>
      </c>
      <c r="E64" s="31">
        <f>SUM(E36:E63)</f>
        <v>326247</v>
      </c>
      <c r="F64" s="32">
        <f t="shared" si="3"/>
        <v>0.48</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71792</v>
      </c>
      <c r="E67" s="15">
        <f>IF(F3="1",SUMIF(Data!A:A,'49'!$A$2,Data!DY:DY),0)</f>
        <v>216916</v>
      </c>
      <c r="F67" s="20">
        <f t="shared" ref="F67:F95" si="4">IF(OR(D67=0,E67=0),"",ROUND(E67/D67,2))</f>
        <v>3.02</v>
      </c>
    </row>
    <row r="68" spans="1:6" x14ac:dyDescent="0.2">
      <c r="A68" s="19">
        <v>2</v>
      </c>
      <c r="B68" s="180" t="s">
        <v>1</v>
      </c>
      <c r="C68" s="181"/>
      <c r="D68" s="14">
        <f t="shared" ref="D68:D94" si="5">D37</f>
        <v>17216</v>
      </c>
      <c r="E68" s="17">
        <f>IF(F3="1",SUMIF(Data!A:A,'49'!$A$2,Data!DZ:DZ),0)</f>
        <v>50696</v>
      </c>
      <c r="F68" s="21">
        <f t="shared" si="4"/>
        <v>2.94</v>
      </c>
    </row>
    <row r="69" spans="1:6" ht="14.25" customHeight="1" x14ac:dyDescent="0.2">
      <c r="A69" s="19">
        <v>3</v>
      </c>
      <c r="B69" s="180" t="s">
        <v>2</v>
      </c>
      <c r="C69" s="181"/>
      <c r="D69" s="14">
        <f t="shared" si="5"/>
        <v>35936</v>
      </c>
      <c r="E69" s="17">
        <f>IF(F3="1",SUMIF(Data!A:A,'49'!$A$2,Data!EA:EA),0)</f>
        <v>124778</v>
      </c>
      <c r="F69" s="21">
        <f t="shared" si="4"/>
        <v>3.47</v>
      </c>
    </row>
    <row r="70" spans="1:6" ht="14.25" customHeight="1" x14ac:dyDescent="0.2">
      <c r="A70" s="19">
        <v>4</v>
      </c>
      <c r="B70" s="180" t="s">
        <v>3</v>
      </c>
      <c r="C70" s="181"/>
      <c r="D70" s="14">
        <f t="shared" si="5"/>
        <v>29760</v>
      </c>
      <c r="E70" s="17">
        <f>IF(F3="1",SUMIF(Data!A:A,'49'!$A$2,Data!EB:EB),0)</f>
        <v>84776</v>
      </c>
      <c r="F70" s="21">
        <f t="shared" si="4"/>
        <v>2.85</v>
      </c>
    </row>
    <row r="71" spans="1:6" x14ac:dyDescent="0.2">
      <c r="A71" s="19">
        <v>5</v>
      </c>
      <c r="B71" s="180" t="s">
        <v>4</v>
      </c>
      <c r="C71" s="181"/>
      <c r="D71" s="14">
        <f t="shared" si="5"/>
        <v>0</v>
      </c>
      <c r="E71" s="17">
        <f>IF(F3="1",SUMIF(Data!A:A,'49'!$A$2,Data!EC:EC),0)</f>
        <v>0</v>
      </c>
      <c r="F71" s="21" t="str">
        <f t="shared" si="4"/>
        <v/>
      </c>
    </row>
    <row r="72" spans="1:6" x14ac:dyDescent="0.2">
      <c r="A72" s="19">
        <v>6</v>
      </c>
      <c r="B72" s="180" t="s">
        <v>5</v>
      </c>
      <c r="C72" s="181"/>
      <c r="D72" s="14">
        <f t="shared" si="5"/>
        <v>6256</v>
      </c>
      <c r="E72" s="17">
        <f>IF(F3="1",SUMIF(Data!A:A,'49'!$A$2,Data!ED:ED),0)</f>
        <v>41853</v>
      </c>
      <c r="F72" s="21">
        <f t="shared" si="4"/>
        <v>6.69</v>
      </c>
    </row>
    <row r="73" spans="1:6" x14ac:dyDescent="0.2">
      <c r="A73" s="19">
        <v>7</v>
      </c>
      <c r="B73" s="180" t="s">
        <v>6</v>
      </c>
      <c r="C73" s="181"/>
      <c r="D73" s="14">
        <f t="shared" si="5"/>
        <v>17904</v>
      </c>
      <c r="E73" s="17">
        <f>IF(F3="1",SUMIF(Data!A:A,'49'!$A$2,Data!EE:EE),0)</f>
        <v>79232</v>
      </c>
      <c r="F73" s="21">
        <f t="shared" si="4"/>
        <v>4.43</v>
      </c>
    </row>
    <row r="74" spans="1:6" x14ac:dyDescent="0.2">
      <c r="A74" s="19">
        <v>8</v>
      </c>
      <c r="B74" s="180" t="s">
        <v>7</v>
      </c>
      <c r="C74" s="181"/>
      <c r="D74" s="14">
        <f t="shared" si="5"/>
        <v>0</v>
      </c>
      <c r="E74" s="17">
        <f>IF(F3="1",SUMIF(Data!A:A,'49'!$A$2,Data!EF:EF),0)</f>
        <v>0</v>
      </c>
      <c r="F74" s="21" t="str">
        <f t="shared" si="4"/>
        <v/>
      </c>
    </row>
    <row r="75" spans="1:6" x14ac:dyDescent="0.2">
      <c r="A75" s="19">
        <v>9</v>
      </c>
      <c r="B75" s="180" t="s">
        <v>8</v>
      </c>
      <c r="C75" s="181"/>
      <c r="D75" s="14">
        <f t="shared" si="5"/>
        <v>29984</v>
      </c>
      <c r="E75" s="17">
        <f>IF(F3="1",SUMIF(Data!A:A,'49'!$A$2,Data!EG:EG),0)</f>
        <v>47305</v>
      </c>
      <c r="F75" s="21">
        <f t="shared" si="4"/>
        <v>1.58</v>
      </c>
    </row>
    <row r="76" spans="1:6" x14ac:dyDescent="0.2">
      <c r="A76" s="19">
        <v>10</v>
      </c>
      <c r="B76" s="180" t="s">
        <v>9</v>
      </c>
      <c r="C76" s="181"/>
      <c r="D76" s="14">
        <f t="shared" si="5"/>
        <v>0</v>
      </c>
      <c r="E76" s="17">
        <f>IF(F3="1",SUMIF(Data!A:A,'49'!$A$2,Data!EH:EH),0)</f>
        <v>0</v>
      </c>
      <c r="F76" s="21" t="str">
        <f t="shared" si="4"/>
        <v/>
      </c>
    </row>
    <row r="77" spans="1:6" x14ac:dyDescent="0.2">
      <c r="A77" s="19">
        <v>11</v>
      </c>
      <c r="B77" s="180" t="s">
        <v>10</v>
      </c>
      <c r="C77" s="181"/>
      <c r="D77" s="14">
        <f t="shared" si="5"/>
        <v>27232</v>
      </c>
      <c r="E77" s="17">
        <f>IF(F3="1",SUMIF(Data!A:A,'49'!$A$2,Data!EI:EI),0)</f>
        <v>43462</v>
      </c>
      <c r="F77" s="21">
        <f t="shared" si="4"/>
        <v>1.6</v>
      </c>
    </row>
    <row r="78" spans="1:6" ht="14.25" customHeight="1" x14ac:dyDescent="0.2">
      <c r="A78" s="19">
        <v>12</v>
      </c>
      <c r="B78" s="180" t="s">
        <v>11</v>
      </c>
      <c r="C78" s="181"/>
      <c r="D78" s="14">
        <f t="shared" si="5"/>
        <v>126256</v>
      </c>
      <c r="E78" s="17">
        <f>IF(F3="1",SUMIF(Data!A:A,'49'!$A$2,Data!EJ:EJ),0)</f>
        <v>275841</v>
      </c>
      <c r="F78" s="21">
        <f t="shared" si="4"/>
        <v>2.1800000000000002</v>
      </c>
    </row>
    <row r="79" spans="1:6" x14ac:dyDescent="0.2">
      <c r="A79" s="19">
        <v>13</v>
      </c>
      <c r="B79" s="180" t="s">
        <v>12</v>
      </c>
      <c r="C79" s="181"/>
      <c r="D79" s="14">
        <f t="shared" si="5"/>
        <v>3264</v>
      </c>
      <c r="E79" s="17">
        <f>IF(F3="1",SUMIF(Data!A:A,'49'!$A$2,Data!EK:EK),0)</f>
        <v>11631</v>
      </c>
      <c r="F79" s="21">
        <f t="shared" si="4"/>
        <v>3.56</v>
      </c>
    </row>
    <row r="80" spans="1:6" ht="14.25" customHeight="1" x14ac:dyDescent="0.2">
      <c r="A80" s="19">
        <v>14</v>
      </c>
      <c r="B80" s="180" t="s">
        <v>464</v>
      </c>
      <c r="C80" s="181"/>
      <c r="D80" s="14">
        <f t="shared" si="5"/>
        <v>0</v>
      </c>
      <c r="E80" s="17">
        <f>IF(F3="1",SUMIF(Data!A:A,'49'!$A$2,Data!EL:EL),0)</f>
        <v>0</v>
      </c>
      <c r="F80" s="21" t="str">
        <f t="shared" si="4"/>
        <v/>
      </c>
    </row>
    <row r="81" spans="1:6" x14ac:dyDescent="0.2">
      <c r="A81" s="19">
        <v>15</v>
      </c>
      <c r="B81" s="180" t="s">
        <v>13</v>
      </c>
      <c r="C81" s="181"/>
      <c r="D81" s="14">
        <f t="shared" si="5"/>
        <v>0</v>
      </c>
      <c r="E81" s="17">
        <f>IF(F3="1",SUMIF(Data!A:A,'49'!$A$2,Data!EM:EM),0)</f>
        <v>0</v>
      </c>
      <c r="F81" s="21" t="str">
        <f t="shared" si="4"/>
        <v/>
      </c>
    </row>
    <row r="82" spans="1:6" x14ac:dyDescent="0.2">
      <c r="A82" s="19">
        <v>16</v>
      </c>
      <c r="B82" s="180" t="s">
        <v>14</v>
      </c>
      <c r="C82" s="181"/>
      <c r="D82" s="14">
        <f t="shared" si="5"/>
        <v>10080</v>
      </c>
      <c r="E82" s="17">
        <f>IF(F3="1",SUMIF(Data!A:A,'49'!$A$2,Data!EN:EN),0)</f>
        <v>78687</v>
      </c>
      <c r="F82" s="21">
        <f t="shared" si="4"/>
        <v>7.81</v>
      </c>
    </row>
    <row r="83" spans="1:6" x14ac:dyDescent="0.2">
      <c r="A83" s="19">
        <v>17</v>
      </c>
      <c r="B83" s="180" t="s">
        <v>15</v>
      </c>
      <c r="C83" s="181"/>
      <c r="D83" s="14">
        <f t="shared" si="5"/>
        <v>0</v>
      </c>
      <c r="E83" s="17">
        <f>IF(F3="1",SUMIF(Data!A:A,'49'!$A$2,Data!EO:EO),0)</f>
        <v>0</v>
      </c>
      <c r="F83" s="21" t="str">
        <f t="shared" si="4"/>
        <v/>
      </c>
    </row>
    <row r="84" spans="1:6" x14ac:dyDescent="0.2">
      <c r="A84" s="19">
        <v>18</v>
      </c>
      <c r="B84" s="180" t="s">
        <v>16</v>
      </c>
      <c r="C84" s="181"/>
      <c r="D84" s="14">
        <f t="shared" si="5"/>
        <v>32416</v>
      </c>
      <c r="E84" s="17">
        <f>IF(F3="1",SUMIF(Data!A:A,'49'!$A$2,Data!EP:EP),0)</f>
        <v>87062</v>
      </c>
      <c r="F84" s="21">
        <f t="shared" si="4"/>
        <v>2.69</v>
      </c>
    </row>
    <row r="85" spans="1:6" x14ac:dyDescent="0.2">
      <c r="A85" s="19">
        <v>19</v>
      </c>
      <c r="B85" s="180" t="s">
        <v>17</v>
      </c>
      <c r="C85" s="181"/>
      <c r="D85" s="14">
        <f t="shared" si="5"/>
        <v>75360</v>
      </c>
      <c r="E85" s="17">
        <f>IF(F3="1",SUMIF(Data!A:A,'49'!$A$2,Data!EQ:EQ),0)</f>
        <v>175562</v>
      </c>
      <c r="F85" s="21">
        <f t="shared" si="4"/>
        <v>2.33</v>
      </c>
    </row>
    <row r="86" spans="1:6" x14ac:dyDescent="0.2">
      <c r="A86" s="19">
        <v>20</v>
      </c>
      <c r="B86" s="180" t="s">
        <v>18</v>
      </c>
      <c r="C86" s="181"/>
      <c r="D86" s="14">
        <f t="shared" si="5"/>
        <v>2240</v>
      </c>
      <c r="E86" s="17">
        <f>IF(F3="1",SUMIF(Data!A:A,'49'!$A$2,Data!ER:ER),0)</f>
        <v>3273</v>
      </c>
      <c r="F86" s="21">
        <f t="shared" si="4"/>
        <v>1.46</v>
      </c>
    </row>
    <row r="87" spans="1:6" ht="14.25" customHeight="1" x14ac:dyDescent="0.2">
      <c r="A87" s="19">
        <v>21</v>
      </c>
      <c r="B87" s="180" t="s">
        <v>461</v>
      </c>
      <c r="C87" s="181"/>
      <c r="D87" s="14">
        <f t="shared" si="5"/>
        <v>0</v>
      </c>
      <c r="E87" s="17">
        <f>IF(F3="1",SUMIF(Data!A:A,'49'!$A$2,Data!ES:ES),0)</f>
        <v>0</v>
      </c>
      <c r="F87" s="21" t="str">
        <f t="shared" si="4"/>
        <v/>
      </c>
    </row>
    <row r="88" spans="1:6" x14ac:dyDescent="0.2">
      <c r="A88" s="19">
        <v>22</v>
      </c>
      <c r="B88" s="180" t="s">
        <v>19</v>
      </c>
      <c r="C88" s="181"/>
      <c r="D88" s="14">
        <f t="shared" si="5"/>
        <v>0</v>
      </c>
      <c r="E88" s="17">
        <f>IF(F3="1",SUMIF(Data!A:A,'49'!$A$2,Data!ET:ET),0)</f>
        <v>0</v>
      </c>
      <c r="F88" s="21" t="str">
        <f t="shared" si="4"/>
        <v/>
      </c>
    </row>
    <row r="89" spans="1:6" x14ac:dyDescent="0.2">
      <c r="A89" s="19">
        <v>23</v>
      </c>
      <c r="B89" s="180" t="s">
        <v>20</v>
      </c>
      <c r="C89" s="181"/>
      <c r="D89" s="14">
        <f t="shared" si="5"/>
        <v>26976</v>
      </c>
      <c r="E89" s="17">
        <f>IF(F3="1",SUMIF(Data!A:A,'49'!$A$2,Data!EU:EU),0)</f>
        <v>55403</v>
      </c>
      <c r="F89" s="21">
        <f t="shared" si="4"/>
        <v>2.0499999999999998</v>
      </c>
    </row>
    <row r="90" spans="1:6" x14ac:dyDescent="0.2">
      <c r="A90" s="19">
        <v>24</v>
      </c>
      <c r="B90" s="180" t="s">
        <v>21</v>
      </c>
      <c r="C90" s="181"/>
      <c r="D90" s="14">
        <f t="shared" si="5"/>
        <v>11376</v>
      </c>
      <c r="E90" s="17">
        <f>IF(F3="1",SUMIF(Data!A:A,'49'!$A$2,Data!EV:EV),0)</f>
        <v>125589</v>
      </c>
      <c r="F90" s="21">
        <f t="shared" si="4"/>
        <v>11.04</v>
      </c>
    </row>
    <row r="91" spans="1:6" x14ac:dyDescent="0.2">
      <c r="A91" s="19">
        <v>25</v>
      </c>
      <c r="B91" s="180" t="s">
        <v>22</v>
      </c>
      <c r="C91" s="181"/>
      <c r="D91" s="14">
        <f t="shared" si="5"/>
        <v>124800</v>
      </c>
      <c r="E91" s="17">
        <f>IF(F3="1",SUMIF(Data!A:A,'49'!$A$2,Data!EW:EW),0)</f>
        <v>245030</v>
      </c>
      <c r="F91" s="21">
        <f t="shared" si="4"/>
        <v>1.96</v>
      </c>
    </row>
    <row r="92" spans="1:6" x14ac:dyDescent="0.2">
      <c r="A92" s="19">
        <v>26</v>
      </c>
      <c r="B92" s="180" t="s">
        <v>23</v>
      </c>
      <c r="C92" s="181"/>
      <c r="D92" s="14">
        <f t="shared" si="5"/>
        <v>35088</v>
      </c>
      <c r="E92" s="17">
        <f>IF(F3="1",SUMIF(Data!A:A,'49'!$A$2,Data!EX:EX),0)</f>
        <v>116442</v>
      </c>
      <c r="F92" s="21">
        <f t="shared" si="4"/>
        <v>3.32</v>
      </c>
    </row>
    <row r="93" spans="1:6" x14ac:dyDescent="0.2">
      <c r="A93" s="19">
        <v>28</v>
      </c>
      <c r="B93" s="180" t="s">
        <v>24</v>
      </c>
      <c r="C93" s="181"/>
      <c r="D93" s="14">
        <f t="shared" si="5"/>
        <v>0</v>
      </c>
      <c r="E93" s="17">
        <f>IF(F3="1",SUMIF(Data!A:A,'49'!$A$2,Data!EZ:EZ),0)</f>
        <v>0</v>
      </c>
      <c r="F93" s="21" t="str">
        <f t="shared" si="4"/>
        <v/>
      </c>
    </row>
    <row r="94" spans="1:6" ht="15.75" customHeight="1" thickBot="1" x14ac:dyDescent="0.25">
      <c r="A94" s="22">
        <v>29</v>
      </c>
      <c r="B94" s="184" t="s">
        <v>25</v>
      </c>
      <c r="C94" s="185"/>
      <c r="D94" s="23">
        <f t="shared" si="5"/>
        <v>0</v>
      </c>
      <c r="E94" s="24">
        <f>IF(F3="1",SUMIF(Data!A:A,'49'!$A$2,Data!FA:FA),0)</f>
        <v>0</v>
      </c>
      <c r="F94" s="25" t="str">
        <f t="shared" si="4"/>
        <v/>
      </c>
    </row>
    <row r="95" spans="1:6" x14ac:dyDescent="0.2">
      <c r="B95" s="30" t="s">
        <v>35</v>
      </c>
      <c r="C95" s="30"/>
      <c r="D95" s="59">
        <f>SUM(D67:D94)</f>
        <v>683936</v>
      </c>
      <c r="E95" s="31">
        <f>SUM(E67:E94)</f>
        <v>1863538</v>
      </c>
      <c r="F95" s="32">
        <f t="shared" si="4"/>
        <v>2.72</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IF(F3="1",SUMIF(Data!A:A,'49'!$A$2,Data!AH:AH),0)</f>
        <v>1787023</v>
      </c>
      <c r="F98" s="20">
        <f>IF(OR(E98=0,E98=0),"",ROUND(E98/$D$105,2))</f>
        <v>2.61</v>
      </c>
    </row>
    <row r="99" spans="2:6" x14ac:dyDescent="0.2">
      <c r="B99" s="190" t="s">
        <v>31</v>
      </c>
      <c r="C99" s="191"/>
      <c r="D99" s="36"/>
      <c r="E99" s="17">
        <f>IF(F3="1",SUMIF(Data!A:A,'49'!$A$2,Data!AI:AI),0)</f>
        <v>347388</v>
      </c>
      <c r="F99" s="21">
        <f t="shared" ref="F99:F104" si="6">IF(OR(E99=0,E99=0),"",ROUND(E99/$D$105,2))</f>
        <v>0.51</v>
      </c>
    </row>
    <row r="100" spans="2:6" x14ac:dyDescent="0.2">
      <c r="B100" s="190" t="s">
        <v>1089</v>
      </c>
      <c r="C100" s="191"/>
      <c r="D100" s="36"/>
      <c r="E100" s="17">
        <f>IF(F3="1",SUMIF(Data!A:A,'49'!$A$2,Data!AJ:AJ),0)</f>
        <v>89591</v>
      </c>
      <c r="F100" s="21">
        <f t="shared" si="6"/>
        <v>0.13</v>
      </c>
    </row>
    <row r="101" spans="2:6" x14ac:dyDescent="0.2">
      <c r="B101" s="190" t="s">
        <v>1090</v>
      </c>
      <c r="C101" s="191"/>
      <c r="D101" s="36"/>
      <c r="E101" s="17">
        <f>IF(F3="1",SUMIF(Data!A:A,'49'!$A$2,Data!AK:AK),0)</f>
        <v>718506</v>
      </c>
      <c r="F101" s="21">
        <f t="shared" si="6"/>
        <v>1.05</v>
      </c>
    </row>
    <row r="102" spans="2:6" x14ac:dyDescent="0.2">
      <c r="B102" s="190" t="s">
        <v>1091</v>
      </c>
      <c r="C102" s="191"/>
      <c r="D102" s="36"/>
      <c r="E102" s="17">
        <f>IF(F3="1",SUMIF(Data!A:A,'49'!$A$2,Data!AL:AL),0)</f>
        <v>0</v>
      </c>
      <c r="F102" s="21" t="str">
        <f t="shared" si="6"/>
        <v/>
      </c>
    </row>
    <row r="103" spans="2:6" x14ac:dyDescent="0.2">
      <c r="B103" s="192" t="s">
        <v>34</v>
      </c>
      <c r="C103" s="193"/>
      <c r="D103" s="36"/>
      <c r="E103" s="17">
        <f>IF(F3="1",SUMIF(Data!A:A,'49'!$A$2,Data!AM:AM),0)</f>
        <v>0</v>
      </c>
      <c r="F103" s="21" t="str">
        <f t="shared" si="6"/>
        <v/>
      </c>
    </row>
    <row r="104" spans="2:6" ht="15.75" customHeight="1" thickBot="1" x14ac:dyDescent="0.25">
      <c r="B104" s="186" t="s">
        <v>29</v>
      </c>
      <c r="C104" s="187"/>
      <c r="D104" s="37"/>
      <c r="E104" s="24">
        <f>IF(F3="1",SUMIF(Data!A:A,'49'!$A$2,Data!Q:Q),0)</f>
        <v>57153</v>
      </c>
      <c r="F104" s="25">
        <f t="shared" si="6"/>
        <v>0.08</v>
      </c>
    </row>
    <row r="105" spans="2:6" x14ac:dyDescent="0.2">
      <c r="B105" s="30" t="s">
        <v>35</v>
      </c>
      <c r="C105" s="30"/>
      <c r="D105" s="34">
        <f>D95</f>
        <v>683936</v>
      </c>
      <c r="E105" s="31">
        <f>SUM(E98:E104)</f>
        <v>2999661</v>
      </c>
      <c r="F105" s="32">
        <f>IF($D$105=0,"",ROUND(E105/$D$105,2))</f>
        <v>4.3899999999999997</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1863538</v>
      </c>
      <c r="D109" s="15">
        <f>IF(F3="1",SUMIF(Data!$A:$A,$A$2,Data!HJ:HJ),0)</f>
        <v>0</v>
      </c>
      <c r="E109" s="15">
        <f>IF(F3="1",SUMIF(Data!$A:$A,$A$2,Data!IN:IN),0)</f>
        <v>0</v>
      </c>
      <c r="F109" s="47">
        <f>SUM(C109:E109)</f>
        <v>1863538</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57153</v>
      </c>
      <c r="E117" s="52"/>
      <c r="F117" s="49">
        <f>SUM(C117:E117)</f>
        <v>57153</v>
      </c>
    </row>
    <row r="118" spans="1:6" x14ac:dyDescent="0.2">
      <c r="B118" s="13" t="s">
        <v>35</v>
      </c>
      <c r="C118" s="4">
        <f>SUM(C109:C116)</f>
        <v>1863538</v>
      </c>
      <c r="D118" s="4">
        <f>SUM(D109:D116)</f>
        <v>0</v>
      </c>
      <c r="E118" s="4">
        <f>SUM(E109:E116)</f>
        <v>0</v>
      </c>
      <c r="F118" s="4">
        <f>SUM(F109:F116)</f>
        <v>1863538</v>
      </c>
    </row>
    <row r="119" spans="1:6" ht="15" thickBot="1" x14ac:dyDescent="0.25"/>
    <row r="120" spans="1:6" ht="15" thickBot="1" x14ac:dyDescent="0.25">
      <c r="B120" s="55" t="s">
        <v>934</v>
      </c>
      <c r="C120" s="53"/>
      <c r="D120" s="53"/>
      <c r="E120" s="53">
        <f>IF(F3="1",SUMIF(Data!A:A,'49'!$A$2,Data!AM:AM),0)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2" width="13.42578125" style="10" bestFit="1" customWidth="1"/>
    <col min="13" max="13" width="12.140625" style="10" bestFit="1" customWidth="1"/>
    <col min="14"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417</v>
      </c>
      <c r="B2" s="58" t="str">
        <f>VLOOKUP(A2,Data!A:G,7,0)</f>
        <v>Wharton County Junior College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16180</v>
      </c>
      <c r="E5" s="15">
        <f>E36+E67+IFERROR($E$105/$D$105*D5,0)</f>
        <v>163368.71184396406</v>
      </c>
      <c r="F5" s="20">
        <f>IF(OR(D5=0,E5=0),"",ROUND(E5/D5,2))</f>
        <v>10.1</v>
      </c>
    </row>
    <row r="6" spans="1:6" x14ac:dyDescent="0.2">
      <c r="A6" s="19">
        <v>2</v>
      </c>
      <c r="B6" s="180" t="s">
        <v>1</v>
      </c>
      <c r="C6" s="181"/>
      <c r="D6" s="14">
        <f t="shared" ref="D6:D32" si="0">D37</f>
        <v>30244</v>
      </c>
      <c r="E6" s="17">
        <f t="shared" ref="E6:E32" si="1">E37+E68+IFERROR($E$105/$D$105*D6,0)</f>
        <v>291059.94814640604</v>
      </c>
      <c r="F6" s="21">
        <f t="shared" ref="F6:F33" si="2">IF(OR(D6=0,E6=0),"",ROUND(E6/D6,2))</f>
        <v>9.6199999999999992</v>
      </c>
    </row>
    <row r="7" spans="1:6" ht="14.25" customHeight="1" x14ac:dyDescent="0.2">
      <c r="A7" s="19">
        <v>3</v>
      </c>
      <c r="B7" s="180" t="s">
        <v>2</v>
      </c>
      <c r="C7" s="181"/>
      <c r="D7" s="14">
        <f t="shared" si="0"/>
        <v>327008</v>
      </c>
      <c r="E7" s="17">
        <f t="shared" si="1"/>
        <v>2170749.9630822623</v>
      </c>
      <c r="F7" s="21">
        <f t="shared" si="2"/>
        <v>6.64</v>
      </c>
    </row>
    <row r="8" spans="1:6" ht="14.25" customHeight="1" x14ac:dyDescent="0.2">
      <c r="A8" s="19">
        <v>4</v>
      </c>
      <c r="B8" s="180" t="s">
        <v>3</v>
      </c>
      <c r="C8" s="181"/>
      <c r="D8" s="14">
        <f t="shared" si="0"/>
        <v>101861</v>
      </c>
      <c r="E8" s="17">
        <f t="shared" si="1"/>
        <v>633449.31008269615</v>
      </c>
      <c r="F8" s="21">
        <f t="shared" si="2"/>
        <v>6.22</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0</v>
      </c>
      <c r="E10" s="17">
        <f t="shared" si="1"/>
        <v>0</v>
      </c>
      <c r="F10" s="21" t="str">
        <f t="shared" si="2"/>
        <v/>
      </c>
    </row>
    <row r="11" spans="1:6" x14ac:dyDescent="0.2">
      <c r="A11" s="19">
        <v>7</v>
      </c>
      <c r="B11" s="180" t="s">
        <v>6</v>
      </c>
      <c r="C11" s="181"/>
      <c r="D11" s="14">
        <f t="shared" si="0"/>
        <v>87849</v>
      </c>
      <c r="E11" s="17">
        <f t="shared" si="1"/>
        <v>794328.74331152043</v>
      </c>
      <c r="F11" s="21">
        <f t="shared" si="2"/>
        <v>9.0399999999999991</v>
      </c>
    </row>
    <row r="12" spans="1:6" x14ac:dyDescent="0.2">
      <c r="A12" s="19">
        <v>8</v>
      </c>
      <c r="B12" s="180" t="s">
        <v>7</v>
      </c>
      <c r="C12" s="181"/>
      <c r="D12" s="14">
        <f t="shared" si="0"/>
        <v>0</v>
      </c>
      <c r="E12" s="17">
        <f t="shared" si="1"/>
        <v>0</v>
      </c>
      <c r="F12" s="21" t="str">
        <f t="shared" si="2"/>
        <v/>
      </c>
    </row>
    <row r="13" spans="1:6" x14ac:dyDescent="0.2">
      <c r="A13" s="19">
        <v>9</v>
      </c>
      <c r="B13" s="180" t="s">
        <v>8</v>
      </c>
      <c r="C13" s="181"/>
      <c r="D13" s="14">
        <f t="shared" si="0"/>
        <v>129796</v>
      </c>
      <c r="E13" s="17">
        <f t="shared" si="1"/>
        <v>867646.89385038079</v>
      </c>
      <c r="F13" s="21">
        <f t="shared" si="2"/>
        <v>6.68</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32384</v>
      </c>
      <c r="E15" s="17">
        <f t="shared" si="1"/>
        <v>281552.8865485125</v>
      </c>
      <c r="F15" s="21">
        <f t="shared" si="2"/>
        <v>8.69</v>
      </c>
    </row>
    <row r="16" spans="1:6" ht="14.25" customHeight="1" x14ac:dyDescent="0.2">
      <c r="A16" s="19">
        <v>12</v>
      </c>
      <c r="B16" s="180" t="s">
        <v>11</v>
      </c>
      <c r="C16" s="181"/>
      <c r="D16" s="14">
        <f t="shared" si="0"/>
        <v>403420</v>
      </c>
      <c r="E16" s="17">
        <f t="shared" si="1"/>
        <v>2775585.9673728049</v>
      </c>
      <c r="F16" s="21">
        <f t="shared" si="2"/>
        <v>6.88</v>
      </c>
    </row>
    <row r="17" spans="1:6" x14ac:dyDescent="0.2">
      <c r="A17" s="19">
        <v>13</v>
      </c>
      <c r="B17" s="180" t="s">
        <v>12</v>
      </c>
      <c r="C17" s="181"/>
      <c r="D17" s="14">
        <f t="shared" si="0"/>
        <v>28148</v>
      </c>
      <c r="E17" s="17">
        <f t="shared" si="1"/>
        <v>177896.19165537087</v>
      </c>
      <c r="F17" s="21">
        <f t="shared" si="2"/>
        <v>6.32</v>
      </c>
    </row>
    <row r="18" spans="1:6" ht="14.25" customHeight="1" x14ac:dyDescent="0.2">
      <c r="A18" s="19">
        <v>14</v>
      </c>
      <c r="B18" s="180" t="s">
        <v>464</v>
      </c>
      <c r="C18" s="181"/>
      <c r="D18" s="14">
        <f t="shared" si="0"/>
        <v>56128</v>
      </c>
      <c r="E18" s="17">
        <f t="shared" si="1"/>
        <v>536938.14328665112</v>
      </c>
      <c r="F18" s="21">
        <f t="shared" si="2"/>
        <v>9.57</v>
      </c>
    </row>
    <row r="19" spans="1:6" x14ac:dyDescent="0.2">
      <c r="A19" s="19">
        <v>15</v>
      </c>
      <c r="B19" s="180" t="s">
        <v>13</v>
      </c>
      <c r="C19" s="181"/>
      <c r="D19" s="14">
        <f t="shared" si="0"/>
        <v>35560</v>
      </c>
      <c r="E19" s="17">
        <f t="shared" si="1"/>
        <v>453786.47176584438</v>
      </c>
      <c r="F19" s="21">
        <f t="shared" si="2"/>
        <v>12.76</v>
      </c>
    </row>
    <row r="20" spans="1:6" x14ac:dyDescent="0.2">
      <c r="A20" s="19">
        <v>16</v>
      </c>
      <c r="B20" s="180" t="s">
        <v>14</v>
      </c>
      <c r="C20" s="181"/>
      <c r="D20" s="14">
        <f t="shared" si="0"/>
        <v>161113</v>
      </c>
      <c r="E20" s="17">
        <f t="shared" si="1"/>
        <v>1318563.3690554132</v>
      </c>
      <c r="F20" s="21">
        <f t="shared" si="2"/>
        <v>8.18</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82736</v>
      </c>
      <c r="E22" s="17">
        <f t="shared" si="1"/>
        <v>727829.96805452486</v>
      </c>
      <c r="F22" s="21">
        <f t="shared" si="2"/>
        <v>8.8000000000000007</v>
      </c>
    </row>
    <row r="23" spans="1:6" x14ac:dyDescent="0.2">
      <c r="A23" s="19">
        <v>19</v>
      </c>
      <c r="B23" s="180" t="s">
        <v>17</v>
      </c>
      <c r="C23" s="181"/>
      <c r="D23" s="14">
        <f t="shared" si="0"/>
        <v>263520</v>
      </c>
      <c r="E23" s="17">
        <f t="shared" si="1"/>
        <v>1793803.2092164038</v>
      </c>
      <c r="F23" s="21">
        <f t="shared" si="2"/>
        <v>6.81</v>
      </c>
    </row>
    <row r="24" spans="1:6" x14ac:dyDescent="0.2">
      <c r="A24" s="19">
        <v>20</v>
      </c>
      <c r="B24" s="180" t="s">
        <v>18</v>
      </c>
      <c r="C24" s="181"/>
      <c r="D24" s="14">
        <f t="shared" si="0"/>
        <v>34829</v>
      </c>
      <c r="E24" s="17">
        <f t="shared" si="1"/>
        <v>247259.54047054541</v>
      </c>
      <c r="F24" s="21">
        <f t="shared" si="2"/>
        <v>7.1</v>
      </c>
    </row>
    <row r="25" spans="1:6" ht="14.25" customHeight="1" x14ac:dyDescent="0.2">
      <c r="A25" s="19">
        <v>21</v>
      </c>
      <c r="B25" s="180" t="s">
        <v>461</v>
      </c>
      <c r="C25" s="181"/>
      <c r="D25" s="14">
        <f t="shared" si="0"/>
        <v>0</v>
      </c>
      <c r="E25" s="17">
        <f t="shared" si="1"/>
        <v>0</v>
      </c>
      <c r="F25" s="21" t="str">
        <f t="shared" si="2"/>
        <v/>
      </c>
    </row>
    <row r="26" spans="1:6" x14ac:dyDescent="0.2">
      <c r="A26" s="19">
        <v>22</v>
      </c>
      <c r="B26" s="180" t="s">
        <v>19</v>
      </c>
      <c r="C26" s="181"/>
      <c r="D26" s="14">
        <f t="shared" si="0"/>
        <v>0</v>
      </c>
      <c r="E26" s="17">
        <f t="shared" si="1"/>
        <v>0</v>
      </c>
      <c r="F26" s="21" t="str">
        <f t="shared" si="2"/>
        <v/>
      </c>
    </row>
    <row r="27" spans="1:6" x14ac:dyDescent="0.2">
      <c r="A27" s="19">
        <v>23</v>
      </c>
      <c r="B27" s="180" t="s">
        <v>20</v>
      </c>
      <c r="C27" s="181"/>
      <c r="D27" s="14">
        <f t="shared" si="0"/>
        <v>41280</v>
      </c>
      <c r="E27" s="17">
        <f t="shared" si="1"/>
        <v>297194.12020511972</v>
      </c>
      <c r="F27" s="21">
        <f t="shared" si="2"/>
        <v>7.2</v>
      </c>
    </row>
    <row r="28" spans="1:6" x14ac:dyDescent="0.2">
      <c r="A28" s="19">
        <v>24</v>
      </c>
      <c r="B28" s="180" t="s">
        <v>21</v>
      </c>
      <c r="C28" s="181"/>
      <c r="D28" s="14">
        <f t="shared" si="0"/>
        <v>95268</v>
      </c>
      <c r="E28" s="17">
        <f t="shared" si="1"/>
        <v>791230.32508966443</v>
      </c>
      <c r="F28" s="21">
        <f t="shared" si="2"/>
        <v>8.31</v>
      </c>
    </row>
    <row r="29" spans="1:6" x14ac:dyDescent="0.2">
      <c r="A29" s="19">
        <v>25</v>
      </c>
      <c r="B29" s="180" t="s">
        <v>22</v>
      </c>
      <c r="C29" s="181"/>
      <c r="D29" s="14">
        <f t="shared" si="0"/>
        <v>511104</v>
      </c>
      <c r="E29" s="17">
        <f t="shared" si="1"/>
        <v>3094926.0790047846</v>
      </c>
      <c r="F29" s="21">
        <f t="shared" si="2"/>
        <v>6.06</v>
      </c>
    </row>
    <row r="30" spans="1:6" x14ac:dyDescent="0.2">
      <c r="A30" s="19">
        <v>26</v>
      </c>
      <c r="B30" s="180" t="s">
        <v>23</v>
      </c>
      <c r="C30" s="181"/>
      <c r="D30" s="14">
        <f t="shared" si="0"/>
        <v>78736</v>
      </c>
      <c r="E30" s="17">
        <f t="shared" si="1"/>
        <v>648863.15795712953</v>
      </c>
      <c r="F30" s="21">
        <f t="shared" si="2"/>
        <v>8.24</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2517164</v>
      </c>
      <c r="E33" s="31">
        <f>SUM(E5:E32)</f>
        <v>18066033</v>
      </c>
      <c r="F33" s="32">
        <f t="shared" si="2"/>
        <v>7.18</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IF(F3="1",SUMIF(Data!A:A,'50'!$A$2,Data!CU:CU),0)</f>
        <v>16180</v>
      </c>
      <c r="E36" s="15">
        <f>IF(F3="1",SUMIF(Data!$A:$A,$A$2,Data!IO:IO),0)</f>
        <v>13389</v>
      </c>
      <c r="F36" s="20">
        <f t="shared" ref="F36:F64" si="3">IF(OR(D36=0,E36=0),"",ROUND(E36/D36,2))</f>
        <v>0.83</v>
      </c>
    </row>
    <row r="37" spans="1:6" x14ac:dyDescent="0.2">
      <c r="A37" s="19">
        <v>2</v>
      </c>
      <c r="B37" s="180" t="s">
        <v>1</v>
      </c>
      <c r="C37" s="181"/>
      <c r="D37" s="14">
        <f>IF(F3="1",SUMIF(Data!A:A,'50'!$A$2,Data!CV:CV),0)</f>
        <v>30244</v>
      </c>
      <c r="E37" s="17">
        <f>IF(F3="1",SUMIF(Data!$A:$A,$A$2,Data!IP:IP),0)</f>
        <v>25860</v>
      </c>
      <c r="F37" s="21">
        <f t="shared" si="3"/>
        <v>0.86</v>
      </c>
    </row>
    <row r="38" spans="1:6" ht="14.25" customHeight="1" x14ac:dyDescent="0.2">
      <c r="A38" s="19">
        <v>3</v>
      </c>
      <c r="B38" s="180" t="s">
        <v>2</v>
      </c>
      <c r="C38" s="181"/>
      <c r="D38" s="14">
        <f>IF(F3="1",SUMIF(Data!A:A,'50'!$A$2,Data!CW:CW),0)</f>
        <v>327008</v>
      </c>
      <c r="E38" s="17">
        <f>IF($F$3="1",SUMIF(Data!$A:$A,$A$2,Data!IQ:IQ),0)</f>
        <v>48210</v>
      </c>
      <c r="F38" s="21">
        <f t="shared" si="3"/>
        <v>0.15</v>
      </c>
    </row>
    <row r="39" spans="1:6" ht="14.25" customHeight="1" x14ac:dyDescent="0.2">
      <c r="A39" s="19">
        <v>4</v>
      </c>
      <c r="B39" s="180" t="s">
        <v>3</v>
      </c>
      <c r="C39" s="181"/>
      <c r="D39" s="14">
        <f>IF(F3="1",SUMIF(Data!A:A,'50'!$A$2,Data!CX:CX),0)</f>
        <v>101861</v>
      </c>
      <c r="E39" s="17">
        <f>IF($F$3="1",SUMIF(Data!$A:$A,$A$2,Data!IR:IR),0)</f>
        <v>4263</v>
      </c>
      <c r="F39" s="21">
        <f t="shared" si="3"/>
        <v>0.04</v>
      </c>
    </row>
    <row r="40" spans="1:6" x14ac:dyDescent="0.2">
      <c r="A40" s="19">
        <v>5</v>
      </c>
      <c r="B40" s="180" t="s">
        <v>4</v>
      </c>
      <c r="C40" s="181"/>
      <c r="D40" s="14">
        <f>IF(F3="1",SUMIF(Data!A:A,'50'!$A$2,Data!CY:CY),0)</f>
        <v>0</v>
      </c>
      <c r="E40" s="17">
        <f>IF($F$3="1",SUMIF(Data!$A:$A,$A$2,Data!IS:IS),0)</f>
        <v>0</v>
      </c>
      <c r="F40" s="21" t="str">
        <f t="shared" si="3"/>
        <v/>
      </c>
    </row>
    <row r="41" spans="1:6" x14ac:dyDescent="0.2">
      <c r="A41" s="19">
        <v>6</v>
      </c>
      <c r="B41" s="180" t="s">
        <v>5</v>
      </c>
      <c r="C41" s="181"/>
      <c r="D41" s="14">
        <f>IF(F3="1",SUMIF(Data!A:A,'50'!$A$2,Data!CZ:CZ),0)</f>
        <v>0</v>
      </c>
      <c r="E41" s="17">
        <f>IF($F$3="1",SUMIF(Data!$A:$A,$A$2,Data!IT:IT),0)</f>
        <v>0</v>
      </c>
      <c r="F41" s="21" t="str">
        <f t="shared" si="3"/>
        <v/>
      </c>
    </row>
    <row r="42" spans="1:6" x14ac:dyDescent="0.2">
      <c r="A42" s="19">
        <v>7</v>
      </c>
      <c r="B42" s="180" t="s">
        <v>6</v>
      </c>
      <c r="C42" s="181"/>
      <c r="D42" s="14">
        <f>IF(F3="1",SUMIF(Data!A:A,'50'!$A$2,Data!DA:DA),0)</f>
        <v>87849</v>
      </c>
      <c r="E42" s="17">
        <f>IF($F$3="1",SUMIF(Data!$A:$A,$A$2,Data!IU:IU),0)</f>
        <v>23407</v>
      </c>
      <c r="F42" s="21">
        <f t="shared" si="3"/>
        <v>0.27</v>
      </c>
    </row>
    <row r="43" spans="1:6" x14ac:dyDescent="0.2">
      <c r="A43" s="19">
        <v>8</v>
      </c>
      <c r="B43" s="180" t="s">
        <v>7</v>
      </c>
      <c r="C43" s="181"/>
      <c r="D43" s="14">
        <f>IF(F3="1",SUMIF(Data!A:A,'50'!$A$2,Data!DB:DB),0)</f>
        <v>0</v>
      </c>
      <c r="E43" s="17">
        <f>IF($F$3="1",SUMIF(Data!$A:$A,$A$2,Data!IV:IV),0)</f>
        <v>0</v>
      </c>
      <c r="F43" s="21" t="str">
        <f t="shared" si="3"/>
        <v/>
      </c>
    </row>
    <row r="44" spans="1:6" x14ac:dyDescent="0.2">
      <c r="A44" s="19">
        <v>9</v>
      </c>
      <c r="B44" s="180" t="s">
        <v>8</v>
      </c>
      <c r="C44" s="181"/>
      <c r="D44" s="14">
        <f>IF(F3="1",SUMIF(Data!A:A,'50'!$A$2,Data!DC:DC),0)</f>
        <v>129796</v>
      </c>
      <c r="E44" s="17">
        <f>IF($F$3="1",SUMIF(Data!$A:$A,$A$2,Data!IW:IW),0)</f>
        <v>33740</v>
      </c>
      <c r="F44" s="21">
        <f t="shared" si="3"/>
        <v>0.26</v>
      </c>
    </row>
    <row r="45" spans="1:6" x14ac:dyDescent="0.2">
      <c r="A45" s="19">
        <v>10</v>
      </c>
      <c r="B45" s="180" t="s">
        <v>9</v>
      </c>
      <c r="C45" s="181"/>
      <c r="D45" s="14">
        <f>IF(F3="1",SUMIF(Data!A:A,'50'!$A$2,Data!DD:DD),0)</f>
        <v>0</v>
      </c>
      <c r="E45" s="17">
        <f>IF($F$3="1",SUMIF(Data!$A:$A,$A$2,Data!IX:IX),0)</f>
        <v>0</v>
      </c>
      <c r="F45" s="21" t="str">
        <f t="shared" si="3"/>
        <v/>
      </c>
    </row>
    <row r="46" spans="1:6" x14ac:dyDescent="0.2">
      <c r="A46" s="19">
        <v>11</v>
      </c>
      <c r="B46" s="180" t="s">
        <v>10</v>
      </c>
      <c r="C46" s="181"/>
      <c r="D46" s="14">
        <f>IF(F3="1",SUMIF(Data!A:A,'50'!$A$2,Data!DE:DE),0)</f>
        <v>32384</v>
      </c>
      <c r="E46" s="17">
        <f>IF($F$3="1",SUMIF(Data!$A:$A,$A$2,Data!IY:IY),0)</f>
        <v>10717</v>
      </c>
      <c r="F46" s="21">
        <f t="shared" si="3"/>
        <v>0.33</v>
      </c>
    </row>
    <row r="47" spans="1:6" ht="14.25" customHeight="1" x14ac:dyDescent="0.2">
      <c r="A47" s="19">
        <v>12</v>
      </c>
      <c r="B47" s="180" t="s">
        <v>11</v>
      </c>
      <c r="C47" s="181"/>
      <c r="D47" s="14">
        <f>IF(F3="1",SUMIF(Data!A:A,'50'!$A$2,Data!DF:DF),0)</f>
        <v>403420</v>
      </c>
      <c r="E47" s="17">
        <f>IF($F$3="1",SUMIF(Data!$A:$A,$A$2,Data!IZ:IZ),0)</f>
        <v>26988</v>
      </c>
      <c r="F47" s="21">
        <f t="shared" si="3"/>
        <v>7.0000000000000007E-2</v>
      </c>
    </row>
    <row r="48" spans="1:6" x14ac:dyDescent="0.2">
      <c r="A48" s="19">
        <v>13</v>
      </c>
      <c r="B48" s="180" t="s">
        <v>12</v>
      </c>
      <c r="C48" s="181"/>
      <c r="D48" s="14">
        <f>IF(F3="1",SUMIF(Data!A:A,'50'!$A$2,Data!DG:DG),0)</f>
        <v>28148</v>
      </c>
      <c r="E48" s="17">
        <f>IF($F$3="1",SUMIF(Data!$A:$A,$A$2,Data!JA:JA),0)</f>
        <v>674</v>
      </c>
      <c r="F48" s="21">
        <f t="shared" si="3"/>
        <v>0.02</v>
      </c>
    </row>
    <row r="49" spans="1:6" ht="14.25" customHeight="1" x14ac:dyDescent="0.2">
      <c r="A49" s="19">
        <v>14</v>
      </c>
      <c r="B49" s="180" t="s">
        <v>464</v>
      </c>
      <c r="C49" s="181"/>
      <c r="D49" s="14">
        <f>IF(F3="1",SUMIF(Data!A:A,'50'!$A$2,Data!DH:DH),0)</f>
        <v>56128</v>
      </c>
      <c r="E49" s="17">
        <f>IF($F$3="1",SUMIF(Data!$A:$A,$A$2,Data!JB:JB),0)</f>
        <v>33589</v>
      </c>
      <c r="F49" s="21">
        <f t="shared" si="3"/>
        <v>0.6</v>
      </c>
    </row>
    <row r="50" spans="1:6" x14ac:dyDescent="0.2">
      <c r="A50" s="19">
        <v>15</v>
      </c>
      <c r="B50" s="180" t="s">
        <v>13</v>
      </c>
      <c r="C50" s="181"/>
      <c r="D50" s="14">
        <f>IF(F3="1",SUMIF(Data!A:A,'50'!$A$2,Data!DI:DI),0)</f>
        <v>35560</v>
      </c>
      <c r="E50" s="17">
        <f>IF($F$3="1",SUMIF(Data!$A:$A,$A$2,Data!JC:JC),0)</f>
        <v>58465</v>
      </c>
      <c r="F50" s="21">
        <f t="shared" si="3"/>
        <v>1.64</v>
      </c>
    </row>
    <row r="51" spans="1:6" x14ac:dyDescent="0.2">
      <c r="A51" s="19">
        <v>16</v>
      </c>
      <c r="B51" s="180" t="s">
        <v>14</v>
      </c>
      <c r="C51" s="181"/>
      <c r="D51" s="14">
        <f>IF(F3="1",SUMIF(Data!A:A,'50'!$A$2,Data!DJ:DJ),0)</f>
        <v>161113</v>
      </c>
      <c r="E51" s="17">
        <f>IF($F$3="1",SUMIF(Data!$A:$A,$A$2,Data!JD:JD),0)</f>
        <v>267440</v>
      </c>
      <c r="F51" s="21">
        <f t="shared" si="3"/>
        <v>1.66</v>
      </c>
    </row>
    <row r="52" spans="1:6" x14ac:dyDescent="0.2">
      <c r="A52" s="19">
        <v>17</v>
      </c>
      <c r="B52" s="180" t="s">
        <v>15</v>
      </c>
      <c r="C52" s="181"/>
      <c r="D52" s="14">
        <f>IF(F3="1",SUMIF(Data!A:A,'50'!$A$2,Data!DK:DK),0)</f>
        <v>0</v>
      </c>
      <c r="E52" s="17">
        <f>IF($F$3="1",SUMIF(Data!$A:$A,$A$2,Data!JE:JE),0)</f>
        <v>0</v>
      </c>
      <c r="F52" s="21" t="str">
        <f t="shared" si="3"/>
        <v/>
      </c>
    </row>
    <row r="53" spans="1:6" x14ac:dyDescent="0.2">
      <c r="A53" s="19">
        <v>18</v>
      </c>
      <c r="B53" s="180" t="s">
        <v>16</v>
      </c>
      <c r="C53" s="181"/>
      <c r="D53" s="14">
        <f>IF(F3="1",SUMIF(Data!A:A,'50'!$A$2,Data!DL:DL),0)</f>
        <v>82736</v>
      </c>
      <c r="E53" s="17">
        <f>IF($F$3="1",SUMIF(Data!$A:$A,$A$2,Data!JF:JF),0)</f>
        <v>45976</v>
      </c>
      <c r="F53" s="21">
        <f t="shared" si="3"/>
        <v>0.56000000000000005</v>
      </c>
    </row>
    <row r="54" spans="1:6" x14ac:dyDescent="0.2">
      <c r="A54" s="19">
        <v>19</v>
      </c>
      <c r="B54" s="180" t="s">
        <v>17</v>
      </c>
      <c r="C54" s="181"/>
      <c r="D54" s="14">
        <f>IF(F3="1",SUMIF(Data!A:A,'50'!$A$2,Data!DM:DM),0)</f>
        <v>263520</v>
      </c>
      <c r="E54" s="17">
        <f>IF($F$3="1",SUMIF(Data!$A:$A,$A$2,Data!JG:JG),0)</f>
        <v>13881</v>
      </c>
      <c r="F54" s="21">
        <f t="shared" si="3"/>
        <v>0.05</v>
      </c>
    </row>
    <row r="55" spans="1:6" x14ac:dyDescent="0.2">
      <c r="A55" s="19">
        <v>20</v>
      </c>
      <c r="B55" s="180" t="s">
        <v>18</v>
      </c>
      <c r="C55" s="181"/>
      <c r="D55" s="14">
        <f>IF(F3="1",SUMIF(Data!A:A,'50'!$A$2,Data!DN:DN),0)</f>
        <v>34829</v>
      </c>
      <c r="E55" s="17">
        <f>IF($F$3="1",SUMIF(Data!$A:$A,$A$2,Data!JH:JH),0)</f>
        <v>8415</v>
      </c>
      <c r="F55" s="21">
        <f t="shared" si="3"/>
        <v>0.24</v>
      </c>
    </row>
    <row r="56" spans="1:6" ht="14.25" customHeight="1" x14ac:dyDescent="0.2">
      <c r="A56" s="19">
        <v>21</v>
      </c>
      <c r="B56" s="180" t="s">
        <v>461</v>
      </c>
      <c r="C56" s="181"/>
      <c r="D56" s="14">
        <f>IF(F3="1",SUMIF(Data!A:A,'50'!$A$2,Data!DO:DO),0)</f>
        <v>0</v>
      </c>
      <c r="E56" s="17">
        <f>IF($F$3="1",SUMIF(Data!$A:$A,$A$2,Data!JI:JI),0)</f>
        <v>0</v>
      </c>
      <c r="F56" s="21" t="str">
        <f t="shared" si="3"/>
        <v/>
      </c>
    </row>
    <row r="57" spans="1:6" x14ac:dyDescent="0.2">
      <c r="A57" s="19">
        <v>22</v>
      </c>
      <c r="B57" s="180" t="s">
        <v>19</v>
      </c>
      <c r="C57" s="181"/>
      <c r="D57" s="14">
        <f>IF(F3="1",SUMIF(Data!A:A,'50'!$A$2,Data!DP:DP),0)</f>
        <v>0</v>
      </c>
      <c r="E57" s="17">
        <f>IF($F$3="1",SUMIF(Data!$A:$A,$A$2,Data!JJ:JJ),0)</f>
        <v>0</v>
      </c>
      <c r="F57" s="21" t="str">
        <f t="shared" si="3"/>
        <v/>
      </c>
    </row>
    <row r="58" spans="1:6" x14ac:dyDescent="0.2">
      <c r="A58" s="19">
        <v>23</v>
      </c>
      <c r="B58" s="180" t="s">
        <v>20</v>
      </c>
      <c r="C58" s="181"/>
      <c r="D58" s="14">
        <f>IF(F3="1",SUMIF(Data!A:A,'50'!$A$2,Data!DQ:DQ),0)</f>
        <v>41280</v>
      </c>
      <c r="E58" s="17">
        <f>IF($F$3="1",SUMIF(Data!$A:$A,$A$2,Data!JK:JK),0)</f>
        <v>4605</v>
      </c>
      <c r="F58" s="21">
        <f t="shared" si="3"/>
        <v>0.11</v>
      </c>
    </row>
    <row r="59" spans="1:6" x14ac:dyDescent="0.2">
      <c r="A59" s="19">
        <v>24</v>
      </c>
      <c r="B59" s="180" t="s">
        <v>21</v>
      </c>
      <c r="C59" s="181"/>
      <c r="D59" s="14">
        <f>IF(F3="1",SUMIF(Data!A:A,'50'!$A$2,Data!DR:DR),0)</f>
        <v>95268</v>
      </c>
      <c r="E59" s="17">
        <f>IF($F$3="1",SUMIF(Data!$A:$A,$A$2,Data!JL:JL),0)</f>
        <v>130395</v>
      </c>
      <c r="F59" s="21">
        <f t="shared" si="3"/>
        <v>1.37</v>
      </c>
    </row>
    <row r="60" spans="1:6" x14ac:dyDescent="0.2">
      <c r="A60" s="19">
        <v>25</v>
      </c>
      <c r="B60" s="180" t="s">
        <v>22</v>
      </c>
      <c r="C60" s="181"/>
      <c r="D60" s="14">
        <f>IF(F3="1",SUMIF(Data!A:A,'50'!$A$2,Data!DS:DS),0)</f>
        <v>511104</v>
      </c>
      <c r="E60" s="17">
        <f>IF($F$3="1",SUMIF(Data!$A:$A,$A$2,Data!JM:JM),0)</f>
        <v>26227</v>
      </c>
      <c r="F60" s="21">
        <f t="shared" si="3"/>
        <v>0.05</v>
      </c>
    </row>
    <row r="61" spans="1:6" x14ac:dyDescent="0.2">
      <c r="A61" s="19">
        <v>26</v>
      </c>
      <c r="B61" s="180" t="s">
        <v>23</v>
      </c>
      <c r="C61" s="181"/>
      <c r="D61" s="14">
        <f>IF(F3="1",SUMIF(Data!A:A,'50'!$A$2,Data!DT:DT),0)</f>
        <v>78736</v>
      </c>
      <c r="E61" s="17">
        <f>IF($F$3="1",SUMIF(Data!$A:$A,$A$2,Data!JN:JN),0)</f>
        <v>39354</v>
      </c>
      <c r="F61" s="21">
        <f t="shared" si="3"/>
        <v>0.5</v>
      </c>
    </row>
    <row r="62" spans="1:6" x14ac:dyDescent="0.2">
      <c r="A62" s="19">
        <v>28</v>
      </c>
      <c r="B62" s="180" t="s">
        <v>24</v>
      </c>
      <c r="C62" s="181"/>
      <c r="D62" s="14">
        <f>IF(F3="1",SUMIF(Data!A:A,'50'!$A$2,Data!DV:DV),0)</f>
        <v>0</v>
      </c>
      <c r="E62" s="17">
        <f>IF($F$3="1",SUMIF(Data!$A:$A,$A$2,Data!JP:JP),0)</f>
        <v>0</v>
      </c>
      <c r="F62" s="21" t="str">
        <f t="shared" si="3"/>
        <v/>
      </c>
    </row>
    <row r="63" spans="1:6" ht="15.75" customHeight="1" thickBot="1" x14ac:dyDescent="0.25">
      <c r="A63" s="22">
        <v>29</v>
      </c>
      <c r="B63" s="184" t="s">
        <v>25</v>
      </c>
      <c r="C63" s="185"/>
      <c r="D63" s="23">
        <f>IF(F3="1",SUMIF(Data!A:A,'50'!$A$2,Data!DW:DW),0)</f>
        <v>0</v>
      </c>
      <c r="E63" s="24">
        <f>IF($F$3="1",SUMIF(Data!$A:$A,$A$2,Data!JQ:JQ),0)</f>
        <v>0</v>
      </c>
      <c r="F63" s="25" t="str">
        <f t="shared" si="3"/>
        <v/>
      </c>
    </row>
    <row r="64" spans="1:6" x14ac:dyDescent="0.2">
      <c r="B64" s="30" t="s">
        <v>35</v>
      </c>
      <c r="C64" s="30"/>
      <c r="D64" s="59">
        <f>SUM(D36:D63)</f>
        <v>2517164</v>
      </c>
      <c r="E64" s="31">
        <f>SUM(E36:E63)</f>
        <v>815595</v>
      </c>
      <c r="F64" s="32">
        <f t="shared" si="3"/>
        <v>0.32</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16180</v>
      </c>
      <c r="E67" s="15">
        <f>IF(F3="1",SUMIF(Data!A:A,'50'!$A$2,Data!DY:DY),0)</f>
        <v>82251</v>
      </c>
      <c r="F67" s="20">
        <f t="shared" ref="F67:F95" si="4">IF(OR(D67=0,E67=0),"",ROUND(E67/D67,2))</f>
        <v>5.08</v>
      </c>
    </row>
    <row r="68" spans="1:6" x14ac:dyDescent="0.2">
      <c r="A68" s="19">
        <v>2</v>
      </c>
      <c r="B68" s="180" t="s">
        <v>1</v>
      </c>
      <c r="C68" s="181"/>
      <c r="D68" s="14">
        <f t="shared" ref="D68:D94" si="5">D37</f>
        <v>30244</v>
      </c>
      <c r="E68" s="17">
        <f>IF(F3="1",SUMIF(Data!A:A,'50'!$A$2,Data!DZ:DZ),0)</f>
        <v>138600</v>
      </c>
      <c r="F68" s="21">
        <f t="shared" si="4"/>
        <v>4.58</v>
      </c>
    </row>
    <row r="69" spans="1:6" ht="14.25" customHeight="1" x14ac:dyDescent="0.2">
      <c r="A69" s="19">
        <v>3</v>
      </c>
      <c r="B69" s="180" t="s">
        <v>2</v>
      </c>
      <c r="C69" s="181"/>
      <c r="D69" s="14">
        <f t="shared" si="5"/>
        <v>327008</v>
      </c>
      <c r="E69" s="17">
        <f>IF(F3="1",SUMIF(Data!A:A,'50'!$A$2,Data!EA:EA),0)</f>
        <v>753700</v>
      </c>
      <c r="F69" s="21">
        <f t="shared" si="4"/>
        <v>2.2999999999999998</v>
      </c>
    </row>
    <row r="70" spans="1:6" ht="14.25" customHeight="1" x14ac:dyDescent="0.2">
      <c r="A70" s="19">
        <v>4</v>
      </c>
      <c r="B70" s="180" t="s">
        <v>3</v>
      </c>
      <c r="C70" s="181"/>
      <c r="D70" s="14">
        <f t="shared" si="5"/>
        <v>101861</v>
      </c>
      <c r="E70" s="17">
        <f>IF(F3="1",SUMIF(Data!A:A,'50'!$A$2,Data!EB:EB),0)</f>
        <v>202801</v>
      </c>
      <c r="F70" s="21">
        <f t="shared" si="4"/>
        <v>1.99</v>
      </c>
    </row>
    <row r="71" spans="1:6" x14ac:dyDescent="0.2">
      <c r="A71" s="19">
        <v>5</v>
      </c>
      <c r="B71" s="180" t="s">
        <v>4</v>
      </c>
      <c r="C71" s="181"/>
      <c r="D71" s="14">
        <f t="shared" si="5"/>
        <v>0</v>
      </c>
      <c r="E71" s="17">
        <f>IF(F3="1",SUMIF(Data!A:A,'50'!$A$2,Data!EC:EC),0)</f>
        <v>0</v>
      </c>
      <c r="F71" s="21" t="str">
        <f t="shared" si="4"/>
        <v/>
      </c>
    </row>
    <row r="72" spans="1:6" x14ac:dyDescent="0.2">
      <c r="A72" s="19">
        <v>6</v>
      </c>
      <c r="B72" s="180" t="s">
        <v>5</v>
      </c>
      <c r="C72" s="181"/>
      <c r="D72" s="14">
        <f t="shared" si="5"/>
        <v>0</v>
      </c>
      <c r="E72" s="17">
        <f>IF(F3="1",SUMIF(Data!A:A,'50'!$A$2,Data!ED:ED),0)</f>
        <v>0</v>
      </c>
      <c r="F72" s="21" t="str">
        <f t="shared" si="4"/>
        <v/>
      </c>
    </row>
    <row r="73" spans="1:6" x14ac:dyDescent="0.2">
      <c r="A73" s="19">
        <v>7</v>
      </c>
      <c r="B73" s="180" t="s">
        <v>6</v>
      </c>
      <c r="C73" s="181"/>
      <c r="D73" s="14">
        <f t="shared" si="5"/>
        <v>87849</v>
      </c>
      <c r="E73" s="17">
        <f>IF(F3="1",SUMIF(Data!A:A,'50'!$A$2,Data!EE:EE),0)</f>
        <v>403190</v>
      </c>
      <c r="F73" s="21">
        <f t="shared" si="4"/>
        <v>4.59</v>
      </c>
    </row>
    <row r="74" spans="1:6" x14ac:dyDescent="0.2">
      <c r="A74" s="19">
        <v>8</v>
      </c>
      <c r="B74" s="180" t="s">
        <v>7</v>
      </c>
      <c r="C74" s="181"/>
      <c r="D74" s="14">
        <f t="shared" si="5"/>
        <v>0</v>
      </c>
      <c r="E74" s="17">
        <f>IF(F3="1",SUMIF(Data!A:A,'50'!$A$2,Data!EF:EF),0)</f>
        <v>0</v>
      </c>
      <c r="F74" s="21" t="str">
        <f t="shared" si="4"/>
        <v/>
      </c>
    </row>
    <row r="75" spans="1:6" x14ac:dyDescent="0.2">
      <c r="A75" s="19">
        <v>9</v>
      </c>
      <c r="B75" s="180" t="s">
        <v>8</v>
      </c>
      <c r="C75" s="181"/>
      <c r="D75" s="14">
        <f t="shared" si="5"/>
        <v>129796</v>
      </c>
      <c r="E75" s="17">
        <f>IF(F3="1",SUMIF(Data!A:A,'50'!$A$2,Data!EG:EG),0)</f>
        <v>290587</v>
      </c>
      <c r="F75" s="21">
        <f t="shared" si="4"/>
        <v>2.2400000000000002</v>
      </c>
    </row>
    <row r="76" spans="1:6" x14ac:dyDescent="0.2">
      <c r="A76" s="19">
        <v>10</v>
      </c>
      <c r="B76" s="180" t="s">
        <v>9</v>
      </c>
      <c r="C76" s="181"/>
      <c r="D76" s="14">
        <f t="shared" si="5"/>
        <v>0</v>
      </c>
      <c r="E76" s="17">
        <f>IF(F3="1",SUMIF(Data!A:A,'50'!$A$2,Data!EH:EH),0)</f>
        <v>0</v>
      </c>
      <c r="F76" s="21" t="str">
        <f t="shared" si="4"/>
        <v/>
      </c>
    </row>
    <row r="77" spans="1:6" x14ac:dyDescent="0.2">
      <c r="A77" s="19">
        <v>11</v>
      </c>
      <c r="B77" s="180" t="s">
        <v>10</v>
      </c>
      <c r="C77" s="181"/>
      <c r="D77" s="14">
        <f t="shared" si="5"/>
        <v>32384</v>
      </c>
      <c r="E77" s="17">
        <f>IF(F3="1",SUMIF(Data!A:A,'50'!$A$2,Data!EI:EI),0)</f>
        <v>135278</v>
      </c>
      <c r="F77" s="21">
        <f t="shared" si="4"/>
        <v>4.18</v>
      </c>
    </row>
    <row r="78" spans="1:6" ht="14.25" customHeight="1" x14ac:dyDescent="0.2">
      <c r="A78" s="19">
        <v>12</v>
      </c>
      <c r="B78" s="180" t="s">
        <v>11</v>
      </c>
      <c r="C78" s="181"/>
      <c r="D78" s="14">
        <f t="shared" si="5"/>
        <v>403420</v>
      </c>
      <c r="E78" s="17">
        <f>IF(F3="1",SUMIF(Data!A:A,'50'!$A$2,Data!EJ:EJ),0)</f>
        <v>1059901</v>
      </c>
      <c r="F78" s="21">
        <f t="shared" si="4"/>
        <v>2.63</v>
      </c>
    </row>
    <row r="79" spans="1:6" x14ac:dyDescent="0.2">
      <c r="A79" s="19">
        <v>13</v>
      </c>
      <c r="B79" s="180" t="s">
        <v>12</v>
      </c>
      <c r="C79" s="181"/>
      <c r="D79" s="14">
        <f t="shared" si="5"/>
        <v>28148</v>
      </c>
      <c r="E79" s="17">
        <f>IF(F3="1",SUMIF(Data!A:A,'50'!$A$2,Data!EK:EK),0)</f>
        <v>59396</v>
      </c>
      <c r="F79" s="21">
        <f t="shared" si="4"/>
        <v>2.11</v>
      </c>
    </row>
    <row r="80" spans="1:6" ht="14.25" customHeight="1" x14ac:dyDescent="0.2">
      <c r="A80" s="19">
        <v>14</v>
      </c>
      <c r="B80" s="180" t="s">
        <v>464</v>
      </c>
      <c r="C80" s="181"/>
      <c r="D80" s="14">
        <f t="shared" si="5"/>
        <v>56128</v>
      </c>
      <c r="E80" s="17">
        <f>IF(F3="1",SUMIF(Data!A:A,'50'!$A$2,Data!EL:EL),0)</f>
        <v>268400</v>
      </c>
      <c r="F80" s="21">
        <f t="shared" si="4"/>
        <v>4.78</v>
      </c>
    </row>
    <row r="81" spans="1:6" x14ac:dyDescent="0.2">
      <c r="A81" s="19">
        <v>15</v>
      </c>
      <c r="B81" s="180" t="s">
        <v>13</v>
      </c>
      <c r="C81" s="181"/>
      <c r="D81" s="14">
        <f t="shared" si="5"/>
        <v>35560</v>
      </c>
      <c r="E81" s="17">
        <f>IF(F3="1",SUMIF(Data!A:A,'50'!$A$2,Data!EM:EM),0)</f>
        <v>246469</v>
      </c>
      <c r="F81" s="21">
        <f t="shared" si="4"/>
        <v>6.93</v>
      </c>
    </row>
    <row r="82" spans="1:6" x14ac:dyDescent="0.2">
      <c r="A82" s="19">
        <v>16</v>
      </c>
      <c r="B82" s="180" t="s">
        <v>14</v>
      </c>
      <c r="C82" s="181"/>
      <c r="D82" s="14">
        <f t="shared" si="5"/>
        <v>161113</v>
      </c>
      <c r="E82" s="17">
        <f>IF(F3="1",SUMIF(Data!A:A,'50'!$A$2,Data!EN:EN),0)</f>
        <v>376712</v>
      </c>
      <c r="F82" s="21">
        <f t="shared" si="4"/>
        <v>2.34</v>
      </c>
    </row>
    <row r="83" spans="1:6" x14ac:dyDescent="0.2">
      <c r="A83" s="19">
        <v>17</v>
      </c>
      <c r="B83" s="180" t="s">
        <v>15</v>
      </c>
      <c r="C83" s="181"/>
      <c r="D83" s="14">
        <f t="shared" si="5"/>
        <v>0</v>
      </c>
      <c r="E83" s="17">
        <f>IF(F3="1",SUMIF(Data!A:A,'50'!$A$2,Data!EO:EO),0)</f>
        <v>0</v>
      </c>
      <c r="F83" s="21" t="str">
        <f t="shared" si="4"/>
        <v/>
      </c>
    </row>
    <row r="84" spans="1:6" x14ac:dyDescent="0.2">
      <c r="A84" s="19">
        <v>18</v>
      </c>
      <c r="B84" s="180" t="s">
        <v>16</v>
      </c>
      <c r="C84" s="181"/>
      <c r="D84" s="14">
        <f t="shared" si="5"/>
        <v>82736</v>
      </c>
      <c r="E84" s="17">
        <f>IF(F3="1",SUMIF(Data!A:A,'50'!$A$2,Data!EP:EP),0)</f>
        <v>335525</v>
      </c>
      <c r="F84" s="21">
        <f t="shared" si="4"/>
        <v>4.0599999999999996</v>
      </c>
    </row>
    <row r="85" spans="1:6" x14ac:dyDescent="0.2">
      <c r="A85" s="19">
        <v>19</v>
      </c>
      <c r="B85" s="180" t="s">
        <v>17</v>
      </c>
      <c r="C85" s="181"/>
      <c r="D85" s="14">
        <f t="shared" si="5"/>
        <v>263520</v>
      </c>
      <c r="E85" s="17">
        <f>IF(F3="1",SUMIF(Data!A:A,'50'!$A$2,Data!EQ:EQ),0)</f>
        <v>676840</v>
      </c>
      <c r="F85" s="21">
        <f t="shared" si="4"/>
        <v>2.57</v>
      </c>
    </row>
    <row r="86" spans="1:6" x14ac:dyDescent="0.2">
      <c r="A86" s="19">
        <v>20</v>
      </c>
      <c r="B86" s="180" t="s">
        <v>18</v>
      </c>
      <c r="C86" s="181"/>
      <c r="D86" s="14">
        <f t="shared" si="5"/>
        <v>34829</v>
      </c>
      <c r="E86" s="17">
        <f>IF(F3="1",SUMIF(Data!A:A,'50'!$A$2,Data!ER:ER),0)</f>
        <v>93052</v>
      </c>
      <c r="F86" s="21">
        <f t="shared" si="4"/>
        <v>2.67</v>
      </c>
    </row>
    <row r="87" spans="1:6" ht="14.25" customHeight="1" x14ac:dyDescent="0.2">
      <c r="A87" s="19">
        <v>21</v>
      </c>
      <c r="B87" s="180" t="s">
        <v>461</v>
      </c>
      <c r="C87" s="181"/>
      <c r="D87" s="14">
        <f t="shared" si="5"/>
        <v>0</v>
      </c>
      <c r="E87" s="17">
        <f>IF(F3="1",SUMIF(Data!A:A,'50'!$A$2,Data!ES:ES),0)</f>
        <v>0</v>
      </c>
      <c r="F87" s="21" t="str">
        <f t="shared" si="4"/>
        <v/>
      </c>
    </row>
    <row r="88" spans="1:6" x14ac:dyDescent="0.2">
      <c r="A88" s="19">
        <v>22</v>
      </c>
      <c r="B88" s="180" t="s">
        <v>19</v>
      </c>
      <c r="C88" s="181"/>
      <c r="D88" s="14">
        <f t="shared" si="5"/>
        <v>0</v>
      </c>
      <c r="E88" s="17">
        <f>IF(F3="1",SUMIF(Data!A:A,'50'!$A$2,Data!ET:ET),0)</f>
        <v>0</v>
      </c>
      <c r="F88" s="21" t="str">
        <f t="shared" si="4"/>
        <v/>
      </c>
    </row>
    <row r="89" spans="1:6" x14ac:dyDescent="0.2">
      <c r="A89" s="19">
        <v>23</v>
      </c>
      <c r="B89" s="180" t="s">
        <v>20</v>
      </c>
      <c r="C89" s="181"/>
      <c r="D89" s="14">
        <f t="shared" si="5"/>
        <v>41280</v>
      </c>
      <c r="E89" s="17">
        <f>IF(F3="1",SUMIF(Data!A:A,'50'!$A$2,Data!EU:EU),0)</f>
        <v>119793</v>
      </c>
      <c r="F89" s="21">
        <f t="shared" si="4"/>
        <v>2.9</v>
      </c>
    </row>
    <row r="90" spans="1:6" x14ac:dyDescent="0.2">
      <c r="A90" s="19">
        <v>24</v>
      </c>
      <c r="B90" s="180" t="s">
        <v>21</v>
      </c>
      <c r="C90" s="181"/>
      <c r="D90" s="14">
        <f t="shared" si="5"/>
        <v>95268</v>
      </c>
      <c r="E90" s="17">
        <f>IF(F3="1",SUMIF(Data!A:A,'50'!$A$2,Data!EV:EV),0)</f>
        <v>262048</v>
      </c>
      <c r="F90" s="21">
        <f t="shared" si="4"/>
        <v>2.75</v>
      </c>
    </row>
    <row r="91" spans="1:6" x14ac:dyDescent="0.2">
      <c r="A91" s="19">
        <v>25</v>
      </c>
      <c r="B91" s="180" t="s">
        <v>22</v>
      </c>
      <c r="C91" s="181"/>
      <c r="D91" s="14">
        <f t="shared" si="5"/>
        <v>511104</v>
      </c>
      <c r="E91" s="17">
        <f>IF(F3="1",SUMIF(Data!A:A,'50'!$A$2,Data!EW:EW),0)</f>
        <v>929242</v>
      </c>
      <c r="F91" s="21">
        <f t="shared" si="4"/>
        <v>1.82</v>
      </c>
    </row>
    <row r="92" spans="1:6" x14ac:dyDescent="0.2">
      <c r="A92" s="19">
        <v>26</v>
      </c>
      <c r="B92" s="180" t="s">
        <v>23</v>
      </c>
      <c r="C92" s="181"/>
      <c r="D92" s="14">
        <f t="shared" si="5"/>
        <v>78736</v>
      </c>
      <c r="E92" s="17">
        <f>IF(F3="1",SUMIF(Data!A:A,'50'!$A$2,Data!EX:EX),0)</f>
        <v>279924</v>
      </c>
      <c r="F92" s="21">
        <f t="shared" si="4"/>
        <v>3.56</v>
      </c>
    </row>
    <row r="93" spans="1:6" x14ac:dyDescent="0.2">
      <c r="A93" s="19">
        <v>28</v>
      </c>
      <c r="B93" s="180" t="s">
        <v>24</v>
      </c>
      <c r="C93" s="181"/>
      <c r="D93" s="14">
        <f t="shared" si="5"/>
        <v>0</v>
      </c>
      <c r="E93" s="17">
        <f>IF(F3="1",SUMIF(Data!A:A,'50'!$A$2,Data!EZ:EZ),0)</f>
        <v>0</v>
      </c>
      <c r="F93" s="21" t="str">
        <f t="shared" si="4"/>
        <v/>
      </c>
    </row>
    <row r="94" spans="1:6" ht="15.75" customHeight="1" thickBot="1" x14ac:dyDescent="0.25">
      <c r="A94" s="22">
        <v>29</v>
      </c>
      <c r="B94" s="184" t="s">
        <v>25</v>
      </c>
      <c r="C94" s="185"/>
      <c r="D94" s="23">
        <f t="shared" si="5"/>
        <v>0</v>
      </c>
      <c r="E94" s="24">
        <f>IF(F3="1",SUMIF(Data!A:A,'50'!$A$2,Data!FA:FA),0)</f>
        <v>0</v>
      </c>
      <c r="F94" s="25" t="str">
        <f t="shared" si="4"/>
        <v/>
      </c>
    </row>
    <row r="95" spans="1:6" x14ac:dyDescent="0.2">
      <c r="B95" s="30" t="s">
        <v>35</v>
      </c>
      <c r="C95" s="30"/>
      <c r="D95" s="59">
        <f>SUM(D67:D94)</f>
        <v>2517164</v>
      </c>
      <c r="E95" s="31">
        <f>SUM(E67:E94)</f>
        <v>6713709</v>
      </c>
      <c r="F95" s="32">
        <f t="shared" si="4"/>
        <v>2.67</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IF(F3="1",SUMIF(Data!A:A,'50'!$A$2,Data!AH:AH),0)</f>
        <v>6284447</v>
      </c>
      <c r="F98" s="20">
        <f>IF(OR(E98=0,E98=0),"",ROUND(E98/$D$105,2))</f>
        <v>2.5</v>
      </c>
    </row>
    <row r="99" spans="2:6" x14ac:dyDescent="0.2">
      <c r="B99" s="190" t="s">
        <v>31</v>
      </c>
      <c r="C99" s="191"/>
      <c r="D99" s="36"/>
      <c r="E99" s="17">
        <f>IF(F3="1",SUMIF(Data!A:A,'50'!$A$2,Data!AI:AI),0)</f>
        <v>1118269</v>
      </c>
      <c r="F99" s="21">
        <f t="shared" ref="F99:F104" si="6">IF(OR(E99=0,E99=0),"",ROUND(E99/$D$105,2))</f>
        <v>0.44</v>
      </c>
    </row>
    <row r="100" spans="2:6" x14ac:dyDescent="0.2">
      <c r="B100" s="190" t="s">
        <v>1089</v>
      </c>
      <c r="C100" s="191"/>
      <c r="D100" s="36"/>
      <c r="E100" s="17">
        <f>IF(F3="1",SUMIF(Data!A:A,'50'!$A$2,Data!AJ:AJ),0)</f>
        <v>456761</v>
      </c>
      <c r="F100" s="21">
        <f t="shared" si="6"/>
        <v>0.18</v>
      </c>
    </row>
    <row r="101" spans="2:6" x14ac:dyDescent="0.2">
      <c r="B101" s="190" t="s">
        <v>1090</v>
      </c>
      <c r="C101" s="191"/>
      <c r="D101" s="36"/>
      <c r="E101" s="17">
        <f>IF(F3="1",SUMIF(Data!A:A,'50'!$A$2,Data!AK:AK),0)</f>
        <v>1245003</v>
      </c>
      <c r="F101" s="21">
        <f t="shared" si="6"/>
        <v>0.49</v>
      </c>
    </row>
    <row r="102" spans="2:6" x14ac:dyDescent="0.2">
      <c r="B102" s="190" t="s">
        <v>1091</v>
      </c>
      <c r="C102" s="191"/>
      <c r="D102" s="36"/>
      <c r="E102" s="17">
        <f>IF(F3="1",SUMIF(Data!A:A,'50'!$A$2,Data!AL:AL),0)</f>
        <v>0</v>
      </c>
      <c r="F102" s="21" t="str">
        <f t="shared" si="6"/>
        <v/>
      </c>
    </row>
    <row r="103" spans="2:6" x14ac:dyDescent="0.2">
      <c r="B103" s="192" t="s">
        <v>34</v>
      </c>
      <c r="C103" s="193"/>
      <c r="D103" s="36"/>
      <c r="E103" s="17">
        <f>IF(F3="1",SUMIF(Data!A:A,'50'!$A$2,Data!AM:AM),0)</f>
        <v>0</v>
      </c>
      <c r="F103" s="21" t="str">
        <f t="shared" si="6"/>
        <v/>
      </c>
    </row>
    <row r="104" spans="2:6" ht="15.75" customHeight="1" thickBot="1" x14ac:dyDescent="0.25">
      <c r="B104" s="186" t="s">
        <v>29</v>
      </c>
      <c r="C104" s="187"/>
      <c r="D104" s="37"/>
      <c r="E104" s="24">
        <f>IF(F3="1",SUMIF(Data!A:A,'50'!$A$2,Data!Q:Q),0)</f>
        <v>1432249</v>
      </c>
      <c r="F104" s="25">
        <f t="shared" si="6"/>
        <v>0.56999999999999995</v>
      </c>
    </row>
    <row r="105" spans="2:6" x14ac:dyDescent="0.2">
      <c r="B105" s="30" t="s">
        <v>35</v>
      </c>
      <c r="C105" s="30"/>
      <c r="D105" s="34">
        <f>D95</f>
        <v>2517164</v>
      </c>
      <c r="E105" s="31">
        <f>SUM(E98:E104)</f>
        <v>10536729</v>
      </c>
      <c r="F105" s="32">
        <f>IF($D$105=0,"",ROUND(E105/$D$105,2))</f>
        <v>4.1900000000000004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6713709</v>
      </c>
      <c r="D109" s="15">
        <f>IF(F3="1",SUMIF(Data!$A:$A,$A$2,Data!HJ:HJ),0)</f>
        <v>0</v>
      </c>
      <c r="E109" s="15">
        <f>IF(F3="1",SUMIF(Data!$A:$A,$A$2,Data!IN:IN),0)</f>
        <v>0</v>
      </c>
      <c r="F109" s="47">
        <f>SUM(C109:E109)</f>
        <v>6713709</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1432249</v>
      </c>
      <c r="E117" s="52"/>
      <c r="F117" s="49">
        <f>SUM(C117:E117)</f>
        <v>1432249</v>
      </c>
    </row>
    <row r="118" spans="1:6" x14ac:dyDescent="0.2">
      <c r="B118" s="13" t="s">
        <v>35</v>
      </c>
      <c r="C118" s="4">
        <f>SUM(C109:C116)</f>
        <v>6713709</v>
      </c>
      <c r="D118" s="4">
        <f>SUM(D109:D116)</f>
        <v>0</v>
      </c>
      <c r="E118" s="4">
        <f>SUM(E109:E116)</f>
        <v>0</v>
      </c>
      <c r="F118" s="4">
        <f>SUM(F109:F116)</f>
        <v>6713709</v>
      </c>
    </row>
    <row r="119" spans="1:6" ht="15" thickBot="1" x14ac:dyDescent="0.25"/>
    <row r="120" spans="1:6" ht="15" thickBot="1" x14ac:dyDescent="0.25">
      <c r="B120" s="55" t="s">
        <v>934</v>
      </c>
      <c r="C120" s="53"/>
      <c r="D120" s="53"/>
      <c r="E120" s="53">
        <f>IF(F3="1",SUMIF(Data!A:A,'50'!$A$2,Data!AM:AM),0)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3.42578125" style="10" bestFit="1" customWidth="1"/>
    <col min="13" max="13" width="12.140625" style="10" bestFit="1" customWidth="1"/>
    <col min="14"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429</v>
      </c>
      <c r="B2" s="58" t="str">
        <f>VLOOKUP(A2,Data!A:G,7,0)</f>
        <v>Texas State Technical College-Harlingen</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24528</v>
      </c>
      <c r="E5" s="15">
        <f>E36+E67+IFERROR($E$105/$D$105*D5,0)</f>
        <v>166307.73970659196</v>
      </c>
      <c r="F5" s="20">
        <f>IF(OR(D5=0,E5=0),"",ROUND(E5/D5,2))</f>
        <v>6.78</v>
      </c>
    </row>
    <row r="6" spans="1:6" x14ac:dyDescent="0.2">
      <c r="A6" s="19">
        <v>2</v>
      </c>
      <c r="B6" s="180" t="s">
        <v>1</v>
      </c>
      <c r="C6" s="181"/>
      <c r="D6" s="14">
        <f t="shared" ref="D6:D32" si="0">D37</f>
        <v>277531</v>
      </c>
      <c r="E6" s="17">
        <f t="shared" ref="E6:E32" si="1">E37+E68+IFERROR($E$105/$D$105*D6,0)</f>
        <v>1788313.5866972511</v>
      </c>
      <c r="F6" s="21">
        <f t="shared" ref="F6:F33" si="2">IF(OR(D6=0,E6=0),"",ROUND(E6/D6,2))</f>
        <v>6.44</v>
      </c>
    </row>
    <row r="7" spans="1:6" ht="14.25" customHeight="1" x14ac:dyDescent="0.2">
      <c r="A7" s="19">
        <v>3</v>
      </c>
      <c r="B7" s="180" t="s">
        <v>2</v>
      </c>
      <c r="C7" s="181"/>
      <c r="D7" s="14">
        <f t="shared" si="0"/>
        <v>233776</v>
      </c>
      <c r="E7" s="17">
        <f t="shared" si="1"/>
        <v>1359573.9196692859</v>
      </c>
      <c r="F7" s="21">
        <f t="shared" si="2"/>
        <v>5.82</v>
      </c>
    </row>
    <row r="8" spans="1:6" ht="14.25" customHeight="1" x14ac:dyDescent="0.2">
      <c r="A8" s="19">
        <v>4</v>
      </c>
      <c r="B8" s="180" t="s">
        <v>3</v>
      </c>
      <c r="C8" s="181"/>
      <c r="D8" s="14">
        <f t="shared" si="0"/>
        <v>269441</v>
      </c>
      <c r="E8" s="17">
        <f t="shared" si="1"/>
        <v>1369508.7643625182</v>
      </c>
      <c r="F8" s="21">
        <f t="shared" si="2"/>
        <v>5.08</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35872</v>
      </c>
      <c r="E10" s="17">
        <f t="shared" si="1"/>
        <v>207834.92395445477</v>
      </c>
      <c r="F10" s="21">
        <f t="shared" si="2"/>
        <v>5.79</v>
      </c>
    </row>
    <row r="11" spans="1:6" x14ac:dyDescent="0.2">
      <c r="A11" s="19">
        <v>7</v>
      </c>
      <c r="B11" s="180" t="s">
        <v>6</v>
      </c>
      <c r="C11" s="181"/>
      <c r="D11" s="14">
        <f t="shared" si="0"/>
        <v>167160</v>
      </c>
      <c r="E11" s="17">
        <f t="shared" si="1"/>
        <v>1150217.2671784863</v>
      </c>
      <c r="F11" s="21">
        <f t="shared" si="2"/>
        <v>6.88</v>
      </c>
    </row>
    <row r="12" spans="1:6" x14ac:dyDescent="0.2">
      <c r="A12" s="19">
        <v>8</v>
      </c>
      <c r="B12" s="180" t="s">
        <v>7</v>
      </c>
      <c r="C12" s="181"/>
      <c r="D12" s="14">
        <f t="shared" si="0"/>
        <v>17564</v>
      </c>
      <c r="E12" s="17">
        <f t="shared" si="1"/>
        <v>224166.58040633483</v>
      </c>
      <c r="F12" s="21">
        <f t="shared" si="2"/>
        <v>12.76</v>
      </c>
    </row>
    <row r="13" spans="1:6" x14ac:dyDescent="0.2">
      <c r="A13" s="19">
        <v>9</v>
      </c>
      <c r="B13" s="180" t="s">
        <v>8</v>
      </c>
      <c r="C13" s="181"/>
      <c r="D13" s="14">
        <f t="shared" si="0"/>
        <v>72048</v>
      </c>
      <c r="E13" s="17">
        <f t="shared" si="1"/>
        <v>375686.80489157443</v>
      </c>
      <c r="F13" s="21">
        <f t="shared" si="2"/>
        <v>5.21</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328944</v>
      </c>
      <c r="E15" s="17">
        <f t="shared" si="1"/>
        <v>2102403.0845582676</v>
      </c>
      <c r="F15" s="21">
        <f t="shared" si="2"/>
        <v>6.39</v>
      </c>
    </row>
    <row r="16" spans="1:6" ht="14.25" customHeight="1" x14ac:dyDescent="0.2">
      <c r="A16" s="19">
        <v>12</v>
      </c>
      <c r="B16" s="180" t="s">
        <v>11</v>
      </c>
      <c r="C16" s="181"/>
      <c r="D16" s="14">
        <f t="shared" si="0"/>
        <v>355160</v>
      </c>
      <c r="E16" s="17">
        <f t="shared" si="1"/>
        <v>2015440.7169843933</v>
      </c>
      <c r="F16" s="21">
        <f t="shared" si="2"/>
        <v>5.67</v>
      </c>
    </row>
    <row r="17" spans="1:6" x14ac:dyDescent="0.2">
      <c r="A17" s="19">
        <v>13</v>
      </c>
      <c r="B17" s="180" t="s">
        <v>12</v>
      </c>
      <c r="C17" s="181"/>
      <c r="D17" s="14">
        <f t="shared" si="0"/>
        <v>49674</v>
      </c>
      <c r="E17" s="17">
        <f t="shared" si="1"/>
        <v>209195.41170031184</v>
      </c>
      <c r="F17" s="21">
        <f t="shared" si="2"/>
        <v>4.21</v>
      </c>
    </row>
    <row r="18" spans="1:6" ht="14.25" customHeight="1" x14ac:dyDescent="0.2">
      <c r="A18" s="19">
        <v>14</v>
      </c>
      <c r="B18" s="180" t="s">
        <v>464</v>
      </c>
      <c r="C18" s="181"/>
      <c r="D18" s="14">
        <f t="shared" si="0"/>
        <v>58820</v>
      </c>
      <c r="E18" s="17">
        <f t="shared" si="1"/>
        <v>243623.76881693327</v>
      </c>
      <c r="F18" s="21">
        <f t="shared" si="2"/>
        <v>4.1399999999999997</v>
      </c>
    </row>
    <row r="19" spans="1:6" x14ac:dyDescent="0.2">
      <c r="A19" s="19">
        <v>15</v>
      </c>
      <c r="B19" s="180" t="s">
        <v>13</v>
      </c>
      <c r="C19" s="181"/>
      <c r="D19" s="14">
        <f t="shared" si="0"/>
        <v>31904</v>
      </c>
      <c r="E19" s="17">
        <f t="shared" si="1"/>
        <v>275042.85386493435</v>
      </c>
      <c r="F19" s="21">
        <f t="shared" si="2"/>
        <v>8.6199999999999992</v>
      </c>
    </row>
    <row r="20" spans="1:6" x14ac:dyDescent="0.2">
      <c r="A20" s="19">
        <v>16</v>
      </c>
      <c r="B20" s="180" t="s">
        <v>14</v>
      </c>
      <c r="C20" s="181"/>
      <c r="D20" s="14">
        <f t="shared" si="0"/>
        <v>255234</v>
      </c>
      <c r="E20" s="17">
        <f t="shared" si="1"/>
        <v>1933341.0345838345</v>
      </c>
      <c r="F20" s="21">
        <f t="shared" si="2"/>
        <v>7.57</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0</v>
      </c>
      <c r="E22" s="17">
        <f t="shared" si="1"/>
        <v>0</v>
      </c>
      <c r="F22" s="21" t="str">
        <f t="shared" si="2"/>
        <v/>
      </c>
    </row>
    <row r="23" spans="1:6" x14ac:dyDescent="0.2">
      <c r="A23" s="19">
        <v>19</v>
      </c>
      <c r="B23" s="180" t="s">
        <v>17</v>
      </c>
      <c r="C23" s="181"/>
      <c r="D23" s="14">
        <f t="shared" si="0"/>
        <v>289856</v>
      </c>
      <c r="E23" s="17">
        <f t="shared" si="1"/>
        <v>1562332.6683135158</v>
      </c>
      <c r="F23" s="21">
        <f t="shared" si="2"/>
        <v>5.39</v>
      </c>
    </row>
    <row r="24" spans="1:6" x14ac:dyDescent="0.2">
      <c r="A24" s="19">
        <v>20</v>
      </c>
      <c r="B24" s="180" t="s">
        <v>18</v>
      </c>
      <c r="C24" s="181"/>
      <c r="D24" s="14">
        <f t="shared" si="0"/>
        <v>130036</v>
      </c>
      <c r="E24" s="17">
        <f t="shared" si="1"/>
        <v>801491.84933489864</v>
      </c>
      <c r="F24" s="21">
        <f t="shared" si="2"/>
        <v>6.16</v>
      </c>
    </row>
    <row r="25" spans="1:6" ht="14.25" customHeight="1" x14ac:dyDescent="0.2">
      <c r="A25" s="19">
        <v>21</v>
      </c>
      <c r="B25" s="180" t="s">
        <v>461</v>
      </c>
      <c r="C25" s="181"/>
      <c r="D25" s="14">
        <f t="shared" si="0"/>
        <v>57472</v>
      </c>
      <c r="E25" s="17">
        <f t="shared" si="1"/>
        <v>361658.49903853773</v>
      </c>
      <c r="F25" s="21">
        <f t="shared" si="2"/>
        <v>6.29</v>
      </c>
    </row>
    <row r="26" spans="1:6" x14ac:dyDescent="0.2">
      <c r="A26" s="19">
        <v>22</v>
      </c>
      <c r="B26" s="180" t="s">
        <v>19</v>
      </c>
      <c r="C26" s="181"/>
      <c r="D26" s="14">
        <f t="shared" si="0"/>
        <v>16752</v>
      </c>
      <c r="E26" s="17">
        <f t="shared" si="1"/>
        <v>106231.89267632211</v>
      </c>
      <c r="F26" s="21">
        <f t="shared" si="2"/>
        <v>6.34</v>
      </c>
    </row>
    <row r="27" spans="1:6" x14ac:dyDescent="0.2">
      <c r="A27" s="19">
        <v>23</v>
      </c>
      <c r="B27" s="180" t="s">
        <v>20</v>
      </c>
      <c r="C27" s="181"/>
      <c r="D27" s="14">
        <f t="shared" si="0"/>
        <v>0</v>
      </c>
      <c r="E27" s="17">
        <f t="shared" si="1"/>
        <v>0</v>
      </c>
      <c r="F27" s="21" t="str">
        <f t="shared" si="2"/>
        <v/>
      </c>
    </row>
    <row r="28" spans="1:6" x14ac:dyDescent="0.2">
      <c r="A28" s="19">
        <v>24</v>
      </c>
      <c r="B28" s="180" t="s">
        <v>21</v>
      </c>
      <c r="C28" s="181"/>
      <c r="D28" s="14">
        <f t="shared" si="0"/>
        <v>123660</v>
      </c>
      <c r="E28" s="17">
        <f t="shared" si="1"/>
        <v>527541.56735637481</v>
      </c>
      <c r="F28" s="21">
        <f t="shared" si="2"/>
        <v>4.2699999999999996</v>
      </c>
    </row>
    <row r="29" spans="1:6" x14ac:dyDescent="0.2">
      <c r="A29" s="19">
        <v>25</v>
      </c>
      <c r="B29" s="180" t="s">
        <v>22</v>
      </c>
      <c r="C29" s="181"/>
      <c r="D29" s="14">
        <f t="shared" si="0"/>
        <v>204704</v>
      </c>
      <c r="E29" s="17">
        <f t="shared" si="1"/>
        <v>1034680.4545375978</v>
      </c>
      <c r="F29" s="21">
        <f t="shared" si="2"/>
        <v>5.05</v>
      </c>
    </row>
    <row r="30" spans="1:6" x14ac:dyDescent="0.2">
      <c r="A30" s="19">
        <v>26</v>
      </c>
      <c r="B30" s="180" t="s">
        <v>23</v>
      </c>
      <c r="C30" s="181"/>
      <c r="D30" s="14">
        <f t="shared" si="0"/>
        <v>54586</v>
      </c>
      <c r="E30" s="17">
        <f t="shared" si="1"/>
        <v>315957.61136758106</v>
      </c>
      <c r="F30" s="21">
        <f t="shared" si="2"/>
        <v>5.79</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3054722</v>
      </c>
      <c r="E33" s="31">
        <f>SUM(E5:E32)</f>
        <v>18130551</v>
      </c>
      <c r="F33" s="32">
        <f t="shared" si="2"/>
        <v>5.94</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IF(F3="1",SUMIF(Data!A:A,'51'!$A$2,Data!CU:CU),0)</f>
        <v>24528</v>
      </c>
      <c r="E36" s="15">
        <f>IF(F3="1",SUMIF(Data!$A:$A,$A$2,Data!IO:IO),0)</f>
        <v>67326</v>
      </c>
      <c r="F36" s="20">
        <f t="shared" ref="F36:F64" si="3">IF(OR(D36=0,E36=0),"",ROUND(E36/D36,2))</f>
        <v>2.74</v>
      </c>
    </row>
    <row r="37" spans="1:6" x14ac:dyDescent="0.2">
      <c r="A37" s="19">
        <v>2</v>
      </c>
      <c r="B37" s="180" t="s">
        <v>1</v>
      </c>
      <c r="C37" s="181"/>
      <c r="D37" s="14">
        <f>IF(F3="1",SUMIF(Data!A:A,'51'!$A$2,Data!CV:CV),0)</f>
        <v>277531</v>
      </c>
      <c r="E37" s="17">
        <f>IF(F3="1",SUMIF(Data!$A:$A,$A$2,Data!IP:IP),0)</f>
        <v>438911</v>
      </c>
      <c r="F37" s="21">
        <f t="shared" si="3"/>
        <v>1.58</v>
      </c>
    </row>
    <row r="38" spans="1:6" ht="14.25" customHeight="1" x14ac:dyDescent="0.2">
      <c r="A38" s="19">
        <v>3</v>
      </c>
      <c r="B38" s="180" t="s">
        <v>2</v>
      </c>
      <c r="C38" s="181"/>
      <c r="D38" s="14">
        <f>IF(F3="1",SUMIF(Data!A:A,'51'!$A$2,Data!CW:CW),0)</f>
        <v>233776</v>
      </c>
      <c r="E38" s="17">
        <f>IF($F$3="1",SUMIF(Data!$A:$A,$A$2,Data!IQ:IQ),0)</f>
        <v>277219</v>
      </c>
      <c r="F38" s="21">
        <f t="shared" si="3"/>
        <v>1.19</v>
      </c>
    </row>
    <row r="39" spans="1:6" ht="14.25" customHeight="1" x14ac:dyDescent="0.2">
      <c r="A39" s="19">
        <v>4</v>
      </c>
      <c r="B39" s="180" t="s">
        <v>3</v>
      </c>
      <c r="C39" s="181"/>
      <c r="D39" s="14">
        <f>IF(F3="1",SUMIF(Data!A:A,'51'!$A$2,Data!CX:CX),0)</f>
        <v>269441</v>
      </c>
      <c r="E39" s="17">
        <f>IF($F$3="1",SUMIF(Data!$A:$A,$A$2,Data!IR:IR),0)</f>
        <v>285963</v>
      </c>
      <c r="F39" s="21">
        <f t="shared" si="3"/>
        <v>1.06</v>
      </c>
    </row>
    <row r="40" spans="1:6" x14ac:dyDescent="0.2">
      <c r="A40" s="19">
        <v>5</v>
      </c>
      <c r="B40" s="180" t="s">
        <v>4</v>
      </c>
      <c r="C40" s="181"/>
      <c r="D40" s="14">
        <f>IF(F3="1",SUMIF(Data!A:A,'51'!$A$2,Data!CY:CY),0)</f>
        <v>0</v>
      </c>
      <c r="E40" s="17">
        <f>IF($F$3="1",SUMIF(Data!$A:$A,$A$2,Data!IS:IS),0)</f>
        <v>0</v>
      </c>
      <c r="F40" s="21" t="str">
        <f t="shared" si="3"/>
        <v/>
      </c>
    </row>
    <row r="41" spans="1:6" x14ac:dyDescent="0.2">
      <c r="A41" s="19">
        <v>6</v>
      </c>
      <c r="B41" s="180" t="s">
        <v>5</v>
      </c>
      <c r="C41" s="181"/>
      <c r="D41" s="14">
        <f>IF(F3="1",SUMIF(Data!A:A,'51'!$A$2,Data!CZ:CZ),0)</f>
        <v>35872</v>
      </c>
      <c r="E41" s="17">
        <f>IF($F$3="1",SUMIF(Data!$A:$A,$A$2,Data!IT:IT),0)</f>
        <v>48392</v>
      </c>
      <c r="F41" s="21">
        <f t="shared" si="3"/>
        <v>1.35</v>
      </c>
    </row>
    <row r="42" spans="1:6" x14ac:dyDescent="0.2">
      <c r="A42" s="19">
        <v>7</v>
      </c>
      <c r="B42" s="180" t="s">
        <v>6</v>
      </c>
      <c r="C42" s="181"/>
      <c r="D42" s="14">
        <f>IF(F3="1",SUMIF(Data!A:A,'51'!$A$2,Data!DA:DA),0)</f>
        <v>167160</v>
      </c>
      <c r="E42" s="17">
        <f>IF($F$3="1",SUMIF(Data!$A:$A,$A$2,Data!IU:IU),0)</f>
        <v>194327</v>
      </c>
      <c r="F42" s="21">
        <f t="shared" si="3"/>
        <v>1.1599999999999999</v>
      </c>
    </row>
    <row r="43" spans="1:6" x14ac:dyDescent="0.2">
      <c r="A43" s="19">
        <v>8</v>
      </c>
      <c r="B43" s="180" t="s">
        <v>7</v>
      </c>
      <c r="C43" s="181"/>
      <c r="D43" s="14">
        <f>IF(F3="1",SUMIF(Data!A:A,'51'!$A$2,Data!DB:DB),0)</f>
        <v>17564</v>
      </c>
      <c r="E43" s="17">
        <f>IF($F$3="1",SUMIF(Data!$A:$A,$A$2,Data!IV:IV),0)</f>
        <v>52167</v>
      </c>
      <c r="F43" s="21">
        <f t="shared" si="3"/>
        <v>2.97</v>
      </c>
    </row>
    <row r="44" spans="1:6" x14ac:dyDescent="0.2">
      <c r="A44" s="19">
        <v>9</v>
      </c>
      <c r="B44" s="180" t="s">
        <v>8</v>
      </c>
      <c r="C44" s="181"/>
      <c r="D44" s="14">
        <f>IF(F3="1",SUMIF(Data!A:A,'51'!$A$2,Data!DC:DC),0)</f>
        <v>72048</v>
      </c>
      <c r="E44" s="17">
        <f>IF($F$3="1",SUMIF(Data!$A:$A,$A$2,Data!IW:IW),0)</f>
        <v>133940</v>
      </c>
      <c r="F44" s="21">
        <f t="shared" si="3"/>
        <v>1.86</v>
      </c>
    </row>
    <row r="45" spans="1:6" x14ac:dyDescent="0.2">
      <c r="A45" s="19">
        <v>10</v>
      </c>
      <c r="B45" s="180" t="s">
        <v>9</v>
      </c>
      <c r="C45" s="181"/>
      <c r="D45" s="14">
        <f>IF(F3="1",SUMIF(Data!A:A,'51'!$A$2,Data!DD:DD),0)</f>
        <v>0</v>
      </c>
      <c r="E45" s="17">
        <f>IF($F$3="1",SUMIF(Data!$A:$A,$A$2,Data!IX:IX),0)</f>
        <v>0</v>
      </c>
      <c r="F45" s="21" t="str">
        <f t="shared" si="3"/>
        <v/>
      </c>
    </row>
    <row r="46" spans="1:6" x14ac:dyDescent="0.2">
      <c r="A46" s="19">
        <v>11</v>
      </c>
      <c r="B46" s="180" t="s">
        <v>10</v>
      </c>
      <c r="C46" s="181"/>
      <c r="D46" s="14">
        <f>IF(F3="1",SUMIF(Data!A:A,'51'!$A$2,Data!DE:DE),0)</f>
        <v>328944</v>
      </c>
      <c r="E46" s="17">
        <f>IF($F$3="1",SUMIF(Data!$A:$A,$A$2,Data!IY:IY),0)</f>
        <v>479402</v>
      </c>
      <c r="F46" s="21">
        <f t="shared" si="3"/>
        <v>1.46</v>
      </c>
    </row>
    <row r="47" spans="1:6" ht="14.25" customHeight="1" x14ac:dyDescent="0.2">
      <c r="A47" s="19">
        <v>12</v>
      </c>
      <c r="B47" s="180" t="s">
        <v>11</v>
      </c>
      <c r="C47" s="181"/>
      <c r="D47" s="14">
        <f>IF(F3="1",SUMIF(Data!A:A,'51'!$A$2,Data!DF:DF),0)</f>
        <v>355160</v>
      </c>
      <c r="E47" s="17">
        <f>IF($F$3="1",SUMIF(Data!$A:$A,$A$2,Data!IZ:IZ),0)</f>
        <v>360862</v>
      </c>
      <c r="F47" s="21">
        <f t="shared" si="3"/>
        <v>1.02</v>
      </c>
    </row>
    <row r="48" spans="1:6" x14ac:dyDescent="0.2">
      <c r="A48" s="19">
        <v>13</v>
      </c>
      <c r="B48" s="180" t="s">
        <v>12</v>
      </c>
      <c r="C48" s="181"/>
      <c r="D48" s="14">
        <f>IF(F3="1",SUMIF(Data!A:A,'51'!$A$2,Data!DG:DG),0)</f>
        <v>49674</v>
      </c>
      <c r="E48" s="17">
        <f>IF($F$3="1",SUMIF(Data!$A:$A,$A$2,Data!JA:JA),0)</f>
        <v>63672</v>
      </c>
      <c r="F48" s="21">
        <f t="shared" si="3"/>
        <v>1.28</v>
      </c>
    </row>
    <row r="49" spans="1:6" ht="14.25" customHeight="1" x14ac:dyDescent="0.2">
      <c r="A49" s="19">
        <v>14</v>
      </c>
      <c r="B49" s="180" t="s">
        <v>464</v>
      </c>
      <c r="C49" s="181"/>
      <c r="D49" s="14">
        <f>IF(F3="1",SUMIF(Data!A:A,'51'!$A$2,Data!DH:DH),0)</f>
        <v>58820</v>
      </c>
      <c r="E49" s="17">
        <f>IF($F$3="1",SUMIF(Data!$A:$A,$A$2,Data!JB:JB),0)</f>
        <v>54041</v>
      </c>
      <c r="F49" s="21">
        <f t="shared" si="3"/>
        <v>0.92</v>
      </c>
    </row>
    <row r="50" spans="1:6" x14ac:dyDescent="0.2">
      <c r="A50" s="19">
        <v>15</v>
      </c>
      <c r="B50" s="180" t="s">
        <v>13</v>
      </c>
      <c r="C50" s="181"/>
      <c r="D50" s="14">
        <f>IF(F3="1",SUMIF(Data!A:A,'51'!$A$2,Data!DI:DI),0)</f>
        <v>31904</v>
      </c>
      <c r="E50" s="17">
        <f>IF($F$3="1",SUMIF(Data!$A:$A,$A$2,Data!JC:JC),0)</f>
        <v>67957</v>
      </c>
      <c r="F50" s="21">
        <f t="shared" si="3"/>
        <v>2.13</v>
      </c>
    </row>
    <row r="51" spans="1:6" x14ac:dyDescent="0.2">
      <c r="A51" s="19">
        <v>16</v>
      </c>
      <c r="B51" s="180" t="s">
        <v>14</v>
      </c>
      <c r="C51" s="181"/>
      <c r="D51" s="14">
        <f>IF(F3="1",SUMIF(Data!A:A,'51'!$A$2,Data!DJ:DJ),0)</f>
        <v>255234</v>
      </c>
      <c r="E51" s="17">
        <f>IF($F$3="1",SUMIF(Data!$A:$A,$A$2,Data!JD:JD),0)</f>
        <v>400858</v>
      </c>
      <c r="F51" s="21">
        <f t="shared" si="3"/>
        <v>1.57</v>
      </c>
    </row>
    <row r="52" spans="1:6" x14ac:dyDescent="0.2">
      <c r="A52" s="19">
        <v>17</v>
      </c>
      <c r="B52" s="180" t="s">
        <v>15</v>
      </c>
      <c r="C52" s="181"/>
      <c r="D52" s="14">
        <f>IF(F3="1",SUMIF(Data!A:A,'51'!$A$2,Data!DK:DK),0)</f>
        <v>0</v>
      </c>
      <c r="E52" s="17">
        <f>IF($F$3="1",SUMIF(Data!$A:$A,$A$2,Data!JE:JE),0)</f>
        <v>0</v>
      </c>
      <c r="F52" s="21" t="str">
        <f t="shared" si="3"/>
        <v/>
      </c>
    </row>
    <row r="53" spans="1:6" x14ac:dyDescent="0.2">
      <c r="A53" s="19">
        <v>18</v>
      </c>
      <c r="B53" s="180" t="s">
        <v>16</v>
      </c>
      <c r="C53" s="181"/>
      <c r="D53" s="14">
        <f>IF(F3="1",SUMIF(Data!A:A,'51'!$A$2,Data!DL:DL),0)</f>
        <v>0</v>
      </c>
      <c r="E53" s="17">
        <f>IF($F$3="1",SUMIF(Data!$A:$A,$A$2,Data!JF:JF),0)</f>
        <v>0</v>
      </c>
      <c r="F53" s="21" t="str">
        <f t="shared" si="3"/>
        <v/>
      </c>
    </row>
    <row r="54" spans="1:6" x14ac:dyDescent="0.2">
      <c r="A54" s="19">
        <v>19</v>
      </c>
      <c r="B54" s="180" t="s">
        <v>17</v>
      </c>
      <c r="C54" s="181"/>
      <c r="D54" s="14">
        <f>IF(F3="1",SUMIF(Data!A:A,'51'!$A$2,Data!DM:DM),0)</f>
        <v>289856</v>
      </c>
      <c r="E54" s="17">
        <f>IF($F$3="1",SUMIF(Data!$A:$A,$A$2,Data!JG:JG),0)</f>
        <v>361909</v>
      </c>
      <c r="F54" s="21">
        <f t="shared" si="3"/>
        <v>1.25</v>
      </c>
    </row>
    <row r="55" spans="1:6" x14ac:dyDescent="0.2">
      <c r="A55" s="19">
        <v>20</v>
      </c>
      <c r="B55" s="180" t="s">
        <v>18</v>
      </c>
      <c r="C55" s="181"/>
      <c r="D55" s="14">
        <f>IF(F3="1",SUMIF(Data!A:A,'51'!$A$2,Data!DN:DN),0)</f>
        <v>130036</v>
      </c>
      <c r="E55" s="17">
        <f>IF($F$3="1",SUMIF(Data!$A:$A,$A$2,Data!JH:JH),0)</f>
        <v>159916</v>
      </c>
      <c r="F55" s="21">
        <f t="shared" si="3"/>
        <v>1.23</v>
      </c>
    </row>
    <row r="56" spans="1:6" ht="14.25" customHeight="1" x14ac:dyDescent="0.2">
      <c r="A56" s="19">
        <v>21</v>
      </c>
      <c r="B56" s="180" t="s">
        <v>461</v>
      </c>
      <c r="C56" s="181"/>
      <c r="D56" s="14">
        <f>IF(F3="1",SUMIF(Data!A:A,'51'!$A$2,Data!DO:DO),0)</f>
        <v>57472</v>
      </c>
      <c r="E56" s="17">
        <f>IF($F$3="1",SUMIF(Data!$A:$A,$A$2,Data!JI:JI),0)</f>
        <v>101478</v>
      </c>
      <c r="F56" s="21">
        <f t="shared" si="3"/>
        <v>1.77</v>
      </c>
    </row>
    <row r="57" spans="1:6" x14ac:dyDescent="0.2">
      <c r="A57" s="19">
        <v>22</v>
      </c>
      <c r="B57" s="180" t="s">
        <v>19</v>
      </c>
      <c r="C57" s="181"/>
      <c r="D57" s="14">
        <f>IF(F3="1",SUMIF(Data!A:A,'51'!$A$2,Data!DP:DP),0)</f>
        <v>16752</v>
      </c>
      <c r="E57" s="17">
        <f>IF($F$3="1",SUMIF(Data!$A:$A,$A$2,Data!JJ:JJ),0)</f>
        <v>23028</v>
      </c>
      <c r="F57" s="21">
        <f t="shared" si="3"/>
        <v>1.37</v>
      </c>
    </row>
    <row r="58" spans="1:6" x14ac:dyDescent="0.2">
      <c r="A58" s="19">
        <v>23</v>
      </c>
      <c r="B58" s="180" t="s">
        <v>20</v>
      </c>
      <c r="C58" s="181"/>
      <c r="D58" s="14">
        <f>IF(F3="1",SUMIF(Data!A:A,'51'!$A$2,Data!DQ:DQ),0)</f>
        <v>0</v>
      </c>
      <c r="E58" s="17">
        <f>IF($F$3="1",SUMIF(Data!$A:$A,$A$2,Data!JK:JK),0)</f>
        <v>0</v>
      </c>
      <c r="F58" s="21" t="str">
        <f t="shared" si="3"/>
        <v/>
      </c>
    </row>
    <row r="59" spans="1:6" x14ac:dyDescent="0.2">
      <c r="A59" s="19">
        <v>24</v>
      </c>
      <c r="B59" s="180" t="s">
        <v>21</v>
      </c>
      <c r="C59" s="181"/>
      <c r="D59" s="14">
        <f>IF(F3="1",SUMIF(Data!A:A,'51'!$A$2,Data!DR:DR),0)</f>
        <v>123660</v>
      </c>
      <c r="E59" s="17">
        <f>IF($F$3="1",SUMIF(Data!$A:$A,$A$2,Data!JL:JL),0)</f>
        <v>168406</v>
      </c>
      <c r="F59" s="21">
        <f t="shared" si="3"/>
        <v>1.36</v>
      </c>
    </row>
    <row r="60" spans="1:6" x14ac:dyDescent="0.2">
      <c r="A60" s="19">
        <v>25</v>
      </c>
      <c r="B60" s="180" t="s">
        <v>22</v>
      </c>
      <c r="C60" s="181"/>
      <c r="D60" s="14">
        <f>IF(F3="1",SUMIF(Data!A:A,'51'!$A$2,Data!DS:DS),0)</f>
        <v>204704</v>
      </c>
      <c r="E60" s="17">
        <f>IF($F$3="1",SUMIF(Data!$A:$A,$A$2,Data!JM:JM),0)</f>
        <v>217920</v>
      </c>
      <c r="F60" s="21">
        <f t="shared" si="3"/>
        <v>1.06</v>
      </c>
    </row>
    <row r="61" spans="1:6" x14ac:dyDescent="0.2">
      <c r="A61" s="19">
        <v>26</v>
      </c>
      <c r="B61" s="180" t="s">
        <v>23</v>
      </c>
      <c r="C61" s="181"/>
      <c r="D61" s="14">
        <f>IF(F3="1",SUMIF(Data!A:A,'51'!$A$2,Data!DT:DT),0)</f>
        <v>54586</v>
      </c>
      <c r="E61" s="17">
        <f>IF($F$3="1",SUMIF(Data!$A:$A,$A$2,Data!JN:JN),0)</f>
        <v>73566</v>
      </c>
      <c r="F61" s="21">
        <f t="shared" si="3"/>
        <v>1.35</v>
      </c>
    </row>
    <row r="62" spans="1:6" x14ac:dyDescent="0.2">
      <c r="A62" s="19">
        <v>28</v>
      </c>
      <c r="B62" s="180" t="s">
        <v>24</v>
      </c>
      <c r="C62" s="181"/>
      <c r="D62" s="14">
        <f>IF(F3="1",SUMIF(Data!A:A,'51'!$A$2,Data!DV:DV),0)</f>
        <v>0</v>
      </c>
      <c r="E62" s="17">
        <f>IF($F$3="1",SUMIF(Data!$A:$A,$A$2,Data!JP:JP),0)</f>
        <v>0</v>
      </c>
      <c r="F62" s="21" t="str">
        <f t="shared" si="3"/>
        <v/>
      </c>
    </row>
    <row r="63" spans="1:6" ht="15.75" customHeight="1" thickBot="1" x14ac:dyDescent="0.25">
      <c r="A63" s="22">
        <v>29</v>
      </c>
      <c r="B63" s="184" t="s">
        <v>25</v>
      </c>
      <c r="C63" s="185"/>
      <c r="D63" s="23">
        <f>IF(F3="1",SUMIF(Data!A:A,'51'!$A$2,Data!DW:DW),0)</f>
        <v>0</v>
      </c>
      <c r="E63" s="24">
        <f>IF($F$3="1",SUMIF(Data!$A:$A,$A$2,Data!JQ:JQ),0)</f>
        <v>0</v>
      </c>
      <c r="F63" s="25" t="str">
        <f t="shared" si="3"/>
        <v/>
      </c>
    </row>
    <row r="64" spans="1:6" x14ac:dyDescent="0.2">
      <c r="B64" s="30" t="s">
        <v>35</v>
      </c>
      <c r="C64" s="30"/>
      <c r="D64" s="59">
        <f>SUM(D36:D63)</f>
        <v>3054722</v>
      </c>
      <c r="E64" s="31">
        <f>SUM(E36:E63)</f>
        <v>4031260</v>
      </c>
      <c r="F64" s="32">
        <f t="shared" si="3"/>
        <v>1.32</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24528</v>
      </c>
      <c r="E67" s="15">
        <f>IF(F3="1",SUMIF(Data!A:A,'51'!$A$2,Data!DY:DY),0)</f>
        <v>47428</v>
      </c>
      <c r="F67" s="20">
        <f t="shared" ref="F67:F95" si="4">IF(OR(D67=0,E67=0),"",ROUND(E67/D67,2))</f>
        <v>1.93</v>
      </c>
    </row>
    <row r="68" spans="1:6" x14ac:dyDescent="0.2">
      <c r="A68" s="19">
        <v>2</v>
      </c>
      <c r="B68" s="180" t="s">
        <v>1</v>
      </c>
      <c r="C68" s="181"/>
      <c r="D68" s="14">
        <f t="shared" ref="D68:D94" si="5">D37</f>
        <v>277531</v>
      </c>
      <c r="E68" s="17">
        <f>IF(F3="1",SUMIF(Data!A:A,'51'!$A$2,Data!DZ:DZ),0)</f>
        <v>766079</v>
      </c>
      <c r="F68" s="21">
        <f t="shared" si="4"/>
        <v>2.76</v>
      </c>
    </row>
    <row r="69" spans="1:6" ht="14.25" customHeight="1" x14ac:dyDescent="0.2">
      <c r="A69" s="19">
        <v>3</v>
      </c>
      <c r="B69" s="180" t="s">
        <v>2</v>
      </c>
      <c r="C69" s="181"/>
      <c r="D69" s="14">
        <f t="shared" si="5"/>
        <v>233776</v>
      </c>
      <c r="E69" s="17">
        <f>IF(F3="1",SUMIF(Data!A:A,'51'!$A$2,Data!EA:EA),0)</f>
        <v>590997</v>
      </c>
      <c r="F69" s="21">
        <f t="shared" si="4"/>
        <v>2.5299999999999998</v>
      </c>
    </row>
    <row r="70" spans="1:6" ht="14.25" customHeight="1" x14ac:dyDescent="0.2">
      <c r="A70" s="19">
        <v>4</v>
      </c>
      <c r="B70" s="180" t="s">
        <v>3</v>
      </c>
      <c r="C70" s="181"/>
      <c r="D70" s="14">
        <f t="shared" si="5"/>
        <v>269441</v>
      </c>
      <c r="E70" s="17">
        <f>IF(F3="1",SUMIF(Data!A:A,'51'!$A$2,Data!EB:EB),0)</f>
        <v>517226</v>
      </c>
      <c r="F70" s="21">
        <f t="shared" si="4"/>
        <v>1.92</v>
      </c>
    </row>
    <row r="71" spans="1:6" x14ac:dyDescent="0.2">
      <c r="A71" s="19">
        <v>5</v>
      </c>
      <c r="B71" s="180" t="s">
        <v>4</v>
      </c>
      <c r="C71" s="181"/>
      <c r="D71" s="14">
        <f t="shared" si="5"/>
        <v>0</v>
      </c>
      <c r="E71" s="17">
        <f>IF(F3="1",SUMIF(Data!A:A,'51'!$A$2,Data!EC:EC),0)</f>
        <v>0</v>
      </c>
      <c r="F71" s="21" t="str">
        <f t="shared" si="4"/>
        <v/>
      </c>
    </row>
    <row r="72" spans="1:6" x14ac:dyDescent="0.2">
      <c r="A72" s="19">
        <v>6</v>
      </c>
      <c r="B72" s="180" t="s">
        <v>5</v>
      </c>
      <c r="C72" s="181"/>
      <c r="D72" s="14">
        <f t="shared" si="5"/>
        <v>35872</v>
      </c>
      <c r="E72" s="17">
        <f>IF(F3="1",SUMIF(Data!A:A,'51'!$A$2,Data!ED:ED),0)</f>
        <v>84046</v>
      </c>
      <c r="F72" s="21">
        <f t="shared" si="4"/>
        <v>2.34</v>
      </c>
    </row>
    <row r="73" spans="1:6" x14ac:dyDescent="0.2">
      <c r="A73" s="19">
        <v>7</v>
      </c>
      <c r="B73" s="180" t="s">
        <v>6</v>
      </c>
      <c r="C73" s="181"/>
      <c r="D73" s="14">
        <f t="shared" si="5"/>
        <v>167160</v>
      </c>
      <c r="E73" s="17">
        <f>IF(F3="1",SUMIF(Data!A:A,'51'!$A$2,Data!EE:EE),0)</f>
        <v>604548</v>
      </c>
      <c r="F73" s="21">
        <f t="shared" si="4"/>
        <v>3.62</v>
      </c>
    </row>
    <row r="74" spans="1:6" x14ac:dyDescent="0.2">
      <c r="A74" s="19">
        <v>8</v>
      </c>
      <c r="B74" s="180" t="s">
        <v>7</v>
      </c>
      <c r="C74" s="181"/>
      <c r="D74" s="14">
        <f t="shared" si="5"/>
        <v>17564</v>
      </c>
      <c r="E74" s="17">
        <f>IF(F3="1",SUMIF(Data!A:A,'51'!$A$2,Data!EF:EF),0)</f>
        <v>135083</v>
      </c>
      <c r="F74" s="21">
        <f t="shared" si="4"/>
        <v>7.69</v>
      </c>
    </row>
    <row r="75" spans="1:6" x14ac:dyDescent="0.2">
      <c r="A75" s="19">
        <v>9</v>
      </c>
      <c r="B75" s="180" t="s">
        <v>8</v>
      </c>
      <c r="C75" s="181"/>
      <c r="D75" s="14">
        <f t="shared" si="5"/>
        <v>72048</v>
      </c>
      <c r="E75" s="17">
        <f>IF(F3="1",SUMIF(Data!A:A,'51'!$A$2,Data!EG:EG),0)</f>
        <v>90314</v>
      </c>
      <c r="F75" s="21">
        <f t="shared" si="4"/>
        <v>1.25</v>
      </c>
    </row>
    <row r="76" spans="1:6" x14ac:dyDescent="0.2">
      <c r="A76" s="19">
        <v>10</v>
      </c>
      <c r="B76" s="180" t="s">
        <v>9</v>
      </c>
      <c r="C76" s="181"/>
      <c r="D76" s="14">
        <f t="shared" si="5"/>
        <v>0</v>
      </c>
      <c r="E76" s="17">
        <f>IF(F3="1",SUMIF(Data!A:A,'51'!$A$2,Data!EH:EH),0)</f>
        <v>0</v>
      </c>
      <c r="F76" s="21" t="str">
        <f t="shared" si="4"/>
        <v/>
      </c>
    </row>
    <row r="77" spans="1:6" x14ac:dyDescent="0.2">
      <c r="A77" s="19">
        <v>11</v>
      </c>
      <c r="B77" s="180" t="s">
        <v>10</v>
      </c>
      <c r="C77" s="181"/>
      <c r="D77" s="14">
        <f t="shared" si="5"/>
        <v>328944</v>
      </c>
      <c r="E77" s="17">
        <f>IF(F3="1",SUMIF(Data!A:A,'51'!$A$2,Data!EI:EI),0)</f>
        <v>931616</v>
      </c>
      <c r="F77" s="21">
        <f t="shared" si="4"/>
        <v>2.83</v>
      </c>
    </row>
    <row r="78" spans="1:6" ht="14.25" customHeight="1" x14ac:dyDescent="0.2">
      <c r="A78" s="19">
        <v>12</v>
      </c>
      <c r="B78" s="180" t="s">
        <v>11</v>
      </c>
      <c r="C78" s="181"/>
      <c r="D78" s="14">
        <f t="shared" si="5"/>
        <v>355160</v>
      </c>
      <c r="E78" s="17">
        <f>IF(F3="1",SUMIF(Data!A:A,'51'!$A$2,Data!EJ:EJ),0)</f>
        <v>908092</v>
      </c>
      <c r="F78" s="21">
        <f t="shared" si="4"/>
        <v>2.56</v>
      </c>
    </row>
    <row r="79" spans="1:6" x14ac:dyDescent="0.2">
      <c r="A79" s="19">
        <v>13</v>
      </c>
      <c r="B79" s="180" t="s">
        <v>12</v>
      </c>
      <c r="C79" s="181"/>
      <c r="D79" s="14">
        <f t="shared" si="5"/>
        <v>49674</v>
      </c>
      <c r="E79" s="17">
        <f>IF(F3="1",SUMIF(Data!A:A,'51'!$A$2,Data!EK:EK),0)</f>
        <v>41117</v>
      </c>
      <c r="F79" s="21">
        <f t="shared" si="4"/>
        <v>0.83</v>
      </c>
    </row>
    <row r="80" spans="1:6" ht="14.25" customHeight="1" x14ac:dyDescent="0.2">
      <c r="A80" s="19">
        <v>14</v>
      </c>
      <c r="B80" s="180" t="s">
        <v>464</v>
      </c>
      <c r="C80" s="181"/>
      <c r="D80" s="14">
        <f t="shared" si="5"/>
        <v>58820</v>
      </c>
      <c r="E80" s="17">
        <f>IF(F3="1",SUMIF(Data!A:A,'51'!$A$2,Data!EL:EL),0)</f>
        <v>65953</v>
      </c>
      <c r="F80" s="21">
        <f t="shared" si="4"/>
        <v>1.1200000000000001</v>
      </c>
    </row>
    <row r="81" spans="1:6" x14ac:dyDescent="0.2">
      <c r="A81" s="19">
        <v>15</v>
      </c>
      <c r="B81" s="180" t="s">
        <v>13</v>
      </c>
      <c r="C81" s="181"/>
      <c r="D81" s="14">
        <f t="shared" si="5"/>
        <v>31904</v>
      </c>
      <c r="E81" s="17">
        <f>IF(F3="1",SUMIF(Data!A:A,'51'!$A$2,Data!EM:EM),0)</f>
        <v>140029</v>
      </c>
      <c r="F81" s="21">
        <f t="shared" si="4"/>
        <v>4.3899999999999997</v>
      </c>
    </row>
    <row r="82" spans="1:6" x14ac:dyDescent="0.2">
      <c r="A82" s="19">
        <v>16</v>
      </c>
      <c r="B82" s="180" t="s">
        <v>14</v>
      </c>
      <c r="C82" s="181"/>
      <c r="D82" s="14">
        <f t="shared" si="5"/>
        <v>255234</v>
      </c>
      <c r="E82" s="17">
        <f>IF(F3="1",SUMIF(Data!A:A,'51'!$A$2,Data!EN:EN),0)</f>
        <v>996024</v>
      </c>
      <c r="F82" s="21">
        <f t="shared" si="4"/>
        <v>3.9</v>
      </c>
    </row>
    <row r="83" spans="1:6" x14ac:dyDescent="0.2">
      <c r="A83" s="19">
        <v>17</v>
      </c>
      <c r="B83" s="180" t="s">
        <v>15</v>
      </c>
      <c r="C83" s="181"/>
      <c r="D83" s="14">
        <f t="shared" si="5"/>
        <v>0</v>
      </c>
      <c r="E83" s="17">
        <f>IF(F3="1",SUMIF(Data!A:A,'51'!$A$2,Data!EO:EO),0)</f>
        <v>0</v>
      </c>
      <c r="F83" s="21" t="str">
        <f t="shared" si="4"/>
        <v/>
      </c>
    </row>
    <row r="84" spans="1:6" x14ac:dyDescent="0.2">
      <c r="A84" s="19">
        <v>18</v>
      </c>
      <c r="B84" s="180" t="s">
        <v>16</v>
      </c>
      <c r="C84" s="181"/>
      <c r="D84" s="14">
        <f t="shared" si="5"/>
        <v>0</v>
      </c>
      <c r="E84" s="17">
        <f>IF(F3="1",SUMIF(Data!A:A,'51'!$A$2,Data!EP:EP),0)</f>
        <v>0</v>
      </c>
      <c r="F84" s="21" t="str">
        <f t="shared" si="4"/>
        <v/>
      </c>
    </row>
    <row r="85" spans="1:6" x14ac:dyDescent="0.2">
      <c r="A85" s="19">
        <v>19</v>
      </c>
      <c r="B85" s="180" t="s">
        <v>17</v>
      </c>
      <c r="C85" s="181"/>
      <c r="D85" s="14">
        <f t="shared" si="5"/>
        <v>289856</v>
      </c>
      <c r="E85" s="17">
        <f>IF(F3="1",SUMIF(Data!A:A,'51'!$A$2,Data!EQ:EQ),0)</f>
        <v>591195</v>
      </c>
      <c r="F85" s="21">
        <f t="shared" si="4"/>
        <v>2.04</v>
      </c>
    </row>
    <row r="86" spans="1:6" x14ac:dyDescent="0.2">
      <c r="A86" s="19">
        <v>20</v>
      </c>
      <c r="B86" s="180" t="s">
        <v>18</v>
      </c>
      <c r="C86" s="181"/>
      <c r="D86" s="14">
        <f t="shared" si="5"/>
        <v>130036</v>
      </c>
      <c r="E86" s="17">
        <f>IF(F3="1",SUMIF(Data!A:A,'51'!$A$2,Data!ER:ER),0)</f>
        <v>368262</v>
      </c>
      <c r="F86" s="21">
        <f t="shared" si="4"/>
        <v>2.83</v>
      </c>
    </row>
    <row r="87" spans="1:6" ht="14.25" customHeight="1" x14ac:dyDescent="0.2">
      <c r="A87" s="19">
        <v>21</v>
      </c>
      <c r="B87" s="180" t="s">
        <v>461</v>
      </c>
      <c r="C87" s="181"/>
      <c r="D87" s="14">
        <f t="shared" si="5"/>
        <v>57472</v>
      </c>
      <c r="E87" s="17">
        <f>IF(F3="1",SUMIF(Data!A:A,'51'!$A$2,Data!ES:ES),0)</f>
        <v>139384</v>
      </c>
      <c r="F87" s="21">
        <f t="shared" si="4"/>
        <v>2.4300000000000002</v>
      </c>
    </row>
    <row r="88" spans="1:6" x14ac:dyDescent="0.2">
      <c r="A88" s="19">
        <v>22</v>
      </c>
      <c r="B88" s="180" t="s">
        <v>19</v>
      </c>
      <c r="C88" s="181"/>
      <c r="D88" s="14">
        <f t="shared" si="5"/>
        <v>16752</v>
      </c>
      <c r="E88" s="17">
        <f>IF(F3="1",SUMIF(Data!A:A,'51'!$A$2,Data!ET:ET),0)</f>
        <v>47994</v>
      </c>
      <c r="F88" s="21">
        <f t="shared" si="4"/>
        <v>2.86</v>
      </c>
    </row>
    <row r="89" spans="1:6" x14ac:dyDescent="0.2">
      <c r="A89" s="19">
        <v>23</v>
      </c>
      <c r="B89" s="180" t="s">
        <v>20</v>
      </c>
      <c r="C89" s="181"/>
      <c r="D89" s="14">
        <f t="shared" si="5"/>
        <v>0</v>
      </c>
      <c r="E89" s="17">
        <f>IF(F3="1",SUMIF(Data!A:A,'51'!$A$2,Data!EU:EU),0)</f>
        <v>0</v>
      </c>
      <c r="F89" s="21" t="str">
        <f t="shared" si="4"/>
        <v/>
      </c>
    </row>
    <row r="90" spans="1:6" x14ac:dyDescent="0.2">
      <c r="A90" s="19">
        <v>24</v>
      </c>
      <c r="B90" s="180" t="s">
        <v>21</v>
      </c>
      <c r="C90" s="181"/>
      <c r="D90" s="14">
        <f t="shared" si="5"/>
        <v>123660</v>
      </c>
      <c r="E90" s="17">
        <f>IF(F3="1",SUMIF(Data!A:A,'51'!$A$2,Data!EV:EV),0)</f>
        <v>99223</v>
      </c>
      <c r="F90" s="21">
        <f t="shared" si="4"/>
        <v>0.8</v>
      </c>
    </row>
    <row r="91" spans="1:6" x14ac:dyDescent="0.2">
      <c r="A91" s="19">
        <v>25</v>
      </c>
      <c r="B91" s="180" t="s">
        <v>22</v>
      </c>
      <c r="C91" s="181"/>
      <c r="D91" s="14">
        <f t="shared" si="5"/>
        <v>204704</v>
      </c>
      <c r="E91" s="17">
        <f>IF(F3="1",SUMIF(Data!A:A,'51'!$A$2,Data!EW:EW),0)</f>
        <v>386507</v>
      </c>
      <c r="F91" s="21">
        <f t="shared" si="4"/>
        <v>1.89</v>
      </c>
    </row>
    <row r="92" spans="1:6" x14ac:dyDescent="0.2">
      <c r="A92" s="19">
        <v>26</v>
      </c>
      <c r="B92" s="180" t="s">
        <v>23</v>
      </c>
      <c r="C92" s="181"/>
      <c r="D92" s="14">
        <f t="shared" si="5"/>
        <v>54586</v>
      </c>
      <c r="E92" s="17">
        <f>IF(F3="1",SUMIF(Data!A:A,'51'!$A$2,Data!EX:EX),0)</f>
        <v>127661</v>
      </c>
      <c r="F92" s="21">
        <f t="shared" si="4"/>
        <v>2.34</v>
      </c>
    </row>
    <row r="93" spans="1:6" x14ac:dyDescent="0.2">
      <c r="A93" s="19">
        <v>28</v>
      </c>
      <c r="B93" s="180" t="s">
        <v>24</v>
      </c>
      <c r="C93" s="181"/>
      <c r="D93" s="14">
        <f t="shared" si="5"/>
        <v>0</v>
      </c>
      <c r="E93" s="17">
        <f>IF(F3="1",SUMIF(Data!A:A,'51'!$A$2,Data!EZ:EZ),0)</f>
        <v>0</v>
      </c>
      <c r="F93" s="21" t="str">
        <f t="shared" si="4"/>
        <v/>
      </c>
    </row>
    <row r="94" spans="1:6" ht="15.75" customHeight="1" thickBot="1" x14ac:dyDescent="0.25">
      <c r="A94" s="22">
        <v>29</v>
      </c>
      <c r="B94" s="184" t="s">
        <v>25</v>
      </c>
      <c r="C94" s="185"/>
      <c r="D94" s="23">
        <f t="shared" si="5"/>
        <v>0</v>
      </c>
      <c r="E94" s="24">
        <f>IF(F3="1",SUMIF(Data!A:A,'51'!$A$2,Data!FA:FA),0)</f>
        <v>0</v>
      </c>
      <c r="F94" s="25" t="str">
        <f t="shared" si="4"/>
        <v/>
      </c>
    </row>
    <row r="95" spans="1:6" x14ac:dyDescent="0.2">
      <c r="B95" s="30" t="s">
        <v>35</v>
      </c>
      <c r="C95" s="30"/>
      <c r="D95" s="59">
        <f>SUM(D67:D94)</f>
        <v>3054722</v>
      </c>
      <c r="E95" s="31">
        <f>SUM(E67:E94)</f>
        <v>7678778</v>
      </c>
      <c r="F95" s="32">
        <f t="shared" si="4"/>
        <v>2.5099999999999998</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IF(F3="1",SUMIF(Data!A:A,'51'!$A$2,Data!AH:AH),0)</f>
        <v>3416282</v>
      </c>
      <c r="F98" s="20">
        <f>IF(OR(E98=0,E98=0),"",ROUND(E98/$D$105,2))</f>
        <v>1.1200000000000001</v>
      </c>
    </row>
    <row r="99" spans="2:6" x14ac:dyDescent="0.2">
      <c r="B99" s="190" t="s">
        <v>31</v>
      </c>
      <c r="C99" s="191"/>
      <c r="D99" s="36"/>
      <c r="E99" s="17">
        <f>IF(F3="1",SUMIF(Data!A:A,'51'!$A$2,Data!AI:AI),0)</f>
        <v>1365450</v>
      </c>
      <c r="F99" s="21">
        <f t="shared" ref="F99:F104" si="6">IF(OR(E99=0,E99=0),"",ROUND(E99/$D$105,2))</f>
        <v>0.45</v>
      </c>
    </row>
    <row r="100" spans="2:6" x14ac:dyDescent="0.2">
      <c r="B100" s="190" t="s">
        <v>1089</v>
      </c>
      <c r="C100" s="191"/>
      <c r="D100" s="36"/>
      <c r="E100" s="17">
        <f>IF(F3="1",SUMIF(Data!A:A,'51'!$A$2,Data!AJ:AJ),0)</f>
        <v>463364</v>
      </c>
      <c r="F100" s="21">
        <f t="shared" si="6"/>
        <v>0.15</v>
      </c>
    </row>
    <row r="101" spans="2:6" x14ac:dyDescent="0.2">
      <c r="B101" s="190" t="s">
        <v>1090</v>
      </c>
      <c r="C101" s="191"/>
      <c r="D101" s="36"/>
      <c r="E101" s="17">
        <f>IF(F3="1",SUMIF(Data!A:A,'51'!$A$2,Data!AK:AK),0)</f>
        <v>457336</v>
      </c>
      <c r="F101" s="21">
        <f t="shared" si="6"/>
        <v>0.15</v>
      </c>
    </row>
    <row r="102" spans="2:6" x14ac:dyDescent="0.2">
      <c r="B102" s="190" t="s">
        <v>1091</v>
      </c>
      <c r="C102" s="191"/>
      <c r="D102" s="36"/>
      <c r="E102" s="17">
        <f>IF(F3="1",SUMIF(Data!A:A,'51'!$A$2,Data!AL:AL),0)</f>
        <v>0</v>
      </c>
      <c r="F102" s="21" t="str">
        <f t="shared" si="6"/>
        <v/>
      </c>
    </row>
    <row r="103" spans="2:6" x14ac:dyDescent="0.2">
      <c r="B103" s="192" t="s">
        <v>34</v>
      </c>
      <c r="C103" s="193"/>
      <c r="D103" s="36"/>
      <c r="E103" s="17">
        <f>IF(F3="1",SUMIF(Data!A:A,'51'!$A$2,Data!AM:AM),0)</f>
        <v>0</v>
      </c>
      <c r="F103" s="21" t="str">
        <f t="shared" si="6"/>
        <v/>
      </c>
    </row>
    <row r="104" spans="2:6" ht="15.75" customHeight="1" thickBot="1" x14ac:dyDescent="0.25">
      <c r="B104" s="186" t="s">
        <v>29</v>
      </c>
      <c r="C104" s="187"/>
      <c r="D104" s="37"/>
      <c r="E104" s="24">
        <f>IF(F3="1",SUMIF(Data!A:A,'51'!$A$2,Data!Q:Q),0)</f>
        <v>718081</v>
      </c>
      <c r="F104" s="25">
        <f t="shared" si="6"/>
        <v>0.24</v>
      </c>
    </row>
    <row r="105" spans="2:6" x14ac:dyDescent="0.2">
      <c r="B105" s="30" t="s">
        <v>35</v>
      </c>
      <c r="C105" s="30"/>
      <c r="D105" s="34">
        <f>D95</f>
        <v>3054722</v>
      </c>
      <c r="E105" s="31">
        <f>SUM(E98:E104)</f>
        <v>6420513</v>
      </c>
      <c r="F105" s="32">
        <f>IF($D$105=0,"",ROUND(E105/$D$105,2))</f>
        <v>2.1</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7678778</v>
      </c>
      <c r="D109" s="15">
        <f>IF(F3="1",SUMIF(Data!$A:$A,$A$2,Data!HJ:HJ),0)</f>
        <v>0</v>
      </c>
      <c r="E109" s="15">
        <f>IF(F3="1",SUMIF(Data!$A:$A,$A$2,Data!IN:IN),0)</f>
        <v>0</v>
      </c>
      <c r="F109" s="47">
        <f>SUM(C109:E109)</f>
        <v>7678778</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718081</v>
      </c>
      <c r="E117" s="52"/>
      <c r="F117" s="49">
        <f>SUM(C117:E117)</f>
        <v>718081</v>
      </c>
    </row>
    <row r="118" spans="1:6" x14ac:dyDescent="0.2">
      <c r="B118" s="13" t="s">
        <v>35</v>
      </c>
      <c r="C118" s="4">
        <f>SUM(C109:C116)</f>
        <v>7678778</v>
      </c>
      <c r="D118" s="4">
        <f>SUM(D109:D116)</f>
        <v>0</v>
      </c>
      <c r="E118" s="4">
        <f>SUM(E109:E116)</f>
        <v>0</v>
      </c>
      <c r="F118" s="4">
        <f>SUM(F109:F116)</f>
        <v>7678778</v>
      </c>
    </row>
    <row r="119" spans="1:6" ht="15" thickBot="1" x14ac:dyDescent="0.25"/>
    <row r="120" spans="1:6" ht="15" thickBot="1" x14ac:dyDescent="0.25">
      <c r="B120" s="55" t="s">
        <v>934</v>
      </c>
      <c r="C120" s="53"/>
      <c r="D120" s="53"/>
      <c r="E120" s="53">
        <f>IF(F3="1",SUMIF(Data!A:A,'51'!$A$2,Data!AM:AM),0)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28515625" style="10" bestFit="1" customWidth="1"/>
    <col min="12"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435</v>
      </c>
      <c r="B2" s="58" t="str">
        <f>VLOOKUP(A2,Data!A:G,7,0)</f>
        <v>Texas State Technical College-West Texas</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0</v>
      </c>
      <c r="E5" s="15">
        <f>E36+E67+IFERROR($E$105/$D$105*D5,0)</f>
        <v>0</v>
      </c>
      <c r="F5" s="20" t="str">
        <f>IF(OR(D5=0,E5=0),"",ROUND(E5/D5,2))</f>
        <v/>
      </c>
    </row>
    <row r="6" spans="1:6" x14ac:dyDescent="0.2">
      <c r="A6" s="19">
        <v>2</v>
      </c>
      <c r="B6" s="180" t="s">
        <v>1</v>
      </c>
      <c r="C6" s="181"/>
      <c r="D6" s="14">
        <f t="shared" ref="D6:D32" si="0">D37</f>
        <v>110268</v>
      </c>
      <c r="E6" s="17">
        <f t="shared" ref="E6:E32" si="1">E37+E68+IFERROR($E$105/$D$105*D6,0)</f>
        <v>787134.10728520178</v>
      </c>
      <c r="F6" s="21">
        <f t="shared" ref="F6:F33" si="2">IF(OR(D6=0,E6=0),"",ROUND(E6/D6,2))</f>
        <v>7.14</v>
      </c>
    </row>
    <row r="7" spans="1:6" ht="14.25" customHeight="1" x14ac:dyDescent="0.2">
      <c r="A7" s="19">
        <v>3</v>
      </c>
      <c r="B7" s="180" t="s">
        <v>2</v>
      </c>
      <c r="C7" s="181"/>
      <c r="D7" s="14">
        <f t="shared" si="0"/>
        <v>14112</v>
      </c>
      <c r="E7" s="17">
        <f t="shared" si="1"/>
        <v>114351.75189546167</v>
      </c>
      <c r="F7" s="21">
        <f t="shared" si="2"/>
        <v>8.1</v>
      </c>
    </row>
    <row r="8" spans="1:6" ht="14.25" customHeight="1" x14ac:dyDescent="0.2">
      <c r="A8" s="19">
        <v>4</v>
      </c>
      <c r="B8" s="180" t="s">
        <v>3</v>
      </c>
      <c r="C8" s="181"/>
      <c r="D8" s="14">
        <f t="shared" si="0"/>
        <v>299016</v>
      </c>
      <c r="E8" s="17">
        <f t="shared" si="1"/>
        <v>1780869.0388870016</v>
      </c>
      <c r="F8" s="21">
        <f t="shared" si="2"/>
        <v>5.96</v>
      </c>
    </row>
    <row r="9" spans="1:6" x14ac:dyDescent="0.2">
      <c r="A9" s="19">
        <v>5</v>
      </c>
      <c r="B9" s="180" t="s">
        <v>4</v>
      </c>
      <c r="C9" s="181"/>
      <c r="D9" s="14">
        <f t="shared" si="0"/>
        <v>3097</v>
      </c>
      <c r="E9" s="17">
        <f t="shared" si="1"/>
        <v>272384.63078374753</v>
      </c>
      <c r="F9" s="21">
        <f t="shared" si="2"/>
        <v>87.95</v>
      </c>
    </row>
    <row r="10" spans="1:6" x14ac:dyDescent="0.2">
      <c r="A10" s="19">
        <v>6</v>
      </c>
      <c r="B10" s="180" t="s">
        <v>5</v>
      </c>
      <c r="C10" s="181"/>
      <c r="D10" s="14">
        <f t="shared" si="0"/>
        <v>46346</v>
      </c>
      <c r="E10" s="17">
        <f t="shared" si="1"/>
        <v>254168.15088910615</v>
      </c>
      <c r="F10" s="21">
        <f t="shared" si="2"/>
        <v>5.48</v>
      </c>
    </row>
    <row r="11" spans="1:6" x14ac:dyDescent="0.2">
      <c r="A11" s="19">
        <v>7</v>
      </c>
      <c r="B11" s="180" t="s">
        <v>6</v>
      </c>
      <c r="C11" s="181"/>
      <c r="D11" s="14">
        <f t="shared" si="0"/>
        <v>251945</v>
      </c>
      <c r="E11" s="17">
        <f t="shared" si="1"/>
        <v>1504915.6276432886</v>
      </c>
      <c r="F11" s="21">
        <f t="shared" si="2"/>
        <v>5.97</v>
      </c>
    </row>
    <row r="12" spans="1:6" x14ac:dyDescent="0.2">
      <c r="A12" s="19">
        <v>8</v>
      </c>
      <c r="B12" s="180" t="s">
        <v>7</v>
      </c>
      <c r="C12" s="181"/>
      <c r="D12" s="14">
        <f t="shared" si="0"/>
        <v>16913</v>
      </c>
      <c r="E12" s="17">
        <f t="shared" si="1"/>
        <v>100105.35500339733</v>
      </c>
      <c r="F12" s="21">
        <f t="shared" si="2"/>
        <v>5.92</v>
      </c>
    </row>
    <row r="13" spans="1:6" x14ac:dyDescent="0.2">
      <c r="A13" s="19">
        <v>9</v>
      </c>
      <c r="B13" s="180" t="s">
        <v>8</v>
      </c>
      <c r="C13" s="181"/>
      <c r="D13" s="14">
        <f t="shared" si="0"/>
        <v>48</v>
      </c>
      <c r="E13" s="17">
        <f t="shared" si="1"/>
        <v>322.78827175327098</v>
      </c>
      <c r="F13" s="21">
        <f t="shared" si="2"/>
        <v>6.72</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94276</v>
      </c>
      <c r="E15" s="17">
        <f t="shared" si="1"/>
        <v>847230.3147460703</v>
      </c>
      <c r="F15" s="21">
        <f t="shared" si="2"/>
        <v>8.99</v>
      </c>
    </row>
    <row r="16" spans="1:6" ht="14.25" customHeight="1" x14ac:dyDescent="0.2">
      <c r="A16" s="19">
        <v>12</v>
      </c>
      <c r="B16" s="180" t="s">
        <v>11</v>
      </c>
      <c r="C16" s="181"/>
      <c r="D16" s="14">
        <f t="shared" si="0"/>
        <v>124064</v>
      </c>
      <c r="E16" s="17">
        <f t="shared" si="1"/>
        <v>723020.08639162104</v>
      </c>
      <c r="F16" s="21">
        <f t="shared" si="2"/>
        <v>5.83</v>
      </c>
    </row>
    <row r="17" spans="1:6" x14ac:dyDescent="0.2">
      <c r="A17" s="19">
        <v>13</v>
      </c>
      <c r="B17" s="180" t="s">
        <v>12</v>
      </c>
      <c r="C17" s="181"/>
      <c r="D17" s="14">
        <f t="shared" si="0"/>
        <v>784</v>
      </c>
      <c r="E17" s="17">
        <f t="shared" si="1"/>
        <v>5208.2084386367587</v>
      </c>
      <c r="F17" s="21">
        <f t="shared" si="2"/>
        <v>6.64</v>
      </c>
    </row>
    <row r="18" spans="1:6" ht="14.25" customHeight="1" x14ac:dyDescent="0.2">
      <c r="A18" s="19">
        <v>14</v>
      </c>
      <c r="B18" s="180" t="s">
        <v>464</v>
      </c>
      <c r="C18" s="181"/>
      <c r="D18" s="14">
        <f t="shared" si="0"/>
        <v>35081</v>
      </c>
      <c r="E18" s="17">
        <f t="shared" si="1"/>
        <v>255564.21586201037</v>
      </c>
      <c r="F18" s="21">
        <f t="shared" si="2"/>
        <v>7.28</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260096</v>
      </c>
      <c r="E20" s="17">
        <f t="shared" si="1"/>
        <v>1215413.048540391</v>
      </c>
      <c r="F20" s="21">
        <f t="shared" si="2"/>
        <v>4.67</v>
      </c>
    </row>
    <row r="21" spans="1:6" x14ac:dyDescent="0.2">
      <c r="A21" s="19">
        <v>17</v>
      </c>
      <c r="B21" s="180" t="s">
        <v>15</v>
      </c>
      <c r="C21" s="181"/>
      <c r="D21" s="14">
        <f t="shared" si="0"/>
        <v>416</v>
      </c>
      <c r="E21" s="17">
        <f t="shared" si="1"/>
        <v>3514.4983551950149</v>
      </c>
      <c r="F21" s="21">
        <f t="shared" si="2"/>
        <v>8.4499999999999993</v>
      </c>
    </row>
    <row r="22" spans="1:6" x14ac:dyDescent="0.2">
      <c r="A22" s="19">
        <v>18</v>
      </c>
      <c r="B22" s="180" t="s">
        <v>16</v>
      </c>
      <c r="C22" s="181"/>
      <c r="D22" s="14">
        <f t="shared" si="0"/>
        <v>190818</v>
      </c>
      <c r="E22" s="17">
        <f t="shared" si="1"/>
        <v>984092.5508211595</v>
      </c>
      <c r="F22" s="21">
        <f t="shared" si="2"/>
        <v>5.16</v>
      </c>
    </row>
    <row r="23" spans="1:6" x14ac:dyDescent="0.2">
      <c r="A23" s="19">
        <v>19</v>
      </c>
      <c r="B23" s="180" t="s">
        <v>17</v>
      </c>
      <c r="C23" s="181"/>
      <c r="D23" s="14">
        <f t="shared" si="0"/>
        <v>70704</v>
      </c>
      <c r="E23" s="17">
        <f t="shared" si="1"/>
        <v>479338.12429256813</v>
      </c>
      <c r="F23" s="21">
        <f t="shared" si="2"/>
        <v>6.78</v>
      </c>
    </row>
    <row r="24" spans="1:6" x14ac:dyDescent="0.2">
      <c r="A24" s="19">
        <v>20</v>
      </c>
      <c r="B24" s="180" t="s">
        <v>18</v>
      </c>
      <c r="C24" s="181"/>
      <c r="D24" s="14">
        <f t="shared" si="0"/>
        <v>105264</v>
      </c>
      <c r="E24" s="17">
        <f t="shared" si="1"/>
        <v>626177.67995492322</v>
      </c>
      <c r="F24" s="21">
        <f t="shared" si="2"/>
        <v>5.95</v>
      </c>
    </row>
    <row r="25" spans="1:6" ht="14.25" customHeight="1" x14ac:dyDescent="0.2">
      <c r="A25" s="19">
        <v>21</v>
      </c>
      <c r="B25" s="180" t="s">
        <v>461</v>
      </c>
      <c r="C25" s="181"/>
      <c r="D25" s="14">
        <f t="shared" si="0"/>
        <v>131248</v>
      </c>
      <c r="E25" s="17">
        <f t="shared" si="1"/>
        <v>892912.73106402718</v>
      </c>
      <c r="F25" s="21">
        <f t="shared" si="2"/>
        <v>6.8</v>
      </c>
    </row>
    <row r="26" spans="1:6" x14ac:dyDescent="0.2">
      <c r="A26" s="19">
        <v>22</v>
      </c>
      <c r="B26" s="180" t="s">
        <v>19</v>
      </c>
      <c r="C26" s="181"/>
      <c r="D26" s="14">
        <f t="shared" si="0"/>
        <v>17480</v>
      </c>
      <c r="E26" s="17">
        <f t="shared" si="1"/>
        <v>156360.22896348283</v>
      </c>
      <c r="F26" s="21">
        <f t="shared" si="2"/>
        <v>8.9499999999999993</v>
      </c>
    </row>
    <row r="27" spans="1:6" x14ac:dyDescent="0.2">
      <c r="A27" s="19">
        <v>23</v>
      </c>
      <c r="B27" s="180" t="s">
        <v>20</v>
      </c>
      <c r="C27" s="181"/>
      <c r="D27" s="14">
        <f t="shared" si="0"/>
        <v>0</v>
      </c>
      <c r="E27" s="17">
        <f t="shared" si="1"/>
        <v>0</v>
      </c>
      <c r="F27" s="21" t="str">
        <f t="shared" si="2"/>
        <v/>
      </c>
    </row>
    <row r="28" spans="1:6" x14ac:dyDescent="0.2">
      <c r="A28" s="19">
        <v>24</v>
      </c>
      <c r="B28" s="180" t="s">
        <v>21</v>
      </c>
      <c r="C28" s="181"/>
      <c r="D28" s="14">
        <f t="shared" si="0"/>
        <v>51896</v>
      </c>
      <c r="E28" s="17">
        <f t="shared" si="1"/>
        <v>261108.41981057811</v>
      </c>
      <c r="F28" s="21">
        <f t="shared" si="2"/>
        <v>5.03</v>
      </c>
    </row>
    <row r="29" spans="1:6" x14ac:dyDescent="0.2">
      <c r="A29" s="19">
        <v>25</v>
      </c>
      <c r="B29" s="180" t="s">
        <v>22</v>
      </c>
      <c r="C29" s="181"/>
      <c r="D29" s="14">
        <f t="shared" si="0"/>
        <v>22032</v>
      </c>
      <c r="E29" s="17">
        <f t="shared" si="1"/>
        <v>115204.81673475137</v>
      </c>
      <c r="F29" s="21">
        <f t="shared" si="2"/>
        <v>5.23</v>
      </c>
    </row>
    <row r="30" spans="1:6" x14ac:dyDescent="0.2">
      <c r="A30" s="19">
        <v>26</v>
      </c>
      <c r="B30" s="180" t="s">
        <v>23</v>
      </c>
      <c r="C30" s="181"/>
      <c r="D30" s="14">
        <f t="shared" si="0"/>
        <v>85024</v>
      </c>
      <c r="E30" s="17">
        <f t="shared" si="1"/>
        <v>587930.62536562735</v>
      </c>
      <c r="F30" s="21">
        <f t="shared" si="2"/>
        <v>6.91</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1930928</v>
      </c>
      <c r="E33" s="31">
        <f>SUM(E5:E32)</f>
        <v>11967327.000000002</v>
      </c>
      <c r="F33" s="32">
        <f t="shared" si="2"/>
        <v>6.2</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IF(F3="1",SUMIF(Data!A:A,'52'!$A$2,Data!CU:CU),0)</f>
        <v>0</v>
      </c>
      <c r="E36" s="15">
        <f>IF(F3="1",SUMIF(Data!$A:$A,$A$2,Data!IO:IO),0)</f>
        <v>0</v>
      </c>
      <c r="F36" s="20" t="str">
        <f t="shared" ref="F36:F64" si="3">IF(OR(D36=0,E36=0),"",ROUND(E36/D36,2))</f>
        <v/>
      </c>
    </row>
    <row r="37" spans="1:6" x14ac:dyDescent="0.2">
      <c r="A37" s="19">
        <v>2</v>
      </c>
      <c r="B37" s="180" t="s">
        <v>1</v>
      </c>
      <c r="C37" s="181"/>
      <c r="D37" s="14">
        <f>IF(F3="1",SUMIF(Data!A:A,'52'!$A$2,Data!CV:CV),0)</f>
        <v>110268</v>
      </c>
      <c r="E37" s="17">
        <f>IF(F3="1",SUMIF(Data!$A:$A,$A$2,Data!IP:IP),0)</f>
        <v>137587</v>
      </c>
      <c r="F37" s="21">
        <f t="shared" si="3"/>
        <v>1.25</v>
      </c>
    </row>
    <row r="38" spans="1:6" ht="14.25" customHeight="1" x14ac:dyDescent="0.2">
      <c r="A38" s="19">
        <v>3</v>
      </c>
      <c r="B38" s="180" t="s">
        <v>2</v>
      </c>
      <c r="C38" s="181"/>
      <c r="D38" s="14">
        <f>IF(F3="1",SUMIF(Data!A:A,'52'!$A$2,Data!CW:CW),0)</f>
        <v>14112</v>
      </c>
      <c r="E38" s="17">
        <f>IF($F$3="1",SUMIF(Data!$A:$A,$A$2,Data!IQ:IQ),0)</f>
        <v>14978</v>
      </c>
      <c r="F38" s="21">
        <f t="shared" si="3"/>
        <v>1.06</v>
      </c>
    </row>
    <row r="39" spans="1:6" ht="14.25" customHeight="1" x14ac:dyDescent="0.2">
      <c r="A39" s="19">
        <v>4</v>
      </c>
      <c r="B39" s="180" t="s">
        <v>3</v>
      </c>
      <c r="C39" s="181"/>
      <c r="D39" s="14">
        <f>IF(F3="1",SUMIF(Data!A:A,'52'!$A$2,Data!CX:CX),0)</f>
        <v>299016</v>
      </c>
      <c r="E39" s="17">
        <f>IF($F$3="1",SUMIF(Data!$A:$A,$A$2,Data!IR:IR),0)</f>
        <v>341017</v>
      </c>
      <c r="F39" s="21">
        <f t="shared" si="3"/>
        <v>1.1399999999999999</v>
      </c>
    </row>
    <row r="40" spans="1:6" x14ac:dyDescent="0.2">
      <c r="A40" s="19">
        <v>5</v>
      </c>
      <c r="B40" s="180" t="s">
        <v>4</v>
      </c>
      <c r="C40" s="181"/>
      <c r="D40" s="14">
        <f>IF(F3="1",SUMIF(Data!A:A,'52'!$A$2,Data!CY:CY),0)</f>
        <v>3097</v>
      </c>
      <c r="E40" s="17">
        <f>IF($F$3="1",SUMIF(Data!$A:$A,$A$2,Data!IS:IS),0)</f>
        <v>188768</v>
      </c>
      <c r="F40" s="21">
        <f t="shared" si="3"/>
        <v>60.95</v>
      </c>
    </row>
    <row r="41" spans="1:6" x14ac:dyDescent="0.2">
      <c r="A41" s="19">
        <v>6</v>
      </c>
      <c r="B41" s="180" t="s">
        <v>5</v>
      </c>
      <c r="C41" s="181"/>
      <c r="D41" s="14">
        <f>IF(F3="1",SUMIF(Data!A:A,'52'!$A$2,Data!CZ:CZ),0)</f>
        <v>46346</v>
      </c>
      <c r="E41" s="17">
        <f>IF($F$3="1",SUMIF(Data!$A:$A,$A$2,Data!IT:IT),0)</f>
        <v>53541</v>
      </c>
      <c r="F41" s="21">
        <f t="shared" si="3"/>
        <v>1.1599999999999999</v>
      </c>
    </row>
    <row r="42" spans="1:6" x14ac:dyDescent="0.2">
      <c r="A42" s="19">
        <v>7</v>
      </c>
      <c r="B42" s="180" t="s">
        <v>6</v>
      </c>
      <c r="C42" s="181"/>
      <c r="D42" s="14">
        <f>IF(F3="1",SUMIF(Data!A:A,'52'!$A$2,Data!DA:DA),0)</f>
        <v>251945</v>
      </c>
      <c r="E42" s="17">
        <f>IF($F$3="1",SUMIF(Data!$A:$A,$A$2,Data!IU:IU),0)</f>
        <v>433122</v>
      </c>
      <c r="F42" s="21">
        <f t="shared" si="3"/>
        <v>1.72</v>
      </c>
    </row>
    <row r="43" spans="1:6" x14ac:dyDescent="0.2">
      <c r="A43" s="19">
        <v>8</v>
      </c>
      <c r="B43" s="180" t="s">
        <v>7</v>
      </c>
      <c r="C43" s="181"/>
      <c r="D43" s="14">
        <f>IF(F3="1",SUMIF(Data!A:A,'52'!$A$2,Data!DB:DB),0)</f>
        <v>16913</v>
      </c>
      <c r="E43" s="17">
        <f>IF($F$3="1",SUMIF(Data!$A:$A,$A$2,Data!IV:IV),0)</f>
        <v>14753</v>
      </c>
      <c r="F43" s="21">
        <f t="shared" si="3"/>
        <v>0.87</v>
      </c>
    </row>
    <row r="44" spans="1:6" x14ac:dyDescent="0.2">
      <c r="A44" s="19">
        <v>9</v>
      </c>
      <c r="B44" s="180" t="s">
        <v>8</v>
      </c>
      <c r="C44" s="181"/>
      <c r="D44" s="14">
        <f>IF(F3="1",SUMIF(Data!A:A,'52'!$A$2,Data!DC:DC),0)</f>
        <v>48</v>
      </c>
      <c r="E44" s="17">
        <f>IF($F$3="1",SUMIF(Data!$A:$A,$A$2,Data!IW:IW),0)</f>
        <v>213</v>
      </c>
      <c r="F44" s="21">
        <f t="shared" si="3"/>
        <v>4.4400000000000004</v>
      </c>
    </row>
    <row r="45" spans="1:6" x14ac:dyDescent="0.2">
      <c r="A45" s="19">
        <v>10</v>
      </c>
      <c r="B45" s="180" t="s">
        <v>9</v>
      </c>
      <c r="C45" s="181"/>
      <c r="D45" s="14">
        <f>IF(F3="1",SUMIF(Data!A:A,'52'!$A$2,Data!DD:DD),0)</f>
        <v>0</v>
      </c>
      <c r="E45" s="17">
        <f>IF($F$3="1",SUMIF(Data!$A:$A,$A$2,Data!IX:IX),0)</f>
        <v>0</v>
      </c>
      <c r="F45" s="21" t="str">
        <f t="shared" si="3"/>
        <v/>
      </c>
    </row>
    <row r="46" spans="1:6" x14ac:dyDescent="0.2">
      <c r="A46" s="19">
        <v>11</v>
      </c>
      <c r="B46" s="180" t="s">
        <v>10</v>
      </c>
      <c r="C46" s="181"/>
      <c r="D46" s="14">
        <f>IF(F3="1",SUMIF(Data!A:A,'52'!$A$2,Data!DE:DE),0)</f>
        <v>94276</v>
      </c>
      <c r="E46" s="17">
        <f>IF($F$3="1",SUMIF(Data!$A:$A,$A$2,Data!IY:IY),0)</f>
        <v>120680</v>
      </c>
      <c r="F46" s="21">
        <f t="shared" si="3"/>
        <v>1.28</v>
      </c>
    </row>
    <row r="47" spans="1:6" ht="14.25" customHeight="1" x14ac:dyDescent="0.2">
      <c r="A47" s="19">
        <v>12</v>
      </c>
      <c r="B47" s="180" t="s">
        <v>11</v>
      </c>
      <c r="C47" s="181"/>
      <c r="D47" s="14">
        <f>IF(F3="1",SUMIF(Data!A:A,'52'!$A$2,Data!DF:DF),0)</f>
        <v>124064</v>
      </c>
      <c r="E47" s="17">
        <f>IF($F$3="1",SUMIF(Data!$A:$A,$A$2,Data!IZ:IZ),0)</f>
        <v>136329</v>
      </c>
      <c r="F47" s="21">
        <f t="shared" si="3"/>
        <v>1.1000000000000001</v>
      </c>
    </row>
    <row r="48" spans="1:6" x14ac:dyDescent="0.2">
      <c r="A48" s="19">
        <v>13</v>
      </c>
      <c r="B48" s="180" t="s">
        <v>12</v>
      </c>
      <c r="C48" s="181"/>
      <c r="D48" s="14">
        <f>IF(F3="1",SUMIF(Data!A:A,'52'!$A$2,Data!DG:DG),0)</f>
        <v>784</v>
      </c>
      <c r="E48" s="17">
        <f>IF($F$3="1",SUMIF(Data!$A:$A,$A$2,Data!JA:JA),0)</f>
        <v>3413</v>
      </c>
      <c r="F48" s="21">
        <f t="shared" si="3"/>
        <v>4.3499999999999996</v>
      </c>
    </row>
    <row r="49" spans="1:6" ht="14.25" customHeight="1" x14ac:dyDescent="0.2">
      <c r="A49" s="19">
        <v>14</v>
      </c>
      <c r="B49" s="180" t="s">
        <v>464</v>
      </c>
      <c r="C49" s="181"/>
      <c r="D49" s="14">
        <f>IF(F3="1",SUMIF(Data!A:A,'52'!$A$2,Data!DH:DH),0)</f>
        <v>35081</v>
      </c>
      <c r="E49" s="17">
        <f>IF($F$3="1",SUMIF(Data!$A:$A,$A$2,Data!JB:JB),0)</f>
        <v>47604</v>
      </c>
      <c r="F49" s="21">
        <f t="shared" si="3"/>
        <v>1.36</v>
      </c>
    </row>
    <row r="50" spans="1:6" x14ac:dyDescent="0.2">
      <c r="A50" s="19">
        <v>15</v>
      </c>
      <c r="B50" s="180" t="s">
        <v>13</v>
      </c>
      <c r="C50" s="181"/>
      <c r="D50" s="14">
        <f>IF(F3="1",SUMIF(Data!A:A,'52'!$A$2,Data!DI:DI),0)</f>
        <v>0</v>
      </c>
      <c r="E50" s="17">
        <f>IF($F$3="1",SUMIF(Data!$A:$A,$A$2,Data!JC:JC),0)</f>
        <v>0</v>
      </c>
      <c r="F50" s="21" t="str">
        <f t="shared" si="3"/>
        <v/>
      </c>
    </row>
    <row r="51" spans="1:6" x14ac:dyDescent="0.2">
      <c r="A51" s="19">
        <v>16</v>
      </c>
      <c r="B51" s="180" t="s">
        <v>14</v>
      </c>
      <c r="C51" s="181"/>
      <c r="D51" s="14">
        <f>IF(F3="1",SUMIF(Data!A:A,'52'!$A$2,Data!DJ:DJ),0)</f>
        <v>260096</v>
      </c>
      <c r="E51" s="17">
        <f>IF($F$3="1",SUMIF(Data!$A:$A,$A$2,Data!JD:JD),0)</f>
        <v>214312</v>
      </c>
      <c r="F51" s="21">
        <f t="shared" si="3"/>
        <v>0.82</v>
      </c>
    </row>
    <row r="52" spans="1:6" x14ac:dyDescent="0.2">
      <c r="A52" s="19">
        <v>17</v>
      </c>
      <c r="B52" s="180" t="s">
        <v>15</v>
      </c>
      <c r="C52" s="181"/>
      <c r="D52" s="14">
        <f>IF(F3="1",SUMIF(Data!A:A,'52'!$A$2,Data!DK:DK),0)</f>
        <v>416</v>
      </c>
      <c r="E52" s="17">
        <f>IF($F$3="1",SUMIF(Data!$A:$A,$A$2,Data!JE:JE),0)</f>
        <v>1363</v>
      </c>
      <c r="F52" s="21">
        <f t="shared" si="3"/>
        <v>3.28</v>
      </c>
    </row>
    <row r="53" spans="1:6" x14ac:dyDescent="0.2">
      <c r="A53" s="19">
        <v>18</v>
      </c>
      <c r="B53" s="180" t="s">
        <v>16</v>
      </c>
      <c r="C53" s="181"/>
      <c r="D53" s="14">
        <f>IF(F3="1",SUMIF(Data!A:A,'52'!$A$2,Data!DL:DL),0)</f>
        <v>190818</v>
      </c>
      <c r="E53" s="17">
        <f>IF($F$3="1",SUMIF(Data!$A:$A,$A$2,Data!JF:JF),0)</f>
        <v>208896</v>
      </c>
      <c r="F53" s="21">
        <f t="shared" si="3"/>
        <v>1.0900000000000001</v>
      </c>
    </row>
    <row r="54" spans="1:6" x14ac:dyDescent="0.2">
      <c r="A54" s="19">
        <v>19</v>
      </c>
      <c r="B54" s="180" t="s">
        <v>17</v>
      </c>
      <c r="C54" s="181"/>
      <c r="D54" s="14">
        <f>IF(F3="1",SUMIF(Data!A:A,'52'!$A$2,Data!DM:DM),0)</f>
        <v>70704</v>
      </c>
      <c r="E54" s="17">
        <f>IF($F$3="1",SUMIF(Data!$A:$A,$A$2,Data!JG:JG),0)</f>
        <v>81056</v>
      </c>
      <c r="F54" s="21">
        <f t="shared" si="3"/>
        <v>1.1499999999999999</v>
      </c>
    </row>
    <row r="55" spans="1:6" x14ac:dyDescent="0.2">
      <c r="A55" s="19">
        <v>20</v>
      </c>
      <c r="B55" s="180" t="s">
        <v>18</v>
      </c>
      <c r="C55" s="181"/>
      <c r="D55" s="14">
        <f>IF(F3="1",SUMIF(Data!A:A,'52'!$A$2,Data!DN:DN),0)</f>
        <v>105264</v>
      </c>
      <c r="E55" s="17">
        <f>IF($F$3="1",SUMIF(Data!$A:$A,$A$2,Data!JH:JH),0)</f>
        <v>127193</v>
      </c>
      <c r="F55" s="21">
        <f t="shared" si="3"/>
        <v>1.21</v>
      </c>
    </row>
    <row r="56" spans="1:6" ht="14.25" customHeight="1" x14ac:dyDescent="0.2">
      <c r="A56" s="19">
        <v>21</v>
      </c>
      <c r="B56" s="180" t="s">
        <v>461</v>
      </c>
      <c r="C56" s="181"/>
      <c r="D56" s="14">
        <f>IF(F3="1",SUMIF(Data!A:A,'52'!$A$2,Data!DO:DO),0)</f>
        <v>131248</v>
      </c>
      <c r="E56" s="17">
        <f>IF($F$3="1",SUMIF(Data!$A:$A,$A$2,Data!JI:JI),0)</f>
        <v>169169</v>
      </c>
      <c r="F56" s="21">
        <f t="shared" si="3"/>
        <v>1.29</v>
      </c>
    </row>
    <row r="57" spans="1:6" x14ac:dyDescent="0.2">
      <c r="A57" s="19">
        <v>22</v>
      </c>
      <c r="B57" s="180" t="s">
        <v>19</v>
      </c>
      <c r="C57" s="181"/>
      <c r="D57" s="14">
        <f>IF(F3="1",SUMIF(Data!A:A,'52'!$A$2,Data!DP:DP),0)</f>
        <v>17480</v>
      </c>
      <c r="E57" s="17">
        <f>IF($F$3="1",SUMIF(Data!$A:$A,$A$2,Data!JJ:JJ),0)</f>
        <v>26478</v>
      </c>
      <c r="F57" s="21">
        <f t="shared" si="3"/>
        <v>1.51</v>
      </c>
    </row>
    <row r="58" spans="1:6" x14ac:dyDescent="0.2">
      <c r="A58" s="19">
        <v>23</v>
      </c>
      <c r="B58" s="180" t="s">
        <v>20</v>
      </c>
      <c r="C58" s="181"/>
      <c r="D58" s="14">
        <f>IF(F3="1",SUMIF(Data!A:A,'52'!$A$2,Data!DQ:DQ),0)</f>
        <v>0</v>
      </c>
      <c r="E58" s="17">
        <f>IF($F$3="1",SUMIF(Data!$A:$A,$A$2,Data!JK:JK),0)</f>
        <v>0</v>
      </c>
      <c r="F58" s="21" t="str">
        <f t="shared" si="3"/>
        <v/>
      </c>
    </row>
    <row r="59" spans="1:6" x14ac:dyDescent="0.2">
      <c r="A59" s="19">
        <v>24</v>
      </c>
      <c r="B59" s="180" t="s">
        <v>21</v>
      </c>
      <c r="C59" s="181"/>
      <c r="D59" s="14">
        <f>IF(F3="1",SUMIF(Data!A:A,'52'!$A$2,Data!DR:DR),0)</f>
        <v>51896</v>
      </c>
      <c r="E59" s="17">
        <f>IF($F$3="1",SUMIF(Data!$A:$A,$A$2,Data!JL:JL),0)</f>
        <v>39453</v>
      </c>
      <c r="F59" s="21">
        <f t="shared" si="3"/>
        <v>0.76</v>
      </c>
    </row>
    <row r="60" spans="1:6" x14ac:dyDescent="0.2">
      <c r="A60" s="19">
        <v>25</v>
      </c>
      <c r="B60" s="180" t="s">
        <v>22</v>
      </c>
      <c r="C60" s="181"/>
      <c r="D60" s="14">
        <f>IF(F3="1",SUMIF(Data!A:A,'52'!$A$2,Data!DS:DS),0)</f>
        <v>22032</v>
      </c>
      <c r="E60" s="17">
        <f>IF($F$3="1",SUMIF(Data!$A:$A,$A$2,Data!JM:JM),0)</f>
        <v>16390</v>
      </c>
      <c r="F60" s="21">
        <f t="shared" si="3"/>
        <v>0.74</v>
      </c>
    </row>
    <row r="61" spans="1:6" x14ac:dyDescent="0.2">
      <c r="A61" s="19">
        <v>26</v>
      </c>
      <c r="B61" s="180" t="s">
        <v>23</v>
      </c>
      <c r="C61" s="181"/>
      <c r="D61" s="14">
        <f>IF(F3="1",SUMIF(Data!A:A,'52'!$A$2,Data!DT:DT),0)</f>
        <v>85024</v>
      </c>
      <c r="E61" s="17">
        <f>IF($F$3="1",SUMIF(Data!$A:$A,$A$2,Data!JN:JN),0)</f>
        <v>110599</v>
      </c>
      <c r="F61" s="21">
        <f t="shared" si="3"/>
        <v>1.3</v>
      </c>
    </row>
    <row r="62" spans="1:6" x14ac:dyDescent="0.2">
      <c r="A62" s="19">
        <v>28</v>
      </c>
      <c r="B62" s="180" t="s">
        <v>24</v>
      </c>
      <c r="C62" s="181"/>
      <c r="D62" s="14">
        <f>IF(F3="1",SUMIF(Data!A:A,'52'!$A$2,Data!DV:DV),0)</f>
        <v>0</v>
      </c>
      <c r="E62" s="17">
        <f>IF($F$3="1",SUMIF(Data!$A:$A,$A$2,Data!JP:JP),0)</f>
        <v>0</v>
      </c>
      <c r="F62" s="21" t="str">
        <f t="shared" si="3"/>
        <v/>
      </c>
    </row>
    <row r="63" spans="1:6" ht="15.75" customHeight="1" thickBot="1" x14ac:dyDescent="0.25">
      <c r="A63" s="22">
        <v>29</v>
      </c>
      <c r="B63" s="184" t="s">
        <v>25</v>
      </c>
      <c r="C63" s="185"/>
      <c r="D63" s="23">
        <f>IF(F3="1",SUMIF(Data!A:A,'52'!$A$2,Data!DW:DW),0)</f>
        <v>0</v>
      </c>
      <c r="E63" s="24">
        <f>IF($F$3="1",SUMIF(Data!$A:$A,$A$2,Data!JQ:JQ),0)</f>
        <v>0</v>
      </c>
      <c r="F63" s="25" t="str">
        <f t="shared" si="3"/>
        <v/>
      </c>
    </row>
    <row r="64" spans="1:6" x14ac:dyDescent="0.2">
      <c r="B64" s="30" t="s">
        <v>35</v>
      </c>
      <c r="C64" s="30"/>
      <c r="D64" s="59">
        <f>SUM(D36:D63)</f>
        <v>1930928</v>
      </c>
      <c r="E64" s="31">
        <f>SUM(E36:E63)</f>
        <v>2486914</v>
      </c>
      <c r="F64" s="32">
        <f t="shared" si="3"/>
        <v>1.29</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0</v>
      </c>
      <c r="E67" s="15">
        <f>IF(F3="1",SUMIF(Data!A:A,'52'!$A$2,Data!DY:DY),0)</f>
        <v>0</v>
      </c>
      <c r="F67" s="20" t="str">
        <f t="shared" ref="F67:F95" si="4">IF(OR(D67=0,E67=0),"",ROUND(E67/D67,2))</f>
        <v/>
      </c>
    </row>
    <row r="68" spans="1:6" x14ac:dyDescent="0.2">
      <c r="A68" s="19">
        <v>2</v>
      </c>
      <c r="B68" s="180" t="s">
        <v>1</v>
      </c>
      <c r="C68" s="181"/>
      <c r="D68" s="14">
        <f t="shared" ref="D68:D94" si="5">D37</f>
        <v>110268</v>
      </c>
      <c r="E68" s="17">
        <f>IF(F3="1",SUMIF(Data!A:A,'52'!$A$2,Data!DZ:DZ),0)</f>
        <v>397336</v>
      </c>
      <c r="F68" s="21">
        <f t="shared" si="4"/>
        <v>3.6</v>
      </c>
    </row>
    <row r="69" spans="1:6" ht="14.25" customHeight="1" x14ac:dyDescent="0.2">
      <c r="A69" s="19">
        <v>3</v>
      </c>
      <c r="B69" s="180" t="s">
        <v>2</v>
      </c>
      <c r="C69" s="181"/>
      <c r="D69" s="14">
        <f t="shared" si="5"/>
        <v>14112</v>
      </c>
      <c r="E69" s="17">
        <f>IF(F3="1",SUMIF(Data!A:A,'52'!$A$2,Data!EA:EA),0)</f>
        <v>67096</v>
      </c>
      <c r="F69" s="21">
        <f t="shared" si="4"/>
        <v>4.75</v>
      </c>
    </row>
    <row r="70" spans="1:6" ht="14.25" customHeight="1" x14ac:dyDescent="0.2">
      <c r="A70" s="19">
        <v>4</v>
      </c>
      <c r="B70" s="180" t="s">
        <v>3</v>
      </c>
      <c r="C70" s="181"/>
      <c r="D70" s="14">
        <f t="shared" si="5"/>
        <v>299016</v>
      </c>
      <c r="E70" s="17">
        <f>IF(F3="1",SUMIF(Data!A:A,'52'!$A$2,Data!EB:EB),0)</f>
        <v>755926</v>
      </c>
      <c r="F70" s="21">
        <f t="shared" si="4"/>
        <v>2.5299999999999998</v>
      </c>
    </row>
    <row r="71" spans="1:6" x14ac:dyDescent="0.2">
      <c r="A71" s="19">
        <v>5</v>
      </c>
      <c r="B71" s="180" t="s">
        <v>4</v>
      </c>
      <c r="C71" s="181"/>
      <c r="D71" s="14">
        <f t="shared" si="5"/>
        <v>3097</v>
      </c>
      <c r="E71" s="17">
        <f>IF(F3="1",SUMIF(Data!A:A,'52'!$A$2,Data!EC:EC),0)</f>
        <v>76533</v>
      </c>
      <c r="F71" s="21">
        <f t="shared" si="4"/>
        <v>24.71</v>
      </c>
    </row>
    <row r="72" spans="1:6" x14ac:dyDescent="0.2">
      <c r="A72" s="19">
        <v>6</v>
      </c>
      <c r="B72" s="180" t="s">
        <v>5</v>
      </c>
      <c r="C72" s="181"/>
      <c r="D72" s="14">
        <f t="shared" si="5"/>
        <v>46346</v>
      </c>
      <c r="E72" s="17">
        <f>IF(F3="1",SUMIF(Data!A:A,'52'!$A$2,Data!ED:ED),0)</f>
        <v>94622</v>
      </c>
      <c r="F72" s="21">
        <f t="shared" si="4"/>
        <v>2.04</v>
      </c>
    </row>
    <row r="73" spans="1:6" x14ac:dyDescent="0.2">
      <c r="A73" s="19">
        <v>7</v>
      </c>
      <c r="B73" s="180" t="s">
        <v>6</v>
      </c>
      <c r="C73" s="181"/>
      <c r="D73" s="14">
        <f t="shared" si="5"/>
        <v>251945</v>
      </c>
      <c r="E73" s="17">
        <f>IF(F3="1",SUMIF(Data!A:A,'52'!$A$2,Data!EE:EE),0)</f>
        <v>495531</v>
      </c>
      <c r="F73" s="21">
        <f t="shared" si="4"/>
        <v>1.97</v>
      </c>
    </row>
    <row r="74" spans="1:6" x14ac:dyDescent="0.2">
      <c r="A74" s="19">
        <v>8</v>
      </c>
      <c r="B74" s="180" t="s">
        <v>7</v>
      </c>
      <c r="C74" s="181"/>
      <c r="D74" s="14">
        <f t="shared" si="5"/>
        <v>16913</v>
      </c>
      <c r="E74" s="17">
        <f>IF(F3="1",SUMIF(Data!A:A,'52'!$A$2,Data!EF:EF),0)</f>
        <v>46668</v>
      </c>
      <c r="F74" s="21">
        <f t="shared" si="4"/>
        <v>2.76</v>
      </c>
    </row>
    <row r="75" spans="1:6" x14ac:dyDescent="0.2">
      <c r="A75" s="19">
        <v>9</v>
      </c>
      <c r="B75" s="180" t="s">
        <v>8</v>
      </c>
      <c r="C75" s="181"/>
      <c r="D75" s="14">
        <f t="shared" si="5"/>
        <v>48</v>
      </c>
      <c r="E75" s="17">
        <f>IF(F3="1",SUMIF(Data!A:A,'52'!$A$2,Data!EG:EG),0)</f>
        <v>0</v>
      </c>
      <c r="F75" s="21" t="str">
        <f t="shared" si="4"/>
        <v/>
      </c>
    </row>
    <row r="76" spans="1:6" x14ac:dyDescent="0.2">
      <c r="A76" s="19">
        <v>10</v>
      </c>
      <c r="B76" s="180" t="s">
        <v>9</v>
      </c>
      <c r="C76" s="181"/>
      <c r="D76" s="14">
        <f t="shared" si="5"/>
        <v>0</v>
      </c>
      <c r="E76" s="17">
        <f>IF(F3="1",SUMIF(Data!A:A,'52'!$A$2,Data!EH:EH),0)</f>
        <v>0</v>
      </c>
      <c r="F76" s="21" t="str">
        <f t="shared" si="4"/>
        <v/>
      </c>
    </row>
    <row r="77" spans="1:6" x14ac:dyDescent="0.2">
      <c r="A77" s="19">
        <v>11</v>
      </c>
      <c r="B77" s="180" t="s">
        <v>10</v>
      </c>
      <c r="C77" s="181"/>
      <c r="D77" s="14">
        <f t="shared" si="5"/>
        <v>94276</v>
      </c>
      <c r="E77" s="17">
        <f>IF(F3="1",SUMIF(Data!A:A,'52'!$A$2,Data!EI:EI),0)</f>
        <v>510917</v>
      </c>
      <c r="F77" s="21">
        <f t="shared" si="4"/>
        <v>5.42</v>
      </c>
    </row>
    <row r="78" spans="1:6" ht="14.25" customHeight="1" x14ac:dyDescent="0.2">
      <c r="A78" s="19">
        <v>12</v>
      </c>
      <c r="B78" s="180" t="s">
        <v>11</v>
      </c>
      <c r="C78" s="181"/>
      <c r="D78" s="14">
        <f t="shared" si="5"/>
        <v>124064</v>
      </c>
      <c r="E78" s="17">
        <f>IF(F3="1",SUMIF(Data!A:A,'52'!$A$2,Data!EJ:EJ),0)</f>
        <v>302925</v>
      </c>
      <c r="F78" s="21">
        <f t="shared" si="4"/>
        <v>2.44</v>
      </c>
    </row>
    <row r="79" spans="1:6" x14ac:dyDescent="0.2">
      <c r="A79" s="19">
        <v>13</v>
      </c>
      <c r="B79" s="180" t="s">
        <v>12</v>
      </c>
      <c r="C79" s="181"/>
      <c r="D79" s="14">
        <f t="shared" si="5"/>
        <v>784</v>
      </c>
      <c r="E79" s="17">
        <f>IF(F3="1",SUMIF(Data!A:A,'52'!$A$2,Data!EK:EK),0)</f>
        <v>2</v>
      </c>
      <c r="F79" s="21">
        <f t="shared" si="4"/>
        <v>0</v>
      </c>
    </row>
    <row r="80" spans="1:6" ht="14.25" customHeight="1" x14ac:dyDescent="0.2">
      <c r="A80" s="19">
        <v>14</v>
      </c>
      <c r="B80" s="180" t="s">
        <v>464</v>
      </c>
      <c r="C80" s="181"/>
      <c r="D80" s="14">
        <f t="shared" si="5"/>
        <v>35081</v>
      </c>
      <c r="E80" s="17">
        <f>IF(F3="1",SUMIF(Data!A:A,'52'!$A$2,Data!EL:EL),0)</f>
        <v>127721</v>
      </c>
      <c r="F80" s="21">
        <f t="shared" si="4"/>
        <v>3.64</v>
      </c>
    </row>
    <row r="81" spans="1:6" x14ac:dyDescent="0.2">
      <c r="A81" s="19">
        <v>15</v>
      </c>
      <c r="B81" s="180" t="s">
        <v>13</v>
      </c>
      <c r="C81" s="181"/>
      <c r="D81" s="14">
        <f t="shared" si="5"/>
        <v>0</v>
      </c>
      <c r="E81" s="17">
        <f>IF(F3="1",SUMIF(Data!A:A,'52'!$A$2,Data!EM:EM),0)</f>
        <v>0</v>
      </c>
      <c r="F81" s="21" t="str">
        <f t="shared" si="4"/>
        <v/>
      </c>
    </row>
    <row r="82" spans="1:6" x14ac:dyDescent="0.2">
      <c r="A82" s="19">
        <v>16</v>
      </c>
      <c r="B82" s="180" t="s">
        <v>14</v>
      </c>
      <c r="C82" s="181"/>
      <c r="D82" s="14">
        <f t="shared" si="5"/>
        <v>260096</v>
      </c>
      <c r="E82" s="17">
        <f>IF(F3="1",SUMIF(Data!A:A,'52'!$A$2,Data!EN:EN),0)</f>
        <v>406195</v>
      </c>
      <c r="F82" s="21">
        <f t="shared" si="4"/>
        <v>1.56</v>
      </c>
    </row>
    <row r="83" spans="1:6" x14ac:dyDescent="0.2">
      <c r="A83" s="19">
        <v>17</v>
      </c>
      <c r="B83" s="180" t="s">
        <v>15</v>
      </c>
      <c r="C83" s="181"/>
      <c r="D83" s="14">
        <f t="shared" si="5"/>
        <v>416</v>
      </c>
      <c r="E83" s="17">
        <f>IF(F3="1",SUMIF(Data!A:A,'52'!$A$2,Data!EO:EO),0)</f>
        <v>1200</v>
      </c>
      <c r="F83" s="21">
        <f t="shared" si="4"/>
        <v>2.88</v>
      </c>
    </row>
    <row r="84" spans="1:6" x14ac:dyDescent="0.2">
      <c r="A84" s="19">
        <v>18</v>
      </c>
      <c r="B84" s="180" t="s">
        <v>16</v>
      </c>
      <c r="C84" s="181"/>
      <c r="D84" s="14">
        <f t="shared" si="5"/>
        <v>190818</v>
      </c>
      <c r="E84" s="17">
        <f>IF(F3="1",SUMIF(Data!A:A,'52'!$A$2,Data!EP:EP),0)</f>
        <v>338747</v>
      </c>
      <c r="F84" s="21">
        <f t="shared" si="4"/>
        <v>1.78</v>
      </c>
    </row>
    <row r="85" spans="1:6" x14ac:dyDescent="0.2">
      <c r="A85" s="19">
        <v>19</v>
      </c>
      <c r="B85" s="180" t="s">
        <v>17</v>
      </c>
      <c r="C85" s="181"/>
      <c r="D85" s="14">
        <f t="shared" si="5"/>
        <v>70704</v>
      </c>
      <c r="E85" s="17">
        <f>IF(F3="1",SUMIF(Data!A:A,'52'!$A$2,Data!EQ:EQ),0)</f>
        <v>236564</v>
      </c>
      <c r="F85" s="21">
        <f t="shared" si="4"/>
        <v>3.35</v>
      </c>
    </row>
    <row r="86" spans="1:6" x14ac:dyDescent="0.2">
      <c r="A86" s="19">
        <v>20</v>
      </c>
      <c r="B86" s="180" t="s">
        <v>18</v>
      </c>
      <c r="C86" s="181"/>
      <c r="D86" s="14">
        <f t="shared" si="5"/>
        <v>105264</v>
      </c>
      <c r="E86" s="17">
        <f>IF(F3="1",SUMIF(Data!A:A,'52'!$A$2,Data!ER:ER),0)</f>
        <v>258219</v>
      </c>
      <c r="F86" s="21">
        <f t="shared" si="4"/>
        <v>2.4500000000000002</v>
      </c>
    </row>
    <row r="87" spans="1:6" ht="14.25" customHeight="1" x14ac:dyDescent="0.2">
      <c r="A87" s="19">
        <v>21</v>
      </c>
      <c r="B87" s="180" t="s">
        <v>461</v>
      </c>
      <c r="C87" s="181"/>
      <c r="D87" s="14">
        <f t="shared" si="5"/>
        <v>131248</v>
      </c>
      <c r="E87" s="17">
        <f>IF(F3="1",SUMIF(Data!A:A,'52'!$A$2,Data!ES:ES),0)</f>
        <v>423546</v>
      </c>
      <c r="F87" s="21">
        <f t="shared" si="4"/>
        <v>3.23</v>
      </c>
    </row>
    <row r="88" spans="1:6" x14ac:dyDescent="0.2">
      <c r="A88" s="19">
        <v>22</v>
      </c>
      <c r="B88" s="180" t="s">
        <v>19</v>
      </c>
      <c r="C88" s="181"/>
      <c r="D88" s="14">
        <f t="shared" si="5"/>
        <v>17480</v>
      </c>
      <c r="E88" s="17">
        <f>IF(F3="1",SUMIF(Data!A:A,'52'!$A$2,Data!ET:ET),0)</f>
        <v>89901</v>
      </c>
      <c r="F88" s="21">
        <f t="shared" si="4"/>
        <v>5.14</v>
      </c>
    </row>
    <row r="89" spans="1:6" x14ac:dyDescent="0.2">
      <c r="A89" s="19">
        <v>23</v>
      </c>
      <c r="B89" s="180" t="s">
        <v>20</v>
      </c>
      <c r="C89" s="181"/>
      <c r="D89" s="14">
        <f t="shared" si="5"/>
        <v>0</v>
      </c>
      <c r="E89" s="17">
        <f>IF(F3="1",SUMIF(Data!A:A,'52'!$A$2,Data!EU:EU),0)</f>
        <v>0</v>
      </c>
      <c r="F89" s="21" t="str">
        <f t="shared" si="4"/>
        <v/>
      </c>
    </row>
    <row r="90" spans="1:6" x14ac:dyDescent="0.2">
      <c r="A90" s="19">
        <v>24</v>
      </c>
      <c r="B90" s="180" t="s">
        <v>21</v>
      </c>
      <c r="C90" s="181"/>
      <c r="D90" s="14">
        <f t="shared" si="5"/>
        <v>51896</v>
      </c>
      <c r="E90" s="17">
        <f>IF(F3="1",SUMIF(Data!A:A,'52'!$A$2,Data!EV:EV),0)</f>
        <v>102956</v>
      </c>
      <c r="F90" s="21">
        <f t="shared" si="4"/>
        <v>1.98</v>
      </c>
    </row>
    <row r="91" spans="1:6" x14ac:dyDescent="0.2">
      <c r="A91" s="19">
        <v>25</v>
      </c>
      <c r="B91" s="180" t="s">
        <v>22</v>
      </c>
      <c r="C91" s="181"/>
      <c r="D91" s="14">
        <f t="shared" si="5"/>
        <v>22032</v>
      </c>
      <c r="E91" s="17">
        <f>IF(F3="1",SUMIF(Data!A:A,'52'!$A$2,Data!EW:EW),0)</f>
        <v>48422</v>
      </c>
      <c r="F91" s="21">
        <f t="shared" si="4"/>
        <v>2.2000000000000002</v>
      </c>
    </row>
    <row r="92" spans="1:6" x14ac:dyDescent="0.2">
      <c r="A92" s="19">
        <v>26</v>
      </c>
      <c r="B92" s="180" t="s">
        <v>23</v>
      </c>
      <c r="C92" s="181"/>
      <c r="D92" s="14">
        <f t="shared" si="5"/>
        <v>85024</v>
      </c>
      <c r="E92" s="17">
        <f>IF(F3="1",SUMIF(Data!A:A,'52'!$A$2,Data!EX:EX),0)</f>
        <v>282860</v>
      </c>
      <c r="F92" s="21">
        <f t="shared" si="4"/>
        <v>3.33</v>
      </c>
    </row>
    <row r="93" spans="1:6" x14ac:dyDescent="0.2">
      <c r="A93" s="19">
        <v>28</v>
      </c>
      <c r="B93" s="180" t="s">
        <v>24</v>
      </c>
      <c r="C93" s="181"/>
      <c r="D93" s="14">
        <f t="shared" si="5"/>
        <v>0</v>
      </c>
      <c r="E93" s="17">
        <f>IF(F3="1",SUMIF(Data!A:A,'52'!$A$2,Data!EZ:EZ),0)</f>
        <v>0</v>
      </c>
      <c r="F93" s="21" t="str">
        <f t="shared" si="4"/>
        <v/>
      </c>
    </row>
    <row r="94" spans="1:6" ht="15.75" customHeight="1" thickBot="1" x14ac:dyDescent="0.25">
      <c r="A94" s="22">
        <v>29</v>
      </c>
      <c r="B94" s="184" t="s">
        <v>25</v>
      </c>
      <c r="C94" s="185"/>
      <c r="D94" s="23">
        <f t="shared" si="5"/>
        <v>0</v>
      </c>
      <c r="E94" s="24">
        <f>IF(F3="1",SUMIF(Data!A:A,'52'!$A$2,Data!FA:FA),0)</f>
        <v>0</v>
      </c>
      <c r="F94" s="25" t="str">
        <f t="shared" si="4"/>
        <v/>
      </c>
    </row>
    <row r="95" spans="1:6" x14ac:dyDescent="0.2">
      <c r="B95" s="30" t="s">
        <v>35</v>
      </c>
      <c r="C95" s="30"/>
      <c r="D95" s="59">
        <f>SUM(D67:D94)</f>
        <v>1930928</v>
      </c>
      <c r="E95" s="31">
        <f>SUM(E67:E94)</f>
        <v>5063887</v>
      </c>
      <c r="F95" s="32">
        <f t="shared" si="4"/>
        <v>2.62</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IF(F3="1",SUMIF(Data!A:A,'52'!$A$2,Data!AH:AH),0)</f>
        <v>2134096</v>
      </c>
      <c r="F98" s="20">
        <f>IF(OR(E98=0,E98=0),"",ROUND(E98/$D$105,2))</f>
        <v>1.1100000000000001</v>
      </c>
    </row>
    <row r="99" spans="2:6" x14ac:dyDescent="0.2">
      <c r="B99" s="190" t="s">
        <v>31</v>
      </c>
      <c r="C99" s="191"/>
      <c r="D99" s="36"/>
      <c r="E99" s="17">
        <f>IF(F3="1",SUMIF(Data!A:A,'52'!$A$2,Data!AI:AI),0)</f>
        <v>1432672</v>
      </c>
      <c r="F99" s="21">
        <f t="shared" ref="F99:F104" si="6">IF(OR(E99=0,E99=0),"",ROUND(E99/$D$105,2))</f>
        <v>0.74</v>
      </c>
    </row>
    <row r="100" spans="2:6" x14ac:dyDescent="0.2">
      <c r="B100" s="190" t="s">
        <v>1089</v>
      </c>
      <c r="C100" s="191"/>
      <c r="D100" s="36"/>
      <c r="E100" s="17">
        <f>IF(F3="1",SUMIF(Data!A:A,'52'!$A$2,Data!AJ:AJ),0)</f>
        <v>177959</v>
      </c>
      <c r="F100" s="21">
        <f t="shared" si="6"/>
        <v>0.09</v>
      </c>
    </row>
    <row r="101" spans="2:6" x14ac:dyDescent="0.2">
      <c r="B101" s="190" t="s">
        <v>1090</v>
      </c>
      <c r="C101" s="191"/>
      <c r="D101" s="36"/>
      <c r="E101" s="17">
        <f>IF(F3="1",SUMIF(Data!A:A,'52'!$A$2,Data!AK:AK),0)</f>
        <v>267443</v>
      </c>
      <c r="F101" s="21">
        <f t="shared" si="6"/>
        <v>0.14000000000000001</v>
      </c>
    </row>
    <row r="102" spans="2:6" x14ac:dyDescent="0.2">
      <c r="B102" s="190" t="s">
        <v>1091</v>
      </c>
      <c r="C102" s="191"/>
      <c r="D102" s="36"/>
      <c r="E102" s="17">
        <f>IF(F3="1",SUMIF(Data!A:A,'52'!$A$2,Data!AL:AL),0)</f>
        <v>0</v>
      </c>
      <c r="F102" s="21" t="str">
        <f t="shared" si="6"/>
        <v/>
      </c>
    </row>
    <row r="103" spans="2:6" x14ac:dyDescent="0.2">
      <c r="B103" s="192" t="s">
        <v>34</v>
      </c>
      <c r="C103" s="193"/>
      <c r="D103" s="36"/>
      <c r="E103" s="17">
        <f>IF(F3="1",SUMIF(Data!A:A,'52'!$A$2,Data!AM:AM),0)</f>
        <v>0</v>
      </c>
      <c r="F103" s="21" t="str">
        <f t="shared" si="6"/>
        <v/>
      </c>
    </row>
    <row r="104" spans="2:6" ht="15.75" customHeight="1" thickBot="1" x14ac:dyDescent="0.25">
      <c r="B104" s="186" t="s">
        <v>29</v>
      </c>
      <c r="C104" s="187"/>
      <c r="D104" s="37"/>
      <c r="E104" s="24">
        <f>IF(F3="1",SUMIF(Data!A:A,'52'!$A$2,Data!Q:Q),0)</f>
        <v>404356</v>
      </c>
      <c r="F104" s="25">
        <f t="shared" si="6"/>
        <v>0.21</v>
      </c>
    </row>
    <row r="105" spans="2:6" x14ac:dyDescent="0.2">
      <c r="B105" s="30" t="s">
        <v>35</v>
      </c>
      <c r="C105" s="30"/>
      <c r="D105" s="34">
        <f>D95</f>
        <v>1930928</v>
      </c>
      <c r="E105" s="31">
        <f>SUM(E98:E104)</f>
        <v>4416526</v>
      </c>
      <c r="F105" s="32">
        <f>IF($D$105=0,"",ROUND(E105/$D$105,2))</f>
        <v>2.29</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5063887</v>
      </c>
      <c r="D109" s="15">
        <f>IF(F3="1",SUMIF(Data!$A:$A,$A$2,Data!HJ:HJ),0)</f>
        <v>0</v>
      </c>
      <c r="E109" s="15">
        <f>IF(F3="1",SUMIF(Data!$A:$A,$A$2,Data!IN:IN),0)</f>
        <v>0</v>
      </c>
      <c r="F109" s="47">
        <f>SUM(C109:E109)</f>
        <v>5063887</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404356</v>
      </c>
      <c r="E117" s="52"/>
      <c r="F117" s="49">
        <f>SUM(C117:E117)</f>
        <v>404356</v>
      </c>
    </row>
    <row r="118" spans="1:6" x14ac:dyDescent="0.2">
      <c r="B118" s="13" t="s">
        <v>35</v>
      </c>
      <c r="C118" s="4">
        <f>SUM(C109:C116)</f>
        <v>5063887</v>
      </c>
      <c r="D118" s="4">
        <f>SUM(D109:D116)</f>
        <v>0</v>
      </c>
      <c r="E118" s="4">
        <f>SUM(E109:E116)</f>
        <v>0</v>
      </c>
      <c r="F118" s="4">
        <f>SUM(F109:F116)</f>
        <v>5063887</v>
      </c>
    </row>
    <row r="119" spans="1:6" ht="15" thickBot="1" x14ac:dyDescent="0.25"/>
    <row r="120" spans="1:6" ht="15" thickBot="1" x14ac:dyDescent="0.25">
      <c r="B120" s="55" t="s">
        <v>934</v>
      </c>
      <c r="C120" s="53"/>
      <c r="D120" s="53"/>
      <c r="E120" s="53">
        <f>IF(F3="1",SUMIF(Data!A:A,'52'!$A$2,Data!AM:AM),0)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9.28515625" style="10" bestFit="1" customWidth="1"/>
    <col min="12" max="12" width="12.42578125" style="10" bestFit="1" customWidth="1"/>
    <col min="13" max="13" width="10.5703125" style="10" bestFit="1" customWidth="1"/>
    <col min="14"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1080</v>
      </c>
      <c r="B2" s="58" t="str">
        <f>VLOOKUP(A2,Data!A:G,7,0)</f>
        <v>Texas State Technical Collage-Marshall</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1824</v>
      </c>
      <c r="E5" s="15">
        <f>E36+E67+IFERROR($E$105/$D$105*D5,0)</f>
        <v>18806.204964069737</v>
      </c>
      <c r="F5" s="20">
        <f>IF(OR(D5=0,E5=0),"",ROUND(E5/D5,2))</f>
        <v>10.31</v>
      </c>
    </row>
    <row r="6" spans="1:6" x14ac:dyDescent="0.2">
      <c r="A6" s="19">
        <v>2</v>
      </c>
      <c r="B6" s="180" t="s">
        <v>1</v>
      </c>
      <c r="C6" s="181"/>
      <c r="D6" s="14">
        <f t="shared" ref="D6:D32" si="0">D37</f>
        <v>49990</v>
      </c>
      <c r="E6" s="17">
        <f t="shared" ref="E6:E32" si="1">E37+E68+IFERROR($E$105/$D$105*D6,0)</f>
        <v>515387.7884615385</v>
      </c>
      <c r="F6" s="21">
        <f t="shared" ref="F6:F33" si="2">IF(OR(D6=0,E6=0),"",ROUND(E6/D6,2))</f>
        <v>10.31</v>
      </c>
    </row>
    <row r="7" spans="1:6" ht="14.25" customHeight="1" x14ac:dyDescent="0.2">
      <c r="A7" s="19">
        <v>3</v>
      </c>
      <c r="B7" s="180" t="s">
        <v>2</v>
      </c>
      <c r="C7" s="181"/>
      <c r="D7" s="14">
        <f t="shared" si="0"/>
        <v>13680</v>
      </c>
      <c r="E7" s="17">
        <f t="shared" si="1"/>
        <v>141038.53723052301</v>
      </c>
      <c r="F7" s="21">
        <f t="shared" si="2"/>
        <v>10.31</v>
      </c>
    </row>
    <row r="8" spans="1:6" ht="14.25" customHeight="1" x14ac:dyDescent="0.2">
      <c r="A8" s="19">
        <v>4</v>
      </c>
      <c r="B8" s="180" t="s">
        <v>3</v>
      </c>
      <c r="C8" s="181"/>
      <c r="D8" s="14">
        <f t="shared" si="0"/>
        <v>14932</v>
      </c>
      <c r="E8" s="17">
        <f t="shared" si="1"/>
        <v>105572.3358133165</v>
      </c>
      <c r="F8" s="21">
        <f t="shared" si="2"/>
        <v>7.07</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3396</v>
      </c>
      <c r="E10" s="17">
        <f t="shared" si="1"/>
        <v>35012.776347577208</v>
      </c>
      <c r="F10" s="21">
        <f t="shared" si="2"/>
        <v>10.31</v>
      </c>
    </row>
    <row r="11" spans="1:6" x14ac:dyDescent="0.2">
      <c r="A11" s="19">
        <v>7</v>
      </c>
      <c r="B11" s="180" t="s">
        <v>6</v>
      </c>
      <c r="C11" s="181"/>
      <c r="D11" s="14">
        <f t="shared" si="0"/>
        <v>94007</v>
      </c>
      <c r="E11" s="17">
        <f t="shared" si="1"/>
        <v>664659.33336474979</v>
      </c>
      <c r="F11" s="21">
        <f t="shared" si="2"/>
        <v>7.07</v>
      </c>
    </row>
    <row r="12" spans="1:6" x14ac:dyDescent="0.2">
      <c r="A12" s="19">
        <v>8</v>
      </c>
      <c r="B12" s="180" t="s">
        <v>7</v>
      </c>
      <c r="C12" s="181"/>
      <c r="D12" s="14">
        <f t="shared" si="0"/>
        <v>27164</v>
      </c>
      <c r="E12" s="17">
        <f t="shared" si="1"/>
        <v>280057.02612060873</v>
      </c>
      <c r="F12" s="21">
        <f t="shared" si="2"/>
        <v>10.31</v>
      </c>
    </row>
    <row r="13" spans="1:6" x14ac:dyDescent="0.2">
      <c r="A13" s="19">
        <v>9</v>
      </c>
      <c r="B13" s="180" t="s">
        <v>8</v>
      </c>
      <c r="C13" s="181"/>
      <c r="D13" s="14">
        <f t="shared" si="0"/>
        <v>0</v>
      </c>
      <c r="E13" s="17">
        <f t="shared" si="1"/>
        <v>0</v>
      </c>
      <c r="F13" s="21" t="str">
        <f t="shared" si="2"/>
        <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151161</v>
      </c>
      <c r="E15" s="17">
        <f t="shared" si="1"/>
        <v>1558444.8479022728</v>
      </c>
      <c r="F15" s="21">
        <f t="shared" si="2"/>
        <v>10.31</v>
      </c>
    </row>
    <row r="16" spans="1:6" ht="14.25" customHeight="1" x14ac:dyDescent="0.2">
      <c r="A16" s="19">
        <v>12</v>
      </c>
      <c r="B16" s="180" t="s">
        <v>11</v>
      </c>
      <c r="C16" s="181"/>
      <c r="D16" s="14">
        <f t="shared" si="0"/>
        <v>69648</v>
      </c>
      <c r="E16" s="17">
        <f t="shared" si="1"/>
        <v>581196.30007539969</v>
      </c>
      <c r="F16" s="21">
        <f t="shared" si="2"/>
        <v>8.34</v>
      </c>
    </row>
    <row r="17" spans="1:6" x14ac:dyDescent="0.2">
      <c r="A17" s="19">
        <v>13</v>
      </c>
      <c r="B17" s="180" t="s">
        <v>12</v>
      </c>
      <c r="C17" s="181"/>
      <c r="D17" s="14">
        <f t="shared" si="0"/>
        <v>0</v>
      </c>
      <c r="E17" s="17">
        <f t="shared" si="1"/>
        <v>0</v>
      </c>
      <c r="F17" s="21" t="str">
        <f t="shared" si="2"/>
        <v/>
      </c>
    </row>
    <row r="18" spans="1:6" ht="14.25" customHeight="1" x14ac:dyDescent="0.2">
      <c r="A18" s="19">
        <v>14</v>
      </c>
      <c r="B18" s="180" t="s">
        <v>464</v>
      </c>
      <c r="C18" s="181"/>
      <c r="D18" s="14">
        <f t="shared" si="0"/>
        <v>0</v>
      </c>
      <c r="E18" s="17">
        <f t="shared" si="1"/>
        <v>0</v>
      </c>
      <c r="F18" s="21" t="str">
        <f t="shared" si="2"/>
        <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0</v>
      </c>
      <c r="E20" s="17">
        <f t="shared" si="1"/>
        <v>0</v>
      </c>
      <c r="F20" s="21" t="str">
        <f t="shared" si="2"/>
        <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0</v>
      </c>
      <c r="E22" s="17">
        <f t="shared" si="1"/>
        <v>0</v>
      </c>
      <c r="F22" s="21" t="str">
        <f t="shared" si="2"/>
        <v/>
      </c>
    </row>
    <row r="23" spans="1:6" x14ac:dyDescent="0.2">
      <c r="A23" s="19">
        <v>19</v>
      </c>
      <c r="B23" s="180" t="s">
        <v>17</v>
      </c>
      <c r="C23" s="181"/>
      <c r="D23" s="14">
        <f t="shared" si="0"/>
        <v>45520</v>
      </c>
      <c r="E23" s="17">
        <f t="shared" si="1"/>
        <v>379853.43090156489</v>
      </c>
      <c r="F23" s="21">
        <f t="shared" si="2"/>
        <v>8.34</v>
      </c>
    </row>
    <row r="24" spans="1:6" x14ac:dyDescent="0.2">
      <c r="A24" s="19">
        <v>20</v>
      </c>
      <c r="B24" s="180" t="s">
        <v>18</v>
      </c>
      <c r="C24" s="181"/>
      <c r="D24" s="14">
        <f t="shared" si="0"/>
        <v>1440</v>
      </c>
      <c r="E24" s="17">
        <f t="shared" si="1"/>
        <v>13947.47760321295</v>
      </c>
      <c r="F24" s="21">
        <f t="shared" si="2"/>
        <v>9.69</v>
      </c>
    </row>
    <row r="25" spans="1:6" ht="14.25" customHeight="1" x14ac:dyDescent="0.2">
      <c r="A25" s="19">
        <v>21</v>
      </c>
      <c r="B25" s="180" t="s">
        <v>461</v>
      </c>
      <c r="C25" s="181"/>
      <c r="D25" s="14">
        <f t="shared" si="0"/>
        <v>22688</v>
      </c>
      <c r="E25" s="17">
        <f t="shared" si="1"/>
        <v>219745.39157062181</v>
      </c>
      <c r="F25" s="21">
        <f t="shared" si="2"/>
        <v>9.69</v>
      </c>
    </row>
    <row r="26" spans="1:6" x14ac:dyDescent="0.2">
      <c r="A26" s="19">
        <v>22</v>
      </c>
      <c r="B26" s="180" t="s">
        <v>19</v>
      </c>
      <c r="C26" s="181"/>
      <c r="D26" s="14">
        <f t="shared" si="0"/>
        <v>8958</v>
      </c>
      <c r="E26" s="17">
        <f t="shared" si="1"/>
        <v>92355.546089987227</v>
      </c>
      <c r="F26" s="21">
        <f t="shared" si="2"/>
        <v>10.31</v>
      </c>
    </row>
    <row r="27" spans="1:6" x14ac:dyDescent="0.2">
      <c r="A27" s="19">
        <v>23</v>
      </c>
      <c r="B27" s="180" t="s">
        <v>20</v>
      </c>
      <c r="C27" s="181"/>
      <c r="D27" s="14">
        <f t="shared" si="0"/>
        <v>0</v>
      </c>
      <c r="E27" s="17">
        <f t="shared" si="1"/>
        <v>0</v>
      </c>
      <c r="F27" s="21" t="str">
        <f t="shared" si="2"/>
        <v/>
      </c>
    </row>
    <row r="28" spans="1:6" x14ac:dyDescent="0.2">
      <c r="A28" s="19">
        <v>24</v>
      </c>
      <c r="B28" s="180" t="s">
        <v>21</v>
      </c>
      <c r="C28" s="181"/>
      <c r="D28" s="14">
        <f t="shared" si="0"/>
        <v>3296</v>
      </c>
      <c r="E28" s="17">
        <f t="shared" si="1"/>
        <v>23304.159847354087</v>
      </c>
      <c r="F28" s="21">
        <f t="shared" si="2"/>
        <v>7.07</v>
      </c>
    </row>
    <row r="29" spans="1:6" x14ac:dyDescent="0.2">
      <c r="A29" s="19">
        <v>25</v>
      </c>
      <c r="B29" s="180" t="s">
        <v>22</v>
      </c>
      <c r="C29" s="181"/>
      <c r="D29" s="14">
        <f t="shared" si="0"/>
        <v>10848</v>
      </c>
      <c r="E29" s="17">
        <f t="shared" si="1"/>
        <v>79701.797944204227</v>
      </c>
      <c r="F29" s="21">
        <f t="shared" si="2"/>
        <v>7.35</v>
      </c>
    </row>
    <row r="30" spans="1:6" x14ac:dyDescent="0.2">
      <c r="A30" s="19">
        <v>26</v>
      </c>
      <c r="B30" s="180" t="s">
        <v>23</v>
      </c>
      <c r="C30" s="181"/>
      <c r="D30" s="14">
        <f t="shared" si="0"/>
        <v>1344</v>
      </c>
      <c r="E30" s="17">
        <f t="shared" si="1"/>
        <v>9502.0457629987541</v>
      </c>
      <c r="F30" s="21">
        <f t="shared" si="2"/>
        <v>7.07</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519896</v>
      </c>
      <c r="E33" s="31">
        <f>SUM(E5:E32)</f>
        <v>4718585.0000000009</v>
      </c>
      <c r="F33" s="32">
        <f t="shared" si="2"/>
        <v>9.08</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IF(F3="1",SUMIF(Data!A:A,'53'!$A$2,Data!CU:CU),0)</f>
        <v>1824</v>
      </c>
      <c r="E36" s="15">
        <f>IF(F3="1",SUMIF(Data!$A:$A,$A$2,Data!IO:IO),0)</f>
        <v>3113</v>
      </c>
      <c r="F36" s="20">
        <f t="shared" ref="F36:F64" si="3">IF(OR(D36=0,E36=0),"",ROUND(E36/D36,2))</f>
        <v>1.71</v>
      </c>
    </row>
    <row r="37" spans="1:6" x14ac:dyDescent="0.2">
      <c r="A37" s="19">
        <v>2</v>
      </c>
      <c r="B37" s="180" t="s">
        <v>1</v>
      </c>
      <c r="C37" s="181"/>
      <c r="D37" s="14">
        <f>IF(F3="1",SUMIF(Data!A:A,'53'!$A$2,Data!CV:CV),0)</f>
        <v>49990</v>
      </c>
      <c r="E37" s="17">
        <f>IF(F3="1",SUMIF(Data!$A:$A,$A$2,Data!IP:IP),0)</f>
        <v>85291</v>
      </c>
      <c r="F37" s="21">
        <f t="shared" si="3"/>
        <v>1.71</v>
      </c>
    </row>
    <row r="38" spans="1:6" ht="14.25" customHeight="1" x14ac:dyDescent="0.2">
      <c r="A38" s="19">
        <v>3</v>
      </c>
      <c r="B38" s="180" t="s">
        <v>2</v>
      </c>
      <c r="C38" s="181"/>
      <c r="D38" s="14">
        <f>IF(F3="1",SUMIF(Data!A:A,'53'!$A$2,Data!CW:CW),0)</f>
        <v>13680</v>
      </c>
      <c r="E38" s="17">
        <f>IF($F$3="1",SUMIF(Data!$A:$A,$A$2,Data!IQ:IQ),0)</f>
        <v>23340</v>
      </c>
      <c r="F38" s="21">
        <f t="shared" si="3"/>
        <v>1.71</v>
      </c>
    </row>
    <row r="39" spans="1:6" ht="14.25" customHeight="1" x14ac:dyDescent="0.2">
      <c r="A39" s="19">
        <v>4</v>
      </c>
      <c r="B39" s="180" t="s">
        <v>3</v>
      </c>
      <c r="C39" s="181"/>
      <c r="D39" s="14">
        <f>IF(F3="1",SUMIF(Data!A:A,'53'!$A$2,Data!CX:CX),0)</f>
        <v>14932</v>
      </c>
      <c r="E39" s="17">
        <f>IF($F$3="1",SUMIF(Data!$A:$A,$A$2,Data!IR:IR),0)</f>
        <v>17149</v>
      </c>
      <c r="F39" s="21">
        <f t="shared" si="3"/>
        <v>1.1499999999999999</v>
      </c>
    </row>
    <row r="40" spans="1:6" x14ac:dyDescent="0.2">
      <c r="A40" s="19">
        <v>5</v>
      </c>
      <c r="B40" s="180" t="s">
        <v>4</v>
      </c>
      <c r="C40" s="181"/>
      <c r="D40" s="14">
        <f>IF(F3="1",SUMIF(Data!A:A,'53'!$A$2,Data!CY:CY),0)</f>
        <v>0</v>
      </c>
      <c r="E40" s="17">
        <f>IF($F$3="1",SUMIF(Data!$A:$A,$A$2,Data!IS:IS),0)</f>
        <v>0</v>
      </c>
      <c r="F40" s="21" t="str">
        <f t="shared" si="3"/>
        <v/>
      </c>
    </row>
    <row r="41" spans="1:6" x14ac:dyDescent="0.2">
      <c r="A41" s="19">
        <v>6</v>
      </c>
      <c r="B41" s="180" t="s">
        <v>5</v>
      </c>
      <c r="C41" s="181"/>
      <c r="D41" s="14">
        <f>IF(F3="1",SUMIF(Data!A:A,'53'!$A$2,Data!CZ:CZ),0)</f>
        <v>3396</v>
      </c>
      <c r="E41" s="17">
        <f>IF($F$3="1",SUMIF(Data!$A:$A,$A$2,Data!IT:IT),0)</f>
        <v>5795</v>
      </c>
      <c r="F41" s="21">
        <f t="shared" si="3"/>
        <v>1.71</v>
      </c>
    </row>
    <row r="42" spans="1:6" x14ac:dyDescent="0.2">
      <c r="A42" s="19">
        <v>7</v>
      </c>
      <c r="B42" s="180" t="s">
        <v>6</v>
      </c>
      <c r="C42" s="181"/>
      <c r="D42" s="14">
        <f>IF(F3="1",SUMIF(Data!A:A,'53'!$A$2,Data!DA:DA),0)</f>
        <v>94007</v>
      </c>
      <c r="E42" s="17">
        <f>IF($F$3="1",SUMIF(Data!$A:$A,$A$2,Data!IU:IU),0)</f>
        <v>107976</v>
      </c>
      <c r="F42" s="21">
        <f t="shared" si="3"/>
        <v>1.1499999999999999</v>
      </c>
    </row>
    <row r="43" spans="1:6" x14ac:dyDescent="0.2">
      <c r="A43" s="19">
        <v>8</v>
      </c>
      <c r="B43" s="180" t="s">
        <v>7</v>
      </c>
      <c r="C43" s="181"/>
      <c r="D43" s="14">
        <f>IF(F3="1",SUMIF(Data!A:A,'53'!$A$2,Data!DB:DB),0)</f>
        <v>27164</v>
      </c>
      <c r="E43" s="17">
        <f>IF($F$3="1",SUMIF(Data!$A:$A,$A$2,Data!IV:IV),0)</f>
        <v>46347</v>
      </c>
      <c r="F43" s="21">
        <f t="shared" si="3"/>
        <v>1.71</v>
      </c>
    </row>
    <row r="44" spans="1:6" x14ac:dyDescent="0.2">
      <c r="A44" s="19">
        <v>9</v>
      </c>
      <c r="B44" s="180" t="s">
        <v>8</v>
      </c>
      <c r="C44" s="181"/>
      <c r="D44" s="14">
        <f>IF(F3="1",SUMIF(Data!A:A,'53'!$A$2,Data!DC:DC),0)</f>
        <v>0</v>
      </c>
      <c r="E44" s="17">
        <f>IF($F$3="1",SUMIF(Data!$A:$A,$A$2,Data!IW:IW),0)</f>
        <v>0</v>
      </c>
      <c r="F44" s="21" t="str">
        <f t="shared" si="3"/>
        <v/>
      </c>
    </row>
    <row r="45" spans="1:6" x14ac:dyDescent="0.2">
      <c r="A45" s="19">
        <v>10</v>
      </c>
      <c r="B45" s="180" t="s">
        <v>9</v>
      </c>
      <c r="C45" s="181"/>
      <c r="D45" s="14">
        <f>IF(F3="1",SUMIF(Data!A:A,'53'!$A$2,Data!DD:DD),0)</f>
        <v>0</v>
      </c>
      <c r="E45" s="17">
        <f>IF($F$3="1",SUMIF(Data!$A:$A,$A$2,Data!IX:IX),0)</f>
        <v>0</v>
      </c>
      <c r="F45" s="21" t="str">
        <f t="shared" si="3"/>
        <v/>
      </c>
    </row>
    <row r="46" spans="1:6" x14ac:dyDescent="0.2">
      <c r="A46" s="19">
        <v>11</v>
      </c>
      <c r="B46" s="180" t="s">
        <v>10</v>
      </c>
      <c r="C46" s="181"/>
      <c r="D46" s="14">
        <f>IF(F3="1",SUMIF(Data!A:A,'53'!$A$2,Data!DE:DE),0)</f>
        <v>151161</v>
      </c>
      <c r="E46" s="17">
        <f>IF($F$3="1",SUMIF(Data!$A:$A,$A$2,Data!IY:IY),0)</f>
        <v>257907</v>
      </c>
      <c r="F46" s="21">
        <f t="shared" si="3"/>
        <v>1.71</v>
      </c>
    </row>
    <row r="47" spans="1:6" ht="14.25" customHeight="1" x14ac:dyDescent="0.2">
      <c r="A47" s="19">
        <v>12</v>
      </c>
      <c r="B47" s="180" t="s">
        <v>11</v>
      </c>
      <c r="C47" s="181"/>
      <c r="D47" s="14">
        <f>IF(F3="1",SUMIF(Data!A:A,'53'!$A$2,Data!DF:DF),0)</f>
        <v>69648</v>
      </c>
      <c r="E47" s="17">
        <f>IF($F$3="1",SUMIF(Data!$A:$A,$A$2,Data!IZ:IZ),0)</f>
        <v>58018</v>
      </c>
      <c r="F47" s="21">
        <f t="shared" si="3"/>
        <v>0.83</v>
      </c>
    </row>
    <row r="48" spans="1:6" x14ac:dyDescent="0.2">
      <c r="A48" s="19">
        <v>13</v>
      </c>
      <c r="B48" s="180" t="s">
        <v>12</v>
      </c>
      <c r="C48" s="181"/>
      <c r="D48" s="14">
        <f>IF(F3="1",SUMIF(Data!A:A,'53'!$A$2,Data!DG:DG),0)</f>
        <v>0</v>
      </c>
      <c r="E48" s="17">
        <f>IF($F$3="1",SUMIF(Data!$A:$A,$A$2,Data!JA:JA),0)</f>
        <v>0</v>
      </c>
      <c r="F48" s="21" t="str">
        <f t="shared" si="3"/>
        <v/>
      </c>
    </row>
    <row r="49" spans="1:6" ht="14.25" customHeight="1" x14ac:dyDescent="0.2">
      <c r="A49" s="19">
        <v>14</v>
      </c>
      <c r="B49" s="180" t="s">
        <v>464</v>
      </c>
      <c r="C49" s="181"/>
      <c r="D49" s="14">
        <f>IF(F3="1",SUMIF(Data!A:A,'53'!$A$2,Data!DH:DH),0)</f>
        <v>0</v>
      </c>
      <c r="E49" s="17">
        <f>IF($F$3="1",SUMIF(Data!$A:$A,$A$2,Data!JB:JB),0)</f>
        <v>0</v>
      </c>
      <c r="F49" s="21" t="str">
        <f t="shared" si="3"/>
        <v/>
      </c>
    </row>
    <row r="50" spans="1:6" x14ac:dyDescent="0.2">
      <c r="A50" s="19">
        <v>15</v>
      </c>
      <c r="B50" s="180" t="s">
        <v>13</v>
      </c>
      <c r="C50" s="181"/>
      <c r="D50" s="14">
        <f>IF(F3="1",SUMIF(Data!A:A,'53'!$A$2,Data!DI:DI),0)</f>
        <v>0</v>
      </c>
      <c r="E50" s="17">
        <f>IF($F$3="1",SUMIF(Data!$A:$A,$A$2,Data!JC:JC),0)</f>
        <v>0</v>
      </c>
      <c r="F50" s="21" t="str">
        <f t="shared" si="3"/>
        <v/>
      </c>
    </row>
    <row r="51" spans="1:6" x14ac:dyDescent="0.2">
      <c r="A51" s="19">
        <v>16</v>
      </c>
      <c r="B51" s="180" t="s">
        <v>14</v>
      </c>
      <c r="C51" s="181"/>
      <c r="D51" s="14">
        <f>IF(F3="1",SUMIF(Data!A:A,'53'!$A$2,Data!DJ:DJ),0)</f>
        <v>0</v>
      </c>
      <c r="E51" s="17">
        <f>IF($F$3="1",SUMIF(Data!$A:$A,$A$2,Data!JD:JD),0)</f>
        <v>0</v>
      </c>
      <c r="F51" s="21" t="str">
        <f t="shared" si="3"/>
        <v/>
      </c>
    </row>
    <row r="52" spans="1:6" x14ac:dyDescent="0.2">
      <c r="A52" s="19">
        <v>17</v>
      </c>
      <c r="B52" s="180" t="s">
        <v>15</v>
      </c>
      <c r="C52" s="181"/>
      <c r="D52" s="14">
        <f>IF(F3="1",SUMIF(Data!A:A,'53'!$A$2,Data!DK:DK),0)</f>
        <v>0</v>
      </c>
      <c r="E52" s="17">
        <f>IF($F$3="1",SUMIF(Data!$A:$A,$A$2,Data!JE:JE),0)</f>
        <v>0</v>
      </c>
      <c r="F52" s="21" t="str">
        <f t="shared" si="3"/>
        <v/>
      </c>
    </row>
    <row r="53" spans="1:6" x14ac:dyDescent="0.2">
      <c r="A53" s="19">
        <v>18</v>
      </c>
      <c r="B53" s="180" t="s">
        <v>16</v>
      </c>
      <c r="C53" s="181"/>
      <c r="D53" s="14">
        <f>IF(F3="1",SUMIF(Data!A:A,'53'!$A$2,Data!DL:DL),0)</f>
        <v>0</v>
      </c>
      <c r="E53" s="17">
        <f>IF($F$3="1",SUMIF(Data!$A:$A,$A$2,Data!JF:JF),0)</f>
        <v>0</v>
      </c>
      <c r="F53" s="21" t="str">
        <f t="shared" si="3"/>
        <v/>
      </c>
    </row>
    <row r="54" spans="1:6" x14ac:dyDescent="0.2">
      <c r="A54" s="19">
        <v>19</v>
      </c>
      <c r="B54" s="180" t="s">
        <v>17</v>
      </c>
      <c r="C54" s="181"/>
      <c r="D54" s="14">
        <f>IF(F3="1",SUMIF(Data!A:A,'53'!$A$2,Data!DM:DM),0)</f>
        <v>45520</v>
      </c>
      <c r="E54" s="17">
        <f>IF($F$3="1",SUMIF(Data!$A:$A,$A$2,Data!JG:JG),0)</f>
        <v>37918</v>
      </c>
      <c r="F54" s="21">
        <f t="shared" si="3"/>
        <v>0.83</v>
      </c>
    </row>
    <row r="55" spans="1:6" x14ac:dyDescent="0.2">
      <c r="A55" s="19">
        <v>20</v>
      </c>
      <c r="B55" s="180" t="s">
        <v>18</v>
      </c>
      <c r="C55" s="181"/>
      <c r="D55" s="14">
        <f>IF(F3="1",SUMIF(Data!A:A,'53'!$A$2,Data!DN:DN),0)</f>
        <v>1440</v>
      </c>
      <c r="E55" s="17">
        <f>IF($F$3="1",SUMIF(Data!$A:$A,$A$2,Data!JH:JH),0)</f>
        <v>2197</v>
      </c>
      <c r="F55" s="21">
        <f t="shared" si="3"/>
        <v>1.53</v>
      </c>
    </row>
    <row r="56" spans="1:6" ht="14.25" customHeight="1" x14ac:dyDescent="0.2">
      <c r="A56" s="19">
        <v>21</v>
      </c>
      <c r="B56" s="180" t="s">
        <v>461</v>
      </c>
      <c r="C56" s="181"/>
      <c r="D56" s="14">
        <f>IF(F3="1",SUMIF(Data!A:A,'53'!$A$2,Data!DO:DO),0)</f>
        <v>22688</v>
      </c>
      <c r="E56" s="17">
        <f>IF($F$3="1",SUMIF(Data!$A:$A,$A$2,Data!JI:JI),0)</f>
        <v>34608</v>
      </c>
      <c r="F56" s="21">
        <f t="shared" si="3"/>
        <v>1.53</v>
      </c>
    </row>
    <row r="57" spans="1:6" x14ac:dyDescent="0.2">
      <c r="A57" s="19">
        <v>22</v>
      </c>
      <c r="B57" s="180" t="s">
        <v>19</v>
      </c>
      <c r="C57" s="181"/>
      <c r="D57" s="14">
        <f>IF(F3="1",SUMIF(Data!A:A,'53'!$A$2,Data!DP:DP),0)</f>
        <v>8958</v>
      </c>
      <c r="E57" s="17">
        <f>IF($F$3="1",SUMIF(Data!$A:$A,$A$2,Data!JJ:JJ),0)</f>
        <v>15284</v>
      </c>
      <c r="F57" s="21">
        <f t="shared" si="3"/>
        <v>1.71</v>
      </c>
    </row>
    <row r="58" spans="1:6" x14ac:dyDescent="0.2">
      <c r="A58" s="19">
        <v>23</v>
      </c>
      <c r="B58" s="180" t="s">
        <v>20</v>
      </c>
      <c r="C58" s="181"/>
      <c r="D58" s="14">
        <f>IF(F3="1",SUMIF(Data!A:A,'53'!$A$2,Data!DQ:DQ),0)</f>
        <v>0</v>
      </c>
      <c r="E58" s="17">
        <f>IF($F$3="1",SUMIF(Data!$A:$A,$A$2,Data!JK:JK),0)</f>
        <v>0</v>
      </c>
      <c r="F58" s="21" t="str">
        <f t="shared" si="3"/>
        <v/>
      </c>
    </row>
    <row r="59" spans="1:6" x14ac:dyDescent="0.2">
      <c r="A59" s="19">
        <v>24</v>
      </c>
      <c r="B59" s="180" t="s">
        <v>21</v>
      </c>
      <c r="C59" s="181"/>
      <c r="D59" s="14">
        <f>IF(F3="1",SUMIF(Data!A:A,'53'!$A$2,Data!DR:DR),0)</f>
        <v>3296</v>
      </c>
      <c r="E59" s="17">
        <f>IF($F$3="1",SUMIF(Data!$A:$A,$A$2,Data!JL:JL),0)</f>
        <v>3786</v>
      </c>
      <c r="F59" s="21">
        <f t="shared" si="3"/>
        <v>1.1499999999999999</v>
      </c>
    </row>
    <row r="60" spans="1:6" x14ac:dyDescent="0.2">
      <c r="A60" s="19">
        <v>25</v>
      </c>
      <c r="B60" s="180" t="s">
        <v>22</v>
      </c>
      <c r="C60" s="181"/>
      <c r="D60" s="14">
        <f>IF(F3="1",SUMIF(Data!A:A,'53'!$A$2,Data!DS:DS),0)</f>
        <v>10848</v>
      </c>
      <c r="E60" s="17">
        <f>IF($F$3="1",SUMIF(Data!$A:$A,$A$2,Data!JM:JM),0)</f>
        <v>5010</v>
      </c>
      <c r="F60" s="21">
        <f t="shared" si="3"/>
        <v>0.46</v>
      </c>
    </row>
    <row r="61" spans="1:6" x14ac:dyDescent="0.2">
      <c r="A61" s="19">
        <v>26</v>
      </c>
      <c r="B61" s="180" t="s">
        <v>23</v>
      </c>
      <c r="C61" s="181"/>
      <c r="D61" s="14">
        <f>IF(F3="1",SUMIF(Data!A:A,'53'!$A$2,Data!DT:DT),0)</f>
        <v>1344</v>
      </c>
      <c r="E61" s="17">
        <f>IF($F$3="1",SUMIF(Data!$A:$A,$A$2,Data!JN:JN),0)</f>
        <v>1543</v>
      </c>
      <c r="F61" s="21">
        <f t="shared" si="3"/>
        <v>1.1499999999999999</v>
      </c>
    </row>
    <row r="62" spans="1:6" x14ac:dyDescent="0.2">
      <c r="A62" s="19">
        <v>28</v>
      </c>
      <c r="B62" s="180" t="s">
        <v>24</v>
      </c>
      <c r="C62" s="181"/>
      <c r="D62" s="14">
        <f>IF(F3="1",SUMIF(Data!A:A,'53'!$A$2,Data!DV:DV),0)</f>
        <v>0</v>
      </c>
      <c r="E62" s="17">
        <f>IF($F$3="1",SUMIF(Data!$A:$A,$A$2,Data!JP:JP),0)</f>
        <v>0</v>
      </c>
      <c r="F62" s="21" t="str">
        <f t="shared" si="3"/>
        <v/>
      </c>
    </row>
    <row r="63" spans="1:6" ht="15.75" customHeight="1" thickBot="1" x14ac:dyDescent="0.25">
      <c r="A63" s="22">
        <v>29</v>
      </c>
      <c r="B63" s="184" t="s">
        <v>25</v>
      </c>
      <c r="C63" s="185"/>
      <c r="D63" s="23">
        <f>IF(F3="1",SUMIF(Data!A:A,'53'!$A$2,Data!DW:DW),0)</f>
        <v>0</v>
      </c>
      <c r="E63" s="24">
        <f>IF($F$3="1",SUMIF(Data!$A:$A,$A$2,Data!JQ:JQ),0)</f>
        <v>0</v>
      </c>
      <c r="F63" s="25" t="str">
        <f t="shared" si="3"/>
        <v/>
      </c>
    </row>
    <row r="64" spans="1:6" x14ac:dyDescent="0.2">
      <c r="B64" s="30" t="s">
        <v>35</v>
      </c>
      <c r="C64" s="30"/>
      <c r="D64" s="59">
        <f>SUM(D36:D63)</f>
        <v>519896</v>
      </c>
      <c r="E64" s="31">
        <f>SUM(E36:E63)</f>
        <v>705282</v>
      </c>
      <c r="F64" s="32">
        <f t="shared" si="3"/>
        <v>1.36</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1824</v>
      </c>
      <c r="E67" s="15">
        <f>IF(F3="1",SUMIF(Data!A:A,'53'!$A$2,Data!DY:DY),0)</f>
        <v>7401</v>
      </c>
      <c r="F67" s="20">
        <f t="shared" ref="F67:F95" si="4">IF(OR(D67=0,E67=0),"",ROUND(E67/D67,2))</f>
        <v>4.0599999999999996</v>
      </c>
    </row>
    <row r="68" spans="1:6" x14ac:dyDescent="0.2">
      <c r="A68" s="19">
        <v>2</v>
      </c>
      <c r="B68" s="180" t="s">
        <v>1</v>
      </c>
      <c r="C68" s="181"/>
      <c r="D68" s="14">
        <f t="shared" ref="D68:D94" si="5">D37</f>
        <v>49990</v>
      </c>
      <c r="E68" s="17">
        <f>IF(F3="1",SUMIF(Data!A:A,'53'!$A$2,Data!DZ:DZ),0)</f>
        <v>202834</v>
      </c>
      <c r="F68" s="21">
        <f t="shared" si="4"/>
        <v>4.0599999999999996</v>
      </c>
    </row>
    <row r="69" spans="1:6" ht="14.25" customHeight="1" x14ac:dyDescent="0.2">
      <c r="A69" s="19">
        <v>3</v>
      </c>
      <c r="B69" s="180" t="s">
        <v>2</v>
      </c>
      <c r="C69" s="181"/>
      <c r="D69" s="14">
        <f t="shared" si="5"/>
        <v>13680</v>
      </c>
      <c r="E69" s="17">
        <f>IF(F3="1",SUMIF(Data!A:A,'53'!$A$2,Data!EA:EA),0)</f>
        <v>55507</v>
      </c>
      <c r="F69" s="21">
        <f t="shared" si="4"/>
        <v>4.0599999999999996</v>
      </c>
    </row>
    <row r="70" spans="1:6" ht="14.25" customHeight="1" x14ac:dyDescent="0.2">
      <c r="A70" s="19">
        <v>4</v>
      </c>
      <c r="B70" s="180" t="s">
        <v>3</v>
      </c>
      <c r="C70" s="181"/>
      <c r="D70" s="14">
        <f t="shared" si="5"/>
        <v>14932</v>
      </c>
      <c r="E70" s="17">
        <f>IF(F3="1",SUMIF(Data!A:A,'53'!$A$2,Data!EB:EB),0)</f>
        <v>20540</v>
      </c>
      <c r="F70" s="21">
        <f t="shared" si="4"/>
        <v>1.38</v>
      </c>
    </row>
    <row r="71" spans="1:6" x14ac:dyDescent="0.2">
      <c r="A71" s="19">
        <v>5</v>
      </c>
      <c r="B71" s="180" t="s">
        <v>4</v>
      </c>
      <c r="C71" s="181"/>
      <c r="D71" s="14">
        <f t="shared" si="5"/>
        <v>0</v>
      </c>
      <c r="E71" s="17">
        <f>IF(F3="1",SUMIF(Data!A:A,'53'!$A$2,Data!EC:EC),0)</f>
        <v>0</v>
      </c>
      <c r="F71" s="21" t="str">
        <f t="shared" si="4"/>
        <v/>
      </c>
    </row>
    <row r="72" spans="1:6" x14ac:dyDescent="0.2">
      <c r="A72" s="19">
        <v>6</v>
      </c>
      <c r="B72" s="180" t="s">
        <v>5</v>
      </c>
      <c r="C72" s="181"/>
      <c r="D72" s="14">
        <f t="shared" si="5"/>
        <v>3396</v>
      </c>
      <c r="E72" s="17">
        <f>IF(F3="1",SUMIF(Data!A:A,'53'!$A$2,Data!ED:ED),0)</f>
        <v>13779</v>
      </c>
      <c r="F72" s="21">
        <f t="shared" si="4"/>
        <v>4.0599999999999996</v>
      </c>
    </row>
    <row r="73" spans="1:6" x14ac:dyDescent="0.2">
      <c r="A73" s="19">
        <v>7</v>
      </c>
      <c r="B73" s="180" t="s">
        <v>6</v>
      </c>
      <c r="C73" s="181"/>
      <c r="D73" s="14">
        <f t="shared" si="5"/>
        <v>94007</v>
      </c>
      <c r="E73" s="17">
        <f>IF(F3="1",SUMIF(Data!A:A,'53'!$A$2,Data!EE:EE),0)</f>
        <v>129312</v>
      </c>
      <c r="F73" s="21">
        <f t="shared" si="4"/>
        <v>1.38</v>
      </c>
    </row>
    <row r="74" spans="1:6" x14ac:dyDescent="0.2">
      <c r="A74" s="19">
        <v>8</v>
      </c>
      <c r="B74" s="180" t="s">
        <v>7</v>
      </c>
      <c r="C74" s="181"/>
      <c r="D74" s="14">
        <f t="shared" si="5"/>
        <v>27164</v>
      </c>
      <c r="E74" s="17">
        <f>IF(F3="1",SUMIF(Data!A:A,'53'!$A$2,Data!EF:EF),0)</f>
        <v>110218</v>
      </c>
      <c r="F74" s="21">
        <f t="shared" si="4"/>
        <v>4.0599999999999996</v>
      </c>
    </row>
    <row r="75" spans="1:6" x14ac:dyDescent="0.2">
      <c r="A75" s="19">
        <v>9</v>
      </c>
      <c r="B75" s="180" t="s">
        <v>8</v>
      </c>
      <c r="C75" s="181"/>
      <c r="D75" s="14">
        <f t="shared" si="5"/>
        <v>0</v>
      </c>
      <c r="E75" s="17">
        <f>IF(F3="1",SUMIF(Data!A:A,'53'!$A$2,Data!EG:EG),0)</f>
        <v>0</v>
      </c>
      <c r="F75" s="21" t="str">
        <f t="shared" si="4"/>
        <v/>
      </c>
    </row>
    <row r="76" spans="1:6" x14ac:dyDescent="0.2">
      <c r="A76" s="19">
        <v>10</v>
      </c>
      <c r="B76" s="180" t="s">
        <v>9</v>
      </c>
      <c r="C76" s="181"/>
      <c r="D76" s="14">
        <f t="shared" si="5"/>
        <v>0</v>
      </c>
      <c r="E76" s="17">
        <f>IF(F3="1",SUMIF(Data!A:A,'53'!$A$2,Data!EH:EH),0)</f>
        <v>0</v>
      </c>
      <c r="F76" s="21" t="str">
        <f t="shared" si="4"/>
        <v/>
      </c>
    </row>
    <row r="77" spans="1:6" x14ac:dyDescent="0.2">
      <c r="A77" s="19">
        <v>11</v>
      </c>
      <c r="B77" s="180" t="s">
        <v>10</v>
      </c>
      <c r="C77" s="181"/>
      <c r="D77" s="14">
        <f t="shared" si="5"/>
        <v>151161</v>
      </c>
      <c r="E77" s="17">
        <f>IF(F3="1",SUMIF(Data!A:A,'53'!$A$2,Data!EI:EI),0)</f>
        <v>613335</v>
      </c>
      <c r="F77" s="21">
        <f t="shared" si="4"/>
        <v>4.0599999999999996</v>
      </c>
    </row>
    <row r="78" spans="1:6" ht="14.25" customHeight="1" x14ac:dyDescent="0.2">
      <c r="A78" s="19">
        <v>12</v>
      </c>
      <c r="B78" s="180" t="s">
        <v>11</v>
      </c>
      <c r="C78" s="181"/>
      <c r="D78" s="14">
        <f t="shared" si="5"/>
        <v>69648</v>
      </c>
      <c r="E78" s="17">
        <f>IF(F3="1",SUMIF(Data!A:A,'53'!$A$2,Data!EJ:EJ),0)</f>
        <v>206547</v>
      </c>
      <c r="F78" s="21">
        <f t="shared" si="4"/>
        <v>2.97</v>
      </c>
    </row>
    <row r="79" spans="1:6" x14ac:dyDescent="0.2">
      <c r="A79" s="19">
        <v>13</v>
      </c>
      <c r="B79" s="180" t="s">
        <v>12</v>
      </c>
      <c r="C79" s="181"/>
      <c r="D79" s="14">
        <f t="shared" si="5"/>
        <v>0</v>
      </c>
      <c r="E79" s="17">
        <f>IF(F3="1",SUMIF(Data!A:A,'53'!$A$2,Data!EK:EK),0)</f>
        <v>0</v>
      </c>
      <c r="F79" s="21" t="str">
        <f t="shared" si="4"/>
        <v/>
      </c>
    </row>
    <row r="80" spans="1:6" ht="14.25" customHeight="1" x14ac:dyDescent="0.2">
      <c r="A80" s="19">
        <v>14</v>
      </c>
      <c r="B80" s="180" t="s">
        <v>464</v>
      </c>
      <c r="C80" s="181"/>
      <c r="D80" s="14">
        <f t="shared" si="5"/>
        <v>0</v>
      </c>
      <c r="E80" s="17">
        <f>IF(F3="1",SUMIF(Data!A:A,'53'!$A$2,Data!EL:EL),0)</f>
        <v>0</v>
      </c>
      <c r="F80" s="21" t="str">
        <f t="shared" si="4"/>
        <v/>
      </c>
    </row>
    <row r="81" spans="1:6" x14ac:dyDescent="0.2">
      <c r="A81" s="19">
        <v>15</v>
      </c>
      <c r="B81" s="180" t="s">
        <v>13</v>
      </c>
      <c r="C81" s="181"/>
      <c r="D81" s="14">
        <f t="shared" si="5"/>
        <v>0</v>
      </c>
      <c r="E81" s="17">
        <f>IF(F3="1",SUMIF(Data!A:A,'53'!$A$2,Data!EM:EM),0)</f>
        <v>0</v>
      </c>
      <c r="F81" s="21" t="str">
        <f t="shared" si="4"/>
        <v/>
      </c>
    </row>
    <row r="82" spans="1:6" x14ac:dyDescent="0.2">
      <c r="A82" s="19">
        <v>16</v>
      </c>
      <c r="B82" s="180" t="s">
        <v>14</v>
      </c>
      <c r="C82" s="181"/>
      <c r="D82" s="14">
        <f t="shared" si="5"/>
        <v>0</v>
      </c>
      <c r="E82" s="17">
        <f>IF(F3="1",SUMIF(Data!A:A,'53'!$A$2,Data!EN:EN),0)</f>
        <v>0</v>
      </c>
      <c r="F82" s="21" t="str">
        <f t="shared" si="4"/>
        <v/>
      </c>
    </row>
    <row r="83" spans="1:6" x14ac:dyDescent="0.2">
      <c r="A83" s="19">
        <v>17</v>
      </c>
      <c r="B83" s="180" t="s">
        <v>15</v>
      </c>
      <c r="C83" s="181"/>
      <c r="D83" s="14">
        <f t="shared" si="5"/>
        <v>0</v>
      </c>
      <c r="E83" s="17">
        <f>IF(F3="1",SUMIF(Data!A:A,'53'!$A$2,Data!EO:EO),0)</f>
        <v>0</v>
      </c>
      <c r="F83" s="21" t="str">
        <f t="shared" si="4"/>
        <v/>
      </c>
    </row>
    <row r="84" spans="1:6" x14ac:dyDescent="0.2">
      <c r="A84" s="19">
        <v>18</v>
      </c>
      <c r="B84" s="180" t="s">
        <v>16</v>
      </c>
      <c r="C84" s="181"/>
      <c r="D84" s="14">
        <f t="shared" si="5"/>
        <v>0</v>
      </c>
      <c r="E84" s="17">
        <f>IF(F3="1",SUMIF(Data!A:A,'53'!$A$2,Data!EP:EP),0)</f>
        <v>0</v>
      </c>
      <c r="F84" s="21" t="str">
        <f t="shared" si="4"/>
        <v/>
      </c>
    </row>
    <row r="85" spans="1:6" x14ac:dyDescent="0.2">
      <c r="A85" s="19">
        <v>19</v>
      </c>
      <c r="B85" s="180" t="s">
        <v>17</v>
      </c>
      <c r="C85" s="181"/>
      <c r="D85" s="14">
        <f t="shared" si="5"/>
        <v>45520</v>
      </c>
      <c r="E85" s="17">
        <f>IF(F3="1",SUMIF(Data!A:A,'53'!$A$2,Data!EQ:EQ),0)</f>
        <v>134994</v>
      </c>
      <c r="F85" s="21">
        <f t="shared" si="4"/>
        <v>2.97</v>
      </c>
    </row>
    <row r="86" spans="1:6" x14ac:dyDescent="0.2">
      <c r="A86" s="19">
        <v>20</v>
      </c>
      <c r="B86" s="180" t="s">
        <v>18</v>
      </c>
      <c r="C86" s="181"/>
      <c r="D86" s="14">
        <f t="shared" si="5"/>
        <v>1440</v>
      </c>
      <c r="E86" s="17">
        <f>IF(F3="1",SUMIF(Data!A:A,'53'!$A$2,Data!ER:ER),0)</f>
        <v>5204</v>
      </c>
      <c r="F86" s="21">
        <f t="shared" si="4"/>
        <v>3.61</v>
      </c>
    </row>
    <row r="87" spans="1:6" ht="14.25" customHeight="1" x14ac:dyDescent="0.2">
      <c r="A87" s="19">
        <v>21</v>
      </c>
      <c r="B87" s="180" t="s">
        <v>461</v>
      </c>
      <c r="C87" s="181"/>
      <c r="D87" s="14">
        <f t="shared" si="5"/>
        <v>22688</v>
      </c>
      <c r="E87" s="17">
        <f>IF(F3="1",SUMIF(Data!A:A,'53'!$A$2,Data!ES:ES),0)</f>
        <v>81994</v>
      </c>
      <c r="F87" s="21">
        <f t="shared" si="4"/>
        <v>3.61</v>
      </c>
    </row>
    <row r="88" spans="1:6" x14ac:dyDescent="0.2">
      <c r="A88" s="19">
        <v>22</v>
      </c>
      <c r="B88" s="180" t="s">
        <v>19</v>
      </c>
      <c r="C88" s="181"/>
      <c r="D88" s="14">
        <f t="shared" si="5"/>
        <v>8958</v>
      </c>
      <c r="E88" s="17">
        <f>IF(F3="1",SUMIF(Data!A:A,'53'!$A$2,Data!ET:ET),0)</f>
        <v>36347</v>
      </c>
      <c r="F88" s="21">
        <f t="shared" si="4"/>
        <v>4.0599999999999996</v>
      </c>
    </row>
    <row r="89" spans="1:6" x14ac:dyDescent="0.2">
      <c r="A89" s="19">
        <v>23</v>
      </c>
      <c r="B89" s="180" t="s">
        <v>20</v>
      </c>
      <c r="C89" s="181"/>
      <c r="D89" s="14">
        <f t="shared" si="5"/>
        <v>0</v>
      </c>
      <c r="E89" s="17">
        <f>IF(F3="1",SUMIF(Data!A:A,'53'!$A$2,Data!EU:EU),0)</f>
        <v>0</v>
      </c>
      <c r="F89" s="21" t="str">
        <f t="shared" si="4"/>
        <v/>
      </c>
    </row>
    <row r="90" spans="1:6" x14ac:dyDescent="0.2">
      <c r="A90" s="19">
        <v>24</v>
      </c>
      <c r="B90" s="180" t="s">
        <v>21</v>
      </c>
      <c r="C90" s="181"/>
      <c r="D90" s="14">
        <f t="shared" si="5"/>
        <v>3296</v>
      </c>
      <c r="E90" s="17">
        <f>IF(F3="1",SUMIF(Data!A:A,'53'!$A$2,Data!EV:EV),0)</f>
        <v>4534</v>
      </c>
      <c r="F90" s="21">
        <f t="shared" si="4"/>
        <v>1.38</v>
      </c>
    </row>
    <row r="91" spans="1:6" x14ac:dyDescent="0.2">
      <c r="A91" s="19">
        <v>25</v>
      </c>
      <c r="B91" s="180" t="s">
        <v>22</v>
      </c>
      <c r="C91" s="181"/>
      <c r="D91" s="14">
        <f t="shared" si="5"/>
        <v>10848</v>
      </c>
      <c r="E91" s="17">
        <f>IF(F3="1",SUMIF(Data!A:A,'53'!$A$2,Data!EW:EW),0)</f>
        <v>25375</v>
      </c>
      <c r="F91" s="21">
        <f t="shared" si="4"/>
        <v>2.34</v>
      </c>
    </row>
    <row r="92" spans="1:6" x14ac:dyDescent="0.2">
      <c r="A92" s="19">
        <v>26</v>
      </c>
      <c r="B92" s="180" t="s">
        <v>23</v>
      </c>
      <c r="C92" s="181"/>
      <c r="D92" s="14">
        <f t="shared" si="5"/>
        <v>1344</v>
      </c>
      <c r="E92" s="17">
        <f>IF(F3="1",SUMIF(Data!A:A,'53'!$A$2,Data!EX:EX),0)</f>
        <v>1849</v>
      </c>
      <c r="F92" s="21">
        <f t="shared" si="4"/>
        <v>1.38</v>
      </c>
    </row>
    <row r="93" spans="1:6" x14ac:dyDescent="0.2">
      <c r="A93" s="19">
        <v>28</v>
      </c>
      <c r="B93" s="180" t="s">
        <v>24</v>
      </c>
      <c r="C93" s="181"/>
      <c r="D93" s="14">
        <f t="shared" si="5"/>
        <v>0</v>
      </c>
      <c r="E93" s="17">
        <f>IF(F3="1",SUMIF(Data!A:A,'53'!$A$2,Data!EZ:EZ),0)</f>
        <v>0</v>
      </c>
      <c r="F93" s="21" t="str">
        <f t="shared" si="4"/>
        <v/>
      </c>
    </row>
    <row r="94" spans="1:6" ht="15.75" customHeight="1" thickBot="1" x14ac:dyDescent="0.25">
      <c r="A94" s="22">
        <v>29</v>
      </c>
      <c r="B94" s="184" t="s">
        <v>25</v>
      </c>
      <c r="C94" s="185"/>
      <c r="D94" s="23">
        <f t="shared" si="5"/>
        <v>0</v>
      </c>
      <c r="E94" s="24">
        <f>IF(F3="1",SUMIF(Data!A:A,'53'!$A$2,Data!FA:FA),0)</f>
        <v>0</v>
      </c>
      <c r="F94" s="25" t="str">
        <f t="shared" si="4"/>
        <v/>
      </c>
    </row>
    <row r="95" spans="1:6" x14ac:dyDescent="0.2">
      <c r="B95" s="30" t="s">
        <v>35</v>
      </c>
      <c r="C95" s="30"/>
      <c r="D95" s="59">
        <f>SUM(D67:D94)</f>
        <v>519896</v>
      </c>
      <c r="E95" s="31">
        <f>SUM(E67:E94)</f>
        <v>1649770</v>
      </c>
      <c r="F95" s="32">
        <f t="shared" si="4"/>
        <v>3.17</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IF(F3="1",SUMIF(Data!A:A,'53'!$A$2,Data!AH:AH),0)</f>
        <v>1102746</v>
      </c>
      <c r="F98" s="20">
        <f>IF(OR(E98=0,E98=0),"",ROUND(E98/$D$105,2))</f>
        <v>2.12</v>
      </c>
    </row>
    <row r="99" spans="2:6" x14ac:dyDescent="0.2">
      <c r="B99" s="190" t="s">
        <v>31</v>
      </c>
      <c r="C99" s="191"/>
      <c r="D99" s="36"/>
      <c r="E99" s="17">
        <f>IF(F3="1",SUMIF(Data!A:A,'53'!$A$2,Data!AI:AI),0)</f>
        <v>528766</v>
      </c>
      <c r="F99" s="21">
        <f t="shared" ref="F99:F104" si="6">IF(OR(E99=0,E99=0),"",ROUND(E99/$D$105,2))</f>
        <v>1.02</v>
      </c>
    </row>
    <row r="100" spans="2:6" x14ac:dyDescent="0.2">
      <c r="B100" s="190" t="s">
        <v>1089</v>
      </c>
      <c r="C100" s="191"/>
      <c r="D100" s="36"/>
      <c r="E100" s="17">
        <f>IF(F3="1",SUMIF(Data!A:A,'53'!$A$2,Data!AJ:AJ),0)</f>
        <v>134070</v>
      </c>
      <c r="F100" s="21">
        <f t="shared" si="6"/>
        <v>0.26</v>
      </c>
    </row>
    <row r="101" spans="2:6" x14ac:dyDescent="0.2">
      <c r="B101" s="190" t="s">
        <v>1090</v>
      </c>
      <c r="C101" s="191"/>
      <c r="D101" s="36"/>
      <c r="E101" s="17">
        <f>IF(F3="1",SUMIF(Data!A:A,'53'!$A$2,Data!AK:AK),0)</f>
        <v>466122</v>
      </c>
      <c r="F101" s="21">
        <f t="shared" si="6"/>
        <v>0.9</v>
      </c>
    </row>
    <row r="102" spans="2:6" x14ac:dyDescent="0.2">
      <c r="B102" s="190" t="s">
        <v>1091</v>
      </c>
      <c r="C102" s="191"/>
      <c r="D102" s="36"/>
      <c r="E102" s="17">
        <f>IF(F3="1",SUMIF(Data!A:A,'53'!$A$2,Data!AL:AL),0)</f>
        <v>0</v>
      </c>
      <c r="F102" s="21" t="str">
        <f t="shared" si="6"/>
        <v/>
      </c>
    </row>
    <row r="103" spans="2:6" x14ac:dyDescent="0.2">
      <c r="B103" s="192" t="s">
        <v>34</v>
      </c>
      <c r="C103" s="193"/>
      <c r="D103" s="36"/>
      <c r="E103" s="17">
        <f>IF(F3="1",SUMIF(Data!A:A,'53'!$A$2,Data!AM:AM),0)</f>
        <v>0</v>
      </c>
      <c r="F103" s="21" t="str">
        <f t="shared" si="6"/>
        <v/>
      </c>
    </row>
    <row r="104" spans="2:6" ht="15.75" customHeight="1" thickBot="1" x14ac:dyDescent="0.25">
      <c r="B104" s="186" t="s">
        <v>29</v>
      </c>
      <c r="C104" s="187"/>
      <c r="D104" s="37"/>
      <c r="E104" s="24">
        <f>IF(F3="1",SUMIF(Data!A:A,'53'!$A$2,Data!Q:Q),0)</f>
        <v>131829</v>
      </c>
      <c r="F104" s="25">
        <f t="shared" si="6"/>
        <v>0.25</v>
      </c>
    </row>
    <row r="105" spans="2:6" x14ac:dyDescent="0.2">
      <c r="B105" s="30" t="s">
        <v>35</v>
      </c>
      <c r="C105" s="30"/>
      <c r="D105" s="34">
        <f>D95</f>
        <v>519896</v>
      </c>
      <c r="E105" s="31">
        <f>SUM(E98:E104)</f>
        <v>2363533</v>
      </c>
      <c r="F105" s="32">
        <f>IF($D$105=0,"",ROUND(E105/$D$105,2))</f>
        <v>4.55</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1649770</v>
      </c>
      <c r="D109" s="15">
        <f>IF(F3="1",SUMIF(Data!$A:$A,$A$2,Data!HJ:HJ),0)</f>
        <v>0</v>
      </c>
      <c r="E109" s="15">
        <f>IF(F3="1",SUMIF(Data!$A:$A,$A$2,Data!IN:IN),0)</f>
        <v>0</v>
      </c>
      <c r="F109" s="47">
        <f>SUM(C109:E109)</f>
        <v>1649770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131829</v>
      </c>
      <c r="E117" s="52"/>
      <c r="F117" s="49">
        <f>SUM(C117:E117)</f>
        <v>131829</v>
      </c>
    </row>
    <row r="118" spans="1:6" x14ac:dyDescent="0.2">
      <c r="B118" s="13" t="s">
        <v>35</v>
      </c>
      <c r="C118" s="4">
        <f>SUM(C109:C116)</f>
        <v>1649770</v>
      </c>
      <c r="D118" s="4">
        <f>SUM(D109:D116)</f>
        <v>0</v>
      </c>
      <c r="E118" s="4">
        <f>SUM(E109:E116)</f>
        <v>0</v>
      </c>
      <c r="F118" s="4">
        <f>SUM(F109:F116)</f>
        <v>1649770</v>
      </c>
    </row>
    <row r="119" spans="1:6" ht="15" thickBot="1" x14ac:dyDescent="0.25"/>
    <row r="120" spans="1:6" ht="15" thickBot="1" x14ac:dyDescent="0.25">
      <c r="B120" s="55" t="s">
        <v>934</v>
      </c>
      <c r="C120" s="53"/>
      <c r="D120" s="53"/>
      <c r="E120" s="53">
        <f>IF(F3="1",SUMIF(Data!A:A,'53'!$A$2,Data!AM:AM),0)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4" width="13.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407</v>
      </c>
      <c r="B2" s="58" t="str">
        <f>VLOOKUP(A2,Data!A:G,7,0)</f>
        <v>Texas State Technical College-Waco</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78816</v>
      </c>
      <c r="E5" s="15">
        <f>E36+E67+IFERROR($E$105/$D$105*D5,0)</f>
        <v>548060.41598400066</v>
      </c>
      <c r="F5" s="20">
        <f>IF(OR(D5=0,E5=0),"",ROUND(E5/D5,2))</f>
        <v>6.95</v>
      </c>
    </row>
    <row r="6" spans="1:6" x14ac:dyDescent="0.2">
      <c r="A6" s="19">
        <v>2</v>
      </c>
      <c r="B6" s="180" t="s">
        <v>1</v>
      </c>
      <c r="C6" s="181"/>
      <c r="D6" s="14">
        <f t="shared" ref="D6:D32" si="0">D37</f>
        <v>313112</v>
      </c>
      <c r="E6" s="17">
        <f t="shared" ref="E6:E32" si="1">E37+E68+IFERROR($E$105/$D$105*D6,0)</f>
        <v>2004110.5297602315</v>
      </c>
      <c r="F6" s="21">
        <f t="shared" ref="F6:F33" si="2">IF(OR(D6=0,E6=0),"",ROUND(E6/D6,2))</f>
        <v>6.4</v>
      </c>
    </row>
    <row r="7" spans="1:6" ht="14.25" customHeight="1" x14ac:dyDescent="0.2">
      <c r="A7" s="19">
        <v>3</v>
      </c>
      <c r="B7" s="180" t="s">
        <v>2</v>
      </c>
      <c r="C7" s="181"/>
      <c r="D7" s="14">
        <f t="shared" si="0"/>
        <v>67810</v>
      </c>
      <c r="E7" s="17">
        <f t="shared" si="1"/>
        <v>526404.18701627944</v>
      </c>
      <c r="F7" s="21">
        <f t="shared" si="2"/>
        <v>7.76</v>
      </c>
    </row>
    <row r="8" spans="1:6" ht="14.25" customHeight="1" x14ac:dyDescent="0.2">
      <c r="A8" s="19">
        <v>4</v>
      </c>
      <c r="B8" s="180" t="s">
        <v>3</v>
      </c>
      <c r="C8" s="181"/>
      <c r="D8" s="14">
        <f t="shared" si="0"/>
        <v>385883</v>
      </c>
      <c r="E8" s="17">
        <f t="shared" si="1"/>
        <v>1269937.8049019757</v>
      </c>
      <c r="F8" s="21">
        <f t="shared" si="2"/>
        <v>3.29</v>
      </c>
    </row>
    <row r="9" spans="1:6" x14ac:dyDescent="0.2">
      <c r="A9" s="19">
        <v>5</v>
      </c>
      <c r="B9" s="180" t="s">
        <v>4</v>
      </c>
      <c r="C9" s="181"/>
      <c r="D9" s="14">
        <f t="shared" si="0"/>
        <v>87392</v>
      </c>
      <c r="E9" s="17">
        <f t="shared" si="1"/>
        <v>1653321.01017146</v>
      </c>
      <c r="F9" s="21">
        <f t="shared" si="2"/>
        <v>18.920000000000002</v>
      </c>
    </row>
    <row r="10" spans="1:6" x14ac:dyDescent="0.2">
      <c r="A10" s="19">
        <v>6</v>
      </c>
      <c r="B10" s="180" t="s">
        <v>5</v>
      </c>
      <c r="C10" s="181"/>
      <c r="D10" s="14">
        <f t="shared" si="0"/>
        <v>125616</v>
      </c>
      <c r="E10" s="17">
        <f t="shared" si="1"/>
        <v>778496.34508534078</v>
      </c>
      <c r="F10" s="21">
        <f t="shared" si="2"/>
        <v>6.2</v>
      </c>
    </row>
    <row r="11" spans="1:6" x14ac:dyDescent="0.2">
      <c r="A11" s="19">
        <v>7</v>
      </c>
      <c r="B11" s="180" t="s">
        <v>6</v>
      </c>
      <c r="C11" s="181"/>
      <c r="D11" s="14">
        <f t="shared" si="0"/>
        <v>372668</v>
      </c>
      <c r="E11" s="17">
        <f t="shared" si="1"/>
        <v>3400340.5441525267</v>
      </c>
      <c r="F11" s="21">
        <f t="shared" si="2"/>
        <v>9.1199999999999992</v>
      </c>
    </row>
    <row r="12" spans="1:6" x14ac:dyDescent="0.2">
      <c r="A12" s="19">
        <v>8</v>
      </c>
      <c r="B12" s="180" t="s">
        <v>7</v>
      </c>
      <c r="C12" s="181"/>
      <c r="D12" s="14">
        <f t="shared" si="0"/>
        <v>121716</v>
      </c>
      <c r="E12" s="17">
        <f t="shared" si="1"/>
        <v>1029266.3509935625</v>
      </c>
      <c r="F12" s="21">
        <f t="shared" si="2"/>
        <v>8.4600000000000009</v>
      </c>
    </row>
    <row r="13" spans="1:6" x14ac:dyDescent="0.2">
      <c r="A13" s="19">
        <v>9</v>
      </c>
      <c r="B13" s="180" t="s">
        <v>8</v>
      </c>
      <c r="C13" s="181"/>
      <c r="D13" s="14">
        <f t="shared" si="0"/>
        <v>67135</v>
      </c>
      <c r="E13" s="17">
        <f t="shared" si="1"/>
        <v>416786.39957731788</v>
      </c>
      <c r="F13" s="21">
        <f t="shared" si="2"/>
        <v>6.21</v>
      </c>
    </row>
    <row r="14" spans="1:6" x14ac:dyDescent="0.2">
      <c r="A14" s="19">
        <v>10</v>
      </c>
      <c r="B14" s="180" t="s">
        <v>9</v>
      </c>
      <c r="C14" s="181"/>
      <c r="D14" s="14">
        <f t="shared" si="0"/>
        <v>1608</v>
      </c>
      <c r="E14" s="17">
        <f t="shared" si="1"/>
        <v>15378.111410148613</v>
      </c>
      <c r="F14" s="21">
        <f t="shared" si="2"/>
        <v>9.56</v>
      </c>
    </row>
    <row r="15" spans="1:6" x14ac:dyDescent="0.2">
      <c r="A15" s="19">
        <v>11</v>
      </c>
      <c r="B15" s="180" t="s">
        <v>10</v>
      </c>
      <c r="C15" s="181"/>
      <c r="D15" s="14">
        <f t="shared" si="0"/>
        <v>701498</v>
      </c>
      <c r="E15" s="17">
        <f t="shared" si="1"/>
        <v>6120600.8383062389</v>
      </c>
      <c r="F15" s="21">
        <f t="shared" si="2"/>
        <v>8.73</v>
      </c>
    </row>
    <row r="16" spans="1:6" ht="14.25" customHeight="1" x14ac:dyDescent="0.2">
      <c r="A16" s="19">
        <v>12</v>
      </c>
      <c r="B16" s="180" t="s">
        <v>11</v>
      </c>
      <c r="C16" s="181"/>
      <c r="D16" s="14">
        <f t="shared" si="0"/>
        <v>285704</v>
      </c>
      <c r="E16" s="17">
        <f t="shared" si="1"/>
        <v>1818327.7651275492</v>
      </c>
      <c r="F16" s="21">
        <f t="shared" si="2"/>
        <v>6.36</v>
      </c>
    </row>
    <row r="17" spans="1:6" x14ac:dyDescent="0.2">
      <c r="A17" s="19">
        <v>13</v>
      </c>
      <c r="B17" s="180" t="s">
        <v>12</v>
      </c>
      <c r="C17" s="181"/>
      <c r="D17" s="14">
        <f t="shared" si="0"/>
        <v>2072</v>
      </c>
      <c r="E17" s="17">
        <f t="shared" si="1"/>
        <v>10193.277886708907</v>
      </c>
      <c r="F17" s="21">
        <f t="shared" si="2"/>
        <v>4.92</v>
      </c>
    </row>
    <row r="18" spans="1:6" ht="14.25" customHeight="1" x14ac:dyDescent="0.2">
      <c r="A18" s="19">
        <v>14</v>
      </c>
      <c r="B18" s="180" t="s">
        <v>464</v>
      </c>
      <c r="C18" s="181"/>
      <c r="D18" s="14">
        <f t="shared" si="0"/>
        <v>155552</v>
      </c>
      <c r="E18" s="17">
        <f t="shared" si="1"/>
        <v>800612.56845238619</v>
      </c>
      <c r="F18" s="21">
        <f t="shared" si="2"/>
        <v>5.15</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41616</v>
      </c>
      <c r="E20" s="17">
        <f t="shared" si="1"/>
        <v>143233.24157011483</v>
      </c>
      <c r="F20" s="21">
        <f t="shared" si="2"/>
        <v>3.44</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0</v>
      </c>
      <c r="E22" s="17">
        <f t="shared" si="1"/>
        <v>0</v>
      </c>
      <c r="F22" s="21" t="str">
        <f t="shared" si="2"/>
        <v/>
      </c>
    </row>
    <row r="23" spans="1:6" x14ac:dyDescent="0.2">
      <c r="A23" s="19">
        <v>19</v>
      </c>
      <c r="B23" s="180" t="s">
        <v>17</v>
      </c>
      <c r="C23" s="181"/>
      <c r="D23" s="14">
        <f t="shared" si="0"/>
        <v>192688</v>
      </c>
      <c r="E23" s="17">
        <f t="shared" si="1"/>
        <v>1235112.8578350223</v>
      </c>
      <c r="F23" s="21">
        <f t="shared" si="2"/>
        <v>6.41</v>
      </c>
    </row>
    <row r="24" spans="1:6" x14ac:dyDescent="0.2">
      <c r="A24" s="19">
        <v>20</v>
      </c>
      <c r="B24" s="180" t="s">
        <v>18</v>
      </c>
      <c r="C24" s="181"/>
      <c r="D24" s="14">
        <f t="shared" si="0"/>
        <v>387940</v>
      </c>
      <c r="E24" s="17">
        <f t="shared" si="1"/>
        <v>2281322.1097344854</v>
      </c>
      <c r="F24" s="21">
        <f t="shared" si="2"/>
        <v>5.88</v>
      </c>
    </row>
    <row r="25" spans="1:6" ht="14.25" customHeight="1" x14ac:dyDescent="0.2">
      <c r="A25" s="19">
        <v>21</v>
      </c>
      <c r="B25" s="180" t="s">
        <v>461</v>
      </c>
      <c r="C25" s="181"/>
      <c r="D25" s="14">
        <f t="shared" si="0"/>
        <v>282744</v>
      </c>
      <c r="E25" s="17">
        <f t="shared" si="1"/>
        <v>1772265.0824322507</v>
      </c>
      <c r="F25" s="21">
        <f t="shared" si="2"/>
        <v>6.27</v>
      </c>
    </row>
    <row r="26" spans="1:6" x14ac:dyDescent="0.2">
      <c r="A26" s="19">
        <v>22</v>
      </c>
      <c r="B26" s="180" t="s">
        <v>19</v>
      </c>
      <c r="C26" s="181"/>
      <c r="D26" s="14">
        <f t="shared" si="0"/>
        <v>52096</v>
      </c>
      <c r="E26" s="17">
        <f t="shared" si="1"/>
        <v>161409.41543725255</v>
      </c>
      <c r="F26" s="21">
        <f t="shared" si="2"/>
        <v>3.1</v>
      </c>
    </row>
    <row r="27" spans="1:6" x14ac:dyDescent="0.2">
      <c r="A27" s="19">
        <v>23</v>
      </c>
      <c r="B27" s="180" t="s">
        <v>20</v>
      </c>
      <c r="C27" s="181"/>
      <c r="D27" s="14">
        <f t="shared" si="0"/>
        <v>208</v>
      </c>
      <c r="E27" s="17">
        <f t="shared" si="1"/>
        <v>2198.6263515615119</v>
      </c>
      <c r="F27" s="21">
        <f t="shared" si="2"/>
        <v>10.57</v>
      </c>
    </row>
    <row r="28" spans="1:6" x14ac:dyDescent="0.2">
      <c r="A28" s="19">
        <v>24</v>
      </c>
      <c r="B28" s="180" t="s">
        <v>21</v>
      </c>
      <c r="C28" s="181"/>
      <c r="D28" s="14">
        <f t="shared" si="0"/>
        <v>26656</v>
      </c>
      <c r="E28" s="17">
        <f t="shared" si="1"/>
        <v>87946.115515498386</v>
      </c>
      <c r="F28" s="21">
        <f t="shared" si="2"/>
        <v>3.3</v>
      </c>
    </row>
    <row r="29" spans="1:6" x14ac:dyDescent="0.2">
      <c r="A29" s="19">
        <v>25</v>
      </c>
      <c r="B29" s="180" t="s">
        <v>22</v>
      </c>
      <c r="C29" s="181"/>
      <c r="D29" s="14">
        <f t="shared" si="0"/>
        <v>73025</v>
      </c>
      <c r="E29" s="17">
        <f t="shared" si="1"/>
        <v>478626.81885951641</v>
      </c>
      <c r="F29" s="21">
        <f t="shared" si="2"/>
        <v>6.55</v>
      </c>
    </row>
    <row r="30" spans="1:6" x14ac:dyDescent="0.2">
      <c r="A30" s="19">
        <v>26</v>
      </c>
      <c r="B30" s="180" t="s">
        <v>23</v>
      </c>
      <c r="C30" s="181"/>
      <c r="D30" s="14">
        <f t="shared" si="0"/>
        <v>185604</v>
      </c>
      <c r="E30" s="17">
        <f t="shared" si="1"/>
        <v>1157085.5834385715</v>
      </c>
      <c r="F30" s="21">
        <f t="shared" si="2"/>
        <v>6.23</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4009159</v>
      </c>
      <c r="E33" s="31">
        <f>SUM(E5:E32)</f>
        <v>27711036</v>
      </c>
      <c r="F33" s="32">
        <f t="shared" si="2"/>
        <v>6.91</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IF(F3="1",SUMIF(Data!A:A,'54'!$A$2,Data!CU:CU),0)</f>
        <v>78816</v>
      </c>
      <c r="E36" s="15">
        <f>IF(F3="1",SUMIF(Data!$A:$A,$A$2,Data!IO:IO),0)</f>
        <v>114144</v>
      </c>
      <c r="F36" s="20">
        <f t="shared" ref="F36:F64" si="3">IF(OR(D36=0,E36=0),"",ROUND(E36/D36,2))</f>
        <v>1.45</v>
      </c>
    </row>
    <row r="37" spans="1:6" x14ac:dyDescent="0.2">
      <c r="A37" s="19">
        <v>2</v>
      </c>
      <c r="B37" s="180" t="s">
        <v>1</v>
      </c>
      <c r="C37" s="181"/>
      <c r="D37" s="14">
        <f>IF(F3="1",SUMIF(Data!A:A,'54'!$A$2,Data!CV:CV),0)</f>
        <v>313112</v>
      </c>
      <c r="E37" s="17">
        <f>IF(F3="1",SUMIF(Data!$A:$A,$A$2,Data!IP:IP),0)</f>
        <v>519928</v>
      </c>
      <c r="F37" s="21">
        <f t="shared" si="3"/>
        <v>1.66</v>
      </c>
    </row>
    <row r="38" spans="1:6" ht="14.25" customHeight="1" x14ac:dyDescent="0.2">
      <c r="A38" s="19">
        <v>3</v>
      </c>
      <c r="B38" s="180" t="s">
        <v>2</v>
      </c>
      <c r="C38" s="181"/>
      <c r="D38" s="14">
        <f>IF(F3="1",SUMIF(Data!A:A,'54'!$A$2,Data!CW:CW),0)</f>
        <v>67810</v>
      </c>
      <c r="E38" s="17">
        <f>IF($F$3="1",SUMIF(Data!$A:$A,$A$2,Data!IQ:IQ),0)</f>
        <v>114313</v>
      </c>
      <c r="F38" s="21">
        <f t="shared" si="3"/>
        <v>1.69</v>
      </c>
    </row>
    <row r="39" spans="1:6" ht="14.25" customHeight="1" x14ac:dyDescent="0.2">
      <c r="A39" s="19">
        <v>4</v>
      </c>
      <c r="B39" s="180" t="s">
        <v>3</v>
      </c>
      <c r="C39" s="181"/>
      <c r="D39" s="14">
        <f>IF(F3="1",SUMIF(Data!A:A,'54'!$A$2,Data!CX:CX),0)</f>
        <v>385883</v>
      </c>
      <c r="E39" s="17">
        <f>IF($F$3="1",SUMIF(Data!$A:$A,$A$2,Data!IR:IR),0)</f>
        <v>298643</v>
      </c>
      <c r="F39" s="21">
        <f t="shared" si="3"/>
        <v>0.77</v>
      </c>
    </row>
    <row r="40" spans="1:6" x14ac:dyDescent="0.2">
      <c r="A40" s="19">
        <v>5</v>
      </c>
      <c r="B40" s="180" t="s">
        <v>4</v>
      </c>
      <c r="C40" s="181"/>
      <c r="D40" s="14">
        <f>IF(F3="1",SUMIF(Data!A:A,'54'!$A$2,Data!CY:CY),0)</f>
        <v>87392</v>
      </c>
      <c r="E40" s="17">
        <f>IF($F$3="1",SUMIF(Data!$A:$A,$A$2,Data!IS:IS),0)</f>
        <v>1028178</v>
      </c>
      <c r="F40" s="21">
        <f t="shared" si="3"/>
        <v>11.77</v>
      </c>
    </row>
    <row r="41" spans="1:6" x14ac:dyDescent="0.2">
      <c r="A41" s="19">
        <v>6</v>
      </c>
      <c r="B41" s="180" t="s">
        <v>5</v>
      </c>
      <c r="C41" s="181"/>
      <c r="D41" s="14">
        <f>IF(F3="1",SUMIF(Data!A:A,'54'!$A$2,Data!CZ:CZ),0)</f>
        <v>125616</v>
      </c>
      <c r="E41" s="17">
        <f>IF($F$3="1",SUMIF(Data!$A:$A,$A$2,Data!IT:IT),0)</f>
        <v>187164</v>
      </c>
      <c r="F41" s="21">
        <f t="shared" si="3"/>
        <v>1.49</v>
      </c>
    </row>
    <row r="42" spans="1:6" x14ac:dyDescent="0.2">
      <c r="A42" s="19">
        <v>7</v>
      </c>
      <c r="B42" s="180" t="s">
        <v>6</v>
      </c>
      <c r="C42" s="181"/>
      <c r="D42" s="14">
        <f>IF(F3="1",SUMIF(Data!A:A,'54'!$A$2,Data!DA:DA),0)</f>
        <v>372668</v>
      </c>
      <c r="E42" s="17">
        <f>IF($F$3="1",SUMIF(Data!$A:$A,$A$2,Data!IU:IU),0)</f>
        <v>745952</v>
      </c>
      <c r="F42" s="21">
        <f t="shared" si="3"/>
        <v>2</v>
      </c>
    </row>
    <row r="43" spans="1:6" x14ac:dyDescent="0.2">
      <c r="A43" s="19">
        <v>8</v>
      </c>
      <c r="B43" s="180" t="s">
        <v>7</v>
      </c>
      <c r="C43" s="181"/>
      <c r="D43" s="14">
        <f>IF(F3="1",SUMIF(Data!A:A,'54'!$A$2,Data!DB:DB),0)</f>
        <v>121716</v>
      </c>
      <c r="E43" s="17">
        <f>IF($F$3="1",SUMIF(Data!$A:$A,$A$2,Data!IV:IV),0)</f>
        <v>249244</v>
      </c>
      <c r="F43" s="21">
        <f t="shared" si="3"/>
        <v>2.0499999999999998</v>
      </c>
    </row>
    <row r="44" spans="1:6" x14ac:dyDescent="0.2">
      <c r="A44" s="19">
        <v>9</v>
      </c>
      <c r="B44" s="180" t="s">
        <v>8</v>
      </c>
      <c r="C44" s="181"/>
      <c r="D44" s="14">
        <f>IF(F3="1",SUMIF(Data!A:A,'54'!$A$2,Data!DC:DC),0)</f>
        <v>67135</v>
      </c>
      <c r="E44" s="17">
        <f>IF($F$3="1",SUMIF(Data!$A:$A,$A$2,Data!IW:IW),0)</f>
        <v>118015</v>
      </c>
      <c r="F44" s="21">
        <f t="shared" si="3"/>
        <v>1.76</v>
      </c>
    </row>
    <row r="45" spans="1:6" x14ac:dyDescent="0.2">
      <c r="A45" s="19">
        <v>10</v>
      </c>
      <c r="B45" s="180" t="s">
        <v>9</v>
      </c>
      <c r="C45" s="181"/>
      <c r="D45" s="14">
        <f>IF(F3="1",SUMIF(Data!A:A,'54'!$A$2,Data!DD:DD),0)</f>
        <v>1608</v>
      </c>
      <c r="E45" s="17">
        <f>IF($F$3="1",SUMIF(Data!$A:$A,$A$2,Data!IX:IX),0)</f>
        <v>3866</v>
      </c>
      <c r="F45" s="21">
        <f t="shared" si="3"/>
        <v>2.4</v>
      </c>
    </row>
    <row r="46" spans="1:6" x14ac:dyDescent="0.2">
      <c r="A46" s="19">
        <v>11</v>
      </c>
      <c r="B46" s="180" t="s">
        <v>10</v>
      </c>
      <c r="C46" s="181"/>
      <c r="D46" s="14">
        <f>IF(F3="1",SUMIF(Data!A:A,'54'!$A$2,Data!DE:DE),0)</f>
        <v>701498</v>
      </c>
      <c r="E46" s="17">
        <f>IF($F$3="1",SUMIF(Data!$A:$A,$A$2,Data!IY:IY),0)</f>
        <v>1451250</v>
      </c>
      <c r="F46" s="21">
        <f t="shared" si="3"/>
        <v>2.0699999999999998</v>
      </c>
    </row>
    <row r="47" spans="1:6" ht="14.25" customHeight="1" x14ac:dyDescent="0.2">
      <c r="A47" s="19">
        <v>12</v>
      </c>
      <c r="B47" s="180" t="s">
        <v>11</v>
      </c>
      <c r="C47" s="181"/>
      <c r="D47" s="14">
        <f>IF(F3="1",SUMIF(Data!A:A,'54'!$A$2,Data!DF:DF),0)</f>
        <v>285704</v>
      </c>
      <c r="E47" s="17">
        <f>IF($F$3="1",SUMIF(Data!$A:$A,$A$2,Data!IZ:IZ),0)</f>
        <v>442212</v>
      </c>
      <c r="F47" s="21">
        <f t="shared" si="3"/>
        <v>1.55</v>
      </c>
    </row>
    <row r="48" spans="1:6" x14ac:dyDescent="0.2">
      <c r="A48" s="19">
        <v>13</v>
      </c>
      <c r="B48" s="180" t="s">
        <v>12</v>
      </c>
      <c r="C48" s="181"/>
      <c r="D48" s="14">
        <f>IF(F3="1",SUMIF(Data!A:A,'54'!$A$2,Data!DG:DG),0)</f>
        <v>2072</v>
      </c>
      <c r="E48" s="17">
        <f>IF($F$3="1",SUMIF(Data!$A:$A,$A$2,Data!JA:JA),0)</f>
        <v>1729</v>
      </c>
      <c r="F48" s="21">
        <f t="shared" si="3"/>
        <v>0.83</v>
      </c>
    </row>
    <row r="49" spans="1:6" ht="14.25" customHeight="1" x14ac:dyDescent="0.2">
      <c r="A49" s="19">
        <v>14</v>
      </c>
      <c r="B49" s="180" t="s">
        <v>464</v>
      </c>
      <c r="C49" s="181"/>
      <c r="D49" s="14">
        <f>IF(F3="1",SUMIF(Data!A:A,'54'!$A$2,Data!DH:DH),0)</f>
        <v>155552</v>
      </c>
      <c r="E49" s="17">
        <f>IF($F$3="1",SUMIF(Data!$A:$A,$A$2,Data!JB:JB),0)</f>
        <v>232901</v>
      </c>
      <c r="F49" s="21">
        <f t="shared" si="3"/>
        <v>1.5</v>
      </c>
    </row>
    <row r="50" spans="1:6" x14ac:dyDescent="0.2">
      <c r="A50" s="19">
        <v>15</v>
      </c>
      <c r="B50" s="180" t="s">
        <v>13</v>
      </c>
      <c r="C50" s="181"/>
      <c r="D50" s="14">
        <f>IF(F3="1",SUMIF(Data!A:A,'54'!$A$2,Data!DI:DI),0)</f>
        <v>0</v>
      </c>
      <c r="E50" s="17">
        <f>IF($F$3="1",SUMIF(Data!$A:$A,$A$2,Data!JC:JC),0)</f>
        <v>0</v>
      </c>
      <c r="F50" s="21" t="str">
        <f t="shared" si="3"/>
        <v/>
      </c>
    </row>
    <row r="51" spans="1:6" x14ac:dyDescent="0.2">
      <c r="A51" s="19">
        <v>16</v>
      </c>
      <c r="B51" s="180" t="s">
        <v>14</v>
      </c>
      <c r="C51" s="181"/>
      <c r="D51" s="14">
        <f>IF(F3="1",SUMIF(Data!A:A,'54'!$A$2,Data!DJ:DJ),0)</f>
        <v>41616</v>
      </c>
      <c r="E51" s="17">
        <f>IF($F$3="1",SUMIF(Data!$A:$A,$A$2,Data!JD:JD),0)</f>
        <v>33414</v>
      </c>
      <c r="F51" s="21">
        <f t="shared" si="3"/>
        <v>0.8</v>
      </c>
    </row>
    <row r="52" spans="1:6" x14ac:dyDescent="0.2">
      <c r="A52" s="19">
        <v>17</v>
      </c>
      <c r="B52" s="180" t="s">
        <v>15</v>
      </c>
      <c r="C52" s="181"/>
      <c r="D52" s="14">
        <f>IF(F3="1",SUMIF(Data!A:A,'54'!$A$2,Data!DK:DK),0)</f>
        <v>0</v>
      </c>
      <c r="E52" s="17">
        <f>IF($F$3="1",SUMIF(Data!$A:$A,$A$2,Data!JE:JE),0)</f>
        <v>0</v>
      </c>
      <c r="F52" s="21" t="str">
        <f t="shared" si="3"/>
        <v/>
      </c>
    </row>
    <row r="53" spans="1:6" x14ac:dyDescent="0.2">
      <c r="A53" s="19">
        <v>18</v>
      </c>
      <c r="B53" s="180" t="s">
        <v>16</v>
      </c>
      <c r="C53" s="181"/>
      <c r="D53" s="14">
        <f>IF(F3="1",SUMIF(Data!A:A,'54'!$A$2,Data!DL:DL),0)</f>
        <v>0</v>
      </c>
      <c r="E53" s="17">
        <f>IF($F$3="1",SUMIF(Data!$A:$A,$A$2,Data!JF:JF),0)</f>
        <v>0</v>
      </c>
      <c r="F53" s="21" t="str">
        <f t="shared" si="3"/>
        <v/>
      </c>
    </row>
    <row r="54" spans="1:6" x14ac:dyDescent="0.2">
      <c r="A54" s="19">
        <v>19</v>
      </c>
      <c r="B54" s="180" t="s">
        <v>17</v>
      </c>
      <c r="C54" s="181"/>
      <c r="D54" s="14">
        <f>IF(F3="1",SUMIF(Data!A:A,'54'!$A$2,Data!DM:DM),0)</f>
        <v>192688</v>
      </c>
      <c r="E54" s="17">
        <f>IF($F$3="1",SUMIF(Data!$A:$A,$A$2,Data!JG:JG),0)</f>
        <v>305795</v>
      </c>
      <c r="F54" s="21">
        <f t="shared" si="3"/>
        <v>1.59</v>
      </c>
    </row>
    <row r="55" spans="1:6" x14ac:dyDescent="0.2">
      <c r="A55" s="19">
        <v>20</v>
      </c>
      <c r="B55" s="180" t="s">
        <v>18</v>
      </c>
      <c r="C55" s="181"/>
      <c r="D55" s="14">
        <f>IF(F3="1",SUMIF(Data!A:A,'54'!$A$2,Data!DN:DN),0)</f>
        <v>387940</v>
      </c>
      <c r="E55" s="17">
        <f>IF($F$3="1",SUMIF(Data!$A:$A,$A$2,Data!JH:JH),0)</f>
        <v>591679</v>
      </c>
      <c r="F55" s="21">
        <f t="shared" si="3"/>
        <v>1.53</v>
      </c>
    </row>
    <row r="56" spans="1:6" ht="14.25" customHeight="1" x14ac:dyDescent="0.2">
      <c r="A56" s="19">
        <v>21</v>
      </c>
      <c r="B56" s="180" t="s">
        <v>461</v>
      </c>
      <c r="C56" s="181"/>
      <c r="D56" s="14">
        <f>IF(F3="1",SUMIF(Data!A:A,'54'!$A$2,Data!DO:DO),0)</f>
        <v>282744</v>
      </c>
      <c r="E56" s="17">
        <f>IF($F$3="1",SUMIF(Data!$A:$A,$A$2,Data!JI:JI),0)</f>
        <v>461667</v>
      </c>
      <c r="F56" s="21">
        <f t="shared" si="3"/>
        <v>1.63</v>
      </c>
    </row>
    <row r="57" spans="1:6" x14ac:dyDescent="0.2">
      <c r="A57" s="19">
        <v>22</v>
      </c>
      <c r="B57" s="180" t="s">
        <v>19</v>
      </c>
      <c r="C57" s="181"/>
      <c r="D57" s="14">
        <f>IF(F3="1",SUMIF(Data!A:A,'54'!$A$2,Data!DP:DP),0)</f>
        <v>52096</v>
      </c>
      <c r="E57" s="17">
        <f>IF($F$3="1",SUMIF(Data!$A:$A,$A$2,Data!JJ:JJ),0)</f>
        <v>40100</v>
      </c>
      <c r="F57" s="21">
        <f t="shared" si="3"/>
        <v>0.77</v>
      </c>
    </row>
    <row r="58" spans="1:6" x14ac:dyDescent="0.2">
      <c r="A58" s="19">
        <v>23</v>
      </c>
      <c r="B58" s="180" t="s">
        <v>20</v>
      </c>
      <c r="C58" s="181"/>
      <c r="D58" s="14">
        <f>IF(F3="1",SUMIF(Data!A:A,'54'!$A$2,Data!DQ:DQ),0)</f>
        <v>208</v>
      </c>
      <c r="E58" s="17">
        <f>IF($F$3="1",SUMIF(Data!$A:$A,$A$2,Data!JK:JK),0)</f>
        <v>693</v>
      </c>
      <c r="F58" s="21">
        <f t="shared" si="3"/>
        <v>3.33</v>
      </c>
    </row>
    <row r="59" spans="1:6" x14ac:dyDescent="0.2">
      <c r="A59" s="19">
        <v>24</v>
      </c>
      <c r="B59" s="180" t="s">
        <v>21</v>
      </c>
      <c r="C59" s="181"/>
      <c r="D59" s="14">
        <f>IF(F3="1",SUMIF(Data!A:A,'54'!$A$2,Data!DR:DR),0)</f>
        <v>26656</v>
      </c>
      <c r="E59" s="17">
        <f>IF($F$3="1",SUMIF(Data!$A:$A,$A$2,Data!JL:JL),0)</f>
        <v>20718</v>
      </c>
      <c r="F59" s="21">
        <f t="shared" si="3"/>
        <v>0.78</v>
      </c>
    </row>
    <row r="60" spans="1:6" x14ac:dyDescent="0.2">
      <c r="A60" s="19">
        <v>25</v>
      </c>
      <c r="B60" s="180" t="s">
        <v>22</v>
      </c>
      <c r="C60" s="181"/>
      <c r="D60" s="14">
        <f>IF(F3="1",SUMIF(Data!A:A,'54'!$A$2,Data!DS:DS),0)</f>
        <v>73025</v>
      </c>
      <c r="E60" s="17">
        <f>IF($F$3="1",SUMIF(Data!$A:$A,$A$2,Data!JM:JM),0)</f>
        <v>123108</v>
      </c>
      <c r="F60" s="21">
        <f t="shared" si="3"/>
        <v>1.69</v>
      </c>
    </row>
    <row r="61" spans="1:6" x14ac:dyDescent="0.2">
      <c r="A61" s="19">
        <v>26</v>
      </c>
      <c r="B61" s="180" t="s">
        <v>23</v>
      </c>
      <c r="C61" s="181"/>
      <c r="D61" s="14">
        <f>IF(F3="1",SUMIF(Data!A:A,'54'!$A$2,Data!DT:DT),0)</f>
        <v>185604</v>
      </c>
      <c r="E61" s="17">
        <f>IF($F$3="1",SUMIF(Data!$A:$A,$A$2,Data!JN:JN),0)</f>
        <v>342169</v>
      </c>
      <c r="F61" s="21">
        <f t="shared" si="3"/>
        <v>1.84</v>
      </c>
    </row>
    <row r="62" spans="1:6" x14ac:dyDescent="0.2">
      <c r="A62" s="19">
        <v>28</v>
      </c>
      <c r="B62" s="180" t="s">
        <v>24</v>
      </c>
      <c r="C62" s="181"/>
      <c r="D62" s="14">
        <f>IF(F3="1",SUMIF(Data!A:A,'54'!$A$2,Data!DV:DV),0)</f>
        <v>0</v>
      </c>
      <c r="E62" s="17">
        <f>IF($F$3="1",SUMIF(Data!$A:$A,$A$2,Data!JP:JP),0)</f>
        <v>0</v>
      </c>
      <c r="F62" s="21" t="str">
        <f t="shared" si="3"/>
        <v/>
      </c>
    </row>
    <row r="63" spans="1:6" ht="15.75" customHeight="1" thickBot="1" x14ac:dyDescent="0.25">
      <c r="A63" s="22">
        <v>29</v>
      </c>
      <c r="B63" s="184" t="s">
        <v>25</v>
      </c>
      <c r="C63" s="185"/>
      <c r="D63" s="23">
        <f>IF(F3="1",SUMIF(Data!A:A,'54'!$A$2,Data!DW:DW),0)</f>
        <v>0</v>
      </c>
      <c r="E63" s="24">
        <f>IF($F$3="1",SUMIF(Data!$A:$A,$A$2,Data!JQ:JQ),0)</f>
        <v>0</v>
      </c>
      <c r="F63" s="25" t="str">
        <f t="shared" si="3"/>
        <v/>
      </c>
    </row>
    <row r="64" spans="1:6" x14ac:dyDescent="0.2">
      <c r="B64" s="30" t="s">
        <v>35</v>
      </c>
      <c r="C64" s="30"/>
      <c r="D64" s="59">
        <f>SUM(D36:D63)</f>
        <v>4009159</v>
      </c>
      <c r="E64" s="31">
        <f>SUM(E36:E63)</f>
        <v>7426882</v>
      </c>
      <c r="F64" s="32">
        <f t="shared" si="3"/>
        <v>1.85</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78816</v>
      </c>
      <c r="E67" s="15">
        <f>IF(F3="1",SUMIF(Data!A:A,'54'!$A$2,Data!DY:DY),0)</f>
        <v>276426</v>
      </c>
      <c r="F67" s="20">
        <f t="shared" ref="F67:F95" si="4">IF(OR(D67=0,E67=0),"",ROUND(E67/D67,2))</f>
        <v>3.51</v>
      </c>
    </row>
    <row r="68" spans="1:6" x14ac:dyDescent="0.2">
      <c r="A68" s="19">
        <v>2</v>
      </c>
      <c r="B68" s="180" t="s">
        <v>1</v>
      </c>
      <c r="C68" s="181"/>
      <c r="D68" s="14">
        <f t="shared" ref="D68:D94" si="5">D37</f>
        <v>313112</v>
      </c>
      <c r="E68" s="17">
        <f>IF(F3="1",SUMIF(Data!A:A,'54'!$A$2,Data!DZ:DZ),0)</f>
        <v>858521</v>
      </c>
      <c r="F68" s="21">
        <f t="shared" si="4"/>
        <v>2.74</v>
      </c>
    </row>
    <row r="69" spans="1:6" ht="14.25" customHeight="1" x14ac:dyDescent="0.2">
      <c r="A69" s="19">
        <v>3</v>
      </c>
      <c r="B69" s="180" t="s">
        <v>2</v>
      </c>
      <c r="C69" s="181"/>
      <c r="D69" s="14">
        <f t="shared" si="5"/>
        <v>67810</v>
      </c>
      <c r="E69" s="17">
        <f>IF(F3="1",SUMIF(Data!A:A,'54'!$A$2,Data!EA:EA),0)</f>
        <v>276593</v>
      </c>
      <c r="F69" s="21">
        <f t="shared" si="4"/>
        <v>4.08</v>
      </c>
    </row>
    <row r="70" spans="1:6" ht="14.25" customHeight="1" x14ac:dyDescent="0.2">
      <c r="A70" s="19">
        <v>4</v>
      </c>
      <c r="B70" s="180" t="s">
        <v>3</v>
      </c>
      <c r="C70" s="181"/>
      <c r="D70" s="14">
        <f t="shared" si="5"/>
        <v>385883</v>
      </c>
      <c r="E70" s="17">
        <f>IF(F3="1",SUMIF(Data!A:A,'54'!$A$2,Data!EB:EB),0)</f>
        <v>200222</v>
      </c>
      <c r="F70" s="21">
        <f t="shared" si="4"/>
        <v>0.52</v>
      </c>
    </row>
    <row r="71" spans="1:6" x14ac:dyDescent="0.2">
      <c r="A71" s="19">
        <v>5</v>
      </c>
      <c r="B71" s="180" t="s">
        <v>4</v>
      </c>
      <c r="C71" s="181"/>
      <c r="D71" s="14">
        <f t="shared" si="5"/>
        <v>87392</v>
      </c>
      <c r="E71" s="17">
        <f>IF(F3="1",SUMIF(Data!A:A,'54'!$A$2,Data!EC:EC),0)</f>
        <v>450516</v>
      </c>
      <c r="F71" s="21">
        <f t="shared" si="4"/>
        <v>5.16</v>
      </c>
    </row>
    <row r="72" spans="1:6" x14ac:dyDescent="0.2">
      <c r="A72" s="19">
        <v>6</v>
      </c>
      <c r="B72" s="180" t="s">
        <v>5</v>
      </c>
      <c r="C72" s="181"/>
      <c r="D72" s="14">
        <f t="shared" si="5"/>
        <v>125616</v>
      </c>
      <c r="E72" s="17">
        <f>IF(F3="1",SUMIF(Data!A:A,'54'!$A$2,Data!ED:ED),0)</f>
        <v>340326</v>
      </c>
      <c r="F72" s="21">
        <f t="shared" si="4"/>
        <v>2.71</v>
      </c>
    </row>
    <row r="73" spans="1:6" x14ac:dyDescent="0.2">
      <c r="A73" s="19">
        <v>7</v>
      </c>
      <c r="B73" s="180" t="s">
        <v>6</v>
      </c>
      <c r="C73" s="181"/>
      <c r="D73" s="14">
        <f t="shared" si="5"/>
        <v>372668</v>
      </c>
      <c r="E73" s="17">
        <f>IF(F3="1",SUMIF(Data!A:A,'54'!$A$2,Data!EE:EE),0)</f>
        <v>1909722</v>
      </c>
      <c r="F73" s="21">
        <f t="shared" si="4"/>
        <v>5.12</v>
      </c>
    </row>
    <row r="74" spans="1:6" x14ac:dyDescent="0.2">
      <c r="A74" s="19">
        <v>8</v>
      </c>
      <c r="B74" s="180" t="s">
        <v>7</v>
      </c>
      <c r="C74" s="181"/>
      <c r="D74" s="14">
        <f t="shared" si="5"/>
        <v>121716</v>
      </c>
      <c r="E74" s="17">
        <f>IF(F3="1",SUMIF(Data!A:A,'54'!$A$2,Data!EF:EF),0)</f>
        <v>536809</v>
      </c>
      <c r="F74" s="21">
        <f t="shared" si="4"/>
        <v>4.41</v>
      </c>
    </row>
    <row r="75" spans="1:6" x14ac:dyDescent="0.2">
      <c r="A75" s="19">
        <v>9</v>
      </c>
      <c r="B75" s="180" t="s">
        <v>8</v>
      </c>
      <c r="C75" s="181"/>
      <c r="D75" s="14">
        <f t="shared" si="5"/>
        <v>67135</v>
      </c>
      <c r="E75" s="17">
        <f>IF(F3="1",SUMIF(Data!A:A,'54'!$A$2,Data!EG:EG),0)</f>
        <v>164622</v>
      </c>
      <c r="F75" s="21">
        <f t="shared" si="4"/>
        <v>2.4500000000000002</v>
      </c>
    </row>
    <row r="76" spans="1:6" x14ac:dyDescent="0.2">
      <c r="A76" s="19">
        <v>10</v>
      </c>
      <c r="B76" s="180" t="s">
        <v>9</v>
      </c>
      <c r="C76" s="181"/>
      <c r="D76" s="14">
        <f t="shared" si="5"/>
        <v>1608</v>
      </c>
      <c r="E76" s="17">
        <f>IF(F3="1",SUMIF(Data!A:A,'54'!$A$2,Data!EH:EH),0)</f>
        <v>8299</v>
      </c>
      <c r="F76" s="21">
        <f t="shared" si="4"/>
        <v>5.16</v>
      </c>
    </row>
    <row r="77" spans="1:6" x14ac:dyDescent="0.2">
      <c r="A77" s="19">
        <v>11</v>
      </c>
      <c r="B77" s="180" t="s">
        <v>10</v>
      </c>
      <c r="C77" s="181"/>
      <c r="D77" s="14">
        <f t="shared" si="5"/>
        <v>701498</v>
      </c>
      <c r="E77" s="17">
        <f>IF(F3="1",SUMIF(Data!A:A,'54'!$A$2,Data!EI:EI),0)</f>
        <v>3267615</v>
      </c>
      <c r="F77" s="21">
        <f t="shared" si="4"/>
        <v>4.66</v>
      </c>
    </row>
    <row r="78" spans="1:6" ht="14.25" customHeight="1" x14ac:dyDescent="0.2">
      <c r="A78" s="19">
        <v>12</v>
      </c>
      <c r="B78" s="180" t="s">
        <v>11</v>
      </c>
      <c r="C78" s="181"/>
      <c r="D78" s="14">
        <f t="shared" si="5"/>
        <v>285704</v>
      </c>
      <c r="E78" s="17">
        <f>IF(F3="1",SUMIF(Data!A:A,'54'!$A$2,Data!EJ:EJ),0)</f>
        <v>805221</v>
      </c>
      <c r="F78" s="21">
        <f t="shared" si="4"/>
        <v>2.82</v>
      </c>
    </row>
    <row r="79" spans="1:6" x14ac:dyDescent="0.2">
      <c r="A79" s="19">
        <v>13</v>
      </c>
      <c r="B79" s="180" t="s">
        <v>12</v>
      </c>
      <c r="C79" s="181"/>
      <c r="D79" s="14">
        <f t="shared" si="5"/>
        <v>2072</v>
      </c>
      <c r="E79" s="17">
        <f>IF(F3="1",SUMIF(Data!A:A,'54'!$A$2,Data!EK:EK),0)</f>
        <v>4324</v>
      </c>
      <c r="F79" s="21">
        <f t="shared" si="4"/>
        <v>2.09</v>
      </c>
    </row>
    <row r="80" spans="1:6" ht="14.25" customHeight="1" x14ac:dyDescent="0.2">
      <c r="A80" s="19">
        <v>14</v>
      </c>
      <c r="B80" s="180" t="s">
        <v>464</v>
      </c>
      <c r="C80" s="181"/>
      <c r="D80" s="14">
        <f t="shared" si="5"/>
        <v>155552</v>
      </c>
      <c r="E80" s="17">
        <f>IF(F3="1",SUMIF(Data!A:A,'54'!$A$2,Data!EL:EL),0)</f>
        <v>256887</v>
      </c>
      <c r="F80" s="21">
        <f t="shared" si="4"/>
        <v>1.65</v>
      </c>
    </row>
    <row r="81" spans="1:6" x14ac:dyDescent="0.2">
      <c r="A81" s="19">
        <v>15</v>
      </c>
      <c r="B81" s="180" t="s">
        <v>13</v>
      </c>
      <c r="C81" s="181"/>
      <c r="D81" s="14">
        <f t="shared" si="5"/>
        <v>0</v>
      </c>
      <c r="E81" s="17">
        <f>IF(F3="1",SUMIF(Data!A:A,'54'!$A$2,Data!EM:EM),0)</f>
        <v>0</v>
      </c>
      <c r="F81" s="21" t="str">
        <f t="shared" si="4"/>
        <v/>
      </c>
    </row>
    <row r="82" spans="1:6" x14ac:dyDescent="0.2">
      <c r="A82" s="19">
        <v>16</v>
      </c>
      <c r="B82" s="180" t="s">
        <v>14</v>
      </c>
      <c r="C82" s="181"/>
      <c r="D82" s="14">
        <f t="shared" si="5"/>
        <v>41616</v>
      </c>
      <c r="E82" s="17">
        <f>IF(F3="1",SUMIF(Data!A:A,'54'!$A$2,Data!EN:EN),0)</f>
        <v>26662</v>
      </c>
      <c r="F82" s="21">
        <f t="shared" si="4"/>
        <v>0.64</v>
      </c>
    </row>
    <row r="83" spans="1:6" x14ac:dyDescent="0.2">
      <c r="A83" s="19">
        <v>17</v>
      </c>
      <c r="B83" s="180" t="s">
        <v>15</v>
      </c>
      <c r="C83" s="181"/>
      <c r="D83" s="14">
        <f t="shared" si="5"/>
        <v>0</v>
      </c>
      <c r="E83" s="17">
        <f>IF(F3="1",SUMIF(Data!A:A,'54'!$A$2,Data!EO:EO),0)</f>
        <v>0</v>
      </c>
      <c r="F83" s="21" t="str">
        <f t="shared" si="4"/>
        <v/>
      </c>
    </row>
    <row r="84" spans="1:6" x14ac:dyDescent="0.2">
      <c r="A84" s="19">
        <v>18</v>
      </c>
      <c r="B84" s="180" t="s">
        <v>16</v>
      </c>
      <c r="C84" s="181"/>
      <c r="D84" s="14">
        <f t="shared" si="5"/>
        <v>0</v>
      </c>
      <c r="E84" s="17">
        <f>IF(F3="1",SUMIF(Data!A:A,'54'!$A$2,Data!EP:EP),0)</f>
        <v>0</v>
      </c>
      <c r="F84" s="21" t="str">
        <f t="shared" si="4"/>
        <v/>
      </c>
    </row>
    <row r="85" spans="1:6" x14ac:dyDescent="0.2">
      <c r="A85" s="19">
        <v>19</v>
      </c>
      <c r="B85" s="180" t="s">
        <v>17</v>
      </c>
      <c r="C85" s="181"/>
      <c r="D85" s="14">
        <f t="shared" si="5"/>
        <v>192688</v>
      </c>
      <c r="E85" s="17">
        <f>IF(F3="1",SUMIF(Data!A:A,'54'!$A$2,Data!EQ:EQ),0)</f>
        <v>544288</v>
      </c>
      <c r="F85" s="21">
        <f t="shared" si="4"/>
        <v>2.82</v>
      </c>
    </row>
    <row r="86" spans="1:6" x14ac:dyDescent="0.2">
      <c r="A86" s="19">
        <v>20</v>
      </c>
      <c r="B86" s="180" t="s">
        <v>18</v>
      </c>
      <c r="C86" s="181"/>
      <c r="D86" s="14">
        <f t="shared" si="5"/>
        <v>387940</v>
      </c>
      <c r="E86" s="17">
        <f>IF(F3="1",SUMIF(Data!A:A,'54'!$A$2,Data!ER:ER),0)</f>
        <v>914460</v>
      </c>
      <c r="F86" s="21">
        <f t="shared" si="4"/>
        <v>2.36</v>
      </c>
    </row>
    <row r="87" spans="1:6" ht="14.25" customHeight="1" x14ac:dyDescent="0.2">
      <c r="A87" s="19">
        <v>21</v>
      </c>
      <c r="B87" s="180" t="s">
        <v>461</v>
      </c>
      <c r="C87" s="181"/>
      <c r="D87" s="14">
        <f t="shared" si="5"/>
        <v>282744</v>
      </c>
      <c r="E87" s="17">
        <f>IF(F3="1",SUMIF(Data!A:A,'54'!$A$2,Data!ES:ES),0)</f>
        <v>745618</v>
      </c>
      <c r="F87" s="21">
        <f t="shared" si="4"/>
        <v>2.64</v>
      </c>
    </row>
    <row r="88" spans="1:6" x14ac:dyDescent="0.2">
      <c r="A88" s="19">
        <v>22</v>
      </c>
      <c r="B88" s="180" t="s">
        <v>19</v>
      </c>
      <c r="C88" s="181"/>
      <c r="D88" s="14">
        <f t="shared" si="5"/>
        <v>52096</v>
      </c>
      <c r="E88" s="17">
        <f>IF(F3="1",SUMIF(Data!A:A,'54'!$A$2,Data!ET:ET),0)</f>
        <v>17211</v>
      </c>
      <c r="F88" s="21">
        <f t="shared" si="4"/>
        <v>0.33</v>
      </c>
    </row>
    <row r="89" spans="1:6" x14ac:dyDescent="0.2">
      <c r="A89" s="19">
        <v>23</v>
      </c>
      <c r="B89" s="180" t="s">
        <v>20</v>
      </c>
      <c r="C89" s="181"/>
      <c r="D89" s="14">
        <f t="shared" si="5"/>
        <v>208</v>
      </c>
      <c r="E89" s="17">
        <f>IF(F3="1",SUMIF(Data!A:A,'54'!$A$2,Data!EU:EU),0)</f>
        <v>1090</v>
      </c>
      <c r="F89" s="21">
        <f t="shared" si="4"/>
        <v>5.24</v>
      </c>
    </row>
    <row r="90" spans="1:6" x14ac:dyDescent="0.2">
      <c r="A90" s="19">
        <v>24</v>
      </c>
      <c r="B90" s="180" t="s">
        <v>21</v>
      </c>
      <c r="C90" s="181"/>
      <c r="D90" s="14">
        <f t="shared" si="5"/>
        <v>26656</v>
      </c>
      <c r="E90" s="17">
        <f>IF(F3="1",SUMIF(Data!A:A,'54'!$A$2,Data!EV:EV),0)</f>
        <v>13964</v>
      </c>
      <c r="F90" s="21">
        <f t="shared" si="4"/>
        <v>0.52</v>
      </c>
    </row>
    <row r="91" spans="1:6" x14ac:dyDescent="0.2">
      <c r="A91" s="19">
        <v>25</v>
      </c>
      <c r="B91" s="180" t="s">
        <v>22</v>
      </c>
      <c r="C91" s="181"/>
      <c r="D91" s="14">
        <f t="shared" si="5"/>
        <v>73025</v>
      </c>
      <c r="E91" s="17">
        <f>IF(F3="1",SUMIF(Data!A:A,'54'!$A$2,Data!EW:EW),0)</f>
        <v>209600</v>
      </c>
      <c r="F91" s="21">
        <f t="shared" si="4"/>
        <v>2.87</v>
      </c>
    </row>
    <row r="92" spans="1:6" x14ac:dyDescent="0.2">
      <c r="A92" s="19">
        <v>26</v>
      </c>
      <c r="B92" s="180" t="s">
        <v>23</v>
      </c>
      <c r="C92" s="181"/>
      <c r="D92" s="14">
        <f t="shared" si="5"/>
        <v>185604</v>
      </c>
      <c r="E92" s="17">
        <f>IF(F3="1",SUMIF(Data!A:A,'54'!$A$2,Data!EX:EX),0)</f>
        <v>444042</v>
      </c>
      <c r="F92" s="21">
        <f t="shared" si="4"/>
        <v>2.39</v>
      </c>
    </row>
    <row r="93" spans="1:6" x14ac:dyDescent="0.2">
      <c r="A93" s="19">
        <v>28</v>
      </c>
      <c r="B93" s="180" t="s">
        <v>24</v>
      </c>
      <c r="C93" s="181"/>
      <c r="D93" s="14">
        <f t="shared" si="5"/>
        <v>0</v>
      </c>
      <c r="E93" s="17">
        <f>IF(F3="1",SUMIF(Data!A:A,'54'!$A$2,Data!EZ:EZ),0)</f>
        <v>0</v>
      </c>
      <c r="F93" s="21" t="str">
        <f t="shared" si="4"/>
        <v/>
      </c>
    </row>
    <row r="94" spans="1:6" ht="15.75" customHeight="1" thickBot="1" x14ac:dyDescent="0.25">
      <c r="A94" s="22">
        <v>29</v>
      </c>
      <c r="B94" s="184" t="s">
        <v>25</v>
      </c>
      <c r="C94" s="185"/>
      <c r="D94" s="23">
        <f t="shared" si="5"/>
        <v>0</v>
      </c>
      <c r="E94" s="24">
        <f>IF(F3="1",SUMIF(Data!A:A,'54'!$A$2,Data!FA:FA),0)</f>
        <v>0</v>
      </c>
      <c r="F94" s="25" t="str">
        <f t="shared" si="4"/>
        <v/>
      </c>
    </row>
    <row r="95" spans="1:6" x14ac:dyDescent="0.2">
      <c r="B95" s="30" t="s">
        <v>35</v>
      </c>
      <c r="C95" s="30"/>
      <c r="D95" s="59">
        <f>SUM(D67:D94)</f>
        <v>4009159</v>
      </c>
      <c r="E95" s="31">
        <f>SUM(E67:E94)</f>
        <v>12273038</v>
      </c>
      <c r="F95" s="32">
        <f t="shared" si="4"/>
        <v>3.06</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IF(F3="1",SUMIF(Data!A:A,'54'!$A$2,Data!AH:AH),0)</f>
        <v>4051552</v>
      </c>
      <c r="F98" s="20">
        <f>IF(OR(E98=0,E98=0),"",ROUND(E98/$D$105,2))</f>
        <v>1.01</v>
      </c>
    </row>
    <row r="99" spans="2:6" x14ac:dyDescent="0.2">
      <c r="B99" s="190" t="s">
        <v>31</v>
      </c>
      <c r="C99" s="191"/>
      <c r="D99" s="36"/>
      <c r="E99" s="17">
        <f>IF(F3="1",SUMIF(Data!A:A,'54'!$A$2,Data!AI:AI),0)</f>
        <v>1803573</v>
      </c>
      <c r="F99" s="21">
        <f t="shared" ref="F99:F104" si="6">IF(OR(E99=0,E99=0),"",ROUND(E99/$D$105,2))</f>
        <v>0.45</v>
      </c>
    </row>
    <row r="100" spans="2:6" x14ac:dyDescent="0.2">
      <c r="B100" s="190" t="s">
        <v>1089</v>
      </c>
      <c r="C100" s="191"/>
      <c r="D100" s="36"/>
      <c r="E100" s="17">
        <f>IF(F3="1",SUMIF(Data!A:A,'54'!$A$2,Data!AJ:AJ),0)</f>
        <v>435743</v>
      </c>
      <c r="F100" s="21">
        <f t="shared" si="6"/>
        <v>0.11</v>
      </c>
    </row>
    <row r="101" spans="2:6" x14ac:dyDescent="0.2">
      <c r="B101" s="190" t="s">
        <v>1090</v>
      </c>
      <c r="C101" s="191"/>
      <c r="D101" s="36"/>
      <c r="E101" s="17">
        <f>IF(F3="1",SUMIF(Data!A:A,'54'!$A$2,Data!AK:AK),0)</f>
        <v>743827</v>
      </c>
      <c r="F101" s="21">
        <f t="shared" si="6"/>
        <v>0.19</v>
      </c>
    </row>
    <row r="102" spans="2:6" x14ac:dyDescent="0.2">
      <c r="B102" s="190" t="s">
        <v>1091</v>
      </c>
      <c r="C102" s="191"/>
      <c r="D102" s="36"/>
      <c r="E102" s="17">
        <f>IF(F3="1",SUMIF(Data!A:A,'54'!$A$2,Data!AL:AL),0)</f>
        <v>0</v>
      </c>
      <c r="F102" s="21" t="str">
        <f t="shared" si="6"/>
        <v/>
      </c>
    </row>
    <row r="103" spans="2:6" x14ac:dyDescent="0.2">
      <c r="B103" s="192" t="s">
        <v>34</v>
      </c>
      <c r="C103" s="193"/>
      <c r="D103" s="36"/>
      <c r="E103" s="17">
        <f>IF(F3="1",SUMIF(Data!A:A,'54'!$A$2,Data!AM:AM),0)</f>
        <v>0</v>
      </c>
      <c r="F103" s="21" t="str">
        <f t="shared" si="6"/>
        <v/>
      </c>
    </row>
    <row r="104" spans="2:6" ht="15.75" customHeight="1" thickBot="1" x14ac:dyDescent="0.25">
      <c r="B104" s="186" t="s">
        <v>29</v>
      </c>
      <c r="C104" s="187"/>
      <c r="D104" s="37"/>
      <c r="E104" s="24">
        <f>IF(F3="1",SUMIF(Data!A:A,'54'!$A$2,Data!Q:Q),0)</f>
        <v>976421</v>
      </c>
      <c r="F104" s="25">
        <f t="shared" si="6"/>
        <v>0.24</v>
      </c>
    </row>
    <row r="105" spans="2:6" x14ac:dyDescent="0.2">
      <c r="B105" s="30" t="s">
        <v>35</v>
      </c>
      <c r="C105" s="30"/>
      <c r="D105" s="34">
        <f>D95</f>
        <v>4009159</v>
      </c>
      <c r="E105" s="31">
        <f>SUM(E98:E104)</f>
        <v>8011116</v>
      </c>
      <c r="F105" s="32">
        <f>IF($D$105=0,"",ROUND(E105/$D$105,2))</f>
        <v>2</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12273038</v>
      </c>
      <c r="D109" s="15">
        <f>IF(F3="1",SUMIF(Data!$A:$A,$A$2,Data!HJ:HJ),0)</f>
        <v>0</v>
      </c>
      <c r="E109" s="15">
        <f>IF(F3="1",SUMIF(Data!$A:$A,$A$2,Data!IN:IN),0)</f>
        <v>0</v>
      </c>
      <c r="F109" s="47">
        <f>SUM(C109:E109)</f>
        <v>12273038</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976421</v>
      </c>
      <c r="E117" s="52"/>
      <c r="F117" s="49">
        <f>SUM(C117:E117)</f>
        <v>976421</v>
      </c>
    </row>
    <row r="118" spans="1:6" x14ac:dyDescent="0.2">
      <c r="B118" s="13" t="s">
        <v>35</v>
      </c>
      <c r="C118" s="4">
        <f>SUM(C109:C116)</f>
        <v>12273038</v>
      </c>
      <c r="D118" s="4">
        <f>SUM(D109:D116)</f>
        <v>0</v>
      </c>
      <c r="E118" s="4">
        <f>SUM(E109:E116)</f>
        <v>0</v>
      </c>
      <c r="F118" s="4">
        <f>SUM(F109:F116)</f>
        <v>12273038</v>
      </c>
    </row>
    <row r="119" spans="1:6" ht="15" thickBot="1" x14ac:dyDescent="0.25"/>
    <row r="120" spans="1:6" ht="15" thickBot="1" x14ac:dyDescent="0.25">
      <c r="B120" s="55" t="s">
        <v>934</v>
      </c>
      <c r="C120" s="53"/>
      <c r="D120" s="53"/>
      <c r="E120" s="53">
        <f>IF(F3="1",SUMIF(Data!A:A,'54'!$A$2,Data!AM:AM),0)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28515625" style="10" bestFit="1" customWidth="1"/>
    <col min="12" max="12" width="13.42578125" style="10" bestFit="1" customWidth="1"/>
    <col min="13" max="14" width="12.425781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1082</v>
      </c>
      <c r="B2" s="58" t="str">
        <f>VLOOKUP(A2,Data!A:G,7,0)</f>
        <v>Lamar Institute of Technology</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0</v>
      </c>
      <c r="E5" s="15">
        <f>E36+E67+IFERROR($E$105/$D$105*D5,0)</f>
        <v>0</v>
      </c>
      <c r="F5" s="20" t="str">
        <f>IF(OR(D5=0,E5=0),"",ROUND(E5/D5,2))</f>
        <v/>
      </c>
    </row>
    <row r="6" spans="1:6" x14ac:dyDescent="0.2">
      <c r="A6" s="19">
        <v>2</v>
      </c>
      <c r="B6" s="180" t="s">
        <v>1</v>
      </c>
      <c r="C6" s="181"/>
      <c r="D6" s="14">
        <f t="shared" ref="D6:D32" si="0">D37</f>
        <v>127440</v>
      </c>
      <c r="E6" s="17">
        <f t="shared" ref="E6:E32" si="1">E37+E68+IFERROR($E$105/$D$105*D6,0)</f>
        <v>1078599.3276205659</v>
      </c>
      <c r="F6" s="21">
        <f t="shared" ref="F6:F33" si="2">IF(OR(D6=0,E6=0),"",ROUND(E6/D6,2))</f>
        <v>8.4600000000000009</v>
      </c>
    </row>
    <row r="7" spans="1:6" ht="14.25" customHeight="1" x14ac:dyDescent="0.2">
      <c r="A7" s="19">
        <v>3</v>
      </c>
      <c r="B7" s="180" t="s">
        <v>2</v>
      </c>
      <c r="C7" s="181"/>
      <c r="D7" s="14">
        <f t="shared" si="0"/>
        <v>134160</v>
      </c>
      <c r="E7" s="17">
        <f t="shared" si="1"/>
        <v>1135475.5595854921</v>
      </c>
      <c r="F7" s="21">
        <f t="shared" si="2"/>
        <v>8.4600000000000009</v>
      </c>
    </row>
    <row r="8" spans="1:6" ht="14.25" customHeight="1" x14ac:dyDescent="0.2">
      <c r="A8" s="19">
        <v>4</v>
      </c>
      <c r="B8" s="180" t="s">
        <v>3</v>
      </c>
      <c r="C8" s="181"/>
      <c r="D8" s="14">
        <f t="shared" si="0"/>
        <v>150896</v>
      </c>
      <c r="E8" s="17">
        <f t="shared" si="1"/>
        <v>1277121.7182409992</v>
      </c>
      <c r="F8" s="21">
        <f t="shared" si="2"/>
        <v>8.4600000000000009</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0</v>
      </c>
      <c r="E10" s="17">
        <f t="shared" si="1"/>
        <v>0</v>
      </c>
      <c r="F10" s="21" t="str">
        <f t="shared" si="2"/>
        <v/>
      </c>
    </row>
    <row r="11" spans="1:6" x14ac:dyDescent="0.2">
      <c r="A11" s="19">
        <v>7</v>
      </c>
      <c r="B11" s="180" t="s">
        <v>6</v>
      </c>
      <c r="C11" s="181"/>
      <c r="D11" s="14">
        <f t="shared" si="0"/>
        <v>65104</v>
      </c>
      <c r="E11" s="17">
        <f t="shared" si="1"/>
        <v>551014.02348877373</v>
      </c>
      <c r="F11" s="21">
        <f t="shared" si="2"/>
        <v>8.4600000000000009</v>
      </c>
    </row>
    <row r="12" spans="1:6" x14ac:dyDescent="0.2">
      <c r="A12" s="19">
        <v>8</v>
      </c>
      <c r="B12" s="180" t="s">
        <v>7</v>
      </c>
      <c r="C12" s="181"/>
      <c r="D12" s="14">
        <f t="shared" si="0"/>
        <v>22656</v>
      </c>
      <c r="E12" s="17">
        <f t="shared" si="1"/>
        <v>191751.12491032283</v>
      </c>
      <c r="F12" s="21">
        <f t="shared" si="2"/>
        <v>8.4600000000000009</v>
      </c>
    </row>
    <row r="13" spans="1:6" x14ac:dyDescent="0.2">
      <c r="A13" s="19">
        <v>9</v>
      </c>
      <c r="B13" s="180" t="s">
        <v>8</v>
      </c>
      <c r="C13" s="181"/>
      <c r="D13" s="14">
        <f t="shared" si="0"/>
        <v>21584</v>
      </c>
      <c r="E13" s="17">
        <f t="shared" si="1"/>
        <v>182678.56885877508</v>
      </c>
      <c r="F13" s="21">
        <f t="shared" si="2"/>
        <v>8.4600000000000009</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174224</v>
      </c>
      <c r="E15" s="17">
        <f t="shared" si="1"/>
        <v>1474561.2663478146</v>
      </c>
      <c r="F15" s="21">
        <f t="shared" si="2"/>
        <v>8.4600000000000009</v>
      </c>
    </row>
    <row r="16" spans="1:6" ht="14.25" customHeight="1" x14ac:dyDescent="0.2">
      <c r="A16" s="19">
        <v>12</v>
      </c>
      <c r="B16" s="180" t="s">
        <v>11</v>
      </c>
      <c r="C16" s="181"/>
      <c r="D16" s="14">
        <f t="shared" si="0"/>
        <v>54144</v>
      </c>
      <c r="E16" s="17">
        <f t="shared" si="1"/>
        <v>458252.38326026301</v>
      </c>
      <c r="F16" s="21">
        <f t="shared" si="2"/>
        <v>8.4600000000000009</v>
      </c>
    </row>
    <row r="17" spans="1:6" x14ac:dyDescent="0.2">
      <c r="A17" s="19">
        <v>13</v>
      </c>
      <c r="B17" s="180" t="s">
        <v>12</v>
      </c>
      <c r="C17" s="181"/>
      <c r="D17" s="14">
        <f t="shared" si="0"/>
        <v>0</v>
      </c>
      <c r="E17" s="17">
        <f t="shared" si="1"/>
        <v>0</v>
      </c>
      <c r="F17" s="21" t="str">
        <f t="shared" si="2"/>
        <v/>
      </c>
    </row>
    <row r="18" spans="1:6" ht="14.25" customHeight="1" x14ac:dyDescent="0.2">
      <c r="A18" s="19">
        <v>14</v>
      </c>
      <c r="B18" s="180" t="s">
        <v>464</v>
      </c>
      <c r="C18" s="181"/>
      <c r="D18" s="14">
        <f t="shared" si="0"/>
        <v>0</v>
      </c>
      <c r="E18" s="17">
        <f t="shared" si="1"/>
        <v>0</v>
      </c>
      <c r="F18" s="21" t="str">
        <f t="shared" si="2"/>
        <v/>
      </c>
    </row>
    <row r="19" spans="1:6" x14ac:dyDescent="0.2">
      <c r="A19" s="19">
        <v>15</v>
      </c>
      <c r="B19" s="180" t="s">
        <v>13</v>
      </c>
      <c r="C19" s="181"/>
      <c r="D19" s="14">
        <f t="shared" si="0"/>
        <v>26816</v>
      </c>
      <c r="E19" s="17">
        <f t="shared" si="1"/>
        <v>226959.50660289623</v>
      </c>
      <c r="F19" s="21">
        <f t="shared" si="2"/>
        <v>8.4600000000000009</v>
      </c>
    </row>
    <row r="20" spans="1:6" x14ac:dyDescent="0.2">
      <c r="A20" s="19">
        <v>16</v>
      </c>
      <c r="B20" s="180" t="s">
        <v>14</v>
      </c>
      <c r="C20" s="181"/>
      <c r="D20" s="14">
        <f t="shared" si="0"/>
        <v>151568</v>
      </c>
      <c r="E20" s="17">
        <f t="shared" si="1"/>
        <v>1282809.1414374916</v>
      </c>
      <c r="F20" s="21">
        <f t="shared" si="2"/>
        <v>8.4600000000000009</v>
      </c>
    </row>
    <row r="21" spans="1:6" x14ac:dyDescent="0.2">
      <c r="A21" s="19">
        <v>17</v>
      </c>
      <c r="B21" s="180" t="s">
        <v>15</v>
      </c>
      <c r="C21" s="181"/>
      <c r="D21" s="14">
        <f t="shared" si="0"/>
        <v>36512</v>
      </c>
      <c r="E21" s="17">
        <f t="shared" si="1"/>
        <v>309022.32700943272</v>
      </c>
      <c r="F21" s="21">
        <f t="shared" si="2"/>
        <v>8.4600000000000009</v>
      </c>
    </row>
    <row r="22" spans="1:6" x14ac:dyDescent="0.2">
      <c r="A22" s="19">
        <v>18</v>
      </c>
      <c r="B22" s="180" t="s">
        <v>16</v>
      </c>
      <c r="C22" s="181"/>
      <c r="D22" s="14">
        <f t="shared" si="0"/>
        <v>0</v>
      </c>
      <c r="E22" s="17">
        <f t="shared" si="1"/>
        <v>0</v>
      </c>
      <c r="F22" s="21" t="str">
        <f t="shared" si="2"/>
        <v/>
      </c>
    </row>
    <row r="23" spans="1:6" x14ac:dyDescent="0.2">
      <c r="A23" s="19">
        <v>19</v>
      </c>
      <c r="B23" s="180" t="s">
        <v>17</v>
      </c>
      <c r="C23" s="181"/>
      <c r="D23" s="14">
        <f t="shared" si="0"/>
        <v>75216</v>
      </c>
      <c r="E23" s="17">
        <f t="shared" si="1"/>
        <v>636596.5820645676</v>
      </c>
      <c r="F23" s="21">
        <f t="shared" si="2"/>
        <v>8.4600000000000009</v>
      </c>
    </row>
    <row r="24" spans="1:6" x14ac:dyDescent="0.2">
      <c r="A24" s="19">
        <v>20</v>
      </c>
      <c r="B24" s="180" t="s">
        <v>18</v>
      </c>
      <c r="C24" s="181"/>
      <c r="D24" s="14">
        <f t="shared" si="0"/>
        <v>13920</v>
      </c>
      <c r="E24" s="17">
        <f t="shared" si="1"/>
        <v>117813.62335591868</v>
      </c>
      <c r="F24" s="21">
        <f t="shared" si="2"/>
        <v>8.4600000000000009</v>
      </c>
    </row>
    <row r="25" spans="1:6" ht="14.25" customHeight="1" x14ac:dyDescent="0.2">
      <c r="A25" s="19">
        <v>21</v>
      </c>
      <c r="B25" s="180" t="s">
        <v>461</v>
      </c>
      <c r="C25" s="181"/>
      <c r="D25" s="14">
        <f t="shared" si="0"/>
        <v>20368</v>
      </c>
      <c r="E25" s="17">
        <f t="shared" si="1"/>
        <v>172386.56497940747</v>
      </c>
      <c r="F25" s="21">
        <f t="shared" si="2"/>
        <v>8.4600000000000009</v>
      </c>
    </row>
    <row r="26" spans="1:6" x14ac:dyDescent="0.2">
      <c r="A26" s="19">
        <v>22</v>
      </c>
      <c r="B26" s="180" t="s">
        <v>19</v>
      </c>
      <c r="C26" s="181"/>
      <c r="D26" s="14">
        <f t="shared" si="0"/>
        <v>1216</v>
      </c>
      <c r="E26" s="17">
        <f t="shared" si="1"/>
        <v>10292.00387936761</v>
      </c>
      <c r="F26" s="21">
        <f t="shared" si="2"/>
        <v>8.4600000000000009</v>
      </c>
    </row>
    <row r="27" spans="1:6" x14ac:dyDescent="0.2">
      <c r="A27" s="19">
        <v>23</v>
      </c>
      <c r="B27" s="180" t="s">
        <v>20</v>
      </c>
      <c r="C27" s="181"/>
      <c r="D27" s="14">
        <f t="shared" si="0"/>
        <v>0</v>
      </c>
      <c r="E27" s="17">
        <f t="shared" si="1"/>
        <v>0</v>
      </c>
      <c r="F27" s="21" t="str">
        <f t="shared" si="2"/>
        <v/>
      </c>
    </row>
    <row r="28" spans="1:6" x14ac:dyDescent="0.2">
      <c r="A28" s="19">
        <v>24</v>
      </c>
      <c r="B28" s="180" t="s">
        <v>21</v>
      </c>
      <c r="C28" s="181"/>
      <c r="D28" s="14">
        <f t="shared" si="0"/>
        <v>57024</v>
      </c>
      <c r="E28" s="17">
        <f t="shared" si="1"/>
        <v>482628.33981666004</v>
      </c>
      <c r="F28" s="21">
        <f t="shared" si="2"/>
        <v>8.4600000000000009</v>
      </c>
    </row>
    <row r="29" spans="1:6" x14ac:dyDescent="0.2">
      <c r="A29" s="19">
        <v>25</v>
      </c>
      <c r="B29" s="180" t="s">
        <v>22</v>
      </c>
      <c r="C29" s="181"/>
      <c r="D29" s="14">
        <f t="shared" si="0"/>
        <v>32544</v>
      </c>
      <c r="E29" s="17">
        <f t="shared" si="1"/>
        <v>275439.2090872858</v>
      </c>
      <c r="F29" s="21">
        <f t="shared" si="2"/>
        <v>8.4600000000000009</v>
      </c>
    </row>
    <row r="30" spans="1:6" x14ac:dyDescent="0.2">
      <c r="A30" s="19">
        <v>26</v>
      </c>
      <c r="B30" s="180" t="s">
        <v>23</v>
      </c>
      <c r="C30" s="181"/>
      <c r="D30" s="14">
        <f t="shared" si="0"/>
        <v>38928</v>
      </c>
      <c r="E30" s="17">
        <f t="shared" si="1"/>
        <v>329467.72945396573</v>
      </c>
      <c r="F30" s="21">
        <f t="shared" si="2"/>
        <v>8.4600000000000009</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1204320</v>
      </c>
      <c r="E33" s="31">
        <f>SUM(E5:E32)</f>
        <v>10192869.000000002</v>
      </c>
      <c r="F33" s="32">
        <f t="shared" si="2"/>
        <v>8.4600000000000009</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IF(F3="1",SUMIF(Data!A:A,'55'!$A$2,Data!CU:CU),0)</f>
        <v>0</v>
      </c>
      <c r="E36" s="15">
        <f>IF(F3="1",SUMIF(Data!$A:$A,$A$2,Data!IO:IO),0)</f>
        <v>0</v>
      </c>
      <c r="F36" s="20" t="str">
        <f t="shared" ref="F36:F64" si="3">IF(OR(D36=0,E36=0),"",ROUND(E36/D36,2))</f>
        <v/>
      </c>
    </row>
    <row r="37" spans="1:6" x14ac:dyDescent="0.2">
      <c r="A37" s="19">
        <v>2</v>
      </c>
      <c r="B37" s="180" t="s">
        <v>1</v>
      </c>
      <c r="C37" s="181"/>
      <c r="D37" s="14">
        <f>IF(F3="1",SUMIF(Data!A:A,'55'!$A$2,Data!CV:CV),0)</f>
        <v>127440</v>
      </c>
      <c r="E37" s="17">
        <f>IF(F3="1",SUMIF(Data!$A:$A,$A$2,Data!IP:IP),0)</f>
        <v>218424</v>
      </c>
      <c r="F37" s="21">
        <f t="shared" si="3"/>
        <v>1.71</v>
      </c>
    </row>
    <row r="38" spans="1:6" ht="14.25" customHeight="1" x14ac:dyDescent="0.2">
      <c r="A38" s="19">
        <v>3</v>
      </c>
      <c r="B38" s="180" t="s">
        <v>2</v>
      </c>
      <c r="C38" s="181"/>
      <c r="D38" s="14">
        <f>IF(F3="1",SUMIF(Data!A:A,'55'!$A$2,Data!CW:CW),0)</f>
        <v>134160</v>
      </c>
      <c r="E38" s="17">
        <f>IF($F$3="1",SUMIF(Data!$A:$A,$A$2,Data!IQ:IQ),0)</f>
        <v>229942</v>
      </c>
      <c r="F38" s="21">
        <f t="shared" si="3"/>
        <v>1.71</v>
      </c>
    </row>
    <row r="39" spans="1:6" ht="14.25" customHeight="1" x14ac:dyDescent="0.2">
      <c r="A39" s="19">
        <v>4</v>
      </c>
      <c r="B39" s="180" t="s">
        <v>3</v>
      </c>
      <c r="C39" s="181"/>
      <c r="D39" s="14">
        <f>IF(F3="1",SUMIF(Data!A:A,'55'!$A$2,Data!CX:CX),0)</f>
        <v>150896</v>
      </c>
      <c r="E39" s="17">
        <f>IF($F$3="1",SUMIF(Data!$A:$A,$A$2,Data!IR:IR),0)</f>
        <v>258626</v>
      </c>
      <c r="F39" s="21">
        <f t="shared" si="3"/>
        <v>1.71</v>
      </c>
    </row>
    <row r="40" spans="1:6" x14ac:dyDescent="0.2">
      <c r="A40" s="19">
        <v>5</v>
      </c>
      <c r="B40" s="180" t="s">
        <v>4</v>
      </c>
      <c r="C40" s="181"/>
      <c r="D40" s="14">
        <f>IF(F3="1",SUMIF(Data!A:A,'55'!$A$2,Data!CY:CY),0)</f>
        <v>0</v>
      </c>
      <c r="E40" s="17">
        <f>IF($F$3="1",SUMIF(Data!$A:$A,$A$2,Data!IS:IS),0)</f>
        <v>0</v>
      </c>
      <c r="F40" s="21" t="str">
        <f t="shared" si="3"/>
        <v/>
      </c>
    </row>
    <row r="41" spans="1:6" x14ac:dyDescent="0.2">
      <c r="A41" s="19">
        <v>6</v>
      </c>
      <c r="B41" s="180" t="s">
        <v>5</v>
      </c>
      <c r="C41" s="181"/>
      <c r="D41" s="14">
        <f>IF(F3="1",SUMIF(Data!A:A,'55'!$A$2,Data!CZ:CZ),0)</f>
        <v>0</v>
      </c>
      <c r="E41" s="17">
        <f>IF($F$3="1",SUMIF(Data!$A:$A,$A$2,Data!IT:IT),0)</f>
        <v>0</v>
      </c>
      <c r="F41" s="21" t="str">
        <f t="shared" si="3"/>
        <v/>
      </c>
    </row>
    <row r="42" spans="1:6" x14ac:dyDescent="0.2">
      <c r="A42" s="19">
        <v>7</v>
      </c>
      <c r="B42" s="180" t="s">
        <v>6</v>
      </c>
      <c r="C42" s="181"/>
      <c r="D42" s="14">
        <f>IF(F3="1",SUMIF(Data!A:A,'55'!$A$2,Data!DA:DA),0)</f>
        <v>65104</v>
      </c>
      <c r="E42" s="17">
        <f>IF($F$3="1",SUMIF(Data!$A:$A,$A$2,Data!IU:IU),0)</f>
        <v>111585</v>
      </c>
      <c r="F42" s="21">
        <f t="shared" si="3"/>
        <v>1.71</v>
      </c>
    </row>
    <row r="43" spans="1:6" x14ac:dyDescent="0.2">
      <c r="A43" s="19">
        <v>8</v>
      </c>
      <c r="B43" s="180" t="s">
        <v>7</v>
      </c>
      <c r="C43" s="181"/>
      <c r="D43" s="14">
        <f>IF(F3="1",SUMIF(Data!A:A,'55'!$A$2,Data!DB:DB),0)</f>
        <v>22656</v>
      </c>
      <c r="E43" s="17">
        <f>IF($F$3="1",SUMIF(Data!$A:$A,$A$2,Data!IV:IV),0)</f>
        <v>38831</v>
      </c>
      <c r="F43" s="21">
        <f t="shared" si="3"/>
        <v>1.71</v>
      </c>
    </row>
    <row r="44" spans="1:6" x14ac:dyDescent="0.2">
      <c r="A44" s="19">
        <v>9</v>
      </c>
      <c r="B44" s="180" t="s">
        <v>8</v>
      </c>
      <c r="C44" s="181"/>
      <c r="D44" s="14">
        <f>IF(F3="1",SUMIF(Data!A:A,'55'!$A$2,Data!DC:DC),0)</f>
        <v>21584</v>
      </c>
      <c r="E44" s="17">
        <f>IF($F$3="1",SUMIF(Data!$A:$A,$A$2,Data!IW:IW),0)</f>
        <v>36994</v>
      </c>
      <c r="F44" s="21">
        <f t="shared" si="3"/>
        <v>1.71</v>
      </c>
    </row>
    <row r="45" spans="1:6" x14ac:dyDescent="0.2">
      <c r="A45" s="19">
        <v>10</v>
      </c>
      <c r="B45" s="180" t="s">
        <v>9</v>
      </c>
      <c r="C45" s="181"/>
      <c r="D45" s="14">
        <f>IF(F3="1",SUMIF(Data!A:A,'55'!$A$2,Data!DD:DD),0)</f>
        <v>0</v>
      </c>
      <c r="E45" s="17">
        <f>IF($F$3="1",SUMIF(Data!$A:$A,$A$2,Data!IX:IX),0)</f>
        <v>0</v>
      </c>
      <c r="F45" s="21" t="str">
        <f t="shared" si="3"/>
        <v/>
      </c>
    </row>
    <row r="46" spans="1:6" x14ac:dyDescent="0.2">
      <c r="A46" s="19">
        <v>11</v>
      </c>
      <c r="B46" s="180" t="s">
        <v>10</v>
      </c>
      <c r="C46" s="181"/>
      <c r="D46" s="14">
        <f>IF(F3="1",SUMIF(Data!A:A,'55'!$A$2,Data!DE:DE),0)</f>
        <v>174224</v>
      </c>
      <c r="E46" s="17">
        <f>IF($F$3="1",SUMIF(Data!$A:$A,$A$2,Data!IY:IY),0)</f>
        <v>298610</v>
      </c>
      <c r="F46" s="21">
        <f t="shared" si="3"/>
        <v>1.71</v>
      </c>
    </row>
    <row r="47" spans="1:6" ht="14.25" customHeight="1" x14ac:dyDescent="0.2">
      <c r="A47" s="19">
        <v>12</v>
      </c>
      <c r="B47" s="180" t="s">
        <v>11</v>
      </c>
      <c r="C47" s="181"/>
      <c r="D47" s="14">
        <f>IF(F3="1",SUMIF(Data!A:A,'55'!$A$2,Data!DF:DF),0)</f>
        <v>54144</v>
      </c>
      <c r="E47" s="17">
        <f>IF($F$3="1",SUMIF(Data!$A:$A,$A$2,Data!IZ:IZ),0)</f>
        <v>92799</v>
      </c>
      <c r="F47" s="21">
        <f t="shared" si="3"/>
        <v>1.71</v>
      </c>
    </row>
    <row r="48" spans="1:6" x14ac:dyDescent="0.2">
      <c r="A48" s="19">
        <v>13</v>
      </c>
      <c r="B48" s="180" t="s">
        <v>12</v>
      </c>
      <c r="C48" s="181"/>
      <c r="D48" s="14">
        <f>IF(F3="1",SUMIF(Data!A:A,'55'!$A$2,Data!DG:DG),0)</f>
        <v>0</v>
      </c>
      <c r="E48" s="17">
        <f>IF($F$3="1",SUMIF(Data!$A:$A,$A$2,Data!JA:JA),0)</f>
        <v>0</v>
      </c>
      <c r="F48" s="21" t="str">
        <f t="shared" si="3"/>
        <v/>
      </c>
    </row>
    <row r="49" spans="1:6" ht="14.25" customHeight="1" x14ac:dyDescent="0.2">
      <c r="A49" s="19">
        <v>14</v>
      </c>
      <c r="B49" s="180" t="s">
        <v>464</v>
      </c>
      <c r="C49" s="181"/>
      <c r="D49" s="14">
        <f>IF(F3="1",SUMIF(Data!A:A,'55'!$A$2,Data!DH:DH),0)</f>
        <v>0</v>
      </c>
      <c r="E49" s="17">
        <f>IF($F$3="1",SUMIF(Data!$A:$A,$A$2,Data!JB:JB),0)</f>
        <v>0</v>
      </c>
      <c r="F49" s="21" t="str">
        <f t="shared" si="3"/>
        <v/>
      </c>
    </row>
    <row r="50" spans="1:6" x14ac:dyDescent="0.2">
      <c r="A50" s="19">
        <v>15</v>
      </c>
      <c r="B50" s="180" t="s">
        <v>13</v>
      </c>
      <c r="C50" s="181"/>
      <c r="D50" s="14">
        <f>IF(F3="1",SUMIF(Data!A:A,'55'!$A$2,Data!DI:DI),0)</f>
        <v>26816</v>
      </c>
      <c r="E50" s="17">
        <f>IF($F$3="1",SUMIF(Data!$A:$A,$A$2,Data!JC:JC),0)</f>
        <v>45961</v>
      </c>
      <c r="F50" s="21">
        <f t="shared" si="3"/>
        <v>1.71</v>
      </c>
    </row>
    <row r="51" spans="1:6" x14ac:dyDescent="0.2">
      <c r="A51" s="19">
        <v>16</v>
      </c>
      <c r="B51" s="180" t="s">
        <v>14</v>
      </c>
      <c r="C51" s="181"/>
      <c r="D51" s="14">
        <f>IF(F3="1",SUMIF(Data!A:A,'55'!$A$2,Data!DJ:DJ),0)</f>
        <v>151568</v>
      </c>
      <c r="E51" s="17">
        <f>IF($F$3="1",SUMIF(Data!$A:$A,$A$2,Data!JD:JD),0)</f>
        <v>259778</v>
      </c>
      <c r="F51" s="21">
        <f t="shared" si="3"/>
        <v>1.71</v>
      </c>
    </row>
    <row r="52" spans="1:6" x14ac:dyDescent="0.2">
      <c r="A52" s="19">
        <v>17</v>
      </c>
      <c r="B52" s="180" t="s">
        <v>15</v>
      </c>
      <c r="C52" s="181"/>
      <c r="D52" s="14">
        <f>IF(F3="1",SUMIF(Data!A:A,'55'!$A$2,Data!DK:DK),0)</f>
        <v>36512</v>
      </c>
      <c r="E52" s="17">
        <f>IF($F$3="1",SUMIF(Data!$A:$A,$A$2,Data!JE:JE),0)</f>
        <v>62579</v>
      </c>
      <c r="F52" s="21">
        <f t="shared" si="3"/>
        <v>1.71</v>
      </c>
    </row>
    <row r="53" spans="1:6" x14ac:dyDescent="0.2">
      <c r="A53" s="19">
        <v>18</v>
      </c>
      <c r="B53" s="180" t="s">
        <v>16</v>
      </c>
      <c r="C53" s="181"/>
      <c r="D53" s="14">
        <f>IF(F3="1",SUMIF(Data!A:A,'55'!$A$2,Data!DL:DL),0)</f>
        <v>0</v>
      </c>
      <c r="E53" s="17">
        <f>IF($F$3="1",SUMIF(Data!$A:$A,$A$2,Data!JF:JF),0)</f>
        <v>0</v>
      </c>
      <c r="F53" s="21" t="str">
        <f t="shared" si="3"/>
        <v/>
      </c>
    </row>
    <row r="54" spans="1:6" x14ac:dyDescent="0.2">
      <c r="A54" s="19">
        <v>19</v>
      </c>
      <c r="B54" s="180" t="s">
        <v>17</v>
      </c>
      <c r="C54" s="181"/>
      <c r="D54" s="14">
        <f>IF(F3="1",SUMIF(Data!A:A,'55'!$A$2,Data!DM:DM),0)</f>
        <v>75216</v>
      </c>
      <c r="E54" s="17">
        <f>IF($F$3="1",SUMIF(Data!$A:$A,$A$2,Data!JG:JG),0)</f>
        <v>128915</v>
      </c>
      <c r="F54" s="21">
        <f t="shared" si="3"/>
        <v>1.71</v>
      </c>
    </row>
    <row r="55" spans="1:6" x14ac:dyDescent="0.2">
      <c r="A55" s="19">
        <v>20</v>
      </c>
      <c r="B55" s="180" t="s">
        <v>18</v>
      </c>
      <c r="C55" s="181"/>
      <c r="D55" s="14">
        <f>IF(F3="1",SUMIF(Data!A:A,'55'!$A$2,Data!DN:DN),0)</f>
        <v>13920</v>
      </c>
      <c r="E55" s="17">
        <f>IF($F$3="1",SUMIF(Data!$A:$A,$A$2,Data!JH:JH),0)</f>
        <v>23858</v>
      </c>
      <c r="F55" s="21">
        <f t="shared" si="3"/>
        <v>1.71</v>
      </c>
    </row>
    <row r="56" spans="1:6" ht="14.25" customHeight="1" x14ac:dyDescent="0.2">
      <c r="A56" s="19">
        <v>21</v>
      </c>
      <c r="B56" s="180" t="s">
        <v>461</v>
      </c>
      <c r="C56" s="181"/>
      <c r="D56" s="14">
        <f>IF(F3="1",SUMIF(Data!A:A,'55'!$A$2,Data!DO:DO),0)</f>
        <v>20368</v>
      </c>
      <c r="E56" s="17">
        <f>IF($F$3="1",SUMIF(Data!$A:$A,$A$2,Data!JI:JI),0)</f>
        <v>34910</v>
      </c>
      <c r="F56" s="21">
        <f t="shared" si="3"/>
        <v>1.71</v>
      </c>
    </row>
    <row r="57" spans="1:6" x14ac:dyDescent="0.2">
      <c r="A57" s="19">
        <v>22</v>
      </c>
      <c r="B57" s="180" t="s">
        <v>19</v>
      </c>
      <c r="C57" s="181"/>
      <c r="D57" s="14">
        <f>IF(F3="1",SUMIF(Data!A:A,'55'!$A$2,Data!DP:DP),0)</f>
        <v>1216</v>
      </c>
      <c r="E57" s="17">
        <f>IF($F$3="1",SUMIF(Data!$A:$A,$A$2,Data!JJ:JJ),0)</f>
        <v>2084</v>
      </c>
      <c r="F57" s="21">
        <f t="shared" si="3"/>
        <v>1.71</v>
      </c>
    </row>
    <row r="58" spans="1:6" x14ac:dyDescent="0.2">
      <c r="A58" s="19">
        <v>23</v>
      </c>
      <c r="B58" s="180" t="s">
        <v>20</v>
      </c>
      <c r="C58" s="181"/>
      <c r="D58" s="14">
        <f>IF(F3="1",SUMIF(Data!A:A,'55'!$A$2,Data!DQ:DQ),0)</f>
        <v>0</v>
      </c>
      <c r="E58" s="17">
        <f>IF($F$3="1",SUMIF(Data!$A:$A,$A$2,Data!JK:JK),0)</f>
        <v>0</v>
      </c>
      <c r="F58" s="21" t="str">
        <f t="shared" si="3"/>
        <v/>
      </c>
    </row>
    <row r="59" spans="1:6" x14ac:dyDescent="0.2">
      <c r="A59" s="19">
        <v>24</v>
      </c>
      <c r="B59" s="180" t="s">
        <v>21</v>
      </c>
      <c r="C59" s="181"/>
      <c r="D59" s="14">
        <f>IF(F3="1",SUMIF(Data!A:A,'55'!$A$2,Data!DR:DR),0)</f>
        <v>57024</v>
      </c>
      <c r="E59" s="17">
        <f>IF($F$3="1",SUMIF(Data!$A:$A,$A$2,Data!JL:JL),0)</f>
        <v>97736</v>
      </c>
      <c r="F59" s="21">
        <f t="shared" si="3"/>
        <v>1.71</v>
      </c>
    </row>
    <row r="60" spans="1:6" x14ac:dyDescent="0.2">
      <c r="A60" s="19">
        <v>25</v>
      </c>
      <c r="B60" s="180" t="s">
        <v>22</v>
      </c>
      <c r="C60" s="181"/>
      <c r="D60" s="14">
        <f>IF(F3="1",SUMIF(Data!A:A,'55'!$A$2,Data!DS:DS),0)</f>
        <v>32544</v>
      </c>
      <c r="E60" s="17">
        <f>IF($F$3="1",SUMIF(Data!$A:$A,$A$2,Data!JM:JM),0)</f>
        <v>55779</v>
      </c>
      <c r="F60" s="21">
        <f t="shared" si="3"/>
        <v>1.71</v>
      </c>
    </row>
    <row r="61" spans="1:6" x14ac:dyDescent="0.2">
      <c r="A61" s="19">
        <v>26</v>
      </c>
      <c r="B61" s="180" t="s">
        <v>23</v>
      </c>
      <c r="C61" s="181"/>
      <c r="D61" s="14">
        <f>IF(F3="1",SUMIF(Data!A:A,'55'!$A$2,Data!DT:DT),0)</f>
        <v>38928</v>
      </c>
      <c r="E61" s="17">
        <f>IF($F$3="1",SUMIF(Data!$A:$A,$A$2,Data!JN:JN),0)</f>
        <v>66718</v>
      </c>
      <c r="F61" s="21">
        <f t="shared" si="3"/>
        <v>1.71</v>
      </c>
    </row>
    <row r="62" spans="1:6" x14ac:dyDescent="0.2">
      <c r="A62" s="19">
        <v>28</v>
      </c>
      <c r="B62" s="180" t="s">
        <v>24</v>
      </c>
      <c r="C62" s="181"/>
      <c r="D62" s="14">
        <f>IF(F3="1",SUMIF(Data!A:A,'55'!$A$2,Data!DV:DV),0)</f>
        <v>0</v>
      </c>
      <c r="E62" s="17">
        <f>IF($F$3="1",SUMIF(Data!$A:$A,$A$2,Data!JP:JP),0)</f>
        <v>0</v>
      </c>
      <c r="F62" s="21" t="str">
        <f t="shared" si="3"/>
        <v/>
      </c>
    </row>
    <row r="63" spans="1:6" ht="15.75" customHeight="1" thickBot="1" x14ac:dyDescent="0.25">
      <c r="A63" s="22">
        <v>29</v>
      </c>
      <c r="B63" s="184" t="s">
        <v>25</v>
      </c>
      <c r="C63" s="185"/>
      <c r="D63" s="23">
        <f>IF(F3="1",SUMIF(Data!A:A,'55'!$A$2,Data!DW:DW),0)</f>
        <v>0</v>
      </c>
      <c r="E63" s="24">
        <f>IF($F$3="1",SUMIF(Data!$A:$A,$A$2,Data!JQ:JQ),0)</f>
        <v>0</v>
      </c>
      <c r="F63" s="25" t="str">
        <f t="shared" si="3"/>
        <v/>
      </c>
    </row>
    <row r="64" spans="1:6" x14ac:dyDescent="0.2">
      <c r="B64" s="30" t="s">
        <v>35</v>
      </c>
      <c r="C64" s="30"/>
      <c r="D64" s="59">
        <f>SUM(D36:D63)</f>
        <v>1204320</v>
      </c>
      <c r="E64" s="31">
        <f>SUM(E36:E63)</f>
        <v>2064129</v>
      </c>
      <c r="F64" s="32">
        <f t="shared" si="3"/>
        <v>1.71</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0</v>
      </c>
      <c r="E67" s="15">
        <f>IF(F3="1",SUMIF(Data!A:A,'55'!$A$2,Data!DY:DY),0)</f>
        <v>0</v>
      </c>
      <c r="F67" s="20" t="str">
        <f t="shared" ref="F67:F95" si="4">IF(OR(D67=0,E67=0),"",ROUND(E67/D67,2))</f>
        <v/>
      </c>
    </row>
    <row r="68" spans="1:6" x14ac:dyDescent="0.2">
      <c r="A68" s="19">
        <v>2</v>
      </c>
      <c r="B68" s="180" t="s">
        <v>1</v>
      </c>
      <c r="C68" s="181"/>
      <c r="D68" s="14">
        <f t="shared" ref="D68:D94" si="5">D37</f>
        <v>127440</v>
      </c>
      <c r="E68" s="17">
        <f>IF(F3="1",SUMIF(Data!A:A,'55'!$A$2,Data!DZ:DZ),0)</f>
        <v>496929</v>
      </c>
      <c r="F68" s="21">
        <f t="shared" si="4"/>
        <v>3.9</v>
      </c>
    </row>
    <row r="69" spans="1:6" ht="14.25" customHeight="1" x14ac:dyDescent="0.2">
      <c r="A69" s="19">
        <v>3</v>
      </c>
      <c r="B69" s="180" t="s">
        <v>2</v>
      </c>
      <c r="C69" s="181"/>
      <c r="D69" s="14">
        <f t="shared" si="5"/>
        <v>134160</v>
      </c>
      <c r="E69" s="17">
        <f>IF(F3="1",SUMIF(Data!A:A,'55'!$A$2,Data!EA:EA),0)</f>
        <v>523133</v>
      </c>
      <c r="F69" s="21">
        <f t="shared" si="4"/>
        <v>3.9</v>
      </c>
    </row>
    <row r="70" spans="1:6" ht="14.25" customHeight="1" x14ac:dyDescent="0.2">
      <c r="A70" s="19">
        <v>4</v>
      </c>
      <c r="B70" s="180" t="s">
        <v>3</v>
      </c>
      <c r="C70" s="181"/>
      <c r="D70" s="14">
        <f t="shared" si="5"/>
        <v>150896</v>
      </c>
      <c r="E70" s="17">
        <f>IF(F3="1",SUMIF(Data!A:A,'55'!$A$2,Data!EB:EB),0)</f>
        <v>588392</v>
      </c>
      <c r="F70" s="21">
        <f t="shared" si="4"/>
        <v>3.9</v>
      </c>
    </row>
    <row r="71" spans="1:6" x14ac:dyDescent="0.2">
      <c r="A71" s="19">
        <v>5</v>
      </c>
      <c r="B71" s="180" t="s">
        <v>4</v>
      </c>
      <c r="C71" s="181"/>
      <c r="D71" s="14">
        <f t="shared" si="5"/>
        <v>0</v>
      </c>
      <c r="E71" s="17">
        <f>IF(F3="1",SUMIF(Data!A:A,'55'!$A$2,Data!EC:EC),0)</f>
        <v>0</v>
      </c>
      <c r="F71" s="21" t="str">
        <f t="shared" si="4"/>
        <v/>
      </c>
    </row>
    <row r="72" spans="1:6" x14ac:dyDescent="0.2">
      <c r="A72" s="19">
        <v>6</v>
      </c>
      <c r="B72" s="180" t="s">
        <v>5</v>
      </c>
      <c r="C72" s="181"/>
      <c r="D72" s="14">
        <f t="shared" si="5"/>
        <v>0</v>
      </c>
      <c r="E72" s="17">
        <f>IF(F3="1",SUMIF(Data!A:A,'55'!$A$2,Data!ED:ED),0)</f>
        <v>0</v>
      </c>
      <c r="F72" s="21" t="str">
        <f t="shared" si="4"/>
        <v/>
      </c>
    </row>
    <row r="73" spans="1:6" x14ac:dyDescent="0.2">
      <c r="A73" s="19">
        <v>7</v>
      </c>
      <c r="B73" s="180" t="s">
        <v>6</v>
      </c>
      <c r="C73" s="181"/>
      <c r="D73" s="14">
        <f t="shared" si="5"/>
        <v>65104</v>
      </c>
      <c r="E73" s="17">
        <f>IF(F3="1",SUMIF(Data!A:A,'55'!$A$2,Data!EE:EE),0)</f>
        <v>253861</v>
      </c>
      <c r="F73" s="21">
        <f t="shared" si="4"/>
        <v>3.9</v>
      </c>
    </row>
    <row r="74" spans="1:6" x14ac:dyDescent="0.2">
      <c r="A74" s="19">
        <v>8</v>
      </c>
      <c r="B74" s="180" t="s">
        <v>7</v>
      </c>
      <c r="C74" s="181"/>
      <c r="D74" s="14">
        <f t="shared" si="5"/>
        <v>22656</v>
      </c>
      <c r="E74" s="17">
        <f>IF(F3="1",SUMIF(Data!A:A,'55'!$A$2,Data!EF:EF),0)</f>
        <v>88343</v>
      </c>
      <c r="F74" s="21">
        <f t="shared" si="4"/>
        <v>3.9</v>
      </c>
    </row>
    <row r="75" spans="1:6" x14ac:dyDescent="0.2">
      <c r="A75" s="19">
        <v>9</v>
      </c>
      <c r="B75" s="180" t="s">
        <v>8</v>
      </c>
      <c r="C75" s="181"/>
      <c r="D75" s="14">
        <f t="shared" si="5"/>
        <v>21584</v>
      </c>
      <c r="E75" s="17">
        <f>IF(F3="1",SUMIF(Data!A:A,'55'!$A$2,Data!EG:EG),0)</f>
        <v>84163</v>
      </c>
      <c r="F75" s="21">
        <f t="shared" si="4"/>
        <v>3.9</v>
      </c>
    </row>
    <row r="76" spans="1:6" x14ac:dyDescent="0.2">
      <c r="A76" s="19">
        <v>10</v>
      </c>
      <c r="B76" s="180" t="s">
        <v>9</v>
      </c>
      <c r="C76" s="181"/>
      <c r="D76" s="14">
        <f t="shared" si="5"/>
        <v>0</v>
      </c>
      <c r="E76" s="17">
        <f>IF(F3="1",SUMIF(Data!A:A,'55'!$A$2,Data!EH:EH),0)</f>
        <v>0</v>
      </c>
      <c r="F76" s="21" t="str">
        <f t="shared" si="4"/>
        <v/>
      </c>
    </row>
    <row r="77" spans="1:6" x14ac:dyDescent="0.2">
      <c r="A77" s="19">
        <v>11</v>
      </c>
      <c r="B77" s="180" t="s">
        <v>10</v>
      </c>
      <c r="C77" s="181"/>
      <c r="D77" s="14">
        <f t="shared" si="5"/>
        <v>174224</v>
      </c>
      <c r="E77" s="17">
        <f>IF(F3="1",SUMIF(Data!A:A,'55'!$A$2,Data!EI:EI),0)</f>
        <v>679355</v>
      </c>
      <c r="F77" s="21">
        <f t="shared" si="4"/>
        <v>3.9</v>
      </c>
    </row>
    <row r="78" spans="1:6" ht="14.25" customHeight="1" x14ac:dyDescent="0.2">
      <c r="A78" s="19">
        <v>12</v>
      </c>
      <c r="B78" s="180" t="s">
        <v>11</v>
      </c>
      <c r="C78" s="181"/>
      <c r="D78" s="14">
        <f t="shared" si="5"/>
        <v>54144</v>
      </c>
      <c r="E78" s="17">
        <f>IF(F3="1",SUMIF(Data!A:A,'55'!$A$2,Data!EJ:EJ),0)</f>
        <v>211125</v>
      </c>
      <c r="F78" s="21">
        <f t="shared" si="4"/>
        <v>3.9</v>
      </c>
    </row>
    <row r="79" spans="1:6" x14ac:dyDescent="0.2">
      <c r="A79" s="19">
        <v>13</v>
      </c>
      <c r="B79" s="180" t="s">
        <v>12</v>
      </c>
      <c r="C79" s="181"/>
      <c r="D79" s="14">
        <f t="shared" si="5"/>
        <v>0</v>
      </c>
      <c r="E79" s="17">
        <f>IF(F3="1",SUMIF(Data!A:A,'55'!$A$2,Data!EK:EK),0)</f>
        <v>0</v>
      </c>
      <c r="F79" s="21" t="str">
        <f t="shared" si="4"/>
        <v/>
      </c>
    </row>
    <row r="80" spans="1:6" ht="14.25" customHeight="1" x14ac:dyDescent="0.2">
      <c r="A80" s="19">
        <v>14</v>
      </c>
      <c r="B80" s="180" t="s">
        <v>464</v>
      </c>
      <c r="C80" s="181"/>
      <c r="D80" s="14">
        <f t="shared" si="5"/>
        <v>0</v>
      </c>
      <c r="E80" s="17">
        <f>IF(F3="1",SUMIF(Data!A:A,'55'!$A$2,Data!EL:EL),0)</f>
        <v>0</v>
      </c>
      <c r="F80" s="21" t="str">
        <f t="shared" si="4"/>
        <v/>
      </c>
    </row>
    <row r="81" spans="1:6" x14ac:dyDescent="0.2">
      <c r="A81" s="19">
        <v>15</v>
      </c>
      <c r="B81" s="180" t="s">
        <v>13</v>
      </c>
      <c r="C81" s="181"/>
      <c r="D81" s="14">
        <f t="shared" si="5"/>
        <v>26816</v>
      </c>
      <c r="E81" s="17">
        <f>IF(F3="1",SUMIF(Data!A:A,'55'!$A$2,Data!EM:EM),0)</f>
        <v>104564</v>
      </c>
      <c r="F81" s="21">
        <f t="shared" si="4"/>
        <v>3.9</v>
      </c>
    </row>
    <row r="82" spans="1:6" x14ac:dyDescent="0.2">
      <c r="A82" s="19">
        <v>16</v>
      </c>
      <c r="B82" s="180" t="s">
        <v>14</v>
      </c>
      <c r="C82" s="181"/>
      <c r="D82" s="14">
        <f t="shared" si="5"/>
        <v>151568</v>
      </c>
      <c r="E82" s="17">
        <f>IF(F3="1",SUMIF(Data!A:A,'55'!$A$2,Data!EN:EN),0)</f>
        <v>591012</v>
      </c>
      <c r="F82" s="21">
        <f t="shared" si="4"/>
        <v>3.9</v>
      </c>
    </row>
    <row r="83" spans="1:6" x14ac:dyDescent="0.2">
      <c r="A83" s="19">
        <v>17</v>
      </c>
      <c r="B83" s="180" t="s">
        <v>15</v>
      </c>
      <c r="C83" s="181"/>
      <c r="D83" s="14">
        <f t="shared" si="5"/>
        <v>36512</v>
      </c>
      <c r="E83" s="17">
        <f>IF(F3="1",SUMIF(Data!A:A,'55'!$A$2,Data!EO:EO),0)</f>
        <v>142372</v>
      </c>
      <c r="F83" s="21">
        <f t="shared" si="4"/>
        <v>3.9</v>
      </c>
    </row>
    <row r="84" spans="1:6" x14ac:dyDescent="0.2">
      <c r="A84" s="19">
        <v>18</v>
      </c>
      <c r="B84" s="180" t="s">
        <v>16</v>
      </c>
      <c r="C84" s="181"/>
      <c r="D84" s="14">
        <f t="shared" si="5"/>
        <v>0</v>
      </c>
      <c r="E84" s="17">
        <f>IF(F3="1",SUMIF(Data!A:A,'55'!$A$2,Data!EP:EP),0)</f>
        <v>0</v>
      </c>
      <c r="F84" s="21" t="str">
        <f t="shared" si="4"/>
        <v/>
      </c>
    </row>
    <row r="85" spans="1:6" x14ac:dyDescent="0.2">
      <c r="A85" s="19">
        <v>19</v>
      </c>
      <c r="B85" s="180" t="s">
        <v>17</v>
      </c>
      <c r="C85" s="181"/>
      <c r="D85" s="14">
        <f t="shared" si="5"/>
        <v>75216</v>
      </c>
      <c r="E85" s="17">
        <f>IF(F3="1",SUMIF(Data!A:A,'55'!$A$2,Data!EQ:EQ),0)</f>
        <v>293291</v>
      </c>
      <c r="F85" s="21">
        <f t="shared" si="4"/>
        <v>3.9</v>
      </c>
    </row>
    <row r="86" spans="1:6" x14ac:dyDescent="0.2">
      <c r="A86" s="19">
        <v>20</v>
      </c>
      <c r="B86" s="180" t="s">
        <v>18</v>
      </c>
      <c r="C86" s="181"/>
      <c r="D86" s="14">
        <f t="shared" si="5"/>
        <v>13920</v>
      </c>
      <c r="E86" s="17">
        <f>IF(F3="1",SUMIF(Data!A:A,'55'!$A$2,Data!ER:ER),0)</f>
        <v>54279</v>
      </c>
      <c r="F86" s="21">
        <f t="shared" si="4"/>
        <v>3.9</v>
      </c>
    </row>
    <row r="87" spans="1:6" ht="14.25" customHeight="1" x14ac:dyDescent="0.2">
      <c r="A87" s="19">
        <v>21</v>
      </c>
      <c r="B87" s="180" t="s">
        <v>461</v>
      </c>
      <c r="C87" s="181"/>
      <c r="D87" s="14">
        <f t="shared" si="5"/>
        <v>20368</v>
      </c>
      <c r="E87" s="17">
        <f>IF(F3="1",SUMIF(Data!A:A,'55'!$A$2,Data!ES:ES),0)</f>
        <v>79421</v>
      </c>
      <c r="F87" s="21">
        <f t="shared" si="4"/>
        <v>3.9</v>
      </c>
    </row>
    <row r="88" spans="1:6" x14ac:dyDescent="0.2">
      <c r="A88" s="19">
        <v>22</v>
      </c>
      <c r="B88" s="180" t="s">
        <v>19</v>
      </c>
      <c r="C88" s="181"/>
      <c r="D88" s="14">
        <f t="shared" si="5"/>
        <v>1216</v>
      </c>
      <c r="E88" s="17">
        <f>IF(F3="1",SUMIF(Data!A:A,'55'!$A$2,Data!ET:ET),0)</f>
        <v>4742</v>
      </c>
      <c r="F88" s="21">
        <f t="shared" si="4"/>
        <v>3.9</v>
      </c>
    </row>
    <row r="89" spans="1:6" x14ac:dyDescent="0.2">
      <c r="A89" s="19">
        <v>23</v>
      </c>
      <c r="B89" s="180" t="s">
        <v>20</v>
      </c>
      <c r="C89" s="181"/>
      <c r="D89" s="14">
        <f t="shared" si="5"/>
        <v>0</v>
      </c>
      <c r="E89" s="17">
        <f>IF(F3="1",SUMIF(Data!A:A,'55'!$A$2,Data!EU:EU),0)</f>
        <v>0</v>
      </c>
      <c r="F89" s="21" t="str">
        <f t="shared" si="4"/>
        <v/>
      </c>
    </row>
    <row r="90" spans="1:6" x14ac:dyDescent="0.2">
      <c r="A90" s="19">
        <v>24</v>
      </c>
      <c r="B90" s="180" t="s">
        <v>21</v>
      </c>
      <c r="C90" s="181"/>
      <c r="D90" s="14">
        <f t="shared" si="5"/>
        <v>57024</v>
      </c>
      <c r="E90" s="17">
        <f>IF(F3="1",SUMIF(Data!A:A,'55'!$A$2,Data!EV:EV),0)</f>
        <v>222355</v>
      </c>
      <c r="F90" s="21">
        <f t="shared" si="4"/>
        <v>3.9</v>
      </c>
    </row>
    <row r="91" spans="1:6" x14ac:dyDescent="0.2">
      <c r="A91" s="19">
        <v>25</v>
      </c>
      <c r="B91" s="180" t="s">
        <v>22</v>
      </c>
      <c r="C91" s="181"/>
      <c r="D91" s="14">
        <f t="shared" si="5"/>
        <v>32544</v>
      </c>
      <c r="E91" s="17">
        <f>IF(F3="1",SUMIF(Data!A:A,'55'!$A$2,Data!EW:EW),0)</f>
        <v>126899</v>
      </c>
      <c r="F91" s="21">
        <f t="shared" si="4"/>
        <v>3.9</v>
      </c>
    </row>
    <row r="92" spans="1:6" x14ac:dyDescent="0.2">
      <c r="A92" s="19">
        <v>26</v>
      </c>
      <c r="B92" s="180" t="s">
        <v>23</v>
      </c>
      <c r="C92" s="181"/>
      <c r="D92" s="14">
        <f t="shared" si="5"/>
        <v>38928</v>
      </c>
      <c r="E92" s="17">
        <f>IF(F3="1",SUMIF(Data!A:A,'55'!$A$2,Data!EX:EX),0)</f>
        <v>151792</v>
      </c>
      <c r="F92" s="21">
        <f t="shared" si="4"/>
        <v>3.9</v>
      </c>
    </row>
    <row r="93" spans="1:6" x14ac:dyDescent="0.2">
      <c r="A93" s="19">
        <v>28</v>
      </c>
      <c r="B93" s="180" t="s">
        <v>24</v>
      </c>
      <c r="C93" s="181"/>
      <c r="D93" s="14">
        <f t="shared" si="5"/>
        <v>0</v>
      </c>
      <c r="E93" s="17">
        <f>IF(F3="1",SUMIF(Data!A:A,'55'!$A$2,Data!EZ:EZ),0)</f>
        <v>0</v>
      </c>
      <c r="F93" s="21" t="str">
        <f t="shared" si="4"/>
        <v/>
      </c>
    </row>
    <row r="94" spans="1:6" ht="15.75" customHeight="1" thickBot="1" x14ac:dyDescent="0.25">
      <c r="A94" s="22">
        <v>29</v>
      </c>
      <c r="B94" s="184" t="s">
        <v>25</v>
      </c>
      <c r="C94" s="185"/>
      <c r="D94" s="23">
        <f t="shared" si="5"/>
        <v>0</v>
      </c>
      <c r="E94" s="24">
        <f>IF(F3="1",SUMIF(Data!A:A,'55'!$A$2,Data!FA:FA),0)</f>
        <v>0</v>
      </c>
      <c r="F94" s="25" t="str">
        <f t="shared" si="4"/>
        <v/>
      </c>
    </row>
    <row r="95" spans="1:6" x14ac:dyDescent="0.2">
      <c r="B95" s="30" t="s">
        <v>35</v>
      </c>
      <c r="C95" s="30"/>
      <c r="D95" s="59">
        <f>SUM(D67:D94)</f>
        <v>1204320</v>
      </c>
      <c r="E95" s="31">
        <f>SUM(E67:E94)</f>
        <v>4696028</v>
      </c>
      <c r="F95" s="32">
        <f t="shared" si="4"/>
        <v>3.9</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IF(F3="1",SUMIF(Data!A:A,'55'!$A$2,Data!AH:AH),0)</f>
        <v>1612748</v>
      </c>
      <c r="F98" s="20">
        <f>IF(OR(E98=0,E98=0),"",ROUND(E98/$D$105,2))</f>
        <v>1.34</v>
      </c>
    </row>
    <row r="99" spans="2:6" x14ac:dyDescent="0.2">
      <c r="B99" s="190" t="s">
        <v>31</v>
      </c>
      <c r="C99" s="191"/>
      <c r="D99" s="36"/>
      <c r="E99" s="17">
        <f>IF(F3="1",SUMIF(Data!A:A,'55'!$A$2,Data!AI:AI),0)</f>
        <v>721187</v>
      </c>
      <c r="F99" s="21">
        <f t="shared" ref="F99:F104" si="6">IF(OR(E99=0,E99=0),"",ROUND(E99/$D$105,2))</f>
        <v>0.6</v>
      </c>
    </row>
    <row r="100" spans="2:6" x14ac:dyDescent="0.2">
      <c r="B100" s="190" t="s">
        <v>1089</v>
      </c>
      <c r="C100" s="191"/>
      <c r="D100" s="36"/>
      <c r="E100" s="17">
        <f>IF(F3="1",SUMIF(Data!A:A,'55'!$A$2,Data!AJ:AJ),0)</f>
        <v>240000</v>
      </c>
      <c r="F100" s="21">
        <f t="shared" si="6"/>
        <v>0.2</v>
      </c>
    </row>
    <row r="101" spans="2:6" x14ac:dyDescent="0.2">
      <c r="B101" s="190" t="s">
        <v>1090</v>
      </c>
      <c r="C101" s="191"/>
      <c r="D101" s="36"/>
      <c r="E101" s="17">
        <f>IF(F3="1",SUMIF(Data!A:A,'55'!$A$2,Data!AK:AK),0)</f>
        <v>356018</v>
      </c>
      <c r="F101" s="21">
        <f t="shared" si="6"/>
        <v>0.3</v>
      </c>
    </row>
    <row r="102" spans="2:6" x14ac:dyDescent="0.2">
      <c r="B102" s="190" t="s">
        <v>1091</v>
      </c>
      <c r="C102" s="191"/>
      <c r="D102" s="36"/>
      <c r="E102" s="17">
        <f>IF(F3="1",SUMIF(Data!A:A,'55'!$A$2,Data!AL:AL),0)</f>
        <v>0</v>
      </c>
      <c r="F102" s="21" t="str">
        <f t="shared" si="6"/>
        <v/>
      </c>
    </row>
    <row r="103" spans="2:6" x14ac:dyDescent="0.2">
      <c r="B103" s="192" t="s">
        <v>34</v>
      </c>
      <c r="C103" s="193"/>
      <c r="D103" s="36"/>
      <c r="E103" s="17">
        <f>IF(F3="1",SUMIF(Data!A:A,'55'!$A$2,Data!AM:AM),0)</f>
        <v>0</v>
      </c>
      <c r="F103" s="21" t="str">
        <f t="shared" si="6"/>
        <v/>
      </c>
    </row>
    <row r="104" spans="2:6" ht="15.75" customHeight="1" thickBot="1" x14ac:dyDescent="0.25">
      <c r="B104" s="186" t="s">
        <v>29</v>
      </c>
      <c r="C104" s="187"/>
      <c r="D104" s="37"/>
      <c r="E104" s="24">
        <f>IF(F3="1",SUMIF(Data!A:A,'55'!$A$2,Data!Q:Q),0)</f>
        <v>502759</v>
      </c>
      <c r="F104" s="25">
        <f t="shared" si="6"/>
        <v>0.42</v>
      </c>
    </row>
    <row r="105" spans="2:6" x14ac:dyDescent="0.2">
      <c r="B105" s="30" t="s">
        <v>35</v>
      </c>
      <c r="C105" s="30"/>
      <c r="D105" s="34">
        <f>D95</f>
        <v>1204320</v>
      </c>
      <c r="E105" s="31">
        <f>SUM(E98:E104)</f>
        <v>3432712</v>
      </c>
      <c r="F105" s="32">
        <f>IF($D$105=0,"",ROUND(E105/$D$105,2))</f>
        <v>2.85</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4696028</v>
      </c>
      <c r="D109" s="15">
        <f>IF(F3="1",SUMIF(Data!$A:$A,$A$2,Data!HJ:HJ),0)</f>
        <v>0</v>
      </c>
      <c r="E109" s="15">
        <f>IF(F3="1",SUMIF(Data!$A:$A,$A$2,Data!IN:IN),0)</f>
        <v>0</v>
      </c>
      <c r="F109" s="47">
        <f>SUM(C109:E109)</f>
        <v>4696028</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502759</v>
      </c>
      <c r="E117" s="52"/>
      <c r="F117" s="49">
        <f>SUM(C117:E117)</f>
        <v>502759</v>
      </c>
    </row>
    <row r="118" spans="1:6" x14ac:dyDescent="0.2">
      <c r="B118" s="13" t="s">
        <v>35</v>
      </c>
      <c r="C118" s="4">
        <f>SUM(C109:C116)</f>
        <v>4696028</v>
      </c>
      <c r="D118" s="4">
        <f>SUM(D109:D116)</f>
        <v>0</v>
      </c>
      <c r="E118" s="4">
        <f>SUM(E109:E116)</f>
        <v>0</v>
      </c>
      <c r="F118" s="4">
        <f>SUM(F109:F116)</f>
        <v>4696028</v>
      </c>
    </row>
    <row r="119" spans="1:6" ht="15" thickBot="1" x14ac:dyDescent="0.25"/>
    <row r="120" spans="1:6" ht="15" thickBot="1" x14ac:dyDescent="0.25">
      <c r="B120" s="55" t="s">
        <v>934</v>
      </c>
      <c r="C120" s="53"/>
      <c r="D120" s="53"/>
      <c r="E120" s="53">
        <f>IF(F3="1",SUMIF(Data!A:A,'55'!$A$2,Data!AM:AM),0)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0"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0" bestFit="1" customWidth="1"/>
    <col min="9" max="9" width="16.42578125" style="10" bestFit="1" customWidth="1"/>
    <col min="10" max="10" width="13.42578125" style="10" bestFit="1" customWidth="1"/>
    <col min="11" max="11" width="10.5703125" style="10" bestFit="1" customWidth="1"/>
    <col min="12" max="12" width="12.42578125" style="10" bestFit="1" customWidth="1"/>
    <col min="13" max="14" width="12.140625" style="10" bestFit="1" customWidth="1"/>
    <col min="15" max="31" width="9.140625" style="10"/>
    <col min="32" max="32" width="17.85546875" style="10" bestFit="1" customWidth="1"/>
    <col min="33" max="35" width="9.140625" style="10"/>
    <col min="36" max="36" width="17.85546875" style="10" bestFit="1" customWidth="1"/>
    <col min="37" max="16384" width="9.140625" style="10"/>
  </cols>
  <sheetData>
    <row r="1" spans="1:6" x14ac:dyDescent="0.2">
      <c r="A1" s="38" t="str">
        <f>Summary!A1</f>
        <v>Community and Technical Colleges, Report of Fundable Operating Expenses, Fiscal Year (FY) 2003</v>
      </c>
      <c r="B1" s="38"/>
      <c r="C1" s="38"/>
      <c r="D1" s="38"/>
      <c r="E1" s="38"/>
      <c r="F1" s="38"/>
    </row>
    <row r="2" spans="1:6" x14ac:dyDescent="0.2">
      <c r="A2" s="5" t="s">
        <v>450</v>
      </c>
      <c r="B2" s="58" t="str">
        <f>VLOOKUP(A2,Data!A:G,7,0)</f>
        <v>Lamar State College-Orange</v>
      </c>
      <c r="C2" s="58"/>
    </row>
    <row r="3" spans="1:6" ht="15" thickBot="1" x14ac:dyDescent="0.25">
      <c r="A3" s="3"/>
      <c r="F3" s="56" t="str">
        <f>IFERROR(VLOOKUP(A2,Data!A:C,3,0),"0")</f>
        <v>1</v>
      </c>
    </row>
    <row r="4" spans="1:6" ht="29.25" customHeight="1" x14ac:dyDescent="0.2">
      <c r="A4" s="26" t="s">
        <v>26</v>
      </c>
      <c r="B4" s="182" t="s">
        <v>465</v>
      </c>
      <c r="C4" s="183"/>
      <c r="D4" s="28" t="s">
        <v>27</v>
      </c>
      <c r="E4" s="28" t="s">
        <v>462</v>
      </c>
      <c r="F4" s="29" t="s">
        <v>463</v>
      </c>
    </row>
    <row r="5" spans="1:6" x14ac:dyDescent="0.2">
      <c r="A5" s="19">
        <v>1</v>
      </c>
      <c r="B5" s="180" t="s">
        <v>0</v>
      </c>
      <c r="C5" s="181"/>
      <c r="D5" s="14">
        <f>D36</f>
        <v>2208</v>
      </c>
      <c r="E5" s="15">
        <f>E36+E67+IFERROR($E$105/$D$105*D5,0)</f>
        <v>16724.330520044681</v>
      </c>
      <c r="F5" s="20">
        <f>IF(OR(D5=0,E5=0),"",ROUND(E5/D5,2))</f>
        <v>7.57</v>
      </c>
    </row>
    <row r="6" spans="1:6" x14ac:dyDescent="0.2">
      <c r="A6" s="19">
        <v>2</v>
      </c>
      <c r="B6" s="180" t="s">
        <v>1</v>
      </c>
      <c r="C6" s="181"/>
      <c r="D6" s="14">
        <f t="shared" ref="D6:D32" si="0">D37</f>
        <v>0</v>
      </c>
      <c r="E6" s="17">
        <f t="shared" ref="E6:E32" si="1">E37+E68+IFERROR($E$105/$D$105*D6,0)</f>
        <v>0</v>
      </c>
      <c r="F6" s="21" t="str">
        <f t="shared" ref="F6:F33" si="2">IF(OR(D6=0,E6=0),"",ROUND(E6/D6,2))</f>
        <v/>
      </c>
    </row>
    <row r="7" spans="1:6" ht="14.25" customHeight="1" x14ac:dyDescent="0.2">
      <c r="A7" s="19">
        <v>3</v>
      </c>
      <c r="B7" s="180" t="s">
        <v>2</v>
      </c>
      <c r="C7" s="181"/>
      <c r="D7" s="14">
        <f t="shared" si="0"/>
        <v>85904</v>
      </c>
      <c r="E7" s="17">
        <f t="shared" si="1"/>
        <v>650679.1490008689</v>
      </c>
      <c r="F7" s="21">
        <f t="shared" si="2"/>
        <v>7.57</v>
      </c>
    </row>
    <row r="8" spans="1:6" ht="14.25" customHeight="1" x14ac:dyDescent="0.2">
      <c r="A8" s="19">
        <v>4</v>
      </c>
      <c r="B8" s="180" t="s">
        <v>3</v>
      </c>
      <c r="C8" s="181"/>
      <c r="D8" s="14">
        <f t="shared" si="0"/>
        <v>69056</v>
      </c>
      <c r="E8" s="17">
        <f t="shared" si="1"/>
        <v>523063.1052500931</v>
      </c>
      <c r="F8" s="21">
        <f t="shared" si="2"/>
        <v>7.57</v>
      </c>
    </row>
    <row r="9" spans="1:6" x14ac:dyDescent="0.2">
      <c r="A9" s="19">
        <v>5</v>
      </c>
      <c r="B9" s="180" t="s">
        <v>4</v>
      </c>
      <c r="C9" s="181"/>
      <c r="D9" s="14">
        <f t="shared" si="0"/>
        <v>0</v>
      </c>
      <c r="E9" s="17">
        <f t="shared" si="1"/>
        <v>0</v>
      </c>
      <c r="F9" s="21" t="str">
        <f t="shared" si="2"/>
        <v/>
      </c>
    </row>
    <row r="10" spans="1:6" x14ac:dyDescent="0.2">
      <c r="A10" s="19">
        <v>6</v>
      </c>
      <c r="B10" s="180" t="s">
        <v>5</v>
      </c>
      <c r="C10" s="181"/>
      <c r="D10" s="14">
        <f t="shared" si="0"/>
        <v>432</v>
      </c>
      <c r="E10" s="17">
        <f t="shared" si="1"/>
        <v>3271.8472756609162</v>
      </c>
      <c r="F10" s="21">
        <f t="shared" si="2"/>
        <v>7.57</v>
      </c>
    </row>
    <row r="11" spans="1:6" x14ac:dyDescent="0.2">
      <c r="A11" s="19">
        <v>7</v>
      </c>
      <c r="B11" s="180" t="s">
        <v>6</v>
      </c>
      <c r="C11" s="181"/>
      <c r="D11" s="14">
        <f t="shared" si="0"/>
        <v>46032</v>
      </c>
      <c r="E11" s="17">
        <f t="shared" si="1"/>
        <v>348668.28192875761</v>
      </c>
      <c r="F11" s="21">
        <f t="shared" si="2"/>
        <v>7.57</v>
      </c>
    </row>
    <row r="12" spans="1:6" x14ac:dyDescent="0.2">
      <c r="A12" s="19">
        <v>8</v>
      </c>
      <c r="B12" s="180" t="s">
        <v>7</v>
      </c>
      <c r="C12" s="181"/>
      <c r="D12" s="14">
        <f t="shared" si="0"/>
        <v>0</v>
      </c>
      <c r="E12" s="17">
        <f t="shared" si="1"/>
        <v>0</v>
      </c>
      <c r="F12" s="21" t="str">
        <f t="shared" si="2"/>
        <v/>
      </c>
    </row>
    <row r="13" spans="1:6" x14ac:dyDescent="0.2">
      <c r="A13" s="19">
        <v>9</v>
      </c>
      <c r="B13" s="180" t="s">
        <v>8</v>
      </c>
      <c r="C13" s="181"/>
      <c r="D13" s="14">
        <f t="shared" si="0"/>
        <v>10416</v>
      </c>
      <c r="E13" s="17">
        <f t="shared" si="1"/>
        <v>78895.428757602087</v>
      </c>
      <c r="F13" s="21">
        <f t="shared" si="2"/>
        <v>7.57</v>
      </c>
    </row>
    <row r="14" spans="1:6" x14ac:dyDescent="0.2">
      <c r="A14" s="19">
        <v>10</v>
      </c>
      <c r="B14" s="180" t="s">
        <v>9</v>
      </c>
      <c r="C14" s="181"/>
      <c r="D14" s="14">
        <f t="shared" si="0"/>
        <v>0</v>
      </c>
      <c r="E14" s="17">
        <f t="shared" si="1"/>
        <v>0</v>
      </c>
      <c r="F14" s="21" t="str">
        <f t="shared" si="2"/>
        <v/>
      </c>
    </row>
    <row r="15" spans="1:6" x14ac:dyDescent="0.2">
      <c r="A15" s="19">
        <v>11</v>
      </c>
      <c r="B15" s="180" t="s">
        <v>10</v>
      </c>
      <c r="C15" s="181"/>
      <c r="D15" s="14">
        <f t="shared" si="0"/>
        <v>6224</v>
      </c>
      <c r="E15" s="17">
        <f t="shared" si="1"/>
        <v>47143.873712299865</v>
      </c>
      <c r="F15" s="21">
        <f t="shared" si="2"/>
        <v>7.57</v>
      </c>
    </row>
    <row r="16" spans="1:6" ht="14.25" customHeight="1" x14ac:dyDescent="0.2">
      <c r="A16" s="19">
        <v>12</v>
      </c>
      <c r="B16" s="180" t="s">
        <v>11</v>
      </c>
      <c r="C16" s="181"/>
      <c r="D16" s="14">
        <f t="shared" si="0"/>
        <v>98896</v>
      </c>
      <c r="E16" s="17">
        <f t="shared" si="1"/>
        <v>749086.29669852299</v>
      </c>
      <c r="F16" s="21">
        <f t="shared" si="2"/>
        <v>7.57</v>
      </c>
    </row>
    <row r="17" spans="1:6" x14ac:dyDescent="0.2">
      <c r="A17" s="19">
        <v>13</v>
      </c>
      <c r="B17" s="180" t="s">
        <v>12</v>
      </c>
      <c r="C17" s="181"/>
      <c r="D17" s="14">
        <f t="shared" si="0"/>
        <v>3408</v>
      </c>
      <c r="E17" s="17">
        <f t="shared" si="1"/>
        <v>25813.684063547225</v>
      </c>
      <c r="F17" s="21">
        <f t="shared" si="2"/>
        <v>7.57</v>
      </c>
    </row>
    <row r="18" spans="1:6" ht="14.25" customHeight="1" x14ac:dyDescent="0.2">
      <c r="A18" s="19">
        <v>14</v>
      </c>
      <c r="B18" s="180" t="s">
        <v>464</v>
      </c>
      <c r="C18" s="181"/>
      <c r="D18" s="14">
        <f t="shared" si="0"/>
        <v>55904</v>
      </c>
      <c r="E18" s="17">
        <f t="shared" si="1"/>
        <v>423443.31041330518</v>
      </c>
      <c r="F18" s="21">
        <f t="shared" si="2"/>
        <v>7.57</v>
      </c>
    </row>
    <row r="19" spans="1:6" x14ac:dyDescent="0.2">
      <c r="A19" s="19">
        <v>15</v>
      </c>
      <c r="B19" s="180" t="s">
        <v>13</v>
      </c>
      <c r="C19" s="181"/>
      <c r="D19" s="14">
        <f t="shared" si="0"/>
        <v>0</v>
      </c>
      <c r="E19" s="17">
        <f t="shared" si="1"/>
        <v>0</v>
      </c>
      <c r="F19" s="21" t="str">
        <f t="shared" si="2"/>
        <v/>
      </c>
    </row>
    <row r="20" spans="1:6" x14ac:dyDescent="0.2">
      <c r="A20" s="19">
        <v>16</v>
      </c>
      <c r="B20" s="180" t="s">
        <v>14</v>
      </c>
      <c r="C20" s="181"/>
      <c r="D20" s="14">
        <f t="shared" si="0"/>
        <v>47664</v>
      </c>
      <c r="E20" s="17">
        <f t="shared" si="1"/>
        <v>379030.48274792108</v>
      </c>
      <c r="F20" s="21">
        <f t="shared" si="2"/>
        <v>7.95</v>
      </c>
    </row>
    <row r="21" spans="1:6" x14ac:dyDescent="0.2">
      <c r="A21" s="19">
        <v>17</v>
      </c>
      <c r="B21" s="180" t="s">
        <v>15</v>
      </c>
      <c r="C21" s="181"/>
      <c r="D21" s="14">
        <f t="shared" si="0"/>
        <v>0</v>
      </c>
      <c r="E21" s="17">
        <f t="shared" si="1"/>
        <v>0</v>
      </c>
      <c r="F21" s="21" t="str">
        <f t="shared" si="2"/>
        <v/>
      </c>
    </row>
    <row r="22" spans="1:6" x14ac:dyDescent="0.2">
      <c r="A22" s="19">
        <v>18</v>
      </c>
      <c r="B22" s="180" t="s">
        <v>16</v>
      </c>
      <c r="C22" s="181"/>
      <c r="D22" s="14">
        <f t="shared" si="0"/>
        <v>140352</v>
      </c>
      <c r="E22" s="17">
        <f t="shared" si="1"/>
        <v>1063093.2704480574</v>
      </c>
      <c r="F22" s="21">
        <f t="shared" si="2"/>
        <v>7.57</v>
      </c>
    </row>
    <row r="23" spans="1:6" x14ac:dyDescent="0.2">
      <c r="A23" s="19">
        <v>19</v>
      </c>
      <c r="B23" s="180" t="s">
        <v>17</v>
      </c>
      <c r="C23" s="181"/>
      <c r="D23" s="14">
        <f t="shared" si="0"/>
        <v>63296</v>
      </c>
      <c r="E23" s="17">
        <f t="shared" si="1"/>
        <v>479433.80824128084</v>
      </c>
      <c r="F23" s="21">
        <f t="shared" si="2"/>
        <v>7.57</v>
      </c>
    </row>
    <row r="24" spans="1:6" x14ac:dyDescent="0.2">
      <c r="A24" s="19">
        <v>20</v>
      </c>
      <c r="B24" s="180" t="s">
        <v>18</v>
      </c>
      <c r="C24" s="181"/>
      <c r="D24" s="14">
        <f t="shared" si="0"/>
        <v>0</v>
      </c>
      <c r="E24" s="17">
        <f t="shared" si="1"/>
        <v>0</v>
      </c>
      <c r="F24" s="21" t="str">
        <f t="shared" si="2"/>
        <v/>
      </c>
    </row>
    <row r="25" spans="1:6" ht="14.25" customHeight="1" x14ac:dyDescent="0.2">
      <c r="A25" s="19">
        <v>21</v>
      </c>
      <c r="B25" s="180" t="s">
        <v>461</v>
      </c>
      <c r="C25" s="181"/>
      <c r="D25" s="14">
        <f t="shared" si="0"/>
        <v>0</v>
      </c>
      <c r="E25" s="17">
        <f t="shared" si="1"/>
        <v>0</v>
      </c>
      <c r="F25" s="21" t="str">
        <f t="shared" si="2"/>
        <v/>
      </c>
    </row>
    <row r="26" spans="1:6" x14ac:dyDescent="0.2">
      <c r="A26" s="19">
        <v>22</v>
      </c>
      <c r="B26" s="180" t="s">
        <v>19</v>
      </c>
      <c r="C26" s="181"/>
      <c r="D26" s="14">
        <f t="shared" si="0"/>
        <v>0</v>
      </c>
      <c r="E26" s="17">
        <f t="shared" si="1"/>
        <v>0</v>
      </c>
      <c r="F26" s="21" t="str">
        <f t="shared" si="2"/>
        <v/>
      </c>
    </row>
    <row r="27" spans="1:6" x14ac:dyDescent="0.2">
      <c r="A27" s="19">
        <v>23</v>
      </c>
      <c r="B27" s="180" t="s">
        <v>20</v>
      </c>
      <c r="C27" s="181"/>
      <c r="D27" s="14">
        <f t="shared" si="0"/>
        <v>30240</v>
      </c>
      <c r="E27" s="17">
        <f t="shared" si="1"/>
        <v>229052.30929626414</v>
      </c>
      <c r="F27" s="21">
        <f t="shared" si="2"/>
        <v>7.57</v>
      </c>
    </row>
    <row r="28" spans="1:6" x14ac:dyDescent="0.2">
      <c r="A28" s="19">
        <v>24</v>
      </c>
      <c r="B28" s="180" t="s">
        <v>21</v>
      </c>
      <c r="C28" s="181"/>
      <c r="D28" s="14">
        <f t="shared" si="0"/>
        <v>11536</v>
      </c>
      <c r="E28" s="17">
        <f t="shared" si="1"/>
        <v>87378.958731537801</v>
      </c>
      <c r="F28" s="21">
        <f t="shared" si="2"/>
        <v>7.57</v>
      </c>
    </row>
    <row r="29" spans="1:6" x14ac:dyDescent="0.2">
      <c r="A29" s="19">
        <v>25</v>
      </c>
      <c r="B29" s="180" t="s">
        <v>22</v>
      </c>
      <c r="C29" s="181"/>
      <c r="D29" s="14">
        <f t="shared" si="0"/>
        <v>84912</v>
      </c>
      <c r="E29" s="17">
        <f t="shared" si="1"/>
        <v>643163.53673824004</v>
      </c>
      <c r="F29" s="21">
        <f t="shared" si="2"/>
        <v>7.57</v>
      </c>
    </row>
    <row r="30" spans="1:6" x14ac:dyDescent="0.2">
      <c r="A30" s="19">
        <v>26</v>
      </c>
      <c r="B30" s="180" t="s">
        <v>23</v>
      </c>
      <c r="C30" s="181"/>
      <c r="D30" s="14">
        <f t="shared" si="0"/>
        <v>16992</v>
      </c>
      <c r="E30" s="17">
        <f t="shared" si="1"/>
        <v>128705.32617599603</v>
      </c>
      <c r="F30" s="21">
        <f t="shared" si="2"/>
        <v>7.57</v>
      </c>
    </row>
    <row r="31" spans="1:6" x14ac:dyDescent="0.2">
      <c r="A31" s="19">
        <v>28</v>
      </c>
      <c r="B31" s="180" t="s">
        <v>24</v>
      </c>
      <c r="C31" s="181"/>
      <c r="D31" s="14">
        <f t="shared" si="0"/>
        <v>0</v>
      </c>
      <c r="E31" s="17">
        <f t="shared" si="1"/>
        <v>0</v>
      </c>
      <c r="F31" s="21" t="str">
        <f t="shared" si="2"/>
        <v/>
      </c>
    </row>
    <row r="32" spans="1:6" ht="15.75" customHeight="1" thickBot="1" x14ac:dyDescent="0.25">
      <c r="A32" s="22">
        <v>29</v>
      </c>
      <c r="B32" s="184" t="s">
        <v>25</v>
      </c>
      <c r="C32" s="185"/>
      <c r="D32" s="23">
        <f t="shared" si="0"/>
        <v>0</v>
      </c>
      <c r="E32" s="24">
        <f t="shared" si="1"/>
        <v>0</v>
      </c>
      <c r="F32" s="25" t="str">
        <f t="shared" si="2"/>
        <v/>
      </c>
    </row>
    <row r="33" spans="1:6" x14ac:dyDescent="0.2">
      <c r="B33" s="30" t="s">
        <v>35</v>
      </c>
      <c r="C33" s="30"/>
      <c r="D33" s="59">
        <f>SUM(D5:D32)</f>
        <v>773472</v>
      </c>
      <c r="E33" s="31">
        <f>SUM(E5:E32)</f>
        <v>5876647</v>
      </c>
      <c r="F33" s="32">
        <f t="shared" si="2"/>
        <v>7.6</v>
      </c>
    </row>
    <row r="34" spans="1:6" ht="15" thickBot="1" x14ac:dyDescent="0.25">
      <c r="F34" s="67"/>
    </row>
    <row r="35" spans="1:6" ht="29.25" customHeight="1" x14ac:dyDescent="0.2">
      <c r="A35" s="26" t="s">
        <v>26</v>
      </c>
      <c r="B35" s="182" t="s">
        <v>466</v>
      </c>
      <c r="C35" s="183"/>
      <c r="D35" s="28" t="s">
        <v>27</v>
      </c>
      <c r="E35" s="28" t="s">
        <v>462</v>
      </c>
      <c r="F35" s="29" t="s">
        <v>463</v>
      </c>
    </row>
    <row r="36" spans="1:6" x14ac:dyDescent="0.2">
      <c r="A36" s="19">
        <v>1</v>
      </c>
      <c r="B36" s="180" t="s">
        <v>0</v>
      </c>
      <c r="C36" s="181"/>
      <c r="D36" s="14">
        <f>IF(F3="1",SUMIF(Data!A:A,'56'!$A$2,Data!CU:CU),0)</f>
        <v>2208</v>
      </c>
      <c r="E36" s="15">
        <f>IF(F3="1",SUMIF(Data!$A:$A,$A$2,Data!IO:IO),0)</f>
        <v>951</v>
      </c>
      <c r="F36" s="20">
        <f t="shared" ref="F36:F64" si="3">IF(OR(D36=0,E36=0),"",ROUND(E36/D36,2))</f>
        <v>0.43</v>
      </c>
    </row>
    <row r="37" spans="1:6" x14ac:dyDescent="0.2">
      <c r="A37" s="19">
        <v>2</v>
      </c>
      <c r="B37" s="180" t="s">
        <v>1</v>
      </c>
      <c r="C37" s="181"/>
      <c r="D37" s="14">
        <f>IF(F3="1",SUMIF(Data!A:A,'56'!$A$2,Data!CV:CV),0)</f>
        <v>0</v>
      </c>
      <c r="E37" s="17">
        <f>IF(F3="1",SUMIF(Data!$A:$A,$A$2,Data!IP:IP),0)</f>
        <v>0</v>
      </c>
      <c r="F37" s="21" t="str">
        <f t="shared" si="3"/>
        <v/>
      </c>
    </row>
    <row r="38" spans="1:6" ht="14.25" customHeight="1" x14ac:dyDescent="0.2">
      <c r="A38" s="19">
        <v>3</v>
      </c>
      <c r="B38" s="180" t="s">
        <v>2</v>
      </c>
      <c r="C38" s="181"/>
      <c r="D38" s="14">
        <f>IF(F3="1",SUMIF(Data!A:A,'56'!$A$2,Data!CW:CW),0)</f>
        <v>85904</v>
      </c>
      <c r="E38" s="17">
        <f>IF($F$3="1",SUMIF(Data!$A:$A,$A$2,Data!IQ:IQ),0)</f>
        <v>36995</v>
      </c>
      <c r="F38" s="21">
        <f t="shared" si="3"/>
        <v>0.43</v>
      </c>
    </row>
    <row r="39" spans="1:6" ht="14.25" customHeight="1" x14ac:dyDescent="0.2">
      <c r="A39" s="19">
        <v>4</v>
      </c>
      <c r="B39" s="180" t="s">
        <v>3</v>
      </c>
      <c r="C39" s="181"/>
      <c r="D39" s="14">
        <f>IF(F3="1",SUMIF(Data!A:A,'56'!$A$2,Data!CX:CX),0)</f>
        <v>69056</v>
      </c>
      <c r="E39" s="17">
        <f>IF($F$3="1",SUMIF(Data!$A:$A,$A$2,Data!IR:IR),0)</f>
        <v>29739</v>
      </c>
      <c r="F39" s="21">
        <f t="shared" si="3"/>
        <v>0.43</v>
      </c>
    </row>
    <row r="40" spans="1:6" x14ac:dyDescent="0.2">
      <c r="A40" s="19">
        <v>5</v>
      </c>
      <c r="B40" s="180" t="s">
        <v>4</v>
      </c>
      <c r="C40" s="181"/>
      <c r="D40" s="14">
        <f>IF(F3="1",SUMIF(Data!A:A,'56'!$A$2,Data!CY:CY),0)</f>
        <v>0</v>
      </c>
      <c r="E40" s="17">
        <f>IF($F$3="1",SUMIF(Data!$A:$A,$A$2,Data!IS:IS),0)</f>
        <v>0</v>
      </c>
      <c r="F40" s="21" t="str">
        <f t="shared" si="3"/>
        <v/>
      </c>
    </row>
    <row r="41" spans="1:6" x14ac:dyDescent="0.2">
      <c r="A41" s="19">
        <v>6</v>
      </c>
      <c r="B41" s="180" t="s">
        <v>5</v>
      </c>
      <c r="C41" s="181"/>
      <c r="D41" s="14">
        <f>IF(F3="1",SUMIF(Data!A:A,'56'!$A$2,Data!CZ:CZ),0)</f>
        <v>432</v>
      </c>
      <c r="E41" s="17">
        <f>IF($F$3="1",SUMIF(Data!$A:$A,$A$2,Data!IT:IT),0)</f>
        <v>186</v>
      </c>
      <c r="F41" s="21">
        <f t="shared" si="3"/>
        <v>0.43</v>
      </c>
    </row>
    <row r="42" spans="1:6" x14ac:dyDescent="0.2">
      <c r="A42" s="19">
        <v>7</v>
      </c>
      <c r="B42" s="180" t="s">
        <v>6</v>
      </c>
      <c r="C42" s="181"/>
      <c r="D42" s="14">
        <f>IF(F3="1",SUMIF(Data!A:A,'56'!$A$2,Data!DA:DA),0)</f>
        <v>46032</v>
      </c>
      <c r="E42" s="17">
        <f>IF($F$3="1",SUMIF(Data!$A:$A,$A$2,Data!IU:IU),0)</f>
        <v>19823</v>
      </c>
      <c r="F42" s="21">
        <f t="shared" si="3"/>
        <v>0.43</v>
      </c>
    </row>
    <row r="43" spans="1:6" x14ac:dyDescent="0.2">
      <c r="A43" s="19">
        <v>8</v>
      </c>
      <c r="B43" s="180" t="s">
        <v>7</v>
      </c>
      <c r="C43" s="181"/>
      <c r="D43" s="14">
        <f>IF(F3="1",SUMIF(Data!A:A,'56'!$A$2,Data!DB:DB),0)</f>
        <v>0</v>
      </c>
      <c r="E43" s="17">
        <f>IF($F$3="1",SUMIF(Data!$A:$A,$A$2,Data!IV:IV),0)</f>
        <v>0</v>
      </c>
      <c r="F43" s="21" t="str">
        <f t="shared" si="3"/>
        <v/>
      </c>
    </row>
    <row r="44" spans="1:6" x14ac:dyDescent="0.2">
      <c r="A44" s="19">
        <v>9</v>
      </c>
      <c r="B44" s="180" t="s">
        <v>8</v>
      </c>
      <c r="C44" s="181"/>
      <c r="D44" s="14">
        <f>IF(F3="1",SUMIF(Data!A:A,'56'!$A$2,Data!DC:DC),0)</f>
        <v>10416</v>
      </c>
      <c r="E44" s="17">
        <f>IF($F$3="1",SUMIF(Data!$A:$A,$A$2,Data!IW:IW),0)</f>
        <v>4485</v>
      </c>
      <c r="F44" s="21">
        <f t="shared" si="3"/>
        <v>0.43</v>
      </c>
    </row>
    <row r="45" spans="1:6" x14ac:dyDescent="0.2">
      <c r="A45" s="19">
        <v>10</v>
      </c>
      <c r="B45" s="180" t="s">
        <v>9</v>
      </c>
      <c r="C45" s="181"/>
      <c r="D45" s="14">
        <f>IF(F3="1",SUMIF(Data!A:A,'56'!$A$2,Data!DD:DD),0)</f>
        <v>0</v>
      </c>
      <c r="E45" s="17">
        <f>IF($F$3="1",SUMIF(Data!$A:$A,$A$2,Data!IX:IX),0)</f>
        <v>0</v>
      </c>
      <c r="F45" s="21" t="str">
        <f t="shared" si="3"/>
        <v/>
      </c>
    </row>
    <row r="46" spans="1:6" x14ac:dyDescent="0.2">
      <c r="A46" s="19">
        <v>11</v>
      </c>
      <c r="B46" s="180" t="s">
        <v>10</v>
      </c>
      <c r="C46" s="181"/>
      <c r="D46" s="14">
        <f>IF(F3="1",SUMIF(Data!A:A,'56'!$A$2,Data!DE:DE),0)</f>
        <v>6224</v>
      </c>
      <c r="E46" s="17">
        <f>IF($F$3="1",SUMIF(Data!$A:$A,$A$2,Data!IY:IY),0)</f>
        <v>2681</v>
      </c>
      <c r="F46" s="21">
        <f t="shared" si="3"/>
        <v>0.43</v>
      </c>
    </row>
    <row r="47" spans="1:6" ht="14.25" customHeight="1" x14ac:dyDescent="0.2">
      <c r="A47" s="19">
        <v>12</v>
      </c>
      <c r="B47" s="180" t="s">
        <v>11</v>
      </c>
      <c r="C47" s="181"/>
      <c r="D47" s="14">
        <f>IF(F3="1",SUMIF(Data!A:A,'56'!$A$2,Data!DF:DF),0)</f>
        <v>98896</v>
      </c>
      <c r="E47" s="17">
        <f>IF($F$3="1",SUMIF(Data!$A:$A,$A$2,Data!IZ:IZ),0)</f>
        <v>42590</v>
      </c>
      <c r="F47" s="21">
        <f t="shared" si="3"/>
        <v>0.43</v>
      </c>
    </row>
    <row r="48" spans="1:6" x14ac:dyDescent="0.2">
      <c r="A48" s="19">
        <v>13</v>
      </c>
      <c r="B48" s="180" t="s">
        <v>12</v>
      </c>
      <c r="C48" s="181"/>
      <c r="D48" s="14">
        <f>IF(F3="1",SUMIF(Data!A:A,'56'!$A$2,Data!DG:DG),0)</f>
        <v>3408</v>
      </c>
      <c r="E48" s="17">
        <f>IF($F$3="1",SUMIF(Data!$A:$A,$A$2,Data!JA:JA),0)</f>
        <v>1467</v>
      </c>
      <c r="F48" s="21">
        <f t="shared" si="3"/>
        <v>0.43</v>
      </c>
    </row>
    <row r="49" spans="1:6" ht="14.25" customHeight="1" x14ac:dyDescent="0.2">
      <c r="A49" s="19">
        <v>14</v>
      </c>
      <c r="B49" s="180" t="s">
        <v>464</v>
      </c>
      <c r="C49" s="181"/>
      <c r="D49" s="14">
        <f>IF(F3="1",SUMIF(Data!A:A,'56'!$A$2,Data!DH:DH),0)</f>
        <v>55904</v>
      </c>
      <c r="E49" s="17">
        <f>IF($F$3="1",SUMIF(Data!$A:$A,$A$2,Data!JB:JB),0)</f>
        <v>24075</v>
      </c>
      <c r="F49" s="21">
        <f t="shared" si="3"/>
        <v>0.43</v>
      </c>
    </row>
    <row r="50" spans="1:6" x14ac:dyDescent="0.2">
      <c r="A50" s="19">
        <v>15</v>
      </c>
      <c r="B50" s="180" t="s">
        <v>13</v>
      </c>
      <c r="C50" s="181"/>
      <c r="D50" s="14">
        <f>IF(F3="1",SUMIF(Data!A:A,'56'!$A$2,Data!DI:DI),0)</f>
        <v>0</v>
      </c>
      <c r="E50" s="17">
        <f>IF($F$3="1",SUMIF(Data!$A:$A,$A$2,Data!JC:JC),0)</f>
        <v>0</v>
      </c>
      <c r="F50" s="21" t="str">
        <f t="shared" si="3"/>
        <v/>
      </c>
    </row>
    <row r="51" spans="1:6" x14ac:dyDescent="0.2">
      <c r="A51" s="19">
        <v>16</v>
      </c>
      <c r="B51" s="180" t="s">
        <v>14</v>
      </c>
      <c r="C51" s="181"/>
      <c r="D51" s="14">
        <f>IF(F3="1",SUMIF(Data!A:A,'56'!$A$2,Data!DJ:DJ),0)</f>
        <v>47664</v>
      </c>
      <c r="E51" s="17">
        <f>IF($F$3="1",SUMIF(Data!$A:$A,$A$2,Data!JD:JD),0)</f>
        <v>38527</v>
      </c>
      <c r="F51" s="21">
        <f t="shared" si="3"/>
        <v>0.81</v>
      </c>
    </row>
    <row r="52" spans="1:6" x14ac:dyDescent="0.2">
      <c r="A52" s="19">
        <v>17</v>
      </c>
      <c r="B52" s="180" t="s">
        <v>15</v>
      </c>
      <c r="C52" s="181"/>
      <c r="D52" s="14">
        <f>IF(F3="1",SUMIF(Data!A:A,'56'!$A$2,Data!DK:DK),0)</f>
        <v>0</v>
      </c>
      <c r="E52" s="17">
        <f>IF($F$3="1",SUMIF(Data!$A:$A,$A$2,Data!JE:JE),0)</f>
        <v>0</v>
      </c>
      <c r="F52" s="21" t="str">
        <f t="shared" si="3"/>
        <v/>
      </c>
    </row>
    <row r="53" spans="1:6" x14ac:dyDescent="0.2">
      <c r="A53" s="19">
        <v>18</v>
      </c>
      <c r="B53" s="180" t="s">
        <v>16</v>
      </c>
      <c r="C53" s="181"/>
      <c r="D53" s="14">
        <f>IF(F3="1",SUMIF(Data!A:A,'56'!$A$2,Data!DL:DL),0)</f>
        <v>140352</v>
      </c>
      <c r="E53" s="17">
        <f>IF($F$3="1",SUMIF(Data!$A:$A,$A$2,Data!JF:JF),0)</f>
        <v>60442</v>
      </c>
      <c r="F53" s="21">
        <f t="shared" si="3"/>
        <v>0.43</v>
      </c>
    </row>
    <row r="54" spans="1:6" x14ac:dyDescent="0.2">
      <c r="A54" s="19">
        <v>19</v>
      </c>
      <c r="B54" s="180" t="s">
        <v>17</v>
      </c>
      <c r="C54" s="181"/>
      <c r="D54" s="14">
        <f>IF(F3="1",SUMIF(Data!A:A,'56'!$A$2,Data!DM:DM),0)</f>
        <v>63296</v>
      </c>
      <c r="E54" s="17">
        <f>IF($F$3="1",SUMIF(Data!$A:$A,$A$2,Data!JG:JG),0)</f>
        <v>27258</v>
      </c>
      <c r="F54" s="21">
        <f t="shared" si="3"/>
        <v>0.43</v>
      </c>
    </row>
    <row r="55" spans="1:6" x14ac:dyDescent="0.2">
      <c r="A55" s="19">
        <v>20</v>
      </c>
      <c r="B55" s="180" t="s">
        <v>18</v>
      </c>
      <c r="C55" s="181"/>
      <c r="D55" s="14">
        <f>IF(F3="1",SUMIF(Data!A:A,'56'!$A$2,Data!DN:DN),0)</f>
        <v>0</v>
      </c>
      <c r="E55" s="17">
        <f>IF($F$3="1",SUMIF(Data!$A:$A,$A$2,Data!JH:JH),0)</f>
        <v>0</v>
      </c>
      <c r="F55" s="21" t="str">
        <f t="shared" si="3"/>
        <v/>
      </c>
    </row>
    <row r="56" spans="1:6" ht="14.25" customHeight="1" x14ac:dyDescent="0.2">
      <c r="A56" s="19">
        <v>21</v>
      </c>
      <c r="B56" s="180" t="s">
        <v>461</v>
      </c>
      <c r="C56" s="181"/>
      <c r="D56" s="14">
        <f>IF(F3="1",SUMIF(Data!A:A,'56'!$A$2,Data!DO:DO),0)</f>
        <v>0</v>
      </c>
      <c r="E56" s="17">
        <f>IF($F$3="1",SUMIF(Data!$A:$A,$A$2,Data!JI:JI),0)</f>
        <v>0</v>
      </c>
      <c r="F56" s="21" t="str">
        <f t="shared" si="3"/>
        <v/>
      </c>
    </row>
    <row r="57" spans="1:6" x14ac:dyDescent="0.2">
      <c r="A57" s="19">
        <v>22</v>
      </c>
      <c r="B57" s="180" t="s">
        <v>19</v>
      </c>
      <c r="C57" s="181"/>
      <c r="D57" s="14">
        <f>IF(F3="1",SUMIF(Data!A:A,'56'!$A$2,Data!DP:DP),0)</f>
        <v>0</v>
      </c>
      <c r="E57" s="17">
        <f>IF($F$3="1",SUMIF(Data!$A:$A,$A$2,Data!JJ:JJ),0)</f>
        <v>0</v>
      </c>
      <c r="F57" s="21" t="str">
        <f t="shared" si="3"/>
        <v/>
      </c>
    </row>
    <row r="58" spans="1:6" x14ac:dyDescent="0.2">
      <c r="A58" s="19">
        <v>23</v>
      </c>
      <c r="B58" s="180" t="s">
        <v>20</v>
      </c>
      <c r="C58" s="181"/>
      <c r="D58" s="14">
        <f>IF(F3="1",SUMIF(Data!A:A,'56'!$A$2,Data!DQ:DQ),0)</f>
        <v>30240</v>
      </c>
      <c r="E58" s="17">
        <f>IF($F$3="1",SUMIF(Data!$A:$A,$A$2,Data!JK:JK),0)</f>
        <v>13023</v>
      </c>
      <c r="F58" s="21">
        <f t="shared" si="3"/>
        <v>0.43</v>
      </c>
    </row>
    <row r="59" spans="1:6" x14ac:dyDescent="0.2">
      <c r="A59" s="19">
        <v>24</v>
      </c>
      <c r="B59" s="180" t="s">
        <v>21</v>
      </c>
      <c r="C59" s="181"/>
      <c r="D59" s="14">
        <f>IF(F3="1",SUMIF(Data!A:A,'56'!$A$2,Data!DR:DR),0)</f>
        <v>11536</v>
      </c>
      <c r="E59" s="17">
        <f>IF($F$3="1",SUMIF(Data!$A:$A,$A$2,Data!JL:JL),0)</f>
        <v>4968</v>
      </c>
      <c r="F59" s="21">
        <f t="shared" si="3"/>
        <v>0.43</v>
      </c>
    </row>
    <row r="60" spans="1:6" x14ac:dyDescent="0.2">
      <c r="A60" s="19">
        <v>25</v>
      </c>
      <c r="B60" s="180" t="s">
        <v>22</v>
      </c>
      <c r="C60" s="181"/>
      <c r="D60" s="14">
        <f>IF(F3="1",SUMIF(Data!A:A,'56'!$A$2,Data!DS:DS),0)</f>
        <v>84912</v>
      </c>
      <c r="E60" s="17">
        <f>IF($F$3="1",SUMIF(Data!$A:$A,$A$2,Data!JM:JM),0)</f>
        <v>36567</v>
      </c>
      <c r="F60" s="21">
        <f t="shared" si="3"/>
        <v>0.43</v>
      </c>
    </row>
    <row r="61" spans="1:6" x14ac:dyDescent="0.2">
      <c r="A61" s="19">
        <v>26</v>
      </c>
      <c r="B61" s="180" t="s">
        <v>23</v>
      </c>
      <c r="C61" s="181"/>
      <c r="D61" s="14">
        <f>IF(F3="1",SUMIF(Data!A:A,'56'!$A$2,Data!DT:DT),0)</f>
        <v>16992</v>
      </c>
      <c r="E61" s="17">
        <f>IF($F$3="1",SUMIF(Data!$A:$A,$A$2,Data!JN:JN),0)</f>
        <v>7317</v>
      </c>
      <c r="F61" s="21">
        <f t="shared" si="3"/>
        <v>0.43</v>
      </c>
    </row>
    <row r="62" spans="1:6" x14ac:dyDescent="0.2">
      <c r="A62" s="19">
        <v>28</v>
      </c>
      <c r="B62" s="180" t="s">
        <v>24</v>
      </c>
      <c r="C62" s="181"/>
      <c r="D62" s="14">
        <f>IF(F3="1",SUMIF(Data!A:A,'56'!$A$2,Data!DV:DV),0)</f>
        <v>0</v>
      </c>
      <c r="E62" s="17">
        <f>IF($F$3="1",SUMIF(Data!$A:$A,$A$2,Data!JP:JP),0)</f>
        <v>0</v>
      </c>
      <c r="F62" s="21" t="str">
        <f t="shared" si="3"/>
        <v/>
      </c>
    </row>
    <row r="63" spans="1:6" ht="15.75" customHeight="1" thickBot="1" x14ac:dyDescent="0.25">
      <c r="A63" s="22">
        <v>29</v>
      </c>
      <c r="B63" s="184" t="s">
        <v>25</v>
      </c>
      <c r="C63" s="185"/>
      <c r="D63" s="23">
        <f>IF(F3="1",SUMIF(Data!A:A,'56'!$A$2,Data!DW:DW),0)</f>
        <v>0</v>
      </c>
      <c r="E63" s="24">
        <f>IF($F$3="1",SUMIF(Data!$A:$A,$A$2,Data!JQ:JQ),0)</f>
        <v>0</v>
      </c>
      <c r="F63" s="25" t="str">
        <f t="shared" si="3"/>
        <v/>
      </c>
    </row>
    <row r="64" spans="1:6" x14ac:dyDescent="0.2">
      <c r="B64" s="30" t="s">
        <v>35</v>
      </c>
      <c r="C64" s="30"/>
      <c r="D64" s="59">
        <f>SUM(D36:D63)</f>
        <v>773472</v>
      </c>
      <c r="E64" s="31">
        <f>SUM(E36:E63)</f>
        <v>351094</v>
      </c>
      <c r="F64" s="32">
        <f t="shared" si="3"/>
        <v>0.45</v>
      </c>
    </row>
    <row r="65" spans="1:6" ht="15" thickBot="1" x14ac:dyDescent="0.25">
      <c r="F65" s="67"/>
    </row>
    <row r="66" spans="1:6" ht="29.25" customHeight="1" x14ac:dyDescent="0.2">
      <c r="A66" s="26" t="s">
        <v>26</v>
      </c>
      <c r="B66" s="182" t="s">
        <v>467</v>
      </c>
      <c r="C66" s="183"/>
      <c r="D66" s="28" t="s">
        <v>27</v>
      </c>
      <c r="E66" s="28" t="s">
        <v>462</v>
      </c>
      <c r="F66" s="29" t="s">
        <v>463</v>
      </c>
    </row>
    <row r="67" spans="1:6" x14ac:dyDescent="0.2">
      <c r="A67" s="19">
        <v>1</v>
      </c>
      <c r="B67" s="180" t="s">
        <v>0</v>
      </c>
      <c r="C67" s="181"/>
      <c r="D67" s="14">
        <f>D36</f>
        <v>2208</v>
      </c>
      <c r="E67" s="15">
        <f>IF(F3="1",SUMIF(Data!A:A,'56'!$A$2,Data!DY:DY),0)</f>
        <v>7305</v>
      </c>
      <c r="F67" s="20">
        <f t="shared" ref="F67:F95" si="4">IF(OR(D67=0,E67=0),"",ROUND(E67/D67,2))</f>
        <v>3.31</v>
      </c>
    </row>
    <row r="68" spans="1:6" x14ac:dyDescent="0.2">
      <c r="A68" s="19">
        <v>2</v>
      </c>
      <c r="B68" s="180" t="s">
        <v>1</v>
      </c>
      <c r="C68" s="181"/>
      <c r="D68" s="14">
        <f t="shared" ref="D68:D94" si="5">D37</f>
        <v>0</v>
      </c>
      <c r="E68" s="17">
        <f>IF(F3="1",SUMIF(Data!A:A,'56'!$A$2,Data!DZ:DZ),0)</f>
        <v>0</v>
      </c>
      <c r="F68" s="21" t="str">
        <f t="shared" si="4"/>
        <v/>
      </c>
    </row>
    <row r="69" spans="1:6" ht="14.25" customHeight="1" x14ac:dyDescent="0.2">
      <c r="A69" s="19">
        <v>3</v>
      </c>
      <c r="B69" s="180" t="s">
        <v>2</v>
      </c>
      <c r="C69" s="181"/>
      <c r="D69" s="14">
        <f t="shared" si="5"/>
        <v>85904</v>
      </c>
      <c r="E69" s="17">
        <f>IF(F3="1",SUMIF(Data!A:A,'56'!$A$2,Data!EA:EA),0)</f>
        <v>284217</v>
      </c>
      <c r="F69" s="21">
        <f t="shared" si="4"/>
        <v>3.31</v>
      </c>
    </row>
    <row r="70" spans="1:6" ht="14.25" customHeight="1" x14ac:dyDescent="0.2">
      <c r="A70" s="19">
        <v>4</v>
      </c>
      <c r="B70" s="180" t="s">
        <v>3</v>
      </c>
      <c r="C70" s="181"/>
      <c r="D70" s="14">
        <f t="shared" si="5"/>
        <v>69056</v>
      </c>
      <c r="E70" s="17">
        <f>IF(F3="1",SUMIF(Data!A:A,'56'!$A$2,Data!EB:EB),0)</f>
        <v>228474</v>
      </c>
      <c r="F70" s="21">
        <f t="shared" si="4"/>
        <v>3.31</v>
      </c>
    </row>
    <row r="71" spans="1:6" x14ac:dyDescent="0.2">
      <c r="A71" s="19">
        <v>5</v>
      </c>
      <c r="B71" s="180" t="s">
        <v>4</v>
      </c>
      <c r="C71" s="181"/>
      <c r="D71" s="14">
        <f t="shared" si="5"/>
        <v>0</v>
      </c>
      <c r="E71" s="17">
        <f>IF(F3="1",SUMIF(Data!A:A,'56'!$A$2,Data!EC:EC),0)</f>
        <v>0</v>
      </c>
      <c r="F71" s="21" t="str">
        <f t="shared" si="4"/>
        <v/>
      </c>
    </row>
    <row r="72" spans="1:6" x14ac:dyDescent="0.2">
      <c r="A72" s="19">
        <v>6</v>
      </c>
      <c r="B72" s="180" t="s">
        <v>5</v>
      </c>
      <c r="C72" s="181"/>
      <c r="D72" s="14">
        <f t="shared" si="5"/>
        <v>432</v>
      </c>
      <c r="E72" s="17">
        <f>IF(F3="1",SUMIF(Data!A:A,'56'!$A$2,Data!ED:ED),0)</f>
        <v>1429</v>
      </c>
      <c r="F72" s="21">
        <f t="shared" si="4"/>
        <v>3.31</v>
      </c>
    </row>
    <row r="73" spans="1:6" x14ac:dyDescent="0.2">
      <c r="A73" s="19">
        <v>7</v>
      </c>
      <c r="B73" s="180" t="s">
        <v>6</v>
      </c>
      <c r="C73" s="181"/>
      <c r="D73" s="14">
        <f t="shared" si="5"/>
        <v>46032</v>
      </c>
      <c r="E73" s="17">
        <f>IF(F3="1",SUMIF(Data!A:A,'56'!$A$2,Data!EE:EE),0)</f>
        <v>152299</v>
      </c>
      <c r="F73" s="21">
        <f t="shared" si="4"/>
        <v>3.31</v>
      </c>
    </row>
    <row r="74" spans="1:6" x14ac:dyDescent="0.2">
      <c r="A74" s="19">
        <v>8</v>
      </c>
      <c r="B74" s="180" t="s">
        <v>7</v>
      </c>
      <c r="C74" s="181"/>
      <c r="D74" s="14">
        <f t="shared" si="5"/>
        <v>0</v>
      </c>
      <c r="E74" s="17">
        <f>IF(F3="1",SUMIF(Data!A:A,'56'!$A$2,Data!EF:EF),0)</f>
        <v>0</v>
      </c>
      <c r="F74" s="21" t="str">
        <f t="shared" si="4"/>
        <v/>
      </c>
    </row>
    <row r="75" spans="1:6" x14ac:dyDescent="0.2">
      <c r="A75" s="19">
        <v>9</v>
      </c>
      <c r="B75" s="180" t="s">
        <v>8</v>
      </c>
      <c r="C75" s="181"/>
      <c r="D75" s="14">
        <f t="shared" si="5"/>
        <v>10416</v>
      </c>
      <c r="E75" s="17">
        <f>IF(F3="1",SUMIF(Data!A:A,'56'!$A$2,Data!EG:EG),0)</f>
        <v>34462</v>
      </c>
      <c r="F75" s="21">
        <f t="shared" si="4"/>
        <v>3.31</v>
      </c>
    </row>
    <row r="76" spans="1:6" x14ac:dyDescent="0.2">
      <c r="A76" s="19">
        <v>10</v>
      </c>
      <c r="B76" s="180" t="s">
        <v>9</v>
      </c>
      <c r="C76" s="181"/>
      <c r="D76" s="14">
        <f t="shared" si="5"/>
        <v>0</v>
      </c>
      <c r="E76" s="17">
        <f>IF(F3="1",SUMIF(Data!A:A,'56'!$A$2,Data!EH:EH),0)</f>
        <v>0</v>
      </c>
      <c r="F76" s="21" t="str">
        <f t="shared" si="4"/>
        <v/>
      </c>
    </row>
    <row r="77" spans="1:6" x14ac:dyDescent="0.2">
      <c r="A77" s="19">
        <v>11</v>
      </c>
      <c r="B77" s="180" t="s">
        <v>10</v>
      </c>
      <c r="C77" s="181"/>
      <c r="D77" s="14">
        <f t="shared" si="5"/>
        <v>6224</v>
      </c>
      <c r="E77" s="17">
        <f>IF(F3="1",SUMIF(Data!A:A,'56'!$A$2,Data!EI:EI),0)</f>
        <v>20592</v>
      </c>
      <c r="F77" s="21">
        <f t="shared" si="4"/>
        <v>3.31</v>
      </c>
    </row>
    <row r="78" spans="1:6" ht="14.25" customHeight="1" x14ac:dyDescent="0.2">
      <c r="A78" s="19">
        <v>12</v>
      </c>
      <c r="B78" s="180" t="s">
        <v>11</v>
      </c>
      <c r="C78" s="181"/>
      <c r="D78" s="14">
        <f t="shared" si="5"/>
        <v>98896</v>
      </c>
      <c r="E78" s="17">
        <f>IF(F3="1",SUMIF(Data!A:A,'56'!$A$2,Data!EJ:EJ),0)</f>
        <v>327201</v>
      </c>
      <c r="F78" s="21">
        <f t="shared" si="4"/>
        <v>3.31</v>
      </c>
    </row>
    <row r="79" spans="1:6" x14ac:dyDescent="0.2">
      <c r="A79" s="19">
        <v>13</v>
      </c>
      <c r="B79" s="180" t="s">
        <v>12</v>
      </c>
      <c r="C79" s="181"/>
      <c r="D79" s="14">
        <f t="shared" si="5"/>
        <v>3408</v>
      </c>
      <c r="E79" s="17">
        <f>IF(F3="1",SUMIF(Data!A:A,'56'!$A$2,Data!EK:EK),0)</f>
        <v>11276</v>
      </c>
      <c r="F79" s="21">
        <f t="shared" si="4"/>
        <v>3.31</v>
      </c>
    </row>
    <row r="80" spans="1:6" ht="14.25" customHeight="1" x14ac:dyDescent="0.2">
      <c r="A80" s="19">
        <v>14</v>
      </c>
      <c r="B80" s="180" t="s">
        <v>464</v>
      </c>
      <c r="C80" s="181"/>
      <c r="D80" s="14">
        <f t="shared" si="5"/>
        <v>55904</v>
      </c>
      <c r="E80" s="17">
        <f>IF(F3="1",SUMIF(Data!A:A,'56'!$A$2,Data!EL:EL),0)</f>
        <v>184960</v>
      </c>
      <c r="F80" s="21">
        <f t="shared" si="4"/>
        <v>3.31</v>
      </c>
    </row>
    <row r="81" spans="1:6" x14ac:dyDescent="0.2">
      <c r="A81" s="19">
        <v>15</v>
      </c>
      <c r="B81" s="180" t="s">
        <v>13</v>
      </c>
      <c r="C81" s="181"/>
      <c r="D81" s="14">
        <f t="shared" si="5"/>
        <v>0</v>
      </c>
      <c r="E81" s="17">
        <f>IF(F3="1",SUMIF(Data!A:A,'56'!$A$2,Data!EM:EM),0)</f>
        <v>0</v>
      </c>
      <c r="F81" s="21" t="str">
        <f t="shared" si="4"/>
        <v/>
      </c>
    </row>
    <row r="82" spans="1:6" x14ac:dyDescent="0.2">
      <c r="A82" s="19">
        <v>16</v>
      </c>
      <c r="B82" s="180" t="s">
        <v>14</v>
      </c>
      <c r="C82" s="181"/>
      <c r="D82" s="14">
        <f t="shared" si="5"/>
        <v>47664</v>
      </c>
      <c r="E82" s="17">
        <f>IF(F3="1",SUMIF(Data!A:A,'56'!$A$2,Data!EN:EN),0)</f>
        <v>157698</v>
      </c>
      <c r="F82" s="21">
        <f t="shared" si="4"/>
        <v>3.31</v>
      </c>
    </row>
    <row r="83" spans="1:6" x14ac:dyDescent="0.2">
      <c r="A83" s="19">
        <v>17</v>
      </c>
      <c r="B83" s="180" t="s">
        <v>15</v>
      </c>
      <c r="C83" s="181"/>
      <c r="D83" s="14">
        <f t="shared" si="5"/>
        <v>0</v>
      </c>
      <c r="E83" s="17">
        <f>IF(F3="1",SUMIF(Data!A:A,'56'!$A$2,Data!EO:EO),0)</f>
        <v>0</v>
      </c>
      <c r="F83" s="21" t="str">
        <f t="shared" si="4"/>
        <v/>
      </c>
    </row>
    <row r="84" spans="1:6" x14ac:dyDescent="0.2">
      <c r="A84" s="19">
        <v>18</v>
      </c>
      <c r="B84" s="180" t="s">
        <v>16</v>
      </c>
      <c r="C84" s="181"/>
      <c r="D84" s="14">
        <f t="shared" si="5"/>
        <v>140352</v>
      </c>
      <c r="E84" s="17">
        <f>IF(F3="1",SUMIF(Data!A:A,'56'!$A$2,Data!EP:EP),0)</f>
        <v>464360</v>
      </c>
      <c r="F84" s="21">
        <f t="shared" si="4"/>
        <v>3.31</v>
      </c>
    </row>
    <row r="85" spans="1:6" x14ac:dyDescent="0.2">
      <c r="A85" s="19">
        <v>19</v>
      </c>
      <c r="B85" s="180" t="s">
        <v>17</v>
      </c>
      <c r="C85" s="181"/>
      <c r="D85" s="14">
        <f t="shared" si="5"/>
        <v>63296</v>
      </c>
      <c r="E85" s="17">
        <f>IF(F3="1",SUMIF(Data!A:A,'56'!$A$2,Data!EQ:EQ),0)</f>
        <v>209417</v>
      </c>
      <c r="F85" s="21">
        <f t="shared" si="4"/>
        <v>3.31</v>
      </c>
    </row>
    <row r="86" spans="1:6" x14ac:dyDescent="0.2">
      <c r="A86" s="19">
        <v>20</v>
      </c>
      <c r="B86" s="180" t="s">
        <v>18</v>
      </c>
      <c r="C86" s="181"/>
      <c r="D86" s="14">
        <f t="shared" si="5"/>
        <v>0</v>
      </c>
      <c r="E86" s="17">
        <f>IF(F3="1",SUMIF(Data!A:A,'56'!$A$2,Data!ER:ER),0)</f>
        <v>0</v>
      </c>
      <c r="F86" s="21" t="str">
        <f t="shared" si="4"/>
        <v/>
      </c>
    </row>
    <row r="87" spans="1:6" ht="14.25" customHeight="1" x14ac:dyDescent="0.2">
      <c r="A87" s="19">
        <v>21</v>
      </c>
      <c r="B87" s="180" t="s">
        <v>461</v>
      </c>
      <c r="C87" s="181"/>
      <c r="D87" s="14">
        <f t="shared" si="5"/>
        <v>0</v>
      </c>
      <c r="E87" s="17">
        <f>IF(F3="1",SUMIF(Data!A:A,'56'!$A$2,Data!ES:ES),0)</f>
        <v>0</v>
      </c>
      <c r="F87" s="21" t="str">
        <f t="shared" si="4"/>
        <v/>
      </c>
    </row>
    <row r="88" spans="1:6" x14ac:dyDescent="0.2">
      <c r="A88" s="19">
        <v>22</v>
      </c>
      <c r="B88" s="180" t="s">
        <v>19</v>
      </c>
      <c r="C88" s="181"/>
      <c r="D88" s="14">
        <f t="shared" si="5"/>
        <v>0</v>
      </c>
      <c r="E88" s="17">
        <f>IF(F3="1",SUMIF(Data!A:A,'56'!$A$2,Data!ET:ET),0)</f>
        <v>0</v>
      </c>
      <c r="F88" s="21" t="str">
        <f t="shared" si="4"/>
        <v/>
      </c>
    </row>
    <row r="89" spans="1:6" x14ac:dyDescent="0.2">
      <c r="A89" s="19">
        <v>23</v>
      </c>
      <c r="B89" s="180" t="s">
        <v>20</v>
      </c>
      <c r="C89" s="181"/>
      <c r="D89" s="14">
        <f t="shared" si="5"/>
        <v>30240</v>
      </c>
      <c r="E89" s="17">
        <f>IF(F3="1",SUMIF(Data!A:A,'56'!$A$2,Data!EU:EU),0)</f>
        <v>100050</v>
      </c>
      <c r="F89" s="21">
        <f t="shared" si="4"/>
        <v>3.31</v>
      </c>
    </row>
    <row r="90" spans="1:6" x14ac:dyDescent="0.2">
      <c r="A90" s="19">
        <v>24</v>
      </c>
      <c r="B90" s="180" t="s">
        <v>21</v>
      </c>
      <c r="C90" s="181"/>
      <c r="D90" s="14">
        <f t="shared" si="5"/>
        <v>11536</v>
      </c>
      <c r="E90" s="17">
        <f>IF(F3="1",SUMIF(Data!A:A,'56'!$A$2,Data!EV:EV),0)</f>
        <v>38167</v>
      </c>
      <c r="F90" s="21">
        <f t="shared" si="4"/>
        <v>3.31</v>
      </c>
    </row>
    <row r="91" spans="1:6" x14ac:dyDescent="0.2">
      <c r="A91" s="19">
        <v>25</v>
      </c>
      <c r="B91" s="180" t="s">
        <v>22</v>
      </c>
      <c r="C91" s="181"/>
      <c r="D91" s="14">
        <f t="shared" si="5"/>
        <v>84912</v>
      </c>
      <c r="E91" s="17">
        <f>IF(F3="1",SUMIF(Data!A:A,'56'!$A$2,Data!EW:EW),0)</f>
        <v>280934</v>
      </c>
      <c r="F91" s="21">
        <f t="shared" si="4"/>
        <v>3.31</v>
      </c>
    </row>
    <row r="92" spans="1:6" x14ac:dyDescent="0.2">
      <c r="A92" s="19">
        <v>26</v>
      </c>
      <c r="B92" s="180" t="s">
        <v>23</v>
      </c>
      <c r="C92" s="181"/>
      <c r="D92" s="14">
        <f t="shared" si="5"/>
        <v>16992</v>
      </c>
      <c r="E92" s="17">
        <f>IF(F3="1",SUMIF(Data!A:A,'56'!$A$2,Data!EX:EX),0)</f>
        <v>56219</v>
      </c>
      <c r="F92" s="21">
        <f t="shared" si="4"/>
        <v>3.31</v>
      </c>
    </row>
    <row r="93" spans="1:6" x14ac:dyDescent="0.2">
      <c r="A93" s="19">
        <v>28</v>
      </c>
      <c r="B93" s="180" t="s">
        <v>24</v>
      </c>
      <c r="C93" s="181"/>
      <c r="D93" s="14">
        <f t="shared" si="5"/>
        <v>0</v>
      </c>
      <c r="E93" s="17">
        <f>IF(F3="1",SUMIF(Data!A:A,'56'!$A$2,Data!EZ:EZ),0)</f>
        <v>0</v>
      </c>
      <c r="F93" s="21" t="str">
        <f t="shared" si="4"/>
        <v/>
      </c>
    </row>
    <row r="94" spans="1:6" ht="15.75" customHeight="1" thickBot="1" x14ac:dyDescent="0.25">
      <c r="A94" s="22">
        <v>29</v>
      </c>
      <c r="B94" s="184" t="s">
        <v>25</v>
      </c>
      <c r="C94" s="185"/>
      <c r="D94" s="23">
        <f t="shared" si="5"/>
        <v>0</v>
      </c>
      <c r="E94" s="24">
        <f>IF(F3="1",SUMIF(Data!A:A,'56'!$A$2,Data!FA:FA),0)</f>
        <v>0</v>
      </c>
      <c r="F94" s="25" t="str">
        <f t="shared" si="4"/>
        <v/>
      </c>
    </row>
    <row r="95" spans="1:6" x14ac:dyDescent="0.2">
      <c r="B95" s="30" t="s">
        <v>35</v>
      </c>
      <c r="C95" s="30"/>
      <c r="D95" s="59">
        <f>SUM(D67:D94)</f>
        <v>773472</v>
      </c>
      <c r="E95" s="31">
        <f>SUM(E67:E94)</f>
        <v>2559060</v>
      </c>
      <c r="F95" s="32">
        <f t="shared" si="4"/>
        <v>3.31</v>
      </c>
    </row>
    <row r="96" spans="1:6" ht="15" thickBot="1" x14ac:dyDescent="0.25">
      <c r="F96" s="67"/>
    </row>
    <row r="97" spans="2:6" ht="29.25" customHeight="1" x14ac:dyDescent="0.2">
      <c r="B97" s="188" t="s">
        <v>468</v>
      </c>
      <c r="C97" s="189"/>
      <c r="D97" s="28" t="s">
        <v>27</v>
      </c>
      <c r="E97" s="33" t="s">
        <v>462</v>
      </c>
      <c r="F97" s="29" t="s">
        <v>463</v>
      </c>
    </row>
    <row r="98" spans="2:6" x14ac:dyDescent="0.2">
      <c r="B98" s="190" t="s">
        <v>30</v>
      </c>
      <c r="C98" s="191"/>
      <c r="D98" s="35"/>
      <c r="E98" s="15">
        <f>IF(F3="1",SUMIF(Data!A:A,'56'!$A$2,Data!AH:AH),0)</f>
        <v>1276735</v>
      </c>
      <c r="F98" s="20">
        <f>IF(OR(E98=0,E98=0),"",ROUND(E98/$D$105,2))</f>
        <v>1.65</v>
      </c>
    </row>
    <row r="99" spans="2:6" x14ac:dyDescent="0.2">
      <c r="B99" s="190" t="s">
        <v>31</v>
      </c>
      <c r="C99" s="191"/>
      <c r="D99" s="36"/>
      <c r="E99" s="17">
        <f>IF(F3="1",SUMIF(Data!A:A,'56'!$A$2,Data!AI:AI),0)</f>
        <v>461119</v>
      </c>
      <c r="F99" s="21">
        <f t="shared" ref="F99:F104" si="6">IF(OR(E99=0,E99=0),"",ROUND(E99/$D$105,2))</f>
        <v>0.6</v>
      </c>
    </row>
    <row r="100" spans="2:6" x14ac:dyDescent="0.2">
      <c r="B100" s="190" t="s">
        <v>1089</v>
      </c>
      <c r="C100" s="191"/>
      <c r="D100" s="36"/>
      <c r="E100" s="17">
        <f>IF(F3="1",SUMIF(Data!A:A,'56'!$A$2,Data!AJ:AJ),0)</f>
        <v>603706</v>
      </c>
      <c r="F100" s="21">
        <f t="shared" si="6"/>
        <v>0.78</v>
      </c>
    </row>
    <row r="101" spans="2:6" x14ac:dyDescent="0.2">
      <c r="B101" s="190" t="s">
        <v>1090</v>
      </c>
      <c r="C101" s="191"/>
      <c r="D101" s="36"/>
      <c r="E101" s="17">
        <f>IF(F3="1",SUMIF(Data!A:A,'56'!$A$2,Data!AK:AK),0)</f>
        <v>371669</v>
      </c>
      <c r="F101" s="21">
        <f t="shared" si="6"/>
        <v>0.48</v>
      </c>
    </row>
    <row r="102" spans="2:6" x14ac:dyDescent="0.2">
      <c r="B102" s="190" t="s">
        <v>1091</v>
      </c>
      <c r="C102" s="191"/>
      <c r="D102" s="36"/>
      <c r="E102" s="17">
        <f>IF(F3="1",SUMIF(Data!A:A,'56'!$A$2,Data!AL:AL),0)</f>
        <v>0</v>
      </c>
      <c r="F102" s="21" t="str">
        <f t="shared" si="6"/>
        <v/>
      </c>
    </row>
    <row r="103" spans="2:6" x14ac:dyDescent="0.2">
      <c r="B103" s="192" t="s">
        <v>34</v>
      </c>
      <c r="C103" s="193"/>
      <c r="D103" s="36"/>
      <c r="E103" s="17">
        <f>IF(F3="1",SUMIF(Data!A:A,'56'!$A$2,Data!AM:AM),0)</f>
        <v>0</v>
      </c>
      <c r="F103" s="21" t="str">
        <f t="shared" si="6"/>
        <v/>
      </c>
    </row>
    <row r="104" spans="2:6" ht="15.75" customHeight="1" thickBot="1" x14ac:dyDescent="0.25">
      <c r="B104" s="186" t="s">
        <v>29</v>
      </c>
      <c r="C104" s="187"/>
      <c r="D104" s="37"/>
      <c r="E104" s="24">
        <f>IF(F3="1",SUMIF(Data!A:A,'56'!$A$2,Data!Q:Q),0)</f>
        <v>253264</v>
      </c>
      <c r="F104" s="25">
        <f t="shared" si="6"/>
        <v>0.33</v>
      </c>
    </row>
    <row r="105" spans="2:6" x14ac:dyDescent="0.2">
      <c r="B105" s="30" t="s">
        <v>35</v>
      </c>
      <c r="C105" s="30"/>
      <c r="D105" s="34">
        <f>D95</f>
        <v>773472</v>
      </c>
      <c r="E105" s="31">
        <f>SUM(E98:E104)</f>
        <v>2966493</v>
      </c>
      <c r="F105" s="32">
        <f>IF($D$105=0,"",ROUND(E105/$D$105,2))</f>
        <v>3.84</v>
      </c>
    </row>
    <row r="107" spans="2:6" ht="15" thickBot="1" x14ac:dyDescent="0.25">
      <c r="B107" s="58" t="s">
        <v>932</v>
      </c>
    </row>
    <row r="108" spans="2:6" ht="28.5" x14ac:dyDescent="0.2">
      <c r="B108" s="45" t="s">
        <v>926</v>
      </c>
      <c r="C108" s="27" t="s">
        <v>930</v>
      </c>
      <c r="D108" s="27" t="s">
        <v>29</v>
      </c>
      <c r="E108" s="27" t="s">
        <v>931</v>
      </c>
      <c r="F108" s="46" t="s">
        <v>35</v>
      </c>
    </row>
    <row r="109" spans="2:6" x14ac:dyDescent="0.2">
      <c r="B109" s="42" t="s">
        <v>927</v>
      </c>
      <c r="C109" s="15">
        <f>E95+IF(F3="1",SUMIF(Data!$A:$A,$A$2,Data!GF:GF),0)</f>
        <v>2559060</v>
      </c>
      <c r="D109" s="15">
        <f>IF(F3="1",SUMIF(Data!$A:$A,$A$2,Data!HJ:HJ),0)</f>
        <v>0</v>
      </c>
      <c r="E109" s="15">
        <f>IF(F3="1",SUMIF(Data!$A:$A,$A$2,Data!IN:IN),0)</f>
        <v>0</v>
      </c>
      <c r="F109" s="47">
        <f>SUM(C109:E109)</f>
        <v>2559060</v>
      </c>
    </row>
    <row r="110" spans="2:6" x14ac:dyDescent="0.2">
      <c r="B110" s="42" t="s">
        <v>28</v>
      </c>
      <c r="C110" s="50">
        <f>IF(F3="1",SUMIF(Data!A:A,$A$2,Data!W:W),0)</f>
        <v>0</v>
      </c>
      <c r="D110" s="51"/>
      <c r="E110" s="50">
        <f>IF(F3="1",SUMIF(Data!A:A,$A$2,Data!W:W),0)</f>
        <v>0</v>
      </c>
      <c r="F110" s="48">
        <f t="shared" ref="F110:F116" si="7">SUM(C110:E110)</f>
        <v>0</v>
      </c>
    </row>
    <row r="111" spans="2:6" x14ac:dyDescent="0.2">
      <c r="B111" s="42" t="s">
        <v>928</v>
      </c>
      <c r="C111" s="50">
        <f>IF(F3="1",SUMIF(Data!A:A,$A$2,Data!AS:AS),0)</f>
        <v>0</v>
      </c>
      <c r="D111" s="51"/>
      <c r="E111" s="50">
        <f>IF(F3="1",SUMIF(Data!A:A,$A$2,Data!AX:AX),0)</f>
        <v>0</v>
      </c>
      <c r="F111" s="48">
        <f t="shared" si="7"/>
        <v>0</v>
      </c>
    </row>
    <row r="112" spans="2:6" x14ac:dyDescent="0.2">
      <c r="B112" s="42" t="s">
        <v>32</v>
      </c>
      <c r="C112" s="50">
        <f>IF(F3="1",SUMIF(Data!A:A,$A$2,Data!V:V),0)</f>
        <v>0</v>
      </c>
      <c r="D112" s="51"/>
      <c r="E112" s="50">
        <f>IF(F3="1",SUMIF(Data!A:A,$A$2,Data!AC:AC),0)</f>
        <v>0</v>
      </c>
      <c r="F112" s="48">
        <f t="shared" si="7"/>
        <v>0</v>
      </c>
    </row>
    <row r="113" spans="1:6" x14ac:dyDescent="0.2">
      <c r="B113" s="42" t="s">
        <v>31</v>
      </c>
      <c r="C113" s="50">
        <f>IF(F3="1",SUMIF(Data!A:A,$A$2,Data!U:U),0)</f>
        <v>0</v>
      </c>
      <c r="D113" s="51"/>
      <c r="E113" s="50">
        <f>IF(F3="1",SUMIF(Data!A:A,$A$2,Data!AB:AB),0)</f>
        <v>0</v>
      </c>
      <c r="F113" s="48">
        <f t="shared" si="7"/>
        <v>0</v>
      </c>
    </row>
    <row r="114" spans="1:6" x14ac:dyDescent="0.2">
      <c r="B114" s="42" t="s">
        <v>1013</v>
      </c>
      <c r="C114" s="50">
        <f>IF(F3="1",SUMIF(Data!A:A,$A$2,Data!T:T),0)</f>
        <v>0</v>
      </c>
      <c r="D114" s="51"/>
      <c r="E114" s="50">
        <f>IF(F3="1",SUMIF(Data!A:A,$A$2,Data!AA:AA),0)</f>
        <v>0</v>
      </c>
      <c r="F114" s="48">
        <f t="shared" si="7"/>
        <v>0</v>
      </c>
    </row>
    <row r="115" spans="1:6" x14ac:dyDescent="0.2">
      <c r="B115" s="42" t="s">
        <v>929</v>
      </c>
      <c r="C115" s="50">
        <f>IF(F3="1",SUMIF(Data!A:A,$A$2,Data!BI:BI),0)</f>
        <v>0</v>
      </c>
      <c r="D115" s="50">
        <f>IF(F3="1",SUMIF(Data!A:A,$A$2,Data!BL:BL),0)</f>
        <v>0</v>
      </c>
      <c r="E115" s="50">
        <f>IF(F3="1",SUMIF(Data!A:A,$A$2,Data!BU:BU),0)</f>
        <v>0</v>
      </c>
      <c r="F115" s="48">
        <f t="shared" si="7"/>
        <v>0</v>
      </c>
    </row>
    <row r="116" spans="1:6" x14ac:dyDescent="0.2">
      <c r="B116" s="42" t="s">
        <v>33</v>
      </c>
      <c r="C116" s="50">
        <f>IF(F3="1",SUMIF(Data!A:A,$A$2,Data!X:X),0)</f>
        <v>0</v>
      </c>
      <c r="D116" s="50"/>
      <c r="E116" s="50">
        <f>E102</f>
        <v>0</v>
      </c>
      <c r="F116" s="48">
        <f t="shared" si="7"/>
        <v>0</v>
      </c>
    </row>
    <row r="117" spans="1:6" ht="15" thickBot="1" x14ac:dyDescent="0.25">
      <c r="B117" s="43" t="s">
        <v>933</v>
      </c>
      <c r="C117" s="52"/>
      <c r="D117" s="52">
        <f>IF(F3="1",SUMIF(Data!A:A,$A$2,Data!Q:Q),0)</f>
        <v>253264</v>
      </c>
      <c r="E117" s="52"/>
      <c r="F117" s="49">
        <f>SUM(C117:E117)</f>
        <v>253264</v>
      </c>
    </row>
    <row r="118" spans="1:6" x14ac:dyDescent="0.2">
      <c r="B118" s="13" t="s">
        <v>35</v>
      </c>
      <c r="C118" s="4">
        <f>SUM(C109:C116)</f>
        <v>2559060</v>
      </c>
      <c r="D118" s="4">
        <f>SUM(D109:D116)</f>
        <v>0</v>
      </c>
      <c r="E118" s="4">
        <f>SUM(E109:E116)</f>
        <v>0</v>
      </c>
      <c r="F118" s="4">
        <f>SUM(F109:F116)</f>
        <v>2559060</v>
      </c>
    </row>
    <row r="119" spans="1:6" ht="15" thickBot="1" x14ac:dyDescent="0.25"/>
    <row r="120" spans="1:6" ht="15" thickBot="1" x14ac:dyDescent="0.25">
      <c r="B120" s="55" t="s">
        <v>934</v>
      </c>
      <c r="C120" s="53"/>
      <c r="D120" s="53"/>
      <c r="E120" s="53">
        <f>IF(F3="1",SUMIF(Data!A:A,'56'!$A$2,Data!AM:AM),0)</f>
        <v>0</v>
      </c>
      <c r="F120" s="54">
        <f>SUM(C120:E120)</f>
        <v>0</v>
      </c>
    </row>
    <row r="122" spans="1:6" s="60" customFormat="1" ht="101.25" customHeight="1" x14ac:dyDescent="0.2">
      <c r="A122" s="179" t="s">
        <v>935</v>
      </c>
      <c r="B122" s="179"/>
      <c r="C122" s="179"/>
      <c r="D122" s="179"/>
      <c r="E122" s="179"/>
      <c r="F122" s="179"/>
    </row>
  </sheetData>
  <mergeCells count="96">
    <mergeCell ref="B97:C97"/>
    <mergeCell ref="B87:C87"/>
    <mergeCell ref="B88:C88"/>
    <mergeCell ref="B89:C89"/>
    <mergeCell ref="B90:C90"/>
    <mergeCell ref="B82:C82"/>
    <mergeCell ref="B83:C83"/>
    <mergeCell ref="A122:F122"/>
    <mergeCell ref="B99:C99"/>
    <mergeCell ref="B100:C100"/>
    <mergeCell ref="B101:C101"/>
    <mergeCell ref="B102:C102"/>
    <mergeCell ref="B103:C103"/>
    <mergeCell ref="B104:C104"/>
    <mergeCell ref="B98:C98"/>
    <mergeCell ref="B85:C85"/>
    <mergeCell ref="B86:C86"/>
    <mergeCell ref="B91:C91"/>
    <mergeCell ref="B92:C92"/>
    <mergeCell ref="B93:C93"/>
    <mergeCell ref="B94:C94"/>
    <mergeCell ref="B84:C84"/>
    <mergeCell ref="B78:C78"/>
    <mergeCell ref="B67:C67"/>
    <mergeCell ref="B68:C68"/>
    <mergeCell ref="B69:C69"/>
    <mergeCell ref="B70:C70"/>
    <mergeCell ref="B71:C71"/>
    <mergeCell ref="B72:C72"/>
    <mergeCell ref="B73:C73"/>
    <mergeCell ref="B74:C74"/>
    <mergeCell ref="B75:C75"/>
    <mergeCell ref="B76:C76"/>
    <mergeCell ref="B77:C77"/>
    <mergeCell ref="B79:C79"/>
    <mergeCell ref="B80:C80"/>
    <mergeCell ref="B81:C81"/>
    <mergeCell ref="B66:C66"/>
    <mergeCell ref="B53:C53"/>
    <mergeCell ref="B54:C54"/>
    <mergeCell ref="B55:C55"/>
    <mergeCell ref="B56:C56"/>
    <mergeCell ref="B57:C57"/>
    <mergeCell ref="B58:C58"/>
    <mergeCell ref="B59:C59"/>
    <mergeCell ref="B60:C60"/>
    <mergeCell ref="B61:C61"/>
    <mergeCell ref="B62:C62"/>
    <mergeCell ref="B63:C63"/>
    <mergeCell ref="B52:C52"/>
    <mergeCell ref="B41:C41"/>
    <mergeCell ref="B42:C42"/>
    <mergeCell ref="B43:C43"/>
    <mergeCell ref="B44:C44"/>
    <mergeCell ref="B45:C45"/>
    <mergeCell ref="B46:C46"/>
    <mergeCell ref="B47:C47"/>
    <mergeCell ref="B48:C48"/>
    <mergeCell ref="B49:C49"/>
    <mergeCell ref="B50:C50"/>
    <mergeCell ref="B51:C51"/>
    <mergeCell ref="B40:C40"/>
    <mergeCell ref="B27:C27"/>
    <mergeCell ref="B28:C28"/>
    <mergeCell ref="B29:C29"/>
    <mergeCell ref="B30:C30"/>
    <mergeCell ref="B31:C31"/>
    <mergeCell ref="B32:C32"/>
    <mergeCell ref="B35:C35"/>
    <mergeCell ref="B36:C36"/>
    <mergeCell ref="B37:C37"/>
    <mergeCell ref="B38:C38"/>
    <mergeCell ref="B39:C39"/>
    <mergeCell ref="B26:C26"/>
    <mergeCell ref="B15:C15"/>
    <mergeCell ref="B16:C16"/>
    <mergeCell ref="B17:C17"/>
    <mergeCell ref="B18:C18"/>
    <mergeCell ref="B19:C19"/>
    <mergeCell ref="B20:C20"/>
    <mergeCell ref="B21:C21"/>
    <mergeCell ref="B22:C22"/>
    <mergeCell ref="B23:C23"/>
    <mergeCell ref="B24:C24"/>
    <mergeCell ref="B25:C25"/>
    <mergeCell ref="B14:C14"/>
    <mergeCell ref="B4:C4"/>
    <mergeCell ref="B5:C5"/>
    <mergeCell ref="B6:C6"/>
    <mergeCell ref="B7:C7"/>
    <mergeCell ref="B8:C8"/>
    <mergeCell ref="B9:C9"/>
    <mergeCell ref="B10:C10"/>
    <mergeCell ref="B11:C11"/>
    <mergeCell ref="B12:C12"/>
    <mergeCell ref="B13:C13"/>
  </mergeCells>
  <pageMargins left="0.25" right="0.25" top="0.75" bottom="0.75" header="0.3" footer="0.3"/>
  <pageSetup orientation="landscape" r:id="rId1"/>
  <rowBreaks count="2" manualBreakCount="2">
    <brk id="64" max="16383" man="1"/>
    <brk id="95" max="16383" man="1"/>
  </rowBreak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showGridLines="0" zoomScale="70" zoomScaleNormal="70" workbookViewId="0"/>
  </sheetViews>
  <sheetFormatPr defaultRowHeight="14.25" x14ac:dyDescent="0.2"/>
  <cols>
    <col min="1" max="1" width="9.42578125" style="1" customWidth="1"/>
    <col min="2" max="2" width="46.5703125" style="57" customWidth="1"/>
    <col min="3" max="3" width="18.28515625" style="57" customWidth="1"/>
    <col min="4" max="4" width="18.7109375" style="57" bestFit="1" customWidth="1"/>
    <col min="5" max="5" width="18.42578125" style="57" customWidth="1"/>
    <col min="6" max="6" width="17.28515625" style="57" customWidth="1"/>
    <col min="7" max="7" width="2.85546875" style="57" customWidth="1"/>
    <col min="8" max="8" width="11" style="1" bestFit="1" customWidth="1"/>
    <col min="9" max="9" width="16.42578125" style="1" bestFit="1" customWidth="1"/>
    <col min="10" max="10" width="13.42578125" style="1" bestFit="1" customWidth="1"/>
    <col min="11" max="12" width="12.140625" style="1" bestFit="1" customWidth="1"/>
    <col min="13" max="13" width="12.42578125" style="1" bestFit="1" customWidth="1"/>
    <col min="14" max="14" width="12.140625" style="1" bestFit="1" customWidth="1"/>
    <col min="15" max="31" width="9.140625" style="1"/>
    <col min="32" max="32" width="17.85546875" style="1" bestFit="1" customWidth="1"/>
    <col min="33" max="35" width="9.140625" style="1"/>
    <col min="36" max="36" width="17.85546875" style="1" bestFit="1" customWidth="1"/>
    <col min="37" max="16384" width="9.140625" style="1"/>
  </cols>
  <sheetData>
    <row r="1" spans="1:7" s="6" customFormat="1" x14ac:dyDescent="0.2">
      <c r="A1" s="38" t="str">
        <f>Summary!A1</f>
        <v>Community and Technical Colleges, Report of Fundable Operating Expenses, Fiscal Year (FY) 2003</v>
      </c>
      <c r="B1" s="38"/>
      <c r="C1" s="38"/>
      <c r="D1" s="38"/>
      <c r="E1" s="38"/>
      <c r="F1" s="38"/>
      <c r="G1" s="57"/>
    </row>
    <row r="2" spans="1:7" s="6" customFormat="1" x14ac:dyDescent="0.2">
      <c r="A2" s="5" t="s">
        <v>448</v>
      </c>
      <c r="B2" s="58" t="str">
        <f>VLOOKUP(A2,Data!A:G,7,0)</f>
        <v>Lamar State College-Port Arthur</v>
      </c>
      <c r="C2" s="58"/>
      <c r="D2" s="57"/>
      <c r="E2" s="57"/>
      <c r="F2" s="57"/>
      <c r="G2" s="57"/>
    </row>
    <row r="3" spans="1:7" s="6" customFormat="1" ht="15" thickBot="1" x14ac:dyDescent="0.25">
      <c r="A3" s="3"/>
      <c r="B3" s="57"/>
      <c r="C3" s="57"/>
      <c r="D3" s="57"/>
      <c r="E3" s="57"/>
      <c r="F3" s="56" t="str">
        <f>IFERROR(VLOOKUP(A2,Data!A:C,3,0),"0")</f>
        <v>1</v>
      </c>
      <c r="G3" s="57"/>
    </row>
    <row r="4" spans="1:7" s="6" customFormat="1" ht="29.25" customHeight="1" x14ac:dyDescent="0.2">
      <c r="A4" s="26" t="s">
        <v>26</v>
      </c>
      <c r="B4" s="182" t="s">
        <v>465</v>
      </c>
      <c r="C4" s="183"/>
      <c r="D4" s="28" t="s">
        <v>27</v>
      </c>
      <c r="E4" s="28" t="s">
        <v>462</v>
      </c>
      <c r="F4" s="29" t="s">
        <v>463</v>
      </c>
      <c r="G4" s="57"/>
    </row>
    <row r="5" spans="1:7" s="6" customFormat="1" x14ac:dyDescent="0.2">
      <c r="A5" s="19">
        <v>1</v>
      </c>
      <c r="B5" s="180" t="s">
        <v>0</v>
      </c>
      <c r="C5" s="181"/>
      <c r="D5" s="14">
        <f>D36</f>
        <v>0</v>
      </c>
      <c r="E5" s="15">
        <f>E36+E67+IFERROR($E$105/$D$105*D5,0)</f>
        <v>0</v>
      </c>
      <c r="F5" s="20" t="str">
        <f>IF(OR(D5=0,E5=0),"",ROUND(E5/D5,2))</f>
        <v/>
      </c>
      <c r="G5" s="57"/>
    </row>
    <row r="6" spans="1:7" s="6" customFormat="1" x14ac:dyDescent="0.2">
      <c r="A6" s="19">
        <v>2</v>
      </c>
      <c r="B6" s="180" t="s">
        <v>1</v>
      </c>
      <c r="C6" s="181"/>
      <c r="D6" s="14">
        <f t="shared" ref="D6:D32" si="0">D37</f>
        <v>11172</v>
      </c>
      <c r="E6" s="17">
        <f t="shared" ref="E6:E32" si="1">E37+E68+IFERROR($E$105/$D$105*D6,0)</f>
        <v>88805.304108169992</v>
      </c>
      <c r="F6" s="21">
        <f t="shared" ref="F6:F33" si="2">IF(OR(D6=0,E6=0),"",ROUND(E6/D6,2))</f>
        <v>7.95</v>
      </c>
      <c r="G6" s="57"/>
    </row>
    <row r="7" spans="1:7" s="7" customFormat="1" ht="14.25" customHeight="1" x14ac:dyDescent="0.2">
      <c r="A7" s="19">
        <v>3</v>
      </c>
      <c r="B7" s="180" t="s">
        <v>2</v>
      </c>
      <c r="C7" s="181"/>
      <c r="D7" s="14">
        <f t="shared" si="0"/>
        <v>108832</v>
      </c>
      <c r="E7" s="17">
        <f t="shared" si="1"/>
        <v>865099.15974761522</v>
      </c>
      <c r="F7" s="21">
        <f t="shared" si="2"/>
        <v>7.95</v>
      </c>
      <c r="G7" s="57"/>
    </row>
    <row r="8" spans="1:7" s="10" customFormat="1" ht="14.25" customHeight="1" x14ac:dyDescent="0.2">
      <c r="A8" s="19">
        <v>4</v>
      </c>
      <c r="B8" s="180" t="s">
        <v>3</v>
      </c>
      <c r="C8" s="181"/>
      <c r="D8" s="14">
        <f t="shared" si="0"/>
        <v>116966</v>
      </c>
      <c r="E8" s="17">
        <f t="shared" si="1"/>
        <v>929756.91624742304</v>
      </c>
      <c r="F8" s="21">
        <f t="shared" si="2"/>
        <v>7.95</v>
      </c>
      <c r="G8" s="57"/>
    </row>
    <row r="9" spans="1:7" s="10" customFormat="1" x14ac:dyDescent="0.2">
      <c r="A9" s="19">
        <v>5</v>
      </c>
      <c r="B9" s="180" t="s">
        <v>4</v>
      </c>
      <c r="C9" s="181"/>
      <c r="D9" s="14">
        <f t="shared" si="0"/>
        <v>0</v>
      </c>
      <c r="E9" s="17">
        <f t="shared" si="1"/>
        <v>0</v>
      </c>
      <c r="F9" s="21" t="str">
        <f t="shared" si="2"/>
        <v/>
      </c>
      <c r="G9" s="57"/>
    </row>
    <row r="10" spans="1:7" s="10" customFormat="1" x14ac:dyDescent="0.2">
      <c r="A10" s="19">
        <v>6</v>
      </c>
      <c r="B10" s="180" t="s">
        <v>5</v>
      </c>
      <c r="C10" s="181"/>
      <c r="D10" s="14">
        <f t="shared" si="0"/>
        <v>1056</v>
      </c>
      <c r="E10" s="17">
        <f t="shared" si="1"/>
        <v>8393.3305709118795</v>
      </c>
      <c r="F10" s="21">
        <f t="shared" si="2"/>
        <v>7.95</v>
      </c>
      <c r="G10" s="57"/>
    </row>
    <row r="11" spans="1:7" s="10" customFormat="1" x14ac:dyDescent="0.2">
      <c r="A11" s="19">
        <v>7</v>
      </c>
      <c r="B11" s="180" t="s">
        <v>6</v>
      </c>
      <c r="C11" s="181"/>
      <c r="D11" s="14">
        <f t="shared" si="0"/>
        <v>149652</v>
      </c>
      <c r="E11" s="17">
        <f t="shared" si="1"/>
        <v>1189576.6085209323</v>
      </c>
      <c r="F11" s="21">
        <f t="shared" si="2"/>
        <v>7.95</v>
      </c>
      <c r="G11" s="57"/>
    </row>
    <row r="12" spans="1:7" s="10" customFormat="1" x14ac:dyDescent="0.2">
      <c r="A12" s="19">
        <v>8</v>
      </c>
      <c r="B12" s="180" t="s">
        <v>7</v>
      </c>
      <c r="C12" s="181"/>
      <c r="D12" s="14">
        <f t="shared" si="0"/>
        <v>33480</v>
      </c>
      <c r="E12" s="17">
        <f t="shared" si="1"/>
        <v>266129.91241868341</v>
      </c>
      <c r="F12" s="21">
        <f t="shared" si="2"/>
        <v>7.95</v>
      </c>
      <c r="G12" s="57"/>
    </row>
    <row r="13" spans="1:7" s="10" customFormat="1" x14ac:dyDescent="0.2">
      <c r="A13" s="19">
        <v>9</v>
      </c>
      <c r="B13" s="180" t="s">
        <v>8</v>
      </c>
      <c r="C13" s="181"/>
      <c r="D13" s="14">
        <f t="shared" si="0"/>
        <v>128298</v>
      </c>
      <c r="E13" s="17">
        <f t="shared" si="1"/>
        <v>1019833.9977148222</v>
      </c>
      <c r="F13" s="21">
        <f t="shared" si="2"/>
        <v>7.95</v>
      </c>
      <c r="G13" s="57"/>
    </row>
    <row r="14" spans="1:7" s="10" customFormat="1" x14ac:dyDescent="0.2">
      <c r="A14" s="19">
        <v>10</v>
      </c>
      <c r="B14" s="180" t="s">
        <v>9</v>
      </c>
      <c r="C14" s="181"/>
      <c r="D14" s="14">
        <f t="shared" si="0"/>
        <v>0</v>
      </c>
      <c r="E14" s="17">
        <f t="shared" si="1"/>
        <v>0</v>
      </c>
      <c r="F14" s="21" t="str">
        <f t="shared" si="2"/>
        <v/>
      </c>
      <c r="G14" s="57"/>
    </row>
    <row r="15" spans="1:7" s="10" customFormat="1" x14ac:dyDescent="0.2">
      <c r="A15" s="19">
        <v>11</v>
      </c>
      <c r="B15" s="180" t="s">
        <v>10</v>
      </c>
      <c r="C15" s="181"/>
      <c r="D15" s="14">
        <f t="shared" si="0"/>
        <v>61792</v>
      </c>
      <c r="E15" s="17">
        <f t="shared" si="1"/>
        <v>491181.61613426782</v>
      </c>
      <c r="F15" s="21">
        <f t="shared" si="2"/>
        <v>7.95</v>
      </c>
      <c r="G15" s="57"/>
    </row>
    <row r="16" spans="1:7" s="10" customFormat="1" ht="14.25" customHeight="1" x14ac:dyDescent="0.2">
      <c r="A16" s="19">
        <v>12</v>
      </c>
      <c r="B16" s="180" t="s">
        <v>11</v>
      </c>
      <c r="C16" s="181"/>
      <c r="D16" s="14">
        <f t="shared" si="0"/>
        <v>137760</v>
      </c>
      <c r="E16" s="17">
        <f t="shared" si="1"/>
        <v>1095047.3062962315</v>
      </c>
      <c r="F16" s="21">
        <f t="shared" si="2"/>
        <v>7.95</v>
      </c>
      <c r="G16" s="57"/>
    </row>
    <row r="17" spans="1:7" s="10" customFormat="1" x14ac:dyDescent="0.2">
      <c r="A17" s="19">
        <v>13</v>
      </c>
      <c r="B17" s="180" t="s">
        <v>12</v>
      </c>
      <c r="C17" s="181"/>
      <c r="D17" s="14">
        <f t="shared" si="0"/>
        <v>2912</v>
      </c>
      <c r="E17" s="17">
        <f t="shared" si="1"/>
        <v>23147.547937969121</v>
      </c>
      <c r="F17" s="21">
        <f t="shared" si="2"/>
        <v>7.95</v>
      </c>
      <c r="G17" s="57"/>
    </row>
    <row r="18" spans="1:7" s="10" customFormat="1" ht="14.25" customHeight="1" x14ac:dyDescent="0.2">
      <c r="A18" s="19">
        <v>14</v>
      </c>
      <c r="B18" s="180" t="s">
        <v>464</v>
      </c>
      <c r="C18" s="181"/>
      <c r="D18" s="14">
        <f t="shared" si="0"/>
        <v>39728</v>
      </c>
      <c r="E18" s="17">
        <f t="shared" si="1"/>
        <v>315795.1182965787</v>
      </c>
      <c r="F18" s="21">
        <f t="shared" si="2"/>
        <v>7.95</v>
      </c>
      <c r="G18" s="57"/>
    </row>
    <row r="19" spans="1:7" s="10" customFormat="1" x14ac:dyDescent="0.2">
      <c r="A19" s="19">
        <v>15</v>
      </c>
      <c r="B19" s="180" t="s">
        <v>13</v>
      </c>
      <c r="C19" s="181"/>
      <c r="D19" s="14">
        <f t="shared" si="0"/>
        <v>0</v>
      </c>
      <c r="E19" s="17">
        <f t="shared" si="1"/>
        <v>0</v>
      </c>
      <c r="F19" s="21" t="str">
        <f t="shared" si="2"/>
        <v/>
      </c>
      <c r="G19" s="57"/>
    </row>
    <row r="20" spans="1:7" s="10" customFormat="1" x14ac:dyDescent="0.2">
      <c r="A20" s="19">
        <v>16</v>
      </c>
      <c r="B20" s="180" t="s">
        <v>14</v>
      </c>
      <c r="C20" s="181"/>
      <c r="D20" s="14">
        <f t="shared" si="0"/>
        <v>68842</v>
      </c>
      <c r="E20" s="17">
        <f t="shared" si="1"/>
        <v>547221.93102529878</v>
      </c>
      <c r="F20" s="21">
        <f t="shared" si="2"/>
        <v>7.95</v>
      </c>
      <c r="G20" s="57"/>
    </row>
    <row r="21" spans="1:7" s="10" customFormat="1" x14ac:dyDescent="0.2">
      <c r="A21" s="19">
        <v>17</v>
      </c>
      <c r="B21" s="180" t="s">
        <v>15</v>
      </c>
      <c r="C21" s="181"/>
      <c r="D21" s="14">
        <f t="shared" si="0"/>
        <v>0</v>
      </c>
      <c r="E21" s="17">
        <f t="shared" si="1"/>
        <v>0</v>
      </c>
      <c r="F21" s="21" t="str">
        <f t="shared" si="2"/>
        <v/>
      </c>
      <c r="G21" s="57"/>
    </row>
    <row r="22" spans="1:7" s="10" customFormat="1" x14ac:dyDescent="0.2">
      <c r="A22" s="19">
        <v>18</v>
      </c>
      <c r="B22" s="180" t="s">
        <v>16</v>
      </c>
      <c r="C22" s="181"/>
      <c r="D22" s="14">
        <f t="shared" si="0"/>
        <v>108880</v>
      </c>
      <c r="E22" s="17">
        <f t="shared" si="1"/>
        <v>865481.49295538384</v>
      </c>
      <c r="F22" s="21">
        <f t="shared" si="2"/>
        <v>7.95</v>
      </c>
      <c r="G22" s="57"/>
    </row>
    <row r="23" spans="1:7" s="10" customFormat="1" x14ac:dyDescent="0.2">
      <c r="A23" s="19">
        <v>19</v>
      </c>
      <c r="B23" s="180" t="s">
        <v>17</v>
      </c>
      <c r="C23" s="181"/>
      <c r="D23" s="14">
        <f t="shared" si="0"/>
        <v>112368</v>
      </c>
      <c r="E23" s="17">
        <f t="shared" si="1"/>
        <v>893207.03938657767</v>
      </c>
      <c r="F23" s="21">
        <f t="shared" si="2"/>
        <v>7.95</v>
      </c>
      <c r="G23" s="57"/>
    </row>
    <row r="24" spans="1:7" s="10" customFormat="1" x14ac:dyDescent="0.2">
      <c r="A24" s="19">
        <v>20</v>
      </c>
      <c r="B24" s="180" t="s">
        <v>18</v>
      </c>
      <c r="C24" s="181"/>
      <c r="D24" s="14">
        <f t="shared" si="0"/>
        <v>39904</v>
      </c>
      <c r="E24" s="17">
        <f t="shared" si="1"/>
        <v>317195.6733917307</v>
      </c>
      <c r="F24" s="21">
        <f t="shared" si="2"/>
        <v>7.95</v>
      </c>
      <c r="G24" s="57"/>
    </row>
    <row r="25" spans="1:7" s="10" customFormat="1" ht="14.25" customHeight="1" x14ac:dyDescent="0.2">
      <c r="A25" s="19">
        <v>21</v>
      </c>
      <c r="B25" s="180" t="s">
        <v>461</v>
      </c>
      <c r="C25" s="181"/>
      <c r="D25" s="14">
        <f t="shared" si="0"/>
        <v>30480</v>
      </c>
      <c r="E25" s="17">
        <f t="shared" si="1"/>
        <v>242283.58693313831</v>
      </c>
      <c r="F25" s="21">
        <f t="shared" si="2"/>
        <v>7.95</v>
      </c>
      <c r="G25" s="57"/>
    </row>
    <row r="26" spans="1:7" s="10" customFormat="1" x14ac:dyDescent="0.2">
      <c r="A26" s="19">
        <v>22</v>
      </c>
      <c r="B26" s="180" t="s">
        <v>19</v>
      </c>
      <c r="C26" s="181"/>
      <c r="D26" s="14">
        <f t="shared" si="0"/>
        <v>8112</v>
      </c>
      <c r="E26" s="17">
        <f t="shared" si="1"/>
        <v>64482.312112913976</v>
      </c>
      <c r="F26" s="21">
        <f t="shared" si="2"/>
        <v>7.95</v>
      </c>
      <c r="G26" s="57"/>
    </row>
    <row r="27" spans="1:7" s="10" customFormat="1" x14ac:dyDescent="0.2">
      <c r="A27" s="19">
        <v>23</v>
      </c>
      <c r="B27" s="180" t="s">
        <v>20</v>
      </c>
      <c r="C27" s="181"/>
      <c r="D27" s="14">
        <f t="shared" si="0"/>
        <v>13328</v>
      </c>
      <c r="E27" s="17">
        <f t="shared" si="1"/>
        <v>105944.85402378175</v>
      </c>
      <c r="F27" s="21">
        <f t="shared" si="2"/>
        <v>7.95</v>
      </c>
      <c r="G27" s="57"/>
    </row>
    <row r="28" spans="1:7" s="10" customFormat="1" x14ac:dyDescent="0.2">
      <c r="A28" s="19">
        <v>24</v>
      </c>
      <c r="B28" s="180" t="s">
        <v>21</v>
      </c>
      <c r="C28" s="181"/>
      <c r="D28" s="14">
        <f t="shared" si="0"/>
        <v>23664</v>
      </c>
      <c r="E28" s="17">
        <f t="shared" si="1"/>
        <v>188104.27142997982</v>
      </c>
      <c r="F28" s="21">
        <f t="shared" si="2"/>
        <v>7.95</v>
      </c>
      <c r="G28" s="57"/>
    </row>
    <row r="29" spans="1:7" s="10" customFormat="1" x14ac:dyDescent="0.2">
      <c r="A29" s="19">
        <v>25</v>
      </c>
      <c r="B29" s="180" t="s">
        <v>22</v>
      </c>
      <c r="C29" s="181"/>
      <c r="D29" s="14">
        <f t="shared" si="0"/>
        <v>119344</v>
      </c>
      <c r="E29" s="17">
        <f t="shared" si="1"/>
        <v>948659.13224896521</v>
      </c>
      <c r="F29" s="21">
        <f t="shared" si="2"/>
        <v>7.95</v>
      </c>
      <c r="G29" s="57"/>
    </row>
    <row r="30" spans="1:7" s="10" customFormat="1" x14ac:dyDescent="0.2">
      <c r="A30" s="19">
        <v>26</v>
      </c>
      <c r="B30" s="180" t="s">
        <v>23</v>
      </c>
      <c r="C30" s="181"/>
      <c r="D30" s="14">
        <f t="shared" si="0"/>
        <v>42624</v>
      </c>
      <c r="E30" s="17">
        <f t="shared" si="1"/>
        <v>338816.8884986249</v>
      </c>
      <c r="F30" s="21">
        <f t="shared" si="2"/>
        <v>7.95</v>
      </c>
      <c r="G30" s="57"/>
    </row>
    <row r="31" spans="1:7" s="10" customFormat="1" x14ac:dyDescent="0.2">
      <c r="A31" s="19">
        <v>28</v>
      </c>
      <c r="B31" s="180" t="s">
        <v>24</v>
      </c>
      <c r="C31" s="181"/>
      <c r="D31" s="14">
        <f t="shared" si="0"/>
        <v>0</v>
      </c>
      <c r="E31" s="17">
        <f t="shared" si="1"/>
        <v>0</v>
      </c>
      <c r="F31" s="21" t="str">
        <f t="shared" si="2"/>
        <v/>
      </c>
      <c r="G31" s="57"/>
    </row>
    <row r="32" spans="1:7" s="10" customFormat="1" ht="15.75" customHeight="1" thickBot="1" x14ac:dyDescent="0.25">
      <c r="A32" s="22">
        <v>29</v>
      </c>
      <c r="B32" s="184" t="s">
        <v>25</v>
      </c>
      <c r="C32" s="185"/>
      <c r="D32" s="23">
        <f t="shared" si="0"/>
        <v>0</v>
      </c>
      <c r="E32" s="24">
        <f t="shared" si="1"/>
        <v>0</v>
      </c>
      <c r="F32" s="25" t="str">
        <f t="shared" si="2"/>
        <v/>
      </c>
      <c r="G32" s="57"/>
    </row>
    <row r="33" spans="1:7" s="10" customFormat="1" x14ac:dyDescent="0.2">
      <c r="B33" s="30" t="s">
        <v>35</v>
      </c>
      <c r="C33" s="30"/>
      <c r="D33" s="59">
        <f>SUM(D5:D32)</f>
        <v>1359194</v>
      </c>
      <c r="E33" s="31">
        <f>SUM(E5:E32)</f>
        <v>10804164.000000002</v>
      </c>
      <c r="F33" s="32">
        <f t="shared" si="2"/>
        <v>7.95</v>
      </c>
      <c r="G33" s="57"/>
    </row>
    <row r="34" spans="1:7" s="10" customFormat="1" ht="15" thickBot="1" x14ac:dyDescent="0.25">
      <c r="A34" s="1"/>
      <c r="B34" s="57"/>
      <c r="C34" s="57"/>
      <c r="D34" s="57"/>
      <c r="E34" s="57"/>
      <c r="F34" s="67"/>
      <c r="G34" s="57"/>
    </row>
    <row r="35" spans="1:7" s="10" customFormat="1" ht="29.25" customHeight="1" x14ac:dyDescent="0.2">
      <c r="A35" s="26" t="s">
        <v>26</v>
      </c>
      <c r="B35" s="182" t="s">
        <v>466</v>
      </c>
      <c r="C35" s="183"/>
      <c r="D35" s="28" t="s">
        <v>27</v>
      </c>
      <c r="E35" s="28" t="s">
        <v>462</v>
      </c>
      <c r="F35" s="29" t="s">
        <v>463</v>
      </c>
      <c r="G35" s="57"/>
    </row>
    <row r="36" spans="1:7" s="10" customFormat="1" x14ac:dyDescent="0.2">
      <c r="A36" s="19">
        <v>1</v>
      </c>
      <c r="B36" s="180" t="s">
        <v>0</v>
      </c>
      <c r="C36" s="181"/>
      <c r="D36" s="14">
        <f>IF(F3="1",SUMIF(Data!A:A,'57'!$A$2,Data!CU:CU),0)</f>
        <v>0</v>
      </c>
      <c r="E36" s="15">
        <f>IF(F3="1",SUMIF(Data!$A:$A,$A$2,Data!IO:IO),0)</f>
        <v>0</v>
      </c>
      <c r="F36" s="20" t="str">
        <f t="shared" ref="F36:F64" si="3">IF(OR(D36=0,E36=0),"",ROUND(E36/D36,2))</f>
        <v/>
      </c>
      <c r="G36" s="57"/>
    </row>
    <row r="37" spans="1:7" s="10" customFormat="1" x14ac:dyDescent="0.2">
      <c r="A37" s="19">
        <v>2</v>
      </c>
      <c r="B37" s="180" t="s">
        <v>1</v>
      </c>
      <c r="C37" s="181"/>
      <c r="D37" s="14">
        <f>IF(F3="1",SUMIF(Data!A:A,'57'!$A$2,Data!CV:CV),0)</f>
        <v>11172</v>
      </c>
      <c r="E37" s="17">
        <f>IF(F3="1",SUMIF(Data!$A:$A,$A$2,Data!IP:IP),0)</f>
        <v>18200</v>
      </c>
      <c r="F37" s="21">
        <f t="shared" si="3"/>
        <v>1.63</v>
      </c>
      <c r="G37" s="57"/>
    </row>
    <row r="38" spans="1:7" ht="14.25" customHeight="1" x14ac:dyDescent="0.2">
      <c r="A38" s="19">
        <v>3</v>
      </c>
      <c r="B38" s="180" t="s">
        <v>2</v>
      </c>
      <c r="C38" s="181"/>
      <c r="D38" s="14">
        <f>IF(F3="1",SUMIF(Data!A:A,'57'!$A$2,Data!CW:CW),0)</f>
        <v>108832</v>
      </c>
      <c r="E38" s="17">
        <f>IF($F$3="1",SUMIF(Data!$A:$A,$A$2,Data!IQ:IQ),0)</f>
        <v>177302</v>
      </c>
      <c r="F38" s="21">
        <f t="shared" si="3"/>
        <v>1.63</v>
      </c>
    </row>
    <row r="39" spans="1:7" s="10" customFormat="1" ht="14.25" customHeight="1" x14ac:dyDescent="0.2">
      <c r="A39" s="19">
        <v>4</v>
      </c>
      <c r="B39" s="180" t="s">
        <v>3</v>
      </c>
      <c r="C39" s="181"/>
      <c r="D39" s="14">
        <f>IF(F3="1",SUMIF(Data!A:A,'57'!$A$2,Data!CX:CX),0)</f>
        <v>116966</v>
      </c>
      <c r="E39" s="17">
        <f>IF($F$3="1",SUMIF(Data!$A:$A,$A$2,Data!IR:IR),0)</f>
        <v>190554</v>
      </c>
      <c r="F39" s="21">
        <f t="shared" si="3"/>
        <v>1.63</v>
      </c>
      <c r="G39" s="57"/>
    </row>
    <row r="40" spans="1:7" s="10" customFormat="1" x14ac:dyDescent="0.2">
      <c r="A40" s="19">
        <v>5</v>
      </c>
      <c r="B40" s="180" t="s">
        <v>4</v>
      </c>
      <c r="C40" s="181"/>
      <c r="D40" s="14">
        <f>IF(F3="1",SUMIF(Data!A:A,'57'!$A$2,Data!CY:CY),0)</f>
        <v>0</v>
      </c>
      <c r="E40" s="17">
        <f>IF($F$3="1",SUMIF(Data!$A:$A,$A$2,Data!IS:IS),0)</f>
        <v>0</v>
      </c>
      <c r="F40" s="21" t="str">
        <f t="shared" si="3"/>
        <v/>
      </c>
      <c r="G40" s="57"/>
    </row>
    <row r="41" spans="1:7" s="10" customFormat="1" x14ac:dyDescent="0.2">
      <c r="A41" s="19">
        <v>6</v>
      </c>
      <c r="B41" s="180" t="s">
        <v>5</v>
      </c>
      <c r="C41" s="181"/>
      <c r="D41" s="14">
        <f>IF(F3="1",SUMIF(Data!A:A,'57'!$A$2,Data!CZ:CZ),0)</f>
        <v>1056</v>
      </c>
      <c r="E41" s="17">
        <f>IF($F$3="1",SUMIF(Data!$A:$A,$A$2,Data!IT:IT),0)</f>
        <v>1720</v>
      </c>
      <c r="F41" s="21">
        <f t="shared" si="3"/>
        <v>1.63</v>
      </c>
      <c r="G41" s="57"/>
    </row>
    <row r="42" spans="1:7" s="10" customFormat="1" x14ac:dyDescent="0.2">
      <c r="A42" s="19">
        <v>7</v>
      </c>
      <c r="B42" s="180" t="s">
        <v>6</v>
      </c>
      <c r="C42" s="181"/>
      <c r="D42" s="14">
        <f>IF(F3="1",SUMIF(Data!A:A,'57'!$A$2,Data!DA:DA),0)</f>
        <v>149652</v>
      </c>
      <c r="E42" s="17">
        <f>IF($F$3="1",SUMIF(Data!$A:$A,$A$2,Data!IU:IU),0)</f>
        <v>243805</v>
      </c>
      <c r="F42" s="21">
        <f t="shared" si="3"/>
        <v>1.63</v>
      </c>
      <c r="G42" s="57"/>
    </row>
    <row r="43" spans="1:7" s="10" customFormat="1" x14ac:dyDescent="0.2">
      <c r="A43" s="19">
        <v>8</v>
      </c>
      <c r="B43" s="180" t="s">
        <v>7</v>
      </c>
      <c r="C43" s="181"/>
      <c r="D43" s="14">
        <f>IF(F3="1",SUMIF(Data!A:A,'57'!$A$2,Data!DB:DB),0)</f>
        <v>33480</v>
      </c>
      <c r="E43" s="17">
        <f>IF($F$3="1",SUMIF(Data!$A:$A,$A$2,Data!IV:IV),0)</f>
        <v>54543</v>
      </c>
      <c r="F43" s="21">
        <f t="shared" si="3"/>
        <v>1.63</v>
      </c>
      <c r="G43" s="57"/>
    </row>
    <row r="44" spans="1:7" s="10" customFormat="1" x14ac:dyDescent="0.2">
      <c r="A44" s="19">
        <v>9</v>
      </c>
      <c r="B44" s="180" t="s">
        <v>8</v>
      </c>
      <c r="C44" s="181"/>
      <c r="D44" s="14">
        <f>IF(F3="1",SUMIF(Data!A:A,'57'!$A$2,Data!DC:DC),0)</f>
        <v>128298</v>
      </c>
      <c r="E44" s="17">
        <f>IF($F$3="1",SUMIF(Data!$A:$A,$A$2,Data!IW:IW),0)</f>
        <v>209015</v>
      </c>
      <c r="F44" s="21">
        <f t="shared" si="3"/>
        <v>1.63</v>
      </c>
      <c r="G44" s="57"/>
    </row>
    <row r="45" spans="1:7" s="10" customFormat="1" x14ac:dyDescent="0.2">
      <c r="A45" s="19">
        <v>10</v>
      </c>
      <c r="B45" s="180" t="s">
        <v>9</v>
      </c>
      <c r="C45" s="181"/>
      <c r="D45" s="14">
        <f>IF(F3="1",SUMIF(Data!A:A,'57'!$A$2,Data!DD:DD),0)</f>
        <v>0</v>
      </c>
      <c r="E45" s="17">
        <f>IF($F$3="1",SUMIF(Data!$A:$A,$A$2,Data!IX:IX),0)</f>
        <v>0</v>
      </c>
      <c r="F45" s="21" t="str">
        <f t="shared" si="3"/>
        <v/>
      </c>
      <c r="G45" s="57"/>
    </row>
    <row r="46" spans="1:7" s="10" customFormat="1" x14ac:dyDescent="0.2">
      <c r="A46" s="19">
        <v>11</v>
      </c>
      <c r="B46" s="180" t="s">
        <v>10</v>
      </c>
      <c r="C46" s="181"/>
      <c r="D46" s="14">
        <f>IF(F3="1",SUMIF(Data!A:A,'57'!$A$2,Data!DE:DE),0)</f>
        <v>61792</v>
      </c>
      <c r="E46" s="17">
        <f>IF($F$3="1",SUMIF(Data!$A:$A,$A$2,Data!IY:IY),0)</f>
        <v>100668</v>
      </c>
      <c r="F46" s="21">
        <f t="shared" si="3"/>
        <v>1.63</v>
      </c>
      <c r="G46" s="57"/>
    </row>
    <row r="47" spans="1:7" s="10" customFormat="1" ht="14.25" customHeight="1" x14ac:dyDescent="0.2">
      <c r="A47" s="19">
        <v>12</v>
      </c>
      <c r="B47" s="180" t="s">
        <v>11</v>
      </c>
      <c r="C47" s="181"/>
      <c r="D47" s="14">
        <f>IF(F3="1",SUMIF(Data!A:A,'57'!$A$2,Data!DF:DF),0)</f>
        <v>137760</v>
      </c>
      <c r="E47" s="17">
        <f>IF($F$3="1",SUMIF(Data!$A:$A,$A$2,Data!IZ:IZ),0)</f>
        <v>224430</v>
      </c>
      <c r="F47" s="21">
        <f t="shared" si="3"/>
        <v>1.63</v>
      </c>
      <c r="G47" s="57"/>
    </row>
    <row r="48" spans="1:7" s="10" customFormat="1" x14ac:dyDescent="0.2">
      <c r="A48" s="19">
        <v>13</v>
      </c>
      <c r="B48" s="180" t="s">
        <v>12</v>
      </c>
      <c r="C48" s="181"/>
      <c r="D48" s="14">
        <f>IF(F3="1",SUMIF(Data!A:A,'57'!$A$2,Data!DG:DG),0)</f>
        <v>2912</v>
      </c>
      <c r="E48" s="17">
        <f>IF($F$3="1",SUMIF(Data!$A:$A,$A$2,Data!JA:JA),0)</f>
        <v>4744</v>
      </c>
      <c r="F48" s="21">
        <f t="shared" si="3"/>
        <v>1.63</v>
      </c>
      <c r="G48" s="57"/>
    </row>
    <row r="49" spans="1:7" s="10" customFormat="1" ht="14.25" customHeight="1" x14ac:dyDescent="0.2">
      <c r="A49" s="19">
        <v>14</v>
      </c>
      <c r="B49" s="180" t="s">
        <v>464</v>
      </c>
      <c r="C49" s="181"/>
      <c r="D49" s="14">
        <f>IF(F3="1",SUMIF(Data!A:A,'57'!$A$2,Data!DH:DH),0)</f>
        <v>39728</v>
      </c>
      <c r="E49" s="17">
        <f>IF($F$3="1",SUMIF(Data!$A:$A,$A$2,Data!JB:JB),0)</f>
        <v>64722</v>
      </c>
      <c r="F49" s="21">
        <f t="shared" si="3"/>
        <v>1.63</v>
      </c>
      <c r="G49" s="57"/>
    </row>
    <row r="50" spans="1:7" s="10" customFormat="1" x14ac:dyDescent="0.2">
      <c r="A50" s="19">
        <v>15</v>
      </c>
      <c r="B50" s="180" t="s">
        <v>13</v>
      </c>
      <c r="C50" s="181"/>
      <c r="D50" s="14">
        <f>IF(F3="1",SUMIF(Data!A:A,'57'!$A$2,Data!DI:DI),0)</f>
        <v>0</v>
      </c>
      <c r="E50" s="17">
        <f>IF($F$3="1",SUMIF(Data!$A:$A,$A$2,Data!JC:JC),0)</f>
        <v>0</v>
      </c>
      <c r="F50" s="21" t="str">
        <f t="shared" si="3"/>
        <v/>
      </c>
      <c r="G50" s="57"/>
    </row>
    <row r="51" spans="1:7" s="10" customFormat="1" x14ac:dyDescent="0.2">
      <c r="A51" s="19">
        <v>16</v>
      </c>
      <c r="B51" s="180" t="s">
        <v>14</v>
      </c>
      <c r="C51" s="181"/>
      <c r="D51" s="14">
        <f>IF(F3="1",SUMIF(Data!A:A,'57'!$A$2,Data!DJ:DJ),0)</f>
        <v>68842</v>
      </c>
      <c r="E51" s="17">
        <f>IF($F$3="1",SUMIF(Data!$A:$A,$A$2,Data!JD:JD),0)</f>
        <v>112153</v>
      </c>
      <c r="F51" s="21">
        <f t="shared" si="3"/>
        <v>1.63</v>
      </c>
      <c r="G51" s="57"/>
    </row>
    <row r="52" spans="1:7" s="10" customFormat="1" x14ac:dyDescent="0.2">
      <c r="A52" s="19">
        <v>17</v>
      </c>
      <c r="B52" s="180" t="s">
        <v>15</v>
      </c>
      <c r="C52" s="181"/>
      <c r="D52" s="14">
        <f>IF(F3="1",SUMIF(Data!A:A,'57'!$A$2,Data!DK:DK),0)</f>
        <v>0</v>
      </c>
      <c r="E52" s="17">
        <f>IF($F$3="1",SUMIF(Data!$A:$A,$A$2,Data!JE:JE),0)</f>
        <v>0</v>
      </c>
      <c r="F52" s="21" t="str">
        <f t="shared" si="3"/>
        <v/>
      </c>
      <c r="G52" s="57"/>
    </row>
    <row r="53" spans="1:7" s="10" customFormat="1" x14ac:dyDescent="0.2">
      <c r="A53" s="19">
        <v>18</v>
      </c>
      <c r="B53" s="180" t="s">
        <v>16</v>
      </c>
      <c r="C53" s="181"/>
      <c r="D53" s="14">
        <f>IF(F3="1",SUMIF(Data!A:A,'57'!$A$2,Data!DL:DL),0)</f>
        <v>108880</v>
      </c>
      <c r="E53" s="17">
        <f>IF($F$3="1",SUMIF(Data!$A:$A,$A$2,Data!JF:JF),0)</f>
        <v>177381</v>
      </c>
      <c r="F53" s="21">
        <f t="shared" si="3"/>
        <v>1.63</v>
      </c>
      <c r="G53" s="57"/>
    </row>
    <row r="54" spans="1:7" s="10" customFormat="1" x14ac:dyDescent="0.2">
      <c r="A54" s="19">
        <v>19</v>
      </c>
      <c r="B54" s="180" t="s">
        <v>17</v>
      </c>
      <c r="C54" s="181"/>
      <c r="D54" s="14">
        <f>IF(F3="1",SUMIF(Data!A:A,'57'!$A$2,Data!DM:DM),0)</f>
        <v>112368</v>
      </c>
      <c r="E54" s="17">
        <f>IF($F$3="1",SUMIF(Data!$A:$A,$A$2,Data!JG:JG),0)</f>
        <v>183063</v>
      </c>
      <c r="F54" s="21">
        <f t="shared" si="3"/>
        <v>1.63</v>
      </c>
      <c r="G54" s="57"/>
    </row>
    <row r="55" spans="1:7" s="10" customFormat="1" x14ac:dyDescent="0.2">
      <c r="A55" s="19">
        <v>20</v>
      </c>
      <c r="B55" s="180" t="s">
        <v>18</v>
      </c>
      <c r="C55" s="181"/>
      <c r="D55" s="14">
        <f>IF(F3="1",SUMIF(Data!A:A,'57'!$A$2,Data!DN:DN),0)</f>
        <v>39904</v>
      </c>
      <c r="E55" s="17">
        <f>IF($F$3="1",SUMIF(Data!$A:$A,$A$2,Data!JH:JH),0)</f>
        <v>65010</v>
      </c>
      <c r="F55" s="21">
        <f t="shared" si="3"/>
        <v>1.63</v>
      </c>
      <c r="G55" s="57"/>
    </row>
    <row r="56" spans="1:7" s="10" customFormat="1" ht="14.25" customHeight="1" x14ac:dyDescent="0.2">
      <c r="A56" s="19">
        <v>21</v>
      </c>
      <c r="B56" s="180" t="s">
        <v>461</v>
      </c>
      <c r="C56" s="181"/>
      <c r="D56" s="14">
        <f>IF(F3="1",SUMIF(Data!A:A,'57'!$A$2,Data!DO:DO),0)</f>
        <v>30480</v>
      </c>
      <c r="E56" s="17">
        <f>IF($F$3="1",SUMIF(Data!$A:$A,$A$2,Data!JI:JI),0)</f>
        <v>49656</v>
      </c>
      <c r="F56" s="21">
        <f t="shared" si="3"/>
        <v>1.63</v>
      </c>
      <c r="G56" s="57"/>
    </row>
    <row r="57" spans="1:7" s="10" customFormat="1" x14ac:dyDescent="0.2">
      <c r="A57" s="19">
        <v>22</v>
      </c>
      <c r="B57" s="180" t="s">
        <v>19</v>
      </c>
      <c r="C57" s="181"/>
      <c r="D57" s="14">
        <f>IF(F3="1",SUMIF(Data!A:A,'57'!$A$2,Data!DP:DP),0)</f>
        <v>8112</v>
      </c>
      <c r="E57" s="17">
        <f>IF($F$3="1",SUMIF(Data!$A:$A,$A$2,Data!JJ:JJ),0)</f>
        <v>13216</v>
      </c>
      <c r="F57" s="21">
        <f t="shared" si="3"/>
        <v>1.63</v>
      </c>
      <c r="G57" s="57"/>
    </row>
    <row r="58" spans="1:7" s="10" customFormat="1" x14ac:dyDescent="0.2">
      <c r="A58" s="19">
        <v>23</v>
      </c>
      <c r="B58" s="180" t="s">
        <v>20</v>
      </c>
      <c r="C58" s="181"/>
      <c r="D58" s="14">
        <f>IF(F3="1",SUMIF(Data!A:A,'57'!$A$2,Data!DQ:DQ),0)</f>
        <v>13328</v>
      </c>
      <c r="E58" s="17">
        <f>IF($F$3="1",SUMIF(Data!$A:$A,$A$2,Data!JK:JK),0)</f>
        <v>21714</v>
      </c>
      <c r="F58" s="21">
        <f t="shared" si="3"/>
        <v>1.63</v>
      </c>
      <c r="G58" s="57"/>
    </row>
    <row r="59" spans="1:7" s="10" customFormat="1" x14ac:dyDescent="0.2">
      <c r="A59" s="19">
        <v>24</v>
      </c>
      <c r="B59" s="180" t="s">
        <v>21</v>
      </c>
      <c r="C59" s="181"/>
      <c r="D59" s="14">
        <f>IF(F3="1",SUMIF(Data!A:A,'57'!$A$2,Data!DR:DR),0)</f>
        <v>23664</v>
      </c>
      <c r="E59" s="17">
        <f>IF($F$3="1",SUMIF(Data!$A:$A,$A$2,Data!JL:JL),0)</f>
        <v>38552</v>
      </c>
      <c r="F59" s="21">
        <f t="shared" si="3"/>
        <v>1.63</v>
      </c>
      <c r="G59" s="57"/>
    </row>
    <row r="60" spans="1:7" s="10" customFormat="1" x14ac:dyDescent="0.2">
      <c r="A60" s="19">
        <v>25</v>
      </c>
      <c r="B60" s="180" t="s">
        <v>22</v>
      </c>
      <c r="C60" s="181"/>
      <c r="D60" s="14">
        <f>IF(F3="1",SUMIF(Data!A:A,'57'!$A$2,Data!DS:DS),0)</f>
        <v>119344</v>
      </c>
      <c r="E60" s="17">
        <f>IF($F$3="1",SUMIF(Data!$A:$A,$A$2,Data!JM:JM),0)</f>
        <v>194428</v>
      </c>
      <c r="F60" s="21">
        <f t="shared" si="3"/>
        <v>1.63</v>
      </c>
      <c r="G60" s="57"/>
    </row>
    <row r="61" spans="1:7" s="10" customFormat="1" x14ac:dyDescent="0.2">
      <c r="A61" s="19">
        <v>26</v>
      </c>
      <c r="B61" s="180" t="s">
        <v>23</v>
      </c>
      <c r="C61" s="181"/>
      <c r="D61" s="14">
        <f>IF(F3="1",SUMIF(Data!A:A,'57'!$A$2,Data!DT:DT),0)</f>
        <v>42624</v>
      </c>
      <c r="E61" s="17">
        <f>IF($F$3="1",SUMIF(Data!$A:$A,$A$2,Data!JN:JN),0)</f>
        <v>69442</v>
      </c>
      <c r="F61" s="21">
        <f t="shared" si="3"/>
        <v>1.63</v>
      </c>
      <c r="G61" s="57"/>
    </row>
    <row r="62" spans="1:7" s="10" customFormat="1" x14ac:dyDescent="0.2">
      <c r="A62" s="19">
        <v>28</v>
      </c>
      <c r="B62" s="180" t="s">
        <v>24</v>
      </c>
      <c r="C62" s="181"/>
      <c r="D62" s="14">
        <f>IF(F3="1",SUMIF(Data!A:A,'57'!$A$2,Data!DV:DV),0)</f>
        <v>0</v>
      </c>
      <c r="E62" s="17">
        <f>IF($F$3="1",SUMIF(Data!$A:$A,$A$2,Data!JP:JP),0)</f>
        <v>0</v>
      </c>
      <c r="F62" s="21" t="str">
        <f t="shared" si="3"/>
        <v/>
      </c>
      <c r="G62" s="57"/>
    </row>
    <row r="63" spans="1:7" s="10" customFormat="1" ht="15.75" customHeight="1" thickBot="1" x14ac:dyDescent="0.25">
      <c r="A63" s="22">
        <v>29</v>
      </c>
      <c r="B63" s="184" t="s">
        <v>25</v>
      </c>
      <c r="C63" s="185"/>
      <c r="D63" s="23">
        <f>IF(F3="1",SUMIF(Data!A:A,'57'!$A$2,Data!DW:DW),0)</f>
        <v>0</v>
      </c>
      <c r="E63" s="24">
        <f>IF($F$3="1",SUMIF(Data!$A:$A,$A$2,Data!JQ:JQ),0)</f>
        <v>0</v>
      </c>
      <c r="F63" s="25" t="str">
        <f t="shared" si="3"/>
        <v/>
      </c>
      <c r="G63" s="57"/>
    </row>
    <row r="64" spans="1:7" s="10" customFormat="1" x14ac:dyDescent="0.2">
      <c r="B64" s="30" t="s">
        <v>35</v>
      </c>
      <c r="C64" s="30"/>
      <c r="D64" s="59">
        <f>SUM(D36:D63)</f>
        <v>1359194</v>
      </c>
      <c r="E64" s="31">
        <f>SUM(E36:E63)</f>
        <v>2214318</v>
      </c>
      <c r="F64" s="32">
        <f t="shared" si="3"/>
        <v>1.63</v>
      </c>
      <c r="G64" s="57"/>
    </row>
    <row r="65" spans="1:7" s="10" customFormat="1" ht="15" thickBot="1" x14ac:dyDescent="0.25">
      <c r="B65" s="57"/>
      <c r="C65" s="57"/>
      <c r="D65" s="57"/>
      <c r="E65" s="57"/>
      <c r="F65" s="67"/>
      <c r="G65" s="57"/>
    </row>
    <row r="66" spans="1:7" s="10" customFormat="1" ht="29.25" customHeight="1" x14ac:dyDescent="0.2">
      <c r="A66" s="26" t="s">
        <v>26</v>
      </c>
      <c r="B66" s="182" t="s">
        <v>467</v>
      </c>
      <c r="C66" s="183"/>
      <c r="D66" s="28" t="s">
        <v>27</v>
      </c>
      <c r="E66" s="28" t="s">
        <v>462</v>
      </c>
      <c r="F66" s="29" t="s">
        <v>463</v>
      </c>
      <c r="G66" s="57"/>
    </row>
    <row r="67" spans="1:7" s="10" customFormat="1" x14ac:dyDescent="0.2">
      <c r="A67" s="19">
        <v>1</v>
      </c>
      <c r="B67" s="180" t="s">
        <v>0</v>
      </c>
      <c r="C67" s="181"/>
      <c r="D67" s="14">
        <f>D36</f>
        <v>0</v>
      </c>
      <c r="E67" s="15">
        <f>IF(F3="1",SUMIF(Data!A:A,'57'!$A$2,Data!DY:DY),0)</f>
        <v>0</v>
      </c>
      <c r="F67" s="20" t="str">
        <f t="shared" ref="F67:F95" si="4">IF(OR(D67=0,E67=0),"",ROUND(E67/D67,2))</f>
        <v/>
      </c>
      <c r="G67" s="57"/>
    </row>
    <row r="68" spans="1:7" s="10" customFormat="1" x14ac:dyDescent="0.2">
      <c r="A68" s="19">
        <v>2</v>
      </c>
      <c r="B68" s="180" t="s">
        <v>1</v>
      </c>
      <c r="C68" s="181"/>
      <c r="D68" s="14">
        <f t="shared" ref="D68:D94" si="5">D37</f>
        <v>11172</v>
      </c>
      <c r="E68" s="17">
        <f>IF(F3="1",SUMIF(Data!A:A,'57'!$A$2,Data!DZ:DZ),0)</f>
        <v>35848</v>
      </c>
      <c r="F68" s="21">
        <f t="shared" si="4"/>
        <v>3.21</v>
      </c>
      <c r="G68" s="57"/>
    </row>
    <row r="69" spans="1:7" s="10" customFormat="1" ht="14.25" customHeight="1" x14ac:dyDescent="0.2">
      <c r="A69" s="19">
        <v>3</v>
      </c>
      <c r="B69" s="180" t="s">
        <v>2</v>
      </c>
      <c r="C69" s="181"/>
      <c r="D69" s="14">
        <f t="shared" si="5"/>
        <v>108832</v>
      </c>
      <c r="E69" s="17">
        <f>IF(F3="1",SUMIF(Data!A:A,'57'!$A$2,Data!EA:EA),0)</f>
        <v>349209</v>
      </c>
      <c r="F69" s="21">
        <f t="shared" si="4"/>
        <v>3.21</v>
      </c>
      <c r="G69" s="57"/>
    </row>
    <row r="70" spans="1:7" ht="14.25" customHeight="1" x14ac:dyDescent="0.2">
      <c r="A70" s="19">
        <v>4</v>
      </c>
      <c r="B70" s="180" t="s">
        <v>3</v>
      </c>
      <c r="C70" s="181"/>
      <c r="D70" s="14">
        <f t="shared" si="5"/>
        <v>116966</v>
      </c>
      <c r="E70" s="17">
        <f>IF(F3="1",SUMIF(Data!A:A,'57'!$A$2,Data!EB:EB),0)</f>
        <v>375309</v>
      </c>
      <c r="F70" s="21">
        <f t="shared" si="4"/>
        <v>3.21</v>
      </c>
    </row>
    <row r="71" spans="1:7" x14ac:dyDescent="0.2">
      <c r="A71" s="19">
        <v>5</v>
      </c>
      <c r="B71" s="180" t="s">
        <v>4</v>
      </c>
      <c r="C71" s="181"/>
      <c r="D71" s="14">
        <f t="shared" si="5"/>
        <v>0</v>
      </c>
      <c r="E71" s="17">
        <f>IF(F3="1",SUMIF(Data!A:A,'57'!$A$2,Data!EC:EC),0)</f>
        <v>0</v>
      </c>
      <c r="F71" s="21" t="str">
        <f t="shared" si="4"/>
        <v/>
      </c>
    </row>
    <row r="72" spans="1:7" x14ac:dyDescent="0.2">
      <c r="A72" s="19">
        <v>6</v>
      </c>
      <c r="B72" s="180" t="s">
        <v>5</v>
      </c>
      <c r="C72" s="181"/>
      <c r="D72" s="14">
        <f t="shared" si="5"/>
        <v>1056</v>
      </c>
      <c r="E72" s="17">
        <f>IF(F3="1",SUMIF(Data!A:A,'57'!$A$2,Data!ED:ED),0)</f>
        <v>3388</v>
      </c>
      <c r="F72" s="21">
        <f t="shared" si="4"/>
        <v>3.21</v>
      </c>
    </row>
    <row r="73" spans="1:7" x14ac:dyDescent="0.2">
      <c r="A73" s="19">
        <v>7</v>
      </c>
      <c r="B73" s="180" t="s">
        <v>6</v>
      </c>
      <c r="C73" s="181"/>
      <c r="D73" s="14">
        <f t="shared" si="5"/>
        <v>149652</v>
      </c>
      <c r="E73" s="17">
        <f>IF(F3="1",SUMIF(Data!A:A,'57'!$A$2,Data!EE:EE),0)</f>
        <v>480188</v>
      </c>
      <c r="F73" s="21">
        <f t="shared" si="4"/>
        <v>3.21</v>
      </c>
    </row>
    <row r="74" spans="1:7" x14ac:dyDescent="0.2">
      <c r="A74" s="19">
        <v>8</v>
      </c>
      <c r="B74" s="180" t="s">
        <v>7</v>
      </c>
      <c r="C74" s="181"/>
      <c r="D74" s="14">
        <f t="shared" si="5"/>
        <v>33480</v>
      </c>
      <c r="E74" s="17">
        <f>IF(F3="1",SUMIF(Data!A:A,'57'!$A$2,Data!EF:EF),0)</f>
        <v>107427</v>
      </c>
      <c r="F74" s="21">
        <f t="shared" si="4"/>
        <v>3.21</v>
      </c>
    </row>
    <row r="75" spans="1:7" x14ac:dyDescent="0.2">
      <c r="A75" s="19">
        <v>9</v>
      </c>
      <c r="B75" s="180" t="s">
        <v>8</v>
      </c>
      <c r="C75" s="181"/>
      <c r="D75" s="14">
        <f t="shared" si="5"/>
        <v>128298</v>
      </c>
      <c r="E75" s="17">
        <f>IF(F3="1",SUMIF(Data!A:A,'57'!$A$2,Data!EG:EG),0)</f>
        <v>411670</v>
      </c>
      <c r="F75" s="21">
        <f t="shared" si="4"/>
        <v>3.21</v>
      </c>
    </row>
    <row r="76" spans="1:7" x14ac:dyDescent="0.2">
      <c r="A76" s="19">
        <v>10</v>
      </c>
      <c r="B76" s="180" t="s">
        <v>9</v>
      </c>
      <c r="C76" s="181"/>
      <c r="D76" s="14">
        <f t="shared" si="5"/>
        <v>0</v>
      </c>
      <c r="E76" s="17">
        <f>IF(F3="1",SUMIF(Data!A:A,'57'!$A$2,Data!EH:EH),0)</f>
        <v>0</v>
      </c>
      <c r="F76" s="21" t="str">
        <f t="shared" si="4"/>
        <v/>
      </c>
    </row>
    <row r="77" spans="1:7" x14ac:dyDescent="0.2">
      <c r="A77" s="19">
        <v>11</v>
      </c>
      <c r="B77" s="180" t="s">
        <v>10</v>
      </c>
      <c r="C77" s="181"/>
      <c r="D77" s="14">
        <f t="shared" si="5"/>
        <v>61792</v>
      </c>
      <c r="E77" s="17">
        <f>IF(F3="1",SUMIF(Data!A:A,'57'!$A$2,Data!EI:EI),0)</f>
        <v>198272</v>
      </c>
      <c r="F77" s="21">
        <f t="shared" si="4"/>
        <v>3.21</v>
      </c>
    </row>
    <row r="78" spans="1:7" ht="14.25" customHeight="1" x14ac:dyDescent="0.2">
      <c r="A78" s="19">
        <v>12</v>
      </c>
      <c r="B78" s="180" t="s">
        <v>11</v>
      </c>
      <c r="C78" s="181"/>
      <c r="D78" s="14">
        <f t="shared" si="5"/>
        <v>137760</v>
      </c>
      <c r="E78" s="17">
        <f>IF(F3="1",SUMIF(Data!A:A,'57'!$A$2,Data!EJ:EJ),0)</f>
        <v>442031</v>
      </c>
      <c r="F78" s="21">
        <f t="shared" si="4"/>
        <v>3.21</v>
      </c>
    </row>
    <row r="79" spans="1:7" x14ac:dyDescent="0.2">
      <c r="A79" s="19">
        <v>13</v>
      </c>
      <c r="B79" s="180" t="s">
        <v>12</v>
      </c>
      <c r="C79" s="181"/>
      <c r="D79" s="14">
        <f t="shared" si="5"/>
        <v>2912</v>
      </c>
      <c r="E79" s="17">
        <f>IF(F3="1",SUMIF(Data!A:A,'57'!$A$2,Data!EK:EK),0)</f>
        <v>9344</v>
      </c>
      <c r="F79" s="21">
        <f t="shared" si="4"/>
        <v>3.21</v>
      </c>
    </row>
    <row r="80" spans="1:7" ht="14.25" customHeight="1" x14ac:dyDescent="0.2">
      <c r="A80" s="19">
        <v>14</v>
      </c>
      <c r="B80" s="180" t="s">
        <v>464</v>
      </c>
      <c r="C80" s="181"/>
      <c r="D80" s="14">
        <f t="shared" si="5"/>
        <v>39728</v>
      </c>
      <c r="E80" s="17">
        <f>IF(F3="1",SUMIF(Data!A:A,'57'!$A$2,Data!EL:EL),0)</f>
        <v>127475</v>
      </c>
      <c r="F80" s="21">
        <f t="shared" si="4"/>
        <v>3.21</v>
      </c>
    </row>
    <row r="81" spans="1:6" x14ac:dyDescent="0.2">
      <c r="A81" s="19">
        <v>15</v>
      </c>
      <c r="B81" s="180" t="s">
        <v>13</v>
      </c>
      <c r="C81" s="181"/>
      <c r="D81" s="14">
        <f t="shared" si="5"/>
        <v>0</v>
      </c>
      <c r="E81" s="17">
        <f>IF(F3="1",SUMIF(Data!A:A,'57'!$A$2,Data!EM:EM),0)</f>
        <v>0</v>
      </c>
      <c r="F81" s="21" t="str">
        <f t="shared" si="4"/>
        <v/>
      </c>
    </row>
    <row r="82" spans="1:6" x14ac:dyDescent="0.2">
      <c r="A82" s="19">
        <v>16</v>
      </c>
      <c r="B82" s="180" t="s">
        <v>14</v>
      </c>
      <c r="C82" s="181"/>
      <c r="D82" s="14">
        <f t="shared" si="5"/>
        <v>68842</v>
      </c>
      <c r="E82" s="17">
        <f>IF(F3="1",SUMIF(Data!A:A,'57'!$A$2,Data!EN:EN),0)</f>
        <v>220894</v>
      </c>
      <c r="F82" s="21">
        <f t="shared" si="4"/>
        <v>3.21</v>
      </c>
    </row>
    <row r="83" spans="1:6" x14ac:dyDescent="0.2">
      <c r="A83" s="19">
        <v>17</v>
      </c>
      <c r="B83" s="180" t="s">
        <v>15</v>
      </c>
      <c r="C83" s="181"/>
      <c r="D83" s="14">
        <f t="shared" si="5"/>
        <v>0</v>
      </c>
      <c r="E83" s="17">
        <f>IF(F3="1",SUMIF(Data!A:A,'57'!$A$2,Data!EO:EO),0)</f>
        <v>0</v>
      </c>
      <c r="F83" s="21" t="str">
        <f t="shared" si="4"/>
        <v/>
      </c>
    </row>
    <row r="84" spans="1:6" x14ac:dyDescent="0.2">
      <c r="A84" s="19">
        <v>18</v>
      </c>
      <c r="B84" s="180" t="s">
        <v>16</v>
      </c>
      <c r="C84" s="181"/>
      <c r="D84" s="14">
        <f t="shared" si="5"/>
        <v>108880</v>
      </c>
      <c r="E84" s="17">
        <f>IF(F3="1",SUMIF(Data!A:A,'57'!$A$2,Data!EP:EP),0)</f>
        <v>349363</v>
      </c>
      <c r="F84" s="21">
        <f t="shared" si="4"/>
        <v>3.21</v>
      </c>
    </row>
    <row r="85" spans="1:6" x14ac:dyDescent="0.2">
      <c r="A85" s="19">
        <v>19</v>
      </c>
      <c r="B85" s="180" t="s">
        <v>17</v>
      </c>
      <c r="C85" s="181"/>
      <c r="D85" s="14">
        <f t="shared" si="5"/>
        <v>112368</v>
      </c>
      <c r="E85" s="17">
        <f>IF(F3="1",SUMIF(Data!A:A,'57'!$A$2,Data!EQ:EQ),0)</f>
        <v>360555</v>
      </c>
      <c r="F85" s="21">
        <f t="shared" si="4"/>
        <v>3.21</v>
      </c>
    </row>
    <row r="86" spans="1:6" x14ac:dyDescent="0.2">
      <c r="A86" s="19">
        <v>20</v>
      </c>
      <c r="B86" s="180" t="s">
        <v>18</v>
      </c>
      <c r="C86" s="181"/>
      <c r="D86" s="14">
        <f t="shared" si="5"/>
        <v>39904</v>
      </c>
      <c r="E86" s="17">
        <f>IF(F3="1",SUMIF(Data!A:A,'57'!$A$2,Data!ER:ER),0)</f>
        <v>128040</v>
      </c>
      <c r="F86" s="21">
        <f t="shared" si="4"/>
        <v>3.21</v>
      </c>
    </row>
    <row r="87" spans="1:6" ht="14.25" customHeight="1" x14ac:dyDescent="0.2">
      <c r="A87" s="19">
        <v>21</v>
      </c>
      <c r="B87" s="180" t="s">
        <v>461</v>
      </c>
      <c r="C87" s="181"/>
      <c r="D87" s="14">
        <f t="shared" si="5"/>
        <v>30480</v>
      </c>
      <c r="E87" s="17">
        <f>IF(F3="1",SUMIF(Data!A:A,'57'!$A$2,Data!ES:ES),0)</f>
        <v>97801</v>
      </c>
      <c r="F87" s="21">
        <f t="shared" si="4"/>
        <v>3.21</v>
      </c>
    </row>
    <row r="88" spans="1:6" x14ac:dyDescent="0.2">
      <c r="A88" s="19">
        <v>22</v>
      </c>
      <c r="B88" s="180" t="s">
        <v>19</v>
      </c>
      <c r="C88" s="181"/>
      <c r="D88" s="14">
        <f t="shared" si="5"/>
        <v>8112</v>
      </c>
      <c r="E88" s="17">
        <f>IF(F3="1",SUMIF(Data!A:A,'57'!$A$2,Data!ET:ET),0)</f>
        <v>26029</v>
      </c>
      <c r="F88" s="21">
        <f t="shared" si="4"/>
        <v>3.21</v>
      </c>
    </row>
    <row r="89" spans="1:6" x14ac:dyDescent="0.2">
      <c r="A89" s="19">
        <v>23</v>
      </c>
      <c r="B89" s="180" t="s">
        <v>20</v>
      </c>
      <c r="C89" s="181"/>
      <c r="D89" s="14">
        <f t="shared" si="5"/>
        <v>13328</v>
      </c>
      <c r="E89" s="17">
        <f>IF(F3="1",SUMIF(Data!A:A,'57'!$A$2,Data!EU:EU),0)</f>
        <v>42766</v>
      </c>
      <c r="F89" s="21">
        <f t="shared" si="4"/>
        <v>3.21</v>
      </c>
    </row>
    <row r="90" spans="1:6" x14ac:dyDescent="0.2">
      <c r="A90" s="19">
        <v>24</v>
      </c>
      <c r="B90" s="180" t="s">
        <v>21</v>
      </c>
      <c r="C90" s="181"/>
      <c r="D90" s="14">
        <f t="shared" si="5"/>
        <v>23664</v>
      </c>
      <c r="E90" s="17">
        <f>IF(F3="1",SUMIF(Data!A:A,'57'!$A$2,Data!EV:EV),0)</f>
        <v>75931</v>
      </c>
      <c r="F90" s="21">
        <f t="shared" si="4"/>
        <v>3.21</v>
      </c>
    </row>
    <row r="91" spans="1:6" x14ac:dyDescent="0.2">
      <c r="A91" s="19">
        <v>25</v>
      </c>
      <c r="B91" s="180" t="s">
        <v>22</v>
      </c>
      <c r="C91" s="181"/>
      <c r="D91" s="14">
        <f t="shared" si="5"/>
        <v>119344</v>
      </c>
      <c r="E91" s="17">
        <f>IF(F3="1",SUMIF(Data!A:A,'57'!$A$2,Data!EW:EW),0)</f>
        <v>382939</v>
      </c>
      <c r="F91" s="21">
        <f t="shared" si="4"/>
        <v>3.21</v>
      </c>
    </row>
    <row r="92" spans="1:6" x14ac:dyDescent="0.2">
      <c r="A92" s="19">
        <v>26</v>
      </c>
      <c r="B92" s="180" t="s">
        <v>23</v>
      </c>
      <c r="C92" s="181"/>
      <c r="D92" s="14">
        <f t="shared" si="5"/>
        <v>42624</v>
      </c>
      <c r="E92" s="17">
        <f>IF(F3="1",SUMIF(Data!A:A,'57'!$A$2,Data!EX:EX),0)</f>
        <v>136767</v>
      </c>
      <c r="F92" s="21">
        <f t="shared" si="4"/>
        <v>3.21</v>
      </c>
    </row>
    <row r="93" spans="1:6" x14ac:dyDescent="0.2">
      <c r="A93" s="19">
        <v>28</v>
      </c>
      <c r="B93" s="180" t="s">
        <v>24</v>
      </c>
      <c r="C93" s="181"/>
      <c r="D93" s="14">
        <f t="shared" si="5"/>
        <v>0</v>
      </c>
      <c r="E93" s="17">
        <f>IF(F3="1",SUMIF(Data!A:A,'57'!$A$2,Data!EZ:EZ),0)</f>
        <v>0</v>
      </c>
      <c r="F93" s="21" t="str">
        <f t="shared" si="4"/>
        <v/>
      </c>
    </row>
    <row r="94" spans="1:6" ht="15.75" customHeight="1" thickBot="1" x14ac:dyDescent="0.25">
      <c r="A94" s="22">
        <v>29</v>
      </c>
      <c r="B94" s="184" t="s">
        <v>25</v>
      </c>
      <c r="C94" s="185"/>
      <c r="D94" s="23">
        <f t="shared" si="5"/>
        <v>0</v>
      </c>
      <c r="E94" s="24">
        <f>IF(F3="1",SUMIF(Data!A:A,'57'!$A$2,Data!FA:FA),0)</f>
        <v>0</v>
      </c>
      <c r="F94" s="25" t="str">
        <f t="shared" si="4"/>
        <v/>
      </c>
    </row>
    <row r="95" spans="1:6" x14ac:dyDescent="0.2">
      <c r="B95" s="30" t="s">
        <v>35</v>
      </c>
      <c r="C95" s="30"/>
      <c r="D95" s="59">
        <f>SUM(D67:D94)</f>
        <v>1359194</v>
      </c>
      <c r="E95" s="31">
        <f>SUM(E67:E94)</f>
        <v>4361246</v>
      </c>
      <c r="F95" s="32">
        <f t="shared" si="4"/>
        <v>3.21</v>
      </c>
    </row>
    <row r="96" spans="1:6" ht="15" thickBot="1" x14ac:dyDescent="0.25">
      <c r="F96" s="67"/>
    </row>
    <row r="97" spans="2:7" ht="29.25" customHeight="1" x14ac:dyDescent="0.2">
      <c r="B97" s="188" t="s">
        <v>468</v>
      </c>
      <c r="C97" s="189"/>
      <c r="D97" s="28" t="s">
        <v>27</v>
      </c>
      <c r="E97" s="33" t="s">
        <v>462</v>
      </c>
      <c r="F97" s="29" t="s">
        <v>463</v>
      </c>
    </row>
    <row r="98" spans="2:7" x14ac:dyDescent="0.2">
      <c r="B98" s="190" t="s">
        <v>30</v>
      </c>
      <c r="C98" s="191"/>
      <c r="D98" s="35"/>
      <c r="E98" s="15">
        <f>IF(F3="1",SUMIF(Data!A:A,'57'!$A$2,Data!AH:AH),0)</f>
        <v>2315291</v>
      </c>
      <c r="F98" s="20">
        <f>IF(OR(E98=0,E98=0),"",ROUND(E98/$D$105,2))</f>
        <v>1.7</v>
      </c>
    </row>
    <row r="99" spans="2:7" x14ac:dyDescent="0.2">
      <c r="B99" s="190" t="s">
        <v>31</v>
      </c>
      <c r="C99" s="191"/>
      <c r="D99" s="36"/>
      <c r="E99" s="17">
        <f>IF(F3="1",SUMIF(Data!A:A,'57'!$A$2,Data!AI:AI),0)</f>
        <v>633874</v>
      </c>
      <c r="F99" s="21">
        <f t="shared" ref="F99:F104" si="6">IF(OR(E99=0,E99=0),"",ROUND(E99/$D$105,2))</f>
        <v>0.47</v>
      </c>
    </row>
    <row r="100" spans="2:7" x14ac:dyDescent="0.2">
      <c r="B100" s="190" t="s">
        <v>1089</v>
      </c>
      <c r="C100" s="191"/>
      <c r="D100" s="36"/>
      <c r="E100" s="17">
        <f>IF(F3="1",SUMIF(Data!A:A,'57'!$A$2,Data!AJ:AJ),0)</f>
        <v>516406</v>
      </c>
      <c r="F100" s="21">
        <f t="shared" si="6"/>
        <v>0.38</v>
      </c>
    </row>
    <row r="101" spans="2:7" x14ac:dyDescent="0.2">
      <c r="B101" s="190" t="s">
        <v>1090</v>
      </c>
      <c r="C101" s="191"/>
      <c r="D101" s="36"/>
      <c r="E101" s="17">
        <f>IF(F3="1",SUMIF(Data!A:A,'57'!$A$2,Data!AK:AK),0)</f>
        <v>229597</v>
      </c>
      <c r="F101" s="21">
        <f t="shared" si="6"/>
        <v>0.17</v>
      </c>
    </row>
    <row r="102" spans="2:7" x14ac:dyDescent="0.2">
      <c r="B102" s="190" t="s">
        <v>1091</v>
      </c>
      <c r="C102" s="191"/>
      <c r="D102" s="36"/>
      <c r="E102" s="17">
        <f>IF(F3="1",SUMIF(Data!A:A,'57'!$A$2,Data!AL:AL),0)</f>
        <v>0</v>
      </c>
      <c r="F102" s="21" t="str">
        <f t="shared" si="6"/>
        <v/>
      </c>
    </row>
    <row r="103" spans="2:7" x14ac:dyDescent="0.2">
      <c r="B103" s="192" t="s">
        <v>34</v>
      </c>
      <c r="C103" s="193"/>
      <c r="D103" s="36"/>
      <c r="E103" s="17">
        <f>IF(F3="1",SUMIF(Data!A:A,'57'!$A$2,Data!AM:AM),0)</f>
        <v>0</v>
      </c>
      <c r="F103" s="21" t="str">
        <f t="shared" si="6"/>
        <v/>
      </c>
    </row>
    <row r="104" spans="2:7" ht="15.75" customHeight="1" thickBot="1" x14ac:dyDescent="0.25">
      <c r="B104" s="186" t="s">
        <v>29</v>
      </c>
      <c r="C104" s="187"/>
      <c r="D104" s="37"/>
      <c r="E104" s="24">
        <f>IF(F3="1",SUMIF(Data!A:A,'57'!$A$2,Data!Q:Q),0)</f>
        <v>533432</v>
      </c>
      <c r="F104" s="25">
        <f t="shared" si="6"/>
        <v>0.39</v>
      </c>
    </row>
    <row r="105" spans="2:7" x14ac:dyDescent="0.2">
      <c r="B105" s="30" t="s">
        <v>35</v>
      </c>
      <c r="C105" s="30"/>
      <c r="D105" s="34">
        <f>D95</f>
        <v>1359194</v>
      </c>
      <c r="E105" s="31">
        <f>SUM(E98:E104)</f>
        <v>4228600</v>
      </c>
      <c r="F105" s="32">
        <f>IF($D$105=0,"",ROUND(E105/$D$105,2))</f>
        <v>3.11</v>
      </c>
    </row>
    <row r="107" spans="2:7" ht="15" thickBot="1" x14ac:dyDescent="0.25">
      <c r="B107" s="58" t="s">
        <v>932</v>
      </c>
    </row>
    <row r="108" spans="2:7" ht="28.5" x14ac:dyDescent="0.2">
      <c r="B108" s="45" t="s">
        <v>926</v>
      </c>
      <c r="C108" s="27" t="s">
        <v>930</v>
      </c>
      <c r="D108" s="27" t="s">
        <v>29</v>
      </c>
      <c r="E108" s="27" t="s">
        <v>931</v>
      </c>
      <c r="F108" s="46" t="s">
        <v>35</v>
      </c>
    </row>
    <row r="109" spans="2:7" x14ac:dyDescent="0.2">
      <c r="B109" s="42" t="s">
        <v>927</v>
      </c>
      <c r="C109" s="15">
        <f>E95+IF(F3="1",SUMIF(Data!$A:$A,$A$2,Data!GF:GF),0)</f>
        <v>4361246</v>
      </c>
      <c r="D109" s="15">
        <f>IF(F3="1",SUMIF(Data!$A:$A,$A$2,Data!HJ:HJ),0)</f>
        <v>0</v>
      </c>
      <c r="E109" s="15">
        <f>IF(F3="1",SUMIF(Data!$A:$A,$A$2,Data!IN:IN),0)</f>
        <v>0</v>
      </c>
      <c r="F109" s="47">
        <f>SUM(C109:E109)</f>
        <v>4361246</v>
      </c>
    </row>
    <row r="110" spans="2:7" s="10" customFormat="1" x14ac:dyDescent="0.2">
      <c r="B110" s="42" t="s">
        <v>28</v>
      </c>
      <c r="C110" s="50">
        <f>IF(F3="1",SUMIF(Data!A:A,$A$2,Data!W:W),0)</f>
        <v>0</v>
      </c>
      <c r="D110" s="51"/>
      <c r="E110" s="50">
        <f>IF(F3="1",SUMIF(Data!A:A,$A$2,Data!W:W),0)</f>
        <v>0</v>
      </c>
      <c r="F110" s="48">
        <f t="shared" ref="F110:F116" si="7">SUM(C110:E110)</f>
        <v>0</v>
      </c>
      <c r="G110" s="57"/>
    </row>
    <row r="111" spans="2:7" x14ac:dyDescent="0.2">
      <c r="B111" s="42" t="s">
        <v>928</v>
      </c>
      <c r="C111" s="50">
        <f>IF(F3="1",SUMIF(Data!A:A,$A$2,Data!AS:AS),0)</f>
        <v>0</v>
      </c>
      <c r="D111" s="51"/>
      <c r="E111" s="50">
        <f>IF(F3="1",SUMIF(Data!A:A,$A$2,Data!AX:AX),0)</f>
        <v>0</v>
      </c>
      <c r="F111" s="48">
        <f t="shared" si="7"/>
        <v>0</v>
      </c>
    </row>
    <row r="112" spans="2:7" x14ac:dyDescent="0.2">
      <c r="B112" s="42" t="s">
        <v>32</v>
      </c>
      <c r="C112" s="50">
        <f>IF(F3="1",SUMIF(Data!A:A,$A$2,Data!V:V),0)</f>
        <v>0</v>
      </c>
      <c r="D112" s="51"/>
      <c r="E112" s="50">
        <f>IF(F3="1",SUMIF(Data!A:A,$A$2,Data!AC:AC),0)</f>
        <v>0</v>
      </c>
      <c r="F112" s="48">
        <f t="shared" si="7"/>
        <v>0</v>
      </c>
    </row>
    <row r="113" spans="1:7" x14ac:dyDescent="0.2">
      <c r="B113" s="42" t="s">
        <v>31</v>
      </c>
      <c r="C113" s="50">
        <f>IF(F3="1",SUMIF(Data!A:A,$A$2,Data!U:U),0)</f>
        <v>0</v>
      </c>
      <c r="D113" s="51"/>
      <c r="E113" s="50">
        <f>IF(F3="1",SUMIF(Data!A:A,$A$2,Data!AB:AB),0)</f>
        <v>0</v>
      </c>
      <c r="F113" s="48">
        <f t="shared" si="7"/>
        <v>0</v>
      </c>
    </row>
    <row r="114" spans="1:7" x14ac:dyDescent="0.2">
      <c r="B114" s="42" t="s">
        <v>1013</v>
      </c>
      <c r="C114" s="50">
        <f>IF(F3="1",SUMIF(Data!A:A,$A$2,Data!T:T),0)</f>
        <v>0</v>
      </c>
      <c r="D114" s="51"/>
      <c r="E114" s="50">
        <f>IF(F3="1",SUMIF(Data!A:A,$A$2,Data!AA:AA),0)</f>
        <v>0</v>
      </c>
      <c r="F114" s="48">
        <f t="shared" si="7"/>
        <v>0</v>
      </c>
    </row>
    <row r="115" spans="1:7" x14ac:dyDescent="0.2">
      <c r="B115" s="42" t="s">
        <v>929</v>
      </c>
      <c r="C115" s="50">
        <f>IF(F3="1",SUMIF(Data!A:A,$A$2,Data!BI:BI),0)</f>
        <v>0</v>
      </c>
      <c r="D115" s="50">
        <f>IF(F3="1",SUMIF(Data!A:A,$A$2,Data!BL:BL),0)</f>
        <v>0</v>
      </c>
      <c r="E115" s="50">
        <f>IF(F3="1",SUMIF(Data!A:A,$A$2,Data!BU:BU),0)</f>
        <v>0</v>
      </c>
      <c r="F115" s="48">
        <f t="shared" si="7"/>
        <v>0</v>
      </c>
    </row>
    <row r="116" spans="1:7" s="10" customFormat="1" x14ac:dyDescent="0.2">
      <c r="B116" s="42" t="s">
        <v>33</v>
      </c>
      <c r="C116" s="50">
        <f>IF(F3="1",SUMIF(Data!A:A,$A$2,Data!X:X),0)</f>
        <v>0</v>
      </c>
      <c r="D116" s="50"/>
      <c r="E116" s="50">
        <f>E102</f>
        <v>0</v>
      </c>
      <c r="F116" s="48">
        <f t="shared" si="7"/>
        <v>0</v>
      </c>
      <c r="G116" s="57"/>
    </row>
    <row r="117" spans="1:7" s="10" customFormat="1" ht="15" thickBot="1" x14ac:dyDescent="0.25">
      <c r="B117" s="43" t="s">
        <v>933</v>
      </c>
      <c r="C117" s="52"/>
      <c r="D117" s="52">
        <f>IF(F3="1",SUMIF(Data!A:A,$A$2,Data!Q:Q),0)</f>
        <v>533432</v>
      </c>
      <c r="E117" s="52"/>
      <c r="F117" s="49">
        <f>SUM(C117:E117)</f>
        <v>533432</v>
      </c>
      <c r="G117" s="57"/>
    </row>
    <row r="118" spans="1:7" x14ac:dyDescent="0.2">
      <c r="B118" s="13" t="s">
        <v>35</v>
      </c>
      <c r="C118" s="4">
        <f>SUM(C109:C116)</f>
        <v>4361246</v>
      </c>
      <c r="D118" s="4">
        <f>SUM(D109:D116)</f>
        <v>0</v>
      </c>
      <c r="E118" s="4">
        <f>SUM(E109:E116)</f>
        <v>0</v>
      </c>
      <c r="F118" s="4">
        <f>SUM(F109:F116)</f>
        <v>4361246</v>
      </c>
    </row>
    <row r="119" spans="1:7" ht="15" thickBot="1" x14ac:dyDescent="0.25"/>
    <row r="120" spans="1:7" s="10" customFormat="1" ht="15" thickBot="1" x14ac:dyDescent="0.25">
      <c r="B120" s="55" t="s">
        <v>934</v>
      </c>
      <c r="C120" s="53"/>
      <c r="D120" s="53"/>
      <c r="E120" s="53">
        <f>IF(F3="1",SUMIF(Data!A:A,'57'!$A$2,Data!AM:AM),0)</f>
        <v>0</v>
      </c>
      <c r="F120" s="54">
        <f>SUM(C120:E120)</f>
        <v>0</v>
      </c>
      <c r="G120" s="57"/>
    </row>
    <row r="122" spans="1:7" s="60" customFormat="1" ht="101.25" customHeight="1" x14ac:dyDescent="0.2">
      <c r="A122" s="179" t="s">
        <v>935</v>
      </c>
      <c r="B122" s="179"/>
      <c r="C122" s="179"/>
      <c r="D122" s="179"/>
      <c r="E122" s="179"/>
      <c r="F122" s="179"/>
    </row>
  </sheetData>
  <mergeCells count="96">
    <mergeCell ref="B104:C104"/>
    <mergeCell ref="B63:C63"/>
    <mergeCell ref="A122:F122"/>
    <mergeCell ref="B100:C100"/>
    <mergeCell ref="B101:C101"/>
    <mergeCell ref="B72:C72"/>
    <mergeCell ref="B71:C71"/>
    <mergeCell ref="B70:C70"/>
    <mergeCell ref="B81:C81"/>
    <mergeCell ref="B80:C80"/>
    <mergeCell ref="B79:C79"/>
    <mergeCell ref="B78:C78"/>
    <mergeCell ref="B77:C77"/>
    <mergeCell ref="B76:C76"/>
    <mergeCell ref="B75:C75"/>
    <mergeCell ref="B74:C74"/>
    <mergeCell ref="B102:C102"/>
    <mergeCell ref="B103:C103"/>
    <mergeCell ref="B69:C69"/>
    <mergeCell ref="B68:C68"/>
    <mergeCell ref="B99:C99"/>
    <mergeCell ref="B83:C83"/>
    <mergeCell ref="B94:C94"/>
    <mergeCell ref="B97:C97"/>
    <mergeCell ref="B98:C98"/>
    <mergeCell ref="B93:C93"/>
    <mergeCell ref="B92:C92"/>
    <mergeCell ref="B91:C91"/>
    <mergeCell ref="B90:C90"/>
    <mergeCell ref="B89:C89"/>
    <mergeCell ref="B88:C88"/>
    <mergeCell ref="B87:C87"/>
    <mergeCell ref="B86:C86"/>
    <mergeCell ref="B85:C85"/>
    <mergeCell ref="B84:C84"/>
    <mergeCell ref="B49:C49"/>
    <mergeCell ref="B50:C50"/>
    <mergeCell ref="B51:C51"/>
    <mergeCell ref="B52:C52"/>
    <mergeCell ref="B53:C53"/>
    <mergeCell ref="B54:C54"/>
    <mergeCell ref="B82:C82"/>
    <mergeCell ref="B55:C55"/>
    <mergeCell ref="B56:C56"/>
    <mergeCell ref="B57:C57"/>
    <mergeCell ref="B58:C58"/>
    <mergeCell ref="B67:C67"/>
    <mergeCell ref="B59:C59"/>
    <mergeCell ref="B60:C60"/>
    <mergeCell ref="B61:C61"/>
    <mergeCell ref="B62:C62"/>
    <mergeCell ref="B66:C66"/>
    <mergeCell ref="B73:C73"/>
    <mergeCell ref="B48:C48"/>
    <mergeCell ref="B37:C37"/>
    <mergeCell ref="B38:C38"/>
    <mergeCell ref="B39:C39"/>
    <mergeCell ref="B40:C40"/>
    <mergeCell ref="B41:C41"/>
    <mergeCell ref="B42:C42"/>
    <mergeCell ref="B43:C43"/>
    <mergeCell ref="B44:C44"/>
    <mergeCell ref="B45:C45"/>
    <mergeCell ref="B46:C46"/>
    <mergeCell ref="B47:C47"/>
    <mergeCell ref="B36:C36"/>
    <mergeCell ref="B23:C23"/>
    <mergeCell ref="B24:C24"/>
    <mergeCell ref="B25:C25"/>
    <mergeCell ref="B26:C26"/>
    <mergeCell ref="B27:C27"/>
    <mergeCell ref="B28:C28"/>
    <mergeCell ref="B29:C29"/>
    <mergeCell ref="B30:C30"/>
    <mergeCell ref="B31:C31"/>
    <mergeCell ref="B32:C32"/>
    <mergeCell ref="B35:C35"/>
    <mergeCell ref="B22:C22"/>
    <mergeCell ref="B11:C11"/>
    <mergeCell ref="B12:C12"/>
    <mergeCell ref="B13:C13"/>
    <mergeCell ref="B14:C14"/>
    <mergeCell ref="B15:C15"/>
    <mergeCell ref="B16:C16"/>
    <mergeCell ref="B17:C17"/>
    <mergeCell ref="B18:C18"/>
    <mergeCell ref="B19:C19"/>
    <mergeCell ref="B20:C20"/>
    <mergeCell ref="B21:C21"/>
    <mergeCell ref="B10:C10"/>
    <mergeCell ref="B4:C4"/>
    <mergeCell ref="B5:C5"/>
    <mergeCell ref="B6:C6"/>
    <mergeCell ref="B7:C7"/>
    <mergeCell ref="B8:C8"/>
    <mergeCell ref="B9:C9"/>
  </mergeCells>
  <pageMargins left="0.25" right="0.25" top="0.75" bottom="0.75" header="0.3" footer="0.3"/>
  <pageSetup orientation="landscape" r:id="rId1"/>
  <rowBreaks count="2" manualBreakCount="2">
    <brk id="64" max="16383" man="1"/>
    <brk id="95" max="16383" man="1"/>
  </rowBreak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B125"/>
  <sheetViews>
    <sheetView showGridLines="0" zoomScale="70" zoomScaleNormal="70" workbookViewId="0">
      <pane xSplit="1" ySplit="4" topLeftCell="C5" activePane="bottomRight" state="frozen"/>
      <selection pane="topRight"/>
      <selection pane="bottomLeft"/>
      <selection pane="bottomRight" activeCell="C5" sqref="C5"/>
    </sheetView>
  </sheetViews>
  <sheetFormatPr defaultColWidth="27.7109375" defaultRowHeight="15" outlineLevelCol="1" x14ac:dyDescent="0.25"/>
  <cols>
    <col min="1" max="1" width="17.28515625" bestFit="1" customWidth="1"/>
    <col min="2" max="2" width="27.7109375" hidden="1" customWidth="1" outlineLevel="1"/>
    <col min="3" max="3" width="27.7109375" customWidth="1" outlineLevel="1"/>
    <col min="4" max="4" width="27.7109375" hidden="1" customWidth="1" outlineLevel="1"/>
    <col min="5" max="5" width="18.140625" hidden="1" customWidth="1" outlineLevel="1"/>
    <col min="6" max="6" width="27.7109375" hidden="1" customWidth="1" outlineLevel="1"/>
    <col min="7" max="7" width="27.7109375" customWidth="1" outlineLevel="1"/>
    <col min="8" max="11" width="27.7109375" hidden="1" customWidth="1" outlineLevel="1"/>
    <col min="12" max="12" width="17.7109375" hidden="1" customWidth="1" outlineLevel="1" collapsed="1"/>
    <col min="13" max="13" width="16.85546875" hidden="1" customWidth="1" outlineLevel="1"/>
    <col min="14" max="14" width="16.85546875" hidden="1" customWidth="1" outlineLevel="1" collapsed="1"/>
    <col min="15" max="15" width="18.42578125" hidden="1" customWidth="1"/>
    <col min="16" max="16" width="15" hidden="1" customWidth="1"/>
    <col min="17" max="17" width="27.7109375" customWidth="1" outlineLevel="1"/>
    <col min="18" max="18" width="17.140625" hidden="1" customWidth="1" outlineLevel="1"/>
    <col min="19" max="19" width="18.28515625" hidden="1" customWidth="1"/>
    <col min="20" max="25" width="27.7109375" hidden="1" customWidth="1" outlineLevel="1"/>
    <col min="26" max="26" width="27.7109375" hidden="1" customWidth="1" collapsed="1"/>
    <col min="27" max="32" width="27.7109375" hidden="1" customWidth="1" outlineLevel="1"/>
    <col min="33" max="33" width="27.7109375" hidden="1" customWidth="1" collapsed="1"/>
    <col min="34" max="39" width="27.7109375" customWidth="1" outlineLevel="1"/>
    <col min="40" max="40" width="27.7109375" customWidth="1"/>
    <col min="41" max="44" width="27.7109375" hidden="1" customWidth="1" outlineLevel="1"/>
    <col min="45" max="45" width="27.7109375" hidden="1" customWidth="1" collapsed="1"/>
    <col min="46" max="49" width="27.7109375" hidden="1" customWidth="1" outlineLevel="1"/>
    <col min="50" max="50" width="27.7109375" hidden="1" customWidth="1" collapsed="1"/>
    <col min="51" max="54" width="27.7109375" hidden="1" customWidth="1" outlineLevel="1"/>
    <col min="55" max="55" width="27.7109375" hidden="1" customWidth="1" collapsed="1"/>
    <col min="56" max="56" width="27.7109375" hidden="1" customWidth="1" outlineLevel="1"/>
    <col min="57" max="57" width="28.7109375" hidden="1" customWidth="1" outlineLevel="1"/>
    <col min="58" max="60" width="27.7109375" hidden="1" customWidth="1" outlineLevel="1"/>
    <col min="61" max="61" width="27.7109375" hidden="1" customWidth="1" collapsed="1"/>
    <col min="62" max="66" width="27.7109375" hidden="1" customWidth="1" outlineLevel="1"/>
    <col min="67" max="67" width="27.7109375" hidden="1" customWidth="1" collapsed="1"/>
    <col min="68" max="72" width="27.7109375" hidden="1" customWidth="1" outlineLevel="1"/>
    <col min="73" max="73" width="27.7109375" hidden="1" customWidth="1" collapsed="1"/>
    <col min="74" max="78" width="27.7109375" hidden="1" customWidth="1" outlineLevel="1"/>
    <col min="79" max="79" width="27.7109375" hidden="1" customWidth="1" collapsed="1"/>
    <col min="80" max="94" width="27.7109375" hidden="1" customWidth="1" outlineLevel="1"/>
    <col min="95" max="95" width="27.7109375" hidden="1" customWidth="1" collapsed="1"/>
    <col min="96" max="96" width="27.7109375" hidden="1" customWidth="1" outlineLevel="1"/>
    <col min="97" max="97" width="27.7109375" hidden="1" customWidth="1" collapsed="1"/>
    <col min="98" max="98" width="27.7109375" hidden="1" customWidth="1"/>
    <col min="99" max="127" width="27.7109375" customWidth="1" outlineLevel="1"/>
    <col min="128" max="128" width="27.7109375" customWidth="1"/>
    <col min="129" max="157" width="27.7109375" hidden="1" customWidth="1" outlineLevel="1"/>
    <col min="158" max="158" width="27.7109375" hidden="1" customWidth="1" collapsed="1"/>
    <col min="159" max="187" width="27.7109375" hidden="1" customWidth="1" outlineLevel="1"/>
    <col min="188" max="188" width="27.7109375" hidden="1" customWidth="1" collapsed="1"/>
    <col min="189" max="217" width="27.7109375" hidden="1" customWidth="1" outlineLevel="1"/>
    <col min="218" max="218" width="27.7109375" hidden="1" customWidth="1" collapsed="1"/>
    <col min="219" max="247" width="27.7109375" hidden="1" customWidth="1" outlineLevel="1"/>
    <col min="248" max="248" width="27.7109375" hidden="1" customWidth="1" collapsed="1"/>
    <col min="249" max="277" width="27.7109375" customWidth="1" outlineLevel="1"/>
    <col min="279" max="307" width="27.7109375" hidden="1" customWidth="1" outlineLevel="1"/>
    <col min="308" max="308" width="0" hidden="1" customWidth="1" collapsed="1"/>
    <col min="309" max="314" width="0" hidden="1" customWidth="1"/>
  </cols>
  <sheetData>
    <row r="1" spans="1:314" s="40" customFormat="1" ht="120" x14ac:dyDescent="0.25">
      <c r="A1" s="40" t="s">
        <v>716</v>
      </c>
      <c r="B1" s="40" t="s">
        <v>903</v>
      </c>
      <c r="C1" s="40" t="s">
        <v>904</v>
      </c>
      <c r="D1" s="40" t="s">
        <v>905</v>
      </c>
      <c r="E1" s="40" t="s">
        <v>906</v>
      </c>
      <c r="F1" s="40" t="s">
        <v>907</v>
      </c>
      <c r="G1" s="40" t="s">
        <v>908</v>
      </c>
      <c r="H1" s="40" t="s">
        <v>909</v>
      </c>
      <c r="I1" s="40" t="s">
        <v>910</v>
      </c>
      <c r="J1" s="40" t="s">
        <v>911</v>
      </c>
      <c r="K1" s="40" t="s">
        <v>912</v>
      </c>
      <c r="L1" s="40" t="s">
        <v>469</v>
      </c>
      <c r="M1" s="40" t="s">
        <v>469</v>
      </c>
      <c r="N1" s="40" t="s">
        <v>469</v>
      </c>
      <c r="O1" s="40" t="s">
        <v>715</v>
      </c>
      <c r="P1" s="40" t="s">
        <v>469</v>
      </c>
      <c r="Q1" s="40" t="s">
        <v>901</v>
      </c>
      <c r="R1" s="40" t="s">
        <v>469</v>
      </c>
      <c r="S1" s="40" t="s">
        <v>469</v>
      </c>
      <c r="T1" s="40" t="s">
        <v>470</v>
      </c>
      <c r="U1" s="40" t="s">
        <v>471</v>
      </c>
      <c r="V1" s="40" t="s">
        <v>472</v>
      </c>
      <c r="W1" s="40" t="s">
        <v>478</v>
      </c>
      <c r="X1" s="40" t="s">
        <v>473</v>
      </c>
      <c r="Y1" s="40" t="s">
        <v>469</v>
      </c>
      <c r="Z1" s="40" t="s">
        <v>474</v>
      </c>
      <c r="AA1" s="40" t="s">
        <v>475</v>
      </c>
      <c r="AB1" s="40" t="s">
        <v>476</v>
      </c>
      <c r="AC1" s="40" t="s">
        <v>477</v>
      </c>
      <c r="AD1" s="40" t="s">
        <v>478</v>
      </c>
      <c r="AE1" s="40" t="s">
        <v>479</v>
      </c>
      <c r="AF1" s="40" t="s">
        <v>480</v>
      </c>
      <c r="AG1" s="40" t="s">
        <v>481</v>
      </c>
      <c r="AH1" s="40" t="s">
        <v>898</v>
      </c>
      <c r="AI1" s="40" t="s">
        <v>899</v>
      </c>
      <c r="AJ1" s="40" t="s">
        <v>1086</v>
      </c>
      <c r="AK1" s="40" t="s">
        <v>1087</v>
      </c>
      <c r="AL1" s="40" t="s">
        <v>1088</v>
      </c>
      <c r="AM1" s="40" t="s">
        <v>900</v>
      </c>
      <c r="AN1" s="40" t="s">
        <v>902</v>
      </c>
      <c r="AO1" s="40" t="s">
        <v>483</v>
      </c>
      <c r="AP1" s="40" t="s">
        <v>482</v>
      </c>
      <c r="AQ1" s="40" t="s">
        <v>484</v>
      </c>
      <c r="AR1" s="40" t="s">
        <v>469</v>
      </c>
      <c r="AS1" s="40" t="s">
        <v>485</v>
      </c>
      <c r="AT1" s="40" t="s">
        <v>486</v>
      </c>
      <c r="AU1" s="40" t="s">
        <v>487</v>
      </c>
      <c r="AV1" s="40" t="s">
        <v>488</v>
      </c>
      <c r="AW1" s="40" t="s">
        <v>489</v>
      </c>
      <c r="AX1" s="40" t="s">
        <v>490</v>
      </c>
      <c r="AY1" s="40" t="s">
        <v>491</v>
      </c>
      <c r="AZ1" s="40" t="s">
        <v>492</v>
      </c>
      <c r="BA1" s="40" t="s">
        <v>493</v>
      </c>
      <c r="BB1" s="40" t="s">
        <v>494</v>
      </c>
      <c r="BC1" s="40" t="s">
        <v>495</v>
      </c>
      <c r="BD1" s="40" t="s">
        <v>496</v>
      </c>
      <c r="BE1" s="40" t="s">
        <v>497</v>
      </c>
      <c r="BF1" s="40" t="s">
        <v>469</v>
      </c>
      <c r="BG1" s="40" t="s">
        <v>469</v>
      </c>
      <c r="BH1" s="40" t="s">
        <v>469</v>
      </c>
      <c r="BI1" s="40" t="s">
        <v>498</v>
      </c>
      <c r="BJ1" s="40" t="s">
        <v>469</v>
      </c>
      <c r="BK1" s="40" t="s">
        <v>469</v>
      </c>
      <c r="BL1" s="40" t="s">
        <v>499</v>
      </c>
      <c r="BM1" s="40" t="s">
        <v>469</v>
      </c>
      <c r="BN1" s="40" t="s">
        <v>469</v>
      </c>
      <c r="BO1" s="40" t="s">
        <v>499</v>
      </c>
      <c r="BP1" s="40" t="s">
        <v>500</v>
      </c>
      <c r="BQ1" s="40" t="s">
        <v>501</v>
      </c>
      <c r="BR1" s="40" t="s">
        <v>469</v>
      </c>
      <c r="BS1" s="40" t="s">
        <v>469</v>
      </c>
      <c r="BT1" s="40" t="s">
        <v>502</v>
      </c>
      <c r="BU1" s="40" t="s">
        <v>503</v>
      </c>
      <c r="BV1" s="40" t="s">
        <v>504</v>
      </c>
      <c r="BW1" s="40" t="s">
        <v>505</v>
      </c>
      <c r="BX1" s="40" t="s">
        <v>506</v>
      </c>
      <c r="BY1" s="40" t="s">
        <v>469</v>
      </c>
      <c r="BZ1" s="40" t="s">
        <v>507</v>
      </c>
      <c r="CA1" s="40" t="s">
        <v>508</v>
      </c>
      <c r="CB1" s="40" t="s">
        <v>469</v>
      </c>
      <c r="CC1" s="40" t="s">
        <v>469</v>
      </c>
      <c r="CD1" s="40" t="s">
        <v>469</v>
      </c>
      <c r="CE1" s="40" t="s">
        <v>469</v>
      </c>
      <c r="CF1" s="40" t="s">
        <v>469</v>
      </c>
      <c r="CG1" s="40" t="s">
        <v>469</v>
      </c>
      <c r="CH1" s="40" t="s">
        <v>469</v>
      </c>
      <c r="CI1" s="40" t="s">
        <v>469</v>
      </c>
      <c r="CJ1" s="40" t="s">
        <v>469</v>
      </c>
      <c r="CK1" s="40" t="s">
        <v>469</v>
      </c>
      <c r="CL1" s="40" t="s">
        <v>469</v>
      </c>
      <c r="CM1" s="40" t="s">
        <v>469</v>
      </c>
      <c r="CN1" s="40" t="s">
        <v>469</v>
      </c>
      <c r="CO1" s="40" t="s">
        <v>469</v>
      </c>
      <c r="CP1" s="40" t="s">
        <v>469</v>
      </c>
      <c r="CQ1" s="40" t="s">
        <v>469</v>
      </c>
      <c r="CR1" s="40" t="s">
        <v>913</v>
      </c>
      <c r="CS1" s="40" t="s">
        <v>509</v>
      </c>
      <c r="CT1" s="40" t="s">
        <v>469</v>
      </c>
      <c r="CU1" s="40" t="s">
        <v>510</v>
      </c>
      <c r="CV1" s="40" t="s">
        <v>511</v>
      </c>
      <c r="CW1" s="40" t="s">
        <v>512</v>
      </c>
      <c r="CX1" s="40" t="s">
        <v>513</v>
      </c>
      <c r="CY1" s="40" t="s">
        <v>514</v>
      </c>
      <c r="CZ1" s="40" t="s">
        <v>515</v>
      </c>
      <c r="DA1" s="40" t="s">
        <v>516</v>
      </c>
      <c r="DB1" s="40" t="s">
        <v>517</v>
      </c>
      <c r="DC1" s="40" t="s">
        <v>518</v>
      </c>
      <c r="DD1" s="40" t="s">
        <v>519</v>
      </c>
      <c r="DE1" s="40" t="s">
        <v>520</v>
      </c>
      <c r="DF1" s="40" t="s">
        <v>521</v>
      </c>
      <c r="DG1" s="40" t="s">
        <v>522</v>
      </c>
      <c r="DH1" s="40" t="s">
        <v>523</v>
      </c>
      <c r="DI1" s="40" t="s">
        <v>524</v>
      </c>
      <c r="DJ1" s="40" t="s">
        <v>525</v>
      </c>
      <c r="DK1" s="40" t="s">
        <v>526</v>
      </c>
      <c r="DL1" s="40" t="s">
        <v>527</v>
      </c>
      <c r="DM1" s="40" t="s">
        <v>528</v>
      </c>
      <c r="DN1" s="40" t="s">
        <v>529</v>
      </c>
      <c r="DO1" s="40" t="s">
        <v>530</v>
      </c>
      <c r="DP1" s="40" t="s">
        <v>531</v>
      </c>
      <c r="DQ1" s="40" t="s">
        <v>532</v>
      </c>
      <c r="DR1" s="40" t="s">
        <v>533</v>
      </c>
      <c r="DS1" s="40" t="s">
        <v>534</v>
      </c>
      <c r="DT1" s="40" t="s">
        <v>535</v>
      </c>
      <c r="DU1" s="40" t="s">
        <v>469</v>
      </c>
      <c r="DV1" s="40" t="s">
        <v>536</v>
      </c>
      <c r="DW1" s="40" t="s">
        <v>537</v>
      </c>
      <c r="DX1" s="40" t="s">
        <v>538</v>
      </c>
      <c r="DY1" s="40" t="s">
        <v>539</v>
      </c>
      <c r="DZ1" s="40" t="s">
        <v>540</v>
      </c>
      <c r="EA1" s="40" t="s">
        <v>541</v>
      </c>
      <c r="EB1" s="40" t="s">
        <v>542</v>
      </c>
      <c r="EC1" s="40" t="s">
        <v>543</v>
      </c>
      <c r="ED1" s="40" t="s">
        <v>544</v>
      </c>
      <c r="EE1" s="40" t="s">
        <v>545</v>
      </c>
      <c r="EF1" s="40" t="s">
        <v>546</v>
      </c>
      <c r="EG1" s="40" t="s">
        <v>547</v>
      </c>
      <c r="EH1" s="40" t="s">
        <v>548</v>
      </c>
      <c r="EI1" s="40" t="s">
        <v>549</v>
      </c>
      <c r="EJ1" s="40" t="s">
        <v>550</v>
      </c>
      <c r="EK1" s="40" t="s">
        <v>551</v>
      </c>
      <c r="EL1" s="40" t="s">
        <v>552</v>
      </c>
      <c r="EM1" s="40" t="s">
        <v>553</v>
      </c>
      <c r="EN1" s="40" t="s">
        <v>554</v>
      </c>
      <c r="EO1" s="40" t="s">
        <v>555</v>
      </c>
      <c r="EP1" s="40" t="s">
        <v>556</v>
      </c>
      <c r="EQ1" s="40" t="s">
        <v>557</v>
      </c>
      <c r="ER1" s="40" t="s">
        <v>558</v>
      </c>
      <c r="ES1" s="40" t="s">
        <v>559</v>
      </c>
      <c r="ET1" s="40" t="s">
        <v>560</v>
      </c>
      <c r="EU1" s="40" t="s">
        <v>561</v>
      </c>
      <c r="EV1" s="40" t="s">
        <v>562</v>
      </c>
      <c r="EW1" s="40" t="s">
        <v>563</v>
      </c>
      <c r="EX1" s="40" t="s">
        <v>564</v>
      </c>
      <c r="EY1" s="40" t="s">
        <v>469</v>
      </c>
      <c r="EZ1" s="40" t="s">
        <v>565</v>
      </c>
      <c r="FA1" s="40" t="s">
        <v>566</v>
      </c>
      <c r="FB1" s="40" t="s">
        <v>567</v>
      </c>
      <c r="FC1" s="40" t="s">
        <v>568</v>
      </c>
      <c r="FD1" s="40" t="s">
        <v>569</v>
      </c>
      <c r="FE1" s="40" t="s">
        <v>570</v>
      </c>
      <c r="FF1" s="40" t="s">
        <v>571</v>
      </c>
      <c r="FG1" s="40" t="s">
        <v>572</v>
      </c>
      <c r="FH1" s="40" t="s">
        <v>573</v>
      </c>
      <c r="FI1" s="40" t="s">
        <v>574</v>
      </c>
      <c r="FJ1" s="40" t="s">
        <v>575</v>
      </c>
      <c r="FK1" s="40" t="s">
        <v>576</v>
      </c>
      <c r="FL1" s="40" t="s">
        <v>577</v>
      </c>
      <c r="FM1" s="40" t="s">
        <v>578</v>
      </c>
      <c r="FN1" s="40" t="s">
        <v>579</v>
      </c>
      <c r="FO1" s="40" t="s">
        <v>580</v>
      </c>
      <c r="FP1" s="40" t="s">
        <v>581</v>
      </c>
      <c r="FQ1" s="40" t="s">
        <v>582</v>
      </c>
      <c r="FR1" s="40" t="s">
        <v>583</v>
      </c>
      <c r="FS1" s="40" t="s">
        <v>584</v>
      </c>
      <c r="FT1" s="40" t="s">
        <v>585</v>
      </c>
      <c r="FU1" s="40" t="s">
        <v>586</v>
      </c>
      <c r="FV1" s="40" t="s">
        <v>587</v>
      </c>
      <c r="FW1" s="40" t="s">
        <v>588</v>
      </c>
      <c r="FX1" s="40" t="s">
        <v>589</v>
      </c>
      <c r="FY1" s="40" t="s">
        <v>590</v>
      </c>
      <c r="FZ1" s="40" t="s">
        <v>591</v>
      </c>
      <c r="GA1" s="40" t="s">
        <v>592</v>
      </c>
      <c r="GB1" s="40" t="s">
        <v>593</v>
      </c>
      <c r="GC1" s="40" t="s">
        <v>469</v>
      </c>
      <c r="GD1" s="40" t="s">
        <v>594</v>
      </c>
      <c r="GE1" s="40" t="s">
        <v>595</v>
      </c>
      <c r="GF1" s="40" t="s">
        <v>596</v>
      </c>
      <c r="GG1" s="40" t="s">
        <v>597</v>
      </c>
      <c r="GH1" s="40" t="s">
        <v>598</v>
      </c>
      <c r="GI1" s="40" t="s">
        <v>599</v>
      </c>
      <c r="GJ1" s="40" t="s">
        <v>600</v>
      </c>
      <c r="GK1" s="40" t="s">
        <v>601</v>
      </c>
      <c r="GL1" s="40" t="s">
        <v>602</v>
      </c>
      <c r="GM1" s="40" t="s">
        <v>603</v>
      </c>
      <c r="GN1" s="40" t="s">
        <v>604</v>
      </c>
      <c r="GO1" s="40" t="s">
        <v>605</v>
      </c>
      <c r="GP1" s="40" t="s">
        <v>606</v>
      </c>
      <c r="GQ1" s="40" t="s">
        <v>607</v>
      </c>
      <c r="GR1" s="40" t="s">
        <v>608</v>
      </c>
      <c r="GS1" s="40" t="s">
        <v>609</v>
      </c>
      <c r="GT1" s="40" t="s">
        <v>610</v>
      </c>
      <c r="GU1" s="40" t="s">
        <v>611</v>
      </c>
      <c r="GV1" s="40" t="s">
        <v>612</v>
      </c>
      <c r="GW1" s="40" t="s">
        <v>613</v>
      </c>
      <c r="GX1" s="40" t="s">
        <v>614</v>
      </c>
      <c r="GY1" s="40" t="s">
        <v>615</v>
      </c>
      <c r="GZ1" s="40" t="s">
        <v>616</v>
      </c>
      <c r="HA1" s="40" t="s">
        <v>617</v>
      </c>
      <c r="HB1" s="40" t="s">
        <v>618</v>
      </c>
      <c r="HC1" s="40" t="s">
        <v>619</v>
      </c>
      <c r="HD1" s="40" t="s">
        <v>620</v>
      </c>
      <c r="HE1" s="40" t="s">
        <v>621</v>
      </c>
      <c r="HF1" s="40" t="s">
        <v>622</v>
      </c>
      <c r="HG1" s="40" t="s">
        <v>469</v>
      </c>
      <c r="HH1" s="40" t="s">
        <v>623</v>
      </c>
      <c r="HI1" s="40" t="s">
        <v>624</v>
      </c>
      <c r="HJ1" s="40" t="s">
        <v>625</v>
      </c>
      <c r="HK1" s="40" t="s">
        <v>626</v>
      </c>
      <c r="HL1" s="40" t="s">
        <v>627</v>
      </c>
      <c r="HM1" s="40" t="s">
        <v>628</v>
      </c>
      <c r="HN1" s="40" t="s">
        <v>629</v>
      </c>
      <c r="HO1" s="40" t="s">
        <v>630</v>
      </c>
      <c r="HP1" s="40" t="s">
        <v>631</v>
      </c>
      <c r="HQ1" s="40" t="s">
        <v>632</v>
      </c>
      <c r="HR1" s="40" t="s">
        <v>633</v>
      </c>
      <c r="HS1" s="40" t="s">
        <v>634</v>
      </c>
      <c r="HT1" s="40" t="s">
        <v>635</v>
      </c>
      <c r="HU1" s="40" t="s">
        <v>636</v>
      </c>
      <c r="HV1" s="40" t="s">
        <v>637</v>
      </c>
      <c r="HW1" s="40" t="s">
        <v>638</v>
      </c>
      <c r="HX1" s="40" t="s">
        <v>639</v>
      </c>
      <c r="HY1" s="40" t="s">
        <v>640</v>
      </c>
      <c r="HZ1" s="40" t="s">
        <v>641</v>
      </c>
      <c r="IA1" s="40" t="s">
        <v>642</v>
      </c>
      <c r="IB1" s="40" t="s">
        <v>643</v>
      </c>
      <c r="IC1" s="40" t="s">
        <v>644</v>
      </c>
      <c r="ID1" s="40" t="s">
        <v>645</v>
      </c>
      <c r="IE1" s="40" t="s">
        <v>646</v>
      </c>
      <c r="IF1" s="40" t="s">
        <v>647</v>
      </c>
      <c r="IG1" s="40" t="s">
        <v>648</v>
      </c>
      <c r="IH1" s="40" t="s">
        <v>649</v>
      </c>
      <c r="II1" s="40" t="s">
        <v>650</v>
      </c>
      <c r="IJ1" s="40" t="s">
        <v>651</v>
      </c>
      <c r="IK1" s="40" t="s">
        <v>469</v>
      </c>
      <c r="IL1" s="40" t="s">
        <v>652</v>
      </c>
      <c r="IM1" s="40" t="s">
        <v>653</v>
      </c>
      <c r="IN1" s="40" t="s">
        <v>654</v>
      </c>
      <c r="IO1" s="40" t="s">
        <v>655</v>
      </c>
      <c r="IP1" s="40" t="s">
        <v>656</v>
      </c>
      <c r="IQ1" s="40" t="s">
        <v>657</v>
      </c>
      <c r="IR1" s="40" t="s">
        <v>658</v>
      </c>
      <c r="IS1" s="40" t="s">
        <v>659</v>
      </c>
      <c r="IT1" s="40" t="s">
        <v>660</v>
      </c>
      <c r="IU1" s="40" t="s">
        <v>661</v>
      </c>
      <c r="IV1" s="40" t="s">
        <v>662</v>
      </c>
      <c r="IW1" s="40" t="s">
        <v>663</v>
      </c>
      <c r="IX1" s="40" t="s">
        <v>664</v>
      </c>
      <c r="IY1" s="40" t="s">
        <v>665</v>
      </c>
      <c r="IZ1" s="40" t="s">
        <v>666</v>
      </c>
      <c r="JA1" s="40" t="s">
        <v>667</v>
      </c>
      <c r="JB1" s="40" t="s">
        <v>668</v>
      </c>
      <c r="JC1" s="40" t="s">
        <v>669</v>
      </c>
      <c r="JD1" s="40" t="s">
        <v>670</v>
      </c>
      <c r="JE1" s="40" t="s">
        <v>671</v>
      </c>
      <c r="JF1" s="40" t="s">
        <v>672</v>
      </c>
      <c r="JG1" s="40" t="s">
        <v>673</v>
      </c>
      <c r="JH1" s="40" t="s">
        <v>674</v>
      </c>
      <c r="JI1" s="40" t="s">
        <v>675</v>
      </c>
      <c r="JJ1" s="40" t="s">
        <v>676</v>
      </c>
      <c r="JK1" s="40" t="s">
        <v>677</v>
      </c>
      <c r="JL1" s="40" t="s">
        <v>678</v>
      </c>
      <c r="JM1" s="40" t="s">
        <v>679</v>
      </c>
      <c r="JN1" s="40" t="s">
        <v>680</v>
      </c>
      <c r="JO1" s="40" t="s">
        <v>469</v>
      </c>
      <c r="JP1" s="40" t="s">
        <v>681</v>
      </c>
      <c r="JQ1" s="40" t="s">
        <v>682</v>
      </c>
      <c r="JR1" s="40" t="s">
        <v>683</v>
      </c>
      <c r="JS1" s="40" t="s">
        <v>684</v>
      </c>
      <c r="JT1" s="40" t="s">
        <v>685</v>
      </c>
      <c r="JU1" s="40" t="s">
        <v>686</v>
      </c>
      <c r="JV1" s="40" t="s">
        <v>687</v>
      </c>
      <c r="JW1" s="40" t="s">
        <v>688</v>
      </c>
      <c r="JX1" s="40" t="s">
        <v>689</v>
      </c>
      <c r="JY1" s="40" t="s">
        <v>690</v>
      </c>
      <c r="JZ1" s="40" t="s">
        <v>691</v>
      </c>
      <c r="KA1" s="40" t="s">
        <v>692</v>
      </c>
      <c r="KB1" s="40" t="s">
        <v>693</v>
      </c>
      <c r="KC1" s="40" t="s">
        <v>694</v>
      </c>
      <c r="KD1" s="40" t="s">
        <v>695</v>
      </c>
      <c r="KE1" s="40" t="s">
        <v>696</v>
      </c>
      <c r="KF1" s="40" t="s">
        <v>697</v>
      </c>
      <c r="KG1" s="40" t="s">
        <v>698</v>
      </c>
      <c r="KH1" s="40" t="s">
        <v>699</v>
      </c>
      <c r="KI1" s="40" t="s">
        <v>700</v>
      </c>
      <c r="KJ1" s="40" t="s">
        <v>701</v>
      </c>
      <c r="KK1" s="40" t="s">
        <v>702</v>
      </c>
      <c r="KL1" s="40" t="s">
        <v>703</v>
      </c>
      <c r="KM1" s="40" t="s">
        <v>704</v>
      </c>
      <c r="KN1" s="40" t="s">
        <v>705</v>
      </c>
      <c r="KO1" s="40" t="s">
        <v>706</v>
      </c>
      <c r="KP1" s="40" t="s">
        <v>707</v>
      </c>
      <c r="KQ1" s="40" t="s">
        <v>708</v>
      </c>
      <c r="KR1" s="40" t="s">
        <v>709</v>
      </c>
      <c r="KS1" s="40" t="s">
        <v>469</v>
      </c>
      <c r="KT1" s="40" t="s">
        <v>710</v>
      </c>
      <c r="KU1" s="40" t="s">
        <v>711</v>
      </c>
      <c r="KV1" s="40" t="s">
        <v>712</v>
      </c>
      <c r="KW1" s="40" t="s">
        <v>897</v>
      </c>
      <c r="KX1" s="40" t="s">
        <v>896</v>
      </c>
      <c r="KY1" s="40" t="s">
        <v>1014</v>
      </c>
      <c r="KZ1" s="40" t="s">
        <v>895</v>
      </c>
      <c r="LA1" s="40" t="s">
        <v>714</v>
      </c>
      <c r="LB1" s="40" t="s">
        <v>713</v>
      </c>
    </row>
    <row r="2" spans="1:314" s="40" customFormat="1" x14ac:dyDescent="0.25">
      <c r="A2" s="40" t="s">
        <v>717</v>
      </c>
      <c r="B2" s="40" t="s">
        <v>914</v>
      </c>
      <c r="C2" s="40" t="s">
        <v>915</v>
      </c>
      <c r="D2" s="40" t="s">
        <v>915</v>
      </c>
      <c r="E2" s="40" t="s">
        <v>915</v>
      </c>
      <c r="F2" s="40" t="s">
        <v>916</v>
      </c>
      <c r="G2" s="40" t="s">
        <v>915</v>
      </c>
      <c r="H2" s="40" t="s">
        <v>917</v>
      </c>
      <c r="I2" s="40" t="s">
        <v>917</v>
      </c>
      <c r="J2" s="40" t="s">
        <v>917</v>
      </c>
      <c r="K2" s="40" t="s">
        <v>917</v>
      </c>
      <c r="L2" s="40" t="s">
        <v>469</v>
      </c>
      <c r="M2" s="40" t="s">
        <v>469</v>
      </c>
      <c r="N2" s="40" t="s">
        <v>469</v>
      </c>
      <c r="O2" s="40" t="s">
        <v>918</v>
      </c>
      <c r="P2" s="40" t="s">
        <v>469</v>
      </c>
      <c r="Q2" s="40" t="s">
        <v>919</v>
      </c>
      <c r="R2" s="40" t="s">
        <v>469</v>
      </c>
      <c r="S2" s="40" t="s">
        <v>919</v>
      </c>
      <c r="T2" s="40" t="s">
        <v>920</v>
      </c>
      <c r="U2" s="40" t="s">
        <v>920</v>
      </c>
      <c r="V2" s="40" t="s">
        <v>920</v>
      </c>
      <c r="W2" s="40" t="s">
        <v>920</v>
      </c>
      <c r="X2" s="40" t="s">
        <v>920</v>
      </c>
      <c r="Y2" s="40" t="s">
        <v>920</v>
      </c>
      <c r="Z2" s="40" t="s">
        <v>920</v>
      </c>
      <c r="AA2" s="40" t="s">
        <v>920</v>
      </c>
      <c r="AB2" s="40" t="s">
        <v>920</v>
      </c>
      <c r="AC2" s="40" t="s">
        <v>920</v>
      </c>
      <c r="AD2" s="40" t="s">
        <v>920</v>
      </c>
      <c r="AE2" s="40" t="s">
        <v>920</v>
      </c>
      <c r="AF2" s="40" t="s">
        <v>920</v>
      </c>
      <c r="AG2" s="40" t="s">
        <v>920</v>
      </c>
      <c r="AH2" s="40" t="s">
        <v>920</v>
      </c>
      <c r="AI2" s="40" t="s">
        <v>920</v>
      </c>
      <c r="AJ2" s="40" t="s">
        <v>920</v>
      </c>
      <c r="AK2" s="40" t="s">
        <v>920</v>
      </c>
      <c r="AL2" s="40" t="s">
        <v>920</v>
      </c>
      <c r="AM2" s="40" t="s">
        <v>920</v>
      </c>
      <c r="AN2" s="40" t="s">
        <v>920</v>
      </c>
      <c r="AO2" s="40" t="s">
        <v>921</v>
      </c>
      <c r="AP2" s="40" t="s">
        <v>921</v>
      </c>
      <c r="AQ2" s="40" t="s">
        <v>921</v>
      </c>
      <c r="AR2" s="40" t="s">
        <v>921</v>
      </c>
      <c r="AS2" s="40" t="s">
        <v>921</v>
      </c>
      <c r="AT2" s="40" t="s">
        <v>921</v>
      </c>
      <c r="AU2" s="40" t="s">
        <v>921</v>
      </c>
      <c r="AV2" s="40" t="s">
        <v>921</v>
      </c>
      <c r="AW2" s="40" t="s">
        <v>921</v>
      </c>
      <c r="AX2" s="40" t="s">
        <v>921</v>
      </c>
      <c r="AY2" s="40" t="s">
        <v>921</v>
      </c>
      <c r="AZ2" s="40" t="s">
        <v>921</v>
      </c>
      <c r="BA2" s="40" t="s">
        <v>921</v>
      </c>
      <c r="BB2" s="40" t="s">
        <v>921</v>
      </c>
      <c r="BC2" s="40" t="s">
        <v>921</v>
      </c>
      <c r="BD2" s="40" t="s">
        <v>922</v>
      </c>
      <c r="BE2" s="40" t="s">
        <v>922</v>
      </c>
      <c r="BF2" s="40" t="s">
        <v>922</v>
      </c>
      <c r="BG2" s="40" t="s">
        <v>922</v>
      </c>
      <c r="BH2" s="40" t="s">
        <v>922</v>
      </c>
      <c r="BI2" s="40" t="s">
        <v>922</v>
      </c>
      <c r="BJ2" s="40" t="s">
        <v>922</v>
      </c>
      <c r="BK2" s="40" t="s">
        <v>922</v>
      </c>
      <c r="BL2" s="40" t="s">
        <v>922</v>
      </c>
      <c r="BM2" s="40" t="s">
        <v>922</v>
      </c>
      <c r="BN2" s="40" t="s">
        <v>922</v>
      </c>
      <c r="BO2" s="40" t="s">
        <v>922</v>
      </c>
      <c r="BP2" s="40" t="s">
        <v>922</v>
      </c>
      <c r="BQ2" s="40" t="s">
        <v>922</v>
      </c>
      <c r="BR2" s="40" t="s">
        <v>922</v>
      </c>
      <c r="BS2" s="40" t="s">
        <v>922</v>
      </c>
      <c r="BT2" s="40" t="s">
        <v>922</v>
      </c>
      <c r="BU2" s="40" t="s">
        <v>922</v>
      </c>
      <c r="BV2" s="40" t="s">
        <v>922</v>
      </c>
      <c r="BW2" s="40" t="s">
        <v>922</v>
      </c>
      <c r="BX2" s="40" t="s">
        <v>922</v>
      </c>
      <c r="BY2" s="40" t="s">
        <v>922</v>
      </c>
      <c r="BZ2" s="40" t="s">
        <v>922</v>
      </c>
      <c r="CA2" s="40" t="s">
        <v>922</v>
      </c>
      <c r="CB2" s="40" t="s">
        <v>469</v>
      </c>
      <c r="CC2" s="40" t="s">
        <v>469</v>
      </c>
      <c r="CD2" s="40" t="s">
        <v>469</v>
      </c>
      <c r="CE2" s="40" t="s">
        <v>469</v>
      </c>
      <c r="CF2" s="40" t="s">
        <v>469</v>
      </c>
      <c r="CG2" s="40" t="s">
        <v>469</v>
      </c>
      <c r="CH2" s="40" t="s">
        <v>469</v>
      </c>
      <c r="CI2" s="40" t="s">
        <v>469</v>
      </c>
      <c r="CJ2" s="40" t="s">
        <v>469</v>
      </c>
      <c r="CK2" s="40" t="s">
        <v>469</v>
      </c>
      <c r="CL2" s="40" t="s">
        <v>469</v>
      </c>
      <c r="CM2" s="40" t="s">
        <v>469</v>
      </c>
      <c r="CN2" s="40" t="s">
        <v>469</v>
      </c>
      <c r="CO2" s="40" t="s">
        <v>469</v>
      </c>
      <c r="CP2" s="40" t="s">
        <v>469</v>
      </c>
      <c r="CQ2" s="40" t="s">
        <v>469</v>
      </c>
      <c r="CR2" s="40" t="s">
        <v>915</v>
      </c>
      <c r="CS2" s="40" t="s">
        <v>918</v>
      </c>
      <c r="CT2" s="40" t="s">
        <v>469</v>
      </c>
      <c r="CU2" s="40" t="s">
        <v>918</v>
      </c>
      <c r="CV2" s="40" t="s">
        <v>918</v>
      </c>
      <c r="CW2" s="40" t="s">
        <v>918</v>
      </c>
      <c r="CX2" s="40" t="s">
        <v>918</v>
      </c>
      <c r="CY2" s="40" t="s">
        <v>918</v>
      </c>
      <c r="CZ2" s="40" t="s">
        <v>918</v>
      </c>
      <c r="DA2" s="40" t="s">
        <v>918</v>
      </c>
      <c r="DB2" s="40" t="s">
        <v>918</v>
      </c>
      <c r="DC2" s="40" t="s">
        <v>918</v>
      </c>
      <c r="DD2" s="40" t="s">
        <v>918</v>
      </c>
      <c r="DE2" s="40" t="s">
        <v>918</v>
      </c>
      <c r="DF2" s="40" t="s">
        <v>918</v>
      </c>
      <c r="DG2" s="40" t="s">
        <v>918</v>
      </c>
      <c r="DH2" s="40" t="s">
        <v>918</v>
      </c>
      <c r="DI2" s="40" t="s">
        <v>918</v>
      </c>
      <c r="DJ2" s="40" t="s">
        <v>918</v>
      </c>
      <c r="DK2" s="40" t="s">
        <v>918</v>
      </c>
      <c r="DL2" s="40" t="s">
        <v>918</v>
      </c>
      <c r="DM2" s="40" t="s">
        <v>918</v>
      </c>
      <c r="DN2" s="40" t="s">
        <v>918</v>
      </c>
      <c r="DO2" s="40" t="s">
        <v>918</v>
      </c>
      <c r="DP2" s="40" t="s">
        <v>918</v>
      </c>
      <c r="DQ2" s="40" t="s">
        <v>918</v>
      </c>
      <c r="DR2" s="40" t="s">
        <v>918</v>
      </c>
      <c r="DS2" s="40" t="s">
        <v>918</v>
      </c>
      <c r="DT2" s="40" t="s">
        <v>918</v>
      </c>
      <c r="DU2" s="40" t="s">
        <v>918</v>
      </c>
      <c r="DV2" s="40" t="s">
        <v>918</v>
      </c>
      <c r="DW2" s="40" t="s">
        <v>918</v>
      </c>
      <c r="DX2" s="40" t="s">
        <v>918</v>
      </c>
      <c r="DY2" s="40" t="s">
        <v>918</v>
      </c>
      <c r="DZ2" s="40" t="s">
        <v>918</v>
      </c>
      <c r="EA2" s="40" t="s">
        <v>918</v>
      </c>
      <c r="EB2" s="40" t="s">
        <v>918</v>
      </c>
      <c r="EC2" s="40" t="s">
        <v>918</v>
      </c>
      <c r="ED2" s="40" t="s">
        <v>918</v>
      </c>
      <c r="EE2" s="40" t="s">
        <v>918</v>
      </c>
      <c r="EF2" s="40" t="s">
        <v>918</v>
      </c>
      <c r="EG2" s="40" t="s">
        <v>918</v>
      </c>
      <c r="EH2" s="40" t="s">
        <v>918</v>
      </c>
      <c r="EI2" s="40" t="s">
        <v>918</v>
      </c>
      <c r="EJ2" s="40" t="s">
        <v>918</v>
      </c>
      <c r="EK2" s="40" t="s">
        <v>918</v>
      </c>
      <c r="EL2" s="40" t="s">
        <v>918</v>
      </c>
      <c r="EM2" s="40" t="s">
        <v>918</v>
      </c>
      <c r="EN2" s="40" t="s">
        <v>918</v>
      </c>
      <c r="EO2" s="40" t="s">
        <v>918</v>
      </c>
      <c r="EP2" s="40" t="s">
        <v>918</v>
      </c>
      <c r="EQ2" s="40" t="s">
        <v>918</v>
      </c>
      <c r="ER2" s="40" t="s">
        <v>918</v>
      </c>
      <c r="ES2" s="40" t="s">
        <v>918</v>
      </c>
      <c r="ET2" s="40" t="s">
        <v>918</v>
      </c>
      <c r="EU2" s="40" t="s">
        <v>918</v>
      </c>
      <c r="EV2" s="40" t="s">
        <v>918</v>
      </c>
      <c r="EW2" s="40" t="s">
        <v>918</v>
      </c>
      <c r="EX2" s="40" t="s">
        <v>918</v>
      </c>
      <c r="EY2" s="40" t="s">
        <v>918</v>
      </c>
      <c r="EZ2" s="40" t="s">
        <v>918</v>
      </c>
      <c r="FA2" s="40" t="s">
        <v>918</v>
      </c>
      <c r="FB2" s="40" t="s">
        <v>918</v>
      </c>
      <c r="FC2" s="40" t="s">
        <v>918</v>
      </c>
      <c r="FD2" s="40" t="s">
        <v>918</v>
      </c>
      <c r="FE2" s="40" t="s">
        <v>918</v>
      </c>
      <c r="FF2" s="40" t="s">
        <v>918</v>
      </c>
      <c r="FG2" s="40" t="s">
        <v>918</v>
      </c>
      <c r="FH2" s="40" t="s">
        <v>918</v>
      </c>
      <c r="FI2" s="40" t="s">
        <v>918</v>
      </c>
      <c r="FJ2" s="40" t="s">
        <v>918</v>
      </c>
      <c r="FK2" s="40" t="s">
        <v>918</v>
      </c>
      <c r="FL2" s="40" t="s">
        <v>918</v>
      </c>
      <c r="FM2" s="40" t="s">
        <v>918</v>
      </c>
      <c r="FN2" s="40" t="s">
        <v>918</v>
      </c>
      <c r="FO2" s="40" t="s">
        <v>918</v>
      </c>
      <c r="FP2" s="40" t="s">
        <v>918</v>
      </c>
      <c r="FQ2" s="40" t="s">
        <v>918</v>
      </c>
      <c r="FR2" s="40" t="s">
        <v>918</v>
      </c>
      <c r="FS2" s="40" t="s">
        <v>918</v>
      </c>
      <c r="FT2" s="40" t="s">
        <v>918</v>
      </c>
      <c r="FU2" s="40" t="s">
        <v>918</v>
      </c>
      <c r="FV2" s="40" t="s">
        <v>918</v>
      </c>
      <c r="FW2" s="40" t="s">
        <v>918</v>
      </c>
      <c r="FX2" s="40" t="s">
        <v>918</v>
      </c>
      <c r="FY2" s="40" t="s">
        <v>918</v>
      </c>
      <c r="FZ2" s="40" t="s">
        <v>918</v>
      </c>
      <c r="GA2" s="40" t="s">
        <v>918</v>
      </c>
      <c r="GB2" s="40" t="s">
        <v>918</v>
      </c>
      <c r="GC2" s="40" t="s">
        <v>918</v>
      </c>
      <c r="GD2" s="40" t="s">
        <v>918</v>
      </c>
      <c r="GE2" s="40" t="s">
        <v>918</v>
      </c>
      <c r="GF2" s="40" t="s">
        <v>918</v>
      </c>
      <c r="GG2" s="40" t="s">
        <v>918</v>
      </c>
      <c r="GH2" s="40" t="s">
        <v>918</v>
      </c>
      <c r="GI2" s="40" t="s">
        <v>918</v>
      </c>
      <c r="GJ2" s="40" t="s">
        <v>918</v>
      </c>
      <c r="GK2" s="40" t="s">
        <v>918</v>
      </c>
      <c r="GL2" s="40" t="s">
        <v>918</v>
      </c>
      <c r="GM2" s="40" t="s">
        <v>918</v>
      </c>
      <c r="GN2" s="40" t="s">
        <v>918</v>
      </c>
      <c r="GO2" s="40" t="s">
        <v>918</v>
      </c>
      <c r="GP2" s="40" t="s">
        <v>918</v>
      </c>
      <c r="GQ2" s="40" t="s">
        <v>918</v>
      </c>
      <c r="GR2" s="40" t="s">
        <v>918</v>
      </c>
      <c r="GS2" s="40" t="s">
        <v>918</v>
      </c>
      <c r="GT2" s="40" t="s">
        <v>918</v>
      </c>
      <c r="GU2" s="40" t="s">
        <v>918</v>
      </c>
      <c r="GV2" s="40" t="s">
        <v>918</v>
      </c>
      <c r="GW2" s="40" t="s">
        <v>918</v>
      </c>
      <c r="GX2" s="40" t="s">
        <v>918</v>
      </c>
      <c r="GY2" s="40" t="s">
        <v>918</v>
      </c>
      <c r="GZ2" s="40" t="s">
        <v>918</v>
      </c>
      <c r="HA2" s="40" t="s">
        <v>918</v>
      </c>
      <c r="HB2" s="40" t="s">
        <v>918</v>
      </c>
      <c r="HC2" s="40" t="s">
        <v>918</v>
      </c>
      <c r="HD2" s="40" t="s">
        <v>918</v>
      </c>
      <c r="HE2" s="40" t="s">
        <v>918</v>
      </c>
      <c r="HF2" s="40" t="s">
        <v>918</v>
      </c>
      <c r="HG2" s="40" t="s">
        <v>918</v>
      </c>
      <c r="HH2" s="40" t="s">
        <v>918</v>
      </c>
      <c r="HI2" s="40" t="s">
        <v>918</v>
      </c>
      <c r="HJ2" s="40" t="s">
        <v>918</v>
      </c>
      <c r="HK2" s="40" t="s">
        <v>918</v>
      </c>
      <c r="HL2" s="40" t="s">
        <v>918</v>
      </c>
      <c r="HM2" s="40" t="s">
        <v>918</v>
      </c>
      <c r="HN2" s="40" t="s">
        <v>918</v>
      </c>
      <c r="HO2" s="40" t="s">
        <v>918</v>
      </c>
      <c r="HP2" s="40" t="s">
        <v>918</v>
      </c>
      <c r="HQ2" s="40" t="s">
        <v>918</v>
      </c>
      <c r="HR2" s="40" t="s">
        <v>918</v>
      </c>
      <c r="HS2" s="40" t="s">
        <v>918</v>
      </c>
      <c r="HT2" s="40" t="s">
        <v>918</v>
      </c>
      <c r="HU2" s="40" t="s">
        <v>918</v>
      </c>
      <c r="HV2" s="40" t="s">
        <v>918</v>
      </c>
      <c r="HW2" s="40" t="s">
        <v>918</v>
      </c>
      <c r="HX2" s="40" t="s">
        <v>918</v>
      </c>
      <c r="HY2" s="40" t="s">
        <v>918</v>
      </c>
      <c r="HZ2" s="40" t="s">
        <v>918</v>
      </c>
      <c r="IA2" s="40" t="s">
        <v>918</v>
      </c>
      <c r="IB2" s="40" t="s">
        <v>918</v>
      </c>
      <c r="IC2" s="40" t="s">
        <v>918</v>
      </c>
      <c r="ID2" s="40" t="s">
        <v>918</v>
      </c>
      <c r="IE2" s="40" t="s">
        <v>918</v>
      </c>
      <c r="IF2" s="40" t="s">
        <v>918</v>
      </c>
      <c r="IG2" s="40" t="s">
        <v>918</v>
      </c>
      <c r="IH2" s="40" t="s">
        <v>918</v>
      </c>
      <c r="II2" s="40" t="s">
        <v>918</v>
      </c>
      <c r="IJ2" s="40" t="s">
        <v>918</v>
      </c>
      <c r="IK2" s="40" t="s">
        <v>918</v>
      </c>
      <c r="IL2" s="40" t="s">
        <v>918</v>
      </c>
      <c r="IM2" s="40" t="s">
        <v>918</v>
      </c>
      <c r="IN2" s="40" t="s">
        <v>918</v>
      </c>
      <c r="IO2" s="40" t="s">
        <v>918</v>
      </c>
      <c r="IP2" s="40" t="s">
        <v>918</v>
      </c>
      <c r="IQ2" s="40" t="s">
        <v>918</v>
      </c>
      <c r="IR2" s="40" t="s">
        <v>918</v>
      </c>
      <c r="IS2" s="40" t="s">
        <v>918</v>
      </c>
      <c r="IT2" s="40" t="s">
        <v>918</v>
      </c>
      <c r="IU2" s="40" t="s">
        <v>918</v>
      </c>
      <c r="IV2" s="40" t="s">
        <v>918</v>
      </c>
      <c r="IW2" s="40" t="s">
        <v>918</v>
      </c>
      <c r="IX2" s="40" t="s">
        <v>918</v>
      </c>
      <c r="IY2" s="40" t="s">
        <v>918</v>
      </c>
      <c r="IZ2" s="40" t="s">
        <v>918</v>
      </c>
      <c r="JA2" s="40" t="s">
        <v>918</v>
      </c>
      <c r="JB2" s="40" t="s">
        <v>918</v>
      </c>
      <c r="JC2" s="40" t="s">
        <v>918</v>
      </c>
      <c r="JD2" s="40" t="s">
        <v>918</v>
      </c>
      <c r="JE2" s="40" t="s">
        <v>918</v>
      </c>
      <c r="JF2" s="40" t="s">
        <v>918</v>
      </c>
      <c r="JG2" s="40" t="s">
        <v>918</v>
      </c>
      <c r="JH2" s="40" t="s">
        <v>918</v>
      </c>
      <c r="JI2" s="40" t="s">
        <v>918</v>
      </c>
      <c r="JJ2" s="40" t="s">
        <v>918</v>
      </c>
      <c r="JK2" s="40" t="s">
        <v>918</v>
      </c>
      <c r="JL2" s="40" t="s">
        <v>918</v>
      </c>
      <c r="JM2" s="40" t="s">
        <v>918</v>
      </c>
      <c r="JN2" s="40" t="s">
        <v>918</v>
      </c>
      <c r="JO2" s="40" t="s">
        <v>918</v>
      </c>
      <c r="JP2" s="40" t="s">
        <v>918</v>
      </c>
      <c r="JQ2" s="40" t="s">
        <v>918</v>
      </c>
      <c r="JR2" s="40" t="s">
        <v>918</v>
      </c>
      <c r="JS2" s="40" t="s">
        <v>918</v>
      </c>
      <c r="JT2" s="40" t="s">
        <v>918</v>
      </c>
      <c r="JU2" s="40" t="s">
        <v>918</v>
      </c>
      <c r="JV2" s="40" t="s">
        <v>918</v>
      </c>
      <c r="JW2" s="40" t="s">
        <v>918</v>
      </c>
      <c r="JX2" s="40" t="s">
        <v>918</v>
      </c>
      <c r="JY2" s="40" t="s">
        <v>918</v>
      </c>
      <c r="JZ2" s="40" t="s">
        <v>918</v>
      </c>
      <c r="KA2" s="40" t="s">
        <v>918</v>
      </c>
      <c r="KB2" s="40" t="s">
        <v>918</v>
      </c>
      <c r="KC2" s="40" t="s">
        <v>918</v>
      </c>
      <c r="KD2" s="40" t="s">
        <v>918</v>
      </c>
      <c r="KE2" s="40" t="s">
        <v>918</v>
      </c>
      <c r="KF2" s="40" t="s">
        <v>918</v>
      </c>
      <c r="KG2" s="40" t="s">
        <v>918</v>
      </c>
      <c r="KH2" s="40" t="s">
        <v>918</v>
      </c>
      <c r="KI2" s="40" t="s">
        <v>918</v>
      </c>
      <c r="KJ2" s="40" t="s">
        <v>918</v>
      </c>
      <c r="KK2" s="40" t="s">
        <v>918</v>
      </c>
      <c r="KL2" s="40" t="s">
        <v>918</v>
      </c>
      <c r="KM2" s="40" t="s">
        <v>918</v>
      </c>
      <c r="KN2" s="40" t="s">
        <v>918</v>
      </c>
      <c r="KO2" s="40" t="s">
        <v>918</v>
      </c>
      <c r="KP2" s="40" t="s">
        <v>918</v>
      </c>
      <c r="KQ2" s="40" t="s">
        <v>918</v>
      </c>
      <c r="KR2" s="40" t="s">
        <v>918</v>
      </c>
      <c r="KS2" s="40" t="s">
        <v>918</v>
      </c>
      <c r="KT2" s="40" t="s">
        <v>918</v>
      </c>
      <c r="KU2" s="40" t="s">
        <v>918</v>
      </c>
      <c r="KV2" s="40" t="s">
        <v>918</v>
      </c>
      <c r="KW2" s="40" t="s">
        <v>918</v>
      </c>
      <c r="KX2" s="40" t="s">
        <v>923</v>
      </c>
      <c r="KY2" s="40" t="s">
        <v>924</v>
      </c>
      <c r="KZ2" s="40" t="s">
        <v>925</v>
      </c>
      <c r="LA2" s="40" t="s">
        <v>925</v>
      </c>
      <c r="LB2" s="40" t="s">
        <v>925</v>
      </c>
    </row>
    <row r="3" spans="1:314" s="40" customFormat="1" x14ac:dyDescent="0.25">
      <c r="A3" s="40" t="s">
        <v>718</v>
      </c>
      <c r="B3" s="40" t="s">
        <v>469</v>
      </c>
      <c r="C3" s="40" t="s">
        <v>469</v>
      </c>
      <c r="D3" s="40" t="s">
        <v>469</v>
      </c>
      <c r="E3" s="40" t="s">
        <v>469</v>
      </c>
      <c r="F3" s="40" t="s">
        <v>469</v>
      </c>
      <c r="G3" s="40" t="s">
        <v>469</v>
      </c>
      <c r="H3" s="40" t="s">
        <v>469</v>
      </c>
      <c r="I3" s="40" t="s">
        <v>469</v>
      </c>
      <c r="J3" s="40" t="s">
        <v>469</v>
      </c>
      <c r="K3" s="40" t="s">
        <v>469</v>
      </c>
      <c r="L3" s="40" t="s">
        <v>469</v>
      </c>
      <c r="M3" s="40" t="s">
        <v>469</v>
      </c>
      <c r="N3" s="40" t="s">
        <v>469</v>
      </c>
      <c r="O3" s="40" t="s">
        <v>469</v>
      </c>
      <c r="P3" s="40" t="s">
        <v>469</v>
      </c>
      <c r="Q3" s="40" t="s">
        <v>719</v>
      </c>
      <c r="R3" s="40" t="s">
        <v>469</v>
      </c>
      <c r="S3" s="40" t="s">
        <v>469</v>
      </c>
      <c r="T3" s="40" t="s">
        <v>469</v>
      </c>
      <c r="U3" s="40" t="s">
        <v>469</v>
      </c>
      <c r="V3" s="40" t="s">
        <v>469</v>
      </c>
      <c r="W3" s="40" t="s">
        <v>469</v>
      </c>
      <c r="X3" s="40" t="s">
        <v>469</v>
      </c>
      <c r="Y3" s="40" t="s">
        <v>469</v>
      </c>
      <c r="Z3" s="40" t="s">
        <v>469</v>
      </c>
      <c r="AA3" s="40" t="s">
        <v>469</v>
      </c>
      <c r="AB3" s="40" t="s">
        <v>469</v>
      </c>
      <c r="AC3" s="40" t="s">
        <v>469</v>
      </c>
      <c r="AD3" s="40" t="s">
        <v>469</v>
      </c>
      <c r="AE3" s="40" t="s">
        <v>469</v>
      </c>
      <c r="AF3" s="40" t="s">
        <v>469</v>
      </c>
      <c r="AG3" s="40" t="s">
        <v>469</v>
      </c>
      <c r="AH3" s="40" t="s">
        <v>720</v>
      </c>
      <c r="AI3" s="40" t="s">
        <v>721</v>
      </c>
      <c r="AJ3" s="40" t="s">
        <v>722</v>
      </c>
      <c r="AK3" s="40" t="s">
        <v>723</v>
      </c>
      <c r="AL3" s="40" t="s">
        <v>724</v>
      </c>
      <c r="AM3" s="40" t="s">
        <v>725</v>
      </c>
      <c r="AN3" s="40" t="s">
        <v>469</v>
      </c>
      <c r="AO3" s="40" t="s">
        <v>469</v>
      </c>
      <c r="AP3" s="40" t="s">
        <v>469</v>
      </c>
      <c r="AQ3" s="40" t="s">
        <v>469</v>
      </c>
      <c r="AR3" s="40" t="s">
        <v>469</v>
      </c>
      <c r="AS3" s="40" t="s">
        <v>469</v>
      </c>
      <c r="AT3" s="40" t="s">
        <v>469</v>
      </c>
      <c r="AU3" s="40" t="s">
        <v>469</v>
      </c>
      <c r="AV3" s="40" t="s">
        <v>469</v>
      </c>
      <c r="AW3" s="40" t="s">
        <v>469</v>
      </c>
      <c r="AX3" s="40" t="s">
        <v>469</v>
      </c>
      <c r="AY3" s="40" t="s">
        <v>469</v>
      </c>
      <c r="AZ3" s="40" t="s">
        <v>469</v>
      </c>
      <c r="BA3" s="40" t="s">
        <v>469</v>
      </c>
      <c r="BB3" s="40" t="s">
        <v>469</v>
      </c>
      <c r="BC3" s="40" t="s">
        <v>469</v>
      </c>
      <c r="BD3" s="40" t="s">
        <v>469</v>
      </c>
      <c r="BE3" s="40" t="s">
        <v>469</v>
      </c>
      <c r="BF3" s="40" t="s">
        <v>469</v>
      </c>
      <c r="BG3" s="40" t="s">
        <v>469</v>
      </c>
      <c r="BH3" s="40" t="s">
        <v>469</v>
      </c>
      <c r="BI3" s="40" t="s">
        <v>469</v>
      </c>
      <c r="BJ3" s="40" t="s">
        <v>469</v>
      </c>
      <c r="BK3" s="40" t="s">
        <v>469</v>
      </c>
      <c r="BL3" s="40" t="s">
        <v>469</v>
      </c>
      <c r="BM3" s="40" t="s">
        <v>469</v>
      </c>
      <c r="BN3" s="40" t="s">
        <v>469</v>
      </c>
      <c r="BO3" s="40" t="s">
        <v>469</v>
      </c>
      <c r="BP3" s="40" t="s">
        <v>469</v>
      </c>
      <c r="BQ3" s="40" t="s">
        <v>469</v>
      </c>
      <c r="BR3" s="40" t="s">
        <v>469</v>
      </c>
      <c r="BS3" s="40" t="s">
        <v>469</v>
      </c>
      <c r="BT3" s="40" t="s">
        <v>469</v>
      </c>
      <c r="BU3" s="40" t="s">
        <v>469</v>
      </c>
      <c r="BV3" s="40" t="s">
        <v>469</v>
      </c>
      <c r="BW3" s="40" t="s">
        <v>469</v>
      </c>
      <c r="BX3" s="40" t="s">
        <v>469</v>
      </c>
      <c r="BY3" s="40" t="s">
        <v>469</v>
      </c>
      <c r="BZ3" s="40" t="s">
        <v>469</v>
      </c>
      <c r="CA3" s="40" t="s">
        <v>469</v>
      </c>
      <c r="CB3" s="40" t="s">
        <v>469</v>
      </c>
      <c r="CC3" s="40" t="s">
        <v>469</v>
      </c>
      <c r="CD3" s="40" t="s">
        <v>469</v>
      </c>
      <c r="CE3" s="40" t="s">
        <v>469</v>
      </c>
      <c r="CF3" s="40" t="s">
        <v>469</v>
      </c>
      <c r="CG3" s="40" t="s">
        <v>469</v>
      </c>
      <c r="CH3" s="40" t="s">
        <v>469</v>
      </c>
      <c r="CI3" s="40" t="s">
        <v>469</v>
      </c>
      <c r="CJ3" s="40" t="s">
        <v>469</v>
      </c>
      <c r="CK3" s="40" t="s">
        <v>469</v>
      </c>
      <c r="CL3" s="40" t="s">
        <v>469</v>
      </c>
      <c r="CM3" s="40" t="s">
        <v>469</v>
      </c>
      <c r="CN3" s="40" t="s">
        <v>469</v>
      </c>
      <c r="CO3" s="40" t="s">
        <v>469</v>
      </c>
      <c r="CP3" s="40" t="s">
        <v>469</v>
      </c>
      <c r="CQ3" s="40" t="s">
        <v>469</v>
      </c>
      <c r="CR3" s="40" t="s">
        <v>469</v>
      </c>
      <c r="CS3" s="40" t="s">
        <v>469</v>
      </c>
      <c r="CT3" s="40" t="s">
        <v>469</v>
      </c>
      <c r="CU3" s="40" t="s">
        <v>726</v>
      </c>
      <c r="CV3" s="40" t="s">
        <v>727</v>
      </c>
      <c r="CW3" s="40" t="s">
        <v>728</v>
      </c>
      <c r="CX3" s="40" t="s">
        <v>729</v>
      </c>
      <c r="CY3" s="40" t="s">
        <v>730</v>
      </c>
      <c r="CZ3" s="40" t="s">
        <v>731</v>
      </c>
      <c r="DA3" s="40" t="s">
        <v>732</v>
      </c>
      <c r="DB3" s="40" t="s">
        <v>733</v>
      </c>
      <c r="DC3" s="40" t="s">
        <v>734</v>
      </c>
      <c r="DD3" s="40" t="s">
        <v>735</v>
      </c>
      <c r="DE3" s="40" t="s">
        <v>736</v>
      </c>
      <c r="DF3" s="40" t="s">
        <v>737</v>
      </c>
      <c r="DG3" s="40" t="s">
        <v>738</v>
      </c>
      <c r="DH3" s="40" t="s">
        <v>739</v>
      </c>
      <c r="DI3" s="40" t="s">
        <v>740</v>
      </c>
      <c r="DJ3" s="40" t="s">
        <v>741</v>
      </c>
      <c r="DK3" s="40" t="s">
        <v>742</v>
      </c>
      <c r="DL3" s="40" t="s">
        <v>743</v>
      </c>
      <c r="DM3" s="40" t="s">
        <v>744</v>
      </c>
      <c r="DN3" s="40" t="s">
        <v>745</v>
      </c>
      <c r="DO3" s="40" t="s">
        <v>746</v>
      </c>
      <c r="DP3" s="40" t="s">
        <v>747</v>
      </c>
      <c r="DQ3" s="40" t="s">
        <v>748</v>
      </c>
      <c r="DR3" s="40" t="s">
        <v>749</v>
      </c>
      <c r="DS3" s="40" t="s">
        <v>750</v>
      </c>
      <c r="DT3" s="40" t="s">
        <v>751</v>
      </c>
      <c r="DU3" s="40" t="s">
        <v>469</v>
      </c>
      <c r="DV3" s="40" t="s">
        <v>752</v>
      </c>
      <c r="DW3" s="40" t="s">
        <v>753</v>
      </c>
      <c r="DX3" s="40" t="s">
        <v>469</v>
      </c>
      <c r="DY3" s="40" t="s">
        <v>754</v>
      </c>
      <c r="DZ3" s="40" t="s">
        <v>755</v>
      </c>
      <c r="EA3" s="40" t="s">
        <v>756</v>
      </c>
      <c r="EB3" s="40" t="s">
        <v>757</v>
      </c>
      <c r="EC3" s="40" t="s">
        <v>758</v>
      </c>
      <c r="ED3" s="40" t="s">
        <v>759</v>
      </c>
      <c r="EE3" s="40" t="s">
        <v>760</v>
      </c>
      <c r="EF3" s="40" t="s">
        <v>761</v>
      </c>
      <c r="EG3" s="40" t="s">
        <v>762</v>
      </c>
      <c r="EH3" s="40" t="s">
        <v>763</v>
      </c>
      <c r="EI3" s="40" t="s">
        <v>764</v>
      </c>
      <c r="EJ3" s="40" t="s">
        <v>765</v>
      </c>
      <c r="EK3" s="40" t="s">
        <v>766</v>
      </c>
      <c r="EL3" s="40" t="s">
        <v>767</v>
      </c>
      <c r="EM3" s="40" t="s">
        <v>768</v>
      </c>
      <c r="EN3" s="40" t="s">
        <v>769</v>
      </c>
      <c r="EO3" s="40" t="s">
        <v>770</v>
      </c>
      <c r="EP3" s="40" t="s">
        <v>771</v>
      </c>
      <c r="EQ3" s="40" t="s">
        <v>772</v>
      </c>
      <c r="ER3" s="40" t="s">
        <v>773</v>
      </c>
      <c r="ES3" s="40" t="s">
        <v>774</v>
      </c>
      <c r="ET3" s="40" t="s">
        <v>775</v>
      </c>
      <c r="EU3" s="40" t="s">
        <v>776</v>
      </c>
      <c r="EV3" s="40" t="s">
        <v>777</v>
      </c>
      <c r="EW3" s="40" t="s">
        <v>778</v>
      </c>
      <c r="EX3" s="40" t="s">
        <v>779</v>
      </c>
      <c r="EY3" s="40" t="s">
        <v>469</v>
      </c>
      <c r="EZ3" s="40" t="s">
        <v>780</v>
      </c>
      <c r="FA3" s="40" t="s">
        <v>781</v>
      </c>
      <c r="FB3" s="40" t="s">
        <v>469</v>
      </c>
      <c r="FC3" s="40" t="s">
        <v>782</v>
      </c>
      <c r="FD3" s="40" t="s">
        <v>783</v>
      </c>
      <c r="FE3" s="40" t="s">
        <v>784</v>
      </c>
      <c r="FF3" s="40" t="s">
        <v>785</v>
      </c>
      <c r="FG3" s="40" t="s">
        <v>786</v>
      </c>
      <c r="FH3" s="40" t="s">
        <v>787</v>
      </c>
      <c r="FI3" s="40" t="s">
        <v>788</v>
      </c>
      <c r="FJ3" s="40" t="s">
        <v>789</v>
      </c>
      <c r="FK3" s="40" t="s">
        <v>790</v>
      </c>
      <c r="FL3" s="40" t="s">
        <v>791</v>
      </c>
      <c r="FM3" s="40" t="s">
        <v>792</v>
      </c>
      <c r="FN3" s="40" t="s">
        <v>793</v>
      </c>
      <c r="FO3" s="40" t="s">
        <v>794</v>
      </c>
      <c r="FP3" s="40" t="s">
        <v>795</v>
      </c>
      <c r="FQ3" s="40" t="s">
        <v>796</v>
      </c>
      <c r="FR3" s="40" t="s">
        <v>797</v>
      </c>
      <c r="FS3" s="40" t="s">
        <v>798</v>
      </c>
      <c r="FT3" s="40" t="s">
        <v>799</v>
      </c>
      <c r="FU3" s="40" t="s">
        <v>800</v>
      </c>
      <c r="FV3" s="40" t="s">
        <v>801</v>
      </c>
      <c r="FW3" s="40" t="s">
        <v>802</v>
      </c>
      <c r="FX3" s="40" t="s">
        <v>803</v>
      </c>
      <c r="FY3" s="40" t="s">
        <v>804</v>
      </c>
      <c r="FZ3" s="40" t="s">
        <v>805</v>
      </c>
      <c r="GA3" s="40" t="s">
        <v>806</v>
      </c>
      <c r="GB3" s="40" t="s">
        <v>807</v>
      </c>
      <c r="GC3" s="40" t="s">
        <v>469</v>
      </c>
      <c r="GD3" s="40" t="s">
        <v>808</v>
      </c>
      <c r="GE3" s="40" t="s">
        <v>809</v>
      </c>
      <c r="GF3" s="40" t="s">
        <v>469</v>
      </c>
      <c r="GG3" s="40" t="s">
        <v>810</v>
      </c>
      <c r="GH3" s="40" t="s">
        <v>811</v>
      </c>
      <c r="GI3" s="40" t="s">
        <v>812</v>
      </c>
      <c r="GJ3" s="40" t="s">
        <v>813</v>
      </c>
      <c r="GK3" s="40" t="s">
        <v>814</v>
      </c>
      <c r="GL3" s="40" t="s">
        <v>815</v>
      </c>
      <c r="GM3" s="40" t="s">
        <v>816</v>
      </c>
      <c r="GN3" s="40" t="s">
        <v>817</v>
      </c>
      <c r="GO3" s="40" t="s">
        <v>818</v>
      </c>
      <c r="GP3" s="40" t="s">
        <v>819</v>
      </c>
      <c r="GQ3" s="40" t="s">
        <v>820</v>
      </c>
      <c r="GR3" s="40" t="s">
        <v>821</v>
      </c>
      <c r="GS3" s="40" t="s">
        <v>822</v>
      </c>
      <c r="GT3" s="40" t="s">
        <v>823</v>
      </c>
      <c r="GU3" s="40" t="s">
        <v>824</v>
      </c>
      <c r="GV3" s="40" t="s">
        <v>825</v>
      </c>
      <c r="GW3" s="40" t="s">
        <v>826</v>
      </c>
      <c r="GX3" s="40" t="s">
        <v>827</v>
      </c>
      <c r="GY3" s="40" t="s">
        <v>828</v>
      </c>
      <c r="GZ3" s="40" t="s">
        <v>829</v>
      </c>
      <c r="HA3" s="40" t="s">
        <v>830</v>
      </c>
      <c r="HB3" s="40" t="s">
        <v>831</v>
      </c>
      <c r="HC3" s="40" t="s">
        <v>832</v>
      </c>
      <c r="HD3" s="40" t="s">
        <v>833</v>
      </c>
      <c r="HE3" s="40" t="s">
        <v>834</v>
      </c>
      <c r="HF3" s="40" t="s">
        <v>835</v>
      </c>
      <c r="HG3" s="40" t="s">
        <v>836</v>
      </c>
      <c r="HH3" s="40" t="s">
        <v>837</v>
      </c>
      <c r="HI3" s="40" t="s">
        <v>838</v>
      </c>
      <c r="HJ3" s="40" t="s">
        <v>469</v>
      </c>
      <c r="HK3" s="40" t="s">
        <v>839</v>
      </c>
      <c r="HL3" s="40" t="s">
        <v>840</v>
      </c>
      <c r="HM3" s="40" t="s">
        <v>841</v>
      </c>
      <c r="HN3" s="40" t="s">
        <v>842</v>
      </c>
      <c r="HO3" s="40" t="s">
        <v>843</v>
      </c>
      <c r="HP3" s="40" t="s">
        <v>844</v>
      </c>
      <c r="HQ3" s="40" t="s">
        <v>845</v>
      </c>
      <c r="HR3" s="40" t="s">
        <v>846</v>
      </c>
      <c r="HS3" s="40" t="s">
        <v>847</v>
      </c>
      <c r="HT3" s="40" t="s">
        <v>848</v>
      </c>
      <c r="HU3" s="40" t="s">
        <v>849</v>
      </c>
      <c r="HV3" s="40" t="s">
        <v>850</v>
      </c>
      <c r="HW3" s="40" t="s">
        <v>851</v>
      </c>
      <c r="HX3" s="40" t="s">
        <v>852</v>
      </c>
      <c r="HY3" s="40" t="s">
        <v>853</v>
      </c>
      <c r="HZ3" s="40" t="s">
        <v>854</v>
      </c>
      <c r="IA3" s="40" t="s">
        <v>855</v>
      </c>
      <c r="IB3" s="40" t="s">
        <v>856</v>
      </c>
      <c r="IC3" s="40" t="s">
        <v>857</v>
      </c>
      <c r="ID3" s="40" t="s">
        <v>858</v>
      </c>
      <c r="IE3" s="40" t="s">
        <v>859</v>
      </c>
      <c r="IF3" s="40" t="s">
        <v>860</v>
      </c>
      <c r="IG3" s="40" t="s">
        <v>861</v>
      </c>
      <c r="IH3" s="40" t="s">
        <v>862</v>
      </c>
      <c r="II3" s="40" t="s">
        <v>863</v>
      </c>
      <c r="IJ3" s="40" t="s">
        <v>864</v>
      </c>
      <c r="IK3" s="40" t="s">
        <v>469</v>
      </c>
      <c r="IL3" s="40" t="s">
        <v>865</v>
      </c>
      <c r="IM3" s="40" t="s">
        <v>866</v>
      </c>
      <c r="IN3" s="40" t="s">
        <v>469</v>
      </c>
      <c r="IO3" s="40" t="s">
        <v>867</v>
      </c>
      <c r="IP3" s="40" t="s">
        <v>868</v>
      </c>
      <c r="IQ3" s="40" t="s">
        <v>869</v>
      </c>
      <c r="IR3" s="40" t="s">
        <v>870</v>
      </c>
      <c r="IS3" s="40" t="s">
        <v>871</v>
      </c>
      <c r="IT3" s="40" t="s">
        <v>872</v>
      </c>
      <c r="IU3" s="40" t="s">
        <v>873</v>
      </c>
      <c r="IV3" s="40" t="s">
        <v>874</v>
      </c>
      <c r="IW3" s="40" t="s">
        <v>875</v>
      </c>
      <c r="IX3" s="40" t="s">
        <v>876</v>
      </c>
      <c r="IY3" s="40" t="s">
        <v>877</v>
      </c>
      <c r="IZ3" s="40" t="s">
        <v>878</v>
      </c>
      <c r="JA3" s="40" t="s">
        <v>879</v>
      </c>
      <c r="JB3" s="40" t="s">
        <v>880</v>
      </c>
      <c r="JC3" s="40" t="s">
        <v>881</v>
      </c>
      <c r="JD3" s="40" t="s">
        <v>882</v>
      </c>
      <c r="JE3" s="40" t="s">
        <v>883</v>
      </c>
      <c r="JF3" s="40" t="s">
        <v>884</v>
      </c>
      <c r="JG3" s="40" t="s">
        <v>885</v>
      </c>
      <c r="JH3" s="40" t="s">
        <v>886</v>
      </c>
      <c r="JI3" s="40" t="s">
        <v>887</v>
      </c>
      <c r="JJ3" s="40" t="s">
        <v>888</v>
      </c>
      <c r="JK3" s="40" t="s">
        <v>889</v>
      </c>
      <c r="JL3" s="40" t="s">
        <v>890</v>
      </c>
      <c r="JM3" s="40" t="s">
        <v>891</v>
      </c>
      <c r="JN3" s="40" t="s">
        <v>892</v>
      </c>
      <c r="JO3" s="40" t="s">
        <v>469</v>
      </c>
      <c r="JP3" s="40" t="s">
        <v>893</v>
      </c>
      <c r="JQ3" s="40" t="s">
        <v>894</v>
      </c>
      <c r="JR3" s="40" t="s">
        <v>469</v>
      </c>
      <c r="JS3" s="40" t="s">
        <v>469</v>
      </c>
      <c r="JT3" s="40" t="s">
        <v>469</v>
      </c>
      <c r="JU3" s="40" t="s">
        <v>469</v>
      </c>
      <c r="JV3" s="40" t="s">
        <v>469</v>
      </c>
      <c r="JW3" s="40" t="s">
        <v>469</v>
      </c>
      <c r="JX3" s="40" t="s">
        <v>469</v>
      </c>
      <c r="JY3" s="40" t="s">
        <v>469</v>
      </c>
      <c r="JZ3" s="40" t="s">
        <v>469</v>
      </c>
      <c r="KA3" s="40" t="s">
        <v>469</v>
      </c>
      <c r="KB3" s="40" t="s">
        <v>469</v>
      </c>
      <c r="KC3" s="40" t="s">
        <v>469</v>
      </c>
      <c r="KD3" s="40" t="s">
        <v>469</v>
      </c>
      <c r="KE3" s="40" t="s">
        <v>469</v>
      </c>
      <c r="KF3" s="40" t="s">
        <v>469</v>
      </c>
      <c r="KG3" s="40" t="s">
        <v>469</v>
      </c>
      <c r="KH3" s="40" t="s">
        <v>469</v>
      </c>
      <c r="KI3" s="40" t="s">
        <v>469</v>
      </c>
      <c r="KJ3" s="40" t="s">
        <v>469</v>
      </c>
      <c r="KK3" s="40" t="s">
        <v>469</v>
      </c>
      <c r="KL3" s="40" t="s">
        <v>469</v>
      </c>
      <c r="KM3" s="40" t="s">
        <v>469</v>
      </c>
      <c r="KN3" s="40" t="s">
        <v>469</v>
      </c>
      <c r="KO3" s="40" t="s">
        <v>469</v>
      </c>
      <c r="KP3" s="40" t="s">
        <v>469</v>
      </c>
      <c r="KQ3" s="40" t="s">
        <v>469</v>
      </c>
      <c r="KR3" s="40" t="s">
        <v>469</v>
      </c>
      <c r="KS3" s="40" t="s">
        <v>469</v>
      </c>
      <c r="KT3" s="40" t="s">
        <v>469</v>
      </c>
      <c r="KU3" s="40" t="s">
        <v>469</v>
      </c>
      <c r="KV3" s="40" t="s">
        <v>469</v>
      </c>
      <c r="KW3" s="40" t="s">
        <v>469</v>
      </c>
      <c r="KX3" s="40" t="s">
        <v>469</v>
      </c>
      <c r="KY3" s="40" t="s">
        <v>469</v>
      </c>
      <c r="KZ3" s="40" t="s">
        <v>469</v>
      </c>
      <c r="LA3" s="40" t="s">
        <v>469</v>
      </c>
      <c r="LB3" s="40" t="s">
        <v>469</v>
      </c>
    </row>
    <row r="4" spans="1:314" x14ac:dyDescent="0.25">
      <c r="A4" t="s">
        <v>36</v>
      </c>
      <c r="B4" t="s">
        <v>37</v>
      </c>
      <c r="C4" t="s">
        <v>38</v>
      </c>
      <c r="D4" t="s">
        <v>39</v>
      </c>
      <c r="E4" t="s">
        <v>40</v>
      </c>
      <c r="F4" t="s">
        <v>41</v>
      </c>
      <c r="G4" t="s">
        <v>42</v>
      </c>
      <c r="H4" t="s">
        <v>43</v>
      </c>
      <c r="I4" t="s">
        <v>44</v>
      </c>
      <c r="J4" t="s">
        <v>45</v>
      </c>
      <c r="K4" t="s">
        <v>46</v>
      </c>
      <c r="L4" t="s">
        <v>47</v>
      </c>
      <c r="M4" t="s">
        <v>48</v>
      </c>
      <c r="N4" t="s">
        <v>49</v>
      </c>
      <c r="O4" t="s">
        <v>50</v>
      </c>
      <c r="P4" t="s">
        <v>51</v>
      </c>
      <c r="Q4" t="s">
        <v>52</v>
      </c>
      <c r="R4" t="s">
        <v>53</v>
      </c>
      <c r="S4" t="s">
        <v>54</v>
      </c>
      <c r="T4" t="s">
        <v>55</v>
      </c>
      <c r="U4" t="s">
        <v>56</v>
      </c>
      <c r="V4" t="s">
        <v>57</v>
      </c>
      <c r="W4" t="s">
        <v>58</v>
      </c>
      <c r="X4" t="s">
        <v>59</v>
      </c>
      <c r="Y4" t="s">
        <v>60</v>
      </c>
      <c r="Z4" t="s">
        <v>61</v>
      </c>
      <c r="AA4" t="s">
        <v>62</v>
      </c>
      <c r="AB4" t="s">
        <v>63</v>
      </c>
      <c r="AC4" t="s">
        <v>64</v>
      </c>
      <c r="AD4" t="s">
        <v>65</v>
      </c>
      <c r="AE4" t="s">
        <v>66</v>
      </c>
      <c r="AF4" t="s">
        <v>67</v>
      </c>
      <c r="AG4" t="s">
        <v>68</v>
      </c>
      <c r="AH4" t="s">
        <v>69</v>
      </c>
      <c r="AI4" t="s">
        <v>70</v>
      </c>
      <c r="AJ4" t="s">
        <v>71</v>
      </c>
      <c r="AK4" t="s">
        <v>72</v>
      </c>
      <c r="AL4" t="s">
        <v>73</v>
      </c>
      <c r="AM4" t="s">
        <v>74</v>
      </c>
      <c r="AN4" t="s">
        <v>75</v>
      </c>
      <c r="AO4" t="s">
        <v>76</v>
      </c>
      <c r="AP4" t="s">
        <v>77</v>
      </c>
      <c r="AQ4" t="s">
        <v>78</v>
      </c>
      <c r="AR4" t="s">
        <v>79</v>
      </c>
      <c r="AS4" t="s">
        <v>80</v>
      </c>
      <c r="AT4" t="s">
        <v>81</v>
      </c>
      <c r="AU4" t="s">
        <v>82</v>
      </c>
      <c r="AV4" t="s">
        <v>83</v>
      </c>
      <c r="AW4" t="s">
        <v>84</v>
      </c>
      <c r="AX4" t="s">
        <v>85</v>
      </c>
      <c r="AY4" t="s">
        <v>86</v>
      </c>
      <c r="AZ4" t="s">
        <v>87</v>
      </c>
      <c r="BA4" t="s">
        <v>88</v>
      </c>
      <c r="BB4" t="s">
        <v>89</v>
      </c>
      <c r="BC4" t="s">
        <v>90</v>
      </c>
      <c r="BD4" t="s">
        <v>91</v>
      </c>
      <c r="BE4" t="s">
        <v>92</v>
      </c>
      <c r="BF4" t="s">
        <v>93</v>
      </c>
      <c r="BG4" t="s">
        <v>94</v>
      </c>
      <c r="BH4" t="s">
        <v>95</v>
      </c>
      <c r="BI4" t="s">
        <v>96</v>
      </c>
      <c r="BJ4" t="s">
        <v>97</v>
      </c>
      <c r="BK4" t="s">
        <v>98</v>
      </c>
      <c r="BL4" t="s">
        <v>99</v>
      </c>
      <c r="BM4" t="s">
        <v>100</v>
      </c>
      <c r="BN4" t="s">
        <v>101</v>
      </c>
      <c r="BO4" t="s">
        <v>102</v>
      </c>
      <c r="BP4" t="s">
        <v>103</v>
      </c>
      <c r="BQ4" t="s">
        <v>104</v>
      </c>
      <c r="BR4" t="s">
        <v>105</v>
      </c>
      <c r="BS4" t="s">
        <v>106</v>
      </c>
      <c r="BT4" t="s">
        <v>107</v>
      </c>
      <c r="BU4" t="s">
        <v>108</v>
      </c>
      <c r="BV4" t="s">
        <v>109</v>
      </c>
      <c r="BW4" t="s">
        <v>110</v>
      </c>
      <c r="BX4" t="s">
        <v>111</v>
      </c>
      <c r="BY4" t="s">
        <v>112</v>
      </c>
      <c r="BZ4" t="s">
        <v>113</v>
      </c>
      <c r="CA4" t="s">
        <v>114</v>
      </c>
      <c r="CB4" t="s">
        <v>115</v>
      </c>
      <c r="CC4" t="s">
        <v>116</v>
      </c>
      <c r="CD4" t="s">
        <v>117</v>
      </c>
      <c r="CE4" t="s">
        <v>118</v>
      </c>
      <c r="CF4" t="s">
        <v>119</v>
      </c>
      <c r="CG4" t="s">
        <v>120</v>
      </c>
      <c r="CH4" t="s">
        <v>121</v>
      </c>
      <c r="CI4" t="s">
        <v>122</v>
      </c>
      <c r="CJ4" t="s">
        <v>123</v>
      </c>
      <c r="CK4" t="s">
        <v>124</v>
      </c>
      <c r="CL4" t="s">
        <v>125</v>
      </c>
      <c r="CM4" t="s">
        <v>126</v>
      </c>
      <c r="CN4" t="s">
        <v>127</v>
      </c>
      <c r="CO4" t="s">
        <v>128</v>
      </c>
      <c r="CP4" t="s">
        <v>129</v>
      </c>
      <c r="CQ4" t="s">
        <v>130</v>
      </c>
      <c r="CR4" t="s">
        <v>131</v>
      </c>
      <c r="CS4" t="s">
        <v>132</v>
      </c>
      <c r="CT4" t="s">
        <v>133</v>
      </c>
      <c r="CU4" t="s">
        <v>134</v>
      </c>
      <c r="CV4" t="s">
        <v>135</v>
      </c>
      <c r="CW4" t="s">
        <v>136</v>
      </c>
      <c r="CX4" t="s">
        <v>137</v>
      </c>
      <c r="CY4" t="s">
        <v>138</v>
      </c>
      <c r="CZ4" t="s">
        <v>139</v>
      </c>
      <c r="DA4" t="s">
        <v>140</v>
      </c>
      <c r="DB4" t="s">
        <v>141</v>
      </c>
      <c r="DC4" t="s">
        <v>142</v>
      </c>
      <c r="DD4" t="s">
        <v>143</v>
      </c>
      <c r="DE4" t="s">
        <v>144</v>
      </c>
      <c r="DF4" t="s">
        <v>145</v>
      </c>
      <c r="DG4" t="s">
        <v>146</v>
      </c>
      <c r="DH4" t="s">
        <v>147</v>
      </c>
      <c r="DI4" t="s">
        <v>148</v>
      </c>
      <c r="DJ4" t="s">
        <v>149</v>
      </c>
      <c r="DK4" t="s">
        <v>150</v>
      </c>
      <c r="DL4" t="s">
        <v>151</v>
      </c>
      <c r="DM4" t="s">
        <v>152</v>
      </c>
      <c r="DN4" t="s">
        <v>153</v>
      </c>
      <c r="DO4" t="s">
        <v>154</v>
      </c>
      <c r="DP4" t="s">
        <v>155</v>
      </c>
      <c r="DQ4" t="s">
        <v>156</v>
      </c>
      <c r="DR4" t="s">
        <v>157</v>
      </c>
      <c r="DS4" t="s">
        <v>158</v>
      </c>
      <c r="DT4" t="s">
        <v>159</v>
      </c>
      <c r="DU4" t="s">
        <v>160</v>
      </c>
      <c r="DV4" t="s">
        <v>161</v>
      </c>
      <c r="DW4" t="s">
        <v>162</v>
      </c>
      <c r="DX4" t="s">
        <v>163</v>
      </c>
      <c r="DY4" t="s">
        <v>164</v>
      </c>
      <c r="DZ4" t="s">
        <v>165</v>
      </c>
      <c r="EA4" t="s">
        <v>166</v>
      </c>
      <c r="EB4" t="s">
        <v>167</v>
      </c>
      <c r="EC4" t="s">
        <v>168</v>
      </c>
      <c r="ED4" t="s">
        <v>169</v>
      </c>
      <c r="EE4" t="s">
        <v>170</v>
      </c>
      <c r="EF4" t="s">
        <v>171</v>
      </c>
      <c r="EG4" t="s">
        <v>172</v>
      </c>
      <c r="EH4" t="s">
        <v>173</v>
      </c>
      <c r="EI4" t="s">
        <v>174</v>
      </c>
      <c r="EJ4" t="s">
        <v>175</v>
      </c>
      <c r="EK4" t="s">
        <v>176</v>
      </c>
      <c r="EL4" t="s">
        <v>177</v>
      </c>
      <c r="EM4" t="s">
        <v>178</v>
      </c>
      <c r="EN4" t="s">
        <v>179</v>
      </c>
      <c r="EO4" t="s">
        <v>180</v>
      </c>
      <c r="EP4" t="s">
        <v>181</v>
      </c>
      <c r="EQ4" t="s">
        <v>182</v>
      </c>
      <c r="ER4" t="s">
        <v>183</v>
      </c>
      <c r="ES4" t="s">
        <v>184</v>
      </c>
      <c r="ET4" t="s">
        <v>185</v>
      </c>
      <c r="EU4" t="s">
        <v>186</v>
      </c>
      <c r="EV4" t="s">
        <v>187</v>
      </c>
      <c r="EW4" t="s">
        <v>188</v>
      </c>
      <c r="EX4" t="s">
        <v>189</v>
      </c>
      <c r="EY4" t="s">
        <v>190</v>
      </c>
      <c r="EZ4" t="s">
        <v>191</v>
      </c>
      <c r="FA4" t="s">
        <v>192</v>
      </c>
      <c r="FB4" t="s">
        <v>193</v>
      </c>
      <c r="FC4" t="s">
        <v>194</v>
      </c>
      <c r="FD4" t="s">
        <v>195</v>
      </c>
      <c r="FE4" t="s">
        <v>196</v>
      </c>
      <c r="FF4" t="s">
        <v>197</v>
      </c>
      <c r="FG4" t="s">
        <v>198</v>
      </c>
      <c r="FH4" t="s">
        <v>199</v>
      </c>
      <c r="FI4" t="s">
        <v>200</v>
      </c>
      <c r="FJ4" t="s">
        <v>201</v>
      </c>
      <c r="FK4" t="s">
        <v>202</v>
      </c>
      <c r="FL4" t="s">
        <v>203</v>
      </c>
      <c r="FM4" t="s">
        <v>204</v>
      </c>
      <c r="FN4" t="s">
        <v>205</v>
      </c>
      <c r="FO4" t="s">
        <v>206</v>
      </c>
      <c r="FP4" t="s">
        <v>207</v>
      </c>
      <c r="FQ4" t="s">
        <v>208</v>
      </c>
      <c r="FR4" t="s">
        <v>209</v>
      </c>
      <c r="FS4" t="s">
        <v>210</v>
      </c>
      <c r="FT4" t="s">
        <v>211</v>
      </c>
      <c r="FU4" t="s">
        <v>212</v>
      </c>
      <c r="FV4" t="s">
        <v>213</v>
      </c>
      <c r="FW4" t="s">
        <v>214</v>
      </c>
      <c r="FX4" t="s">
        <v>215</v>
      </c>
      <c r="FY4" t="s">
        <v>216</v>
      </c>
      <c r="FZ4" t="s">
        <v>217</v>
      </c>
      <c r="GA4" t="s">
        <v>218</v>
      </c>
      <c r="GB4" t="s">
        <v>219</v>
      </c>
      <c r="GC4" t="s">
        <v>220</v>
      </c>
      <c r="GD4" t="s">
        <v>221</v>
      </c>
      <c r="GE4" t="s">
        <v>222</v>
      </c>
      <c r="GF4" t="s">
        <v>223</v>
      </c>
      <c r="GG4" t="s">
        <v>224</v>
      </c>
      <c r="GH4" t="s">
        <v>225</v>
      </c>
      <c r="GI4" t="s">
        <v>226</v>
      </c>
      <c r="GJ4" t="s">
        <v>227</v>
      </c>
      <c r="GK4" t="s">
        <v>228</v>
      </c>
      <c r="GL4" t="s">
        <v>229</v>
      </c>
      <c r="GM4" t="s">
        <v>230</v>
      </c>
      <c r="GN4" t="s">
        <v>231</v>
      </c>
      <c r="GO4" t="s">
        <v>232</v>
      </c>
      <c r="GP4" t="s">
        <v>233</v>
      </c>
      <c r="GQ4" t="s">
        <v>234</v>
      </c>
      <c r="GR4" t="s">
        <v>235</v>
      </c>
      <c r="GS4" t="s">
        <v>236</v>
      </c>
      <c r="GT4" t="s">
        <v>237</v>
      </c>
      <c r="GU4" t="s">
        <v>238</v>
      </c>
      <c r="GV4" t="s">
        <v>239</v>
      </c>
      <c r="GW4" t="s">
        <v>240</v>
      </c>
      <c r="GX4" t="s">
        <v>241</v>
      </c>
      <c r="GY4" t="s">
        <v>242</v>
      </c>
      <c r="GZ4" t="s">
        <v>243</v>
      </c>
      <c r="HA4" t="s">
        <v>244</v>
      </c>
      <c r="HB4" t="s">
        <v>245</v>
      </c>
      <c r="HC4" t="s">
        <v>246</v>
      </c>
      <c r="HD4" t="s">
        <v>247</v>
      </c>
      <c r="HE4" t="s">
        <v>248</v>
      </c>
      <c r="HF4" t="s">
        <v>249</v>
      </c>
      <c r="HG4" t="s">
        <v>250</v>
      </c>
      <c r="HH4" t="s">
        <v>251</v>
      </c>
      <c r="HI4" t="s">
        <v>252</v>
      </c>
      <c r="HJ4" t="s">
        <v>253</v>
      </c>
      <c r="HK4" t="s">
        <v>254</v>
      </c>
      <c r="HL4" t="s">
        <v>255</v>
      </c>
      <c r="HM4" t="s">
        <v>256</v>
      </c>
      <c r="HN4" t="s">
        <v>257</v>
      </c>
      <c r="HO4" t="s">
        <v>258</v>
      </c>
      <c r="HP4" t="s">
        <v>259</v>
      </c>
      <c r="HQ4" t="s">
        <v>260</v>
      </c>
      <c r="HR4" t="s">
        <v>261</v>
      </c>
      <c r="HS4" t="s">
        <v>262</v>
      </c>
      <c r="HT4" t="s">
        <v>263</v>
      </c>
      <c r="HU4" t="s">
        <v>264</v>
      </c>
      <c r="HV4" t="s">
        <v>265</v>
      </c>
      <c r="HW4" t="s">
        <v>266</v>
      </c>
      <c r="HX4" t="s">
        <v>267</v>
      </c>
      <c r="HY4" t="s">
        <v>268</v>
      </c>
      <c r="HZ4" t="s">
        <v>269</v>
      </c>
      <c r="IA4" t="s">
        <v>270</v>
      </c>
      <c r="IB4" t="s">
        <v>271</v>
      </c>
      <c r="IC4" t="s">
        <v>272</v>
      </c>
      <c r="ID4" t="s">
        <v>273</v>
      </c>
      <c r="IE4" t="s">
        <v>274</v>
      </c>
      <c r="IF4" t="s">
        <v>275</v>
      </c>
      <c r="IG4" t="s">
        <v>276</v>
      </c>
      <c r="IH4" t="s">
        <v>277</v>
      </c>
      <c r="II4" t="s">
        <v>278</v>
      </c>
      <c r="IJ4" t="s">
        <v>279</v>
      </c>
      <c r="IK4" t="s">
        <v>280</v>
      </c>
      <c r="IL4" t="s">
        <v>281</v>
      </c>
      <c r="IM4" t="s">
        <v>282</v>
      </c>
      <c r="IN4" t="s">
        <v>283</v>
      </c>
      <c r="IO4" t="s">
        <v>284</v>
      </c>
      <c r="IP4" t="s">
        <v>285</v>
      </c>
      <c r="IQ4" t="s">
        <v>286</v>
      </c>
      <c r="IR4" t="s">
        <v>287</v>
      </c>
      <c r="IS4" t="s">
        <v>288</v>
      </c>
      <c r="IT4" t="s">
        <v>289</v>
      </c>
      <c r="IU4" t="s">
        <v>290</v>
      </c>
      <c r="IV4" t="s">
        <v>291</v>
      </c>
      <c r="IW4" t="s">
        <v>292</v>
      </c>
      <c r="IX4" t="s">
        <v>293</v>
      </c>
      <c r="IY4" t="s">
        <v>294</v>
      </c>
      <c r="IZ4" t="s">
        <v>295</v>
      </c>
      <c r="JA4" t="s">
        <v>296</v>
      </c>
      <c r="JB4" t="s">
        <v>297</v>
      </c>
      <c r="JC4" t="s">
        <v>298</v>
      </c>
      <c r="JD4" t="s">
        <v>299</v>
      </c>
      <c r="JE4" t="s">
        <v>300</v>
      </c>
      <c r="JF4" t="s">
        <v>301</v>
      </c>
      <c r="JG4" t="s">
        <v>302</v>
      </c>
      <c r="JH4" t="s">
        <v>303</v>
      </c>
      <c r="JI4" t="s">
        <v>304</v>
      </c>
      <c r="JJ4" t="s">
        <v>305</v>
      </c>
      <c r="JK4" t="s">
        <v>306</v>
      </c>
      <c r="JL4" t="s">
        <v>307</v>
      </c>
      <c r="JM4" t="s">
        <v>308</v>
      </c>
      <c r="JN4" t="s">
        <v>309</v>
      </c>
      <c r="JO4" t="s">
        <v>310</v>
      </c>
      <c r="JP4" t="s">
        <v>311</v>
      </c>
      <c r="JQ4" t="s">
        <v>312</v>
      </c>
      <c r="JR4" t="s">
        <v>313</v>
      </c>
      <c r="JS4" t="s">
        <v>314</v>
      </c>
      <c r="JT4" t="s">
        <v>315</v>
      </c>
      <c r="JU4" t="s">
        <v>316</v>
      </c>
      <c r="JV4" t="s">
        <v>317</v>
      </c>
      <c r="JW4" t="s">
        <v>318</v>
      </c>
      <c r="JX4" t="s">
        <v>319</v>
      </c>
      <c r="JY4" t="s">
        <v>320</v>
      </c>
      <c r="JZ4" t="s">
        <v>321</v>
      </c>
      <c r="KA4" t="s">
        <v>322</v>
      </c>
      <c r="KB4" t="s">
        <v>323</v>
      </c>
      <c r="KC4" t="s">
        <v>324</v>
      </c>
      <c r="KD4" t="s">
        <v>325</v>
      </c>
      <c r="KE4" t="s">
        <v>326</v>
      </c>
      <c r="KF4" t="s">
        <v>327</v>
      </c>
      <c r="KG4" t="s">
        <v>328</v>
      </c>
      <c r="KH4" t="s">
        <v>329</v>
      </c>
      <c r="KI4" t="s">
        <v>330</v>
      </c>
      <c r="KJ4" t="s">
        <v>331</v>
      </c>
      <c r="KK4" t="s">
        <v>332</v>
      </c>
      <c r="KL4" t="s">
        <v>333</v>
      </c>
      <c r="KM4" t="s">
        <v>334</v>
      </c>
      <c r="KN4" t="s">
        <v>335</v>
      </c>
      <c r="KO4" t="s">
        <v>336</v>
      </c>
      <c r="KP4" t="s">
        <v>337</v>
      </c>
      <c r="KQ4" t="s">
        <v>338</v>
      </c>
      <c r="KR4" t="s">
        <v>339</v>
      </c>
      <c r="KS4" t="s">
        <v>340</v>
      </c>
      <c r="KT4" t="s">
        <v>341</v>
      </c>
      <c r="KU4" t="s">
        <v>342</v>
      </c>
      <c r="KV4" t="s">
        <v>343</v>
      </c>
      <c r="KW4" t="s">
        <v>344</v>
      </c>
      <c r="KX4" t="s">
        <v>345</v>
      </c>
      <c r="KY4" t="s">
        <v>346</v>
      </c>
      <c r="KZ4" t="s">
        <v>347</v>
      </c>
      <c r="LA4" t="s">
        <v>348</v>
      </c>
      <c r="LB4" t="s">
        <v>349</v>
      </c>
    </row>
    <row r="5" spans="1:314" s="155" customFormat="1" x14ac:dyDescent="0.25">
      <c r="A5" s="157" t="s">
        <v>394</v>
      </c>
      <c r="B5" s="157"/>
      <c r="C5" s="157" t="s">
        <v>1078</v>
      </c>
      <c r="D5" s="157"/>
      <c r="E5" s="158"/>
      <c r="F5" s="157"/>
      <c r="G5" s="157" t="s">
        <v>395</v>
      </c>
      <c r="Q5" s="155">
        <v>11724786</v>
      </c>
      <c r="AH5" s="155">
        <v>25583934</v>
      </c>
      <c r="AI5" s="155">
        <v>15149317</v>
      </c>
      <c r="AJ5" s="155">
        <v>5818338</v>
      </c>
      <c r="AK5" s="155">
        <v>8243683</v>
      </c>
      <c r="AL5" s="155">
        <v>305249</v>
      </c>
      <c r="AM5" s="155">
        <v>1.0000000000000001E-5</v>
      </c>
      <c r="CU5" s="155">
        <v>59180</v>
      </c>
      <c r="CV5" s="155">
        <v>216765</v>
      </c>
      <c r="CW5" s="155">
        <v>1864000</v>
      </c>
      <c r="CX5" s="155">
        <v>937188</v>
      </c>
      <c r="CY5" s="155">
        <v>18912</v>
      </c>
      <c r="CZ5" s="155">
        <v>196034</v>
      </c>
      <c r="DA5" s="155">
        <v>813693</v>
      </c>
      <c r="DB5" s="155">
        <v>83328</v>
      </c>
      <c r="DC5" s="155">
        <v>562426</v>
      </c>
      <c r="DD5" s="155">
        <v>10032</v>
      </c>
      <c r="DE5" s="155">
        <v>242999</v>
      </c>
      <c r="DF5" s="155">
        <v>3581392</v>
      </c>
      <c r="DG5" s="155">
        <v>392000</v>
      </c>
      <c r="DH5" s="155">
        <v>420078</v>
      </c>
      <c r="DJ5" s="155">
        <v>710433</v>
      </c>
      <c r="DK5" s="155">
        <v>27856</v>
      </c>
      <c r="DL5" s="155">
        <v>284820</v>
      </c>
      <c r="DM5" s="155">
        <v>3029078</v>
      </c>
      <c r="DN5" s="155">
        <v>270484</v>
      </c>
      <c r="DO5" s="155">
        <v>236316</v>
      </c>
      <c r="DP5" s="155">
        <v>2160</v>
      </c>
      <c r="DQ5" s="155">
        <v>454686</v>
      </c>
      <c r="DR5" s="155">
        <v>460180</v>
      </c>
      <c r="DS5" s="155">
        <v>3077320</v>
      </c>
      <c r="DT5" s="155">
        <v>909993</v>
      </c>
      <c r="DY5" s="155">
        <v>92488</v>
      </c>
      <c r="DZ5" s="155">
        <v>677522</v>
      </c>
      <c r="EA5" s="155">
        <v>6063394</v>
      </c>
      <c r="EB5" s="155">
        <v>3972616</v>
      </c>
      <c r="EC5" s="155">
        <v>130068</v>
      </c>
      <c r="ED5" s="155">
        <v>629499</v>
      </c>
      <c r="EE5" s="155">
        <v>3386344</v>
      </c>
      <c r="EF5" s="155">
        <v>319407</v>
      </c>
      <c r="EG5" s="155">
        <v>1802862</v>
      </c>
      <c r="EH5" s="155">
        <v>119913</v>
      </c>
      <c r="EI5" s="155">
        <v>2186679</v>
      </c>
      <c r="EJ5" s="155">
        <v>9990283</v>
      </c>
      <c r="EK5" s="155">
        <v>1462262</v>
      </c>
      <c r="EL5" s="155">
        <v>3127357</v>
      </c>
      <c r="EN5" s="155">
        <v>2206688</v>
      </c>
      <c r="EO5" s="155">
        <v>316019</v>
      </c>
      <c r="EP5" s="155">
        <v>1211915</v>
      </c>
      <c r="EQ5" s="155">
        <v>8894644</v>
      </c>
      <c r="ER5" s="155">
        <v>238493</v>
      </c>
      <c r="ES5" s="155">
        <v>1366924</v>
      </c>
      <c r="ET5" s="155">
        <v>155</v>
      </c>
      <c r="EU5" s="155">
        <v>1805502</v>
      </c>
      <c r="EV5" s="155">
        <v>1220032</v>
      </c>
      <c r="EW5" s="155">
        <v>9198271</v>
      </c>
      <c r="EX5" s="155">
        <v>4482794</v>
      </c>
      <c r="IO5" s="155">
        <v>39766</v>
      </c>
      <c r="IP5" s="155">
        <v>120386</v>
      </c>
      <c r="IQ5" s="155">
        <v>1265244</v>
      </c>
      <c r="IR5" s="155">
        <v>697796</v>
      </c>
      <c r="IS5" s="155">
        <v>71110</v>
      </c>
      <c r="IT5" s="155">
        <v>294971</v>
      </c>
      <c r="IU5" s="155">
        <v>714243</v>
      </c>
      <c r="IV5" s="155">
        <v>62567</v>
      </c>
      <c r="IW5" s="155">
        <v>505219</v>
      </c>
      <c r="IX5" s="155">
        <v>44438</v>
      </c>
      <c r="IY5" s="155">
        <v>520220</v>
      </c>
      <c r="IZ5" s="155">
        <v>1135167</v>
      </c>
      <c r="JA5" s="155">
        <v>251261</v>
      </c>
      <c r="JB5" s="155">
        <v>481545</v>
      </c>
      <c r="JD5" s="155">
        <v>523342</v>
      </c>
      <c r="JE5" s="155">
        <v>7072</v>
      </c>
      <c r="JF5" s="155">
        <v>173227</v>
      </c>
      <c r="JG5" s="155">
        <v>835288</v>
      </c>
      <c r="JH5" s="155">
        <v>106823</v>
      </c>
      <c r="JI5" s="155">
        <v>602896</v>
      </c>
      <c r="JJ5" s="155">
        <v>549</v>
      </c>
      <c r="JK5" s="155">
        <v>345689</v>
      </c>
      <c r="JL5" s="155">
        <v>149900</v>
      </c>
      <c r="JM5" s="155">
        <v>866658</v>
      </c>
      <c r="JN5" s="155">
        <v>902769</v>
      </c>
    </row>
    <row r="6" spans="1:314" s="155" customFormat="1" x14ac:dyDescent="0.25">
      <c r="A6" s="157" t="s">
        <v>350</v>
      </c>
      <c r="B6" s="157"/>
      <c r="C6" s="157" t="s">
        <v>1078</v>
      </c>
      <c r="D6" s="157"/>
      <c r="E6" s="158"/>
      <c r="F6" s="157"/>
      <c r="G6" s="157" t="s">
        <v>351</v>
      </c>
      <c r="Q6" s="155">
        <v>736032</v>
      </c>
      <c r="AH6" s="155">
        <v>4128045</v>
      </c>
      <c r="AI6" s="155">
        <v>1321895</v>
      </c>
      <c r="AJ6" s="155">
        <v>467883</v>
      </c>
      <c r="AK6" s="155">
        <v>871247</v>
      </c>
      <c r="AL6" s="155">
        <v>0</v>
      </c>
      <c r="CU6" s="155">
        <v>34128</v>
      </c>
      <c r="CV6" s="155">
        <v>72986</v>
      </c>
      <c r="CW6" s="155">
        <v>217216</v>
      </c>
      <c r="CX6" s="155">
        <v>248013</v>
      </c>
      <c r="CZ6" s="155">
        <v>55866</v>
      </c>
      <c r="DA6" s="155">
        <v>236456</v>
      </c>
      <c r="DC6" s="155">
        <v>42510</v>
      </c>
      <c r="DE6" s="155">
        <v>48280</v>
      </c>
      <c r="DF6" s="155">
        <v>263288</v>
      </c>
      <c r="DG6" s="155">
        <v>21733</v>
      </c>
      <c r="DH6" s="155">
        <v>75816</v>
      </c>
      <c r="DJ6" s="155">
        <v>161824</v>
      </c>
      <c r="DK6" s="155">
        <v>24112</v>
      </c>
      <c r="DL6" s="155">
        <v>42480</v>
      </c>
      <c r="DM6" s="155">
        <v>221808</v>
      </c>
      <c r="DN6" s="155">
        <v>33600</v>
      </c>
      <c r="DQ6" s="155">
        <v>82752</v>
      </c>
      <c r="DR6" s="155">
        <v>120448</v>
      </c>
      <c r="DS6" s="155">
        <v>289824</v>
      </c>
      <c r="DT6" s="155">
        <v>102560</v>
      </c>
      <c r="DY6" s="155">
        <v>51157</v>
      </c>
      <c r="DZ6" s="155">
        <v>166436</v>
      </c>
      <c r="EA6" s="155">
        <v>630382</v>
      </c>
      <c r="EB6" s="155">
        <v>861121</v>
      </c>
      <c r="ED6" s="155">
        <v>136086</v>
      </c>
      <c r="EE6" s="155">
        <v>626473</v>
      </c>
      <c r="EG6" s="155">
        <v>112780</v>
      </c>
      <c r="EI6" s="155">
        <v>67856</v>
      </c>
      <c r="EJ6" s="155">
        <v>886717</v>
      </c>
      <c r="EK6" s="155">
        <v>86934</v>
      </c>
      <c r="EL6" s="155">
        <v>397147</v>
      </c>
      <c r="EN6" s="155">
        <v>551970</v>
      </c>
      <c r="EO6" s="155">
        <v>181789</v>
      </c>
      <c r="EP6" s="155">
        <v>127453</v>
      </c>
      <c r="EQ6" s="155">
        <v>524562</v>
      </c>
      <c r="ER6" s="155">
        <v>56349</v>
      </c>
      <c r="EU6" s="155">
        <v>333307</v>
      </c>
      <c r="EV6" s="155">
        <v>288622</v>
      </c>
      <c r="EW6" s="155">
        <v>782541</v>
      </c>
      <c r="EX6" s="155">
        <v>401129</v>
      </c>
      <c r="IO6" s="155">
        <v>21079</v>
      </c>
      <c r="IP6" s="155">
        <v>120029</v>
      </c>
      <c r="IQ6" s="155">
        <v>118181</v>
      </c>
      <c r="IR6" s="155">
        <v>200749</v>
      </c>
      <c r="IT6" s="155">
        <v>51711</v>
      </c>
      <c r="IU6" s="155">
        <v>135910</v>
      </c>
      <c r="IW6" s="155">
        <v>43347</v>
      </c>
      <c r="IY6" s="155">
        <v>43770</v>
      </c>
      <c r="IZ6" s="155">
        <v>118605</v>
      </c>
      <c r="JA6" s="155">
        <v>10577</v>
      </c>
      <c r="JB6" s="155">
        <v>141855</v>
      </c>
      <c r="JD6" s="155">
        <v>90739</v>
      </c>
      <c r="JE6" s="155">
        <v>22015</v>
      </c>
      <c r="JF6" s="155">
        <v>20666</v>
      </c>
      <c r="JG6" s="155">
        <v>74864</v>
      </c>
      <c r="JH6" s="155">
        <v>10757</v>
      </c>
      <c r="JK6" s="155">
        <v>48808</v>
      </c>
      <c r="JL6" s="155">
        <v>62047</v>
      </c>
      <c r="JM6" s="155">
        <v>104863</v>
      </c>
      <c r="JN6" s="155">
        <v>152281</v>
      </c>
    </row>
    <row r="7" spans="1:314" s="155" customFormat="1" x14ac:dyDescent="0.25">
      <c r="A7" s="157" t="s">
        <v>352</v>
      </c>
      <c r="B7" s="157"/>
      <c r="C7" s="157" t="s">
        <v>1078</v>
      </c>
      <c r="D7" s="157"/>
      <c r="E7" s="158"/>
      <c r="F7" s="157"/>
      <c r="G7" s="157" t="s">
        <v>353</v>
      </c>
      <c r="Q7" s="155">
        <v>2630845</v>
      </c>
      <c r="AH7" s="155">
        <v>6794592</v>
      </c>
      <c r="AI7" s="155">
        <v>2711383</v>
      </c>
      <c r="AJ7" s="155">
        <v>1099197</v>
      </c>
      <c r="AK7" s="155">
        <v>1191593</v>
      </c>
      <c r="AL7" s="155">
        <v>326035</v>
      </c>
      <c r="CU7" s="155">
        <v>5953</v>
      </c>
      <c r="CV7" s="155">
        <v>78852</v>
      </c>
      <c r="CW7" s="155">
        <v>403664</v>
      </c>
      <c r="CX7" s="155">
        <v>346678</v>
      </c>
      <c r="CZ7" s="155">
        <v>37856</v>
      </c>
      <c r="DA7" s="155">
        <v>190026</v>
      </c>
      <c r="DB7" s="155">
        <v>5212</v>
      </c>
      <c r="DC7" s="155">
        <v>175052</v>
      </c>
      <c r="DD7" s="155">
        <v>1472</v>
      </c>
      <c r="DE7" s="155">
        <v>175562</v>
      </c>
      <c r="DF7" s="155">
        <v>695767</v>
      </c>
      <c r="DG7" s="155">
        <v>24947</v>
      </c>
      <c r="DH7" s="155">
        <v>252286</v>
      </c>
      <c r="DI7" s="155">
        <v>47945</v>
      </c>
      <c r="DJ7" s="155">
        <v>323755</v>
      </c>
      <c r="DK7" s="155">
        <v>17728</v>
      </c>
      <c r="DL7" s="155">
        <v>113328</v>
      </c>
      <c r="DM7" s="155">
        <v>480008</v>
      </c>
      <c r="DN7" s="155">
        <v>72896</v>
      </c>
      <c r="DO7" s="155">
        <v>114614</v>
      </c>
      <c r="DP7" s="155">
        <v>8576</v>
      </c>
      <c r="DQ7" s="155">
        <v>104772</v>
      </c>
      <c r="DR7" s="155">
        <v>220025</v>
      </c>
      <c r="DS7" s="155">
        <v>435889</v>
      </c>
      <c r="DT7" s="155">
        <v>224639</v>
      </c>
      <c r="DY7" s="155">
        <v>15524</v>
      </c>
      <c r="DZ7" s="155">
        <v>225428</v>
      </c>
      <c r="EA7" s="155">
        <v>1009013</v>
      </c>
      <c r="EB7" s="155">
        <v>996188</v>
      </c>
      <c r="ED7" s="155">
        <v>117680</v>
      </c>
      <c r="EE7" s="155">
        <v>545861</v>
      </c>
      <c r="EF7" s="155">
        <v>12635</v>
      </c>
      <c r="EG7" s="155">
        <v>359098</v>
      </c>
      <c r="EH7" s="155">
        <v>3656</v>
      </c>
      <c r="EI7" s="155">
        <v>426934</v>
      </c>
      <c r="EJ7" s="155">
        <v>2035653</v>
      </c>
      <c r="EK7" s="155">
        <v>75764</v>
      </c>
      <c r="EL7" s="155">
        <v>806786</v>
      </c>
      <c r="EM7" s="155">
        <v>175359</v>
      </c>
      <c r="EN7" s="155">
        <v>1008322</v>
      </c>
      <c r="EO7" s="155">
        <v>67780</v>
      </c>
      <c r="EP7" s="155">
        <v>413675</v>
      </c>
      <c r="EQ7" s="155">
        <v>1188574</v>
      </c>
      <c r="ER7" s="155">
        <v>209822</v>
      </c>
      <c r="ES7" s="155">
        <v>329655</v>
      </c>
      <c r="ET7" s="155">
        <v>24154</v>
      </c>
      <c r="EU7" s="155">
        <v>199250</v>
      </c>
      <c r="EV7" s="155">
        <v>336548</v>
      </c>
      <c r="EW7" s="155">
        <v>858708</v>
      </c>
      <c r="EX7" s="155">
        <v>701846</v>
      </c>
      <c r="IO7" s="155">
        <v>3426</v>
      </c>
      <c r="IP7" s="155">
        <v>68440</v>
      </c>
      <c r="IQ7" s="155">
        <v>161810</v>
      </c>
      <c r="IR7" s="155">
        <v>239123</v>
      </c>
      <c r="IT7" s="155">
        <v>20567</v>
      </c>
      <c r="IU7" s="155">
        <v>105550</v>
      </c>
      <c r="IV7" s="155">
        <v>8162</v>
      </c>
      <c r="IW7" s="155">
        <v>78675</v>
      </c>
      <c r="IX7" s="155">
        <v>587</v>
      </c>
      <c r="IY7" s="155">
        <v>183116</v>
      </c>
      <c r="IZ7" s="155">
        <v>573314</v>
      </c>
      <c r="JA7" s="155">
        <v>20426</v>
      </c>
      <c r="JB7" s="155">
        <v>257428</v>
      </c>
      <c r="JC7" s="155">
        <v>37571</v>
      </c>
      <c r="JD7" s="155">
        <v>405059</v>
      </c>
      <c r="JE7" s="155">
        <v>10399</v>
      </c>
      <c r="JF7" s="155">
        <v>46642</v>
      </c>
      <c r="JG7" s="155">
        <v>226106</v>
      </c>
      <c r="JH7" s="155">
        <v>62083</v>
      </c>
      <c r="JI7" s="155">
        <v>97993</v>
      </c>
      <c r="JJ7" s="155">
        <v>6695</v>
      </c>
      <c r="JK7" s="155">
        <v>12996</v>
      </c>
      <c r="JL7" s="155">
        <v>636798</v>
      </c>
      <c r="JM7" s="155">
        <v>91910</v>
      </c>
      <c r="JN7" s="155">
        <v>122406</v>
      </c>
    </row>
    <row r="8" spans="1:314" s="155" customFormat="1" x14ac:dyDescent="0.25">
      <c r="A8" s="157" t="s">
        <v>421</v>
      </c>
      <c r="B8" s="157"/>
      <c r="C8" s="157" t="s">
        <v>1078</v>
      </c>
      <c r="D8" s="157"/>
      <c r="E8" s="158"/>
      <c r="F8" s="157"/>
      <c r="G8" s="157" t="s">
        <v>422</v>
      </c>
      <c r="Q8" s="155">
        <v>374523</v>
      </c>
      <c r="AH8" s="155">
        <v>1552799</v>
      </c>
      <c r="AI8" s="155">
        <v>696667</v>
      </c>
      <c r="AJ8" s="155">
        <v>343483</v>
      </c>
      <c r="AK8" s="155">
        <v>1300040</v>
      </c>
      <c r="AL8" s="155">
        <v>0</v>
      </c>
      <c r="CU8" s="155">
        <v>4832</v>
      </c>
      <c r="CV8" s="155">
        <v>62112</v>
      </c>
      <c r="CW8" s="155">
        <v>198176</v>
      </c>
      <c r="CX8" s="155">
        <v>143739</v>
      </c>
      <c r="CZ8" s="155">
        <v>10640</v>
      </c>
      <c r="DA8" s="155">
        <v>51082</v>
      </c>
      <c r="DB8" s="155">
        <v>11152</v>
      </c>
      <c r="DC8" s="155">
        <v>62310</v>
      </c>
      <c r="DD8" s="155">
        <v>2268</v>
      </c>
      <c r="DE8" s="155">
        <v>30064</v>
      </c>
      <c r="DF8" s="155">
        <v>371484</v>
      </c>
      <c r="DG8" s="155">
        <v>25624</v>
      </c>
      <c r="DH8" s="155">
        <v>167368</v>
      </c>
      <c r="DJ8" s="155">
        <v>229313</v>
      </c>
      <c r="DK8" s="155">
        <v>27488</v>
      </c>
      <c r="DL8" s="155">
        <v>68080</v>
      </c>
      <c r="DM8" s="155">
        <v>275653</v>
      </c>
      <c r="DN8" s="155">
        <v>8288</v>
      </c>
      <c r="DO8" s="155">
        <v>8920</v>
      </c>
      <c r="DP8" s="155">
        <v>64</v>
      </c>
      <c r="DQ8" s="155">
        <v>44592</v>
      </c>
      <c r="DR8" s="155">
        <v>201070</v>
      </c>
      <c r="DS8" s="155">
        <v>331352</v>
      </c>
      <c r="DT8" s="155">
        <v>111280</v>
      </c>
      <c r="DY8" s="155">
        <v>6713</v>
      </c>
      <c r="DZ8" s="155">
        <v>306329</v>
      </c>
      <c r="EA8" s="155">
        <v>453159</v>
      </c>
      <c r="EB8" s="155">
        <v>489308</v>
      </c>
      <c r="ED8" s="155">
        <v>39702</v>
      </c>
      <c r="EE8" s="155">
        <v>255806</v>
      </c>
      <c r="EF8" s="155">
        <v>61977</v>
      </c>
      <c r="EG8" s="155">
        <v>171205</v>
      </c>
      <c r="EH8" s="155">
        <v>12397</v>
      </c>
      <c r="EI8" s="155">
        <v>167082</v>
      </c>
      <c r="EJ8" s="155">
        <v>812861</v>
      </c>
      <c r="EK8" s="155">
        <v>70346</v>
      </c>
      <c r="EL8" s="155">
        <v>747343</v>
      </c>
      <c r="EN8" s="155">
        <v>649000</v>
      </c>
      <c r="EO8" s="155">
        <v>171581</v>
      </c>
      <c r="EP8" s="155">
        <v>94921</v>
      </c>
      <c r="EQ8" s="155">
        <v>641913</v>
      </c>
      <c r="ER8" s="155">
        <v>54290</v>
      </c>
      <c r="ES8" s="155">
        <v>37957</v>
      </c>
      <c r="ET8" s="155">
        <v>191</v>
      </c>
      <c r="EU8" s="155">
        <v>163735</v>
      </c>
      <c r="EV8" s="155">
        <v>328670</v>
      </c>
      <c r="EW8" s="155">
        <v>631004</v>
      </c>
      <c r="EX8" s="155">
        <v>309753</v>
      </c>
      <c r="IO8" s="155">
        <v>1184</v>
      </c>
      <c r="IP8" s="155">
        <v>21402</v>
      </c>
      <c r="IQ8" s="155">
        <v>64110</v>
      </c>
      <c r="IR8" s="155">
        <v>23301</v>
      </c>
      <c r="IT8" s="155">
        <v>3280</v>
      </c>
      <c r="IU8" s="155">
        <v>54714</v>
      </c>
      <c r="IV8" s="155">
        <v>4315</v>
      </c>
      <c r="IW8" s="155">
        <v>40337</v>
      </c>
      <c r="IX8" s="155">
        <v>2228</v>
      </c>
      <c r="IY8" s="155">
        <v>11632</v>
      </c>
      <c r="IZ8" s="155">
        <v>74914</v>
      </c>
      <c r="JA8" s="155">
        <v>3286</v>
      </c>
      <c r="JB8" s="155">
        <v>66206</v>
      </c>
      <c r="JD8" s="155">
        <v>113382</v>
      </c>
      <c r="JE8" s="155">
        <v>13614</v>
      </c>
      <c r="JF8" s="155">
        <v>26092</v>
      </c>
      <c r="JG8" s="155">
        <v>33388</v>
      </c>
      <c r="JH8" s="155">
        <v>3871</v>
      </c>
      <c r="JI8" s="155">
        <v>6762</v>
      </c>
      <c r="JJ8" s="155">
        <v>78</v>
      </c>
      <c r="JK8" s="155">
        <v>20683</v>
      </c>
      <c r="JL8" s="155">
        <v>115890</v>
      </c>
      <c r="JM8" s="155">
        <v>30730</v>
      </c>
      <c r="JN8" s="155">
        <v>104556</v>
      </c>
    </row>
    <row r="9" spans="1:314" s="155" customFormat="1" x14ac:dyDescent="0.25">
      <c r="A9" s="157" t="s">
        <v>444</v>
      </c>
      <c r="B9" s="157"/>
      <c r="C9" s="157" t="s">
        <v>1078</v>
      </c>
      <c r="D9" s="157"/>
      <c r="E9" s="158"/>
      <c r="F9" s="157"/>
      <c r="G9" s="157" t="s">
        <v>445</v>
      </c>
      <c r="Q9" s="155">
        <v>3435964</v>
      </c>
      <c r="AH9" s="155">
        <v>17868305</v>
      </c>
      <c r="AI9" s="155">
        <v>7731272</v>
      </c>
      <c r="AJ9" s="155">
        <v>2508627</v>
      </c>
      <c r="AK9" s="155">
        <v>11042463</v>
      </c>
      <c r="AL9" s="155">
        <v>0</v>
      </c>
      <c r="CU9" s="155">
        <v>87228</v>
      </c>
      <c r="CV9" s="155">
        <v>275867</v>
      </c>
      <c r="CW9" s="155">
        <v>1204196</v>
      </c>
      <c r="CX9" s="155">
        <v>582041</v>
      </c>
      <c r="CZ9" s="155">
        <v>141741</v>
      </c>
      <c r="DA9" s="155">
        <v>492385</v>
      </c>
      <c r="DB9" s="155">
        <v>21427</v>
      </c>
      <c r="DC9" s="155">
        <v>194674</v>
      </c>
      <c r="DD9" s="155">
        <v>5760</v>
      </c>
      <c r="DE9" s="155">
        <v>200628</v>
      </c>
      <c r="DF9" s="155">
        <v>1667147</v>
      </c>
      <c r="DG9" s="155">
        <v>551513</v>
      </c>
      <c r="DH9" s="155">
        <v>229802</v>
      </c>
      <c r="DJ9" s="155">
        <v>503608</v>
      </c>
      <c r="DL9" s="155">
        <v>87184</v>
      </c>
      <c r="DM9" s="155">
        <v>1517656</v>
      </c>
      <c r="DN9" s="155">
        <v>90432</v>
      </c>
      <c r="DO9" s="155">
        <v>25200</v>
      </c>
      <c r="DP9" s="155">
        <v>7148</v>
      </c>
      <c r="DQ9" s="155">
        <v>224912</v>
      </c>
      <c r="DR9" s="155">
        <v>187638</v>
      </c>
      <c r="DS9" s="155">
        <v>2456998</v>
      </c>
      <c r="DT9" s="155">
        <v>715528</v>
      </c>
      <c r="DY9" s="155">
        <v>306060</v>
      </c>
      <c r="DZ9" s="155">
        <v>1524566</v>
      </c>
      <c r="EA9" s="155">
        <v>3755272</v>
      </c>
      <c r="EB9" s="155">
        <v>2447576</v>
      </c>
      <c r="ED9" s="155">
        <v>614976</v>
      </c>
      <c r="EE9" s="155">
        <v>1650201</v>
      </c>
      <c r="EF9" s="155">
        <v>104442</v>
      </c>
      <c r="EG9" s="155">
        <v>847587</v>
      </c>
      <c r="EH9" s="155">
        <v>80357</v>
      </c>
      <c r="EI9" s="155">
        <v>1320584</v>
      </c>
      <c r="EJ9" s="155">
        <v>5908974</v>
      </c>
      <c r="EK9" s="155">
        <v>1558269</v>
      </c>
      <c r="EL9" s="155">
        <v>1972698</v>
      </c>
      <c r="EN9" s="155">
        <v>2752966</v>
      </c>
      <c r="EP9" s="155">
        <v>700230</v>
      </c>
      <c r="EQ9" s="155">
        <v>4493831</v>
      </c>
      <c r="ER9" s="155">
        <v>437087</v>
      </c>
      <c r="ES9" s="155">
        <v>64675</v>
      </c>
      <c r="ET9" s="155">
        <v>23007</v>
      </c>
      <c r="EU9" s="155">
        <v>733603</v>
      </c>
      <c r="EV9" s="155">
        <v>756837</v>
      </c>
      <c r="EW9" s="155">
        <v>5708252</v>
      </c>
      <c r="EX9" s="155">
        <v>3112174</v>
      </c>
      <c r="IO9" s="155">
        <v>91574</v>
      </c>
      <c r="IP9" s="155">
        <v>505642</v>
      </c>
      <c r="IQ9" s="155">
        <v>1147520</v>
      </c>
      <c r="IR9" s="155">
        <v>682870</v>
      </c>
      <c r="IT9" s="155">
        <v>171835</v>
      </c>
      <c r="IU9" s="155">
        <v>764936</v>
      </c>
      <c r="IV9" s="155">
        <v>47414</v>
      </c>
      <c r="IW9" s="155">
        <v>186027</v>
      </c>
      <c r="IX9" s="155">
        <v>226</v>
      </c>
      <c r="IY9" s="155">
        <v>442774</v>
      </c>
      <c r="IZ9" s="155">
        <v>276816</v>
      </c>
      <c r="JA9" s="155">
        <v>93194</v>
      </c>
      <c r="JB9" s="155">
        <v>139542</v>
      </c>
      <c r="JD9" s="155">
        <v>433240</v>
      </c>
      <c r="JF9" s="155">
        <v>35824</v>
      </c>
      <c r="JG9" s="155">
        <v>151576</v>
      </c>
      <c r="JH9" s="155">
        <v>177283</v>
      </c>
      <c r="JI9" s="155">
        <v>58250</v>
      </c>
      <c r="JJ9" s="155">
        <v>15557</v>
      </c>
      <c r="JK9" s="155">
        <v>158554</v>
      </c>
      <c r="JL9" s="155">
        <v>150225</v>
      </c>
      <c r="JM9" s="155">
        <v>166751</v>
      </c>
      <c r="JN9" s="155">
        <v>675506</v>
      </c>
    </row>
    <row r="10" spans="1:314" s="155" customFormat="1" x14ac:dyDescent="0.25">
      <c r="A10" s="157" t="s">
        <v>356</v>
      </c>
      <c r="B10" s="157"/>
      <c r="C10" s="157" t="s">
        <v>1078</v>
      </c>
      <c r="D10" s="157"/>
      <c r="E10" s="158"/>
      <c r="F10" s="157"/>
      <c r="G10" s="157" t="s">
        <v>357</v>
      </c>
      <c r="Q10" s="155">
        <v>2533261</v>
      </c>
      <c r="AH10" s="155">
        <v>4177566</v>
      </c>
      <c r="AI10" s="155">
        <v>2702621</v>
      </c>
      <c r="AJ10" s="155">
        <v>1034699</v>
      </c>
      <c r="AK10" s="155">
        <v>2526640</v>
      </c>
      <c r="AL10" s="155">
        <v>0</v>
      </c>
      <c r="CU10" s="155">
        <v>42896</v>
      </c>
      <c r="CV10" s="155">
        <v>5752</v>
      </c>
      <c r="CW10" s="155">
        <v>1097328</v>
      </c>
      <c r="CX10" s="155">
        <v>322920</v>
      </c>
      <c r="CZ10" s="155">
        <v>21984</v>
      </c>
      <c r="DA10" s="155">
        <v>207414</v>
      </c>
      <c r="DB10" s="155">
        <v>680</v>
      </c>
      <c r="DC10" s="155">
        <v>125577</v>
      </c>
      <c r="DE10" s="155">
        <v>6552</v>
      </c>
      <c r="DF10" s="155">
        <v>973948</v>
      </c>
      <c r="DG10" s="155">
        <v>161164</v>
      </c>
      <c r="DH10" s="155">
        <v>77058</v>
      </c>
      <c r="DI10" s="155">
        <v>17136</v>
      </c>
      <c r="DJ10" s="155">
        <v>255342</v>
      </c>
      <c r="DL10" s="155">
        <v>61472</v>
      </c>
      <c r="DM10" s="155">
        <v>736744</v>
      </c>
      <c r="DN10" s="155">
        <v>1920</v>
      </c>
      <c r="DQ10" s="155">
        <v>236592</v>
      </c>
      <c r="DR10" s="155">
        <v>124080</v>
      </c>
      <c r="DS10" s="155">
        <v>1448784</v>
      </c>
      <c r="DT10" s="155">
        <v>147808</v>
      </c>
      <c r="DY10" s="155">
        <v>176197</v>
      </c>
      <c r="DZ10" s="155">
        <v>33354</v>
      </c>
      <c r="EA10" s="155">
        <v>2019055</v>
      </c>
      <c r="EB10" s="155">
        <v>1353774</v>
      </c>
      <c r="ED10" s="155">
        <v>49587</v>
      </c>
      <c r="EE10" s="155">
        <v>396743</v>
      </c>
      <c r="EF10" s="155">
        <v>3511</v>
      </c>
      <c r="EG10" s="155">
        <v>140917</v>
      </c>
      <c r="EI10" s="155">
        <v>40376</v>
      </c>
      <c r="EJ10" s="155">
        <v>3058374</v>
      </c>
      <c r="EK10" s="155">
        <v>395387</v>
      </c>
      <c r="EL10" s="155">
        <v>453387</v>
      </c>
      <c r="EM10" s="155">
        <v>138389</v>
      </c>
      <c r="EN10" s="155">
        <v>313852</v>
      </c>
      <c r="EP10" s="155">
        <v>171432</v>
      </c>
      <c r="EQ10" s="155">
        <v>2177704</v>
      </c>
      <c r="ER10" s="155">
        <v>10532</v>
      </c>
      <c r="EU10" s="155">
        <v>776422</v>
      </c>
      <c r="EV10" s="155">
        <v>180647</v>
      </c>
      <c r="EW10" s="155">
        <v>3128718</v>
      </c>
      <c r="EX10" s="155">
        <v>449837</v>
      </c>
      <c r="IO10" s="155">
        <v>20335</v>
      </c>
      <c r="IP10" s="155">
        <v>82584</v>
      </c>
      <c r="IQ10" s="155">
        <v>258898</v>
      </c>
      <c r="IR10" s="155">
        <v>90588</v>
      </c>
      <c r="IT10" s="155">
        <v>9376</v>
      </c>
      <c r="IU10" s="155">
        <v>853308</v>
      </c>
      <c r="IV10" s="155">
        <v>8693</v>
      </c>
      <c r="IW10" s="155">
        <v>14262</v>
      </c>
      <c r="IY10" s="155">
        <v>99971</v>
      </c>
      <c r="IZ10" s="155">
        <v>491098</v>
      </c>
      <c r="JA10" s="155">
        <v>18925</v>
      </c>
      <c r="JB10" s="155">
        <v>85786</v>
      </c>
      <c r="JC10" s="155">
        <v>139954</v>
      </c>
      <c r="JD10" s="155">
        <v>216678</v>
      </c>
      <c r="JF10" s="155">
        <v>112981</v>
      </c>
      <c r="JG10" s="155">
        <v>120886</v>
      </c>
      <c r="JH10" s="155">
        <v>26080</v>
      </c>
      <c r="JK10" s="155">
        <v>123415</v>
      </c>
      <c r="JL10" s="155">
        <v>15511</v>
      </c>
      <c r="JM10" s="155">
        <v>122311</v>
      </c>
      <c r="JN10" s="155">
        <v>183047</v>
      </c>
    </row>
    <row r="11" spans="1:314" s="155" customFormat="1" x14ac:dyDescent="0.25">
      <c r="A11" s="157" t="s">
        <v>427</v>
      </c>
      <c r="B11" s="157"/>
      <c r="C11" s="157" t="s">
        <v>1078</v>
      </c>
      <c r="D11" s="157"/>
      <c r="E11" s="158"/>
      <c r="F11" s="157"/>
      <c r="G11" s="157" t="s">
        <v>428</v>
      </c>
      <c r="Q11" s="155">
        <v>436037</v>
      </c>
      <c r="AH11" s="155">
        <v>2845944</v>
      </c>
      <c r="AI11" s="155">
        <v>1127539</v>
      </c>
      <c r="AJ11" s="155">
        <v>612571</v>
      </c>
      <c r="AK11" s="155">
        <v>326016</v>
      </c>
      <c r="AL11" s="155">
        <v>0</v>
      </c>
      <c r="CV11" s="155">
        <v>92528</v>
      </c>
      <c r="CW11" s="155">
        <v>228288</v>
      </c>
      <c r="CX11" s="155">
        <v>145456</v>
      </c>
      <c r="CZ11" s="155">
        <v>432</v>
      </c>
      <c r="DA11" s="155">
        <v>73133</v>
      </c>
      <c r="DB11" s="155">
        <v>89376</v>
      </c>
      <c r="DC11" s="155">
        <v>40165</v>
      </c>
      <c r="DE11" s="155">
        <v>106208</v>
      </c>
      <c r="DF11" s="155">
        <v>189552</v>
      </c>
      <c r="DG11" s="155">
        <v>11536</v>
      </c>
      <c r="DJ11" s="155">
        <v>24996</v>
      </c>
      <c r="DL11" s="155">
        <v>23952</v>
      </c>
      <c r="DM11" s="155">
        <v>205936</v>
      </c>
      <c r="DN11" s="155">
        <v>17744</v>
      </c>
      <c r="DO11" s="155">
        <v>6800</v>
      </c>
      <c r="DQ11" s="155">
        <v>25552</v>
      </c>
      <c r="DR11" s="155">
        <v>33320</v>
      </c>
      <c r="DS11" s="155">
        <v>231888</v>
      </c>
      <c r="DT11" s="155">
        <v>60288</v>
      </c>
      <c r="DZ11" s="155">
        <v>246086</v>
      </c>
      <c r="EA11" s="155">
        <v>597638</v>
      </c>
      <c r="EB11" s="155">
        <v>449346</v>
      </c>
      <c r="ED11" s="155">
        <v>1060</v>
      </c>
      <c r="EE11" s="155">
        <v>297291</v>
      </c>
      <c r="EF11" s="155">
        <v>259165</v>
      </c>
      <c r="EG11" s="155">
        <v>67275</v>
      </c>
      <c r="EI11" s="155">
        <v>206389</v>
      </c>
      <c r="EJ11" s="155">
        <v>574072</v>
      </c>
      <c r="EK11" s="155">
        <v>71140</v>
      </c>
      <c r="EN11" s="155">
        <v>99096</v>
      </c>
      <c r="EP11" s="155">
        <v>105292</v>
      </c>
      <c r="EQ11" s="155">
        <v>514313</v>
      </c>
      <c r="ER11" s="155">
        <v>66461</v>
      </c>
      <c r="ES11" s="155">
        <v>25250</v>
      </c>
      <c r="EU11" s="155">
        <v>109014</v>
      </c>
      <c r="EV11" s="155">
        <v>84383</v>
      </c>
      <c r="EW11" s="155">
        <v>700693</v>
      </c>
      <c r="EX11" s="155">
        <v>281956</v>
      </c>
      <c r="IP11" s="155">
        <v>72921</v>
      </c>
      <c r="IQ11" s="155">
        <v>219942</v>
      </c>
      <c r="IR11" s="155">
        <v>302516</v>
      </c>
      <c r="IT11" s="155">
        <v>152</v>
      </c>
      <c r="IU11" s="155">
        <v>46065</v>
      </c>
      <c r="IV11" s="155">
        <v>86640</v>
      </c>
      <c r="IW11" s="155">
        <v>15473</v>
      </c>
      <c r="IY11" s="155">
        <v>50432</v>
      </c>
      <c r="IZ11" s="155">
        <v>24793</v>
      </c>
      <c r="JA11" s="155">
        <v>32117</v>
      </c>
      <c r="JD11" s="155">
        <v>51922</v>
      </c>
      <c r="JF11" s="155">
        <v>6065</v>
      </c>
      <c r="JG11" s="155">
        <v>43599</v>
      </c>
      <c r="JH11" s="155">
        <v>53486</v>
      </c>
      <c r="JI11" s="155">
        <v>17438</v>
      </c>
      <c r="JK11" s="155">
        <v>6438</v>
      </c>
      <c r="JL11" s="155">
        <v>4789</v>
      </c>
      <c r="JM11" s="155">
        <v>59184</v>
      </c>
      <c r="JN11" s="155">
        <v>66115</v>
      </c>
    </row>
    <row r="12" spans="1:314" s="155" customFormat="1" x14ac:dyDescent="0.25">
      <c r="A12" s="157" t="s">
        <v>419</v>
      </c>
      <c r="B12" s="157"/>
      <c r="C12" s="157" t="s">
        <v>1078</v>
      </c>
      <c r="D12" s="157"/>
      <c r="E12" s="158"/>
      <c r="F12" s="157"/>
      <c r="G12" s="157" t="s">
        <v>420</v>
      </c>
      <c r="Q12" s="155">
        <v>3311227</v>
      </c>
      <c r="AH12" s="155">
        <v>7737153</v>
      </c>
      <c r="AI12" s="155">
        <v>2942512</v>
      </c>
      <c r="AJ12" s="155">
        <v>906556</v>
      </c>
      <c r="AK12" s="155">
        <v>346784</v>
      </c>
      <c r="AL12" s="155">
        <v>157818</v>
      </c>
      <c r="CU12" s="155">
        <v>48908</v>
      </c>
      <c r="CV12" s="155">
        <v>127074</v>
      </c>
      <c r="CW12" s="155">
        <v>242528</v>
      </c>
      <c r="CX12" s="155">
        <v>636338</v>
      </c>
      <c r="CY12" s="155">
        <v>25584</v>
      </c>
      <c r="CZ12" s="155">
        <v>10768</v>
      </c>
      <c r="DA12" s="155">
        <v>567172</v>
      </c>
      <c r="DB12" s="155">
        <v>48688</v>
      </c>
      <c r="DC12" s="155">
        <v>342070</v>
      </c>
      <c r="DE12" s="155">
        <v>164990</v>
      </c>
      <c r="DF12" s="155">
        <v>609656</v>
      </c>
      <c r="DG12" s="155">
        <v>74432</v>
      </c>
      <c r="DH12" s="155">
        <v>210644</v>
      </c>
      <c r="DJ12" s="155">
        <v>111149</v>
      </c>
      <c r="DL12" s="155">
        <v>122528</v>
      </c>
      <c r="DM12" s="155">
        <v>589194</v>
      </c>
      <c r="DN12" s="155">
        <v>71784</v>
      </c>
      <c r="DO12" s="155">
        <v>33722</v>
      </c>
      <c r="DP12" s="155">
        <v>2016</v>
      </c>
      <c r="DQ12" s="155">
        <v>120840</v>
      </c>
      <c r="DR12" s="155">
        <v>199928</v>
      </c>
      <c r="DS12" s="155">
        <v>916192</v>
      </c>
      <c r="DT12" s="155">
        <v>140660</v>
      </c>
      <c r="DY12" s="155">
        <v>86298</v>
      </c>
      <c r="DZ12" s="155">
        <v>311130</v>
      </c>
      <c r="EA12" s="155">
        <v>648256</v>
      </c>
      <c r="EB12" s="155">
        <v>1110262</v>
      </c>
      <c r="EC12" s="155">
        <v>253161</v>
      </c>
      <c r="ED12" s="155">
        <v>7447</v>
      </c>
      <c r="EE12" s="155">
        <v>437337</v>
      </c>
      <c r="EF12" s="155">
        <v>54663</v>
      </c>
      <c r="EG12" s="155">
        <v>339000</v>
      </c>
      <c r="EI12" s="155">
        <v>229175</v>
      </c>
      <c r="EJ12" s="155">
        <v>1176418</v>
      </c>
      <c r="EK12" s="155">
        <v>145369</v>
      </c>
      <c r="EL12" s="155">
        <v>1064510</v>
      </c>
      <c r="EN12" s="155">
        <v>502171</v>
      </c>
      <c r="EP12" s="155">
        <v>451404</v>
      </c>
      <c r="EQ12" s="155">
        <v>864836</v>
      </c>
      <c r="ER12" s="155">
        <v>117965</v>
      </c>
      <c r="ES12" s="155">
        <v>53677</v>
      </c>
      <c r="ET12" s="155">
        <v>2195</v>
      </c>
      <c r="EU12" s="155">
        <v>279960</v>
      </c>
      <c r="EV12" s="155">
        <v>184685</v>
      </c>
      <c r="EW12" s="155">
        <v>1080682</v>
      </c>
      <c r="EX12" s="155">
        <v>280219</v>
      </c>
      <c r="IO12" s="155">
        <v>27763</v>
      </c>
      <c r="IP12" s="155">
        <v>157563</v>
      </c>
      <c r="IQ12" s="155">
        <v>120054</v>
      </c>
      <c r="IR12" s="155">
        <v>901740</v>
      </c>
      <c r="IS12" s="155">
        <v>466291</v>
      </c>
      <c r="IT12" s="155">
        <v>9373</v>
      </c>
      <c r="IU12" s="155">
        <v>294787</v>
      </c>
      <c r="IV12" s="155">
        <v>32804</v>
      </c>
      <c r="IW12" s="155">
        <v>189629</v>
      </c>
      <c r="IY12" s="155">
        <v>77851</v>
      </c>
      <c r="IZ12" s="155">
        <v>97567</v>
      </c>
      <c r="JA12" s="155">
        <v>2691</v>
      </c>
      <c r="JB12" s="155">
        <v>156157</v>
      </c>
      <c r="JD12" s="155">
        <v>97839</v>
      </c>
      <c r="JF12" s="155">
        <v>87149</v>
      </c>
      <c r="JG12" s="155">
        <v>81268</v>
      </c>
      <c r="JH12" s="155">
        <v>174114</v>
      </c>
      <c r="JI12" s="155">
        <v>58183</v>
      </c>
      <c r="JJ12" s="155">
        <v>1901</v>
      </c>
      <c r="JK12" s="155">
        <v>132918</v>
      </c>
      <c r="JL12" s="155">
        <v>102494</v>
      </c>
      <c r="JM12" s="155">
        <v>52323</v>
      </c>
      <c r="JN12" s="155">
        <v>74611</v>
      </c>
    </row>
    <row r="13" spans="1:314" s="155" customFormat="1" x14ac:dyDescent="0.25">
      <c r="A13" s="157" t="s">
        <v>358</v>
      </c>
      <c r="B13" s="157"/>
      <c r="C13" s="157" t="s">
        <v>1078</v>
      </c>
      <c r="D13" s="157"/>
      <c r="E13" s="158"/>
      <c r="F13" s="157"/>
      <c r="G13" s="157" t="s">
        <v>359</v>
      </c>
      <c r="Q13" s="155">
        <v>183468</v>
      </c>
      <c r="AH13" s="155">
        <v>1072997</v>
      </c>
      <c r="AI13" s="155">
        <v>619686</v>
      </c>
      <c r="AJ13" s="155">
        <v>178837</v>
      </c>
      <c r="AK13" s="155">
        <v>216257</v>
      </c>
      <c r="AL13" s="155">
        <v>0</v>
      </c>
      <c r="CU13" s="155">
        <v>7888</v>
      </c>
      <c r="CV13" s="155">
        <v>7280</v>
      </c>
      <c r="CW13" s="155">
        <v>141984</v>
      </c>
      <c r="CX13" s="155">
        <v>80639</v>
      </c>
      <c r="DA13" s="155">
        <v>53487</v>
      </c>
      <c r="DB13" s="155">
        <v>1752</v>
      </c>
      <c r="DC13" s="155">
        <v>55333</v>
      </c>
      <c r="DE13" s="155">
        <v>12192</v>
      </c>
      <c r="DF13" s="155">
        <v>220080</v>
      </c>
      <c r="DG13" s="155">
        <v>10272</v>
      </c>
      <c r="DH13" s="155">
        <v>34624</v>
      </c>
      <c r="DJ13" s="155">
        <v>74776</v>
      </c>
      <c r="DL13" s="155">
        <v>108928</v>
      </c>
      <c r="DM13" s="155">
        <v>129600</v>
      </c>
      <c r="DN13" s="155">
        <v>30752</v>
      </c>
      <c r="DO13" s="155">
        <v>1920</v>
      </c>
      <c r="DP13" s="155">
        <v>2080</v>
      </c>
      <c r="DQ13" s="155">
        <v>51840</v>
      </c>
      <c r="DR13" s="155">
        <v>15648</v>
      </c>
      <c r="DS13" s="155">
        <v>270000</v>
      </c>
      <c r="DT13" s="155">
        <v>47024</v>
      </c>
      <c r="DY13" s="155">
        <v>50954</v>
      </c>
      <c r="DZ13" s="155">
        <v>24576</v>
      </c>
      <c r="EA13" s="155">
        <v>217765</v>
      </c>
      <c r="EB13" s="155">
        <v>143251</v>
      </c>
      <c r="EE13" s="155">
        <v>153673</v>
      </c>
      <c r="EF13" s="155">
        <v>5915</v>
      </c>
      <c r="EG13" s="155">
        <v>80142</v>
      </c>
      <c r="EI13" s="155">
        <v>41158</v>
      </c>
      <c r="EJ13" s="155">
        <v>422361</v>
      </c>
      <c r="EK13" s="155">
        <v>41495</v>
      </c>
      <c r="EL13" s="155">
        <v>131189</v>
      </c>
      <c r="EN13" s="155">
        <v>140282</v>
      </c>
      <c r="EP13" s="155">
        <v>228780</v>
      </c>
      <c r="EQ13" s="155">
        <v>272679</v>
      </c>
      <c r="ER13" s="155">
        <v>82481</v>
      </c>
      <c r="ES13" s="155">
        <v>2000</v>
      </c>
      <c r="ET13" s="155">
        <v>82363</v>
      </c>
      <c r="EU13" s="155">
        <v>352437</v>
      </c>
      <c r="EV13" s="155">
        <v>81764</v>
      </c>
      <c r="EW13" s="155">
        <v>382012</v>
      </c>
      <c r="EX13" s="155">
        <v>230043</v>
      </c>
      <c r="IO13" s="155">
        <v>5729</v>
      </c>
      <c r="IP13" s="155">
        <v>2247</v>
      </c>
      <c r="IQ13" s="155">
        <v>10200</v>
      </c>
      <c r="IR13" s="155">
        <v>7725</v>
      </c>
      <c r="IU13" s="155">
        <v>4841</v>
      </c>
      <c r="IV13" s="155">
        <v>595</v>
      </c>
      <c r="IW13" s="155">
        <v>15529</v>
      </c>
      <c r="IY13" s="155">
        <v>3767</v>
      </c>
      <c r="IZ13" s="155">
        <v>16819</v>
      </c>
      <c r="JA13" s="155">
        <v>256</v>
      </c>
      <c r="JB13" s="155">
        <v>35980</v>
      </c>
      <c r="JD13" s="155">
        <v>4274</v>
      </c>
      <c r="JF13" s="155">
        <v>41943</v>
      </c>
      <c r="JG13" s="155">
        <v>5672</v>
      </c>
      <c r="JH13" s="155">
        <v>12670</v>
      </c>
      <c r="JI13" s="155">
        <v>0</v>
      </c>
      <c r="JJ13" s="155">
        <v>7365</v>
      </c>
      <c r="JK13" s="155">
        <v>48941</v>
      </c>
      <c r="JL13" s="155">
        <v>1881</v>
      </c>
      <c r="JM13" s="155">
        <v>23579</v>
      </c>
      <c r="JN13" s="155">
        <v>20622</v>
      </c>
    </row>
    <row r="14" spans="1:314" s="155" customFormat="1" x14ac:dyDescent="0.25">
      <c r="A14" s="157" t="s">
        <v>360</v>
      </c>
      <c r="B14" s="157"/>
      <c r="C14" s="157" t="s">
        <v>1078</v>
      </c>
      <c r="D14" s="157"/>
      <c r="E14" s="158"/>
      <c r="F14" s="157"/>
      <c r="G14" s="157" t="s">
        <v>361</v>
      </c>
      <c r="Q14" s="155">
        <v>102752</v>
      </c>
      <c r="AH14" s="155">
        <v>751049</v>
      </c>
      <c r="AI14" s="155">
        <v>298015</v>
      </c>
      <c r="AJ14" s="155">
        <v>97244</v>
      </c>
      <c r="AK14" s="155">
        <v>155314</v>
      </c>
      <c r="AL14" s="155">
        <v>0</v>
      </c>
      <c r="CU14" s="155">
        <v>38832</v>
      </c>
      <c r="CV14" s="155">
        <v>608</v>
      </c>
      <c r="CW14" s="155">
        <v>62496</v>
      </c>
      <c r="CX14" s="155">
        <v>18646</v>
      </c>
      <c r="CZ14" s="155">
        <v>480</v>
      </c>
      <c r="DA14" s="155">
        <v>27002</v>
      </c>
      <c r="DC14" s="155">
        <v>2944</v>
      </c>
      <c r="DE14" s="155">
        <v>592</v>
      </c>
      <c r="DF14" s="155">
        <v>82368</v>
      </c>
      <c r="DG14" s="155">
        <v>4672</v>
      </c>
      <c r="DJ14" s="155">
        <v>26400</v>
      </c>
      <c r="DL14" s="155">
        <v>28512</v>
      </c>
      <c r="DM14" s="155">
        <v>49376</v>
      </c>
      <c r="DQ14" s="155">
        <v>23952</v>
      </c>
      <c r="DR14" s="155">
        <v>720</v>
      </c>
      <c r="DS14" s="155">
        <v>64224</v>
      </c>
      <c r="DT14" s="155">
        <v>20844</v>
      </c>
      <c r="DY14" s="155">
        <v>189724</v>
      </c>
      <c r="DZ14" s="155">
        <v>2000</v>
      </c>
      <c r="EA14" s="155">
        <v>121541</v>
      </c>
      <c r="EB14" s="155">
        <v>104353</v>
      </c>
      <c r="ED14" s="155">
        <v>1550</v>
      </c>
      <c r="EE14" s="155">
        <v>125253</v>
      </c>
      <c r="EG14" s="155">
        <v>2100</v>
      </c>
      <c r="EI14" s="155">
        <v>2000</v>
      </c>
      <c r="EJ14" s="155">
        <v>246067</v>
      </c>
      <c r="EK14" s="155">
        <v>5682</v>
      </c>
      <c r="EN14" s="155">
        <v>17621</v>
      </c>
      <c r="EP14" s="155">
        <v>90111</v>
      </c>
      <c r="EQ14" s="155">
        <v>75417</v>
      </c>
      <c r="EU14" s="155">
        <v>144498</v>
      </c>
      <c r="EV14" s="155">
        <v>2100</v>
      </c>
      <c r="EW14" s="155">
        <v>166276</v>
      </c>
      <c r="EX14" s="155">
        <v>77773</v>
      </c>
      <c r="IO14" s="155">
        <v>90744</v>
      </c>
      <c r="IP14" s="155">
        <v>46</v>
      </c>
      <c r="IQ14" s="155">
        <v>12759</v>
      </c>
      <c r="IR14" s="155">
        <v>1651</v>
      </c>
      <c r="IT14" s="155">
        <v>0</v>
      </c>
      <c r="IU14" s="155">
        <v>349</v>
      </c>
      <c r="IW14" s="155">
        <v>0</v>
      </c>
      <c r="IY14" s="155">
        <v>0</v>
      </c>
      <c r="IZ14" s="155">
        <v>1003</v>
      </c>
      <c r="JA14" s="155">
        <v>0</v>
      </c>
      <c r="JD14" s="155">
        <v>5393</v>
      </c>
      <c r="JF14" s="155">
        <v>6135</v>
      </c>
      <c r="JG14" s="155">
        <v>196</v>
      </c>
      <c r="JK14" s="155">
        <v>60169</v>
      </c>
      <c r="JL14" s="155">
        <v>0</v>
      </c>
      <c r="JM14" s="155">
        <v>737</v>
      </c>
      <c r="JN14" s="155">
        <v>2829</v>
      </c>
    </row>
    <row r="15" spans="1:314" s="155" customFormat="1" x14ac:dyDescent="0.25">
      <c r="A15" s="157" t="s">
        <v>354</v>
      </c>
      <c r="B15" s="157"/>
      <c r="C15" s="157" t="s">
        <v>1078</v>
      </c>
      <c r="D15" s="157"/>
      <c r="E15" s="158"/>
      <c r="F15" s="157"/>
      <c r="G15" s="157" t="s">
        <v>355</v>
      </c>
      <c r="Q15" s="155">
        <v>455003</v>
      </c>
      <c r="AH15" s="155">
        <v>2007198</v>
      </c>
      <c r="AI15" s="155">
        <v>821580</v>
      </c>
      <c r="AJ15" s="155">
        <v>576910</v>
      </c>
      <c r="AK15" s="155">
        <v>810973</v>
      </c>
      <c r="AL15" s="155">
        <v>0</v>
      </c>
      <c r="CU15" s="155">
        <v>47772</v>
      </c>
      <c r="CV15" s="155">
        <v>100166</v>
      </c>
      <c r="CW15" s="155">
        <v>115072</v>
      </c>
      <c r="CX15" s="155">
        <v>119308</v>
      </c>
      <c r="CZ15" s="155">
        <v>17856</v>
      </c>
      <c r="DA15" s="155">
        <v>195984</v>
      </c>
      <c r="DB15" s="155">
        <v>30606</v>
      </c>
      <c r="DC15" s="155">
        <v>218064</v>
      </c>
      <c r="DE15" s="155">
        <v>119661</v>
      </c>
      <c r="DF15" s="155">
        <v>259782</v>
      </c>
      <c r="DG15" s="155">
        <v>17888</v>
      </c>
      <c r="DH15" s="155">
        <v>13680</v>
      </c>
      <c r="DI15" s="155">
        <v>44160</v>
      </c>
      <c r="DJ15" s="155">
        <v>79320</v>
      </c>
      <c r="DL15" s="155">
        <v>175440</v>
      </c>
      <c r="DM15" s="155">
        <v>190209</v>
      </c>
      <c r="DN15" s="155">
        <v>33072</v>
      </c>
      <c r="DO15" s="155">
        <v>4016</v>
      </c>
      <c r="DP15" s="155">
        <v>15440</v>
      </c>
      <c r="DQ15" s="155">
        <v>45216</v>
      </c>
      <c r="DR15" s="155">
        <v>55712</v>
      </c>
      <c r="DS15" s="155">
        <v>199200</v>
      </c>
      <c r="DT15" s="155">
        <v>68368</v>
      </c>
      <c r="DY15" s="155">
        <v>35592</v>
      </c>
      <c r="DZ15" s="155">
        <v>217939</v>
      </c>
      <c r="EA15" s="155">
        <v>305813</v>
      </c>
      <c r="EB15" s="155">
        <v>481317</v>
      </c>
      <c r="ED15" s="155">
        <v>36168</v>
      </c>
      <c r="EE15" s="155">
        <v>396978</v>
      </c>
      <c r="EF15" s="155">
        <v>72132</v>
      </c>
      <c r="EG15" s="155">
        <v>526182</v>
      </c>
      <c r="EI15" s="155">
        <v>180168</v>
      </c>
      <c r="EJ15" s="155">
        <v>623476</v>
      </c>
      <c r="EK15" s="155">
        <v>51192</v>
      </c>
      <c r="EL15" s="155">
        <v>23269</v>
      </c>
      <c r="EM15" s="155">
        <v>253628</v>
      </c>
      <c r="EN15" s="155">
        <v>109372</v>
      </c>
      <c r="EP15" s="155">
        <v>309146</v>
      </c>
      <c r="EQ15" s="155">
        <v>367921</v>
      </c>
      <c r="ER15" s="155">
        <v>101744</v>
      </c>
      <c r="ES15" s="155">
        <v>27189</v>
      </c>
      <c r="ET15" s="155">
        <v>36605</v>
      </c>
      <c r="EU15" s="155">
        <v>112164</v>
      </c>
      <c r="EV15" s="155">
        <v>237522</v>
      </c>
      <c r="EW15" s="155">
        <v>465487</v>
      </c>
      <c r="EX15" s="155">
        <v>256812</v>
      </c>
      <c r="IO15" s="155">
        <v>7752</v>
      </c>
      <c r="IP15" s="155">
        <v>62061</v>
      </c>
      <c r="IQ15" s="155">
        <v>37820</v>
      </c>
      <c r="IR15" s="155">
        <v>55386</v>
      </c>
      <c r="IT15" s="155">
        <v>8006</v>
      </c>
      <c r="IU15" s="155">
        <v>87874</v>
      </c>
      <c r="IV15" s="155">
        <v>12115</v>
      </c>
      <c r="IW15" s="155">
        <v>95137</v>
      </c>
      <c r="IY15" s="155">
        <v>19427</v>
      </c>
      <c r="IZ15" s="155">
        <v>77963</v>
      </c>
      <c r="JA15" s="155">
        <v>7049</v>
      </c>
      <c r="JB15" s="155">
        <v>7498</v>
      </c>
      <c r="JC15" s="155">
        <v>100881</v>
      </c>
      <c r="JD15" s="155">
        <v>29329</v>
      </c>
      <c r="JF15" s="155">
        <v>99610</v>
      </c>
      <c r="JG15" s="155">
        <v>29300</v>
      </c>
      <c r="JH15" s="155">
        <v>13412</v>
      </c>
      <c r="JI15" s="155">
        <v>50928</v>
      </c>
      <c r="JJ15" s="155">
        <v>7995</v>
      </c>
      <c r="JK15" s="155">
        <v>11925</v>
      </c>
      <c r="JL15" s="155">
        <v>56954</v>
      </c>
      <c r="JM15" s="155">
        <v>23291</v>
      </c>
      <c r="JN15" s="155">
        <v>70081</v>
      </c>
    </row>
    <row r="16" spans="1:314" s="155" customFormat="1" x14ac:dyDescent="0.25">
      <c r="A16" s="157" t="s">
        <v>425</v>
      </c>
      <c r="B16" s="157"/>
      <c r="C16" s="157" t="s">
        <v>1078</v>
      </c>
      <c r="D16" s="157"/>
      <c r="E16" s="158"/>
      <c r="F16" s="157"/>
      <c r="G16" s="157" t="s">
        <v>426</v>
      </c>
      <c r="Q16" s="155">
        <v>1768630</v>
      </c>
      <c r="AH16" s="155">
        <v>4498562</v>
      </c>
      <c r="AI16" s="155">
        <v>1719975</v>
      </c>
      <c r="AJ16" s="155">
        <v>673434</v>
      </c>
      <c r="AK16" s="155">
        <v>444297</v>
      </c>
      <c r="AL16" s="155">
        <v>0</v>
      </c>
      <c r="CU16" s="155">
        <v>11808</v>
      </c>
      <c r="CV16" s="155">
        <v>47184</v>
      </c>
      <c r="CW16" s="155">
        <v>269859</v>
      </c>
      <c r="CX16" s="155">
        <v>83952</v>
      </c>
      <c r="CZ16" s="155">
        <v>8752</v>
      </c>
      <c r="DA16" s="155">
        <v>51888</v>
      </c>
      <c r="DB16" s="155">
        <v>1152</v>
      </c>
      <c r="DC16" s="155">
        <v>111088</v>
      </c>
      <c r="DE16" s="155">
        <v>25920</v>
      </c>
      <c r="DF16" s="155">
        <v>243176</v>
      </c>
      <c r="DG16" s="155">
        <v>22960</v>
      </c>
      <c r="DH16" s="155">
        <v>20544</v>
      </c>
      <c r="DJ16" s="155">
        <v>68160</v>
      </c>
      <c r="DM16" s="155">
        <v>280680</v>
      </c>
      <c r="DO16" s="155">
        <v>4048</v>
      </c>
      <c r="DQ16" s="155">
        <v>54384</v>
      </c>
      <c r="DR16" s="155">
        <v>42496</v>
      </c>
      <c r="DS16" s="155">
        <v>255936</v>
      </c>
      <c r="DT16" s="155">
        <v>66152</v>
      </c>
      <c r="DY16" s="155">
        <v>69883</v>
      </c>
      <c r="DZ16" s="155">
        <v>582483</v>
      </c>
      <c r="EA16" s="155">
        <v>562035</v>
      </c>
      <c r="EB16" s="155">
        <v>400068</v>
      </c>
      <c r="ED16" s="155">
        <v>362076</v>
      </c>
      <c r="EE16" s="155">
        <v>299204</v>
      </c>
      <c r="EF16" s="155">
        <v>4453</v>
      </c>
      <c r="EG16" s="155">
        <v>389483</v>
      </c>
      <c r="EI16" s="155">
        <v>106876</v>
      </c>
      <c r="EJ16" s="155">
        <v>635996</v>
      </c>
      <c r="EK16" s="155">
        <v>63007</v>
      </c>
      <c r="EL16" s="155">
        <v>423325</v>
      </c>
      <c r="EN16" s="155">
        <v>185544</v>
      </c>
      <c r="EQ16" s="155">
        <v>600621</v>
      </c>
      <c r="ES16" s="155">
        <v>54118</v>
      </c>
      <c r="EU16" s="155">
        <v>195862</v>
      </c>
      <c r="EV16" s="155">
        <v>77125</v>
      </c>
      <c r="EW16" s="155">
        <v>778180</v>
      </c>
      <c r="EX16" s="155">
        <v>353316</v>
      </c>
      <c r="IO16" s="155">
        <v>14779</v>
      </c>
      <c r="IP16" s="155">
        <v>225284</v>
      </c>
      <c r="IQ16" s="155">
        <v>112219</v>
      </c>
      <c r="IR16" s="155">
        <v>52306</v>
      </c>
      <c r="IT16" s="155">
        <v>105367</v>
      </c>
      <c r="IU16" s="155">
        <v>230103</v>
      </c>
      <c r="IV16" s="155">
        <v>569</v>
      </c>
      <c r="IW16" s="155">
        <v>273357</v>
      </c>
      <c r="IY16" s="155">
        <v>13648</v>
      </c>
      <c r="IZ16" s="155">
        <v>76572</v>
      </c>
      <c r="JA16" s="155">
        <v>349</v>
      </c>
      <c r="JB16" s="155">
        <v>147052</v>
      </c>
      <c r="JD16" s="155">
        <v>64719</v>
      </c>
      <c r="JG16" s="155">
        <v>84751</v>
      </c>
      <c r="JI16" s="155">
        <v>16632</v>
      </c>
      <c r="JK16" s="155">
        <v>87704</v>
      </c>
      <c r="JL16" s="155">
        <v>34322</v>
      </c>
      <c r="JM16" s="155">
        <v>16672</v>
      </c>
      <c r="JN16" s="155">
        <v>94330</v>
      </c>
    </row>
    <row r="17" spans="1:274" s="155" customFormat="1" x14ac:dyDescent="0.25">
      <c r="A17" s="157" t="s">
        <v>452</v>
      </c>
      <c r="B17" s="157"/>
      <c r="C17" s="157" t="s">
        <v>1078</v>
      </c>
      <c r="D17" s="157"/>
      <c r="E17" s="158"/>
      <c r="F17" s="157"/>
      <c r="G17" s="157" t="s">
        <v>453</v>
      </c>
      <c r="Q17" s="155">
        <v>1422896</v>
      </c>
      <c r="AH17" s="155">
        <v>8421394</v>
      </c>
      <c r="AI17" s="155">
        <v>4532579</v>
      </c>
      <c r="AJ17" s="155">
        <v>2975743</v>
      </c>
      <c r="AK17" s="155">
        <v>2796339</v>
      </c>
      <c r="AL17" s="155">
        <v>0</v>
      </c>
      <c r="CU17" s="155">
        <v>36220</v>
      </c>
      <c r="CV17" s="155">
        <v>43792</v>
      </c>
      <c r="CW17" s="155">
        <v>658688</v>
      </c>
      <c r="CX17" s="155">
        <v>488284</v>
      </c>
      <c r="CY17" s="155">
        <v>432</v>
      </c>
      <c r="CZ17" s="155">
        <v>71872</v>
      </c>
      <c r="DA17" s="155">
        <v>406164</v>
      </c>
      <c r="DB17" s="155">
        <v>648</v>
      </c>
      <c r="DC17" s="155">
        <v>118454</v>
      </c>
      <c r="DE17" s="155">
        <v>76708</v>
      </c>
      <c r="DF17" s="155">
        <v>1316235</v>
      </c>
      <c r="DG17" s="155">
        <v>191752</v>
      </c>
      <c r="DH17" s="155">
        <v>90430</v>
      </c>
      <c r="DI17" s="155">
        <v>23712</v>
      </c>
      <c r="DJ17" s="155">
        <v>134715</v>
      </c>
      <c r="DK17" s="155">
        <v>38864</v>
      </c>
      <c r="DM17" s="155">
        <v>986000</v>
      </c>
      <c r="DP17" s="155">
        <v>1168</v>
      </c>
      <c r="DQ17" s="155">
        <v>192896</v>
      </c>
      <c r="DR17" s="155">
        <v>269201</v>
      </c>
      <c r="DS17" s="155">
        <v>1309776</v>
      </c>
      <c r="DT17" s="155">
        <v>582040</v>
      </c>
      <c r="DY17" s="155">
        <v>76956</v>
      </c>
      <c r="DZ17" s="155">
        <v>152640</v>
      </c>
      <c r="EA17" s="155">
        <v>1467296</v>
      </c>
      <c r="EB17" s="155">
        <v>1460434</v>
      </c>
      <c r="EC17" s="155">
        <v>710</v>
      </c>
      <c r="ED17" s="155">
        <v>256733</v>
      </c>
      <c r="EE17" s="155">
        <v>842986</v>
      </c>
      <c r="EF17" s="155">
        <v>1065</v>
      </c>
      <c r="EG17" s="155">
        <v>258614</v>
      </c>
      <c r="EI17" s="155">
        <v>482113</v>
      </c>
      <c r="EJ17" s="155">
        <v>3052810</v>
      </c>
      <c r="EK17" s="155">
        <v>498920</v>
      </c>
      <c r="EL17" s="155">
        <v>423311</v>
      </c>
      <c r="EM17" s="155">
        <v>239919</v>
      </c>
      <c r="EN17" s="155">
        <v>308753</v>
      </c>
      <c r="EO17" s="155">
        <v>167049</v>
      </c>
      <c r="EQ17" s="155">
        <v>1559266</v>
      </c>
      <c r="ET17" s="155">
        <v>1242</v>
      </c>
      <c r="EU17" s="155">
        <v>519635</v>
      </c>
      <c r="EV17" s="155">
        <v>609323</v>
      </c>
      <c r="EW17" s="155">
        <v>2534574</v>
      </c>
      <c r="EX17" s="155">
        <v>1843414</v>
      </c>
      <c r="IO17" s="155">
        <v>27372</v>
      </c>
      <c r="IP17" s="155">
        <v>159032</v>
      </c>
      <c r="IQ17" s="155">
        <v>569903</v>
      </c>
      <c r="IR17" s="155">
        <v>753326</v>
      </c>
      <c r="IS17" s="155">
        <v>1451</v>
      </c>
      <c r="IT17" s="155">
        <v>66545</v>
      </c>
      <c r="IU17" s="155">
        <v>384633</v>
      </c>
      <c r="IV17" s="155">
        <v>2177</v>
      </c>
      <c r="IW17" s="155">
        <v>125403</v>
      </c>
      <c r="IY17" s="155">
        <v>218900</v>
      </c>
      <c r="IZ17" s="155">
        <v>1083203</v>
      </c>
      <c r="JA17" s="155">
        <v>254947</v>
      </c>
      <c r="JB17" s="155">
        <v>152846</v>
      </c>
      <c r="JC17" s="155">
        <v>165311</v>
      </c>
      <c r="JD17" s="155">
        <v>197998</v>
      </c>
      <c r="JE17" s="155">
        <v>84465</v>
      </c>
      <c r="JG17" s="155">
        <v>659674</v>
      </c>
      <c r="JJ17" s="155">
        <v>2746</v>
      </c>
      <c r="JK17" s="155">
        <v>360342</v>
      </c>
      <c r="JL17" s="155">
        <v>837946</v>
      </c>
      <c r="JM17" s="155">
        <v>496890</v>
      </c>
      <c r="JN17" s="155">
        <v>1309505</v>
      </c>
    </row>
    <row r="18" spans="1:274" s="155" customFormat="1" x14ac:dyDescent="0.25">
      <c r="A18" s="157" t="s">
        <v>454</v>
      </c>
      <c r="B18" s="157"/>
      <c r="C18" s="157" t="s">
        <v>1078</v>
      </c>
      <c r="D18" s="157"/>
      <c r="E18" s="158"/>
      <c r="F18" s="157"/>
      <c r="G18" s="157" t="s">
        <v>455</v>
      </c>
      <c r="Q18" s="155">
        <v>8747679</v>
      </c>
      <c r="AH18" s="155">
        <v>40187854</v>
      </c>
      <c r="AI18" s="155">
        <v>18847001</v>
      </c>
      <c r="AJ18" s="155">
        <v>7423575</v>
      </c>
      <c r="AK18" s="155">
        <v>5926155</v>
      </c>
      <c r="AL18" s="155">
        <v>687498</v>
      </c>
      <c r="CU18" s="155">
        <v>95835</v>
      </c>
      <c r="CV18" s="155">
        <v>297780</v>
      </c>
      <c r="CW18" s="155">
        <v>2649824</v>
      </c>
      <c r="CX18" s="155">
        <v>2308366</v>
      </c>
      <c r="CY18" s="155">
        <v>21504</v>
      </c>
      <c r="CZ18" s="155">
        <v>328368</v>
      </c>
      <c r="DA18" s="155">
        <v>1898986</v>
      </c>
      <c r="DB18" s="155">
        <v>174330</v>
      </c>
      <c r="DC18" s="155">
        <v>627425</v>
      </c>
      <c r="DD18" s="155">
        <v>8614</v>
      </c>
      <c r="DE18" s="155">
        <v>650565</v>
      </c>
      <c r="DF18" s="155">
        <v>5368418</v>
      </c>
      <c r="DG18" s="155">
        <v>524341</v>
      </c>
      <c r="DH18" s="155">
        <v>326136</v>
      </c>
      <c r="DJ18" s="155">
        <v>864051</v>
      </c>
      <c r="DK18" s="155">
        <v>7920</v>
      </c>
      <c r="DL18" s="155">
        <v>30944</v>
      </c>
      <c r="DM18" s="155">
        <v>2901984</v>
      </c>
      <c r="DN18" s="155">
        <v>465469</v>
      </c>
      <c r="DO18" s="155">
        <v>296732</v>
      </c>
      <c r="DP18" s="155">
        <v>32720</v>
      </c>
      <c r="DQ18" s="155">
        <v>582064</v>
      </c>
      <c r="DR18" s="155">
        <v>598535</v>
      </c>
      <c r="DS18" s="155">
        <v>3667628</v>
      </c>
      <c r="DT18" s="155">
        <v>1230365</v>
      </c>
      <c r="DY18" s="155">
        <v>520822</v>
      </c>
      <c r="DZ18" s="155">
        <v>391306</v>
      </c>
      <c r="EA18" s="155">
        <v>5460410</v>
      </c>
      <c r="EB18" s="155">
        <v>6127227</v>
      </c>
      <c r="EC18" s="155">
        <v>120259</v>
      </c>
      <c r="ED18" s="155">
        <v>613195</v>
      </c>
      <c r="EE18" s="155">
        <v>6965271</v>
      </c>
      <c r="EF18" s="155">
        <v>737799</v>
      </c>
      <c r="EG18" s="155">
        <v>1053322</v>
      </c>
      <c r="EH18" s="155">
        <v>9857</v>
      </c>
      <c r="EI18" s="155">
        <v>911862</v>
      </c>
      <c r="EJ18" s="155">
        <v>14990799</v>
      </c>
      <c r="EK18" s="155">
        <v>1550854</v>
      </c>
      <c r="EL18" s="155">
        <v>1883798</v>
      </c>
      <c r="EN18" s="155">
        <v>1466065</v>
      </c>
      <c r="EO18" s="155">
        <v>200736</v>
      </c>
      <c r="EP18" s="155">
        <v>217578</v>
      </c>
      <c r="EQ18" s="155">
        <v>6842044</v>
      </c>
      <c r="ER18" s="155">
        <v>1707580</v>
      </c>
      <c r="ES18" s="155">
        <v>331719</v>
      </c>
      <c r="ET18" s="155">
        <v>586016</v>
      </c>
      <c r="EU18" s="155">
        <v>1903684</v>
      </c>
      <c r="EV18" s="155">
        <v>809059</v>
      </c>
      <c r="EW18" s="155">
        <v>8135302</v>
      </c>
      <c r="EX18" s="155">
        <v>4864271</v>
      </c>
      <c r="IO18" s="155">
        <v>652953</v>
      </c>
      <c r="IP18" s="155">
        <v>290117</v>
      </c>
      <c r="IQ18" s="155">
        <v>3137294</v>
      </c>
      <c r="IR18" s="155">
        <v>3648233</v>
      </c>
      <c r="IS18" s="155">
        <v>21315</v>
      </c>
      <c r="IT18" s="155">
        <v>2246339</v>
      </c>
      <c r="IU18" s="155">
        <v>3232774</v>
      </c>
      <c r="IV18" s="155">
        <v>1100924</v>
      </c>
      <c r="IW18" s="155">
        <v>390881</v>
      </c>
      <c r="IX18" s="155">
        <v>12150</v>
      </c>
      <c r="IY18" s="155">
        <v>664102</v>
      </c>
      <c r="IZ18" s="155">
        <v>5288651</v>
      </c>
      <c r="JA18" s="155">
        <v>369738</v>
      </c>
      <c r="JB18" s="155">
        <v>661449</v>
      </c>
      <c r="JD18" s="155">
        <v>1837231</v>
      </c>
      <c r="JE18" s="155">
        <v>23246</v>
      </c>
      <c r="JF18" s="155">
        <v>36621</v>
      </c>
      <c r="JG18" s="155">
        <v>1448714</v>
      </c>
      <c r="JH18" s="155">
        <v>984652</v>
      </c>
      <c r="JI18" s="155">
        <v>302291</v>
      </c>
      <c r="JJ18" s="155">
        <v>360995</v>
      </c>
      <c r="JK18" s="155">
        <v>974581</v>
      </c>
      <c r="JL18" s="155">
        <v>761947</v>
      </c>
      <c r="JM18" s="155">
        <v>1863075</v>
      </c>
      <c r="JN18" s="155">
        <v>1761276</v>
      </c>
    </row>
    <row r="19" spans="1:274" s="155" customFormat="1" x14ac:dyDescent="0.25">
      <c r="A19" s="157" t="s">
        <v>364</v>
      </c>
      <c r="B19" s="157"/>
      <c r="C19" s="157" t="s">
        <v>1078</v>
      </c>
      <c r="D19" s="157"/>
      <c r="E19" s="158"/>
      <c r="F19" s="157"/>
      <c r="G19" s="157" t="s">
        <v>365</v>
      </c>
      <c r="Q19" s="155">
        <v>4003286</v>
      </c>
      <c r="AH19" s="155">
        <v>9056644</v>
      </c>
      <c r="AI19" s="155">
        <v>4822949</v>
      </c>
      <c r="AJ19" s="155">
        <v>2288027</v>
      </c>
      <c r="AK19" s="155">
        <v>3132763</v>
      </c>
      <c r="AL19" s="155">
        <v>0</v>
      </c>
      <c r="CV19" s="155">
        <v>201544</v>
      </c>
      <c r="CW19" s="155">
        <v>438608</v>
      </c>
      <c r="CX19" s="155">
        <v>419609</v>
      </c>
      <c r="CZ19" s="155">
        <v>34976</v>
      </c>
      <c r="DA19" s="155">
        <v>294608</v>
      </c>
      <c r="DB19" s="155">
        <v>18466</v>
      </c>
      <c r="DC19" s="155">
        <v>286583</v>
      </c>
      <c r="DD19" s="155">
        <v>416</v>
      </c>
      <c r="DE19" s="155">
        <v>144991</v>
      </c>
      <c r="DF19" s="155">
        <v>807684</v>
      </c>
      <c r="DG19" s="155">
        <v>67833</v>
      </c>
      <c r="DH19" s="155">
        <v>334343</v>
      </c>
      <c r="DI19" s="155">
        <v>27898</v>
      </c>
      <c r="DJ19" s="155">
        <v>465075</v>
      </c>
      <c r="DK19" s="155">
        <v>18688</v>
      </c>
      <c r="DL19" s="155">
        <v>100272</v>
      </c>
      <c r="DM19" s="155">
        <v>513391</v>
      </c>
      <c r="DN19" s="155">
        <v>86388</v>
      </c>
      <c r="DO19" s="155">
        <v>85684</v>
      </c>
      <c r="DP19" s="155">
        <v>32464</v>
      </c>
      <c r="DQ19" s="155">
        <v>119232</v>
      </c>
      <c r="DR19" s="155">
        <v>245880</v>
      </c>
      <c r="DS19" s="155">
        <v>542288</v>
      </c>
      <c r="DT19" s="155">
        <v>220090</v>
      </c>
      <c r="DZ19" s="155">
        <v>458204</v>
      </c>
      <c r="EA19" s="155">
        <v>1259510</v>
      </c>
      <c r="EB19" s="155">
        <v>1707648</v>
      </c>
      <c r="ED19" s="155">
        <v>117216</v>
      </c>
      <c r="EE19" s="155">
        <v>942162</v>
      </c>
      <c r="EF19" s="155">
        <v>28806</v>
      </c>
      <c r="EG19" s="155">
        <v>818325</v>
      </c>
      <c r="EH19" s="155">
        <v>1335</v>
      </c>
      <c r="EI19" s="155">
        <v>522841</v>
      </c>
      <c r="EJ19" s="155">
        <v>3321942</v>
      </c>
      <c r="EK19" s="155">
        <v>153480</v>
      </c>
      <c r="EL19" s="155">
        <v>1686676</v>
      </c>
      <c r="EM19" s="155">
        <v>247105</v>
      </c>
      <c r="EN19" s="155">
        <v>1621598</v>
      </c>
      <c r="EO19" s="155">
        <v>160159</v>
      </c>
      <c r="EP19" s="155">
        <v>512441</v>
      </c>
      <c r="EQ19" s="155">
        <v>1679930</v>
      </c>
      <c r="ER19" s="155">
        <v>323728</v>
      </c>
      <c r="ES19" s="155">
        <v>265565</v>
      </c>
      <c r="ET19" s="155">
        <v>126490</v>
      </c>
      <c r="EU19" s="155">
        <v>412621</v>
      </c>
      <c r="EV19" s="155">
        <v>589099</v>
      </c>
      <c r="EW19" s="155">
        <v>1775329</v>
      </c>
      <c r="EX19" s="155">
        <v>1460975</v>
      </c>
      <c r="IP19" s="155">
        <v>85804</v>
      </c>
      <c r="IQ19" s="155">
        <v>160278</v>
      </c>
      <c r="IR19" s="155">
        <v>185370</v>
      </c>
      <c r="IT19" s="155">
        <v>20634</v>
      </c>
      <c r="IU19" s="155">
        <v>132572</v>
      </c>
      <c r="IV19" s="155">
        <v>8620</v>
      </c>
      <c r="IW19" s="155">
        <v>141149</v>
      </c>
      <c r="IX19" s="155">
        <v>41</v>
      </c>
      <c r="IY19" s="155">
        <v>37425</v>
      </c>
      <c r="IZ19" s="155">
        <v>549457</v>
      </c>
      <c r="JA19" s="155">
        <v>74178</v>
      </c>
      <c r="JB19" s="155">
        <v>123843</v>
      </c>
      <c r="JC19" s="155">
        <v>30713</v>
      </c>
      <c r="JD19" s="155">
        <v>123018</v>
      </c>
      <c r="JE19" s="155">
        <v>9117</v>
      </c>
      <c r="JF19" s="155">
        <v>10114</v>
      </c>
      <c r="JG19" s="155">
        <v>120087</v>
      </c>
      <c r="JH19" s="155">
        <v>29027</v>
      </c>
      <c r="JI19" s="155">
        <v>56810</v>
      </c>
      <c r="JJ19" s="155">
        <v>14028</v>
      </c>
      <c r="JK19" s="155">
        <v>46997</v>
      </c>
      <c r="JL19" s="155">
        <v>96696</v>
      </c>
      <c r="JM19" s="155">
        <v>38892</v>
      </c>
      <c r="JN19" s="155">
        <v>196576</v>
      </c>
    </row>
    <row r="20" spans="1:274" s="155" customFormat="1" x14ac:dyDescent="0.25">
      <c r="A20" s="157" t="s">
        <v>439</v>
      </c>
      <c r="B20" s="157"/>
      <c r="C20" s="157" t="s">
        <v>1078</v>
      </c>
      <c r="D20" s="157"/>
      <c r="E20" s="158"/>
      <c r="F20" s="157"/>
      <c r="G20" s="157" t="s">
        <v>440</v>
      </c>
      <c r="Q20" s="155">
        <v>3910413</v>
      </c>
      <c r="AH20" s="155">
        <v>14122974</v>
      </c>
      <c r="AI20" s="155">
        <v>6221180</v>
      </c>
      <c r="AJ20" s="155">
        <v>2471161</v>
      </c>
      <c r="AK20" s="155">
        <v>6937155</v>
      </c>
      <c r="AL20" s="155">
        <v>184950</v>
      </c>
      <c r="CV20" s="155">
        <v>79732</v>
      </c>
      <c r="CW20" s="155">
        <v>863088</v>
      </c>
      <c r="CX20" s="155">
        <v>471149</v>
      </c>
      <c r="CZ20" s="155">
        <v>19200</v>
      </c>
      <c r="DA20" s="155">
        <v>373191</v>
      </c>
      <c r="DC20" s="155">
        <v>368060</v>
      </c>
      <c r="DF20" s="155">
        <v>2570566</v>
      </c>
      <c r="DG20" s="155">
        <v>72542</v>
      </c>
      <c r="DH20" s="155">
        <v>155514</v>
      </c>
      <c r="DI20" s="155">
        <v>26112</v>
      </c>
      <c r="DJ20" s="155">
        <v>359263</v>
      </c>
      <c r="DM20" s="155">
        <v>1324954</v>
      </c>
      <c r="DN20" s="155">
        <v>52324</v>
      </c>
      <c r="DP20" s="155">
        <v>127607</v>
      </c>
      <c r="DQ20" s="155">
        <v>49312</v>
      </c>
      <c r="DR20" s="155">
        <v>218080</v>
      </c>
      <c r="DS20" s="155">
        <v>1475328</v>
      </c>
      <c r="DT20" s="155">
        <v>311524</v>
      </c>
      <c r="DZ20" s="155">
        <v>805346</v>
      </c>
      <c r="EA20" s="155">
        <v>1771663</v>
      </c>
      <c r="EB20" s="155">
        <v>949268</v>
      </c>
      <c r="ED20" s="155">
        <v>210195</v>
      </c>
      <c r="EE20" s="155">
        <v>1404924</v>
      </c>
      <c r="EG20" s="155">
        <v>214768</v>
      </c>
      <c r="EJ20" s="155">
        <v>7360478</v>
      </c>
      <c r="EK20" s="155">
        <v>335788</v>
      </c>
      <c r="EL20" s="155">
        <v>1415628</v>
      </c>
      <c r="EM20" s="155">
        <v>255944</v>
      </c>
      <c r="EN20" s="155">
        <v>1985777</v>
      </c>
      <c r="EQ20" s="155">
        <v>2287755</v>
      </c>
      <c r="ER20" s="155">
        <v>280838</v>
      </c>
      <c r="ET20" s="155">
        <v>229402</v>
      </c>
      <c r="EU20" s="155">
        <v>452887</v>
      </c>
      <c r="EV20" s="155">
        <v>569246</v>
      </c>
      <c r="EW20" s="155">
        <v>3362309</v>
      </c>
      <c r="EX20" s="155">
        <v>780047</v>
      </c>
      <c r="IP20" s="155">
        <v>471111</v>
      </c>
      <c r="IQ20" s="155">
        <v>272909</v>
      </c>
      <c r="IR20" s="155">
        <v>363374</v>
      </c>
      <c r="IT20" s="155">
        <v>88247</v>
      </c>
      <c r="IU20" s="155">
        <v>262806</v>
      </c>
      <c r="IW20" s="155">
        <v>84919</v>
      </c>
      <c r="IZ20" s="155">
        <v>1106216</v>
      </c>
      <c r="JA20" s="155">
        <v>25709</v>
      </c>
      <c r="JB20" s="155">
        <v>199850</v>
      </c>
      <c r="JC20" s="155">
        <v>15373</v>
      </c>
      <c r="JD20" s="155">
        <v>184554</v>
      </c>
      <c r="JG20" s="155">
        <v>367443</v>
      </c>
      <c r="JH20" s="155">
        <v>80785</v>
      </c>
      <c r="JJ20" s="155">
        <v>63678</v>
      </c>
      <c r="JK20" s="155">
        <v>131505</v>
      </c>
      <c r="JL20" s="155">
        <v>137978</v>
      </c>
      <c r="JM20" s="155">
        <v>118347</v>
      </c>
      <c r="JN20" s="155">
        <v>90527</v>
      </c>
    </row>
    <row r="21" spans="1:274" s="155" customFormat="1" x14ac:dyDescent="0.25">
      <c r="A21" s="157" t="s">
        <v>366</v>
      </c>
      <c r="B21" s="157"/>
      <c r="C21" s="157" t="s">
        <v>1078</v>
      </c>
      <c r="D21" s="157"/>
      <c r="E21" s="158"/>
      <c r="F21" s="157"/>
      <c r="G21" s="157" t="s">
        <v>367</v>
      </c>
      <c r="Q21" s="155">
        <v>233686</v>
      </c>
      <c r="AH21" s="155">
        <v>1316765</v>
      </c>
      <c r="AI21" s="155">
        <v>414744</v>
      </c>
      <c r="AJ21" s="155">
        <v>125125</v>
      </c>
      <c r="AK21" s="155">
        <v>65902</v>
      </c>
      <c r="AL21" s="155">
        <v>0</v>
      </c>
      <c r="CU21" s="155">
        <v>20486</v>
      </c>
      <c r="CV21" s="155">
        <v>47000</v>
      </c>
      <c r="CW21" s="155">
        <v>67558</v>
      </c>
      <c r="CX21" s="155">
        <v>77663</v>
      </c>
      <c r="DA21" s="155">
        <v>55234</v>
      </c>
      <c r="DB21" s="155">
        <v>6272</v>
      </c>
      <c r="DC21" s="155">
        <v>52876</v>
      </c>
      <c r="DE21" s="155">
        <v>34988</v>
      </c>
      <c r="DF21" s="155">
        <v>73894</v>
      </c>
      <c r="DG21" s="155">
        <v>4704</v>
      </c>
      <c r="DJ21" s="155">
        <v>22100</v>
      </c>
      <c r="DL21" s="155">
        <v>55172</v>
      </c>
      <c r="DM21" s="155">
        <v>49760</v>
      </c>
      <c r="DN21" s="155">
        <v>192</v>
      </c>
      <c r="DO21" s="155">
        <v>77</v>
      </c>
      <c r="DP21" s="155">
        <v>244</v>
      </c>
      <c r="DQ21" s="155">
        <v>43139</v>
      </c>
      <c r="DR21" s="155">
        <v>5280</v>
      </c>
      <c r="DS21" s="155">
        <v>86296</v>
      </c>
      <c r="DT21" s="155">
        <v>24359</v>
      </c>
      <c r="DY21" s="155">
        <v>88663</v>
      </c>
      <c r="DZ21" s="155">
        <v>14246</v>
      </c>
      <c r="EA21" s="155">
        <v>202753</v>
      </c>
      <c r="EB21" s="155">
        <v>130745</v>
      </c>
      <c r="EE21" s="155">
        <v>150789</v>
      </c>
      <c r="EF21" s="155">
        <v>60089</v>
      </c>
      <c r="EG21" s="155">
        <v>3522</v>
      </c>
      <c r="EI21" s="155">
        <v>35482</v>
      </c>
      <c r="EJ21" s="155">
        <v>110798</v>
      </c>
      <c r="EK21" s="155">
        <v>10509</v>
      </c>
      <c r="EN21" s="155">
        <v>61871</v>
      </c>
      <c r="EP21" s="155">
        <v>209354</v>
      </c>
      <c r="EQ21" s="155">
        <v>102802</v>
      </c>
      <c r="ER21" s="155">
        <v>480</v>
      </c>
      <c r="ES21" s="155">
        <v>456</v>
      </c>
      <c r="ET21" s="155">
        <v>4400</v>
      </c>
      <c r="EU21" s="155">
        <v>180722</v>
      </c>
      <c r="EV21" s="155">
        <v>6088</v>
      </c>
      <c r="EW21" s="155">
        <v>209562</v>
      </c>
      <c r="EX21" s="155">
        <v>72771</v>
      </c>
      <c r="IO21" s="155">
        <v>17272</v>
      </c>
      <c r="IP21" s="155">
        <v>40187</v>
      </c>
      <c r="IQ21" s="155">
        <v>89712</v>
      </c>
      <c r="IR21" s="155">
        <v>63634</v>
      </c>
      <c r="IU21" s="155">
        <v>327756</v>
      </c>
      <c r="IV21" s="155">
        <v>26923</v>
      </c>
      <c r="IW21" s="155">
        <v>94241</v>
      </c>
      <c r="IY21" s="155">
        <v>782</v>
      </c>
      <c r="IZ21" s="155">
        <v>31699</v>
      </c>
      <c r="JA21" s="155">
        <v>43</v>
      </c>
      <c r="JD21" s="155">
        <v>44155</v>
      </c>
      <c r="JF21" s="155">
        <v>138081</v>
      </c>
      <c r="JG21" s="155">
        <v>1336</v>
      </c>
      <c r="JH21" s="155">
        <v>78</v>
      </c>
      <c r="JI21" s="155">
        <v>0</v>
      </c>
      <c r="JJ21" s="155">
        <v>0</v>
      </c>
      <c r="JK21" s="155">
        <v>50632</v>
      </c>
      <c r="JL21" s="155">
        <v>13674</v>
      </c>
      <c r="JM21" s="155">
        <v>71144</v>
      </c>
      <c r="JN21" s="155">
        <v>12210</v>
      </c>
    </row>
    <row r="22" spans="1:274" s="155" customFormat="1" x14ac:dyDescent="0.25">
      <c r="A22" s="157" t="s">
        <v>423</v>
      </c>
      <c r="B22" s="157"/>
      <c r="C22" s="157" t="s">
        <v>1078</v>
      </c>
      <c r="D22" s="157"/>
      <c r="E22" s="158"/>
      <c r="F22" s="157"/>
      <c r="G22" s="157" t="s">
        <v>424</v>
      </c>
      <c r="Q22" s="155">
        <v>761544</v>
      </c>
      <c r="AH22" s="155">
        <v>2562667</v>
      </c>
      <c r="AI22" s="155">
        <v>574572</v>
      </c>
      <c r="AJ22" s="155">
        <v>289758</v>
      </c>
      <c r="AK22" s="155">
        <v>873686</v>
      </c>
      <c r="AL22" s="155">
        <v>0</v>
      </c>
      <c r="CV22" s="155">
        <v>10994</v>
      </c>
      <c r="CW22" s="155">
        <v>124704</v>
      </c>
      <c r="CX22" s="155">
        <v>59215</v>
      </c>
      <c r="CZ22" s="155">
        <v>96</v>
      </c>
      <c r="DA22" s="155">
        <v>35856</v>
      </c>
      <c r="DC22" s="155">
        <v>38880</v>
      </c>
      <c r="DE22" s="155">
        <v>2851</v>
      </c>
      <c r="DF22" s="155">
        <v>177400</v>
      </c>
      <c r="DG22" s="155">
        <v>16176</v>
      </c>
      <c r="DH22" s="155">
        <v>110658</v>
      </c>
      <c r="DJ22" s="155">
        <v>145057</v>
      </c>
      <c r="DL22" s="155">
        <v>28000</v>
      </c>
      <c r="DM22" s="155">
        <v>137713</v>
      </c>
      <c r="DO22" s="155">
        <v>2160</v>
      </c>
      <c r="DQ22" s="155">
        <v>49698</v>
      </c>
      <c r="DR22" s="155">
        <v>36282</v>
      </c>
      <c r="DS22" s="155">
        <v>140016</v>
      </c>
      <c r="DT22" s="155">
        <v>43808</v>
      </c>
      <c r="DZ22" s="155">
        <v>20163</v>
      </c>
      <c r="EA22" s="155">
        <v>416618</v>
      </c>
      <c r="EB22" s="155">
        <v>309443</v>
      </c>
      <c r="ED22" s="155">
        <v>0</v>
      </c>
      <c r="EE22" s="155">
        <v>152394</v>
      </c>
      <c r="EG22" s="155">
        <v>93359</v>
      </c>
      <c r="EI22" s="155">
        <v>38651</v>
      </c>
      <c r="EJ22" s="155">
        <v>382138</v>
      </c>
      <c r="EK22" s="155">
        <v>19459</v>
      </c>
      <c r="EL22" s="155">
        <v>703091</v>
      </c>
      <c r="EN22" s="155">
        <v>491077</v>
      </c>
      <c r="EP22" s="155">
        <v>116568</v>
      </c>
      <c r="EQ22" s="155">
        <v>225212</v>
      </c>
      <c r="ES22" s="155">
        <v>14032</v>
      </c>
      <c r="EU22" s="155">
        <v>125321</v>
      </c>
      <c r="EV22" s="155">
        <v>78405</v>
      </c>
      <c r="EW22" s="155">
        <v>432035</v>
      </c>
      <c r="EX22" s="155">
        <v>177155</v>
      </c>
      <c r="IP22" s="155">
        <v>14057</v>
      </c>
      <c r="IQ22" s="155">
        <v>46070</v>
      </c>
      <c r="IR22" s="155">
        <v>57947</v>
      </c>
      <c r="IT22" s="155">
        <v>103949</v>
      </c>
      <c r="IU22" s="155">
        <v>144232</v>
      </c>
      <c r="IW22" s="155">
        <v>109444</v>
      </c>
      <c r="IY22" s="155">
        <v>26822</v>
      </c>
      <c r="IZ22" s="155">
        <v>34346</v>
      </c>
      <c r="JA22" s="155">
        <v>1945</v>
      </c>
      <c r="JB22" s="155">
        <v>17163</v>
      </c>
      <c r="JD22" s="155">
        <v>101120</v>
      </c>
      <c r="JF22" s="155">
        <v>3497</v>
      </c>
      <c r="JG22" s="155">
        <v>7720</v>
      </c>
      <c r="JI22" s="155">
        <v>9783</v>
      </c>
      <c r="JK22" s="155">
        <v>125923</v>
      </c>
      <c r="JL22" s="155">
        <v>7141</v>
      </c>
      <c r="JM22" s="155">
        <v>10411</v>
      </c>
      <c r="JN22" s="155">
        <v>18196</v>
      </c>
    </row>
    <row r="23" spans="1:274" s="155" customFormat="1" x14ac:dyDescent="0.25">
      <c r="A23" s="157" t="s">
        <v>368</v>
      </c>
      <c r="B23" s="157"/>
      <c r="C23" s="157" t="s">
        <v>1078</v>
      </c>
      <c r="D23" s="157"/>
      <c r="E23" s="158"/>
      <c r="F23" s="157"/>
      <c r="G23" s="157" t="s">
        <v>369</v>
      </c>
      <c r="Q23" s="155">
        <v>850002</v>
      </c>
      <c r="AH23" s="155">
        <v>1638518</v>
      </c>
      <c r="AI23" s="155">
        <v>900015</v>
      </c>
      <c r="AJ23" s="155">
        <v>326399</v>
      </c>
      <c r="AK23" s="155">
        <v>388174</v>
      </c>
      <c r="AL23" s="155">
        <v>0</v>
      </c>
      <c r="CU23" s="155">
        <v>17696</v>
      </c>
      <c r="CV23" s="155">
        <v>38816</v>
      </c>
      <c r="CW23" s="155">
        <v>220880</v>
      </c>
      <c r="CX23" s="155">
        <v>80768</v>
      </c>
      <c r="CZ23" s="155">
        <v>1088</v>
      </c>
      <c r="DA23" s="155">
        <v>60752</v>
      </c>
      <c r="DC23" s="155">
        <v>103232</v>
      </c>
      <c r="DD23" s="155">
        <v>432</v>
      </c>
      <c r="DE23" s="155">
        <v>67200</v>
      </c>
      <c r="DF23" s="155">
        <v>246864</v>
      </c>
      <c r="DG23" s="155">
        <v>13072</v>
      </c>
      <c r="DH23" s="155">
        <v>176455</v>
      </c>
      <c r="DJ23" s="155">
        <v>53824</v>
      </c>
      <c r="DL23" s="155">
        <v>54492</v>
      </c>
      <c r="DM23" s="155">
        <v>164560</v>
      </c>
      <c r="DN23" s="155">
        <v>11648</v>
      </c>
      <c r="DP23" s="155">
        <v>1600</v>
      </c>
      <c r="DQ23" s="155">
        <v>24048</v>
      </c>
      <c r="DR23" s="155">
        <v>18784</v>
      </c>
      <c r="DS23" s="155">
        <v>272304</v>
      </c>
      <c r="DT23" s="155">
        <v>77072</v>
      </c>
      <c r="DY23" s="155">
        <v>58516</v>
      </c>
      <c r="DZ23" s="155">
        <v>173786</v>
      </c>
      <c r="EA23" s="155">
        <v>427302</v>
      </c>
      <c r="EB23" s="155">
        <v>305893</v>
      </c>
      <c r="ED23" s="155">
        <v>0</v>
      </c>
      <c r="EE23" s="155">
        <v>283973</v>
      </c>
      <c r="EG23" s="155">
        <v>148400</v>
      </c>
      <c r="EH23" s="155">
        <v>0</v>
      </c>
      <c r="EI23" s="155">
        <v>237366</v>
      </c>
      <c r="EJ23" s="155">
        <v>594350</v>
      </c>
      <c r="EK23" s="155">
        <v>52087</v>
      </c>
      <c r="EL23" s="155">
        <v>879215</v>
      </c>
      <c r="EN23" s="155">
        <v>182410</v>
      </c>
      <c r="EP23" s="155">
        <v>155762</v>
      </c>
      <c r="EQ23" s="155">
        <v>343614</v>
      </c>
      <c r="ER23" s="155">
        <v>67849</v>
      </c>
      <c r="ET23" s="155">
        <v>7540</v>
      </c>
      <c r="EU23" s="155">
        <v>196083</v>
      </c>
      <c r="EV23" s="155">
        <v>207039</v>
      </c>
      <c r="EW23" s="155">
        <v>607796</v>
      </c>
      <c r="EX23" s="155">
        <v>247463</v>
      </c>
      <c r="IO23" s="155">
        <v>12210</v>
      </c>
      <c r="IP23" s="155">
        <v>37149</v>
      </c>
      <c r="IQ23" s="155">
        <v>82187</v>
      </c>
      <c r="IR23" s="155">
        <v>7486</v>
      </c>
      <c r="IT23" s="155">
        <v>0</v>
      </c>
      <c r="IU23" s="155">
        <v>23135</v>
      </c>
      <c r="IW23" s="155">
        <v>41336</v>
      </c>
      <c r="IX23" s="155">
        <v>0</v>
      </c>
      <c r="IY23" s="155">
        <v>29539</v>
      </c>
      <c r="IZ23" s="155">
        <v>99892</v>
      </c>
      <c r="JA23" s="155">
        <v>3875</v>
      </c>
      <c r="JB23" s="155">
        <v>63315</v>
      </c>
      <c r="JD23" s="155">
        <v>17798</v>
      </c>
      <c r="JF23" s="155">
        <v>26193</v>
      </c>
      <c r="JG23" s="155">
        <v>31764</v>
      </c>
      <c r="JH23" s="155">
        <v>14418</v>
      </c>
      <c r="JJ23" s="155">
        <v>637</v>
      </c>
      <c r="JK23" s="155">
        <v>7080</v>
      </c>
      <c r="JL23" s="155">
        <v>24596</v>
      </c>
      <c r="JM23" s="155">
        <v>12224</v>
      </c>
      <c r="JN23" s="155">
        <v>22426</v>
      </c>
    </row>
    <row r="24" spans="1:274" s="155" customFormat="1" x14ac:dyDescent="0.25">
      <c r="A24" s="157" t="s">
        <v>372</v>
      </c>
      <c r="B24" s="157"/>
      <c r="C24" s="157" t="s">
        <v>1078</v>
      </c>
      <c r="D24" s="157"/>
      <c r="E24" s="158"/>
      <c r="F24" s="157"/>
      <c r="G24" s="157" t="s">
        <v>373</v>
      </c>
      <c r="Q24" s="155">
        <v>189731</v>
      </c>
      <c r="AH24" s="155">
        <v>1457601</v>
      </c>
      <c r="AI24" s="155">
        <v>1021284</v>
      </c>
      <c r="AJ24" s="155">
        <v>536271</v>
      </c>
      <c r="AK24" s="155">
        <v>367012</v>
      </c>
      <c r="AL24" s="155">
        <v>0</v>
      </c>
      <c r="CU24" s="155">
        <v>9740</v>
      </c>
      <c r="CV24" s="155">
        <v>44424</v>
      </c>
      <c r="CW24" s="155">
        <v>114624</v>
      </c>
      <c r="CX24" s="155">
        <v>95044</v>
      </c>
      <c r="CZ24" s="155">
        <v>5280</v>
      </c>
      <c r="DA24" s="155">
        <v>115377</v>
      </c>
      <c r="DB24" s="155">
        <v>4944</v>
      </c>
      <c r="DC24" s="155">
        <v>267028</v>
      </c>
      <c r="DE24" s="155">
        <v>23102</v>
      </c>
      <c r="DF24" s="155">
        <v>211208</v>
      </c>
      <c r="DG24" s="155">
        <v>33656</v>
      </c>
      <c r="DH24" s="155">
        <v>0</v>
      </c>
      <c r="DJ24" s="155">
        <v>87996</v>
      </c>
      <c r="DL24" s="155">
        <v>118608</v>
      </c>
      <c r="DM24" s="155">
        <v>148448</v>
      </c>
      <c r="DN24" s="155">
        <v>42096</v>
      </c>
      <c r="DP24" s="155">
        <v>192</v>
      </c>
      <c r="DQ24" s="155">
        <v>62256</v>
      </c>
      <c r="DR24" s="155">
        <v>76712</v>
      </c>
      <c r="DS24" s="155">
        <v>161952</v>
      </c>
      <c r="DT24" s="155">
        <v>93760</v>
      </c>
      <c r="DY24" s="155">
        <v>46487</v>
      </c>
      <c r="DZ24" s="155">
        <v>145052</v>
      </c>
      <c r="EA24" s="155">
        <v>233434</v>
      </c>
      <c r="EB24" s="155">
        <v>70471</v>
      </c>
      <c r="ED24" s="155">
        <v>49418</v>
      </c>
      <c r="EE24" s="155">
        <v>336383</v>
      </c>
      <c r="EF24" s="155">
        <v>45622</v>
      </c>
      <c r="EG24" s="155">
        <v>331871</v>
      </c>
      <c r="EI24" s="155">
        <v>85040</v>
      </c>
      <c r="EJ24" s="155">
        <v>379480</v>
      </c>
      <c r="EK24" s="155">
        <v>72260</v>
      </c>
      <c r="EL24" s="155">
        <v>7330</v>
      </c>
      <c r="EN24" s="155">
        <v>114832</v>
      </c>
      <c r="EP24" s="155">
        <v>418514</v>
      </c>
      <c r="EQ24" s="155">
        <v>248017</v>
      </c>
      <c r="ER24" s="155">
        <v>139351</v>
      </c>
      <c r="ET24" s="155">
        <v>6930</v>
      </c>
      <c r="EU24" s="155">
        <v>243744</v>
      </c>
      <c r="EV24" s="155">
        <v>192475</v>
      </c>
      <c r="EW24" s="155">
        <v>331509</v>
      </c>
      <c r="EX24" s="155">
        <v>230400</v>
      </c>
      <c r="IO24" s="155">
        <v>9798</v>
      </c>
      <c r="IP24" s="155">
        <v>32393</v>
      </c>
      <c r="IQ24" s="155">
        <v>21218</v>
      </c>
      <c r="IR24" s="155">
        <v>6336</v>
      </c>
      <c r="IT24" s="155">
        <v>922</v>
      </c>
      <c r="IU24" s="155">
        <v>45829</v>
      </c>
      <c r="IV24" s="155">
        <v>12000</v>
      </c>
      <c r="IW24" s="155">
        <v>38033</v>
      </c>
      <c r="IY24" s="155">
        <v>6568</v>
      </c>
      <c r="IZ24" s="155">
        <v>31874</v>
      </c>
      <c r="JA24" s="155">
        <v>2740</v>
      </c>
      <c r="JB24" s="155">
        <v>865</v>
      </c>
      <c r="JD24" s="155">
        <v>20312</v>
      </c>
      <c r="JF24" s="155">
        <v>52779</v>
      </c>
      <c r="JG24" s="155">
        <v>12457</v>
      </c>
      <c r="JH24" s="155">
        <v>28299</v>
      </c>
      <c r="JJ24" s="155">
        <v>336</v>
      </c>
      <c r="JK24" s="155">
        <v>5883</v>
      </c>
      <c r="JL24" s="155">
        <v>33492</v>
      </c>
      <c r="JM24" s="155">
        <v>16254</v>
      </c>
      <c r="JN24" s="155">
        <v>36656</v>
      </c>
    </row>
    <row r="25" spans="1:274" s="155" customFormat="1" x14ac:dyDescent="0.25">
      <c r="A25" s="157" t="s">
        <v>441</v>
      </c>
      <c r="B25" s="157"/>
      <c r="C25" s="157" t="s">
        <v>1078</v>
      </c>
      <c r="D25" s="157"/>
      <c r="E25" s="158"/>
      <c r="F25" s="157"/>
      <c r="G25" s="157" t="s">
        <v>442</v>
      </c>
      <c r="Q25" s="155">
        <v>5196653</v>
      </c>
      <c r="AH25" s="155">
        <v>39274432</v>
      </c>
      <c r="AI25" s="155">
        <v>20683163</v>
      </c>
      <c r="AJ25" s="155">
        <v>3777493</v>
      </c>
      <c r="AK25" s="155">
        <v>2829354</v>
      </c>
      <c r="AL25" s="155">
        <v>0</v>
      </c>
      <c r="CU25" s="155">
        <v>96928</v>
      </c>
      <c r="CV25" s="155">
        <v>525066</v>
      </c>
      <c r="CW25" s="155">
        <v>1878096</v>
      </c>
      <c r="CX25" s="155">
        <v>1447954</v>
      </c>
      <c r="CZ25" s="155">
        <v>264376</v>
      </c>
      <c r="DA25" s="155">
        <v>390787</v>
      </c>
      <c r="DB25" s="155">
        <v>561466</v>
      </c>
      <c r="DC25" s="155">
        <v>594821</v>
      </c>
      <c r="DD25" s="155">
        <v>5888</v>
      </c>
      <c r="DE25" s="155">
        <v>300139</v>
      </c>
      <c r="DF25" s="155">
        <v>3372331</v>
      </c>
      <c r="DG25" s="155">
        <v>300536</v>
      </c>
      <c r="DH25" s="155">
        <v>271596</v>
      </c>
      <c r="DJ25" s="155">
        <v>878273</v>
      </c>
      <c r="DK25" s="155">
        <v>37600</v>
      </c>
      <c r="DL25" s="155">
        <v>108976</v>
      </c>
      <c r="DM25" s="155">
        <v>1902168</v>
      </c>
      <c r="DN25" s="155">
        <v>309456</v>
      </c>
      <c r="DO25" s="155">
        <v>795650</v>
      </c>
      <c r="DP25" s="155">
        <v>35884</v>
      </c>
      <c r="DQ25" s="155">
        <v>46032</v>
      </c>
      <c r="DR25" s="155">
        <v>438560</v>
      </c>
      <c r="DS25" s="155">
        <v>2815247</v>
      </c>
      <c r="DT25" s="155">
        <v>783781</v>
      </c>
      <c r="DY25" s="155">
        <v>257031</v>
      </c>
      <c r="DZ25" s="155">
        <v>571205</v>
      </c>
      <c r="EA25" s="155">
        <v>4953344</v>
      </c>
      <c r="EB25" s="155">
        <v>4551473</v>
      </c>
      <c r="ED25" s="155">
        <v>682473</v>
      </c>
      <c r="EE25" s="155">
        <v>2787843</v>
      </c>
      <c r="EF25" s="155">
        <v>764951</v>
      </c>
      <c r="EG25" s="155">
        <v>1408566</v>
      </c>
      <c r="EH25" s="155">
        <v>30277</v>
      </c>
      <c r="EI25" s="155">
        <v>1543342</v>
      </c>
      <c r="EJ25" s="155">
        <v>9686607</v>
      </c>
      <c r="EK25" s="155">
        <v>883632</v>
      </c>
      <c r="EL25" s="155">
        <v>1810392</v>
      </c>
      <c r="EN25" s="155">
        <v>3398790</v>
      </c>
      <c r="EO25" s="155">
        <v>381866</v>
      </c>
      <c r="EP25" s="155">
        <v>650621</v>
      </c>
      <c r="EQ25" s="155">
        <v>5219558</v>
      </c>
      <c r="ER25" s="155">
        <v>1239677</v>
      </c>
      <c r="ES25" s="155">
        <v>45692</v>
      </c>
      <c r="ET25" s="155">
        <v>575926</v>
      </c>
      <c r="EU25" s="155">
        <v>245258</v>
      </c>
      <c r="EV25" s="155">
        <v>2866384</v>
      </c>
      <c r="EW25" s="155">
        <v>7408296</v>
      </c>
      <c r="EX25" s="155">
        <v>3137111</v>
      </c>
      <c r="IO25" s="155">
        <v>148392</v>
      </c>
      <c r="IP25" s="155">
        <v>278014</v>
      </c>
      <c r="IQ25" s="155">
        <v>1011128</v>
      </c>
      <c r="IR25" s="155">
        <v>779020</v>
      </c>
      <c r="IT25" s="155">
        <v>1955431</v>
      </c>
      <c r="IU25" s="155">
        <v>4900353</v>
      </c>
      <c r="IV25" s="155">
        <v>1180097</v>
      </c>
      <c r="IW25" s="155">
        <v>581543</v>
      </c>
      <c r="IX25" s="155">
        <v>16731</v>
      </c>
      <c r="IY25" s="155">
        <v>941621</v>
      </c>
      <c r="IZ25" s="155">
        <v>996438</v>
      </c>
      <c r="JA25" s="155">
        <v>166911</v>
      </c>
      <c r="JB25" s="155">
        <v>534351</v>
      </c>
      <c r="JD25" s="155">
        <v>607526</v>
      </c>
      <c r="JE25" s="155">
        <v>72550</v>
      </c>
      <c r="JF25" s="155">
        <v>192615</v>
      </c>
      <c r="JG25" s="155">
        <v>391484</v>
      </c>
      <c r="JH25" s="155">
        <v>551754</v>
      </c>
      <c r="JI25" s="155">
        <v>5507119</v>
      </c>
      <c r="JJ25" s="155">
        <v>122431</v>
      </c>
      <c r="JK25" s="155">
        <v>100551</v>
      </c>
      <c r="JL25" s="155">
        <v>798069</v>
      </c>
      <c r="JM25" s="155">
        <v>495162</v>
      </c>
      <c r="JN25" s="155">
        <v>893771</v>
      </c>
    </row>
    <row r="26" spans="1:274" s="155" customFormat="1" ht="15" customHeight="1" x14ac:dyDescent="0.25">
      <c r="A26" s="157" t="s">
        <v>374</v>
      </c>
      <c r="B26" s="157"/>
      <c r="C26" s="157" t="s">
        <v>1078</v>
      </c>
      <c r="D26" s="157"/>
      <c r="E26" s="158"/>
      <c r="F26" s="157"/>
      <c r="G26" s="157" t="s">
        <v>375</v>
      </c>
      <c r="Q26" s="155">
        <v>891325</v>
      </c>
      <c r="AH26" s="155">
        <v>4184137</v>
      </c>
      <c r="AI26" s="155">
        <v>903116</v>
      </c>
      <c r="AJ26" s="155">
        <v>184394</v>
      </c>
      <c r="AK26" s="155">
        <v>590424</v>
      </c>
      <c r="AL26" s="155">
        <v>0</v>
      </c>
      <c r="CU26" s="155">
        <v>77447</v>
      </c>
      <c r="CV26" s="155">
        <v>48494</v>
      </c>
      <c r="CW26" s="155">
        <v>112896</v>
      </c>
      <c r="CX26" s="155">
        <v>285162</v>
      </c>
      <c r="CZ26" s="155">
        <v>66472</v>
      </c>
      <c r="DA26" s="155">
        <v>211988</v>
      </c>
      <c r="DB26" s="155">
        <v>113636</v>
      </c>
      <c r="DC26" s="155">
        <v>205374</v>
      </c>
      <c r="DD26" s="155">
        <v>240</v>
      </c>
      <c r="DE26" s="155">
        <v>75957</v>
      </c>
      <c r="DF26" s="155">
        <v>289749</v>
      </c>
      <c r="DG26" s="155">
        <v>8888</v>
      </c>
      <c r="DH26" s="155">
        <v>24976</v>
      </c>
      <c r="DI26" s="155">
        <v>20592</v>
      </c>
      <c r="DJ26" s="155">
        <v>122595</v>
      </c>
      <c r="DK26" s="155">
        <v>15850</v>
      </c>
      <c r="DL26" s="155">
        <v>60057</v>
      </c>
      <c r="DM26" s="155">
        <v>115760</v>
      </c>
      <c r="DN26" s="155">
        <v>2304</v>
      </c>
      <c r="DO26" s="155">
        <v>924</v>
      </c>
      <c r="DP26" s="155">
        <v>11034</v>
      </c>
      <c r="DQ26" s="155">
        <v>42192</v>
      </c>
      <c r="DR26" s="155">
        <v>100819</v>
      </c>
      <c r="DS26" s="155">
        <v>185228</v>
      </c>
      <c r="DT26" s="155">
        <v>49883</v>
      </c>
      <c r="DY26" s="155">
        <v>206025</v>
      </c>
      <c r="DZ26" s="155">
        <v>109252</v>
      </c>
      <c r="EA26" s="155">
        <v>347138</v>
      </c>
      <c r="EB26" s="155">
        <v>462168</v>
      </c>
      <c r="ED26" s="155">
        <v>16921</v>
      </c>
      <c r="EE26" s="155">
        <v>449709</v>
      </c>
      <c r="EF26" s="155">
        <v>325216</v>
      </c>
      <c r="EG26" s="155">
        <v>292754</v>
      </c>
      <c r="EH26" s="155">
        <v>1200</v>
      </c>
      <c r="EI26" s="155">
        <v>186893</v>
      </c>
      <c r="EJ26" s="155">
        <v>558104</v>
      </c>
      <c r="EK26" s="155">
        <v>34976</v>
      </c>
      <c r="EL26" s="155">
        <v>168423</v>
      </c>
      <c r="EM26" s="155">
        <v>150077</v>
      </c>
      <c r="EN26" s="155">
        <v>291349</v>
      </c>
      <c r="EO26" s="155">
        <v>93205</v>
      </c>
      <c r="EP26" s="155">
        <v>252196</v>
      </c>
      <c r="EQ26" s="155">
        <v>284136</v>
      </c>
      <c r="ER26" s="155">
        <v>5093</v>
      </c>
      <c r="ES26" s="155">
        <v>1711</v>
      </c>
      <c r="ET26" s="155">
        <v>10034</v>
      </c>
      <c r="EU26" s="155">
        <v>395590</v>
      </c>
      <c r="EV26" s="155">
        <v>88264</v>
      </c>
      <c r="EW26" s="155">
        <v>374560</v>
      </c>
      <c r="EX26" s="155">
        <v>169564</v>
      </c>
      <c r="IO26" s="155">
        <v>79917</v>
      </c>
      <c r="IP26" s="155">
        <v>27157</v>
      </c>
      <c r="IQ26" s="155">
        <v>74285</v>
      </c>
      <c r="IR26" s="155">
        <v>248853</v>
      </c>
      <c r="IT26" s="155">
        <v>22758</v>
      </c>
      <c r="IU26" s="155">
        <v>248654</v>
      </c>
      <c r="IV26" s="155">
        <v>15550</v>
      </c>
      <c r="IW26" s="155">
        <v>225522</v>
      </c>
      <c r="IX26" s="155">
        <v>73</v>
      </c>
      <c r="IY26" s="155">
        <v>70706</v>
      </c>
      <c r="IZ26" s="155">
        <v>121958</v>
      </c>
      <c r="JA26" s="155">
        <v>1278</v>
      </c>
      <c r="JB26" s="155">
        <v>71660</v>
      </c>
      <c r="JC26" s="155">
        <v>82784</v>
      </c>
      <c r="JD26" s="155">
        <v>83961</v>
      </c>
      <c r="JE26" s="155">
        <v>0</v>
      </c>
      <c r="JF26" s="155">
        <v>30888</v>
      </c>
      <c r="JG26" s="155">
        <v>29798</v>
      </c>
      <c r="JH26" s="155">
        <v>697</v>
      </c>
      <c r="JI26" s="155">
        <v>280</v>
      </c>
      <c r="JJ26" s="155">
        <v>339</v>
      </c>
      <c r="JK26" s="155">
        <v>54643</v>
      </c>
      <c r="JL26" s="155">
        <v>77948</v>
      </c>
      <c r="JM26" s="155">
        <v>28160</v>
      </c>
      <c r="JN26" s="155">
        <v>23494</v>
      </c>
    </row>
    <row r="27" spans="1:274" s="155" customFormat="1" x14ac:dyDescent="0.25">
      <c r="A27" s="157" t="s">
        <v>376</v>
      </c>
      <c r="B27" s="157"/>
      <c r="C27" s="157" t="s">
        <v>1078</v>
      </c>
      <c r="D27" s="157"/>
      <c r="E27" s="158"/>
      <c r="F27" s="157"/>
      <c r="G27" s="157" t="s">
        <v>377</v>
      </c>
      <c r="Q27" s="155">
        <v>727420</v>
      </c>
      <c r="AH27" s="155">
        <v>2879300</v>
      </c>
      <c r="AI27" s="155">
        <v>1105576</v>
      </c>
      <c r="AJ27" s="155">
        <v>367869</v>
      </c>
      <c r="AK27" s="155">
        <v>1666362</v>
      </c>
      <c r="AL27" s="155">
        <v>0</v>
      </c>
      <c r="CU27" s="155">
        <v>7483</v>
      </c>
      <c r="CV27" s="155">
        <v>43487</v>
      </c>
      <c r="CW27" s="155">
        <v>222496</v>
      </c>
      <c r="CX27" s="155">
        <v>226228</v>
      </c>
      <c r="CZ27" s="155">
        <v>8824</v>
      </c>
      <c r="DA27" s="155">
        <v>117007</v>
      </c>
      <c r="DB27" s="155">
        <v>10890</v>
      </c>
      <c r="DC27" s="155">
        <v>278214</v>
      </c>
      <c r="DD27" s="155">
        <v>1360</v>
      </c>
      <c r="DE27" s="155">
        <v>90056</v>
      </c>
      <c r="DF27" s="155">
        <v>353648</v>
      </c>
      <c r="DG27" s="155">
        <v>22442</v>
      </c>
      <c r="DH27" s="155">
        <v>92000</v>
      </c>
      <c r="DJ27" s="155">
        <v>159648</v>
      </c>
      <c r="DL27" s="155">
        <v>84848</v>
      </c>
      <c r="DM27" s="155">
        <v>271776</v>
      </c>
      <c r="DN27" s="155">
        <v>35376</v>
      </c>
      <c r="DO27" s="155">
        <v>13312</v>
      </c>
      <c r="DQ27" s="155">
        <v>98048</v>
      </c>
      <c r="DR27" s="155">
        <v>341996</v>
      </c>
      <c r="DS27" s="155">
        <v>364768</v>
      </c>
      <c r="DT27" s="155">
        <v>201602</v>
      </c>
      <c r="DY27" s="155">
        <v>49550</v>
      </c>
      <c r="DZ27" s="155">
        <v>123593</v>
      </c>
      <c r="EA27" s="155">
        <v>607878</v>
      </c>
      <c r="EB27" s="155">
        <v>650990</v>
      </c>
      <c r="ED27" s="155">
        <v>62002</v>
      </c>
      <c r="EE27" s="155">
        <v>265017</v>
      </c>
      <c r="EF27" s="155">
        <v>40145</v>
      </c>
      <c r="EG27" s="155">
        <v>318359</v>
      </c>
      <c r="EH27" s="155">
        <v>36598</v>
      </c>
      <c r="EI27" s="155">
        <v>283879</v>
      </c>
      <c r="EJ27" s="155">
        <v>751004</v>
      </c>
      <c r="EK27" s="155">
        <v>147289</v>
      </c>
      <c r="EL27" s="155">
        <v>455485</v>
      </c>
      <c r="EN27" s="155">
        <v>472181</v>
      </c>
      <c r="EP27" s="155">
        <v>226337</v>
      </c>
      <c r="EQ27" s="155">
        <v>519624</v>
      </c>
      <c r="ER27" s="155">
        <v>95699</v>
      </c>
      <c r="ES27" s="155">
        <v>84724</v>
      </c>
      <c r="EU27" s="155">
        <v>422301</v>
      </c>
      <c r="EV27" s="155">
        <v>713210</v>
      </c>
      <c r="EW27" s="155">
        <v>664975</v>
      </c>
      <c r="EX27" s="155">
        <v>645569</v>
      </c>
      <c r="IO27" s="155">
        <v>2149</v>
      </c>
      <c r="IP27" s="155">
        <v>44134</v>
      </c>
      <c r="IQ27" s="155">
        <v>75861</v>
      </c>
      <c r="IR27" s="155">
        <v>23323</v>
      </c>
      <c r="IT27" s="155">
        <v>25744</v>
      </c>
      <c r="IU27" s="155">
        <v>18691</v>
      </c>
      <c r="IV27" s="155">
        <v>20873</v>
      </c>
      <c r="IW27" s="155">
        <v>23778</v>
      </c>
      <c r="IX27" s="155">
        <v>975</v>
      </c>
      <c r="IY27" s="155">
        <v>49773</v>
      </c>
      <c r="IZ27" s="155">
        <v>43155</v>
      </c>
      <c r="JA27" s="155">
        <v>13002</v>
      </c>
      <c r="JB27" s="155">
        <v>72008</v>
      </c>
      <c r="JD27" s="155">
        <v>57633</v>
      </c>
      <c r="JF27" s="155">
        <v>12331</v>
      </c>
      <c r="JG27" s="155">
        <v>10984</v>
      </c>
      <c r="JH27" s="155">
        <v>26089</v>
      </c>
      <c r="JI27" s="155">
        <v>21730</v>
      </c>
      <c r="JK27" s="155">
        <v>26236</v>
      </c>
      <c r="JL27" s="155">
        <v>943470</v>
      </c>
      <c r="JM27" s="155">
        <v>22173</v>
      </c>
      <c r="JN27" s="155">
        <v>119061</v>
      </c>
    </row>
    <row r="28" spans="1:274" s="155" customFormat="1" x14ac:dyDescent="0.25">
      <c r="A28" s="157" t="s">
        <v>1082</v>
      </c>
      <c r="B28" s="157"/>
      <c r="C28" s="157" t="s">
        <v>1078</v>
      </c>
      <c r="D28" s="157"/>
      <c r="E28" s="158"/>
      <c r="F28" s="157"/>
      <c r="G28" s="157" t="s">
        <v>458</v>
      </c>
      <c r="Q28" s="155">
        <v>502759</v>
      </c>
      <c r="AH28" s="155">
        <v>1612748</v>
      </c>
      <c r="AI28" s="155">
        <v>721187</v>
      </c>
      <c r="AJ28" s="155">
        <v>240000</v>
      </c>
      <c r="AK28" s="155">
        <v>356018</v>
      </c>
      <c r="AL28" s="155">
        <v>0</v>
      </c>
      <c r="CV28" s="155">
        <v>127440</v>
      </c>
      <c r="CW28" s="155">
        <v>134160</v>
      </c>
      <c r="CX28" s="155">
        <v>150896</v>
      </c>
      <c r="DA28" s="155">
        <v>65104</v>
      </c>
      <c r="DB28" s="155">
        <v>22656</v>
      </c>
      <c r="DC28" s="155">
        <v>21584</v>
      </c>
      <c r="DE28" s="155">
        <v>174224</v>
      </c>
      <c r="DF28" s="155">
        <v>54144</v>
      </c>
      <c r="DI28" s="155">
        <v>26816</v>
      </c>
      <c r="DJ28" s="155">
        <v>151568</v>
      </c>
      <c r="DK28" s="155">
        <v>36512</v>
      </c>
      <c r="DM28" s="155">
        <v>75216</v>
      </c>
      <c r="DN28" s="155">
        <v>13920</v>
      </c>
      <c r="DO28" s="155">
        <v>20368</v>
      </c>
      <c r="DP28" s="155">
        <v>1216</v>
      </c>
      <c r="DR28" s="155">
        <v>57024</v>
      </c>
      <c r="DS28" s="155">
        <v>32544</v>
      </c>
      <c r="DT28" s="155">
        <v>38928</v>
      </c>
      <c r="DZ28" s="155">
        <v>496929</v>
      </c>
      <c r="EA28" s="155">
        <v>523133</v>
      </c>
      <c r="EB28" s="155">
        <v>588392</v>
      </c>
      <c r="EE28" s="155">
        <v>253861</v>
      </c>
      <c r="EF28" s="155">
        <v>88343</v>
      </c>
      <c r="EG28" s="155">
        <v>84163</v>
      </c>
      <c r="EI28" s="155">
        <v>679355</v>
      </c>
      <c r="EJ28" s="155">
        <v>211125</v>
      </c>
      <c r="EM28" s="155">
        <v>104564</v>
      </c>
      <c r="EN28" s="155">
        <v>591012</v>
      </c>
      <c r="EO28" s="155">
        <v>142372</v>
      </c>
      <c r="EQ28" s="155">
        <v>293291</v>
      </c>
      <c r="ER28" s="155">
        <v>54279</v>
      </c>
      <c r="ES28" s="155">
        <v>79421</v>
      </c>
      <c r="ET28" s="155">
        <v>4742</v>
      </c>
      <c r="EV28" s="155">
        <v>222355</v>
      </c>
      <c r="EW28" s="155">
        <v>126899</v>
      </c>
      <c r="EX28" s="155">
        <v>151792</v>
      </c>
      <c r="IP28" s="155">
        <v>218424</v>
      </c>
      <c r="IQ28" s="155">
        <v>229942</v>
      </c>
      <c r="IR28" s="155">
        <v>258626</v>
      </c>
      <c r="IU28" s="155">
        <v>111585</v>
      </c>
      <c r="IV28" s="155">
        <v>38831</v>
      </c>
      <c r="IW28" s="155">
        <v>36994</v>
      </c>
      <c r="IY28" s="155">
        <v>298610</v>
      </c>
      <c r="IZ28" s="155">
        <v>92799</v>
      </c>
      <c r="JC28" s="155">
        <v>45961</v>
      </c>
      <c r="JD28" s="155">
        <v>259778</v>
      </c>
      <c r="JE28" s="155">
        <v>62579</v>
      </c>
      <c r="JG28" s="155">
        <v>128915</v>
      </c>
      <c r="JH28" s="155">
        <v>23858</v>
      </c>
      <c r="JI28" s="155">
        <v>34910</v>
      </c>
      <c r="JJ28" s="155">
        <v>2084</v>
      </c>
      <c r="JL28" s="155">
        <v>97736</v>
      </c>
      <c r="JM28" s="155">
        <v>55779</v>
      </c>
      <c r="JN28" s="155">
        <v>66718</v>
      </c>
    </row>
    <row r="29" spans="1:274" s="155" customFormat="1" x14ac:dyDescent="0.25">
      <c r="A29" s="157" t="s">
        <v>450</v>
      </c>
      <c r="B29" s="157"/>
      <c r="C29" s="157" t="s">
        <v>1078</v>
      </c>
      <c r="D29" s="157"/>
      <c r="E29" s="158"/>
      <c r="F29" s="157"/>
      <c r="G29" s="157" t="s">
        <v>451</v>
      </c>
      <c r="Q29" s="155">
        <v>253264</v>
      </c>
      <c r="AH29" s="155">
        <v>1276735</v>
      </c>
      <c r="AI29" s="155">
        <v>461119</v>
      </c>
      <c r="AJ29" s="155">
        <v>603706</v>
      </c>
      <c r="AK29" s="155">
        <v>371669</v>
      </c>
      <c r="AL29" s="155">
        <v>0</v>
      </c>
      <c r="CU29" s="155">
        <v>2208</v>
      </c>
      <c r="CW29" s="155">
        <v>85904</v>
      </c>
      <c r="CX29" s="155">
        <v>69056</v>
      </c>
      <c r="CZ29" s="155">
        <v>432</v>
      </c>
      <c r="DA29" s="155">
        <v>46032</v>
      </c>
      <c r="DC29" s="155">
        <v>10416</v>
      </c>
      <c r="DE29" s="155">
        <v>6224</v>
      </c>
      <c r="DF29" s="155">
        <v>98896</v>
      </c>
      <c r="DG29" s="155">
        <v>3408</v>
      </c>
      <c r="DH29" s="155">
        <v>55904</v>
      </c>
      <c r="DJ29" s="155">
        <v>47664</v>
      </c>
      <c r="DL29" s="155">
        <v>140352</v>
      </c>
      <c r="DM29" s="155">
        <v>63296</v>
      </c>
      <c r="DQ29" s="155">
        <v>30240</v>
      </c>
      <c r="DR29" s="155">
        <v>11536</v>
      </c>
      <c r="DS29" s="155">
        <v>84912</v>
      </c>
      <c r="DT29" s="155">
        <v>16992</v>
      </c>
      <c r="DY29" s="155">
        <v>7305</v>
      </c>
      <c r="EA29" s="155">
        <v>284217</v>
      </c>
      <c r="EB29" s="155">
        <v>228474</v>
      </c>
      <c r="ED29" s="155">
        <v>1429</v>
      </c>
      <c r="EE29" s="155">
        <v>152299</v>
      </c>
      <c r="EG29" s="155">
        <v>34462</v>
      </c>
      <c r="EI29" s="155">
        <v>20592</v>
      </c>
      <c r="EJ29" s="155">
        <v>327201</v>
      </c>
      <c r="EK29" s="155">
        <v>11276</v>
      </c>
      <c r="EL29" s="155">
        <v>184960</v>
      </c>
      <c r="EN29" s="155">
        <v>157698</v>
      </c>
      <c r="EP29" s="155">
        <v>464360</v>
      </c>
      <c r="EQ29" s="155">
        <v>209417</v>
      </c>
      <c r="EU29" s="155">
        <v>100050</v>
      </c>
      <c r="EV29" s="155">
        <v>38167</v>
      </c>
      <c r="EW29" s="155">
        <v>280934</v>
      </c>
      <c r="EX29" s="155">
        <v>56219</v>
      </c>
      <c r="IO29" s="155">
        <v>951</v>
      </c>
      <c r="IQ29" s="155">
        <v>36995</v>
      </c>
      <c r="IR29" s="155">
        <v>29739</v>
      </c>
      <c r="IT29" s="155">
        <v>186</v>
      </c>
      <c r="IU29" s="155">
        <v>19823</v>
      </c>
      <c r="IW29" s="155">
        <v>4485</v>
      </c>
      <c r="IY29" s="155">
        <v>2681</v>
      </c>
      <c r="IZ29" s="155">
        <v>42590</v>
      </c>
      <c r="JA29" s="155">
        <v>1467</v>
      </c>
      <c r="JB29" s="155">
        <v>24075</v>
      </c>
      <c r="JD29" s="155">
        <v>38527</v>
      </c>
      <c r="JF29" s="155">
        <v>60442</v>
      </c>
      <c r="JG29" s="155">
        <v>27258</v>
      </c>
      <c r="JK29" s="155">
        <v>13023</v>
      </c>
      <c r="JL29" s="155">
        <v>4968</v>
      </c>
      <c r="JM29" s="155">
        <v>36567</v>
      </c>
      <c r="JN29" s="155">
        <v>7317</v>
      </c>
    </row>
    <row r="30" spans="1:274" s="155" customFormat="1" x14ac:dyDescent="0.25">
      <c r="A30" s="157" t="s">
        <v>448</v>
      </c>
      <c r="B30" s="157"/>
      <c r="C30" s="157" t="s">
        <v>1078</v>
      </c>
      <c r="D30" s="157"/>
      <c r="E30" s="158"/>
      <c r="F30" s="157"/>
      <c r="G30" s="157" t="s">
        <v>449</v>
      </c>
      <c r="Q30" s="155">
        <v>533432</v>
      </c>
      <c r="AH30" s="155">
        <v>2315291</v>
      </c>
      <c r="AI30" s="155">
        <v>633874</v>
      </c>
      <c r="AJ30" s="155">
        <v>516406</v>
      </c>
      <c r="AK30" s="155">
        <v>229597</v>
      </c>
      <c r="AL30" s="155">
        <v>0</v>
      </c>
      <c r="CV30" s="155">
        <v>11172</v>
      </c>
      <c r="CW30" s="155">
        <v>108832</v>
      </c>
      <c r="CX30" s="155">
        <v>116966</v>
      </c>
      <c r="CZ30" s="155">
        <v>1056</v>
      </c>
      <c r="DA30" s="155">
        <v>149652</v>
      </c>
      <c r="DB30" s="155">
        <v>33480</v>
      </c>
      <c r="DC30" s="155">
        <v>128298</v>
      </c>
      <c r="DE30" s="155">
        <v>61792</v>
      </c>
      <c r="DF30" s="155">
        <v>137760</v>
      </c>
      <c r="DG30" s="155">
        <v>2912</v>
      </c>
      <c r="DH30" s="155">
        <v>39728</v>
      </c>
      <c r="DJ30" s="155">
        <v>68842</v>
      </c>
      <c r="DL30" s="155">
        <v>108880</v>
      </c>
      <c r="DM30" s="155">
        <v>112368</v>
      </c>
      <c r="DN30" s="155">
        <v>39904</v>
      </c>
      <c r="DO30" s="155">
        <v>30480</v>
      </c>
      <c r="DP30" s="155">
        <v>8112</v>
      </c>
      <c r="DQ30" s="155">
        <v>13328</v>
      </c>
      <c r="DR30" s="155">
        <v>23664</v>
      </c>
      <c r="DS30" s="155">
        <v>119344</v>
      </c>
      <c r="DT30" s="155">
        <v>42624</v>
      </c>
      <c r="DZ30" s="155">
        <v>35848</v>
      </c>
      <c r="EA30" s="155">
        <v>349209</v>
      </c>
      <c r="EB30" s="155">
        <v>375309</v>
      </c>
      <c r="ED30" s="155">
        <v>3388</v>
      </c>
      <c r="EE30" s="155">
        <v>480188</v>
      </c>
      <c r="EF30" s="155">
        <v>107427</v>
      </c>
      <c r="EG30" s="155">
        <v>411670</v>
      </c>
      <c r="EI30" s="155">
        <v>198272</v>
      </c>
      <c r="EJ30" s="155">
        <v>442031</v>
      </c>
      <c r="EK30" s="155">
        <v>9344</v>
      </c>
      <c r="EL30" s="155">
        <v>127475</v>
      </c>
      <c r="EN30" s="155">
        <v>220894</v>
      </c>
      <c r="EP30" s="155">
        <v>349363</v>
      </c>
      <c r="EQ30" s="155">
        <v>360555</v>
      </c>
      <c r="ER30" s="155">
        <v>128040</v>
      </c>
      <c r="ES30" s="155">
        <v>97801</v>
      </c>
      <c r="ET30" s="155">
        <v>26029</v>
      </c>
      <c r="EU30" s="155">
        <v>42766</v>
      </c>
      <c r="EV30" s="155">
        <v>75931</v>
      </c>
      <c r="EW30" s="155">
        <v>382939</v>
      </c>
      <c r="EX30" s="155">
        <v>136767</v>
      </c>
      <c r="IP30" s="155">
        <v>18200</v>
      </c>
      <c r="IQ30" s="155">
        <v>177302</v>
      </c>
      <c r="IR30" s="155">
        <v>190554</v>
      </c>
      <c r="IT30" s="155">
        <v>1720</v>
      </c>
      <c r="IU30" s="155">
        <v>243805</v>
      </c>
      <c r="IV30" s="155">
        <v>54543</v>
      </c>
      <c r="IW30" s="155">
        <v>209015</v>
      </c>
      <c r="IY30" s="155">
        <v>100668</v>
      </c>
      <c r="IZ30" s="155">
        <v>224430</v>
      </c>
      <c r="JA30" s="155">
        <v>4744</v>
      </c>
      <c r="JB30" s="155">
        <v>64722</v>
      </c>
      <c r="JD30" s="155">
        <v>112153</v>
      </c>
      <c r="JF30" s="155">
        <v>177381</v>
      </c>
      <c r="JG30" s="155">
        <v>183063</v>
      </c>
      <c r="JH30" s="155">
        <v>65010</v>
      </c>
      <c r="JI30" s="155">
        <v>49656</v>
      </c>
      <c r="JJ30" s="155">
        <v>13216</v>
      </c>
      <c r="JK30" s="155">
        <v>21714</v>
      </c>
      <c r="JL30" s="155">
        <v>38552</v>
      </c>
      <c r="JM30" s="155">
        <v>194428</v>
      </c>
      <c r="JN30" s="155">
        <v>69442</v>
      </c>
    </row>
    <row r="31" spans="1:274" s="155" customFormat="1" x14ac:dyDescent="0.25">
      <c r="A31" s="157" t="s">
        <v>378</v>
      </c>
      <c r="B31" s="157"/>
      <c r="C31" s="157" t="s">
        <v>1078</v>
      </c>
      <c r="D31" s="157"/>
      <c r="E31" s="158"/>
      <c r="F31" s="157"/>
      <c r="G31" s="157" t="s">
        <v>379</v>
      </c>
      <c r="Q31" s="155">
        <v>2587661</v>
      </c>
      <c r="AH31" s="155">
        <v>4708063</v>
      </c>
      <c r="AI31" s="155">
        <v>2685023</v>
      </c>
      <c r="AJ31" s="155">
        <v>1000714</v>
      </c>
      <c r="AK31" s="155">
        <v>810138</v>
      </c>
      <c r="AL31" s="155">
        <v>0</v>
      </c>
      <c r="CW31" s="155">
        <v>275504</v>
      </c>
      <c r="CX31" s="155">
        <v>361136</v>
      </c>
      <c r="CZ31" s="155">
        <v>133632</v>
      </c>
      <c r="DA31" s="155">
        <v>236016</v>
      </c>
      <c r="DB31" s="155">
        <v>73488</v>
      </c>
      <c r="DF31" s="155">
        <v>406016</v>
      </c>
      <c r="DG31" s="155">
        <v>133376</v>
      </c>
      <c r="DH31" s="155">
        <v>93392</v>
      </c>
      <c r="DJ31" s="155">
        <v>137520</v>
      </c>
      <c r="DL31" s="155">
        <v>37072</v>
      </c>
      <c r="DM31" s="155">
        <v>348592</v>
      </c>
      <c r="DN31" s="155">
        <v>35392</v>
      </c>
      <c r="DP31" s="155">
        <v>54880</v>
      </c>
      <c r="DQ31" s="155">
        <v>113584</v>
      </c>
      <c r="DR31" s="155">
        <v>143488</v>
      </c>
      <c r="DS31" s="155">
        <v>442656</v>
      </c>
      <c r="DT31" s="155">
        <v>211616</v>
      </c>
      <c r="EA31" s="155">
        <v>812461</v>
      </c>
      <c r="EB31" s="155">
        <v>1337875</v>
      </c>
      <c r="ED31" s="155">
        <v>390711</v>
      </c>
      <c r="EE31" s="155">
        <v>802988</v>
      </c>
      <c r="EF31" s="155">
        <v>395136</v>
      </c>
      <c r="EJ31" s="155">
        <v>1620986</v>
      </c>
      <c r="EK31" s="155">
        <v>408173</v>
      </c>
      <c r="EL31" s="155">
        <v>806994</v>
      </c>
      <c r="EN31" s="155">
        <v>684732</v>
      </c>
      <c r="EP31" s="155">
        <v>239866</v>
      </c>
      <c r="EQ31" s="155">
        <v>985424</v>
      </c>
      <c r="ER31" s="155">
        <v>158678</v>
      </c>
      <c r="ET31" s="155">
        <v>186767</v>
      </c>
      <c r="EU31" s="155">
        <v>306719</v>
      </c>
      <c r="EV31" s="155">
        <v>525013</v>
      </c>
      <c r="EW31" s="155">
        <v>1092053</v>
      </c>
      <c r="EX31" s="155">
        <v>837706</v>
      </c>
      <c r="IQ31" s="155">
        <v>141224</v>
      </c>
      <c r="IR31" s="155">
        <v>243132</v>
      </c>
      <c r="IT31" s="155">
        <v>26513</v>
      </c>
      <c r="IU31" s="155">
        <v>143413</v>
      </c>
      <c r="IV31" s="155">
        <v>181507</v>
      </c>
      <c r="IZ31" s="155">
        <v>107400</v>
      </c>
      <c r="JA31" s="155">
        <v>97348</v>
      </c>
      <c r="JB31" s="155">
        <v>44109</v>
      </c>
      <c r="JD31" s="155">
        <v>43891</v>
      </c>
      <c r="JF31" s="155">
        <v>26991</v>
      </c>
      <c r="JG31" s="155">
        <v>48863</v>
      </c>
      <c r="JH31" s="155">
        <v>36908</v>
      </c>
      <c r="JJ31" s="155">
        <v>33356</v>
      </c>
      <c r="JK31" s="155">
        <v>13645</v>
      </c>
      <c r="JL31" s="155">
        <v>63622</v>
      </c>
      <c r="JM31" s="155">
        <v>43228</v>
      </c>
      <c r="JN31" s="155">
        <v>102052</v>
      </c>
    </row>
    <row r="32" spans="1:274" s="155" customFormat="1" x14ac:dyDescent="0.25">
      <c r="A32" s="157" t="s">
        <v>380</v>
      </c>
      <c r="B32" s="157"/>
      <c r="C32" s="157" t="s">
        <v>1078</v>
      </c>
      <c r="D32" s="157"/>
      <c r="E32" s="158"/>
      <c r="F32" s="157"/>
      <c r="G32" s="157" t="s">
        <v>381</v>
      </c>
      <c r="Q32" s="155">
        <v>1962086</v>
      </c>
      <c r="AH32" s="155">
        <v>5105836</v>
      </c>
      <c r="AI32" s="155">
        <v>1464310</v>
      </c>
      <c r="AJ32" s="155">
        <v>680098</v>
      </c>
      <c r="AK32" s="155">
        <v>1206914</v>
      </c>
      <c r="AL32" s="155">
        <v>0</v>
      </c>
      <c r="CU32" s="155">
        <v>59040</v>
      </c>
      <c r="CV32" s="155">
        <v>39984</v>
      </c>
      <c r="CW32" s="155">
        <v>265700</v>
      </c>
      <c r="CX32" s="155">
        <v>283408</v>
      </c>
      <c r="CY32" s="155">
        <v>13312</v>
      </c>
      <c r="CZ32" s="155">
        <v>69552</v>
      </c>
      <c r="DA32" s="155">
        <v>180917</v>
      </c>
      <c r="DB32" s="155">
        <v>343010</v>
      </c>
      <c r="DC32" s="155">
        <v>69300</v>
      </c>
      <c r="DF32" s="155">
        <v>284181</v>
      </c>
      <c r="DG32" s="155">
        <v>45672</v>
      </c>
      <c r="DH32" s="155">
        <v>109840</v>
      </c>
      <c r="DJ32" s="155">
        <v>77520</v>
      </c>
      <c r="DL32" s="155">
        <v>45920</v>
      </c>
      <c r="DM32" s="155">
        <v>212224</v>
      </c>
      <c r="DN32" s="155">
        <v>57347</v>
      </c>
      <c r="DO32" s="155">
        <v>73260</v>
      </c>
      <c r="DP32" s="155">
        <v>121872</v>
      </c>
      <c r="DQ32" s="155">
        <v>128329</v>
      </c>
      <c r="DR32" s="155">
        <v>22288</v>
      </c>
      <c r="DS32" s="155">
        <v>307728</v>
      </c>
      <c r="DT32" s="155">
        <v>97327</v>
      </c>
      <c r="DY32" s="155">
        <v>121991</v>
      </c>
      <c r="DZ32" s="155">
        <v>658002</v>
      </c>
      <c r="EA32" s="155">
        <v>893565</v>
      </c>
      <c r="EB32" s="155">
        <v>828361</v>
      </c>
      <c r="EC32" s="155">
        <v>123927</v>
      </c>
      <c r="ED32" s="155">
        <v>93741</v>
      </c>
      <c r="EE32" s="155">
        <v>678107</v>
      </c>
      <c r="EF32" s="155">
        <v>683829</v>
      </c>
      <c r="EG32" s="155">
        <v>228099</v>
      </c>
      <c r="EJ32" s="155">
        <v>1459575</v>
      </c>
      <c r="EK32" s="155">
        <v>219902</v>
      </c>
      <c r="EL32" s="155">
        <v>607573</v>
      </c>
      <c r="EN32" s="155">
        <v>332540</v>
      </c>
      <c r="EP32" s="155">
        <v>275434</v>
      </c>
      <c r="EQ32" s="155">
        <v>839492</v>
      </c>
      <c r="ER32" s="155">
        <v>138731</v>
      </c>
      <c r="ES32" s="155">
        <v>173796</v>
      </c>
      <c r="ET32" s="155">
        <v>296287</v>
      </c>
      <c r="EU32" s="155">
        <v>416951</v>
      </c>
      <c r="EV32" s="155">
        <v>92245</v>
      </c>
      <c r="EW32" s="155">
        <v>1030255</v>
      </c>
      <c r="EX32" s="155">
        <v>456492</v>
      </c>
      <c r="IO32" s="155">
        <v>10732</v>
      </c>
      <c r="IP32" s="155">
        <v>111515</v>
      </c>
      <c r="IQ32" s="155">
        <v>225312</v>
      </c>
      <c r="IR32" s="155">
        <v>160218</v>
      </c>
      <c r="IS32" s="155">
        <v>0</v>
      </c>
      <c r="IT32" s="155">
        <v>13148</v>
      </c>
      <c r="IU32" s="155">
        <v>142258</v>
      </c>
      <c r="IV32" s="155">
        <v>71426</v>
      </c>
      <c r="IW32" s="155">
        <v>90009</v>
      </c>
      <c r="IZ32" s="155">
        <v>67362</v>
      </c>
      <c r="JA32" s="155">
        <v>3939</v>
      </c>
      <c r="JB32" s="155">
        <v>52976</v>
      </c>
      <c r="JD32" s="155">
        <v>34664</v>
      </c>
      <c r="JF32" s="155">
        <v>10280</v>
      </c>
      <c r="JG32" s="155">
        <v>91897</v>
      </c>
      <c r="JH32" s="155">
        <v>1537</v>
      </c>
      <c r="JI32" s="155">
        <v>5383</v>
      </c>
      <c r="JJ32" s="155">
        <v>24600</v>
      </c>
      <c r="JK32" s="155">
        <v>142157</v>
      </c>
      <c r="JL32" s="155">
        <v>1012</v>
      </c>
      <c r="JM32" s="155">
        <v>39242</v>
      </c>
      <c r="JN32" s="155">
        <v>72524</v>
      </c>
    </row>
    <row r="33" spans="1:274" s="155" customFormat="1" ht="15" customHeight="1" x14ac:dyDescent="0.25">
      <c r="A33" s="157" t="s">
        <v>382</v>
      </c>
      <c r="B33" s="157"/>
      <c r="C33" s="157" t="s">
        <v>1078</v>
      </c>
      <c r="D33" s="157"/>
      <c r="E33" s="158"/>
      <c r="F33" s="157"/>
      <c r="G33" s="157" t="s">
        <v>383</v>
      </c>
      <c r="Q33" s="155">
        <v>776676</v>
      </c>
      <c r="AH33" s="155">
        <v>4562593</v>
      </c>
      <c r="AI33" s="155">
        <v>1521963</v>
      </c>
      <c r="AJ33" s="155">
        <v>1071436</v>
      </c>
      <c r="AK33" s="155">
        <v>499724</v>
      </c>
      <c r="AL33" s="155">
        <v>0</v>
      </c>
      <c r="CV33" s="155">
        <v>8243</v>
      </c>
      <c r="CW33" s="155">
        <v>260743</v>
      </c>
      <c r="CX33" s="155">
        <v>351396</v>
      </c>
      <c r="CZ33" s="155">
        <v>27468</v>
      </c>
      <c r="DA33" s="155">
        <v>127901</v>
      </c>
      <c r="DB33" s="155">
        <v>8594</v>
      </c>
      <c r="DC33" s="155">
        <v>215561</v>
      </c>
      <c r="DF33" s="155">
        <v>471336</v>
      </c>
      <c r="DG33" s="155">
        <v>57856</v>
      </c>
      <c r="DH33" s="155">
        <v>203621</v>
      </c>
      <c r="DJ33" s="155">
        <v>322606</v>
      </c>
      <c r="DK33" s="155">
        <v>25064</v>
      </c>
      <c r="DL33" s="155">
        <v>129904</v>
      </c>
      <c r="DM33" s="155">
        <v>297127</v>
      </c>
      <c r="DO33" s="155">
        <v>75390</v>
      </c>
      <c r="DQ33" s="155">
        <v>110052</v>
      </c>
      <c r="DR33" s="155">
        <v>113888</v>
      </c>
      <c r="DS33" s="155">
        <v>498864</v>
      </c>
      <c r="DT33" s="155">
        <v>260336</v>
      </c>
      <c r="DZ33" s="155">
        <v>412125</v>
      </c>
      <c r="EA33" s="155">
        <v>525766</v>
      </c>
      <c r="EB33" s="155">
        <v>779352</v>
      </c>
      <c r="ED33" s="155">
        <v>44656</v>
      </c>
      <c r="EE33" s="155">
        <v>897201</v>
      </c>
      <c r="EF33" s="155">
        <v>71484</v>
      </c>
      <c r="EG33" s="155">
        <v>464032</v>
      </c>
      <c r="EJ33" s="155">
        <v>1489267</v>
      </c>
      <c r="EK33" s="155">
        <v>115839</v>
      </c>
      <c r="EL33" s="155">
        <v>1159115</v>
      </c>
      <c r="EN33" s="155">
        <v>968640</v>
      </c>
      <c r="EO33" s="155">
        <v>109811</v>
      </c>
      <c r="EP33" s="155">
        <v>290609</v>
      </c>
      <c r="EQ33" s="155">
        <v>650085</v>
      </c>
      <c r="ES33" s="155">
        <v>0</v>
      </c>
      <c r="EU33" s="155">
        <v>578208</v>
      </c>
      <c r="EV33" s="155">
        <v>119416</v>
      </c>
      <c r="EW33" s="155">
        <v>735490</v>
      </c>
      <c r="EX33" s="155">
        <v>866333</v>
      </c>
      <c r="IP33" s="155">
        <v>58921</v>
      </c>
      <c r="IQ33" s="155">
        <v>44990</v>
      </c>
      <c r="IR33" s="155">
        <v>231739</v>
      </c>
      <c r="IT33" s="155">
        <v>6965</v>
      </c>
      <c r="IU33" s="155">
        <v>254954</v>
      </c>
      <c r="IV33" s="155">
        <v>137485</v>
      </c>
      <c r="IW33" s="155">
        <v>683927</v>
      </c>
      <c r="IZ33" s="155">
        <v>122391</v>
      </c>
      <c r="JA33" s="155">
        <v>25269</v>
      </c>
      <c r="JB33" s="155">
        <v>165900</v>
      </c>
      <c r="JD33" s="155">
        <v>270066</v>
      </c>
      <c r="JE33" s="155">
        <v>12825</v>
      </c>
      <c r="JF33" s="155">
        <v>16282</v>
      </c>
      <c r="JG33" s="155">
        <v>48925</v>
      </c>
      <c r="JI33" s="155">
        <v>0</v>
      </c>
      <c r="JK33" s="155">
        <v>81839</v>
      </c>
      <c r="JL33" s="155">
        <v>439884</v>
      </c>
      <c r="JM33" s="155">
        <v>52856</v>
      </c>
      <c r="JN33" s="155">
        <v>161534</v>
      </c>
    </row>
    <row r="34" spans="1:274" s="155" customFormat="1" x14ac:dyDescent="0.25">
      <c r="A34" s="157" t="s">
        <v>433</v>
      </c>
      <c r="B34" s="157"/>
      <c r="C34" s="157" t="s">
        <v>1078</v>
      </c>
      <c r="D34" s="157"/>
      <c r="E34" s="158"/>
      <c r="F34" s="157"/>
      <c r="G34" s="157" t="s">
        <v>434</v>
      </c>
      <c r="Q34" s="155">
        <v>1712229</v>
      </c>
      <c r="AH34" s="155">
        <v>2666824</v>
      </c>
      <c r="AI34" s="155">
        <v>1440135</v>
      </c>
      <c r="AJ34" s="155">
        <v>441920</v>
      </c>
      <c r="AK34" s="155">
        <v>2612531</v>
      </c>
      <c r="AL34" s="155">
        <v>281269</v>
      </c>
      <c r="CU34" s="155">
        <v>9468</v>
      </c>
      <c r="CV34" s="155">
        <v>65204</v>
      </c>
      <c r="CW34" s="155">
        <v>301920</v>
      </c>
      <c r="CX34" s="155">
        <v>147320</v>
      </c>
      <c r="CY34" s="155">
        <v>22286</v>
      </c>
      <c r="CZ34" s="155">
        <v>13360</v>
      </c>
      <c r="DA34" s="155">
        <v>99888</v>
      </c>
      <c r="DC34" s="155">
        <v>34531</v>
      </c>
      <c r="DD34" s="155">
        <v>1962</v>
      </c>
      <c r="DE34" s="155">
        <v>43360</v>
      </c>
      <c r="DF34" s="155">
        <v>316288</v>
      </c>
      <c r="DG34" s="155">
        <v>62784</v>
      </c>
      <c r="DH34" s="155">
        <v>90308</v>
      </c>
      <c r="DJ34" s="155">
        <v>160964</v>
      </c>
      <c r="DK34" s="155">
        <v>18597</v>
      </c>
      <c r="DL34" s="155">
        <v>41411</v>
      </c>
      <c r="DM34" s="155">
        <v>218640</v>
      </c>
      <c r="DN34" s="155">
        <v>50869</v>
      </c>
      <c r="DO34" s="155">
        <v>39332</v>
      </c>
      <c r="DQ34" s="155">
        <v>67392</v>
      </c>
      <c r="DR34" s="155">
        <v>115811</v>
      </c>
      <c r="DS34" s="155">
        <v>344626</v>
      </c>
      <c r="DT34" s="155">
        <v>121936</v>
      </c>
      <c r="DY34" s="155">
        <v>41647</v>
      </c>
      <c r="DZ34" s="155">
        <v>248698</v>
      </c>
      <c r="EA34" s="155">
        <v>463730</v>
      </c>
      <c r="EB34" s="155">
        <v>443586</v>
      </c>
      <c r="EC34" s="155">
        <v>163696</v>
      </c>
      <c r="ED34" s="155">
        <v>112703</v>
      </c>
      <c r="EE34" s="155">
        <v>285149</v>
      </c>
      <c r="EG34" s="155">
        <v>52238</v>
      </c>
      <c r="EH34" s="155">
        <v>1499</v>
      </c>
      <c r="EI34" s="155">
        <v>207492</v>
      </c>
      <c r="EJ34" s="155">
        <v>1027610</v>
      </c>
      <c r="EK34" s="155">
        <v>125455</v>
      </c>
      <c r="EL34" s="155">
        <v>471056</v>
      </c>
      <c r="EN34" s="155">
        <v>541949</v>
      </c>
      <c r="EO34" s="155">
        <v>121988</v>
      </c>
      <c r="EP34" s="155">
        <v>269579</v>
      </c>
      <c r="EQ34" s="155">
        <v>530760</v>
      </c>
      <c r="ER34" s="155">
        <v>181373</v>
      </c>
      <c r="ES34" s="155">
        <v>242902</v>
      </c>
      <c r="EU34" s="155">
        <v>484483</v>
      </c>
      <c r="EV34" s="155">
        <v>285895</v>
      </c>
      <c r="EW34" s="155">
        <v>938028</v>
      </c>
      <c r="EX34" s="155">
        <v>549261</v>
      </c>
      <c r="IO34" s="155">
        <v>21820</v>
      </c>
      <c r="IP34" s="155">
        <v>84398</v>
      </c>
      <c r="IQ34" s="155">
        <v>289416</v>
      </c>
      <c r="IR34" s="155">
        <v>119262</v>
      </c>
      <c r="IS34" s="155">
        <v>58370</v>
      </c>
      <c r="IT34" s="155">
        <v>41714</v>
      </c>
      <c r="IU34" s="155">
        <v>103407</v>
      </c>
      <c r="IW34" s="155">
        <v>5859</v>
      </c>
      <c r="IX34" s="155">
        <v>124</v>
      </c>
      <c r="IY34" s="155">
        <v>105659</v>
      </c>
      <c r="IZ34" s="155">
        <v>148457</v>
      </c>
      <c r="JA34" s="155">
        <v>40920</v>
      </c>
      <c r="JB34" s="155">
        <v>72663</v>
      </c>
      <c r="JD34" s="155">
        <v>210787</v>
      </c>
      <c r="JE34" s="155">
        <v>10931</v>
      </c>
      <c r="JF34" s="155">
        <v>24958</v>
      </c>
      <c r="JG34" s="155">
        <v>96424</v>
      </c>
      <c r="JH34" s="155">
        <v>40801</v>
      </c>
      <c r="JI34" s="155">
        <v>147052</v>
      </c>
      <c r="JK34" s="155">
        <v>17599</v>
      </c>
      <c r="JL34" s="155">
        <v>55896</v>
      </c>
      <c r="JM34" s="155">
        <v>31144</v>
      </c>
      <c r="JN34" s="155">
        <v>41329</v>
      </c>
    </row>
    <row r="35" spans="1:274" s="155" customFormat="1" ht="15" customHeight="1" x14ac:dyDescent="0.25">
      <c r="A35" s="157" t="s">
        <v>384</v>
      </c>
      <c r="B35" s="157"/>
      <c r="C35" s="157" t="s">
        <v>1078</v>
      </c>
      <c r="D35" s="157"/>
      <c r="E35" s="158"/>
      <c r="F35" s="157"/>
      <c r="G35" s="157" t="s">
        <v>385</v>
      </c>
      <c r="Q35" s="155">
        <v>1017675</v>
      </c>
      <c r="AH35" s="155">
        <v>2154916</v>
      </c>
      <c r="AI35" s="155">
        <v>1405602</v>
      </c>
      <c r="AJ35" s="155">
        <v>418847</v>
      </c>
      <c r="AK35" s="155">
        <v>1088616</v>
      </c>
      <c r="AL35" s="155">
        <v>179359</v>
      </c>
      <c r="CU35" s="155">
        <v>8752</v>
      </c>
      <c r="CV35" s="155">
        <v>20624</v>
      </c>
      <c r="CW35" s="155">
        <v>280224</v>
      </c>
      <c r="CX35" s="155">
        <v>252815</v>
      </c>
      <c r="CZ35" s="155">
        <v>24000</v>
      </c>
      <c r="DA35" s="155">
        <v>215166</v>
      </c>
      <c r="DB35" s="155">
        <v>1792</v>
      </c>
      <c r="DC35" s="155">
        <v>85088</v>
      </c>
      <c r="DD35" s="155">
        <v>768</v>
      </c>
      <c r="DE35" s="155">
        <v>3928</v>
      </c>
      <c r="DF35" s="155">
        <v>471632</v>
      </c>
      <c r="DG35" s="155">
        <v>23528</v>
      </c>
      <c r="DH35" s="155">
        <v>84344</v>
      </c>
      <c r="DJ35" s="155">
        <v>101333</v>
      </c>
      <c r="DL35" s="155">
        <v>110832</v>
      </c>
      <c r="DM35" s="155">
        <v>296240</v>
      </c>
      <c r="DO35" s="155">
        <v>35268</v>
      </c>
      <c r="DQ35" s="155">
        <v>119008</v>
      </c>
      <c r="DR35" s="155">
        <v>121432</v>
      </c>
      <c r="DS35" s="155">
        <v>376576</v>
      </c>
      <c r="DT35" s="155">
        <v>124462</v>
      </c>
      <c r="DY35" s="155">
        <v>68233</v>
      </c>
      <c r="DZ35" s="155">
        <v>46905</v>
      </c>
      <c r="EA35" s="155">
        <v>518289</v>
      </c>
      <c r="EB35" s="155">
        <v>559516</v>
      </c>
      <c r="ED35" s="155">
        <v>106393</v>
      </c>
      <c r="EE35" s="155">
        <v>458733</v>
      </c>
      <c r="EF35" s="155">
        <v>2520</v>
      </c>
      <c r="EG35" s="155">
        <v>175581</v>
      </c>
      <c r="EH35" s="155">
        <v>9318</v>
      </c>
      <c r="EI35" s="155">
        <v>6431</v>
      </c>
      <c r="EJ35" s="155">
        <v>940254</v>
      </c>
      <c r="EK35" s="155">
        <v>36056</v>
      </c>
      <c r="EL35" s="155">
        <v>493995</v>
      </c>
      <c r="EN35" s="155">
        <v>298890</v>
      </c>
      <c r="EP35" s="155">
        <v>341918</v>
      </c>
      <c r="EQ35" s="155">
        <v>637758</v>
      </c>
      <c r="ES35" s="155">
        <v>143766</v>
      </c>
      <c r="EU35" s="155">
        <v>328785</v>
      </c>
      <c r="EV35" s="155">
        <v>384093</v>
      </c>
      <c r="EW35" s="155">
        <v>659795</v>
      </c>
      <c r="EX35" s="155">
        <v>410383</v>
      </c>
      <c r="IO35" s="155">
        <v>9199</v>
      </c>
      <c r="IP35" s="155">
        <v>3967</v>
      </c>
      <c r="IQ35" s="155">
        <v>36052</v>
      </c>
      <c r="IR35" s="155">
        <v>29912</v>
      </c>
      <c r="IT35" s="155">
        <v>5838</v>
      </c>
      <c r="IU35" s="155">
        <v>29981</v>
      </c>
      <c r="IV35" s="155">
        <v>729</v>
      </c>
      <c r="IW35" s="155">
        <v>5104</v>
      </c>
      <c r="IX35" s="155">
        <v>29</v>
      </c>
      <c r="IY35" s="155">
        <v>0</v>
      </c>
      <c r="IZ35" s="155">
        <v>38561</v>
      </c>
      <c r="JA35" s="155">
        <v>2619</v>
      </c>
      <c r="JB35" s="155">
        <v>36693</v>
      </c>
      <c r="JD35" s="155">
        <v>20378</v>
      </c>
      <c r="JF35" s="155">
        <v>29853</v>
      </c>
      <c r="JG35" s="155">
        <v>15188</v>
      </c>
      <c r="JI35" s="155">
        <v>25164</v>
      </c>
      <c r="JK35" s="155">
        <v>28134</v>
      </c>
      <c r="JL35" s="155">
        <v>49322</v>
      </c>
      <c r="JM35" s="155">
        <v>114984</v>
      </c>
      <c r="JN35" s="155">
        <v>57754</v>
      </c>
    </row>
    <row r="36" spans="1:274" s="155" customFormat="1" x14ac:dyDescent="0.25">
      <c r="A36" s="157" t="s">
        <v>362</v>
      </c>
      <c r="B36" s="157"/>
      <c r="C36" s="157" t="s">
        <v>1078</v>
      </c>
      <c r="D36" s="157"/>
      <c r="E36" s="158"/>
      <c r="F36" s="157"/>
      <c r="G36" s="157" t="s">
        <v>363</v>
      </c>
      <c r="Q36" s="155">
        <v>533385</v>
      </c>
      <c r="AH36" s="155">
        <v>1718527</v>
      </c>
      <c r="AI36" s="155">
        <v>873613</v>
      </c>
      <c r="AJ36" s="155">
        <v>391347</v>
      </c>
      <c r="AK36" s="155">
        <v>1041003</v>
      </c>
      <c r="AL36" s="155">
        <v>0</v>
      </c>
      <c r="CU36" s="155">
        <v>49984</v>
      </c>
      <c r="CV36" s="155">
        <v>16432</v>
      </c>
      <c r="CW36" s="155">
        <v>222336</v>
      </c>
      <c r="CX36" s="155">
        <v>82130</v>
      </c>
      <c r="CZ36" s="155">
        <v>48</v>
      </c>
      <c r="DA36" s="155">
        <v>118672</v>
      </c>
      <c r="DC36" s="155">
        <v>83893</v>
      </c>
      <c r="DE36" s="155">
        <v>12192</v>
      </c>
      <c r="DF36" s="155">
        <v>352752</v>
      </c>
      <c r="DG36" s="155">
        <v>42822</v>
      </c>
      <c r="DH36" s="155">
        <v>85456</v>
      </c>
      <c r="DJ36" s="155">
        <v>77537</v>
      </c>
      <c r="DL36" s="155">
        <v>168208</v>
      </c>
      <c r="DM36" s="155">
        <v>308432</v>
      </c>
      <c r="DQ36" s="155">
        <v>69744</v>
      </c>
      <c r="DR36" s="155">
        <v>25584</v>
      </c>
      <c r="DS36" s="155">
        <v>539136</v>
      </c>
      <c r="DT36" s="155">
        <v>95000</v>
      </c>
      <c r="DY36" s="155">
        <v>194009</v>
      </c>
      <c r="DZ36" s="155">
        <v>102108</v>
      </c>
      <c r="EA36" s="155">
        <v>395033</v>
      </c>
      <c r="EB36" s="155">
        <v>164476</v>
      </c>
      <c r="ED36" s="155">
        <v>1000</v>
      </c>
      <c r="EE36" s="155">
        <v>354080</v>
      </c>
      <c r="EG36" s="155">
        <v>82935</v>
      </c>
      <c r="EI36" s="155">
        <v>5738</v>
      </c>
      <c r="EJ36" s="155">
        <v>839479</v>
      </c>
      <c r="EK36" s="155">
        <v>121433</v>
      </c>
      <c r="EL36" s="155">
        <v>325639</v>
      </c>
      <c r="EN36" s="155">
        <v>264994</v>
      </c>
      <c r="EP36" s="155">
        <v>425050</v>
      </c>
      <c r="EQ36" s="155">
        <v>612132</v>
      </c>
      <c r="EU36" s="155">
        <v>243055</v>
      </c>
      <c r="EV36" s="155">
        <v>94277</v>
      </c>
      <c r="EW36" s="155">
        <v>893755</v>
      </c>
      <c r="EX36" s="155">
        <v>223305</v>
      </c>
      <c r="IO36" s="155">
        <v>130521</v>
      </c>
      <c r="IP36" s="155">
        <v>21266</v>
      </c>
      <c r="IQ36" s="155">
        <v>70194</v>
      </c>
      <c r="IR36" s="155">
        <v>23596</v>
      </c>
      <c r="IT36" s="155">
        <v>0</v>
      </c>
      <c r="IU36" s="155">
        <v>309287</v>
      </c>
      <c r="IW36" s="155">
        <v>31028</v>
      </c>
      <c r="IY36" s="155">
        <v>13106</v>
      </c>
      <c r="IZ36" s="155">
        <v>78206</v>
      </c>
      <c r="JA36" s="155">
        <v>35119</v>
      </c>
      <c r="JB36" s="155">
        <v>30300</v>
      </c>
      <c r="JD36" s="155">
        <v>91345</v>
      </c>
      <c r="JF36" s="155">
        <v>50372</v>
      </c>
      <c r="JG36" s="155">
        <v>17226</v>
      </c>
      <c r="JK36" s="155">
        <v>33934</v>
      </c>
      <c r="JL36" s="155">
        <v>4655</v>
      </c>
      <c r="JM36" s="155">
        <v>57051</v>
      </c>
      <c r="JN36" s="155">
        <v>47223</v>
      </c>
    </row>
    <row r="37" spans="1:274" s="155" customFormat="1" x14ac:dyDescent="0.25">
      <c r="A37" s="157" t="s">
        <v>443</v>
      </c>
      <c r="B37" s="157"/>
      <c r="C37" s="157" t="s">
        <v>1078</v>
      </c>
      <c r="D37" s="157"/>
      <c r="E37" s="158"/>
      <c r="F37" s="157"/>
      <c r="G37" s="157" t="s">
        <v>1083</v>
      </c>
      <c r="Q37" s="155">
        <v>4337467</v>
      </c>
      <c r="AH37" s="155">
        <v>15819915</v>
      </c>
      <c r="AI37" s="155">
        <v>9845274</v>
      </c>
      <c r="AJ37" s="155">
        <v>4629394</v>
      </c>
      <c r="AK37" s="155">
        <v>10679432</v>
      </c>
      <c r="AL37" s="155">
        <v>0</v>
      </c>
      <c r="CU37" s="155">
        <v>17856</v>
      </c>
      <c r="CV37" s="155">
        <v>225568</v>
      </c>
      <c r="CW37" s="155">
        <v>1495024</v>
      </c>
      <c r="CX37" s="155">
        <v>806055</v>
      </c>
      <c r="CY37" s="155">
        <v>240</v>
      </c>
      <c r="CZ37" s="155">
        <v>79912</v>
      </c>
      <c r="DA37" s="155">
        <v>823878</v>
      </c>
      <c r="DB37" s="155">
        <v>8418</v>
      </c>
      <c r="DC37" s="155">
        <v>292194</v>
      </c>
      <c r="DD37" s="155">
        <v>2608</v>
      </c>
      <c r="DE37" s="155">
        <v>142452</v>
      </c>
      <c r="DF37" s="155">
        <v>2605922</v>
      </c>
      <c r="DG37" s="155">
        <v>272620</v>
      </c>
      <c r="DH37" s="155">
        <v>200802</v>
      </c>
      <c r="DJ37" s="155">
        <v>429304</v>
      </c>
      <c r="DK37" s="155">
        <v>35038</v>
      </c>
      <c r="DL37" s="155">
        <v>155632</v>
      </c>
      <c r="DM37" s="155">
        <v>2026424</v>
      </c>
      <c r="DN37" s="155">
        <v>43592</v>
      </c>
      <c r="DO37" s="155">
        <v>44568</v>
      </c>
      <c r="DP37" s="155">
        <v>9020</v>
      </c>
      <c r="DQ37" s="155">
        <v>289968</v>
      </c>
      <c r="DR37" s="155">
        <v>195434</v>
      </c>
      <c r="DS37" s="155">
        <v>2471712</v>
      </c>
      <c r="DT37" s="155">
        <v>599592</v>
      </c>
      <c r="DY37" s="155">
        <v>51869</v>
      </c>
      <c r="DZ37" s="155">
        <v>1111162</v>
      </c>
      <c r="EA37" s="155">
        <v>4024005</v>
      </c>
      <c r="EB37" s="155">
        <v>2770560</v>
      </c>
      <c r="EC37" s="155">
        <v>530</v>
      </c>
      <c r="ED37" s="155">
        <v>220131</v>
      </c>
      <c r="EE37" s="155">
        <v>3249331</v>
      </c>
      <c r="EF37" s="155">
        <v>32155</v>
      </c>
      <c r="EG37" s="155">
        <v>693308</v>
      </c>
      <c r="EH37" s="155">
        <v>9962</v>
      </c>
      <c r="EI37" s="155">
        <v>544130</v>
      </c>
      <c r="EJ37" s="155">
        <v>7546802</v>
      </c>
      <c r="EK37" s="155">
        <v>690587</v>
      </c>
      <c r="EL37" s="155">
        <v>1523287</v>
      </c>
      <c r="EN37" s="155">
        <v>1201672</v>
      </c>
      <c r="EO37" s="155">
        <v>308662</v>
      </c>
      <c r="EP37" s="155">
        <v>546613</v>
      </c>
      <c r="EQ37" s="155">
        <v>4760582</v>
      </c>
      <c r="ER37" s="155">
        <v>134618</v>
      </c>
      <c r="ES37" s="155">
        <v>98487</v>
      </c>
      <c r="ET37" s="155">
        <v>19932</v>
      </c>
      <c r="EU37" s="155">
        <v>1021183</v>
      </c>
      <c r="EV37" s="155">
        <v>618576</v>
      </c>
      <c r="EW37" s="155">
        <v>5906251</v>
      </c>
      <c r="EX37" s="155">
        <v>2394902</v>
      </c>
      <c r="IO37" s="155">
        <v>16241</v>
      </c>
      <c r="IP37" s="155">
        <v>204682</v>
      </c>
      <c r="IQ37" s="155">
        <v>1514293</v>
      </c>
      <c r="IR37" s="155">
        <v>1523950</v>
      </c>
      <c r="IS37" s="155">
        <v>1476</v>
      </c>
      <c r="IT37" s="155">
        <v>111377</v>
      </c>
      <c r="IU37" s="155">
        <v>765001</v>
      </c>
      <c r="IV37" s="155">
        <v>13471</v>
      </c>
      <c r="IW37" s="155">
        <v>146334</v>
      </c>
      <c r="IX37" s="155">
        <v>4174</v>
      </c>
      <c r="IY37" s="155">
        <v>227953</v>
      </c>
      <c r="IZ37" s="155">
        <v>1839134</v>
      </c>
      <c r="JA37" s="155">
        <v>8887</v>
      </c>
      <c r="JB37" s="155">
        <v>353337</v>
      </c>
      <c r="JD37" s="155">
        <v>371946</v>
      </c>
      <c r="JE37" s="155">
        <v>31799</v>
      </c>
      <c r="JF37" s="155">
        <v>143898</v>
      </c>
      <c r="JG37" s="155">
        <v>773176</v>
      </c>
      <c r="JH37" s="155">
        <v>31458</v>
      </c>
      <c r="JI37" s="155">
        <v>288167</v>
      </c>
      <c r="JJ37" s="155">
        <v>55447</v>
      </c>
      <c r="JK37" s="155">
        <v>292731</v>
      </c>
      <c r="JL37" s="155">
        <v>238420</v>
      </c>
      <c r="JM37" s="155">
        <v>917967</v>
      </c>
      <c r="JN37" s="155">
        <v>533324</v>
      </c>
    </row>
    <row r="38" spans="1:274" s="155" customFormat="1" x14ac:dyDescent="0.25">
      <c r="A38" s="157" t="s">
        <v>446</v>
      </c>
      <c r="B38" s="157"/>
      <c r="C38" s="157" t="s">
        <v>1078</v>
      </c>
      <c r="D38" s="157"/>
      <c r="E38" s="158"/>
      <c r="F38" s="157"/>
      <c r="G38" s="157" t="s">
        <v>447</v>
      </c>
      <c r="Q38" s="155">
        <v>289197</v>
      </c>
      <c r="AH38" s="155">
        <v>1702586</v>
      </c>
      <c r="AI38" s="155">
        <v>486466</v>
      </c>
      <c r="AJ38" s="155">
        <v>257156</v>
      </c>
      <c r="AK38" s="155">
        <v>207030</v>
      </c>
      <c r="AL38" s="155">
        <v>71541</v>
      </c>
      <c r="CU38" s="155">
        <v>18668</v>
      </c>
      <c r="CV38" s="155">
        <v>13488</v>
      </c>
      <c r="CW38" s="155">
        <v>136264</v>
      </c>
      <c r="CX38" s="155">
        <v>75990</v>
      </c>
      <c r="CZ38" s="155">
        <v>3608</v>
      </c>
      <c r="DA38" s="155">
        <v>57067</v>
      </c>
      <c r="DB38" s="155">
        <v>3456</v>
      </c>
      <c r="DC38" s="155">
        <v>54465</v>
      </c>
      <c r="DF38" s="155">
        <v>153917</v>
      </c>
      <c r="DG38" s="155">
        <v>13288</v>
      </c>
      <c r="DH38" s="155">
        <v>34695</v>
      </c>
      <c r="DI38" s="155">
        <v>0</v>
      </c>
      <c r="DJ38" s="155">
        <v>54415</v>
      </c>
      <c r="DL38" s="155">
        <v>36704</v>
      </c>
      <c r="DM38" s="155">
        <v>97861</v>
      </c>
      <c r="DN38" s="155">
        <v>15984</v>
      </c>
      <c r="DO38" s="155">
        <v>14223</v>
      </c>
      <c r="DP38" s="155">
        <v>120</v>
      </c>
      <c r="DQ38" s="155">
        <v>39321</v>
      </c>
      <c r="DR38" s="155">
        <v>46949</v>
      </c>
      <c r="DS38" s="155">
        <v>193889</v>
      </c>
      <c r="DT38" s="155">
        <v>41484</v>
      </c>
      <c r="DY38" s="155">
        <v>54126</v>
      </c>
      <c r="DZ38" s="155">
        <v>361344</v>
      </c>
      <c r="EA38" s="155">
        <v>51738</v>
      </c>
      <c r="EB38" s="155">
        <v>258621</v>
      </c>
      <c r="ED38" s="155">
        <v>35205</v>
      </c>
      <c r="EE38" s="155">
        <v>217899</v>
      </c>
      <c r="EF38" s="155">
        <v>284197</v>
      </c>
      <c r="EG38" s="155">
        <v>58723</v>
      </c>
      <c r="EJ38" s="155">
        <v>389896</v>
      </c>
      <c r="EK38" s="155">
        <v>52604</v>
      </c>
      <c r="EL38" s="155">
        <v>205922</v>
      </c>
      <c r="EM38" s="155">
        <v>49985</v>
      </c>
      <c r="EN38" s="155">
        <v>66281</v>
      </c>
      <c r="EP38" s="155">
        <v>147519</v>
      </c>
      <c r="EQ38" s="155">
        <v>278133</v>
      </c>
      <c r="ER38" s="155">
        <v>85009</v>
      </c>
      <c r="ES38" s="155">
        <v>75696</v>
      </c>
      <c r="ET38" s="155">
        <v>585</v>
      </c>
      <c r="EU38" s="155">
        <v>118666</v>
      </c>
      <c r="EV38" s="155">
        <v>193007</v>
      </c>
      <c r="EW38" s="155">
        <v>401394</v>
      </c>
      <c r="EX38" s="155">
        <v>256455</v>
      </c>
      <c r="IO38" s="155">
        <v>5114</v>
      </c>
      <c r="IP38" s="155">
        <v>49129</v>
      </c>
      <c r="IQ38" s="155">
        <v>5433</v>
      </c>
      <c r="IR38" s="155">
        <v>7430</v>
      </c>
      <c r="IT38" s="155">
        <v>289</v>
      </c>
      <c r="IU38" s="155">
        <v>57687</v>
      </c>
      <c r="IV38" s="155">
        <v>94609</v>
      </c>
      <c r="IW38" s="155">
        <v>7837</v>
      </c>
      <c r="IZ38" s="155">
        <v>11030</v>
      </c>
      <c r="JA38" s="155">
        <v>2658</v>
      </c>
      <c r="JB38" s="155">
        <v>14591</v>
      </c>
      <c r="JC38" s="155">
        <v>12721</v>
      </c>
      <c r="JD38" s="155">
        <v>9757</v>
      </c>
      <c r="JF38" s="155">
        <v>9432</v>
      </c>
      <c r="JG38" s="155">
        <v>13614</v>
      </c>
      <c r="JH38" s="155">
        <v>17047</v>
      </c>
      <c r="JI38" s="155">
        <v>15170</v>
      </c>
      <c r="JJ38" s="155">
        <v>100</v>
      </c>
      <c r="JK38" s="155">
        <v>1877</v>
      </c>
      <c r="JL38" s="155">
        <v>22229</v>
      </c>
      <c r="JM38" s="155">
        <v>13936</v>
      </c>
      <c r="JN38" s="155">
        <v>15614</v>
      </c>
    </row>
    <row r="39" spans="1:274" s="155" customFormat="1" x14ac:dyDescent="0.25">
      <c r="A39" s="157" t="s">
        <v>386</v>
      </c>
      <c r="B39" s="157"/>
      <c r="C39" s="157" t="s">
        <v>1078</v>
      </c>
      <c r="D39" s="157"/>
      <c r="E39" s="158"/>
      <c r="F39" s="157"/>
      <c r="G39" s="157" t="s">
        <v>387</v>
      </c>
      <c r="Q39" s="155">
        <v>1232245</v>
      </c>
      <c r="AH39" s="155">
        <v>2471749</v>
      </c>
      <c r="AI39" s="155">
        <v>1315162</v>
      </c>
      <c r="AJ39" s="155">
        <v>498486</v>
      </c>
      <c r="AK39" s="155">
        <v>1207286</v>
      </c>
      <c r="AL39" s="155">
        <v>334499</v>
      </c>
      <c r="CU39" s="155">
        <v>12455</v>
      </c>
      <c r="CV39" s="155">
        <v>42256</v>
      </c>
      <c r="CW39" s="155">
        <v>194848</v>
      </c>
      <c r="CX39" s="155">
        <v>137870</v>
      </c>
      <c r="CZ39" s="155">
        <v>1520</v>
      </c>
      <c r="DA39" s="155">
        <v>115591</v>
      </c>
      <c r="DB39" s="155">
        <v>22238</v>
      </c>
      <c r="DC39" s="155">
        <v>188603</v>
      </c>
      <c r="DD39" s="155">
        <v>224</v>
      </c>
      <c r="DE39" s="155">
        <v>71186</v>
      </c>
      <c r="DF39" s="155">
        <v>410476</v>
      </c>
      <c r="DG39" s="155">
        <v>19081</v>
      </c>
      <c r="DH39" s="155">
        <v>123378</v>
      </c>
      <c r="DJ39" s="155">
        <v>207444</v>
      </c>
      <c r="DK39" s="155">
        <v>10848</v>
      </c>
      <c r="DL39" s="155">
        <v>81834</v>
      </c>
      <c r="DM39" s="155">
        <v>214704</v>
      </c>
      <c r="DN39" s="155">
        <v>32128</v>
      </c>
      <c r="DO39" s="155">
        <v>34016</v>
      </c>
      <c r="DP39" s="155">
        <v>6112</v>
      </c>
      <c r="DQ39" s="155">
        <v>122668</v>
      </c>
      <c r="DR39" s="155">
        <v>173543</v>
      </c>
      <c r="DS39" s="155">
        <v>269507</v>
      </c>
      <c r="DT39" s="155">
        <v>82738</v>
      </c>
      <c r="DY39" s="155">
        <v>46949</v>
      </c>
      <c r="DZ39" s="155">
        <v>139185</v>
      </c>
      <c r="EA39" s="155">
        <v>391229</v>
      </c>
      <c r="EB39" s="155">
        <v>447825</v>
      </c>
      <c r="ED39" s="155">
        <v>5500</v>
      </c>
      <c r="EE39" s="155">
        <v>283935</v>
      </c>
      <c r="EF39" s="155">
        <v>76738</v>
      </c>
      <c r="EG39" s="155">
        <v>484911</v>
      </c>
      <c r="EH39" s="155">
        <v>813</v>
      </c>
      <c r="EI39" s="155">
        <v>246937</v>
      </c>
      <c r="EJ39" s="155">
        <v>911025</v>
      </c>
      <c r="EK39" s="155">
        <v>50641</v>
      </c>
      <c r="EL39" s="155">
        <v>660395</v>
      </c>
      <c r="EN39" s="155">
        <v>753484</v>
      </c>
      <c r="EO39" s="155">
        <v>82140</v>
      </c>
      <c r="EP39" s="155">
        <v>215291</v>
      </c>
      <c r="EQ39" s="155">
        <v>520186</v>
      </c>
      <c r="ER39" s="155">
        <v>37547</v>
      </c>
      <c r="ES39" s="155">
        <v>65975</v>
      </c>
      <c r="ET39" s="155">
        <v>15522</v>
      </c>
      <c r="EU39" s="155">
        <v>271275</v>
      </c>
      <c r="EV39" s="155">
        <v>381370</v>
      </c>
      <c r="EW39" s="155">
        <v>689753</v>
      </c>
      <c r="EX39" s="155">
        <v>451822</v>
      </c>
      <c r="IO39" s="155">
        <v>6443</v>
      </c>
      <c r="IP39" s="155">
        <v>60915</v>
      </c>
      <c r="IQ39" s="155">
        <v>66559</v>
      </c>
      <c r="IR39" s="155">
        <v>27754</v>
      </c>
      <c r="IT39" s="155">
        <v>681</v>
      </c>
      <c r="IU39" s="155">
        <v>77677</v>
      </c>
      <c r="IV39" s="155">
        <v>2248</v>
      </c>
      <c r="IW39" s="155">
        <v>75234</v>
      </c>
      <c r="IX39" s="155">
        <v>144</v>
      </c>
      <c r="IY39" s="155">
        <v>41384</v>
      </c>
      <c r="IZ39" s="155">
        <v>114945</v>
      </c>
      <c r="JA39" s="155">
        <v>6466</v>
      </c>
      <c r="JB39" s="155">
        <v>139527</v>
      </c>
      <c r="JD39" s="155">
        <v>108423</v>
      </c>
      <c r="JE39" s="155">
        <v>5387</v>
      </c>
      <c r="JF39" s="155">
        <v>32970</v>
      </c>
      <c r="JG39" s="155">
        <v>71158</v>
      </c>
      <c r="JH39" s="155">
        <v>119723</v>
      </c>
      <c r="JI39" s="155">
        <v>96400</v>
      </c>
      <c r="JJ39" s="155">
        <v>14951</v>
      </c>
      <c r="JK39" s="155">
        <v>48440</v>
      </c>
      <c r="JL39" s="155">
        <v>117850</v>
      </c>
      <c r="JM39" s="155">
        <v>43636</v>
      </c>
      <c r="JN39" s="155">
        <v>69708</v>
      </c>
    </row>
    <row r="40" spans="1:274" s="155" customFormat="1" x14ac:dyDescent="0.25">
      <c r="A40" s="157" t="s">
        <v>388</v>
      </c>
      <c r="B40" s="157"/>
      <c r="C40" s="157" t="s">
        <v>1078</v>
      </c>
      <c r="D40" s="157"/>
      <c r="E40" s="158"/>
      <c r="F40" s="157"/>
      <c r="G40" s="157" t="s">
        <v>389</v>
      </c>
      <c r="Q40" s="155">
        <v>633659</v>
      </c>
      <c r="AH40" s="155">
        <v>1380195</v>
      </c>
      <c r="AI40" s="155">
        <v>552562</v>
      </c>
      <c r="AJ40" s="155">
        <v>328367</v>
      </c>
      <c r="AK40" s="155">
        <v>694942</v>
      </c>
      <c r="AL40" s="155">
        <v>0</v>
      </c>
      <c r="CU40" s="155">
        <v>17473</v>
      </c>
      <c r="CV40" s="155">
        <v>23714</v>
      </c>
      <c r="CW40" s="155">
        <v>108912</v>
      </c>
      <c r="CX40" s="155">
        <v>44732</v>
      </c>
      <c r="CZ40" s="155">
        <v>5328</v>
      </c>
      <c r="DA40" s="155">
        <v>35536</v>
      </c>
      <c r="DB40" s="155">
        <v>1137</v>
      </c>
      <c r="DC40" s="155">
        <v>58408</v>
      </c>
      <c r="DE40" s="155">
        <v>3886</v>
      </c>
      <c r="DF40" s="155">
        <v>113407</v>
      </c>
      <c r="DG40" s="155">
        <v>10251</v>
      </c>
      <c r="DH40" s="155">
        <v>60896</v>
      </c>
      <c r="DJ40" s="155">
        <v>69323</v>
      </c>
      <c r="DL40" s="155">
        <v>101012</v>
      </c>
      <c r="DM40" s="155">
        <v>76608</v>
      </c>
      <c r="DP40" s="155">
        <v>1152</v>
      </c>
      <c r="DQ40" s="155">
        <v>40080</v>
      </c>
      <c r="DR40" s="155">
        <v>48</v>
      </c>
      <c r="DS40" s="155">
        <v>126224</v>
      </c>
      <c r="DT40" s="155">
        <v>56618</v>
      </c>
      <c r="DY40" s="155">
        <v>126815</v>
      </c>
      <c r="DZ40" s="155">
        <v>81539</v>
      </c>
      <c r="EA40" s="155">
        <v>249223</v>
      </c>
      <c r="EB40" s="155">
        <v>243186</v>
      </c>
      <c r="ED40" s="155">
        <v>44049</v>
      </c>
      <c r="EE40" s="155">
        <v>159509</v>
      </c>
      <c r="EF40" s="155">
        <v>1647</v>
      </c>
      <c r="EG40" s="155">
        <v>145813</v>
      </c>
      <c r="EI40" s="155">
        <v>29697</v>
      </c>
      <c r="EJ40" s="155">
        <v>306985</v>
      </c>
      <c r="EK40" s="155">
        <v>37657</v>
      </c>
      <c r="EL40" s="155">
        <v>335775</v>
      </c>
      <c r="EN40" s="155">
        <v>170222</v>
      </c>
      <c r="EP40" s="155">
        <v>300956</v>
      </c>
      <c r="EQ40" s="155">
        <v>265369</v>
      </c>
      <c r="ET40" s="155">
        <v>11488</v>
      </c>
      <c r="EU40" s="155">
        <v>128709</v>
      </c>
      <c r="EV40" s="155">
        <v>32</v>
      </c>
      <c r="EW40" s="155">
        <v>319089</v>
      </c>
      <c r="EX40" s="155">
        <v>253827</v>
      </c>
      <c r="IO40" s="155">
        <v>5848</v>
      </c>
      <c r="IP40" s="155">
        <v>88762</v>
      </c>
      <c r="IQ40" s="155">
        <v>51973</v>
      </c>
      <c r="IR40" s="155">
        <v>40589</v>
      </c>
      <c r="IT40" s="155">
        <v>5310</v>
      </c>
      <c r="IU40" s="155">
        <v>30533</v>
      </c>
      <c r="IV40" s="155">
        <v>1823</v>
      </c>
      <c r="IW40" s="155">
        <v>44645</v>
      </c>
      <c r="IY40" s="155">
        <v>68307</v>
      </c>
      <c r="IZ40" s="155">
        <v>25023</v>
      </c>
      <c r="JA40" s="155">
        <v>7073</v>
      </c>
      <c r="JB40" s="155">
        <v>121942</v>
      </c>
      <c r="JD40" s="155">
        <v>162091</v>
      </c>
      <c r="JF40" s="155">
        <v>54001</v>
      </c>
      <c r="JG40" s="155">
        <v>16419</v>
      </c>
      <c r="JJ40" s="155">
        <v>25807</v>
      </c>
      <c r="JK40" s="155">
        <v>19018</v>
      </c>
      <c r="JL40" s="155">
        <v>151</v>
      </c>
      <c r="JM40" s="155">
        <v>26857</v>
      </c>
      <c r="JN40" s="155">
        <v>51219</v>
      </c>
    </row>
    <row r="41" spans="1:274" s="155" customFormat="1" x14ac:dyDescent="0.25">
      <c r="A41" s="157" t="s">
        <v>390</v>
      </c>
      <c r="B41" s="157"/>
      <c r="C41" s="157" t="s">
        <v>1078</v>
      </c>
      <c r="D41" s="157"/>
      <c r="E41" s="158"/>
      <c r="F41" s="157"/>
      <c r="G41" s="157" t="s">
        <v>391</v>
      </c>
      <c r="Q41" s="155">
        <v>896163</v>
      </c>
      <c r="AH41" s="155">
        <v>4853460</v>
      </c>
      <c r="AI41" s="155">
        <v>677385</v>
      </c>
      <c r="AJ41" s="155">
        <v>410169</v>
      </c>
      <c r="AK41" s="155">
        <v>529215</v>
      </c>
      <c r="AL41" s="155">
        <v>31570</v>
      </c>
      <c r="CU41" s="155">
        <v>6640</v>
      </c>
      <c r="CV41" s="155">
        <v>183078</v>
      </c>
      <c r="CW41" s="155">
        <v>265232</v>
      </c>
      <c r="CX41" s="155">
        <v>138279</v>
      </c>
      <c r="CZ41" s="155">
        <v>5872</v>
      </c>
      <c r="DA41" s="155">
        <v>95099</v>
      </c>
      <c r="DC41" s="155">
        <v>52114</v>
      </c>
      <c r="DE41" s="155">
        <v>86672</v>
      </c>
      <c r="DF41" s="155">
        <v>305756</v>
      </c>
      <c r="DG41" s="155">
        <v>29270</v>
      </c>
      <c r="DH41" s="155">
        <v>46200</v>
      </c>
      <c r="DJ41" s="155">
        <v>60511</v>
      </c>
      <c r="DL41" s="155">
        <v>87807</v>
      </c>
      <c r="DM41" s="155">
        <v>364698</v>
      </c>
      <c r="DO41" s="155">
        <v>8378</v>
      </c>
      <c r="DP41" s="155">
        <v>32</v>
      </c>
      <c r="DQ41" s="155">
        <v>78048</v>
      </c>
      <c r="DR41" s="155">
        <v>8856</v>
      </c>
      <c r="DS41" s="155">
        <v>245805</v>
      </c>
      <c r="DT41" s="155">
        <v>102332</v>
      </c>
      <c r="DY41" s="155">
        <v>42260</v>
      </c>
      <c r="DZ41" s="155">
        <v>591933</v>
      </c>
      <c r="EA41" s="155">
        <v>296617</v>
      </c>
      <c r="EB41" s="155">
        <v>190237</v>
      </c>
      <c r="ED41" s="155">
        <v>78153</v>
      </c>
      <c r="EE41" s="155">
        <v>137385</v>
      </c>
      <c r="EG41" s="155">
        <v>88699</v>
      </c>
      <c r="EI41" s="155">
        <v>151813</v>
      </c>
      <c r="EJ41" s="155">
        <v>557997</v>
      </c>
      <c r="EK41" s="155">
        <v>32692</v>
      </c>
      <c r="EL41" s="155">
        <v>231636</v>
      </c>
      <c r="EN41" s="155">
        <v>30046</v>
      </c>
      <c r="EP41" s="155">
        <v>399579</v>
      </c>
      <c r="EQ41" s="155">
        <v>317914</v>
      </c>
      <c r="ES41" s="155">
        <v>0</v>
      </c>
      <c r="ET41" s="155">
        <v>35</v>
      </c>
      <c r="EU41" s="155">
        <v>157979</v>
      </c>
      <c r="EV41" s="155">
        <v>882</v>
      </c>
      <c r="EW41" s="155">
        <v>333421</v>
      </c>
      <c r="EX41" s="155">
        <v>202000</v>
      </c>
      <c r="IO41" s="155">
        <v>9142</v>
      </c>
      <c r="IP41" s="155">
        <v>198693</v>
      </c>
      <c r="IQ41" s="155">
        <v>171970</v>
      </c>
      <c r="IR41" s="155">
        <v>112725</v>
      </c>
      <c r="IT41" s="155">
        <v>71192</v>
      </c>
      <c r="IU41" s="155">
        <v>42841</v>
      </c>
      <c r="IW41" s="155">
        <v>131872</v>
      </c>
      <c r="IY41" s="155">
        <v>61679</v>
      </c>
      <c r="IZ41" s="155">
        <v>211655</v>
      </c>
      <c r="JA41" s="155">
        <v>29818</v>
      </c>
      <c r="JB41" s="155">
        <v>205866</v>
      </c>
      <c r="JD41" s="155">
        <v>57000</v>
      </c>
      <c r="JF41" s="155">
        <v>85906</v>
      </c>
      <c r="JG41" s="155">
        <v>247376</v>
      </c>
      <c r="JI41" s="155">
        <v>130061</v>
      </c>
      <c r="JJ41" s="155">
        <v>95</v>
      </c>
      <c r="JK41" s="155">
        <v>45214</v>
      </c>
      <c r="JL41" s="155">
        <v>2376</v>
      </c>
      <c r="JM41" s="155">
        <v>143361</v>
      </c>
      <c r="JN41" s="155">
        <v>179839</v>
      </c>
    </row>
    <row r="42" spans="1:274" s="155" customFormat="1" x14ac:dyDescent="0.25">
      <c r="A42" s="157" t="s">
        <v>392</v>
      </c>
      <c r="B42" s="157"/>
      <c r="C42" s="157" t="s">
        <v>1078</v>
      </c>
      <c r="D42" s="157"/>
      <c r="E42" s="158"/>
      <c r="F42" s="157"/>
      <c r="G42" s="157" t="s">
        <v>393</v>
      </c>
      <c r="Q42" s="155">
        <v>0</v>
      </c>
      <c r="AH42" s="155">
        <v>801324</v>
      </c>
      <c r="AI42" s="155">
        <v>267594</v>
      </c>
      <c r="AJ42" s="155">
        <v>90764</v>
      </c>
      <c r="AK42" s="155">
        <v>132125</v>
      </c>
      <c r="AL42" s="155">
        <v>0</v>
      </c>
      <c r="CV42" s="155">
        <v>12000</v>
      </c>
      <c r="CW42" s="155">
        <v>31312</v>
      </c>
      <c r="CX42" s="155">
        <v>12688</v>
      </c>
      <c r="CZ42" s="155">
        <v>2800</v>
      </c>
      <c r="DA42" s="155">
        <v>25054</v>
      </c>
      <c r="DC42" s="155">
        <v>40240</v>
      </c>
      <c r="DF42" s="155">
        <v>88704</v>
      </c>
      <c r="DG42" s="155">
        <v>80</v>
      </c>
      <c r="DJ42" s="155">
        <v>10822</v>
      </c>
      <c r="DL42" s="155">
        <v>84640</v>
      </c>
      <c r="DM42" s="155">
        <v>29952</v>
      </c>
      <c r="DN42" s="155">
        <v>5136</v>
      </c>
      <c r="DQ42" s="155">
        <v>37936</v>
      </c>
      <c r="DS42" s="155">
        <v>53328</v>
      </c>
      <c r="DT42" s="155">
        <v>24292</v>
      </c>
      <c r="DZ42" s="155">
        <v>37485</v>
      </c>
      <c r="EA42" s="155">
        <v>55788</v>
      </c>
      <c r="EB42" s="155">
        <v>45878</v>
      </c>
      <c r="ED42" s="155">
        <v>1850</v>
      </c>
      <c r="EE42" s="155">
        <v>67533</v>
      </c>
      <c r="EG42" s="155">
        <v>55291</v>
      </c>
      <c r="EJ42" s="155">
        <v>193731</v>
      </c>
      <c r="EK42" s="155">
        <v>1200</v>
      </c>
      <c r="EN42" s="155">
        <v>20420</v>
      </c>
      <c r="EP42" s="155">
        <v>168454</v>
      </c>
      <c r="EQ42" s="155">
        <v>79115</v>
      </c>
      <c r="ER42" s="155">
        <v>34731</v>
      </c>
      <c r="EU42" s="155">
        <v>363389</v>
      </c>
      <c r="EW42" s="155">
        <v>68886</v>
      </c>
      <c r="EX42" s="155">
        <v>74842</v>
      </c>
      <c r="IP42" s="155">
        <v>9677</v>
      </c>
      <c r="IQ42" s="155">
        <v>2588</v>
      </c>
      <c r="IR42" s="155">
        <v>5162</v>
      </c>
      <c r="IT42" s="155">
        <v>73</v>
      </c>
      <c r="IU42" s="155">
        <v>7760</v>
      </c>
      <c r="IW42" s="155">
        <v>46298</v>
      </c>
      <c r="IZ42" s="155">
        <v>12743</v>
      </c>
      <c r="JA42" s="155">
        <v>152</v>
      </c>
      <c r="JD42" s="155">
        <v>3285</v>
      </c>
      <c r="JF42" s="155">
        <v>9577</v>
      </c>
      <c r="JG42" s="155">
        <v>2009</v>
      </c>
      <c r="JH42" s="155">
        <v>1616</v>
      </c>
      <c r="JK42" s="155">
        <v>20262</v>
      </c>
      <c r="JM42" s="155">
        <v>6681</v>
      </c>
      <c r="JN42" s="155">
        <v>10065</v>
      </c>
    </row>
    <row r="43" spans="1:274" s="155" customFormat="1" ht="15" customHeight="1" x14ac:dyDescent="0.25">
      <c r="A43" s="157" t="s">
        <v>396</v>
      </c>
      <c r="B43" s="157"/>
      <c r="C43" s="157" t="s">
        <v>1078</v>
      </c>
      <c r="D43" s="157"/>
      <c r="E43" s="158"/>
      <c r="F43" s="157"/>
      <c r="G43" s="157" t="s">
        <v>397</v>
      </c>
      <c r="Q43" s="155">
        <v>4790615</v>
      </c>
      <c r="AH43" s="155">
        <v>12518531</v>
      </c>
      <c r="AI43" s="155">
        <v>6964710</v>
      </c>
      <c r="AJ43" s="155">
        <v>1947311</v>
      </c>
      <c r="AK43" s="155">
        <v>4141209</v>
      </c>
      <c r="AL43" s="155">
        <v>0</v>
      </c>
      <c r="CU43" s="155">
        <v>4896</v>
      </c>
      <c r="CV43" s="155">
        <v>244468</v>
      </c>
      <c r="CW43" s="155">
        <v>1124793</v>
      </c>
      <c r="CX43" s="155">
        <v>555996</v>
      </c>
      <c r="CY43" s="155">
        <v>47360</v>
      </c>
      <c r="CZ43" s="155">
        <v>49727</v>
      </c>
      <c r="DA43" s="155">
        <v>372852</v>
      </c>
      <c r="DB43" s="155">
        <v>93316</v>
      </c>
      <c r="DC43" s="155">
        <v>565669</v>
      </c>
      <c r="DD43" s="155">
        <v>78847</v>
      </c>
      <c r="DE43" s="155">
        <v>118317</v>
      </c>
      <c r="DF43" s="155">
        <v>1354903</v>
      </c>
      <c r="DG43" s="155">
        <v>100736</v>
      </c>
      <c r="DH43" s="155">
        <v>332728</v>
      </c>
      <c r="DJ43" s="155">
        <v>600719</v>
      </c>
      <c r="DK43" s="155">
        <v>24416</v>
      </c>
      <c r="DL43" s="155">
        <v>336840</v>
      </c>
      <c r="DM43" s="155">
        <v>1167518</v>
      </c>
      <c r="DN43" s="155">
        <v>233888</v>
      </c>
      <c r="DO43" s="155">
        <v>54080</v>
      </c>
      <c r="DP43" s="155">
        <v>15872</v>
      </c>
      <c r="DQ43" s="155">
        <v>402048</v>
      </c>
      <c r="DR43" s="155">
        <v>179072</v>
      </c>
      <c r="DS43" s="155">
        <v>1372977</v>
      </c>
      <c r="DT43" s="155">
        <v>512245</v>
      </c>
      <c r="DY43" s="155">
        <v>4875</v>
      </c>
      <c r="DZ43" s="155">
        <v>307608</v>
      </c>
      <c r="EA43" s="155">
        <v>2707754</v>
      </c>
      <c r="EB43" s="155">
        <v>1529006</v>
      </c>
      <c r="EC43" s="155">
        <v>263236</v>
      </c>
      <c r="ED43" s="155">
        <v>228136</v>
      </c>
      <c r="EE43" s="155">
        <v>1427520</v>
      </c>
      <c r="EF43" s="155">
        <v>164624</v>
      </c>
      <c r="EG43" s="155">
        <v>1713321</v>
      </c>
      <c r="EH43" s="155">
        <v>498215</v>
      </c>
      <c r="EI43" s="155">
        <v>747624</v>
      </c>
      <c r="EJ43" s="155">
        <v>4133757</v>
      </c>
      <c r="EK43" s="155">
        <v>272692</v>
      </c>
      <c r="EL43" s="155">
        <v>1513234</v>
      </c>
      <c r="EN43" s="155">
        <v>2476338</v>
      </c>
      <c r="EO43" s="155">
        <v>138476</v>
      </c>
      <c r="EP43" s="155">
        <v>1041976</v>
      </c>
      <c r="EQ43" s="155">
        <v>3291357</v>
      </c>
      <c r="ER43" s="155">
        <v>935115</v>
      </c>
      <c r="ES43" s="155">
        <v>271680</v>
      </c>
      <c r="ET43" s="155">
        <v>13729</v>
      </c>
      <c r="EU43" s="155">
        <v>1495256</v>
      </c>
      <c r="EV43" s="155">
        <v>582688</v>
      </c>
      <c r="EW43" s="155">
        <v>3514470</v>
      </c>
      <c r="EX43" s="155">
        <v>1837493</v>
      </c>
      <c r="IO43" s="155">
        <v>41223</v>
      </c>
      <c r="IP43" s="155">
        <v>172484</v>
      </c>
      <c r="IQ43" s="155">
        <v>504536</v>
      </c>
      <c r="IR43" s="155">
        <v>582267</v>
      </c>
      <c r="IS43" s="155">
        <v>492751</v>
      </c>
      <c r="IT43" s="155">
        <v>88846</v>
      </c>
      <c r="IU43" s="155">
        <v>389484</v>
      </c>
      <c r="IV43" s="155">
        <v>10109</v>
      </c>
      <c r="IW43" s="155">
        <v>488065</v>
      </c>
      <c r="IX43" s="155">
        <v>186832</v>
      </c>
      <c r="IY43" s="155">
        <v>179632</v>
      </c>
      <c r="IZ43" s="155">
        <v>472885</v>
      </c>
      <c r="JA43" s="155">
        <v>37272</v>
      </c>
      <c r="JB43" s="155">
        <v>385963</v>
      </c>
      <c r="JD43" s="155">
        <v>496170</v>
      </c>
      <c r="JE43" s="155">
        <v>24282</v>
      </c>
      <c r="JF43" s="155">
        <v>208211</v>
      </c>
      <c r="JG43" s="155">
        <v>455238</v>
      </c>
      <c r="JH43" s="155">
        <v>350786</v>
      </c>
      <c r="JI43" s="155">
        <v>165242</v>
      </c>
      <c r="JJ43" s="155">
        <v>350</v>
      </c>
      <c r="JK43" s="155">
        <v>303145</v>
      </c>
      <c r="JL43" s="155">
        <v>172957</v>
      </c>
      <c r="JM43" s="155">
        <v>360735</v>
      </c>
      <c r="JN43" s="155">
        <v>446921</v>
      </c>
    </row>
    <row r="44" spans="1:274" s="155" customFormat="1" x14ac:dyDescent="0.25">
      <c r="A44" s="157" t="s">
        <v>398</v>
      </c>
      <c r="B44" s="157"/>
      <c r="C44" s="157" t="s">
        <v>1078</v>
      </c>
      <c r="D44" s="157"/>
      <c r="E44" s="158"/>
      <c r="F44" s="157"/>
      <c r="G44" s="157" t="s">
        <v>399</v>
      </c>
      <c r="Q44" s="155">
        <v>2850868</v>
      </c>
      <c r="AH44" s="155">
        <v>2674495</v>
      </c>
      <c r="AI44" s="155">
        <v>2549414</v>
      </c>
      <c r="AJ44" s="155">
        <v>486937</v>
      </c>
      <c r="AK44" s="155">
        <v>906111</v>
      </c>
      <c r="AL44" s="155">
        <v>299550</v>
      </c>
      <c r="CU44" s="155">
        <v>28384</v>
      </c>
      <c r="CV44" s="155">
        <v>49424</v>
      </c>
      <c r="CW44" s="155">
        <v>443920</v>
      </c>
      <c r="CX44" s="155">
        <v>163104</v>
      </c>
      <c r="CZ44" s="155">
        <v>94640</v>
      </c>
      <c r="DA44" s="155">
        <v>214368</v>
      </c>
      <c r="DB44" s="155">
        <v>19392</v>
      </c>
      <c r="DC44" s="155">
        <v>138832</v>
      </c>
      <c r="DD44" s="155">
        <v>640</v>
      </c>
      <c r="DE44" s="155">
        <v>49744</v>
      </c>
      <c r="DF44" s="155">
        <v>763376</v>
      </c>
      <c r="DG44" s="155">
        <v>89920</v>
      </c>
      <c r="DH44" s="155">
        <v>93872</v>
      </c>
      <c r="DJ44" s="155">
        <v>198480</v>
      </c>
      <c r="DK44" s="155">
        <v>26128</v>
      </c>
      <c r="DL44" s="155">
        <v>177168</v>
      </c>
      <c r="DM44" s="155">
        <v>278688</v>
      </c>
      <c r="DN44" s="155">
        <v>64128</v>
      </c>
      <c r="DO44" s="155">
        <v>13648</v>
      </c>
      <c r="DP44" s="155">
        <v>4944</v>
      </c>
      <c r="DQ44" s="155">
        <v>117216</v>
      </c>
      <c r="DR44" s="155">
        <v>77968</v>
      </c>
      <c r="DS44" s="155">
        <v>668752</v>
      </c>
      <c r="DT44" s="155">
        <v>273008</v>
      </c>
      <c r="DY44" s="155">
        <v>150932</v>
      </c>
      <c r="DZ44" s="155">
        <v>269757</v>
      </c>
      <c r="EA44" s="155">
        <v>999051</v>
      </c>
      <c r="EB44" s="155">
        <v>699664</v>
      </c>
      <c r="ED44" s="155">
        <v>255688</v>
      </c>
      <c r="EE44" s="155">
        <v>421924</v>
      </c>
      <c r="EF44" s="155">
        <v>65582</v>
      </c>
      <c r="EG44" s="155">
        <v>287388</v>
      </c>
      <c r="EH44" s="155">
        <v>2902</v>
      </c>
      <c r="EI44" s="155">
        <v>265688</v>
      </c>
      <c r="EJ44" s="155">
        <v>1944484</v>
      </c>
      <c r="EK44" s="155">
        <v>219380</v>
      </c>
      <c r="EL44" s="155">
        <v>346800</v>
      </c>
      <c r="EN44" s="155">
        <v>384395</v>
      </c>
      <c r="EO44" s="155">
        <v>84418</v>
      </c>
      <c r="EP44" s="155">
        <v>469243</v>
      </c>
      <c r="EQ44" s="155">
        <v>843746</v>
      </c>
      <c r="ER44" s="155">
        <v>129539</v>
      </c>
      <c r="ES44" s="155">
        <v>69827</v>
      </c>
      <c r="ET44" s="155">
        <v>101825</v>
      </c>
      <c r="EU44" s="155">
        <v>539420</v>
      </c>
      <c r="EV44" s="155">
        <v>302718</v>
      </c>
      <c r="EW44" s="155">
        <v>1609512</v>
      </c>
      <c r="EX44" s="155">
        <v>1419451</v>
      </c>
      <c r="IO44" s="155">
        <v>62097</v>
      </c>
      <c r="IP44" s="155">
        <v>19622</v>
      </c>
      <c r="IQ44" s="155">
        <v>139750</v>
      </c>
      <c r="IR44" s="155">
        <v>51247</v>
      </c>
      <c r="IT44" s="155">
        <v>153857</v>
      </c>
      <c r="IU44" s="155">
        <v>84799</v>
      </c>
      <c r="IV44" s="155">
        <v>1582</v>
      </c>
      <c r="IW44" s="155">
        <v>62493</v>
      </c>
      <c r="IX44" s="155">
        <v>3014</v>
      </c>
      <c r="IY44" s="155">
        <v>27548</v>
      </c>
      <c r="IZ44" s="155">
        <v>62601</v>
      </c>
      <c r="JA44" s="155">
        <v>6385</v>
      </c>
      <c r="JB44" s="155">
        <v>61969</v>
      </c>
      <c r="JD44" s="155">
        <v>347837</v>
      </c>
      <c r="JE44" s="155">
        <v>20420</v>
      </c>
      <c r="JF44" s="155">
        <v>57410</v>
      </c>
      <c r="JG44" s="155">
        <v>42465</v>
      </c>
      <c r="JH44" s="155">
        <v>34826</v>
      </c>
      <c r="JI44" s="155">
        <v>175495</v>
      </c>
      <c r="JJ44" s="155">
        <v>16974</v>
      </c>
      <c r="JK44" s="155">
        <v>88296</v>
      </c>
      <c r="JL44" s="155">
        <v>52413</v>
      </c>
      <c r="JM44" s="155">
        <v>69147</v>
      </c>
      <c r="JN44" s="155">
        <v>94354</v>
      </c>
    </row>
    <row r="45" spans="1:274" s="155" customFormat="1" x14ac:dyDescent="0.25">
      <c r="A45" s="157" t="s">
        <v>1081</v>
      </c>
      <c r="B45" s="157"/>
      <c r="C45" s="157" t="s">
        <v>1078</v>
      </c>
      <c r="D45" s="157"/>
      <c r="E45" s="158"/>
      <c r="F45" s="157"/>
      <c r="G45" s="157" t="s">
        <v>456</v>
      </c>
      <c r="Q45" s="155">
        <v>3922096</v>
      </c>
      <c r="AH45" s="155">
        <v>9205085</v>
      </c>
      <c r="AI45" s="155">
        <v>3632271</v>
      </c>
      <c r="AJ45" s="155">
        <v>1089808</v>
      </c>
      <c r="AK45" s="155">
        <v>1882602</v>
      </c>
      <c r="AL45" s="155">
        <v>0</v>
      </c>
      <c r="CU45" s="155">
        <v>4864</v>
      </c>
      <c r="CV45" s="155">
        <v>90992</v>
      </c>
      <c r="CW45" s="155">
        <v>666528</v>
      </c>
      <c r="CX45" s="155">
        <v>279072</v>
      </c>
      <c r="DA45" s="155">
        <v>460960</v>
      </c>
      <c r="DC45" s="155">
        <v>234752</v>
      </c>
      <c r="DD45" s="155">
        <v>3312</v>
      </c>
      <c r="DE45" s="155">
        <v>158768</v>
      </c>
      <c r="DF45" s="155">
        <v>1219872</v>
      </c>
      <c r="DG45" s="155">
        <v>194240</v>
      </c>
      <c r="DH45" s="155">
        <v>170734</v>
      </c>
      <c r="DJ45" s="155">
        <v>346728</v>
      </c>
      <c r="DL45" s="155">
        <v>139808</v>
      </c>
      <c r="DM45" s="155">
        <v>903984</v>
      </c>
      <c r="DN45" s="155">
        <v>101552</v>
      </c>
      <c r="DO45" s="155">
        <v>16480</v>
      </c>
      <c r="DP45" s="155">
        <v>16448</v>
      </c>
      <c r="DQ45" s="155">
        <v>58272</v>
      </c>
      <c r="DR45" s="155">
        <v>108560</v>
      </c>
      <c r="DS45" s="155">
        <v>815472</v>
      </c>
      <c r="DT45" s="155">
        <v>177024</v>
      </c>
      <c r="DY45" s="155">
        <v>12837</v>
      </c>
      <c r="DZ45" s="155">
        <v>365916</v>
      </c>
      <c r="EA45" s="155">
        <v>1759136</v>
      </c>
      <c r="EB45" s="155">
        <v>976297</v>
      </c>
      <c r="EE45" s="155">
        <v>1479530</v>
      </c>
      <c r="EG45" s="155">
        <v>1063709</v>
      </c>
      <c r="EH45" s="155">
        <v>15000</v>
      </c>
      <c r="EI45" s="155">
        <v>271918</v>
      </c>
      <c r="EJ45" s="155">
        <v>2943827</v>
      </c>
      <c r="EK45" s="155">
        <v>623587</v>
      </c>
      <c r="EL45" s="155">
        <v>833271</v>
      </c>
      <c r="EN45" s="155">
        <v>1337515</v>
      </c>
      <c r="EP45" s="155">
        <v>559751</v>
      </c>
      <c r="EQ45" s="155">
        <v>2139144</v>
      </c>
      <c r="ER45" s="155">
        <v>374361</v>
      </c>
      <c r="ES45" s="155">
        <v>97782</v>
      </c>
      <c r="ET45" s="155">
        <v>444700</v>
      </c>
      <c r="EU45" s="155">
        <v>273137</v>
      </c>
      <c r="EV45" s="155">
        <v>411228</v>
      </c>
      <c r="EW45" s="155">
        <v>2008649</v>
      </c>
      <c r="EX45" s="155">
        <v>503980</v>
      </c>
      <c r="IO45" s="155">
        <v>2776</v>
      </c>
      <c r="IP45" s="155">
        <v>237911</v>
      </c>
      <c r="IQ45" s="155">
        <v>396429</v>
      </c>
      <c r="IR45" s="155">
        <v>829754</v>
      </c>
      <c r="IU45" s="155">
        <v>574752</v>
      </c>
      <c r="IW45" s="155">
        <v>151238</v>
      </c>
      <c r="IX45" s="155">
        <v>2221</v>
      </c>
      <c r="IY45" s="155">
        <v>105131</v>
      </c>
      <c r="IZ45" s="155">
        <v>611704</v>
      </c>
      <c r="JA45" s="155">
        <v>27905</v>
      </c>
      <c r="JB45" s="155">
        <v>101586</v>
      </c>
      <c r="JD45" s="155">
        <v>291248</v>
      </c>
      <c r="JF45" s="155">
        <v>118828</v>
      </c>
      <c r="JG45" s="155">
        <v>105217</v>
      </c>
      <c r="JH45" s="155">
        <v>162793</v>
      </c>
      <c r="JI45" s="155">
        <v>26419</v>
      </c>
      <c r="JJ45" s="155">
        <v>147317</v>
      </c>
      <c r="JK45" s="155">
        <v>143309</v>
      </c>
      <c r="JL45" s="155">
        <v>36371</v>
      </c>
      <c r="JM45" s="155">
        <v>94816</v>
      </c>
      <c r="JN45" s="155">
        <v>41233</v>
      </c>
    </row>
    <row r="46" spans="1:274" s="155" customFormat="1" x14ac:dyDescent="0.25">
      <c r="A46" s="157" t="s">
        <v>400</v>
      </c>
      <c r="B46" s="157"/>
      <c r="C46" s="157" t="s">
        <v>1078</v>
      </c>
      <c r="D46" s="157"/>
      <c r="E46" s="158"/>
      <c r="F46" s="157"/>
      <c r="G46" s="157" t="s">
        <v>401</v>
      </c>
      <c r="Q46" s="155">
        <v>377110</v>
      </c>
      <c r="AH46" s="155">
        <v>2859353</v>
      </c>
      <c r="AI46" s="155">
        <v>843511</v>
      </c>
      <c r="AJ46" s="155">
        <v>510482</v>
      </c>
      <c r="AK46" s="155">
        <v>1078621</v>
      </c>
      <c r="AL46" s="155">
        <v>0</v>
      </c>
      <c r="CU46" s="155">
        <v>10512</v>
      </c>
      <c r="CV46" s="155">
        <v>2016</v>
      </c>
      <c r="CW46" s="155">
        <v>170128</v>
      </c>
      <c r="CX46" s="155">
        <v>185138</v>
      </c>
      <c r="CY46" s="155">
        <v>6048</v>
      </c>
      <c r="CZ46" s="155">
        <v>12356</v>
      </c>
      <c r="DA46" s="155">
        <v>111757</v>
      </c>
      <c r="DB46" s="155">
        <v>5055</v>
      </c>
      <c r="DC46" s="155">
        <v>131909</v>
      </c>
      <c r="DE46" s="155">
        <v>25254</v>
      </c>
      <c r="DF46" s="155">
        <v>353280</v>
      </c>
      <c r="DG46" s="155">
        <v>18556</v>
      </c>
      <c r="DJ46" s="155">
        <v>6960</v>
      </c>
      <c r="DL46" s="155">
        <v>72560</v>
      </c>
      <c r="DM46" s="155">
        <v>230672</v>
      </c>
      <c r="DN46" s="155">
        <v>34176</v>
      </c>
      <c r="DO46" s="155">
        <v>27536</v>
      </c>
      <c r="DP46" s="155">
        <v>3256</v>
      </c>
      <c r="DQ46" s="155">
        <v>72002</v>
      </c>
      <c r="DR46" s="155">
        <v>97314</v>
      </c>
      <c r="DS46" s="155">
        <v>371520</v>
      </c>
      <c r="DT46" s="155">
        <v>70800</v>
      </c>
      <c r="DY46" s="155">
        <v>89228</v>
      </c>
      <c r="DZ46" s="155">
        <v>39279</v>
      </c>
      <c r="EA46" s="155">
        <v>478760</v>
      </c>
      <c r="EB46" s="155">
        <v>670663</v>
      </c>
      <c r="EC46" s="155">
        <v>43881</v>
      </c>
      <c r="ED46" s="155">
        <v>39007</v>
      </c>
      <c r="EE46" s="155">
        <v>132133</v>
      </c>
      <c r="EF46" s="155">
        <v>32500</v>
      </c>
      <c r="EG46" s="155">
        <v>251700</v>
      </c>
      <c r="EI46" s="155">
        <v>91595</v>
      </c>
      <c r="EJ46" s="155">
        <v>929208</v>
      </c>
      <c r="EK46" s="155">
        <v>57264</v>
      </c>
      <c r="EN46" s="155">
        <v>29288</v>
      </c>
      <c r="EP46" s="155">
        <v>275628</v>
      </c>
      <c r="EQ46" s="155">
        <v>405325</v>
      </c>
      <c r="ER46" s="155">
        <v>116423</v>
      </c>
      <c r="ES46" s="155">
        <v>210438</v>
      </c>
      <c r="ET46" s="155">
        <v>33070</v>
      </c>
      <c r="EU46" s="155">
        <v>181811</v>
      </c>
      <c r="EV46" s="155">
        <v>309857</v>
      </c>
      <c r="EW46" s="155">
        <v>849887</v>
      </c>
      <c r="EX46" s="155">
        <v>150590</v>
      </c>
      <c r="IO46" s="155">
        <v>12366</v>
      </c>
      <c r="IP46" s="155">
        <v>14252</v>
      </c>
      <c r="IQ46" s="155">
        <v>-50496</v>
      </c>
      <c r="IR46" s="155">
        <v>157490</v>
      </c>
      <c r="IS46" s="155">
        <v>14436</v>
      </c>
      <c r="IT46" s="155">
        <v>19026</v>
      </c>
      <c r="IU46" s="155">
        <v>29576</v>
      </c>
      <c r="IV46" s="155">
        <v>3427</v>
      </c>
      <c r="IW46" s="155">
        <v>177212</v>
      </c>
      <c r="IY46" s="155">
        <v>106151</v>
      </c>
      <c r="IZ46" s="155">
        <v>115171</v>
      </c>
      <c r="JA46" s="155">
        <v>16478</v>
      </c>
      <c r="JD46" s="155">
        <v>18877</v>
      </c>
      <c r="JF46" s="155">
        <v>64401</v>
      </c>
      <c r="JG46" s="155">
        <v>105853</v>
      </c>
      <c r="JH46" s="155">
        <v>18644</v>
      </c>
      <c r="JI46" s="155">
        <v>273943</v>
      </c>
      <c r="JJ46" s="155">
        <v>3426</v>
      </c>
      <c r="JK46" s="155">
        <v>94753</v>
      </c>
      <c r="JL46" s="155">
        <v>186519</v>
      </c>
      <c r="JM46" s="155">
        <v>38461</v>
      </c>
      <c r="JN46" s="155">
        <v>53934</v>
      </c>
    </row>
    <row r="47" spans="1:274" s="155" customFormat="1" x14ac:dyDescent="0.25">
      <c r="A47" s="157" t="s">
        <v>1079</v>
      </c>
      <c r="B47" s="157"/>
      <c r="C47" s="157" t="s">
        <v>1078</v>
      </c>
      <c r="D47" s="157"/>
      <c r="E47" s="158"/>
      <c r="F47" s="157"/>
      <c r="G47" s="157" t="s">
        <v>402</v>
      </c>
      <c r="Q47" s="155">
        <v>9789389</v>
      </c>
      <c r="AH47" s="155">
        <v>15015316</v>
      </c>
      <c r="AI47" s="155">
        <v>9355459</v>
      </c>
      <c r="AJ47" s="155">
        <v>5046573</v>
      </c>
      <c r="AK47" s="155">
        <v>3751239</v>
      </c>
      <c r="AL47" s="155">
        <v>0</v>
      </c>
      <c r="CU47" s="155">
        <v>17434</v>
      </c>
      <c r="CV47" s="155">
        <v>139472</v>
      </c>
      <c r="CW47" s="155">
        <v>1712271</v>
      </c>
      <c r="CX47" s="155">
        <v>789256</v>
      </c>
      <c r="CY47" s="155">
        <v>144</v>
      </c>
      <c r="CZ47" s="155">
        <v>40320</v>
      </c>
      <c r="DA47" s="155">
        <v>635020</v>
      </c>
      <c r="DB47" s="155">
        <v>4560</v>
      </c>
      <c r="DC47" s="155">
        <v>146876</v>
      </c>
      <c r="DD47" s="155">
        <v>2816</v>
      </c>
      <c r="DE47" s="155">
        <v>207159</v>
      </c>
      <c r="DF47" s="155">
        <v>2177052</v>
      </c>
      <c r="DG47" s="155">
        <v>377552</v>
      </c>
      <c r="DH47" s="155">
        <v>202376</v>
      </c>
      <c r="DI47" s="155">
        <v>37628</v>
      </c>
      <c r="DJ47" s="155">
        <v>366702</v>
      </c>
      <c r="DK47" s="155">
        <v>25312</v>
      </c>
      <c r="DM47" s="155">
        <v>1490113</v>
      </c>
      <c r="DN47" s="155">
        <v>115592</v>
      </c>
      <c r="DO47" s="155">
        <v>362744</v>
      </c>
      <c r="DP47" s="155">
        <v>6384</v>
      </c>
      <c r="DQ47" s="155">
        <v>373328</v>
      </c>
      <c r="DR47" s="155">
        <v>306785</v>
      </c>
      <c r="DS47" s="155">
        <v>2500178</v>
      </c>
      <c r="DT47" s="155">
        <v>724928</v>
      </c>
      <c r="DY47" s="155">
        <v>95410</v>
      </c>
      <c r="DZ47" s="155">
        <v>294830</v>
      </c>
      <c r="EA47" s="155">
        <v>4007288</v>
      </c>
      <c r="EB47" s="155">
        <v>2362317</v>
      </c>
      <c r="EC47" s="155">
        <v>2268</v>
      </c>
      <c r="ED47" s="155">
        <v>239392</v>
      </c>
      <c r="EE47" s="155">
        <v>2005991</v>
      </c>
      <c r="EF47" s="155">
        <v>6451</v>
      </c>
      <c r="EG47" s="155">
        <v>365900</v>
      </c>
      <c r="EH47" s="155">
        <v>66470</v>
      </c>
      <c r="EI47" s="155">
        <v>958472</v>
      </c>
      <c r="EJ47" s="155">
        <v>5578120</v>
      </c>
      <c r="EK47" s="155">
        <v>1022862</v>
      </c>
      <c r="EL47" s="155">
        <v>1434714</v>
      </c>
      <c r="EM47" s="155">
        <v>395300</v>
      </c>
      <c r="EN47" s="155">
        <v>1112741</v>
      </c>
      <c r="EO47" s="155">
        <v>284912</v>
      </c>
      <c r="EQ47" s="155">
        <v>3602945</v>
      </c>
      <c r="ER47" s="155">
        <v>404782</v>
      </c>
      <c r="ES47" s="155">
        <v>590681</v>
      </c>
      <c r="ET47" s="155">
        <v>106</v>
      </c>
      <c r="EU47" s="155">
        <v>1243568</v>
      </c>
      <c r="EV47" s="155">
        <v>716217</v>
      </c>
      <c r="EW47" s="155">
        <v>4964239</v>
      </c>
      <c r="EX47" s="155">
        <v>2677734</v>
      </c>
      <c r="IO47" s="155">
        <v>45334</v>
      </c>
      <c r="IP47" s="155">
        <v>121079</v>
      </c>
      <c r="IQ47" s="155">
        <v>1445920</v>
      </c>
      <c r="IR47" s="155">
        <v>629302</v>
      </c>
      <c r="IS47" s="155">
        <v>19</v>
      </c>
      <c r="IT47" s="155">
        <v>144170</v>
      </c>
      <c r="IU47" s="155">
        <v>550948</v>
      </c>
      <c r="IV47" s="155">
        <v>53</v>
      </c>
      <c r="IW47" s="155">
        <v>128392</v>
      </c>
      <c r="IX47" s="155">
        <v>9017</v>
      </c>
      <c r="IY47" s="155">
        <v>332807</v>
      </c>
      <c r="IZ47" s="155">
        <v>1436591</v>
      </c>
      <c r="JA47" s="155">
        <v>277222</v>
      </c>
      <c r="JB47" s="155">
        <v>393723</v>
      </c>
      <c r="JC47" s="155">
        <v>75378</v>
      </c>
      <c r="JD47" s="155">
        <v>286431</v>
      </c>
      <c r="JE47" s="155">
        <v>38022</v>
      </c>
      <c r="JG47" s="155">
        <v>1067857</v>
      </c>
      <c r="JH47" s="155">
        <v>124598</v>
      </c>
      <c r="JI47" s="155">
        <v>341196</v>
      </c>
      <c r="JJ47" s="155">
        <v>3445</v>
      </c>
      <c r="JK47" s="155">
        <v>346769</v>
      </c>
      <c r="JL47" s="155">
        <v>1346995</v>
      </c>
      <c r="JM47" s="155">
        <v>1580722</v>
      </c>
      <c r="JN47" s="155">
        <v>763994</v>
      </c>
    </row>
    <row r="48" spans="1:274" s="155" customFormat="1" x14ac:dyDescent="0.25">
      <c r="A48" s="157" t="s">
        <v>403</v>
      </c>
      <c r="B48" s="157"/>
      <c r="C48" s="157" t="s">
        <v>1078</v>
      </c>
      <c r="D48" s="157"/>
      <c r="E48" s="158"/>
      <c r="F48" s="157"/>
      <c r="G48" s="157" t="s">
        <v>404</v>
      </c>
      <c r="Q48" s="155">
        <v>761083</v>
      </c>
      <c r="AH48" s="155">
        <v>2742112</v>
      </c>
      <c r="AI48" s="155">
        <v>693187</v>
      </c>
      <c r="AJ48" s="155">
        <v>326253</v>
      </c>
      <c r="AK48" s="155">
        <v>343128</v>
      </c>
      <c r="AL48" s="155">
        <v>0</v>
      </c>
      <c r="CU48" s="155">
        <v>17560</v>
      </c>
      <c r="CV48" s="155">
        <v>26087</v>
      </c>
      <c r="CW48" s="155">
        <v>157680</v>
      </c>
      <c r="CX48" s="155">
        <v>162189</v>
      </c>
      <c r="CZ48" s="155">
        <v>2469</v>
      </c>
      <c r="DA48" s="155">
        <v>101062</v>
      </c>
      <c r="DB48" s="155">
        <v>630</v>
      </c>
      <c r="DC48" s="155">
        <v>37790</v>
      </c>
      <c r="DD48" s="155">
        <v>160</v>
      </c>
      <c r="DE48" s="155">
        <v>18692</v>
      </c>
      <c r="DF48" s="155">
        <v>233704</v>
      </c>
      <c r="DG48" s="155">
        <v>21528</v>
      </c>
      <c r="DH48" s="155">
        <v>80653</v>
      </c>
      <c r="DI48" s="155">
        <v>19296</v>
      </c>
      <c r="DJ48" s="155">
        <v>126587</v>
      </c>
      <c r="DK48" s="155">
        <v>16548</v>
      </c>
      <c r="DL48" s="155">
        <v>93952</v>
      </c>
      <c r="DM48" s="155">
        <v>135995</v>
      </c>
      <c r="DN48" s="155">
        <v>15696</v>
      </c>
      <c r="DQ48" s="155">
        <v>71616</v>
      </c>
      <c r="DR48" s="155">
        <v>58768</v>
      </c>
      <c r="DS48" s="155">
        <v>232192</v>
      </c>
      <c r="DT48" s="155">
        <v>103616</v>
      </c>
      <c r="DY48" s="155">
        <v>40208</v>
      </c>
      <c r="DZ48" s="155">
        <v>100879</v>
      </c>
      <c r="EA48" s="155">
        <v>395873</v>
      </c>
      <c r="EB48" s="155">
        <v>348995</v>
      </c>
      <c r="ED48" s="155">
        <v>798</v>
      </c>
      <c r="EE48" s="155">
        <v>303052</v>
      </c>
      <c r="EF48" s="155">
        <v>798</v>
      </c>
      <c r="EG48" s="155">
        <v>70703</v>
      </c>
      <c r="EH48" s="155">
        <v>684</v>
      </c>
      <c r="EI48" s="155">
        <v>41202</v>
      </c>
      <c r="EJ48" s="155">
        <v>533442</v>
      </c>
      <c r="EK48" s="155">
        <v>68005</v>
      </c>
      <c r="EL48" s="155">
        <v>447214</v>
      </c>
      <c r="EM48" s="155">
        <v>192142</v>
      </c>
      <c r="EN48" s="155">
        <v>469388</v>
      </c>
      <c r="EO48" s="155">
        <v>160118</v>
      </c>
      <c r="EP48" s="155">
        <v>321260</v>
      </c>
      <c r="EQ48" s="155">
        <v>347124</v>
      </c>
      <c r="ER48" s="155">
        <v>71507</v>
      </c>
      <c r="EU48" s="155">
        <v>202875</v>
      </c>
      <c r="EV48" s="155">
        <v>84057</v>
      </c>
      <c r="EW48" s="155">
        <v>588408</v>
      </c>
      <c r="EX48" s="155">
        <v>516535</v>
      </c>
      <c r="IO48" s="155">
        <v>1465</v>
      </c>
      <c r="IP48" s="155">
        <v>99263</v>
      </c>
      <c r="IQ48" s="155">
        <v>38827</v>
      </c>
      <c r="IR48" s="155">
        <v>57995</v>
      </c>
      <c r="IT48" s="155">
        <v>2614</v>
      </c>
      <c r="IU48" s="155">
        <v>56018</v>
      </c>
      <c r="IV48" s="155">
        <v>2614</v>
      </c>
      <c r="IW48" s="155">
        <v>32120</v>
      </c>
      <c r="IX48" s="155">
        <v>1476</v>
      </c>
      <c r="IY48" s="155">
        <v>19687</v>
      </c>
      <c r="IZ48" s="155">
        <v>96110</v>
      </c>
      <c r="JA48" s="155">
        <v>13408</v>
      </c>
      <c r="JB48" s="155">
        <v>82514</v>
      </c>
      <c r="JC48" s="155">
        <v>112885</v>
      </c>
      <c r="JD48" s="155">
        <v>155565</v>
      </c>
      <c r="JE48" s="155">
        <v>19558</v>
      </c>
      <c r="JF48" s="155">
        <v>98682</v>
      </c>
      <c r="JG48" s="155">
        <v>167441</v>
      </c>
      <c r="JH48" s="155">
        <v>11865</v>
      </c>
      <c r="JK48" s="155">
        <v>13775</v>
      </c>
      <c r="JL48" s="155">
        <v>53664</v>
      </c>
      <c r="JM48" s="155">
        <v>13922</v>
      </c>
      <c r="JN48" s="155">
        <v>183360</v>
      </c>
    </row>
    <row r="49" spans="1:309" s="155" customFormat="1" ht="15" customHeight="1" x14ac:dyDescent="0.25">
      <c r="A49" s="157" t="s">
        <v>405</v>
      </c>
      <c r="B49" s="157"/>
      <c r="C49" s="157" t="s">
        <v>1078</v>
      </c>
      <c r="D49" s="157"/>
      <c r="E49" s="158"/>
      <c r="F49" s="157"/>
      <c r="G49" s="157" t="s">
        <v>406</v>
      </c>
      <c r="Q49" s="155">
        <v>1046304</v>
      </c>
      <c r="AH49" s="155">
        <v>3173310</v>
      </c>
      <c r="AI49" s="155">
        <v>621926</v>
      </c>
      <c r="AJ49" s="155">
        <v>408807</v>
      </c>
      <c r="AK49" s="155">
        <v>764158</v>
      </c>
      <c r="AL49" s="155">
        <v>0</v>
      </c>
      <c r="CU49" s="155">
        <v>28308</v>
      </c>
      <c r="CV49" s="155">
        <v>166125</v>
      </c>
      <c r="CW49" s="155">
        <v>225648</v>
      </c>
      <c r="CX49" s="155">
        <v>221319</v>
      </c>
      <c r="CZ49" s="155">
        <v>7920</v>
      </c>
      <c r="DA49" s="155">
        <v>35736</v>
      </c>
      <c r="DB49" s="155">
        <v>108864</v>
      </c>
      <c r="DC49" s="155">
        <v>124737</v>
      </c>
      <c r="DD49" s="155">
        <v>1040</v>
      </c>
      <c r="DE49" s="155">
        <v>181094</v>
      </c>
      <c r="DF49" s="155">
        <v>223424</v>
      </c>
      <c r="DG49" s="155">
        <v>24992</v>
      </c>
      <c r="DH49" s="155">
        <v>116129</v>
      </c>
      <c r="DI49" s="155">
        <v>5619</v>
      </c>
      <c r="DJ49" s="155">
        <v>78396</v>
      </c>
      <c r="DL49" s="155">
        <v>143560</v>
      </c>
      <c r="DM49" s="155">
        <v>171904</v>
      </c>
      <c r="DN49" s="155">
        <v>101106</v>
      </c>
      <c r="DO49" s="155">
        <v>14472</v>
      </c>
      <c r="DP49" s="155">
        <v>10496</v>
      </c>
      <c r="DQ49" s="155">
        <v>21296</v>
      </c>
      <c r="DR49" s="155">
        <v>42696</v>
      </c>
      <c r="DS49" s="155">
        <v>258720</v>
      </c>
      <c r="DT49" s="155">
        <v>78576</v>
      </c>
      <c r="DY49" s="155">
        <v>154391</v>
      </c>
      <c r="DZ49" s="155">
        <v>344908</v>
      </c>
      <c r="EA49" s="155">
        <v>578572</v>
      </c>
      <c r="EB49" s="155">
        <v>791740</v>
      </c>
      <c r="ED49" s="155">
        <v>18520</v>
      </c>
      <c r="EE49" s="155">
        <v>100211</v>
      </c>
      <c r="EF49" s="155">
        <v>278913</v>
      </c>
      <c r="EG49" s="155">
        <v>244070</v>
      </c>
      <c r="EH49" s="155">
        <v>3000</v>
      </c>
      <c r="EI49" s="155">
        <v>363946</v>
      </c>
      <c r="EJ49" s="155">
        <v>533882</v>
      </c>
      <c r="EK49" s="155">
        <v>72551</v>
      </c>
      <c r="EL49" s="155">
        <v>551337</v>
      </c>
      <c r="EM49" s="155">
        <v>15100</v>
      </c>
      <c r="EN49" s="155">
        <v>276991</v>
      </c>
      <c r="EP49" s="155">
        <v>338509</v>
      </c>
      <c r="EQ49" s="155">
        <v>374467</v>
      </c>
      <c r="ER49" s="155">
        <v>205454</v>
      </c>
      <c r="ES49" s="155">
        <v>53032</v>
      </c>
      <c r="ET49" s="155">
        <v>22000</v>
      </c>
      <c r="EU49" s="155">
        <v>18900</v>
      </c>
      <c r="EV49" s="155">
        <v>130144</v>
      </c>
      <c r="EW49" s="155">
        <v>637843</v>
      </c>
      <c r="EX49" s="155">
        <v>140533</v>
      </c>
      <c r="IO49" s="155">
        <v>41611</v>
      </c>
      <c r="IP49" s="155">
        <v>34954</v>
      </c>
      <c r="IQ49" s="155">
        <v>51813</v>
      </c>
      <c r="IR49" s="155">
        <v>29237</v>
      </c>
      <c r="IT49" s="155">
        <v>11646</v>
      </c>
      <c r="IU49" s="155">
        <v>31028</v>
      </c>
      <c r="IV49" s="155">
        <v>50323</v>
      </c>
      <c r="IW49" s="155">
        <v>54156</v>
      </c>
      <c r="IX49" s="155">
        <v>0</v>
      </c>
      <c r="IY49" s="155">
        <v>70828</v>
      </c>
      <c r="IZ49" s="155">
        <v>123999</v>
      </c>
      <c r="JA49" s="155">
        <v>356</v>
      </c>
      <c r="JB49" s="155">
        <v>18857</v>
      </c>
      <c r="JC49" s="155">
        <v>0</v>
      </c>
      <c r="JD49" s="155">
        <v>107283</v>
      </c>
      <c r="JF49" s="155">
        <v>2649</v>
      </c>
      <c r="JG49" s="155">
        <v>14386</v>
      </c>
      <c r="JH49" s="155">
        <v>62167</v>
      </c>
      <c r="JI49" s="155">
        <v>6338</v>
      </c>
      <c r="JJ49" s="155">
        <v>0</v>
      </c>
      <c r="JK49" s="155">
        <v>12725</v>
      </c>
      <c r="JL49" s="155">
        <v>39195</v>
      </c>
      <c r="JM49" s="155">
        <v>17831</v>
      </c>
      <c r="JN49" s="155">
        <v>26668</v>
      </c>
    </row>
    <row r="50" spans="1:309" s="155" customFormat="1" x14ac:dyDescent="0.25">
      <c r="A50" s="157" t="s">
        <v>409</v>
      </c>
      <c r="B50" s="157"/>
      <c r="C50" s="157" t="s">
        <v>1078</v>
      </c>
      <c r="D50" s="157"/>
      <c r="E50" s="158"/>
      <c r="F50" s="157"/>
      <c r="G50" s="157" t="s">
        <v>410</v>
      </c>
      <c r="Q50" s="155">
        <v>3233993</v>
      </c>
      <c r="AH50" s="155">
        <v>5722370</v>
      </c>
      <c r="AI50" s="155">
        <v>3532988</v>
      </c>
      <c r="AJ50" s="155">
        <v>633416</v>
      </c>
      <c r="AK50" s="155">
        <v>2941362</v>
      </c>
      <c r="AL50" s="155">
        <v>0</v>
      </c>
      <c r="CV50" s="155">
        <v>41525</v>
      </c>
      <c r="CW50" s="155">
        <v>306592</v>
      </c>
      <c r="CX50" s="155">
        <v>177514</v>
      </c>
      <c r="DA50" s="155">
        <v>117660</v>
      </c>
      <c r="DB50" s="155">
        <v>43792</v>
      </c>
      <c r="DC50" s="155">
        <v>95840</v>
      </c>
      <c r="DD50" s="155">
        <v>1008</v>
      </c>
      <c r="DE50" s="155">
        <v>124720</v>
      </c>
      <c r="DF50" s="155">
        <v>587704</v>
      </c>
      <c r="DG50" s="155">
        <v>133392</v>
      </c>
      <c r="DH50" s="155">
        <v>113008</v>
      </c>
      <c r="DJ50" s="155">
        <v>158747</v>
      </c>
      <c r="DK50" s="155">
        <v>21712</v>
      </c>
      <c r="DL50" s="155">
        <v>88448</v>
      </c>
      <c r="DM50" s="155">
        <v>407145</v>
      </c>
      <c r="DN50" s="155">
        <v>93568</v>
      </c>
      <c r="DO50" s="155">
        <v>17664</v>
      </c>
      <c r="DQ50" s="155">
        <v>63968</v>
      </c>
      <c r="DR50" s="155">
        <v>114328</v>
      </c>
      <c r="DS50" s="155">
        <v>538848</v>
      </c>
      <c r="DT50" s="155">
        <v>201376</v>
      </c>
      <c r="DZ50" s="155">
        <v>132767</v>
      </c>
      <c r="EA50" s="155">
        <v>364265</v>
      </c>
      <c r="EB50" s="155">
        <v>342789</v>
      </c>
      <c r="EE50" s="155">
        <v>107386</v>
      </c>
      <c r="EF50" s="155">
        <v>46873</v>
      </c>
      <c r="EG50" s="155">
        <v>0</v>
      </c>
      <c r="EH50" s="155">
        <v>36420</v>
      </c>
      <c r="EI50" s="155">
        <v>452979</v>
      </c>
      <c r="EJ50" s="155">
        <v>3783600</v>
      </c>
      <c r="EK50" s="155">
        <v>0</v>
      </c>
      <c r="EL50" s="155">
        <v>217058</v>
      </c>
      <c r="EN50" s="155">
        <v>1007937</v>
      </c>
      <c r="EO50" s="155">
        <v>156429</v>
      </c>
      <c r="EP50" s="155">
        <v>29862</v>
      </c>
      <c r="EQ50" s="155">
        <v>59832</v>
      </c>
      <c r="ER50" s="155">
        <v>167404</v>
      </c>
      <c r="ES50" s="155">
        <v>33481</v>
      </c>
      <c r="EU50" s="155">
        <v>126261</v>
      </c>
      <c r="EV50" s="155">
        <v>317435</v>
      </c>
      <c r="EW50" s="155">
        <v>52334</v>
      </c>
      <c r="EX50" s="155">
        <v>657962</v>
      </c>
      <c r="IP50" s="155">
        <v>72606</v>
      </c>
      <c r="IQ50" s="155">
        <v>96700</v>
      </c>
      <c r="IR50" s="155">
        <v>93891</v>
      </c>
      <c r="IU50" s="155">
        <v>73245</v>
      </c>
      <c r="IV50" s="155">
        <v>8157</v>
      </c>
      <c r="IW50" s="155">
        <v>1188</v>
      </c>
      <c r="IX50" s="155">
        <v>8545</v>
      </c>
      <c r="IY50" s="155">
        <v>86392</v>
      </c>
      <c r="IZ50" s="155">
        <v>982908</v>
      </c>
      <c r="JA50" s="155">
        <v>331</v>
      </c>
      <c r="JB50" s="155">
        <v>100298</v>
      </c>
      <c r="JD50" s="155">
        <v>545449</v>
      </c>
      <c r="JE50" s="155">
        <v>40487</v>
      </c>
      <c r="JF50" s="155">
        <v>437</v>
      </c>
      <c r="JG50" s="155">
        <v>18314</v>
      </c>
      <c r="JH50" s="155">
        <v>29130</v>
      </c>
      <c r="JI50" s="155">
        <v>5826</v>
      </c>
      <c r="JK50" s="155">
        <v>45511</v>
      </c>
      <c r="JL50" s="155">
        <v>343628</v>
      </c>
      <c r="JM50" s="155">
        <v>32088</v>
      </c>
      <c r="JN50" s="155">
        <v>68043</v>
      </c>
    </row>
    <row r="51" spans="1:309" s="155" customFormat="1" x14ac:dyDescent="0.25">
      <c r="A51" s="157" t="s">
        <v>429</v>
      </c>
      <c r="B51" s="157"/>
      <c r="C51" s="157" t="s">
        <v>1078</v>
      </c>
      <c r="D51" s="157"/>
      <c r="E51" s="158"/>
      <c r="F51" s="157"/>
      <c r="G51" s="157" t="s">
        <v>430</v>
      </c>
      <c r="Q51" s="155">
        <v>718081</v>
      </c>
      <c r="AH51" s="155">
        <v>3416282</v>
      </c>
      <c r="AI51" s="155">
        <v>1365450</v>
      </c>
      <c r="AJ51" s="155">
        <v>463364</v>
      </c>
      <c r="AK51" s="155">
        <v>457336</v>
      </c>
      <c r="AL51" s="155">
        <v>0</v>
      </c>
      <c r="CU51" s="155">
        <v>24528</v>
      </c>
      <c r="CV51" s="155">
        <v>277531</v>
      </c>
      <c r="CW51" s="155">
        <v>233776</v>
      </c>
      <c r="CX51" s="155">
        <v>269441</v>
      </c>
      <c r="CZ51" s="155">
        <v>35872</v>
      </c>
      <c r="DA51" s="155">
        <v>167160</v>
      </c>
      <c r="DB51" s="155">
        <v>17564</v>
      </c>
      <c r="DC51" s="155">
        <v>72048</v>
      </c>
      <c r="DE51" s="155">
        <v>328944</v>
      </c>
      <c r="DF51" s="155">
        <v>355160</v>
      </c>
      <c r="DG51" s="155">
        <v>49674</v>
      </c>
      <c r="DH51" s="155">
        <v>58820</v>
      </c>
      <c r="DI51" s="155">
        <v>31904</v>
      </c>
      <c r="DJ51" s="155">
        <v>255234</v>
      </c>
      <c r="DM51" s="155">
        <v>289856</v>
      </c>
      <c r="DN51" s="155">
        <v>130036</v>
      </c>
      <c r="DO51" s="155">
        <v>57472</v>
      </c>
      <c r="DP51" s="155">
        <v>16752</v>
      </c>
      <c r="DR51" s="155">
        <v>123660</v>
      </c>
      <c r="DS51" s="155">
        <v>204704</v>
      </c>
      <c r="DT51" s="155">
        <v>54586</v>
      </c>
      <c r="DY51" s="155">
        <v>47428</v>
      </c>
      <c r="DZ51" s="155">
        <v>766079</v>
      </c>
      <c r="EA51" s="155">
        <v>590997</v>
      </c>
      <c r="EB51" s="155">
        <v>517226</v>
      </c>
      <c r="ED51" s="155">
        <v>84046</v>
      </c>
      <c r="EE51" s="155">
        <v>604548</v>
      </c>
      <c r="EF51" s="155">
        <v>135083</v>
      </c>
      <c r="EG51" s="155">
        <v>90314</v>
      </c>
      <c r="EI51" s="155">
        <v>931616</v>
      </c>
      <c r="EJ51" s="155">
        <v>908092</v>
      </c>
      <c r="EK51" s="155">
        <v>41117</v>
      </c>
      <c r="EL51" s="155">
        <v>65953</v>
      </c>
      <c r="EM51" s="155">
        <v>140029</v>
      </c>
      <c r="EN51" s="155">
        <v>996024</v>
      </c>
      <c r="EQ51" s="155">
        <v>591195</v>
      </c>
      <c r="ER51" s="155">
        <v>368262</v>
      </c>
      <c r="ES51" s="155">
        <v>139384</v>
      </c>
      <c r="ET51" s="155">
        <v>47994</v>
      </c>
      <c r="EV51" s="155">
        <v>99223</v>
      </c>
      <c r="EW51" s="155">
        <v>386507</v>
      </c>
      <c r="EX51" s="155">
        <v>127661</v>
      </c>
      <c r="IO51" s="155">
        <v>67326</v>
      </c>
      <c r="IP51" s="155">
        <v>438911</v>
      </c>
      <c r="IQ51" s="155">
        <v>277219</v>
      </c>
      <c r="IR51" s="155">
        <v>285963</v>
      </c>
      <c r="IT51" s="155">
        <v>48392</v>
      </c>
      <c r="IU51" s="155">
        <v>194327</v>
      </c>
      <c r="IV51" s="155">
        <v>52167</v>
      </c>
      <c r="IW51" s="155">
        <v>133940</v>
      </c>
      <c r="IY51" s="155">
        <v>479402</v>
      </c>
      <c r="IZ51" s="155">
        <v>360862</v>
      </c>
      <c r="JA51" s="155">
        <v>63672</v>
      </c>
      <c r="JB51" s="155">
        <v>54041</v>
      </c>
      <c r="JC51" s="155">
        <v>67957</v>
      </c>
      <c r="JD51" s="155">
        <v>400858</v>
      </c>
      <c r="JG51" s="155">
        <v>361909</v>
      </c>
      <c r="JH51" s="155">
        <v>159916</v>
      </c>
      <c r="JI51" s="155">
        <v>101478</v>
      </c>
      <c r="JJ51" s="155">
        <v>23028</v>
      </c>
      <c r="JL51" s="155">
        <v>168406</v>
      </c>
      <c r="JM51" s="155">
        <v>217920</v>
      </c>
      <c r="JN51" s="155">
        <v>73566</v>
      </c>
    </row>
    <row r="52" spans="1:309" s="155" customFormat="1" x14ac:dyDescent="0.25">
      <c r="A52" s="157" t="s">
        <v>1080</v>
      </c>
      <c r="B52" s="157"/>
      <c r="C52" s="157" t="s">
        <v>1078</v>
      </c>
      <c r="D52" s="157"/>
      <c r="E52" s="158"/>
      <c r="F52" s="157"/>
      <c r="G52" s="157" t="s">
        <v>457</v>
      </c>
      <c r="Q52" s="155">
        <v>131829</v>
      </c>
      <c r="AH52" s="155">
        <v>1102746</v>
      </c>
      <c r="AI52" s="155">
        <v>528766</v>
      </c>
      <c r="AJ52" s="155">
        <v>134070</v>
      </c>
      <c r="AK52" s="155">
        <v>466122</v>
      </c>
      <c r="AL52" s="155">
        <v>0</v>
      </c>
      <c r="CU52" s="155">
        <v>1824</v>
      </c>
      <c r="CV52" s="155">
        <v>49990</v>
      </c>
      <c r="CW52" s="155">
        <v>13680</v>
      </c>
      <c r="CX52" s="155">
        <v>14932</v>
      </c>
      <c r="CZ52" s="155">
        <v>3396</v>
      </c>
      <c r="DA52" s="155">
        <v>94007</v>
      </c>
      <c r="DB52" s="155">
        <v>27164</v>
      </c>
      <c r="DE52" s="155">
        <v>151161</v>
      </c>
      <c r="DF52" s="155">
        <v>69648</v>
      </c>
      <c r="DM52" s="155">
        <v>45520</v>
      </c>
      <c r="DN52" s="155">
        <v>1440</v>
      </c>
      <c r="DO52" s="155">
        <v>22688</v>
      </c>
      <c r="DP52" s="155">
        <v>8958</v>
      </c>
      <c r="DR52" s="155">
        <v>3296</v>
      </c>
      <c r="DS52" s="155">
        <v>10848</v>
      </c>
      <c r="DT52" s="155">
        <v>1344</v>
      </c>
      <c r="DY52" s="155">
        <v>7401</v>
      </c>
      <c r="DZ52" s="155">
        <v>202834</v>
      </c>
      <c r="EA52" s="155">
        <v>55507</v>
      </c>
      <c r="EB52" s="155">
        <v>20540</v>
      </c>
      <c r="ED52" s="155">
        <v>13779</v>
      </c>
      <c r="EE52" s="155">
        <v>129312</v>
      </c>
      <c r="EF52" s="155">
        <v>110218</v>
      </c>
      <c r="EI52" s="155">
        <v>613335</v>
      </c>
      <c r="EJ52" s="155">
        <v>206547</v>
      </c>
      <c r="EQ52" s="155">
        <v>134994</v>
      </c>
      <c r="ER52" s="155">
        <v>5204</v>
      </c>
      <c r="ES52" s="155">
        <v>81994</v>
      </c>
      <c r="ET52" s="155">
        <v>36347</v>
      </c>
      <c r="EV52" s="155">
        <v>4534</v>
      </c>
      <c r="EW52" s="155">
        <v>25375</v>
      </c>
      <c r="EX52" s="155">
        <v>1849</v>
      </c>
      <c r="IO52" s="155">
        <v>3113</v>
      </c>
      <c r="IP52" s="155">
        <v>85291</v>
      </c>
      <c r="IQ52" s="155">
        <v>23340</v>
      </c>
      <c r="IR52" s="155">
        <v>17149</v>
      </c>
      <c r="IT52" s="155">
        <v>5795</v>
      </c>
      <c r="IU52" s="155">
        <v>107976</v>
      </c>
      <c r="IV52" s="155">
        <v>46347</v>
      </c>
      <c r="IY52" s="155">
        <v>257907</v>
      </c>
      <c r="IZ52" s="155">
        <v>58018</v>
      </c>
      <c r="JG52" s="155">
        <v>37918</v>
      </c>
      <c r="JH52" s="155">
        <v>2197</v>
      </c>
      <c r="JI52" s="155">
        <v>34608</v>
      </c>
      <c r="JJ52" s="155">
        <v>15284</v>
      </c>
      <c r="JL52" s="155">
        <v>3786</v>
      </c>
      <c r="JM52" s="155">
        <v>5010</v>
      </c>
      <c r="JN52" s="155">
        <v>1543</v>
      </c>
    </row>
    <row r="53" spans="1:309" s="155" customFormat="1" x14ac:dyDescent="0.25">
      <c r="A53" s="157" t="s">
        <v>407</v>
      </c>
      <c r="B53" s="157"/>
      <c r="C53" s="157" t="s">
        <v>1078</v>
      </c>
      <c r="D53" s="157"/>
      <c r="E53" s="158"/>
      <c r="F53" s="157"/>
      <c r="G53" s="157" t="s">
        <v>408</v>
      </c>
      <c r="Q53" s="155">
        <v>976421</v>
      </c>
      <c r="AH53" s="155">
        <v>4051552</v>
      </c>
      <c r="AI53" s="155">
        <v>1803573</v>
      </c>
      <c r="AJ53" s="155">
        <v>435743</v>
      </c>
      <c r="AK53" s="155">
        <v>743827</v>
      </c>
      <c r="AL53" s="155">
        <v>0</v>
      </c>
      <c r="CU53" s="155">
        <v>78816</v>
      </c>
      <c r="CV53" s="155">
        <v>313112</v>
      </c>
      <c r="CW53" s="155">
        <v>67810</v>
      </c>
      <c r="CX53" s="155">
        <v>385883</v>
      </c>
      <c r="CY53" s="155">
        <v>87392</v>
      </c>
      <c r="CZ53" s="155">
        <v>125616</v>
      </c>
      <c r="DA53" s="155">
        <v>372668</v>
      </c>
      <c r="DB53" s="155">
        <v>121716</v>
      </c>
      <c r="DC53" s="155">
        <v>67135</v>
      </c>
      <c r="DD53" s="155">
        <v>1608</v>
      </c>
      <c r="DE53" s="155">
        <v>701498</v>
      </c>
      <c r="DF53" s="155">
        <v>285704</v>
      </c>
      <c r="DG53" s="155">
        <v>2072</v>
      </c>
      <c r="DH53" s="155">
        <v>155552</v>
      </c>
      <c r="DJ53" s="155">
        <v>41616</v>
      </c>
      <c r="DM53" s="155">
        <v>192688</v>
      </c>
      <c r="DN53" s="155">
        <v>387940</v>
      </c>
      <c r="DO53" s="155">
        <v>282744</v>
      </c>
      <c r="DP53" s="155">
        <v>52096</v>
      </c>
      <c r="DQ53" s="155">
        <v>208</v>
      </c>
      <c r="DR53" s="155">
        <v>26656</v>
      </c>
      <c r="DS53" s="155">
        <v>73025</v>
      </c>
      <c r="DT53" s="155">
        <v>185604</v>
      </c>
      <c r="DY53" s="155">
        <v>276426</v>
      </c>
      <c r="DZ53" s="155">
        <v>858521</v>
      </c>
      <c r="EA53" s="155">
        <v>276593</v>
      </c>
      <c r="EB53" s="155">
        <v>200222</v>
      </c>
      <c r="EC53" s="155">
        <v>450516</v>
      </c>
      <c r="ED53" s="155">
        <v>340326</v>
      </c>
      <c r="EE53" s="155">
        <v>1909722</v>
      </c>
      <c r="EF53" s="155">
        <v>536809</v>
      </c>
      <c r="EG53" s="155">
        <v>164622</v>
      </c>
      <c r="EH53" s="155">
        <v>8299</v>
      </c>
      <c r="EI53" s="155">
        <v>3267615</v>
      </c>
      <c r="EJ53" s="155">
        <v>805221</v>
      </c>
      <c r="EK53" s="155">
        <v>4324</v>
      </c>
      <c r="EL53" s="155">
        <v>256887</v>
      </c>
      <c r="EN53" s="155">
        <v>26662</v>
      </c>
      <c r="EQ53" s="155">
        <v>544288</v>
      </c>
      <c r="ER53" s="155">
        <v>914460</v>
      </c>
      <c r="ES53" s="155">
        <v>745618</v>
      </c>
      <c r="ET53" s="155">
        <v>17211</v>
      </c>
      <c r="EU53" s="155">
        <v>1090</v>
      </c>
      <c r="EV53" s="155">
        <v>13964</v>
      </c>
      <c r="EW53" s="155">
        <v>209600</v>
      </c>
      <c r="EX53" s="155">
        <v>444042</v>
      </c>
      <c r="IO53" s="155">
        <v>114144</v>
      </c>
      <c r="IP53" s="155">
        <v>519928</v>
      </c>
      <c r="IQ53" s="155">
        <v>114313</v>
      </c>
      <c r="IR53" s="155">
        <v>298643</v>
      </c>
      <c r="IS53" s="155">
        <v>1028178</v>
      </c>
      <c r="IT53" s="155">
        <v>187164</v>
      </c>
      <c r="IU53" s="155">
        <v>745952</v>
      </c>
      <c r="IV53" s="155">
        <v>249244</v>
      </c>
      <c r="IW53" s="155">
        <v>118015</v>
      </c>
      <c r="IX53" s="155">
        <v>3866</v>
      </c>
      <c r="IY53" s="155">
        <v>1451250</v>
      </c>
      <c r="IZ53" s="155">
        <v>442212</v>
      </c>
      <c r="JA53" s="155">
        <v>1729</v>
      </c>
      <c r="JB53" s="155">
        <v>232901</v>
      </c>
      <c r="JD53" s="155">
        <v>33414</v>
      </c>
      <c r="JG53" s="155">
        <v>305795</v>
      </c>
      <c r="JH53" s="155">
        <v>591679</v>
      </c>
      <c r="JI53" s="155">
        <v>461667</v>
      </c>
      <c r="JJ53" s="155">
        <v>40100</v>
      </c>
      <c r="JK53" s="155">
        <v>693</v>
      </c>
      <c r="JL53" s="155">
        <v>20718</v>
      </c>
      <c r="JM53" s="155">
        <v>123108</v>
      </c>
      <c r="JN53" s="155">
        <v>342169</v>
      </c>
    </row>
    <row r="54" spans="1:309" s="155" customFormat="1" x14ac:dyDescent="0.25">
      <c r="A54" s="157" t="s">
        <v>435</v>
      </c>
      <c r="B54" s="157"/>
      <c r="C54" s="157" t="s">
        <v>1078</v>
      </c>
      <c r="D54" s="157"/>
      <c r="E54" s="158"/>
      <c r="F54" s="157"/>
      <c r="G54" s="157" t="s">
        <v>436</v>
      </c>
      <c r="Q54" s="155">
        <v>404356</v>
      </c>
      <c r="AH54" s="155">
        <v>2134096</v>
      </c>
      <c r="AI54" s="155">
        <v>1432672</v>
      </c>
      <c r="AJ54" s="155">
        <v>177959</v>
      </c>
      <c r="AK54" s="155">
        <v>267443</v>
      </c>
      <c r="AL54" s="155">
        <v>0</v>
      </c>
      <c r="CV54" s="155">
        <v>110268</v>
      </c>
      <c r="CW54" s="155">
        <v>14112</v>
      </c>
      <c r="CX54" s="155">
        <v>299016</v>
      </c>
      <c r="CY54" s="155">
        <v>3097</v>
      </c>
      <c r="CZ54" s="155">
        <v>46346</v>
      </c>
      <c r="DA54" s="155">
        <v>251945</v>
      </c>
      <c r="DB54" s="155">
        <v>16913</v>
      </c>
      <c r="DC54" s="155">
        <v>48</v>
      </c>
      <c r="DE54" s="155">
        <v>94276</v>
      </c>
      <c r="DF54" s="155">
        <v>124064</v>
      </c>
      <c r="DG54" s="155">
        <v>784</v>
      </c>
      <c r="DH54" s="155">
        <v>35081</v>
      </c>
      <c r="DJ54" s="155">
        <v>260096</v>
      </c>
      <c r="DK54" s="155">
        <v>416</v>
      </c>
      <c r="DL54" s="155">
        <v>190818</v>
      </c>
      <c r="DM54" s="155">
        <v>70704</v>
      </c>
      <c r="DN54" s="155">
        <v>105264</v>
      </c>
      <c r="DO54" s="155">
        <v>131248</v>
      </c>
      <c r="DP54" s="155">
        <v>17480</v>
      </c>
      <c r="DR54" s="155">
        <v>51896</v>
      </c>
      <c r="DS54" s="155">
        <v>22032</v>
      </c>
      <c r="DT54" s="155">
        <v>85024</v>
      </c>
      <c r="DZ54" s="155">
        <v>397336</v>
      </c>
      <c r="EA54" s="155">
        <v>67096</v>
      </c>
      <c r="EB54" s="155">
        <v>755926</v>
      </c>
      <c r="EC54" s="155">
        <v>76533</v>
      </c>
      <c r="ED54" s="155">
        <v>94622</v>
      </c>
      <c r="EE54" s="155">
        <v>495531</v>
      </c>
      <c r="EF54" s="155">
        <v>46668</v>
      </c>
      <c r="EG54" s="155">
        <v>0</v>
      </c>
      <c r="EI54" s="155">
        <v>510917</v>
      </c>
      <c r="EJ54" s="155">
        <v>302925</v>
      </c>
      <c r="EK54" s="155">
        <v>2</v>
      </c>
      <c r="EL54" s="155">
        <v>127721</v>
      </c>
      <c r="EN54" s="155">
        <v>406195</v>
      </c>
      <c r="EO54" s="155">
        <v>1200</v>
      </c>
      <c r="EP54" s="155">
        <v>338747</v>
      </c>
      <c r="EQ54" s="155">
        <v>236564</v>
      </c>
      <c r="ER54" s="155">
        <v>258219</v>
      </c>
      <c r="ES54" s="155">
        <v>423546</v>
      </c>
      <c r="ET54" s="155">
        <v>89901</v>
      </c>
      <c r="EV54" s="155">
        <v>102956</v>
      </c>
      <c r="EW54" s="155">
        <v>48422</v>
      </c>
      <c r="EX54" s="155">
        <v>282860</v>
      </c>
      <c r="IP54" s="155">
        <v>137587</v>
      </c>
      <c r="IQ54" s="155">
        <v>14978</v>
      </c>
      <c r="IR54" s="155">
        <v>341017</v>
      </c>
      <c r="IS54" s="155">
        <v>188768</v>
      </c>
      <c r="IT54" s="155">
        <v>53541</v>
      </c>
      <c r="IU54" s="155">
        <v>433122</v>
      </c>
      <c r="IV54" s="155">
        <v>14753</v>
      </c>
      <c r="IW54" s="155">
        <v>213</v>
      </c>
      <c r="IY54" s="155">
        <v>120680</v>
      </c>
      <c r="IZ54" s="155">
        <v>136329</v>
      </c>
      <c r="JA54" s="155">
        <v>3413</v>
      </c>
      <c r="JB54" s="155">
        <v>47604</v>
      </c>
      <c r="JD54" s="155">
        <v>214312</v>
      </c>
      <c r="JE54" s="155">
        <v>1363</v>
      </c>
      <c r="JF54" s="155">
        <v>208896</v>
      </c>
      <c r="JG54" s="155">
        <v>81056</v>
      </c>
      <c r="JH54" s="155">
        <v>127193</v>
      </c>
      <c r="JI54" s="155">
        <v>169169</v>
      </c>
      <c r="JJ54" s="155">
        <v>26478</v>
      </c>
      <c r="JL54" s="155">
        <v>39453</v>
      </c>
      <c r="JM54" s="155">
        <v>16390</v>
      </c>
      <c r="JN54" s="155">
        <v>110599</v>
      </c>
    </row>
    <row r="55" spans="1:309" s="155" customFormat="1" x14ac:dyDescent="0.25">
      <c r="A55" s="157" t="s">
        <v>370</v>
      </c>
      <c r="B55" s="157"/>
      <c r="C55" s="157" t="s">
        <v>1078</v>
      </c>
      <c r="D55" s="157"/>
      <c r="E55" s="158"/>
      <c r="F55" s="157"/>
      <c r="G55" s="157" t="s">
        <v>371</v>
      </c>
      <c r="Q55" s="155">
        <v>1584212</v>
      </c>
      <c r="AH55" s="155">
        <v>2296055</v>
      </c>
      <c r="AI55" s="155">
        <v>1317393</v>
      </c>
      <c r="AJ55" s="155">
        <v>616249</v>
      </c>
      <c r="AK55" s="155">
        <v>914514</v>
      </c>
      <c r="AL55" s="155">
        <v>242698</v>
      </c>
      <c r="CU55" s="155">
        <v>86724</v>
      </c>
      <c r="CV55" s="155">
        <v>192540</v>
      </c>
      <c r="CW55" s="155">
        <v>266704</v>
      </c>
      <c r="CX55" s="155">
        <v>173639</v>
      </c>
      <c r="CZ55" s="155">
        <v>12064</v>
      </c>
      <c r="DA55" s="155">
        <v>296114</v>
      </c>
      <c r="DB55" s="155">
        <v>51416</v>
      </c>
      <c r="DC55" s="155">
        <v>230395</v>
      </c>
      <c r="DE55" s="155">
        <v>120512</v>
      </c>
      <c r="DF55" s="155">
        <v>383194</v>
      </c>
      <c r="DG55" s="155">
        <v>29496</v>
      </c>
      <c r="DH55" s="155">
        <v>152793</v>
      </c>
      <c r="DJ55" s="155">
        <v>125542</v>
      </c>
      <c r="DL55" s="155">
        <v>75056</v>
      </c>
      <c r="DM55" s="155">
        <v>254246</v>
      </c>
      <c r="DN55" s="155">
        <v>84192</v>
      </c>
      <c r="DQ55" s="155">
        <v>61872</v>
      </c>
      <c r="DR55" s="155">
        <v>85376</v>
      </c>
      <c r="DS55" s="155">
        <v>372432</v>
      </c>
      <c r="DT55" s="155">
        <v>113662</v>
      </c>
      <c r="DY55" s="155">
        <v>195662</v>
      </c>
      <c r="DZ55" s="155">
        <v>458970</v>
      </c>
      <c r="EA55" s="155">
        <v>663569</v>
      </c>
      <c r="EB55" s="155">
        <v>647416</v>
      </c>
      <c r="ED55" s="155">
        <v>36057</v>
      </c>
      <c r="EE55" s="155">
        <v>381771</v>
      </c>
      <c r="EF55" s="155">
        <v>57091</v>
      </c>
      <c r="EG55" s="155">
        <v>348056</v>
      </c>
      <c r="EI55" s="155">
        <v>158904</v>
      </c>
      <c r="EJ55" s="155">
        <v>924741</v>
      </c>
      <c r="EK55" s="155">
        <v>73656</v>
      </c>
      <c r="EL55" s="155">
        <v>574384</v>
      </c>
      <c r="EN55" s="155">
        <v>210907</v>
      </c>
      <c r="EP55" s="155">
        <v>205919</v>
      </c>
      <c r="EQ55" s="155">
        <v>610393</v>
      </c>
      <c r="ER55" s="155">
        <v>163553</v>
      </c>
      <c r="EU55" s="155">
        <v>193102</v>
      </c>
      <c r="EV55" s="155">
        <v>141039</v>
      </c>
      <c r="EW55" s="155">
        <v>808898</v>
      </c>
      <c r="EX55" s="155">
        <v>358517</v>
      </c>
      <c r="IO55" s="155">
        <v>52551</v>
      </c>
      <c r="IP55" s="155">
        <v>62070</v>
      </c>
      <c r="IQ55" s="155">
        <v>43784</v>
      </c>
      <c r="IR55" s="155">
        <v>87189</v>
      </c>
      <c r="IT55" s="155">
        <v>14194</v>
      </c>
      <c r="IU55" s="155">
        <v>75286</v>
      </c>
      <c r="IV55" s="155">
        <v>11830</v>
      </c>
      <c r="IW55" s="155">
        <v>77713</v>
      </c>
      <c r="IY55" s="155">
        <v>21210</v>
      </c>
      <c r="IZ55" s="155">
        <v>63143</v>
      </c>
      <c r="JA55" s="155">
        <v>6588</v>
      </c>
      <c r="JB55" s="155">
        <v>40453</v>
      </c>
      <c r="JD55" s="155">
        <v>40670</v>
      </c>
      <c r="JF55" s="155">
        <v>19376</v>
      </c>
      <c r="JG55" s="155">
        <v>31889</v>
      </c>
      <c r="JH55" s="155">
        <v>15703</v>
      </c>
      <c r="JK55" s="155">
        <v>15859</v>
      </c>
      <c r="JL55" s="155">
        <v>3254</v>
      </c>
      <c r="JM55" s="155">
        <v>71449</v>
      </c>
      <c r="JN55" s="155">
        <v>50873</v>
      </c>
    </row>
    <row r="56" spans="1:309" s="155" customFormat="1" x14ac:dyDescent="0.25">
      <c r="A56" s="157" t="s">
        <v>411</v>
      </c>
      <c r="B56" s="157"/>
      <c r="C56" s="157" t="s">
        <v>1078</v>
      </c>
      <c r="D56" s="157"/>
      <c r="E56" s="158"/>
      <c r="F56" s="157"/>
      <c r="G56" s="157" t="s">
        <v>412</v>
      </c>
      <c r="Q56" s="155">
        <v>1401792</v>
      </c>
      <c r="AH56" s="155">
        <v>4443377</v>
      </c>
      <c r="AI56" s="155">
        <v>3229110</v>
      </c>
      <c r="AJ56" s="155">
        <v>846256</v>
      </c>
      <c r="AK56" s="155">
        <v>1187563</v>
      </c>
      <c r="AL56" s="155">
        <v>0</v>
      </c>
      <c r="CU56" s="155">
        <v>39408</v>
      </c>
      <c r="CV56" s="155">
        <v>77540</v>
      </c>
      <c r="CW56" s="155">
        <v>591857</v>
      </c>
      <c r="CX56" s="155">
        <v>456772</v>
      </c>
      <c r="CZ56" s="155">
        <v>17412</v>
      </c>
      <c r="DA56" s="155">
        <v>98401</v>
      </c>
      <c r="DC56" s="155">
        <v>77670</v>
      </c>
      <c r="DD56" s="155">
        <v>1984</v>
      </c>
      <c r="DE56" s="155">
        <v>116735</v>
      </c>
      <c r="DF56" s="155">
        <v>619432</v>
      </c>
      <c r="DG56" s="155">
        <v>34044</v>
      </c>
      <c r="DH56" s="155">
        <v>161340</v>
      </c>
      <c r="DI56" s="155">
        <v>39708</v>
      </c>
      <c r="DJ56" s="155">
        <v>354316</v>
      </c>
      <c r="DK56" s="155">
        <v>49344</v>
      </c>
      <c r="DL56" s="155">
        <v>190368</v>
      </c>
      <c r="DM56" s="155">
        <v>581812</v>
      </c>
      <c r="DN56" s="155">
        <v>75881</v>
      </c>
      <c r="DO56" s="155">
        <v>24000</v>
      </c>
      <c r="DP56" s="155">
        <v>3184</v>
      </c>
      <c r="DQ56" s="155">
        <v>114393</v>
      </c>
      <c r="DR56" s="155">
        <v>95808</v>
      </c>
      <c r="DS56" s="155">
        <v>666288</v>
      </c>
      <c r="DT56" s="155">
        <v>251224</v>
      </c>
      <c r="DY56" s="155">
        <v>41756</v>
      </c>
      <c r="DZ56" s="155">
        <v>418112</v>
      </c>
      <c r="EA56" s="155">
        <v>1141232</v>
      </c>
      <c r="EB56" s="155">
        <v>659151</v>
      </c>
      <c r="ED56" s="155">
        <v>73132</v>
      </c>
      <c r="EE56" s="155">
        <v>822394</v>
      </c>
      <c r="EG56" s="155">
        <v>110102</v>
      </c>
      <c r="EH56" s="155">
        <v>0</v>
      </c>
      <c r="EI56" s="155">
        <v>161301</v>
      </c>
      <c r="EJ56" s="155">
        <v>1307994</v>
      </c>
      <c r="EK56" s="155">
        <v>113693</v>
      </c>
      <c r="EL56" s="155">
        <v>765015</v>
      </c>
      <c r="EM56" s="155">
        <v>302952</v>
      </c>
      <c r="EN56" s="155">
        <v>892129</v>
      </c>
      <c r="EO56" s="155">
        <v>214893</v>
      </c>
      <c r="EP56" s="155">
        <v>552726</v>
      </c>
      <c r="EQ56" s="155">
        <v>1254731</v>
      </c>
      <c r="ER56" s="155">
        <v>330892</v>
      </c>
      <c r="ES56" s="155">
        <v>18630</v>
      </c>
      <c r="ET56" s="155">
        <v>186</v>
      </c>
      <c r="EU56" s="155">
        <v>668367</v>
      </c>
      <c r="EV56" s="155">
        <v>139412</v>
      </c>
      <c r="EW56" s="155">
        <v>1457551</v>
      </c>
      <c r="EX56" s="155">
        <v>979020</v>
      </c>
      <c r="IO56" s="155">
        <v>13766</v>
      </c>
      <c r="IP56" s="155">
        <v>160419</v>
      </c>
      <c r="IQ56" s="155">
        <v>439520</v>
      </c>
      <c r="IR56" s="155">
        <v>120071</v>
      </c>
      <c r="IT56" s="155">
        <v>13585</v>
      </c>
      <c r="IU56" s="155">
        <v>59412</v>
      </c>
      <c r="IW56" s="155">
        <v>34796</v>
      </c>
      <c r="IX56" s="155">
        <v>397</v>
      </c>
      <c r="IY56" s="155">
        <v>49039</v>
      </c>
      <c r="IZ56" s="155">
        <v>227055</v>
      </c>
      <c r="JA56" s="155">
        <v>11946</v>
      </c>
      <c r="JB56" s="155">
        <v>121304</v>
      </c>
      <c r="JC56" s="155">
        <v>89389</v>
      </c>
      <c r="JD56" s="155">
        <v>187424</v>
      </c>
      <c r="JE56" s="155">
        <v>30412</v>
      </c>
      <c r="JF56" s="155">
        <v>77940</v>
      </c>
      <c r="JG56" s="155">
        <v>271291</v>
      </c>
      <c r="JH56" s="155">
        <v>60295</v>
      </c>
      <c r="JI56" s="155">
        <v>786844</v>
      </c>
      <c r="JJ56" s="155">
        <v>675</v>
      </c>
      <c r="JK56" s="155">
        <v>51138</v>
      </c>
      <c r="JL56" s="155">
        <v>37162</v>
      </c>
      <c r="JM56" s="155">
        <v>188049</v>
      </c>
      <c r="JN56" s="155">
        <v>323497</v>
      </c>
    </row>
    <row r="57" spans="1:309" s="155" customFormat="1" x14ac:dyDescent="0.25">
      <c r="A57" s="157" t="s">
        <v>437</v>
      </c>
      <c r="B57" s="157"/>
      <c r="C57" s="157" t="s">
        <v>1078</v>
      </c>
      <c r="D57" s="157"/>
      <c r="E57" s="158"/>
      <c r="F57" s="157"/>
      <c r="G57" s="157" t="s">
        <v>438</v>
      </c>
      <c r="Q57" s="155">
        <v>0</v>
      </c>
      <c r="AH57" s="155">
        <v>1384615</v>
      </c>
      <c r="AI57" s="155">
        <v>809657</v>
      </c>
      <c r="AJ57" s="155">
        <v>325456</v>
      </c>
      <c r="AK57" s="155">
        <v>1186906</v>
      </c>
      <c r="AL57" s="155">
        <v>19307</v>
      </c>
      <c r="CU57" s="155">
        <v>15760</v>
      </c>
      <c r="CV57" s="155">
        <v>42064</v>
      </c>
      <c r="CW57" s="155">
        <v>87168</v>
      </c>
      <c r="CX57" s="155">
        <v>112309</v>
      </c>
      <c r="DA57" s="155">
        <v>103110</v>
      </c>
      <c r="DC57" s="155">
        <v>121453</v>
      </c>
      <c r="DE57" s="155">
        <v>42983</v>
      </c>
      <c r="DF57" s="155">
        <v>146192</v>
      </c>
      <c r="DG57" s="155">
        <v>21008</v>
      </c>
      <c r="DH57" s="155">
        <v>92742</v>
      </c>
      <c r="DJ57" s="155">
        <v>124751</v>
      </c>
      <c r="DL57" s="155">
        <v>220848</v>
      </c>
      <c r="DM57" s="155">
        <v>89152</v>
      </c>
      <c r="DN57" s="155">
        <v>14880</v>
      </c>
      <c r="DO57" s="155">
        <v>14336</v>
      </c>
      <c r="DP57" s="155">
        <v>4464</v>
      </c>
      <c r="DQ57" s="155">
        <v>22944</v>
      </c>
      <c r="DR57" s="155">
        <v>106314</v>
      </c>
      <c r="DS57" s="155">
        <v>142272</v>
      </c>
      <c r="DT57" s="155">
        <v>28289</v>
      </c>
      <c r="DY57" s="155">
        <v>49131</v>
      </c>
      <c r="DZ57" s="155">
        <v>234707</v>
      </c>
      <c r="EA57" s="155">
        <v>174191</v>
      </c>
      <c r="EB57" s="155">
        <v>265948</v>
      </c>
      <c r="EE57" s="155">
        <v>209160</v>
      </c>
      <c r="EG57" s="155">
        <v>176213</v>
      </c>
      <c r="EI57" s="155">
        <v>66696</v>
      </c>
      <c r="EJ57" s="155">
        <v>362847</v>
      </c>
      <c r="EK57" s="155">
        <v>47069</v>
      </c>
      <c r="EL57" s="155">
        <v>335394</v>
      </c>
      <c r="EN57" s="155">
        <v>170206</v>
      </c>
      <c r="EP57" s="155">
        <v>577586</v>
      </c>
      <c r="EQ57" s="155">
        <v>203039</v>
      </c>
      <c r="ER57" s="155">
        <v>55164</v>
      </c>
      <c r="ES57" s="155">
        <v>13995</v>
      </c>
      <c r="ET57" s="155">
        <v>7440</v>
      </c>
      <c r="EU57" s="155">
        <v>58741</v>
      </c>
      <c r="EV57" s="155">
        <v>231024</v>
      </c>
      <c r="EW57" s="155">
        <v>270128</v>
      </c>
      <c r="EX57" s="155">
        <v>70067</v>
      </c>
      <c r="IO57" s="155">
        <v>7417</v>
      </c>
      <c r="IP57" s="155">
        <v>55106</v>
      </c>
      <c r="IQ57" s="155">
        <v>27790</v>
      </c>
      <c r="IR57" s="155">
        <v>28512</v>
      </c>
      <c r="IU57" s="155">
        <v>41919</v>
      </c>
      <c r="IW57" s="155">
        <v>34379</v>
      </c>
      <c r="IY57" s="155">
        <v>12872</v>
      </c>
      <c r="IZ57" s="155">
        <v>35447</v>
      </c>
      <c r="JA57" s="155">
        <v>2777</v>
      </c>
      <c r="JB57" s="155">
        <v>40544</v>
      </c>
      <c r="JD57" s="155">
        <v>22399</v>
      </c>
      <c r="JF57" s="155">
        <v>51782</v>
      </c>
      <c r="JG57" s="155">
        <v>19462</v>
      </c>
      <c r="JH57" s="155">
        <v>14948</v>
      </c>
      <c r="JI57" s="155">
        <v>51027</v>
      </c>
      <c r="JJ57" s="155">
        <v>1113</v>
      </c>
      <c r="JK57" s="155">
        <v>5411</v>
      </c>
      <c r="JL57" s="155">
        <v>42219</v>
      </c>
      <c r="JM57" s="155">
        <v>23047</v>
      </c>
      <c r="JN57" s="155">
        <v>8441</v>
      </c>
    </row>
    <row r="58" spans="1:309" s="155" customFormat="1" x14ac:dyDescent="0.25">
      <c r="A58" s="157" t="s">
        <v>413</v>
      </c>
      <c r="B58" s="157"/>
      <c r="C58" s="157" t="s">
        <v>1078</v>
      </c>
      <c r="D58" s="157"/>
      <c r="E58" s="158"/>
      <c r="F58" s="157"/>
      <c r="G58" s="157" t="s">
        <v>414</v>
      </c>
      <c r="Q58" s="155">
        <v>1088435</v>
      </c>
      <c r="AH58" s="155">
        <v>2099410</v>
      </c>
      <c r="AI58" s="155">
        <v>1029014</v>
      </c>
      <c r="AJ58" s="155">
        <v>599327</v>
      </c>
      <c r="AK58" s="155">
        <v>483314</v>
      </c>
      <c r="AL58" s="155">
        <v>0</v>
      </c>
      <c r="CU58" s="155">
        <v>3978</v>
      </c>
      <c r="CV58" s="155">
        <v>46936</v>
      </c>
      <c r="CW58" s="155">
        <v>203952</v>
      </c>
      <c r="CX58" s="155">
        <v>99240</v>
      </c>
      <c r="CZ58" s="155">
        <v>5504</v>
      </c>
      <c r="DA58" s="155">
        <v>96456</v>
      </c>
      <c r="DB58" s="155">
        <v>2784</v>
      </c>
      <c r="DC58" s="155">
        <v>52359</v>
      </c>
      <c r="DE58" s="155">
        <v>33684</v>
      </c>
      <c r="DF58" s="155">
        <v>201276</v>
      </c>
      <c r="DG58" s="155">
        <v>13630</v>
      </c>
      <c r="DH58" s="155">
        <v>93546</v>
      </c>
      <c r="DJ58" s="155">
        <v>128627</v>
      </c>
      <c r="DK58" s="155">
        <v>28048</v>
      </c>
      <c r="DL58" s="155">
        <v>237984</v>
      </c>
      <c r="DM58" s="155">
        <v>143616</v>
      </c>
      <c r="DO58" s="155">
        <v>1344</v>
      </c>
      <c r="DQ58" s="155">
        <v>51936</v>
      </c>
      <c r="DR58" s="155">
        <v>62517</v>
      </c>
      <c r="DS58" s="155">
        <v>263712</v>
      </c>
      <c r="DT58" s="155">
        <v>61184</v>
      </c>
      <c r="DY58" s="155">
        <v>15255</v>
      </c>
      <c r="DZ58" s="155">
        <v>141838</v>
      </c>
      <c r="EA58" s="155">
        <v>694294</v>
      </c>
      <c r="EB58" s="155">
        <v>317653</v>
      </c>
      <c r="ED58" s="155">
        <v>28402</v>
      </c>
      <c r="EE58" s="155">
        <v>323961</v>
      </c>
      <c r="EF58" s="155">
        <v>51024</v>
      </c>
      <c r="EG58" s="155">
        <v>41210</v>
      </c>
      <c r="EI58" s="155">
        <v>71055</v>
      </c>
      <c r="EJ58" s="155">
        <v>681798</v>
      </c>
      <c r="EK58" s="155">
        <v>45834</v>
      </c>
      <c r="EL58" s="155">
        <v>769174</v>
      </c>
      <c r="EN58" s="155">
        <v>240537</v>
      </c>
      <c r="EO58" s="155">
        <v>153613</v>
      </c>
      <c r="EP58" s="155">
        <v>750361</v>
      </c>
      <c r="EQ58" s="155">
        <v>385371</v>
      </c>
      <c r="ES58" s="155">
        <v>15404</v>
      </c>
      <c r="EU58" s="155">
        <v>219636</v>
      </c>
      <c r="EV58" s="155">
        <v>208409</v>
      </c>
      <c r="EW58" s="155">
        <v>711747</v>
      </c>
      <c r="EX58" s="155">
        <v>311314</v>
      </c>
      <c r="IO58" s="155">
        <v>0</v>
      </c>
      <c r="IP58" s="155">
        <v>47905</v>
      </c>
      <c r="IQ58" s="155">
        <v>87837</v>
      </c>
      <c r="IR58" s="155">
        <v>66459</v>
      </c>
      <c r="IT58" s="155">
        <v>0</v>
      </c>
      <c r="IU58" s="155">
        <v>173773</v>
      </c>
      <c r="IV58" s="155">
        <v>32</v>
      </c>
      <c r="IW58" s="155">
        <v>8478</v>
      </c>
      <c r="IY58" s="155">
        <v>10581</v>
      </c>
      <c r="IZ58" s="155">
        <v>52259</v>
      </c>
      <c r="JA58" s="155">
        <v>8510</v>
      </c>
      <c r="JB58" s="155">
        <v>106202</v>
      </c>
      <c r="JD58" s="155">
        <v>64625</v>
      </c>
      <c r="JE58" s="155">
        <v>20051</v>
      </c>
      <c r="JF58" s="155">
        <v>130987</v>
      </c>
      <c r="JG58" s="155">
        <v>154218</v>
      </c>
      <c r="JI58" s="155">
        <v>2851</v>
      </c>
      <c r="JK58" s="155">
        <v>30549</v>
      </c>
      <c r="JL58" s="155">
        <v>44732</v>
      </c>
      <c r="JM58" s="155">
        <v>50168</v>
      </c>
      <c r="JN58" s="155">
        <v>67608</v>
      </c>
    </row>
    <row r="59" spans="1:309" s="155" customFormat="1" x14ac:dyDescent="0.25">
      <c r="A59" s="157" t="s">
        <v>415</v>
      </c>
      <c r="B59" s="157"/>
      <c r="C59" s="157" t="s">
        <v>1078</v>
      </c>
      <c r="D59" s="157"/>
      <c r="E59" s="158"/>
      <c r="F59" s="157"/>
      <c r="G59" s="157" t="s">
        <v>416</v>
      </c>
      <c r="Q59" s="155">
        <v>126362</v>
      </c>
      <c r="AH59" s="155">
        <v>3120275</v>
      </c>
      <c r="AI59" s="155">
        <v>949076</v>
      </c>
      <c r="AJ59" s="155">
        <v>423973</v>
      </c>
      <c r="AK59" s="155">
        <v>435774</v>
      </c>
      <c r="AL59" s="155">
        <v>0</v>
      </c>
      <c r="CU59" s="155">
        <v>48912</v>
      </c>
      <c r="CV59" s="155">
        <v>2256</v>
      </c>
      <c r="CW59" s="155">
        <v>185024</v>
      </c>
      <c r="CX59" s="155">
        <v>86616</v>
      </c>
      <c r="CZ59" s="155">
        <v>4608</v>
      </c>
      <c r="DA59" s="155">
        <v>153204</v>
      </c>
      <c r="DB59" s="155">
        <v>93424</v>
      </c>
      <c r="DC59" s="155">
        <v>151200</v>
      </c>
      <c r="DE59" s="155">
        <v>70520</v>
      </c>
      <c r="DF59" s="155">
        <v>222960</v>
      </c>
      <c r="DG59" s="155">
        <v>12594</v>
      </c>
      <c r="DH59" s="155">
        <v>64360</v>
      </c>
      <c r="DJ59" s="155">
        <v>164852</v>
      </c>
      <c r="DK59" s="155">
        <v>33872</v>
      </c>
      <c r="DL59" s="155">
        <v>87216</v>
      </c>
      <c r="DM59" s="155">
        <v>182624</v>
      </c>
      <c r="DO59" s="155">
        <v>63440</v>
      </c>
      <c r="DQ59" s="155">
        <v>77088</v>
      </c>
      <c r="DR59" s="155">
        <v>128097</v>
      </c>
      <c r="DS59" s="155">
        <v>304240</v>
      </c>
      <c r="DT59" s="155">
        <v>66192</v>
      </c>
      <c r="DY59" s="155">
        <v>79206</v>
      </c>
      <c r="DZ59" s="155">
        <v>600</v>
      </c>
      <c r="EA59" s="155">
        <v>310658</v>
      </c>
      <c r="EB59" s="155">
        <v>289227</v>
      </c>
      <c r="ED59" s="155">
        <v>20440</v>
      </c>
      <c r="EE59" s="155">
        <v>250541</v>
      </c>
      <c r="EF59" s="155">
        <v>24846</v>
      </c>
      <c r="EG59" s="155">
        <v>162784</v>
      </c>
      <c r="EI59" s="155">
        <v>175387</v>
      </c>
      <c r="EJ59" s="155">
        <v>545832</v>
      </c>
      <c r="EK59" s="155">
        <v>30198</v>
      </c>
      <c r="EL59" s="155">
        <v>388963</v>
      </c>
      <c r="EN59" s="155">
        <v>343279</v>
      </c>
      <c r="EO59" s="155">
        <v>148468</v>
      </c>
      <c r="EP59" s="155">
        <v>255637</v>
      </c>
      <c r="EQ59" s="155">
        <v>514106</v>
      </c>
      <c r="ES59" s="155">
        <v>259599</v>
      </c>
      <c r="EU59" s="155">
        <v>257390</v>
      </c>
      <c r="EV59" s="155">
        <v>383891</v>
      </c>
      <c r="EW59" s="155">
        <v>628250</v>
      </c>
      <c r="EX59" s="155">
        <v>260983</v>
      </c>
      <c r="IO59" s="155">
        <v>116873</v>
      </c>
      <c r="IP59" s="155">
        <v>2487</v>
      </c>
      <c r="IQ59" s="155">
        <v>67077</v>
      </c>
      <c r="IR59" s="155">
        <v>29810</v>
      </c>
      <c r="IT59" s="155">
        <v>255</v>
      </c>
      <c r="IU59" s="155">
        <v>122382</v>
      </c>
      <c r="IV59" s="155">
        <v>103010</v>
      </c>
      <c r="IW59" s="155">
        <v>221575</v>
      </c>
      <c r="IY59" s="155">
        <v>75875</v>
      </c>
      <c r="IZ59" s="155">
        <v>86820</v>
      </c>
      <c r="JA59" s="155">
        <v>3155</v>
      </c>
      <c r="JB59" s="155">
        <v>71761</v>
      </c>
      <c r="JD59" s="155">
        <v>90100</v>
      </c>
      <c r="JE59" s="155">
        <v>15905</v>
      </c>
      <c r="JF59" s="155">
        <v>51778</v>
      </c>
      <c r="JG59" s="155">
        <v>76752</v>
      </c>
      <c r="JI59" s="155">
        <v>124139</v>
      </c>
      <c r="JK59" s="155">
        <v>47771</v>
      </c>
      <c r="JL59" s="155">
        <v>82390</v>
      </c>
      <c r="JM59" s="155">
        <v>95322</v>
      </c>
      <c r="JN59" s="155">
        <v>63455</v>
      </c>
    </row>
    <row r="60" spans="1:309" s="155" customFormat="1" x14ac:dyDescent="0.25">
      <c r="A60" s="157" t="s">
        <v>431</v>
      </c>
      <c r="B60" s="157"/>
      <c r="C60" s="157" t="s">
        <v>1078</v>
      </c>
      <c r="D60" s="157"/>
      <c r="E60" s="158"/>
      <c r="F60" s="157"/>
      <c r="G60" s="157" t="s">
        <v>432</v>
      </c>
      <c r="Q60" s="155">
        <v>57153</v>
      </c>
      <c r="AH60" s="155">
        <v>1787023</v>
      </c>
      <c r="AI60" s="155">
        <v>347388</v>
      </c>
      <c r="AJ60" s="155">
        <v>89591</v>
      </c>
      <c r="AK60" s="155">
        <v>718506</v>
      </c>
      <c r="AL60" s="155">
        <v>0</v>
      </c>
      <c r="CU60" s="155">
        <v>71792</v>
      </c>
      <c r="CV60" s="155">
        <v>17216</v>
      </c>
      <c r="CW60" s="155">
        <v>35936</v>
      </c>
      <c r="CX60" s="155">
        <v>29760</v>
      </c>
      <c r="CZ60" s="155">
        <v>6256</v>
      </c>
      <c r="DA60" s="155">
        <v>17904</v>
      </c>
      <c r="DC60" s="155">
        <v>29984</v>
      </c>
      <c r="DE60" s="155">
        <v>27232</v>
      </c>
      <c r="DF60" s="155">
        <v>126256</v>
      </c>
      <c r="DG60" s="155">
        <v>3264</v>
      </c>
      <c r="DJ60" s="155">
        <v>10080</v>
      </c>
      <c r="DL60" s="155">
        <v>32416</v>
      </c>
      <c r="DM60" s="155">
        <v>75360</v>
      </c>
      <c r="DN60" s="155">
        <v>2240</v>
      </c>
      <c r="DQ60" s="155">
        <v>26976</v>
      </c>
      <c r="DR60" s="155">
        <v>11376</v>
      </c>
      <c r="DS60" s="155">
        <v>124800</v>
      </c>
      <c r="DT60" s="155">
        <v>35088</v>
      </c>
      <c r="DY60" s="155">
        <v>216916</v>
      </c>
      <c r="DZ60" s="155">
        <v>50696</v>
      </c>
      <c r="EA60" s="155">
        <v>124778</v>
      </c>
      <c r="EB60" s="155">
        <v>84776</v>
      </c>
      <c r="ED60" s="155">
        <v>41853</v>
      </c>
      <c r="EE60" s="155">
        <v>79232</v>
      </c>
      <c r="EG60" s="155">
        <v>47305</v>
      </c>
      <c r="EI60" s="155">
        <v>43462</v>
      </c>
      <c r="EJ60" s="155">
        <v>275841</v>
      </c>
      <c r="EK60" s="155">
        <v>11631</v>
      </c>
      <c r="EN60" s="155">
        <v>78687</v>
      </c>
      <c r="EP60" s="155">
        <v>87062</v>
      </c>
      <c r="EQ60" s="155">
        <v>175562</v>
      </c>
      <c r="ER60" s="155">
        <v>3273</v>
      </c>
      <c r="EU60" s="155">
        <v>55403</v>
      </c>
      <c r="EV60" s="155">
        <v>125589</v>
      </c>
      <c r="EW60" s="155">
        <v>245030</v>
      </c>
      <c r="EX60" s="155">
        <v>116442</v>
      </c>
      <c r="IO60" s="155">
        <v>58259</v>
      </c>
      <c r="IP60" s="155">
        <v>11916</v>
      </c>
      <c r="IQ60" s="155">
        <v>10389</v>
      </c>
      <c r="IR60" s="155">
        <v>11294</v>
      </c>
      <c r="IT60" s="155">
        <v>6470</v>
      </c>
      <c r="IU60" s="155">
        <v>12807</v>
      </c>
      <c r="IW60" s="155">
        <v>2768</v>
      </c>
      <c r="IY60" s="155">
        <v>6135</v>
      </c>
      <c r="IZ60" s="155">
        <v>2831</v>
      </c>
      <c r="JA60" s="155">
        <v>479</v>
      </c>
      <c r="JD60" s="155">
        <v>24547</v>
      </c>
      <c r="JF60" s="155">
        <v>6473</v>
      </c>
      <c r="JG60" s="155">
        <v>13195</v>
      </c>
      <c r="JH60" s="155">
        <v>163</v>
      </c>
      <c r="JK60" s="155">
        <v>73862</v>
      </c>
      <c r="JL60" s="155">
        <v>41029</v>
      </c>
      <c r="JM60" s="155">
        <v>11976</v>
      </c>
      <c r="JN60" s="155">
        <v>31654</v>
      </c>
    </row>
    <row r="61" spans="1:309" s="155" customFormat="1" x14ac:dyDescent="0.25">
      <c r="A61" s="157" t="s">
        <v>417</v>
      </c>
      <c r="B61" s="157"/>
      <c r="C61" s="157" t="s">
        <v>1078</v>
      </c>
      <c r="D61" s="157"/>
      <c r="E61" s="158"/>
      <c r="F61" s="157"/>
      <c r="G61" s="157" t="s">
        <v>418</v>
      </c>
      <c r="Q61" s="155">
        <v>1432249</v>
      </c>
      <c r="AH61" s="155">
        <v>6284447</v>
      </c>
      <c r="AI61" s="155">
        <v>1118269</v>
      </c>
      <c r="AJ61" s="155">
        <v>456761</v>
      </c>
      <c r="AK61" s="155">
        <v>1245003</v>
      </c>
      <c r="AL61" s="155">
        <v>0</v>
      </c>
      <c r="CU61" s="155">
        <v>16180</v>
      </c>
      <c r="CV61" s="155">
        <v>30244</v>
      </c>
      <c r="CW61" s="155">
        <v>327008</v>
      </c>
      <c r="CX61" s="155">
        <v>101861</v>
      </c>
      <c r="DA61" s="155">
        <v>87849</v>
      </c>
      <c r="DC61" s="155">
        <v>129796</v>
      </c>
      <c r="DE61" s="155">
        <v>32384</v>
      </c>
      <c r="DF61" s="155">
        <v>403420</v>
      </c>
      <c r="DG61" s="155">
        <v>28148</v>
      </c>
      <c r="DH61" s="155">
        <v>56128</v>
      </c>
      <c r="DI61" s="155">
        <v>35560</v>
      </c>
      <c r="DJ61" s="155">
        <v>161113</v>
      </c>
      <c r="DL61" s="155">
        <v>82736</v>
      </c>
      <c r="DM61" s="155">
        <v>263520</v>
      </c>
      <c r="DN61" s="155">
        <v>34829</v>
      </c>
      <c r="DQ61" s="155">
        <v>41280</v>
      </c>
      <c r="DR61" s="155">
        <v>95268</v>
      </c>
      <c r="DS61" s="155">
        <v>511104</v>
      </c>
      <c r="DT61" s="155">
        <v>78736</v>
      </c>
      <c r="DY61" s="155">
        <v>82251</v>
      </c>
      <c r="DZ61" s="155">
        <v>138600</v>
      </c>
      <c r="EA61" s="155">
        <v>753700</v>
      </c>
      <c r="EB61" s="155">
        <v>202801</v>
      </c>
      <c r="EE61" s="155">
        <v>403190</v>
      </c>
      <c r="EG61" s="155">
        <v>290587</v>
      </c>
      <c r="EI61" s="155">
        <v>135278</v>
      </c>
      <c r="EJ61" s="155">
        <v>1059901</v>
      </c>
      <c r="EK61" s="155">
        <v>59396</v>
      </c>
      <c r="EL61" s="155">
        <v>268400</v>
      </c>
      <c r="EM61" s="155">
        <v>246469</v>
      </c>
      <c r="EN61" s="155">
        <v>376712</v>
      </c>
      <c r="EP61" s="155">
        <v>335525</v>
      </c>
      <c r="EQ61" s="155">
        <v>676840</v>
      </c>
      <c r="ER61" s="155">
        <v>93052</v>
      </c>
      <c r="EU61" s="155">
        <v>119793</v>
      </c>
      <c r="EV61" s="155">
        <v>262048</v>
      </c>
      <c r="EW61" s="155">
        <v>929242</v>
      </c>
      <c r="EX61" s="155">
        <v>279924</v>
      </c>
      <c r="IO61" s="155">
        <v>13389</v>
      </c>
      <c r="IP61" s="155">
        <v>25860</v>
      </c>
      <c r="IQ61" s="155">
        <v>48210</v>
      </c>
      <c r="IR61" s="155">
        <v>4263</v>
      </c>
      <c r="IU61" s="155">
        <v>23407</v>
      </c>
      <c r="IW61" s="155">
        <v>33740</v>
      </c>
      <c r="IY61" s="155">
        <v>10717</v>
      </c>
      <c r="IZ61" s="155">
        <v>26988</v>
      </c>
      <c r="JA61" s="155">
        <v>674</v>
      </c>
      <c r="JB61" s="155">
        <v>33589</v>
      </c>
      <c r="JC61" s="155">
        <v>58465</v>
      </c>
      <c r="JD61" s="155">
        <v>267440</v>
      </c>
      <c r="JF61" s="155">
        <v>45976</v>
      </c>
      <c r="JG61" s="155">
        <v>13881</v>
      </c>
      <c r="JH61" s="155">
        <v>8415</v>
      </c>
      <c r="JK61" s="155">
        <v>4605</v>
      </c>
      <c r="JL61" s="155">
        <v>130395</v>
      </c>
      <c r="JM61" s="155">
        <v>26227</v>
      </c>
      <c r="JN61" s="155">
        <v>39354</v>
      </c>
    </row>
    <row r="62" spans="1:309" x14ac:dyDescent="0.25">
      <c r="CU62" s="66"/>
      <c r="CV62" s="66"/>
      <c r="CW62" s="66"/>
      <c r="CX62" s="66"/>
      <c r="CY62" s="66"/>
      <c r="CZ62" s="66"/>
      <c r="DA62" s="66"/>
      <c r="DB62" s="66"/>
      <c r="DC62" s="66"/>
      <c r="DD62" s="66"/>
      <c r="DE62" s="66"/>
      <c r="DF62" s="66"/>
      <c r="DG62" s="66"/>
      <c r="DH62" s="66"/>
      <c r="DI62" s="66"/>
      <c r="DJ62" s="66"/>
      <c r="DK62" s="66"/>
      <c r="DL62" s="66"/>
      <c r="DM62" s="66"/>
      <c r="DN62" s="66"/>
      <c r="DO62" s="66"/>
      <c r="DP62" s="66"/>
      <c r="DQ62" s="66"/>
      <c r="DR62" s="66"/>
      <c r="DS62" s="66"/>
      <c r="DT62" s="66"/>
      <c r="DU62" s="66"/>
      <c r="DV62" s="66"/>
      <c r="JS62" s="9"/>
      <c r="JT62" s="9"/>
      <c r="JU62" s="9"/>
      <c r="JV62" s="9"/>
      <c r="JW62" s="9"/>
      <c r="JX62" s="9"/>
      <c r="JY62" s="9"/>
      <c r="JZ62" s="9"/>
      <c r="KA62" s="9"/>
      <c r="KB62" s="9"/>
      <c r="KC62" s="9"/>
      <c r="KD62" s="9"/>
      <c r="KE62" s="9"/>
      <c r="KF62" s="9"/>
      <c r="KG62" s="9"/>
      <c r="KH62" s="9"/>
      <c r="KI62" s="9"/>
      <c r="KJ62" s="9"/>
      <c r="KK62" s="9"/>
      <c r="KL62" s="9"/>
      <c r="KM62" s="9"/>
      <c r="KN62" s="9"/>
      <c r="KO62" s="9"/>
      <c r="KP62" s="9"/>
      <c r="KQ62" s="9"/>
      <c r="KR62" s="9"/>
      <c r="KS62" s="9"/>
      <c r="KT62" s="9"/>
      <c r="KU62" s="9"/>
      <c r="KV62" s="41"/>
    </row>
    <row r="63" spans="1:309" x14ac:dyDescent="0.25">
      <c r="B63" s="66"/>
      <c r="C63" s="66"/>
      <c r="D63" s="66"/>
      <c r="E63" s="66"/>
      <c r="F63" s="66"/>
      <c r="G63" s="66"/>
      <c r="H63" s="66"/>
      <c r="I63" s="66"/>
      <c r="J63" s="66"/>
      <c r="K63" s="66"/>
      <c r="L63" s="66"/>
      <c r="M63" s="66"/>
      <c r="N63" s="66"/>
      <c r="O63" s="66"/>
      <c r="P63" s="66"/>
      <c r="Q63" s="66"/>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66"/>
      <c r="BL63" s="66"/>
      <c r="BM63" s="66"/>
      <c r="BN63" s="66"/>
      <c r="BO63" s="66"/>
      <c r="BP63" s="66"/>
      <c r="BQ63" s="66"/>
      <c r="BR63" s="66"/>
      <c r="BS63" s="66"/>
      <c r="BT63" s="66"/>
      <c r="BU63" s="66"/>
      <c r="BV63" s="66"/>
      <c r="BW63" s="66"/>
      <c r="BX63" s="66"/>
      <c r="BY63" s="66"/>
      <c r="BZ63" s="66"/>
      <c r="CA63" s="66"/>
      <c r="CB63" s="66"/>
      <c r="CC63" s="66"/>
      <c r="CD63" s="66"/>
      <c r="CE63" s="66"/>
      <c r="CF63" s="66"/>
      <c r="CG63" s="66"/>
      <c r="CH63" s="66"/>
      <c r="CI63" s="66"/>
      <c r="CJ63" s="66"/>
      <c r="CK63" s="66"/>
      <c r="CL63" s="66"/>
      <c r="CM63" s="66"/>
      <c r="CN63" s="66"/>
      <c r="CO63" s="66"/>
      <c r="CP63" s="66"/>
      <c r="CQ63" s="66"/>
      <c r="CR63" s="66"/>
      <c r="CS63" s="66"/>
      <c r="CT63" s="66"/>
      <c r="CU63" s="66"/>
      <c r="CV63" s="66"/>
      <c r="CW63" s="66"/>
      <c r="CX63" s="66"/>
      <c r="CY63" s="66"/>
      <c r="CZ63" s="66"/>
      <c r="DA63" s="66"/>
      <c r="DB63" s="66"/>
      <c r="DC63" s="66"/>
      <c r="DD63" s="66"/>
      <c r="DE63" s="66"/>
      <c r="DF63" s="66"/>
      <c r="DG63" s="66"/>
      <c r="DH63" s="66"/>
      <c r="DI63" s="66"/>
      <c r="DJ63" s="66"/>
      <c r="DK63" s="66"/>
      <c r="DL63" s="66"/>
      <c r="DM63" s="66"/>
      <c r="DN63" s="66"/>
      <c r="DO63" s="66"/>
      <c r="DP63" s="66"/>
      <c r="DQ63" s="66"/>
      <c r="DR63" s="66"/>
      <c r="DS63" s="66"/>
      <c r="DT63" s="66"/>
      <c r="DU63" s="66"/>
      <c r="DV63" s="66"/>
      <c r="DW63" s="66"/>
      <c r="DX63" s="66"/>
      <c r="DY63" s="66"/>
      <c r="DZ63" s="66"/>
      <c r="EA63" s="66"/>
      <c r="EB63" s="66"/>
      <c r="EC63" s="66"/>
      <c r="ED63" s="66"/>
      <c r="EE63" s="66"/>
      <c r="EF63" s="66"/>
      <c r="EG63" s="66"/>
      <c r="EH63" s="66"/>
      <c r="EI63" s="66"/>
      <c r="EJ63" s="66"/>
      <c r="EK63" s="66"/>
      <c r="EL63" s="66"/>
      <c r="EM63" s="66"/>
      <c r="EN63" s="66"/>
      <c r="EO63" s="66"/>
      <c r="EP63" s="66"/>
      <c r="EQ63" s="66"/>
      <c r="ER63" s="66"/>
      <c r="ES63" s="66"/>
      <c r="ET63" s="66"/>
      <c r="EU63" s="66"/>
      <c r="EV63" s="66"/>
      <c r="EW63" s="66"/>
      <c r="EX63" s="66"/>
      <c r="EY63" s="66"/>
      <c r="EZ63" s="66"/>
      <c r="FA63" s="66"/>
      <c r="FB63" s="66"/>
      <c r="FC63" s="66"/>
      <c r="FD63" s="66"/>
      <c r="FE63" s="66"/>
      <c r="FF63" s="66"/>
      <c r="FG63" s="66"/>
      <c r="FH63" s="66"/>
      <c r="FI63" s="66"/>
      <c r="FJ63" s="66"/>
      <c r="FK63" s="66"/>
      <c r="FL63" s="66"/>
      <c r="FM63" s="66"/>
      <c r="FN63" s="66"/>
      <c r="FO63" s="66"/>
      <c r="FP63" s="66"/>
      <c r="FQ63" s="66"/>
      <c r="FR63" s="66"/>
      <c r="FS63" s="66"/>
      <c r="FT63" s="66"/>
      <c r="FU63" s="66"/>
      <c r="FV63" s="66"/>
      <c r="FW63" s="66"/>
      <c r="FX63" s="66"/>
      <c r="FY63" s="66"/>
      <c r="FZ63" s="66"/>
      <c r="GA63" s="66"/>
      <c r="GB63" s="66"/>
      <c r="GC63" s="66"/>
      <c r="GD63" s="66"/>
      <c r="GE63" s="66"/>
      <c r="GF63" s="66"/>
      <c r="GG63" s="66"/>
      <c r="GH63" s="66"/>
      <c r="GI63" s="66"/>
      <c r="GJ63" s="66"/>
      <c r="GK63" s="66"/>
      <c r="GL63" s="66"/>
      <c r="GM63" s="66"/>
      <c r="GN63" s="66"/>
      <c r="GO63" s="66"/>
      <c r="GP63" s="66"/>
      <c r="GQ63" s="66"/>
      <c r="GR63" s="66"/>
      <c r="GS63" s="66"/>
      <c r="GT63" s="66"/>
      <c r="GU63" s="66"/>
      <c r="GV63" s="66"/>
      <c r="GW63" s="66"/>
      <c r="GX63" s="66"/>
      <c r="GY63" s="66"/>
      <c r="GZ63" s="66"/>
      <c r="HA63" s="66"/>
      <c r="HB63" s="66"/>
      <c r="HC63" s="66"/>
      <c r="HD63" s="66"/>
      <c r="HE63" s="66"/>
      <c r="HF63" s="66"/>
      <c r="HG63" s="66"/>
      <c r="HH63" s="66"/>
      <c r="HI63" s="66"/>
      <c r="HJ63" s="66"/>
      <c r="HK63" s="66"/>
      <c r="HL63" s="66"/>
      <c r="HM63" s="66"/>
      <c r="HN63" s="66"/>
      <c r="HO63" s="66"/>
      <c r="HP63" s="66"/>
      <c r="HQ63" s="66"/>
      <c r="HR63" s="66"/>
      <c r="HS63" s="66"/>
      <c r="HT63" s="66"/>
      <c r="HU63" s="66"/>
      <c r="HV63" s="66"/>
      <c r="HW63" s="66"/>
      <c r="HX63" s="66"/>
      <c r="HY63" s="66"/>
      <c r="HZ63" s="66"/>
      <c r="IA63" s="66"/>
      <c r="IB63" s="66"/>
      <c r="IC63" s="66"/>
      <c r="ID63" s="66"/>
      <c r="IE63" s="66"/>
      <c r="IF63" s="66"/>
      <c r="IG63" s="66"/>
      <c r="IH63" s="66"/>
      <c r="II63" s="66"/>
      <c r="IJ63" s="66"/>
      <c r="IK63" s="66"/>
      <c r="IL63" s="66"/>
      <c r="IM63" s="66"/>
      <c r="IN63" s="66"/>
      <c r="IO63" s="66"/>
      <c r="IP63" s="66"/>
      <c r="IQ63" s="66"/>
      <c r="IR63" s="66"/>
      <c r="IS63" s="66"/>
      <c r="IT63" s="66"/>
      <c r="IU63" s="66"/>
      <c r="IV63" s="66"/>
      <c r="IW63" s="66"/>
      <c r="IX63" s="66"/>
      <c r="IY63" s="66"/>
      <c r="IZ63" s="66"/>
      <c r="JA63" s="66"/>
      <c r="JB63" s="66"/>
      <c r="JC63" s="66"/>
      <c r="JD63" s="66"/>
      <c r="JE63" s="66"/>
      <c r="JF63" s="66"/>
      <c r="JG63" s="66"/>
      <c r="JH63" s="66"/>
      <c r="JI63" s="66"/>
      <c r="JJ63" s="66"/>
      <c r="JK63" s="66"/>
      <c r="JL63" s="66"/>
      <c r="JM63" s="66"/>
      <c r="JN63" s="66"/>
      <c r="JO63" s="66"/>
      <c r="JP63" s="66"/>
      <c r="JQ63" s="66"/>
      <c r="JR63" s="66"/>
      <c r="JS63" s="66"/>
      <c r="JT63" s="66"/>
      <c r="JU63" s="66"/>
      <c r="JV63" s="66"/>
      <c r="JW63" s="66"/>
      <c r="JX63" s="66"/>
      <c r="JY63" s="66"/>
      <c r="JZ63" s="66"/>
      <c r="KA63" s="66"/>
      <c r="KB63" s="66"/>
      <c r="KC63" s="66"/>
      <c r="KD63" s="66"/>
      <c r="KE63" s="66"/>
      <c r="KF63" s="66"/>
      <c r="KG63" s="66"/>
      <c r="KH63" s="66"/>
      <c r="KI63" s="66"/>
      <c r="KJ63" s="66"/>
      <c r="KK63" s="66"/>
      <c r="KL63" s="66"/>
      <c r="KM63" s="66"/>
      <c r="KN63" s="66"/>
      <c r="KO63" s="66"/>
      <c r="KP63" s="66"/>
      <c r="KQ63" s="66"/>
      <c r="KR63" s="66"/>
      <c r="KS63" s="66"/>
      <c r="KT63" s="66"/>
      <c r="KU63" s="66"/>
      <c r="KV63" s="66"/>
      <c r="KW63" s="66"/>
    </row>
    <row r="64" spans="1:309" x14ac:dyDescent="0.25">
      <c r="C64" s="154"/>
      <c r="D64" s="154"/>
      <c r="E64" s="154"/>
      <c r="F64" s="154"/>
      <c r="G64" s="154"/>
      <c r="H64" s="154"/>
      <c r="I64" s="154"/>
      <c r="J64" s="154"/>
      <c r="CT64" s="155"/>
      <c r="CU64" s="155"/>
      <c r="CV64" s="155"/>
      <c r="CW64" s="155"/>
      <c r="CX64" s="155"/>
      <c r="CY64" s="155"/>
      <c r="CZ64" s="155"/>
      <c r="DA64" s="155"/>
      <c r="DB64" s="155"/>
      <c r="DC64" s="155"/>
      <c r="DD64" s="155"/>
      <c r="DE64" s="155"/>
      <c r="DF64" s="155"/>
      <c r="DG64" s="155"/>
      <c r="DH64" s="155"/>
      <c r="DI64" s="155"/>
      <c r="DJ64" s="155"/>
      <c r="DK64" s="155"/>
      <c r="DL64" s="155"/>
      <c r="DM64" s="155"/>
      <c r="DN64" s="155"/>
      <c r="DO64" s="155"/>
      <c r="DP64" s="155"/>
      <c r="DQ64" s="155"/>
      <c r="DR64" s="155"/>
      <c r="DS64" s="155"/>
      <c r="DT64" s="155"/>
      <c r="DU64" s="155"/>
      <c r="DV64" s="155"/>
      <c r="DW64" s="155"/>
      <c r="DX64" s="155"/>
      <c r="DY64" s="155"/>
      <c r="DZ64" s="155"/>
      <c r="EA64" s="155"/>
      <c r="EB64" s="155"/>
      <c r="EC64" s="155"/>
      <c r="ED64" s="155"/>
      <c r="EE64" s="155"/>
      <c r="EF64" s="155"/>
      <c r="EG64" s="155"/>
      <c r="EH64" s="155"/>
      <c r="EI64" s="155"/>
      <c r="EJ64" s="155"/>
      <c r="EK64" s="155"/>
      <c r="EL64" s="155"/>
      <c r="EM64" s="155"/>
      <c r="EN64" s="155"/>
      <c r="EO64" s="155"/>
      <c r="EP64" s="155"/>
      <c r="EQ64" s="155"/>
      <c r="ER64" s="155"/>
      <c r="ES64" s="155"/>
      <c r="ET64" s="155"/>
      <c r="EU64" s="155"/>
      <c r="EV64" s="155"/>
      <c r="EW64" s="155"/>
      <c r="EX64" s="155"/>
      <c r="EY64" s="155"/>
      <c r="EZ64" s="155"/>
      <c r="FA64" s="155"/>
      <c r="FB64" s="155"/>
      <c r="FC64" s="155"/>
      <c r="FD64" s="155"/>
      <c r="FE64" s="155"/>
      <c r="FF64" s="155"/>
      <c r="FG64" s="155"/>
      <c r="FH64" s="155"/>
      <c r="FI64" s="155"/>
      <c r="FJ64" s="155"/>
      <c r="FK64" s="155"/>
      <c r="FL64" s="155"/>
      <c r="FM64" s="155"/>
      <c r="FN64" s="155"/>
      <c r="FO64" s="155"/>
      <c r="FP64" s="155"/>
      <c r="FQ64" s="155"/>
      <c r="FR64" s="155"/>
      <c r="FS64" s="155"/>
      <c r="FT64" s="155"/>
      <c r="FU64" s="155"/>
      <c r="FV64" s="155"/>
      <c r="FW64" s="155"/>
      <c r="FX64" s="155"/>
      <c r="FY64" s="155"/>
      <c r="FZ64" s="155"/>
      <c r="GA64" s="155"/>
      <c r="GB64" s="155"/>
      <c r="GC64" s="155"/>
      <c r="GD64" s="155"/>
      <c r="GE64" s="155"/>
      <c r="GF64" s="155"/>
      <c r="IH64" s="66"/>
      <c r="II64" s="66"/>
      <c r="IJ64" s="66"/>
      <c r="IK64" s="66"/>
      <c r="IL64" s="66"/>
      <c r="IM64" s="66"/>
      <c r="IN64" s="66"/>
      <c r="IO64" s="66"/>
      <c r="IP64" s="66"/>
      <c r="IQ64" s="66"/>
      <c r="IR64" s="66"/>
      <c r="IS64" s="66"/>
      <c r="IT64" s="66"/>
      <c r="IU64" s="66"/>
      <c r="IV64" s="66"/>
      <c r="IW64" s="66"/>
      <c r="IX64" s="66"/>
      <c r="IY64" s="66"/>
      <c r="IZ64" s="66"/>
      <c r="JA64" s="66"/>
      <c r="JB64" s="66"/>
      <c r="JC64" s="66"/>
      <c r="JD64" s="66"/>
      <c r="JE64" s="66"/>
      <c r="JF64" s="66"/>
      <c r="JG64" s="66"/>
      <c r="JH64" s="66"/>
    </row>
    <row r="65" spans="2:268" x14ac:dyDescent="0.25">
      <c r="C65" s="154"/>
      <c r="D65" s="154"/>
      <c r="E65" s="154"/>
      <c r="F65" s="154"/>
      <c r="G65" s="154"/>
      <c r="H65" s="154"/>
      <c r="I65" s="154"/>
      <c r="J65" s="154"/>
      <c r="CT65" s="155"/>
      <c r="CU65" s="155"/>
      <c r="CV65" s="155"/>
      <c r="CW65" s="155"/>
      <c r="CX65" s="155"/>
      <c r="CY65" s="155"/>
      <c r="CZ65" s="155"/>
      <c r="DA65" s="155"/>
      <c r="DB65" s="155"/>
      <c r="DC65" s="155"/>
      <c r="DD65" s="155"/>
      <c r="DE65" s="155"/>
      <c r="DF65" s="155"/>
      <c r="DG65" s="155"/>
      <c r="DH65" s="155"/>
      <c r="DI65" s="155"/>
      <c r="DJ65" s="155"/>
      <c r="DK65" s="155"/>
      <c r="DL65" s="155"/>
      <c r="DM65" s="155"/>
      <c r="DN65" s="155"/>
      <c r="DO65" s="155"/>
      <c r="DP65" s="155"/>
      <c r="DQ65" s="155"/>
      <c r="DR65" s="155"/>
      <c r="DS65" s="155"/>
      <c r="DT65" s="155"/>
      <c r="DU65" s="155"/>
      <c r="DV65" s="155"/>
      <c r="DW65" s="155"/>
      <c r="DX65" s="156"/>
      <c r="DY65" s="155"/>
      <c r="DZ65" s="155"/>
      <c r="EA65" s="155"/>
      <c r="EB65" s="155"/>
      <c r="EC65" s="155"/>
      <c r="ED65" s="155"/>
      <c r="EE65" s="155"/>
      <c r="EF65" s="155"/>
      <c r="EG65" s="155"/>
      <c r="EH65" s="155"/>
      <c r="EI65" s="155"/>
      <c r="EJ65" s="155"/>
      <c r="EK65" s="155"/>
      <c r="EL65" s="155"/>
      <c r="EM65" s="155"/>
      <c r="EN65" s="155"/>
      <c r="EO65" s="155"/>
      <c r="EP65" s="155"/>
      <c r="EQ65" s="155"/>
      <c r="ER65" s="155"/>
      <c r="ES65" s="155"/>
      <c r="ET65" s="155"/>
      <c r="EU65" s="155"/>
      <c r="EV65" s="155"/>
      <c r="EW65" s="155"/>
      <c r="EX65" s="155"/>
      <c r="EY65" s="155"/>
      <c r="EZ65" s="155"/>
      <c r="FA65" s="155"/>
      <c r="FB65" s="155"/>
      <c r="FC65" s="155"/>
      <c r="FD65" s="155"/>
      <c r="FE65" s="155"/>
      <c r="FF65" s="155"/>
      <c r="FG65" s="155"/>
      <c r="FH65" s="155"/>
      <c r="FI65" s="155"/>
      <c r="FJ65" s="155"/>
      <c r="FK65" s="155"/>
      <c r="FL65" s="155"/>
      <c r="FM65" s="155"/>
      <c r="FN65" s="155"/>
      <c r="FO65" s="155"/>
      <c r="FP65" s="155"/>
      <c r="FQ65" s="155"/>
      <c r="FR65" s="155"/>
      <c r="FS65" s="155"/>
      <c r="FT65" s="155"/>
      <c r="FU65" s="155"/>
      <c r="FV65" s="155"/>
      <c r="FW65" s="155"/>
      <c r="FX65" s="155"/>
      <c r="FY65" s="155"/>
      <c r="FZ65" s="155"/>
      <c r="GA65" s="155"/>
      <c r="GB65" s="155"/>
      <c r="GC65" s="155"/>
      <c r="GD65" s="155"/>
      <c r="GE65" s="155"/>
      <c r="GF65" s="155"/>
      <c r="IH65" s="66"/>
      <c r="II65" s="66"/>
      <c r="IJ65" s="66"/>
      <c r="IK65" s="66"/>
      <c r="IL65" s="66"/>
      <c r="IM65" s="66"/>
      <c r="IN65" s="66"/>
      <c r="IO65" s="66"/>
      <c r="IP65" s="66"/>
      <c r="IQ65" s="66"/>
      <c r="IR65" s="66"/>
      <c r="IS65" s="66"/>
      <c r="IT65" s="66"/>
      <c r="IU65" s="66"/>
      <c r="IV65" s="66"/>
      <c r="IW65" s="66"/>
      <c r="IX65" s="66"/>
      <c r="IY65" s="66"/>
      <c r="IZ65" s="66"/>
      <c r="JA65" s="66"/>
      <c r="JB65" s="66"/>
      <c r="JC65" s="66"/>
      <c r="JD65" s="66"/>
      <c r="JE65" s="66"/>
      <c r="JF65" s="66"/>
      <c r="JG65" s="66"/>
      <c r="JH65" s="66"/>
    </row>
    <row r="66" spans="2:268" x14ac:dyDescent="0.25">
      <c r="G66" s="152"/>
      <c r="H66" s="152"/>
      <c r="CT66" s="155"/>
      <c r="CU66" s="155"/>
      <c r="CV66" s="155"/>
      <c r="CW66" s="155"/>
      <c r="CX66" s="155"/>
      <c r="CY66" s="155"/>
      <c r="CZ66" s="155"/>
      <c r="DA66" s="155"/>
      <c r="DB66" s="155"/>
      <c r="DC66" s="155"/>
      <c r="DD66" s="155"/>
      <c r="DE66" s="155"/>
      <c r="DF66" s="155"/>
      <c r="DG66" s="155"/>
      <c r="DH66" s="155"/>
      <c r="DI66" s="155"/>
      <c r="DJ66" s="155"/>
      <c r="DK66" s="155"/>
      <c r="DL66" s="155"/>
      <c r="DM66" s="155"/>
      <c r="DN66" s="155"/>
      <c r="DO66" s="155"/>
      <c r="DP66" s="155"/>
      <c r="DQ66" s="155"/>
      <c r="DR66" s="155"/>
      <c r="DS66" s="155"/>
      <c r="DT66" s="155"/>
      <c r="DU66" s="155"/>
      <c r="DV66" s="155"/>
      <c r="DW66" s="155"/>
      <c r="DX66" s="156"/>
      <c r="DY66" s="155"/>
      <c r="DZ66" s="155"/>
      <c r="EA66" s="155"/>
      <c r="EB66" s="155"/>
      <c r="EC66" s="155"/>
      <c r="ED66" s="155"/>
      <c r="EE66" s="155"/>
      <c r="EF66" s="155"/>
      <c r="EG66" s="155"/>
      <c r="EH66" s="155"/>
      <c r="EI66" s="155"/>
      <c r="EJ66" s="155"/>
      <c r="EK66" s="155"/>
      <c r="EL66" s="155"/>
      <c r="EM66" s="155"/>
      <c r="EN66" s="155"/>
      <c r="EO66" s="155"/>
      <c r="EP66" s="155"/>
      <c r="EQ66" s="155"/>
      <c r="ER66" s="155"/>
      <c r="ES66" s="155"/>
      <c r="ET66" s="155"/>
      <c r="EU66" s="155"/>
      <c r="EV66" s="155"/>
      <c r="EW66" s="155"/>
      <c r="EX66" s="155"/>
      <c r="EY66" s="155"/>
      <c r="EZ66" s="155"/>
      <c r="FA66" s="155"/>
      <c r="FB66" s="155"/>
      <c r="FC66" s="155"/>
      <c r="FD66" s="155"/>
      <c r="FE66" s="155"/>
      <c r="FF66" s="155"/>
      <c r="FG66" s="155"/>
      <c r="FH66" s="155"/>
      <c r="FI66" s="155"/>
      <c r="FJ66" s="155"/>
      <c r="FK66" s="155"/>
      <c r="FL66" s="155"/>
      <c r="FM66" s="155"/>
      <c r="FN66" s="155"/>
      <c r="FO66" s="155"/>
      <c r="FP66" s="155"/>
      <c r="FQ66" s="155"/>
      <c r="FR66" s="155"/>
      <c r="FS66" s="155"/>
      <c r="FT66" s="155"/>
      <c r="FU66" s="155"/>
      <c r="FV66" s="155"/>
      <c r="FW66" s="155"/>
      <c r="FX66" s="155"/>
      <c r="FY66" s="155"/>
      <c r="FZ66" s="155"/>
      <c r="GA66" s="155"/>
      <c r="GB66" s="155"/>
      <c r="GC66" s="155"/>
      <c r="GD66" s="155"/>
      <c r="GE66" s="155"/>
      <c r="GF66" s="155"/>
      <c r="IH66" s="66"/>
      <c r="II66" s="66"/>
      <c r="IJ66" s="66"/>
      <c r="IK66" s="66"/>
      <c r="IL66" s="66"/>
      <c r="IM66" s="66"/>
      <c r="IN66" s="66"/>
      <c r="IO66" s="66"/>
      <c r="IP66" s="66"/>
      <c r="IQ66" s="66"/>
      <c r="IR66" s="66"/>
      <c r="IS66" s="66"/>
      <c r="IT66" s="66"/>
      <c r="IU66" s="66"/>
      <c r="IV66" s="66"/>
      <c r="IW66" s="66"/>
      <c r="IX66" s="66"/>
      <c r="IY66" s="66"/>
      <c r="IZ66" s="66"/>
      <c r="JA66" s="66"/>
      <c r="JB66" s="66"/>
      <c r="JC66" s="66"/>
      <c r="JD66" s="66"/>
      <c r="JE66" s="66"/>
      <c r="JF66" s="66"/>
      <c r="JG66" s="66"/>
      <c r="JH66" s="66"/>
    </row>
    <row r="67" spans="2:268" x14ac:dyDescent="0.25">
      <c r="G67" s="152"/>
      <c r="H67" s="152"/>
      <c r="CT67" s="155"/>
      <c r="CU67" s="155"/>
      <c r="CV67" s="155"/>
      <c r="CW67" s="155"/>
      <c r="CX67" s="155"/>
      <c r="CY67" s="155"/>
      <c r="CZ67" s="155"/>
      <c r="DA67" s="155"/>
      <c r="DB67" s="155"/>
      <c r="DC67" s="155"/>
      <c r="DD67" s="155"/>
      <c r="DE67" s="155"/>
      <c r="DF67" s="155"/>
      <c r="DG67" s="155"/>
      <c r="DH67" s="155"/>
      <c r="DI67" s="155"/>
      <c r="DJ67" s="155"/>
      <c r="DK67" s="155"/>
      <c r="DL67" s="155"/>
      <c r="DM67" s="155"/>
      <c r="DN67" s="155"/>
      <c r="DO67" s="155"/>
      <c r="DP67" s="155"/>
      <c r="DQ67" s="155"/>
      <c r="DR67" s="155"/>
      <c r="DS67" s="155"/>
      <c r="DT67" s="155"/>
      <c r="DU67" s="155"/>
      <c r="DV67" s="155"/>
      <c r="DW67" s="155"/>
      <c r="DX67" s="156"/>
      <c r="DY67" s="155"/>
      <c r="DZ67" s="155"/>
      <c r="EA67" s="155"/>
      <c r="EB67" s="155"/>
      <c r="EC67" s="155"/>
      <c r="ED67" s="155"/>
      <c r="EE67" s="155"/>
      <c r="EF67" s="155"/>
      <c r="EG67" s="155"/>
      <c r="EH67" s="155"/>
      <c r="EI67" s="155"/>
      <c r="EJ67" s="155"/>
      <c r="EK67" s="155"/>
      <c r="EL67" s="155"/>
      <c r="EM67" s="155"/>
      <c r="EN67" s="155"/>
      <c r="EO67" s="155"/>
      <c r="EP67" s="155"/>
      <c r="EQ67" s="155"/>
      <c r="ER67" s="155"/>
      <c r="ES67" s="155"/>
      <c r="ET67" s="155"/>
      <c r="EU67" s="155"/>
      <c r="EV67" s="155"/>
      <c r="EW67" s="155"/>
      <c r="EX67" s="155"/>
      <c r="EY67" s="155"/>
      <c r="EZ67" s="155"/>
      <c r="FA67" s="155"/>
      <c r="FB67" s="155"/>
      <c r="FC67" s="155"/>
      <c r="FD67" s="155"/>
      <c r="FE67" s="155"/>
      <c r="FF67" s="155"/>
      <c r="FG67" s="155"/>
      <c r="FH67" s="155"/>
      <c r="FI67" s="155"/>
      <c r="FJ67" s="155"/>
      <c r="FK67" s="155"/>
      <c r="FL67" s="155"/>
      <c r="FM67" s="155"/>
      <c r="FN67" s="155"/>
      <c r="FO67" s="155"/>
      <c r="FP67" s="155"/>
      <c r="FQ67" s="155"/>
      <c r="FR67" s="155"/>
      <c r="FS67" s="155"/>
      <c r="FT67" s="155"/>
      <c r="FU67" s="155"/>
      <c r="FV67" s="155"/>
      <c r="FW67" s="155"/>
      <c r="FX67" s="155"/>
      <c r="FY67" s="155"/>
      <c r="FZ67" s="155"/>
      <c r="GA67" s="155"/>
      <c r="GB67" s="155"/>
      <c r="GC67" s="155"/>
      <c r="GD67" s="155"/>
      <c r="GE67" s="155"/>
      <c r="GF67" s="155"/>
      <c r="IH67" s="66"/>
      <c r="II67" s="66"/>
      <c r="IJ67" s="66"/>
      <c r="IK67" s="66"/>
      <c r="IL67" s="66"/>
      <c r="IM67" s="66"/>
      <c r="IN67" s="66"/>
      <c r="IO67" s="66"/>
      <c r="IP67" s="66"/>
      <c r="IQ67" s="66"/>
      <c r="IR67" s="66"/>
      <c r="IS67" s="66"/>
      <c r="IT67" s="66"/>
      <c r="IU67" s="66"/>
      <c r="IV67" s="66"/>
      <c r="IW67" s="66"/>
      <c r="IX67" s="66"/>
      <c r="IY67" s="66"/>
      <c r="IZ67" s="66"/>
      <c r="JA67" s="66"/>
      <c r="JB67" s="66"/>
      <c r="JC67" s="66"/>
      <c r="JD67" s="66"/>
      <c r="JE67" s="66"/>
      <c r="JF67" s="66"/>
      <c r="JG67" s="66"/>
      <c r="JH67" s="66"/>
    </row>
    <row r="68" spans="2:268" x14ac:dyDescent="0.25">
      <c r="B68" s="66"/>
      <c r="C68" s="66"/>
      <c r="D68" s="66"/>
      <c r="E68" s="66"/>
      <c r="F68" s="66"/>
      <c r="G68" s="152"/>
      <c r="H68" s="152"/>
      <c r="I68" s="66"/>
      <c r="J68" s="66"/>
      <c r="CT68" s="155"/>
      <c r="CU68" s="155"/>
      <c r="CV68" s="155"/>
      <c r="CW68" s="155"/>
      <c r="CX68" s="155"/>
      <c r="CY68" s="155"/>
      <c r="CZ68" s="155"/>
      <c r="DA68" s="155"/>
      <c r="DB68" s="155"/>
      <c r="DC68" s="155"/>
      <c r="DD68" s="155"/>
      <c r="DE68" s="155"/>
      <c r="DF68" s="155"/>
      <c r="DG68" s="155"/>
      <c r="DH68" s="155"/>
      <c r="DI68" s="155"/>
      <c r="DJ68" s="155"/>
      <c r="DK68" s="155"/>
      <c r="DL68" s="155"/>
      <c r="DM68" s="155"/>
      <c r="DN68" s="155"/>
      <c r="DO68" s="155"/>
      <c r="DP68" s="155"/>
      <c r="DQ68" s="155"/>
      <c r="DR68" s="155"/>
      <c r="DS68" s="155"/>
      <c r="DT68" s="155"/>
      <c r="DU68" s="155"/>
      <c r="DV68" s="155"/>
      <c r="DW68" s="155"/>
      <c r="DX68" s="156"/>
      <c r="DY68" s="155"/>
      <c r="DZ68" s="155"/>
      <c r="EA68" s="155"/>
      <c r="EB68" s="155"/>
      <c r="EC68" s="155"/>
      <c r="ED68" s="155"/>
      <c r="EE68" s="155"/>
      <c r="EF68" s="155"/>
      <c r="EG68" s="155"/>
      <c r="EH68" s="155"/>
      <c r="EI68" s="155"/>
      <c r="EJ68" s="155"/>
      <c r="EK68" s="155"/>
      <c r="EL68" s="155"/>
      <c r="EM68" s="155"/>
      <c r="EN68" s="155"/>
      <c r="EO68" s="155"/>
      <c r="EP68" s="155"/>
      <c r="EQ68" s="155"/>
      <c r="ER68" s="155"/>
      <c r="ES68" s="155"/>
      <c r="ET68" s="155"/>
      <c r="EU68" s="155"/>
      <c r="EV68" s="155"/>
      <c r="EW68" s="155"/>
      <c r="EX68" s="155"/>
      <c r="EY68" s="155"/>
      <c r="EZ68" s="155"/>
      <c r="FA68" s="155"/>
      <c r="FB68" s="155"/>
      <c r="FC68" s="155"/>
      <c r="FD68" s="155"/>
      <c r="FE68" s="155"/>
      <c r="FF68" s="155"/>
      <c r="FG68" s="155"/>
      <c r="FH68" s="155"/>
      <c r="FI68" s="155"/>
      <c r="FJ68" s="155"/>
      <c r="FK68" s="155"/>
      <c r="FL68" s="155"/>
      <c r="FM68" s="155"/>
      <c r="FN68" s="155"/>
      <c r="FO68" s="155"/>
      <c r="FP68" s="155"/>
      <c r="FQ68" s="155"/>
      <c r="FR68" s="155"/>
      <c r="FS68" s="155"/>
      <c r="FT68" s="155"/>
      <c r="FU68" s="155"/>
      <c r="FV68" s="155"/>
      <c r="FW68" s="155"/>
      <c r="FX68" s="155"/>
      <c r="FY68" s="155"/>
      <c r="FZ68" s="155"/>
      <c r="GA68" s="155"/>
      <c r="GB68" s="155"/>
      <c r="GC68" s="155"/>
      <c r="GD68" s="155"/>
      <c r="GE68" s="155"/>
      <c r="GF68" s="155"/>
      <c r="IH68" s="66"/>
      <c r="II68" s="66"/>
      <c r="IJ68" s="66"/>
      <c r="IK68" s="66"/>
      <c r="IL68" s="66"/>
      <c r="IM68" s="66"/>
      <c r="IN68" s="66"/>
      <c r="IO68" s="66"/>
      <c r="IP68" s="66"/>
      <c r="IQ68" s="66"/>
      <c r="IR68" s="66"/>
      <c r="IS68" s="66"/>
      <c r="IT68" s="66"/>
      <c r="IU68" s="66"/>
      <c r="IV68" s="66"/>
      <c r="IW68" s="66"/>
      <c r="IX68" s="66"/>
      <c r="IY68" s="66"/>
      <c r="IZ68" s="66"/>
      <c r="JA68" s="66"/>
      <c r="JB68" s="66"/>
      <c r="JC68" s="66"/>
      <c r="JD68" s="66"/>
      <c r="JE68" s="66"/>
      <c r="JF68" s="66"/>
      <c r="JG68" s="66"/>
      <c r="JH68" s="66"/>
    </row>
    <row r="69" spans="2:268" x14ac:dyDescent="0.25">
      <c r="B69" s="66"/>
      <c r="C69" s="66"/>
      <c r="D69" s="66"/>
      <c r="E69" s="66"/>
      <c r="F69" s="66"/>
      <c r="G69" s="152"/>
      <c r="H69" s="152"/>
      <c r="I69" s="66"/>
      <c r="J69" s="66"/>
      <c r="CT69" s="155"/>
      <c r="CU69" s="155"/>
      <c r="CV69" s="155"/>
      <c r="CW69" s="155"/>
      <c r="CX69" s="155"/>
      <c r="CY69" s="155"/>
      <c r="CZ69" s="155"/>
      <c r="DA69" s="155"/>
      <c r="DB69" s="155"/>
      <c r="DC69" s="155"/>
      <c r="DD69" s="155"/>
      <c r="DE69" s="155"/>
      <c r="DF69" s="155"/>
      <c r="DG69" s="155"/>
      <c r="DH69" s="155"/>
      <c r="DI69" s="155"/>
      <c r="DJ69" s="155"/>
      <c r="DK69" s="155"/>
      <c r="DL69" s="155"/>
      <c r="DM69" s="155"/>
      <c r="DN69" s="155"/>
      <c r="DO69" s="155"/>
      <c r="DP69" s="155"/>
      <c r="DQ69" s="155"/>
      <c r="DR69" s="155"/>
      <c r="DS69" s="155"/>
      <c r="DT69" s="155"/>
      <c r="DU69" s="155"/>
      <c r="DV69" s="155"/>
      <c r="DW69" s="155"/>
      <c r="DX69" s="156"/>
      <c r="DY69" s="155"/>
      <c r="DZ69" s="155"/>
      <c r="EA69" s="155"/>
      <c r="EB69" s="155"/>
      <c r="EC69" s="155"/>
      <c r="ED69" s="155"/>
      <c r="EE69" s="155"/>
      <c r="EF69" s="155"/>
      <c r="EG69" s="155"/>
      <c r="EH69" s="155"/>
      <c r="EI69" s="155"/>
      <c r="EJ69" s="155"/>
      <c r="EK69" s="155"/>
      <c r="EL69" s="155"/>
      <c r="EM69" s="155"/>
      <c r="EN69" s="155"/>
      <c r="EO69" s="155"/>
      <c r="EP69" s="155"/>
      <c r="EQ69" s="155"/>
      <c r="ER69" s="155"/>
      <c r="ES69" s="155"/>
      <c r="ET69" s="155"/>
      <c r="EU69" s="155"/>
      <c r="EV69" s="155"/>
      <c r="EW69" s="155"/>
      <c r="EX69" s="155"/>
      <c r="EY69" s="155"/>
      <c r="EZ69" s="155"/>
      <c r="FA69" s="155"/>
      <c r="FB69" s="155"/>
      <c r="FC69" s="155"/>
      <c r="FD69" s="155"/>
      <c r="FE69" s="155"/>
      <c r="FF69" s="155"/>
      <c r="FG69" s="155"/>
      <c r="FH69" s="155"/>
      <c r="FI69" s="155"/>
      <c r="FJ69" s="155"/>
      <c r="FK69" s="155"/>
      <c r="FL69" s="155"/>
      <c r="FM69" s="155"/>
      <c r="FN69" s="155"/>
      <c r="FO69" s="155"/>
      <c r="FP69" s="155"/>
      <c r="FQ69" s="155"/>
      <c r="FR69" s="155"/>
      <c r="FS69" s="155"/>
      <c r="FT69" s="155"/>
      <c r="FU69" s="155"/>
      <c r="FV69" s="155"/>
      <c r="FW69" s="155"/>
      <c r="FX69" s="155"/>
      <c r="FY69" s="155"/>
      <c r="FZ69" s="155"/>
      <c r="GA69" s="155"/>
      <c r="GB69" s="155"/>
      <c r="GC69" s="155"/>
      <c r="GD69" s="155"/>
      <c r="GE69" s="155"/>
      <c r="GF69" s="155"/>
      <c r="IH69" s="66"/>
      <c r="II69" s="66"/>
      <c r="IJ69" s="66"/>
      <c r="IK69" s="66"/>
      <c r="IL69" s="66"/>
      <c r="IM69" s="66"/>
      <c r="IN69" s="66"/>
      <c r="IO69" s="66"/>
      <c r="IP69" s="66"/>
      <c r="IQ69" s="66"/>
      <c r="IR69" s="66"/>
      <c r="IS69" s="66"/>
      <c r="IT69" s="66"/>
      <c r="IU69" s="66"/>
      <c r="IV69" s="66"/>
      <c r="IW69" s="66"/>
      <c r="IX69" s="66"/>
      <c r="IY69" s="66"/>
      <c r="IZ69" s="66"/>
      <c r="JA69" s="66"/>
      <c r="JB69" s="66"/>
      <c r="JC69" s="66"/>
      <c r="JD69" s="66"/>
      <c r="JE69" s="66"/>
      <c r="JF69" s="66"/>
      <c r="JG69" s="66"/>
      <c r="JH69" s="66"/>
    </row>
    <row r="70" spans="2:268" x14ac:dyDescent="0.25">
      <c r="G70" s="152"/>
      <c r="H70" s="152"/>
      <c r="CT70" s="155"/>
      <c r="CU70" s="155"/>
      <c r="CV70" s="155"/>
      <c r="CW70" s="155"/>
      <c r="CX70" s="155"/>
      <c r="CY70" s="155"/>
      <c r="CZ70" s="155"/>
      <c r="DA70" s="155"/>
      <c r="DB70" s="155"/>
      <c r="DC70" s="155"/>
      <c r="DD70" s="155"/>
      <c r="DE70" s="155"/>
      <c r="DF70" s="155"/>
      <c r="DG70" s="155"/>
      <c r="DH70" s="155"/>
      <c r="DI70" s="155"/>
      <c r="DJ70" s="155"/>
      <c r="DK70" s="155"/>
      <c r="DL70" s="155"/>
      <c r="DM70" s="155"/>
      <c r="DN70" s="155"/>
      <c r="DO70" s="155"/>
      <c r="DP70" s="155"/>
      <c r="DQ70" s="155"/>
      <c r="DR70" s="155"/>
      <c r="DS70" s="155"/>
      <c r="DT70" s="155"/>
      <c r="DU70" s="155"/>
      <c r="DV70" s="155"/>
      <c r="DW70" s="155"/>
      <c r="DX70" s="156"/>
      <c r="DY70" s="155"/>
      <c r="DZ70" s="155"/>
      <c r="EA70" s="155"/>
      <c r="EB70" s="155"/>
      <c r="EC70" s="155"/>
      <c r="ED70" s="155"/>
      <c r="EE70" s="155"/>
      <c r="EF70" s="155"/>
      <c r="EG70" s="155"/>
      <c r="EH70" s="155"/>
      <c r="EI70" s="155"/>
      <c r="EJ70" s="155"/>
      <c r="EK70" s="155"/>
      <c r="EL70" s="155"/>
      <c r="EM70" s="155"/>
      <c r="EN70" s="155"/>
      <c r="EO70" s="155"/>
      <c r="EP70" s="155"/>
      <c r="EQ70" s="155"/>
      <c r="ER70" s="155"/>
      <c r="ES70" s="155"/>
      <c r="ET70" s="155"/>
      <c r="EU70" s="155"/>
      <c r="EV70" s="155"/>
      <c r="EW70" s="155"/>
      <c r="EX70" s="155"/>
      <c r="EY70" s="155"/>
      <c r="EZ70" s="155"/>
      <c r="FA70" s="155"/>
      <c r="FB70" s="155"/>
      <c r="FC70" s="155"/>
      <c r="FD70" s="155"/>
      <c r="FE70" s="155"/>
      <c r="FF70" s="155"/>
      <c r="FG70" s="155"/>
      <c r="FH70" s="155"/>
      <c r="FI70" s="155"/>
      <c r="FJ70" s="155"/>
      <c r="FK70" s="155"/>
      <c r="FL70" s="155"/>
      <c r="FM70" s="155"/>
      <c r="FN70" s="155"/>
      <c r="FO70" s="155"/>
      <c r="FP70" s="155"/>
      <c r="FQ70" s="155"/>
      <c r="FR70" s="155"/>
      <c r="FS70" s="155"/>
      <c r="FT70" s="155"/>
      <c r="FU70" s="155"/>
      <c r="FV70" s="155"/>
      <c r="FW70" s="155"/>
      <c r="FX70" s="155"/>
      <c r="FY70" s="155"/>
      <c r="FZ70" s="155"/>
      <c r="GA70" s="155"/>
      <c r="GB70" s="155"/>
      <c r="GC70" s="155"/>
      <c r="GD70" s="155"/>
      <c r="GE70" s="155"/>
      <c r="GF70" s="155"/>
      <c r="IH70" s="66"/>
      <c r="II70" s="66"/>
      <c r="IJ70" s="66"/>
      <c r="IK70" s="66"/>
      <c r="IL70" s="66"/>
      <c r="IM70" s="66"/>
      <c r="IN70" s="66"/>
      <c r="IO70" s="66"/>
      <c r="IP70" s="66"/>
      <c r="IQ70" s="66"/>
      <c r="IR70" s="66"/>
      <c r="IS70" s="66"/>
      <c r="IT70" s="66"/>
      <c r="IU70" s="66"/>
      <c r="IV70" s="66"/>
      <c r="IW70" s="66"/>
      <c r="IX70" s="66"/>
      <c r="IY70" s="66"/>
      <c r="IZ70" s="66"/>
      <c r="JA70" s="66"/>
      <c r="JB70" s="66"/>
      <c r="JC70" s="66"/>
      <c r="JD70" s="66"/>
      <c r="JE70" s="66"/>
      <c r="JF70" s="66"/>
      <c r="JG70" s="66"/>
      <c r="JH70" s="66"/>
    </row>
    <row r="71" spans="2:268" x14ac:dyDescent="0.25">
      <c r="G71" s="152"/>
      <c r="H71" s="152"/>
      <c r="CT71" s="155"/>
      <c r="CU71" s="155"/>
      <c r="CV71" s="155"/>
      <c r="CW71" s="155"/>
      <c r="CX71" s="155"/>
      <c r="CY71" s="155"/>
      <c r="CZ71" s="155"/>
      <c r="DA71" s="155"/>
      <c r="DB71" s="155"/>
      <c r="DC71" s="155"/>
      <c r="DD71" s="155"/>
      <c r="DE71" s="155"/>
      <c r="DF71" s="155"/>
      <c r="DG71" s="155"/>
      <c r="DH71" s="155"/>
      <c r="DI71" s="155"/>
      <c r="DJ71" s="155"/>
      <c r="DK71" s="155"/>
      <c r="DL71" s="155"/>
      <c r="DM71" s="155"/>
      <c r="DN71" s="155"/>
      <c r="DO71" s="155"/>
      <c r="DP71" s="155"/>
      <c r="DQ71" s="155"/>
      <c r="DR71" s="155"/>
      <c r="DS71" s="155"/>
      <c r="DT71" s="155"/>
      <c r="DU71" s="155"/>
      <c r="DV71" s="155"/>
      <c r="DW71" s="155"/>
      <c r="DX71" s="156"/>
      <c r="DY71" s="155"/>
      <c r="DZ71" s="155"/>
      <c r="EA71" s="155"/>
      <c r="EB71" s="155"/>
      <c r="EC71" s="155"/>
      <c r="ED71" s="155"/>
      <c r="EE71" s="155"/>
      <c r="EF71" s="155"/>
      <c r="EG71" s="155"/>
      <c r="EH71" s="155"/>
      <c r="EI71" s="155"/>
      <c r="EJ71" s="155"/>
      <c r="EK71" s="155"/>
      <c r="EL71" s="155"/>
      <c r="EM71" s="155"/>
      <c r="EN71" s="155"/>
      <c r="EO71" s="155"/>
      <c r="EP71" s="155"/>
      <c r="EQ71" s="155"/>
      <c r="ER71" s="155"/>
      <c r="ES71" s="155"/>
      <c r="ET71" s="155"/>
      <c r="EU71" s="155"/>
      <c r="EV71" s="155"/>
      <c r="EW71" s="155"/>
      <c r="EX71" s="155"/>
      <c r="EY71" s="155"/>
      <c r="EZ71" s="155"/>
      <c r="FA71" s="155"/>
      <c r="FB71" s="155"/>
      <c r="FC71" s="155"/>
      <c r="FD71" s="155"/>
      <c r="FE71" s="155"/>
      <c r="FF71" s="155"/>
      <c r="FG71" s="155"/>
      <c r="FH71" s="155"/>
      <c r="FI71" s="155"/>
      <c r="FJ71" s="155"/>
      <c r="FK71" s="155"/>
      <c r="FL71" s="155"/>
      <c r="FM71" s="155"/>
      <c r="FN71" s="155"/>
      <c r="FO71" s="155"/>
      <c r="FP71" s="155"/>
      <c r="FQ71" s="155"/>
      <c r="FR71" s="155"/>
      <c r="FS71" s="155"/>
      <c r="FT71" s="155"/>
      <c r="FU71" s="155"/>
      <c r="FV71" s="155"/>
      <c r="FW71" s="155"/>
      <c r="FX71" s="155"/>
      <c r="FY71" s="155"/>
      <c r="FZ71" s="155"/>
      <c r="GA71" s="155"/>
      <c r="GB71" s="155"/>
      <c r="GC71" s="155"/>
      <c r="GD71" s="155"/>
      <c r="GE71" s="155"/>
      <c r="GF71" s="155"/>
      <c r="IH71" s="66"/>
      <c r="II71" s="66"/>
      <c r="IJ71" s="66"/>
      <c r="IK71" s="66"/>
      <c r="IL71" s="66"/>
      <c r="IM71" s="66"/>
      <c r="IN71" s="66"/>
      <c r="IO71" s="66"/>
      <c r="IP71" s="66"/>
      <c r="IQ71" s="66"/>
      <c r="IR71" s="66"/>
      <c r="IS71" s="66"/>
      <c r="IT71" s="66"/>
      <c r="IU71" s="66"/>
      <c r="IV71" s="66"/>
      <c r="IW71" s="66"/>
      <c r="IX71" s="66"/>
      <c r="IY71" s="66"/>
      <c r="IZ71" s="66"/>
      <c r="JA71" s="66"/>
      <c r="JB71" s="66"/>
      <c r="JC71" s="66"/>
      <c r="JD71" s="66"/>
      <c r="JE71" s="66"/>
      <c r="JF71" s="66"/>
      <c r="JG71" s="66"/>
      <c r="JH71" s="66"/>
    </row>
    <row r="72" spans="2:268" x14ac:dyDescent="0.25">
      <c r="H72" s="152"/>
      <c r="CT72" s="155"/>
      <c r="CU72" s="155"/>
      <c r="CV72" s="155"/>
      <c r="CW72" s="155"/>
      <c r="CX72" s="155"/>
      <c r="CY72" s="155"/>
      <c r="CZ72" s="155"/>
      <c r="DA72" s="155"/>
      <c r="DB72" s="155"/>
      <c r="DC72" s="155"/>
      <c r="DD72" s="155"/>
      <c r="DE72" s="155"/>
      <c r="DF72" s="155"/>
      <c r="DG72" s="155"/>
      <c r="DH72" s="155"/>
      <c r="DI72" s="155"/>
      <c r="DJ72" s="155"/>
      <c r="DK72" s="155"/>
      <c r="DL72" s="155"/>
      <c r="DM72" s="155"/>
      <c r="DN72" s="155"/>
      <c r="DO72" s="155"/>
      <c r="DP72" s="155"/>
      <c r="DQ72" s="155"/>
      <c r="DR72" s="155"/>
      <c r="DS72" s="155"/>
      <c r="DT72" s="155"/>
      <c r="DU72" s="155"/>
      <c r="DV72" s="155"/>
      <c r="DW72" s="155"/>
      <c r="DX72" s="156"/>
      <c r="DY72" s="155"/>
      <c r="DZ72" s="155"/>
      <c r="EA72" s="155"/>
      <c r="EB72" s="155"/>
      <c r="EC72" s="155"/>
      <c r="ED72" s="155"/>
      <c r="EE72" s="155"/>
      <c r="EF72" s="155"/>
      <c r="EG72" s="155"/>
      <c r="EH72" s="155"/>
      <c r="EI72" s="155"/>
      <c r="EJ72" s="155"/>
      <c r="EK72" s="155"/>
      <c r="EL72" s="155"/>
      <c r="EM72" s="155"/>
      <c r="EN72" s="155"/>
      <c r="EO72" s="155"/>
      <c r="EP72" s="155"/>
      <c r="EQ72" s="155"/>
      <c r="ER72" s="155"/>
      <c r="ES72" s="155"/>
      <c r="ET72" s="155"/>
      <c r="EU72" s="155"/>
      <c r="EV72" s="155"/>
      <c r="EW72" s="155"/>
      <c r="EX72" s="155"/>
      <c r="EY72" s="155"/>
      <c r="EZ72" s="155"/>
      <c r="FA72" s="155"/>
      <c r="FB72" s="155"/>
      <c r="FC72" s="155"/>
      <c r="FD72" s="155"/>
      <c r="FE72" s="155"/>
      <c r="FF72" s="155"/>
      <c r="FG72" s="155"/>
      <c r="FH72" s="155"/>
      <c r="FI72" s="155"/>
      <c r="FJ72" s="155"/>
      <c r="FK72" s="155"/>
      <c r="FL72" s="155"/>
      <c r="FM72" s="155"/>
      <c r="FN72" s="155"/>
      <c r="FO72" s="155"/>
      <c r="FP72" s="155"/>
      <c r="FQ72" s="155"/>
      <c r="FR72" s="155"/>
      <c r="FS72" s="155"/>
      <c r="FT72" s="155"/>
      <c r="FU72" s="155"/>
      <c r="FV72" s="155"/>
      <c r="FW72" s="155"/>
      <c r="FX72" s="155"/>
      <c r="FY72" s="155"/>
      <c r="FZ72" s="155"/>
      <c r="GA72" s="155"/>
      <c r="GB72" s="155"/>
      <c r="GC72" s="155"/>
      <c r="GD72" s="155"/>
      <c r="GE72" s="155"/>
      <c r="GF72" s="155"/>
      <c r="IH72" s="66"/>
      <c r="II72" s="66"/>
      <c r="IJ72" s="66"/>
      <c r="IK72" s="66"/>
      <c r="IL72" s="66"/>
      <c r="IM72" s="66"/>
      <c r="IN72" s="66"/>
      <c r="IO72" s="66"/>
      <c r="IP72" s="66"/>
      <c r="IQ72" s="66"/>
      <c r="IR72" s="66"/>
      <c r="IS72" s="66"/>
      <c r="IT72" s="66"/>
      <c r="IU72" s="66"/>
      <c r="IV72" s="66"/>
      <c r="IW72" s="66"/>
      <c r="IX72" s="66"/>
      <c r="IY72" s="66"/>
      <c r="IZ72" s="66"/>
      <c r="JA72" s="66"/>
      <c r="JB72" s="66"/>
      <c r="JC72" s="66"/>
      <c r="JD72" s="66"/>
      <c r="JE72" s="66"/>
      <c r="JF72" s="66"/>
      <c r="JG72" s="66"/>
      <c r="JH72" s="66"/>
    </row>
    <row r="73" spans="2:268" x14ac:dyDescent="0.25">
      <c r="G73" s="152"/>
      <c r="H73" s="152"/>
      <c r="CT73" s="155"/>
      <c r="CU73" s="155"/>
      <c r="CV73" s="155"/>
      <c r="CW73" s="155"/>
      <c r="CX73" s="155"/>
      <c r="CY73" s="155"/>
      <c r="CZ73" s="155"/>
      <c r="DA73" s="155"/>
      <c r="DB73" s="155"/>
      <c r="DC73" s="155"/>
      <c r="DD73" s="155"/>
      <c r="DE73" s="155"/>
      <c r="DF73" s="155"/>
      <c r="DG73" s="155"/>
      <c r="DH73" s="155"/>
      <c r="DI73" s="155"/>
      <c r="DJ73" s="155"/>
      <c r="DK73" s="155"/>
      <c r="DL73" s="155"/>
      <c r="DM73" s="155"/>
      <c r="DN73" s="155"/>
      <c r="DO73" s="155"/>
      <c r="DP73" s="155"/>
      <c r="DQ73" s="155"/>
      <c r="DR73" s="155"/>
      <c r="DS73" s="155"/>
      <c r="DT73" s="155"/>
      <c r="DU73" s="155"/>
      <c r="DV73" s="155"/>
      <c r="DW73" s="155"/>
      <c r="DX73" s="156"/>
      <c r="DY73" s="155"/>
      <c r="DZ73" s="155"/>
      <c r="EA73" s="155"/>
      <c r="EB73" s="155"/>
      <c r="EC73" s="155"/>
      <c r="ED73" s="155"/>
      <c r="EE73" s="155"/>
      <c r="EF73" s="155"/>
      <c r="EG73" s="155"/>
      <c r="EH73" s="155"/>
      <c r="EI73" s="155"/>
      <c r="EJ73" s="155"/>
      <c r="EK73" s="155"/>
      <c r="EL73" s="155"/>
      <c r="EM73" s="155"/>
      <c r="EN73" s="155"/>
      <c r="EO73" s="155"/>
      <c r="EP73" s="155"/>
      <c r="EQ73" s="155"/>
      <c r="ER73" s="155"/>
      <c r="ES73" s="155"/>
      <c r="ET73" s="155"/>
      <c r="EU73" s="155"/>
      <c r="EV73" s="155"/>
      <c r="EW73" s="155"/>
      <c r="EX73" s="155"/>
      <c r="EY73" s="155"/>
      <c r="EZ73" s="155"/>
      <c r="FA73" s="155"/>
      <c r="FB73" s="155"/>
      <c r="FC73" s="155"/>
      <c r="FD73" s="155"/>
      <c r="FE73" s="155"/>
      <c r="FF73" s="155"/>
      <c r="FG73" s="155"/>
      <c r="FH73" s="155"/>
      <c r="FI73" s="155"/>
      <c r="FJ73" s="155"/>
      <c r="FK73" s="155"/>
      <c r="FL73" s="155"/>
      <c r="FM73" s="155"/>
      <c r="FN73" s="155"/>
      <c r="FO73" s="155"/>
      <c r="FP73" s="155"/>
      <c r="FQ73" s="155"/>
      <c r="FR73" s="155"/>
      <c r="FS73" s="155"/>
      <c r="FT73" s="155"/>
      <c r="FU73" s="155"/>
      <c r="FV73" s="155"/>
      <c r="FW73" s="155"/>
      <c r="FX73" s="155"/>
      <c r="FY73" s="155"/>
      <c r="FZ73" s="155"/>
      <c r="GA73" s="155"/>
      <c r="GB73" s="155"/>
      <c r="GC73" s="155"/>
      <c r="GD73" s="155"/>
      <c r="GE73" s="155"/>
      <c r="GF73" s="155"/>
      <c r="IH73" s="66"/>
      <c r="II73" s="66"/>
      <c r="IJ73" s="66"/>
      <c r="IK73" s="66"/>
      <c r="IL73" s="66"/>
      <c r="IM73" s="66"/>
      <c r="IN73" s="66"/>
      <c r="IO73" s="66"/>
      <c r="IP73" s="66"/>
      <c r="IQ73" s="66"/>
      <c r="IR73" s="66"/>
      <c r="IS73" s="66"/>
      <c r="IT73" s="66"/>
      <c r="IU73" s="66"/>
      <c r="IV73" s="66"/>
      <c r="IW73" s="66"/>
      <c r="IX73" s="66"/>
      <c r="IY73" s="66"/>
      <c r="IZ73" s="66"/>
      <c r="JA73" s="66"/>
      <c r="JB73" s="66"/>
      <c r="JC73" s="66"/>
      <c r="JD73" s="66"/>
      <c r="JE73" s="66"/>
      <c r="JF73" s="66"/>
      <c r="JG73" s="66"/>
      <c r="JH73" s="66"/>
    </row>
    <row r="74" spans="2:268" x14ac:dyDescent="0.25">
      <c r="G74" s="152"/>
      <c r="CT74" s="155"/>
      <c r="CU74" s="155"/>
      <c r="CV74" s="155"/>
      <c r="CW74" s="155"/>
      <c r="CX74" s="155"/>
      <c r="CY74" s="155"/>
      <c r="CZ74" s="155"/>
      <c r="DA74" s="155"/>
      <c r="DB74" s="155"/>
      <c r="DC74" s="155"/>
      <c r="DD74" s="155"/>
      <c r="DE74" s="155"/>
      <c r="DF74" s="155"/>
      <c r="DG74" s="155"/>
      <c r="DH74" s="155"/>
      <c r="DI74" s="155"/>
      <c r="DJ74" s="155"/>
      <c r="DK74" s="155"/>
      <c r="DL74" s="155"/>
      <c r="DM74" s="155"/>
      <c r="DN74" s="155"/>
      <c r="DO74" s="155"/>
      <c r="DP74" s="155"/>
      <c r="DQ74" s="155"/>
      <c r="DR74" s="155"/>
      <c r="DS74" s="155"/>
      <c r="DT74" s="155"/>
      <c r="DU74" s="155"/>
      <c r="DV74" s="155"/>
      <c r="DW74" s="155"/>
      <c r="DX74" s="156"/>
      <c r="DY74" s="155"/>
      <c r="DZ74" s="155"/>
      <c r="EA74" s="155"/>
      <c r="EB74" s="155"/>
      <c r="EC74" s="155"/>
      <c r="ED74" s="155"/>
      <c r="EE74" s="155"/>
      <c r="EF74" s="155"/>
      <c r="EG74" s="155"/>
      <c r="EH74" s="155"/>
      <c r="EI74" s="155"/>
      <c r="EJ74" s="155"/>
      <c r="EK74" s="155"/>
      <c r="EL74" s="155"/>
      <c r="EM74" s="155"/>
      <c r="EN74" s="155"/>
      <c r="EO74" s="155"/>
      <c r="EP74" s="155"/>
      <c r="EQ74" s="155"/>
      <c r="ER74" s="155"/>
      <c r="ES74" s="155"/>
      <c r="ET74" s="155"/>
      <c r="EU74" s="155"/>
      <c r="EV74" s="155"/>
      <c r="EW74" s="155"/>
      <c r="EX74" s="155"/>
      <c r="EY74" s="155"/>
      <c r="EZ74" s="155"/>
      <c r="FA74" s="155"/>
      <c r="FB74" s="155"/>
      <c r="FC74" s="155"/>
      <c r="FD74" s="155"/>
      <c r="FE74" s="155"/>
      <c r="FF74" s="155"/>
      <c r="FG74" s="155"/>
      <c r="FH74" s="155"/>
      <c r="FI74" s="155"/>
      <c r="FJ74" s="155"/>
      <c r="FK74" s="155"/>
      <c r="FL74" s="155"/>
      <c r="FM74" s="155"/>
      <c r="FN74" s="155"/>
      <c r="FO74" s="155"/>
      <c r="FP74" s="155"/>
      <c r="FQ74" s="155"/>
      <c r="FR74" s="155"/>
      <c r="FS74" s="155"/>
      <c r="FT74" s="155"/>
      <c r="FU74" s="155"/>
      <c r="FV74" s="155"/>
      <c r="FW74" s="155"/>
      <c r="FX74" s="155"/>
      <c r="FY74" s="155"/>
      <c r="FZ74" s="155"/>
      <c r="GA74" s="155"/>
      <c r="GB74" s="155"/>
      <c r="GC74" s="155"/>
      <c r="GD74" s="155"/>
      <c r="GE74" s="155"/>
      <c r="GF74" s="155"/>
      <c r="IH74" s="66"/>
      <c r="II74" s="66"/>
      <c r="IJ74" s="66"/>
      <c r="IK74" s="66"/>
      <c r="IL74" s="66"/>
      <c r="IM74" s="66"/>
      <c r="IN74" s="66"/>
      <c r="IO74" s="66"/>
      <c r="IP74" s="66"/>
      <c r="IQ74" s="66"/>
      <c r="IR74" s="66"/>
      <c r="IS74" s="66"/>
      <c r="IT74" s="66"/>
      <c r="IU74" s="66"/>
      <c r="IV74" s="66"/>
      <c r="IW74" s="66"/>
      <c r="IX74" s="66"/>
      <c r="IY74" s="66"/>
      <c r="IZ74" s="66"/>
      <c r="JA74" s="66"/>
      <c r="JB74" s="66"/>
      <c r="JC74" s="66"/>
      <c r="JD74" s="66"/>
      <c r="JE74" s="66"/>
      <c r="JF74" s="66"/>
      <c r="JG74" s="66"/>
      <c r="JH74" s="66"/>
    </row>
    <row r="75" spans="2:268" x14ac:dyDescent="0.25">
      <c r="G75" s="152"/>
      <c r="H75" s="152"/>
      <c r="CT75" s="155"/>
      <c r="CU75" s="155"/>
      <c r="CV75" s="155"/>
      <c r="CW75" s="155"/>
      <c r="CX75" s="155"/>
      <c r="CY75" s="155"/>
      <c r="CZ75" s="155"/>
      <c r="DA75" s="155"/>
      <c r="DB75" s="155"/>
      <c r="DC75" s="155"/>
      <c r="DD75" s="155"/>
      <c r="DE75" s="155"/>
      <c r="DF75" s="155"/>
      <c r="DG75" s="155"/>
      <c r="DH75" s="155"/>
      <c r="DI75" s="155"/>
      <c r="DJ75" s="155"/>
      <c r="DK75" s="155"/>
      <c r="DL75" s="155"/>
      <c r="DM75" s="155"/>
      <c r="DN75" s="155"/>
      <c r="DO75" s="155"/>
      <c r="DP75" s="155"/>
      <c r="DQ75" s="155"/>
      <c r="DR75" s="155"/>
      <c r="DS75" s="155"/>
      <c r="DT75" s="155"/>
      <c r="DU75" s="155"/>
      <c r="DV75" s="155"/>
      <c r="DW75" s="155"/>
      <c r="DX75" s="156"/>
      <c r="DY75" s="155"/>
      <c r="DZ75" s="155"/>
      <c r="EA75" s="155"/>
      <c r="EB75" s="155"/>
      <c r="EC75" s="155"/>
      <c r="ED75" s="155"/>
      <c r="EE75" s="155"/>
      <c r="EF75" s="155"/>
      <c r="EG75" s="155"/>
      <c r="EH75" s="155"/>
      <c r="EI75" s="155"/>
      <c r="EJ75" s="155"/>
      <c r="EK75" s="155"/>
      <c r="EL75" s="155"/>
      <c r="EM75" s="155"/>
      <c r="EN75" s="155"/>
      <c r="EO75" s="155"/>
      <c r="EP75" s="155"/>
      <c r="EQ75" s="155"/>
      <c r="ER75" s="155"/>
      <c r="ES75" s="155"/>
      <c r="ET75" s="155"/>
      <c r="EU75" s="155"/>
      <c r="EV75" s="155"/>
      <c r="EW75" s="155"/>
      <c r="EX75" s="155"/>
      <c r="EY75" s="155"/>
      <c r="EZ75" s="155"/>
      <c r="FA75" s="155"/>
      <c r="FB75" s="155"/>
      <c r="FC75" s="155"/>
      <c r="FD75" s="155"/>
      <c r="FE75" s="155"/>
      <c r="FF75" s="155"/>
      <c r="FG75" s="155"/>
      <c r="FH75" s="155"/>
      <c r="FI75" s="155"/>
      <c r="FJ75" s="155"/>
      <c r="FK75" s="155"/>
      <c r="FL75" s="155"/>
      <c r="FM75" s="155"/>
      <c r="FN75" s="155"/>
      <c r="FO75" s="155"/>
      <c r="FP75" s="155"/>
      <c r="FQ75" s="155"/>
      <c r="FR75" s="155"/>
      <c r="FS75" s="155"/>
      <c r="FT75" s="155"/>
      <c r="FU75" s="155"/>
      <c r="FV75" s="155"/>
      <c r="FW75" s="155"/>
      <c r="FX75" s="155"/>
      <c r="FY75" s="155"/>
      <c r="FZ75" s="155"/>
      <c r="GA75" s="155"/>
      <c r="GB75" s="155"/>
      <c r="GC75" s="155"/>
      <c r="GD75" s="155"/>
      <c r="GE75" s="155"/>
      <c r="GF75" s="155"/>
      <c r="IH75" s="66"/>
      <c r="II75" s="66"/>
      <c r="IJ75" s="66"/>
      <c r="IK75" s="66"/>
      <c r="IL75" s="66"/>
      <c r="IM75" s="66"/>
      <c r="IN75" s="66"/>
      <c r="IO75" s="66"/>
      <c r="IP75" s="66"/>
      <c r="IQ75" s="66"/>
      <c r="IR75" s="66"/>
      <c r="IS75" s="66"/>
      <c r="IT75" s="66"/>
      <c r="IU75" s="66"/>
      <c r="IV75" s="66"/>
      <c r="IW75" s="66"/>
      <c r="IX75" s="66"/>
      <c r="IY75" s="66"/>
      <c r="IZ75" s="66"/>
      <c r="JA75" s="66"/>
      <c r="JB75" s="66"/>
      <c r="JC75" s="66"/>
      <c r="JD75" s="66"/>
      <c r="JE75" s="66"/>
      <c r="JF75" s="66"/>
      <c r="JG75" s="66"/>
      <c r="JH75" s="66"/>
    </row>
    <row r="76" spans="2:268" x14ac:dyDescent="0.25">
      <c r="G76" s="152"/>
      <c r="CT76" s="155"/>
      <c r="CU76" s="155"/>
      <c r="CV76" s="155"/>
      <c r="CW76" s="155"/>
      <c r="CX76" s="155"/>
      <c r="CY76" s="155"/>
      <c r="CZ76" s="155"/>
      <c r="DA76" s="155"/>
      <c r="DB76" s="155"/>
      <c r="DC76" s="155"/>
      <c r="DD76" s="155"/>
      <c r="DE76" s="155"/>
      <c r="DF76" s="155"/>
      <c r="DG76" s="155"/>
      <c r="DH76" s="155"/>
      <c r="DI76" s="155"/>
      <c r="DJ76" s="155"/>
      <c r="DK76" s="155"/>
      <c r="DL76" s="155"/>
      <c r="DM76" s="155"/>
      <c r="DN76" s="155"/>
      <c r="DO76" s="155"/>
      <c r="DP76" s="155"/>
      <c r="DQ76" s="155"/>
      <c r="DR76" s="155"/>
      <c r="DS76" s="155"/>
      <c r="DT76" s="155"/>
      <c r="DU76" s="155"/>
      <c r="DV76" s="155"/>
      <c r="DW76" s="155"/>
      <c r="DX76" s="156"/>
      <c r="DY76" s="155"/>
      <c r="DZ76" s="155"/>
      <c r="EA76" s="155"/>
      <c r="EB76" s="155"/>
      <c r="EC76" s="155"/>
      <c r="ED76" s="155"/>
      <c r="EE76" s="155"/>
      <c r="EF76" s="155"/>
      <c r="EG76" s="155"/>
      <c r="EH76" s="155"/>
      <c r="EI76" s="155"/>
      <c r="EJ76" s="155"/>
      <c r="EK76" s="155"/>
      <c r="EL76" s="155"/>
      <c r="EM76" s="155"/>
      <c r="EN76" s="155"/>
      <c r="EO76" s="155"/>
      <c r="EP76" s="155"/>
      <c r="EQ76" s="155"/>
      <c r="ER76" s="155"/>
      <c r="ES76" s="155"/>
      <c r="ET76" s="155"/>
      <c r="EU76" s="155"/>
      <c r="EV76" s="155"/>
      <c r="EW76" s="155"/>
      <c r="EX76" s="155"/>
      <c r="EY76" s="155"/>
      <c r="EZ76" s="155"/>
      <c r="FA76" s="155"/>
      <c r="FB76" s="155"/>
      <c r="FC76" s="155"/>
      <c r="FD76" s="155"/>
      <c r="FE76" s="155"/>
      <c r="FF76" s="155"/>
      <c r="FG76" s="155"/>
      <c r="FH76" s="155"/>
      <c r="FI76" s="155"/>
      <c r="FJ76" s="155"/>
      <c r="FK76" s="155"/>
      <c r="FL76" s="155"/>
      <c r="FM76" s="155"/>
      <c r="FN76" s="155"/>
      <c r="FO76" s="155"/>
      <c r="FP76" s="155"/>
      <c r="FQ76" s="155"/>
      <c r="FR76" s="155"/>
      <c r="FS76" s="155"/>
      <c r="FT76" s="155"/>
      <c r="FU76" s="155"/>
      <c r="FV76" s="155"/>
      <c r="FW76" s="155"/>
      <c r="FX76" s="155"/>
      <c r="FY76" s="155"/>
      <c r="FZ76" s="155"/>
      <c r="GA76" s="155"/>
      <c r="GB76" s="155"/>
      <c r="GC76" s="155"/>
      <c r="GD76" s="155"/>
      <c r="GE76" s="155"/>
      <c r="GF76" s="155"/>
      <c r="IH76" s="66"/>
      <c r="II76" s="66"/>
      <c r="IJ76" s="66"/>
      <c r="IK76" s="66"/>
      <c r="IL76" s="66"/>
      <c r="IM76" s="66"/>
      <c r="IN76" s="66"/>
      <c r="IO76" s="66"/>
      <c r="IP76" s="66"/>
      <c r="IQ76" s="66"/>
      <c r="IR76" s="66"/>
      <c r="IS76" s="66"/>
      <c r="IT76" s="66"/>
      <c r="IU76" s="66"/>
      <c r="IV76" s="66"/>
      <c r="IW76" s="66"/>
      <c r="IX76" s="66"/>
      <c r="IY76" s="66"/>
      <c r="IZ76" s="66"/>
      <c r="JA76" s="66"/>
      <c r="JB76" s="66"/>
      <c r="JC76" s="66"/>
      <c r="JD76" s="66"/>
      <c r="JE76" s="66"/>
      <c r="JF76" s="66"/>
      <c r="JG76" s="66"/>
      <c r="JH76" s="66"/>
    </row>
    <row r="77" spans="2:268" x14ac:dyDescent="0.25">
      <c r="G77" s="152"/>
      <c r="H77" s="152"/>
      <c r="CT77" s="155"/>
      <c r="CU77" s="155"/>
      <c r="CV77" s="155"/>
      <c r="CW77" s="155"/>
      <c r="CX77" s="155"/>
      <c r="CY77" s="155"/>
      <c r="CZ77" s="155"/>
      <c r="DA77" s="155"/>
      <c r="DB77" s="155"/>
      <c r="DC77" s="155"/>
      <c r="DD77" s="155"/>
      <c r="DE77" s="155"/>
      <c r="DF77" s="155"/>
      <c r="DG77" s="155"/>
      <c r="DH77" s="155"/>
      <c r="DI77" s="155"/>
      <c r="DJ77" s="155"/>
      <c r="DK77" s="155"/>
      <c r="DL77" s="155"/>
      <c r="DM77" s="155"/>
      <c r="DN77" s="155"/>
      <c r="DO77" s="155"/>
      <c r="DP77" s="155"/>
      <c r="DQ77" s="155"/>
      <c r="DR77" s="155"/>
      <c r="DS77" s="155"/>
      <c r="DT77" s="155"/>
      <c r="DU77" s="155"/>
      <c r="DV77" s="155"/>
      <c r="DW77" s="155"/>
      <c r="DX77" s="156"/>
      <c r="DY77" s="155"/>
      <c r="DZ77" s="155"/>
      <c r="EA77" s="155"/>
      <c r="EB77" s="155"/>
      <c r="EC77" s="155"/>
      <c r="ED77" s="155"/>
      <c r="EE77" s="155"/>
      <c r="EF77" s="155"/>
      <c r="EG77" s="155"/>
      <c r="EH77" s="155"/>
      <c r="EI77" s="155"/>
      <c r="EJ77" s="155"/>
      <c r="EK77" s="155"/>
      <c r="EL77" s="155"/>
      <c r="EM77" s="155"/>
      <c r="EN77" s="155"/>
      <c r="EO77" s="155"/>
      <c r="EP77" s="155"/>
      <c r="EQ77" s="155"/>
      <c r="ER77" s="155"/>
      <c r="ES77" s="155"/>
      <c r="ET77" s="155"/>
      <c r="EU77" s="155"/>
      <c r="EV77" s="155"/>
      <c r="EW77" s="155"/>
      <c r="EX77" s="155"/>
      <c r="EY77" s="155"/>
      <c r="EZ77" s="155"/>
      <c r="FA77" s="155"/>
      <c r="FB77" s="155"/>
      <c r="FC77" s="155"/>
      <c r="FD77" s="155"/>
      <c r="FE77" s="155"/>
      <c r="FF77" s="155"/>
      <c r="FG77" s="155"/>
      <c r="FH77" s="155"/>
      <c r="FI77" s="155"/>
      <c r="FJ77" s="155"/>
      <c r="FK77" s="155"/>
      <c r="FL77" s="155"/>
      <c r="FM77" s="155"/>
      <c r="FN77" s="155"/>
      <c r="FO77" s="155"/>
      <c r="FP77" s="155"/>
      <c r="FQ77" s="155"/>
      <c r="FR77" s="155"/>
      <c r="FS77" s="155"/>
      <c r="FT77" s="155"/>
      <c r="FU77" s="155"/>
      <c r="FV77" s="155"/>
      <c r="FW77" s="155"/>
      <c r="FX77" s="155"/>
      <c r="FY77" s="155"/>
      <c r="FZ77" s="155"/>
      <c r="GA77" s="155"/>
      <c r="GB77" s="155"/>
      <c r="GC77" s="155"/>
      <c r="GD77" s="155"/>
      <c r="GE77" s="155"/>
      <c r="GF77" s="155"/>
      <c r="IH77" s="66"/>
      <c r="II77" s="66"/>
      <c r="IJ77" s="66"/>
      <c r="IK77" s="66"/>
      <c r="IL77" s="66"/>
      <c r="IM77" s="66"/>
      <c r="IN77" s="66"/>
      <c r="IO77" s="66"/>
      <c r="IP77" s="66"/>
      <c r="IQ77" s="66"/>
      <c r="IR77" s="66"/>
      <c r="IS77" s="66"/>
      <c r="IT77" s="66"/>
      <c r="IU77" s="66"/>
      <c r="IV77" s="66"/>
      <c r="IW77" s="66"/>
      <c r="IX77" s="66"/>
      <c r="IY77" s="66"/>
      <c r="IZ77" s="66"/>
      <c r="JA77" s="66"/>
      <c r="JB77" s="66"/>
      <c r="JC77" s="66"/>
      <c r="JD77" s="66"/>
      <c r="JE77" s="66"/>
      <c r="JF77" s="66"/>
      <c r="JG77" s="66"/>
      <c r="JH77" s="66"/>
    </row>
    <row r="78" spans="2:268" x14ac:dyDescent="0.25">
      <c r="G78" s="152"/>
      <c r="H78" s="152"/>
      <c r="CT78" s="155"/>
      <c r="CU78" s="155"/>
      <c r="CV78" s="155"/>
      <c r="CW78" s="155"/>
      <c r="CX78" s="155"/>
      <c r="CY78" s="155"/>
      <c r="CZ78" s="155"/>
      <c r="DA78" s="155"/>
      <c r="DB78" s="155"/>
      <c r="DC78" s="155"/>
      <c r="DD78" s="155"/>
      <c r="DE78" s="155"/>
      <c r="DF78" s="155"/>
      <c r="DG78" s="155"/>
      <c r="DH78" s="155"/>
      <c r="DI78" s="155"/>
      <c r="DJ78" s="155"/>
      <c r="DK78" s="155"/>
      <c r="DL78" s="155"/>
      <c r="DM78" s="155"/>
      <c r="DN78" s="155"/>
      <c r="DO78" s="155"/>
      <c r="DP78" s="155"/>
      <c r="DQ78" s="155"/>
      <c r="DR78" s="155"/>
      <c r="DS78" s="155"/>
      <c r="DT78" s="155"/>
      <c r="DU78" s="155"/>
      <c r="DV78" s="155"/>
      <c r="DW78" s="155"/>
      <c r="DX78" s="156"/>
      <c r="DY78" s="155"/>
      <c r="DZ78" s="155"/>
      <c r="EA78" s="155"/>
      <c r="EB78" s="155"/>
      <c r="EC78" s="155"/>
      <c r="ED78" s="155"/>
      <c r="EE78" s="155"/>
      <c r="EF78" s="155"/>
      <c r="EG78" s="155"/>
      <c r="EH78" s="155"/>
      <c r="EI78" s="155"/>
      <c r="EJ78" s="155"/>
      <c r="EK78" s="155"/>
      <c r="EL78" s="155"/>
      <c r="EM78" s="155"/>
      <c r="EN78" s="155"/>
      <c r="EO78" s="155"/>
      <c r="EP78" s="155"/>
      <c r="EQ78" s="155"/>
      <c r="ER78" s="155"/>
      <c r="ES78" s="155"/>
      <c r="ET78" s="155"/>
      <c r="EU78" s="155"/>
      <c r="EV78" s="155"/>
      <c r="EW78" s="155"/>
      <c r="EX78" s="155"/>
      <c r="EY78" s="155"/>
      <c r="EZ78" s="155"/>
      <c r="FA78" s="155"/>
      <c r="FB78" s="155"/>
      <c r="FC78" s="155"/>
      <c r="FD78" s="155"/>
      <c r="FE78" s="155"/>
      <c r="FF78" s="155"/>
      <c r="FG78" s="155"/>
      <c r="FH78" s="155"/>
      <c r="FI78" s="155"/>
      <c r="FJ78" s="155"/>
      <c r="FK78" s="155"/>
      <c r="FL78" s="155"/>
      <c r="FM78" s="155"/>
      <c r="FN78" s="155"/>
      <c r="FO78" s="155"/>
      <c r="FP78" s="155"/>
      <c r="FQ78" s="155"/>
      <c r="FR78" s="155"/>
      <c r="FS78" s="155"/>
      <c r="FT78" s="155"/>
      <c r="FU78" s="155"/>
      <c r="FV78" s="155"/>
      <c r="FW78" s="155"/>
      <c r="FX78" s="155"/>
      <c r="FY78" s="155"/>
      <c r="FZ78" s="155"/>
      <c r="GA78" s="155"/>
      <c r="GB78" s="155"/>
      <c r="GC78" s="155"/>
      <c r="GD78" s="155"/>
      <c r="GE78" s="155"/>
      <c r="GF78" s="155"/>
      <c r="IH78" s="66"/>
      <c r="II78" s="66"/>
      <c r="IJ78" s="66"/>
      <c r="IK78" s="66"/>
      <c r="IL78" s="66"/>
      <c r="IM78" s="66"/>
      <c r="IN78" s="66"/>
      <c r="IO78" s="66"/>
      <c r="IP78" s="66"/>
      <c r="IQ78" s="66"/>
      <c r="IR78" s="66"/>
      <c r="IS78" s="66"/>
      <c r="IT78" s="66"/>
      <c r="IU78" s="66"/>
      <c r="IV78" s="66"/>
      <c r="IW78" s="66"/>
      <c r="IX78" s="66"/>
      <c r="IY78" s="66"/>
      <c r="IZ78" s="66"/>
      <c r="JA78" s="66"/>
      <c r="JB78" s="66"/>
      <c r="JC78" s="66"/>
      <c r="JD78" s="66"/>
      <c r="JE78" s="66"/>
      <c r="JF78" s="66"/>
      <c r="JG78" s="66"/>
      <c r="JH78" s="66"/>
    </row>
    <row r="79" spans="2:268" x14ac:dyDescent="0.25">
      <c r="G79" s="152"/>
      <c r="CT79" s="155"/>
      <c r="CU79" s="155"/>
      <c r="CV79" s="155"/>
      <c r="CW79" s="155"/>
      <c r="CX79" s="155"/>
      <c r="CY79" s="155"/>
      <c r="CZ79" s="155"/>
      <c r="DA79" s="155"/>
      <c r="DB79" s="155"/>
      <c r="DC79" s="155"/>
      <c r="DD79" s="155"/>
      <c r="DE79" s="155"/>
      <c r="DF79" s="155"/>
      <c r="DG79" s="155"/>
      <c r="DH79" s="155"/>
      <c r="DI79" s="155"/>
      <c r="DJ79" s="155"/>
      <c r="DK79" s="155"/>
      <c r="DL79" s="155"/>
      <c r="DM79" s="155"/>
      <c r="DN79" s="155"/>
      <c r="DO79" s="155"/>
      <c r="DP79" s="155"/>
      <c r="DQ79" s="155"/>
      <c r="DR79" s="155"/>
      <c r="DS79" s="155"/>
      <c r="DT79" s="155"/>
      <c r="DU79" s="155"/>
      <c r="DV79" s="155"/>
      <c r="DW79" s="155"/>
      <c r="DX79" s="156"/>
      <c r="DY79" s="155"/>
      <c r="DZ79" s="155"/>
      <c r="EA79" s="155"/>
      <c r="EB79" s="155"/>
      <c r="EC79" s="155"/>
      <c r="ED79" s="155"/>
      <c r="EE79" s="155"/>
      <c r="EF79" s="155"/>
      <c r="EG79" s="155"/>
      <c r="EH79" s="155"/>
      <c r="EI79" s="155"/>
      <c r="EJ79" s="155"/>
      <c r="EK79" s="155"/>
      <c r="EL79" s="155"/>
      <c r="EM79" s="155"/>
      <c r="EN79" s="155"/>
      <c r="EO79" s="155"/>
      <c r="EP79" s="155"/>
      <c r="EQ79" s="155"/>
      <c r="ER79" s="155"/>
      <c r="ES79" s="155"/>
      <c r="ET79" s="155"/>
      <c r="EU79" s="155"/>
      <c r="EV79" s="155"/>
      <c r="EW79" s="155"/>
      <c r="EX79" s="155"/>
      <c r="EY79" s="155"/>
      <c r="EZ79" s="155"/>
      <c r="FA79" s="155"/>
      <c r="FB79" s="155"/>
      <c r="FC79" s="155"/>
      <c r="FD79" s="155"/>
      <c r="FE79" s="155"/>
      <c r="FF79" s="155"/>
      <c r="FG79" s="155"/>
      <c r="FH79" s="155"/>
      <c r="FI79" s="155"/>
      <c r="FJ79" s="155"/>
      <c r="FK79" s="155"/>
      <c r="FL79" s="155"/>
      <c r="FM79" s="155"/>
      <c r="FN79" s="155"/>
      <c r="FO79" s="155"/>
      <c r="FP79" s="155"/>
      <c r="FQ79" s="155"/>
      <c r="FR79" s="155"/>
      <c r="FS79" s="155"/>
      <c r="FT79" s="155"/>
      <c r="FU79" s="155"/>
      <c r="FV79" s="155"/>
      <c r="FW79" s="155"/>
      <c r="FX79" s="155"/>
      <c r="FY79" s="155"/>
      <c r="FZ79" s="155"/>
      <c r="GA79" s="155"/>
      <c r="GB79" s="155"/>
      <c r="GC79" s="155"/>
      <c r="GD79" s="155"/>
      <c r="GE79" s="155"/>
      <c r="GF79" s="155"/>
      <c r="IH79" s="66"/>
      <c r="II79" s="66"/>
      <c r="IJ79" s="66"/>
      <c r="IK79" s="66"/>
      <c r="IL79" s="66"/>
      <c r="IM79" s="66"/>
      <c r="IN79" s="66"/>
      <c r="IO79" s="66"/>
      <c r="IP79" s="66"/>
      <c r="IQ79" s="66"/>
      <c r="IR79" s="66"/>
      <c r="IS79" s="66"/>
      <c r="IT79" s="66"/>
      <c r="IU79" s="66"/>
      <c r="IV79" s="66"/>
      <c r="IW79" s="66"/>
      <c r="IX79" s="66"/>
      <c r="IY79" s="66"/>
      <c r="IZ79" s="66"/>
      <c r="JA79" s="66"/>
      <c r="JB79" s="66"/>
      <c r="JC79" s="66"/>
      <c r="JD79" s="66"/>
      <c r="JE79" s="66"/>
      <c r="JF79" s="66"/>
      <c r="JG79" s="66"/>
      <c r="JH79" s="66"/>
    </row>
    <row r="80" spans="2:268" x14ac:dyDescent="0.25">
      <c r="G80" s="152"/>
      <c r="CT80" s="155"/>
      <c r="CU80" s="155"/>
      <c r="CV80" s="155"/>
      <c r="CW80" s="155"/>
      <c r="CX80" s="155"/>
      <c r="CY80" s="155"/>
      <c r="CZ80" s="155"/>
      <c r="DA80" s="155"/>
      <c r="DB80" s="155"/>
      <c r="DC80" s="155"/>
      <c r="DD80" s="155"/>
      <c r="DE80" s="155"/>
      <c r="DF80" s="155"/>
      <c r="DG80" s="155"/>
      <c r="DH80" s="155"/>
      <c r="DI80" s="155"/>
      <c r="DJ80" s="155"/>
      <c r="DK80" s="155"/>
      <c r="DL80" s="155"/>
      <c r="DM80" s="155"/>
      <c r="DN80" s="155"/>
      <c r="DO80" s="155"/>
      <c r="DP80" s="155"/>
      <c r="DQ80" s="155"/>
      <c r="DR80" s="155"/>
      <c r="DS80" s="155"/>
      <c r="DT80" s="155"/>
      <c r="DU80" s="155"/>
      <c r="DV80" s="155"/>
      <c r="DW80" s="155"/>
      <c r="DX80" s="156"/>
      <c r="DY80" s="155"/>
      <c r="DZ80" s="155"/>
      <c r="EA80" s="155"/>
      <c r="EB80" s="155"/>
      <c r="EC80" s="155"/>
      <c r="ED80" s="155"/>
      <c r="EE80" s="155"/>
      <c r="EF80" s="155"/>
      <c r="EG80" s="155"/>
      <c r="EH80" s="155"/>
      <c r="EI80" s="155"/>
      <c r="EJ80" s="155"/>
      <c r="EK80" s="155"/>
      <c r="EL80" s="155"/>
      <c r="EM80" s="155"/>
      <c r="EN80" s="155"/>
      <c r="EO80" s="155"/>
      <c r="EP80" s="155"/>
      <c r="EQ80" s="155"/>
      <c r="ER80" s="155"/>
      <c r="ES80" s="155"/>
      <c r="ET80" s="155"/>
      <c r="EU80" s="155"/>
      <c r="EV80" s="155"/>
      <c r="EW80" s="155"/>
      <c r="EX80" s="155"/>
      <c r="EY80" s="155"/>
      <c r="EZ80" s="155"/>
      <c r="FA80" s="155"/>
      <c r="FB80" s="155"/>
      <c r="FC80" s="155"/>
      <c r="FD80" s="155"/>
      <c r="FE80" s="155"/>
      <c r="FF80" s="155"/>
      <c r="FG80" s="155"/>
      <c r="FH80" s="155"/>
      <c r="FI80" s="155"/>
      <c r="FJ80" s="155"/>
      <c r="FK80" s="155"/>
      <c r="FL80" s="155"/>
      <c r="FM80" s="155"/>
      <c r="FN80" s="155"/>
      <c r="FO80" s="155"/>
      <c r="FP80" s="155"/>
      <c r="FQ80" s="155"/>
      <c r="FR80" s="155"/>
      <c r="FS80" s="155"/>
      <c r="FT80" s="155"/>
      <c r="FU80" s="155"/>
      <c r="FV80" s="155"/>
      <c r="FW80" s="155"/>
      <c r="FX80" s="155"/>
      <c r="FY80" s="155"/>
      <c r="FZ80" s="155"/>
      <c r="GA80" s="155"/>
      <c r="GB80" s="155"/>
      <c r="GC80" s="155"/>
      <c r="GD80" s="155"/>
      <c r="GE80" s="155"/>
      <c r="GF80" s="155"/>
      <c r="IH80" s="66"/>
      <c r="II80" s="66"/>
      <c r="IJ80" s="66"/>
      <c r="IK80" s="66"/>
      <c r="IL80" s="66"/>
      <c r="IM80" s="66"/>
      <c r="IN80" s="66"/>
      <c r="IO80" s="66"/>
      <c r="IP80" s="66"/>
      <c r="IQ80" s="66"/>
      <c r="IR80" s="66"/>
      <c r="IS80" s="66"/>
      <c r="IT80" s="66"/>
      <c r="IU80" s="66"/>
      <c r="IV80" s="66"/>
      <c r="IW80" s="66"/>
      <c r="IX80" s="66"/>
      <c r="IY80" s="66"/>
      <c r="IZ80" s="66"/>
      <c r="JA80" s="66"/>
      <c r="JB80" s="66"/>
      <c r="JC80" s="66"/>
      <c r="JD80" s="66"/>
      <c r="JE80" s="66"/>
      <c r="JF80" s="66"/>
      <c r="JG80" s="66"/>
      <c r="JH80" s="66"/>
    </row>
    <row r="81" spans="7:268" x14ac:dyDescent="0.25">
      <c r="G81" s="152"/>
      <c r="H81" s="152"/>
      <c r="CT81" s="155"/>
      <c r="CU81" s="155"/>
      <c r="CV81" s="155"/>
      <c r="CW81" s="155"/>
      <c r="CX81" s="155"/>
      <c r="CY81" s="155"/>
      <c r="CZ81" s="155"/>
      <c r="DA81" s="155"/>
      <c r="DB81" s="155"/>
      <c r="DC81" s="155"/>
      <c r="DD81" s="155"/>
      <c r="DE81" s="155"/>
      <c r="DF81" s="155"/>
      <c r="DG81" s="155"/>
      <c r="DH81" s="155"/>
      <c r="DI81" s="155"/>
      <c r="DJ81" s="155"/>
      <c r="DK81" s="155"/>
      <c r="DL81" s="155"/>
      <c r="DM81" s="155"/>
      <c r="DN81" s="155"/>
      <c r="DO81" s="155"/>
      <c r="DP81" s="155"/>
      <c r="DQ81" s="155"/>
      <c r="DR81" s="155"/>
      <c r="DS81" s="155"/>
      <c r="DT81" s="155"/>
      <c r="DU81" s="155"/>
      <c r="DV81" s="155"/>
      <c r="DW81" s="155"/>
      <c r="DX81" s="156"/>
      <c r="DY81" s="155"/>
      <c r="DZ81" s="155"/>
      <c r="EA81" s="155"/>
      <c r="EB81" s="155"/>
      <c r="EC81" s="155"/>
      <c r="ED81" s="155"/>
      <c r="EE81" s="155"/>
      <c r="EF81" s="155"/>
      <c r="EG81" s="155"/>
      <c r="EH81" s="155"/>
      <c r="EI81" s="155"/>
      <c r="EJ81" s="155"/>
      <c r="EK81" s="155"/>
      <c r="EL81" s="155"/>
      <c r="EM81" s="155"/>
      <c r="EN81" s="155"/>
      <c r="EO81" s="155"/>
      <c r="EP81" s="155"/>
      <c r="EQ81" s="155"/>
      <c r="ER81" s="155"/>
      <c r="ES81" s="155"/>
      <c r="ET81" s="155"/>
      <c r="EU81" s="155"/>
      <c r="EV81" s="155"/>
      <c r="EW81" s="155"/>
      <c r="EX81" s="155"/>
      <c r="EY81" s="155"/>
      <c r="EZ81" s="155"/>
      <c r="FA81" s="155"/>
      <c r="FB81" s="155"/>
      <c r="FC81" s="155"/>
      <c r="FD81" s="155"/>
      <c r="FE81" s="155"/>
      <c r="FF81" s="155"/>
      <c r="FG81" s="155"/>
      <c r="FH81" s="155"/>
      <c r="FI81" s="155"/>
      <c r="FJ81" s="155"/>
      <c r="FK81" s="155"/>
      <c r="FL81" s="155"/>
      <c r="FM81" s="155"/>
      <c r="FN81" s="155"/>
      <c r="FO81" s="155"/>
      <c r="FP81" s="155"/>
      <c r="FQ81" s="155"/>
      <c r="FR81" s="155"/>
      <c r="FS81" s="155"/>
      <c r="FT81" s="155"/>
      <c r="FU81" s="155"/>
      <c r="FV81" s="155"/>
      <c r="FW81" s="155"/>
      <c r="FX81" s="155"/>
      <c r="FY81" s="155"/>
      <c r="FZ81" s="155"/>
      <c r="GA81" s="155"/>
      <c r="GB81" s="155"/>
      <c r="GC81" s="155"/>
      <c r="GD81" s="155"/>
      <c r="GE81" s="155"/>
      <c r="GF81" s="155"/>
      <c r="IH81" s="66"/>
      <c r="II81" s="66"/>
      <c r="IJ81" s="66"/>
      <c r="IK81" s="66"/>
      <c r="IL81" s="66"/>
      <c r="IM81" s="66"/>
      <c r="IN81" s="66"/>
      <c r="IO81" s="66"/>
      <c r="IP81" s="66"/>
      <c r="IQ81" s="66"/>
      <c r="IR81" s="66"/>
      <c r="IS81" s="66"/>
      <c r="IT81" s="66"/>
      <c r="IU81" s="66"/>
      <c r="IV81" s="66"/>
      <c r="IW81" s="66"/>
      <c r="IX81" s="66"/>
      <c r="IY81" s="66"/>
      <c r="IZ81" s="66"/>
      <c r="JA81" s="66"/>
      <c r="JB81" s="66"/>
      <c r="JC81" s="66"/>
      <c r="JD81" s="66"/>
      <c r="JE81" s="66"/>
      <c r="JF81" s="66"/>
      <c r="JG81" s="66"/>
      <c r="JH81" s="66"/>
    </row>
    <row r="82" spans="7:268" x14ac:dyDescent="0.25">
      <c r="G82" s="152"/>
      <c r="CT82" s="155"/>
      <c r="CU82" s="155"/>
      <c r="CV82" s="155"/>
      <c r="CW82" s="155"/>
      <c r="CX82" s="155"/>
      <c r="CY82" s="155"/>
      <c r="CZ82" s="155"/>
      <c r="DA82" s="155"/>
      <c r="DB82" s="155"/>
      <c r="DC82" s="155"/>
      <c r="DD82" s="155"/>
      <c r="DE82" s="155"/>
      <c r="DF82" s="155"/>
      <c r="DG82" s="155"/>
      <c r="DH82" s="155"/>
      <c r="DI82" s="155"/>
      <c r="DJ82" s="155"/>
      <c r="DK82" s="155"/>
      <c r="DL82" s="155"/>
      <c r="DM82" s="155"/>
      <c r="DN82" s="155"/>
      <c r="DO82" s="155"/>
      <c r="DP82" s="155"/>
      <c r="DQ82" s="155"/>
      <c r="DR82" s="155"/>
      <c r="DS82" s="155"/>
      <c r="DT82" s="155"/>
      <c r="DU82" s="155"/>
      <c r="DV82" s="155"/>
      <c r="DW82" s="155"/>
      <c r="DX82" s="156"/>
      <c r="DY82" s="155"/>
      <c r="DZ82" s="155"/>
      <c r="EA82" s="155"/>
      <c r="EB82" s="155"/>
      <c r="EC82" s="155"/>
      <c r="ED82" s="155"/>
      <c r="EE82" s="155"/>
      <c r="EF82" s="155"/>
      <c r="EG82" s="155"/>
      <c r="EH82" s="155"/>
      <c r="EI82" s="155"/>
      <c r="EJ82" s="155"/>
      <c r="EK82" s="155"/>
      <c r="EL82" s="155"/>
      <c r="EM82" s="155"/>
      <c r="EN82" s="155"/>
      <c r="EO82" s="155"/>
      <c r="EP82" s="155"/>
      <c r="EQ82" s="155"/>
      <c r="ER82" s="155"/>
      <c r="ES82" s="155"/>
      <c r="ET82" s="155"/>
      <c r="EU82" s="155"/>
      <c r="EV82" s="155"/>
      <c r="EW82" s="155"/>
      <c r="EX82" s="155"/>
      <c r="EY82" s="155"/>
      <c r="EZ82" s="155"/>
      <c r="FA82" s="155"/>
      <c r="FB82" s="155"/>
      <c r="FC82" s="155"/>
      <c r="FD82" s="155"/>
      <c r="FE82" s="155"/>
      <c r="FF82" s="155"/>
      <c r="FG82" s="155"/>
      <c r="FH82" s="155"/>
      <c r="FI82" s="155"/>
      <c r="FJ82" s="155"/>
      <c r="FK82" s="155"/>
      <c r="FL82" s="155"/>
      <c r="FM82" s="155"/>
      <c r="FN82" s="155"/>
      <c r="FO82" s="155"/>
      <c r="FP82" s="155"/>
      <c r="FQ82" s="155"/>
      <c r="FR82" s="155"/>
      <c r="FS82" s="155"/>
      <c r="FT82" s="155"/>
      <c r="FU82" s="155"/>
      <c r="FV82" s="155"/>
      <c r="FW82" s="155"/>
      <c r="FX82" s="155"/>
      <c r="FY82" s="155"/>
      <c r="FZ82" s="155"/>
      <c r="GA82" s="155"/>
      <c r="GB82" s="155"/>
      <c r="GC82" s="155"/>
      <c r="GD82" s="155"/>
      <c r="GE82" s="155"/>
      <c r="GF82" s="155"/>
      <c r="IH82" s="66"/>
      <c r="II82" s="66"/>
      <c r="IJ82" s="66"/>
      <c r="IK82" s="66"/>
      <c r="IL82" s="66"/>
      <c r="IM82" s="66"/>
      <c r="IN82" s="66"/>
      <c r="IO82" s="66"/>
      <c r="IP82" s="66"/>
      <c r="IQ82" s="66"/>
      <c r="IR82" s="66"/>
      <c r="IS82" s="66"/>
      <c r="IT82" s="66"/>
      <c r="IU82" s="66"/>
      <c r="IV82" s="66"/>
      <c r="IW82" s="66"/>
      <c r="IX82" s="66"/>
      <c r="IY82" s="66"/>
      <c r="IZ82" s="66"/>
      <c r="JA82" s="66"/>
      <c r="JB82" s="66"/>
      <c r="JC82" s="66"/>
      <c r="JD82" s="66"/>
      <c r="JE82" s="66"/>
      <c r="JF82" s="66"/>
      <c r="JG82" s="66"/>
      <c r="JH82" s="66"/>
    </row>
    <row r="83" spans="7:268" x14ac:dyDescent="0.25">
      <c r="G83" s="152"/>
      <c r="H83" s="152"/>
      <c r="CT83" s="155"/>
      <c r="CU83" s="155"/>
      <c r="CV83" s="155"/>
      <c r="CW83" s="155"/>
      <c r="CX83" s="155"/>
      <c r="CY83" s="155"/>
      <c r="CZ83" s="155"/>
      <c r="DA83" s="155"/>
      <c r="DB83" s="155"/>
      <c r="DC83" s="155"/>
      <c r="DD83" s="155"/>
      <c r="DE83" s="155"/>
      <c r="DF83" s="155"/>
      <c r="DG83" s="155"/>
      <c r="DH83" s="155"/>
      <c r="DI83" s="155"/>
      <c r="DJ83" s="155"/>
      <c r="DK83" s="155"/>
      <c r="DL83" s="155"/>
      <c r="DM83" s="155"/>
      <c r="DN83" s="155"/>
      <c r="DO83" s="155"/>
      <c r="DP83" s="155"/>
      <c r="DQ83" s="155"/>
      <c r="DR83" s="155"/>
      <c r="DS83" s="155"/>
      <c r="DT83" s="155"/>
      <c r="DU83" s="155"/>
      <c r="DV83" s="155"/>
      <c r="DW83" s="155"/>
      <c r="DX83" s="156"/>
      <c r="DY83" s="155"/>
      <c r="DZ83" s="155"/>
      <c r="EA83" s="155"/>
      <c r="EB83" s="155"/>
      <c r="EC83" s="155"/>
      <c r="ED83" s="155"/>
      <c r="EE83" s="155"/>
      <c r="EF83" s="155"/>
      <c r="EG83" s="155"/>
      <c r="EH83" s="155"/>
      <c r="EI83" s="155"/>
      <c r="EJ83" s="155"/>
      <c r="EK83" s="155"/>
      <c r="EL83" s="155"/>
      <c r="EM83" s="155"/>
      <c r="EN83" s="155"/>
      <c r="EO83" s="155"/>
      <c r="EP83" s="155"/>
      <c r="EQ83" s="155"/>
      <c r="ER83" s="155"/>
      <c r="ES83" s="155"/>
      <c r="ET83" s="155"/>
      <c r="EU83" s="155"/>
      <c r="EV83" s="155"/>
      <c r="EW83" s="155"/>
      <c r="EX83" s="155"/>
      <c r="EY83" s="155"/>
      <c r="EZ83" s="155"/>
      <c r="FA83" s="155"/>
      <c r="FB83" s="155"/>
      <c r="FC83" s="155"/>
      <c r="FD83" s="155"/>
      <c r="FE83" s="155"/>
      <c r="FF83" s="155"/>
      <c r="FG83" s="155"/>
      <c r="FH83" s="155"/>
      <c r="FI83" s="155"/>
      <c r="FJ83" s="155"/>
      <c r="FK83" s="155"/>
      <c r="FL83" s="155"/>
      <c r="FM83" s="155"/>
      <c r="FN83" s="155"/>
      <c r="FO83" s="155"/>
      <c r="FP83" s="155"/>
      <c r="FQ83" s="155"/>
      <c r="FR83" s="155"/>
      <c r="FS83" s="155"/>
      <c r="FT83" s="155"/>
      <c r="FU83" s="155"/>
      <c r="FV83" s="155"/>
      <c r="FW83" s="155"/>
      <c r="FX83" s="155"/>
      <c r="FY83" s="155"/>
      <c r="FZ83" s="155"/>
      <c r="GA83" s="155"/>
      <c r="GB83" s="155"/>
      <c r="GC83" s="155"/>
      <c r="GD83" s="155"/>
      <c r="GE83" s="155"/>
      <c r="GF83" s="155"/>
      <c r="IH83" s="66"/>
      <c r="II83" s="66"/>
      <c r="IJ83" s="66"/>
      <c r="IK83" s="66"/>
      <c r="IL83" s="66"/>
      <c r="IM83" s="66"/>
      <c r="IN83" s="66"/>
      <c r="IO83" s="66"/>
      <c r="IP83" s="66"/>
      <c r="IQ83" s="66"/>
      <c r="IR83" s="66"/>
      <c r="IS83" s="66"/>
      <c r="IT83" s="66"/>
      <c r="IU83" s="66"/>
      <c r="IV83" s="66"/>
      <c r="IW83" s="66"/>
      <c r="IX83" s="66"/>
      <c r="IY83" s="66"/>
      <c r="IZ83" s="66"/>
      <c r="JA83" s="66"/>
      <c r="JB83" s="66"/>
      <c r="JC83" s="66"/>
      <c r="JD83" s="66"/>
      <c r="JE83" s="66"/>
      <c r="JF83" s="66"/>
      <c r="JG83" s="66"/>
      <c r="JH83" s="66"/>
    </row>
    <row r="84" spans="7:268" x14ac:dyDescent="0.25">
      <c r="G84" s="152"/>
      <c r="H84" s="152"/>
      <c r="CT84" s="155"/>
      <c r="CU84" s="155"/>
      <c r="CV84" s="155"/>
      <c r="CW84" s="155"/>
      <c r="CX84" s="155"/>
      <c r="CY84" s="155"/>
      <c r="CZ84" s="155"/>
      <c r="DA84" s="155"/>
      <c r="DB84" s="155"/>
      <c r="DC84" s="155"/>
      <c r="DD84" s="155"/>
      <c r="DE84" s="155"/>
      <c r="DF84" s="155"/>
      <c r="DG84" s="155"/>
      <c r="DH84" s="155"/>
      <c r="DI84" s="155"/>
      <c r="DJ84" s="155"/>
      <c r="DK84" s="155"/>
      <c r="DL84" s="155"/>
      <c r="DM84" s="155"/>
      <c r="DN84" s="155"/>
      <c r="DO84" s="155"/>
      <c r="DP84" s="155"/>
      <c r="DQ84" s="155"/>
      <c r="DR84" s="155"/>
      <c r="DS84" s="155"/>
      <c r="DT84" s="155"/>
      <c r="DU84" s="155"/>
      <c r="DV84" s="155"/>
      <c r="DW84" s="155"/>
      <c r="DX84" s="156"/>
      <c r="DY84" s="155"/>
      <c r="DZ84" s="155"/>
      <c r="EA84" s="155"/>
      <c r="EB84" s="155"/>
      <c r="EC84" s="155"/>
      <c r="ED84" s="155"/>
      <c r="EE84" s="155"/>
      <c r="EF84" s="155"/>
      <c r="EG84" s="155"/>
      <c r="EH84" s="155"/>
      <c r="EI84" s="155"/>
      <c r="EJ84" s="155"/>
      <c r="EK84" s="155"/>
      <c r="EL84" s="155"/>
      <c r="EM84" s="155"/>
      <c r="EN84" s="155"/>
      <c r="EO84" s="155"/>
      <c r="EP84" s="155"/>
      <c r="EQ84" s="155"/>
      <c r="ER84" s="155"/>
      <c r="ES84" s="155"/>
      <c r="ET84" s="155"/>
      <c r="EU84" s="155"/>
      <c r="EV84" s="155"/>
      <c r="EW84" s="155"/>
      <c r="EX84" s="155"/>
      <c r="EY84" s="155"/>
      <c r="EZ84" s="155"/>
      <c r="FA84" s="155"/>
      <c r="FB84" s="155"/>
      <c r="FC84" s="155"/>
      <c r="FD84" s="155"/>
      <c r="FE84" s="155"/>
      <c r="FF84" s="155"/>
      <c r="FG84" s="155"/>
      <c r="FH84" s="155"/>
      <c r="FI84" s="155"/>
      <c r="FJ84" s="155"/>
      <c r="FK84" s="155"/>
      <c r="FL84" s="155"/>
      <c r="FM84" s="155"/>
      <c r="FN84" s="155"/>
      <c r="FO84" s="155"/>
      <c r="FP84" s="155"/>
      <c r="FQ84" s="155"/>
      <c r="FR84" s="155"/>
      <c r="FS84" s="155"/>
      <c r="FT84" s="155"/>
      <c r="FU84" s="155"/>
      <c r="FV84" s="155"/>
      <c r="FW84" s="155"/>
      <c r="FX84" s="155"/>
      <c r="FY84" s="155"/>
      <c r="FZ84" s="155"/>
      <c r="GA84" s="155"/>
      <c r="GB84" s="155"/>
      <c r="GC84" s="155"/>
      <c r="GD84" s="155"/>
      <c r="GE84" s="155"/>
      <c r="GF84" s="155"/>
      <c r="IH84" s="66"/>
      <c r="II84" s="66"/>
      <c r="IJ84" s="66"/>
      <c r="IK84" s="66"/>
      <c r="IL84" s="66"/>
      <c r="IM84" s="66"/>
      <c r="IN84" s="66"/>
      <c r="IO84" s="66"/>
      <c r="IP84" s="66"/>
      <c r="IQ84" s="66"/>
      <c r="IR84" s="66"/>
      <c r="IS84" s="66"/>
      <c r="IT84" s="66"/>
      <c r="IU84" s="66"/>
      <c r="IV84" s="66"/>
      <c r="IW84" s="66"/>
      <c r="IX84" s="66"/>
      <c r="IY84" s="66"/>
      <c r="IZ84" s="66"/>
      <c r="JA84" s="66"/>
      <c r="JB84" s="66"/>
      <c r="JC84" s="66"/>
      <c r="JD84" s="66"/>
      <c r="JE84" s="66"/>
      <c r="JF84" s="66"/>
      <c r="JG84" s="66"/>
      <c r="JH84" s="66"/>
    </row>
    <row r="85" spans="7:268" x14ac:dyDescent="0.25">
      <c r="G85" s="152"/>
      <c r="CT85" s="155"/>
      <c r="CU85" s="155"/>
      <c r="CV85" s="155"/>
      <c r="CW85" s="155"/>
      <c r="CX85" s="155"/>
      <c r="CY85" s="155"/>
      <c r="CZ85" s="155"/>
      <c r="DA85" s="155"/>
      <c r="DB85" s="155"/>
      <c r="DC85" s="155"/>
      <c r="DD85" s="155"/>
      <c r="DE85" s="155"/>
      <c r="DF85" s="155"/>
      <c r="DG85" s="155"/>
      <c r="DH85" s="155"/>
      <c r="DI85" s="155"/>
      <c r="DJ85" s="155"/>
      <c r="DK85" s="155"/>
      <c r="DL85" s="155"/>
      <c r="DM85" s="155"/>
      <c r="DN85" s="155"/>
      <c r="DO85" s="155"/>
      <c r="DP85" s="155"/>
      <c r="DQ85" s="155"/>
      <c r="DR85" s="155"/>
      <c r="DS85" s="155"/>
      <c r="DT85" s="155"/>
      <c r="DU85" s="155"/>
      <c r="DV85" s="155"/>
      <c r="DW85" s="155"/>
      <c r="DX85" s="156"/>
      <c r="DY85" s="155"/>
      <c r="DZ85" s="155"/>
      <c r="EA85" s="155"/>
      <c r="EB85" s="155"/>
      <c r="EC85" s="155"/>
      <c r="ED85" s="155"/>
      <c r="EE85" s="155"/>
      <c r="EF85" s="155"/>
      <c r="EG85" s="155"/>
      <c r="EH85" s="155"/>
      <c r="EI85" s="155"/>
      <c r="EJ85" s="155"/>
      <c r="EK85" s="155"/>
      <c r="EL85" s="155"/>
      <c r="EM85" s="155"/>
      <c r="EN85" s="155"/>
      <c r="EO85" s="155"/>
      <c r="EP85" s="155"/>
      <c r="EQ85" s="155"/>
      <c r="ER85" s="155"/>
      <c r="ES85" s="155"/>
      <c r="ET85" s="155"/>
      <c r="EU85" s="155"/>
      <c r="EV85" s="155"/>
      <c r="EW85" s="155"/>
      <c r="EX85" s="155"/>
      <c r="EY85" s="155"/>
      <c r="EZ85" s="155"/>
      <c r="FA85" s="155"/>
      <c r="FB85" s="155"/>
      <c r="FC85" s="155"/>
      <c r="FD85" s="155"/>
      <c r="FE85" s="155"/>
      <c r="FF85" s="155"/>
      <c r="FG85" s="155"/>
      <c r="FH85" s="155"/>
      <c r="FI85" s="155"/>
      <c r="FJ85" s="155"/>
      <c r="FK85" s="155"/>
      <c r="FL85" s="155"/>
      <c r="FM85" s="155"/>
      <c r="FN85" s="155"/>
      <c r="FO85" s="155"/>
      <c r="FP85" s="155"/>
      <c r="FQ85" s="155"/>
      <c r="FR85" s="155"/>
      <c r="FS85" s="155"/>
      <c r="FT85" s="155"/>
      <c r="FU85" s="155"/>
      <c r="FV85" s="155"/>
      <c r="FW85" s="155"/>
      <c r="FX85" s="155"/>
      <c r="FY85" s="155"/>
      <c r="FZ85" s="155"/>
      <c r="GA85" s="155"/>
      <c r="GB85" s="155"/>
      <c r="GC85" s="155"/>
      <c r="GD85" s="155"/>
      <c r="GE85" s="155"/>
      <c r="GF85" s="155"/>
    </row>
    <row r="86" spans="7:268" x14ac:dyDescent="0.25">
      <c r="G86" s="152"/>
      <c r="H86" s="152"/>
      <c r="CT86" s="155"/>
      <c r="CU86" s="155"/>
      <c r="CV86" s="155"/>
      <c r="CW86" s="155"/>
      <c r="CX86" s="155"/>
      <c r="CY86" s="155"/>
      <c r="CZ86" s="155"/>
      <c r="DA86" s="155"/>
      <c r="DB86" s="155"/>
      <c r="DC86" s="155"/>
      <c r="DD86" s="155"/>
      <c r="DE86" s="155"/>
      <c r="DF86" s="155"/>
      <c r="DG86" s="155"/>
      <c r="DH86" s="155"/>
      <c r="DI86" s="155"/>
      <c r="DJ86" s="155"/>
      <c r="DK86" s="155"/>
      <c r="DL86" s="155"/>
      <c r="DM86" s="155"/>
      <c r="DN86" s="155"/>
      <c r="DO86" s="155"/>
      <c r="DP86" s="155"/>
      <c r="DQ86" s="155"/>
      <c r="DR86" s="155"/>
      <c r="DS86" s="155"/>
      <c r="DT86" s="155"/>
      <c r="DU86" s="155"/>
      <c r="DV86" s="155"/>
      <c r="DW86" s="155"/>
      <c r="DX86" s="156"/>
      <c r="DY86" s="155"/>
      <c r="DZ86" s="155"/>
      <c r="EA86" s="155"/>
      <c r="EB86" s="155"/>
      <c r="EC86" s="155"/>
      <c r="ED86" s="155"/>
      <c r="EE86" s="155"/>
      <c r="EF86" s="155"/>
      <c r="EG86" s="155"/>
      <c r="EH86" s="155"/>
      <c r="EI86" s="155"/>
      <c r="EJ86" s="155"/>
      <c r="EK86" s="155"/>
      <c r="EL86" s="155"/>
      <c r="EM86" s="155"/>
      <c r="EN86" s="155"/>
      <c r="EO86" s="155"/>
      <c r="EP86" s="155"/>
      <c r="EQ86" s="155"/>
      <c r="ER86" s="155"/>
      <c r="ES86" s="155"/>
      <c r="ET86" s="155"/>
      <c r="EU86" s="155"/>
      <c r="EV86" s="155"/>
      <c r="EW86" s="155"/>
      <c r="EX86" s="155"/>
      <c r="EY86" s="155"/>
      <c r="EZ86" s="155"/>
      <c r="FA86" s="155"/>
      <c r="FB86" s="155"/>
      <c r="FC86" s="155"/>
      <c r="FD86" s="155"/>
      <c r="FE86" s="155"/>
      <c r="FF86" s="155"/>
      <c r="FG86" s="155"/>
      <c r="FH86" s="155"/>
      <c r="FI86" s="155"/>
      <c r="FJ86" s="155"/>
      <c r="FK86" s="155"/>
      <c r="FL86" s="155"/>
      <c r="FM86" s="155"/>
      <c r="FN86" s="155"/>
      <c r="FO86" s="155"/>
      <c r="FP86" s="155"/>
      <c r="FQ86" s="155"/>
      <c r="FR86" s="155"/>
      <c r="FS86" s="155"/>
      <c r="FT86" s="155"/>
      <c r="FU86" s="155"/>
      <c r="FV86" s="155"/>
      <c r="FW86" s="155"/>
      <c r="FX86" s="155"/>
      <c r="FY86" s="155"/>
      <c r="FZ86" s="155"/>
      <c r="GA86" s="155"/>
      <c r="GB86" s="155"/>
      <c r="GC86" s="155"/>
      <c r="GD86" s="155"/>
      <c r="GE86" s="155"/>
      <c r="GF86" s="155"/>
    </row>
    <row r="87" spans="7:268" x14ac:dyDescent="0.25">
      <c r="G87" s="152"/>
      <c r="H87" s="152"/>
      <c r="CT87" s="155"/>
      <c r="CU87" s="155"/>
      <c r="CV87" s="155"/>
      <c r="CW87" s="155"/>
      <c r="CX87" s="155"/>
      <c r="CY87" s="155"/>
      <c r="CZ87" s="155"/>
      <c r="DA87" s="155"/>
      <c r="DB87" s="155"/>
      <c r="DC87" s="155"/>
      <c r="DD87" s="155"/>
      <c r="DE87" s="155"/>
      <c r="DF87" s="155"/>
      <c r="DG87" s="155"/>
      <c r="DH87" s="155"/>
      <c r="DI87" s="155"/>
      <c r="DJ87" s="155"/>
      <c r="DK87" s="155"/>
      <c r="DL87" s="155"/>
      <c r="DM87" s="155"/>
      <c r="DN87" s="155"/>
      <c r="DO87" s="155"/>
      <c r="DP87" s="155"/>
      <c r="DQ87" s="155"/>
      <c r="DR87" s="155"/>
      <c r="DS87" s="155"/>
      <c r="DT87" s="155"/>
      <c r="DU87" s="155"/>
      <c r="DV87" s="155"/>
      <c r="DW87" s="155"/>
      <c r="DX87" s="156"/>
      <c r="DY87" s="155"/>
      <c r="DZ87" s="155"/>
      <c r="EA87" s="155"/>
      <c r="EB87" s="155"/>
      <c r="EC87" s="155"/>
      <c r="ED87" s="155"/>
      <c r="EE87" s="155"/>
      <c r="EF87" s="155"/>
      <c r="EG87" s="155"/>
      <c r="EH87" s="155"/>
      <c r="EI87" s="155"/>
      <c r="EJ87" s="155"/>
      <c r="EK87" s="155"/>
      <c r="EL87" s="155"/>
      <c r="EM87" s="155"/>
      <c r="EN87" s="155"/>
      <c r="EO87" s="155"/>
      <c r="EP87" s="155"/>
      <c r="EQ87" s="155"/>
      <c r="ER87" s="155"/>
      <c r="ES87" s="155"/>
      <c r="ET87" s="155"/>
      <c r="EU87" s="155"/>
      <c r="EV87" s="155"/>
      <c r="EW87" s="155"/>
      <c r="EX87" s="155"/>
      <c r="EY87" s="155"/>
      <c r="EZ87" s="155"/>
      <c r="FA87" s="155"/>
      <c r="FB87" s="155"/>
      <c r="FC87" s="155"/>
      <c r="FD87" s="155"/>
      <c r="FE87" s="155"/>
      <c r="FF87" s="155"/>
      <c r="FG87" s="155"/>
      <c r="FH87" s="155"/>
      <c r="FI87" s="155"/>
      <c r="FJ87" s="155"/>
      <c r="FK87" s="155"/>
      <c r="FL87" s="155"/>
      <c r="FM87" s="155"/>
      <c r="FN87" s="155"/>
      <c r="FO87" s="155"/>
      <c r="FP87" s="155"/>
      <c r="FQ87" s="155"/>
      <c r="FR87" s="155"/>
      <c r="FS87" s="155"/>
      <c r="FT87" s="155"/>
      <c r="FU87" s="155"/>
      <c r="FV87" s="155"/>
      <c r="FW87" s="155"/>
      <c r="FX87" s="155"/>
      <c r="FY87" s="155"/>
      <c r="FZ87" s="155"/>
      <c r="GA87" s="155"/>
      <c r="GB87" s="155"/>
      <c r="GC87" s="155"/>
      <c r="GD87" s="155"/>
      <c r="GE87" s="155"/>
      <c r="GF87" s="155"/>
    </row>
    <row r="88" spans="7:268" x14ac:dyDescent="0.25">
      <c r="G88" s="152"/>
      <c r="CT88" s="155"/>
      <c r="CU88" s="155"/>
      <c r="CV88" s="155"/>
      <c r="CW88" s="155"/>
      <c r="CX88" s="155"/>
      <c r="CY88" s="155"/>
      <c r="CZ88" s="155"/>
      <c r="DA88" s="155"/>
      <c r="DB88" s="155"/>
      <c r="DC88" s="155"/>
      <c r="DD88" s="155"/>
      <c r="DE88" s="155"/>
      <c r="DF88" s="155"/>
      <c r="DG88" s="155"/>
      <c r="DH88" s="155"/>
      <c r="DI88" s="155"/>
      <c r="DJ88" s="155"/>
      <c r="DK88" s="155"/>
      <c r="DL88" s="155"/>
      <c r="DM88" s="155"/>
      <c r="DN88" s="155"/>
      <c r="DO88" s="155"/>
      <c r="DP88" s="155"/>
      <c r="DQ88" s="155"/>
      <c r="DR88" s="155"/>
      <c r="DS88" s="155"/>
      <c r="DT88" s="155"/>
      <c r="DU88" s="155"/>
      <c r="DV88" s="155"/>
      <c r="DW88" s="155"/>
      <c r="DX88" s="156"/>
      <c r="DY88" s="155"/>
      <c r="DZ88" s="155"/>
      <c r="EA88" s="155"/>
      <c r="EB88" s="155"/>
      <c r="EC88" s="155"/>
      <c r="ED88" s="155"/>
      <c r="EE88" s="155"/>
      <c r="EF88" s="155"/>
      <c r="EG88" s="155"/>
      <c r="EH88" s="155"/>
      <c r="EI88" s="155"/>
      <c r="EJ88" s="155"/>
      <c r="EK88" s="155"/>
      <c r="EL88" s="155"/>
      <c r="EM88" s="155"/>
      <c r="EN88" s="155"/>
      <c r="EO88" s="155"/>
      <c r="EP88" s="155"/>
      <c r="EQ88" s="155"/>
      <c r="ER88" s="155"/>
      <c r="ES88" s="155"/>
      <c r="ET88" s="155"/>
      <c r="EU88" s="155"/>
      <c r="EV88" s="155"/>
      <c r="EW88" s="155"/>
      <c r="EX88" s="155"/>
      <c r="EY88" s="155"/>
      <c r="EZ88" s="155"/>
      <c r="FA88" s="155"/>
      <c r="FB88" s="155"/>
      <c r="FC88" s="155"/>
      <c r="FD88" s="155"/>
      <c r="FE88" s="155"/>
      <c r="FF88" s="155"/>
      <c r="FG88" s="155"/>
      <c r="FH88" s="155"/>
      <c r="FI88" s="155"/>
      <c r="FJ88" s="155"/>
      <c r="FK88" s="155"/>
      <c r="FL88" s="155"/>
      <c r="FM88" s="155"/>
      <c r="FN88" s="155"/>
      <c r="FO88" s="155"/>
      <c r="FP88" s="155"/>
      <c r="FQ88" s="155"/>
      <c r="FR88" s="155"/>
      <c r="FS88" s="155"/>
      <c r="FT88" s="155"/>
      <c r="FU88" s="155"/>
      <c r="FV88" s="155"/>
      <c r="FW88" s="155"/>
      <c r="FX88" s="155"/>
      <c r="FY88" s="155"/>
      <c r="FZ88" s="155"/>
      <c r="GA88" s="155"/>
      <c r="GB88" s="155"/>
      <c r="GC88" s="155"/>
      <c r="GD88" s="155"/>
      <c r="GE88" s="155"/>
      <c r="GF88" s="155"/>
    </row>
    <row r="89" spans="7:268" x14ac:dyDescent="0.25">
      <c r="G89" s="152"/>
      <c r="H89" s="152"/>
      <c r="CT89" s="155"/>
      <c r="CU89" s="155"/>
      <c r="CV89" s="155"/>
      <c r="CW89" s="155"/>
      <c r="CX89" s="155"/>
      <c r="CY89" s="155"/>
      <c r="CZ89" s="155"/>
      <c r="DA89" s="155"/>
      <c r="DB89" s="155"/>
      <c r="DC89" s="155"/>
      <c r="DD89" s="155"/>
      <c r="DE89" s="155"/>
      <c r="DF89" s="155"/>
      <c r="DG89" s="155"/>
      <c r="DH89" s="155"/>
      <c r="DI89" s="155"/>
      <c r="DJ89" s="155"/>
      <c r="DK89" s="155"/>
      <c r="DL89" s="155"/>
      <c r="DM89" s="155"/>
      <c r="DN89" s="155"/>
      <c r="DO89" s="155"/>
      <c r="DP89" s="155"/>
      <c r="DQ89" s="155"/>
      <c r="DR89" s="155"/>
      <c r="DS89" s="155"/>
      <c r="DT89" s="155"/>
      <c r="DU89" s="155"/>
      <c r="DV89" s="155"/>
      <c r="DW89" s="155"/>
      <c r="DX89" s="156"/>
      <c r="DY89" s="155"/>
      <c r="DZ89" s="155"/>
      <c r="EA89" s="155"/>
      <c r="EB89" s="155"/>
      <c r="EC89" s="155"/>
      <c r="ED89" s="155"/>
      <c r="EE89" s="155"/>
      <c r="EF89" s="155"/>
      <c r="EG89" s="155"/>
      <c r="EH89" s="155"/>
      <c r="EI89" s="155"/>
      <c r="EJ89" s="155"/>
      <c r="EK89" s="155"/>
      <c r="EL89" s="155"/>
      <c r="EM89" s="155"/>
      <c r="EN89" s="155"/>
      <c r="EO89" s="155"/>
      <c r="EP89" s="155"/>
      <c r="EQ89" s="155"/>
      <c r="ER89" s="155"/>
      <c r="ES89" s="155"/>
      <c r="ET89" s="155"/>
      <c r="EU89" s="155"/>
      <c r="EV89" s="155"/>
      <c r="EW89" s="155"/>
      <c r="EX89" s="155"/>
      <c r="EY89" s="155"/>
      <c r="EZ89" s="155"/>
      <c r="FA89" s="155"/>
      <c r="FB89" s="155"/>
      <c r="FC89" s="155"/>
      <c r="FD89" s="155"/>
      <c r="FE89" s="155"/>
      <c r="FF89" s="155"/>
      <c r="FG89" s="155"/>
      <c r="FH89" s="155"/>
      <c r="FI89" s="155"/>
      <c r="FJ89" s="155"/>
      <c r="FK89" s="155"/>
      <c r="FL89" s="155"/>
      <c r="FM89" s="155"/>
      <c r="FN89" s="155"/>
      <c r="FO89" s="155"/>
      <c r="FP89" s="155"/>
      <c r="FQ89" s="155"/>
      <c r="FR89" s="155"/>
      <c r="FS89" s="155"/>
      <c r="FT89" s="155"/>
      <c r="FU89" s="155"/>
      <c r="FV89" s="155"/>
      <c r="FW89" s="155"/>
      <c r="FX89" s="155"/>
      <c r="FY89" s="155"/>
      <c r="FZ89" s="155"/>
      <c r="GA89" s="155"/>
      <c r="GB89" s="155"/>
      <c r="GC89" s="155"/>
      <c r="GD89" s="155"/>
      <c r="GE89" s="155"/>
      <c r="GF89" s="155"/>
    </row>
    <row r="90" spans="7:268" x14ac:dyDescent="0.25">
      <c r="G90" s="152"/>
      <c r="CT90" s="155"/>
      <c r="CU90" s="155"/>
      <c r="CV90" s="155"/>
      <c r="CW90" s="155"/>
      <c r="CX90" s="155"/>
      <c r="CY90" s="155"/>
      <c r="CZ90" s="155"/>
      <c r="DA90" s="155"/>
      <c r="DB90" s="155"/>
      <c r="DC90" s="155"/>
      <c r="DD90" s="155"/>
      <c r="DE90" s="155"/>
      <c r="DF90" s="155"/>
      <c r="DG90" s="155"/>
      <c r="DH90" s="155"/>
      <c r="DI90" s="155"/>
      <c r="DJ90" s="155"/>
      <c r="DK90" s="155"/>
      <c r="DL90" s="155"/>
      <c r="DM90" s="155"/>
      <c r="DN90" s="155"/>
      <c r="DO90" s="155"/>
      <c r="DP90" s="155"/>
      <c r="DQ90" s="155"/>
      <c r="DR90" s="155"/>
      <c r="DS90" s="155"/>
      <c r="DT90" s="155"/>
      <c r="DU90" s="155"/>
      <c r="DV90" s="155"/>
      <c r="DW90" s="155"/>
      <c r="DX90" s="156"/>
      <c r="DY90" s="155"/>
      <c r="DZ90" s="155"/>
      <c r="EA90" s="155"/>
      <c r="EB90" s="155"/>
      <c r="EC90" s="155"/>
      <c r="ED90" s="155"/>
      <c r="EE90" s="155"/>
      <c r="EF90" s="155"/>
      <c r="EG90" s="155"/>
      <c r="EH90" s="155"/>
      <c r="EI90" s="155"/>
      <c r="EJ90" s="155"/>
      <c r="EK90" s="155"/>
      <c r="EL90" s="155"/>
      <c r="EM90" s="155"/>
      <c r="EN90" s="155"/>
      <c r="EO90" s="155"/>
      <c r="EP90" s="155"/>
      <c r="EQ90" s="155"/>
      <c r="ER90" s="155"/>
      <c r="ES90" s="155"/>
      <c r="ET90" s="155"/>
      <c r="EU90" s="155"/>
      <c r="EV90" s="155"/>
      <c r="EW90" s="155"/>
      <c r="EX90" s="155"/>
      <c r="EY90" s="155"/>
      <c r="EZ90" s="155"/>
      <c r="FA90" s="155"/>
      <c r="FB90" s="155"/>
      <c r="FC90" s="155"/>
      <c r="FD90" s="155"/>
      <c r="FE90" s="155"/>
      <c r="FF90" s="155"/>
      <c r="FG90" s="155"/>
      <c r="FH90" s="155"/>
      <c r="FI90" s="155"/>
      <c r="FJ90" s="155"/>
      <c r="FK90" s="155"/>
      <c r="FL90" s="155"/>
      <c r="FM90" s="155"/>
      <c r="FN90" s="155"/>
      <c r="FO90" s="155"/>
      <c r="FP90" s="155"/>
      <c r="FQ90" s="155"/>
      <c r="FR90" s="155"/>
      <c r="FS90" s="155"/>
      <c r="FT90" s="155"/>
      <c r="FU90" s="155"/>
      <c r="FV90" s="155"/>
      <c r="FW90" s="155"/>
      <c r="FX90" s="155"/>
      <c r="FY90" s="155"/>
      <c r="FZ90" s="155"/>
      <c r="GA90" s="155"/>
      <c r="GB90" s="155"/>
      <c r="GC90" s="155"/>
      <c r="GD90" s="155"/>
      <c r="GE90" s="155"/>
      <c r="GF90" s="155"/>
    </row>
    <row r="91" spans="7:268" x14ac:dyDescent="0.25">
      <c r="G91" s="152"/>
      <c r="H91" s="152"/>
      <c r="CT91" s="155"/>
      <c r="CU91" s="155"/>
      <c r="CV91" s="155"/>
      <c r="CW91" s="155"/>
      <c r="CX91" s="155"/>
      <c r="CY91" s="155"/>
      <c r="CZ91" s="155"/>
      <c r="DA91" s="155"/>
      <c r="DB91" s="155"/>
      <c r="DC91" s="155"/>
      <c r="DD91" s="155"/>
      <c r="DE91" s="155"/>
      <c r="DF91" s="155"/>
      <c r="DG91" s="155"/>
      <c r="DH91" s="155"/>
      <c r="DI91" s="155"/>
      <c r="DJ91" s="155"/>
      <c r="DK91" s="155"/>
      <c r="DL91" s="155"/>
      <c r="DM91" s="155"/>
      <c r="DN91" s="155"/>
      <c r="DO91" s="155"/>
      <c r="DP91" s="155"/>
      <c r="DQ91" s="155"/>
      <c r="DR91" s="155"/>
      <c r="DS91" s="155"/>
      <c r="DT91" s="155"/>
      <c r="DU91" s="155"/>
      <c r="DV91" s="155"/>
      <c r="DW91" s="155"/>
      <c r="DX91" s="156"/>
      <c r="DY91" s="155"/>
      <c r="DZ91" s="155"/>
      <c r="EA91" s="155"/>
      <c r="EB91" s="155"/>
      <c r="EC91" s="155"/>
      <c r="ED91" s="155"/>
      <c r="EE91" s="155"/>
      <c r="EF91" s="155"/>
      <c r="EG91" s="155"/>
      <c r="EH91" s="155"/>
      <c r="EI91" s="155"/>
      <c r="EJ91" s="155"/>
      <c r="EK91" s="155"/>
      <c r="EL91" s="155"/>
      <c r="EM91" s="155"/>
      <c r="EN91" s="155"/>
      <c r="EO91" s="155"/>
      <c r="EP91" s="155"/>
      <c r="EQ91" s="155"/>
      <c r="ER91" s="155"/>
      <c r="ES91" s="155"/>
      <c r="ET91" s="155"/>
      <c r="EU91" s="155"/>
      <c r="EV91" s="155"/>
      <c r="EW91" s="155"/>
      <c r="EX91" s="155"/>
      <c r="EY91" s="155"/>
      <c r="EZ91" s="155"/>
      <c r="FA91" s="155"/>
      <c r="FB91" s="155"/>
      <c r="FC91" s="155"/>
      <c r="FD91" s="155"/>
      <c r="FE91" s="155"/>
      <c r="FF91" s="155"/>
      <c r="FG91" s="155"/>
      <c r="FH91" s="155"/>
      <c r="FI91" s="155"/>
      <c r="FJ91" s="155"/>
      <c r="FK91" s="155"/>
      <c r="FL91" s="155"/>
      <c r="FM91" s="155"/>
      <c r="FN91" s="155"/>
      <c r="FO91" s="155"/>
      <c r="FP91" s="155"/>
      <c r="FQ91" s="155"/>
      <c r="FR91" s="155"/>
      <c r="FS91" s="155"/>
      <c r="FT91" s="155"/>
      <c r="FU91" s="155"/>
      <c r="FV91" s="155"/>
      <c r="FW91" s="155"/>
      <c r="FX91" s="155"/>
      <c r="FY91" s="155"/>
      <c r="FZ91" s="155"/>
      <c r="GA91" s="155"/>
      <c r="GB91" s="155"/>
      <c r="GC91" s="155"/>
      <c r="GD91" s="155"/>
      <c r="GE91" s="155"/>
      <c r="GF91" s="155"/>
    </row>
    <row r="92" spans="7:268" x14ac:dyDescent="0.25">
      <c r="G92" s="152"/>
      <c r="H92" s="152"/>
      <c r="CT92" s="155"/>
      <c r="CU92" s="155"/>
      <c r="CV92" s="155"/>
      <c r="CW92" s="155"/>
      <c r="CX92" s="155"/>
      <c r="CY92" s="155"/>
      <c r="CZ92" s="155"/>
      <c r="DA92" s="155"/>
      <c r="DB92" s="155"/>
      <c r="DC92" s="155"/>
      <c r="DD92" s="155"/>
      <c r="DE92" s="155"/>
      <c r="DF92" s="155"/>
      <c r="DG92" s="155"/>
      <c r="DH92" s="155"/>
      <c r="DI92" s="155"/>
      <c r="DJ92" s="155"/>
      <c r="DK92" s="155"/>
      <c r="DL92" s="155"/>
      <c r="DM92" s="155"/>
      <c r="DN92" s="155"/>
      <c r="DO92" s="155"/>
      <c r="DP92" s="155"/>
      <c r="DQ92" s="155"/>
      <c r="DR92" s="155"/>
      <c r="DS92" s="155"/>
      <c r="DT92" s="155"/>
      <c r="DU92" s="155"/>
      <c r="DV92" s="155"/>
      <c r="DW92" s="155"/>
      <c r="DX92" s="156"/>
      <c r="DY92" s="155"/>
      <c r="DZ92" s="155"/>
      <c r="EA92" s="155"/>
      <c r="EB92" s="155"/>
      <c r="EC92" s="155"/>
      <c r="ED92" s="155"/>
      <c r="EE92" s="155"/>
      <c r="EF92" s="155"/>
      <c r="EG92" s="155"/>
      <c r="EH92" s="155"/>
      <c r="EI92" s="155"/>
      <c r="EJ92" s="155"/>
      <c r="EK92" s="155"/>
      <c r="EL92" s="155"/>
      <c r="EM92" s="155"/>
      <c r="EN92" s="155"/>
      <c r="EO92" s="155"/>
      <c r="EP92" s="155"/>
      <c r="EQ92" s="155"/>
      <c r="ER92" s="155"/>
      <c r="ES92" s="155"/>
      <c r="ET92" s="155"/>
      <c r="EU92" s="155"/>
      <c r="EV92" s="155"/>
      <c r="EW92" s="155"/>
      <c r="EX92" s="155"/>
      <c r="EY92" s="155"/>
      <c r="EZ92" s="155"/>
      <c r="FA92" s="155"/>
      <c r="FB92" s="155"/>
      <c r="FC92" s="155"/>
      <c r="FD92" s="155"/>
      <c r="FE92" s="155"/>
      <c r="FF92" s="155"/>
      <c r="FG92" s="155"/>
      <c r="FH92" s="155"/>
      <c r="FI92" s="155"/>
      <c r="FJ92" s="155"/>
      <c r="FK92" s="155"/>
      <c r="FL92" s="155"/>
      <c r="FM92" s="155"/>
      <c r="FN92" s="155"/>
      <c r="FO92" s="155"/>
      <c r="FP92" s="155"/>
      <c r="FQ92" s="155"/>
      <c r="FR92" s="155"/>
      <c r="FS92" s="155"/>
      <c r="FT92" s="155"/>
      <c r="FU92" s="155"/>
      <c r="FV92" s="155"/>
      <c r="FW92" s="155"/>
      <c r="FX92" s="155"/>
      <c r="FY92" s="155"/>
      <c r="FZ92" s="155"/>
      <c r="GA92" s="155"/>
      <c r="GB92" s="155"/>
      <c r="GC92" s="155"/>
      <c r="GD92" s="155"/>
      <c r="GE92" s="155"/>
      <c r="GF92" s="155"/>
    </row>
    <row r="93" spans="7:268" x14ac:dyDescent="0.25">
      <c r="G93" s="152"/>
      <c r="CT93" s="155"/>
      <c r="CU93" s="155"/>
      <c r="CV93" s="155"/>
      <c r="CW93" s="155"/>
      <c r="CX93" s="155"/>
      <c r="CY93" s="155"/>
      <c r="CZ93" s="155"/>
      <c r="DA93" s="155"/>
      <c r="DB93" s="155"/>
      <c r="DC93" s="155"/>
      <c r="DD93" s="155"/>
      <c r="DE93" s="155"/>
      <c r="DF93" s="155"/>
      <c r="DG93" s="155"/>
      <c r="DH93" s="155"/>
      <c r="DI93" s="155"/>
      <c r="DJ93" s="155"/>
      <c r="DK93" s="155"/>
      <c r="DL93" s="155"/>
      <c r="DM93" s="155"/>
      <c r="DN93" s="155"/>
      <c r="DO93" s="155"/>
      <c r="DP93" s="155"/>
      <c r="DQ93" s="155"/>
      <c r="DR93" s="155"/>
      <c r="DS93" s="155"/>
      <c r="DT93" s="155"/>
      <c r="DU93" s="155"/>
      <c r="DV93" s="155"/>
      <c r="DW93" s="155"/>
      <c r="DX93" s="156"/>
      <c r="DY93" s="155"/>
      <c r="DZ93" s="155"/>
      <c r="EA93" s="155"/>
      <c r="EB93" s="155"/>
      <c r="EC93" s="155"/>
      <c r="ED93" s="155"/>
      <c r="EE93" s="155"/>
      <c r="EF93" s="155"/>
      <c r="EG93" s="155"/>
      <c r="EH93" s="155"/>
      <c r="EI93" s="155"/>
      <c r="EJ93" s="155"/>
      <c r="EK93" s="155"/>
      <c r="EL93" s="155"/>
      <c r="EM93" s="155"/>
      <c r="EN93" s="155"/>
      <c r="EO93" s="155"/>
      <c r="EP93" s="155"/>
      <c r="EQ93" s="155"/>
      <c r="ER93" s="155"/>
      <c r="ES93" s="155"/>
      <c r="ET93" s="155"/>
      <c r="EU93" s="155"/>
      <c r="EV93" s="155"/>
      <c r="EW93" s="155"/>
      <c r="EX93" s="155"/>
      <c r="EY93" s="155"/>
      <c r="EZ93" s="155"/>
      <c r="FA93" s="155"/>
      <c r="FB93" s="155"/>
      <c r="FC93" s="155"/>
      <c r="FD93" s="155"/>
      <c r="FE93" s="155"/>
      <c r="FF93" s="155"/>
      <c r="FG93" s="155"/>
      <c r="FH93" s="155"/>
      <c r="FI93" s="155"/>
      <c r="FJ93" s="155"/>
      <c r="FK93" s="155"/>
      <c r="FL93" s="155"/>
      <c r="FM93" s="155"/>
      <c r="FN93" s="155"/>
      <c r="FO93" s="155"/>
      <c r="FP93" s="155"/>
      <c r="FQ93" s="155"/>
      <c r="FR93" s="155"/>
      <c r="FS93" s="155"/>
      <c r="FT93" s="155"/>
      <c r="FU93" s="155"/>
      <c r="FV93" s="155"/>
      <c r="FW93" s="155"/>
      <c r="FX93" s="155"/>
      <c r="FY93" s="155"/>
      <c r="FZ93" s="155"/>
      <c r="GA93" s="155"/>
      <c r="GB93" s="155"/>
      <c r="GC93" s="155"/>
      <c r="GD93" s="155"/>
      <c r="GE93" s="155"/>
      <c r="GF93" s="155"/>
    </row>
    <row r="94" spans="7:268" x14ac:dyDescent="0.25">
      <c r="G94" s="152"/>
      <c r="CT94" s="155"/>
      <c r="CU94" s="155"/>
      <c r="CV94" s="155"/>
      <c r="CW94" s="155"/>
      <c r="CX94" s="155"/>
      <c r="CY94" s="155"/>
      <c r="CZ94" s="155"/>
      <c r="DA94" s="155"/>
      <c r="DB94" s="155"/>
      <c r="DC94" s="155"/>
      <c r="DD94" s="155"/>
      <c r="DE94" s="155"/>
      <c r="DF94" s="155"/>
      <c r="DG94" s="155"/>
      <c r="DH94" s="155"/>
      <c r="DI94" s="155"/>
      <c r="DJ94" s="155"/>
      <c r="DK94" s="155"/>
      <c r="DL94" s="155"/>
      <c r="DM94" s="155"/>
      <c r="DN94" s="155"/>
      <c r="DO94" s="155"/>
      <c r="DP94" s="155"/>
      <c r="DQ94" s="155"/>
      <c r="DR94" s="155"/>
      <c r="DS94" s="155"/>
      <c r="DT94" s="155"/>
      <c r="DU94" s="155"/>
      <c r="DV94" s="155"/>
      <c r="DW94" s="155"/>
      <c r="DX94" s="156"/>
      <c r="DY94" s="155"/>
      <c r="DZ94" s="155"/>
      <c r="EA94" s="155"/>
      <c r="EB94" s="155"/>
      <c r="EC94" s="155"/>
      <c r="ED94" s="155"/>
      <c r="EE94" s="155"/>
      <c r="EF94" s="155"/>
      <c r="EG94" s="155"/>
      <c r="EH94" s="155"/>
      <c r="EI94" s="155"/>
      <c r="EJ94" s="155"/>
      <c r="EK94" s="155"/>
      <c r="EL94" s="155"/>
      <c r="EM94" s="155"/>
      <c r="EN94" s="155"/>
      <c r="EO94" s="155"/>
      <c r="EP94" s="155"/>
      <c r="EQ94" s="155"/>
      <c r="ER94" s="155"/>
      <c r="ES94" s="155"/>
      <c r="ET94" s="155"/>
      <c r="EU94" s="155"/>
      <c r="EV94" s="155"/>
      <c r="EW94" s="155"/>
      <c r="EX94" s="155"/>
      <c r="EY94" s="155"/>
      <c r="EZ94" s="155"/>
      <c r="FA94" s="155"/>
      <c r="FB94" s="155"/>
      <c r="FC94" s="155"/>
      <c r="FD94" s="155"/>
      <c r="FE94" s="155"/>
      <c r="FF94" s="155"/>
      <c r="FG94" s="155"/>
      <c r="FH94" s="155"/>
      <c r="FI94" s="155"/>
      <c r="FJ94" s="155"/>
      <c r="FK94" s="155"/>
      <c r="FL94" s="155"/>
      <c r="FM94" s="155"/>
      <c r="FN94" s="155"/>
      <c r="FO94" s="155"/>
      <c r="FP94" s="155"/>
      <c r="FQ94" s="155"/>
      <c r="FR94" s="155"/>
      <c r="FS94" s="155"/>
      <c r="FT94" s="155"/>
      <c r="FU94" s="155"/>
      <c r="FV94" s="155"/>
      <c r="FW94" s="155"/>
      <c r="FX94" s="155"/>
      <c r="FY94" s="155"/>
      <c r="FZ94" s="155"/>
      <c r="GA94" s="155"/>
      <c r="GB94" s="155"/>
      <c r="GC94" s="155"/>
      <c r="GD94" s="155"/>
      <c r="GE94" s="155"/>
      <c r="GF94" s="155"/>
    </row>
    <row r="95" spans="7:268" x14ac:dyDescent="0.25">
      <c r="G95" s="152"/>
      <c r="CT95" s="155"/>
      <c r="CU95" s="155"/>
      <c r="CV95" s="155"/>
      <c r="CW95" s="155"/>
      <c r="CX95" s="155"/>
      <c r="CY95" s="155"/>
      <c r="CZ95" s="155"/>
      <c r="DA95" s="155"/>
      <c r="DB95" s="155"/>
      <c r="DC95" s="155"/>
      <c r="DD95" s="155"/>
      <c r="DE95" s="155"/>
      <c r="DF95" s="155"/>
      <c r="DG95" s="155"/>
      <c r="DH95" s="155"/>
      <c r="DI95" s="155"/>
      <c r="DJ95" s="155"/>
      <c r="DK95" s="155"/>
      <c r="DL95" s="155"/>
      <c r="DM95" s="155"/>
      <c r="DN95" s="155"/>
      <c r="DO95" s="155"/>
      <c r="DP95" s="155"/>
      <c r="DQ95" s="155"/>
      <c r="DR95" s="155"/>
      <c r="DS95" s="155"/>
      <c r="DT95" s="155"/>
      <c r="DU95" s="155"/>
      <c r="DV95" s="155"/>
      <c r="DW95" s="155"/>
      <c r="DX95" s="156"/>
      <c r="DY95" s="155"/>
      <c r="DZ95" s="155"/>
      <c r="EA95" s="155"/>
      <c r="EB95" s="155"/>
      <c r="EC95" s="155"/>
      <c r="ED95" s="155"/>
      <c r="EE95" s="155"/>
      <c r="EF95" s="155"/>
      <c r="EG95" s="155"/>
      <c r="EH95" s="155"/>
      <c r="EI95" s="155"/>
      <c r="EJ95" s="155"/>
      <c r="EK95" s="155"/>
      <c r="EL95" s="155"/>
      <c r="EM95" s="155"/>
      <c r="EN95" s="155"/>
      <c r="EO95" s="155"/>
      <c r="EP95" s="155"/>
      <c r="EQ95" s="155"/>
      <c r="ER95" s="155"/>
      <c r="ES95" s="155"/>
      <c r="ET95" s="155"/>
      <c r="EU95" s="155"/>
      <c r="EV95" s="155"/>
      <c r="EW95" s="155"/>
      <c r="EX95" s="155"/>
      <c r="EY95" s="155"/>
      <c r="EZ95" s="155"/>
      <c r="FA95" s="155"/>
      <c r="FB95" s="155"/>
      <c r="FC95" s="155"/>
      <c r="FD95" s="155"/>
      <c r="FE95" s="155"/>
      <c r="FF95" s="155"/>
      <c r="FG95" s="155"/>
      <c r="FH95" s="155"/>
      <c r="FI95" s="155"/>
      <c r="FJ95" s="155"/>
      <c r="FK95" s="155"/>
      <c r="FL95" s="155"/>
      <c r="FM95" s="155"/>
      <c r="FN95" s="155"/>
      <c r="FO95" s="155"/>
      <c r="FP95" s="155"/>
      <c r="FQ95" s="155"/>
      <c r="FR95" s="155"/>
      <c r="FS95" s="155"/>
      <c r="FT95" s="155"/>
      <c r="FU95" s="155"/>
      <c r="FV95" s="155"/>
      <c r="FW95" s="155"/>
      <c r="FX95" s="155"/>
      <c r="FY95" s="155"/>
      <c r="FZ95" s="155"/>
      <c r="GA95" s="155"/>
      <c r="GB95" s="155"/>
      <c r="GC95" s="155"/>
      <c r="GD95" s="155"/>
      <c r="GE95" s="155"/>
      <c r="GF95" s="155"/>
    </row>
    <row r="96" spans="7:268" x14ac:dyDescent="0.25">
      <c r="CT96" s="155"/>
      <c r="CU96" s="155"/>
      <c r="CV96" s="155"/>
      <c r="CW96" s="155"/>
      <c r="CX96" s="155"/>
      <c r="CY96" s="155"/>
      <c r="CZ96" s="155"/>
      <c r="DA96" s="155"/>
      <c r="DB96" s="155"/>
      <c r="DC96" s="155"/>
      <c r="DD96" s="155"/>
      <c r="DE96" s="155"/>
      <c r="DF96" s="155"/>
      <c r="DG96" s="155"/>
      <c r="DH96" s="155"/>
      <c r="DI96" s="155"/>
      <c r="DJ96" s="155"/>
      <c r="DK96" s="155"/>
      <c r="DL96" s="155"/>
      <c r="DM96" s="155"/>
      <c r="DN96" s="155"/>
      <c r="DO96" s="155"/>
      <c r="DP96" s="155"/>
      <c r="DQ96" s="155"/>
      <c r="DR96" s="155"/>
      <c r="DS96" s="155"/>
      <c r="DT96" s="155"/>
      <c r="DU96" s="155"/>
      <c r="DV96" s="155"/>
      <c r="DW96" s="155"/>
      <c r="DX96" s="156"/>
      <c r="DY96" s="155"/>
      <c r="DZ96" s="155"/>
      <c r="EA96" s="155"/>
      <c r="EB96" s="155"/>
      <c r="EC96" s="155"/>
      <c r="ED96" s="155"/>
      <c r="EE96" s="155"/>
      <c r="EF96" s="155"/>
      <c r="EG96" s="155"/>
      <c r="EH96" s="155"/>
      <c r="EI96" s="155"/>
      <c r="EJ96" s="155"/>
      <c r="EK96" s="155"/>
      <c r="EL96" s="155"/>
      <c r="EM96" s="155"/>
      <c r="EN96" s="155"/>
      <c r="EO96" s="155"/>
      <c r="EP96" s="155"/>
      <c r="EQ96" s="155"/>
      <c r="ER96" s="155"/>
      <c r="ES96" s="155"/>
      <c r="ET96" s="155"/>
      <c r="EU96" s="155"/>
      <c r="EV96" s="155"/>
      <c r="EW96" s="155"/>
      <c r="EX96" s="155"/>
      <c r="EY96" s="155"/>
      <c r="EZ96" s="155"/>
      <c r="FA96" s="155"/>
      <c r="FB96" s="155"/>
      <c r="FC96" s="155"/>
      <c r="FD96" s="155"/>
      <c r="FE96" s="155"/>
      <c r="FF96" s="155"/>
      <c r="FG96" s="155"/>
      <c r="FH96" s="155"/>
      <c r="FI96" s="155"/>
      <c r="FJ96" s="155"/>
      <c r="FK96" s="155"/>
      <c r="FL96" s="155"/>
      <c r="FM96" s="155"/>
      <c r="FN96" s="155"/>
      <c r="FO96" s="155"/>
      <c r="FP96" s="155"/>
      <c r="FQ96" s="155"/>
      <c r="FR96" s="155"/>
      <c r="FS96" s="155"/>
      <c r="FT96" s="155"/>
      <c r="FU96" s="155"/>
      <c r="FV96" s="155"/>
      <c r="FW96" s="155"/>
      <c r="FX96" s="155"/>
      <c r="FY96" s="155"/>
      <c r="FZ96" s="155"/>
      <c r="GA96" s="155"/>
      <c r="GB96" s="155"/>
      <c r="GC96" s="155"/>
      <c r="GD96" s="155"/>
      <c r="GE96" s="155"/>
      <c r="GF96" s="155"/>
    </row>
    <row r="97" spans="7:188" x14ac:dyDescent="0.25">
      <c r="CT97" s="155"/>
      <c r="CU97" s="155"/>
      <c r="CV97" s="155"/>
      <c r="CW97" s="155"/>
      <c r="CX97" s="155"/>
      <c r="CY97" s="155"/>
      <c r="CZ97" s="155"/>
      <c r="DA97" s="155"/>
      <c r="DB97" s="155"/>
      <c r="DC97" s="155"/>
      <c r="DD97" s="155"/>
      <c r="DE97" s="155"/>
      <c r="DF97" s="155"/>
      <c r="DG97" s="155"/>
      <c r="DH97" s="155"/>
      <c r="DI97" s="155"/>
      <c r="DJ97" s="155"/>
      <c r="DK97" s="155"/>
      <c r="DL97" s="155"/>
      <c r="DM97" s="155"/>
      <c r="DN97" s="155"/>
      <c r="DO97" s="155"/>
      <c r="DP97" s="155"/>
      <c r="DQ97" s="155"/>
      <c r="DR97" s="155"/>
      <c r="DS97" s="155"/>
      <c r="DT97" s="155"/>
      <c r="DU97" s="155"/>
      <c r="DV97" s="155"/>
      <c r="DW97" s="155"/>
      <c r="DX97" s="156"/>
      <c r="DY97" s="155"/>
      <c r="DZ97" s="155"/>
      <c r="EA97" s="155"/>
      <c r="EB97" s="155"/>
      <c r="EC97" s="155"/>
      <c r="ED97" s="155"/>
      <c r="EE97" s="155"/>
      <c r="EF97" s="155"/>
      <c r="EG97" s="155"/>
      <c r="EH97" s="155"/>
      <c r="EI97" s="155"/>
      <c r="EJ97" s="155"/>
      <c r="EK97" s="155"/>
      <c r="EL97" s="155"/>
      <c r="EM97" s="155"/>
      <c r="EN97" s="155"/>
      <c r="EO97" s="155"/>
      <c r="EP97" s="155"/>
      <c r="EQ97" s="155"/>
      <c r="ER97" s="155"/>
      <c r="ES97" s="155"/>
      <c r="ET97" s="155"/>
      <c r="EU97" s="155"/>
      <c r="EV97" s="155"/>
      <c r="EW97" s="155"/>
      <c r="EX97" s="155"/>
      <c r="EY97" s="155"/>
      <c r="EZ97" s="155"/>
      <c r="FA97" s="155"/>
      <c r="FB97" s="155"/>
      <c r="FC97" s="155"/>
      <c r="FD97" s="155"/>
      <c r="FE97" s="155"/>
      <c r="FF97" s="155"/>
      <c r="FG97" s="155"/>
      <c r="FH97" s="155"/>
      <c r="FI97" s="155"/>
      <c r="FJ97" s="155"/>
      <c r="FK97" s="155"/>
      <c r="FL97" s="155"/>
      <c r="FM97" s="155"/>
      <c r="FN97" s="155"/>
      <c r="FO97" s="155"/>
      <c r="FP97" s="155"/>
      <c r="FQ97" s="155"/>
      <c r="FR97" s="155"/>
      <c r="FS97" s="155"/>
      <c r="FT97" s="155"/>
      <c r="FU97" s="155"/>
      <c r="FV97" s="155"/>
      <c r="FW97" s="155"/>
      <c r="FX97" s="155"/>
      <c r="FY97" s="155"/>
      <c r="FZ97" s="155"/>
      <c r="GA97" s="155"/>
      <c r="GB97" s="155"/>
      <c r="GC97" s="155"/>
      <c r="GD97" s="155"/>
      <c r="GE97" s="155"/>
      <c r="GF97" s="155"/>
    </row>
    <row r="98" spans="7:188" x14ac:dyDescent="0.25">
      <c r="CT98" s="155"/>
      <c r="CU98" s="155"/>
      <c r="CV98" s="155"/>
      <c r="CW98" s="155"/>
      <c r="CX98" s="155"/>
      <c r="CY98" s="155"/>
      <c r="CZ98" s="155"/>
      <c r="DA98" s="155"/>
      <c r="DB98" s="155"/>
      <c r="DC98" s="155"/>
      <c r="DD98" s="155"/>
      <c r="DE98" s="155"/>
      <c r="DF98" s="155"/>
      <c r="DG98" s="155"/>
      <c r="DH98" s="155"/>
      <c r="DI98" s="155"/>
      <c r="DJ98" s="155"/>
      <c r="DK98" s="155"/>
      <c r="DL98" s="155"/>
      <c r="DM98" s="155"/>
      <c r="DN98" s="155"/>
      <c r="DO98" s="155"/>
      <c r="DP98" s="155"/>
      <c r="DQ98" s="155"/>
      <c r="DR98" s="155"/>
      <c r="DS98" s="155"/>
      <c r="DT98" s="155"/>
      <c r="DU98" s="155"/>
      <c r="DV98" s="155"/>
      <c r="DW98" s="155"/>
      <c r="DX98" s="156"/>
      <c r="DY98" s="155"/>
      <c r="DZ98" s="155"/>
      <c r="EA98" s="155"/>
      <c r="EB98" s="155"/>
      <c r="EC98" s="155"/>
      <c r="ED98" s="155"/>
      <c r="EE98" s="155"/>
      <c r="EF98" s="155"/>
      <c r="EG98" s="155"/>
      <c r="EH98" s="155"/>
      <c r="EI98" s="155"/>
      <c r="EJ98" s="155"/>
      <c r="EK98" s="155"/>
      <c r="EL98" s="155"/>
      <c r="EM98" s="155"/>
      <c r="EN98" s="155"/>
      <c r="EO98" s="155"/>
      <c r="EP98" s="155"/>
      <c r="EQ98" s="155"/>
      <c r="ER98" s="155"/>
      <c r="ES98" s="155"/>
      <c r="ET98" s="155"/>
      <c r="EU98" s="155"/>
      <c r="EV98" s="155"/>
      <c r="EW98" s="155"/>
      <c r="EX98" s="155"/>
      <c r="EY98" s="155"/>
      <c r="EZ98" s="155"/>
      <c r="FA98" s="155"/>
      <c r="FB98" s="155"/>
      <c r="FC98" s="155"/>
      <c r="FD98" s="155"/>
      <c r="FE98" s="155"/>
      <c r="FF98" s="155"/>
      <c r="FG98" s="155"/>
      <c r="FH98" s="155"/>
      <c r="FI98" s="155"/>
      <c r="FJ98" s="155"/>
      <c r="FK98" s="155"/>
      <c r="FL98" s="155"/>
      <c r="FM98" s="155"/>
      <c r="FN98" s="155"/>
      <c r="FO98" s="155"/>
      <c r="FP98" s="155"/>
      <c r="FQ98" s="155"/>
      <c r="FR98" s="155"/>
      <c r="FS98" s="155"/>
      <c r="FT98" s="155"/>
      <c r="FU98" s="155"/>
      <c r="FV98" s="155"/>
      <c r="FW98" s="155"/>
      <c r="FX98" s="155"/>
      <c r="FY98" s="155"/>
      <c r="FZ98" s="155"/>
      <c r="GA98" s="155"/>
      <c r="GB98" s="155"/>
      <c r="GC98" s="155"/>
      <c r="GD98" s="155"/>
      <c r="GE98" s="155"/>
      <c r="GF98" s="155"/>
    </row>
    <row r="99" spans="7:188" x14ac:dyDescent="0.25">
      <c r="G99" s="152"/>
      <c r="CT99" s="155"/>
      <c r="CU99" s="155"/>
      <c r="CV99" s="155"/>
      <c r="CW99" s="155"/>
      <c r="CX99" s="155"/>
      <c r="CY99" s="155"/>
      <c r="CZ99" s="155"/>
      <c r="DA99" s="155"/>
      <c r="DB99" s="155"/>
      <c r="DC99" s="155"/>
      <c r="DD99" s="155"/>
      <c r="DE99" s="155"/>
      <c r="DF99" s="155"/>
      <c r="DG99" s="155"/>
      <c r="DH99" s="155"/>
      <c r="DI99" s="155"/>
      <c r="DJ99" s="155"/>
      <c r="DK99" s="155"/>
      <c r="DL99" s="155"/>
      <c r="DM99" s="155"/>
      <c r="DN99" s="155"/>
      <c r="DO99" s="155"/>
      <c r="DP99" s="155"/>
      <c r="DQ99" s="155"/>
      <c r="DR99" s="155"/>
      <c r="DS99" s="155"/>
      <c r="DT99" s="155"/>
      <c r="DU99" s="155"/>
      <c r="DV99" s="155"/>
      <c r="DW99" s="155"/>
      <c r="DX99" s="156"/>
      <c r="DY99" s="155"/>
      <c r="DZ99" s="155"/>
      <c r="EA99" s="155"/>
      <c r="EB99" s="155"/>
      <c r="EC99" s="155"/>
      <c r="ED99" s="155"/>
      <c r="EE99" s="155"/>
      <c r="EF99" s="155"/>
      <c r="EG99" s="155"/>
      <c r="EH99" s="155"/>
      <c r="EI99" s="155"/>
      <c r="EJ99" s="155"/>
      <c r="EK99" s="155"/>
      <c r="EL99" s="155"/>
      <c r="EM99" s="155"/>
      <c r="EN99" s="155"/>
      <c r="EO99" s="155"/>
      <c r="EP99" s="155"/>
      <c r="EQ99" s="155"/>
      <c r="ER99" s="155"/>
      <c r="ES99" s="155"/>
      <c r="ET99" s="155"/>
      <c r="EU99" s="155"/>
      <c r="EV99" s="155"/>
      <c r="EW99" s="155"/>
      <c r="EX99" s="155"/>
      <c r="EY99" s="155"/>
      <c r="EZ99" s="155"/>
      <c r="FA99" s="155"/>
      <c r="FB99" s="155"/>
      <c r="FC99" s="155"/>
      <c r="FD99" s="155"/>
      <c r="FE99" s="155"/>
      <c r="FF99" s="155"/>
      <c r="FG99" s="155"/>
      <c r="FH99" s="155"/>
      <c r="FI99" s="155"/>
      <c r="FJ99" s="155"/>
      <c r="FK99" s="155"/>
      <c r="FL99" s="155"/>
      <c r="FM99" s="155"/>
      <c r="FN99" s="155"/>
      <c r="FO99" s="155"/>
      <c r="FP99" s="155"/>
      <c r="FQ99" s="155"/>
      <c r="FR99" s="155"/>
      <c r="FS99" s="155"/>
      <c r="FT99" s="155"/>
      <c r="FU99" s="155"/>
      <c r="FV99" s="155"/>
      <c r="FW99" s="155"/>
      <c r="FX99" s="155"/>
      <c r="FY99" s="155"/>
      <c r="FZ99" s="155"/>
      <c r="GA99" s="155"/>
      <c r="GB99" s="155"/>
      <c r="GC99" s="155"/>
      <c r="GD99" s="155"/>
      <c r="GE99" s="155"/>
      <c r="GF99" s="155"/>
    </row>
    <row r="100" spans="7:188" x14ac:dyDescent="0.25">
      <c r="CT100" s="155"/>
      <c r="CU100" s="155"/>
      <c r="CV100" s="155"/>
      <c r="CW100" s="155"/>
      <c r="CX100" s="155"/>
      <c r="CY100" s="155"/>
      <c r="CZ100" s="155"/>
      <c r="DA100" s="155"/>
      <c r="DB100" s="155"/>
      <c r="DC100" s="155"/>
      <c r="DD100" s="155"/>
      <c r="DE100" s="155"/>
      <c r="DF100" s="155"/>
      <c r="DG100" s="155"/>
      <c r="DH100" s="155"/>
      <c r="DI100" s="155"/>
      <c r="DJ100" s="155"/>
      <c r="DK100" s="155"/>
      <c r="DL100" s="155"/>
      <c r="DM100" s="155"/>
      <c r="DN100" s="155"/>
      <c r="DO100" s="155"/>
      <c r="DP100" s="155"/>
      <c r="DQ100" s="155"/>
      <c r="DR100" s="155"/>
      <c r="DS100" s="155"/>
      <c r="DT100" s="155"/>
      <c r="DU100" s="155"/>
      <c r="DV100" s="155"/>
      <c r="DW100" s="155"/>
      <c r="DX100" s="156"/>
      <c r="DY100" s="155"/>
      <c r="DZ100" s="155"/>
      <c r="EA100" s="155"/>
      <c r="EB100" s="155"/>
      <c r="EC100" s="155"/>
      <c r="ED100" s="155"/>
      <c r="EE100" s="155"/>
      <c r="EF100" s="155"/>
      <c r="EG100" s="155"/>
      <c r="EH100" s="155"/>
      <c r="EI100" s="155"/>
      <c r="EJ100" s="155"/>
      <c r="EK100" s="155"/>
      <c r="EL100" s="155"/>
      <c r="EM100" s="155"/>
      <c r="EN100" s="155"/>
      <c r="EO100" s="155"/>
      <c r="EP100" s="155"/>
      <c r="EQ100" s="155"/>
      <c r="ER100" s="155"/>
      <c r="ES100" s="155"/>
      <c r="ET100" s="155"/>
      <c r="EU100" s="155"/>
      <c r="EV100" s="155"/>
      <c r="EW100" s="155"/>
      <c r="EX100" s="155"/>
      <c r="EY100" s="155"/>
      <c r="EZ100" s="155"/>
      <c r="FA100" s="155"/>
      <c r="FB100" s="155"/>
      <c r="FC100" s="155"/>
      <c r="FD100" s="155"/>
      <c r="FE100" s="155"/>
      <c r="FF100" s="155"/>
      <c r="FG100" s="155"/>
      <c r="FH100" s="155"/>
      <c r="FI100" s="155"/>
      <c r="FJ100" s="155"/>
      <c r="FK100" s="155"/>
      <c r="FL100" s="155"/>
      <c r="FM100" s="155"/>
      <c r="FN100" s="155"/>
      <c r="FO100" s="155"/>
      <c r="FP100" s="155"/>
      <c r="FQ100" s="155"/>
      <c r="FR100" s="155"/>
      <c r="FS100" s="155"/>
      <c r="FT100" s="155"/>
      <c r="FU100" s="155"/>
      <c r="FV100" s="155"/>
      <c r="FW100" s="155"/>
      <c r="FX100" s="155"/>
      <c r="FY100" s="155"/>
      <c r="FZ100" s="155"/>
      <c r="GA100" s="155"/>
      <c r="GB100" s="155"/>
      <c r="GC100" s="155"/>
      <c r="GD100" s="155"/>
      <c r="GE100" s="155"/>
      <c r="GF100" s="155"/>
    </row>
    <row r="101" spans="7:188" x14ac:dyDescent="0.25">
      <c r="G101" s="152"/>
      <c r="CT101" s="155"/>
      <c r="CU101" s="155"/>
      <c r="CV101" s="155"/>
      <c r="CW101" s="155"/>
      <c r="CX101" s="155"/>
      <c r="CY101" s="155"/>
      <c r="CZ101" s="155"/>
      <c r="DA101" s="155"/>
      <c r="DB101" s="155"/>
      <c r="DC101" s="155"/>
      <c r="DD101" s="155"/>
      <c r="DE101" s="155"/>
      <c r="DF101" s="155"/>
      <c r="DG101" s="155"/>
      <c r="DH101" s="155"/>
      <c r="DI101" s="155"/>
      <c r="DJ101" s="155"/>
      <c r="DK101" s="155"/>
      <c r="DL101" s="155"/>
      <c r="DM101" s="155"/>
      <c r="DN101" s="155"/>
      <c r="DO101" s="155"/>
      <c r="DP101" s="155"/>
      <c r="DQ101" s="155"/>
      <c r="DR101" s="155"/>
      <c r="DS101" s="155"/>
      <c r="DT101" s="155"/>
      <c r="DU101" s="155"/>
      <c r="DV101" s="155"/>
      <c r="DW101" s="155"/>
      <c r="DX101" s="156"/>
      <c r="DY101" s="155"/>
      <c r="DZ101" s="155"/>
      <c r="EA101" s="155"/>
      <c r="EB101" s="155"/>
      <c r="EC101" s="155"/>
      <c r="ED101" s="155"/>
      <c r="EE101" s="155"/>
      <c r="EF101" s="155"/>
      <c r="EG101" s="155"/>
      <c r="EH101" s="155"/>
      <c r="EI101" s="155"/>
      <c r="EJ101" s="155"/>
      <c r="EK101" s="155"/>
      <c r="EL101" s="155"/>
      <c r="EM101" s="155"/>
      <c r="EN101" s="155"/>
      <c r="EO101" s="155"/>
      <c r="EP101" s="155"/>
      <c r="EQ101" s="155"/>
      <c r="ER101" s="155"/>
      <c r="ES101" s="155"/>
      <c r="ET101" s="155"/>
      <c r="EU101" s="155"/>
      <c r="EV101" s="155"/>
      <c r="EW101" s="155"/>
      <c r="EX101" s="155"/>
      <c r="EY101" s="155"/>
      <c r="EZ101" s="155"/>
      <c r="FA101" s="155"/>
      <c r="FB101" s="155"/>
      <c r="FC101" s="155"/>
      <c r="FD101" s="155"/>
      <c r="FE101" s="155"/>
      <c r="FF101" s="155"/>
      <c r="FG101" s="155"/>
      <c r="FH101" s="155"/>
      <c r="FI101" s="155"/>
      <c r="FJ101" s="155"/>
      <c r="FK101" s="155"/>
      <c r="FL101" s="155"/>
      <c r="FM101" s="155"/>
      <c r="FN101" s="155"/>
      <c r="FO101" s="155"/>
      <c r="FP101" s="155"/>
      <c r="FQ101" s="155"/>
      <c r="FR101" s="155"/>
      <c r="FS101" s="155"/>
      <c r="FT101" s="155"/>
      <c r="FU101" s="155"/>
      <c r="FV101" s="155"/>
      <c r="FW101" s="155"/>
      <c r="FX101" s="155"/>
      <c r="FY101" s="155"/>
      <c r="FZ101" s="155"/>
      <c r="GA101" s="155"/>
      <c r="GB101" s="155"/>
      <c r="GC101" s="155"/>
      <c r="GD101" s="155"/>
      <c r="GE101" s="155"/>
      <c r="GF101" s="155"/>
    </row>
    <row r="102" spans="7:188" x14ac:dyDescent="0.25">
      <c r="G102" s="152"/>
      <c r="CT102" s="155"/>
      <c r="CU102" s="155"/>
      <c r="CV102" s="155"/>
      <c r="CW102" s="155"/>
      <c r="CX102" s="155"/>
      <c r="CY102" s="155"/>
      <c r="CZ102" s="155"/>
      <c r="DA102" s="155"/>
      <c r="DB102" s="155"/>
      <c r="DC102" s="155"/>
      <c r="DD102" s="155"/>
      <c r="DE102" s="155"/>
      <c r="DF102" s="155"/>
      <c r="DG102" s="155"/>
      <c r="DH102" s="155"/>
      <c r="DI102" s="155"/>
      <c r="DJ102" s="155"/>
      <c r="DK102" s="155"/>
      <c r="DL102" s="155"/>
      <c r="DM102" s="155"/>
      <c r="DN102" s="155"/>
      <c r="DO102" s="155"/>
      <c r="DP102" s="155"/>
      <c r="DQ102" s="155"/>
      <c r="DR102" s="155"/>
      <c r="DS102" s="155"/>
      <c r="DT102" s="155"/>
      <c r="DU102" s="155"/>
      <c r="DV102" s="155"/>
      <c r="DW102" s="155"/>
      <c r="DX102" s="156"/>
      <c r="DY102" s="155"/>
      <c r="DZ102" s="155"/>
      <c r="EA102" s="155"/>
      <c r="EB102" s="155"/>
      <c r="EC102" s="155"/>
      <c r="ED102" s="155"/>
      <c r="EE102" s="155"/>
      <c r="EF102" s="155"/>
      <c r="EG102" s="155"/>
      <c r="EH102" s="155"/>
      <c r="EI102" s="155"/>
      <c r="EJ102" s="155"/>
      <c r="EK102" s="155"/>
      <c r="EL102" s="155"/>
      <c r="EM102" s="155"/>
      <c r="EN102" s="155"/>
      <c r="EO102" s="155"/>
      <c r="EP102" s="155"/>
      <c r="EQ102" s="155"/>
      <c r="ER102" s="155"/>
      <c r="ES102" s="155"/>
      <c r="ET102" s="155"/>
      <c r="EU102" s="155"/>
      <c r="EV102" s="155"/>
      <c r="EW102" s="155"/>
      <c r="EX102" s="155"/>
      <c r="EY102" s="155"/>
      <c r="EZ102" s="155"/>
      <c r="FA102" s="155"/>
      <c r="FB102" s="155"/>
      <c r="FC102" s="155"/>
      <c r="FD102" s="155"/>
      <c r="FE102" s="155"/>
      <c r="FF102" s="155"/>
      <c r="FG102" s="155"/>
      <c r="FH102" s="155"/>
      <c r="FI102" s="155"/>
      <c r="FJ102" s="155"/>
      <c r="FK102" s="155"/>
      <c r="FL102" s="155"/>
      <c r="FM102" s="155"/>
      <c r="FN102" s="155"/>
      <c r="FO102" s="155"/>
      <c r="FP102" s="155"/>
      <c r="FQ102" s="155"/>
      <c r="FR102" s="155"/>
      <c r="FS102" s="155"/>
      <c r="FT102" s="155"/>
      <c r="FU102" s="155"/>
      <c r="FV102" s="155"/>
      <c r="FW102" s="155"/>
      <c r="FX102" s="155"/>
      <c r="FY102" s="155"/>
      <c r="FZ102" s="155"/>
      <c r="GA102" s="155"/>
      <c r="GB102" s="155"/>
      <c r="GC102" s="155"/>
      <c r="GD102" s="155"/>
      <c r="GE102" s="155"/>
      <c r="GF102" s="155"/>
    </row>
    <row r="103" spans="7:188" x14ac:dyDescent="0.25">
      <c r="G103" s="152"/>
      <c r="CT103" s="155"/>
      <c r="CU103" s="155"/>
      <c r="CV103" s="155"/>
      <c r="CW103" s="155"/>
      <c r="CX103" s="155"/>
      <c r="CY103" s="155"/>
      <c r="CZ103" s="155"/>
      <c r="DA103" s="155"/>
      <c r="DB103" s="155"/>
      <c r="DC103" s="155"/>
      <c r="DD103" s="155"/>
      <c r="DE103" s="155"/>
      <c r="DF103" s="155"/>
      <c r="DG103" s="155"/>
      <c r="DH103" s="155"/>
      <c r="DI103" s="155"/>
      <c r="DJ103" s="155"/>
      <c r="DK103" s="155"/>
      <c r="DL103" s="155"/>
      <c r="DM103" s="155"/>
      <c r="DN103" s="155"/>
      <c r="DO103" s="155"/>
      <c r="DP103" s="155"/>
      <c r="DQ103" s="155"/>
      <c r="DR103" s="155"/>
      <c r="DS103" s="155"/>
      <c r="DT103" s="155"/>
      <c r="DU103" s="155"/>
      <c r="DV103" s="155"/>
      <c r="DW103" s="155"/>
      <c r="DX103" s="156"/>
      <c r="DY103" s="155"/>
      <c r="DZ103" s="155"/>
      <c r="EA103" s="155"/>
      <c r="EB103" s="155"/>
      <c r="EC103" s="155"/>
      <c r="ED103" s="155"/>
      <c r="EE103" s="155"/>
      <c r="EF103" s="155"/>
      <c r="EG103" s="155"/>
      <c r="EH103" s="155"/>
      <c r="EI103" s="155"/>
      <c r="EJ103" s="155"/>
      <c r="EK103" s="155"/>
      <c r="EL103" s="155"/>
      <c r="EM103" s="155"/>
      <c r="EN103" s="155"/>
      <c r="EO103" s="155"/>
      <c r="EP103" s="155"/>
      <c r="EQ103" s="155"/>
      <c r="ER103" s="155"/>
      <c r="ES103" s="155"/>
      <c r="ET103" s="155"/>
      <c r="EU103" s="155"/>
      <c r="EV103" s="155"/>
      <c r="EW103" s="155"/>
      <c r="EX103" s="155"/>
      <c r="EY103" s="155"/>
      <c r="EZ103" s="155"/>
      <c r="FA103" s="155"/>
      <c r="FB103" s="155"/>
      <c r="FC103" s="155"/>
      <c r="FD103" s="155"/>
      <c r="FE103" s="155"/>
      <c r="FF103" s="155"/>
      <c r="FG103" s="155"/>
      <c r="FH103" s="155"/>
      <c r="FI103" s="155"/>
      <c r="FJ103" s="155"/>
      <c r="FK103" s="155"/>
      <c r="FL103" s="155"/>
      <c r="FM103" s="155"/>
      <c r="FN103" s="155"/>
      <c r="FO103" s="155"/>
      <c r="FP103" s="155"/>
      <c r="FQ103" s="155"/>
      <c r="FR103" s="155"/>
      <c r="FS103" s="155"/>
      <c r="FT103" s="155"/>
      <c r="FU103" s="155"/>
      <c r="FV103" s="155"/>
      <c r="FW103" s="155"/>
      <c r="FX103" s="155"/>
      <c r="FY103" s="155"/>
      <c r="FZ103" s="155"/>
      <c r="GA103" s="155"/>
      <c r="GB103" s="155"/>
      <c r="GC103" s="155"/>
      <c r="GD103" s="155"/>
      <c r="GE103" s="155"/>
      <c r="GF103" s="155"/>
    </row>
    <row r="104" spans="7:188" x14ac:dyDescent="0.25">
      <c r="G104" s="152"/>
      <c r="CT104" s="155"/>
      <c r="CU104" s="155"/>
      <c r="CV104" s="155"/>
      <c r="CW104" s="155"/>
      <c r="CX104" s="155"/>
      <c r="CY104" s="155"/>
      <c r="CZ104" s="155"/>
      <c r="DA104" s="155"/>
      <c r="DB104" s="155"/>
      <c r="DC104" s="155"/>
      <c r="DD104" s="155"/>
      <c r="DE104" s="155"/>
      <c r="DF104" s="155"/>
      <c r="DG104" s="155"/>
      <c r="DH104" s="155"/>
      <c r="DI104" s="155"/>
      <c r="DJ104" s="155"/>
      <c r="DK104" s="155"/>
      <c r="DL104" s="155"/>
      <c r="DM104" s="155"/>
      <c r="DN104" s="155"/>
      <c r="DO104" s="155"/>
      <c r="DP104" s="155"/>
      <c r="DQ104" s="155"/>
      <c r="DR104" s="155"/>
      <c r="DS104" s="155"/>
      <c r="DT104" s="155"/>
      <c r="DU104" s="155"/>
      <c r="DV104" s="155"/>
      <c r="DW104" s="155"/>
      <c r="DX104" s="156"/>
      <c r="DY104" s="155"/>
      <c r="DZ104" s="155"/>
      <c r="EA104" s="155"/>
      <c r="EB104" s="155"/>
      <c r="EC104" s="155"/>
      <c r="ED104" s="155"/>
      <c r="EE104" s="155"/>
      <c r="EF104" s="155"/>
      <c r="EG104" s="155"/>
      <c r="EH104" s="155"/>
      <c r="EI104" s="155"/>
      <c r="EJ104" s="155"/>
      <c r="EK104" s="155"/>
      <c r="EL104" s="155"/>
      <c r="EM104" s="155"/>
      <c r="EN104" s="155"/>
      <c r="EO104" s="155"/>
      <c r="EP104" s="155"/>
      <c r="EQ104" s="155"/>
      <c r="ER104" s="155"/>
      <c r="ES104" s="155"/>
      <c r="ET104" s="155"/>
      <c r="EU104" s="155"/>
      <c r="EV104" s="155"/>
      <c r="EW104" s="155"/>
      <c r="EX104" s="155"/>
      <c r="EY104" s="155"/>
      <c r="EZ104" s="155"/>
      <c r="FA104" s="155"/>
      <c r="FB104" s="155"/>
      <c r="FC104" s="155"/>
      <c r="FD104" s="155"/>
      <c r="FE104" s="155"/>
      <c r="FF104" s="155"/>
      <c r="FG104" s="155"/>
      <c r="FH104" s="155"/>
      <c r="FI104" s="155"/>
      <c r="FJ104" s="155"/>
      <c r="FK104" s="155"/>
      <c r="FL104" s="155"/>
      <c r="FM104" s="155"/>
      <c r="FN104" s="155"/>
      <c r="FO104" s="155"/>
      <c r="FP104" s="155"/>
      <c r="FQ104" s="155"/>
      <c r="FR104" s="155"/>
      <c r="FS104" s="155"/>
      <c r="FT104" s="155"/>
      <c r="FU104" s="155"/>
      <c r="FV104" s="155"/>
      <c r="FW104" s="155"/>
      <c r="FX104" s="155"/>
      <c r="FY104" s="155"/>
      <c r="FZ104" s="155"/>
      <c r="GA104" s="155"/>
      <c r="GB104" s="155"/>
      <c r="GC104" s="155"/>
      <c r="GD104" s="155"/>
      <c r="GE104" s="155"/>
      <c r="GF104" s="155"/>
    </row>
    <row r="105" spans="7:188" x14ac:dyDescent="0.25">
      <c r="G105" s="152"/>
      <c r="CT105" s="155"/>
      <c r="CU105" s="155"/>
      <c r="CV105" s="155"/>
      <c r="CW105" s="155"/>
      <c r="CX105" s="155"/>
      <c r="CY105" s="155"/>
      <c r="CZ105" s="155"/>
      <c r="DA105" s="155"/>
      <c r="DB105" s="155"/>
      <c r="DC105" s="155"/>
      <c r="DD105" s="155"/>
      <c r="DE105" s="155"/>
      <c r="DF105" s="155"/>
      <c r="DG105" s="155"/>
      <c r="DH105" s="155"/>
      <c r="DI105" s="155"/>
      <c r="DJ105" s="155"/>
      <c r="DK105" s="155"/>
      <c r="DL105" s="155"/>
      <c r="DM105" s="155"/>
      <c r="DN105" s="155"/>
      <c r="DO105" s="155"/>
      <c r="DP105" s="155"/>
      <c r="DQ105" s="155"/>
      <c r="DR105" s="155"/>
      <c r="DS105" s="155"/>
      <c r="DT105" s="155"/>
      <c r="DU105" s="155"/>
      <c r="DV105" s="155"/>
      <c r="DW105" s="155"/>
      <c r="DX105" s="156"/>
      <c r="DY105" s="155"/>
      <c r="DZ105" s="155"/>
      <c r="EA105" s="155"/>
      <c r="EB105" s="155"/>
      <c r="EC105" s="155"/>
      <c r="ED105" s="155"/>
      <c r="EE105" s="155"/>
      <c r="EF105" s="155"/>
      <c r="EG105" s="155"/>
      <c r="EH105" s="155"/>
      <c r="EI105" s="155"/>
      <c r="EJ105" s="155"/>
      <c r="EK105" s="155"/>
      <c r="EL105" s="155"/>
      <c r="EM105" s="155"/>
      <c r="EN105" s="155"/>
      <c r="EO105" s="155"/>
      <c r="EP105" s="155"/>
      <c r="EQ105" s="155"/>
      <c r="ER105" s="155"/>
      <c r="ES105" s="155"/>
      <c r="ET105" s="155"/>
      <c r="EU105" s="155"/>
      <c r="EV105" s="155"/>
      <c r="EW105" s="155"/>
      <c r="EX105" s="155"/>
      <c r="EY105" s="155"/>
      <c r="EZ105" s="155"/>
      <c r="FA105" s="155"/>
      <c r="FB105" s="155"/>
      <c r="FC105" s="155"/>
      <c r="FD105" s="155"/>
      <c r="FE105" s="155"/>
      <c r="FF105" s="155"/>
      <c r="FG105" s="155"/>
      <c r="FH105" s="155"/>
      <c r="FI105" s="155"/>
      <c r="FJ105" s="155"/>
      <c r="FK105" s="155"/>
      <c r="FL105" s="155"/>
      <c r="FM105" s="155"/>
      <c r="FN105" s="155"/>
      <c r="FO105" s="155"/>
      <c r="FP105" s="155"/>
      <c r="FQ105" s="155"/>
      <c r="FR105" s="155"/>
      <c r="FS105" s="155"/>
      <c r="FT105" s="155"/>
      <c r="FU105" s="155"/>
      <c r="FV105" s="155"/>
      <c r="FW105" s="155"/>
      <c r="FX105" s="155"/>
      <c r="FY105" s="155"/>
      <c r="FZ105" s="155"/>
      <c r="GA105" s="155"/>
      <c r="GB105" s="155"/>
      <c r="GC105" s="155"/>
      <c r="GD105" s="155"/>
      <c r="GE105" s="155"/>
      <c r="GF105" s="155"/>
    </row>
    <row r="106" spans="7:188" x14ac:dyDescent="0.25">
      <c r="G106" s="152"/>
      <c r="CT106" s="155"/>
      <c r="CU106" s="155"/>
      <c r="CV106" s="155"/>
      <c r="CW106" s="155"/>
      <c r="CX106" s="155"/>
      <c r="CY106" s="155"/>
      <c r="CZ106" s="155"/>
      <c r="DA106" s="155"/>
      <c r="DB106" s="155"/>
      <c r="DC106" s="155"/>
      <c r="DD106" s="155"/>
      <c r="DE106" s="155"/>
      <c r="DF106" s="155"/>
      <c r="DG106" s="155"/>
      <c r="DH106" s="155"/>
      <c r="DI106" s="155"/>
      <c r="DJ106" s="155"/>
      <c r="DK106" s="155"/>
      <c r="DL106" s="155"/>
      <c r="DM106" s="155"/>
      <c r="DN106" s="155"/>
      <c r="DO106" s="155"/>
      <c r="DP106" s="155"/>
      <c r="DQ106" s="155"/>
      <c r="DR106" s="155"/>
      <c r="DS106" s="155"/>
      <c r="DT106" s="155"/>
      <c r="DU106" s="155"/>
      <c r="DV106" s="155"/>
      <c r="DW106" s="155"/>
      <c r="DX106" s="156"/>
      <c r="DY106" s="155"/>
      <c r="DZ106" s="155"/>
      <c r="EA106" s="155"/>
      <c r="EB106" s="155"/>
      <c r="EC106" s="155"/>
      <c r="ED106" s="155"/>
      <c r="EE106" s="155"/>
      <c r="EF106" s="155"/>
      <c r="EG106" s="155"/>
      <c r="EH106" s="155"/>
      <c r="EI106" s="155"/>
      <c r="EJ106" s="155"/>
      <c r="EK106" s="155"/>
      <c r="EL106" s="155"/>
      <c r="EM106" s="155"/>
      <c r="EN106" s="155"/>
      <c r="EO106" s="155"/>
      <c r="EP106" s="155"/>
      <c r="EQ106" s="155"/>
      <c r="ER106" s="155"/>
      <c r="ES106" s="155"/>
      <c r="ET106" s="155"/>
      <c r="EU106" s="155"/>
      <c r="EV106" s="155"/>
      <c r="EW106" s="155"/>
      <c r="EX106" s="155"/>
      <c r="EY106" s="155"/>
      <c r="EZ106" s="155"/>
      <c r="FA106" s="155"/>
      <c r="FB106" s="155"/>
      <c r="FC106" s="155"/>
      <c r="FD106" s="155"/>
      <c r="FE106" s="155"/>
      <c r="FF106" s="155"/>
      <c r="FG106" s="155"/>
      <c r="FH106" s="155"/>
      <c r="FI106" s="155"/>
      <c r="FJ106" s="155"/>
      <c r="FK106" s="155"/>
      <c r="FL106" s="155"/>
      <c r="FM106" s="155"/>
      <c r="FN106" s="155"/>
      <c r="FO106" s="155"/>
      <c r="FP106" s="155"/>
      <c r="FQ106" s="155"/>
      <c r="FR106" s="155"/>
      <c r="FS106" s="155"/>
      <c r="FT106" s="155"/>
      <c r="FU106" s="155"/>
      <c r="FV106" s="155"/>
      <c r="FW106" s="155"/>
      <c r="FX106" s="155"/>
      <c r="FY106" s="155"/>
      <c r="FZ106" s="155"/>
      <c r="GA106" s="155"/>
      <c r="GB106" s="155"/>
      <c r="GC106" s="155"/>
      <c r="GD106" s="155"/>
      <c r="GE106" s="155"/>
      <c r="GF106" s="155"/>
    </row>
    <row r="107" spans="7:188" x14ac:dyDescent="0.25">
      <c r="CT107" s="155"/>
      <c r="CU107" s="155"/>
      <c r="CV107" s="155"/>
      <c r="CW107" s="155"/>
      <c r="CX107" s="155"/>
      <c r="CY107" s="155"/>
      <c r="CZ107" s="155"/>
      <c r="DA107" s="155"/>
      <c r="DB107" s="155"/>
      <c r="DC107" s="155"/>
      <c r="DD107" s="155"/>
      <c r="DE107" s="155"/>
      <c r="DF107" s="155"/>
      <c r="DG107" s="155"/>
      <c r="DH107" s="155"/>
      <c r="DI107" s="155"/>
      <c r="DJ107" s="155"/>
      <c r="DK107" s="155"/>
      <c r="DL107" s="155"/>
      <c r="DM107" s="155"/>
      <c r="DN107" s="155"/>
      <c r="DO107" s="155"/>
      <c r="DP107" s="155"/>
      <c r="DQ107" s="155"/>
      <c r="DR107" s="155"/>
      <c r="DS107" s="155"/>
      <c r="DT107" s="155"/>
      <c r="DU107" s="155"/>
      <c r="DV107" s="155"/>
      <c r="DW107" s="155"/>
      <c r="DX107" s="156"/>
      <c r="DY107" s="155"/>
      <c r="DZ107" s="155"/>
      <c r="EA107" s="155"/>
      <c r="EB107" s="155"/>
      <c r="EC107" s="155"/>
      <c r="ED107" s="155"/>
      <c r="EE107" s="155"/>
      <c r="EF107" s="155"/>
      <c r="EG107" s="155"/>
      <c r="EH107" s="155"/>
      <c r="EI107" s="155"/>
      <c r="EJ107" s="155"/>
      <c r="EK107" s="155"/>
      <c r="EL107" s="155"/>
      <c r="EM107" s="155"/>
      <c r="EN107" s="155"/>
      <c r="EO107" s="155"/>
      <c r="EP107" s="155"/>
      <c r="EQ107" s="155"/>
      <c r="ER107" s="155"/>
      <c r="ES107" s="155"/>
      <c r="ET107" s="155"/>
      <c r="EU107" s="155"/>
      <c r="EV107" s="155"/>
      <c r="EW107" s="155"/>
      <c r="EX107" s="155"/>
      <c r="EY107" s="155"/>
      <c r="EZ107" s="155"/>
      <c r="FA107" s="155"/>
      <c r="FB107" s="155"/>
      <c r="FC107" s="155"/>
      <c r="FD107" s="155"/>
      <c r="FE107" s="155"/>
      <c r="FF107" s="155"/>
      <c r="FG107" s="155"/>
      <c r="FH107" s="155"/>
      <c r="FI107" s="155"/>
      <c r="FJ107" s="155"/>
      <c r="FK107" s="155"/>
      <c r="FL107" s="155"/>
      <c r="FM107" s="155"/>
      <c r="FN107" s="155"/>
      <c r="FO107" s="155"/>
      <c r="FP107" s="155"/>
      <c r="FQ107" s="155"/>
      <c r="FR107" s="155"/>
      <c r="FS107" s="155"/>
      <c r="FT107" s="155"/>
      <c r="FU107" s="155"/>
      <c r="FV107" s="155"/>
      <c r="FW107" s="155"/>
      <c r="FX107" s="155"/>
      <c r="FY107" s="155"/>
      <c r="FZ107" s="155"/>
      <c r="GA107" s="155"/>
      <c r="GB107" s="155"/>
      <c r="GC107" s="155"/>
      <c r="GD107" s="155"/>
      <c r="GE107" s="155"/>
      <c r="GF107" s="155"/>
    </row>
    <row r="108" spans="7:188" x14ac:dyDescent="0.25">
      <c r="CT108" s="155"/>
      <c r="CU108" s="155"/>
      <c r="CV108" s="155"/>
      <c r="CW108" s="155"/>
      <c r="CX108" s="155"/>
      <c r="CY108" s="155"/>
      <c r="CZ108" s="155"/>
      <c r="DA108" s="155"/>
      <c r="DB108" s="155"/>
      <c r="DC108" s="155"/>
      <c r="DD108" s="155"/>
      <c r="DE108" s="155"/>
      <c r="DF108" s="155"/>
      <c r="DG108" s="155"/>
      <c r="DH108" s="155"/>
      <c r="DI108" s="155"/>
      <c r="DJ108" s="155"/>
      <c r="DK108" s="155"/>
      <c r="DL108" s="155"/>
      <c r="DM108" s="155"/>
      <c r="DN108" s="155"/>
      <c r="DO108" s="155"/>
      <c r="DP108" s="155"/>
      <c r="DQ108" s="155"/>
      <c r="DR108" s="155"/>
      <c r="DS108" s="155"/>
      <c r="DT108" s="155"/>
      <c r="DU108" s="155"/>
      <c r="DV108" s="155"/>
      <c r="DW108" s="155"/>
      <c r="DX108" s="156"/>
      <c r="DY108" s="155"/>
      <c r="DZ108" s="155"/>
      <c r="EA108" s="155"/>
      <c r="EB108" s="155"/>
      <c r="EC108" s="155"/>
      <c r="ED108" s="155"/>
      <c r="EE108" s="155"/>
      <c r="EF108" s="155"/>
      <c r="EG108" s="155"/>
      <c r="EH108" s="155"/>
      <c r="EI108" s="155"/>
      <c r="EJ108" s="155"/>
      <c r="EK108" s="155"/>
      <c r="EL108" s="155"/>
      <c r="EM108" s="155"/>
      <c r="EN108" s="155"/>
      <c r="EO108" s="155"/>
      <c r="EP108" s="155"/>
      <c r="EQ108" s="155"/>
      <c r="ER108" s="155"/>
      <c r="ES108" s="155"/>
      <c r="ET108" s="155"/>
      <c r="EU108" s="155"/>
      <c r="EV108" s="155"/>
      <c r="EW108" s="155"/>
      <c r="EX108" s="155"/>
      <c r="EY108" s="155"/>
      <c r="EZ108" s="155"/>
      <c r="FA108" s="155"/>
      <c r="FB108" s="155"/>
      <c r="FC108" s="155"/>
      <c r="FD108" s="155"/>
      <c r="FE108" s="155"/>
      <c r="FF108" s="155"/>
      <c r="FG108" s="155"/>
      <c r="FH108" s="155"/>
      <c r="FI108" s="155"/>
      <c r="FJ108" s="155"/>
      <c r="FK108" s="155"/>
      <c r="FL108" s="155"/>
      <c r="FM108" s="155"/>
      <c r="FN108" s="155"/>
      <c r="FO108" s="155"/>
      <c r="FP108" s="155"/>
      <c r="FQ108" s="155"/>
      <c r="FR108" s="155"/>
      <c r="FS108" s="155"/>
      <c r="FT108" s="155"/>
      <c r="FU108" s="155"/>
      <c r="FV108" s="155"/>
      <c r="FW108" s="155"/>
      <c r="FX108" s="155"/>
      <c r="FY108" s="155"/>
      <c r="FZ108" s="155"/>
      <c r="GA108" s="155"/>
      <c r="GB108" s="155"/>
      <c r="GC108" s="155"/>
      <c r="GD108" s="155"/>
      <c r="GE108" s="155"/>
      <c r="GF108" s="155"/>
    </row>
    <row r="109" spans="7:188" x14ac:dyDescent="0.25">
      <c r="CT109" s="155"/>
      <c r="CU109" s="155"/>
      <c r="CV109" s="155"/>
      <c r="CW109" s="155"/>
      <c r="CX109" s="155"/>
      <c r="CY109" s="155"/>
      <c r="CZ109" s="155"/>
      <c r="DA109" s="155"/>
      <c r="DB109" s="155"/>
      <c r="DC109" s="155"/>
      <c r="DD109" s="155"/>
      <c r="DE109" s="155"/>
      <c r="DF109" s="155"/>
      <c r="DG109" s="155"/>
      <c r="DH109" s="155"/>
      <c r="DI109" s="155"/>
      <c r="DJ109" s="155"/>
      <c r="DK109" s="155"/>
      <c r="DL109" s="155"/>
      <c r="DM109" s="155"/>
      <c r="DN109" s="155"/>
      <c r="DO109" s="155"/>
      <c r="DP109" s="155"/>
      <c r="DQ109" s="155"/>
      <c r="DR109" s="155"/>
      <c r="DS109" s="155"/>
      <c r="DT109" s="155"/>
      <c r="DU109" s="155"/>
      <c r="DV109" s="155"/>
      <c r="DW109" s="155"/>
      <c r="DX109" s="156"/>
      <c r="DY109" s="155"/>
      <c r="DZ109" s="155"/>
      <c r="EA109" s="155"/>
      <c r="EB109" s="155"/>
      <c r="EC109" s="155"/>
      <c r="ED109" s="155"/>
      <c r="EE109" s="155"/>
      <c r="EF109" s="155"/>
      <c r="EG109" s="155"/>
      <c r="EH109" s="155"/>
      <c r="EI109" s="155"/>
      <c r="EJ109" s="155"/>
      <c r="EK109" s="155"/>
      <c r="EL109" s="155"/>
      <c r="EM109" s="155"/>
      <c r="EN109" s="155"/>
      <c r="EO109" s="155"/>
      <c r="EP109" s="155"/>
      <c r="EQ109" s="155"/>
      <c r="ER109" s="155"/>
      <c r="ES109" s="155"/>
      <c r="ET109" s="155"/>
      <c r="EU109" s="155"/>
      <c r="EV109" s="155"/>
      <c r="EW109" s="155"/>
      <c r="EX109" s="155"/>
      <c r="EY109" s="155"/>
      <c r="EZ109" s="155"/>
      <c r="FA109" s="155"/>
      <c r="FB109" s="155"/>
      <c r="FC109" s="155"/>
      <c r="FD109" s="155"/>
      <c r="FE109" s="155"/>
      <c r="FF109" s="155"/>
      <c r="FG109" s="155"/>
      <c r="FH109" s="155"/>
      <c r="FI109" s="155"/>
      <c r="FJ109" s="155"/>
      <c r="FK109" s="155"/>
      <c r="FL109" s="155"/>
      <c r="FM109" s="155"/>
      <c r="FN109" s="155"/>
      <c r="FO109" s="155"/>
      <c r="FP109" s="155"/>
      <c r="FQ109" s="155"/>
      <c r="FR109" s="155"/>
      <c r="FS109" s="155"/>
      <c r="FT109" s="155"/>
      <c r="FU109" s="155"/>
      <c r="FV109" s="155"/>
      <c r="FW109" s="155"/>
      <c r="FX109" s="155"/>
      <c r="FY109" s="155"/>
      <c r="FZ109" s="155"/>
      <c r="GA109" s="155"/>
      <c r="GB109" s="155"/>
      <c r="GC109" s="155"/>
      <c r="GD109" s="155"/>
      <c r="GE109" s="155"/>
      <c r="GF109" s="155"/>
    </row>
    <row r="110" spans="7:188" x14ac:dyDescent="0.25">
      <c r="G110" s="152"/>
      <c r="CT110" s="155"/>
      <c r="CU110" s="155"/>
      <c r="CV110" s="155"/>
      <c r="CW110" s="155"/>
      <c r="CX110" s="155"/>
      <c r="CY110" s="155"/>
      <c r="CZ110" s="155"/>
      <c r="DA110" s="155"/>
      <c r="DB110" s="155"/>
      <c r="DC110" s="155"/>
      <c r="DD110" s="155"/>
      <c r="DE110" s="155"/>
      <c r="DF110" s="155"/>
      <c r="DG110" s="155"/>
      <c r="DH110" s="155"/>
      <c r="DI110" s="155"/>
      <c r="DJ110" s="155"/>
      <c r="DK110" s="155"/>
      <c r="DL110" s="155"/>
      <c r="DM110" s="155"/>
      <c r="DN110" s="155"/>
      <c r="DO110" s="155"/>
      <c r="DP110" s="155"/>
      <c r="DQ110" s="155"/>
      <c r="DR110" s="155"/>
      <c r="DS110" s="155"/>
      <c r="DT110" s="155"/>
      <c r="DU110" s="155"/>
      <c r="DV110" s="155"/>
      <c r="DW110" s="155"/>
      <c r="DX110" s="156"/>
      <c r="DY110" s="155"/>
      <c r="DZ110" s="155"/>
      <c r="EA110" s="155"/>
      <c r="EB110" s="155"/>
      <c r="EC110" s="155"/>
      <c r="ED110" s="155"/>
      <c r="EE110" s="155"/>
      <c r="EF110" s="155"/>
      <c r="EG110" s="155"/>
      <c r="EH110" s="155"/>
      <c r="EI110" s="155"/>
      <c r="EJ110" s="155"/>
      <c r="EK110" s="155"/>
      <c r="EL110" s="155"/>
      <c r="EM110" s="155"/>
      <c r="EN110" s="155"/>
      <c r="EO110" s="155"/>
      <c r="EP110" s="155"/>
      <c r="EQ110" s="155"/>
      <c r="ER110" s="155"/>
      <c r="ES110" s="155"/>
      <c r="ET110" s="155"/>
      <c r="EU110" s="155"/>
      <c r="EV110" s="155"/>
      <c r="EW110" s="155"/>
      <c r="EX110" s="155"/>
      <c r="EY110" s="155"/>
      <c r="EZ110" s="155"/>
      <c r="FA110" s="155"/>
      <c r="FB110" s="155"/>
      <c r="FC110" s="155"/>
      <c r="FD110" s="155"/>
      <c r="FE110" s="155"/>
      <c r="FF110" s="155"/>
      <c r="FG110" s="155"/>
      <c r="FH110" s="155"/>
      <c r="FI110" s="155"/>
      <c r="FJ110" s="155"/>
      <c r="FK110" s="155"/>
      <c r="FL110" s="155"/>
      <c r="FM110" s="155"/>
      <c r="FN110" s="155"/>
      <c r="FO110" s="155"/>
      <c r="FP110" s="155"/>
      <c r="FQ110" s="155"/>
      <c r="FR110" s="155"/>
      <c r="FS110" s="155"/>
      <c r="FT110" s="155"/>
      <c r="FU110" s="155"/>
      <c r="FV110" s="155"/>
      <c r="FW110" s="155"/>
      <c r="FX110" s="155"/>
      <c r="FY110" s="155"/>
      <c r="FZ110" s="155"/>
      <c r="GA110" s="155"/>
      <c r="GB110" s="155"/>
      <c r="GC110" s="155"/>
      <c r="GD110" s="155"/>
      <c r="GE110" s="155"/>
      <c r="GF110" s="155"/>
    </row>
    <row r="111" spans="7:188" x14ac:dyDescent="0.25">
      <c r="G111" s="152"/>
      <c r="H111" s="152"/>
      <c r="CT111" s="155"/>
      <c r="CU111" s="155"/>
      <c r="CV111" s="155"/>
      <c r="CW111" s="155"/>
      <c r="CX111" s="155"/>
      <c r="CY111" s="155"/>
      <c r="CZ111" s="155"/>
      <c r="DA111" s="155"/>
      <c r="DB111" s="155"/>
      <c r="DC111" s="155"/>
      <c r="DD111" s="155"/>
      <c r="DE111" s="155"/>
      <c r="DF111" s="155"/>
      <c r="DG111" s="155"/>
      <c r="DH111" s="155"/>
      <c r="DI111" s="155"/>
      <c r="DJ111" s="155"/>
      <c r="DK111" s="155"/>
      <c r="DL111" s="155"/>
      <c r="DM111" s="155"/>
      <c r="DN111" s="155"/>
      <c r="DO111" s="155"/>
      <c r="DP111" s="155"/>
      <c r="DQ111" s="155"/>
      <c r="DR111" s="155"/>
      <c r="DS111" s="155"/>
      <c r="DT111" s="155"/>
      <c r="DU111" s="155"/>
      <c r="DV111" s="155"/>
      <c r="DW111" s="155"/>
      <c r="DX111" s="156"/>
      <c r="DY111" s="155"/>
      <c r="DZ111" s="155"/>
      <c r="EA111" s="155"/>
      <c r="EB111" s="155"/>
      <c r="EC111" s="155"/>
      <c r="ED111" s="155"/>
      <c r="EE111" s="155"/>
      <c r="EF111" s="155"/>
      <c r="EG111" s="155"/>
      <c r="EH111" s="155"/>
      <c r="EI111" s="155"/>
      <c r="EJ111" s="155"/>
      <c r="EK111" s="155"/>
      <c r="EL111" s="155"/>
      <c r="EM111" s="155"/>
      <c r="EN111" s="155"/>
      <c r="EO111" s="155"/>
      <c r="EP111" s="155"/>
      <c r="EQ111" s="155"/>
      <c r="ER111" s="155"/>
      <c r="ES111" s="155"/>
      <c r="ET111" s="155"/>
      <c r="EU111" s="155"/>
      <c r="EV111" s="155"/>
      <c r="EW111" s="155"/>
      <c r="EX111" s="155"/>
      <c r="EY111" s="155"/>
      <c r="EZ111" s="155"/>
      <c r="FA111" s="155"/>
      <c r="FB111" s="155"/>
      <c r="FC111" s="155"/>
      <c r="FD111" s="155"/>
      <c r="FE111" s="155"/>
      <c r="FF111" s="155"/>
      <c r="FG111" s="155"/>
      <c r="FH111" s="155"/>
      <c r="FI111" s="155"/>
      <c r="FJ111" s="155"/>
      <c r="FK111" s="155"/>
      <c r="FL111" s="155"/>
      <c r="FM111" s="155"/>
      <c r="FN111" s="155"/>
      <c r="FO111" s="155"/>
      <c r="FP111" s="155"/>
      <c r="FQ111" s="155"/>
      <c r="FR111" s="155"/>
      <c r="FS111" s="155"/>
      <c r="FT111" s="155"/>
      <c r="FU111" s="155"/>
      <c r="FV111" s="155"/>
      <c r="FW111" s="155"/>
      <c r="FX111" s="155"/>
      <c r="FY111" s="155"/>
      <c r="FZ111" s="155"/>
      <c r="GA111" s="155"/>
      <c r="GB111" s="155"/>
      <c r="GC111" s="155"/>
      <c r="GD111" s="155"/>
      <c r="GE111" s="155"/>
      <c r="GF111" s="155"/>
    </row>
    <row r="112" spans="7:188" x14ac:dyDescent="0.25">
      <c r="G112" s="152"/>
      <c r="H112" s="152"/>
      <c r="CT112" s="155"/>
      <c r="CU112" s="155"/>
      <c r="CV112" s="155"/>
      <c r="CW112" s="155"/>
      <c r="CX112" s="155"/>
      <c r="CY112" s="155"/>
      <c r="CZ112" s="155"/>
      <c r="DA112" s="155"/>
      <c r="DB112" s="155"/>
      <c r="DC112" s="155"/>
      <c r="DD112" s="155"/>
      <c r="DE112" s="155"/>
      <c r="DF112" s="155"/>
      <c r="DG112" s="155"/>
      <c r="DH112" s="155"/>
      <c r="DI112" s="155"/>
      <c r="DJ112" s="155"/>
      <c r="DK112" s="155"/>
      <c r="DL112" s="155"/>
      <c r="DM112" s="155"/>
      <c r="DN112" s="155"/>
      <c r="DO112" s="155"/>
      <c r="DP112" s="155"/>
      <c r="DQ112" s="155"/>
      <c r="DR112" s="155"/>
      <c r="DS112" s="155"/>
      <c r="DT112" s="155"/>
      <c r="DU112" s="155"/>
      <c r="DV112" s="155"/>
      <c r="DW112" s="155"/>
      <c r="DX112" s="156"/>
      <c r="DY112" s="155"/>
      <c r="DZ112" s="155"/>
      <c r="EA112" s="155"/>
      <c r="EB112" s="155"/>
      <c r="EC112" s="155"/>
      <c r="ED112" s="155"/>
      <c r="EE112" s="155"/>
      <c r="EF112" s="155"/>
      <c r="EG112" s="155"/>
      <c r="EH112" s="155"/>
      <c r="EI112" s="155"/>
      <c r="EJ112" s="155"/>
      <c r="EK112" s="155"/>
      <c r="EL112" s="155"/>
      <c r="EM112" s="155"/>
      <c r="EN112" s="155"/>
      <c r="EO112" s="155"/>
      <c r="EP112" s="155"/>
      <c r="EQ112" s="155"/>
      <c r="ER112" s="155"/>
      <c r="ES112" s="155"/>
      <c r="ET112" s="155"/>
      <c r="EU112" s="155"/>
      <c r="EV112" s="155"/>
      <c r="EW112" s="155"/>
      <c r="EX112" s="155"/>
      <c r="EY112" s="155"/>
      <c r="EZ112" s="155"/>
      <c r="FA112" s="155"/>
      <c r="FB112" s="155"/>
      <c r="FC112" s="155"/>
      <c r="FD112" s="155"/>
      <c r="FE112" s="155"/>
      <c r="FF112" s="155"/>
      <c r="FG112" s="155"/>
      <c r="FH112" s="155"/>
      <c r="FI112" s="155"/>
      <c r="FJ112" s="155"/>
      <c r="FK112" s="155"/>
      <c r="FL112" s="155"/>
      <c r="FM112" s="155"/>
      <c r="FN112" s="155"/>
      <c r="FO112" s="155"/>
      <c r="FP112" s="155"/>
      <c r="FQ112" s="155"/>
      <c r="FR112" s="155"/>
      <c r="FS112" s="155"/>
      <c r="FT112" s="155"/>
      <c r="FU112" s="155"/>
      <c r="FV112" s="155"/>
      <c r="FW112" s="155"/>
      <c r="FX112" s="155"/>
      <c r="FY112" s="155"/>
      <c r="FZ112" s="155"/>
      <c r="GA112" s="155"/>
      <c r="GB112" s="155"/>
      <c r="GC112" s="155"/>
      <c r="GD112" s="155"/>
      <c r="GE112" s="155"/>
      <c r="GF112" s="155"/>
    </row>
    <row r="113" spans="7:188" x14ac:dyDescent="0.25">
      <c r="G113" s="152"/>
      <c r="CT113" s="155"/>
      <c r="CU113" s="155"/>
      <c r="CV113" s="155"/>
      <c r="CW113" s="155"/>
      <c r="CX113" s="155"/>
      <c r="CY113" s="155"/>
      <c r="CZ113" s="155"/>
      <c r="DA113" s="155"/>
      <c r="DB113" s="155"/>
      <c r="DC113" s="155"/>
      <c r="DD113" s="155"/>
      <c r="DE113" s="155"/>
      <c r="DF113" s="155"/>
      <c r="DG113" s="155"/>
      <c r="DH113" s="155"/>
      <c r="DI113" s="155"/>
      <c r="DJ113" s="155"/>
      <c r="DK113" s="155"/>
      <c r="DL113" s="155"/>
      <c r="DM113" s="155"/>
      <c r="DN113" s="155"/>
      <c r="DO113" s="155"/>
      <c r="DP113" s="155"/>
      <c r="DQ113" s="155"/>
      <c r="DR113" s="155"/>
      <c r="DS113" s="155"/>
      <c r="DT113" s="155"/>
      <c r="DU113" s="155"/>
      <c r="DV113" s="155"/>
      <c r="DW113" s="155"/>
      <c r="DX113" s="156"/>
      <c r="DY113" s="155"/>
      <c r="DZ113" s="155"/>
      <c r="EA113" s="155"/>
      <c r="EB113" s="155"/>
      <c r="EC113" s="155"/>
      <c r="ED113" s="155"/>
      <c r="EE113" s="155"/>
      <c r="EF113" s="155"/>
      <c r="EG113" s="155"/>
      <c r="EH113" s="155"/>
      <c r="EI113" s="155"/>
      <c r="EJ113" s="155"/>
      <c r="EK113" s="155"/>
      <c r="EL113" s="155"/>
      <c r="EM113" s="155"/>
      <c r="EN113" s="155"/>
      <c r="EO113" s="155"/>
      <c r="EP113" s="155"/>
      <c r="EQ113" s="155"/>
      <c r="ER113" s="155"/>
      <c r="ES113" s="155"/>
      <c r="ET113" s="155"/>
      <c r="EU113" s="155"/>
      <c r="EV113" s="155"/>
      <c r="EW113" s="155"/>
      <c r="EX113" s="155"/>
      <c r="EY113" s="155"/>
      <c r="EZ113" s="155"/>
      <c r="FA113" s="155"/>
      <c r="FB113" s="155"/>
      <c r="FC113" s="155"/>
      <c r="FD113" s="155"/>
      <c r="FE113" s="155"/>
      <c r="FF113" s="155"/>
      <c r="FG113" s="155"/>
      <c r="FH113" s="155"/>
      <c r="FI113" s="155"/>
      <c r="FJ113" s="155"/>
      <c r="FK113" s="155"/>
      <c r="FL113" s="155"/>
      <c r="FM113" s="155"/>
      <c r="FN113" s="155"/>
      <c r="FO113" s="155"/>
      <c r="FP113" s="155"/>
      <c r="FQ113" s="155"/>
      <c r="FR113" s="155"/>
      <c r="FS113" s="155"/>
      <c r="FT113" s="155"/>
      <c r="FU113" s="155"/>
      <c r="FV113" s="155"/>
      <c r="FW113" s="155"/>
      <c r="FX113" s="155"/>
      <c r="FY113" s="155"/>
      <c r="FZ113" s="155"/>
      <c r="GA113" s="155"/>
      <c r="GB113" s="155"/>
      <c r="GC113" s="155"/>
      <c r="GD113" s="155"/>
      <c r="GE113" s="155"/>
      <c r="GF113" s="155"/>
    </row>
    <row r="114" spans="7:188" x14ac:dyDescent="0.25">
      <c r="G114" s="152"/>
      <c r="CT114" s="155"/>
      <c r="CU114" s="155"/>
      <c r="CV114" s="155"/>
      <c r="CW114" s="155"/>
      <c r="CX114" s="155"/>
      <c r="CY114" s="155"/>
      <c r="CZ114" s="155"/>
      <c r="DA114" s="155"/>
      <c r="DB114" s="155"/>
      <c r="DC114" s="155"/>
      <c r="DD114" s="155"/>
      <c r="DE114" s="155"/>
      <c r="DF114" s="155"/>
      <c r="DG114" s="155"/>
      <c r="DH114" s="155"/>
      <c r="DI114" s="155"/>
      <c r="DJ114" s="155"/>
      <c r="DK114" s="155"/>
      <c r="DL114" s="155"/>
      <c r="DM114" s="155"/>
      <c r="DN114" s="155"/>
      <c r="DO114" s="155"/>
      <c r="DP114" s="155"/>
      <c r="DQ114" s="155"/>
      <c r="DR114" s="155"/>
      <c r="DS114" s="155"/>
      <c r="DT114" s="155"/>
      <c r="DU114" s="155"/>
      <c r="DV114" s="155"/>
      <c r="DW114" s="155"/>
      <c r="DX114" s="156"/>
      <c r="DY114" s="155"/>
      <c r="DZ114" s="155"/>
      <c r="EA114" s="155"/>
      <c r="EB114" s="155"/>
      <c r="EC114" s="155"/>
      <c r="ED114" s="155"/>
      <c r="EE114" s="155"/>
      <c r="EF114" s="155"/>
      <c r="EG114" s="155"/>
      <c r="EH114" s="155"/>
      <c r="EI114" s="155"/>
      <c r="EJ114" s="155"/>
      <c r="EK114" s="155"/>
      <c r="EL114" s="155"/>
      <c r="EM114" s="155"/>
      <c r="EN114" s="155"/>
      <c r="EO114" s="155"/>
      <c r="EP114" s="155"/>
      <c r="EQ114" s="155"/>
      <c r="ER114" s="155"/>
      <c r="ES114" s="155"/>
      <c r="ET114" s="155"/>
      <c r="EU114" s="155"/>
      <c r="EV114" s="155"/>
      <c r="EW114" s="155"/>
      <c r="EX114" s="155"/>
      <c r="EY114" s="155"/>
      <c r="EZ114" s="155"/>
      <c r="FA114" s="155"/>
      <c r="FB114" s="155"/>
      <c r="FC114" s="155"/>
      <c r="FD114" s="155"/>
      <c r="FE114" s="155"/>
      <c r="FF114" s="155"/>
      <c r="FG114" s="155"/>
      <c r="FH114" s="155"/>
      <c r="FI114" s="155"/>
      <c r="FJ114" s="155"/>
      <c r="FK114" s="155"/>
      <c r="FL114" s="155"/>
      <c r="FM114" s="155"/>
      <c r="FN114" s="155"/>
      <c r="FO114" s="155"/>
      <c r="FP114" s="155"/>
      <c r="FQ114" s="155"/>
      <c r="FR114" s="155"/>
      <c r="FS114" s="155"/>
      <c r="FT114" s="155"/>
      <c r="FU114" s="155"/>
      <c r="FV114" s="155"/>
      <c r="FW114" s="155"/>
      <c r="FX114" s="155"/>
      <c r="FY114" s="155"/>
      <c r="FZ114" s="155"/>
      <c r="GA114" s="155"/>
      <c r="GB114" s="155"/>
      <c r="GC114" s="155"/>
      <c r="GD114" s="155"/>
      <c r="GE114" s="155"/>
      <c r="GF114" s="155"/>
    </row>
    <row r="115" spans="7:188" x14ac:dyDescent="0.25">
      <c r="G115" s="152"/>
      <c r="H115" s="152"/>
      <c r="CT115" s="155"/>
      <c r="CU115" s="155"/>
      <c r="CV115" s="155"/>
      <c r="CW115" s="155"/>
      <c r="CX115" s="155"/>
      <c r="CY115" s="155"/>
      <c r="CZ115" s="155"/>
      <c r="DA115" s="155"/>
      <c r="DB115" s="155"/>
      <c r="DC115" s="155"/>
      <c r="DD115" s="155"/>
      <c r="DE115" s="155"/>
      <c r="DF115" s="155"/>
      <c r="DG115" s="155"/>
      <c r="DH115" s="155"/>
      <c r="DI115" s="155"/>
      <c r="DJ115" s="155"/>
      <c r="DK115" s="155"/>
      <c r="DL115" s="155"/>
      <c r="DM115" s="155"/>
      <c r="DN115" s="155"/>
      <c r="DO115" s="155"/>
      <c r="DP115" s="155"/>
      <c r="DQ115" s="155"/>
      <c r="DR115" s="155"/>
      <c r="DS115" s="155"/>
      <c r="DT115" s="155"/>
      <c r="DU115" s="155"/>
      <c r="DV115" s="155"/>
      <c r="DW115" s="155"/>
      <c r="DX115" s="156"/>
      <c r="DY115" s="155"/>
      <c r="DZ115" s="155"/>
      <c r="EA115" s="155"/>
      <c r="EB115" s="155"/>
      <c r="EC115" s="155"/>
      <c r="ED115" s="155"/>
      <c r="EE115" s="155"/>
      <c r="EF115" s="155"/>
      <c r="EG115" s="155"/>
      <c r="EH115" s="155"/>
      <c r="EI115" s="155"/>
      <c r="EJ115" s="155"/>
      <c r="EK115" s="155"/>
      <c r="EL115" s="155"/>
      <c r="EM115" s="155"/>
      <c r="EN115" s="155"/>
      <c r="EO115" s="155"/>
      <c r="EP115" s="155"/>
      <c r="EQ115" s="155"/>
      <c r="ER115" s="155"/>
      <c r="ES115" s="155"/>
      <c r="ET115" s="155"/>
      <c r="EU115" s="155"/>
      <c r="EV115" s="155"/>
      <c r="EW115" s="155"/>
      <c r="EX115" s="155"/>
      <c r="EY115" s="155"/>
      <c r="EZ115" s="155"/>
      <c r="FA115" s="155"/>
      <c r="FB115" s="155"/>
      <c r="FC115" s="155"/>
      <c r="FD115" s="155"/>
      <c r="FE115" s="155"/>
      <c r="FF115" s="155"/>
      <c r="FG115" s="155"/>
      <c r="FH115" s="155"/>
      <c r="FI115" s="155"/>
      <c r="FJ115" s="155"/>
      <c r="FK115" s="155"/>
      <c r="FL115" s="155"/>
      <c r="FM115" s="155"/>
      <c r="FN115" s="155"/>
      <c r="FO115" s="155"/>
      <c r="FP115" s="155"/>
      <c r="FQ115" s="155"/>
      <c r="FR115" s="155"/>
      <c r="FS115" s="155"/>
      <c r="FT115" s="155"/>
      <c r="FU115" s="155"/>
      <c r="FV115" s="155"/>
      <c r="FW115" s="155"/>
      <c r="FX115" s="155"/>
      <c r="FY115" s="155"/>
      <c r="FZ115" s="155"/>
      <c r="GA115" s="155"/>
      <c r="GB115" s="155"/>
      <c r="GC115" s="155"/>
      <c r="GD115" s="155"/>
      <c r="GE115" s="155"/>
      <c r="GF115" s="155"/>
    </row>
    <row r="116" spans="7:188" x14ac:dyDescent="0.25">
      <c r="G116" s="152"/>
      <c r="CT116" s="155"/>
      <c r="CU116" s="155"/>
      <c r="CV116" s="155"/>
      <c r="CW116" s="155"/>
      <c r="CX116" s="155"/>
      <c r="CY116" s="155"/>
      <c r="CZ116" s="155"/>
      <c r="DA116" s="155"/>
      <c r="DB116" s="155"/>
      <c r="DC116" s="155"/>
      <c r="DD116" s="155"/>
      <c r="DE116" s="155"/>
      <c r="DF116" s="155"/>
      <c r="DG116" s="155"/>
      <c r="DH116" s="155"/>
      <c r="DI116" s="155"/>
      <c r="DJ116" s="155"/>
      <c r="DK116" s="155"/>
      <c r="DL116" s="155"/>
      <c r="DM116" s="155"/>
      <c r="DN116" s="155"/>
      <c r="DO116" s="155"/>
      <c r="DP116" s="155"/>
      <c r="DQ116" s="155"/>
      <c r="DR116" s="155"/>
      <c r="DS116" s="155"/>
      <c r="DT116" s="155"/>
      <c r="DU116" s="155"/>
      <c r="DV116" s="155"/>
      <c r="DW116" s="155"/>
      <c r="DX116" s="156"/>
      <c r="DY116" s="155"/>
      <c r="DZ116" s="155"/>
      <c r="EA116" s="155"/>
      <c r="EB116" s="155"/>
      <c r="EC116" s="155"/>
      <c r="ED116" s="155"/>
      <c r="EE116" s="155"/>
      <c r="EF116" s="155"/>
      <c r="EG116" s="155"/>
      <c r="EH116" s="155"/>
      <c r="EI116" s="155"/>
      <c r="EJ116" s="155"/>
      <c r="EK116" s="155"/>
      <c r="EL116" s="155"/>
      <c r="EM116" s="155"/>
      <c r="EN116" s="155"/>
      <c r="EO116" s="155"/>
      <c r="EP116" s="155"/>
      <c r="EQ116" s="155"/>
      <c r="ER116" s="155"/>
      <c r="ES116" s="155"/>
      <c r="ET116" s="155"/>
      <c r="EU116" s="155"/>
      <c r="EV116" s="155"/>
      <c r="EW116" s="155"/>
      <c r="EX116" s="155"/>
      <c r="EY116" s="155"/>
      <c r="EZ116" s="155"/>
      <c r="FA116" s="155"/>
      <c r="FB116" s="155"/>
      <c r="FC116" s="155"/>
      <c r="FD116" s="155"/>
      <c r="FE116" s="155"/>
      <c r="FF116" s="155"/>
      <c r="FG116" s="155"/>
      <c r="FH116" s="155"/>
      <c r="FI116" s="155"/>
      <c r="FJ116" s="155"/>
      <c r="FK116" s="155"/>
      <c r="FL116" s="155"/>
      <c r="FM116" s="155"/>
      <c r="FN116" s="155"/>
      <c r="FO116" s="155"/>
      <c r="FP116" s="155"/>
      <c r="FQ116" s="155"/>
      <c r="FR116" s="155"/>
      <c r="FS116" s="155"/>
      <c r="FT116" s="155"/>
      <c r="FU116" s="155"/>
      <c r="FV116" s="155"/>
      <c r="FW116" s="155"/>
      <c r="FX116" s="155"/>
      <c r="FY116" s="155"/>
      <c r="FZ116" s="155"/>
      <c r="GA116" s="155"/>
      <c r="GB116" s="155"/>
      <c r="GC116" s="155"/>
      <c r="GD116" s="155"/>
      <c r="GE116" s="155"/>
      <c r="GF116" s="155"/>
    </row>
    <row r="117" spans="7:188" x14ac:dyDescent="0.25">
      <c r="G117" s="152"/>
      <c r="H117" s="152"/>
      <c r="CT117" s="155"/>
      <c r="CU117" s="155"/>
      <c r="CV117" s="155"/>
      <c r="CW117" s="155"/>
      <c r="CX117" s="155"/>
      <c r="CY117" s="155"/>
      <c r="CZ117" s="155"/>
      <c r="DA117" s="155"/>
      <c r="DB117" s="155"/>
      <c r="DC117" s="155"/>
      <c r="DD117" s="155"/>
      <c r="DE117" s="155"/>
      <c r="DF117" s="155"/>
      <c r="DG117" s="155"/>
      <c r="DH117" s="155"/>
      <c r="DI117" s="155"/>
      <c r="DJ117" s="155"/>
      <c r="DK117" s="155"/>
      <c r="DL117" s="155"/>
      <c r="DM117" s="155"/>
      <c r="DN117" s="155"/>
      <c r="DO117" s="155"/>
      <c r="DP117" s="155"/>
      <c r="DQ117" s="155"/>
      <c r="DR117" s="155"/>
      <c r="DS117" s="155"/>
      <c r="DT117" s="155"/>
      <c r="DU117" s="155"/>
      <c r="DV117" s="155"/>
      <c r="DW117" s="155"/>
      <c r="DX117" s="156"/>
      <c r="DY117" s="155"/>
      <c r="DZ117" s="155"/>
      <c r="EA117" s="155"/>
      <c r="EB117" s="155"/>
      <c r="EC117" s="155"/>
      <c r="ED117" s="155"/>
      <c r="EE117" s="155"/>
      <c r="EF117" s="155"/>
      <c r="EG117" s="155"/>
      <c r="EH117" s="155"/>
      <c r="EI117" s="155"/>
      <c r="EJ117" s="155"/>
      <c r="EK117" s="155"/>
      <c r="EL117" s="155"/>
      <c r="EM117" s="155"/>
      <c r="EN117" s="155"/>
      <c r="EO117" s="155"/>
      <c r="EP117" s="155"/>
      <c r="EQ117" s="155"/>
      <c r="ER117" s="155"/>
      <c r="ES117" s="155"/>
      <c r="ET117" s="155"/>
      <c r="EU117" s="155"/>
      <c r="EV117" s="155"/>
      <c r="EW117" s="155"/>
      <c r="EX117" s="155"/>
      <c r="EY117" s="155"/>
      <c r="EZ117" s="155"/>
      <c r="FA117" s="155"/>
      <c r="FB117" s="155"/>
      <c r="FC117" s="155"/>
      <c r="FD117" s="155"/>
      <c r="FE117" s="155"/>
      <c r="FF117" s="155"/>
      <c r="FG117" s="155"/>
      <c r="FH117" s="155"/>
      <c r="FI117" s="155"/>
      <c r="FJ117" s="155"/>
      <c r="FK117" s="155"/>
      <c r="FL117" s="155"/>
      <c r="FM117" s="155"/>
      <c r="FN117" s="155"/>
      <c r="FO117" s="155"/>
      <c r="FP117" s="155"/>
      <c r="FQ117" s="155"/>
      <c r="FR117" s="155"/>
      <c r="FS117" s="155"/>
      <c r="FT117" s="155"/>
      <c r="FU117" s="155"/>
      <c r="FV117" s="155"/>
      <c r="FW117" s="155"/>
      <c r="FX117" s="155"/>
      <c r="FY117" s="155"/>
      <c r="FZ117" s="155"/>
      <c r="GA117" s="155"/>
      <c r="GB117" s="155"/>
      <c r="GC117" s="155"/>
      <c r="GD117" s="155"/>
      <c r="GE117" s="155"/>
      <c r="GF117" s="155"/>
    </row>
    <row r="118" spans="7:188" x14ac:dyDescent="0.25">
      <c r="G118" s="152"/>
      <c r="H118" s="152"/>
      <c r="CT118" s="155"/>
      <c r="CU118" s="155"/>
      <c r="CV118" s="155"/>
      <c r="CW118" s="155"/>
      <c r="CX118" s="155"/>
      <c r="CY118" s="155"/>
      <c r="CZ118" s="155"/>
      <c r="DA118" s="155"/>
      <c r="DB118" s="155"/>
      <c r="DC118" s="155"/>
      <c r="DD118" s="155"/>
      <c r="DE118" s="155"/>
      <c r="DF118" s="155"/>
      <c r="DG118" s="155"/>
      <c r="DH118" s="155"/>
      <c r="DI118" s="155"/>
      <c r="DJ118" s="155"/>
      <c r="DK118" s="155"/>
      <c r="DL118" s="155"/>
      <c r="DM118" s="155"/>
      <c r="DN118" s="155"/>
      <c r="DO118" s="155"/>
      <c r="DP118" s="155"/>
      <c r="DQ118" s="155"/>
      <c r="DR118" s="155"/>
      <c r="DS118" s="155"/>
      <c r="DT118" s="155"/>
      <c r="DU118" s="155"/>
      <c r="DV118" s="155"/>
      <c r="DW118" s="155"/>
      <c r="DX118" s="156"/>
      <c r="DY118" s="155"/>
      <c r="DZ118" s="155"/>
      <c r="EA118" s="155"/>
      <c r="EB118" s="155"/>
      <c r="EC118" s="155"/>
      <c r="ED118" s="155"/>
      <c r="EE118" s="155"/>
      <c r="EF118" s="155"/>
      <c r="EG118" s="155"/>
      <c r="EH118" s="155"/>
      <c r="EI118" s="155"/>
      <c r="EJ118" s="155"/>
      <c r="EK118" s="155"/>
      <c r="EL118" s="155"/>
      <c r="EM118" s="155"/>
      <c r="EN118" s="155"/>
      <c r="EO118" s="155"/>
      <c r="EP118" s="155"/>
      <c r="EQ118" s="155"/>
      <c r="ER118" s="155"/>
      <c r="ES118" s="155"/>
      <c r="ET118" s="155"/>
      <c r="EU118" s="155"/>
      <c r="EV118" s="155"/>
      <c r="EW118" s="155"/>
      <c r="EX118" s="155"/>
      <c r="EY118" s="155"/>
      <c r="EZ118" s="155"/>
      <c r="FA118" s="155"/>
      <c r="FB118" s="155"/>
      <c r="FC118" s="155"/>
      <c r="FD118" s="155"/>
      <c r="FE118" s="155"/>
      <c r="FF118" s="155"/>
      <c r="FG118" s="155"/>
      <c r="FH118" s="155"/>
      <c r="FI118" s="155"/>
      <c r="FJ118" s="155"/>
      <c r="FK118" s="155"/>
      <c r="FL118" s="155"/>
      <c r="FM118" s="155"/>
      <c r="FN118" s="155"/>
      <c r="FO118" s="155"/>
      <c r="FP118" s="155"/>
      <c r="FQ118" s="155"/>
      <c r="FR118" s="155"/>
      <c r="FS118" s="155"/>
      <c r="FT118" s="155"/>
      <c r="FU118" s="155"/>
      <c r="FV118" s="155"/>
      <c r="FW118" s="155"/>
      <c r="FX118" s="155"/>
      <c r="FY118" s="155"/>
      <c r="FZ118" s="155"/>
      <c r="GA118" s="155"/>
      <c r="GB118" s="155"/>
      <c r="GC118" s="155"/>
      <c r="GD118" s="155"/>
      <c r="GE118" s="155"/>
      <c r="GF118" s="155"/>
    </row>
    <row r="120" spans="7:188" x14ac:dyDescent="0.25">
      <c r="G120" s="152"/>
      <c r="H120" s="152"/>
    </row>
    <row r="121" spans="7:188" x14ac:dyDescent="0.25">
      <c r="G121" s="152"/>
      <c r="H121" s="152"/>
    </row>
    <row r="122" spans="7:188" x14ac:dyDescent="0.25">
      <c r="G122" s="152"/>
    </row>
    <row r="123" spans="7:188" x14ac:dyDescent="0.25">
      <c r="G123" s="152"/>
    </row>
    <row r="124" spans="7:188" x14ac:dyDescent="0.25">
      <c r="G124" s="152"/>
      <c r="H124" s="152"/>
    </row>
    <row r="125" spans="7:188" x14ac:dyDescent="0.25">
      <c r="G125" s="152"/>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64</vt:i4>
      </vt:variant>
      <vt:variant>
        <vt:lpstr>Named Ranges</vt:lpstr>
      </vt:variant>
      <vt:variant>
        <vt:i4>6</vt:i4>
      </vt:variant>
    </vt:vector>
  </HeadingPairs>
  <TitlesOfParts>
    <vt:vector size="70" baseType="lpstr">
      <vt:lpstr>Summary</vt:lpstr>
      <vt:lpstr>Rate History</vt:lpstr>
      <vt:lpstr>FTSE Summary</vt:lpstr>
      <vt:lpstr>Discipline Summary</vt:lpstr>
      <vt:lpstr>Discipline Analysis</vt:lpstr>
      <vt:lpstr>Neutral</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Data</vt:lpstr>
      <vt:lpstr>'Discipline Analysis'!Print_Area</vt:lpstr>
      <vt:lpstr>'Discipline Analysis'!Print_Titles</vt:lpstr>
      <vt:lpstr>'Discipline Summary'!Print_Titles</vt:lpstr>
      <vt:lpstr>'FTSE Summary'!Print_Titles</vt:lpstr>
      <vt:lpstr>Neutral!Print_Titles</vt:lpstr>
      <vt:lpstr>'Rate History'!Print_Titles</vt:lpstr>
    </vt:vector>
  </TitlesOfParts>
  <Company>THECB</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Community and Technical College</dc:title>
  <dc:subject>Expenditure Study</dc:subject>
  <dc:creator>Paul Turcotte</dc:creator>
  <cp:lastModifiedBy>Paul Turcotte</cp:lastModifiedBy>
  <cp:lastPrinted>2012-11-12T15:51:18Z</cp:lastPrinted>
  <dcterms:created xsi:type="dcterms:W3CDTF">2012-11-10T05:06:36Z</dcterms:created>
  <dcterms:modified xsi:type="dcterms:W3CDTF">2012-11-26T18:49:00Z</dcterms:modified>
</cp:coreProperties>
</file>