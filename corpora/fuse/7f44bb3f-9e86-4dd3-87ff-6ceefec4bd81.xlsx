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360" yWindow="15" windowWidth="11340" windowHeight="6540" tabRatio="863"/>
  </bookViews>
  <sheets>
    <sheet name="Sample Non-Price Criteria " sheetId="18" r:id="rId1"/>
    <sheet name="Point Calculator - Instructions" sheetId="31" r:id="rId2"/>
    <sheet name="Point Calculator" sheetId="29" r:id="rId3"/>
    <sheet name="Labor &amp; Fringe Worksheet" sheetId="6" r:id="rId4"/>
    <sheet name="Costs" sheetId="4" r:id="rId5"/>
    <sheet name="Lunch Prices &amp; Counts" sheetId="7" r:id="rId6"/>
    <sheet name="Brkfst Prices &amp; Counts" sheetId="10" r:id="rId7"/>
    <sheet name=" Revenues" sheetId="5" r:id="rId8"/>
    <sheet name="Meals &amp; Equivalents" sheetId="2" r:id="rId9"/>
    <sheet name="Bldg Demographics" sheetId="8" r:id="rId10"/>
    <sheet name="Services by Location" sheetId="9" r:id="rId11"/>
    <sheet name="Cost Responsibility" sheetId="11" r:id="rId12"/>
    <sheet name="Sheet1" sheetId="32" r:id="rId13"/>
  </sheets>
  <definedNames>
    <definedName name="_xlnm.Print_Area" localSheetId="7">' Revenues'!$A$2:$D$62</definedName>
    <definedName name="_xlnm.Print_Area" localSheetId="9">'Bldg Demographics'!$A$5:$F$35</definedName>
    <definedName name="_xlnm.Print_Area" localSheetId="6">'Brkfst Prices &amp; Counts'!$A$5:$H$37</definedName>
    <definedName name="_xlnm.Print_Area" localSheetId="4">Costs!$A$3:$B$17</definedName>
    <definedName name="_xlnm.Print_Area" localSheetId="3">'Labor &amp; Fringe Worksheet'!$A$3:$Q$50</definedName>
    <definedName name="_xlnm.Print_Area" localSheetId="5">'Lunch Prices &amp; Counts'!$A$5:$H$40</definedName>
    <definedName name="_xlnm.Print_Area" localSheetId="8">'Meals &amp; Equivalents'!$A$2:$D$22</definedName>
    <definedName name="_xlnm.Print_Area" localSheetId="2">'Point Calculator'!$A$3:$H$39</definedName>
    <definedName name="_xlnm.Print_Area" localSheetId="10">'Services by Location'!$A$2:$H$32</definedName>
  </definedNames>
  <calcPr calcId="145621"/>
</workbook>
</file>

<file path=xl/calcChain.xml><?xml version="1.0" encoding="utf-8"?>
<calcChain xmlns="http://schemas.openxmlformats.org/spreadsheetml/2006/main">
  <c r="C11" i="29" l="1"/>
  <c r="H9" i="29"/>
  <c r="H11" i="29" s="1"/>
  <c r="H39" i="29" s="1"/>
  <c r="G9" i="29"/>
  <c r="G11" i="29" s="1"/>
  <c r="G39" i="29" s="1"/>
  <c r="F9" i="29"/>
  <c r="F11" i="29" s="1"/>
  <c r="F39" i="29" s="1"/>
  <c r="E9" i="29"/>
  <c r="E11" i="29" s="1"/>
  <c r="E39" i="29" s="1"/>
  <c r="D9" i="29"/>
  <c r="D11" i="29" s="1"/>
  <c r="D39" i="29" s="1"/>
  <c r="D8" i="2"/>
  <c r="D11" i="5"/>
  <c r="D18" i="5"/>
  <c r="D17" i="5"/>
  <c r="D16" i="5"/>
  <c r="D15" i="5"/>
  <c r="D10" i="5"/>
  <c r="D9" i="5"/>
  <c r="D8" i="5"/>
  <c r="G33" i="5"/>
  <c r="D9" i="2"/>
  <c r="G40" i="5"/>
  <c r="D10" i="2" s="1"/>
  <c r="G39" i="6"/>
  <c r="J39" i="6" s="1"/>
  <c r="G38" i="6"/>
  <c r="J38" i="6" s="1"/>
  <c r="G37" i="6"/>
  <c r="J37" i="6" s="1"/>
  <c r="G36" i="6"/>
  <c r="J36" i="6" s="1"/>
  <c r="G35" i="6"/>
  <c r="J35" i="6" s="1"/>
  <c r="G34" i="6"/>
  <c r="J34" i="6" s="1"/>
  <c r="G33" i="6"/>
  <c r="J33" i="6" s="1"/>
  <c r="G32" i="6"/>
  <c r="J32" i="6" s="1"/>
  <c r="G31" i="6"/>
  <c r="J31" i="6" s="1"/>
  <c r="G30" i="6"/>
  <c r="J30" i="6" s="1"/>
  <c r="G29" i="6"/>
  <c r="J29" i="6" s="1"/>
  <c r="G28" i="6"/>
  <c r="J28" i="6" s="1"/>
  <c r="G27" i="6"/>
  <c r="J27" i="6" s="1"/>
  <c r="G26" i="6"/>
  <c r="J26" i="6" s="1"/>
  <c r="G25" i="6"/>
  <c r="J25" i="6" s="1"/>
  <c r="G24" i="6"/>
  <c r="J24" i="6" s="1"/>
  <c r="G23" i="6"/>
  <c r="J23" i="6" s="1"/>
  <c r="G22" i="6"/>
  <c r="J22" i="6" s="1"/>
  <c r="G21" i="6"/>
  <c r="J21" i="6" s="1"/>
  <c r="G20" i="6"/>
  <c r="J20" i="6" s="1"/>
  <c r="G19" i="6"/>
  <c r="J19" i="6" s="1"/>
  <c r="G18" i="6"/>
  <c r="J18" i="6" s="1"/>
  <c r="G17" i="6"/>
  <c r="J17" i="6" s="1"/>
  <c r="G16" i="6"/>
  <c r="J16" i="6" s="1"/>
  <c r="G15" i="6"/>
  <c r="J15" i="6" s="1"/>
  <c r="G14" i="6"/>
  <c r="J14" i="6" s="1"/>
  <c r="G13" i="6"/>
  <c r="J13" i="6" s="1"/>
  <c r="G12" i="6"/>
  <c r="J12" i="6" s="1"/>
  <c r="G11" i="6"/>
  <c r="J11" i="6" s="1"/>
  <c r="G10" i="6"/>
  <c r="J10" i="6" s="1"/>
  <c r="J9" i="6"/>
  <c r="H6" i="10"/>
  <c r="C39" i="29"/>
  <c r="H7" i="10"/>
  <c r="H8" i="10"/>
  <c r="H9" i="10"/>
  <c r="H10" i="10"/>
  <c r="H11" i="10"/>
  <c r="H12" i="10"/>
  <c r="H13" i="10"/>
  <c r="H14" i="10"/>
  <c r="H15" i="10"/>
  <c r="H16" i="10"/>
  <c r="H17" i="10"/>
  <c r="H18" i="10"/>
  <c r="H19" i="10"/>
  <c r="H20" i="10"/>
  <c r="H21" i="10"/>
  <c r="H22" i="10"/>
  <c r="H23" i="10"/>
  <c r="H24" i="10"/>
  <c r="H25" i="10"/>
  <c r="H26" i="10"/>
  <c r="H27" i="10"/>
  <c r="H28" i="10"/>
  <c r="H29" i="10"/>
  <c r="H30" i="10"/>
  <c r="H31" i="10"/>
  <c r="H6" i="7"/>
  <c r="H7" i="7"/>
  <c r="H8" i="7"/>
  <c r="H9" i="7"/>
  <c r="H10" i="7"/>
  <c r="H11" i="7"/>
  <c r="H12" i="7"/>
  <c r="H13" i="7"/>
  <c r="H14" i="7"/>
  <c r="H15" i="7"/>
  <c r="H16" i="7"/>
  <c r="H17" i="7"/>
  <c r="H18" i="7"/>
  <c r="H19" i="7"/>
  <c r="H20" i="7"/>
  <c r="H21" i="7"/>
  <c r="H22" i="7"/>
  <c r="H23" i="7"/>
  <c r="H24" i="7"/>
  <c r="H25" i="7"/>
  <c r="H26" i="7"/>
  <c r="H27" i="7"/>
  <c r="H28" i="7"/>
  <c r="H29" i="7"/>
  <c r="H30" i="7"/>
  <c r="H31" i="7"/>
  <c r="B15" i="4"/>
  <c r="K40" i="6"/>
  <c r="I9" i="6"/>
  <c r="I40" i="6" s="1"/>
  <c r="I11" i="6"/>
  <c r="I13" i="6"/>
  <c r="I15" i="6"/>
  <c r="I17" i="6"/>
  <c r="I19" i="6"/>
  <c r="I20" i="6"/>
  <c r="I21" i="6"/>
  <c r="I22" i="6"/>
  <c r="I23" i="6"/>
  <c r="I24" i="6"/>
  <c r="I25" i="6"/>
  <c r="I26" i="6"/>
  <c r="I27" i="6"/>
  <c r="I28" i="6"/>
  <c r="I29" i="6"/>
  <c r="I30" i="6"/>
  <c r="I31" i="6"/>
  <c r="I32" i="6"/>
  <c r="I33" i="6"/>
  <c r="I34" i="6"/>
  <c r="I35" i="6"/>
  <c r="I36" i="6"/>
  <c r="I37" i="6"/>
  <c r="I38" i="6"/>
  <c r="I39" i="6"/>
  <c r="H9" i="6"/>
  <c r="H40" i="6" s="1"/>
  <c r="H10" i="6"/>
  <c r="H11" i="6"/>
  <c r="H12" i="6"/>
  <c r="H13" i="6"/>
  <c r="H14" i="6"/>
  <c r="H15" i="6"/>
  <c r="H16" i="6"/>
  <c r="H17" i="6"/>
  <c r="H18" i="6"/>
  <c r="H19" i="6"/>
  <c r="H20" i="6"/>
  <c r="H21" i="6"/>
  <c r="H22" i="6"/>
  <c r="H23" i="6"/>
  <c r="H24" i="6"/>
  <c r="H25" i="6"/>
  <c r="H26" i="6"/>
  <c r="H27" i="6"/>
  <c r="H28" i="6"/>
  <c r="H29" i="6"/>
  <c r="H30" i="6"/>
  <c r="H31" i="6"/>
  <c r="H32" i="6"/>
  <c r="H33" i="6"/>
  <c r="H34" i="6"/>
  <c r="H35" i="6"/>
  <c r="H36" i="6"/>
  <c r="H37" i="6"/>
  <c r="H38" i="6"/>
  <c r="H39" i="6"/>
  <c r="G40" i="6"/>
  <c r="D45" i="5"/>
  <c r="D40" i="5"/>
  <c r="D41" i="5"/>
  <c r="D42" i="5"/>
  <c r="D43" i="5"/>
  <c r="D44" i="5"/>
  <c r="D33" i="5"/>
  <c r="D34" i="5"/>
  <c r="D35" i="5"/>
  <c r="D36" i="5"/>
  <c r="D37" i="5"/>
  <c r="D49" i="5"/>
  <c r="G32" i="10"/>
  <c r="F32" i="10"/>
  <c r="E32" i="10"/>
  <c r="B32" i="10"/>
  <c r="J32" i="7"/>
  <c r="G32" i="7"/>
  <c r="F32" i="7"/>
  <c r="E32" i="7"/>
  <c r="B32" i="7"/>
  <c r="J40" i="6"/>
  <c r="D19" i="5"/>
  <c r="D12" i="5"/>
  <c r="D26" i="5" s="1"/>
  <c r="F23" i="5"/>
  <c r="C7" i="2"/>
  <c r="F40" i="5"/>
  <c r="D47" i="5"/>
  <c r="F33" i="5"/>
  <c r="D51" i="5"/>
  <c r="D11" i="2" l="1"/>
  <c r="H32" i="10"/>
  <c r="H32" i="7"/>
  <c r="I18" i="6"/>
  <c r="I16" i="6"/>
  <c r="I14" i="6"/>
  <c r="I12" i="6"/>
  <c r="I10" i="6"/>
</calcChain>
</file>

<file path=xl/sharedStrings.xml><?xml version="1.0" encoding="utf-8"?>
<sst xmlns="http://schemas.openxmlformats.org/spreadsheetml/2006/main" count="347" uniqueCount="292">
  <si>
    <t>Experience working in school foodservice</t>
  </si>
  <si>
    <t>Experience staffing K-12 breakfast and lunch programs</t>
  </si>
  <si>
    <t>Recognition of holidays and special events</t>
  </si>
  <si>
    <t>Methods used to monitor labor cost</t>
  </si>
  <si>
    <t>Integrity of cost and revenue information</t>
  </si>
  <si>
    <t>Methods used to monitor food and non-food cost</t>
  </si>
  <si>
    <t>Integrity and Reliability of Projected Operating Budget/Forecast</t>
  </si>
  <si>
    <t>Training program for foodservice employees</t>
  </si>
  <si>
    <t>Examples of training materials used for foodservice employees</t>
  </si>
  <si>
    <t>Knowledge and ability to work with union employees</t>
  </si>
  <si>
    <t>Knowledge and ability to understand and honor collective bargaining agreements</t>
  </si>
  <si>
    <t xml:space="preserve">Breakfasts Served </t>
  </si>
  <si>
    <t xml:space="preserve">Lunches Served </t>
  </si>
  <si>
    <t>*Total Meals and Meal Equivalents</t>
  </si>
  <si>
    <t xml:space="preserve">(   ) The a la carte and catering income, total meals and meal equivalents is based on data from a  </t>
  </si>
  <si>
    <t xml:space="preserve">(   ) The a la carte and catering income, total meals and meal equivalents is based on data from the  </t>
  </si>
  <si>
    <t>healthy choices</t>
  </si>
  <si>
    <t xml:space="preserve">Samples/examples of materials used to promote healthy messages/making </t>
  </si>
  <si>
    <t>Relationship/Communication with the School District</t>
  </si>
  <si>
    <t>Student/Staff/Parent Satisfaction</t>
  </si>
  <si>
    <t>Awareness and timely compliance with government regulations/requirements</t>
  </si>
  <si>
    <t>Recommendations made to adjust forecast</t>
  </si>
  <si>
    <t>Alternate menu choices/offerings</t>
  </si>
  <si>
    <t xml:space="preserve">Innovative ways of providing quick and efficient service </t>
  </si>
  <si>
    <t>Alternate menu choices/offerings (low fat, low sodium)</t>
  </si>
  <si>
    <t>Promotional materials (posters, menus, flyers, etc.)</t>
  </si>
  <si>
    <t>organizations)</t>
  </si>
  <si>
    <t>Ways to enhance kitchen/cafeteria atmosphere</t>
  </si>
  <si>
    <t>Maintenance of kitchen and food serving areas/equipment</t>
  </si>
  <si>
    <t>Use of varied serving styles (serving lines, express lines, self-service, etc.)</t>
  </si>
  <si>
    <t>Experience managing K-12 school districts</t>
  </si>
  <si>
    <r>
      <t>EXPENSES</t>
    </r>
    <r>
      <rPr>
        <sz val="11"/>
        <rFont val="Arial"/>
      </rPr>
      <t>: (</t>
    </r>
    <r>
      <rPr>
        <i/>
        <sz val="11"/>
        <rFont val="Arial"/>
      </rPr>
      <t>From Food Service Account</t>
    </r>
    <r>
      <rPr>
        <sz val="11"/>
        <rFont val="Arial"/>
      </rPr>
      <t>)</t>
    </r>
  </si>
  <si>
    <r>
      <t>using the month(s) of i</t>
    </r>
    <r>
      <rPr>
        <b/>
        <sz val="11"/>
        <rFont val="Arial"/>
        <family val="2"/>
      </rPr>
      <t>nsert months/year</t>
    </r>
    <r>
      <rPr>
        <sz val="11"/>
        <rFont val="Arial"/>
        <family val="2"/>
      </rPr>
      <t>.</t>
    </r>
  </si>
  <si>
    <r>
      <t xml:space="preserve">       month(s) of i</t>
    </r>
    <r>
      <rPr>
        <b/>
        <sz val="11"/>
        <rFont val="Arial"/>
        <family val="2"/>
      </rPr>
      <t>nsert months/year</t>
    </r>
    <r>
      <rPr>
        <sz val="11"/>
        <rFont val="Arial"/>
        <family val="2"/>
      </rPr>
      <t xml:space="preserve">.  </t>
    </r>
  </si>
  <si>
    <r>
      <t xml:space="preserve">projection for the current school year _________) using the months of </t>
    </r>
    <r>
      <rPr>
        <b/>
        <sz val="11"/>
        <rFont val="Arial"/>
        <family val="2"/>
      </rPr>
      <t>(insert months/year)</t>
    </r>
    <r>
      <rPr>
        <sz val="11"/>
        <rFont val="Arial"/>
        <family val="2"/>
      </rPr>
      <t>.</t>
    </r>
  </si>
  <si>
    <t>Products and Public Liability</t>
  </si>
  <si>
    <t>Equipment Replacement and Repair</t>
  </si>
  <si>
    <r>
      <t xml:space="preserve">using the month(s) of </t>
    </r>
    <r>
      <rPr>
        <b/>
        <sz val="11"/>
        <rFont val="Arial"/>
        <family val="2"/>
      </rPr>
      <t>(insert months/year)</t>
    </r>
    <r>
      <rPr>
        <sz val="11"/>
        <rFont val="Arial"/>
        <family val="2"/>
      </rPr>
      <t>.</t>
    </r>
  </si>
  <si>
    <t>Experience staffing K-12 food service programs</t>
  </si>
  <si>
    <t>Projected operating budgets/forecasts meet established goals/timelines</t>
  </si>
  <si>
    <t>Evaluation of FSMC References</t>
  </si>
  <si>
    <t>Professional development provided for district manager</t>
  </si>
  <si>
    <t>Location of District Manager (in-state or out-of-state)</t>
  </si>
  <si>
    <t>Level of support and guidance provided to on-site manager</t>
  </si>
  <si>
    <t>Financial Reports for Revenue and Cost (monthly, quarterly, etc.)</t>
  </si>
  <si>
    <t>Experience in kitchen/food service layout and design (renovation or new construction)</t>
  </si>
  <si>
    <t xml:space="preserve">District Specific Requirements </t>
  </si>
  <si>
    <t>Experience working with Point of Service (POS) Systems (Technological Support/Back-up)</t>
  </si>
  <si>
    <t>Experience working with USDA Commodities</t>
  </si>
  <si>
    <t xml:space="preserve">and populate cells for wages, retirement, FICA, and worker's compensation. </t>
  </si>
  <si>
    <t>Experience working collaboratively with various school personnel (i.e., wellness programs)</t>
  </si>
  <si>
    <t>Experience providing catering services outside the school district (Head Start, Meals on</t>
  </si>
  <si>
    <t>Wheels, Adult Day Care, Community Centers, Child Day Care, etc.)</t>
  </si>
  <si>
    <t>Experience working with various types of food preparation and delivery systems (Quick Chill,</t>
  </si>
  <si>
    <t>Satelliting, Unitized Meals, etc.)</t>
  </si>
  <si>
    <t>*Total for School Year</t>
  </si>
  <si>
    <t>Target audience(s) to be served (students, staff, parents, parent/community</t>
  </si>
  <si>
    <t>Use of promotions/promotional events (posters, theme days, branding, taste testing)</t>
  </si>
  <si>
    <t>Methods used to obtain students, staff, and parent feedback/preferences</t>
  </si>
  <si>
    <t>Innovative ways of promoting breakfast and lunch programs</t>
  </si>
  <si>
    <t>Collaborative nutrition education/wellness program efforts done with other school districts</t>
  </si>
  <si>
    <t>Description of plans to use feedback obtained from students, staff, and parents</t>
  </si>
  <si>
    <t>Staffing recommendations and provisions</t>
  </si>
  <si>
    <t>Equipment recommendations and provisions (new equipment, use of current equipment, etc.)</t>
  </si>
  <si>
    <t>Portion control and quantity food production</t>
  </si>
  <si>
    <t>Professional development provided for on-site manager</t>
  </si>
  <si>
    <t>Professional development provided for manager candidate (workshops, continuing education, etc)</t>
  </si>
  <si>
    <t>Emergency Readiness Plan</t>
  </si>
  <si>
    <t xml:space="preserve">Results of Coordinated Review Effort (CRE) </t>
  </si>
  <si>
    <t>Results of School Meals Initiative (SMI) - Nutrition Review</t>
  </si>
  <si>
    <t>Level of support and guidance received from upper level management</t>
  </si>
  <si>
    <t>Level of support and guidance provided by mid and upper level management</t>
  </si>
  <si>
    <t>Implementation of local Wellness Plan</t>
  </si>
  <si>
    <t xml:space="preserve">Implementation of HACCP Plan </t>
  </si>
  <si>
    <t>Facility layout and design in relation to proposed menu and population being served</t>
  </si>
  <si>
    <t>Food safety and sanitation training/Hazard Analysis and Critical Control Points (HACCP)</t>
  </si>
  <si>
    <t>Results of local health and safety inspection report</t>
  </si>
  <si>
    <t>Foodservice Biosecurity Management Plan</t>
  </si>
  <si>
    <t>Work safety (lifting, bending, cutting, slicing, etc.)</t>
  </si>
  <si>
    <t xml:space="preserve">Note: Insert percentage for Retirement in cell H5, FICA/Med in cell I5, and Wk Compensation in cell J5. Then insert hourly pay, daily hours and annual days to automatically calculate </t>
  </si>
  <si>
    <t>A la Carte income includes any income from dining room operations which are not part of the</t>
  </si>
  <si>
    <t>(Insert Desired Evaluation Criteria on Point Calculator Sheet)</t>
  </si>
  <si>
    <t xml:space="preserve">Sample Evaluation Criteria and Point Calculator </t>
  </si>
  <si>
    <t>Pay rates for the School Year __________</t>
  </si>
  <si>
    <t xml:space="preserve">(   ) The ADP (Average Daily Participation) and A la Carte/Catering Information is based on data from a projection for the current school year __________ </t>
  </si>
  <si>
    <t>(   ) The ADP (Average Daily Participation) and A la Carte/Catering Information is based on data from the entire previous school year ___________.</t>
  </si>
  <si>
    <t>LUNCH PROGRAM</t>
  </si>
  <si>
    <t>BREAKFAST PROGRAM</t>
  </si>
  <si>
    <t xml:space="preserve">(   ) The ADP (Average Daily Participation) and A la Carte/Catering Information is based on data from a projection for the current school year _________ </t>
  </si>
  <si>
    <t>MEALS AND MEAL EQUIVALENTS CALCULATOR</t>
  </si>
  <si>
    <t>Instructions for Completing Evaluation Criteria and Point Calculator:</t>
  </si>
  <si>
    <t xml:space="preserve">    </t>
  </si>
  <si>
    <t>(   ) The ADP (Average Daily Participation) and A la Carte/Catering Information is based on data from the entire previous school year ________.</t>
  </si>
  <si>
    <t xml:space="preserve">(   ) These figures are based on projected revenue for the currect school year ________ using the </t>
  </si>
  <si>
    <t>(   ) These figures are based on actual revenue from the previous school year ________.</t>
  </si>
  <si>
    <t>entire previous school year _________.</t>
  </si>
  <si>
    <t xml:space="preserve">Indicate with an "x" whether the cost will be paid by the FSMC, the School Food Authority (SFA), or </t>
  </si>
  <si>
    <t>the cost does not apply to the prospective contract.</t>
  </si>
  <si>
    <t>TOTAL</t>
  </si>
  <si>
    <t>Company Name</t>
  </si>
  <si>
    <t>TOTAL COST</t>
  </si>
  <si>
    <t>Food Cost-Including commodities delivery charge</t>
  </si>
  <si>
    <t>Labor</t>
  </si>
  <si>
    <t>Fringe Benefits</t>
  </si>
  <si>
    <t>Contracted Services</t>
  </si>
  <si>
    <t>Transportation Cost</t>
  </si>
  <si>
    <t>Non-Food</t>
  </si>
  <si>
    <t>Indirect Cost (Assigned to food service)</t>
  </si>
  <si>
    <t>Other:</t>
  </si>
  <si>
    <t>Total</t>
  </si>
  <si>
    <t>Please refer to the district annual audit for additional cost information.</t>
  </si>
  <si>
    <t>LOCAL REVENUE</t>
  </si>
  <si>
    <t>Breakfasts:</t>
  </si>
  <si>
    <t>Number Sold:</t>
  </si>
  <si>
    <t>Paid</t>
  </si>
  <si>
    <t>Reduced</t>
  </si>
  <si>
    <t>Adult</t>
  </si>
  <si>
    <t>Lunches:</t>
  </si>
  <si>
    <t>Elementary Paid</t>
  </si>
  <si>
    <t>Secondary Paid</t>
  </si>
  <si>
    <t>*A la Carte Sales</t>
  </si>
  <si>
    <t>=</t>
  </si>
  <si>
    <t>Total Local Revenue</t>
  </si>
  <si>
    <t>*Includes income from vending machines, if applicable.</t>
  </si>
  <si>
    <t>Free</t>
  </si>
  <si>
    <t>Free, severe need</t>
  </si>
  <si>
    <t>Reduced, severe need</t>
  </si>
  <si>
    <t>Total Meals Reimbursement</t>
  </si>
  <si>
    <t>Total Revenue</t>
  </si>
  <si>
    <t>Federal Free Lunch Rate</t>
  </si>
  <si>
    <t>+ Commodity Rate</t>
  </si>
  <si>
    <t>Meal Equivalents (Divide Income by Total)</t>
  </si>
  <si>
    <t>Reimbursable Meals Program.</t>
  </si>
  <si>
    <t>School</t>
  </si>
  <si>
    <t>Employee</t>
  </si>
  <si>
    <t>Hrly Pay</t>
  </si>
  <si>
    <t>Annual</t>
  </si>
  <si>
    <t>Wages</t>
  </si>
  <si>
    <t>Insurance</t>
  </si>
  <si>
    <t>Retirement</t>
  </si>
  <si>
    <t>LABOR AND FRINGE WORKSHEET</t>
  </si>
  <si>
    <t>Total Food Service</t>
  </si>
  <si>
    <t>PRICES/COUNTS/OTHER INCOME</t>
  </si>
  <si>
    <t>Enrollment</t>
  </si>
  <si>
    <t>Meal Prices:</t>
  </si>
  <si>
    <t>Student</t>
  </si>
  <si>
    <t>Counts:</t>
  </si>
  <si>
    <t>A la Carte</t>
  </si>
  <si>
    <t>Grades</t>
  </si>
  <si>
    <t>Lunch</t>
  </si>
  <si>
    <t>Offer vs Serve</t>
  </si>
  <si>
    <t>Breakfast</t>
  </si>
  <si>
    <t>Meals</t>
  </si>
  <si>
    <t>Split Session</t>
  </si>
  <si>
    <t>Kindergarten</t>
  </si>
  <si>
    <t>Special Milk</t>
  </si>
  <si>
    <t>Price:</t>
  </si>
  <si>
    <t>Retirement %</t>
  </si>
  <si>
    <t>FICA/Med %</t>
  </si>
  <si>
    <t>Wk Comp %</t>
  </si>
  <si>
    <t>Insurance &amp;</t>
  </si>
  <si>
    <t>Longevity</t>
  </si>
  <si>
    <t>A la Carte and Other Income</t>
  </si>
  <si>
    <t>Breakfast Revenue:</t>
  </si>
  <si>
    <t>Lunch Revenue:</t>
  </si>
  <si>
    <t>Cost Responsibility Detail Sheet</t>
  </si>
  <si>
    <t>Areas of Responsibility</t>
  </si>
  <si>
    <t>Food</t>
  </si>
  <si>
    <t>Food Purchases</t>
  </si>
  <si>
    <t>FSMC</t>
  </si>
  <si>
    <t>SFA</t>
  </si>
  <si>
    <t>N/A</t>
  </si>
  <si>
    <t>Processing and Payment of Invoices</t>
  </si>
  <si>
    <t>FSMC Employees</t>
  </si>
  <si>
    <t>Salary/Wages</t>
  </si>
  <si>
    <t>Fringe Benefits &amp; Insurance</t>
  </si>
  <si>
    <t>Payroll Taxes</t>
  </si>
  <si>
    <t>Workers Compensation</t>
  </si>
  <si>
    <t>Unemployment Compensation</t>
  </si>
  <si>
    <t>Preparation &amp; Processing of Payroll</t>
  </si>
  <si>
    <t>SFA Employees</t>
  </si>
  <si>
    <t>Miscellaneous/Additional Items</t>
  </si>
  <si>
    <t>Cleaning/Janitorial Supplies</t>
  </si>
  <si>
    <t>Paper/Disposable Supplies</t>
  </si>
  <si>
    <t>Tickets/Tokens/I.D. System</t>
  </si>
  <si>
    <t>Silverware/Glassware</t>
  </si>
  <si>
    <t>Initial Inventory</t>
  </si>
  <si>
    <t>Replacement During Operation</t>
  </si>
  <si>
    <t>Telephone</t>
  </si>
  <si>
    <t>Local</t>
  </si>
  <si>
    <t>Long Distance</t>
  </si>
  <si>
    <t>Uniforms</t>
  </si>
  <si>
    <t>Linens</t>
  </si>
  <si>
    <t>Laundry</t>
  </si>
  <si>
    <t>Trash Removal</t>
  </si>
  <si>
    <t>From Kitchen</t>
  </si>
  <si>
    <t>From Dining Area</t>
  </si>
  <si>
    <t>From Premises</t>
  </si>
  <si>
    <t>Pest Control</t>
  </si>
  <si>
    <t>Non-expendable</t>
  </si>
  <si>
    <t>Expendable</t>
  </si>
  <si>
    <t>Equipment Rental (explain)</t>
  </si>
  <si>
    <t>Car/Truck Rental (explain)</t>
  </si>
  <si>
    <t>Vehicle Maintenance</t>
  </si>
  <si>
    <t>Storage Costs</t>
  </si>
  <si>
    <t>Courier Services</t>
  </si>
  <si>
    <t>Non-FSMC Employee Recruitment</t>
  </si>
  <si>
    <t>Sales Tax</t>
  </si>
  <si>
    <t>Other Taxes and Materials</t>
  </si>
  <si>
    <t>Printing</t>
  </si>
  <si>
    <t>Promotional Materials</t>
  </si>
  <si>
    <t>Other (cannot include overhead expenses incurred by FSMC)</t>
  </si>
  <si>
    <t>Cleaning Responsibilties</t>
  </si>
  <si>
    <t>Preparation Areas</t>
  </si>
  <si>
    <t>Serving Areas</t>
  </si>
  <si>
    <t>Kitchen Floors</t>
  </si>
  <si>
    <t>Dining Room Floors</t>
  </si>
  <si>
    <t>Hoods, Duct Work</t>
  </si>
  <si>
    <t>Routine Cleaning of Tables and Chairs</t>
  </si>
  <si>
    <t>Cafeteria Walls</t>
  </si>
  <si>
    <t>Light Fixtures</t>
  </si>
  <si>
    <t>Windows</t>
  </si>
  <si>
    <t>Grease Traps</t>
  </si>
  <si>
    <t>Restrooms</t>
  </si>
  <si>
    <t>District Manager Support</t>
  </si>
  <si>
    <t>Manager Candidate</t>
  </si>
  <si>
    <t>Marketing and Merchandising Plan</t>
  </si>
  <si>
    <t>Past Performance</t>
  </si>
  <si>
    <t>Plan of Operation</t>
  </si>
  <si>
    <t>Plan to Increase Participation</t>
  </si>
  <si>
    <t>Paid, severe need</t>
  </si>
  <si>
    <t>Non-Food (Supplies and Other Materials)</t>
  </si>
  <si>
    <t>Building*</t>
  </si>
  <si>
    <t>Job Title*</t>
  </si>
  <si>
    <t>Daily Hrs*</t>
  </si>
  <si>
    <t>Days*</t>
  </si>
  <si>
    <t>Wages*</t>
  </si>
  <si>
    <t>On-Site Manager Salary and Benefits</t>
  </si>
  <si>
    <t>Retirement*</t>
  </si>
  <si>
    <t>FICA*</t>
  </si>
  <si>
    <t>Work Comp*</t>
  </si>
  <si>
    <t>Check one:</t>
  </si>
  <si>
    <t>*Minimum information that must be completed for this worksheet.</t>
  </si>
  <si>
    <t>School Builiding</t>
  </si>
  <si>
    <t>School Building</t>
  </si>
  <si>
    <t>*Reimbursable Meal ADP:</t>
  </si>
  <si>
    <t>*Check one:</t>
  </si>
  <si>
    <t>A la Carte &amp; Other Income</t>
  </si>
  <si>
    <t>Experience with menu development and special events</t>
  </si>
  <si>
    <t>Experience conducting procurement</t>
  </si>
  <si>
    <t>Expanding/increasing participation in breakfast and lunch</t>
  </si>
  <si>
    <t>Nutrition Education</t>
  </si>
  <si>
    <t>Employee Training and Development</t>
  </si>
  <si>
    <t>Pts</t>
  </si>
  <si>
    <t xml:space="preserve">3. On the “Grand Total" line, type in the grand total costs from each proposal. </t>
  </si>
  <si>
    <t>Sample Non-Price Criteria for Evaluation of Proposals</t>
  </si>
  <si>
    <t>PRICES / COUNTS / OTHER INCOME</t>
  </si>
  <si>
    <t>USDA Handling &amp; Processing Charges</t>
  </si>
  <si>
    <t>PROGRAM REIMBURSEMENTS:</t>
  </si>
  <si>
    <t>1. At the top of the spreadsheet, type in each company name. The companies must be listed in order of lowest price, with the lowest price at the left and highest price at the right.</t>
  </si>
  <si>
    <t xml:space="preserve">The Point Calculator may be used to calculate the total number of points awarded by the SFA to each proposal. The Point Calculator can be used for either a cost-reimbursable or a fixed meal price contract.  </t>
  </si>
  <si>
    <t xml:space="preserve">2. In the cell for “Points Available for Low Price” line, type in the maximum number of points that the school has set to be available based on the price portion of each proposal. Federal procurement regulations require that the number of points avalable for low price be greater than the number of points available for any other criterion. There is no maximum limit to the number of points that may be awarded for low price.  </t>
  </si>
  <si>
    <t>Maximum Points Available for Low Price</t>
  </si>
  <si>
    <t>Grand Total Proposed Price</t>
  </si>
  <si>
    <t>Percent of Points Awarded for Low Price</t>
  </si>
  <si>
    <t>Total Points Awarded for Low Price</t>
  </si>
  <si>
    <t>Non-Price Criteria (max.points in this section should total 100 when added to max.Cost Points from above)</t>
  </si>
  <si>
    <t xml:space="preserve">4. Once the required information on costs from each proposal has been entered on the spreadsheet, the numbers for “Percent of points Awarded for Low Price” and “Total Points Awarded for Low Price” will automatically populate for each proposal. </t>
  </si>
  <si>
    <t xml:space="preserve">“Percent of points Awarded for Low Price” – This line shows the percentage, out of the total points available for price, to be awarded to each company. The lowest price proposal, listed in the column farthest to the left, receives 100 percent of maximum points; the other proposals receive fewer points in descending order. The default calculation in the spreadsheet awards, for example, 95% of available points to a price that exceeded the low price by 5 percent. However this specific manner of calculating points for price on the spreadsheet is not required – the school may change these equations on the spreadsheet, or may make these calculations manually, so that the percentages on this line will calculate as specified by the school. For example, the school could give more importance to price by changing the equation so that a bid price that is 5 percent higher than the lowest bid price would receive a lower percentage such as 90 percent of price points rather than 95 percent.   </t>
  </si>
  <si>
    <t xml:space="preserve">“Total Points Awarded for Low Price” – This line shows the total number of points awarded to each proposal based on how low the price is. These numbers automatically populate based on the percentages shown on the previous line, multiplied by the maximum number of points that are available based on price. </t>
  </si>
  <si>
    <t>5. In the non-price criteria section in the lower part of the spreadsheet, list the school’s non-price criteria (add or delete from the sample list of criteria as needed) and show the maximum available points in the column to the left of each criterion. The number of points assigned to any non-price criterion may not be greater than the number of points assigned to price. For each company's proposal, enter the number of points that the school awarded for each of the non-price criteria.</t>
  </si>
  <si>
    <t>*A la carte income</t>
  </si>
  <si>
    <t>Other</t>
  </si>
  <si>
    <t>Federal + State Rates for SY _________</t>
  </si>
  <si>
    <t>Milk Programs</t>
  </si>
  <si>
    <t>Milk Revenue:</t>
  </si>
  <si>
    <t>Total Milk Reimbursement</t>
  </si>
  <si>
    <t xml:space="preserve">SFA has completed information for SFA employees. Company complete information for Company employees. </t>
  </si>
  <si>
    <t>Days / Year</t>
  </si>
  <si>
    <t>Self-Prep,Satellite, Etc.</t>
  </si>
  <si>
    <t>MN</t>
  </si>
  <si>
    <t>Milk</t>
  </si>
  <si>
    <t>FSMC Administrative Cost/Fee, if applicable, have not been included.</t>
  </si>
  <si>
    <t>PROJECTED COSTS</t>
  </si>
  <si>
    <t>PROJECTED REVENUES</t>
  </si>
  <si>
    <t>6. After price and non-price points have been entered on the spreadsheet for each proposal, the total number of points (price + non-price) for each company will automatically populate in the final row of the spreadsheet. School awards contract to the company that received the most total points.</t>
  </si>
  <si>
    <t>Based on (insert days) Days of Service in School Year ________</t>
  </si>
  <si>
    <r>
      <t xml:space="preserve">Based on </t>
    </r>
    <r>
      <rPr>
        <b/>
        <sz val="11"/>
        <rFont val="Arial"/>
        <family val="2"/>
      </rPr>
      <t>(insert # days___)</t>
    </r>
    <r>
      <rPr>
        <sz val="11"/>
        <rFont val="Arial"/>
        <family val="2"/>
      </rPr>
      <t xml:space="preserve"> Days of Lunch / </t>
    </r>
    <r>
      <rPr>
        <b/>
        <sz val="11"/>
        <rFont val="Arial"/>
        <family val="2"/>
      </rPr>
      <t>(insert # days___)</t>
    </r>
    <r>
      <rPr>
        <sz val="11"/>
        <rFont val="Arial"/>
        <family val="2"/>
      </rPr>
      <t xml:space="preserve"> Days of Breakfast in School Year ________</t>
    </r>
  </si>
  <si>
    <t>BUILDING DEMOGRAPHICS AND SERVICE INFORMATION</t>
  </si>
  <si>
    <t>~~See attached copy of (insert month/year) claim~~</t>
  </si>
  <si>
    <t>Service Times:</t>
  </si>
  <si>
    <r>
      <rPr>
        <b/>
        <sz val="12"/>
        <rFont val="Arial"/>
        <family val="2"/>
      </rPr>
      <t>SFA INFORMATION:</t>
    </r>
    <r>
      <rPr>
        <sz val="12"/>
        <rFont val="Arial"/>
        <family val="2"/>
      </rPr>
      <t xml:space="preserve">  The services that are indicated below with an "x" are to be provided at the following locations.</t>
    </r>
  </si>
</sst>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7" formatCode="&quot;$&quot;#,##0.00_);\(&quot;$&quot;#,##0.00\)"/>
    <numFmt numFmtId="44" formatCode="_(&quot;$&quot;* #,##0.00_);_(&quot;$&quot;* \(#,##0.00\);_(&quot;$&quot;* &quot;-&quot;??_);_(@_)"/>
    <numFmt numFmtId="43" formatCode="_(* #,##0.00_);_(* \(#,##0.00\);_(* &quot;-&quot;??_);_(@_)"/>
    <numFmt numFmtId="164" formatCode="_(&quot;$&quot;* #,##0.0000_);_(&quot;$&quot;* \(#,##0.0000\);_(&quot;$&quot;* &quot;-&quot;??_);_(@_)"/>
    <numFmt numFmtId="165" formatCode="_(* #,##0_);_(* \(#,##0\);_(* &quot;-&quot;??_);_(@_)"/>
    <numFmt numFmtId="166" formatCode="0.000"/>
  </numFmts>
  <fonts count="20" x14ac:knownFonts="1">
    <font>
      <sz val="10"/>
      <name val="Arial"/>
    </font>
    <font>
      <sz val="10"/>
      <name val="Arial"/>
    </font>
    <font>
      <b/>
      <sz val="10"/>
      <name val="Arial"/>
      <family val="2"/>
    </font>
    <font>
      <b/>
      <sz val="14"/>
      <name val="Arial"/>
      <family val="2"/>
    </font>
    <font>
      <sz val="10"/>
      <name val="Arial"/>
      <family val="2"/>
    </font>
    <font>
      <sz val="12"/>
      <name val="Arial"/>
      <family val="2"/>
    </font>
    <font>
      <b/>
      <sz val="12"/>
      <name val="Arial"/>
      <family val="2"/>
    </font>
    <font>
      <b/>
      <sz val="11"/>
      <name val="Arial"/>
      <family val="2"/>
    </font>
    <font>
      <sz val="11"/>
      <name val="Arial"/>
      <family val="2"/>
    </font>
    <font>
      <sz val="8"/>
      <name val="Arial"/>
    </font>
    <font>
      <sz val="11"/>
      <name val="Arial"/>
    </font>
    <font>
      <b/>
      <sz val="11"/>
      <name val="Arial"/>
    </font>
    <font>
      <i/>
      <sz val="11"/>
      <name val="Arial"/>
    </font>
    <font>
      <b/>
      <u/>
      <sz val="11"/>
      <name val="Arial"/>
      <family val="2"/>
    </font>
    <font>
      <b/>
      <i/>
      <sz val="11"/>
      <name val="Arial"/>
    </font>
    <font>
      <b/>
      <u/>
      <sz val="11"/>
      <name val="Arial"/>
    </font>
    <font>
      <i/>
      <sz val="11"/>
      <name val="Arial"/>
      <family val="2"/>
    </font>
    <font>
      <u/>
      <sz val="11"/>
      <name val="Arial"/>
      <family val="2"/>
    </font>
    <font>
      <sz val="18"/>
      <name val="Arial"/>
      <family val="2"/>
    </font>
    <font>
      <sz val="14"/>
      <name val="Arial"/>
      <family val="2"/>
    </font>
  </fonts>
  <fills count="5">
    <fill>
      <patternFill patternType="none"/>
    </fill>
    <fill>
      <patternFill patternType="gray125"/>
    </fill>
    <fill>
      <patternFill patternType="solid">
        <fgColor indexed="9"/>
        <bgColor indexed="64"/>
      </patternFill>
    </fill>
    <fill>
      <patternFill patternType="solid">
        <fgColor indexed="43"/>
        <bgColor indexed="64"/>
      </patternFill>
    </fill>
    <fill>
      <patternFill patternType="solid">
        <fgColor rgb="FFFFFF99"/>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117">
    <xf numFmtId="0" fontId="0" fillId="0" borderId="0" xfId="0"/>
    <xf numFmtId="0" fontId="2" fillId="0" borderId="0" xfId="0" applyFont="1" applyAlignment="1">
      <alignment horizontal="center" vertical="center" wrapText="1"/>
    </xf>
    <xf numFmtId="0" fontId="2" fillId="0" borderId="1" xfId="0" applyFont="1" applyBorder="1" applyAlignment="1">
      <alignment horizontal="center" vertical="center" textRotation="90"/>
    </xf>
    <xf numFmtId="0" fontId="0" fillId="0" borderId="0" xfId="0" applyAlignment="1">
      <alignment horizontal="center"/>
    </xf>
    <xf numFmtId="44" fontId="1" fillId="0" borderId="2" xfId="2" applyBorder="1"/>
    <xf numFmtId="0" fontId="2" fillId="0" borderId="0" xfId="0" applyFont="1" applyAlignment="1">
      <alignment horizontal="right"/>
    </xf>
    <xf numFmtId="0" fontId="0" fillId="0" borderId="0" xfId="0" applyBorder="1" applyAlignment="1">
      <alignment horizontal="center"/>
    </xf>
    <xf numFmtId="16" fontId="0" fillId="0" borderId="0" xfId="0" applyNumberFormat="1" applyAlignment="1">
      <alignment horizontal="center"/>
    </xf>
    <xf numFmtId="0" fontId="0" fillId="0" borderId="0" xfId="0" applyFill="1"/>
    <xf numFmtId="0" fontId="0" fillId="0" borderId="0" xfId="0" applyBorder="1"/>
    <xf numFmtId="165" fontId="0" fillId="0" borderId="0" xfId="1" applyNumberFormat="1" applyFont="1" applyBorder="1"/>
    <xf numFmtId="0" fontId="4" fillId="0" borderId="0" xfId="0" applyFont="1"/>
    <xf numFmtId="0" fontId="7" fillId="0" borderId="0" xfId="0" applyFont="1" applyAlignment="1">
      <alignment horizontal="center"/>
    </xf>
    <xf numFmtId="0" fontId="0" fillId="2" borderId="0" xfId="0" applyFill="1"/>
    <xf numFmtId="0" fontId="4" fillId="2" borderId="0" xfId="0" applyFont="1" applyFill="1"/>
    <xf numFmtId="0" fontId="8" fillId="0" borderId="0" xfId="0" applyFont="1" applyAlignment="1">
      <alignment horizontal="center"/>
    </xf>
    <xf numFmtId="0" fontId="8" fillId="0" borderId="1" xfId="0" applyFont="1" applyBorder="1"/>
    <xf numFmtId="0" fontId="10" fillId="0" borderId="1" xfId="0" applyFont="1" applyBorder="1"/>
    <xf numFmtId="0" fontId="11" fillId="0" borderId="3" xfId="0" applyFont="1" applyBorder="1" applyAlignment="1">
      <alignment horizontal="center" vertical="center"/>
    </xf>
    <xf numFmtId="0" fontId="10" fillId="0" borderId="0" xfId="0" applyFont="1"/>
    <xf numFmtId="0" fontId="10" fillId="3" borderId="1" xfId="0" applyFont="1" applyFill="1" applyBorder="1"/>
    <xf numFmtId="0" fontId="10" fillId="0" borderId="3" xfId="0" applyFont="1" applyFill="1" applyBorder="1"/>
    <xf numFmtId="166" fontId="10" fillId="3" borderId="1" xfId="1" applyNumberFormat="1" applyFont="1" applyFill="1" applyBorder="1"/>
    <xf numFmtId="2" fontId="10" fillId="3" borderId="1" xfId="1" applyNumberFormat="1" applyFont="1" applyFill="1" applyBorder="1"/>
    <xf numFmtId="2" fontId="10" fillId="0" borderId="1" xfId="1" applyNumberFormat="1" applyFont="1" applyBorder="1"/>
    <xf numFmtId="9" fontId="10" fillId="0" borderId="1" xfId="3" applyFont="1" applyBorder="1"/>
    <xf numFmtId="0" fontId="10" fillId="0" borderId="4" xfId="0" applyFont="1" applyFill="1" applyBorder="1"/>
    <xf numFmtId="2" fontId="10" fillId="0" borderId="1" xfId="0" applyNumberFormat="1" applyFont="1" applyBorder="1"/>
    <xf numFmtId="0" fontId="10" fillId="0" borderId="5" xfId="0" applyFont="1" applyBorder="1"/>
    <xf numFmtId="0" fontId="10" fillId="0" borderId="1" xfId="0" applyFont="1" applyBorder="1" applyAlignment="1">
      <alignment horizontal="right"/>
    </xf>
    <xf numFmtId="43" fontId="10" fillId="0" borderId="1" xfId="1" applyFont="1" applyBorder="1"/>
    <xf numFmtId="0" fontId="8" fillId="0" borderId="0" xfId="0" applyFont="1"/>
    <xf numFmtId="10" fontId="8" fillId="0" borderId="0" xfId="3" applyNumberFormat="1" applyFont="1"/>
    <xf numFmtId="0" fontId="8" fillId="0" borderId="0" xfId="0" applyFont="1" applyBorder="1" applyAlignment="1">
      <alignment horizontal="center"/>
    </xf>
    <xf numFmtId="0" fontId="8" fillId="0" borderId="2" xfId="0" applyFont="1" applyBorder="1" applyAlignment="1">
      <alignment horizontal="center"/>
    </xf>
    <xf numFmtId="43" fontId="8" fillId="0" borderId="0" xfId="1" applyFont="1"/>
    <xf numFmtId="43" fontId="8" fillId="0" borderId="0" xfId="1" applyFont="1" applyBorder="1"/>
    <xf numFmtId="43" fontId="8" fillId="0" borderId="0" xfId="0" applyNumberFormat="1" applyFont="1"/>
    <xf numFmtId="43" fontId="8" fillId="0" borderId="2" xfId="1" applyFont="1" applyBorder="1"/>
    <xf numFmtId="0" fontId="8" fillId="0" borderId="2" xfId="0" applyFont="1" applyBorder="1"/>
    <xf numFmtId="0" fontId="10" fillId="0" borderId="0" xfId="0" applyFont="1" applyAlignment="1">
      <alignment horizontal="center"/>
    </xf>
    <xf numFmtId="0" fontId="14" fillId="0" borderId="0" xfId="0" applyFont="1"/>
    <xf numFmtId="0" fontId="15" fillId="0" borderId="0" xfId="0" applyFont="1" applyAlignment="1">
      <alignment horizontal="center"/>
    </xf>
    <xf numFmtId="44" fontId="10" fillId="0" borderId="2" xfId="2" applyFont="1" applyBorder="1"/>
    <xf numFmtId="0" fontId="8" fillId="0" borderId="2" xfId="0" applyFont="1" applyBorder="1" applyAlignment="1">
      <alignment horizontal="center" wrapText="1"/>
    </xf>
    <xf numFmtId="165" fontId="8" fillId="0" borderId="0" xfId="1" applyNumberFormat="1" applyFont="1"/>
    <xf numFmtId="43" fontId="8" fillId="0" borderId="0" xfId="1" applyNumberFormat="1" applyFont="1"/>
    <xf numFmtId="165" fontId="8" fillId="0" borderId="0" xfId="1" applyNumberFormat="1" applyFont="1" applyBorder="1"/>
    <xf numFmtId="43" fontId="8" fillId="0" borderId="0" xfId="1" applyNumberFormat="1" applyFont="1" applyBorder="1"/>
    <xf numFmtId="10" fontId="8" fillId="0" borderId="0" xfId="3" applyNumberFormat="1" applyFont="1" applyBorder="1"/>
    <xf numFmtId="10" fontId="8" fillId="0" borderId="0" xfId="0" applyNumberFormat="1" applyFont="1"/>
    <xf numFmtId="0" fontId="7" fillId="0" borderId="0" xfId="0" applyFont="1"/>
    <xf numFmtId="165" fontId="8" fillId="0" borderId="2" xfId="1" applyNumberFormat="1" applyFont="1" applyBorder="1"/>
    <xf numFmtId="0" fontId="8" fillId="0" borderId="0" xfId="0" applyFont="1" applyBorder="1"/>
    <xf numFmtId="165" fontId="8" fillId="0" borderId="0" xfId="0" applyNumberFormat="1" applyFont="1" applyBorder="1"/>
    <xf numFmtId="43" fontId="8" fillId="0" borderId="6" xfId="1" applyNumberFormat="1" applyFont="1" applyBorder="1"/>
    <xf numFmtId="43" fontId="8" fillId="0" borderId="6" xfId="1" applyFont="1" applyBorder="1"/>
    <xf numFmtId="0" fontId="8" fillId="0" borderId="0" xfId="0" applyFont="1" applyAlignment="1">
      <alignment horizontal="left" indent="2"/>
    </xf>
    <xf numFmtId="165" fontId="8" fillId="0" borderId="6" xfId="1" applyNumberFormat="1" applyFont="1" applyBorder="1"/>
    <xf numFmtId="7" fontId="8" fillId="0" borderId="0" xfId="2" applyNumberFormat="1" applyFont="1"/>
    <xf numFmtId="7" fontId="8" fillId="0" borderId="0" xfId="0" applyNumberFormat="1" applyFont="1"/>
    <xf numFmtId="0" fontId="7" fillId="0" borderId="0" xfId="0" applyFont="1" applyAlignment="1">
      <alignment horizontal="right"/>
    </xf>
    <xf numFmtId="7" fontId="8" fillId="0" borderId="6" xfId="0" applyNumberFormat="1" applyFont="1" applyBorder="1"/>
    <xf numFmtId="44" fontId="8" fillId="0" borderId="2" xfId="2" applyFont="1" applyBorder="1"/>
    <xf numFmtId="0" fontId="8" fillId="0" borderId="0" xfId="0" quotePrefix="1" applyFont="1" applyAlignment="1">
      <alignment horizontal="right"/>
    </xf>
    <xf numFmtId="44" fontId="8" fillId="0" borderId="0" xfId="0" applyNumberFormat="1" applyFont="1"/>
    <xf numFmtId="7" fontId="8" fillId="0" borderId="2" xfId="0" applyNumberFormat="1" applyFont="1" applyBorder="1"/>
    <xf numFmtId="0" fontId="8" fillId="0" borderId="6" xfId="0" applyFont="1" applyBorder="1" applyAlignment="1">
      <alignment horizontal="center" wrapText="1"/>
    </xf>
    <xf numFmtId="0" fontId="8" fillId="0" borderId="0" xfId="0" applyFont="1" applyAlignment="1">
      <alignment horizontal="left" indent="1"/>
    </xf>
    <xf numFmtId="2" fontId="8" fillId="0" borderId="2" xfId="2" applyNumberFormat="1" applyFont="1" applyBorder="1" applyAlignment="1">
      <alignment horizontal="right"/>
    </xf>
    <xf numFmtId="165" fontId="8" fillId="0" borderId="0" xfId="0" applyNumberFormat="1" applyFont="1"/>
    <xf numFmtId="0" fontId="8" fillId="0" borderId="0" xfId="0" applyFont="1" applyAlignment="1">
      <alignment horizontal="right"/>
    </xf>
    <xf numFmtId="2" fontId="8" fillId="0" borderId="0" xfId="0" applyNumberFormat="1" applyFont="1"/>
    <xf numFmtId="2" fontId="8" fillId="0" borderId="6" xfId="0" applyNumberFormat="1" applyFont="1" applyBorder="1" applyAlignment="1">
      <alignment horizontal="right"/>
    </xf>
    <xf numFmtId="164" fontId="8" fillId="0" borderId="0" xfId="0" applyNumberFormat="1" applyFont="1"/>
    <xf numFmtId="164" fontId="7" fillId="0" borderId="0" xfId="0" applyNumberFormat="1" applyFont="1" applyAlignment="1">
      <alignment horizontal="right"/>
    </xf>
    <xf numFmtId="44" fontId="8" fillId="0" borderId="2" xfId="0" applyNumberFormat="1" applyFont="1" applyBorder="1"/>
    <xf numFmtId="0" fontId="8" fillId="0" borderId="1" xfId="0" applyFont="1" applyBorder="1" applyAlignment="1">
      <alignment horizontal="right"/>
    </xf>
    <xf numFmtId="164" fontId="8" fillId="0" borderId="1" xfId="2" applyNumberFormat="1" applyFont="1" applyBorder="1" applyAlignment="1">
      <alignment horizontal="right"/>
    </xf>
    <xf numFmtId="0" fontId="8" fillId="0" borderId="1" xfId="0" quotePrefix="1" applyFont="1" applyBorder="1" applyAlignment="1">
      <alignment horizontal="right"/>
    </xf>
    <xf numFmtId="164" fontId="8" fillId="0" borderId="1" xfId="0" applyNumberFormat="1" applyFont="1" applyBorder="1" applyAlignment="1">
      <alignment horizontal="right"/>
    </xf>
    <xf numFmtId="0" fontId="8" fillId="0" borderId="7" xfId="0" applyFont="1" applyBorder="1"/>
    <xf numFmtId="0" fontId="8" fillId="0" borderId="3" xfId="0" applyFont="1" applyBorder="1" applyAlignment="1">
      <alignment horizontal="right"/>
    </xf>
    <xf numFmtId="44" fontId="8" fillId="0" borderId="1" xfId="2" applyFont="1" applyBorder="1"/>
    <xf numFmtId="0" fontId="8" fillId="0" borderId="6" xfId="0" applyFont="1" applyBorder="1"/>
    <xf numFmtId="165" fontId="8" fillId="0" borderId="1" xfId="1" applyNumberFormat="1" applyFont="1" applyBorder="1"/>
    <xf numFmtId="165" fontId="8" fillId="0" borderId="1" xfId="0" quotePrefix="1" applyNumberFormat="1" applyFont="1" applyBorder="1"/>
    <xf numFmtId="0" fontId="8" fillId="0" borderId="0" xfId="0" applyFont="1" applyBorder="1" applyAlignment="1">
      <alignment horizontal="center" wrapText="1"/>
    </xf>
    <xf numFmtId="0" fontId="11" fillId="0" borderId="0" xfId="0" applyFont="1"/>
    <xf numFmtId="0" fontId="11" fillId="0" borderId="0" xfId="0" applyFont="1" applyAlignment="1">
      <alignment horizontal="center"/>
    </xf>
    <xf numFmtId="0" fontId="11" fillId="0" borderId="0" xfId="0" applyFont="1" applyBorder="1" applyAlignment="1">
      <alignment horizontal="left"/>
    </xf>
    <xf numFmtId="0" fontId="10" fillId="0" borderId="2" xfId="0" applyFont="1" applyBorder="1" applyAlignment="1">
      <alignment horizontal="center"/>
    </xf>
    <xf numFmtId="0" fontId="10" fillId="0" borderId="6" xfId="0" applyFont="1" applyBorder="1" applyAlignment="1">
      <alignment horizontal="center"/>
    </xf>
    <xf numFmtId="0" fontId="10" fillId="0" borderId="0" xfId="0" applyFont="1" applyBorder="1" applyAlignment="1">
      <alignment horizontal="center"/>
    </xf>
    <xf numFmtId="0" fontId="11" fillId="0" borderId="0" xfId="0" applyFont="1" applyBorder="1"/>
    <xf numFmtId="0" fontId="6" fillId="0" borderId="0" xfId="0" applyFont="1" applyAlignment="1">
      <alignment horizontal="center" wrapText="1"/>
    </xf>
    <xf numFmtId="0" fontId="5" fillId="0" borderId="0" xfId="0" applyFont="1" applyAlignment="1">
      <alignment wrapText="1"/>
    </xf>
    <xf numFmtId="0" fontId="5" fillId="0" borderId="0" xfId="0" applyFont="1" applyAlignment="1">
      <alignment horizontal="left" wrapText="1"/>
    </xf>
    <xf numFmtId="0" fontId="4" fillId="0" borderId="0" xfId="0" applyFont="1" applyAlignment="1">
      <alignment wrapText="1"/>
    </xf>
    <xf numFmtId="0" fontId="5" fillId="2" borderId="0" xfId="0" applyFont="1" applyFill="1"/>
    <xf numFmtId="0" fontId="8" fillId="2" borderId="0" xfId="0" applyFont="1" applyFill="1"/>
    <xf numFmtId="0" fontId="8" fillId="0" borderId="3" xfId="0" applyFont="1" applyBorder="1" applyAlignment="1">
      <alignment horizontal="left" vertical="center"/>
    </xf>
    <xf numFmtId="0" fontId="8" fillId="0" borderId="3" xfId="0" applyFont="1" applyFill="1" applyBorder="1"/>
    <xf numFmtId="0" fontId="7" fillId="4" borderId="1" xfId="0" applyFont="1" applyFill="1" applyBorder="1" applyAlignment="1">
      <alignment horizontal="center" textRotation="90"/>
    </xf>
    <xf numFmtId="0" fontId="8" fillId="4" borderId="1" xfId="0" applyFont="1" applyFill="1" applyBorder="1"/>
    <xf numFmtId="0" fontId="16" fillId="0" borderId="5" xfId="0" applyFont="1" applyBorder="1" applyAlignment="1">
      <alignment horizontal="center" vertical="center" wrapText="1"/>
    </xf>
    <xf numFmtId="0" fontId="8" fillId="0" borderId="5" xfId="0" applyFont="1" applyBorder="1" applyAlignment="1">
      <alignment horizontal="left" vertical="center" wrapText="1"/>
    </xf>
    <xf numFmtId="0" fontId="17" fillId="0" borderId="0" xfId="0" applyFont="1" applyAlignment="1">
      <alignment horizontal="center"/>
    </xf>
    <xf numFmtId="0" fontId="8" fillId="0" borderId="0" xfId="0" applyFont="1" applyAlignment="1">
      <alignment horizontal="center"/>
    </xf>
    <xf numFmtId="0" fontId="8" fillId="0" borderId="0" xfId="0" applyFont="1" applyAlignment="1">
      <alignment horizontal="center"/>
    </xf>
    <xf numFmtId="0" fontId="13" fillId="0" borderId="0" xfId="0" applyFont="1" applyAlignment="1">
      <alignment horizontal="center"/>
    </xf>
    <xf numFmtId="0" fontId="18" fillId="2" borderId="0" xfId="0" applyFont="1" applyFill="1" applyAlignment="1">
      <alignment horizontal="left"/>
    </xf>
    <xf numFmtId="0" fontId="6" fillId="2" borderId="0" xfId="0" applyFont="1" applyFill="1" applyAlignment="1">
      <alignment horizontal="left"/>
    </xf>
    <xf numFmtId="0" fontId="5" fillId="0" borderId="0" xfId="0" applyFont="1"/>
    <xf numFmtId="0" fontId="19" fillId="0" borderId="0" xfId="0" applyFont="1"/>
    <xf numFmtId="0" fontId="3" fillId="0" borderId="0" xfId="0" applyFont="1"/>
    <xf numFmtId="0" fontId="6" fillId="0" borderId="0" xfId="0" applyFont="1"/>
  </cellXfs>
  <cellStyles count="4">
    <cellStyle name="Comma" xfId="1" builtinId="3"/>
    <cellStyle name="Currency" xfId="2" builtinId="4"/>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457200</xdr:colOff>
      <xdr:row>2</xdr:row>
      <xdr:rowOff>561975</xdr:rowOff>
    </xdr:from>
    <xdr:to>
      <xdr:col>1</xdr:col>
      <xdr:colOff>2466975</xdr:colOff>
      <xdr:row>2</xdr:row>
      <xdr:rowOff>2352675</xdr:rowOff>
    </xdr:to>
    <xdr:sp macro="" textlink="">
      <xdr:nvSpPr>
        <xdr:cNvPr id="2049" name="Text Box 1"/>
        <xdr:cNvSpPr txBox="1">
          <a:spLocks noChangeArrowheads="1"/>
        </xdr:cNvSpPr>
      </xdr:nvSpPr>
      <xdr:spPr bwMode="auto">
        <a:xfrm>
          <a:off x="933450" y="1238250"/>
          <a:ext cx="2009775" cy="17907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27432" bIns="0" anchor="t" upright="1"/>
        <a:lstStyle/>
        <a:p>
          <a:pPr algn="ctr" rtl="0">
            <a:defRPr sz="1000"/>
          </a:pPr>
          <a:endParaRPr lang="en-US" sz="1000" b="0" i="0" u="none" strike="noStrike" baseline="0">
            <a:solidFill>
              <a:srgbClr val="000000"/>
            </a:solidFill>
            <a:latin typeface="Arial"/>
            <a:cs typeface="Arial"/>
          </a:endParaRPr>
        </a:p>
        <a:p>
          <a:pPr algn="ctr" rtl="0">
            <a:defRPr sz="1000"/>
          </a:pPr>
          <a:endParaRPr lang="en-US" sz="1000" b="0" i="0" u="none" strike="noStrike" baseline="0">
            <a:solidFill>
              <a:srgbClr val="000000"/>
            </a:solidFill>
            <a:latin typeface="Arial"/>
            <a:cs typeface="Arial"/>
          </a:endParaRPr>
        </a:p>
        <a:p>
          <a:pPr algn="ctr" rtl="0">
            <a:defRPr sz="1000"/>
          </a:pPr>
          <a:endParaRPr lang="en-US" sz="1000" b="0" i="0" u="none" strike="noStrike" baseline="0">
            <a:solidFill>
              <a:srgbClr val="000000"/>
            </a:solidFill>
            <a:latin typeface="Arial"/>
            <a:cs typeface="Arial"/>
          </a:endParaRPr>
        </a:p>
        <a:p>
          <a:pPr algn="ctr" rtl="0">
            <a:defRPr sz="1000"/>
          </a:pPr>
          <a:r>
            <a:rPr lang="en-US" sz="1100" b="1" i="0" u="none" strike="noStrike" baseline="0">
              <a:solidFill>
                <a:srgbClr val="000000"/>
              </a:solidFill>
              <a:latin typeface="Arial"/>
              <a:cs typeface="Arial"/>
            </a:rPr>
            <a:t>_______ Maximum Points</a:t>
          </a:r>
        </a:p>
        <a:p>
          <a:pPr algn="ctr" rtl="0">
            <a:defRPr sz="1000"/>
          </a:pPr>
          <a:endParaRPr lang="en-US" sz="1100" b="1" i="0" u="none" strike="noStrike" baseline="0">
            <a:solidFill>
              <a:srgbClr val="000000"/>
            </a:solidFill>
            <a:latin typeface="Arial"/>
            <a:cs typeface="Arial"/>
          </a:endParaRPr>
        </a:p>
        <a:p>
          <a:pPr algn="ctr" rtl="0">
            <a:defRPr sz="1000"/>
          </a:pPr>
          <a:r>
            <a:rPr lang="en-US" sz="1100" b="1" i="0" u="none" strike="noStrike" baseline="0">
              <a:solidFill>
                <a:srgbClr val="000000"/>
              </a:solidFill>
              <a:latin typeface="Arial"/>
              <a:cs typeface="Arial"/>
            </a:rPr>
            <a:t>Highest Points Wins Contract</a:t>
          </a:r>
          <a:endParaRPr lang="en-US"/>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4"/>
  <sheetViews>
    <sheetView tabSelected="1" zoomScaleNormal="100" workbookViewId="0">
      <selection activeCell="H10" sqref="H10"/>
    </sheetView>
  </sheetViews>
  <sheetFormatPr defaultRowHeight="12.75" x14ac:dyDescent="0.2"/>
  <cols>
    <col min="10" max="10" width="10.85546875" customWidth="1"/>
  </cols>
  <sheetData>
    <row r="1" spans="1:11" ht="23.25" x14ac:dyDescent="0.35">
      <c r="A1" s="111" t="s">
        <v>255</v>
      </c>
      <c r="B1" s="13"/>
      <c r="C1" s="13"/>
      <c r="D1" s="13"/>
      <c r="E1" s="13"/>
      <c r="F1" s="13"/>
      <c r="G1" s="13"/>
      <c r="H1" s="13"/>
      <c r="I1" s="13"/>
      <c r="J1" s="13"/>
      <c r="K1" s="13"/>
    </row>
    <row r="2" spans="1:11" ht="15.75" x14ac:dyDescent="0.25">
      <c r="A2" s="112" t="s">
        <v>81</v>
      </c>
      <c r="B2" s="13"/>
      <c r="C2" s="13"/>
      <c r="D2" s="13"/>
      <c r="E2" s="13"/>
      <c r="F2" s="13"/>
      <c r="G2" s="13"/>
      <c r="H2" s="13"/>
      <c r="I2" s="13"/>
      <c r="J2" s="13"/>
      <c r="K2" s="13"/>
    </row>
    <row r="3" spans="1:11" x14ac:dyDescent="0.2">
      <c r="A3" s="13"/>
      <c r="B3" s="13"/>
      <c r="C3" s="13"/>
      <c r="D3" s="13"/>
      <c r="E3" s="13"/>
      <c r="F3" s="13"/>
      <c r="G3" s="13"/>
      <c r="H3" s="13"/>
      <c r="I3" s="13"/>
      <c r="J3" s="13"/>
      <c r="K3" s="13"/>
    </row>
    <row r="4" spans="1:11" s="11" customFormat="1" ht="15" x14ac:dyDescent="0.2">
      <c r="A4" s="99" t="s">
        <v>224</v>
      </c>
      <c r="B4" s="14"/>
      <c r="C4" s="14"/>
      <c r="D4" s="14"/>
      <c r="E4" s="14"/>
      <c r="F4" s="14"/>
      <c r="G4" s="14"/>
      <c r="H4" s="14"/>
      <c r="I4" s="14"/>
      <c r="J4" s="14"/>
      <c r="K4" s="14"/>
    </row>
    <row r="5" spans="1:11" s="11" customFormat="1" ht="12.75" customHeight="1" x14ac:dyDescent="0.2">
      <c r="A5" s="99"/>
      <c r="B5" s="100" t="s">
        <v>42</v>
      </c>
      <c r="C5" s="14"/>
      <c r="D5" s="14"/>
      <c r="E5" s="14"/>
      <c r="F5" s="14"/>
      <c r="G5" s="14"/>
      <c r="H5" s="14"/>
      <c r="I5" s="14"/>
      <c r="J5" s="14"/>
      <c r="K5" s="14"/>
    </row>
    <row r="6" spans="1:11" s="11" customFormat="1" ht="12.75" customHeight="1" x14ac:dyDescent="0.2">
      <c r="A6" s="99"/>
      <c r="B6" s="100" t="s">
        <v>30</v>
      </c>
      <c r="C6" s="14"/>
      <c r="D6" s="14"/>
      <c r="E6" s="14"/>
      <c r="F6" s="14"/>
      <c r="G6" s="14"/>
      <c r="H6" s="14"/>
      <c r="I6" s="14"/>
      <c r="J6" s="14"/>
      <c r="K6" s="14"/>
    </row>
    <row r="7" spans="1:11" s="11" customFormat="1" ht="14.25" x14ac:dyDescent="0.2">
      <c r="A7" s="14"/>
      <c r="B7" s="100" t="s">
        <v>38</v>
      </c>
      <c r="C7" s="14"/>
      <c r="D7" s="14"/>
      <c r="E7" s="14"/>
      <c r="F7" s="14"/>
      <c r="G7" s="14"/>
      <c r="H7" s="14"/>
      <c r="I7" s="14"/>
      <c r="J7" s="14"/>
      <c r="K7" s="14"/>
    </row>
    <row r="8" spans="1:11" s="11" customFormat="1" ht="14.25" x14ac:dyDescent="0.2">
      <c r="A8" s="14"/>
      <c r="B8" s="100" t="s">
        <v>41</v>
      </c>
      <c r="C8" s="14"/>
      <c r="D8" s="14"/>
      <c r="E8" s="14"/>
      <c r="F8" s="14"/>
      <c r="G8" s="14"/>
      <c r="H8" s="14"/>
      <c r="I8" s="14"/>
      <c r="J8" s="14"/>
      <c r="K8" s="14"/>
    </row>
    <row r="9" spans="1:11" s="11" customFormat="1" ht="14.25" x14ac:dyDescent="0.2">
      <c r="A9" s="14"/>
      <c r="B9" s="100" t="s">
        <v>9</v>
      </c>
      <c r="C9" s="14"/>
      <c r="D9" s="14"/>
      <c r="E9" s="14"/>
      <c r="F9" s="14"/>
      <c r="G9" s="14"/>
      <c r="H9" s="14"/>
      <c r="I9" s="14"/>
      <c r="J9" s="14"/>
      <c r="K9" s="14"/>
    </row>
    <row r="10" spans="1:11" s="11" customFormat="1" ht="14.25" x14ac:dyDescent="0.2">
      <c r="A10" s="14"/>
      <c r="B10" s="100" t="s">
        <v>10</v>
      </c>
      <c r="C10" s="14"/>
      <c r="D10" s="14"/>
      <c r="E10" s="14"/>
      <c r="F10" s="14"/>
      <c r="G10" s="14"/>
      <c r="H10" s="14"/>
      <c r="I10" s="14"/>
      <c r="J10" s="14"/>
      <c r="K10" s="14"/>
    </row>
    <row r="11" spans="1:11" s="11" customFormat="1" ht="14.25" x14ac:dyDescent="0.2">
      <c r="A11" s="14"/>
      <c r="B11" s="100" t="s">
        <v>43</v>
      </c>
      <c r="C11" s="14"/>
      <c r="D11" s="14"/>
      <c r="E11" s="14"/>
      <c r="F11" s="14"/>
      <c r="G11" s="14"/>
      <c r="H11" s="14"/>
      <c r="I11" s="14"/>
      <c r="J11" s="14"/>
      <c r="K11" s="14"/>
    </row>
    <row r="12" spans="1:11" s="11" customFormat="1" ht="14.25" x14ac:dyDescent="0.2">
      <c r="A12" s="14"/>
      <c r="B12" s="100" t="s">
        <v>70</v>
      </c>
      <c r="C12" s="14"/>
      <c r="D12" s="14"/>
      <c r="E12" s="14"/>
      <c r="F12" s="14"/>
      <c r="G12" s="14"/>
      <c r="H12" s="14"/>
      <c r="I12" s="14"/>
      <c r="J12" s="14"/>
      <c r="K12" s="14"/>
    </row>
    <row r="13" spans="1:11" s="11" customFormat="1" ht="15" x14ac:dyDescent="0.2">
      <c r="A13" s="99" t="s">
        <v>252</v>
      </c>
      <c r="B13" s="14"/>
      <c r="C13" s="14"/>
      <c r="D13" s="14"/>
      <c r="E13" s="14"/>
      <c r="F13" s="14"/>
      <c r="G13" s="14"/>
      <c r="H13" s="14"/>
      <c r="I13" s="14"/>
      <c r="J13" s="14"/>
      <c r="K13" s="14"/>
    </row>
    <row r="14" spans="1:11" s="11" customFormat="1" ht="15" x14ac:dyDescent="0.2">
      <c r="A14" s="99"/>
      <c r="B14" s="100" t="s">
        <v>7</v>
      </c>
      <c r="C14" s="14"/>
      <c r="D14" s="14"/>
      <c r="E14" s="14"/>
      <c r="F14" s="14"/>
      <c r="G14" s="14"/>
      <c r="H14" s="14"/>
      <c r="I14" s="14"/>
      <c r="J14" s="14"/>
      <c r="K14" s="14"/>
    </row>
    <row r="15" spans="1:11" s="11" customFormat="1" ht="15" x14ac:dyDescent="0.2">
      <c r="A15" s="99"/>
      <c r="B15" s="100" t="s">
        <v>8</v>
      </c>
      <c r="C15" s="14"/>
      <c r="D15" s="14"/>
      <c r="E15" s="14"/>
      <c r="F15" s="14"/>
      <c r="G15" s="14"/>
      <c r="H15" s="14"/>
      <c r="I15" s="14"/>
      <c r="J15" s="14"/>
      <c r="K15" s="14"/>
    </row>
    <row r="16" spans="1:11" s="11" customFormat="1" ht="15" x14ac:dyDescent="0.2">
      <c r="A16" s="99"/>
      <c r="B16" s="100" t="s">
        <v>75</v>
      </c>
      <c r="C16" s="14"/>
      <c r="D16" s="14"/>
      <c r="E16" s="14"/>
      <c r="F16" s="14"/>
      <c r="G16" s="14"/>
      <c r="H16" s="14"/>
      <c r="I16" s="14"/>
      <c r="J16" s="14"/>
      <c r="K16" s="14"/>
    </row>
    <row r="17" spans="1:11" s="11" customFormat="1" ht="15" x14ac:dyDescent="0.2">
      <c r="A17" s="99"/>
      <c r="B17" s="100" t="s">
        <v>78</v>
      </c>
      <c r="C17" s="14"/>
      <c r="D17" s="14"/>
      <c r="E17" s="14"/>
      <c r="F17" s="14"/>
      <c r="G17" s="14"/>
      <c r="H17" s="14"/>
      <c r="I17" s="14"/>
      <c r="J17" s="14"/>
      <c r="K17" s="14"/>
    </row>
    <row r="18" spans="1:11" s="11" customFormat="1" ht="15" x14ac:dyDescent="0.2">
      <c r="A18" s="99"/>
      <c r="B18" s="100" t="s">
        <v>64</v>
      </c>
      <c r="C18" s="14"/>
      <c r="D18" s="14"/>
      <c r="E18" s="14"/>
      <c r="F18" s="14"/>
      <c r="G18" s="14"/>
      <c r="H18" s="14"/>
      <c r="I18" s="14"/>
      <c r="J18" s="14"/>
      <c r="K18" s="14"/>
    </row>
    <row r="19" spans="1:11" s="11" customFormat="1" ht="14.25" x14ac:dyDescent="0.2">
      <c r="A19" s="14"/>
      <c r="B19" s="100" t="s">
        <v>65</v>
      </c>
      <c r="C19" s="14"/>
      <c r="D19" s="14"/>
      <c r="E19" s="14"/>
      <c r="F19" s="14"/>
      <c r="G19" s="14"/>
      <c r="H19" s="14"/>
      <c r="I19" s="14"/>
      <c r="J19" s="14"/>
      <c r="K19" s="14"/>
    </row>
    <row r="20" spans="1:11" s="11" customFormat="1" ht="15" x14ac:dyDescent="0.2">
      <c r="A20" s="99" t="s">
        <v>40</v>
      </c>
      <c r="B20" s="14"/>
      <c r="C20" s="14"/>
      <c r="D20" s="14"/>
      <c r="E20" s="14"/>
      <c r="F20" s="14"/>
      <c r="G20" s="14"/>
      <c r="H20" s="14"/>
      <c r="I20" s="14"/>
      <c r="J20" s="14"/>
      <c r="K20" s="14"/>
    </row>
    <row r="21" spans="1:11" s="11" customFormat="1" ht="14.25" x14ac:dyDescent="0.2">
      <c r="A21" s="14"/>
      <c r="B21" s="100" t="s">
        <v>18</v>
      </c>
      <c r="C21" s="14"/>
      <c r="D21" s="14"/>
      <c r="E21" s="14"/>
      <c r="F21" s="14"/>
      <c r="G21" s="14"/>
      <c r="H21" s="14"/>
      <c r="I21" s="14"/>
      <c r="J21" s="14"/>
      <c r="K21" s="14"/>
    </row>
    <row r="22" spans="1:11" s="11" customFormat="1" ht="14.25" x14ac:dyDescent="0.2">
      <c r="A22" s="14"/>
      <c r="B22" s="100" t="s">
        <v>19</v>
      </c>
      <c r="C22" s="14"/>
      <c r="D22" s="14"/>
      <c r="E22" s="14"/>
      <c r="F22" s="14"/>
      <c r="G22" s="14"/>
      <c r="H22" s="14"/>
      <c r="I22" s="14"/>
      <c r="J22" s="14"/>
      <c r="K22" s="14"/>
    </row>
    <row r="23" spans="1:11" s="11" customFormat="1" ht="14.25" x14ac:dyDescent="0.2">
      <c r="A23" s="14"/>
      <c r="B23" s="100" t="s">
        <v>28</v>
      </c>
      <c r="C23" s="14"/>
      <c r="D23" s="14"/>
      <c r="E23" s="14"/>
      <c r="F23" s="14"/>
      <c r="G23" s="14"/>
      <c r="H23" s="14"/>
      <c r="I23" s="14"/>
      <c r="J23" s="14"/>
      <c r="K23" s="14"/>
    </row>
    <row r="24" spans="1:11" s="11" customFormat="1" ht="14.25" x14ac:dyDescent="0.2">
      <c r="A24" s="14"/>
      <c r="B24" s="100" t="s">
        <v>20</v>
      </c>
      <c r="C24" s="14"/>
      <c r="D24" s="14"/>
      <c r="E24" s="14"/>
      <c r="F24" s="14"/>
      <c r="G24" s="14"/>
      <c r="H24" s="14"/>
      <c r="I24" s="14"/>
      <c r="J24" s="14"/>
      <c r="K24" s="14"/>
    </row>
    <row r="25" spans="1:11" s="11" customFormat="1" ht="14.25" x14ac:dyDescent="0.2">
      <c r="A25" s="14"/>
      <c r="B25" s="100" t="s">
        <v>39</v>
      </c>
      <c r="C25" s="14"/>
      <c r="D25" s="14"/>
      <c r="E25" s="14"/>
      <c r="F25" s="14"/>
      <c r="G25" s="14"/>
      <c r="H25" s="14"/>
      <c r="I25" s="14"/>
      <c r="J25" s="14"/>
      <c r="K25" s="14"/>
    </row>
    <row r="26" spans="1:11" s="11" customFormat="1" ht="15" x14ac:dyDescent="0.2">
      <c r="A26" s="99" t="s">
        <v>6</v>
      </c>
      <c r="B26" s="14"/>
      <c r="C26" s="14"/>
      <c r="D26" s="14"/>
      <c r="E26" s="14"/>
      <c r="F26" s="14"/>
      <c r="G26" s="14"/>
      <c r="H26" s="14"/>
      <c r="I26" s="14"/>
      <c r="J26" s="14"/>
      <c r="K26" s="14"/>
    </row>
    <row r="27" spans="1:11" s="11" customFormat="1" ht="15" x14ac:dyDescent="0.2">
      <c r="A27" s="99"/>
      <c r="B27" s="100" t="s">
        <v>4</v>
      </c>
      <c r="C27" s="14"/>
      <c r="D27" s="14"/>
      <c r="E27" s="14"/>
      <c r="F27" s="14"/>
      <c r="G27" s="14"/>
      <c r="H27" s="14"/>
      <c r="I27" s="14"/>
      <c r="J27" s="14"/>
      <c r="K27" s="14"/>
    </row>
    <row r="28" spans="1:11" s="11" customFormat="1" ht="14.25" x14ac:dyDescent="0.2">
      <c r="A28" s="14"/>
      <c r="B28" s="100" t="s">
        <v>21</v>
      </c>
      <c r="C28" s="14"/>
      <c r="D28" s="14"/>
      <c r="E28" s="14"/>
      <c r="F28" s="14"/>
      <c r="G28" s="14"/>
      <c r="H28" s="14"/>
      <c r="I28" s="14"/>
      <c r="J28" s="14"/>
      <c r="K28" s="14"/>
    </row>
    <row r="29" spans="1:11" s="11" customFormat="1" ht="15" x14ac:dyDescent="0.2">
      <c r="A29" s="99"/>
      <c r="B29" s="100" t="s">
        <v>5</v>
      </c>
      <c r="C29" s="14"/>
      <c r="D29" s="14"/>
      <c r="E29" s="14"/>
      <c r="F29" s="14"/>
      <c r="G29" s="14"/>
      <c r="H29" s="14"/>
      <c r="I29" s="14"/>
      <c r="J29" s="14"/>
      <c r="K29" s="14"/>
    </row>
    <row r="30" spans="1:11" s="11" customFormat="1" ht="15" x14ac:dyDescent="0.2">
      <c r="A30" s="99"/>
      <c r="B30" s="100" t="s">
        <v>3</v>
      </c>
      <c r="C30" s="14"/>
      <c r="D30" s="14"/>
      <c r="E30" s="14"/>
      <c r="F30" s="14"/>
      <c r="G30" s="14"/>
      <c r="H30" s="14"/>
      <c r="I30" s="14"/>
      <c r="J30" s="14"/>
      <c r="K30" s="14"/>
    </row>
    <row r="31" spans="1:11" s="11" customFormat="1" ht="15" x14ac:dyDescent="0.2">
      <c r="A31" s="99"/>
      <c r="B31" s="100" t="s">
        <v>44</v>
      </c>
      <c r="C31" s="14"/>
      <c r="D31" s="14"/>
      <c r="E31" s="14"/>
      <c r="F31" s="14"/>
      <c r="G31" s="14"/>
      <c r="H31" s="14"/>
      <c r="I31" s="14"/>
      <c r="J31" s="14"/>
      <c r="K31" s="14"/>
    </row>
    <row r="32" spans="1:11" s="11" customFormat="1" ht="15" x14ac:dyDescent="0.2">
      <c r="A32" s="99" t="s">
        <v>225</v>
      </c>
      <c r="B32" s="14"/>
      <c r="C32" s="14"/>
      <c r="D32" s="14"/>
      <c r="E32" s="14"/>
      <c r="F32" s="14"/>
      <c r="G32" s="14"/>
      <c r="H32" s="14"/>
      <c r="I32" s="14"/>
      <c r="J32" s="14"/>
      <c r="K32" s="14"/>
    </row>
    <row r="33" spans="1:11" s="11" customFormat="1" ht="14.25" x14ac:dyDescent="0.2">
      <c r="A33" s="14"/>
      <c r="B33" s="100" t="s">
        <v>0</v>
      </c>
      <c r="C33" s="14"/>
      <c r="D33" s="14"/>
      <c r="E33" s="14"/>
      <c r="F33" s="14"/>
      <c r="G33" s="14"/>
      <c r="H33" s="14"/>
      <c r="I33" s="14"/>
      <c r="J33" s="14"/>
      <c r="K33" s="14"/>
    </row>
    <row r="34" spans="1:11" s="11" customFormat="1" ht="14.25" x14ac:dyDescent="0.2">
      <c r="A34" s="14"/>
      <c r="B34" s="100" t="s">
        <v>1</v>
      </c>
      <c r="C34" s="14"/>
      <c r="D34" s="14"/>
      <c r="E34" s="14"/>
      <c r="F34" s="14"/>
      <c r="G34" s="14"/>
      <c r="H34" s="14"/>
      <c r="I34" s="14"/>
      <c r="J34" s="14"/>
      <c r="K34" s="14"/>
    </row>
    <row r="35" spans="1:11" s="11" customFormat="1" ht="14.25" x14ac:dyDescent="0.2">
      <c r="A35" s="14"/>
      <c r="B35" s="100" t="s">
        <v>248</v>
      </c>
      <c r="C35" s="14"/>
      <c r="D35" s="14"/>
      <c r="E35" s="14"/>
      <c r="F35" s="14"/>
      <c r="G35" s="14"/>
      <c r="H35" s="14"/>
      <c r="I35" s="14"/>
      <c r="J35" s="14"/>
      <c r="K35" s="14"/>
    </row>
    <row r="36" spans="1:11" s="11" customFormat="1" ht="14.25" x14ac:dyDescent="0.2">
      <c r="A36" s="14"/>
      <c r="B36" s="100" t="s">
        <v>249</v>
      </c>
      <c r="C36" s="14"/>
      <c r="D36" s="14"/>
      <c r="E36" s="14"/>
      <c r="F36" s="14"/>
      <c r="G36" s="14"/>
      <c r="H36" s="14"/>
      <c r="I36" s="14"/>
      <c r="J36" s="14"/>
      <c r="K36" s="14"/>
    </row>
    <row r="37" spans="1:11" s="11" customFormat="1" ht="14.25" x14ac:dyDescent="0.2">
      <c r="A37" s="14"/>
      <c r="B37" s="100" t="s">
        <v>48</v>
      </c>
      <c r="C37" s="14"/>
      <c r="D37" s="14"/>
      <c r="E37" s="14"/>
      <c r="F37" s="14"/>
      <c r="G37" s="14"/>
      <c r="H37" s="14"/>
      <c r="I37" s="14"/>
      <c r="J37" s="14"/>
      <c r="K37" s="14"/>
    </row>
    <row r="38" spans="1:11" s="11" customFormat="1" ht="14.25" x14ac:dyDescent="0.2">
      <c r="A38" s="14"/>
      <c r="B38" s="100" t="s">
        <v>50</v>
      </c>
      <c r="C38" s="14"/>
      <c r="D38" s="14"/>
      <c r="E38" s="14"/>
      <c r="F38" s="14"/>
      <c r="G38" s="14"/>
      <c r="H38" s="14"/>
      <c r="I38" s="14"/>
      <c r="J38" s="14"/>
      <c r="K38" s="14"/>
    </row>
    <row r="39" spans="1:11" s="11" customFormat="1" ht="14.25" x14ac:dyDescent="0.2">
      <c r="A39" s="14"/>
      <c r="B39" s="100" t="s">
        <v>9</v>
      </c>
      <c r="C39" s="14"/>
      <c r="D39" s="14"/>
      <c r="E39" s="14"/>
      <c r="F39" s="14"/>
      <c r="G39" s="14"/>
      <c r="H39" s="14"/>
      <c r="I39" s="14"/>
      <c r="J39" s="14"/>
      <c r="K39" s="14"/>
    </row>
    <row r="40" spans="1:11" s="11" customFormat="1" ht="14.25" x14ac:dyDescent="0.2">
      <c r="A40" s="14"/>
      <c r="B40" s="100" t="s">
        <v>10</v>
      </c>
      <c r="C40" s="14"/>
      <c r="D40" s="14"/>
      <c r="E40" s="14"/>
      <c r="F40" s="14"/>
      <c r="G40" s="14"/>
      <c r="H40" s="14"/>
      <c r="I40" s="14"/>
      <c r="J40" s="14"/>
      <c r="K40" s="14"/>
    </row>
    <row r="41" spans="1:11" s="11" customFormat="1" ht="14.25" x14ac:dyDescent="0.2">
      <c r="A41" s="14"/>
      <c r="B41" s="100" t="s">
        <v>66</v>
      </c>
      <c r="C41" s="14"/>
      <c r="D41" s="14"/>
      <c r="E41" s="14"/>
      <c r="F41" s="14"/>
      <c r="G41" s="14"/>
      <c r="H41" s="14"/>
      <c r="I41" s="14"/>
      <c r="J41" s="14"/>
      <c r="K41" s="14"/>
    </row>
    <row r="42" spans="1:11" s="11" customFormat="1" ht="14.25" x14ac:dyDescent="0.2">
      <c r="A42" s="14"/>
      <c r="B42" s="100" t="s">
        <v>71</v>
      </c>
      <c r="C42" s="14"/>
      <c r="D42" s="14"/>
      <c r="E42" s="14"/>
      <c r="F42" s="14"/>
      <c r="G42" s="14"/>
      <c r="H42" s="14"/>
      <c r="I42" s="14"/>
      <c r="J42" s="14"/>
      <c r="K42" s="14"/>
    </row>
    <row r="43" spans="1:11" s="11" customFormat="1" ht="15" x14ac:dyDescent="0.2">
      <c r="A43" s="99" t="s">
        <v>226</v>
      </c>
      <c r="B43" s="14"/>
      <c r="C43" s="14"/>
      <c r="D43" s="14"/>
      <c r="E43" s="14"/>
      <c r="F43" s="14"/>
      <c r="G43" s="14"/>
      <c r="H43" s="14"/>
      <c r="I43" s="14"/>
      <c r="J43" s="14"/>
      <c r="K43" s="14"/>
    </row>
    <row r="44" spans="1:11" s="11" customFormat="1" ht="14.25" x14ac:dyDescent="0.2">
      <c r="A44" s="14"/>
      <c r="B44" s="100" t="s">
        <v>56</v>
      </c>
      <c r="C44" s="14"/>
      <c r="D44" s="14"/>
      <c r="E44" s="14"/>
      <c r="F44" s="14"/>
      <c r="G44" s="14"/>
      <c r="H44" s="14"/>
      <c r="I44" s="14"/>
      <c r="J44" s="14"/>
      <c r="K44" s="14"/>
    </row>
    <row r="45" spans="1:11" s="11" customFormat="1" ht="14.25" x14ac:dyDescent="0.2">
      <c r="A45" s="14"/>
      <c r="B45" s="100" t="s">
        <v>26</v>
      </c>
      <c r="C45" s="14"/>
      <c r="D45" s="14"/>
      <c r="E45" s="14"/>
      <c r="F45" s="14"/>
      <c r="G45" s="14"/>
      <c r="H45" s="14"/>
      <c r="I45" s="14"/>
      <c r="J45" s="14"/>
      <c r="K45" s="14"/>
    </row>
    <row r="46" spans="1:11" s="11" customFormat="1" ht="14.25" x14ac:dyDescent="0.2">
      <c r="A46" s="14"/>
      <c r="B46" s="100" t="s">
        <v>2</v>
      </c>
      <c r="C46" s="14"/>
      <c r="D46" s="14"/>
      <c r="E46" s="14"/>
      <c r="F46" s="14"/>
      <c r="G46" s="14"/>
      <c r="H46" s="14"/>
      <c r="I46" s="14"/>
      <c r="J46" s="14"/>
      <c r="K46" s="14"/>
    </row>
    <row r="47" spans="1:11" s="11" customFormat="1" ht="14.25" x14ac:dyDescent="0.2">
      <c r="A47" s="14"/>
      <c r="B47" s="100" t="s">
        <v>250</v>
      </c>
      <c r="C47" s="14"/>
      <c r="D47" s="14"/>
      <c r="E47" s="14"/>
      <c r="F47" s="14"/>
      <c r="G47" s="14"/>
      <c r="H47" s="14"/>
      <c r="I47" s="14"/>
      <c r="J47" s="14"/>
      <c r="K47" s="14"/>
    </row>
    <row r="48" spans="1:11" s="11" customFormat="1" ht="14.25" x14ac:dyDescent="0.2">
      <c r="A48" s="14"/>
      <c r="B48" s="100" t="s">
        <v>27</v>
      </c>
      <c r="C48" s="14"/>
      <c r="D48" s="14"/>
      <c r="E48" s="14"/>
      <c r="F48" s="14"/>
      <c r="G48" s="14"/>
      <c r="H48" s="14"/>
      <c r="I48" s="14"/>
      <c r="J48" s="14"/>
      <c r="K48" s="14"/>
    </row>
    <row r="49" spans="1:11" s="11" customFormat="1" ht="14.25" x14ac:dyDescent="0.2">
      <c r="A49" s="14"/>
      <c r="B49" s="100" t="s">
        <v>57</v>
      </c>
      <c r="C49" s="14"/>
      <c r="D49" s="14"/>
      <c r="E49" s="14"/>
      <c r="F49" s="14"/>
      <c r="G49" s="14"/>
      <c r="H49" s="14"/>
      <c r="I49" s="14"/>
      <c r="J49" s="14"/>
      <c r="K49" s="14"/>
    </row>
    <row r="50" spans="1:11" s="11" customFormat="1" ht="14.25" x14ac:dyDescent="0.2">
      <c r="A50" s="14"/>
      <c r="B50" s="100" t="s">
        <v>29</v>
      </c>
      <c r="C50" s="14"/>
      <c r="D50" s="14"/>
      <c r="E50" s="14"/>
      <c r="F50" s="14"/>
      <c r="G50" s="14"/>
      <c r="H50" s="14"/>
      <c r="I50" s="14"/>
      <c r="J50" s="14"/>
      <c r="K50" s="14"/>
    </row>
    <row r="51" spans="1:11" s="11" customFormat="1" ht="15" x14ac:dyDescent="0.2">
      <c r="A51" s="99" t="s">
        <v>251</v>
      </c>
      <c r="B51" s="14"/>
      <c r="C51" s="14"/>
      <c r="D51" s="14"/>
      <c r="E51" s="14"/>
      <c r="F51" s="14"/>
      <c r="G51" s="14"/>
      <c r="H51" s="14"/>
      <c r="I51" s="14"/>
      <c r="J51" s="14"/>
      <c r="K51" s="14"/>
    </row>
    <row r="52" spans="1:11" s="11" customFormat="1" ht="14.25" x14ac:dyDescent="0.2">
      <c r="A52" s="14"/>
      <c r="B52" s="100" t="s">
        <v>25</v>
      </c>
      <c r="C52" s="14"/>
      <c r="D52" s="14"/>
      <c r="E52" s="14"/>
      <c r="F52" s="14"/>
      <c r="G52" s="14"/>
      <c r="H52" s="14"/>
      <c r="I52" s="14"/>
      <c r="J52" s="14"/>
      <c r="K52" s="14"/>
    </row>
    <row r="53" spans="1:11" s="11" customFormat="1" ht="14.25" x14ac:dyDescent="0.2">
      <c r="A53" s="14"/>
      <c r="B53" s="100" t="s">
        <v>17</v>
      </c>
      <c r="C53" s="14"/>
      <c r="D53" s="14"/>
      <c r="E53" s="14"/>
      <c r="F53" s="14"/>
      <c r="G53" s="14"/>
      <c r="H53" s="14"/>
      <c r="I53" s="14"/>
      <c r="J53" s="14"/>
      <c r="K53" s="14"/>
    </row>
    <row r="54" spans="1:11" s="11" customFormat="1" ht="14.25" x14ac:dyDescent="0.2">
      <c r="A54" s="14"/>
      <c r="B54" s="100" t="s">
        <v>16</v>
      </c>
      <c r="C54" s="14"/>
      <c r="D54" s="14"/>
      <c r="E54" s="14"/>
      <c r="F54" s="14"/>
      <c r="G54" s="14"/>
      <c r="H54" s="14"/>
      <c r="I54" s="14"/>
      <c r="J54" s="14"/>
      <c r="K54" s="14"/>
    </row>
    <row r="55" spans="1:11" s="11" customFormat="1" ht="14.25" x14ac:dyDescent="0.2">
      <c r="A55" s="14"/>
      <c r="B55" s="100" t="s">
        <v>24</v>
      </c>
      <c r="C55" s="14"/>
      <c r="D55" s="14"/>
      <c r="E55" s="14"/>
      <c r="F55" s="14"/>
      <c r="G55" s="14"/>
      <c r="H55" s="14"/>
      <c r="I55" s="14"/>
      <c r="J55" s="14"/>
      <c r="K55" s="14"/>
    </row>
    <row r="56" spans="1:11" s="11" customFormat="1" ht="14.25" x14ac:dyDescent="0.2">
      <c r="A56" s="14"/>
      <c r="B56" s="100" t="s">
        <v>60</v>
      </c>
      <c r="C56" s="14"/>
      <c r="D56" s="14"/>
      <c r="E56" s="14"/>
      <c r="F56" s="14"/>
      <c r="G56" s="14"/>
      <c r="H56" s="14"/>
      <c r="I56" s="14"/>
      <c r="J56" s="14"/>
      <c r="K56" s="14"/>
    </row>
    <row r="57" spans="1:11" s="11" customFormat="1" ht="15" x14ac:dyDescent="0.2">
      <c r="A57" s="99" t="s">
        <v>227</v>
      </c>
      <c r="B57" s="14"/>
      <c r="C57" s="14"/>
      <c r="D57" s="14"/>
      <c r="E57" s="14"/>
      <c r="F57" s="14"/>
      <c r="G57" s="14"/>
      <c r="H57" s="14"/>
      <c r="I57" s="14"/>
      <c r="J57" s="14"/>
      <c r="K57" s="14"/>
    </row>
    <row r="58" spans="1:11" s="11" customFormat="1" ht="14.25" x14ac:dyDescent="0.2">
      <c r="A58" s="14"/>
      <c r="B58" s="100" t="s">
        <v>68</v>
      </c>
      <c r="C58" s="14"/>
      <c r="D58" s="14"/>
      <c r="E58" s="14"/>
      <c r="F58" s="14"/>
      <c r="G58" s="14"/>
      <c r="H58" s="14"/>
      <c r="I58" s="14"/>
      <c r="J58" s="14"/>
      <c r="K58" s="14"/>
    </row>
    <row r="59" spans="1:11" s="11" customFormat="1" ht="14.25" x14ac:dyDescent="0.2">
      <c r="A59" s="14"/>
      <c r="B59" s="100" t="s">
        <v>69</v>
      </c>
      <c r="C59" s="14"/>
      <c r="D59" s="14"/>
      <c r="E59" s="14"/>
      <c r="F59" s="14"/>
      <c r="G59" s="14"/>
      <c r="H59" s="14"/>
      <c r="I59" s="14"/>
      <c r="J59" s="14"/>
      <c r="K59" s="14"/>
    </row>
    <row r="60" spans="1:11" s="11" customFormat="1" ht="14.25" x14ac:dyDescent="0.2">
      <c r="A60" s="14"/>
      <c r="B60" s="100" t="s">
        <v>76</v>
      </c>
      <c r="C60" s="14"/>
      <c r="D60" s="14"/>
      <c r="E60" s="14"/>
      <c r="F60" s="14"/>
      <c r="G60" s="14"/>
      <c r="H60" s="14"/>
      <c r="I60" s="14"/>
      <c r="J60" s="14"/>
      <c r="K60" s="14"/>
    </row>
    <row r="61" spans="1:11" s="11" customFormat="1" ht="15" x14ac:dyDescent="0.2">
      <c r="A61" s="99" t="s">
        <v>228</v>
      </c>
      <c r="B61" s="14"/>
      <c r="C61" s="14"/>
      <c r="D61" s="14"/>
      <c r="E61" s="14"/>
      <c r="F61" s="14"/>
      <c r="G61" s="14"/>
      <c r="H61" s="14"/>
      <c r="I61" s="14"/>
      <c r="J61" s="14"/>
      <c r="K61" s="14"/>
    </row>
    <row r="62" spans="1:11" s="11" customFormat="1" ht="14.25" x14ac:dyDescent="0.2">
      <c r="A62" s="14"/>
      <c r="B62" s="100" t="s">
        <v>62</v>
      </c>
      <c r="C62" s="14"/>
      <c r="D62" s="14"/>
      <c r="E62" s="14"/>
      <c r="F62" s="14"/>
      <c r="G62" s="14"/>
      <c r="H62" s="14"/>
      <c r="I62" s="14"/>
      <c r="J62" s="14"/>
      <c r="K62" s="14"/>
    </row>
    <row r="63" spans="1:11" s="11" customFormat="1" ht="14.25" x14ac:dyDescent="0.2">
      <c r="A63" s="14"/>
      <c r="B63" s="100" t="s">
        <v>63</v>
      </c>
      <c r="C63" s="14"/>
      <c r="D63" s="14"/>
      <c r="E63" s="14"/>
      <c r="F63" s="14"/>
      <c r="G63" s="14"/>
      <c r="H63" s="14"/>
      <c r="I63" s="14"/>
      <c r="J63" s="14"/>
      <c r="K63" s="14"/>
    </row>
    <row r="64" spans="1:11" s="11" customFormat="1" ht="14.25" x14ac:dyDescent="0.2">
      <c r="A64" s="14"/>
      <c r="B64" s="100" t="s">
        <v>67</v>
      </c>
      <c r="C64" s="14"/>
      <c r="D64" s="14"/>
      <c r="E64" s="14"/>
      <c r="F64" s="14"/>
      <c r="G64" s="14"/>
      <c r="H64" s="14"/>
      <c r="I64" s="14"/>
      <c r="J64" s="14"/>
      <c r="K64" s="14"/>
    </row>
    <row r="65" spans="1:11" s="11" customFormat="1" ht="14.25" x14ac:dyDescent="0.2">
      <c r="A65" s="14"/>
      <c r="B65" s="100" t="s">
        <v>72</v>
      </c>
      <c r="C65" s="14"/>
      <c r="D65" s="14"/>
      <c r="E65" s="14"/>
      <c r="F65" s="14"/>
      <c r="G65" s="14"/>
      <c r="H65" s="14"/>
      <c r="I65" s="14"/>
      <c r="J65" s="14"/>
      <c r="K65" s="14"/>
    </row>
    <row r="66" spans="1:11" s="11" customFormat="1" ht="14.25" x14ac:dyDescent="0.2">
      <c r="A66" s="14"/>
      <c r="B66" s="100" t="s">
        <v>73</v>
      </c>
      <c r="C66" s="14"/>
      <c r="D66" s="14"/>
      <c r="E66" s="14"/>
      <c r="F66" s="14"/>
      <c r="G66" s="14"/>
      <c r="H66" s="14"/>
      <c r="I66" s="14"/>
      <c r="J66" s="14"/>
      <c r="K66" s="14"/>
    </row>
    <row r="67" spans="1:11" s="11" customFormat="1" ht="14.25" x14ac:dyDescent="0.2">
      <c r="A67" s="14"/>
      <c r="B67" s="100" t="s">
        <v>74</v>
      </c>
      <c r="C67" s="14"/>
      <c r="D67" s="14"/>
      <c r="E67" s="14"/>
      <c r="F67" s="14"/>
      <c r="G67" s="14"/>
      <c r="H67" s="14"/>
      <c r="I67" s="14"/>
      <c r="J67" s="14"/>
      <c r="K67" s="14"/>
    </row>
    <row r="68" spans="1:11" s="11" customFormat="1" ht="14.25" x14ac:dyDescent="0.2">
      <c r="A68" s="14"/>
      <c r="B68" s="100" t="s">
        <v>77</v>
      </c>
      <c r="C68" s="14"/>
      <c r="D68" s="14"/>
      <c r="E68" s="14"/>
      <c r="F68" s="14"/>
      <c r="G68" s="14"/>
      <c r="H68" s="14"/>
      <c r="I68" s="14"/>
      <c r="J68" s="14"/>
      <c r="K68" s="14"/>
    </row>
    <row r="69" spans="1:11" s="11" customFormat="1" ht="15" x14ac:dyDescent="0.2">
      <c r="A69" s="99" t="s">
        <v>229</v>
      </c>
      <c r="B69" s="14"/>
      <c r="C69" s="14"/>
      <c r="D69" s="14"/>
      <c r="E69" s="14"/>
      <c r="F69" s="14"/>
      <c r="G69" s="14"/>
      <c r="H69" s="14"/>
      <c r="I69" s="14"/>
      <c r="J69" s="14"/>
      <c r="K69" s="14"/>
    </row>
    <row r="70" spans="1:11" s="11" customFormat="1" ht="14.25" x14ac:dyDescent="0.2">
      <c r="A70" s="14"/>
      <c r="B70" s="100" t="s">
        <v>58</v>
      </c>
      <c r="C70" s="14"/>
      <c r="D70" s="14"/>
      <c r="E70" s="14"/>
      <c r="F70" s="14"/>
      <c r="G70" s="14"/>
      <c r="H70" s="14"/>
      <c r="I70" s="14"/>
      <c r="J70" s="14"/>
      <c r="K70" s="14"/>
    </row>
    <row r="71" spans="1:11" s="11" customFormat="1" ht="12.75" customHeight="1" x14ac:dyDescent="0.2">
      <c r="A71" s="99"/>
      <c r="B71" s="100" t="s">
        <v>61</v>
      </c>
      <c r="C71" s="14"/>
      <c r="D71" s="14"/>
      <c r="E71" s="14"/>
      <c r="F71" s="14"/>
      <c r="G71" s="14"/>
      <c r="H71" s="14"/>
      <c r="I71" s="14"/>
      <c r="J71" s="14"/>
      <c r="K71" s="14"/>
    </row>
    <row r="72" spans="1:11" s="11" customFormat="1" ht="14.25" x14ac:dyDescent="0.2">
      <c r="A72" s="14"/>
      <c r="B72" s="100" t="s">
        <v>23</v>
      </c>
      <c r="C72" s="14"/>
      <c r="D72" s="14"/>
      <c r="E72" s="14"/>
      <c r="F72" s="14"/>
      <c r="G72" s="14"/>
      <c r="H72" s="14"/>
      <c r="I72" s="14"/>
      <c r="J72" s="14"/>
      <c r="K72" s="14"/>
    </row>
    <row r="73" spans="1:11" s="11" customFormat="1" ht="14.25" x14ac:dyDescent="0.2">
      <c r="A73" s="14"/>
      <c r="B73" s="100" t="s">
        <v>22</v>
      </c>
      <c r="C73" s="14"/>
      <c r="D73" s="14"/>
      <c r="E73" s="14"/>
      <c r="F73" s="14"/>
      <c r="G73" s="14"/>
      <c r="H73" s="14"/>
      <c r="I73" s="14"/>
      <c r="J73" s="14"/>
      <c r="K73" s="14"/>
    </row>
    <row r="74" spans="1:11" s="11" customFormat="1" ht="14.25" x14ac:dyDescent="0.2">
      <c r="A74" s="14"/>
      <c r="B74" s="100" t="s">
        <v>59</v>
      </c>
      <c r="C74" s="14"/>
      <c r="D74" s="14"/>
      <c r="E74" s="14"/>
      <c r="F74" s="14"/>
      <c r="G74" s="14"/>
      <c r="H74" s="14"/>
      <c r="I74" s="14"/>
      <c r="J74" s="14"/>
      <c r="K74" s="14"/>
    </row>
    <row r="75" spans="1:11" s="11" customFormat="1" ht="15" x14ac:dyDescent="0.2">
      <c r="A75" s="99" t="s">
        <v>46</v>
      </c>
      <c r="B75" s="14"/>
      <c r="C75" s="14"/>
      <c r="D75" s="14"/>
      <c r="E75" s="14"/>
      <c r="F75" s="14"/>
      <c r="G75" s="14"/>
      <c r="H75" s="14"/>
      <c r="I75" s="14"/>
      <c r="J75" s="14"/>
      <c r="K75" s="14"/>
    </row>
    <row r="76" spans="1:11" s="11" customFormat="1" ht="14.25" x14ac:dyDescent="0.2">
      <c r="A76" s="14"/>
      <c r="B76" s="100" t="s">
        <v>47</v>
      </c>
      <c r="C76" s="14"/>
      <c r="D76" s="14"/>
      <c r="E76" s="14"/>
      <c r="F76" s="14"/>
      <c r="G76" s="14"/>
      <c r="H76" s="14"/>
      <c r="I76" s="14"/>
      <c r="J76" s="14"/>
      <c r="K76" s="14"/>
    </row>
    <row r="77" spans="1:11" s="11" customFormat="1" ht="14.25" x14ac:dyDescent="0.2">
      <c r="A77" s="14"/>
      <c r="B77" s="100" t="s">
        <v>51</v>
      </c>
      <c r="C77" s="14"/>
      <c r="D77" s="14"/>
      <c r="E77" s="14"/>
      <c r="F77" s="14"/>
      <c r="G77" s="14"/>
      <c r="H77" s="14"/>
      <c r="I77" s="14"/>
      <c r="J77" s="14"/>
      <c r="K77" s="14"/>
    </row>
    <row r="78" spans="1:11" s="11" customFormat="1" ht="14.25" x14ac:dyDescent="0.2">
      <c r="A78" s="14"/>
      <c r="B78" s="100" t="s">
        <v>52</v>
      </c>
      <c r="C78" s="14"/>
      <c r="D78" s="14"/>
      <c r="E78" s="14"/>
      <c r="F78" s="14"/>
      <c r="G78" s="14"/>
      <c r="H78" s="14"/>
      <c r="I78" s="14"/>
      <c r="J78" s="14"/>
      <c r="K78" s="14"/>
    </row>
    <row r="79" spans="1:11" s="11" customFormat="1" ht="14.25" x14ac:dyDescent="0.2">
      <c r="A79" s="14"/>
      <c r="B79" s="100" t="s">
        <v>45</v>
      </c>
      <c r="C79" s="14"/>
      <c r="D79" s="14"/>
      <c r="E79" s="14"/>
      <c r="F79" s="14"/>
      <c r="G79" s="14"/>
      <c r="H79" s="14"/>
      <c r="I79" s="14"/>
      <c r="J79" s="14"/>
      <c r="K79" s="14"/>
    </row>
    <row r="80" spans="1:11" s="11" customFormat="1" ht="14.25" x14ac:dyDescent="0.2">
      <c r="A80" s="14"/>
      <c r="B80" s="100" t="s">
        <v>53</v>
      </c>
      <c r="C80" s="14"/>
      <c r="D80" s="14"/>
      <c r="E80" s="14"/>
      <c r="F80" s="14"/>
      <c r="G80" s="14"/>
      <c r="H80" s="14"/>
      <c r="I80" s="14"/>
      <c r="J80" s="14"/>
      <c r="K80" s="14"/>
    </row>
    <row r="81" spans="1:11" s="11" customFormat="1" ht="14.25" x14ac:dyDescent="0.2">
      <c r="A81" s="14"/>
      <c r="B81" s="100" t="s">
        <v>54</v>
      </c>
      <c r="C81" s="14"/>
      <c r="D81" s="14"/>
      <c r="E81" s="14"/>
      <c r="F81" s="14"/>
      <c r="G81" s="14"/>
      <c r="H81" s="14"/>
      <c r="I81" s="14"/>
      <c r="J81" s="14"/>
      <c r="K81" s="14"/>
    </row>
    <row r="82" spans="1:11" s="11" customFormat="1" x14ac:dyDescent="0.2">
      <c r="A82" s="14"/>
      <c r="B82" s="14"/>
      <c r="C82" s="14"/>
      <c r="D82" s="14"/>
      <c r="E82" s="14"/>
      <c r="F82" s="14"/>
      <c r="G82" s="14"/>
      <c r="H82" s="14"/>
      <c r="I82" s="14"/>
      <c r="J82" s="14"/>
      <c r="K82" s="14"/>
    </row>
    <row r="83" spans="1:11" s="11" customFormat="1" x14ac:dyDescent="0.2">
      <c r="A83" s="14"/>
      <c r="B83" s="14"/>
      <c r="C83" s="14"/>
      <c r="D83" s="14"/>
      <c r="E83" s="14"/>
      <c r="F83" s="14"/>
      <c r="G83" s="14"/>
      <c r="H83" s="14"/>
      <c r="I83" s="14"/>
      <c r="J83" s="14"/>
      <c r="K83" s="14"/>
    </row>
    <row r="84" spans="1:11" s="11" customFormat="1" x14ac:dyDescent="0.2"/>
    <row r="85" spans="1:11" s="11" customFormat="1" x14ac:dyDescent="0.2"/>
    <row r="86" spans="1:11" s="11" customFormat="1" x14ac:dyDescent="0.2"/>
    <row r="87" spans="1:11" s="11" customFormat="1" x14ac:dyDescent="0.2"/>
    <row r="88" spans="1:11" s="11" customFormat="1" x14ac:dyDescent="0.2"/>
    <row r="89" spans="1:11" s="11" customFormat="1" x14ac:dyDescent="0.2"/>
    <row r="90" spans="1:11" s="11" customFormat="1" x14ac:dyDescent="0.2"/>
    <row r="91" spans="1:11" s="11" customFormat="1" x14ac:dyDescent="0.2"/>
    <row r="92" spans="1:11" s="11" customFormat="1" x14ac:dyDescent="0.2"/>
    <row r="93" spans="1:11" s="11" customFormat="1" x14ac:dyDescent="0.2"/>
    <row r="94" spans="1:11" s="11" customFormat="1" x14ac:dyDescent="0.2"/>
    <row r="95" spans="1:11" s="11" customFormat="1" x14ac:dyDescent="0.2"/>
    <row r="96" spans="1:11" s="11" customFormat="1" x14ac:dyDescent="0.2"/>
    <row r="97" s="11" customFormat="1" x14ac:dyDescent="0.2"/>
    <row r="98" s="11" customFormat="1" x14ac:dyDescent="0.2"/>
    <row r="99" s="11" customFormat="1" x14ac:dyDescent="0.2"/>
    <row r="100" s="11" customFormat="1" x14ac:dyDescent="0.2"/>
    <row r="101" s="11" customFormat="1" x14ac:dyDescent="0.2"/>
    <row r="102" s="11" customFormat="1" x14ac:dyDescent="0.2"/>
    <row r="103" s="11" customFormat="1" x14ac:dyDescent="0.2"/>
    <row r="104" s="11" customFormat="1" x14ac:dyDescent="0.2"/>
    <row r="105" s="11" customFormat="1" x14ac:dyDescent="0.2"/>
    <row r="106" s="11" customFormat="1" x14ac:dyDescent="0.2"/>
    <row r="107" s="11" customFormat="1" x14ac:dyDescent="0.2"/>
    <row r="108" s="11" customFormat="1" x14ac:dyDescent="0.2"/>
    <row r="109" s="11" customFormat="1" x14ac:dyDescent="0.2"/>
    <row r="110" s="11" customFormat="1" x14ac:dyDescent="0.2"/>
    <row r="111" s="11" customFormat="1" x14ac:dyDescent="0.2"/>
    <row r="112" s="11" customFormat="1" x14ac:dyDescent="0.2"/>
    <row r="113" s="11" customFormat="1" x14ac:dyDescent="0.2"/>
    <row r="114" s="11" customFormat="1" x14ac:dyDescent="0.2"/>
    <row r="115" s="11" customFormat="1" x14ac:dyDescent="0.2"/>
    <row r="116" s="11" customFormat="1" x14ac:dyDescent="0.2"/>
    <row r="117" s="11" customFormat="1" x14ac:dyDescent="0.2"/>
    <row r="118" s="11" customFormat="1" x14ac:dyDescent="0.2"/>
    <row r="119" s="11" customFormat="1" x14ac:dyDescent="0.2"/>
    <row r="120" s="11" customFormat="1" x14ac:dyDescent="0.2"/>
    <row r="121" s="11" customFormat="1" x14ac:dyDescent="0.2"/>
    <row r="122" s="11" customFormat="1" x14ac:dyDescent="0.2"/>
    <row r="123" s="11" customFormat="1" x14ac:dyDescent="0.2"/>
    <row r="124" s="11" customFormat="1" x14ac:dyDescent="0.2"/>
  </sheetData>
  <phoneticPr fontId="0" type="noConversion"/>
  <pageMargins left="0.75" right="0.75" top="0.75" bottom="0.5" header="0.5" footer="0.5"/>
  <pageSetup scale="83"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3"/>
  <sheetViews>
    <sheetView workbookViewId="0">
      <selection activeCell="A5" sqref="A5"/>
    </sheetView>
  </sheetViews>
  <sheetFormatPr defaultRowHeight="12.75" x14ac:dyDescent="0.2"/>
  <cols>
    <col min="1" max="1" width="131.28515625" style="98" customWidth="1"/>
  </cols>
  <sheetData>
    <row r="1" spans="1:1" ht="15.75" x14ac:dyDescent="0.25">
      <c r="A1" s="95" t="s">
        <v>90</v>
      </c>
    </row>
    <row r="2" spans="1:1" ht="30" x14ac:dyDescent="0.2">
      <c r="A2" s="96" t="s">
        <v>260</v>
      </c>
    </row>
    <row r="3" spans="1:1" ht="30" x14ac:dyDescent="0.2">
      <c r="A3" s="97" t="s">
        <v>259</v>
      </c>
    </row>
    <row r="4" spans="1:1" ht="60" x14ac:dyDescent="0.2">
      <c r="A4" s="97" t="s">
        <v>261</v>
      </c>
    </row>
    <row r="5" spans="1:1" ht="15" x14ac:dyDescent="0.2">
      <c r="A5" s="97" t="s">
        <v>254</v>
      </c>
    </row>
    <row r="6" spans="1:1" ht="30" x14ac:dyDescent="0.2">
      <c r="A6" s="97" t="s">
        <v>267</v>
      </c>
    </row>
    <row r="7" spans="1:1" ht="120" x14ac:dyDescent="0.2">
      <c r="A7" s="97" t="s">
        <v>268</v>
      </c>
    </row>
    <row r="8" spans="1:1" ht="45" x14ac:dyDescent="0.2">
      <c r="A8" s="97" t="s">
        <v>269</v>
      </c>
    </row>
    <row r="9" spans="1:1" ht="60" x14ac:dyDescent="0.2">
      <c r="A9" s="97" t="s">
        <v>270</v>
      </c>
    </row>
    <row r="10" spans="1:1" ht="45" x14ac:dyDescent="0.2">
      <c r="A10" s="97" t="s">
        <v>285</v>
      </c>
    </row>
    <row r="11" spans="1:1" ht="15" x14ac:dyDescent="0.2">
      <c r="A11" s="97" t="s">
        <v>91</v>
      </c>
    </row>
    <row r="12" spans="1:1" ht="15" x14ac:dyDescent="0.2">
      <c r="A12" s="96"/>
    </row>
    <row r="13" spans="1:1" ht="15" x14ac:dyDescent="0.2">
      <c r="A13" s="96"/>
    </row>
  </sheetData>
  <phoneticPr fontId="9" type="noConversion"/>
  <pageMargins left="0.75" right="0.75" top="0.75" bottom="0.5"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9"/>
  <sheetViews>
    <sheetView zoomScale="75" workbookViewId="0">
      <selection activeCell="B3" sqref="B3"/>
    </sheetView>
  </sheetViews>
  <sheetFormatPr defaultRowHeight="12.75" x14ac:dyDescent="0.2"/>
  <cols>
    <col min="1" max="1" width="7.140625" customWidth="1"/>
    <col min="2" max="2" width="54.140625" customWidth="1"/>
    <col min="3" max="8" width="10.7109375" customWidth="1"/>
  </cols>
  <sheetData>
    <row r="1" spans="1:8" ht="27" customHeight="1" x14ac:dyDescent="0.25">
      <c r="A1" s="114" t="s">
        <v>82</v>
      </c>
    </row>
    <row r="2" spans="1:8" ht="27" customHeight="1" x14ac:dyDescent="0.25">
      <c r="A2" s="114"/>
      <c r="E2" s="115" t="s">
        <v>99</v>
      </c>
    </row>
    <row r="3" spans="1:8" ht="227.25" customHeight="1" x14ac:dyDescent="0.2">
      <c r="A3" s="2"/>
      <c r="B3" s="1"/>
      <c r="C3" s="103"/>
      <c r="D3" s="103"/>
      <c r="E3" s="103"/>
      <c r="F3" s="103"/>
      <c r="G3" s="104"/>
      <c r="H3" s="104"/>
    </row>
    <row r="4" spans="1:8" s="19" customFormat="1" ht="35.1" customHeight="1" x14ac:dyDescent="0.2">
      <c r="A4" s="17"/>
      <c r="B4" s="18"/>
      <c r="C4" s="17"/>
      <c r="D4" s="17"/>
      <c r="E4" s="17"/>
      <c r="F4" s="17"/>
      <c r="G4" s="17"/>
      <c r="H4" s="17"/>
    </row>
    <row r="5" spans="1:8" s="19" customFormat="1" ht="35.1" customHeight="1" x14ac:dyDescent="0.2">
      <c r="A5" s="17"/>
      <c r="B5" s="101" t="s">
        <v>262</v>
      </c>
      <c r="C5" s="20"/>
      <c r="D5" s="17"/>
      <c r="E5" s="17"/>
      <c r="F5" s="17"/>
      <c r="G5" s="17"/>
      <c r="H5" s="17"/>
    </row>
    <row r="6" spans="1:8" s="19" customFormat="1" ht="35.1" customHeight="1" x14ac:dyDescent="0.2">
      <c r="A6" s="17"/>
      <c r="B6" s="18"/>
      <c r="C6" s="17"/>
      <c r="D6" s="17"/>
      <c r="E6" s="17"/>
      <c r="F6" s="17"/>
      <c r="G6" s="17"/>
      <c r="H6" s="17"/>
    </row>
    <row r="7" spans="1:8" s="19" customFormat="1" ht="35.1" customHeight="1" x14ac:dyDescent="0.2">
      <c r="A7" s="17"/>
      <c r="B7" s="102" t="s">
        <v>263</v>
      </c>
      <c r="C7" s="22"/>
      <c r="D7" s="22"/>
      <c r="E7" s="23"/>
      <c r="F7" s="23"/>
      <c r="G7" s="23"/>
      <c r="H7" s="23"/>
    </row>
    <row r="8" spans="1:8" s="19" customFormat="1" ht="35.1" customHeight="1" x14ac:dyDescent="0.2">
      <c r="A8" s="17"/>
      <c r="B8" s="21"/>
      <c r="C8" s="24"/>
      <c r="D8" s="24"/>
      <c r="E8" s="24"/>
      <c r="F8" s="24"/>
      <c r="G8" s="24"/>
      <c r="H8" s="24"/>
    </row>
    <row r="9" spans="1:8" s="19" customFormat="1" ht="35.1" customHeight="1" x14ac:dyDescent="0.2">
      <c r="A9" s="17"/>
      <c r="B9" s="102" t="s">
        <v>264</v>
      </c>
      <c r="C9" s="25">
        <v>1</v>
      </c>
      <c r="D9" s="25" t="e">
        <f>1-(D7-$C$7)/$C$7</f>
        <v>#DIV/0!</v>
      </c>
      <c r="E9" s="25" t="e">
        <f>1-(E7-$C$7)/$C$7</f>
        <v>#DIV/0!</v>
      </c>
      <c r="F9" s="25" t="e">
        <f>1-(F7-$C$7)/$C$7</f>
        <v>#DIV/0!</v>
      </c>
      <c r="G9" s="25" t="e">
        <f>1-(G7-$C$7)/$C$7</f>
        <v>#DIV/0!</v>
      </c>
      <c r="H9" s="25" t="e">
        <f>1-(H7-$C$7)/$C$7</f>
        <v>#DIV/0!</v>
      </c>
    </row>
    <row r="10" spans="1:8" s="19" customFormat="1" ht="35.1" customHeight="1" x14ac:dyDescent="0.2">
      <c r="A10" s="17"/>
      <c r="B10" s="26"/>
      <c r="C10" s="27"/>
      <c r="D10" s="27"/>
      <c r="E10" s="27"/>
      <c r="F10" s="27"/>
      <c r="G10" s="27"/>
      <c r="H10" s="27"/>
    </row>
    <row r="11" spans="1:8" s="19" customFormat="1" ht="35.1" customHeight="1" x14ac:dyDescent="0.2">
      <c r="A11" s="17"/>
      <c r="B11" s="16" t="s">
        <v>265</v>
      </c>
      <c r="C11" s="27">
        <f t="shared" ref="C11:H11" si="0">$C$5*C9</f>
        <v>0</v>
      </c>
      <c r="D11" s="27" t="e">
        <f t="shared" si="0"/>
        <v>#DIV/0!</v>
      </c>
      <c r="E11" s="27" t="e">
        <f t="shared" si="0"/>
        <v>#DIV/0!</v>
      </c>
      <c r="F11" s="27" t="e">
        <f t="shared" si="0"/>
        <v>#DIV/0!</v>
      </c>
      <c r="G11" s="27" t="e">
        <f t="shared" si="0"/>
        <v>#DIV/0!</v>
      </c>
      <c r="H11" s="27" t="e">
        <f t="shared" si="0"/>
        <v>#DIV/0!</v>
      </c>
    </row>
    <row r="12" spans="1:8" s="19" customFormat="1" ht="35.1" customHeight="1" x14ac:dyDescent="0.2">
      <c r="A12" s="28"/>
      <c r="B12" s="28"/>
      <c r="C12" s="27"/>
      <c r="D12" s="27"/>
      <c r="E12" s="27"/>
      <c r="F12" s="27"/>
      <c r="G12" s="27"/>
      <c r="H12" s="27"/>
    </row>
    <row r="13" spans="1:8" s="19" customFormat="1" ht="35.1" customHeight="1" x14ac:dyDescent="0.2">
      <c r="A13" s="105" t="s">
        <v>253</v>
      </c>
      <c r="B13" s="106" t="s">
        <v>266</v>
      </c>
      <c r="C13" s="17"/>
      <c r="D13" s="17"/>
      <c r="E13" s="17"/>
      <c r="F13" s="17"/>
      <c r="G13" s="17"/>
      <c r="H13" s="17"/>
    </row>
    <row r="14" spans="1:8" s="19" customFormat="1" ht="24.95" customHeight="1" x14ac:dyDescent="0.2">
      <c r="A14" s="17"/>
      <c r="B14" s="17"/>
      <c r="C14" s="20"/>
      <c r="D14" s="20"/>
      <c r="E14" s="20"/>
      <c r="F14" s="20"/>
      <c r="G14" s="20"/>
      <c r="H14" s="20"/>
    </row>
    <row r="15" spans="1:8" s="19" customFormat="1" ht="24.95" customHeight="1" x14ac:dyDescent="0.2">
      <c r="A15" s="17"/>
      <c r="B15" s="17"/>
      <c r="C15" s="20"/>
      <c r="D15" s="20"/>
      <c r="E15" s="20"/>
      <c r="F15" s="20"/>
      <c r="G15" s="20"/>
      <c r="H15" s="20"/>
    </row>
    <row r="16" spans="1:8" s="19" customFormat="1" ht="24.95" customHeight="1" x14ac:dyDescent="0.2">
      <c r="A16" s="17"/>
      <c r="B16" s="17"/>
      <c r="C16" s="20"/>
      <c r="D16" s="20"/>
      <c r="E16" s="20"/>
      <c r="F16" s="20"/>
      <c r="G16" s="20"/>
      <c r="H16" s="20"/>
    </row>
    <row r="17" spans="1:8" s="19" customFormat="1" ht="24.95" customHeight="1" x14ac:dyDescent="0.2">
      <c r="A17" s="17"/>
      <c r="B17" s="17"/>
      <c r="C17" s="20"/>
      <c r="D17" s="20"/>
      <c r="E17" s="20"/>
      <c r="F17" s="20"/>
      <c r="G17" s="20"/>
      <c r="H17" s="20"/>
    </row>
    <row r="18" spans="1:8" s="19" customFormat="1" ht="24.95" customHeight="1" x14ac:dyDescent="0.2">
      <c r="A18" s="17"/>
      <c r="B18" s="17"/>
      <c r="C18" s="20"/>
      <c r="D18" s="20"/>
      <c r="E18" s="20"/>
      <c r="F18" s="20"/>
      <c r="G18" s="20"/>
      <c r="H18" s="20"/>
    </row>
    <row r="19" spans="1:8" s="19" customFormat="1" ht="24.95" customHeight="1" x14ac:dyDescent="0.2">
      <c r="A19" s="17"/>
      <c r="B19" s="17"/>
      <c r="C19" s="20"/>
      <c r="D19" s="20"/>
      <c r="E19" s="20"/>
      <c r="F19" s="20"/>
      <c r="G19" s="20"/>
      <c r="H19" s="20"/>
    </row>
    <row r="20" spans="1:8" s="19" customFormat="1" ht="24.95" customHeight="1" x14ac:dyDescent="0.2">
      <c r="A20" s="17"/>
      <c r="B20" s="17"/>
      <c r="C20" s="20"/>
      <c r="D20" s="20"/>
      <c r="E20" s="20"/>
      <c r="F20" s="20"/>
      <c r="G20" s="20"/>
      <c r="H20" s="20"/>
    </row>
    <row r="21" spans="1:8" s="19" customFormat="1" ht="24.95" customHeight="1" x14ac:dyDescent="0.2">
      <c r="A21" s="17"/>
      <c r="B21" s="17"/>
      <c r="C21" s="20"/>
      <c r="D21" s="20"/>
      <c r="E21" s="20"/>
      <c r="F21" s="20"/>
      <c r="G21" s="20"/>
      <c r="H21" s="20"/>
    </row>
    <row r="22" spans="1:8" s="19" customFormat="1" ht="24.95" customHeight="1" x14ac:dyDescent="0.2">
      <c r="A22" s="17"/>
      <c r="B22" s="17"/>
      <c r="C22" s="20"/>
      <c r="D22" s="20"/>
      <c r="E22" s="20"/>
      <c r="F22" s="20"/>
      <c r="G22" s="20"/>
      <c r="H22" s="20"/>
    </row>
    <row r="23" spans="1:8" s="19" customFormat="1" ht="24.95" customHeight="1" x14ac:dyDescent="0.2">
      <c r="A23" s="17"/>
      <c r="B23" s="17"/>
      <c r="C23" s="20"/>
      <c r="D23" s="20"/>
      <c r="E23" s="20"/>
      <c r="F23" s="20"/>
      <c r="G23" s="20"/>
      <c r="H23" s="20"/>
    </row>
    <row r="24" spans="1:8" s="19" customFormat="1" ht="24.95" customHeight="1" x14ac:dyDescent="0.2">
      <c r="A24" s="17"/>
      <c r="B24" s="17"/>
      <c r="C24" s="20"/>
      <c r="D24" s="20"/>
      <c r="E24" s="20"/>
      <c r="F24" s="20"/>
      <c r="G24" s="20"/>
      <c r="H24" s="20"/>
    </row>
    <row r="25" spans="1:8" s="19" customFormat="1" ht="24.95" customHeight="1" x14ac:dyDescent="0.2">
      <c r="A25" s="17"/>
      <c r="B25" s="17"/>
      <c r="C25" s="20"/>
      <c r="D25" s="20"/>
      <c r="E25" s="20"/>
      <c r="F25" s="20"/>
      <c r="G25" s="20"/>
      <c r="H25" s="20"/>
    </row>
    <row r="26" spans="1:8" s="19" customFormat="1" ht="24.95" customHeight="1" x14ac:dyDescent="0.2">
      <c r="A26" s="17"/>
      <c r="B26" s="17"/>
      <c r="C26" s="20"/>
      <c r="D26" s="20"/>
      <c r="E26" s="20"/>
      <c r="F26" s="20"/>
      <c r="G26" s="20"/>
      <c r="H26" s="20"/>
    </row>
    <row r="27" spans="1:8" s="19" customFormat="1" ht="24.95" customHeight="1" x14ac:dyDescent="0.2">
      <c r="A27" s="17"/>
      <c r="B27" s="17"/>
      <c r="C27" s="20"/>
      <c r="D27" s="20"/>
      <c r="E27" s="20"/>
      <c r="F27" s="20"/>
      <c r="G27" s="20"/>
      <c r="H27" s="20"/>
    </row>
    <row r="28" spans="1:8" s="19" customFormat="1" ht="24.95" customHeight="1" x14ac:dyDescent="0.2">
      <c r="A28" s="17"/>
      <c r="B28" s="17"/>
      <c r="C28" s="20"/>
      <c r="D28" s="20"/>
      <c r="E28" s="20"/>
      <c r="F28" s="20"/>
      <c r="G28" s="20"/>
      <c r="H28" s="20"/>
    </row>
    <row r="29" spans="1:8" s="19" customFormat="1" ht="24.95" customHeight="1" x14ac:dyDescent="0.2">
      <c r="A29" s="17"/>
      <c r="B29" s="17"/>
      <c r="C29" s="20"/>
      <c r="D29" s="20"/>
      <c r="E29" s="20"/>
      <c r="F29" s="20"/>
      <c r="G29" s="20"/>
      <c r="H29" s="20"/>
    </row>
    <row r="30" spans="1:8" s="19" customFormat="1" ht="24.95" customHeight="1" x14ac:dyDescent="0.2">
      <c r="A30" s="17"/>
      <c r="B30" s="17"/>
      <c r="C30" s="20"/>
      <c r="D30" s="20"/>
      <c r="E30" s="20"/>
      <c r="F30" s="20"/>
      <c r="G30" s="20"/>
      <c r="H30" s="20"/>
    </row>
    <row r="31" spans="1:8" s="19" customFormat="1" ht="24.95" customHeight="1" x14ac:dyDescent="0.2">
      <c r="A31" s="17"/>
      <c r="B31" s="17"/>
      <c r="C31" s="20"/>
      <c r="D31" s="20"/>
      <c r="E31" s="20"/>
      <c r="F31" s="20"/>
      <c r="G31" s="20"/>
      <c r="H31" s="20"/>
    </row>
    <row r="32" spans="1:8" s="19" customFormat="1" ht="24.95" customHeight="1" x14ac:dyDescent="0.2">
      <c r="A32" s="17"/>
      <c r="B32" s="17"/>
      <c r="C32" s="20"/>
      <c r="D32" s="20"/>
      <c r="E32" s="20"/>
      <c r="F32" s="20"/>
      <c r="G32" s="20"/>
      <c r="H32" s="20"/>
    </row>
    <row r="33" spans="1:8" s="19" customFormat="1" ht="24.95" customHeight="1" x14ac:dyDescent="0.2">
      <c r="A33" s="17"/>
      <c r="B33" s="17"/>
      <c r="C33" s="20"/>
      <c r="D33" s="20"/>
      <c r="E33" s="20"/>
      <c r="F33" s="20"/>
      <c r="G33" s="20"/>
      <c r="H33" s="20"/>
    </row>
    <row r="34" spans="1:8" s="19" customFormat="1" ht="24.95" customHeight="1" x14ac:dyDescent="0.2">
      <c r="A34" s="17"/>
      <c r="B34" s="17"/>
      <c r="C34" s="20"/>
      <c r="D34" s="20"/>
      <c r="E34" s="20"/>
      <c r="F34" s="20"/>
      <c r="G34" s="20"/>
      <c r="H34" s="20"/>
    </row>
    <row r="35" spans="1:8" s="19" customFormat="1" ht="24.95" customHeight="1" x14ac:dyDescent="0.2">
      <c r="A35" s="17"/>
      <c r="B35" s="17"/>
      <c r="C35" s="20"/>
      <c r="D35" s="20"/>
      <c r="E35" s="20"/>
      <c r="F35" s="20"/>
      <c r="G35" s="20"/>
      <c r="H35" s="20"/>
    </row>
    <row r="36" spans="1:8" s="19" customFormat="1" ht="24.95" customHeight="1" x14ac:dyDescent="0.2">
      <c r="A36" s="17"/>
      <c r="B36" s="17"/>
      <c r="C36" s="20"/>
      <c r="D36" s="20"/>
      <c r="E36" s="20"/>
      <c r="F36" s="20"/>
      <c r="G36" s="20"/>
      <c r="H36" s="20"/>
    </row>
    <row r="37" spans="1:8" s="19" customFormat="1" ht="24.95" customHeight="1" x14ac:dyDescent="0.2">
      <c r="A37" s="17"/>
      <c r="B37" s="17"/>
      <c r="C37" s="20"/>
      <c r="D37" s="20"/>
      <c r="E37" s="20"/>
      <c r="F37" s="20"/>
      <c r="G37" s="20"/>
      <c r="H37" s="20"/>
    </row>
    <row r="38" spans="1:8" s="19" customFormat="1" ht="24.95" customHeight="1" x14ac:dyDescent="0.2">
      <c r="A38" s="17"/>
      <c r="B38" s="17"/>
      <c r="C38" s="20"/>
      <c r="D38" s="20"/>
      <c r="E38" s="20"/>
      <c r="F38" s="20"/>
      <c r="G38" s="20"/>
      <c r="H38" s="20"/>
    </row>
    <row r="39" spans="1:8" s="19" customFormat="1" ht="24.95" customHeight="1" x14ac:dyDescent="0.2">
      <c r="A39" s="17"/>
      <c r="B39" s="29" t="s">
        <v>98</v>
      </c>
      <c r="C39" s="30">
        <f t="shared" ref="C39:H39" si="1">SUM(C11:C38)</f>
        <v>0</v>
      </c>
      <c r="D39" s="30" t="e">
        <f t="shared" si="1"/>
        <v>#DIV/0!</v>
      </c>
      <c r="E39" s="30" t="e">
        <f t="shared" si="1"/>
        <v>#DIV/0!</v>
      </c>
      <c r="F39" s="30" t="e">
        <f t="shared" si="1"/>
        <v>#DIV/0!</v>
      </c>
      <c r="G39" s="30" t="e">
        <f t="shared" si="1"/>
        <v>#DIV/0!</v>
      </c>
      <c r="H39" s="30" t="e">
        <f t="shared" si="1"/>
        <v>#DIV/0!</v>
      </c>
    </row>
  </sheetData>
  <phoneticPr fontId="0" type="noConversion"/>
  <printOptions horizontalCentered="1" gridLines="1"/>
  <pageMargins left="0.27" right="0.32" top="1" bottom="1" header="0.5" footer="0.5"/>
  <pageSetup scale="52"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50"/>
  <sheetViews>
    <sheetView zoomScaleNormal="100" workbookViewId="0">
      <selection activeCell="E11" sqref="E11"/>
    </sheetView>
  </sheetViews>
  <sheetFormatPr defaultRowHeight="12.75" x14ac:dyDescent="0.2"/>
  <cols>
    <col min="1" max="1" width="22.42578125" customWidth="1"/>
    <col min="2" max="2" width="20.28515625" customWidth="1"/>
    <col min="3" max="3" width="12" customWidth="1"/>
    <col min="7" max="7" width="13.140625" customWidth="1"/>
    <col min="8" max="8" width="15.5703125" customWidth="1"/>
    <col min="9" max="9" width="14.5703125" customWidth="1"/>
    <col min="10" max="10" width="15.140625" customWidth="1"/>
    <col min="11" max="11" width="14.28515625" customWidth="1"/>
  </cols>
  <sheetData>
    <row r="1" spans="1:11" ht="18" x14ac:dyDescent="0.25">
      <c r="A1" s="115" t="s">
        <v>140</v>
      </c>
    </row>
    <row r="2" spans="1:11" ht="14.25" x14ac:dyDescent="0.2">
      <c r="A2" s="31" t="s">
        <v>277</v>
      </c>
    </row>
    <row r="3" spans="1:11" s="31" customFormat="1" ht="15" x14ac:dyDescent="0.25">
      <c r="A3" s="109"/>
      <c r="B3" s="110"/>
      <c r="C3" s="110"/>
      <c r="D3" s="110"/>
      <c r="E3" s="110"/>
      <c r="F3" s="110" t="s">
        <v>83</v>
      </c>
      <c r="G3" s="110"/>
      <c r="H3" s="110"/>
      <c r="I3" s="110"/>
      <c r="J3" s="110"/>
      <c r="K3" s="110"/>
    </row>
    <row r="4" spans="1:11" s="31" customFormat="1" ht="14.25" x14ac:dyDescent="0.2">
      <c r="H4" s="15" t="s">
        <v>157</v>
      </c>
      <c r="I4" s="15" t="s">
        <v>158</v>
      </c>
      <c r="J4" s="15" t="s">
        <v>159</v>
      </c>
    </row>
    <row r="5" spans="1:11" s="31" customFormat="1" ht="14.25" x14ac:dyDescent="0.2">
      <c r="H5" s="108"/>
      <c r="I5" s="108"/>
      <c r="J5" s="108"/>
    </row>
    <row r="6" spans="1:11" s="31" customFormat="1" ht="14.25" x14ac:dyDescent="0.2">
      <c r="H6" s="108"/>
      <c r="I6" s="108"/>
      <c r="J6" s="108"/>
    </row>
    <row r="7" spans="1:11" s="31" customFormat="1" ht="14.25" x14ac:dyDescent="0.2">
      <c r="A7" s="33" t="s">
        <v>133</v>
      </c>
      <c r="B7" s="33"/>
      <c r="C7" s="33"/>
      <c r="D7" s="33"/>
      <c r="E7" s="33"/>
      <c r="F7" s="33" t="s">
        <v>136</v>
      </c>
      <c r="G7" s="33" t="s">
        <v>109</v>
      </c>
      <c r="H7" s="33"/>
      <c r="I7" s="33"/>
      <c r="J7" s="33"/>
      <c r="K7" s="33" t="s">
        <v>160</v>
      </c>
    </row>
    <row r="8" spans="1:11" s="31" customFormat="1" ht="14.25" x14ac:dyDescent="0.2">
      <c r="A8" s="34" t="s">
        <v>232</v>
      </c>
      <c r="B8" s="34" t="s">
        <v>134</v>
      </c>
      <c r="C8" s="34" t="s">
        <v>233</v>
      </c>
      <c r="D8" s="34" t="s">
        <v>135</v>
      </c>
      <c r="E8" s="34" t="s">
        <v>234</v>
      </c>
      <c r="F8" s="34" t="s">
        <v>235</v>
      </c>
      <c r="G8" s="34" t="s">
        <v>236</v>
      </c>
      <c r="H8" s="34" t="s">
        <v>238</v>
      </c>
      <c r="I8" s="34" t="s">
        <v>239</v>
      </c>
      <c r="J8" s="34" t="s">
        <v>240</v>
      </c>
      <c r="K8" s="34" t="s">
        <v>161</v>
      </c>
    </row>
    <row r="9" spans="1:11" s="31" customFormat="1" ht="14.25" x14ac:dyDescent="0.2">
      <c r="C9" s="15"/>
      <c r="D9" s="35"/>
      <c r="E9" s="35"/>
      <c r="F9" s="35"/>
      <c r="G9" s="35"/>
      <c r="H9" s="35" t="e">
        <f>+G9*#REF!</f>
        <v>#REF!</v>
      </c>
      <c r="I9" s="35" t="e">
        <f>+G9*#REF!</f>
        <v>#REF!</v>
      </c>
      <c r="J9" s="35" t="e">
        <f>+G9*#REF!</f>
        <v>#REF!</v>
      </c>
      <c r="K9" s="35"/>
    </row>
    <row r="10" spans="1:11" s="31" customFormat="1" ht="14.25" x14ac:dyDescent="0.2">
      <c r="C10" s="15"/>
      <c r="D10" s="35"/>
      <c r="E10" s="35"/>
      <c r="F10" s="35"/>
      <c r="G10" s="35">
        <f t="shared" ref="G10:G39" si="0">+D10*E10*F10</f>
        <v>0</v>
      </c>
      <c r="H10" s="35" t="e">
        <f>+G10*#REF!</f>
        <v>#REF!</v>
      </c>
      <c r="I10" s="35" t="e">
        <f>+G10*#REF!</f>
        <v>#REF!</v>
      </c>
      <c r="J10" s="35" t="e">
        <f>+G10*#REF!</f>
        <v>#REF!</v>
      </c>
      <c r="K10" s="35"/>
    </row>
    <row r="11" spans="1:11" s="31" customFormat="1" ht="14.25" x14ac:dyDescent="0.2">
      <c r="C11" s="15"/>
      <c r="D11" s="35"/>
      <c r="E11" s="35"/>
      <c r="F11" s="35"/>
      <c r="G11" s="35">
        <f t="shared" si="0"/>
        <v>0</v>
      </c>
      <c r="H11" s="35" t="e">
        <f>+G11*#REF!</f>
        <v>#REF!</v>
      </c>
      <c r="I11" s="35" t="e">
        <f>+G11*#REF!</f>
        <v>#REF!</v>
      </c>
      <c r="J11" s="35" t="e">
        <f>+G11*#REF!</f>
        <v>#REF!</v>
      </c>
      <c r="K11" s="35"/>
    </row>
    <row r="12" spans="1:11" s="31" customFormat="1" ht="14.25" x14ac:dyDescent="0.2">
      <c r="C12" s="15"/>
      <c r="D12" s="35"/>
      <c r="E12" s="35"/>
      <c r="F12" s="35"/>
      <c r="G12" s="35">
        <f t="shared" si="0"/>
        <v>0</v>
      </c>
      <c r="H12" s="35" t="e">
        <f>+G12*#REF!</f>
        <v>#REF!</v>
      </c>
      <c r="I12" s="35" t="e">
        <f>+G12*#REF!</f>
        <v>#REF!</v>
      </c>
      <c r="J12" s="35" t="e">
        <f>+G12*#REF!</f>
        <v>#REF!</v>
      </c>
      <c r="K12" s="35"/>
    </row>
    <row r="13" spans="1:11" s="31" customFormat="1" ht="14.25" x14ac:dyDescent="0.2">
      <c r="C13" s="15"/>
      <c r="D13" s="35"/>
      <c r="E13" s="35"/>
      <c r="F13" s="35"/>
      <c r="G13" s="35">
        <f t="shared" si="0"/>
        <v>0</v>
      </c>
      <c r="H13" s="35" t="e">
        <f>+G13*#REF!</f>
        <v>#REF!</v>
      </c>
      <c r="I13" s="35" t="e">
        <f>+G13*#REF!</f>
        <v>#REF!</v>
      </c>
      <c r="J13" s="35" t="e">
        <f>+G13*#REF!</f>
        <v>#REF!</v>
      </c>
      <c r="K13" s="35"/>
    </row>
    <row r="14" spans="1:11" s="31" customFormat="1" ht="14.25" x14ac:dyDescent="0.2">
      <c r="C14" s="15"/>
      <c r="D14" s="35"/>
      <c r="E14" s="35"/>
      <c r="F14" s="35"/>
      <c r="G14" s="35">
        <f t="shared" si="0"/>
        <v>0</v>
      </c>
      <c r="H14" s="35" t="e">
        <f>+G14*#REF!</f>
        <v>#REF!</v>
      </c>
      <c r="I14" s="35" t="e">
        <f>+G14*#REF!</f>
        <v>#REF!</v>
      </c>
      <c r="J14" s="35" t="e">
        <f>+G14*#REF!</f>
        <v>#REF!</v>
      </c>
      <c r="K14" s="35"/>
    </row>
    <row r="15" spans="1:11" s="31" customFormat="1" ht="14.25" x14ac:dyDescent="0.2">
      <c r="C15" s="15"/>
      <c r="D15" s="35"/>
      <c r="E15" s="35"/>
      <c r="F15" s="35"/>
      <c r="G15" s="35">
        <f t="shared" si="0"/>
        <v>0</v>
      </c>
      <c r="H15" s="35" t="e">
        <f>+G15*#REF!</f>
        <v>#REF!</v>
      </c>
      <c r="I15" s="35" t="e">
        <f>+G15*#REF!</f>
        <v>#REF!</v>
      </c>
      <c r="J15" s="35" t="e">
        <f>+G15*#REF!</f>
        <v>#REF!</v>
      </c>
      <c r="K15" s="35"/>
    </row>
    <row r="16" spans="1:11" s="31" customFormat="1" ht="14.25" x14ac:dyDescent="0.2">
      <c r="C16" s="15"/>
      <c r="D16" s="35"/>
      <c r="E16" s="35"/>
      <c r="F16" s="35"/>
      <c r="G16" s="35">
        <f t="shared" si="0"/>
        <v>0</v>
      </c>
      <c r="H16" s="35" t="e">
        <f>+G16*#REF!</f>
        <v>#REF!</v>
      </c>
      <c r="I16" s="35" t="e">
        <f>+G16*#REF!</f>
        <v>#REF!</v>
      </c>
      <c r="J16" s="35" t="e">
        <f>+G16*#REF!</f>
        <v>#REF!</v>
      </c>
      <c r="K16" s="35"/>
    </row>
    <row r="17" spans="3:11" s="31" customFormat="1" ht="14.25" x14ac:dyDescent="0.2">
      <c r="C17" s="15"/>
      <c r="D17" s="35"/>
      <c r="E17" s="35"/>
      <c r="F17" s="35"/>
      <c r="G17" s="35">
        <f t="shared" si="0"/>
        <v>0</v>
      </c>
      <c r="H17" s="35" t="e">
        <f>+G17*#REF!</f>
        <v>#REF!</v>
      </c>
      <c r="I17" s="35" t="e">
        <f>+G17*#REF!</f>
        <v>#REF!</v>
      </c>
      <c r="J17" s="35" t="e">
        <f>+G17*#REF!</f>
        <v>#REF!</v>
      </c>
      <c r="K17" s="35"/>
    </row>
    <row r="18" spans="3:11" s="31" customFormat="1" ht="14.25" x14ac:dyDescent="0.2">
      <c r="C18" s="15"/>
      <c r="D18" s="35"/>
      <c r="E18" s="35"/>
      <c r="F18" s="35"/>
      <c r="G18" s="35">
        <f t="shared" si="0"/>
        <v>0</v>
      </c>
      <c r="H18" s="35" t="e">
        <f>+G18*#REF!</f>
        <v>#REF!</v>
      </c>
      <c r="I18" s="35" t="e">
        <f>+G18*#REF!</f>
        <v>#REF!</v>
      </c>
      <c r="J18" s="35" t="e">
        <f>+G18*#REF!</f>
        <v>#REF!</v>
      </c>
      <c r="K18" s="35"/>
    </row>
    <row r="19" spans="3:11" s="31" customFormat="1" ht="14.25" x14ac:dyDescent="0.2">
      <c r="C19" s="15"/>
      <c r="D19" s="35"/>
      <c r="E19" s="35"/>
      <c r="F19" s="35"/>
      <c r="G19" s="35">
        <f t="shared" si="0"/>
        <v>0</v>
      </c>
      <c r="H19" s="35" t="e">
        <f>+G19*#REF!</f>
        <v>#REF!</v>
      </c>
      <c r="I19" s="35" t="e">
        <f>+G19*#REF!</f>
        <v>#REF!</v>
      </c>
      <c r="J19" s="35" t="e">
        <f>+G19*#REF!</f>
        <v>#REF!</v>
      </c>
      <c r="K19" s="35"/>
    </row>
    <row r="20" spans="3:11" s="31" customFormat="1" ht="14.25" x14ac:dyDescent="0.2">
      <c r="C20" s="15"/>
      <c r="D20" s="35"/>
      <c r="E20" s="36"/>
      <c r="F20" s="36"/>
      <c r="G20" s="36">
        <f>+D20*E20*F20</f>
        <v>0</v>
      </c>
      <c r="H20" s="36" t="e">
        <f>+G20*#REF!</f>
        <v>#REF!</v>
      </c>
      <c r="I20" s="36" t="e">
        <f>+G20*#REF!</f>
        <v>#REF!</v>
      </c>
      <c r="J20" s="35" t="e">
        <f>+G20*#REF!</f>
        <v>#REF!</v>
      </c>
      <c r="K20" s="36"/>
    </row>
    <row r="21" spans="3:11" s="31" customFormat="1" ht="14.25" x14ac:dyDescent="0.2">
      <c r="C21" s="15"/>
      <c r="D21" s="35"/>
      <c r="E21" s="36"/>
      <c r="F21" s="36"/>
      <c r="G21" s="36">
        <f t="shared" si="0"/>
        <v>0</v>
      </c>
      <c r="H21" s="36" t="e">
        <f>+G21*#REF!</f>
        <v>#REF!</v>
      </c>
      <c r="I21" s="36" t="e">
        <f>+G21*#REF!</f>
        <v>#REF!</v>
      </c>
      <c r="J21" s="35" t="e">
        <f>+G21*#REF!</f>
        <v>#REF!</v>
      </c>
      <c r="K21" s="36"/>
    </row>
    <row r="22" spans="3:11" s="31" customFormat="1" ht="14.25" x14ac:dyDescent="0.2">
      <c r="C22" s="15"/>
      <c r="D22" s="35"/>
      <c r="E22" s="36"/>
      <c r="F22" s="36"/>
      <c r="G22" s="36">
        <f t="shared" si="0"/>
        <v>0</v>
      </c>
      <c r="H22" s="36" t="e">
        <f>+G22*#REF!</f>
        <v>#REF!</v>
      </c>
      <c r="I22" s="36" t="e">
        <f>+G22*#REF!</f>
        <v>#REF!</v>
      </c>
      <c r="J22" s="35" t="e">
        <f>+G22*#REF!</f>
        <v>#REF!</v>
      </c>
      <c r="K22" s="36"/>
    </row>
    <row r="23" spans="3:11" s="31" customFormat="1" ht="14.25" x14ac:dyDescent="0.2">
      <c r="C23" s="15"/>
      <c r="D23" s="35"/>
      <c r="E23" s="36"/>
      <c r="F23" s="36"/>
      <c r="G23" s="36">
        <f t="shared" si="0"/>
        <v>0</v>
      </c>
      <c r="H23" s="36" t="e">
        <f>+G23*#REF!</f>
        <v>#REF!</v>
      </c>
      <c r="I23" s="36" t="e">
        <f>+G23*#REF!</f>
        <v>#REF!</v>
      </c>
      <c r="J23" s="35" t="e">
        <f>+G23*#REF!</f>
        <v>#REF!</v>
      </c>
      <c r="K23" s="36"/>
    </row>
    <row r="24" spans="3:11" s="31" customFormat="1" ht="14.25" x14ac:dyDescent="0.2">
      <c r="D24" s="35"/>
      <c r="E24" s="36"/>
      <c r="F24" s="36"/>
      <c r="G24" s="36">
        <f t="shared" si="0"/>
        <v>0</v>
      </c>
      <c r="H24" s="36" t="e">
        <f>+G24*#REF!</f>
        <v>#REF!</v>
      </c>
      <c r="I24" s="36" t="e">
        <f>+G24*#REF!</f>
        <v>#REF!</v>
      </c>
      <c r="J24" s="35" t="e">
        <f>+G24*#REF!</f>
        <v>#REF!</v>
      </c>
      <c r="K24" s="36"/>
    </row>
    <row r="25" spans="3:11" s="31" customFormat="1" ht="14.25" x14ac:dyDescent="0.2">
      <c r="D25" s="35"/>
      <c r="E25" s="36"/>
      <c r="F25" s="36"/>
      <c r="G25" s="36">
        <f t="shared" si="0"/>
        <v>0</v>
      </c>
      <c r="H25" s="36" t="e">
        <f>+G25*#REF!</f>
        <v>#REF!</v>
      </c>
      <c r="I25" s="36" t="e">
        <f>+G25*#REF!</f>
        <v>#REF!</v>
      </c>
      <c r="J25" s="35" t="e">
        <f>+G25*#REF!</f>
        <v>#REF!</v>
      </c>
      <c r="K25" s="36"/>
    </row>
    <row r="26" spans="3:11" s="31" customFormat="1" ht="14.25" x14ac:dyDescent="0.2">
      <c r="D26" s="35"/>
      <c r="E26" s="35"/>
      <c r="F26" s="35"/>
      <c r="G26" s="36">
        <f t="shared" si="0"/>
        <v>0</v>
      </c>
      <c r="H26" s="36" t="e">
        <f>+G26*#REF!</f>
        <v>#REF!</v>
      </c>
      <c r="I26" s="36" t="e">
        <f>+G26*#REF!</f>
        <v>#REF!</v>
      </c>
      <c r="J26" s="35" t="e">
        <f>+G26*#REF!</f>
        <v>#REF!</v>
      </c>
      <c r="K26" s="35"/>
    </row>
    <row r="27" spans="3:11" s="31" customFormat="1" ht="14.25" x14ac:dyDescent="0.2">
      <c r="D27" s="35"/>
      <c r="E27" s="35"/>
      <c r="F27" s="35"/>
      <c r="G27" s="36">
        <f t="shared" si="0"/>
        <v>0</v>
      </c>
      <c r="H27" s="36" t="e">
        <f>+G27*#REF!</f>
        <v>#REF!</v>
      </c>
      <c r="I27" s="36" t="e">
        <f>+G27*#REF!</f>
        <v>#REF!</v>
      </c>
      <c r="J27" s="35" t="e">
        <f>+G27*#REF!</f>
        <v>#REF!</v>
      </c>
      <c r="K27" s="35"/>
    </row>
    <row r="28" spans="3:11" s="31" customFormat="1" ht="14.25" x14ac:dyDescent="0.2">
      <c r="G28" s="36">
        <f t="shared" si="0"/>
        <v>0</v>
      </c>
      <c r="H28" s="36" t="e">
        <f>+G28*#REF!</f>
        <v>#REF!</v>
      </c>
      <c r="I28" s="36" t="e">
        <f>+G28*#REF!</f>
        <v>#REF!</v>
      </c>
      <c r="J28" s="35" t="e">
        <f>+G28*#REF!</f>
        <v>#REF!</v>
      </c>
    </row>
    <row r="29" spans="3:11" s="31" customFormat="1" ht="14.25" x14ac:dyDescent="0.2">
      <c r="G29" s="36">
        <f t="shared" si="0"/>
        <v>0</v>
      </c>
      <c r="H29" s="36" t="e">
        <f>+G29*#REF!</f>
        <v>#REF!</v>
      </c>
      <c r="I29" s="36" t="e">
        <f>+G29*#REF!</f>
        <v>#REF!</v>
      </c>
      <c r="J29" s="35" t="e">
        <f>+G29*#REF!</f>
        <v>#REF!</v>
      </c>
    </row>
    <row r="30" spans="3:11" s="31" customFormat="1" ht="14.25" x14ac:dyDescent="0.2">
      <c r="G30" s="36">
        <f t="shared" si="0"/>
        <v>0</v>
      </c>
      <c r="H30" s="36" t="e">
        <f>+G30*#REF!</f>
        <v>#REF!</v>
      </c>
      <c r="I30" s="36" t="e">
        <f>+G30*#REF!</f>
        <v>#REF!</v>
      </c>
      <c r="J30" s="35" t="e">
        <f>+G30*#REF!</f>
        <v>#REF!</v>
      </c>
    </row>
    <row r="31" spans="3:11" s="31" customFormat="1" ht="14.25" x14ac:dyDescent="0.2">
      <c r="G31" s="36">
        <f t="shared" si="0"/>
        <v>0</v>
      </c>
      <c r="H31" s="36" t="e">
        <f>+G31*#REF!</f>
        <v>#REF!</v>
      </c>
      <c r="I31" s="36" t="e">
        <f>+G31*#REF!</f>
        <v>#REF!</v>
      </c>
      <c r="J31" s="35" t="e">
        <f>+G31*#REF!</f>
        <v>#REF!</v>
      </c>
    </row>
    <row r="32" spans="3:11" s="31" customFormat="1" ht="14.25" x14ac:dyDescent="0.2">
      <c r="G32" s="36">
        <f t="shared" si="0"/>
        <v>0</v>
      </c>
      <c r="H32" s="36" t="e">
        <f>+G32*#REF!</f>
        <v>#REF!</v>
      </c>
      <c r="I32" s="36" t="e">
        <f>+G32*#REF!</f>
        <v>#REF!</v>
      </c>
      <c r="J32" s="35" t="e">
        <f>+G32*#REF!</f>
        <v>#REF!</v>
      </c>
    </row>
    <row r="33" spans="1:11" s="31" customFormat="1" ht="14.25" x14ac:dyDescent="0.2">
      <c r="G33" s="36">
        <f t="shared" si="0"/>
        <v>0</v>
      </c>
      <c r="H33" s="36" t="e">
        <f>+G33*#REF!</f>
        <v>#REF!</v>
      </c>
      <c r="I33" s="36" t="e">
        <f>+G33*#REF!</f>
        <v>#REF!</v>
      </c>
      <c r="J33" s="35" t="e">
        <f>+G33*#REF!</f>
        <v>#REF!</v>
      </c>
    </row>
    <row r="34" spans="1:11" s="31" customFormat="1" ht="14.25" x14ac:dyDescent="0.2">
      <c r="G34" s="36">
        <f t="shared" si="0"/>
        <v>0</v>
      </c>
      <c r="H34" s="36" t="e">
        <f>+G34*#REF!</f>
        <v>#REF!</v>
      </c>
      <c r="I34" s="36" t="e">
        <f>+G34*#REF!</f>
        <v>#REF!</v>
      </c>
      <c r="J34" s="35" t="e">
        <f>+G34*#REF!</f>
        <v>#REF!</v>
      </c>
    </row>
    <row r="35" spans="1:11" s="31" customFormat="1" ht="14.25" x14ac:dyDescent="0.2">
      <c r="G35" s="36">
        <f t="shared" si="0"/>
        <v>0</v>
      </c>
      <c r="H35" s="36" t="e">
        <f>+G35*#REF!</f>
        <v>#REF!</v>
      </c>
      <c r="I35" s="36" t="e">
        <f>+G35*#REF!</f>
        <v>#REF!</v>
      </c>
      <c r="J35" s="35" t="e">
        <f>+G35*#REF!</f>
        <v>#REF!</v>
      </c>
    </row>
    <row r="36" spans="1:11" s="31" customFormat="1" ht="14.25" x14ac:dyDescent="0.2">
      <c r="G36" s="36">
        <f t="shared" si="0"/>
        <v>0</v>
      </c>
      <c r="H36" s="36" t="e">
        <f>+G36*#REF!</f>
        <v>#REF!</v>
      </c>
      <c r="I36" s="36" t="e">
        <f>+G36*#REF!</f>
        <v>#REF!</v>
      </c>
      <c r="J36" s="35" t="e">
        <f>+G36*#REF!</f>
        <v>#REF!</v>
      </c>
      <c r="K36" s="37"/>
    </row>
    <row r="37" spans="1:11" s="31" customFormat="1" ht="14.25" x14ac:dyDescent="0.2">
      <c r="G37" s="36">
        <f t="shared" si="0"/>
        <v>0</v>
      </c>
      <c r="H37" s="36" t="e">
        <f>+G37*#REF!</f>
        <v>#REF!</v>
      </c>
      <c r="I37" s="36" t="e">
        <f>+G37*#REF!</f>
        <v>#REF!</v>
      </c>
      <c r="J37" s="35" t="e">
        <f>+G37*#REF!</f>
        <v>#REF!</v>
      </c>
    </row>
    <row r="38" spans="1:11" s="31" customFormat="1" ht="14.25" x14ac:dyDescent="0.2">
      <c r="G38" s="36">
        <f t="shared" si="0"/>
        <v>0</v>
      </c>
      <c r="H38" s="36" t="e">
        <f>+G38*#REF!</f>
        <v>#REF!</v>
      </c>
      <c r="I38" s="36" t="e">
        <f>+G38*#REF!</f>
        <v>#REF!</v>
      </c>
      <c r="J38" s="35" t="e">
        <f>+G38*#REF!</f>
        <v>#REF!</v>
      </c>
    </row>
    <row r="39" spans="1:11" s="31" customFormat="1" ht="14.25" x14ac:dyDescent="0.2">
      <c r="G39" s="38">
        <f t="shared" si="0"/>
        <v>0</v>
      </c>
      <c r="H39" s="38" t="e">
        <f>+G39*#REF!</f>
        <v>#REF!</v>
      </c>
      <c r="I39" s="38" t="e">
        <f>+G39*#REF!</f>
        <v>#REF!</v>
      </c>
      <c r="J39" s="35" t="e">
        <f>+G39*#REF!</f>
        <v>#REF!</v>
      </c>
      <c r="K39" s="39"/>
    </row>
    <row r="40" spans="1:11" s="31" customFormat="1" ht="14.25" x14ac:dyDescent="0.2">
      <c r="B40" s="31" t="s">
        <v>141</v>
      </c>
      <c r="G40" s="37">
        <f>SUM(G9:G39)</f>
        <v>0</v>
      </c>
      <c r="H40" s="37" t="e">
        <f>SUM(H9:H39)</f>
        <v>#REF!</v>
      </c>
      <c r="I40" s="37" t="e">
        <f>SUM(I9:I39)</f>
        <v>#REF!</v>
      </c>
      <c r="J40" s="37" t="e">
        <f>SUM(J9:J39)</f>
        <v>#REF!</v>
      </c>
      <c r="K40" s="37">
        <f>SUM(K9:K39)</f>
        <v>0</v>
      </c>
    </row>
    <row r="48" spans="1:11" x14ac:dyDescent="0.2">
      <c r="A48" t="s">
        <v>242</v>
      </c>
    </row>
    <row r="49" spans="1:1" x14ac:dyDescent="0.2">
      <c r="A49" t="s">
        <v>79</v>
      </c>
    </row>
    <row r="50" spans="1:1" x14ac:dyDescent="0.2">
      <c r="A50" t="s">
        <v>49</v>
      </c>
    </row>
  </sheetData>
  <phoneticPr fontId="0" type="noConversion"/>
  <printOptions horizontalCentered="1" gridLines="1"/>
  <pageMargins left="0.5" right="0.5" top="0.75" bottom="0.75" header="0.5" footer="0.5"/>
  <pageSetup scale="62"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7"/>
  <sheetViews>
    <sheetView workbookViewId="0">
      <selection activeCell="A3" sqref="A3:XFD3"/>
    </sheetView>
  </sheetViews>
  <sheetFormatPr defaultRowHeight="12.75" x14ac:dyDescent="0.2"/>
  <cols>
    <col min="1" max="1" width="53" customWidth="1"/>
    <col min="2" max="2" width="30" customWidth="1"/>
  </cols>
  <sheetData>
    <row r="1" spans="1:2" ht="18" x14ac:dyDescent="0.25">
      <c r="A1" s="115" t="s">
        <v>283</v>
      </c>
    </row>
    <row r="2" spans="1:2" ht="14.25" x14ac:dyDescent="0.2">
      <c r="A2" s="31" t="s">
        <v>286</v>
      </c>
    </row>
    <row r="3" spans="1:2" s="19" customFormat="1" ht="14.25" x14ac:dyDescent="0.2"/>
    <row r="4" spans="1:2" s="19" customFormat="1" ht="15" x14ac:dyDescent="0.25">
      <c r="A4" s="41" t="s">
        <v>31</v>
      </c>
      <c r="B4" s="42" t="s">
        <v>100</v>
      </c>
    </row>
    <row r="5" spans="1:2" s="19" customFormat="1" ht="21.95" customHeight="1" x14ac:dyDescent="0.2">
      <c r="A5" s="19" t="s">
        <v>101</v>
      </c>
      <c r="B5" s="43"/>
    </row>
    <row r="6" spans="1:2" s="19" customFormat="1" ht="21.95" customHeight="1" x14ac:dyDescent="0.2">
      <c r="A6" s="19" t="s">
        <v>102</v>
      </c>
      <c r="B6" s="43"/>
    </row>
    <row r="7" spans="1:2" s="19" customFormat="1" ht="21.95" customHeight="1" x14ac:dyDescent="0.2">
      <c r="A7" s="19" t="s">
        <v>103</v>
      </c>
      <c r="B7" s="43"/>
    </row>
    <row r="8" spans="1:2" s="19" customFormat="1" ht="21.95" customHeight="1" x14ac:dyDescent="0.2">
      <c r="A8" s="19" t="s">
        <v>237</v>
      </c>
      <c r="B8" s="43"/>
    </row>
    <row r="9" spans="1:2" s="19" customFormat="1" ht="21.95" customHeight="1" x14ac:dyDescent="0.2">
      <c r="A9" s="19" t="s">
        <v>104</v>
      </c>
      <c r="B9" s="43"/>
    </row>
    <row r="10" spans="1:2" s="19" customFormat="1" ht="21.95" customHeight="1" x14ac:dyDescent="0.2">
      <c r="A10" s="19" t="s">
        <v>105</v>
      </c>
      <c r="B10" s="43"/>
    </row>
    <row r="11" spans="1:2" s="19" customFormat="1" ht="21.95" customHeight="1" x14ac:dyDescent="0.2">
      <c r="A11" s="19" t="s">
        <v>231</v>
      </c>
      <c r="B11" s="43"/>
    </row>
    <row r="12" spans="1:2" s="19" customFormat="1" ht="21.95" customHeight="1" x14ac:dyDescent="0.2">
      <c r="A12" s="19" t="s">
        <v>107</v>
      </c>
      <c r="B12" s="43"/>
    </row>
    <row r="13" spans="1:2" s="19" customFormat="1" ht="21.95" customHeight="1" x14ac:dyDescent="0.2">
      <c r="A13" s="19" t="s">
        <v>108</v>
      </c>
      <c r="B13" s="43"/>
    </row>
    <row r="14" spans="1:2" s="19" customFormat="1" ht="21.95" customHeight="1" x14ac:dyDescent="0.2">
      <c r="B14" s="43"/>
    </row>
    <row r="15" spans="1:2" ht="21.95" customHeight="1" x14ac:dyDescent="0.2">
      <c r="A15" s="5" t="s">
        <v>109</v>
      </c>
      <c r="B15" s="4">
        <f>SUM(B5:B14)</f>
        <v>0</v>
      </c>
    </row>
    <row r="16" spans="1:2" x14ac:dyDescent="0.2">
      <c r="A16" t="s">
        <v>282</v>
      </c>
    </row>
    <row r="17" spans="1:1" x14ac:dyDescent="0.2">
      <c r="A17" t="s">
        <v>110</v>
      </c>
    </row>
  </sheetData>
  <phoneticPr fontId="0" type="noConversion"/>
  <printOptions horizontalCentered="1"/>
  <pageMargins left="0.75" right="0.75" top="1" bottom="1" header="0.5" footer="0.5"/>
  <pageSetup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43"/>
  <sheetViews>
    <sheetView zoomScaleNormal="100" workbookViewId="0">
      <selection activeCell="D7" sqref="D7"/>
    </sheetView>
  </sheetViews>
  <sheetFormatPr defaultRowHeight="12.75" x14ac:dyDescent="0.2"/>
  <cols>
    <col min="1" max="1" width="37.28515625" customWidth="1"/>
    <col min="2" max="2" width="15.140625" customWidth="1"/>
    <col min="3" max="3" width="10.85546875" customWidth="1"/>
    <col min="4" max="4" width="12.85546875" customWidth="1"/>
    <col min="5" max="5" width="11.7109375" customWidth="1"/>
    <col min="6" max="6" width="13.7109375" customWidth="1"/>
    <col min="7" max="7" width="12.7109375" customWidth="1"/>
    <col min="8" max="8" width="20.5703125" customWidth="1"/>
    <col min="10" max="10" width="14" customWidth="1"/>
  </cols>
  <sheetData>
    <row r="1" spans="1:10" ht="15.75" x14ac:dyDescent="0.25">
      <c r="A1" s="116" t="s">
        <v>86</v>
      </c>
    </row>
    <row r="2" spans="1:10" ht="15.75" x14ac:dyDescent="0.25">
      <c r="A2" s="116" t="s">
        <v>256</v>
      </c>
    </row>
    <row r="3" spans="1:10" ht="15.75" x14ac:dyDescent="0.25">
      <c r="A3" s="116"/>
      <c r="E3" s="113" t="s">
        <v>146</v>
      </c>
    </row>
    <row r="4" spans="1:10" ht="15.75" x14ac:dyDescent="0.25">
      <c r="A4" s="116"/>
      <c r="C4" s="113" t="s">
        <v>144</v>
      </c>
      <c r="E4" s="113" t="s">
        <v>245</v>
      </c>
      <c r="H4" s="113" t="s">
        <v>55</v>
      </c>
    </row>
    <row r="5" spans="1:10" s="31" customFormat="1" ht="28.5" x14ac:dyDescent="0.2">
      <c r="A5" s="34" t="s">
        <v>243</v>
      </c>
      <c r="B5" s="34" t="s">
        <v>143</v>
      </c>
      <c r="C5" s="34" t="s">
        <v>116</v>
      </c>
      <c r="D5" s="34" t="s">
        <v>145</v>
      </c>
      <c r="E5" s="34" t="s">
        <v>124</v>
      </c>
      <c r="F5" s="34" t="s">
        <v>115</v>
      </c>
      <c r="G5" s="34" t="s">
        <v>114</v>
      </c>
      <c r="H5" s="44" t="s">
        <v>162</v>
      </c>
    </row>
    <row r="6" spans="1:10" s="31" customFormat="1" ht="14.25" x14ac:dyDescent="0.2">
      <c r="B6" s="45"/>
      <c r="H6" s="35">
        <f>+' Revenues'!$D$23*'Lunch Prices &amp; Counts'!J6</f>
        <v>0</v>
      </c>
    </row>
    <row r="7" spans="1:10" s="31" customFormat="1" ht="14.25" x14ac:dyDescent="0.2">
      <c r="B7" s="45"/>
      <c r="C7" s="35"/>
      <c r="D7" s="35"/>
      <c r="E7" s="46"/>
      <c r="F7" s="46"/>
      <c r="G7" s="46"/>
      <c r="H7" s="35">
        <f>+' Revenues'!$D$23*'Lunch Prices &amp; Counts'!J7</f>
        <v>0</v>
      </c>
      <c r="J7" s="32"/>
    </row>
    <row r="8" spans="1:10" s="31" customFormat="1" ht="14.25" x14ac:dyDescent="0.2">
      <c r="B8" s="45"/>
      <c r="C8" s="35"/>
      <c r="D8" s="35"/>
      <c r="E8" s="46"/>
      <c r="F8" s="46"/>
      <c r="G8" s="46"/>
      <c r="H8" s="35">
        <f>+' Revenues'!$D$23*'Lunch Prices &amp; Counts'!J8</f>
        <v>0</v>
      </c>
      <c r="J8" s="32"/>
    </row>
    <row r="9" spans="1:10" s="31" customFormat="1" ht="14.25" x14ac:dyDescent="0.2">
      <c r="B9" s="45"/>
      <c r="C9" s="35"/>
      <c r="D9" s="35"/>
      <c r="E9" s="46"/>
      <c r="F9" s="46"/>
      <c r="G9" s="46"/>
      <c r="H9" s="35">
        <f>+' Revenues'!$D$23*'Lunch Prices &amp; Counts'!J9</f>
        <v>0</v>
      </c>
      <c r="J9" s="32"/>
    </row>
    <row r="10" spans="1:10" s="31" customFormat="1" ht="14.25" x14ac:dyDescent="0.2">
      <c r="B10" s="45"/>
      <c r="C10" s="35"/>
      <c r="D10" s="35"/>
      <c r="E10" s="46"/>
      <c r="F10" s="46"/>
      <c r="G10" s="46"/>
      <c r="H10" s="35">
        <f>+' Revenues'!$D$23*'Lunch Prices &amp; Counts'!J10</f>
        <v>0</v>
      </c>
      <c r="J10" s="32"/>
    </row>
    <row r="11" spans="1:10" s="31" customFormat="1" ht="14.25" x14ac:dyDescent="0.2">
      <c r="B11" s="45"/>
      <c r="C11" s="35"/>
      <c r="D11" s="35"/>
      <c r="E11" s="46"/>
      <c r="F11" s="46"/>
      <c r="G11" s="46"/>
      <c r="H11" s="35">
        <f>+' Revenues'!$D$23*'Lunch Prices &amp; Counts'!J11</f>
        <v>0</v>
      </c>
      <c r="J11" s="32"/>
    </row>
    <row r="12" spans="1:10" s="31" customFormat="1" ht="14.25" x14ac:dyDescent="0.2">
      <c r="B12" s="45"/>
      <c r="C12" s="35"/>
      <c r="D12" s="35"/>
      <c r="E12" s="46"/>
      <c r="F12" s="46"/>
      <c r="G12" s="46"/>
      <c r="H12" s="35">
        <f>+' Revenues'!$D$23*'Lunch Prices &amp; Counts'!J12</f>
        <v>0</v>
      </c>
      <c r="J12" s="32"/>
    </row>
    <row r="13" spans="1:10" s="31" customFormat="1" ht="14.25" x14ac:dyDescent="0.2">
      <c r="B13" s="45"/>
      <c r="C13" s="35"/>
      <c r="D13" s="35"/>
      <c r="E13" s="46"/>
      <c r="F13" s="46"/>
      <c r="G13" s="46"/>
      <c r="H13" s="35">
        <f>+' Revenues'!$D$23*'Lunch Prices &amp; Counts'!J13</f>
        <v>0</v>
      </c>
      <c r="J13" s="32"/>
    </row>
    <row r="14" spans="1:10" s="31" customFormat="1" ht="14.25" x14ac:dyDescent="0.2">
      <c r="B14" s="45"/>
      <c r="C14" s="35"/>
      <c r="D14" s="35"/>
      <c r="E14" s="46"/>
      <c r="F14" s="46"/>
      <c r="G14" s="46"/>
      <c r="H14" s="35">
        <f>+' Revenues'!$D$23*'Lunch Prices &amp; Counts'!J14</f>
        <v>0</v>
      </c>
      <c r="J14" s="32"/>
    </row>
    <row r="15" spans="1:10" s="31" customFormat="1" ht="14.25" x14ac:dyDescent="0.2">
      <c r="B15" s="45"/>
      <c r="C15" s="35"/>
      <c r="D15" s="35"/>
      <c r="E15" s="46"/>
      <c r="F15" s="46"/>
      <c r="G15" s="46"/>
      <c r="H15" s="35">
        <f>+' Revenues'!$D$23*'Lunch Prices &amp; Counts'!J15</f>
        <v>0</v>
      </c>
      <c r="J15" s="32"/>
    </row>
    <row r="16" spans="1:10" s="31" customFormat="1" ht="14.25" x14ac:dyDescent="0.2">
      <c r="B16" s="47"/>
      <c r="C16" s="36"/>
      <c r="D16" s="36"/>
      <c r="E16" s="48"/>
      <c r="F16" s="48"/>
      <c r="G16" s="48"/>
      <c r="H16" s="35">
        <f>+' Revenues'!$D$23*'Lunch Prices &amp; Counts'!J16</f>
        <v>0</v>
      </c>
      <c r="J16" s="49"/>
    </row>
    <row r="17" spans="1:10" s="31" customFormat="1" ht="14.25" x14ac:dyDescent="0.2">
      <c r="B17" s="47"/>
      <c r="C17" s="35"/>
      <c r="D17" s="35"/>
      <c r="E17" s="48"/>
      <c r="F17" s="48"/>
      <c r="G17" s="48"/>
      <c r="H17" s="35">
        <f>+' Revenues'!$D$23*'Lunch Prices &amp; Counts'!J17</f>
        <v>0</v>
      </c>
      <c r="J17" s="50"/>
    </row>
    <row r="18" spans="1:10" s="31" customFormat="1" ht="14.25" x14ac:dyDescent="0.2">
      <c r="B18" s="45"/>
      <c r="C18" s="35"/>
      <c r="D18" s="35"/>
      <c r="E18" s="46"/>
      <c r="F18" s="46"/>
      <c r="G18" s="46"/>
      <c r="H18" s="35">
        <f>+' Revenues'!$D$23*'Lunch Prices &amp; Counts'!J18</f>
        <v>0</v>
      </c>
    </row>
    <row r="19" spans="1:10" s="31" customFormat="1" ht="15" x14ac:dyDescent="0.25">
      <c r="A19" s="51"/>
      <c r="B19" s="45"/>
      <c r="C19" s="35"/>
      <c r="D19" s="35"/>
      <c r="E19" s="46"/>
      <c r="F19" s="46"/>
      <c r="G19" s="46"/>
      <c r="H19" s="35">
        <f>+' Revenues'!$D$23*'Lunch Prices &amp; Counts'!J19</f>
        <v>0</v>
      </c>
    </row>
    <row r="20" spans="1:10" s="31" customFormat="1" ht="14.25" x14ac:dyDescent="0.2">
      <c r="B20" s="45"/>
      <c r="C20" s="35"/>
      <c r="D20" s="35"/>
      <c r="E20" s="46"/>
      <c r="F20" s="46"/>
      <c r="G20" s="46"/>
      <c r="H20" s="35">
        <f>+' Revenues'!$D$23*'Lunch Prices &amp; Counts'!J20</f>
        <v>0</v>
      </c>
    </row>
    <row r="21" spans="1:10" s="31" customFormat="1" ht="14.25" x14ac:dyDescent="0.2">
      <c r="B21" s="45"/>
      <c r="C21" s="35"/>
      <c r="D21" s="35"/>
      <c r="E21" s="35"/>
      <c r="F21" s="35"/>
      <c r="G21" s="35"/>
      <c r="H21" s="35">
        <f>+' Revenues'!$D$23*'Lunch Prices &amp; Counts'!J21</f>
        <v>0</v>
      </c>
    </row>
    <row r="22" spans="1:10" s="31" customFormat="1" ht="14.25" x14ac:dyDescent="0.2">
      <c r="B22" s="45"/>
      <c r="C22" s="35"/>
      <c r="D22" s="35"/>
      <c r="E22" s="35"/>
      <c r="F22" s="35"/>
      <c r="G22" s="35"/>
      <c r="H22" s="35">
        <f>+' Revenues'!$D$23*'Lunch Prices &amp; Counts'!J22</f>
        <v>0</v>
      </c>
    </row>
    <row r="23" spans="1:10" s="31" customFormat="1" ht="14.25" x14ac:dyDescent="0.2">
      <c r="B23" s="45"/>
      <c r="H23" s="35">
        <f>+' Revenues'!$D$23*'Lunch Prices &amp; Counts'!J23</f>
        <v>0</v>
      </c>
    </row>
    <row r="24" spans="1:10" s="31" customFormat="1" ht="14.25" x14ac:dyDescent="0.2">
      <c r="B24" s="45"/>
      <c r="H24" s="35">
        <f>+' Revenues'!$D$23*'Lunch Prices &amp; Counts'!J24</f>
        <v>0</v>
      </c>
    </row>
    <row r="25" spans="1:10" s="31" customFormat="1" ht="14.25" x14ac:dyDescent="0.2">
      <c r="B25" s="45"/>
      <c r="H25" s="35">
        <f>+' Revenues'!$D$23*'Lunch Prices &amp; Counts'!J25</f>
        <v>0</v>
      </c>
    </row>
    <row r="26" spans="1:10" s="31" customFormat="1" ht="14.25" x14ac:dyDescent="0.2">
      <c r="B26" s="45"/>
      <c r="H26" s="35">
        <f>+' Revenues'!$D$23*'Lunch Prices &amp; Counts'!J26</f>
        <v>0</v>
      </c>
    </row>
    <row r="27" spans="1:10" s="31" customFormat="1" ht="14.25" x14ac:dyDescent="0.2">
      <c r="B27" s="45"/>
      <c r="H27" s="35">
        <f>+' Revenues'!$D$23*'Lunch Prices &amp; Counts'!J27</f>
        <v>0</v>
      </c>
    </row>
    <row r="28" spans="1:10" s="31" customFormat="1" ht="14.25" x14ac:dyDescent="0.2">
      <c r="B28" s="45"/>
      <c r="H28" s="35">
        <f>+' Revenues'!$D$23*'Lunch Prices &amp; Counts'!J28</f>
        <v>0</v>
      </c>
    </row>
    <row r="29" spans="1:10" s="31" customFormat="1" ht="14.25" x14ac:dyDescent="0.2">
      <c r="B29" s="45"/>
      <c r="H29" s="35">
        <f>+' Revenues'!$D$23*'Lunch Prices &amp; Counts'!J29</f>
        <v>0</v>
      </c>
    </row>
    <row r="30" spans="1:10" s="31" customFormat="1" ht="14.25" x14ac:dyDescent="0.2">
      <c r="B30" s="45"/>
      <c r="H30" s="35">
        <f>+' Revenues'!$D$23*'Lunch Prices &amp; Counts'!J30</f>
        <v>0</v>
      </c>
    </row>
    <row r="31" spans="1:10" s="31" customFormat="1" ht="14.25" x14ac:dyDescent="0.2">
      <c r="B31" s="52"/>
      <c r="E31" s="39"/>
      <c r="F31" s="39"/>
      <c r="G31" s="39"/>
      <c r="H31" s="38">
        <f>+' Revenues'!$D$23*'Lunch Prices &amp; Counts'!J31</f>
        <v>0</v>
      </c>
    </row>
    <row r="32" spans="1:10" s="31" customFormat="1" ht="14.25" x14ac:dyDescent="0.2">
      <c r="A32" s="31" t="s">
        <v>109</v>
      </c>
      <c r="B32" s="47">
        <f>SUM(B6:B31)</f>
        <v>0</v>
      </c>
      <c r="E32" s="48">
        <f>SUM(E6:E31)</f>
        <v>0</v>
      </c>
      <c r="F32" s="48">
        <f>SUM(F6:F31)</f>
        <v>0</v>
      </c>
      <c r="G32" s="48">
        <f>SUM(G6:G31)</f>
        <v>0</v>
      </c>
      <c r="H32" s="36">
        <f>SUM(H6:H31)</f>
        <v>0</v>
      </c>
      <c r="J32" s="50">
        <f>SUM(J6:J31)</f>
        <v>0</v>
      </c>
    </row>
    <row r="33" spans="1:7" s="31" customFormat="1" ht="14.25" x14ac:dyDescent="0.2">
      <c r="B33" s="45"/>
      <c r="G33" s="53"/>
    </row>
    <row r="34" spans="1:7" s="31" customFormat="1" ht="14.25" x14ac:dyDescent="0.2">
      <c r="B34" s="45"/>
    </row>
    <row r="35" spans="1:7" s="31" customFormat="1" ht="14.25" x14ac:dyDescent="0.2">
      <c r="A35" s="31" t="s">
        <v>246</v>
      </c>
      <c r="B35" s="45"/>
    </row>
    <row r="36" spans="1:7" s="31" customFormat="1" ht="14.25" x14ac:dyDescent="0.2">
      <c r="A36" s="31" t="s">
        <v>84</v>
      </c>
      <c r="B36" s="45"/>
    </row>
    <row r="37" spans="1:7" s="31" customFormat="1" ht="15" x14ac:dyDescent="0.25">
      <c r="A37" s="31" t="s">
        <v>32</v>
      </c>
      <c r="B37" s="45"/>
    </row>
    <row r="38" spans="1:7" s="31" customFormat="1" ht="14.25" x14ac:dyDescent="0.2">
      <c r="A38" s="31" t="s">
        <v>85</v>
      </c>
      <c r="B38" s="45"/>
    </row>
    <row r="39" spans="1:7" s="31" customFormat="1" ht="14.25" x14ac:dyDescent="0.2">
      <c r="B39" s="45"/>
    </row>
    <row r="40" spans="1:7" s="31" customFormat="1" ht="14.25" x14ac:dyDescent="0.2">
      <c r="B40" s="45"/>
    </row>
    <row r="41" spans="1:7" s="31" customFormat="1" ht="14.25" x14ac:dyDescent="0.2">
      <c r="B41" s="45"/>
    </row>
    <row r="42" spans="1:7" s="31" customFormat="1" ht="14.25" x14ac:dyDescent="0.2"/>
    <row r="43" spans="1:7" s="31" customFormat="1" ht="14.25" x14ac:dyDescent="0.2"/>
  </sheetData>
  <phoneticPr fontId="0" type="noConversion"/>
  <printOptions horizontalCentered="1" gridLines="1"/>
  <pageMargins left="0.44" right="0.75" top="1.08" bottom="1" header="0.5" footer="0.5"/>
  <pageSetup scale="87"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8"/>
  <sheetViews>
    <sheetView zoomScaleNormal="100" workbookViewId="0">
      <selection activeCell="A5" sqref="A5:XFD5"/>
    </sheetView>
  </sheetViews>
  <sheetFormatPr defaultRowHeight="12.75" x14ac:dyDescent="0.2"/>
  <cols>
    <col min="1" max="1" width="43.85546875" customWidth="1"/>
    <col min="2" max="2" width="12.85546875" customWidth="1"/>
    <col min="4" max="4" width="11.85546875" customWidth="1"/>
    <col min="5" max="5" width="11" customWidth="1"/>
    <col min="6" max="6" width="10.7109375" customWidth="1"/>
    <col min="7" max="7" width="10.140625" customWidth="1"/>
    <col min="8" max="8" width="19.7109375" customWidth="1"/>
  </cols>
  <sheetData>
    <row r="1" spans="1:8" ht="15.75" x14ac:dyDescent="0.25">
      <c r="A1" s="116" t="s">
        <v>87</v>
      </c>
    </row>
    <row r="2" spans="1:8" ht="15.75" x14ac:dyDescent="0.25">
      <c r="A2" s="116" t="s">
        <v>142</v>
      </c>
    </row>
    <row r="3" spans="1:8" ht="15.75" x14ac:dyDescent="0.25">
      <c r="A3" s="116"/>
      <c r="F3" s="31" t="s">
        <v>146</v>
      </c>
    </row>
    <row r="4" spans="1:8" ht="15.75" x14ac:dyDescent="0.25">
      <c r="A4" s="116"/>
      <c r="C4" s="31" t="s">
        <v>144</v>
      </c>
      <c r="E4" s="31" t="s">
        <v>245</v>
      </c>
      <c r="F4" s="31"/>
    </row>
    <row r="5" spans="1:8" s="31" customFormat="1" ht="28.5" x14ac:dyDescent="0.2">
      <c r="A5" s="34" t="s">
        <v>244</v>
      </c>
      <c r="B5" s="34" t="s">
        <v>143</v>
      </c>
      <c r="C5" s="34" t="s">
        <v>116</v>
      </c>
      <c r="D5" s="34" t="s">
        <v>145</v>
      </c>
      <c r="E5" s="34" t="s">
        <v>124</v>
      </c>
      <c r="F5" s="34" t="s">
        <v>115</v>
      </c>
      <c r="G5" s="34" t="s">
        <v>114</v>
      </c>
      <c r="H5" s="44" t="s">
        <v>247</v>
      </c>
    </row>
    <row r="6" spans="1:8" s="31" customFormat="1" ht="14.25" x14ac:dyDescent="0.2">
      <c r="B6" s="45"/>
      <c r="H6" s="35">
        <f>+' Revenues'!$D$23*'Lunch Prices &amp; Counts'!J6</f>
        <v>0</v>
      </c>
    </row>
    <row r="7" spans="1:8" s="31" customFormat="1" ht="14.25" x14ac:dyDescent="0.2">
      <c r="B7" s="45"/>
      <c r="C7" s="35"/>
      <c r="D7" s="35"/>
      <c r="E7" s="45"/>
      <c r="F7" s="45"/>
      <c r="G7" s="45"/>
      <c r="H7" s="35">
        <f>+' Revenues'!$D$23*'Lunch Prices &amp; Counts'!J7</f>
        <v>0</v>
      </c>
    </row>
    <row r="8" spans="1:8" s="31" customFormat="1" ht="14.25" x14ac:dyDescent="0.2">
      <c r="B8" s="45"/>
      <c r="C8" s="35"/>
      <c r="D8" s="35"/>
      <c r="E8" s="46"/>
      <c r="F8" s="46"/>
      <c r="G8" s="46"/>
      <c r="H8" s="35">
        <f>+' Revenues'!$D$23*'Lunch Prices &amp; Counts'!J8</f>
        <v>0</v>
      </c>
    </row>
    <row r="9" spans="1:8" s="31" customFormat="1" ht="14.25" x14ac:dyDescent="0.2">
      <c r="B9" s="45"/>
      <c r="C9" s="35"/>
      <c r="D9" s="35"/>
      <c r="E9" s="46"/>
      <c r="F9" s="46"/>
      <c r="G9" s="46"/>
      <c r="H9" s="35">
        <f>+' Revenues'!$D$23*'Lunch Prices &amp; Counts'!J9</f>
        <v>0</v>
      </c>
    </row>
    <row r="10" spans="1:8" s="31" customFormat="1" ht="14.25" x14ac:dyDescent="0.2">
      <c r="B10" s="45"/>
      <c r="C10" s="35"/>
      <c r="D10" s="35"/>
      <c r="E10" s="46"/>
      <c r="F10" s="46"/>
      <c r="G10" s="46"/>
      <c r="H10" s="35">
        <f>+' Revenues'!$D$23*'Lunch Prices &amp; Counts'!J10</f>
        <v>0</v>
      </c>
    </row>
    <row r="11" spans="1:8" s="31" customFormat="1" ht="14.25" x14ac:dyDescent="0.2">
      <c r="B11" s="47"/>
      <c r="C11" s="36"/>
      <c r="D11" s="36"/>
      <c r="E11" s="48"/>
      <c r="F11" s="48"/>
      <c r="G11" s="48"/>
      <c r="H11" s="35">
        <f>+' Revenues'!$D$23*'Lunch Prices &amp; Counts'!J11</f>
        <v>0</v>
      </c>
    </row>
    <row r="12" spans="1:8" s="31" customFormat="1" ht="14.25" x14ac:dyDescent="0.2">
      <c r="B12" s="47"/>
      <c r="C12" s="35"/>
      <c r="D12" s="35"/>
      <c r="E12" s="48"/>
      <c r="F12" s="48"/>
      <c r="G12" s="48"/>
      <c r="H12" s="35">
        <f>+' Revenues'!$D$23*'Lunch Prices &amp; Counts'!J12</f>
        <v>0</v>
      </c>
    </row>
    <row r="13" spans="1:8" s="31" customFormat="1" ht="14.25" x14ac:dyDescent="0.2">
      <c r="H13" s="35">
        <f>+' Revenues'!$D$23*'Lunch Prices &amp; Counts'!J13</f>
        <v>0</v>
      </c>
    </row>
    <row r="14" spans="1:8" s="31" customFormat="1" ht="14.25" x14ac:dyDescent="0.2">
      <c r="H14" s="35">
        <f>+' Revenues'!$D$23*'Lunch Prices &amp; Counts'!J14</f>
        <v>0</v>
      </c>
    </row>
    <row r="15" spans="1:8" s="31" customFormat="1" ht="14.25" x14ac:dyDescent="0.2">
      <c r="H15" s="35">
        <f>+' Revenues'!$D$23*'Lunch Prices &amp; Counts'!J15</f>
        <v>0</v>
      </c>
    </row>
    <row r="16" spans="1:8" s="31" customFormat="1" ht="14.25" x14ac:dyDescent="0.2">
      <c r="H16" s="35">
        <f>+' Revenues'!$D$23*'Lunch Prices &amp; Counts'!J16</f>
        <v>0</v>
      </c>
    </row>
    <row r="17" spans="1:8" s="31" customFormat="1" ht="14.25" x14ac:dyDescent="0.2">
      <c r="H17" s="35">
        <f>+' Revenues'!$D$23*'Lunch Prices &amp; Counts'!J17</f>
        <v>0</v>
      </c>
    </row>
    <row r="18" spans="1:8" s="31" customFormat="1" ht="14.25" x14ac:dyDescent="0.2">
      <c r="H18" s="35">
        <f>+' Revenues'!$D$23*'Lunch Prices &amp; Counts'!J18</f>
        <v>0</v>
      </c>
    </row>
    <row r="19" spans="1:8" s="31" customFormat="1" ht="14.25" x14ac:dyDescent="0.2">
      <c r="H19" s="35">
        <f>+' Revenues'!$D$23*'Lunch Prices &amp; Counts'!J19</f>
        <v>0</v>
      </c>
    </row>
    <row r="20" spans="1:8" s="31" customFormat="1" ht="14.25" x14ac:dyDescent="0.2">
      <c r="H20" s="35">
        <f>+' Revenues'!$D$23*'Lunch Prices &amp; Counts'!J20</f>
        <v>0</v>
      </c>
    </row>
    <row r="21" spans="1:8" s="31" customFormat="1" ht="14.25" x14ac:dyDescent="0.2">
      <c r="H21" s="35">
        <f>+' Revenues'!$D$23*'Lunch Prices &amp; Counts'!J21</f>
        <v>0</v>
      </c>
    </row>
    <row r="22" spans="1:8" s="31" customFormat="1" ht="14.25" x14ac:dyDescent="0.2">
      <c r="H22" s="35">
        <f>+' Revenues'!$D$23*'Lunch Prices &amp; Counts'!J22</f>
        <v>0</v>
      </c>
    </row>
    <row r="23" spans="1:8" s="31" customFormat="1" ht="14.25" x14ac:dyDescent="0.2">
      <c r="H23" s="35">
        <f>+' Revenues'!$D$23*'Lunch Prices &amp; Counts'!J23</f>
        <v>0</v>
      </c>
    </row>
    <row r="24" spans="1:8" s="31" customFormat="1" ht="14.25" x14ac:dyDescent="0.2">
      <c r="H24" s="35">
        <f>+' Revenues'!$D$23*'Lunch Prices &amp; Counts'!J24</f>
        <v>0</v>
      </c>
    </row>
    <row r="25" spans="1:8" s="31" customFormat="1" ht="14.25" x14ac:dyDescent="0.2">
      <c r="H25" s="35">
        <f>+' Revenues'!$D$23*'Lunch Prices &amp; Counts'!J25</f>
        <v>0</v>
      </c>
    </row>
    <row r="26" spans="1:8" s="31" customFormat="1" ht="14.25" x14ac:dyDescent="0.2">
      <c r="H26" s="35">
        <f>+' Revenues'!$D$23*'Lunch Prices &amp; Counts'!J26</f>
        <v>0</v>
      </c>
    </row>
    <row r="27" spans="1:8" s="31" customFormat="1" ht="14.25" x14ac:dyDescent="0.2">
      <c r="H27" s="35">
        <f>+' Revenues'!$D$23*'Lunch Prices &amp; Counts'!J27</f>
        <v>0</v>
      </c>
    </row>
    <row r="28" spans="1:8" s="31" customFormat="1" ht="14.25" x14ac:dyDescent="0.2">
      <c r="H28" s="35">
        <f>+' Revenues'!$D$23*'Lunch Prices &amp; Counts'!J28</f>
        <v>0</v>
      </c>
    </row>
    <row r="29" spans="1:8" s="31" customFormat="1" ht="14.25" x14ac:dyDescent="0.2">
      <c r="H29" s="35">
        <f>+' Revenues'!$D$23*'Lunch Prices &amp; Counts'!J29</f>
        <v>0</v>
      </c>
    </row>
    <row r="30" spans="1:8" s="31" customFormat="1" ht="14.25" x14ac:dyDescent="0.2">
      <c r="H30" s="35">
        <f>+' Revenues'!$D$23*'Lunch Prices &amp; Counts'!J30</f>
        <v>0</v>
      </c>
    </row>
    <row r="31" spans="1:8" s="31" customFormat="1" ht="14.25" x14ac:dyDescent="0.2">
      <c r="B31" s="39"/>
      <c r="H31" s="35">
        <f>+' Revenues'!$D$23*'Lunch Prices &amp; Counts'!J31</f>
        <v>0</v>
      </c>
    </row>
    <row r="32" spans="1:8" s="31" customFormat="1" ht="14.25" x14ac:dyDescent="0.2">
      <c r="A32" s="31" t="s">
        <v>109</v>
      </c>
      <c r="B32" s="54">
        <f>SUM(B6:B31)</f>
        <v>0</v>
      </c>
      <c r="E32" s="55">
        <f>SUM(E6:E31)</f>
        <v>0</v>
      </c>
      <c r="F32" s="55">
        <f>SUM(F6:F31)</f>
        <v>0</v>
      </c>
      <c r="G32" s="55">
        <f>SUM(G6:G31)</f>
        <v>0</v>
      </c>
      <c r="H32" s="56">
        <f>SUM(H6:H31)</f>
        <v>0</v>
      </c>
    </row>
    <row r="33" spans="1:2" s="31" customFormat="1" ht="14.25" x14ac:dyDescent="0.2">
      <c r="A33" s="31" t="s">
        <v>246</v>
      </c>
      <c r="B33" s="45"/>
    </row>
    <row r="34" spans="1:2" s="31" customFormat="1" ht="14.25" x14ac:dyDescent="0.2">
      <c r="A34" s="31" t="s">
        <v>88</v>
      </c>
      <c r="B34" s="45"/>
    </row>
    <row r="35" spans="1:2" s="31" customFormat="1" ht="15" x14ac:dyDescent="0.25">
      <c r="A35" s="31" t="s">
        <v>37</v>
      </c>
      <c r="B35" s="45"/>
    </row>
    <row r="36" spans="1:2" s="31" customFormat="1" ht="14.25" x14ac:dyDescent="0.2">
      <c r="A36" s="31" t="s">
        <v>92</v>
      </c>
      <c r="B36" s="45"/>
    </row>
    <row r="37" spans="1:2" x14ac:dyDescent="0.2">
      <c r="B37" s="9"/>
    </row>
    <row r="38" spans="1:2" x14ac:dyDescent="0.2">
      <c r="B38" s="10"/>
    </row>
  </sheetData>
  <phoneticPr fontId="0" type="noConversion"/>
  <printOptions horizontalCentered="1" gridLines="1"/>
  <pageMargins left="0.75" right="0.75" top="1" bottom="0.5" header="0.5" footer="0.5"/>
  <pageSetup scale="89"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56"/>
  <sheetViews>
    <sheetView zoomScaleNormal="100" workbookViewId="0">
      <selection activeCell="C10" sqref="C10"/>
    </sheetView>
  </sheetViews>
  <sheetFormatPr defaultRowHeight="12.75" x14ac:dyDescent="0.2"/>
  <cols>
    <col min="1" max="1" width="24.85546875" customWidth="1"/>
    <col min="2" max="2" width="19.28515625" customWidth="1"/>
    <col min="3" max="3" width="31.42578125" bestFit="1" customWidth="1"/>
    <col min="4" max="4" width="20.42578125" customWidth="1"/>
    <col min="6" max="6" width="12.28515625" bestFit="1" customWidth="1"/>
  </cols>
  <sheetData>
    <row r="1" spans="1:4" ht="15.75" x14ac:dyDescent="0.25">
      <c r="A1" s="116" t="s">
        <v>284</v>
      </c>
    </row>
    <row r="3" spans="1:4" ht="15" x14ac:dyDescent="0.25">
      <c r="A3" s="31" t="s">
        <v>287</v>
      </c>
    </row>
    <row r="5" spans="1:4" ht="15" x14ac:dyDescent="0.25">
      <c r="B5" s="51" t="s">
        <v>111</v>
      </c>
    </row>
    <row r="6" spans="1:4" s="31" customFormat="1" ht="15" x14ac:dyDescent="0.25">
      <c r="D6" s="12"/>
    </row>
    <row r="7" spans="1:4" s="31" customFormat="1" ht="15" x14ac:dyDescent="0.25">
      <c r="A7" s="51" t="s">
        <v>112</v>
      </c>
      <c r="B7" s="34" t="s">
        <v>113</v>
      </c>
      <c r="C7" s="34" t="s">
        <v>156</v>
      </c>
    </row>
    <row r="8" spans="1:4" s="31" customFormat="1" ht="14.25" x14ac:dyDescent="0.2">
      <c r="A8" s="57" t="s">
        <v>118</v>
      </c>
      <c r="B8" s="58"/>
      <c r="C8" s="59"/>
      <c r="D8" s="60">
        <f>+B8*C8</f>
        <v>0</v>
      </c>
    </row>
    <row r="9" spans="1:4" s="31" customFormat="1" ht="14.25" x14ac:dyDescent="0.2">
      <c r="A9" s="57" t="s">
        <v>119</v>
      </c>
      <c r="B9" s="58"/>
      <c r="C9" s="59"/>
      <c r="D9" s="60">
        <f>+B9*C9</f>
        <v>0</v>
      </c>
    </row>
    <row r="10" spans="1:4" s="31" customFormat="1" ht="14.25" x14ac:dyDescent="0.2">
      <c r="A10" s="57" t="s">
        <v>115</v>
      </c>
      <c r="B10" s="58"/>
      <c r="C10" s="35"/>
      <c r="D10" s="60">
        <f>+B10*C10</f>
        <v>0</v>
      </c>
    </row>
    <row r="11" spans="1:4" s="31" customFormat="1" ht="14.25" x14ac:dyDescent="0.2">
      <c r="A11" s="57" t="s">
        <v>116</v>
      </c>
      <c r="B11" s="58"/>
      <c r="C11" s="35"/>
      <c r="D11" s="60">
        <f>+B11*C11</f>
        <v>0</v>
      </c>
    </row>
    <row r="12" spans="1:4" s="31" customFormat="1" ht="15" x14ac:dyDescent="0.25">
      <c r="B12" s="45"/>
      <c r="C12" s="61" t="s">
        <v>163</v>
      </c>
      <c r="D12" s="62">
        <f>SUM(D8:D11)</f>
        <v>0</v>
      </c>
    </row>
    <row r="13" spans="1:4" s="31" customFormat="1" ht="14.25" x14ac:dyDescent="0.2">
      <c r="B13" s="45"/>
    </row>
    <row r="14" spans="1:4" s="31" customFormat="1" ht="15" x14ac:dyDescent="0.25">
      <c r="A14" s="51" t="s">
        <v>117</v>
      </c>
      <c r="B14" s="45"/>
    </row>
    <row r="15" spans="1:4" s="31" customFormat="1" ht="14.25" x14ac:dyDescent="0.2">
      <c r="A15" s="57" t="s">
        <v>118</v>
      </c>
      <c r="B15" s="52"/>
      <c r="C15" s="35"/>
      <c r="D15" s="60">
        <f>+B15*C15</f>
        <v>0</v>
      </c>
    </row>
    <row r="16" spans="1:4" s="31" customFormat="1" ht="14.25" x14ac:dyDescent="0.2">
      <c r="A16" s="57" t="s">
        <v>119</v>
      </c>
      <c r="B16" s="58"/>
      <c r="C16" s="35"/>
      <c r="D16" s="60">
        <f>+B16*C16</f>
        <v>0</v>
      </c>
    </row>
    <row r="17" spans="1:6" s="31" customFormat="1" ht="14.25" x14ac:dyDescent="0.2">
      <c r="A17" s="57" t="s">
        <v>115</v>
      </c>
      <c r="B17" s="58"/>
      <c r="C17" s="35"/>
      <c r="D17" s="60">
        <f>+B17*C17</f>
        <v>0</v>
      </c>
    </row>
    <row r="18" spans="1:6" s="31" customFormat="1" ht="14.25" x14ac:dyDescent="0.2">
      <c r="A18" s="57" t="s">
        <v>116</v>
      </c>
      <c r="B18" s="58"/>
      <c r="C18" s="35"/>
      <c r="D18" s="60">
        <f>+B18*C18</f>
        <v>0</v>
      </c>
    </row>
    <row r="19" spans="1:6" s="31" customFormat="1" ht="15" x14ac:dyDescent="0.25">
      <c r="C19" s="61" t="s">
        <v>164</v>
      </c>
      <c r="D19" s="62">
        <f>SUM(D15:D18)</f>
        <v>0</v>
      </c>
    </row>
    <row r="20" spans="1:6" s="31" customFormat="1" ht="14.25" x14ac:dyDescent="0.2"/>
    <row r="21" spans="1:6" s="31" customFormat="1" ht="15" x14ac:dyDescent="0.25">
      <c r="A21" s="51" t="s">
        <v>274</v>
      </c>
      <c r="B21" s="53"/>
      <c r="C21" s="61" t="s">
        <v>275</v>
      </c>
      <c r="D21" s="63">
        <v>0</v>
      </c>
    </row>
    <row r="22" spans="1:6" s="31" customFormat="1" ht="14.25" x14ac:dyDescent="0.2"/>
    <row r="23" spans="1:6" s="31" customFormat="1" ht="14.25" x14ac:dyDescent="0.2">
      <c r="A23" s="57" t="s">
        <v>120</v>
      </c>
      <c r="C23" s="64" t="s">
        <v>121</v>
      </c>
      <c r="D23" s="63"/>
      <c r="F23" s="65">
        <f>SUM(D23:D23)+D11+D18</f>
        <v>0</v>
      </c>
    </row>
    <row r="24" spans="1:6" s="31" customFormat="1" ht="14.25" x14ac:dyDescent="0.2">
      <c r="A24" s="57" t="s">
        <v>272</v>
      </c>
      <c r="C24" s="64" t="s">
        <v>121</v>
      </c>
      <c r="D24" s="63">
        <v>0</v>
      </c>
    </row>
    <row r="25" spans="1:6" s="31" customFormat="1" ht="14.25" x14ac:dyDescent="0.2"/>
    <row r="26" spans="1:6" s="31" customFormat="1" ht="15" x14ac:dyDescent="0.25">
      <c r="C26" s="61" t="s">
        <v>122</v>
      </c>
      <c r="D26" s="66" t="e">
        <f>+D12+D19+D21+D23+#REF!+#REF!+D24+#REF!</f>
        <v>#REF!</v>
      </c>
      <c r="F26" s="60"/>
    </row>
    <row r="27" spans="1:6" s="31" customFormat="1" ht="14.25" x14ac:dyDescent="0.2"/>
    <row r="28" spans="1:6" s="31" customFormat="1" ht="14.25" x14ac:dyDescent="0.2">
      <c r="A28" s="57" t="s">
        <v>123</v>
      </c>
    </row>
    <row r="29" spans="1:6" s="31" customFormat="1" ht="14.25" x14ac:dyDescent="0.2"/>
    <row r="30" spans="1:6" s="31" customFormat="1" ht="15" x14ac:dyDescent="0.25">
      <c r="B30" s="51" t="s">
        <v>258</v>
      </c>
    </row>
    <row r="31" spans="1:6" s="31" customFormat="1" ht="28.5" x14ac:dyDescent="0.2">
      <c r="B31" s="34" t="s">
        <v>113</v>
      </c>
      <c r="C31" s="67" t="s">
        <v>273</v>
      </c>
    </row>
    <row r="32" spans="1:6" s="31" customFormat="1" ht="14.25" x14ac:dyDescent="0.2">
      <c r="A32" s="31" t="s">
        <v>112</v>
      </c>
    </row>
    <row r="33" spans="1:9" s="31" customFormat="1" ht="14.25" x14ac:dyDescent="0.2">
      <c r="A33" s="68" t="s">
        <v>124</v>
      </c>
      <c r="B33" s="52"/>
      <c r="C33" s="69"/>
      <c r="D33" s="65">
        <f>+B33*C33</f>
        <v>0</v>
      </c>
      <c r="F33" s="65">
        <f>SUM(D33:D37)</f>
        <v>0</v>
      </c>
      <c r="G33" s="70">
        <f>SUM(B33:B37)</f>
        <v>0</v>
      </c>
    </row>
    <row r="34" spans="1:9" s="31" customFormat="1" ht="14.25" x14ac:dyDescent="0.2">
      <c r="A34" s="68" t="s">
        <v>125</v>
      </c>
      <c r="B34" s="58"/>
      <c r="C34" s="69"/>
      <c r="D34" s="65">
        <f>+B34*C34</f>
        <v>0</v>
      </c>
      <c r="I34" s="71"/>
    </row>
    <row r="35" spans="1:9" s="31" customFormat="1" ht="14.25" x14ac:dyDescent="0.2">
      <c r="A35" s="68" t="s">
        <v>115</v>
      </c>
      <c r="B35" s="58"/>
      <c r="C35" s="69"/>
      <c r="D35" s="65">
        <f>+B35*C35</f>
        <v>0</v>
      </c>
    </row>
    <row r="36" spans="1:9" s="31" customFormat="1" ht="14.25" x14ac:dyDescent="0.2">
      <c r="A36" s="68" t="s">
        <v>126</v>
      </c>
      <c r="B36" s="58"/>
      <c r="C36" s="69"/>
      <c r="D36" s="65">
        <f>+B36*C36</f>
        <v>0</v>
      </c>
    </row>
    <row r="37" spans="1:9" s="31" customFormat="1" ht="14.25" x14ac:dyDescent="0.2">
      <c r="A37" s="68" t="s">
        <v>114</v>
      </c>
      <c r="B37" s="58"/>
      <c r="C37" s="69"/>
      <c r="D37" s="65">
        <f>+B37*C37</f>
        <v>0</v>
      </c>
    </row>
    <row r="38" spans="1:9" s="31" customFormat="1" ht="14.25" x14ac:dyDescent="0.2">
      <c r="B38" s="45"/>
      <c r="C38" s="72"/>
    </row>
    <row r="39" spans="1:9" s="31" customFormat="1" ht="14.25" x14ac:dyDescent="0.2">
      <c r="A39" s="31" t="s">
        <v>117</v>
      </c>
      <c r="B39" s="45"/>
      <c r="C39" s="72"/>
    </row>
    <row r="40" spans="1:9" s="31" customFormat="1" ht="14.25" x14ac:dyDescent="0.2">
      <c r="A40" s="68" t="s">
        <v>124</v>
      </c>
      <c r="B40" s="52"/>
      <c r="C40" s="69"/>
      <c r="D40" s="65">
        <f t="shared" ref="D40:D45" si="0">+B40*C40</f>
        <v>0</v>
      </c>
      <c r="F40" s="65">
        <f>SUM(D40:D45)</f>
        <v>0</v>
      </c>
      <c r="G40" s="70">
        <f>SUM(B40:B45)</f>
        <v>0</v>
      </c>
    </row>
    <row r="41" spans="1:9" s="31" customFormat="1" ht="14.25" x14ac:dyDescent="0.2">
      <c r="A41" s="68" t="s">
        <v>125</v>
      </c>
      <c r="B41" s="52"/>
      <c r="C41" s="69"/>
      <c r="D41" s="65">
        <f t="shared" si="0"/>
        <v>0</v>
      </c>
      <c r="F41" s="65"/>
    </row>
    <row r="42" spans="1:9" s="31" customFormat="1" ht="14.25" x14ac:dyDescent="0.2">
      <c r="A42" s="68" t="s">
        <v>115</v>
      </c>
      <c r="B42" s="58"/>
      <c r="C42" s="69"/>
      <c r="D42" s="65">
        <f t="shared" si="0"/>
        <v>0</v>
      </c>
    </row>
    <row r="43" spans="1:9" s="31" customFormat="1" ht="14.25" x14ac:dyDescent="0.2">
      <c r="A43" s="68" t="s">
        <v>126</v>
      </c>
      <c r="B43" s="58"/>
      <c r="C43" s="69"/>
      <c r="D43" s="65">
        <f t="shared" si="0"/>
        <v>0</v>
      </c>
    </row>
    <row r="44" spans="1:9" s="31" customFormat="1" ht="14.25" x14ac:dyDescent="0.2">
      <c r="A44" s="68" t="s">
        <v>114</v>
      </c>
      <c r="B44" s="58"/>
      <c r="C44" s="69"/>
      <c r="D44" s="65">
        <f t="shared" si="0"/>
        <v>0</v>
      </c>
    </row>
    <row r="45" spans="1:9" s="31" customFormat="1" ht="14.25" x14ac:dyDescent="0.2">
      <c r="A45" s="68" t="s">
        <v>230</v>
      </c>
      <c r="B45" s="58"/>
      <c r="C45" s="73"/>
      <c r="D45" s="65">
        <f t="shared" si="0"/>
        <v>0</v>
      </c>
    </row>
    <row r="46" spans="1:9" s="31" customFormat="1" ht="14.25" x14ac:dyDescent="0.2">
      <c r="B46" s="45"/>
      <c r="C46" s="74"/>
    </row>
    <row r="47" spans="1:9" s="31" customFormat="1" ht="15" x14ac:dyDescent="0.25">
      <c r="B47" s="45"/>
      <c r="C47" s="75" t="s">
        <v>127</v>
      </c>
      <c r="D47" s="76">
        <f>SUM(D33:D45)</f>
        <v>0</v>
      </c>
    </row>
    <row r="48" spans="1:9" s="31" customFormat="1" ht="14.25" x14ac:dyDescent="0.2">
      <c r="B48" s="45"/>
      <c r="C48" s="74"/>
    </row>
    <row r="49" spans="1:4" s="31" customFormat="1" ht="15" x14ac:dyDescent="0.25">
      <c r="C49" s="61" t="s">
        <v>276</v>
      </c>
      <c r="D49" s="76" t="e">
        <f>+#REF!+#REF!</f>
        <v>#REF!</v>
      </c>
    </row>
    <row r="50" spans="1:4" s="31" customFormat="1" ht="14.25" x14ac:dyDescent="0.2"/>
    <row r="51" spans="1:4" s="31" customFormat="1" ht="15" x14ac:dyDescent="0.25">
      <c r="C51" s="61" t="s">
        <v>128</v>
      </c>
      <c r="D51" s="76">
        <f>SUM(D50:D50)</f>
        <v>0</v>
      </c>
    </row>
    <row r="52" spans="1:4" s="31" customFormat="1" ht="14.25" x14ac:dyDescent="0.2"/>
    <row r="53" spans="1:4" s="31" customFormat="1" ht="14.25" x14ac:dyDescent="0.2">
      <c r="A53" s="31" t="s">
        <v>241</v>
      </c>
      <c r="D53" s="65"/>
    </row>
    <row r="54" spans="1:4" s="31" customFormat="1" ht="14.25" x14ac:dyDescent="0.2">
      <c r="A54" s="31" t="s">
        <v>93</v>
      </c>
    </row>
    <row r="55" spans="1:4" s="31" customFormat="1" ht="15" x14ac:dyDescent="0.25">
      <c r="A55" s="31" t="s">
        <v>33</v>
      </c>
    </row>
    <row r="56" spans="1:4" s="31" customFormat="1" ht="14.25" x14ac:dyDescent="0.2">
      <c r="A56" s="31" t="s">
        <v>94</v>
      </c>
    </row>
  </sheetData>
  <phoneticPr fontId="0" type="noConversion"/>
  <printOptions horizontalCentered="1"/>
  <pageMargins left="0.35" right="0.28000000000000003" top="0.6" bottom="0.56999999999999995" header="0.5" footer="0.3"/>
  <pageSetup scale="76"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1"/>
  <sheetViews>
    <sheetView zoomScaleNormal="100" workbookViewId="0">
      <selection activeCell="G5" sqref="G5"/>
    </sheetView>
  </sheetViews>
  <sheetFormatPr defaultRowHeight="12.75" x14ac:dyDescent="0.2"/>
  <cols>
    <col min="1" max="1" width="36" customWidth="1"/>
    <col min="2" max="4" width="15.7109375" customWidth="1"/>
  </cols>
  <sheetData>
    <row r="1" spans="1:6" ht="15" x14ac:dyDescent="0.25">
      <c r="A1" s="51" t="s">
        <v>89</v>
      </c>
    </row>
    <row r="2" spans="1:6" s="31" customFormat="1" ht="14.25" x14ac:dyDescent="0.2"/>
    <row r="3" spans="1:6" s="31" customFormat="1" ht="14.25" x14ac:dyDescent="0.2"/>
    <row r="4" spans="1:6" s="31" customFormat="1" ht="21" customHeight="1" x14ac:dyDescent="0.2">
      <c r="A4" s="77" t="s">
        <v>129</v>
      </c>
      <c r="B4" s="78"/>
    </row>
    <row r="5" spans="1:6" s="31" customFormat="1" ht="21" customHeight="1" x14ac:dyDescent="0.2">
      <c r="A5" s="79" t="s">
        <v>130</v>
      </c>
      <c r="B5" s="78"/>
    </row>
    <row r="6" spans="1:6" s="31" customFormat="1" ht="21" customHeight="1" x14ac:dyDescent="0.2">
      <c r="A6" s="77" t="s">
        <v>109</v>
      </c>
      <c r="B6" s="80"/>
    </row>
    <row r="7" spans="1:6" s="31" customFormat="1" ht="21" customHeight="1" x14ac:dyDescent="0.2">
      <c r="A7" s="81"/>
      <c r="B7" s="82" t="s">
        <v>271</v>
      </c>
      <c r="C7" s="83">
        <f>+' Revenues'!$F$23</f>
        <v>0</v>
      </c>
    </row>
    <row r="8" spans="1:6" s="31" customFormat="1" ht="21" customHeight="1" x14ac:dyDescent="0.2">
      <c r="A8" s="81"/>
      <c r="B8" s="84"/>
      <c r="C8" s="82" t="s">
        <v>131</v>
      </c>
      <c r="D8" s="85">
        <f>IF(B6=0,0,C7/B6)</f>
        <v>0</v>
      </c>
    </row>
    <row r="9" spans="1:6" s="31" customFormat="1" ht="21" customHeight="1" x14ac:dyDescent="0.2">
      <c r="A9" s="81"/>
      <c r="B9" s="84"/>
      <c r="C9" s="82" t="s">
        <v>11</v>
      </c>
      <c r="D9" s="86">
        <f>+' Revenues'!$G$33</f>
        <v>0</v>
      </c>
    </row>
    <row r="10" spans="1:6" s="31" customFormat="1" ht="21" customHeight="1" x14ac:dyDescent="0.2">
      <c r="A10" s="81"/>
      <c r="B10" s="84"/>
      <c r="C10" s="82" t="s">
        <v>12</v>
      </c>
      <c r="D10" s="86">
        <f>+' Revenues'!$G$40</f>
        <v>0</v>
      </c>
    </row>
    <row r="11" spans="1:6" s="31" customFormat="1" ht="21" customHeight="1" x14ac:dyDescent="0.2">
      <c r="A11" s="81"/>
      <c r="B11" s="84"/>
      <c r="C11" s="82" t="s">
        <v>13</v>
      </c>
      <c r="D11" s="85">
        <f>SUM(D8:D10)</f>
        <v>0</v>
      </c>
      <c r="F11" s="70"/>
    </row>
    <row r="12" spans="1:6" s="31" customFormat="1" ht="14.25" x14ac:dyDescent="0.2"/>
    <row r="13" spans="1:6" s="31" customFormat="1" ht="14.25" x14ac:dyDescent="0.2">
      <c r="A13" s="31" t="s">
        <v>80</v>
      </c>
    </row>
    <row r="14" spans="1:6" s="31" customFormat="1" ht="14.25" x14ac:dyDescent="0.2">
      <c r="A14" s="31" t="s">
        <v>132</v>
      </c>
    </row>
    <row r="15" spans="1:6" s="31" customFormat="1" ht="14.25" x14ac:dyDescent="0.2"/>
    <row r="16" spans="1:6" s="31" customFormat="1" ht="14.25" x14ac:dyDescent="0.2"/>
    <row r="17" spans="1:2" s="31" customFormat="1" ht="14.25" x14ac:dyDescent="0.2">
      <c r="A17" s="31" t="s">
        <v>246</v>
      </c>
      <c r="B17" s="45"/>
    </row>
    <row r="18" spans="1:2" s="31" customFormat="1" ht="14.25" x14ac:dyDescent="0.2">
      <c r="A18" s="31" t="s">
        <v>14</v>
      </c>
      <c r="B18" s="45"/>
    </row>
    <row r="19" spans="1:2" s="31" customFormat="1" ht="15" x14ac:dyDescent="0.25">
      <c r="A19" s="31" t="s">
        <v>34</v>
      </c>
      <c r="B19" s="45"/>
    </row>
    <row r="20" spans="1:2" s="31" customFormat="1" ht="14.25" x14ac:dyDescent="0.2">
      <c r="A20" s="31" t="s">
        <v>15</v>
      </c>
      <c r="B20" s="45"/>
    </row>
    <row r="21" spans="1:2" s="31" customFormat="1" ht="14.25" x14ac:dyDescent="0.2">
      <c r="A21" s="31" t="s">
        <v>95</v>
      </c>
    </row>
  </sheetData>
  <phoneticPr fontId="0" type="noConversion"/>
  <printOptions horizontalCentered="1"/>
  <pageMargins left="0.75" right="0.75" top="1" bottom="1" header="0.5" footer="0.5"/>
  <pageSetup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2"/>
  <sheetViews>
    <sheetView zoomScaleNormal="100" workbookViewId="0">
      <selection activeCell="A5" sqref="A5:XFD5"/>
    </sheetView>
  </sheetViews>
  <sheetFormatPr defaultRowHeight="12.75" x14ac:dyDescent="0.2"/>
  <cols>
    <col min="1" max="1" width="29.85546875" customWidth="1"/>
    <col min="2" max="3" width="17.28515625" customWidth="1"/>
    <col min="4" max="4" width="18.85546875" customWidth="1"/>
    <col min="5" max="5" width="21.85546875" customWidth="1"/>
    <col min="6" max="6" width="24.42578125" bestFit="1" customWidth="1"/>
  </cols>
  <sheetData>
    <row r="1" spans="1:6" ht="15.75" x14ac:dyDescent="0.25">
      <c r="A1" s="116" t="s">
        <v>288</v>
      </c>
    </row>
    <row r="2" spans="1:6" x14ac:dyDescent="0.2">
      <c r="A2" s="11" t="s">
        <v>289</v>
      </c>
    </row>
    <row r="3" spans="1:6" x14ac:dyDescent="0.2">
      <c r="A3" s="11"/>
    </row>
    <row r="4" spans="1:6" ht="14.25" x14ac:dyDescent="0.2">
      <c r="A4" s="11"/>
      <c r="C4" s="31" t="s">
        <v>290</v>
      </c>
    </row>
    <row r="5" spans="1:6" s="31" customFormat="1" ht="14.25" x14ac:dyDescent="0.2">
      <c r="A5" s="34" t="s">
        <v>244</v>
      </c>
      <c r="B5" s="34" t="s">
        <v>148</v>
      </c>
      <c r="C5" s="34" t="s">
        <v>151</v>
      </c>
      <c r="D5" s="34" t="s">
        <v>149</v>
      </c>
      <c r="E5" s="34" t="s">
        <v>279</v>
      </c>
      <c r="F5" s="107" t="s">
        <v>278</v>
      </c>
    </row>
    <row r="6" spans="1:6" s="31" customFormat="1" ht="14.25" x14ac:dyDescent="0.2"/>
    <row r="7" spans="1:6" x14ac:dyDescent="0.2">
      <c r="B7" s="3"/>
      <c r="D7" s="8"/>
      <c r="F7" s="3"/>
    </row>
    <row r="8" spans="1:6" x14ac:dyDescent="0.2">
      <c r="B8" s="3"/>
    </row>
    <row r="9" spans="1:6" x14ac:dyDescent="0.2">
      <c r="B9" s="7"/>
    </row>
    <row r="10" spans="1:6" x14ac:dyDescent="0.2">
      <c r="B10" s="3"/>
    </row>
    <row r="11" spans="1:6" x14ac:dyDescent="0.2">
      <c r="B11" s="3"/>
    </row>
    <row r="12" spans="1:6" x14ac:dyDescent="0.2">
      <c r="B12" s="3"/>
    </row>
    <row r="13" spans="1:6" x14ac:dyDescent="0.2">
      <c r="B13" s="3"/>
    </row>
    <row r="14" spans="1:6" x14ac:dyDescent="0.2">
      <c r="B14" s="3"/>
    </row>
    <row r="15" spans="1:6" x14ac:dyDescent="0.2">
      <c r="B15" s="3"/>
    </row>
    <row r="16" spans="1:6" x14ac:dyDescent="0.2">
      <c r="B16" s="3"/>
    </row>
    <row r="17" spans="2:4" x14ac:dyDescent="0.2">
      <c r="B17" s="3"/>
    </row>
    <row r="18" spans="2:4" x14ac:dyDescent="0.2">
      <c r="B18" s="3"/>
    </row>
    <row r="19" spans="2:4" x14ac:dyDescent="0.2">
      <c r="B19" s="3"/>
      <c r="D19" s="8"/>
    </row>
    <row r="20" spans="2:4" x14ac:dyDescent="0.2">
      <c r="B20" s="3"/>
      <c r="D20" s="8"/>
    </row>
    <row r="21" spans="2:4" x14ac:dyDescent="0.2">
      <c r="B21" s="3"/>
      <c r="D21" s="8"/>
    </row>
    <row r="22" spans="2:4" x14ac:dyDescent="0.2">
      <c r="B22" s="3"/>
      <c r="D22" s="8"/>
    </row>
  </sheetData>
  <phoneticPr fontId="0" type="noConversion"/>
  <printOptions horizontalCentered="1" gridLines="1"/>
  <pageMargins left="0.75" right="0.75" top="1.06" bottom="1" header="0.5" footer="0.5"/>
  <pageSetup orientation="landscape"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6"/>
  <sheetViews>
    <sheetView zoomScaleNormal="75" workbookViewId="0">
      <selection activeCell="A2" sqref="A2:XFD2"/>
    </sheetView>
  </sheetViews>
  <sheetFormatPr defaultRowHeight="12.75" x14ac:dyDescent="0.2"/>
  <cols>
    <col min="1" max="1" width="32" customWidth="1"/>
    <col min="2" max="2" width="11.7109375" customWidth="1"/>
    <col min="3" max="3" width="14" customWidth="1"/>
    <col min="4" max="4" width="13.42578125" customWidth="1"/>
    <col min="5" max="5" width="14.140625" customWidth="1"/>
    <col min="6" max="6" width="12.7109375" customWidth="1"/>
    <col min="7" max="7" width="12.140625" customWidth="1"/>
    <col min="8" max="8" width="14" customWidth="1"/>
    <col min="9" max="9" width="12.28515625" customWidth="1"/>
  </cols>
  <sheetData>
    <row r="1" spans="1:9" ht="15.75" x14ac:dyDescent="0.25">
      <c r="A1" s="113" t="s">
        <v>291</v>
      </c>
    </row>
    <row r="2" spans="1:9" s="31" customFormat="1" ht="19.5" customHeight="1" x14ac:dyDescent="0.2">
      <c r="A2" s="87"/>
      <c r="B2" s="87"/>
      <c r="C2" s="87"/>
      <c r="D2" s="87"/>
      <c r="E2" s="87"/>
      <c r="F2" s="87"/>
      <c r="G2" s="87"/>
      <c r="H2" s="15" t="s">
        <v>153</v>
      </c>
      <c r="I2" s="15" t="s">
        <v>280</v>
      </c>
    </row>
    <row r="3" spans="1:9" s="31" customFormat="1" ht="19.5" customHeight="1" x14ac:dyDescent="0.2">
      <c r="A3" s="15"/>
      <c r="B3" s="15"/>
      <c r="C3" s="15" t="s">
        <v>150</v>
      </c>
      <c r="D3" s="15"/>
      <c r="E3" s="15" t="s">
        <v>150</v>
      </c>
      <c r="F3" s="15"/>
      <c r="G3" s="15" t="s">
        <v>116</v>
      </c>
      <c r="H3" s="15" t="s">
        <v>154</v>
      </c>
      <c r="I3" s="15" t="s">
        <v>154</v>
      </c>
    </row>
    <row r="4" spans="1:9" s="31" customFormat="1" ht="20.100000000000001" customHeight="1" x14ac:dyDescent="0.2">
      <c r="A4" s="34" t="s">
        <v>244</v>
      </c>
      <c r="B4" s="34" t="s">
        <v>149</v>
      </c>
      <c r="C4" s="34" t="s">
        <v>149</v>
      </c>
      <c r="D4" s="34" t="s">
        <v>151</v>
      </c>
      <c r="E4" s="34" t="s">
        <v>151</v>
      </c>
      <c r="F4" s="34" t="s">
        <v>147</v>
      </c>
      <c r="G4" s="34" t="s">
        <v>152</v>
      </c>
      <c r="H4" s="34" t="s">
        <v>155</v>
      </c>
      <c r="I4" s="34" t="s">
        <v>281</v>
      </c>
    </row>
    <row r="5" spans="1:9" s="31" customFormat="1" ht="12.75" customHeight="1" x14ac:dyDescent="0.2"/>
    <row r="6" spans="1:9" ht="12.75" customHeight="1" x14ac:dyDescent="0.2">
      <c r="A6" s="9"/>
      <c r="B6" s="6"/>
      <c r="C6" s="6"/>
      <c r="D6" s="6"/>
      <c r="E6" s="6"/>
      <c r="F6" s="6"/>
      <c r="G6" s="6"/>
      <c r="H6" s="6"/>
    </row>
    <row r="7" spans="1:9" ht="12.75" customHeight="1" x14ac:dyDescent="0.2">
      <c r="A7" s="9"/>
      <c r="B7" s="6"/>
      <c r="C7" s="6"/>
      <c r="D7" s="6"/>
      <c r="E7" s="6"/>
      <c r="F7" s="6"/>
      <c r="G7" s="6"/>
      <c r="H7" s="6"/>
    </row>
    <row r="8" spans="1:9" ht="12.75" customHeight="1" x14ac:dyDescent="0.2">
      <c r="A8" s="9"/>
      <c r="B8" s="6"/>
      <c r="C8" s="6"/>
      <c r="D8" s="6"/>
      <c r="E8" s="6"/>
      <c r="F8" s="6"/>
      <c r="G8" s="6"/>
      <c r="H8" s="6"/>
    </row>
    <row r="9" spans="1:9" ht="12.75" customHeight="1" x14ac:dyDescent="0.2">
      <c r="A9" s="9"/>
      <c r="B9" s="6"/>
      <c r="C9" s="6"/>
      <c r="D9" s="6"/>
      <c r="E9" s="6"/>
      <c r="F9" s="6"/>
      <c r="G9" s="6"/>
      <c r="H9" s="6"/>
    </row>
    <row r="10" spans="1:9" ht="12.75" customHeight="1" x14ac:dyDescent="0.2">
      <c r="A10" s="9"/>
      <c r="B10" s="6"/>
      <c r="C10" s="6"/>
      <c r="D10" s="6"/>
      <c r="E10" s="6"/>
      <c r="F10" s="6"/>
      <c r="G10" s="6"/>
      <c r="H10" s="6"/>
    </row>
    <row r="11" spans="1:9" ht="12.75" customHeight="1" x14ac:dyDescent="0.2">
      <c r="A11" s="9"/>
      <c r="B11" s="6"/>
      <c r="C11" s="6"/>
      <c r="D11" s="6"/>
      <c r="E11" s="6"/>
      <c r="F11" s="6"/>
      <c r="G11" s="6"/>
      <c r="H11" s="6"/>
    </row>
    <row r="12" spans="1:9" ht="12.75" customHeight="1" x14ac:dyDescent="0.2">
      <c r="A12" s="9"/>
      <c r="B12" s="6"/>
      <c r="C12" s="6"/>
      <c r="D12" s="6"/>
      <c r="E12" s="6"/>
      <c r="F12" s="6"/>
      <c r="G12" s="6"/>
      <c r="H12" s="6"/>
    </row>
    <row r="13" spans="1:9" ht="12.75" customHeight="1" x14ac:dyDescent="0.2">
      <c r="A13" s="9"/>
      <c r="B13" s="6"/>
      <c r="C13" s="6"/>
      <c r="D13" s="6"/>
      <c r="E13" s="6"/>
      <c r="F13" s="6"/>
      <c r="G13" s="6"/>
      <c r="H13" s="6"/>
    </row>
    <row r="14" spans="1:9" ht="12.75" customHeight="1" x14ac:dyDescent="0.2">
      <c r="A14" s="9"/>
      <c r="B14" s="6"/>
      <c r="C14" s="6"/>
      <c r="D14" s="6"/>
      <c r="E14" s="6"/>
      <c r="F14" s="6"/>
      <c r="G14" s="6"/>
      <c r="H14" s="6"/>
    </row>
    <row r="15" spans="1:9" ht="12.75" customHeight="1" x14ac:dyDescent="0.2">
      <c r="A15" s="9"/>
      <c r="B15" s="6"/>
      <c r="C15" s="6"/>
      <c r="D15" s="6"/>
      <c r="E15" s="6"/>
      <c r="F15" s="6"/>
      <c r="G15" s="6"/>
      <c r="H15" s="6"/>
    </row>
    <row r="16" spans="1:9" ht="12.75" customHeight="1" x14ac:dyDescent="0.2">
      <c r="A16" s="9"/>
      <c r="B16" s="6"/>
      <c r="C16" s="6"/>
      <c r="D16" s="6"/>
      <c r="E16" s="6"/>
      <c r="F16" s="6"/>
      <c r="G16" s="6"/>
      <c r="H16" s="6"/>
    </row>
  </sheetData>
  <phoneticPr fontId="0" type="noConversion"/>
  <printOptions horizontalCentered="1" gridLines="1"/>
  <pageMargins left="0.44" right="0.41" top="1" bottom="1" header="0.5" footer="0.5"/>
  <pageSetup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3"/>
  <sheetViews>
    <sheetView zoomScaleNormal="100" workbookViewId="0">
      <selection activeCell="A5" sqref="A5"/>
    </sheetView>
  </sheetViews>
  <sheetFormatPr defaultRowHeight="12.75" x14ac:dyDescent="0.2"/>
  <cols>
    <col min="1" max="1" width="13.5703125" customWidth="1"/>
    <col min="3" max="3" width="11.140625" customWidth="1"/>
    <col min="4" max="4" width="22.5703125" customWidth="1"/>
    <col min="5" max="5" width="10.5703125" customWidth="1"/>
    <col min="6" max="6" width="2" customWidth="1"/>
    <col min="7" max="7" width="9.28515625" customWidth="1"/>
    <col min="8" max="8" width="1.7109375" customWidth="1"/>
    <col min="9" max="9" width="9.85546875" customWidth="1"/>
  </cols>
  <sheetData>
    <row r="1" spans="1:9" ht="18" x14ac:dyDescent="0.25">
      <c r="A1" s="115" t="s">
        <v>165</v>
      </c>
    </row>
    <row r="2" spans="1:9" s="19" customFormat="1" ht="14.25" x14ac:dyDescent="0.2">
      <c r="A2" s="19" t="s">
        <v>96</v>
      </c>
    </row>
    <row r="3" spans="1:9" s="19" customFormat="1" ht="14.25" x14ac:dyDescent="0.2">
      <c r="A3" s="19" t="s">
        <v>97</v>
      </c>
    </row>
    <row r="4" spans="1:9" s="19" customFormat="1" ht="15" x14ac:dyDescent="0.25">
      <c r="B4" s="88" t="s">
        <v>166</v>
      </c>
      <c r="C4" s="88"/>
      <c r="E4" s="89" t="s">
        <v>169</v>
      </c>
      <c r="F4" s="89"/>
      <c r="G4" s="89" t="s">
        <v>170</v>
      </c>
      <c r="H4" s="89"/>
      <c r="I4" s="89" t="s">
        <v>171</v>
      </c>
    </row>
    <row r="5" spans="1:9" s="19" customFormat="1" ht="15" x14ac:dyDescent="0.25">
      <c r="A5" s="90" t="s">
        <v>167</v>
      </c>
      <c r="E5" s="40"/>
      <c r="F5" s="40"/>
      <c r="G5" s="40"/>
      <c r="H5" s="40"/>
      <c r="I5" s="40"/>
    </row>
    <row r="6" spans="1:9" s="19" customFormat="1" ht="14.25" x14ac:dyDescent="0.2">
      <c r="B6" s="19" t="s">
        <v>168</v>
      </c>
      <c r="E6" s="91"/>
      <c r="F6" s="40"/>
      <c r="G6" s="91"/>
      <c r="H6" s="40"/>
      <c r="I6" s="91"/>
    </row>
    <row r="7" spans="1:9" s="19" customFormat="1" ht="14.25" x14ac:dyDescent="0.2">
      <c r="B7" s="19" t="s">
        <v>257</v>
      </c>
      <c r="E7" s="92"/>
      <c r="F7" s="40"/>
      <c r="G7" s="92"/>
      <c r="H7" s="40"/>
      <c r="I7" s="92"/>
    </row>
    <row r="8" spans="1:9" s="19" customFormat="1" ht="14.25" x14ac:dyDescent="0.2">
      <c r="B8" s="19" t="s">
        <v>172</v>
      </c>
      <c r="E8" s="91"/>
      <c r="F8" s="40"/>
      <c r="G8" s="92"/>
      <c r="H8" s="40"/>
      <c r="I8" s="92"/>
    </row>
    <row r="9" spans="1:9" s="19" customFormat="1" ht="15" x14ac:dyDescent="0.25">
      <c r="A9" s="88" t="s">
        <v>106</v>
      </c>
      <c r="E9" s="91"/>
      <c r="F9" s="40"/>
      <c r="G9" s="91"/>
      <c r="H9" s="40"/>
      <c r="I9" s="91"/>
    </row>
    <row r="10" spans="1:9" s="19" customFormat="1" ht="15" x14ac:dyDescent="0.25">
      <c r="A10" s="88" t="s">
        <v>102</v>
      </c>
      <c r="B10" s="19" t="s">
        <v>173</v>
      </c>
      <c r="E10" s="40"/>
      <c r="F10" s="40"/>
      <c r="G10" s="40"/>
      <c r="H10" s="40"/>
      <c r="I10" s="40"/>
    </row>
    <row r="11" spans="1:9" s="19" customFormat="1" ht="14.25" x14ac:dyDescent="0.2">
      <c r="C11" s="19" t="s">
        <v>174</v>
      </c>
      <c r="E11" s="91"/>
      <c r="F11" s="40"/>
      <c r="G11" s="91"/>
      <c r="H11" s="40"/>
      <c r="I11" s="91"/>
    </row>
    <row r="12" spans="1:9" s="19" customFormat="1" ht="14.25" x14ac:dyDescent="0.2">
      <c r="C12" s="19" t="s">
        <v>175</v>
      </c>
      <c r="E12" s="92"/>
      <c r="F12" s="40"/>
      <c r="G12" s="92"/>
      <c r="H12" s="40"/>
      <c r="I12" s="92"/>
    </row>
    <row r="13" spans="1:9" s="19" customFormat="1" ht="14.25" x14ac:dyDescent="0.2">
      <c r="C13" s="19" t="s">
        <v>139</v>
      </c>
      <c r="E13" s="92"/>
      <c r="F13" s="40"/>
      <c r="G13" s="92"/>
      <c r="H13" s="40"/>
      <c r="I13" s="92"/>
    </row>
    <row r="14" spans="1:9" s="19" customFormat="1" ht="14.25" x14ac:dyDescent="0.2">
      <c r="C14" s="19" t="s">
        <v>176</v>
      </c>
      <c r="E14" s="92"/>
      <c r="F14" s="40"/>
      <c r="G14" s="92"/>
      <c r="H14" s="40"/>
      <c r="I14" s="92"/>
    </row>
    <row r="15" spans="1:9" s="19" customFormat="1" ht="14.25" x14ac:dyDescent="0.2">
      <c r="C15" s="19" t="s">
        <v>177</v>
      </c>
      <c r="E15" s="92"/>
      <c r="F15" s="40"/>
      <c r="G15" s="92"/>
      <c r="H15" s="40"/>
      <c r="I15" s="92"/>
    </row>
    <row r="16" spans="1:9" s="19" customFormat="1" ht="14.25" x14ac:dyDescent="0.2">
      <c r="C16" s="19" t="s">
        <v>178</v>
      </c>
      <c r="E16" s="92"/>
      <c r="F16" s="40"/>
      <c r="G16" s="92"/>
      <c r="H16" s="40"/>
      <c r="I16" s="92"/>
    </row>
    <row r="17" spans="1:9" s="19" customFormat="1" ht="14.25" x14ac:dyDescent="0.2">
      <c r="C17" s="19" t="s">
        <v>179</v>
      </c>
      <c r="E17" s="92"/>
      <c r="F17" s="40"/>
      <c r="G17" s="92"/>
      <c r="H17" s="40"/>
      <c r="I17" s="92"/>
    </row>
    <row r="18" spans="1:9" s="19" customFormat="1" ht="14.25" x14ac:dyDescent="0.2">
      <c r="B18" s="19" t="s">
        <v>180</v>
      </c>
      <c r="E18" s="40"/>
      <c r="F18" s="40"/>
      <c r="G18" s="40"/>
      <c r="H18" s="40"/>
      <c r="I18" s="40"/>
    </row>
    <row r="19" spans="1:9" s="19" customFormat="1" ht="14.25" x14ac:dyDescent="0.2">
      <c r="C19" s="19" t="s">
        <v>137</v>
      </c>
      <c r="E19" s="91"/>
      <c r="F19" s="40"/>
      <c r="G19" s="91"/>
      <c r="H19" s="40"/>
      <c r="I19" s="91"/>
    </row>
    <row r="20" spans="1:9" s="19" customFormat="1" ht="14.25" x14ac:dyDescent="0.2">
      <c r="C20" s="19" t="s">
        <v>175</v>
      </c>
      <c r="E20" s="92"/>
      <c r="F20" s="40"/>
      <c r="G20" s="92"/>
      <c r="H20" s="40"/>
      <c r="I20" s="92"/>
    </row>
    <row r="21" spans="1:9" s="19" customFormat="1" ht="14.25" x14ac:dyDescent="0.2">
      <c r="C21" s="19" t="s">
        <v>139</v>
      </c>
      <c r="E21" s="92"/>
      <c r="F21" s="40"/>
      <c r="G21" s="92"/>
      <c r="H21" s="40"/>
      <c r="I21" s="92"/>
    </row>
    <row r="22" spans="1:9" s="19" customFormat="1" ht="14.25" x14ac:dyDescent="0.2">
      <c r="C22" s="19" t="s">
        <v>176</v>
      </c>
      <c r="E22" s="92"/>
      <c r="F22" s="40"/>
      <c r="G22" s="92"/>
      <c r="H22" s="40"/>
      <c r="I22" s="92"/>
    </row>
    <row r="23" spans="1:9" s="19" customFormat="1" ht="14.25" x14ac:dyDescent="0.2">
      <c r="C23" s="19" t="s">
        <v>177</v>
      </c>
      <c r="E23" s="92"/>
      <c r="F23" s="40"/>
      <c r="G23" s="92"/>
      <c r="H23" s="40"/>
      <c r="I23" s="92"/>
    </row>
    <row r="24" spans="1:9" s="19" customFormat="1" ht="14.25" x14ac:dyDescent="0.2">
      <c r="C24" s="19" t="s">
        <v>178</v>
      </c>
      <c r="E24" s="92"/>
      <c r="F24" s="40"/>
      <c r="G24" s="92"/>
      <c r="H24" s="40"/>
      <c r="I24" s="92"/>
    </row>
    <row r="25" spans="1:9" s="19" customFormat="1" ht="14.25" x14ac:dyDescent="0.2">
      <c r="C25" s="19" t="s">
        <v>179</v>
      </c>
      <c r="E25" s="92"/>
      <c r="F25" s="40"/>
      <c r="G25" s="92"/>
      <c r="H25" s="40"/>
      <c r="I25" s="92"/>
    </row>
    <row r="26" spans="1:9" s="19" customFormat="1" ht="15" x14ac:dyDescent="0.25">
      <c r="A26" s="88" t="s">
        <v>181</v>
      </c>
      <c r="B26" s="88"/>
      <c r="C26" s="88"/>
      <c r="E26" s="40"/>
      <c r="F26" s="40"/>
      <c r="G26" s="40"/>
      <c r="H26" s="40"/>
      <c r="I26" s="40"/>
    </row>
    <row r="27" spans="1:9" s="19" customFormat="1" ht="14.25" x14ac:dyDescent="0.2">
      <c r="B27" s="19" t="s">
        <v>182</v>
      </c>
      <c r="E27" s="91"/>
      <c r="F27" s="40"/>
      <c r="G27" s="91"/>
      <c r="H27" s="40"/>
      <c r="I27" s="91"/>
    </row>
    <row r="28" spans="1:9" s="19" customFormat="1" ht="14.25" x14ac:dyDescent="0.2">
      <c r="B28" s="19" t="s">
        <v>183</v>
      </c>
      <c r="E28" s="92"/>
      <c r="F28" s="40"/>
      <c r="G28" s="92"/>
      <c r="H28" s="40"/>
      <c r="I28" s="92"/>
    </row>
    <row r="29" spans="1:9" s="19" customFormat="1" ht="14.25" x14ac:dyDescent="0.2">
      <c r="B29" s="19" t="s">
        <v>184</v>
      </c>
      <c r="E29" s="92"/>
      <c r="F29" s="40"/>
      <c r="G29" s="92"/>
      <c r="H29" s="40"/>
      <c r="I29" s="92"/>
    </row>
    <row r="30" spans="1:9" s="19" customFormat="1" ht="14.25" x14ac:dyDescent="0.2">
      <c r="B30" s="19" t="s">
        <v>185</v>
      </c>
      <c r="E30" s="93"/>
      <c r="F30" s="40"/>
      <c r="G30" s="40"/>
      <c r="H30" s="40"/>
      <c r="I30" s="40"/>
    </row>
    <row r="31" spans="1:9" s="19" customFormat="1" ht="14.25" x14ac:dyDescent="0.2">
      <c r="C31" s="19" t="s">
        <v>186</v>
      </c>
      <c r="E31" s="91"/>
      <c r="F31" s="40"/>
      <c r="G31" s="91"/>
      <c r="H31" s="40"/>
      <c r="I31" s="91"/>
    </row>
    <row r="32" spans="1:9" s="19" customFormat="1" ht="14.25" x14ac:dyDescent="0.2">
      <c r="C32" s="19" t="s">
        <v>187</v>
      </c>
      <c r="E32" s="92"/>
      <c r="F32" s="40"/>
      <c r="G32" s="92"/>
      <c r="H32" s="40"/>
      <c r="I32" s="92"/>
    </row>
    <row r="33" spans="1:9" s="19" customFormat="1" ht="15" x14ac:dyDescent="0.25">
      <c r="A33" s="94" t="s">
        <v>188</v>
      </c>
      <c r="E33" s="40"/>
      <c r="F33" s="40"/>
      <c r="G33" s="40"/>
      <c r="H33" s="40"/>
      <c r="I33" s="40"/>
    </row>
    <row r="34" spans="1:9" s="19" customFormat="1" ht="14.25" x14ac:dyDescent="0.2">
      <c r="B34" s="19" t="s">
        <v>189</v>
      </c>
      <c r="E34" s="91"/>
      <c r="F34" s="40"/>
      <c r="G34" s="91"/>
      <c r="H34" s="40"/>
      <c r="I34" s="91"/>
    </row>
    <row r="35" spans="1:9" s="19" customFormat="1" ht="14.25" x14ac:dyDescent="0.2">
      <c r="B35" s="19" t="s">
        <v>190</v>
      </c>
      <c r="E35" s="92"/>
      <c r="F35" s="40"/>
      <c r="G35" s="92"/>
      <c r="H35" s="40"/>
      <c r="I35" s="92"/>
    </row>
    <row r="36" spans="1:9" s="19" customFormat="1" ht="15" x14ac:dyDescent="0.25">
      <c r="A36" s="94" t="s">
        <v>191</v>
      </c>
      <c r="E36" s="91"/>
      <c r="F36" s="40"/>
      <c r="G36" s="91"/>
      <c r="H36" s="40"/>
      <c r="I36" s="91"/>
    </row>
    <row r="37" spans="1:9" s="19" customFormat="1" ht="15" x14ac:dyDescent="0.25">
      <c r="A37" s="94" t="s">
        <v>192</v>
      </c>
      <c r="E37" s="91"/>
      <c r="F37" s="40"/>
      <c r="G37" s="91"/>
      <c r="H37" s="40"/>
      <c r="I37" s="91"/>
    </row>
    <row r="38" spans="1:9" s="19" customFormat="1" ht="15" x14ac:dyDescent="0.25">
      <c r="A38" s="94" t="s">
        <v>193</v>
      </c>
      <c r="E38" s="91"/>
      <c r="F38" s="40"/>
      <c r="G38" s="91"/>
      <c r="H38" s="40"/>
      <c r="I38" s="91"/>
    </row>
    <row r="39" spans="1:9" s="19" customFormat="1" ht="15" x14ac:dyDescent="0.25">
      <c r="A39" s="88"/>
      <c r="B39" s="88" t="s">
        <v>166</v>
      </c>
      <c r="C39" s="88"/>
      <c r="E39" s="89" t="s">
        <v>169</v>
      </c>
      <c r="F39" s="89"/>
      <c r="G39" s="89" t="s">
        <v>170</v>
      </c>
      <c r="H39" s="89"/>
      <c r="I39" s="89" t="s">
        <v>171</v>
      </c>
    </row>
    <row r="40" spans="1:9" s="19" customFormat="1" ht="15" x14ac:dyDescent="0.25">
      <c r="A40" s="88" t="s">
        <v>194</v>
      </c>
      <c r="E40" s="40"/>
      <c r="F40" s="40"/>
      <c r="G40" s="40"/>
      <c r="H40" s="40"/>
      <c r="I40" s="40"/>
    </row>
    <row r="41" spans="1:9" s="19" customFormat="1" ht="14.25" x14ac:dyDescent="0.2">
      <c r="B41" s="19" t="s">
        <v>195</v>
      </c>
      <c r="E41" s="91"/>
      <c r="F41" s="40"/>
      <c r="G41" s="91"/>
      <c r="H41" s="40"/>
      <c r="I41" s="91"/>
    </row>
    <row r="42" spans="1:9" s="19" customFormat="1" ht="14.25" x14ac:dyDescent="0.2">
      <c r="B42" s="19" t="s">
        <v>196</v>
      </c>
      <c r="E42" s="92"/>
      <c r="F42" s="40"/>
      <c r="G42" s="92"/>
      <c r="H42" s="40"/>
      <c r="I42" s="92"/>
    </row>
    <row r="43" spans="1:9" s="19" customFormat="1" ht="14.25" x14ac:dyDescent="0.2">
      <c r="B43" s="19" t="s">
        <v>197</v>
      </c>
      <c r="E43" s="92"/>
      <c r="F43" s="40"/>
      <c r="G43" s="92"/>
      <c r="H43" s="40"/>
      <c r="I43" s="92"/>
    </row>
    <row r="44" spans="1:9" s="19" customFormat="1" ht="15" x14ac:dyDescent="0.25">
      <c r="A44" s="88" t="s">
        <v>198</v>
      </c>
      <c r="E44" s="91"/>
      <c r="F44" s="40"/>
      <c r="G44" s="91"/>
      <c r="H44" s="40"/>
      <c r="I44" s="91"/>
    </row>
    <row r="45" spans="1:9" s="19" customFormat="1" ht="15" x14ac:dyDescent="0.25">
      <c r="A45" s="88" t="s">
        <v>36</v>
      </c>
      <c r="E45" s="40"/>
      <c r="F45" s="40"/>
      <c r="G45" s="40"/>
      <c r="H45" s="40"/>
      <c r="I45" s="40"/>
    </row>
    <row r="46" spans="1:9" s="19" customFormat="1" ht="14.25" x14ac:dyDescent="0.2">
      <c r="B46" s="19" t="s">
        <v>199</v>
      </c>
      <c r="E46" s="91"/>
      <c r="F46" s="40"/>
      <c r="G46" s="91"/>
      <c r="H46" s="40"/>
      <c r="I46" s="91"/>
    </row>
    <row r="47" spans="1:9" s="19" customFormat="1" ht="14.25" x14ac:dyDescent="0.2">
      <c r="B47" s="19" t="s">
        <v>200</v>
      </c>
      <c r="E47" s="92"/>
      <c r="F47" s="40"/>
      <c r="G47" s="92"/>
      <c r="H47" s="40"/>
      <c r="I47" s="92"/>
    </row>
    <row r="48" spans="1:9" s="19" customFormat="1" ht="15" x14ac:dyDescent="0.25">
      <c r="A48" s="88" t="s">
        <v>35</v>
      </c>
      <c r="E48" s="91"/>
      <c r="F48" s="40"/>
      <c r="G48" s="91"/>
      <c r="H48" s="40"/>
      <c r="I48" s="91"/>
    </row>
    <row r="49" spans="1:9" s="19" customFormat="1" ht="15" x14ac:dyDescent="0.25">
      <c r="A49" s="88" t="s">
        <v>138</v>
      </c>
      <c r="E49" s="91"/>
      <c r="F49" s="40"/>
      <c r="G49" s="91"/>
      <c r="H49" s="40"/>
      <c r="I49" s="91"/>
    </row>
    <row r="50" spans="1:9" s="19" customFormat="1" ht="15" x14ac:dyDescent="0.25">
      <c r="A50" s="88" t="s">
        <v>201</v>
      </c>
      <c r="E50" s="91"/>
      <c r="F50" s="40"/>
      <c r="G50" s="91"/>
      <c r="H50" s="40"/>
      <c r="I50" s="91"/>
    </row>
    <row r="51" spans="1:9" s="19" customFormat="1" ht="15" x14ac:dyDescent="0.25">
      <c r="A51" s="88" t="s">
        <v>202</v>
      </c>
      <c r="E51" s="91"/>
      <c r="F51" s="40"/>
      <c r="G51" s="91"/>
      <c r="H51" s="40"/>
      <c r="I51" s="91"/>
    </row>
    <row r="52" spans="1:9" s="19" customFormat="1" ht="15" x14ac:dyDescent="0.25">
      <c r="A52" s="88" t="s">
        <v>203</v>
      </c>
      <c r="E52" s="91"/>
      <c r="F52" s="40"/>
      <c r="G52" s="91"/>
      <c r="H52" s="40"/>
      <c r="I52" s="91"/>
    </row>
    <row r="53" spans="1:9" s="19" customFormat="1" ht="15" x14ac:dyDescent="0.25">
      <c r="A53" s="88" t="s">
        <v>204</v>
      </c>
      <c r="E53" s="91"/>
      <c r="F53" s="40"/>
      <c r="G53" s="91"/>
      <c r="H53" s="40"/>
      <c r="I53" s="91"/>
    </row>
    <row r="54" spans="1:9" s="19" customFormat="1" ht="15" x14ac:dyDescent="0.25">
      <c r="A54" s="88" t="s">
        <v>205</v>
      </c>
      <c r="E54" s="91"/>
      <c r="F54" s="40"/>
      <c r="G54" s="91"/>
      <c r="H54" s="40"/>
      <c r="I54" s="91"/>
    </row>
    <row r="55" spans="1:9" s="19" customFormat="1" ht="15" x14ac:dyDescent="0.25">
      <c r="A55" s="88" t="s">
        <v>206</v>
      </c>
      <c r="B55" s="88"/>
      <c r="E55" s="91"/>
      <c r="F55" s="40"/>
      <c r="G55" s="91"/>
      <c r="H55" s="40"/>
      <c r="I55" s="91"/>
    </row>
    <row r="56" spans="1:9" s="19" customFormat="1" ht="15" x14ac:dyDescent="0.25">
      <c r="A56" s="88" t="s">
        <v>207</v>
      </c>
      <c r="E56" s="91"/>
      <c r="F56" s="40"/>
      <c r="G56" s="91"/>
      <c r="H56" s="40"/>
      <c r="I56" s="91"/>
    </row>
    <row r="57" spans="1:9" s="19" customFormat="1" ht="15" x14ac:dyDescent="0.25">
      <c r="A57" s="88" t="s">
        <v>208</v>
      </c>
      <c r="E57" s="91"/>
      <c r="F57" s="40"/>
      <c r="G57" s="91"/>
      <c r="H57" s="40"/>
      <c r="I57" s="91"/>
    </row>
    <row r="58" spans="1:9" s="19" customFormat="1" ht="15" x14ac:dyDescent="0.25">
      <c r="A58" s="88" t="s">
        <v>209</v>
      </c>
      <c r="E58" s="91"/>
      <c r="F58" s="40"/>
      <c r="G58" s="91"/>
      <c r="H58" s="40"/>
      <c r="I58" s="91"/>
    </row>
    <row r="59" spans="1:9" s="19" customFormat="1" ht="15" x14ac:dyDescent="0.25">
      <c r="A59" s="88" t="s">
        <v>210</v>
      </c>
      <c r="E59" s="91"/>
      <c r="F59" s="40"/>
      <c r="G59" s="91"/>
      <c r="H59" s="40"/>
      <c r="I59" s="91"/>
    </row>
    <row r="60" spans="1:9" s="19" customFormat="1" ht="15" x14ac:dyDescent="0.25">
      <c r="A60" s="88" t="s">
        <v>211</v>
      </c>
      <c r="E60" s="91"/>
      <c r="F60" s="40"/>
      <c r="G60" s="91"/>
      <c r="H60" s="40"/>
      <c r="I60" s="91"/>
    </row>
    <row r="61" spans="1:9" s="19" customFormat="1" ht="15" x14ac:dyDescent="0.25">
      <c r="A61" s="88" t="s">
        <v>212</v>
      </c>
      <c r="E61" s="40"/>
      <c r="F61" s="40"/>
      <c r="G61" s="40"/>
      <c r="H61" s="40"/>
      <c r="I61" s="40"/>
    </row>
    <row r="62" spans="1:9" s="19" customFormat="1" ht="14.25" x14ac:dyDescent="0.2">
      <c r="B62" s="19" t="s">
        <v>213</v>
      </c>
      <c r="E62" s="91"/>
      <c r="F62" s="40"/>
      <c r="G62" s="91"/>
      <c r="H62" s="40"/>
      <c r="I62" s="91"/>
    </row>
    <row r="63" spans="1:9" s="19" customFormat="1" ht="14.25" x14ac:dyDescent="0.2">
      <c r="B63" s="19" t="s">
        <v>214</v>
      </c>
      <c r="E63" s="92"/>
      <c r="F63" s="40"/>
      <c r="G63" s="91"/>
      <c r="H63" s="40"/>
      <c r="I63" s="92"/>
    </row>
    <row r="64" spans="1:9" s="19" customFormat="1" ht="14.25" x14ac:dyDescent="0.2">
      <c r="B64" s="19" t="s">
        <v>215</v>
      </c>
      <c r="E64" s="92"/>
      <c r="F64" s="40"/>
      <c r="G64" s="92"/>
      <c r="H64" s="40"/>
      <c r="I64" s="92"/>
    </row>
    <row r="65" spans="2:9" s="19" customFormat="1" ht="14.25" x14ac:dyDescent="0.2">
      <c r="B65" s="19" t="s">
        <v>216</v>
      </c>
      <c r="E65" s="92"/>
      <c r="F65" s="40"/>
      <c r="G65" s="92"/>
      <c r="H65" s="40"/>
      <c r="I65" s="92"/>
    </row>
    <row r="66" spans="2:9" s="19" customFormat="1" ht="14.25" x14ac:dyDescent="0.2">
      <c r="B66" s="19" t="s">
        <v>217</v>
      </c>
      <c r="E66" s="92"/>
      <c r="F66" s="40"/>
      <c r="G66" s="92"/>
      <c r="H66" s="40"/>
      <c r="I66" s="92"/>
    </row>
    <row r="67" spans="2:9" s="19" customFormat="1" ht="14.25" x14ac:dyDescent="0.2">
      <c r="B67" s="19" t="s">
        <v>218</v>
      </c>
      <c r="E67" s="92"/>
      <c r="F67" s="40"/>
      <c r="G67" s="92"/>
      <c r="H67" s="40"/>
      <c r="I67" s="92"/>
    </row>
    <row r="68" spans="2:9" s="19" customFormat="1" ht="14.25" x14ac:dyDescent="0.2">
      <c r="B68" s="19" t="s">
        <v>219</v>
      </c>
      <c r="E68" s="91"/>
      <c r="F68" s="40"/>
      <c r="G68" s="92"/>
      <c r="H68" s="40"/>
      <c r="I68" s="92"/>
    </row>
    <row r="69" spans="2:9" s="19" customFormat="1" ht="14.25" x14ac:dyDescent="0.2">
      <c r="B69" s="19" t="s">
        <v>220</v>
      </c>
      <c r="E69" s="92"/>
      <c r="F69" s="40"/>
      <c r="G69" s="92"/>
      <c r="H69" s="40"/>
      <c r="I69" s="92"/>
    </row>
    <row r="70" spans="2:9" s="19" customFormat="1" ht="14.25" x14ac:dyDescent="0.2">
      <c r="B70" s="19" t="s">
        <v>221</v>
      </c>
      <c r="E70" s="92"/>
      <c r="F70" s="40"/>
      <c r="G70" s="92"/>
      <c r="H70" s="40"/>
      <c r="I70" s="92"/>
    </row>
    <row r="71" spans="2:9" s="19" customFormat="1" ht="14.25" x14ac:dyDescent="0.2">
      <c r="B71" s="19" t="s">
        <v>222</v>
      </c>
      <c r="E71" s="92"/>
      <c r="F71" s="40"/>
      <c r="G71" s="92"/>
      <c r="H71" s="40"/>
      <c r="I71" s="92"/>
    </row>
    <row r="72" spans="2:9" s="19" customFormat="1" ht="14.25" x14ac:dyDescent="0.2">
      <c r="B72" s="19" t="s">
        <v>223</v>
      </c>
      <c r="E72" s="92"/>
      <c r="F72" s="40"/>
      <c r="G72" s="92"/>
      <c r="H72" s="40"/>
      <c r="I72" s="92"/>
    </row>
    <row r="73" spans="2:9" x14ac:dyDescent="0.2">
      <c r="E73" s="3"/>
      <c r="F73" s="3"/>
      <c r="G73" s="3"/>
      <c r="H73" s="3"/>
      <c r="I73" s="3"/>
    </row>
  </sheetData>
  <phoneticPr fontId="0" type="noConversion"/>
  <pageMargins left="0.75" right="0.75" top="1" bottom="1" header="0.5" footer="0.5"/>
  <pageSetup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9</vt:i4>
      </vt:variant>
    </vt:vector>
  </HeadingPairs>
  <TitlesOfParts>
    <vt:vector size="22" baseType="lpstr">
      <vt:lpstr>Sample Non-Price Criteria </vt:lpstr>
      <vt:lpstr>Point Calculator - Instructions</vt:lpstr>
      <vt:lpstr>Point Calculator</vt:lpstr>
      <vt:lpstr>Labor &amp; Fringe Worksheet</vt:lpstr>
      <vt:lpstr>Costs</vt:lpstr>
      <vt:lpstr>Lunch Prices &amp; Counts</vt:lpstr>
      <vt:lpstr>Brkfst Prices &amp; Counts</vt:lpstr>
      <vt:lpstr> Revenues</vt:lpstr>
      <vt:lpstr>Meals &amp; Equivalents</vt:lpstr>
      <vt:lpstr>Bldg Demographics</vt:lpstr>
      <vt:lpstr>Services by Location</vt:lpstr>
      <vt:lpstr>Cost Responsibility</vt:lpstr>
      <vt:lpstr>Sheet1</vt:lpstr>
      <vt:lpstr>' Revenues'!Print_Area</vt:lpstr>
      <vt:lpstr>'Bldg Demographics'!Print_Area</vt:lpstr>
      <vt:lpstr>'Brkfst Prices &amp; Counts'!Print_Area</vt:lpstr>
      <vt:lpstr>Costs!Print_Area</vt:lpstr>
      <vt:lpstr>'Labor &amp; Fringe Worksheet'!Print_Area</vt:lpstr>
      <vt:lpstr>'Lunch Prices &amp; Counts'!Print_Area</vt:lpstr>
      <vt:lpstr>'Meals &amp; Equivalents'!Print_Area</vt:lpstr>
      <vt:lpstr>'Point Calculator'!Print_Area</vt:lpstr>
      <vt:lpstr>'Services by Location'!Print_Area</vt:lpstr>
    </vt:vector>
  </TitlesOfParts>
  <Company>CPPS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Request for Proposals Attachments - 2013</dc:title>
  <dc:creator>Joe/Sharon J</dc:creator>
  <cp:lastModifiedBy>Jaros, Sharon</cp:lastModifiedBy>
  <cp:lastPrinted>2010-03-29T16:57:11Z</cp:lastPrinted>
  <dcterms:created xsi:type="dcterms:W3CDTF">2003-07-24T18:22:02Z</dcterms:created>
  <dcterms:modified xsi:type="dcterms:W3CDTF">2013-03-14T21:08:06Z</dcterms:modified>
</cp:coreProperties>
</file>